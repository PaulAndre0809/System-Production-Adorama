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8"/>
  <workbookPr/>
  <mc:AlternateContent xmlns:mc="http://schemas.openxmlformats.org/markup-compatibility/2006">
    <mc:Choice Requires="x15">
      <x15ac:absPath xmlns:x15ac="http://schemas.microsoft.com/office/spreadsheetml/2010/11/ac" url="https://adorama.sharepoint.com/sites/EmailMarketingTeam/Shared Documents/ARCHIM/Documentation/Documents/"/>
    </mc:Choice>
  </mc:AlternateContent>
  <xr:revisionPtr revIDLastSave="117" documentId="11_D86B2EC58EA2A744D95835CE05FAEAD22D363043" xr6:coauthVersionLast="47" xr6:coauthVersionMax="47" xr10:uidLastSave="{64D306E4-F309-46D0-BC34-F7C2D53FAD6E}"/>
  <bookViews>
    <workbookView xWindow="-120" yWindow="-120" windowWidth="29040" windowHeight="15990" firstSheet="1" activeTab="1" xr2:uid="{00000000-000D-0000-FFFF-FFFF00000000}"/>
  </bookViews>
  <sheets>
    <sheet name="Dashboard" sheetId="1" r:id="rId1"/>
    <sheet name="Project Tracker" sheetId="2" r:id="rId2"/>
    <sheet name="January 2027 Calendar" sheetId="3" r:id="rId3"/>
    <sheet name="February 2027 Calendar" sheetId="4" r:id="rId4"/>
    <sheet name="March 2027 Calendar" sheetId="5" r:id="rId5"/>
    <sheet name="April 2027 Calendar" sheetId="6" r:id="rId6"/>
    <sheet name="May 2027 Calendar" sheetId="7" r:id="rId7"/>
    <sheet name="June 2027 Calendar" sheetId="8" r:id="rId8"/>
    <sheet name="July 2027 Calendar" sheetId="9" r:id="rId9"/>
    <sheet name="August 2027 Calendar" sheetId="10" r:id="rId10"/>
    <sheet name="September 2027 Calendar" sheetId="11" r:id="rId11"/>
    <sheet name="October 2027 Calendar" sheetId="12" r:id="rId12"/>
    <sheet name="November 2027 Calendar" sheetId="13" r:id="rId13"/>
    <sheet name="December 2027 Calendar" sheetId="14" r:id="rId14"/>
    <sheet name="Lists" sheetId="15" r:id="rId15"/>
  </sheets>
  <calcPr calcId="191028" refMode="R1C1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5" l="1"/>
  <c r="H15" i="14"/>
  <c r="G15" i="14"/>
  <c r="F15" i="14"/>
  <c r="E15" i="14"/>
  <c r="D15" i="14"/>
  <c r="C15" i="14"/>
  <c r="B15" i="14"/>
  <c r="H13" i="14"/>
  <c r="G13" i="14"/>
  <c r="C5" i="14"/>
  <c r="B5" i="14"/>
  <c r="H15" i="13"/>
  <c r="G15" i="13"/>
  <c r="F15" i="13"/>
  <c r="E15" i="13"/>
  <c r="D15" i="13"/>
  <c r="C15" i="13"/>
  <c r="B15" i="13"/>
  <c r="H13" i="13"/>
  <c r="G13" i="13"/>
  <c r="F13" i="13"/>
  <c r="E13" i="13"/>
  <c r="D13" i="13"/>
  <c r="H15" i="12"/>
  <c r="G15" i="12"/>
  <c r="F15" i="12"/>
  <c r="E15" i="12"/>
  <c r="D15" i="12"/>
  <c r="C15" i="12"/>
  <c r="B15" i="12"/>
  <c r="E5" i="12"/>
  <c r="D5" i="12"/>
  <c r="C5" i="12"/>
  <c r="B5" i="12"/>
  <c r="H15" i="11"/>
  <c r="G15" i="11"/>
  <c r="F15" i="11"/>
  <c r="E15" i="11"/>
  <c r="D15" i="11"/>
  <c r="C15" i="11"/>
  <c r="B15" i="11"/>
  <c r="H13" i="11"/>
  <c r="G13" i="11"/>
  <c r="F13" i="11"/>
  <c r="C5" i="11"/>
  <c r="B5" i="11"/>
  <c r="H15" i="10"/>
  <c r="G15" i="10"/>
  <c r="F15" i="10"/>
  <c r="E15" i="10"/>
  <c r="D15" i="10"/>
  <c r="G5" i="10"/>
  <c r="F5" i="10"/>
  <c r="E5" i="10"/>
  <c r="D5" i="10"/>
  <c r="C5" i="10"/>
  <c r="B5" i="10"/>
  <c r="H15" i="9"/>
  <c r="G15" i="9"/>
  <c r="F15" i="9"/>
  <c r="E15" i="9"/>
  <c r="D15" i="9"/>
  <c r="C15" i="9"/>
  <c r="B15" i="9"/>
  <c r="H13" i="9"/>
  <c r="D5" i="9"/>
  <c r="C5" i="9"/>
  <c r="B5" i="9"/>
  <c r="H15" i="8"/>
  <c r="G15" i="8"/>
  <c r="F15" i="8"/>
  <c r="E15" i="8"/>
  <c r="D15" i="8"/>
  <c r="C15" i="8"/>
  <c r="B15" i="8"/>
  <c r="H13" i="8"/>
  <c r="G13" i="8"/>
  <c r="F13" i="8"/>
  <c r="E13" i="8"/>
  <c r="B5" i="8"/>
  <c r="H15" i="7"/>
  <c r="G15" i="7"/>
  <c r="F15" i="7"/>
  <c r="E15" i="7"/>
  <c r="D15" i="7"/>
  <c r="C15" i="7"/>
  <c r="F5" i="7"/>
  <c r="E5" i="7"/>
  <c r="D5" i="7"/>
  <c r="C5" i="7"/>
  <c r="B5" i="7"/>
  <c r="H15" i="6"/>
  <c r="G15" i="6"/>
  <c r="F15" i="6"/>
  <c r="E15" i="6"/>
  <c r="D15" i="6"/>
  <c r="C15" i="6"/>
  <c r="B15" i="6"/>
  <c r="H13" i="6"/>
  <c r="G13" i="6"/>
  <c r="D5" i="6"/>
  <c r="C5" i="6"/>
  <c r="B5" i="6"/>
  <c r="H15" i="5"/>
  <c r="G15" i="5"/>
  <c r="F15" i="5"/>
  <c r="E15" i="5"/>
  <c r="D15" i="5"/>
  <c r="C15" i="5"/>
  <c r="B15" i="5"/>
  <c r="H13" i="5"/>
  <c r="G13" i="5"/>
  <c r="F13" i="5"/>
  <c r="E13" i="5"/>
  <c r="H15" i="4"/>
  <c r="G15" i="4"/>
  <c r="F15" i="4"/>
  <c r="E15" i="4"/>
  <c r="D15" i="4"/>
  <c r="C15" i="4"/>
  <c r="B15" i="4"/>
  <c r="H13" i="4"/>
  <c r="G13" i="4"/>
  <c r="F13" i="4"/>
  <c r="E13" i="4"/>
  <c r="D13" i="4"/>
  <c r="C13" i="4"/>
  <c r="B13" i="4"/>
  <c r="H15" i="3"/>
  <c r="G15" i="3"/>
  <c r="F15" i="3"/>
  <c r="E15" i="3"/>
  <c r="D15" i="3"/>
  <c r="C15" i="3"/>
  <c r="B15" i="3"/>
  <c r="E5" i="3"/>
  <c r="D5" i="3"/>
  <c r="C5" i="3"/>
  <c r="B5" i="3"/>
  <c r="B11" i="1"/>
  <c r="E10" i="1"/>
  <c r="B10" i="1"/>
  <c r="E9" i="1"/>
  <c r="B9" i="1"/>
  <c r="B8" i="1"/>
  <c r="E5" i="1"/>
  <c r="D5" i="1"/>
  <c r="C5" i="1"/>
  <c r="B5" i="1"/>
  <c r="A5" i="1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E11" i="1" l="1"/>
  <c r="E5" i="15"/>
  <c r="D5" i="15"/>
  <c r="E4" i="15"/>
  <c r="E3" i="15"/>
  <c r="D3" i="15"/>
  <c r="E2" i="15"/>
  <c r="D2" i="15"/>
  <c r="F13" i="14"/>
  <c r="E13" i="14"/>
  <c r="D13" i="14"/>
  <c r="C13" i="14"/>
  <c r="B13" i="14"/>
  <c r="H11" i="14"/>
  <c r="G11" i="14"/>
  <c r="F11" i="14"/>
  <c r="E11" i="14"/>
  <c r="D11" i="14"/>
  <c r="C11" i="14"/>
  <c r="B11" i="14"/>
  <c r="H9" i="14"/>
  <c r="G9" i="14"/>
  <c r="F9" i="14"/>
  <c r="E9" i="14"/>
  <c r="D9" i="14"/>
  <c r="C9" i="14"/>
  <c r="B9" i="14"/>
  <c r="H7" i="14"/>
  <c r="G7" i="14"/>
  <c r="F7" i="14"/>
  <c r="E7" i="14"/>
  <c r="D7" i="14"/>
  <c r="C7" i="14"/>
  <c r="B7" i="14"/>
  <c r="H5" i="14"/>
  <c r="G5" i="14"/>
  <c r="F5" i="14"/>
  <c r="E5" i="14"/>
  <c r="D5" i="14"/>
  <c r="C13" i="13"/>
  <c r="B13" i="13"/>
  <c r="H11" i="13"/>
  <c r="G11" i="13"/>
  <c r="F11" i="13"/>
  <c r="E11" i="13"/>
  <c r="D11" i="13"/>
  <c r="C11" i="13"/>
  <c r="B11" i="13"/>
  <c r="H9" i="13"/>
  <c r="G9" i="13"/>
  <c r="F9" i="13"/>
  <c r="E9" i="13"/>
  <c r="D9" i="13"/>
  <c r="C9" i="13"/>
  <c r="B9" i="13"/>
  <c r="H7" i="13"/>
  <c r="G7" i="13"/>
  <c r="F7" i="13"/>
  <c r="E7" i="13"/>
  <c r="D7" i="13"/>
  <c r="C7" i="13"/>
  <c r="B7" i="13"/>
  <c r="H5" i="13"/>
  <c r="G5" i="13"/>
  <c r="F5" i="13"/>
  <c r="E5" i="13"/>
  <c r="D5" i="13"/>
  <c r="C5" i="13"/>
  <c r="B5" i="13"/>
  <c r="H13" i="12"/>
  <c r="G13" i="12"/>
  <c r="F13" i="12"/>
  <c r="E13" i="12"/>
  <c r="D13" i="12"/>
  <c r="C13" i="12"/>
  <c r="B13" i="12"/>
  <c r="H11" i="12"/>
  <c r="G11" i="12"/>
  <c r="F11" i="12"/>
  <c r="E11" i="12"/>
  <c r="D11" i="12"/>
  <c r="C11" i="12"/>
  <c r="B11" i="12"/>
  <c r="H9" i="12"/>
  <c r="G9" i="12"/>
  <c r="F9" i="12"/>
  <c r="E9" i="12"/>
  <c r="D9" i="12"/>
  <c r="C9" i="12"/>
  <c r="B9" i="12"/>
  <c r="H7" i="12"/>
  <c r="G7" i="12"/>
  <c r="F7" i="12"/>
  <c r="E7" i="12"/>
  <c r="D7" i="12"/>
  <c r="C7" i="12"/>
  <c r="B7" i="12"/>
  <c r="H5" i="12"/>
  <c r="G5" i="12"/>
  <c r="F5" i="12"/>
  <c r="E13" i="11"/>
  <c r="D13" i="11"/>
  <c r="C13" i="11"/>
  <c r="B13" i="11"/>
  <c r="H11" i="11"/>
  <c r="G11" i="11"/>
  <c r="F11" i="11"/>
  <c r="E11" i="11"/>
  <c r="D11" i="11"/>
  <c r="C11" i="11"/>
  <c r="B11" i="11"/>
  <c r="H9" i="11"/>
  <c r="G9" i="11"/>
  <c r="F9" i="11"/>
  <c r="E9" i="11"/>
  <c r="D9" i="11"/>
  <c r="C9" i="11"/>
  <c r="B9" i="11"/>
  <c r="H7" i="11"/>
  <c r="G7" i="11"/>
  <c r="F7" i="11"/>
  <c r="E7" i="11"/>
  <c r="D7" i="11"/>
  <c r="C7" i="11"/>
  <c r="B7" i="11"/>
  <c r="H5" i="11"/>
  <c r="G5" i="11"/>
  <c r="F5" i="11"/>
  <c r="E5" i="11"/>
  <c r="D5" i="11"/>
  <c r="C15" i="10"/>
  <c r="B15" i="10"/>
  <c r="H13" i="10"/>
  <c r="G13" i="10"/>
  <c r="F13" i="10"/>
  <c r="E13" i="10"/>
  <c r="D13" i="10"/>
  <c r="C13" i="10"/>
  <c r="B13" i="10"/>
  <c r="H11" i="10"/>
  <c r="G11" i="10"/>
  <c r="F11" i="10"/>
  <c r="E11" i="10"/>
  <c r="D11" i="10"/>
  <c r="C11" i="10"/>
  <c r="B11" i="10"/>
  <c r="H9" i="10"/>
  <c r="G9" i="10"/>
  <c r="F9" i="10"/>
  <c r="E9" i="10"/>
  <c r="D9" i="10"/>
  <c r="C9" i="10"/>
  <c r="B9" i="10"/>
  <c r="H7" i="10"/>
  <c r="G7" i="10"/>
  <c r="F7" i="10"/>
  <c r="E7" i="10"/>
  <c r="D7" i="10"/>
  <c r="C7" i="10"/>
  <c r="B7" i="10"/>
  <c r="H5" i="10"/>
  <c r="G13" i="9"/>
  <c r="F13" i="9"/>
  <c r="E13" i="9"/>
  <c r="D13" i="9"/>
  <c r="C13" i="9"/>
  <c r="B13" i="9"/>
  <c r="H11" i="9"/>
  <c r="G11" i="9"/>
  <c r="F11" i="9"/>
  <c r="E11" i="9"/>
  <c r="D11" i="9"/>
  <c r="C11" i="9"/>
  <c r="B11" i="9"/>
  <c r="H9" i="9"/>
  <c r="G9" i="9"/>
  <c r="F9" i="9"/>
  <c r="E9" i="9"/>
  <c r="D9" i="9"/>
  <c r="C9" i="9"/>
  <c r="B9" i="9"/>
  <c r="H7" i="9"/>
  <c r="G7" i="9"/>
  <c r="F7" i="9"/>
  <c r="E7" i="9"/>
  <c r="D7" i="9"/>
  <c r="C7" i="9"/>
  <c r="B7" i="9"/>
  <c r="H5" i="9"/>
  <c r="G5" i="9"/>
  <c r="F5" i="9"/>
  <c r="E5" i="9"/>
  <c r="D13" i="8"/>
  <c r="C13" i="8"/>
  <c r="B13" i="8"/>
  <c r="H11" i="8"/>
  <c r="G11" i="8"/>
  <c r="F11" i="8"/>
  <c r="E11" i="8"/>
  <c r="D11" i="8"/>
  <c r="C11" i="8"/>
  <c r="B11" i="8"/>
  <c r="H9" i="8"/>
  <c r="G9" i="8"/>
  <c r="F9" i="8"/>
  <c r="E9" i="8"/>
  <c r="D9" i="8"/>
  <c r="C9" i="8"/>
  <c r="B9" i="8"/>
  <c r="H7" i="8"/>
  <c r="G7" i="8"/>
  <c r="F7" i="8"/>
  <c r="E7" i="8"/>
  <c r="D7" i="8"/>
  <c r="C7" i="8"/>
  <c r="B7" i="8"/>
  <c r="H5" i="8"/>
  <c r="G5" i="8"/>
  <c r="F5" i="8"/>
  <c r="E5" i="8"/>
  <c r="D5" i="8"/>
  <c r="C5" i="8"/>
  <c r="B15" i="7"/>
  <c r="H13" i="7"/>
  <c r="G13" i="7"/>
  <c r="F13" i="7"/>
  <c r="E13" i="7"/>
  <c r="D13" i="7"/>
  <c r="C13" i="7"/>
  <c r="B13" i="7"/>
  <c r="H11" i="7"/>
  <c r="G11" i="7"/>
  <c r="F11" i="7"/>
  <c r="E11" i="7"/>
  <c r="D11" i="7"/>
  <c r="C11" i="7"/>
  <c r="B11" i="7"/>
  <c r="H9" i="7"/>
  <c r="G9" i="7"/>
  <c r="F9" i="7"/>
  <c r="E9" i="7"/>
  <c r="D9" i="7"/>
  <c r="C9" i="7"/>
  <c r="B9" i="7"/>
  <c r="H7" i="7"/>
  <c r="G7" i="7"/>
  <c r="F7" i="7"/>
  <c r="E7" i="7"/>
  <c r="D7" i="7"/>
  <c r="C7" i="7"/>
  <c r="B7" i="7"/>
  <c r="H5" i="7"/>
  <c r="G5" i="7"/>
  <c r="F13" i="6"/>
  <c r="E13" i="6"/>
  <c r="D13" i="6"/>
  <c r="C13" i="6"/>
  <c r="B13" i="6"/>
  <c r="H11" i="6"/>
  <c r="G11" i="6"/>
  <c r="F11" i="6"/>
  <c r="E11" i="6"/>
  <c r="D11" i="6"/>
  <c r="C11" i="6"/>
  <c r="B11" i="6"/>
  <c r="H9" i="6"/>
  <c r="G9" i="6"/>
  <c r="F9" i="6"/>
  <c r="E9" i="6"/>
  <c r="D9" i="6"/>
  <c r="C9" i="6"/>
  <c r="B9" i="6"/>
  <c r="H7" i="6"/>
  <c r="G7" i="6"/>
  <c r="F7" i="6"/>
  <c r="E7" i="6"/>
  <c r="D7" i="6"/>
  <c r="C7" i="6"/>
  <c r="B7" i="6"/>
  <c r="H5" i="6"/>
  <c r="G5" i="6"/>
  <c r="D6" i="15"/>
  <c r="E5" i="6"/>
  <c r="D13" i="5"/>
  <c r="C13" i="5"/>
  <c r="B13" i="5"/>
  <c r="H11" i="5"/>
  <c r="G11" i="5"/>
  <c r="F11" i="5"/>
  <c r="E11" i="5"/>
  <c r="D11" i="5"/>
  <c r="C11" i="5"/>
  <c r="B11" i="5"/>
  <c r="H9" i="5"/>
  <c r="G9" i="5"/>
  <c r="F9" i="5"/>
  <c r="E9" i="5"/>
  <c r="D9" i="5"/>
  <c r="C9" i="5"/>
  <c r="B9" i="5"/>
  <c r="H7" i="5"/>
  <c r="G7" i="5"/>
  <c r="F7" i="5"/>
  <c r="E7" i="5"/>
  <c r="D7" i="5"/>
  <c r="C7" i="5"/>
  <c r="B7" i="5"/>
  <c r="H5" i="5"/>
  <c r="G5" i="5"/>
  <c r="F5" i="5"/>
  <c r="E5" i="5"/>
  <c r="D5" i="5"/>
  <c r="C5" i="5"/>
  <c r="B5" i="5"/>
  <c r="H11" i="4"/>
  <c r="G11" i="4"/>
  <c r="F11" i="4"/>
  <c r="E11" i="4"/>
  <c r="D11" i="4"/>
  <c r="C11" i="4"/>
  <c r="B11" i="4"/>
  <c r="H9" i="4"/>
  <c r="G9" i="4"/>
  <c r="F9" i="4"/>
  <c r="E9" i="4"/>
  <c r="D9" i="4"/>
  <c r="C9" i="4"/>
  <c r="F5" i="6"/>
  <c r="H7" i="4"/>
  <c r="G7" i="4"/>
  <c r="F7" i="4"/>
  <c r="E7" i="4"/>
  <c r="D7" i="4"/>
  <c r="C7" i="4"/>
  <c r="B7" i="4"/>
  <c r="H5" i="4"/>
  <c r="G5" i="4"/>
  <c r="F5" i="4"/>
  <c r="E5" i="4"/>
  <c r="D5" i="4"/>
  <c r="C5" i="4"/>
  <c r="B5" i="4"/>
  <c r="H13" i="3"/>
  <c r="G13" i="3"/>
  <c r="F13" i="3"/>
  <c r="E13" i="3"/>
  <c r="D13" i="3"/>
  <c r="C13" i="3"/>
  <c r="B13" i="3"/>
  <c r="H11" i="3"/>
  <c r="G11" i="3"/>
  <c r="F11" i="3"/>
  <c r="E11" i="3"/>
  <c r="D11" i="3"/>
  <c r="C11" i="3"/>
  <c r="B11" i="3"/>
  <c r="H9" i="3"/>
  <c r="G9" i="3"/>
  <c r="F9" i="3"/>
  <c r="E9" i="3"/>
  <c r="D9" i="3"/>
  <c r="C9" i="3"/>
  <c r="B9" i="3"/>
  <c r="H7" i="3"/>
  <c r="G7" i="3"/>
  <c r="F7" i="3"/>
  <c r="E7" i="3"/>
  <c r="D7" i="3"/>
  <c r="C7" i="3"/>
  <c r="B7" i="3"/>
  <c r="H5" i="3"/>
  <c r="G5" i="3"/>
  <c r="F5" i="3"/>
  <c r="B9" i="4"/>
  <c r="E12" i="1" l="1"/>
  <c r="E13" i="1"/>
</calcChain>
</file>

<file path=xl/sharedStrings.xml><?xml version="1.0" encoding="utf-8"?>
<sst xmlns="http://schemas.openxmlformats.org/spreadsheetml/2006/main" count="264" uniqueCount="67">
  <si>
    <t>Loyalty &amp; PLCC Emails Dashboard</t>
  </si>
  <si>
    <t>This dashboard auto-summarizes Jira tickets sourced from the Project Tracker.</t>
  </si>
  <si>
    <t>Total Projects</t>
  </si>
  <si>
    <t>In Progress</t>
  </si>
  <si>
    <t>Completed</t>
  </si>
  <si>
    <t>Upcoming</t>
  </si>
  <si>
    <t>Cancelled</t>
  </si>
  <si>
    <t>Status</t>
  </si>
  <si>
    <t>Count</t>
  </si>
  <si>
    <t>Send Date Summary</t>
  </si>
  <si>
    <t>Metric</t>
  </si>
  <si>
    <t>Value</t>
  </si>
  <si>
    <t>Sends Jan-Dec 2027</t>
  </si>
  <si>
    <t>Active Sends Next 14 Days</t>
  </si>
  <si>
    <t>Next Send Date</t>
  </si>
  <si>
    <t>Next Jira Ticket</t>
  </si>
  <si>
    <t>Next Project</t>
  </si>
  <si>
    <t>Note: Please update or modify Jira tickets within the Project Tracker sheet. The calendar worksheets utilize the Send Date to extract and display campaign names for specific dates.</t>
  </si>
  <si>
    <t>Jira Ticket Link</t>
  </si>
  <si>
    <t>Campaign</t>
  </si>
  <si>
    <t>Send Date</t>
  </si>
  <si>
    <t>Notes</t>
  </si>
  <si>
    <t>Calendar Key</t>
  </si>
  <si>
    <t>Calendar Display</t>
  </si>
  <si>
    <t>Future Send Helper</t>
  </si>
  <si>
    <t>JIRA-1001</t>
  </si>
  <si>
    <t>TEST</t>
  </si>
  <si>
    <t>JIRA-1002</t>
  </si>
  <si>
    <t>JIRA-1003</t>
  </si>
  <si>
    <t>JIRA-1004</t>
  </si>
  <si>
    <t>JIRA-1005</t>
  </si>
  <si>
    <t>JIRA-1006</t>
  </si>
  <si>
    <t>JIRA-1007</t>
  </si>
  <si>
    <t>JIRA-1008</t>
  </si>
  <si>
    <t>JIRA-1009</t>
  </si>
  <si>
    <t>JIRA-1010</t>
  </si>
  <si>
    <t>JIRA-1011</t>
  </si>
  <si>
    <t>JIRA-1012</t>
  </si>
  <si>
    <t>January 2027 Project Calendar</t>
  </si>
  <si>
    <t>Week</t>
  </si>
  <si>
    <t>Mon</t>
  </si>
  <si>
    <t>Tue</t>
  </si>
  <si>
    <t>Wed</t>
  </si>
  <si>
    <t>Thu</t>
  </si>
  <si>
    <t>Fri</t>
  </si>
  <si>
    <t>Sat</t>
  </si>
  <si>
    <t>Sun</t>
  </si>
  <si>
    <t>Week 1</t>
  </si>
  <si>
    <t>Week 2</t>
  </si>
  <si>
    <t>Week 3</t>
  </si>
  <si>
    <t>Week 4</t>
  </si>
  <si>
    <t>Week 5</t>
  </si>
  <si>
    <t>Legend / Notes</t>
  </si>
  <si>
    <t>Edit the Send Date on Project Tracker to move projects on the calendar. Blank dates will not appear.</t>
  </si>
  <si>
    <t>February 2027 Project Calendar</t>
  </si>
  <si>
    <t>March 2027 Project Calendar</t>
  </si>
  <si>
    <t>April 2027 Project Calendar</t>
  </si>
  <si>
    <t>May 2027 Project Calendar</t>
  </si>
  <si>
    <t>Week 6</t>
  </si>
  <si>
    <t>June 2027 Project Calendar</t>
  </si>
  <si>
    <t>July 2027 Project Calendar</t>
  </si>
  <si>
    <t>August 2027 Project Calendar</t>
  </si>
  <si>
    <t>September 2027 Project Calendar</t>
  </si>
  <si>
    <t>October 2027 Project Calendar</t>
  </si>
  <si>
    <t>November 2027 Project Calendar</t>
  </si>
  <si>
    <t>December 2027 Project Calendar</t>
  </si>
  <si>
    <t>Statuses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</si>
</sst>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1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4"/>
      <color rgb="FF111827"/>
      <name val="Carlito"/>
    </font>
    <font>
      <b/>
      <sz val="11"/>
      <name val="Carlito"/>
    </font>
    <font>
      <b/>
      <sz val="11"/>
      <color rgb="FF111827"/>
      <name val="Carlito"/>
    </font>
    <font>
      <sz val="9"/>
      <name val="Carlito"/>
    </font>
    <font>
      <i/>
      <sz val="11"/>
      <color rgb="FF1F2937"/>
      <name val="Carlito"/>
    </font>
    <font>
      <i/>
      <sz val="11"/>
      <name val="Carlito"/>
    </font>
    <font>
      <sz val="11"/>
      <color rgb="FF111827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3F8F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563EB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5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164" fontId="6" fillId="8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vertical="top" wrapText="1"/>
    </xf>
    <xf numFmtId="0" fontId="1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4" fillId="12" borderId="0" xfId="0" applyNumberFormat="1" applyFont="1" applyFill="1" applyAlignment="1">
      <alignment horizontal="center" vertical="center"/>
    </xf>
    <xf numFmtId="0" fontId="0" fillId="13" borderId="0" xfId="0" applyFill="1"/>
    <xf numFmtId="0" fontId="7" fillId="13" borderId="0" xfId="0" applyFont="1" applyFill="1" applyAlignment="1">
      <alignment vertical="top" wrapText="1"/>
    </xf>
    <xf numFmtId="164" fontId="0" fillId="0" borderId="0" xfId="0" applyNumberFormat="1"/>
    <xf numFmtId="0" fontId="1" fillId="1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0" borderId="0" xfId="0"/>
    <xf numFmtId="0" fontId="8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wrapText="1"/>
    </xf>
    <xf numFmtId="0" fontId="9" fillId="10" borderId="0" xfId="0" applyFont="1" applyFill="1" applyAlignment="1">
      <alignment wrapText="1"/>
    </xf>
    <xf numFmtId="0" fontId="1" fillId="5" borderId="0" xfId="0" applyFont="1" applyFill="1" applyAlignment="1">
      <alignment horizontal="left"/>
    </xf>
  </cellXfs>
  <cellStyles count="1">
    <cellStyle name="Normal" xfId="0" builtinId="0"/>
  </cellStyles>
  <dxfs count="13">
    <dxf>
      <font>
        <color rgb="FF92400E"/>
      </font>
      <fill>
        <patternFill>
          <bgColor rgb="FFFEF3C7"/>
        </patternFill>
      </fill>
    </dxf>
    <dxf>
      <font>
        <color rgb="FF1D4ED8"/>
      </font>
      <fill>
        <patternFill>
          <bgColor rgb="FFDBEAFE"/>
        </patternFill>
      </fill>
    </dxf>
    <dxf>
      <font>
        <color rgb="FF166534"/>
      </font>
      <fill>
        <patternFill>
          <bgColor rgb="FFDCFCE7"/>
        </patternFill>
      </fill>
    </dxf>
    <dxf>
      <font>
        <strike/>
        <color theme="1"/>
      </font>
      <fill>
        <patternFill>
          <bgColor rgb="FF92D050"/>
        </patternFill>
      </fill>
    </dxf>
    <dxf>
      <font>
        <strike/>
        <color theme="1"/>
      </font>
      <fill>
        <patternFill>
          <bgColor rgb="FFFF5D5D"/>
        </patternFill>
      </fill>
    </dxf>
    <dxf>
      <font>
        <b/>
        <i val="0"/>
        <strike val="0"/>
        <color theme="1"/>
      </font>
      <fill>
        <patternFill>
          <bgColor rgb="FF00B0F0"/>
        </patternFill>
      </fill>
    </dxf>
    <dxf>
      <font>
        <b val="0"/>
        <i/>
        <strike val="0"/>
        <color theme="1"/>
      </font>
      <fill>
        <patternFill>
          <bgColor rgb="FFFFC000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PH"/>
              <a:t>Projects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ln>
              <a:prstDash val="solid"/>
            </a:ln>
          </c:spPr>
          <c:invertIfNegative val="1"/>
          <c:cat>
            <c:strRef>
              <c:f>Dashboard!$A$8:$A$10</c:f>
              <c:strCache>
                <c:ptCount val="3"/>
                <c:pt idx="0">
                  <c:v>Upcoming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Dashboard!$B$8:$B$10</c:f>
              <c:numCache>
                <c:formatCode>0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E-4452-8EF9-F1DDACCE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3</xdr:col>
      <xdr:colOff>0</xdr:colOff>
      <xdr:row>1048576</xdr:row>
      <xdr:rowOff>523875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TrackerTable" displayName="ProjectTrackerTable" ref="A1:E201" headerRowDxfId="12">
  <autoFilter ref="A1:E201" xr:uid="{00000000-0009-0000-0100-000001000000}"/>
  <tableColumns count="5">
    <tableColumn id="1" xr3:uid="{00000000-0010-0000-0000-000001000000}" name="Jira Ticket Link" dataDxfId="11"/>
    <tableColumn id="2" xr3:uid="{00000000-0010-0000-0000-000002000000}" name="Campaign" dataDxfId="10"/>
    <tableColumn id="3" xr3:uid="{00000000-0010-0000-0000-000003000000}" name="Status" dataDxfId="9"/>
    <tableColumn id="4" xr3:uid="{00000000-0010-0000-0000-000004000000}" name="Send Date" dataDxfId="8"/>
    <tableColumn id="5" xr3:uid="{00000000-0010-0000-0000-000005000000}" name="Notes" dataDxfId="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workbookViewId="0">
      <selection activeCell="D15" sqref="D15"/>
    </sheetView>
  </sheetViews>
  <sheetFormatPr defaultColWidth="0" defaultRowHeight="14.25" zeroHeight="1"/>
  <cols>
    <col min="1" max="5" width="30.625" customWidth="1"/>
  </cols>
  <sheetData>
    <row r="1" spans="1:5" ht="30" customHeight="1">
      <c r="A1" s="30" t="s">
        <v>0</v>
      </c>
      <c r="B1" s="31"/>
      <c r="C1" s="31"/>
      <c r="D1" s="31"/>
      <c r="E1" s="31"/>
    </row>
    <row r="2" spans="1:5" ht="33.950000000000003" customHeight="1">
      <c r="A2" s="28" t="s">
        <v>1</v>
      </c>
      <c r="B2" s="29"/>
      <c r="C2" s="29"/>
      <c r="D2" s="29"/>
      <c r="E2" s="29"/>
    </row>
    <row r="3" spans="1:5"/>
    <row r="4" spans="1:5" ht="15" customHeight="1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</row>
    <row r="5" spans="1:5" ht="32.1" customHeight="1">
      <c r="A5" s="21">
        <f>COUNTIF('Project Tracker'!$B$2:$B$201,"&lt;&gt;")</f>
        <v>12</v>
      </c>
      <c r="B5" s="21">
        <f>COUNTIFS('Project Tracker'!$C$2:$C$201,"In Progress",'Project Tracker'!$B$2:$B$201,"&lt;&gt;")</f>
        <v>4</v>
      </c>
      <c r="C5" s="21">
        <f>COUNTIFS('Project Tracker'!$C$2:$C$201,"Completed",'Project Tracker'!$B$2:$B$201,"&lt;&gt;")</f>
        <v>2</v>
      </c>
      <c r="D5" s="21">
        <f>COUNTIFS('Project Tracker'!$C$2:$C$201,"Upcoming",'Project Tracker'!$B$2:$B$201,"&lt;&gt;")</f>
        <v>3</v>
      </c>
      <c r="E5" s="16">
        <f>COUNTIFS('Project Tracker'!$C$2:$C$201,"Cancelled",'Project Tracker'!$B$2:$B$201,"&lt;&gt;")</f>
        <v>3</v>
      </c>
    </row>
    <row r="6" spans="1:5"/>
    <row r="7" spans="1:5" ht="15" customHeight="1">
      <c r="A7" s="15" t="s">
        <v>7</v>
      </c>
      <c r="B7" s="15" t="s">
        <v>8</v>
      </c>
      <c r="D7" s="15" t="s">
        <v>9</v>
      </c>
      <c r="E7" s="15"/>
    </row>
    <row r="8" spans="1:5" ht="15" customHeight="1">
      <c r="A8" s="2" t="s">
        <v>5</v>
      </c>
      <c r="B8" s="12">
        <f>COUNTIFS('Project Tracker'!$C$2:$C$201,A8,'Project Tracker'!$B$2:$B$201,"&lt;&gt;")</f>
        <v>3</v>
      </c>
      <c r="D8" s="3" t="s">
        <v>10</v>
      </c>
      <c r="E8" s="3" t="s">
        <v>11</v>
      </c>
    </row>
    <row r="9" spans="1:5">
      <c r="A9" s="2" t="s">
        <v>3</v>
      </c>
      <c r="B9" s="12">
        <f>COUNTIFS('Project Tracker'!$C$2:$C$201,A9,'Project Tracker'!$B$2:$B$201,"&lt;&gt;")</f>
        <v>4</v>
      </c>
      <c r="D9" s="2" t="s">
        <v>12</v>
      </c>
      <c r="E9" s="12">
        <f>COUNTIFS('Project Tracker'!$D$2:$D$201,"&gt;="&amp;DATE(2027,1,1),'Project Tracker'!$D$2:$D$201,"&lt;="&amp;DATE(2027,12,31),'Project Tracker'!$B$2:$B$201,"&lt;&gt;")</f>
        <v>6</v>
      </c>
    </row>
    <row r="10" spans="1:5">
      <c r="A10" s="2" t="s">
        <v>4</v>
      </c>
      <c r="B10" s="12">
        <f>COUNTIFS('Project Tracker'!$C$2:$C$201,A10,'Project Tracker'!$B$2:$B$201,"&lt;&gt;")</f>
        <v>2</v>
      </c>
      <c r="D10" s="2" t="s">
        <v>13</v>
      </c>
      <c r="E10" s="12">
        <f ca="1">COUNTIFS('Project Tracker'!$D$2:$D$201,"&gt;="&amp;TODAY(),'Project Tracker'!$D$2:$D$201,"&lt;="&amp;TODAY()+14,'Project Tracker'!$C$2:$C$201,"&lt;&gt;Completed",'Project Tracker'!$C$2:$C$201,"&lt;&gt;Cancelled",'Project Tracker'!$B$2:$B$201,"&lt;&gt;")</f>
        <v>1</v>
      </c>
    </row>
    <row r="11" spans="1:5">
      <c r="A11" s="17" t="s">
        <v>6</v>
      </c>
      <c r="B11" s="18">
        <f>COUNTIFS('Project Tracker'!$C$2:$C$201,A11,'Project Tracker'!$B$2:$B$201,"&lt;&gt;")</f>
        <v>3</v>
      </c>
      <c r="D11" s="2" t="s">
        <v>14</v>
      </c>
      <c r="E11" s="11">
        <f ca="1">IF(MIN('Project Tracker'!$H$2:$H$201)&gt;999999,"",MIN('Project Tracker'!$H$2:$H$201))</f>
        <v>46210</v>
      </c>
    </row>
    <row r="12" spans="1:5">
      <c r="D12" s="2" t="s">
        <v>15</v>
      </c>
      <c r="E12" s="2" t="str">
        <f ca="1">IFERROR(INDEX('Project Tracker'!$A$2:$A$201,MATCH($E$11,'Project Tracker'!$H$2:$H$201,0)),"")</f>
        <v>JIRA-1007</v>
      </c>
    </row>
    <row r="13" spans="1:5">
      <c r="D13" s="2" t="s">
        <v>16</v>
      </c>
      <c r="E13" s="2" t="str">
        <f ca="1">IFERROR(INDEX('Project Tracker'!$B$2:$B$201,MATCH($E$11,'Project Tracker'!$H$2:$H$201,0)),"")</f>
        <v>TEST</v>
      </c>
    </row>
    <row r="14" spans="1:5"/>
    <row r="15" spans="1:5" ht="99.75" customHeight="1"/>
    <row r="16" spans="1:5" ht="99.75" customHeight="1">
      <c r="D16" s="32" t="s">
        <v>17</v>
      </c>
      <c r="E16" s="33"/>
    </row>
  </sheetData>
  <mergeCells count="3">
    <mergeCell ref="A2:E2"/>
    <mergeCell ref="A1:E1"/>
    <mergeCell ref="D16:E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tabSelected="1" workbookViewId="0">
      <selection activeCell="E8" sqref="E8"/>
    </sheetView>
  </sheetViews>
  <sheetFormatPr defaultColWidth="0" defaultRowHeight="14.25"/>
  <cols>
    <col min="1" max="1" width="30.625" style="26" customWidth="1"/>
    <col min="2" max="2" width="50.625" style="26" customWidth="1"/>
    <col min="3" max="3" width="10.625" style="14" customWidth="1"/>
    <col min="4" max="4" width="20.625" style="19" customWidth="1"/>
    <col min="5" max="5" width="100.625" style="19" customWidth="1"/>
    <col min="6" max="7" width="0.125" hidden="1" customWidth="1"/>
    <col min="8" max="8" width="34.25" hidden="1" customWidth="1"/>
  </cols>
  <sheetData>
    <row r="1" spans="1:8" ht="26.1" customHeight="1">
      <c r="A1" s="25" t="s">
        <v>18</v>
      </c>
      <c r="B1" s="25" t="s">
        <v>19</v>
      </c>
      <c r="C1" s="25" t="s">
        <v>7</v>
      </c>
      <c r="D1" s="25" t="s">
        <v>20</v>
      </c>
      <c r="E1" s="25" t="s">
        <v>21</v>
      </c>
      <c r="F1" s="22" t="s">
        <v>22</v>
      </c>
      <c r="G1" s="22" t="s">
        <v>23</v>
      </c>
      <c r="H1" s="22" t="s">
        <v>24</v>
      </c>
    </row>
    <row r="2" spans="1:8" ht="33.75" customHeight="1">
      <c r="A2" s="20" t="s">
        <v>25</v>
      </c>
      <c r="B2" s="20" t="s">
        <v>26</v>
      </c>
      <c r="C2" s="14" t="s">
        <v>3</v>
      </c>
      <c r="D2" s="27">
        <v>46388</v>
      </c>
      <c r="E2" s="14"/>
      <c r="F2" s="22" t="str">
        <f>IF(AND($D2&lt;&gt;"",$B2&lt;&gt;""),TEXT($D2,"yyyymmdd")&amp;"|"&amp;COUNTIFS($D$2:$D2,$D2,$B$2:$B2,"&lt;&gt;"),"")</f>
        <v>20270101|1</v>
      </c>
      <c r="G2" s="22" t="str">
        <f t="shared" ref="G2:G33" si="0">IF($B2="","",$B2)</f>
        <v>TEST</v>
      </c>
      <c r="H2" s="22">
        <f t="shared" ref="H2:H33" ca="1" si="1">IF(AND($D2&gt;=TODAY(),$B2&lt;&gt;"",$C2&lt;&gt;"Completed",$C2&lt;&gt;"Cancelled"),$D2,999999999)</f>
        <v>46388</v>
      </c>
    </row>
    <row r="3" spans="1:8" ht="33.75" customHeight="1">
      <c r="A3" s="20" t="s">
        <v>27</v>
      </c>
      <c r="B3" s="20" t="s">
        <v>26</v>
      </c>
      <c r="C3" s="14" t="s">
        <v>3</v>
      </c>
      <c r="D3" s="27">
        <v>46420</v>
      </c>
      <c r="E3" s="14"/>
      <c r="F3" s="22" t="str">
        <f>IF(AND($D3&lt;&gt;"",$B3&lt;&gt;""),TEXT($D3,"yyyymmdd")&amp;"|"&amp;COUNTIFS($D$2:$D3,$D3,$B$2:$B3,"&lt;&gt;"),"")</f>
        <v>20270202|1</v>
      </c>
      <c r="G3" s="22" t="str">
        <f t="shared" si="0"/>
        <v>TEST</v>
      </c>
      <c r="H3" s="22">
        <f t="shared" ca="1" si="1"/>
        <v>46420</v>
      </c>
    </row>
    <row r="4" spans="1:8" ht="16.5" customHeight="1">
      <c r="A4" s="20" t="s">
        <v>28</v>
      </c>
      <c r="B4" s="20" t="s">
        <v>26</v>
      </c>
      <c r="C4" s="14" t="s">
        <v>6</v>
      </c>
      <c r="D4" s="27">
        <v>46449</v>
      </c>
      <c r="E4" s="14"/>
      <c r="F4" s="22" t="str">
        <f>IF(AND($D4&lt;&gt;"",$B4&lt;&gt;""),TEXT($D4,"yyyymmdd")&amp;"|"&amp;COUNTIFS($D$2:$D4,$D4,$B$2:$B4,"&lt;&gt;"),"")</f>
        <v>20270303|1</v>
      </c>
      <c r="G4" s="22" t="str">
        <f t="shared" si="0"/>
        <v>TEST</v>
      </c>
      <c r="H4" s="22">
        <f t="shared" ca="1" si="1"/>
        <v>999999999</v>
      </c>
    </row>
    <row r="5" spans="1:8" ht="16.5" customHeight="1">
      <c r="A5" s="20" t="s">
        <v>29</v>
      </c>
      <c r="B5" s="20" t="s">
        <v>26</v>
      </c>
      <c r="C5" s="14" t="s">
        <v>6</v>
      </c>
      <c r="D5" s="27">
        <v>46481</v>
      </c>
      <c r="E5" s="14"/>
      <c r="F5" s="22" t="str">
        <f>IF(AND($D5&lt;&gt;"",$B5&lt;&gt;""),TEXT($D5,"yyyymmdd")&amp;"|"&amp;COUNTIFS($D$2:$D5,$D5,$B$2:$B5,"&lt;&gt;"),"")</f>
        <v>20270404|1</v>
      </c>
      <c r="G5" s="22" t="str">
        <f t="shared" si="0"/>
        <v>TEST</v>
      </c>
      <c r="H5" s="22">
        <f t="shared" ca="1" si="1"/>
        <v>999999999</v>
      </c>
    </row>
    <row r="6" spans="1:8" ht="16.5" customHeight="1">
      <c r="A6" s="20" t="s">
        <v>30</v>
      </c>
      <c r="B6" s="20" t="s">
        <v>26</v>
      </c>
      <c r="C6" s="14" t="s">
        <v>4</v>
      </c>
      <c r="D6" s="27">
        <v>46512</v>
      </c>
      <c r="E6" s="14"/>
      <c r="F6" s="22" t="str">
        <f>IF(AND($D6&lt;&gt;"",$B6&lt;&gt;""),TEXT($D6,"yyyymmdd")&amp;"|"&amp;COUNTIFS($D$2:$D6,$D6,$B$2:$B6,"&lt;&gt;"),"")</f>
        <v>20270505|1</v>
      </c>
      <c r="G6" s="22" t="str">
        <f t="shared" si="0"/>
        <v>TEST</v>
      </c>
      <c r="H6" s="22">
        <f t="shared" ca="1" si="1"/>
        <v>999999999</v>
      </c>
    </row>
    <row r="7" spans="1:8" ht="16.5" customHeight="1">
      <c r="A7" s="20" t="s">
        <v>31</v>
      </c>
      <c r="B7" s="20" t="s">
        <v>26</v>
      </c>
      <c r="C7" s="14" t="s">
        <v>4</v>
      </c>
      <c r="D7" s="27">
        <v>46544</v>
      </c>
      <c r="E7" s="14"/>
      <c r="F7" s="22" t="str">
        <f>IF(AND($D7&lt;&gt;"",$B7&lt;&gt;""),TEXT($D7,"yyyymmdd")&amp;"|"&amp;COUNTIFS($D$2:$D7,$D7,$B$2:$B7,"&lt;&gt;"),"")</f>
        <v>20270606|1</v>
      </c>
      <c r="G7" s="22" t="str">
        <f t="shared" si="0"/>
        <v>TEST</v>
      </c>
      <c r="H7" s="22">
        <f t="shared" ca="1" si="1"/>
        <v>999999999</v>
      </c>
    </row>
    <row r="8" spans="1:8" ht="30">
      <c r="A8" s="20" t="s">
        <v>32</v>
      </c>
      <c r="B8" s="20" t="s">
        <v>26</v>
      </c>
      <c r="C8" s="14" t="s">
        <v>3</v>
      </c>
      <c r="D8" s="27">
        <v>46210</v>
      </c>
      <c r="E8" s="14"/>
      <c r="F8" s="22" t="str">
        <f>IF(AND($D8&lt;&gt;"",$B8&lt;&gt;""),TEXT($D8,"yyyymmdd")&amp;"|"&amp;COUNTIFS($D$2:$D8,$D8,$B$2:$B8,"&lt;&gt;"),"")</f>
        <v>20260707|1</v>
      </c>
      <c r="G8" s="22" t="str">
        <f t="shared" si="0"/>
        <v>TEST</v>
      </c>
      <c r="H8" s="22">
        <f t="shared" ca="1" si="1"/>
        <v>46210</v>
      </c>
    </row>
    <row r="9" spans="1:8">
      <c r="A9" s="20" t="s">
        <v>33</v>
      </c>
      <c r="B9" s="20" t="s">
        <v>26</v>
      </c>
      <c r="C9" s="14" t="s">
        <v>6</v>
      </c>
      <c r="D9" s="27">
        <v>46242</v>
      </c>
      <c r="E9" s="14"/>
      <c r="F9" s="22" t="str">
        <f>IF(AND($D9&lt;&gt;"",$B9&lt;&gt;""),TEXT($D9,"yyyymmdd")&amp;"|"&amp;COUNTIFS($D$2:$D9,$D9,$B$2:$B9,"&lt;&gt;"),"")</f>
        <v>20260808|1</v>
      </c>
      <c r="G9" s="22" t="str">
        <f t="shared" si="0"/>
        <v>TEST</v>
      </c>
      <c r="H9" s="22">
        <f t="shared" ca="1" si="1"/>
        <v>999999999</v>
      </c>
    </row>
    <row r="10" spans="1:8">
      <c r="A10" s="20" t="s">
        <v>34</v>
      </c>
      <c r="B10" s="20" t="s">
        <v>26</v>
      </c>
      <c r="C10" s="14" t="s">
        <v>5</v>
      </c>
      <c r="D10" s="27">
        <v>46274</v>
      </c>
      <c r="E10" s="14"/>
      <c r="F10" s="22" t="str">
        <f>IF(AND($D10&lt;&gt;"",$B10&lt;&gt;""),TEXT($D10,"yyyymmdd")&amp;"|"&amp;COUNTIFS($D$2:$D10,$D10,$B$2:$B10,"&lt;&gt;"),"")</f>
        <v>20260909|1</v>
      </c>
      <c r="G10" s="22" t="str">
        <f t="shared" si="0"/>
        <v>TEST</v>
      </c>
      <c r="H10" s="22">
        <f t="shared" ca="1" si="1"/>
        <v>46274</v>
      </c>
    </row>
    <row r="11" spans="1:8">
      <c r="A11" s="20" t="s">
        <v>35</v>
      </c>
      <c r="B11" s="20" t="s">
        <v>26</v>
      </c>
      <c r="C11" s="14" t="s">
        <v>5</v>
      </c>
      <c r="D11" s="27">
        <v>46305</v>
      </c>
      <c r="E11" s="14"/>
      <c r="F11" s="22" t="str">
        <f>IF(AND($D11&lt;&gt;"",$B11&lt;&gt;""),TEXT($D11,"yyyymmdd")&amp;"|"&amp;COUNTIFS($D$2:$D11,$D11,$B$2:$B11,"&lt;&gt;"),"")</f>
        <v>20261010|1</v>
      </c>
      <c r="G11" s="22" t="str">
        <f t="shared" si="0"/>
        <v>TEST</v>
      </c>
      <c r="H11" s="22">
        <f t="shared" ca="1" si="1"/>
        <v>46305</v>
      </c>
    </row>
    <row r="12" spans="1:8">
      <c r="A12" s="20" t="s">
        <v>36</v>
      </c>
      <c r="B12" s="20" t="s">
        <v>26</v>
      </c>
      <c r="C12" s="14" t="s">
        <v>5</v>
      </c>
      <c r="D12" s="27">
        <v>46337</v>
      </c>
      <c r="E12" s="14"/>
      <c r="F12" s="22" t="str">
        <f>IF(AND($D12&lt;&gt;"",$B12&lt;&gt;""),TEXT($D12,"yyyymmdd")&amp;"|"&amp;COUNTIFS($D$2:$D12,$D12,$B$2:$B12,"&lt;&gt;"),"")</f>
        <v>20261111|1</v>
      </c>
      <c r="G12" s="22" t="str">
        <f t="shared" si="0"/>
        <v>TEST</v>
      </c>
      <c r="H12" s="22">
        <f t="shared" ca="1" si="1"/>
        <v>46337</v>
      </c>
    </row>
    <row r="13" spans="1:8" ht="30">
      <c r="A13" s="20" t="s">
        <v>37</v>
      </c>
      <c r="B13" s="20" t="s">
        <v>26</v>
      </c>
      <c r="C13" s="14" t="s">
        <v>3</v>
      </c>
      <c r="D13" s="27">
        <v>46368</v>
      </c>
      <c r="E13" s="14"/>
      <c r="F13" s="22" t="str">
        <f>IF(AND($D13&lt;&gt;"",$B13&lt;&gt;""),TEXT($D13,"yyyymmdd")&amp;"|"&amp;COUNTIFS($D$2:$D13,$D13,$B$2:$B13,"&lt;&gt;"),"")</f>
        <v>20261212|1</v>
      </c>
      <c r="G13" s="22" t="str">
        <f t="shared" si="0"/>
        <v>TEST</v>
      </c>
      <c r="H13" s="22">
        <f t="shared" ca="1" si="1"/>
        <v>46368</v>
      </c>
    </row>
    <row r="14" spans="1:8">
      <c r="A14" s="20"/>
      <c r="B14" s="20"/>
      <c r="D14" s="27"/>
      <c r="E14" s="14"/>
      <c r="F14" s="22" t="str">
        <f>IF(AND($D14&lt;&gt;"",$B14&lt;&gt;""),TEXT($D14,"yyyymmdd")&amp;"|"&amp;COUNTIFS($D$2:$D14,$D14,$B$2:$B14,"&lt;&gt;"),"")</f>
        <v/>
      </c>
      <c r="G14" s="22" t="str">
        <f t="shared" si="0"/>
        <v/>
      </c>
      <c r="H14" s="22">
        <f t="shared" ca="1" si="1"/>
        <v>999999999</v>
      </c>
    </row>
    <row r="15" spans="1:8">
      <c r="A15" s="20"/>
      <c r="B15" s="20"/>
      <c r="D15" s="27"/>
      <c r="E15" s="14"/>
      <c r="F15" s="22" t="str">
        <f>IF(AND($D15&lt;&gt;"",$B15&lt;&gt;""),TEXT($D15,"yyyymmdd")&amp;"|"&amp;COUNTIFS($D$2:$D15,$D15,$B$2:$B15,"&lt;&gt;"),"")</f>
        <v/>
      </c>
      <c r="G15" s="22" t="str">
        <f t="shared" si="0"/>
        <v/>
      </c>
      <c r="H15" s="22">
        <f t="shared" ca="1" si="1"/>
        <v>999999999</v>
      </c>
    </row>
    <row r="16" spans="1:8">
      <c r="A16" s="20"/>
      <c r="B16" s="20"/>
      <c r="D16" s="27"/>
      <c r="E16" s="14"/>
      <c r="F16" s="22" t="str">
        <f>IF(AND($D16&lt;&gt;"",$B16&lt;&gt;""),TEXT($D16,"yyyymmdd")&amp;"|"&amp;COUNTIFS($D$2:$D16,$D16,$B$2:$B16,"&lt;&gt;"),"")</f>
        <v/>
      </c>
      <c r="G16" s="22" t="str">
        <f t="shared" si="0"/>
        <v/>
      </c>
      <c r="H16" s="22">
        <f t="shared" ca="1" si="1"/>
        <v>999999999</v>
      </c>
    </row>
    <row r="17" spans="1:8">
      <c r="A17" s="20"/>
      <c r="B17" s="20"/>
      <c r="D17" s="27"/>
      <c r="E17" s="14"/>
      <c r="F17" s="22" t="str">
        <f>IF(AND($D17&lt;&gt;"",$B17&lt;&gt;""),TEXT($D17,"yyyymmdd")&amp;"|"&amp;COUNTIFS($D$2:$D17,$D17,$B$2:$B17,"&lt;&gt;"),"")</f>
        <v/>
      </c>
      <c r="G17" s="22" t="str">
        <f t="shared" si="0"/>
        <v/>
      </c>
      <c r="H17" s="22">
        <f t="shared" ca="1" si="1"/>
        <v>999999999</v>
      </c>
    </row>
    <row r="18" spans="1:8">
      <c r="A18" s="20"/>
      <c r="B18" s="20"/>
      <c r="D18" s="27"/>
      <c r="E18" s="14"/>
      <c r="F18" s="22" t="str">
        <f>IF(AND($D18&lt;&gt;"",$B18&lt;&gt;""),TEXT($D18,"yyyymmdd")&amp;"|"&amp;COUNTIFS($D$2:$D18,$D18,$B$2:$B18,"&lt;&gt;"),"")</f>
        <v/>
      </c>
      <c r="G18" s="22" t="str">
        <f t="shared" si="0"/>
        <v/>
      </c>
      <c r="H18" s="22">
        <f t="shared" ca="1" si="1"/>
        <v>999999999</v>
      </c>
    </row>
    <row r="19" spans="1:8">
      <c r="A19" s="20"/>
      <c r="B19" s="20"/>
      <c r="D19" s="27"/>
      <c r="E19" s="14"/>
      <c r="F19" s="22" t="str">
        <f>IF(AND($D19&lt;&gt;"",$B19&lt;&gt;""),TEXT($D19,"yyyymmdd")&amp;"|"&amp;COUNTIFS($D$2:$D19,$D19,$B$2:$B19,"&lt;&gt;"),"")</f>
        <v/>
      </c>
      <c r="G19" s="22" t="str">
        <f t="shared" si="0"/>
        <v/>
      </c>
      <c r="H19" s="22">
        <f t="shared" ca="1" si="1"/>
        <v>999999999</v>
      </c>
    </row>
    <row r="20" spans="1:8">
      <c r="A20" s="20"/>
      <c r="B20" s="20"/>
      <c r="D20" s="27"/>
      <c r="E20" s="14"/>
      <c r="F20" s="22" t="str">
        <f>IF(AND($D20&lt;&gt;"",$B20&lt;&gt;""),TEXT($D20,"yyyymmdd")&amp;"|"&amp;COUNTIFS($D$2:$D20,$D20,$B$2:$B20,"&lt;&gt;"),"")</f>
        <v/>
      </c>
      <c r="G20" s="22" t="str">
        <f t="shared" si="0"/>
        <v/>
      </c>
      <c r="H20" s="22">
        <f t="shared" ca="1" si="1"/>
        <v>999999999</v>
      </c>
    </row>
    <row r="21" spans="1:8">
      <c r="A21" s="20"/>
      <c r="B21" s="20"/>
      <c r="D21" s="27"/>
      <c r="E21" s="14"/>
      <c r="F21" s="22" t="str">
        <f>IF(AND($D21&lt;&gt;"",$B21&lt;&gt;""),TEXT($D21,"yyyymmdd")&amp;"|"&amp;COUNTIFS($D$2:$D21,$D21,$B$2:$B21,"&lt;&gt;"),"")</f>
        <v/>
      </c>
      <c r="G21" s="22" t="str">
        <f t="shared" si="0"/>
        <v/>
      </c>
      <c r="H21" s="22">
        <f t="shared" ca="1" si="1"/>
        <v>999999999</v>
      </c>
    </row>
    <row r="22" spans="1:8">
      <c r="A22" s="20"/>
      <c r="B22" s="20"/>
      <c r="D22" s="27"/>
      <c r="E22" s="14"/>
      <c r="F22" s="22" t="str">
        <f>IF(AND($D22&lt;&gt;"",$B22&lt;&gt;""),TEXT($D22,"yyyymmdd")&amp;"|"&amp;COUNTIFS($D$2:$D22,$D22,$B$2:$B22,"&lt;&gt;"),"")</f>
        <v/>
      </c>
      <c r="G22" s="22" t="str">
        <f t="shared" si="0"/>
        <v/>
      </c>
      <c r="H22" s="22">
        <f t="shared" ca="1" si="1"/>
        <v>999999999</v>
      </c>
    </row>
    <row r="23" spans="1:8">
      <c r="A23" s="20"/>
      <c r="B23" s="20"/>
      <c r="D23" s="27"/>
      <c r="E23" s="14"/>
      <c r="F23" s="22" t="str">
        <f>IF(AND($D23&lt;&gt;"",$B23&lt;&gt;""),TEXT($D23,"yyyymmdd")&amp;"|"&amp;COUNTIFS($D$2:$D23,$D23,$B$2:$B23,"&lt;&gt;"),"")</f>
        <v/>
      </c>
      <c r="G23" s="22" t="str">
        <f t="shared" si="0"/>
        <v/>
      </c>
      <c r="H23" s="22">
        <f t="shared" ca="1" si="1"/>
        <v>999999999</v>
      </c>
    </row>
    <row r="24" spans="1:8">
      <c r="A24" s="20"/>
      <c r="B24" s="20"/>
      <c r="D24" s="27"/>
      <c r="E24" s="14"/>
      <c r="F24" s="22" t="str">
        <f>IF(AND($D24&lt;&gt;"",$B24&lt;&gt;""),TEXT($D24,"yyyymmdd")&amp;"|"&amp;COUNTIFS($D$2:$D24,$D24,$B$2:$B24,"&lt;&gt;"),"")</f>
        <v/>
      </c>
      <c r="G24" s="22" t="str">
        <f t="shared" si="0"/>
        <v/>
      </c>
      <c r="H24" s="22">
        <f t="shared" ca="1" si="1"/>
        <v>999999999</v>
      </c>
    </row>
    <row r="25" spans="1:8">
      <c r="A25" s="20"/>
      <c r="B25" s="20"/>
      <c r="D25" s="27"/>
      <c r="E25" s="14"/>
      <c r="F25" s="22" t="str">
        <f>IF(AND($D25&lt;&gt;"",$B25&lt;&gt;""),TEXT($D25,"yyyymmdd")&amp;"|"&amp;COUNTIFS($D$2:$D25,$D25,$B$2:$B25,"&lt;&gt;"),"")</f>
        <v/>
      </c>
      <c r="G25" s="22" t="str">
        <f t="shared" si="0"/>
        <v/>
      </c>
      <c r="H25" s="22">
        <f t="shared" ca="1" si="1"/>
        <v>999999999</v>
      </c>
    </row>
    <row r="26" spans="1:8">
      <c r="A26" s="20"/>
      <c r="B26" s="20"/>
      <c r="D26" s="27"/>
      <c r="E26" s="14"/>
      <c r="F26" s="22" t="str">
        <f>IF(AND($D26&lt;&gt;"",$B26&lt;&gt;""),TEXT($D26,"yyyymmdd")&amp;"|"&amp;COUNTIFS($D$2:$D26,$D26,$B$2:$B26,"&lt;&gt;"),"")</f>
        <v/>
      </c>
      <c r="G26" s="22" t="str">
        <f t="shared" si="0"/>
        <v/>
      </c>
      <c r="H26" s="22">
        <f t="shared" ca="1" si="1"/>
        <v>999999999</v>
      </c>
    </row>
    <row r="27" spans="1:8">
      <c r="A27" s="20"/>
      <c r="B27" s="20"/>
      <c r="D27" s="27"/>
      <c r="E27" s="14"/>
      <c r="F27" s="22" t="str">
        <f>IF(AND($D27&lt;&gt;"",$B27&lt;&gt;""),TEXT($D27,"yyyymmdd")&amp;"|"&amp;COUNTIFS($D$2:$D27,$D27,$B$2:$B27,"&lt;&gt;"),"")</f>
        <v/>
      </c>
      <c r="G27" s="22" t="str">
        <f t="shared" si="0"/>
        <v/>
      </c>
      <c r="H27" s="22">
        <f t="shared" ca="1" si="1"/>
        <v>999999999</v>
      </c>
    </row>
    <row r="28" spans="1:8">
      <c r="A28" s="20"/>
      <c r="B28" s="20"/>
      <c r="D28" s="27"/>
      <c r="E28" s="14"/>
      <c r="F28" s="22" t="str">
        <f>IF(AND($D28&lt;&gt;"",$B28&lt;&gt;""),TEXT($D28,"yyyymmdd")&amp;"|"&amp;COUNTIFS($D$2:$D28,$D28,$B$2:$B28,"&lt;&gt;"),"")</f>
        <v/>
      </c>
      <c r="G28" s="22" t="str">
        <f t="shared" si="0"/>
        <v/>
      </c>
      <c r="H28" s="22">
        <f t="shared" ca="1" si="1"/>
        <v>999999999</v>
      </c>
    </row>
    <row r="29" spans="1:8">
      <c r="A29" s="20"/>
      <c r="B29" s="20"/>
      <c r="D29" s="27"/>
      <c r="E29" s="14"/>
      <c r="F29" s="22" t="str">
        <f>IF(AND($D29&lt;&gt;"",$B29&lt;&gt;""),TEXT($D29,"yyyymmdd")&amp;"|"&amp;COUNTIFS($D$2:$D29,$D29,$B$2:$B29,"&lt;&gt;"),"")</f>
        <v/>
      </c>
      <c r="G29" s="22" t="str">
        <f t="shared" si="0"/>
        <v/>
      </c>
      <c r="H29" s="22">
        <f t="shared" ca="1" si="1"/>
        <v>999999999</v>
      </c>
    </row>
    <row r="30" spans="1:8">
      <c r="A30" s="20"/>
      <c r="B30" s="20"/>
      <c r="D30" s="27"/>
      <c r="E30" s="14"/>
      <c r="F30" s="22" t="str">
        <f>IF(AND($D30&lt;&gt;"",$B30&lt;&gt;""),TEXT($D30,"yyyymmdd")&amp;"|"&amp;COUNTIFS($D$2:$D30,$D30,$B$2:$B30,"&lt;&gt;"),"")</f>
        <v/>
      </c>
      <c r="G30" s="22" t="str">
        <f t="shared" si="0"/>
        <v/>
      </c>
      <c r="H30" s="22">
        <f t="shared" ca="1" si="1"/>
        <v>999999999</v>
      </c>
    </row>
    <row r="31" spans="1:8">
      <c r="A31" s="20"/>
      <c r="B31" s="20"/>
      <c r="D31" s="27"/>
      <c r="E31" s="14"/>
      <c r="F31" s="22" t="str">
        <f>IF(AND($D31&lt;&gt;"",$B31&lt;&gt;""),TEXT($D31,"yyyymmdd")&amp;"|"&amp;COUNTIFS($D$2:$D31,$D31,$B$2:$B31,"&lt;&gt;"),"")</f>
        <v/>
      </c>
      <c r="G31" s="22" t="str">
        <f t="shared" si="0"/>
        <v/>
      </c>
      <c r="H31" s="22">
        <f t="shared" ca="1" si="1"/>
        <v>999999999</v>
      </c>
    </row>
    <row r="32" spans="1:8">
      <c r="A32" s="20"/>
      <c r="B32" s="20"/>
      <c r="D32" s="27"/>
      <c r="E32" s="14"/>
      <c r="F32" s="22" t="str">
        <f>IF(AND($D32&lt;&gt;"",$B32&lt;&gt;""),TEXT($D32,"yyyymmdd")&amp;"|"&amp;COUNTIFS($D$2:$D32,$D32,$B$2:$B32,"&lt;&gt;"),"")</f>
        <v/>
      </c>
      <c r="G32" s="22" t="str">
        <f t="shared" si="0"/>
        <v/>
      </c>
      <c r="H32" s="22">
        <f t="shared" ca="1" si="1"/>
        <v>999999999</v>
      </c>
    </row>
    <row r="33" spans="1:8">
      <c r="A33" s="20"/>
      <c r="B33" s="20"/>
      <c r="D33" s="27"/>
      <c r="E33" s="14"/>
      <c r="F33" s="22" t="str">
        <f>IF(AND($D33&lt;&gt;"",$B33&lt;&gt;""),TEXT($D33,"yyyymmdd")&amp;"|"&amp;COUNTIFS($D$2:$D33,$D33,$B$2:$B33,"&lt;&gt;"),"")</f>
        <v/>
      </c>
      <c r="G33" s="22" t="str">
        <f t="shared" si="0"/>
        <v/>
      </c>
      <c r="H33" s="22">
        <f t="shared" ca="1" si="1"/>
        <v>999999999</v>
      </c>
    </row>
    <row r="34" spans="1:8">
      <c r="A34" s="20"/>
      <c r="B34" s="20"/>
      <c r="D34" s="27"/>
      <c r="E34" s="14"/>
      <c r="F34" s="22" t="str">
        <f>IF(AND($D34&lt;&gt;"",$B34&lt;&gt;""),TEXT($D34,"yyyymmdd")&amp;"|"&amp;COUNTIFS($D$2:$D34,$D34,$B$2:$B34,"&lt;&gt;"),"")</f>
        <v/>
      </c>
      <c r="G34" s="22" t="str">
        <f t="shared" ref="G34:G65" si="2">IF($B34="","",$B34)</f>
        <v/>
      </c>
      <c r="H34" s="22">
        <f t="shared" ref="H34:H65" ca="1" si="3">IF(AND($D34&gt;=TODAY(),$B34&lt;&gt;"",$C34&lt;&gt;"Completed",$C34&lt;&gt;"Cancelled"),$D34,999999999)</f>
        <v>999999999</v>
      </c>
    </row>
    <row r="35" spans="1:8">
      <c r="A35" s="20"/>
      <c r="B35" s="20"/>
      <c r="D35" s="27"/>
      <c r="E35" s="14"/>
      <c r="F35" s="22" t="str">
        <f>IF(AND($D35&lt;&gt;"",$B35&lt;&gt;""),TEXT($D35,"yyyymmdd")&amp;"|"&amp;COUNTIFS($D$2:$D35,$D35,$B$2:$B35,"&lt;&gt;"),"")</f>
        <v/>
      </c>
      <c r="G35" s="22" t="str">
        <f t="shared" si="2"/>
        <v/>
      </c>
      <c r="H35" s="22">
        <f t="shared" ca="1" si="3"/>
        <v>999999999</v>
      </c>
    </row>
    <row r="36" spans="1:8">
      <c r="A36" s="20"/>
      <c r="B36" s="20"/>
      <c r="D36" s="27"/>
      <c r="E36" s="14"/>
      <c r="F36" s="22" t="str">
        <f>IF(AND($D36&lt;&gt;"",$B36&lt;&gt;""),TEXT($D36,"yyyymmdd")&amp;"|"&amp;COUNTIFS($D$2:$D36,$D36,$B$2:$B36,"&lt;&gt;"),"")</f>
        <v/>
      </c>
      <c r="G36" s="22" t="str">
        <f t="shared" si="2"/>
        <v/>
      </c>
      <c r="H36" s="22">
        <f t="shared" ca="1" si="3"/>
        <v>999999999</v>
      </c>
    </row>
    <row r="37" spans="1:8">
      <c r="A37" s="20"/>
      <c r="B37" s="20"/>
      <c r="D37" s="27"/>
      <c r="E37" s="14"/>
      <c r="F37" s="22" t="str">
        <f>IF(AND($D37&lt;&gt;"",$B37&lt;&gt;""),TEXT($D37,"yyyymmdd")&amp;"|"&amp;COUNTIFS($D$2:$D37,$D37,$B$2:$B37,"&lt;&gt;"),"")</f>
        <v/>
      </c>
      <c r="G37" s="22" t="str">
        <f t="shared" si="2"/>
        <v/>
      </c>
      <c r="H37" s="22">
        <f t="shared" ca="1" si="3"/>
        <v>999999999</v>
      </c>
    </row>
    <row r="38" spans="1:8">
      <c r="A38" s="20"/>
      <c r="B38" s="20"/>
      <c r="D38" s="27"/>
      <c r="E38" s="14"/>
      <c r="F38" s="22" t="str">
        <f>IF(AND($D38&lt;&gt;"",$B38&lt;&gt;""),TEXT($D38,"yyyymmdd")&amp;"|"&amp;COUNTIFS($D$2:$D38,$D38,$B$2:$B38,"&lt;&gt;"),"")</f>
        <v/>
      </c>
      <c r="G38" s="22" t="str">
        <f t="shared" si="2"/>
        <v/>
      </c>
      <c r="H38" s="22">
        <f t="shared" ca="1" si="3"/>
        <v>999999999</v>
      </c>
    </row>
    <row r="39" spans="1:8">
      <c r="A39" s="20"/>
      <c r="B39" s="20"/>
      <c r="D39" s="27"/>
      <c r="E39" s="14"/>
      <c r="F39" s="22" t="str">
        <f>IF(AND($D39&lt;&gt;"",$B39&lt;&gt;""),TEXT($D39,"yyyymmdd")&amp;"|"&amp;COUNTIFS($D$2:$D39,$D39,$B$2:$B39,"&lt;&gt;"),"")</f>
        <v/>
      </c>
      <c r="G39" s="22" t="str">
        <f t="shared" si="2"/>
        <v/>
      </c>
      <c r="H39" s="22">
        <f t="shared" ca="1" si="3"/>
        <v>999999999</v>
      </c>
    </row>
    <row r="40" spans="1:8">
      <c r="A40" s="20"/>
      <c r="B40" s="20"/>
      <c r="D40" s="27"/>
      <c r="E40" s="14"/>
      <c r="F40" s="22" t="str">
        <f>IF(AND($D40&lt;&gt;"",$B40&lt;&gt;""),TEXT($D40,"yyyymmdd")&amp;"|"&amp;COUNTIFS($D$2:$D40,$D40,$B$2:$B40,"&lt;&gt;"),"")</f>
        <v/>
      </c>
      <c r="G40" s="22" t="str">
        <f t="shared" si="2"/>
        <v/>
      </c>
      <c r="H40" s="22">
        <f t="shared" ca="1" si="3"/>
        <v>999999999</v>
      </c>
    </row>
    <row r="41" spans="1:8">
      <c r="A41" s="20"/>
      <c r="B41" s="20"/>
      <c r="D41" s="27"/>
      <c r="E41" s="14"/>
      <c r="F41" s="22" t="str">
        <f>IF(AND($D41&lt;&gt;"",$B41&lt;&gt;""),TEXT($D41,"yyyymmdd")&amp;"|"&amp;COUNTIFS($D$2:$D41,$D41,$B$2:$B41,"&lt;&gt;"),"")</f>
        <v/>
      </c>
      <c r="G41" s="22" t="str">
        <f t="shared" si="2"/>
        <v/>
      </c>
      <c r="H41" s="22">
        <f t="shared" ca="1" si="3"/>
        <v>999999999</v>
      </c>
    </row>
    <row r="42" spans="1:8">
      <c r="A42" s="20"/>
      <c r="B42" s="20"/>
      <c r="D42" s="27"/>
      <c r="E42" s="14"/>
      <c r="F42" s="22" t="str">
        <f>IF(AND($D42&lt;&gt;"",$B42&lt;&gt;""),TEXT($D42,"yyyymmdd")&amp;"|"&amp;COUNTIFS($D$2:$D42,$D42,$B$2:$B42,"&lt;&gt;"),"")</f>
        <v/>
      </c>
      <c r="G42" s="22" t="str">
        <f t="shared" si="2"/>
        <v/>
      </c>
      <c r="H42" s="22">
        <f t="shared" ca="1" si="3"/>
        <v>999999999</v>
      </c>
    </row>
    <row r="43" spans="1:8">
      <c r="A43" s="20"/>
      <c r="B43" s="20"/>
      <c r="D43" s="27"/>
      <c r="E43" s="14"/>
      <c r="F43" s="22" t="str">
        <f>IF(AND($D43&lt;&gt;"",$B43&lt;&gt;""),TEXT($D43,"yyyymmdd")&amp;"|"&amp;COUNTIFS($D$2:$D43,$D43,$B$2:$B43,"&lt;&gt;"),"")</f>
        <v/>
      </c>
      <c r="G43" s="22" t="str">
        <f t="shared" si="2"/>
        <v/>
      </c>
      <c r="H43" s="22">
        <f t="shared" ca="1" si="3"/>
        <v>999999999</v>
      </c>
    </row>
    <row r="44" spans="1:8">
      <c r="A44" s="20"/>
      <c r="B44" s="20"/>
      <c r="D44" s="27"/>
      <c r="E44" s="14"/>
      <c r="F44" s="22" t="str">
        <f>IF(AND($D44&lt;&gt;"",$B44&lt;&gt;""),TEXT($D44,"yyyymmdd")&amp;"|"&amp;COUNTIFS($D$2:$D44,$D44,$B$2:$B44,"&lt;&gt;"),"")</f>
        <v/>
      </c>
      <c r="G44" s="22" t="str">
        <f t="shared" si="2"/>
        <v/>
      </c>
      <c r="H44" s="22">
        <f t="shared" ca="1" si="3"/>
        <v>999999999</v>
      </c>
    </row>
    <row r="45" spans="1:8">
      <c r="A45" s="20"/>
      <c r="B45" s="20"/>
      <c r="D45" s="27"/>
      <c r="E45" s="14"/>
      <c r="F45" s="22" t="str">
        <f>IF(AND($D45&lt;&gt;"",$B45&lt;&gt;""),TEXT($D45,"yyyymmdd")&amp;"|"&amp;COUNTIFS($D$2:$D45,$D45,$B$2:$B45,"&lt;&gt;"),"")</f>
        <v/>
      </c>
      <c r="G45" s="22" t="str">
        <f t="shared" si="2"/>
        <v/>
      </c>
      <c r="H45" s="22">
        <f t="shared" ca="1" si="3"/>
        <v>999999999</v>
      </c>
    </row>
    <row r="46" spans="1:8">
      <c r="A46" s="20"/>
      <c r="B46" s="20"/>
      <c r="D46" s="27"/>
      <c r="E46" s="14"/>
      <c r="F46" s="22" t="str">
        <f>IF(AND($D46&lt;&gt;"",$B46&lt;&gt;""),TEXT($D46,"yyyymmdd")&amp;"|"&amp;COUNTIFS($D$2:$D46,$D46,$B$2:$B46,"&lt;&gt;"),"")</f>
        <v/>
      </c>
      <c r="G46" s="22" t="str">
        <f t="shared" si="2"/>
        <v/>
      </c>
      <c r="H46" s="22">
        <f t="shared" ca="1" si="3"/>
        <v>999999999</v>
      </c>
    </row>
    <row r="47" spans="1:8">
      <c r="A47" s="20"/>
      <c r="B47" s="20"/>
      <c r="D47" s="27"/>
      <c r="E47" s="14"/>
      <c r="F47" s="22" t="str">
        <f>IF(AND($D47&lt;&gt;"",$B47&lt;&gt;""),TEXT($D47,"yyyymmdd")&amp;"|"&amp;COUNTIFS($D$2:$D47,$D47,$B$2:$B47,"&lt;&gt;"),"")</f>
        <v/>
      </c>
      <c r="G47" s="22" t="str">
        <f t="shared" si="2"/>
        <v/>
      </c>
      <c r="H47" s="22">
        <f t="shared" ca="1" si="3"/>
        <v>999999999</v>
      </c>
    </row>
    <row r="48" spans="1:8">
      <c r="A48" s="20"/>
      <c r="B48" s="20"/>
      <c r="D48" s="27"/>
      <c r="E48" s="14"/>
      <c r="F48" s="22" t="str">
        <f>IF(AND($D48&lt;&gt;"",$B48&lt;&gt;""),TEXT($D48,"yyyymmdd")&amp;"|"&amp;COUNTIFS($D$2:$D48,$D48,$B$2:$B48,"&lt;&gt;"),"")</f>
        <v/>
      </c>
      <c r="G48" s="22" t="str">
        <f t="shared" si="2"/>
        <v/>
      </c>
      <c r="H48" s="22">
        <f t="shared" ca="1" si="3"/>
        <v>999999999</v>
      </c>
    </row>
    <row r="49" spans="1:8">
      <c r="A49" s="20"/>
      <c r="B49" s="20"/>
      <c r="D49" s="27"/>
      <c r="E49" s="14"/>
      <c r="F49" s="22" t="str">
        <f>IF(AND($D49&lt;&gt;"",$B49&lt;&gt;""),TEXT($D49,"yyyymmdd")&amp;"|"&amp;COUNTIFS($D$2:$D49,$D49,$B$2:$B49,"&lt;&gt;"),"")</f>
        <v/>
      </c>
      <c r="G49" s="22" t="str">
        <f t="shared" si="2"/>
        <v/>
      </c>
      <c r="H49" s="22">
        <f t="shared" ca="1" si="3"/>
        <v>999999999</v>
      </c>
    </row>
    <row r="50" spans="1:8">
      <c r="A50" s="20"/>
      <c r="B50" s="20"/>
      <c r="D50" s="27"/>
      <c r="E50" s="14"/>
      <c r="F50" s="22" t="str">
        <f>IF(AND($D50&lt;&gt;"",$B50&lt;&gt;""),TEXT($D50,"yyyymmdd")&amp;"|"&amp;COUNTIFS($D$2:$D50,$D50,$B$2:$B50,"&lt;&gt;"),"")</f>
        <v/>
      </c>
      <c r="G50" s="22" t="str">
        <f t="shared" si="2"/>
        <v/>
      </c>
      <c r="H50" s="22">
        <f t="shared" ca="1" si="3"/>
        <v>999999999</v>
      </c>
    </row>
    <row r="51" spans="1:8">
      <c r="A51" s="20"/>
      <c r="B51" s="20"/>
      <c r="D51" s="27"/>
      <c r="E51" s="14"/>
      <c r="F51" s="22" t="str">
        <f>IF(AND($D51&lt;&gt;"",$B51&lt;&gt;""),TEXT($D51,"yyyymmdd")&amp;"|"&amp;COUNTIFS($D$2:$D51,$D51,$B$2:$B51,"&lt;&gt;"),"")</f>
        <v/>
      </c>
      <c r="G51" s="22" t="str">
        <f t="shared" si="2"/>
        <v/>
      </c>
      <c r="H51" s="22">
        <f t="shared" ca="1" si="3"/>
        <v>999999999</v>
      </c>
    </row>
    <row r="52" spans="1:8">
      <c r="A52" s="20"/>
      <c r="B52" s="20"/>
      <c r="D52" s="27"/>
      <c r="E52" s="14"/>
      <c r="F52" s="22" t="str">
        <f>IF(AND($D52&lt;&gt;"",$B52&lt;&gt;""),TEXT($D52,"yyyymmdd")&amp;"|"&amp;COUNTIFS($D$2:$D52,$D52,$B$2:$B52,"&lt;&gt;"),"")</f>
        <v/>
      </c>
      <c r="G52" s="22" t="str">
        <f t="shared" si="2"/>
        <v/>
      </c>
      <c r="H52" s="22">
        <f t="shared" ca="1" si="3"/>
        <v>999999999</v>
      </c>
    </row>
    <row r="53" spans="1:8">
      <c r="A53" s="20"/>
      <c r="B53" s="20"/>
      <c r="D53" s="27"/>
      <c r="E53" s="14"/>
      <c r="F53" s="22" t="str">
        <f>IF(AND($D53&lt;&gt;"",$B53&lt;&gt;""),TEXT($D53,"yyyymmdd")&amp;"|"&amp;COUNTIFS($D$2:$D53,$D53,$B$2:$B53,"&lt;&gt;"),"")</f>
        <v/>
      </c>
      <c r="G53" s="22" t="str">
        <f t="shared" si="2"/>
        <v/>
      </c>
      <c r="H53" s="22">
        <f t="shared" ca="1" si="3"/>
        <v>999999999</v>
      </c>
    </row>
    <row r="54" spans="1:8">
      <c r="A54" s="20"/>
      <c r="B54" s="20"/>
      <c r="D54" s="27"/>
      <c r="E54" s="14"/>
      <c r="F54" s="22" t="str">
        <f>IF(AND($D54&lt;&gt;"",$B54&lt;&gt;""),TEXT($D54,"yyyymmdd")&amp;"|"&amp;COUNTIFS($D$2:$D54,$D54,$B$2:$B54,"&lt;&gt;"),"")</f>
        <v/>
      </c>
      <c r="G54" s="22" t="str">
        <f t="shared" si="2"/>
        <v/>
      </c>
      <c r="H54" s="22">
        <f t="shared" ca="1" si="3"/>
        <v>999999999</v>
      </c>
    </row>
    <row r="55" spans="1:8">
      <c r="A55" s="20"/>
      <c r="B55" s="20"/>
      <c r="D55" s="27"/>
      <c r="E55" s="14"/>
      <c r="F55" s="22" t="str">
        <f>IF(AND($D55&lt;&gt;"",$B55&lt;&gt;""),TEXT($D55,"yyyymmdd")&amp;"|"&amp;COUNTIFS($D$2:$D55,$D55,$B$2:$B55,"&lt;&gt;"),"")</f>
        <v/>
      </c>
      <c r="G55" s="22" t="str">
        <f t="shared" si="2"/>
        <v/>
      </c>
      <c r="H55" s="22">
        <f t="shared" ca="1" si="3"/>
        <v>999999999</v>
      </c>
    </row>
    <row r="56" spans="1:8">
      <c r="A56" s="20"/>
      <c r="B56" s="20"/>
      <c r="D56" s="27"/>
      <c r="E56" s="14"/>
      <c r="F56" s="22" t="str">
        <f>IF(AND($D56&lt;&gt;"",$B56&lt;&gt;""),TEXT($D56,"yyyymmdd")&amp;"|"&amp;COUNTIFS($D$2:$D56,$D56,$B$2:$B56,"&lt;&gt;"),"")</f>
        <v/>
      </c>
      <c r="G56" s="22" t="str">
        <f t="shared" si="2"/>
        <v/>
      </c>
      <c r="H56" s="22">
        <f t="shared" ca="1" si="3"/>
        <v>999999999</v>
      </c>
    </row>
    <row r="57" spans="1:8">
      <c r="A57" s="20"/>
      <c r="B57" s="20"/>
      <c r="D57" s="27"/>
      <c r="E57" s="14"/>
      <c r="F57" s="22" t="str">
        <f>IF(AND($D57&lt;&gt;"",$B57&lt;&gt;""),TEXT($D57,"yyyymmdd")&amp;"|"&amp;COUNTIFS($D$2:$D57,$D57,$B$2:$B57,"&lt;&gt;"),"")</f>
        <v/>
      </c>
      <c r="G57" s="22" t="str">
        <f t="shared" si="2"/>
        <v/>
      </c>
      <c r="H57" s="22">
        <f t="shared" ca="1" si="3"/>
        <v>999999999</v>
      </c>
    </row>
    <row r="58" spans="1:8">
      <c r="A58" s="20"/>
      <c r="B58" s="20"/>
      <c r="D58" s="27"/>
      <c r="E58" s="14"/>
      <c r="F58" s="22" t="str">
        <f>IF(AND($D58&lt;&gt;"",$B58&lt;&gt;""),TEXT($D58,"yyyymmdd")&amp;"|"&amp;COUNTIFS($D$2:$D58,$D58,$B$2:$B58,"&lt;&gt;"),"")</f>
        <v/>
      </c>
      <c r="G58" s="22" t="str">
        <f t="shared" si="2"/>
        <v/>
      </c>
      <c r="H58" s="22">
        <f t="shared" ca="1" si="3"/>
        <v>999999999</v>
      </c>
    </row>
    <row r="59" spans="1:8">
      <c r="A59" s="20"/>
      <c r="B59" s="20"/>
      <c r="D59" s="27"/>
      <c r="E59" s="14"/>
      <c r="F59" s="22" t="str">
        <f>IF(AND($D59&lt;&gt;"",$B59&lt;&gt;""),TEXT($D59,"yyyymmdd")&amp;"|"&amp;COUNTIFS($D$2:$D59,$D59,$B$2:$B59,"&lt;&gt;"),"")</f>
        <v/>
      </c>
      <c r="G59" s="22" t="str">
        <f t="shared" si="2"/>
        <v/>
      </c>
      <c r="H59" s="22">
        <f t="shared" ca="1" si="3"/>
        <v>999999999</v>
      </c>
    </row>
    <row r="60" spans="1:8">
      <c r="A60" s="20"/>
      <c r="B60" s="20"/>
      <c r="D60" s="27"/>
      <c r="E60" s="14"/>
      <c r="F60" s="22" t="str">
        <f>IF(AND($D60&lt;&gt;"",$B60&lt;&gt;""),TEXT($D60,"yyyymmdd")&amp;"|"&amp;COUNTIFS($D$2:$D60,$D60,$B$2:$B60,"&lt;&gt;"),"")</f>
        <v/>
      </c>
      <c r="G60" s="22" t="str">
        <f t="shared" si="2"/>
        <v/>
      </c>
      <c r="H60" s="22">
        <f t="shared" ca="1" si="3"/>
        <v>999999999</v>
      </c>
    </row>
    <row r="61" spans="1:8">
      <c r="A61" s="20"/>
      <c r="B61" s="20"/>
      <c r="D61" s="27"/>
      <c r="E61" s="14"/>
      <c r="F61" s="22" t="str">
        <f>IF(AND($D61&lt;&gt;"",$B61&lt;&gt;""),TEXT($D61,"yyyymmdd")&amp;"|"&amp;COUNTIFS($D$2:$D61,$D61,$B$2:$B61,"&lt;&gt;"),"")</f>
        <v/>
      </c>
      <c r="G61" s="22" t="str">
        <f t="shared" si="2"/>
        <v/>
      </c>
      <c r="H61" s="22">
        <f t="shared" ca="1" si="3"/>
        <v>999999999</v>
      </c>
    </row>
    <row r="62" spans="1:8">
      <c r="A62" s="20"/>
      <c r="B62" s="20"/>
      <c r="D62" s="27"/>
      <c r="E62" s="14"/>
      <c r="F62" s="22" t="str">
        <f>IF(AND($D62&lt;&gt;"",$B62&lt;&gt;""),TEXT($D62,"yyyymmdd")&amp;"|"&amp;COUNTIFS($D$2:$D62,$D62,$B$2:$B62,"&lt;&gt;"),"")</f>
        <v/>
      </c>
      <c r="G62" s="22" t="str">
        <f t="shared" si="2"/>
        <v/>
      </c>
      <c r="H62" s="22">
        <f t="shared" ca="1" si="3"/>
        <v>999999999</v>
      </c>
    </row>
    <row r="63" spans="1:8">
      <c r="A63" s="20"/>
      <c r="B63" s="20"/>
      <c r="D63" s="27"/>
      <c r="E63" s="14"/>
      <c r="F63" s="22" t="str">
        <f>IF(AND($D63&lt;&gt;"",$B63&lt;&gt;""),TEXT($D63,"yyyymmdd")&amp;"|"&amp;COUNTIFS($D$2:$D63,$D63,$B$2:$B63,"&lt;&gt;"),"")</f>
        <v/>
      </c>
      <c r="G63" s="22" t="str">
        <f t="shared" si="2"/>
        <v/>
      </c>
      <c r="H63" s="22">
        <f t="shared" ca="1" si="3"/>
        <v>999999999</v>
      </c>
    </row>
    <row r="64" spans="1:8">
      <c r="A64" s="20"/>
      <c r="B64" s="20"/>
      <c r="D64" s="27"/>
      <c r="E64" s="14"/>
      <c r="F64" s="22" t="str">
        <f>IF(AND($D64&lt;&gt;"",$B64&lt;&gt;""),TEXT($D64,"yyyymmdd")&amp;"|"&amp;COUNTIFS($D$2:$D64,$D64,$B$2:$B64,"&lt;&gt;"),"")</f>
        <v/>
      </c>
      <c r="G64" s="22" t="str">
        <f t="shared" si="2"/>
        <v/>
      </c>
      <c r="H64" s="22">
        <f t="shared" ca="1" si="3"/>
        <v>999999999</v>
      </c>
    </row>
    <row r="65" spans="1:8">
      <c r="A65" s="20"/>
      <c r="B65" s="20"/>
      <c r="D65" s="27"/>
      <c r="E65" s="14"/>
      <c r="F65" s="22" t="str">
        <f>IF(AND($D65&lt;&gt;"",$B65&lt;&gt;""),TEXT($D65,"yyyymmdd")&amp;"|"&amp;COUNTIFS($D$2:$D65,$D65,$B$2:$B65,"&lt;&gt;"),"")</f>
        <v/>
      </c>
      <c r="G65" s="22" t="str">
        <f t="shared" si="2"/>
        <v/>
      </c>
      <c r="H65" s="22">
        <f t="shared" ca="1" si="3"/>
        <v>999999999</v>
      </c>
    </row>
    <row r="66" spans="1:8">
      <c r="A66" s="20"/>
      <c r="B66" s="20"/>
      <c r="D66" s="27"/>
      <c r="E66" s="14"/>
      <c r="F66" s="22" t="str">
        <f>IF(AND($D66&lt;&gt;"",$B66&lt;&gt;""),TEXT($D66,"yyyymmdd")&amp;"|"&amp;COUNTIFS($D$2:$D66,$D66,$B$2:$B66,"&lt;&gt;"),"")</f>
        <v/>
      </c>
      <c r="G66" s="22" t="str">
        <f t="shared" ref="G66:G97" si="4">IF($B66="","",$B66)</f>
        <v/>
      </c>
      <c r="H66" s="22">
        <f t="shared" ref="H66:H97" ca="1" si="5">IF(AND($D66&gt;=TODAY(),$B66&lt;&gt;"",$C66&lt;&gt;"Completed",$C66&lt;&gt;"Cancelled"),$D66,999999999)</f>
        <v>999999999</v>
      </c>
    </row>
    <row r="67" spans="1:8">
      <c r="A67" s="20"/>
      <c r="B67" s="20"/>
      <c r="D67" s="27"/>
      <c r="E67" s="14"/>
      <c r="F67" s="22" t="str">
        <f>IF(AND($D67&lt;&gt;"",$B67&lt;&gt;""),TEXT($D67,"yyyymmdd")&amp;"|"&amp;COUNTIFS($D$2:$D67,$D67,$B$2:$B67,"&lt;&gt;"),"")</f>
        <v/>
      </c>
      <c r="G67" s="22" t="str">
        <f t="shared" si="4"/>
        <v/>
      </c>
      <c r="H67" s="22">
        <f t="shared" ca="1" si="5"/>
        <v>999999999</v>
      </c>
    </row>
    <row r="68" spans="1:8">
      <c r="A68" s="20"/>
      <c r="B68" s="20"/>
      <c r="D68" s="27"/>
      <c r="E68" s="14"/>
      <c r="F68" s="22" t="str">
        <f>IF(AND($D68&lt;&gt;"",$B68&lt;&gt;""),TEXT($D68,"yyyymmdd")&amp;"|"&amp;COUNTIFS($D$2:$D68,$D68,$B$2:$B68,"&lt;&gt;"),"")</f>
        <v/>
      </c>
      <c r="G68" s="22" t="str">
        <f t="shared" si="4"/>
        <v/>
      </c>
      <c r="H68" s="22">
        <f t="shared" ca="1" si="5"/>
        <v>999999999</v>
      </c>
    </row>
    <row r="69" spans="1:8">
      <c r="A69" s="20"/>
      <c r="B69" s="20"/>
      <c r="D69" s="27"/>
      <c r="E69" s="14"/>
      <c r="F69" s="22" t="str">
        <f>IF(AND($D69&lt;&gt;"",$B69&lt;&gt;""),TEXT($D69,"yyyymmdd")&amp;"|"&amp;COUNTIFS($D$2:$D69,$D69,$B$2:$B69,"&lt;&gt;"),"")</f>
        <v/>
      </c>
      <c r="G69" s="22" t="str">
        <f t="shared" si="4"/>
        <v/>
      </c>
      <c r="H69" s="22">
        <f t="shared" ca="1" si="5"/>
        <v>999999999</v>
      </c>
    </row>
    <row r="70" spans="1:8">
      <c r="A70" s="20"/>
      <c r="B70" s="20"/>
      <c r="D70" s="27"/>
      <c r="E70" s="14"/>
      <c r="F70" s="22" t="str">
        <f>IF(AND($D70&lt;&gt;"",$B70&lt;&gt;""),TEXT($D70,"yyyymmdd")&amp;"|"&amp;COUNTIFS($D$2:$D70,$D70,$B$2:$B70,"&lt;&gt;"),"")</f>
        <v/>
      </c>
      <c r="G70" s="22" t="str">
        <f t="shared" si="4"/>
        <v/>
      </c>
      <c r="H70" s="22">
        <f t="shared" ca="1" si="5"/>
        <v>999999999</v>
      </c>
    </row>
    <row r="71" spans="1:8">
      <c r="A71" s="20"/>
      <c r="B71" s="20"/>
      <c r="D71" s="27"/>
      <c r="E71" s="14"/>
      <c r="F71" s="22" t="str">
        <f>IF(AND($D71&lt;&gt;"",$B71&lt;&gt;""),TEXT($D71,"yyyymmdd")&amp;"|"&amp;COUNTIFS($D$2:$D71,$D71,$B$2:$B71,"&lt;&gt;"),"")</f>
        <v/>
      </c>
      <c r="G71" s="22" t="str">
        <f t="shared" si="4"/>
        <v/>
      </c>
      <c r="H71" s="22">
        <f t="shared" ca="1" si="5"/>
        <v>999999999</v>
      </c>
    </row>
    <row r="72" spans="1:8">
      <c r="A72" s="20"/>
      <c r="B72" s="20"/>
      <c r="D72" s="27"/>
      <c r="E72" s="14"/>
      <c r="F72" s="22" t="str">
        <f>IF(AND($D72&lt;&gt;"",$B72&lt;&gt;""),TEXT($D72,"yyyymmdd")&amp;"|"&amp;COUNTIFS($D$2:$D72,$D72,$B$2:$B72,"&lt;&gt;"),"")</f>
        <v/>
      </c>
      <c r="G72" s="22" t="str">
        <f t="shared" si="4"/>
        <v/>
      </c>
      <c r="H72" s="22">
        <f t="shared" ca="1" si="5"/>
        <v>999999999</v>
      </c>
    </row>
    <row r="73" spans="1:8">
      <c r="A73" s="20"/>
      <c r="B73" s="20"/>
      <c r="D73" s="27"/>
      <c r="E73" s="14"/>
      <c r="F73" s="22" t="str">
        <f>IF(AND($D73&lt;&gt;"",$B73&lt;&gt;""),TEXT($D73,"yyyymmdd")&amp;"|"&amp;COUNTIFS($D$2:$D73,$D73,$B$2:$B73,"&lt;&gt;"),"")</f>
        <v/>
      </c>
      <c r="G73" s="22" t="str">
        <f t="shared" si="4"/>
        <v/>
      </c>
      <c r="H73" s="22">
        <f t="shared" ca="1" si="5"/>
        <v>999999999</v>
      </c>
    </row>
    <row r="74" spans="1:8">
      <c r="A74" s="20"/>
      <c r="B74" s="20"/>
      <c r="D74" s="27"/>
      <c r="E74" s="14"/>
      <c r="F74" s="22" t="str">
        <f>IF(AND($D74&lt;&gt;"",$B74&lt;&gt;""),TEXT($D74,"yyyymmdd")&amp;"|"&amp;COUNTIFS($D$2:$D74,$D74,$B$2:$B74,"&lt;&gt;"),"")</f>
        <v/>
      </c>
      <c r="G74" s="22" t="str">
        <f t="shared" si="4"/>
        <v/>
      </c>
      <c r="H74" s="22">
        <f t="shared" ca="1" si="5"/>
        <v>999999999</v>
      </c>
    </row>
    <row r="75" spans="1:8">
      <c r="A75" s="20"/>
      <c r="B75" s="20"/>
      <c r="D75" s="27"/>
      <c r="E75" s="14"/>
      <c r="F75" s="22" t="str">
        <f>IF(AND($D75&lt;&gt;"",$B75&lt;&gt;""),TEXT($D75,"yyyymmdd")&amp;"|"&amp;COUNTIFS($D$2:$D75,$D75,$B$2:$B75,"&lt;&gt;"),"")</f>
        <v/>
      </c>
      <c r="G75" s="22" t="str">
        <f t="shared" si="4"/>
        <v/>
      </c>
      <c r="H75" s="22">
        <f t="shared" ca="1" si="5"/>
        <v>999999999</v>
      </c>
    </row>
    <row r="76" spans="1:8">
      <c r="A76" s="20"/>
      <c r="B76" s="20"/>
      <c r="D76" s="27"/>
      <c r="E76" s="14"/>
      <c r="F76" s="22" t="str">
        <f>IF(AND($D76&lt;&gt;"",$B76&lt;&gt;""),TEXT($D76,"yyyymmdd")&amp;"|"&amp;COUNTIFS($D$2:$D76,$D76,$B$2:$B76,"&lt;&gt;"),"")</f>
        <v/>
      </c>
      <c r="G76" s="22" t="str">
        <f t="shared" si="4"/>
        <v/>
      </c>
      <c r="H76" s="22">
        <f t="shared" ca="1" si="5"/>
        <v>999999999</v>
      </c>
    </row>
    <row r="77" spans="1:8">
      <c r="A77" s="20"/>
      <c r="B77" s="20"/>
      <c r="D77" s="27"/>
      <c r="E77" s="14"/>
      <c r="F77" s="22" t="str">
        <f>IF(AND($D77&lt;&gt;"",$B77&lt;&gt;""),TEXT($D77,"yyyymmdd")&amp;"|"&amp;COUNTIFS($D$2:$D77,$D77,$B$2:$B77,"&lt;&gt;"),"")</f>
        <v/>
      </c>
      <c r="G77" s="22" t="str">
        <f t="shared" si="4"/>
        <v/>
      </c>
      <c r="H77" s="22">
        <f t="shared" ca="1" si="5"/>
        <v>999999999</v>
      </c>
    </row>
    <row r="78" spans="1:8">
      <c r="A78" s="20"/>
      <c r="B78" s="20"/>
      <c r="D78" s="27"/>
      <c r="E78" s="14"/>
      <c r="F78" s="22" t="str">
        <f>IF(AND($D78&lt;&gt;"",$B78&lt;&gt;""),TEXT($D78,"yyyymmdd")&amp;"|"&amp;COUNTIFS($D$2:$D78,$D78,$B$2:$B78,"&lt;&gt;"),"")</f>
        <v/>
      </c>
      <c r="G78" s="22" t="str">
        <f t="shared" si="4"/>
        <v/>
      </c>
      <c r="H78" s="22">
        <f t="shared" ca="1" si="5"/>
        <v>999999999</v>
      </c>
    </row>
    <row r="79" spans="1:8">
      <c r="A79" s="20"/>
      <c r="B79" s="20"/>
      <c r="D79" s="27"/>
      <c r="E79" s="14"/>
      <c r="F79" s="22" t="str">
        <f>IF(AND($D79&lt;&gt;"",$B79&lt;&gt;""),TEXT($D79,"yyyymmdd")&amp;"|"&amp;COUNTIFS($D$2:$D79,$D79,$B$2:$B79,"&lt;&gt;"),"")</f>
        <v/>
      </c>
      <c r="G79" s="22" t="str">
        <f t="shared" si="4"/>
        <v/>
      </c>
      <c r="H79" s="22">
        <f t="shared" ca="1" si="5"/>
        <v>999999999</v>
      </c>
    </row>
    <row r="80" spans="1:8">
      <c r="A80" s="20"/>
      <c r="B80" s="20"/>
      <c r="D80" s="27"/>
      <c r="E80" s="14"/>
      <c r="F80" s="22" t="str">
        <f>IF(AND($D80&lt;&gt;"",$B80&lt;&gt;""),TEXT($D80,"yyyymmdd")&amp;"|"&amp;COUNTIFS($D$2:$D80,$D80,$B$2:$B80,"&lt;&gt;"),"")</f>
        <v/>
      </c>
      <c r="G80" s="22" t="str">
        <f t="shared" si="4"/>
        <v/>
      </c>
      <c r="H80" s="22">
        <f t="shared" ca="1" si="5"/>
        <v>999999999</v>
      </c>
    </row>
    <row r="81" spans="1:8">
      <c r="A81" s="20"/>
      <c r="B81" s="20"/>
      <c r="D81" s="27"/>
      <c r="E81" s="14"/>
      <c r="F81" s="22" t="str">
        <f>IF(AND($D81&lt;&gt;"",$B81&lt;&gt;""),TEXT($D81,"yyyymmdd")&amp;"|"&amp;COUNTIFS($D$2:$D81,$D81,$B$2:$B81,"&lt;&gt;"),"")</f>
        <v/>
      </c>
      <c r="G81" s="22" t="str">
        <f t="shared" si="4"/>
        <v/>
      </c>
      <c r="H81" s="22">
        <f t="shared" ca="1" si="5"/>
        <v>999999999</v>
      </c>
    </row>
    <row r="82" spans="1:8">
      <c r="A82" s="20"/>
      <c r="B82" s="20"/>
      <c r="D82" s="27"/>
      <c r="E82" s="14"/>
      <c r="F82" s="22" t="str">
        <f>IF(AND($D82&lt;&gt;"",$B82&lt;&gt;""),TEXT($D82,"yyyymmdd")&amp;"|"&amp;COUNTIFS($D$2:$D82,$D82,$B$2:$B82,"&lt;&gt;"),"")</f>
        <v/>
      </c>
      <c r="G82" s="22" t="str">
        <f t="shared" si="4"/>
        <v/>
      </c>
      <c r="H82" s="22">
        <f t="shared" ca="1" si="5"/>
        <v>999999999</v>
      </c>
    </row>
    <row r="83" spans="1:8">
      <c r="A83" s="20"/>
      <c r="B83" s="20"/>
      <c r="D83" s="27"/>
      <c r="E83" s="14"/>
      <c r="F83" s="22" t="str">
        <f>IF(AND($D83&lt;&gt;"",$B83&lt;&gt;""),TEXT($D83,"yyyymmdd")&amp;"|"&amp;COUNTIFS($D$2:$D83,$D83,$B$2:$B83,"&lt;&gt;"),"")</f>
        <v/>
      </c>
      <c r="G83" s="22" t="str">
        <f t="shared" si="4"/>
        <v/>
      </c>
      <c r="H83" s="22">
        <f t="shared" ca="1" si="5"/>
        <v>999999999</v>
      </c>
    </row>
    <row r="84" spans="1:8">
      <c r="A84" s="20"/>
      <c r="B84" s="20"/>
      <c r="D84" s="27"/>
      <c r="E84" s="14"/>
      <c r="F84" s="22" t="str">
        <f>IF(AND($D84&lt;&gt;"",$B84&lt;&gt;""),TEXT($D84,"yyyymmdd")&amp;"|"&amp;COUNTIFS($D$2:$D84,$D84,$B$2:$B84,"&lt;&gt;"),"")</f>
        <v/>
      </c>
      <c r="G84" s="22" t="str">
        <f t="shared" si="4"/>
        <v/>
      </c>
      <c r="H84" s="22">
        <f t="shared" ca="1" si="5"/>
        <v>999999999</v>
      </c>
    </row>
    <row r="85" spans="1:8">
      <c r="A85" s="20"/>
      <c r="B85" s="20"/>
      <c r="D85" s="27"/>
      <c r="E85" s="14"/>
      <c r="F85" s="22" t="str">
        <f>IF(AND($D85&lt;&gt;"",$B85&lt;&gt;""),TEXT($D85,"yyyymmdd")&amp;"|"&amp;COUNTIFS($D$2:$D85,$D85,$B$2:$B85,"&lt;&gt;"),"")</f>
        <v/>
      </c>
      <c r="G85" s="22" t="str">
        <f t="shared" si="4"/>
        <v/>
      </c>
      <c r="H85" s="22">
        <f t="shared" ca="1" si="5"/>
        <v>999999999</v>
      </c>
    </row>
    <row r="86" spans="1:8">
      <c r="A86" s="20"/>
      <c r="B86" s="20"/>
      <c r="D86" s="27"/>
      <c r="E86" s="14"/>
      <c r="F86" s="22" t="str">
        <f>IF(AND($D86&lt;&gt;"",$B86&lt;&gt;""),TEXT($D86,"yyyymmdd")&amp;"|"&amp;COUNTIFS($D$2:$D86,$D86,$B$2:$B86,"&lt;&gt;"),"")</f>
        <v/>
      </c>
      <c r="G86" s="22" t="str">
        <f t="shared" si="4"/>
        <v/>
      </c>
      <c r="H86" s="22">
        <f t="shared" ca="1" si="5"/>
        <v>999999999</v>
      </c>
    </row>
    <row r="87" spans="1:8">
      <c r="A87" s="20"/>
      <c r="B87" s="20"/>
      <c r="D87" s="27"/>
      <c r="E87" s="14"/>
      <c r="F87" s="22" t="str">
        <f>IF(AND($D87&lt;&gt;"",$B87&lt;&gt;""),TEXT($D87,"yyyymmdd")&amp;"|"&amp;COUNTIFS($D$2:$D87,$D87,$B$2:$B87,"&lt;&gt;"),"")</f>
        <v/>
      </c>
      <c r="G87" s="22" t="str">
        <f t="shared" si="4"/>
        <v/>
      </c>
      <c r="H87" s="22">
        <f t="shared" ca="1" si="5"/>
        <v>999999999</v>
      </c>
    </row>
    <row r="88" spans="1:8">
      <c r="A88" s="20"/>
      <c r="B88" s="20"/>
      <c r="D88" s="27"/>
      <c r="E88" s="14"/>
      <c r="F88" s="22" t="str">
        <f>IF(AND($D88&lt;&gt;"",$B88&lt;&gt;""),TEXT($D88,"yyyymmdd")&amp;"|"&amp;COUNTIFS($D$2:$D88,$D88,$B$2:$B88,"&lt;&gt;"),"")</f>
        <v/>
      </c>
      <c r="G88" s="22" t="str">
        <f t="shared" si="4"/>
        <v/>
      </c>
      <c r="H88" s="22">
        <f t="shared" ca="1" si="5"/>
        <v>999999999</v>
      </c>
    </row>
    <row r="89" spans="1:8">
      <c r="A89" s="20"/>
      <c r="B89" s="20"/>
      <c r="D89" s="27"/>
      <c r="E89" s="14"/>
      <c r="F89" s="22" t="str">
        <f>IF(AND($D89&lt;&gt;"",$B89&lt;&gt;""),TEXT($D89,"yyyymmdd")&amp;"|"&amp;COUNTIFS($D$2:$D89,$D89,$B$2:$B89,"&lt;&gt;"),"")</f>
        <v/>
      </c>
      <c r="G89" s="22" t="str">
        <f t="shared" si="4"/>
        <v/>
      </c>
      <c r="H89" s="22">
        <f t="shared" ca="1" si="5"/>
        <v>999999999</v>
      </c>
    </row>
    <row r="90" spans="1:8">
      <c r="A90" s="20"/>
      <c r="B90" s="20"/>
      <c r="D90" s="27"/>
      <c r="E90" s="14"/>
      <c r="F90" s="22" t="str">
        <f>IF(AND($D90&lt;&gt;"",$B90&lt;&gt;""),TEXT($D90,"yyyymmdd")&amp;"|"&amp;COUNTIFS($D$2:$D90,$D90,$B$2:$B90,"&lt;&gt;"),"")</f>
        <v/>
      </c>
      <c r="G90" s="22" t="str">
        <f t="shared" si="4"/>
        <v/>
      </c>
      <c r="H90" s="22">
        <f t="shared" ca="1" si="5"/>
        <v>999999999</v>
      </c>
    </row>
    <row r="91" spans="1:8">
      <c r="A91" s="20"/>
      <c r="B91" s="20"/>
      <c r="D91" s="27"/>
      <c r="E91" s="14"/>
      <c r="F91" s="22" t="str">
        <f>IF(AND($D91&lt;&gt;"",$B91&lt;&gt;""),TEXT($D91,"yyyymmdd")&amp;"|"&amp;COUNTIFS($D$2:$D91,$D91,$B$2:$B91,"&lt;&gt;"),"")</f>
        <v/>
      </c>
      <c r="G91" s="22" t="str">
        <f t="shared" si="4"/>
        <v/>
      </c>
      <c r="H91" s="22">
        <f t="shared" ca="1" si="5"/>
        <v>999999999</v>
      </c>
    </row>
    <row r="92" spans="1:8">
      <c r="A92" s="20"/>
      <c r="B92" s="20"/>
      <c r="D92" s="27"/>
      <c r="E92" s="14"/>
      <c r="F92" s="22" t="str">
        <f>IF(AND($D92&lt;&gt;"",$B92&lt;&gt;""),TEXT($D92,"yyyymmdd")&amp;"|"&amp;COUNTIFS($D$2:$D92,$D92,$B$2:$B92,"&lt;&gt;"),"")</f>
        <v/>
      </c>
      <c r="G92" s="22" t="str">
        <f t="shared" si="4"/>
        <v/>
      </c>
      <c r="H92" s="22">
        <f t="shared" ca="1" si="5"/>
        <v>999999999</v>
      </c>
    </row>
    <row r="93" spans="1:8">
      <c r="A93" s="20"/>
      <c r="B93" s="20"/>
      <c r="D93" s="27"/>
      <c r="E93" s="14"/>
      <c r="F93" s="22" t="str">
        <f>IF(AND($D93&lt;&gt;"",$B93&lt;&gt;""),TEXT($D93,"yyyymmdd")&amp;"|"&amp;COUNTIFS($D$2:$D93,$D93,$B$2:$B93,"&lt;&gt;"),"")</f>
        <v/>
      </c>
      <c r="G93" s="22" t="str">
        <f t="shared" si="4"/>
        <v/>
      </c>
      <c r="H93" s="22">
        <f t="shared" ca="1" si="5"/>
        <v>999999999</v>
      </c>
    </row>
    <row r="94" spans="1:8">
      <c r="A94" s="20"/>
      <c r="B94" s="20"/>
      <c r="D94" s="27"/>
      <c r="E94" s="14"/>
      <c r="F94" s="22" t="str">
        <f>IF(AND($D94&lt;&gt;"",$B94&lt;&gt;""),TEXT($D94,"yyyymmdd")&amp;"|"&amp;COUNTIFS($D$2:$D94,$D94,$B$2:$B94,"&lt;&gt;"),"")</f>
        <v/>
      </c>
      <c r="G94" s="22" t="str">
        <f t="shared" si="4"/>
        <v/>
      </c>
      <c r="H94" s="22">
        <f t="shared" ca="1" si="5"/>
        <v>999999999</v>
      </c>
    </row>
    <row r="95" spans="1:8">
      <c r="A95" s="20"/>
      <c r="B95" s="20"/>
      <c r="D95" s="27"/>
      <c r="E95" s="14"/>
      <c r="F95" s="22" t="str">
        <f>IF(AND($D95&lt;&gt;"",$B95&lt;&gt;""),TEXT($D95,"yyyymmdd")&amp;"|"&amp;COUNTIFS($D$2:$D95,$D95,$B$2:$B95,"&lt;&gt;"),"")</f>
        <v/>
      </c>
      <c r="G95" s="22" t="str">
        <f t="shared" si="4"/>
        <v/>
      </c>
      <c r="H95" s="22">
        <f t="shared" ca="1" si="5"/>
        <v>999999999</v>
      </c>
    </row>
    <row r="96" spans="1:8">
      <c r="A96" s="20"/>
      <c r="B96" s="20"/>
      <c r="D96" s="27"/>
      <c r="E96" s="14"/>
      <c r="F96" s="22" t="str">
        <f>IF(AND($D96&lt;&gt;"",$B96&lt;&gt;""),TEXT($D96,"yyyymmdd")&amp;"|"&amp;COUNTIFS($D$2:$D96,$D96,$B$2:$B96,"&lt;&gt;"),"")</f>
        <v/>
      </c>
      <c r="G96" s="22" t="str">
        <f t="shared" si="4"/>
        <v/>
      </c>
      <c r="H96" s="22">
        <f t="shared" ca="1" si="5"/>
        <v>999999999</v>
      </c>
    </row>
    <row r="97" spans="1:8">
      <c r="A97" s="20"/>
      <c r="B97" s="20"/>
      <c r="D97" s="27"/>
      <c r="E97" s="14"/>
      <c r="F97" s="22" t="str">
        <f>IF(AND($D97&lt;&gt;"",$B97&lt;&gt;""),TEXT($D97,"yyyymmdd")&amp;"|"&amp;COUNTIFS($D$2:$D97,$D97,$B$2:$B97,"&lt;&gt;"),"")</f>
        <v/>
      </c>
      <c r="G97" s="22" t="str">
        <f t="shared" si="4"/>
        <v/>
      </c>
      <c r="H97" s="22">
        <f t="shared" ca="1" si="5"/>
        <v>999999999</v>
      </c>
    </row>
    <row r="98" spans="1:8">
      <c r="A98" s="20"/>
      <c r="B98" s="20"/>
      <c r="D98" s="27"/>
      <c r="E98" s="14"/>
      <c r="F98" s="22" t="str">
        <f>IF(AND($D98&lt;&gt;"",$B98&lt;&gt;""),TEXT($D98,"yyyymmdd")&amp;"|"&amp;COUNTIFS($D$2:$D98,$D98,$B$2:$B98,"&lt;&gt;"),"")</f>
        <v/>
      </c>
      <c r="G98" s="22" t="str">
        <f t="shared" ref="G98:G129" si="6">IF($B98="","",$B98)</f>
        <v/>
      </c>
      <c r="H98" s="22">
        <f t="shared" ref="H98:H129" ca="1" si="7">IF(AND($D98&gt;=TODAY(),$B98&lt;&gt;"",$C98&lt;&gt;"Completed",$C98&lt;&gt;"Cancelled"),$D98,999999999)</f>
        <v>999999999</v>
      </c>
    </row>
    <row r="99" spans="1:8">
      <c r="A99" s="20"/>
      <c r="B99" s="20"/>
      <c r="D99" s="27"/>
      <c r="E99" s="14"/>
      <c r="F99" s="22" t="str">
        <f>IF(AND($D99&lt;&gt;"",$B99&lt;&gt;""),TEXT($D99,"yyyymmdd")&amp;"|"&amp;COUNTIFS($D$2:$D99,$D99,$B$2:$B99,"&lt;&gt;"),"")</f>
        <v/>
      </c>
      <c r="G99" s="22" t="str">
        <f t="shared" si="6"/>
        <v/>
      </c>
      <c r="H99" s="22">
        <f t="shared" ca="1" si="7"/>
        <v>999999999</v>
      </c>
    </row>
    <row r="100" spans="1:8">
      <c r="A100" s="20"/>
      <c r="B100" s="20"/>
      <c r="D100" s="27"/>
      <c r="E100" s="14"/>
      <c r="F100" s="22" t="str">
        <f>IF(AND($D100&lt;&gt;"",$B100&lt;&gt;""),TEXT($D100,"yyyymmdd")&amp;"|"&amp;COUNTIFS($D$2:$D100,$D100,$B$2:$B100,"&lt;&gt;"),"")</f>
        <v/>
      </c>
      <c r="G100" s="22" t="str">
        <f t="shared" si="6"/>
        <v/>
      </c>
      <c r="H100" s="22">
        <f t="shared" ca="1" si="7"/>
        <v>999999999</v>
      </c>
    </row>
    <row r="101" spans="1:8">
      <c r="A101" s="20"/>
      <c r="B101" s="20"/>
      <c r="D101" s="27"/>
      <c r="E101" s="14"/>
      <c r="F101" s="22" t="str">
        <f>IF(AND($D101&lt;&gt;"",$B101&lt;&gt;""),TEXT($D101,"yyyymmdd")&amp;"|"&amp;COUNTIFS($D$2:$D101,$D101,$B$2:$B101,"&lt;&gt;"),"")</f>
        <v/>
      </c>
      <c r="G101" s="22" t="str">
        <f t="shared" si="6"/>
        <v/>
      </c>
      <c r="H101" s="22">
        <f t="shared" ca="1" si="7"/>
        <v>999999999</v>
      </c>
    </row>
    <row r="102" spans="1:8">
      <c r="A102" s="20"/>
      <c r="B102" s="20"/>
      <c r="D102" s="27"/>
      <c r="E102" s="14"/>
      <c r="F102" s="22" t="str">
        <f>IF(AND($D102&lt;&gt;"",$B102&lt;&gt;""),TEXT($D102,"yyyymmdd")&amp;"|"&amp;COUNTIFS($D$2:$D102,$D102,$B$2:$B102,"&lt;&gt;"),"")</f>
        <v/>
      </c>
      <c r="G102" s="22" t="str">
        <f t="shared" si="6"/>
        <v/>
      </c>
      <c r="H102" s="22">
        <f t="shared" ca="1" si="7"/>
        <v>999999999</v>
      </c>
    </row>
    <row r="103" spans="1:8">
      <c r="A103" s="20"/>
      <c r="B103" s="20"/>
      <c r="D103" s="27"/>
      <c r="E103" s="14"/>
      <c r="F103" s="22" t="str">
        <f>IF(AND($D103&lt;&gt;"",$B103&lt;&gt;""),TEXT($D103,"yyyymmdd")&amp;"|"&amp;COUNTIFS($D$2:$D103,$D103,$B$2:$B103,"&lt;&gt;"),"")</f>
        <v/>
      </c>
      <c r="G103" s="22" t="str">
        <f t="shared" si="6"/>
        <v/>
      </c>
      <c r="H103" s="22">
        <f t="shared" ca="1" si="7"/>
        <v>999999999</v>
      </c>
    </row>
    <row r="104" spans="1:8">
      <c r="A104" s="20"/>
      <c r="B104" s="20"/>
      <c r="D104" s="27"/>
      <c r="E104" s="14"/>
      <c r="F104" s="22" t="str">
        <f>IF(AND($D104&lt;&gt;"",$B104&lt;&gt;""),TEXT($D104,"yyyymmdd")&amp;"|"&amp;COUNTIFS($D$2:$D104,$D104,$B$2:$B104,"&lt;&gt;"),"")</f>
        <v/>
      </c>
      <c r="G104" s="22" t="str">
        <f t="shared" si="6"/>
        <v/>
      </c>
      <c r="H104" s="22">
        <f t="shared" ca="1" si="7"/>
        <v>999999999</v>
      </c>
    </row>
    <row r="105" spans="1:8">
      <c r="A105" s="20"/>
      <c r="B105" s="20"/>
      <c r="D105" s="27"/>
      <c r="E105" s="14"/>
      <c r="F105" s="22" t="str">
        <f>IF(AND($D105&lt;&gt;"",$B105&lt;&gt;""),TEXT($D105,"yyyymmdd")&amp;"|"&amp;COUNTIFS($D$2:$D105,$D105,$B$2:$B105,"&lt;&gt;"),"")</f>
        <v/>
      </c>
      <c r="G105" s="22" t="str">
        <f t="shared" si="6"/>
        <v/>
      </c>
      <c r="H105" s="22">
        <f t="shared" ca="1" si="7"/>
        <v>999999999</v>
      </c>
    </row>
    <row r="106" spans="1:8">
      <c r="A106" s="20"/>
      <c r="B106" s="20"/>
      <c r="D106" s="27"/>
      <c r="E106" s="14"/>
      <c r="F106" s="22" t="str">
        <f>IF(AND($D106&lt;&gt;"",$B106&lt;&gt;""),TEXT($D106,"yyyymmdd")&amp;"|"&amp;COUNTIFS($D$2:$D106,$D106,$B$2:$B106,"&lt;&gt;"),"")</f>
        <v/>
      </c>
      <c r="G106" s="22" t="str">
        <f t="shared" si="6"/>
        <v/>
      </c>
      <c r="H106" s="22">
        <f t="shared" ca="1" si="7"/>
        <v>999999999</v>
      </c>
    </row>
    <row r="107" spans="1:8">
      <c r="A107" s="20"/>
      <c r="B107" s="20"/>
      <c r="D107" s="27"/>
      <c r="E107" s="14"/>
      <c r="F107" s="22" t="str">
        <f>IF(AND($D107&lt;&gt;"",$B107&lt;&gt;""),TEXT($D107,"yyyymmdd")&amp;"|"&amp;COUNTIFS($D$2:$D107,$D107,$B$2:$B107,"&lt;&gt;"),"")</f>
        <v/>
      </c>
      <c r="G107" s="22" t="str">
        <f t="shared" si="6"/>
        <v/>
      </c>
      <c r="H107" s="22">
        <f t="shared" ca="1" si="7"/>
        <v>999999999</v>
      </c>
    </row>
    <row r="108" spans="1:8">
      <c r="A108" s="20"/>
      <c r="B108" s="20"/>
      <c r="D108" s="27"/>
      <c r="E108" s="14"/>
      <c r="F108" s="22" t="str">
        <f>IF(AND($D108&lt;&gt;"",$B108&lt;&gt;""),TEXT($D108,"yyyymmdd")&amp;"|"&amp;COUNTIFS($D$2:$D108,$D108,$B$2:$B108,"&lt;&gt;"),"")</f>
        <v/>
      </c>
      <c r="G108" s="22" t="str">
        <f t="shared" si="6"/>
        <v/>
      </c>
      <c r="H108" s="22">
        <f t="shared" ca="1" si="7"/>
        <v>999999999</v>
      </c>
    </row>
    <row r="109" spans="1:8">
      <c r="A109" s="20"/>
      <c r="B109" s="20"/>
      <c r="D109" s="27"/>
      <c r="E109" s="14"/>
      <c r="F109" s="22" t="str">
        <f>IF(AND($D109&lt;&gt;"",$B109&lt;&gt;""),TEXT($D109,"yyyymmdd")&amp;"|"&amp;COUNTIFS($D$2:$D109,$D109,$B$2:$B109,"&lt;&gt;"),"")</f>
        <v/>
      </c>
      <c r="G109" s="22" t="str">
        <f t="shared" si="6"/>
        <v/>
      </c>
      <c r="H109" s="22">
        <f t="shared" ca="1" si="7"/>
        <v>999999999</v>
      </c>
    </row>
    <row r="110" spans="1:8">
      <c r="A110" s="20"/>
      <c r="B110" s="20"/>
      <c r="D110" s="27"/>
      <c r="E110" s="14"/>
      <c r="F110" s="22" t="str">
        <f>IF(AND($D110&lt;&gt;"",$B110&lt;&gt;""),TEXT($D110,"yyyymmdd")&amp;"|"&amp;COUNTIFS($D$2:$D110,$D110,$B$2:$B110,"&lt;&gt;"),"")</f>
        <v/>
      </c>
      <c r="G110" s="22" t="str">
        <f t="shared" si="6"/>
        <v/>
      </c>
      <c r="H110" s="22">
        <f t="shared" ca="1" si="7"/>
        <v>999999999</v>
      </c>
    </row>
    <row r="111" spans="1:8">
      <c r="A111" s="20"/>
      <c r="B111" s="20"/>
      <c r="D111" s="27"/>
      <c r="E111" s="14"/>
      <c r="F111" s="22" t="str">
        <f>IF(AND($D111&lt;&gt;"",$B111&lt;&gt;""),TEXT($D111,"yyyymmdd")&amp;"|"&amp;COUNTIFS($D$2:$D111,$D111,$B$2:$B111,"&lt;&gt;"),"")</f>
        <v/>
      </c>
      <c r="G111" s="22" t="str">
        <f t="shared" si="6"/>
        <v/>
      </c>
      <c r="H111" s="22">
        <f t="shared" ca="1" si="7"/>
        <v>999999999</v>
      </c>
    </row>
    <row r="112" spans="1:8">
      <c r="A112" s="20"/>
      <c r="B112" s="20"/>
      <c r="D112" s="27"/>
      <c r="E112" s="14"/>
      <c r="F112" s="22" t="str">
        <f>IF(AND($D112&lt;&gt;"",$B112&lt;&gt;""),TEXT($D112,"yyyymmdd")&amp;"|"&amp;COUNTIFS($D$2:$D112,$D112,$B$2:$B112,"&lt;&gt;"),"")</f>
        <v/>
      </c>
      <c r="G112" s="22" t="str">
        <f t="shared" si="6"/>
        <v/>
      </c>
      <c r="H112" s="22">
        <f t="shared" ca="1" si="7"/>
        <v>999999999</v>
      </c>
    </row>
    <row r="113" spans="1:8">
      <c r="A113" s="20"/>
      <c r="B113" s="20"/>
      <c r="D113" s="27"/>
      <c r="E113" s="14"/>
      <c r="F113" s="22" t="str">
        <f>IF(AND($D113&lt;&gt;"",$B113&lt;&gt;""),TEXT($D113,"yyyymmdd")&amp;"|"&amp;COUNTIFS($D$2:$D113,$D113,$B$2:$B113,"&lt;&gt;"),"")</f>
        <v/>
      </c>
      <c r="G113" s="22" t="str">
        <f t="shared" si="6"/>
        <v/>
      </c>
      <c r="H113" s="22">
        <f t="shared" ca="1" si="7"/>
        <v>999999999</v>
      </c>
    </row>
    <row r="114" spans="1:8">
      <c r="A114" s="20"/>
      <c r="B114" s="20"/>
      <c r="D114" s="27"/>
      <c r="E114" s="14"/>
      <c r="F114" s="22" t="str">
        <f>IF(AND($D114&lt;&gt;"",$B114&lt;&gt;""),TEXT($D114,"yyyymmdd")&amp;"|"&amp;COUNTIFS($D$2:$D114,$D114,$B$2:$B114,"&lt;&gt;"),"")</f>
        <v/>
      </c>
      <c r="G114" s="22" t="str">
        <f t="shared" si="6"/>
        <v/>
      </c>
      <c r="H114" s="22">
        <f t="shared" ca="1" si="7"/>
        <v>999999999</v>
      </c>
    </row>
    <row r="115" spans="1:8">
      <c r="A115" s="20"/>
      <c r="B115" s="20"/>
      <c r="D115" s="27"/>
      <c r="E115" s="14"/>
      <c r="F115" s="22" t="str">
        <f>IF(AND($D115&lt;&gt;"",$B115&lt;&gt;""),TEXT($D115,"yyyymmdd")&amp;"|"&amp;COUNTIFS($D$2:$D115,$D115,$B$2:$B115,"&lt;&gt;"),"")</f>
        <v/>
      </c>
      <c r="G115" s="22" t="str">
        <f t="shared" si="6"/>
        <v/>
      </c>
      <c r="H115" s="22">
        <f t="shared" ca="1" si="7"/>
        <v>999999999</v>
      </c>
    </row>
    <row r="116" spans="1:8">
      <c r="A116" s="20"/>
      <c r="B116" s="20"/>
      <c r="D116" s="27"/>
      <c r="E116" s="14"/>
      <c r="F116" s="22" t="str">
        <f>IF(AND($D116&lt;&gt;"",$B116&lt;&gt;""),TEXT($D116,"yyyymmdd")&amp;"|"&amp;COUNTIFS($D$2:$D116,$D116,$B$2:$B116,"&lt;&gt;"),"")</f>
        <v/>
      </c>
      <c r="G116" s="22" t="str">
        <f t="shared" si="6"/>
        <v/>
      </c>
      <c r="H116" s="22">
        <f t="shared" ca="1" si="7"/>
        <v>999999999</v>
      </c>
    </row>
    <row r="117" spans="1:8">
      <c r="A117" s="20"/>
      <c r="B117" s="20"/>
      <c r="D117" s="27"/>
      <c r="E117" s="14"/>
      <c r="F117" s="22" t="str">
        <f>IF(AND($D117&lt;&gt;"",$B117&lt;&gt;""),TEXT($D117,"yyyymmdd")&amp;"|"&amp;COUNTIFS($D$2:$D117,$D117,$B$2:$B117,"&lt;&gt;"),"")</f>
        <v/>
      </c>
      <c r="G117" s="22" t="str">
        <f t="shared" si="6"/>
        <v/>
      </c>
      <c r="H117" s="22">
        <f t="shared" ca="1" si="7"/>
        <v>999999999</v>
      </c>
    </row>
    <row r="118" spans="1:8">
      <c r="A118" s="20"/>
      <c r="B118" s="20"/>
      <c r="D118" s="27"/>
      <c r="E118" s="14"/>
      <c r="F118" s="22" t="str">
        <f>IF(AND($D118&lt;&gt;"",$B118&lt;&gt;""),TEXT($D118,"yyyymmdd")&amp;"|"&amp;COUNTIFS($D$2:$D118,$D118,$B$2:$B118,"&lt;&gt;"),"")</f>
        <v/>
      </c>
      <c r="G118" s="22" t="str">
        <f t="shared" si="6"/>
        <v/>
      </c>
      <c r="H118" s="22">
        <f t="shared" ca="1" si="7"/>
        <v>999999999</v>
      </c>
    </row>
    <row r="119" spans="1:8">
      <c r="A119" s="20"/>
      <c r="B119" s="20"/>
      <c r="D119" s="27"/>
      <c r="E119" s="14"/>
      <c r="F119" s="22" t="str">
        <f>IF(AND($D119&lt;&gt;"",$B119&lt;&gt;""),TEXT($D119,"yyyymmdd")&amp;"|"&amp;COUNTIFS($D$2:$D119,$D119,$B$2:$B119,"&lt;&gt;"),"")</f>
        <v/>
      </c>
      <c r="G119" s="22" t="str">
        <f t="shared" si="6"/>
        <v/>
      </c>
      <c r="H119" s="22">
        <f t="shared" ca="1" si="7"/>
        <v>999999999</v>
      </c>
    </row>
    <row r="120" spans="1:8">
      <c r="A120" s="20"/>
      <c r="B120" s="20"/>
      <c r="D120" s="27"/>
      <c r="E120" s="14"/>
      <c r="F120" s="22" t="str">
        <f>IF(AND($D120&lt;&gt;"",$B120&lt;&gt;""),TEXT($D120,"yyyymmdd")&amp;"|"&amp;COUNTIFS($D$2:$D120,$D120,$B$2:$B120,"&lt;&gt;"),"")</f>
        <v/>
      </c>
      <c r="G120" s="22" t="str">
        <f t="shared" si="6"/>
        <v/>
      </c>
      <c r="H120" s="22">
        <f t="shared" ca="1" si="7"/>
        <v>999999999</v>
      </c>
    </row>
    <row r="121" spans="1:8">
      <c r="A121" s="20"/>
      <c r="B121" s="20"/>
      <c r="D121" s="27"/>
      <c r="E121" s="14"/>
      <c r="F121" s="22" t="str">
        <f>IF(AND($D121&lt;&gt;"",$B121&lt;&gt;""),TEXT($D121,"yyyymmdd")&amp;"|"&amp;COUNTIFS($D$2:$D121,$D121,$B$2:$B121,"&lt;&gt;"),"")</f>
        <v/>
      </c>
      <c r="G121" s="22" t="str">
        <f t="shared" si="6"/>
        <v/>
      </c>
      <c r="H121" s="22">
        <f t="shared" ca="1" si="7"/>
        <v>999999999</v>
      </c>
    </row>
    <row r="122" spans="1:8">
      <c r="A122" s="20"/>
      <c r="B122" s="20"/>
      <c r="D122" s="27"/>
      <c r="E122" s="14"/>
      <c r="F122" s="22" t="str">
        <f>IF(AND($D122&lt;&gt;"",$B122&lt;&gt;""),TEXT($D122,"yyyymmdd")&amp;"|"&amp;COUNTIFS($D$2:$D122,$D122,$B$2:$B122,"&lt;&gt;"),"")</f>
        <v/>
      </c>
      <c r="G122" s="22" t="str">
        <f t="shared" si="6"/>
        <v/>
      </c>
      <c r="H122" s="22">
        <f t="shared" ca="1" si="7"/>
        <v>999999999</v>
      </c>
    </row>
    <row r="123" spans="1:8">
      <c r="A123" s="20"/>
      <c r="B123" s="20"/>
      <c r="D123" s="27"/>
      <c r="E123" s="14"/>
      <c r="F123" s="22" t="str">
        <f>IF(AND($D123&lt;&gt;"",$B123&lt;&gt;""),TEXT($D123,"yyyymmdd")&amp;"|"&amp;COUNTIFS($D$2:$D123,$D123,$B$2:$B123,"&lt;&gt;"),"")</f>
        <v/>
      </c>
      <c r="G123" s="22" t="str">
        <f t="shared" si="6"/>
        <v/>
      </c>
      <c r="H123" s="22">
        <f t="shared" ca="1" si="7"/>
        <v>999999999</v>
      </c>
    </row>
    <row r="124" spans="1:8">
      <c r="A124" s="20"/>
      <c r="B124" s="20"/>
      <c r="D124" s="27"/>
      <c r="E124" s="14"/>
      <c r="F124" s="22" t="str">
        <f>IF(AND($D124&lt;&gt;"",$B124&lt;&gt;""),TEXT($D124,"yyyymmdd")&amp;"|"&amp;COUNTIFS($D$2:$D124,$D124,$B$2:$B124,"&lt;&gt;"),"")</f>
        <v/>
      </c>
      <c r="G124" s="22" t="str">
        <f t="shared" si="6"/>
        <v/>
      </c>
      <c r="H124" s="22">
        <f t="shared" ca="1" si="7"/>
        <v>999999999</v>
      </c>
    </row>
    <row r="125" spans="1:8">
      <c r="A125" s="20"/>
      <c r="B125" s="20"/>
      <c r="D125" s="27"/>
      <c r="E125" s="14"/>
      <c r="F125" s="22" t="str">
        <f>IF(AND($D125&lt;&gt;"",$B125&lt;&gt;""),TEXT($D125,"yyyymmdd")&amp;"|"&amp;COUNTIFS($D$2:$D125,$D125,$B$2:$B125,"&lt;&gt;"),"")</f>
        <v/>
      </c>
      <c r="G125" s="22" t="str">
        <f t="shared" si="6"/>
        <v/>
      </c>
      <c r="H125" s="22">
        <f t="shared" ca="1" si="7"/>
        <v>999999999</v>
      </c>
    </row>
    <row r="126" spans="1:8">
      <c r="A126" s="20"/>
      <c r="B126" s="20"/>
      <c r="D126" s="27"/>
      <c r="E126" s="14"/>
      <c r="F126" s="22" t="str">
        <f>IF(AND($D126&lt;&gt;"",$B126&lt;&gt;""),TEXT($D126,"yyyymmdd")&amp;"|"&amp;COUNTIFS($D$2:$D126,$D126,$B$2:$B126,"&lt;&gt;"),"")</f>
        <v/>
      </c>
      <c r="G126" s="22" t="str">
        <f t="shared" si="6"/>
        <v/>
      </c>
      <c r="H126" s="22">
        <f t="shared" ca="1" si="7"/>
        <v>999999999</v>
      </c>
    </row>
    <row r="127" spans="1:8">
      <c r="A127" s="20"/>
      <c r="B127" s="20"/>
      <c r="D127" s="27"/>
      <c r="E127" s="14"/>
      <c r="F127" s="22" t="str">
        <f>IF(AND($D127&lt;&gt;"",$B127&lt;&gt;""),TEXT($D127,"yyyymmdd")&amp;"|"&amp;COUNTIFS($D$2:$D127,$D127,$B$2:$B127,"&lt;&gt;"),"")</f>
        <v/>
      </c>
      <c r="G127" s="22" t="str">
        <f t="shared" si="6"/>
        <v/>
      </c>
      <c r="H127" s="22">
        <f t="shared" ca="1" si="7"/>
        <v>999999999</v>
      </c>
    </row>
    <row r="128" spans="1:8">
      <c r="A128" s="20"/>
      <c r="B128" s="20"/>
      <c r="D128" s="27"/>
      <c r="E128" s="14"/>
      <c r="F128" s="22" t="str">
        <f>IF(AND($D128&lt;&gt;"",$B128&lt;&gt;""),TEXT($D128,"yyyymmdd")&amp;"|"&amp;COUNTIFS($D$2:$D128,$D128,$B$2:$B128,"&lt;&gt;"),"")</f>
        <v/>
      </c>
      <c r="G128" s="22" t="str">
        <f t="shared" si="6"/>
        <v/>
      </c>
      <c r="H128" s="22">
        <f t="shared" ca="1" si="7"/>
        <v>999999999</v>
      </c>
    </row>
    <row r="129" spans="1:8">
      <c r="A129" s="20"/>
      <c r="B129" s="20"/>
      <c r="D129" s="27"/>
      <c r="E129" s="14"/>
      <c r="F129" s="22" t="str">
        <f>IF(AND($D129&lt;&gt;"",$B129&lt;&gt;""),TEXT($D129,"yyyymmdd")&amp;"|"&amp;COUNTIFS($D$2:$D129,$D129,$B$2:$B129,"&lt;&gt;"),"")</f>
        <v/>
      </c>
      <c r="G129" s="22" t="str">
        <f t="shared" si="6"/>
        <v/>
      </c>
      <c r="H129" s="22">
        <f t="shared" ca="1" si="7"/>
        <v>999999999</v>
      </c>
    </row>
    <row r="130" spans="1:8">
      <c r="A130" s="20"/>
      <c r="B130" s="20"/>
      <c r="D130" s="27"/>
      <c r="E130" s="14"/>
      <c r="F130" s="22" t="str">
        <f>IF(AND($D130&lt;&gt;"",$B130&lt;&gt;""),TEXT($D130,"yyyymmdd")&amp;"|"&amp;COUNTIFS($D$2:$D130,$D130,$B$2:$B130,"&lt;&gt;"),"")</f>
        <v/>
      </c>
      <c r="G130" s="22" t="str">
        <f t="shared" ref="G130:G161" si="8">IF($B130="","",$B130)</f>
        <v/>
      </c>
      <c r="H130" s="22">
        <f t="shared" ref="H130:H161" ca="1" si="9">IF(AND($D130&gt;=TODAY(),$B130&lt;&gt;"",$C130&lt;&gt;"Completed",$C130&lt;&gt;"Cancelled"),$D130,999999999)</f>
        <v>999999999</v>
      </c>
    </row>
    <row r="131" spans="1:8">
      <c r="A131" s="20"/>
      <c r="B131" s="20"/>
      <c r="D131" s="27"/>
      <c r="E131" s="14"/>
      <c r="F131" s="22" t="str">
        <f>IF(AND($D131&lt;&gt;"",$B131&lt;&gt;""),TEXT($D131,"yyyymmdd")&amp;"|"&amp;COUNTIFS($D$2:$D131,$D131,$B$2:$B131,"&lt;&gt;"),"")</f>
        <v/>
      </c>
      <c r="G131" s="22" t="str">
        <f t="shared" si="8"/>
        <v/>
      </c>
      <c r="H131" s="22">
        <f t="shared" ca="1" si="9"/>
        <v>999999999</v>
      </c>
    </row>
    <row r="132" spans="1:8">
      <c r="A132" s="20"/>
      <c r="B132" s="20"/>
      <c r="D132" s="27"/>
      <c r="E132" s="14"/>
      <c r="F132" s="22" t="str">
        <f>IF(AND($D132&lt;&gt;"",$B132&lt;&gt;""),TEXT($D132,"yyyymmdd")&amp;"|"&amp;COUNTIFS($D$2:$D132,$D132,$B$2:$B132,"&lt;&gt;"),"")</f>
        <v/>
      </c>
      <c r="G132" s="22" t="str">
        <f t="shared" si="8"/>
        <v/>
      </c>
      <c r="H132" s="22">
        <f t="shared" ca="1" si="9"/>
        <v>999999999</v>
      </c>
    </row>
    <row r="133" spans="1:8">
      <c r="A133" s="20"/>
      <c r="B133" s="20"/>
      <c r="D133" s="27"/>
      <c r="E133" s="14"/>
      <c r="F133" s="22" t="str">
        <f>IF(AND($D133&lt;&gt;"",$B133&lt;&gt;""),TEXT($D133,"yyyymmdd")&amp;"|"&amp;COUNTIFS($D$2:$D133,$D133,$B$2:$B133,"&lt;&gt;"),"")</f>
        <v/>
      </c>
      <c r="G133" s="22" t="str">
        <f t="shared" si="8"/>
        <v/>
      </c>
      <c r="H133" s="22">
        <f t="shared" ca="1" si="9"/>
        <v>999999999</v>
      </c>
    </row>
    <row r="134" spans="1:8">
      <c r="A134" s="20"/>
      <c r="B134" s="20"/>
      <c r="D134" s="27"/>
      <c r="E134" s="14"/>
      <c r="F134" s="22" t="str">
        <f>IF(AND($D134&lt;&gt;"",$B134&lt;&gt;""),TEXT($D134,"yyyymmdd")&amp;"|"&amp;COUNTIFS($D$2:$D134,$D134,$B$2:$B134,"&lt;&gt;"),"")</f>
        <v/>
      </c>
      <c r="G134" s="22" t="str">
        <f t="shared" si="8"/>
        <v/>
      </c>
      <c r="H134" s="22">
        <f t="shared" ca="1" si="9"/>
        <v>999999999</v>
      </c>
    </row>
    <row r="135" spans="1:8">
      <c r="A135" s="20"/>
      <c r="B135" s="20"/>
      <c r="D135" s="27"/>
      <c r="E135" s="14"/>
      <c r="F135" s="22" t="str">
        <f>IF(AND($D135&lt;&gt;"",$B135&lt;&gt;""),TEXT($D135,"yyyymmdd")&amp;"|"&amp;COUNTIFS($D$2:$D135,$D135,$B$2:$B135,"&lt;&gt;"),"")</f>
        <v/>
      </c>
      <c r="G135" s="22" t="str">
        <f t="shared" si="8"/>
        <v/>
      </c>
      <c r="H135" s="22">
        <f t="shared" ca="1" si="9"/>
        <v>999999999</v>
      </c>
    </row>
    <row r="136" spans="1:8">
      <c r="A136" s="20"/>
      <c r="B136" s="20"/>
      <c r="D136" s="27"/>
      <c r="E136" s="14"/>
      <c r="F136" s="22" t="str">
        <f>IF(AND($D136&lt;&gt;"",$B136&lt;&gt;""),TEXT($D136,"yyyymmdd")&amp;"|"&amp;COUNTIFS($D$2:$D136,$D136,$B$2:$B136,"&lt;&gt;"),"")</f>
        <v/>
      </c>
      <c r="G136" s="22" t="str">
        <f t="shared" si="8"/>
        <v/>
      </c>
      <c r="H136" s="22">
        <f t="shared" ca="1" si="9"/>
        <v>999999999</v>
      </c>
    </row>
    <row r="137" spans="1:8">
      <c r="A137" s="20"/>
      <c r="B137" s="20"/>
      <c r="D137" s="27"/>
      <c r="E137" s="14"/>
      <c r="F137" s="22" t="str">
        <f>IF(AND($D137&lt;&gt;"",$B137&lt;&gt;""),TEXT($D137,"yyyymmdd")&amp;"|"&amp;COUNTIFS($D$2:$D137,$D137,$B$2:$B137,"&lt;&gt;"),"")</f>
        <v/>
      </c>
      <c r="G137" s="22" t="str">
        <f t="shared" si="8"/>
        <v/>
      </c>
      <c r="H137" s="22">
        <f t="shared" ca="1" si="9"/>
        <v>999999999</v>
      </c>
    </row>
    <row r="138" spans="1:8">
      <c r="A138" s="20"/>
      <c r="B138" s="20"/>
      <c r="D138" s="27"/>
      <c r="E138" s="14"/>
      <c r="F138" s="22" t="str">
        <f>IF(AND($D138&lt;&gt;"",$B138&lt;&gt;""),TEXT($D138,"yyyymmdd")&amp;"|"&amp;COUNTIFS($D$2:$D138,$D138,$B$2:$B138,"&lt;&gt;"),"")</f>
        <v/>
      </c>
      <c r="G138" s="22" t="str">
        <f t="shared" si="8"/>
        <v/>
      </c>
      <c r="H138" s="22">
        <f t="shared" ca="1" si="9"/>
        <v>999999999</v>
      </c>
    </row>
    <row r="139" spans="1:8">
      <c r="A139" s="20"/>
      <c r="B139" s="20"/>
      <c r="D139" s="27"/>
      <c r="E139" s="14"/>
      <c r="F139" s="22" t="str">
        <f>IF(AND($D139&lt;&gt;"",$B139&lt;&gt;""),TEXT($D139,"yyyymmdd")&amp;"|"&amp;COUNTIFS($D$2:$D139,$D139,$B$2:$B139,"&lt;&gt;"),"")</f>
        <v/>
      </c>
      <c r="G139" s="22" t="str">
        <f t="shared" si="8"/>
        <v/>
      </c>
      <c r="H139" s="22">
        <f t="shared" ca="1" si="9"/>
        <v>999999999</v>
      </c>
    </row>
    <row r="140" spans="1:8">
      <c r="A140" s="20"/>
      <c r="B140" s="20"/>
      <c r="D140" s="27"/>
      <c r="E140" s="14"/>
      <c r="F140" s="22" t="str">
        <f>IF(AND($D140&lt;&gt;"",$B140&lt;&gt;""),TEXT($D140,"yyyymmdd")&amp;"|"&amp;COUNTIFS($D$2:$D140,$D140,$B$2:$B140,"&lt;&gt;"),"")</f>
        <v/>
      </c>
      <c r="G140" s="22" t="str">
        <f t="shared" si="8"/>
        <v/>
      </c>
      <c r="H140" s="22">
        <f t="shared" ca="1" si="9"/>
        <v>999999999</v>
      </c>
    </row>
    <row r="141" spans="1:8">
      <c r="A141" s="20"/>
      <c r="B141" s="20"/>
      <c r="D141" s="27"/>
      <c r="E141" s="14"/>
      <c r="F141" s="22" t="str">
        <f>IF(AND($D141&lt;&gt;"",$B141&lt;&gt;""),TEXT($D141,"yyyymmdd")&amp;"|"&amp;COUNTIFS($D$2:$D141,$D141,$B$2:$B141,"&lt;&gt;"),"")</f>
        <v/>
      </c>
      <c r="G141" s="22" t="str">
        <f t="shared" si="8"/>
        <v/>
      </c>
      <c r="H141" s="22">
        <f t="shared" ca="1" si="9"/>
        <v>999999999</v>
      </c>
    </row>
    <row r="142" spans="1:8">
      <c r="A142" s="20"/>
      <c r="B142" s="20"/>
      <c r="D142" s="27"/>
      <c r="E142" s="14"/>
      <c r="F142" s="22" t="str">
        <f>IF(AND($D142&lt;&gt;"",$B142&lt;&gt;""),TEXT($D142,"yyyymmdd")&amp;"|"&amp;COUNTIFS($D$2:$D142,$D142,$B$2:$B142,"&lt;&gt;"),"")</f>
        <v/>
      </c>
      <c r="G142" s="22" t="str">
        <f t="shared" si="8"/>
        <v/>
      </c>
      <c r="H142" s="22">
        <f t="shared" ca="1" si="9"/>
        <v>999999999</v>
      </c>
    </row>
    <row r="143" spans="1:8">
      <c r="A143" s="20"/>
      <c r="B143" s="20"/>
      <c r="D143" s="27"/>
      <c r="E143" s="14"/>
      <c r="F143" s="22" t="str">
        <f>IF(AND($D143&lt;&gt;"",$B143&lt;&gt;""),TEXT($D143,"yyyymmdd")&amp;"|"&amp;COUNTIFS($D$2:$D143,$D143,$B$2:$B143,"&lt;&gt;"),"")</f>
        <v/>
      </c>
      <c r="G143" s="22" t="str">
        <f t="shared" si="8"/>
        <v/>
      </c>
      <c r="H143" s="22">
        <f t="shared" ca="1" si="9"/>
        <v>999999999</v>
      </c>
    </row>
    <row r="144" spans="1:8">
      <c r="A144" s="20"/>
      <c r="B144" s="20"/>
      <c r="D144" s="27"/>
      <c r="E144" s="14"/>
      <c r="F144" s="22" t="str">
        <f>IF(AND($D144&lt;&gt;"",$B144&lt;&gt;""),TEXT($D144,"yyyymmdd")&amp;"|"&amp;COUNTIFS($D$2:$D144,$D144,$B$2:$B144,"&lt;&gt;"),"")</f>
        <v/>
      </c>
      <c r="G144" s="22" t="str">
        <f t="shared" si="8"/>
        <v/>
      </c>
      <c r="H144" s="22">
        <f t="shared" ca="1" si="9"/>
        <v>999999999</v>
      </c>
    </row>
    <row r="145" spans="1:8">
      <c r="A145" s="20"/>
      <c r="B145" s="20"/>
      <c r="D145" s="27"/>
      <c r="E145" s="14"/>
      <c r="F145" s="22" t="str">
        <f>IF(AND($D145&lt;&gt;"",$B145&lt;&gt;""),TEXT($D145,"yyyymmdd")&amp;"|"&amp;COUNTIFS($D$2:$D145,$D145,$B$2:$B145,"&lt;&gt;"),"")</f>
        <v/>
      </c>
      <c r="G145" s="22" t="str">
        <f t="shared" si="8"/>
        <v/>
      </c>
      <c r="H145" s="22">
        <f t="shared" ca="1" si="9"/>
        <v>999999999</v>
      </c>
    </row>
    <row r="146" spans="1:8">
      <c r="A146" s="20"/>
      <c r="B146" s="20"/>
      <c r="D146" s="27"/>
      <c r="E146" s="14"/>
      <c r="F146" s="22" t="str">
        <f>IF(AND($D146&lt;&gt;"",$B146&lt;&gt;""),TEXT($D146,"yyyymmdd")&amp;"|"&amp;COUNTIFS($D$2:$D146,$D146,$B$2:$B146,"&lt;&gt;"),"")</f>
        <v/>
      </c>
      <c r="G146" s="22" t="str">
        <f t="shared" si="8"/>
        <v/>
      </c>
      <c r="H146" s="22">
        <f t="shared" ca="1" si="9"/>
        <v>999999999</v>
      </c>
    </row>
    <row r="147" spans="1:8">
      <c r="A147" s="20"/>
      <c r="B147" s="20"/>
      <c r="D147" s="27"/>
      <c r="E147" s="14"/>
      <c r="F147" s="22" t="str">
        <f>IF(AND($D147&lt;&gt;"",$B147&lt;&gt;""),TEXT($D147,"yyyymmdd")&amp;"|"&amp;COUNTIFS($D$2:$D147,$D147,$B$2:$B147,"&lt;&gt;"),"")</f>
        <v/>
      </c>
      <c r="G147" s="22" t="str">
        <f t="shared" si="8"/>
        <v/>
      </c>
      <c r="H147" s="22">
        <f t="shared" ca="1" si="9"/>
        <v>999999999</v>
      </c>
    </row>
    <row r="148" spans="1:8">
      <c r="A148" s="20"/>
      <c r="B148" s="20"/>
      <c r="D148" s="27"/>
      <c r="E148" s="14"/>
      <c r="F148" s="22" t="str">
        <f>IF(AND($D148&lt;&gt;"",$B148&lt;&gt;""),TEXT($D148,"yyyymmdd")&amp;"|"&amp;COUNTIFS($D$2:$D148,$D148,$B$2:$B148,"&lt;&gt;"),"")</f>
        <v/>
      </c>
      <c r="G148" s="22" t="str">
        <f t="shared" si="8"/>
        <v/>
      </c>
      <c r="H148" s="22">
        <f t="shared" ca="1" si="9"/>
        <v>999999999</v>
      </c>
    </row>
    <row r="149" spans="1:8">
      <c r="A149" s="20"/>
      <c r="B149" s="20"/>
      <c r="D149" s="27"/>
      <c r="E149" s="14"/>
      <c r="F149" s="22" t="str">
        <f>IF(AND($D149&lt;&gt;"",$B149&lt;&gt;""),TEXT($D149,"yyyymmdd")&amp;"|"&amp;COUNTIFS($D$2:$D149,$D149,$B$2:$B149,"&lt;&gt;"),"")</f>
        <v/>
      </c>
      <c r="G149" s="22" t="str">
        <f t="shared" si="8"/>
        <v/>
      </c>
      <c r="H149" s="22">
        <f t="shared" ca="1" si="9"/>
        <v>999999999</v>
      </c>
    </row>
    <row r="150" spans="1:8">
      <c r="A150" s="20"/>
      <c r="B150" s="20"/>
      <c r="D150" s="27"/>
      <c r="E150" s="14"/>
      <c r="F150" s="22" t="str">
        <f>IF(AND($D150&lt;&gt;"",$B150&lt;&gt;""),TEXT($D150,"yyyymmdd")&amp;"|"&amp;COUNTIFS($D$2:$D150,$D150,$B$2:$B150,"&lt;&gt;"),"")</f>
        <v/>
      </c>
      <c r="G150" s="22" t="str">
        <f t="shared" si="8"/>
        <v/>
      </c>
      <c r="H150" s="22">
        <f t="shared" ca="1" si="9"/>
        <v>999999999</v>
      </c>
    </row>
    <row r="151" spans="1:8">
      <c r="A151" s="20"/>
      <c r="B151" s="20"/>
      <c r="D151" s="27"/>
      <c r="E151" s="14"/>
      <c r="F151" s="22" t="str">
        <f>IF(AND($D151&lt;&gt;"",$B151&lt;&gt;""),TEXT($D151,"yyyymmdd")&amp;"|"&amp;COUNTIFS($D$2:$D151,$D151,$B$2:$B151,"&lt;&gt;"),"")</f>
        <v/>
      </c>
      <c r="G151" s="22" t="str">
        <f t="shared" si="8"/>
        <v/>
      </c>
      <c r="H151" s="22">
        <f t="shared" ca="1" si="9"/>
        <v>999999999</v>
      </c>
    </row>
    <row r="152" spans="1:8">
      <c r="A152" s="20"/>
      <c r="B152" s="20"/>
      <c r="D152" s="27"/>
      <c r="E152" s="14"/>
      <c r="F152" s="22" t="str">
        <f>IF(AND($D152&lt;&gt;"",$B152&lt;&gt;""),TEXT($D152,"yyyymmdd")&amp;"|"&amp;COUNTIFS($D$2:$D152,$D152,$B$2:$B152,"&lt;&gt;"),"")</f>
        <v/>
      </c>
      <c r="G152" s="22" t="str">
        <f t="shared" si="8"/>
        <v/>
      </c>
      <c r="H152" s="22">
        <f t="shared" ca="1" si="9"/>
        <v>999999999</v>
      </c>
    </row>
    <row r="153" spans="1:8">
      <c r="A153" s="20"/>
      <c r="B153" s="20"/>
      <c r="D153" s="27"/>
      <c r="E153" s="14"/>
      <c r="F153" s="22" t="str">
        <f>IF(AND($D153&lt;&gt;"",$B153&lt;&gt;""),TEXT($D153,"yyyymmdd")&amp;"|"&amp;COUNTIFS($D$2:$D153,$D153,$B$2:$B153,"&lt;&gt;"),"")</f>
        <v/>
      </c>
      <c r="G153" s="22" t="str">
        <f t="shared" si="8"/>
        <v/>
      </c>
      <c r="H153" s="22">
        <f t="shared" ca="1" si="9"/>
        <v>999999999</v>
      </c>
    </row>
    <row r="154" spans="1:8">
      <c r="A154" s="20"/>
      <c r="B154" s="20"/>
      <c r="D154" s="27"/>
      <c r="E154" s="14"/>
      <c r="F154" s="22" t="str">
        <f>IF(AND($D154&lt;&gt;"",$B154&lt;&gt;""),TEXT($D154,"yyyymmdd")&amp;"|"&amp;COUNTIFS($D$2:$D154,$D154,$B$2:$B154,"&lt;&gt;"),"")</f>
        <v/>
      </c>
      <c r="G154" s="22" t="str">
        <f t="shared" si="8"/>
        <v/>
      </c>
      <c r="H154" s="22">
        <f t="shared" ca="1" si="9"/>
        <v>999999999</v>
      </c>
    </row>
    <row r="155" spans="1:8">
      <c r="A155" s="20"/>
      <c r="B155" s="20"/>
      <c r="D155" s="27"/>
      <c r="E155" s="14"/>
      <c r="F155" s="22" t="str">
        <f>IF(AND($D155&lt;&gt;"",$B155&lt;&gt;""),TEXT($D155,"yyyymmdd")&amp;"|"&amp;COUNTIFS($D$2:$D155,$D155,$B$2:$B155,"&lt;&gt;"),"")</f>
        <v/>
      </c>
      <c r="G155" s="22" t="str">
        <f t="shared" si="8"/>
        <v/>
      </c>
      <c r="H155" s="22">
        <f t="shared" ca="1" si="9"/>
        <v>999999999</v>
      </c>
    </row>
    <row r="156" spans="1:8">
      <c r="A156" s="20"/>
      <c r="B156" s="20"/>
      <c r="D156" s="27"/>
      <c r="E156" s="14"/>
      <c r="F156" s="22" t="str">
        <f>IF(AND($D156&lt;&gt;"",$B156&lt;&gt;""),TEXT($D156,"yyyymmdd")&amp;"|"&amp;COUNTIFS($D$2:$D156,$D156,$B$2:$B156,"&lt;&gt;"),"")</f>
        <v/>
      </c>
      <c r="G156" s="22" t="str">
        <f t="shared" si="8"/>
        <v/>
      </c>
      <c r="H156" s="22">
        <f t="shared" ca="1" si="9"/>
        <v>999999999</v>
      </c>
    </row>
    <row r="157" spans="1:8">
      <c r="A157" s="20"/>
      <c r="B157" s="20"/>
      <c r="D157" s="27"/>
      <c r="E157" s="14"/>
      <c r="F157" s="22" t="str">
        <f>IF(AND($D157&lt;&gt;"",$B157&lt;&gt;""),TEXT($D157,"yyyymmdd")&amp;"|"&amp;COUNTIFS($D$2:$D157,$D157,$B$2:$B157,"&lt;&gt;"),"")</f>
        <v/>
      </c>
      <c r="G157" s="22" t="str">
        <f t="shared" si="8"/>
        <v/>
      </c>
      <c r="H157" s="22">
        <f t="shared" ca="1" si="9"/>
        <v>999999999</v>
      </c>
    </row>
    <row r="158" spans="1:8">
      <c r="A158" s="20"/>
      <c r="B158" s="20"/>
      <c r="D158" s="27"/>
      <c r="E158" s="14"/>
      <c r="F158" s="22" t="str">
        <f>IF(AND($D158&lt;&gt;"",$B158&lt;&gt;""),TEXT($D158,"yyyymmdd")&amp;"|"&amp;COUNTIFS($D$2:$D158,$D158,$B$2:$B158,"&lt;&gt;"),"")</f>
        <v/>
      </c>
      <c r="G158" s="22" t="str">
        <f t="shared" si="8"/>
        <v/>
      </c>
      <c r="H158" s="22">
        <f t="shared" ca="1" si="9"/>
        <v>999999999</v>
      </c>
    </row>
    <row r="159" spans="1:8">
      <c r="A159" s="20"/>
      <c r="B159" s="20"/>
      <c r="D159" s="27"/>
      <c r="E159" s="14"/>
      <c r="F159" s="22" t="str">
        <f>IF(AND($D159&lt;&gt;"",$B159&lt;&gt;""),TEXT($D159,"yyyymmdd")&amp;"|"&amp;COUNTIFS($D$2:$D159,$D159,$B$2:$B159,"&lt;&gt;"),"")</f>
        <v/>
      </c>
      <c r="G159" s="22" t="str">
        <f t="shared" si="8"/>
        <v/>
      </c>
      <c r="H159" s="22">
        <f t="shared" ca="1" si="9"/>
        <v>999999999</v>
      </c>
    </row>
    <row r="160" spans="1:8">
      <c r="A160" s="20"/>
      <c r="B160" s="20"/>
      <c r="D160" s="27"/>
      <c r="E160" s="14"/>
      <c r="F160" s="22" t="str">
        <f>IF(AND($D160&lt;&gt;"",$B160&lt;&gt;""),TEXT($D160,"yyyymmdd")&amp;"|"&amp;COUNTIFS($D$2:$D160,$D160,$B$2:$B160,"&lt;&gt;"),"")</f>
        <v/>
      </c>
      <c r="G160" s="22" t="str">
        <f t="shared" si="8"/>
        <v/>
      </c>
      <c r="H160" s="22">
        <f t="shared" ca="1" si="9"/>
        <v>999999999</v>
      </c>
    </row>
    <row r="161" spans="1:8">
      <c r="A161" s="20"/>
      <c r="B161" s="20"/>
      <c r="D161" s="27"/>
      <c r="E161" s="14"/>
      <c r="F161" s="22" t="str">
        <f>IF(AND($D161&lt;&gt;"",$B161&lt;&gt;""),TEXT($D161,"yyyymmdd")&amp;"|"&amp;COUNTIFS($D$2:$D161,$D161,$B$2:$B161,"&lt;&gt;"),"")</f>
        <v/>
      </c>
      <c r="G161" s="22" t="str">
        <f t="shared" si="8"/>
        <v/>
      </c>
      <c r="H161" s="22">
        <f t="shared" ca="1" si="9"/>
        <v>999999999</v>
      </c>
    </row>
    <row r="162" spans="1:8">
      <c r="A162" s="20"/>
      <c r="B162" s="20"/>
      <c r="D162" s="27"/>
      <c r="E162" s="14"/>
      <c r="F162" s="22" t="str">
        <f>IF(AND($D162&lt;&gt;"",$B162&lt;&gt;""),TEXT($D162,"yyyymmdd")&amp;"|"&amp;COUNTIFS($D$2:$D162,$D162,$B$2:$B162,"&lt;&gt;"),"")</f>
        <v/>
      </c>
      <c r="G162" s="22" t="str">
        <f t="shared" ref="G162:G193" si="10">IF($B162="","",$B162)</f>
        <v/>
      </c>
      <c r="H162" s="22">
        <f t="shared" ref="H162:H193" ca="1" si="11">IF(AND($D162&gt;=TODAY(),$B162&lt;&gt;"",$C162&lt;&gt;"Completed",$C162&lt;&gt;"Cancelled"),$D162,999999999)</f>
        <v>999999999</v>
      </c>
    </row>
    <row r="163" spans="1:8">
      <c r="A163" s="20"/>
      <c r="B163" s="20"/>
      <c r="D163" s="27"/>
      <c r="E163" s="14"/>
      <c r="F163" s="22" t="str">
        <f>IF(AND($D163&lt;&gt;"",$B163&lt;&gt;""),TEXT($D163,"yyyymmdd")&amp;"|"&amp;COUNTIFS($D$2:$D163,$D163,$B$2:$B163,"&lt;&gt;"),"")</f>
        <v/>
      </c>
      <c r="G163" s="22" t="str">
        <f t="shared" si="10"/>
        <v/>
      </c>
      <c r="H163" s="22">
        <f t="shared" ca="1" si="11"/>
        <v>999999999</v>
      </c>
    </row>
    <row r="164" spans="1:8">
      <c r="A164" s="20"/>
      <c r="B164" s="20"/>
      <c r="D164" s="27"/>
      <c r="E164" s="14"/>
      <c r="F164" s="22" t="str">
        <f>IF(AND($D164&lt;&gt;"",$B164&lt;&gt;""),TEXT($D164,"yyyymmdd")&amp;"|"&amp;COUNTIFS($D$2:$D164,$D164,$B$2:$B164,"&lt;&gt;"),"")</f>
        <v/>
      </c>
      <c r="G164" s="22" t="str">
        <f t="shared" si="10"/>
        <v/>
      </c>
      <c r="H164" s="22">
        <f t="shared" ca="1" si="11"/>
        <v>999999999</v>
      </c>
    </row>
    <row r="165" spans="1:8">
      <c r="A165" s="20"/>
      <c r="B165" s="20"/>
      <c r="D165" s="27"/>
      <c r="E165" s="14"/>
      <c r="F165" s="22" t="str">
        <f>IF(AND($D165&lt;&gt;"",$B165&lt;&gt;""),TEXT($D165,"yyyymmdd")&amp;"|"&amp;COUNTIFS($D$2:$D165,$D165,$B$2:$B165,"&lt;&gt;"),"")</f>
        <v/>
      </c>
      <c r="G165" s="22" t="str">
        <f t="shared" si="10"/>
        <v/>
      </c>
      <c r="H165" s="22">
        <f t="shared" ca="1" si="11"/>
        <v>999999999</v>
      </c>
    </row>
    <row r="166" spans="1:8">
      <c r="A166" s="20"/>
      <c r="B166" s="20"/>
      <c r="D166" s="27"/>
      <c r="E166" s="14"/>
      <c r="F166" s="22" t="str">
        <f>IF(AND($D166&lt;&gt;"",$B166&lt;&gt;""),TEXT($D166,"yyyymmdd")&amp;"|"&amp;COUNTIFS($D$2:$D166,$D166,$B$2:$B166,"&lt;&gt;"),"")</f>
        <v/>
      </c>
      <c r="G166" s="22" t="str">
        <f t="shared" si="10"/>
        <v/>
      </c>
      <c r="H166" s="22">
        <f t="shared" ca="1" si="11"/>
        <v>999999999</v>
      </c>
    </row>
    <row r="167" spans="1:8">
      <c r="A167" s="20"/>
      <c r="B167" s="20"/>
      <c r="D167" s="27"/>
      <c r="E167" s="14"/>
      <c r="F167" s="22" t="str">
        <f>IF(AND($D167&lt;&gt;"",$B167&lt;&gt;""),TEXT($D167,"yyyymmdd")&amp;"|"&amp;COUNTIFS($D$2:$D167,$D167,$B$2:$B167,"&lt;&gt;"),"")</f>
        <v/>
      </c>
      <c r="G167" s="22" t="str">
        <f t="shared" si="10"/>
        <v/>
      </c>
      <c r="H167" s="22">
        <f t="shared" ca="1" si="11"/>
        <v>999999999</v>
      </c>
    </row>
    <row r="168" spans="1:8">
      <c r="A168" s="20"/>
      <c r="B168" s="20"/>
      <c r="D168" s="27"/>
      <c r="E168" s="14"/>
      <c r="F168" s="22" t="str">
        <f>IF(AND($D168&lt;&gt;"",$B168&lt;&gt;""),TEXT($D168,"yyyymmdd")&amp;"|"&amp;COUNTIFS($D$2:$D168,$D168,$B$2:$B168,"&lt;&gt;"),"")</f>
        <v/>
      </c>
      <c r="G168" s="22" t="str">
        <f t="shared" si="10"/>
        <v/>
      </c>
      <c r="H168" s="22">
        <f t="shared" ca="1" si="11"/>
        <v>999999999</v>
      </c>
    </row>
    <row r="169" spans="1:8">
      <c r="A169" s="20"/>
      <c r="B169" s="20"/>
      <c r="D169" s="27"/>
      <c r="E169" s="14"/>
      <c r="F169" s="22" t="str">
        <f>IF(AND($D169&lt;&gt;"",$B169&lt;&gt;""),TEXT($D169,"yyyymmdd")&amp;"|"&amp;COUNTIFS($D$2:$D169,$D169,$B$2:$B169,"&lt;&gt;"),"")</f>
        <v/>
      </c>
      <c r="G169" s="22" t="str">
        <f t="shared" si="10"/>
        <v/>
      </c>
      <c r="H169" s="22">
        <f t="shared" ca="1" si="11"/>
        <v>999999999</v>
      </c>
    </row>
    <row r="170" spans="1:8">
      <c r="A170" s="20"/>
      <c r="B170" s="20"/>
      <c r="D170" s="27"/>
      <c r="E170" s="14"/>
      <c r="F170" s="22" t="str">
        <f>IF(AND($D170&lt;&gt;"",$B170&lt;&gt;""),TEXT($D170,"yyyymmdd")&amp;"|"&amp;COUNTIFS($D$2:$D170,$D170,$B$2:$B170,"&lt;&gt;"),"")</f>
        <v/>
      </c>
      <c r="G170" s="22" t="str">
        <f t="shared" si="10"/>
        <v/>
      </c>
      <c r="H170" s="22">
        <f t="shared" ca="1" si="11"/>
        <v>999999999</v>
      </c>
    </row>
    <row r="171" spans="1:8">
      <c r="A171" s="20"/>
      <c r="B171" s="20"/>
      <c r="D171" s="27"/>
      <c r="E171" s="14"/>
      <c r="F171" s="22" t="str">
        <f>IF(AND($D171&lt;&gt;"",$B171&lt;&gt;""),TEXT($D171,"yyyymmdd")&amp;"|"&amp;COUNTIFS($D$2:$D171,$D171,$B$2:$B171,"&lt;&gt;"),"")</f>
        <v/>
      </c>
      <c r="G171" s="22" t="str">
        <f t="shared" si="10"/>
        <v/>
      </c>
      <c r="H171" s="22">
        <f t="shared" ca="1" si="11"/>
        <v>999999999</v>
      </c>
    </row>
    <row r="172" spans="1:8">
      <c r="A172" s="20"/>
      <c r="B172" s="20"/>
      <c r="D172" s="27"/>
      <c r="E172" s="14"/>
      <c r="F172" s="22" t="str">
        <f>IF(AND($D172&lt;&gt;"",$B172&lt;&gt;""),TEXT($D172,"yyyymmdd")&amp;"|"&amp;COUNTIFS($D$2:$D172,$D172,$B$2:$B172,"&lt;&gt;"),"")</f>
        <v/>
      </c>
      <c r="G172" s="22" t="str">
        <f t="shared" si="10"/>
        <v/>
      </c>
      <c r="H172" s="22">
        <f t="shared" ca="1" si="11"/>
        <v>999999999</v>
      </c>
    </row>
    <row r="173" spans="1:8">
      <c r="A173" s="20"/>
      <c r="B173" s="20"/>
      <c r="D173" s="27"/>
      <c r="E173" s="14"/>
      <c r="F173" s="22" t="str">
        <f>IF(AND($D173&lt;&gt;"",$B173&lt;&gt;""),TEXT($D173,"yyyymmdd")&amp;"|"&amp;COUNTIFS($D$2:$D173,$D173,$B$2:$B173,"&lt;&gt;"),"")</f>
        <v/>
      </c>
      <c r="G173" s="22" t="str">
        <f t="shared" si="10"/>
        <v/>
      </c>
      <c r="H173" s="22">
        <f t="shared" ca="1" si="11"/>
        <v>999999999</v>
      </c>
    </row>
    <row r="174" spans="1:8">
      <c r="A174" s="20"/>
      <c r="B174" s="20"/>
      <c r="D174" s="27"/>
      <c r="E174" s="14"/>
      <c r="F174" s="22" t="str">
        <f>IF(AND($D174&lt;&gt;"",$B174&lt;&gt;""),TEXT($D174,"yyyymmdd")&amp;"|"&amp;COUNTIFS($D$2:$D174,$D174,$B$2:$B174,"&lt;&gt;"),"")</f>
        <v/>
      </c>
      <c r="G174" s="22" t="str">
        <f t="shared" si="10"/>
        <v/>
      </c>
      <c r="H174" s="22">
        <f t="shared" ca="1" si="11"/>
        <v>999999999</v>
      </c>
    </row>
    <row r="175" spans="1:8">
      <c r="A175" s="20"/>
      <c r="B175" s="20"/>
      <c r="D175" s="27"/>
      <c r="E175" s="14"/>
      <c r="F175" s="22" t="str">
        <f>IF(AND($D175&lt;&gt;"",$B175&lt;&gt;""),TEXT($D175,"yyyymmdd")&amp;"|"&amp;COUNTIFS($D$2:$D175,$D175,$B$2:$B175,"&lt;&gt;"),"")</f>
        <v/>
      </c>
      <c r="G175" s="22" t="str">
        <f t="shared" si="10"/>
        <v/>
      </c>
      <c r="H175" s="22">
        <f t="shared" ca="1" si="11"/>
        <v>999999999</v>
      </c>
    </row>
    <row r="176" spans="1:8">
      <c r="A176" s="20"/>
      <c r="B176" s="20"/>
      <c r="D176" s="27"/>
      <c r="E176" s="14"/>
      <c r="F176" s="22" t="str">
        <f>IF(AND($D176&lt;&gt;"",$B176&lt;&gt;""),TEXT($D176,"yyyymmdd")&amp;"|"&amp;COUNTIFS($D$2:$D176,$D176,$B$2:$B176,"&lt;&gt;"),"")</f>
        <v/>
      </c>
      <c r="G176" s="22" t="str">
        <f t="shared" si="10"/>
        <v/>
      </c>
      <c r="H176" s="22">
        <f t="shared" ca="1" si="11"/>
        <v>999999999</v>
      </c>
    </row>
    <row r="177" spans="1:8">
      <c r="A177" s="20"/>
      <c r="B177" s="20"/>
      <c r="D177" s="27"/>
      <c r="E177" s="14"/>
      <c r="F177" s="22" t="str">
        <f>IF(AND($D177&lt;&gt;"",$B177&lt;&gt;""),TEXT($D177,"yyyymmdd")&amp;"|"&amp;COUNTIFS($D$2:$D177,$D177,$B$2:$B177,"&lt;&gt;"),"")</f>
        <v/>
      </c>
      <c r="G177" s="22" t="str">
        <f t="shared" si="10"/>
        <v/>
      </c>
      <c r="H177" s="22">
        <f t="shared" ca="1" si="11"/>
        <v>999999999</v>
      </c>
    </row>
    <row r="178" spans="1:8">
      <c r="A178" s="20"/>
      <c r="B178" s="20"/>
      <c r="D178" s="27"/>
      <c r="E178" s="14"/>
      <c r="F178" s="22" t="str">
        <f>IF(AND($D178&lt;&gt;"",$B178&lt;&gt;""),TEXT($D178,"yyyymmdd")&amp;"|"&amp;COUNTIFS($D$2:$D178,$D178,$B$2:$B178,"&lt;&gt;"),"")</f>
        <v/>
      </c>
      <c r="G178" s="22" t="str">
        <f t="shared" si="10"/>
        <v/>
      </c>
      <c r="H178" s="22">
        <f t="shared" ca="1" si="11"/>
        <v>999999999</v>
      </c>
    </row>
    <row r="179" spans="1:8">
      <c r="A179" s="20"/>
      <c r="B179" s="20"/>
      <c r="D179" s="27"/>
      <c r="E179" s="14"/>
      <c r="F179" s="22" t="str">
        <f>IF(AND($D179&lt;&gt;"",$B179&lt;&gt;""),TEXT($D179,"yyyymmdd")&amp;"|"&amp;COUNTIFS($D$2:$D179,$D179,$B$2:$B179,"&lt;&gt;"),"")</f>
        <v/>
      </c>
      <c r="G179" s="22" t="str">
        <f t="shared" si="10"/>
        <v/>
      </c>
      <c r="H179" s="22">
        <f t="shared" ca="1" si="11"/>
        <v>999999999</v>
      </c>
    </row>
    <row r="180" spans="1:8">
      <c r="A180" s="20"/>
      <c r="B180" s="20"/>
      <c r="D180" s="27"/>
      <c r="E180" s="14"/>
      <c r="F180" s="22" t="str">
        <f>IF(AND($D180&lt;&gt;"",$B180&lt;&gt;""),TEXT($D180,"yyyymmdd")&amp;"|"&amp;COUNTIFS($D$2:$D180,$D180,$B$2:$B180,"&lt;&gt;"),"")</f>
        <v/>
      </c>
      <c r="G180" s="22" t="str">
        <f t="shared" si="10"/>
        <v/>
      </c>
      <c r="H180" s="22">
        <f t="shared" ca="1" si="11"/>
        <v>999999999</v>
      </c>
    </row>
    <row r="181" spans="1:8">
      <c r="A181" s="20"/>
      <c r="B181" s="20"/>
      <c r="D181" s="27"/>
      <c r="E181" s="14"/>
      <c r="F181" s="22" t="str">
        <f>IF(AND($D181&lt;&gt;"",$B181&lt;&gt;""),TEXT($D181,"yyyymmdd")&amp;"|"&amp;COUNTIFS($D$2:$D181,$D181,$B$2:$B181,"&lt;&gt;"),"")</f>
        <v/>
      </c>
      <c r="G181" s="22" t="str">
        <f t="shared" si="10"/>
        <v/>
      </c>
      <c r="H181" s="22">
        <f t="shared" ca="1" si="11"/>
        <v>999999999</v>
      </c>
    </row>
    <row r="182" spans="1:8">
      <c r="A182" s="20"/>
      <c r="B182" s="20"/>
      <c r="D182" s="27"/>
      <c r="E182" s="14"/>
      <c r="F182" s="22" t="str">
        <f>IF(AND($D182&lt;&gt;"",$B182&lt;&gt;""),TEXT($D182,"yyyymmdd")&amp;"|"&amp;COUNTIFS($D$2:$D182,$D182,$B$2:$B182,"&lt;&gt;"),"")</f>
        <v/>
      </c>
      <c r="G182" s="22" t="str">
        <f t="shared" si="10"/>
        <v/>
      </c>
      <c r="H182" s="22">
        <f t="shared" ca="1" si="11"/>
        <v>999999999</v>
      </c>
    </row>
    <row r="183" spans="1:8">
      <c r="A183" s="20"/>
      <c r="B183" s="20"/>
      <c r="D183" s="27"/>
      <c r="E183" s="14"/>
      <c r="F183" s="22" t="str">
        <f>IF(AND($D183&lt;&gt;"",$B183&lt;&gt;""),TEXT($D183,"yyyymmdd")&amp;"|"&amp;COUNTIFS($D$2:$D183,$D183,$B$2:$B183,"&lt;&gt;"),"")</f>
        <v/>
      </c>
      <c r="G183" s="22" t="str">
        <f t="shared" si="10"/>
        <v/>
      </c>
      <c r="H183" s="22">
        <f t="shared" ca="1" si="11"/>
        <v>999999999</v>
      </c>
    </row>
    <row r="184" spans="1:8">
      <c r="A184" s="20"/>
      <c r="B184" s="20"/>
      <c r="D184" s="27"/>
      <c r="E184" s="14"/>
      <c r="F184" s="22" t="str">
        <f>IF(AND($D184&lt;&gt;"",$B184&lt;&gt;""),TEXT($D184,"yyyymmdd")&amp;"|"&amp;COUNTIFS($D$2:$D184,$D184,$B$2:$B184,"&lt;&gt;"),"")</f>
        <v/>
      </c>
      <c r="G184" s="22" t="str">
        <f t="shared" si="10"/>
        <v/>
      </c>
      <c r="H184" s="22">
        <f t="shared" ca="1" si="11"/>
        <v>999999999</v>
      </c>
    </row>
    <row r="185" spans="1:8">
      <c r="A185" s="20"/>
      <c r="B185" s="20"/>
      <c r="D185" s="27"/>
      <c r="E185" s="14"/>
      <c r="F185" s="22" t="str">
        <f>IF(AND($D185&lt;&gt;"",$B185&lt;&gt;""),TEXT($D185,"yyyymmdd")&amp;"|"&amp;COUNTIFS($D$2:$D185,$D185,$B$2:$B185,"&lt;&gt;"),"")</f>
        <v/>
      </c>
      <c r="G185" s="22" t="str">
        <f t="shared" si="10"/>
        <v/>
      </c>
      <c r="H185" s="22">
        <f t="shared" ca="1" si="11"/>
        <v>999999999</v>
      </c>
    </row>
    <row r="186" spans="1:8">
      <c r="A186" s="20"/>
      <c r="B186" s="20"/>
      <c r="D186" s="27"/>
      <c r="E186" s="14"/>
      <c r="F186" s="22" t="str">
        <f>IF(AND($D186&lt;&gt;"",$B186&lt;&gt;""),TEXT($D186,"yyyymmdd")&amp;"|"&amp;COUNTIFS($D$2:$D186,$D186,$B$2:$B186,"&lt;&gt;"),"")</f>
        <v/>
      </c>
      <c r="G186" s="22" t="str">
        <f t="shared" si="10"/>
        <v/>
      </c>
      <c r="H186" s="22">
        <f t="shared" ca="1" si="11"/>
        <v>999999999</v>
      </c>
    </row>
    <row r="187" spans="1:8">
      <c r="A187" s="20"/>
      <c r="B187" s="20"/>
      <c r="D187" s="27"/>
      <c r="E187" s="14"/>
      <c r="F187" s="22" t="str">
        <f>IF(AND($D187&lt;&gt;"",$B187&lt;&gt;""),TEXT($D187,"yyyymmdd")&amp;"|"&amp;COUNTIFS($D$2:$D187,$D187,$B$2:$B187,"&lt;&gt;"),"")</f>
        <v/>
      </c>
      <c r="G187" s="22" t="str">
        <f t="shared" si="10"/>
        <v/>
      </c>
      <c r="H187" s="22">
        <f t="shared" ca="1" si="11"/>
        <v>999999999</v>
      </c>
    </row>
    <row r="188" spans="1:8">
      <c r="A188" s="20"/>
      <c r="B188" s="20"/>
      <c r="D188" s="27"/>
      <c r="E188" s="14"/>
      <c r="F188" s="22" t="str">
        <f>IF(AND($D188&lt;&gt;"",$B188&lt;&gt;""),TEXT($D188,"yyyymmdd")&amp;"|"&amp;COUNTIFS($D$2:$D188,$D188,$B$2:$B188,"&lt;&gt;"),"")</f>
        <v/>
      </c>
      <c r="G188" s="22" t="str">
        <f t="shared" si="10"/>
        <v/>
      </c>
      <c r="H188" s="22">
        <f t="shared" ca="1" si="11"/>
        <v>999999999</v>
      </c>
    </row>
    <row r="189" spans="1:8">
      <c r="A189" s="20"/>
      <c r="B189" s="20"/>
      <c r="D189" s="27"/>
      <c r="E189" s="14"/>
      <c r="F189" s="22" t="str">
        <f>IF(AND($D189&lt;&gt;"",$B189&lt;&gt;""),TEXT($D189,"yyyymmdd")&amp;"|"&amp;COUNTIFS($D$2:$D189,$D189,$B$2:$B189,"&lt;&gt;"),"")</f>
        <v/>
      </c>
      <c r="G189" s="22" t="str">
        <f t="shared" si="10"/>
        <v/>
      </c>
      <c r="H189" s="22">
        <f t="shared" ca="1" si="11"/>
        <v>999999999</v>
      </c>
    </row>
    <row r="190" spans="1:8">
      <c r="A190" s="20"/>
      <c r="B190" s="20"/>
      <c r="D190" s="27"/>
      <c r="E190" s="14"/>
      <c r="F190" s="22" t="str">
        <f>IF(AND($D190&lt;&gt;"",$B190&lt;&gt;""),TEXT($D190,"yyyymmdd")&amp;"|"&amp;COUNTIFS($D$2:$D190,$D190,$B$2:$B190,"&lt;&gt;"),"")</f>
        <v/>
      </c>
      <c r="G190" s="22" t="str">
        <f t="shared" si="10"/>
        <v/>
      </c>
      <c r="H190" s="22">
        <f t="shared" ca="1" si="11"/>
        <v>999999999</v>
      </c>
    </row>
    <row r="191" spans="1:8">
      <c r="A191" s="20"/>
      <c r="B191" s="20"/>
      <c r="D191" s="27"/>
      <c r="E191" s="14"/>
      <c r="F191" s="22" t="str">
        <f>IF(AND($D191&lt;&gt;"",$B191&lt;&gt;""),TEXT($D191,"yyyymmdd")&amp;"|"&amp;COUNTIFS($D$2:$D191,$D191,$B$2:$B191,"&lt;&gt;"),"")</f>
        <v/>
      </c>
      <c r="G191" s="22" t="str">
        <f t="shared" si="10"/>
        <v/>
      </c>
      <c r="H191" s="22">
        <f t="shared" ca="1" si="11"/>
        <v>999999999</v>
      </c>
    </row>
    <row r="192" spans="1:8">
      <c r="A192" s="20"/>
      <c r="B192" s="20"/>
      <c r="D192" s="27"/>
      <c r="E192" s="14"/>
      <c r="F192" s="22" t="str">
        <f>IF(AND($D192&lt;&gt;"",$B192&lt;&gt;""),TEXT($D192,"yyyymmdd")&amp;"|"&amp;COUNTIFS($D$2:$D192,$D192,$B$2:$B192,"&lt;&gt;"),"")</f>
        <v/>
      </c>
      <c r="G192" s="22" t="str">
        <f t="shared" si="10"/>
        <v/>
      </c>
      <c r="H192" s="22">
        <f t="shared" ca="1" si="11"/>
        <v>999999999</v>
      </c>
    </row>
    <row r="193" spans="1:8">
      <c r="A193" s="20"/>
      <c r="B193" s="20"/>
      <c r="D193" s="27"/>
      <c r="E193" s="14"/>
      <c r="F193" s="22" t="str">
        <f>IF(AND($D193&lt;&gt;"",$B193&lt;&gt;""),TEXT($D193,"yyyymmdd")&amp;"|"&amp;COUNTIFS($D$2:$D193,$D193,$B$2:$B193,"&lt;&gt;"),"")</f>
        <v/>
      </c>
      <c r="G193" s="22" t="str">
        <f t="shared" si="10"/>
        <v/>
      </c>
      <c r="H193" s="22">
        <f t="shared" ca="1" si="11"/>
        <v>999999999</v>
      </c>
    </row>
    <row r="194" spans="1:8">
      <c r="A194" s="20"/>
      <c r="B194" s="20"/>
      <c r="D194" s="27"/>
      <c r="E194" s="14"/>
      <c r="F194" s="22" t="str">
        <f>IF(AND($D194&lt;&gt;"",$B194&lt;&gt;""),TEXT($D194,"yyyymmdd")&amp;"|"&amp;COUNTIFS($D$2:$D194,$D194,$B$2:$B194,"&lt;&gt;"),"")</f>
        <v/>
      </c>
      <c r="G194" s="22" t="str">
        <f t="shared" ref="G194:G201" si="12">IF($B194="","",$B194)</f>
        <v/>
      </c>
      <c r="H194" s="22">
        <f t="shared" ref="H194:H201" ca="1" si="13">IF(AND($D194&gt;=TODAY(),$B194&lt;&gt;"",$C194&lt;&gt;"Completed",$C194&lt;&gt;"Cancelled"),$D194,999999999)</f>
        <v>999999999</v>
      </c>
    </row>
    <row r="195" spans="1:8">
      <c r="A195" s="20"/>
      <c r="B195" s="20"/>
      <c r="D195" s="27"/>
      <c r="E195" s="14"/>
      <c r="F195" s="22" t="str">
        <f>IF(AND($D195&lt;&gt;"",$B195&lt;&gt;""),TEXT($D195,"yyyymmdd")&amp;"|"&amp;COUNTIFS($D$2:$D195,$D195,$B$2:$B195,"&lt;&gt;"),"")</f>
        <v/>
      </c>
      <c r="G195" s="22" t="str">
        <f t="shared" si="12"/>
        <v/>
      </c>
      <c r="H195" s="22">
        <f t="shared" ca="1" si="13"/>
        <v>999999999</v>
      </c>
    </row>
    <row r="196" spans="1:8">
      <c r="A196" s="20"/>
      <c r="B196" s="20"/>
      <c r="D196" s="27"/>
      <c r="E196" s="14"/>
      <c r="F196" s="22" t="str">
        <f>IF(AND($D196&lt;&gt;"",$B196&lt;&gt;""),TEXT($D196,"yyyymmdd")&amp;"|"&amp;COUNTIFS($D$2:$D196,$D196,$B$2:$B196,"&lt;&gt;"),"")</f>
        <v/>
      </c>
      <c r="G196" s="22" t="str">
        <f t="shared" si="12"/>
        <v/>
      </c>
      <c r="H196" s="22">
        <f t="shared" ca="1" si="13"/>
        <v>999999999</v>
      </c>
    </row>
    <row r="197" spans="1:8">
      <c r="A197" s="20"/>
      <c r="B197" s="20"/>
      <c r="D197" s="27"/>
      <c r="E197" s="14"/>
      <c r="F197" s="22" t="str">
        <f>IF(AND($D197&lt;&gt;"",$B197&lt;&gt;""),TEXT($D197,"yyyymmdd")&amp;"|"&amp;COUNTIFS($D$2:$D197,$D197,$B$2:$B197,"&lt;&gt;"),"")</f>
        <v/>
      </c>
      <c r="G197" s="22" t="str">
        <f t="shared" si="12"/>
        <v/>
      </c>
      <c r="H197" s="22">
        <f t="shared" ca="1" si="13"/>
        <v>999999999</v>
      </c>
    </row>
    <row r="198" spans="1:8">
      <c r="A198" s="20"/>
      <c r="B198" s="20"/>
      <c r="D198" s="27"/>
      <c r="E198" s="14"/>
      <c r="F198" s="22" t="str">
        <f>IF(AND($D198&lt;&gt;"",$B198&lt;&gt;""),TEXT($D198,"yyyymmdd")&amp;"|"&amp;COUNTIFS($D$2:$D198,$D198,$B$2:$B198,"&lt;&gt;"),"")</f>
        <v/>
      </c>
      <c r="G198" s="22" t="str">
        <f t="shared" si="12"/>
        <v/>
      </c>
      <c r="H198" s="22">
        <f t="shared" ca="1" si="13"/>
        <v>999999999</v>
      </c>
    </row>
    <row r="199" spans="1:8">
      <c r="A199" s="20"/>
      <c r="B199" s="20"/>
      <c r="D199" s="27"/>
      <c r="E199" s="14"/>
      <c r="F199" s="22" t="str">
        <f>IF(AND($D199&lt;&gt;"",$B199&lt;&gt;""),TEXT($D199,"yyyymmdd")&amp;"|"&amp;COUNTIFS($D$2:$D199,$D199,$B$2:$B199,"&lt;&gt;"),"")</f>
        <v/>
      </c>
      <c r="G199" s="22" t="str">
        <f t="shared" si="12"/>
        <v/>
      </c>
      <c r="H199" s="22">
        <f t="shared" ca="1" si="13"/>
        <v>999999999</v>
      </c>
    </row>
    <row r="200" spans="1:8">
      <c r="A200" s="20"/>
      <c r="B200" s="20"/>
      <c r="D200" s="27"/>
      <c r="E200" s="14"/>
      <c r="F200" s="22" t="str">
        <f>IF(AND($D200&lt;&gt;"",$B200&lt;&gt;""),TEXT($D200,"yyyymmdd")&amp;"|"&amp;COUNTIFS($D$2:$D200,$D200,$B$2:$B200,"&lt;&gt;"),"")</f>
        <v/>
      </c>
      <c r="G200" s="22" t="str">
        <f t="shared" si="12"/>
        <v/>
      </c>
      <c r="H200" s="22">
        <f t="shared" ca="1" si="13"/>
        <v>999999999</v>
      </c>
    </row>
    <row r="201" spans="1:8">
      <c r="A201" s="20"/>
      <c r="B201" s="20"/>
      <c r="D201" s="27"/>
      <c r="E201" s="14"/>
      <c r="F201" s="22" t="str">
        <f>IF(AND($D201&lt;&gt;"",$B201&lt;&gt;""),TEXT($D201,"yyyymmdd")&amp;"|"&amp;COUNTIFS($D$2:$D201,$D201,$B$2:$B201,"&lt;&gt;"),"")</f>
        <v/>
      </c>
      <c r="G201" s="22" t="str">
        <f t="shared" si="12"/>
        <v/>
      </c>
      <c r="H201" s="22">
        <f t="shared" ca="1" si="13"/>
        <v>999999999</v>
      </c>
    </row>
  </sheetData>
  <conditionalFormatting sqref="A2:E2000">
    <cfRule type="expression" dxfId="6" priority="1">
      <formula>$C2="Upcoming"</formula>
    </cfRule>
    <cfRule type="expression" dxfId="5" priority="2">
      <formula>$C2="In Progress"</formula>
    </cfRule>
    <cfRule type="expression" dxfId="4" priority="3">
      <formula>$C2="Cancelled"</formula>
    </cfRule>
    <cfRule type="expression" dxfId="3" priority="4">
      <formula>$C2="Completed"</formula>
    </cfRule>
  </conditionalFormatting>
  <dataValidations count="1">
    <dataValidation type="list" allowBlank="1" showInputMessage="1" showErrorMessage="1" errorTitle="Invalid Status" error="Please select a valid status from the dropdown." promptTitle="Select Status" prompt="Choose one: Upcoming, In Progress, Completed, or Cancelled." sqref="C2:C1048576" xr:uid="{00000000-0002-0000-0100-000000000000}">
      <formula1>"Upcoming,In Progress,Completed,Cancelled"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sqref="A1:H1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38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</row>
    <row r="4" spans="1:8" ht="20.100000000000001" customHeight="1">
      <c r="A4" s="5" t="s">
        <v>47</v>
      </c>
      <c r="B4" s="6"/>
      <c r="C4" s="6"/>
      <c r="D4" s="6"/>
      <c r="E4" s="6"/>
      <c r="F4" s="6">
        <v>46388</v>
      </c>
      <c r="G4" s="6">
        <v>46389</v>
      </c>
      <c r="H4" s="6">
        <v>46390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>TEST</v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5" t="s">
        <v>48</v>
      </c>
      <c r="B6" s="6">
        <v>46391</v>
      </c>
      <c r="C6" s="6">
        <v>46392</v>
      </c>
      <c r="D6" s="6">
        <v>46393</v>
      </c>
      <c r="E6" s="6">
        <v>46394</v>
      </c>
      <c r="F6" s="6">
        <v>46395</v>
      </c>
      <c r="G6" s="6">
        <v>46396</v>
      </c>
      <c r="H6" s="6">
        <v>46397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5" t="s">
        <v>49</v>
      </c>
      <c r="B8" s="6">
        <v>46398</v>
      </c>
      <c r="C8" s="6">
        <v>46399</v>
      </c>
      <c r="D8" s="6">
        <v>46400</v>
      </c>
      <c r="E8" s="6">
        <v>46401</v>
      </c>
      <c r="F8" s="6">
        <v>46402</v>
      </c>
      <c r="G8" s="6">
        <v>46403</v>
      </c>
      <c r="H8" s="6">
        <v>46404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5" t="s">
        <v>50</v>
      </c>
      <c r="B10" s="6">
        <v>46405</v>
      </c>
      <c r="C10" s="6">
        <v>46406</v>
      </c>
      <c r="D10" s="6">
        <v>46407</v>
      </c>
      <c r="E10" s="6">
        <v>46408</v>
      </c>
      <c r="F10" s="6">
        <v>46409</v>
      </c>
      <c r="G10" s="6">
        <v>46410</v>
      </c>
      <c r="H10" s="6">
        <v>46411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5" t="s">
        <v>51</v>
      </c>
      <c r="B12" s="6">
        <v>46412</v>
      </c>
      <c r="C12" s="6">
        <v>46413</v>
      </c>
      <c r="D12" s="6">
        <v>46414</v>
      </c>
      <c r="E12" s="6">
        <v>46415</v>
      </c>
      <c r="F12" s="6">
        <v>46416</v>
      </c>
      <c r="G12" s="6">
        <v>46417</v>
      </c>
      <c r="H12" s="6">
        <v>46418</v>
      </c>
    </row>
    <row r="13" spans="1:8" ht="60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37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8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sqref="A1:H1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54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</row>
    <row r="4" spans="1:8" ht="20.100000000000001" customHeight="1">
      <c r="A4" s="5" t="s">
        <v>47</v>
      </c>
      <c r="B4" s="6">
        <v>46419</v>
      </c>
      <c r="C4" s="6">
        <v>46420</v>
      </c>
      <c r="D4" s="6">
        <v>46421</v>
      </c>
      <c r="E4" s="6">
        <v>46422</v>
      </c>
      <c r="F4" s="6">
        <v>46423</v>
      </c>
      <c r="G4" s="6">
        <v>46424</v>
      </c>
      <c r="H4" s="6">
        <v>46425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>TEST</v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5" t="s">
        <v>48</v>
      </c>
      <c r="B6" s="6">
        <v>46426</v>
      </c>
      <c r="C6" s="6">
        <v>46427</v>
      </c>
      <c r="D6" s="6">
        <v>46428</v>
      </c>
      <c r="E6" s="6">
        <v>46429</v>
      </c>
      <c r="F6" s="6">
        <v>46430</v>
      </c>
      <c r="G6" s="6">
        <v>46431</v>
      </c>
      <c r="H6" s="6">
        <v>46432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5" t="s">
        <v>49</v>
      </c>
      <c r="B8" s="6">
        <v>46433</v>
      </c>
      <c r="C8" s="6">
        <v>46434</v>
      </c>
      <c r="D8" s="6">
        <v>46435</v>
      </c>
      <c r="E8" s="6">
        <v>46436</v>
      </c>
      <c r="F8" s="6">
        <v>46437</v>
      </c>
      <c r="G8" s="6">
        <v>46438</v>
      </c>
      <c r="H8" s="6">
        <v>46439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5" t="s">
        <v>50</v>
      </c>
      <c r="B10" s="6">
        <v>46440</v>
      </c>
      <c r="C10" s="6">
        <v>46441</v>
      </c>
      <c r="D10" s="6">
        <v>46442</v>
      </c>
      <c r="E10" s="6">
        <v>46443</v>
      </c>
      <c r="F10" s="6">
        <v>46444</v>
      </c>
      <c r="G10" s="6">
        <v>46445</v>
      </c>
      <c r="H10" s="6">
        <v>46446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5"/>
      <c r="B12" s="6"/>
      <c r="C12" s="6"/>
      <c r="D12" s="6"/>
      <c r="E12" s="6"/>
      <c r="F12" s="6"/>
      <c r="G12" s="6"/>
      <c r="H12" s="6"/>
    </row>
    <row r="13" spans="1:8" ht="60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37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8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sqref="A1:H1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55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</row>
    <row r="4" spans="1:8" ht="20.100000000000001" customHeight="1">
      <c r="A4" s="5" t="s">
        <v>47</v>
      </c>
      <c r="B4" s="6">
        <v>46447</v>
      </c>
      <c r="C4" s="6">
        <v>46448</v>
      </c>
      <c r="D4" s="6">
        <v>46449</v>
      </c>
      <c r="E4" s="6">
        <v>46450</v>
      </c>
      <c r="F4" s="6">
        <v>46451</v>
      </c>
      <c r="G4" s="6">
        <v>46452</v>
      </c>
      <c r="H4" s="6">
        <v>46453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>TEST</v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5" t="s">
        <v>48</v>
      </c>
      <c r="B6" s="6">
        <v>46454</v>
      </c>
      <c r="C6" s="6">
        <v>46455</v>
      </c>
      <c r="D6" s="6">
        <v>46456</v>
      </c>
      <c r="E6" s="6">
        <v>46457</v>
      </c>
      <c r="F6" s="6">
        <v>46458</v>
      </c>
      <c r="G6" s="6">
        <v>46459</v>
      </c>
      <c r="H6" s="6">
        <v>46460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5" t="s">
        <v>49</v>
      </c>
      <c r="B8" s="6">
        <v>46461</v>
      </c>
      <c r="C8" s="6">
        <v>46462</v>
      </c>
      <c r="D8" s="6">
        <v>46463</v>
      </c>
      <c r="E8" s="6">
        <v>46464</v>
      </c>
      <c r="F8" s="6">
        <v>46465</v>
      </c>
      <c r="G8" s="6">
        <v>46466</v>
      </c>
      <c r="H8" s="6">
        <v>46467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5" t="s">
        <v>50</v>
      </c>
      <c r="B10" s="6">
        <v>46468</v>
      </c>
      <c r="C10" s="6">
        <v>46469</v>
      </c>
      <c r="D10" s="6">
        <v>46470</v>
      </c>
      <c r="E10" s="6">
        <v>46471</v>
      </c>
      <c r="F10" s="6">
        <v>46472</v>
      </c>
      <c r="G10" s="6">
        <v>46473</v>
      </c>
      <c r="H10" s="6">
        <v>46474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5" t="s">
        <v>51</v>
      </c>
      <c r="B12" s="6">
        <v>46475</v>
      </c>
      <c r="C12" s="6">
        <v>46476</v>
      </c>
      <c r="D12" s="6">
        <v>46477</v>
      </c>
      <c r="E12" s="6"/>
      <c r="F12" s="6"/>
      <c r="G12" s="6"/>
      <c r="H12" s="6"/>
    </row>
    <row r="13" spans="1:8" ht="60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37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8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sqref="A1:H1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56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</row>
    <row r="4" spans="1:8" ht="20.100000000000001" customHeight="1">
      <c r="A4" s="5" t="s">
        <v>47</v>
      </c>
      <c r="B4" s="6"/>
      <c r="C4" s="6"/>
      <c r="D4" s="6"/>
      <c r="E4" s="6">
        <v>46478</v>
      </c>
      <c r="F4" s="6">
        <v>46479</v>
      </c>
      <c r="G4" s="6">
        <v>46480</v>
      </c>
      <c r="H4" s="6">
        <v>46481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>TEST</v>
      </c>
    </row>
    <row r="6" spans="1:8" ht="20.100000000000001" customHeight="1">
      <c r="A6" s="5" t="s">
        <v>48</v>
      </c>
      <c r="B6" s="6">
        <v>46482</v>
      </c>
      <c r="C6" s="6">
        <v>46483</v>
      </c>
      <c r="D6" s="6">
        <v>46484</v>
      </c>
      <c r="E6" s="6">
        <v>46485</v>
      </c>
      <c r="F6" s="6">
        <v>46486</v>
      </c>
      <c r="G6" s="6">
        <v>46487</v>
      </c>
      <c r="H6" s="6">
        <v>46488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5" t="s">
        <v>49</v>
      </c>
      <c r="B8" s="6">
        <v>46489</v>
      </c>
      <c r="C8" s="6">
        <v>46490</v>
      </c>
      <c r="D8" s="6">
        <v>46491</v>
      </c>
      <c r="E8" s="6">
        <v>46492</v>
      </c>
      <c r="F8" s="6">
        <v>46493</v>
      </c>
      <c r="G8" s="6">
        <v>46494</v>
      </c>
      <c r="H8" s="6">
        <v>46495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5" t="s">
        <v>50</v>
      </c>
      <c r="B10" s="6">
        <v>46496</v>
      </c>
      <c r="C10" s="6">
        <v>46497</v>
      </c>
      <c r="D10" s="6">
        <v>46498</v>
      </c>
      <c r="E10" s="6">
        <v>46499</v>
      </c>
      <c r="F10" s="6">
        <v>46500</v>
      </c>
      <c r="G10" s="6">
        <v>46501</v>
      </c>
      <c r="H10" s="6">
        <v>46502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5" t="s">
        <v>51</v>
      </c>
      <c r="B12" s="6">
        <v>46503</v>
      </c>
      <c r="C12" s="6">
        <v>46504</v>
      </c>
      <c r="D12" s="6">
        <v>46505</v>
      </c>
      <c r="E12" s="6">
        <v>46506</v>
      </c>
      <c r="F12" s="6">
        <v>46507</v>
      </c>
      <c r="G12" s="6"/>
      <c r="H12" s="6"/>
    </row>
    <row r="13" spans="1:8" ht="60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37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8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selection sqref="A1:H1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57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</row>
    <row r="4" spans="1:8" ht="20.100000000000001" customHeight="1">
      <c r="A4" s="9" t="s">
        <v>47</v>
      </c>
      <c r="B4" s="10"/>
      <c r="C4" s="10"/>
      <c r="D4" s="10"/>
      <c r="E4" s="10"/>
      <c r="F4" s="10"/>
      <c r="G4" s="10">
        <v>46508</v>
      </c>
      <c r="H4" s="10">
        <v>46509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9" t="s">
        <v>48</v>
      </c>
      <c r="B6" s="10">
        <v>46510</v>
      </c>
      <c r="C6" s="10">
        <v>46511</v>
      </c>
      <c r="D6" s="10">
        <v>46512</v>
      </c>
      <c r="E6" s="10">
        <v>46513</v>
      </c>
      <c r="F6" s="10">
        <v>46514</v>
      </c>
      <c r="G6" s="10">
        <v>46515</v>
      </c>
      <c r="H6" s="10">
        <v>46516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>TEST</v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9" t="s">
        <v>49</v>
      </c>
      <c r="B8" s="10">
        <v>46517</v>
      </c>
      <c r="C8" s="10">
        <v>46518</v>
      </c>
      <c r="D8" s="10">
        <v>46519</v>
      </c>
      <c r="E8" s="10">
        <v>46520</v>
      </c>
      <c r="F8" s="10">
        <v>46521</v>
      </c>
      <c r="G8" s="10">
        <v>46522</v>
      </c>
      <c r="H8" s="10">
        <v>46523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9" t="s">
        <v>50</v>
      </c>
      <c r="B10" s="10">
        <v>46524</v>
      </c>
      <c r="C10" s="10">
        <v>46525</v>
      </c>
      <c r="D10" s="10">
        <v>46526</v>
      </c>
      <c r="E10" s="10">
        <v>46527</v>
      </c>
      <c r="F10" s="10">
        <v>46528</v>
      </c>
      <c r="G10" s="10">
        <v>46529</v>
      </c>
      <c r="H10" s="10">
        <v>46530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9" t="s">
        <v>51</v>
      </c>
      <c r="B12" s="10">
        <v>46531</v>
      </c>
      <c r="C12" s="10">
        <v>46532</v>
      </c>
      <c r="D12" s="10">
        <v>46533</v>
      </c>
      <c r="E12" s="10">
        <v>46534</v>
      </c>
      <c r="F12" s="10">
        <v>46535</v>
      </c>
      <c r="G12" s="10">
        <v>46536</v>
      </c>
      <c r="H12" s="10">
        <v>46537</v>
      </c>
    </row>
    <row r="13" spans="1:8" ht="54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 ht="20.100000000000001" customHeight="1">
      <c r="A14" s="9" t="s">
        <v>58</v>
      </c>
      <c r="B14" s="10">
        <v>46538</v>
      </c>
      <c r="C14" s="10"/>
      <c r="D14" s="10"/>
      <c r="E14" s="10"/>
      <c r="F14" s="10"/>
      <c r="G14" s="10"/>
      <c r="H14" s="10"/>
    </row>
    <row r="15" spans="1:8" ht="54" customHeight="1">
      <c r="A15" s="7"/>
      <c r="B15" s="2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2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2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2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2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2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2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/>
    <row r="17" spans="1:8" ht="20.100000000000001" customHeight="1">
      <c r="A17" s="40" t="s">
        <v>52</v>
      </c>
      <c r="B17" s="35"/>
      <c r="C17" s="35"/>
      <c r="D17" s="35"/>
      <c r="E17" s="35"/>
      <c r="F17" s="35"/>
      <c r="G17" s="35"/>
      <c r="H17" s="35"/>
    </row>
    <row r="18" spans="1:8" ht="27.95" customHeight="1">
      <c r="A18" s="39" t="s">
        <v>53</v>
      </c>
      <c r="B18" s="35"/>
      <c r="C18" s="35"/>
      <c r="D18" s="35"/>
      <c r="E18" s="35"/>
      <c r="F18" s="35"/>
      <c r="G18" s="35"/>
      <c r="H18" s="35"/>
    </row>
  </sheetData>
  <mergeCells count="4">
    <mergeCell ref="A18:H18"/>
    <mergeCell ref="A1:H1"/>
    <mergeCell ref="A2:H2"/>
    <mergeCell ref="A17: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>
      <selection activeCell="E7" sqref="E7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59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</row>
    <row r="4" spans="1:8" ht="20.100000000000001" customHeight="1">
      <c r="A4" s="5" t="s">
        <v>47</v>
      </c>
      <c r="B4" s="6"/>
      <c r="C4" s="6">
        <v>46539</v>
      </c>
      <c r="D4" s="6">
        <v>46540</v>
      </c>
      <c r="E4" s="6">
        <v>46541</v>
      </c>
      <c r="F4" s="6">
        <v>46542</v>
      </c>
      <c r="G4" s="6">
        <v>46543</v>
      </c>
      <c r="H4" s="6">
        <v>46544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>TEST</v>
      </c>
    </row>
    <row r="6" spans="1:8" ht="20.100000000000001" customHeight="1">
      <c r="A6" s="5" t="s">
        <v>48</v>
      </c>
      <c r="B6" s="6">
        <v>46545</v>
      </c>
      <c r="C6" s="6">
        <v>46546</v>
      </c>
      <c r="D6" s="6">
        <v>46547</v>
      </c>
      <c r="E6" s="6">
        <v>46548</v>
      </c>
      <c r="F6" s="6">
        <v>46549</v>
      </c>
      <c r="G6" s="6">
        <v>46550</v>
      </c>
      <c r="H6" s="6">
        <v>46551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5" t="s">
        <v>49</v>
      </c>
      <c r="B8" s="6">
        <v>46552</v>
      </c>
      <c r="C8" s="6">
        <v>46553</v>
      </c>
      <c r="D8" s="6">
        <v>46554</v>
      </c>
      <c r="E8" s="6">
        <v>46555</v>
      </c>
      <c r="F8" s="6">
        <v>46556</v>
      </c>
      <c r="G8" s="6">
        <v>46557</v>
      </c>
      <c r="H8" s="6">
        <v>46558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5" t="s">
        <v>50</v>
      </c>
      <c r="B10" s="6">
        <v>46559</v>
      </c>
      <c r="C10" s="6">
        <v>46560</v>
      </c>
      <c r="D10" s="6">
        <v>46561</v>
      </c>
      <c r="E10" s="6">
        <v>46562</v>
      </c>
      <c r="F10" s="6">
        <v>46563</v>
      </c>
      <c r="G10" s="6">
        <v>46564</v>
      </c>
      <c r="H10" s="6">
        <v>46565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5" t="s">
        <v>51</v>
      </c>
      <c r="B12" s="6">
        <v>46566</v>
      </c>
      <c r="C12" s="6">
        <v>46567</v>
      </c>
      <c r="D12" s="6">
        <v>46568</v>
      </c>
      <c r="E12" s="6"/>
      <c r="F12" s="6"/>
      <c r="G12" s="6"/>
      <c r="H12" s="6"/>
    </row>
    <row r="13" spans="1:8" ht="60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37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8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conditionalFormatting sqref="B5:H13">
    <cfRule type="containsText" dxfId="2" priority="1" operator="containsText" text="Completed"/>
    <cfRule type="containsText" dxfId="1" priority="2" operator="containsText" text="In Progress"/>
    <cfRule type="containsText" dxfId="0" priority="3" operator="containsText" text="Upcoming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>
      <selection activeCell="A2" sqref="A2:H2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60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</row>
    <row r="4" spans="1:8" ht="20.100000000000001" customHeight="1">
      <c r="A4" s="9" t="s">
        <v>47</v>
      </c>
      <c r="B4" s="10"/>
      <c r="C4" s="10"/>
      <c r="D4" s="10"/>
      <c r="E4" s="10">
        <v>46569</v>
      </c>
      <c r="F4" s="10">
        <v>46570</v>
      </c>
      <c r="G4" s="10">
        <v>46571</v>
      </c>
      <c r="H4" s="10">
        <v>46572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9" t="s">
        <v>48</v>
      </c>
      <c r="B6" s="10">
        <v>46573</v>
      </c>
      <c r="C6" s="10">
        <v>46574</v>
      </c>
      <c r="D6" s="10">
        <v>46575</v>
      </c>
      <c r="E6" s="10">
        <v>46576</v>
      </c>
      <c r="F6" s="10">
        <v>46577</v>
      </c>
      <c r="G6" s="10">
        <v>46578</v>
      </c>
      <c r="H6" s="10">
        <v>46579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9" t="s">
        <v>49</v>
      </c>
      <c r="B8" s="10">
        <v>46580</v>
      </c>
      <c r="C8" s="10">
        <v>46581</v>
      </c>
      <c r="D8" s="10">
        <v>46582</v>
      </c>
      <c r="E8" s="10">
        <v>46583</v>
      </c>
      <c r="F8" s="10">
        <v>46584</v>
      </c>
      <c r="G8" s="10">
        <v>46585</v>
      </c>
      <c r="H8" s="10">
        <v>46586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9" t="s">
        <v>50</v>
      </c>
      <c r="B10" s="10">
        <v>46587</v>
      </c>
      <c r="C10" s="10">
        <v>46588</v>
      </c>
      <c r="D10" s="10">
        <v>46589</v>
      </c>
      <c r="E10" s="10">
        <v>46590</v>
      </c>
      <c r="F10" s="10">
        <v>46591</v>
      </c>
      <c r="G10" s="10">
        <v>46592</v>
      </c>
      <c r="H10" s="10">
        <v>46593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9" t="s">
        <v>51</v>
      </c>
      <c r="B12" s="10">
        <v>46594</v>
      </c>
      <c r="C12" s="10">
        <v>46595</v>
      </c>
      <c r="D12" s="10">
        <v>46596</v>
      </c>
      <c r="E12" s="10">
        <v>46597</v>
      </c>
      <c r="F12" s="10">
        <v>46598</v>
      </c>
      <c r="G12" s="10">
        <v>46599</v>
      </c>
      <c r="H12" s="10"/>
    </row>
    <row r="13" spans="1:8" ht="54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40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9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8"/>
  <sheetViews>
    <sheetView topLeftCell="A5" workbookViewId="0">
      <selection activeCell="A2" sqref="A2:H2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61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</row>
    <row r="4" spans="1:8" ht="20.100000000000001" customHeight="1">
      <c r="A4" s="9" t="s">
        <v>47</v>
      </c>
      <c r="B4" s="10"/>
      <c r="C4" s="10"/>
      <c r="D4" s="10"/>
      <c r="E4" s="10"/>
      <c r="F4" s="10"/>
      <c r="G4" s="10"/>
      <c r="H4" s="10">
        <v>46600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9" t="s">
        <v>48</v>
      </c>
      <c r="B6" s="10">
        <v>46601</v>
      </c>
      <c r="C6" s="10">
        <v>46602</v>
      </c>
      <c r="D6" s="10">
        <v>46603</v>
      </c>
      <c r="E6" s="10">
        <v>46604</v>
      </c>
      <c r="F6" s="10">
        <v>46605</v>
      </c>
      <c r="G6" s="10">
        <v>46606</v>
      </c>
      <c r="H6" s="10">
        <v>46607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9" t="s">
        <v>49</v>
      </c>
      <c r="B8" s="10">
        <v>46608</v>
      </c>
      <c r="C8" s="10">
        <v>46609</v>
      </c>
      <c r="D8" s="10">
        <v>46610</v>
      </c>
      <c r="E8" s="10">
        <v>46611</v>
      </c>
      <c r="F8" s="10">
        <v>46612</v>
      </c>
      <c r="G8" s="10">
        <v>46613</v>
      </c>
      <c r="H8" s="10">
        <v>46614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9" t="s">
        <v>50</v>
      </c>
      <c r="B10" s="10">
        <v>46615</v>
      </c>
      <c r="C10" s="10">
        <v>46616</v>
      </c>
      <c r="D10" s="10">
        <v>46617</v>
      </c>
      <c r="E10" s="10">
        <v>46618</v>
      </c>
      <c r="F10" s="10">
        <v>46619</v>
      </c>
      <c r="G10" s="10">
        <v>46620</v>
      </c>
      <c r="H10" s="10">
        <v>46621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9" t="s">
        <v>51</v>
      </c>
      <c r="B12" s="10">
        <v>46622</v>
      </c>
      <c r="C12" s="10">
        <v>46623</v>
      </c>
      <c r="D12" s="10">
        <v>46624</v>
      </c>
      <c r="E12" s="10">
        <v>46625</v>
      </c>
      <c r="F12" s="10">
        <v>46626</v>
      </c>
      <c r="G12" s="10">
        <v>46627</v>
      </c>
      <c r="H12" s="10">
        <v>46628</v>
      </c>
    </row>
    <row r="13" spans="1:8" ht="54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 ht="20.100000000000001" customHeight="1">
      <c r="A14" s="9" t="s">
        <v>58</v>
      </c>
      <c r="B14" s="10">
        <v>46629</v>
      </c>
      <c r="C14" s="10">
        <v>46630</v>
      </c>
      <c r="D14" s="10"/>
      <c r="E14" s="10"/>
      <c r="F14" s="10"/>
      <c r="G14" s="10"/>
      <c r="H14" s="10"/>
    </row>
    <row r="15" spans="1:8" ht="54" customHeight="1">
      <c r="A15" s="7"/>
      <c r="B15" s="2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2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2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2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2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2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2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/>
    <row r="17" spans="1:8" ht="20.100000000000001" customHeight="1">
      <c r="A17" s="40" t="s">
        <v>52</v>
      </c>
      <c r="B17" s="35"/>
      <c r="C17" s="35"/>
      <c r="D17" s="35"/>
      <c r="E17" s="35"/>
      <c r="F17" s="35"/>
      <c r="G17" s="35"/>
      <c r="H17" s="35"/>
    </row>
    <row r="18" spans="1:8" ht="27.95" customHeight="1">
      <c r="A18" s="39" t="s">
        <v>53</v>
      </c>
      <c r="B18" s="35"/>
      <c r="C18" s="35"/>
      <c r="D18" s="35"/>
      <c r="E18" s="35"/>
      <c r="F18" s="35"/>
      <c r="G18" s="35"/>
      <c r="H18" s="35"/>
    </row>
  </sheetData>
  <mergeCells count="4">
    <mergeCell ref="A18:H18"/>
    <mergeCell ref="A1:H1"/>
    <mergeCell ref="A2:H2"/>
    <mergeCell ref="A17:H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topLeftCell="A4" workbookViewId="0">
      <selection activeCell="A2" sqref="A2:H2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62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</row>
    <row r="4" spans="1:8" ht="20.100000000000001" customHeight="1">
      <c r="A4" s="9" t="s">
        <v>47</v>
      </c>
      <c r="B4" s="10"/>
      <c r="C4" s="10"/>
      <c r="D4" s="10">
        <v>46631</v>
      </c>
      <c r="E4" s="10">
        <v>46632</v>
      </c>
      <c r="F4" s="10">
        <v>46633</v>
      </c>
      <c r="G4" s="10">
        <v>46634</v>
      </c>
      <c r="H4" s="10">
        <v>46635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9" t="s">
        <v>48</v>
      </c>
      <c r="B6" s="10">
        <v>46636</v>
      </c>
      <c r="C6" s="10">
        <v>46637</v>
      </c>
      <c r="D6" s="10">
        <v>46638</v>
      </c>
      <c r="E6" s="10">
        <v>46639</v>
      </c>
      <c r="F6" s="10">
        <v>46640</v>
      </c>
      <c r="G6" s="10">
        <v>46641</v>
      </c>
      <c r="H6" s="10">
        <v>46642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9" t="s">
        <v>49</v>
      </c>
      <c r="B8" s="10">
        <v>46643</v>
      </c>
      <c r="C8" s="10">
        <v>46644</v>
      </c>
      <c r="D8" s="10">
        <v>46645</v>
      </c>
      <c r="E8" s="10">
        <v>46646</v>
      </c>
      <c r="F8" s="10">
        <v>46647</v>
      </c>
      <c r="G8" s="10">
        <v>46648</v>
      </c>
      <c r="H8" s="10">
        <v>46649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9" t="s">
        <v>50</v>
      </c>
      <c r="B10" s="10">
        <v>46650</v>
      </c>
      <c r="C10" s="10">
        <v>46651</v>
      </c>
      <c r="D10" s="10">
        <v>46652</v>
      </c>
      <c r="E10" s="10">
        <v>46653</v>
      </c>
      <c r="F10" s="10">
        <v>46654</v>
      </c>
      <c r="G10" s="10">
        <v>46655</v>
      </c>
      <c r="H10" s="10">
        <v>46656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9" t="s">
        <v>51</v>
      </c>
      <c r="B12" s="10">
        <v>46657</v>
      </c>
      <c r="C12" s="10">
        <v>46658</v>
      </c>
      <c r="D12" s="10">
        <v>46659</v>
      </c>
      <c r="E12" s="10">
        <v>46660</v>
      </c>
      <c r="F12" s="10"/>
      <c r="G12" s="10"/>
      <c r="H12" s="10"/>
    </row>
    <row r="13" spans="1:8" ht="54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40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9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topLeftCell="A4" workbookViewId="0">
      <selection activeCell="A2" sqref="A2:H2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63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</row>
    <row r="4" spans="1:8" ht="20.100000000000001" customHeight="1">
      <c r="A4" s="9" t="s">
        <v>47</v>
      </c>
      <c r="B4" s="10"/>
      <c r="C4" s="10"/>
      <c r="D4" s="10"/>
      <c r="E4" s="10"/>
      <c r="F4" s="10">
        <v>46661</v>
      </c>
      <c r="G4" s="10">
        <v>46662</v>
      </c>
      <c r="H4" s="10">
        <v>46663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9" t="s">
        <v>48</v>
      </c>
      <c r="B6" s="10">
        <v>46664</v>
      </c>
      <c r="C6" s="10">
        <v>46665</v>
      </c>
      <c r="D6" s="10">
        <v>46666</v>
      </c>
      <c r="E6" s="10">
        <v>46667</v>
      </c>
      <c r="F6" s="10">
        <v>46668</v>
      </c>
      <c r="G6" s="10">
        <v>46669</v>
      </c>
      <c r="H6" s="10">
        <v>46670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9" t="s">
        <v>49</v>
      </c>
      <c r="B8" s="10">
        <v>46671</v>
      </c>
      <c r="C8" s="10">
        <v>46672</v>
      </c>
      <c r="D8" s="10">
        <v>46673</v>
      </c>
      <c r="E8" s="10">
        <v>46674</v>
      </c>
      <c r="F8" s="10">
        <v>46675</v>
      </c>
      <c r="G8" s="10">
        <v>46676</v>
      </c>
      <c r="H8" s="10">
        <v>46677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9" t="s">
        <v>50</v>
      </c>
      <c r="B10" s="10">
        <v>46678</v>
      </c>
      <c r="C10" s="10">
        <v>46679</v>
      </c>
      <c r="D10" s="10">
        <v>46680</v>
      </c>
      <c r="E10" s="10">
        <v>46681</v>
      </c>
      <c r="F10" s="10">
        <v>46682</v>
      </c>
      <c r="G10" s="10">
        <v>46683</v>
      </c>
      <c r="H10" s="10">
        <v>46684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9" t="s">
        <v>51</v>
      </c>
      <c r="B12" s="10">
        <v>46685</v>
      </c>
      <c r="C12" s="10">
        <v>46686</v>
      </c>
      <c r="D12" s="10">
        <v>46687</v>
      </c>
      <c r="E12" s="10">
        <v>46688</v>
      </c>
      <c r="F12" s="10">
        <v>46689</v>
      </c>
      <c r="G12" s="10">
        <v>46690</v>
      </c>
      <c r="H12" s="10">
        <v>46691</v>
      </c>
    </row>
    <row r="13" spans="1:8" ht="54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40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9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8"/>
  <sheetViews>
    <sheetView topLeftCell="A5" workbookViewId="0">
      <selection activeCell="H9" sqref="H9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64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</row>
    <row r="4" spans="1:8" ht="20.100000000000001" customHeight="1">
      <c r="A4" s="9" t="s">
        <v>47</v>
      </c>
      <c r="B4" s="10">
        <v>46692</v>
      </c>
      <c r="C4" s="10">
        <v>46693</v>
      </c>
      <c r="D4" s="10">
        <v>46694</v>
      </c>
      <c r="E4" s="10">
        <v>46695</v>
      </c>
      <c r="F4" s="10">
        <v>46696</v>
      </c>
      <c r="G4" s="10">
        <v>46697</v>
      </c>
      <c r="H4" s="10">
        <v>46698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9" t="s">
        <v>48</v>
      </c>
      <c r="B6" s="10">
        <v>46699</v>
      </c>
      <c r="C6" s="10">
        <v>46700</v>
      </c>
      <c r="D6" s="10">
        <v>46701</v>
      </c>
      <c r="E6" s="10">
        <v>46702</v>
      </c>
      <c r="F6" s="10">
        <v>46703</v>
      </c>
      <c r="G6" s="10">
        <v>46704</v>
      </c>
      <c r="H6" s="10">
        <v>46705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9" t="s">
        <v>49</v>
      </c>
      <c r="B8" s="10">
        <v>46706</v>
      </c>
      <c r="C8" s="10">
        <v>46707</v>
      </c>
      <c r="D8" s="10">
        <v>46708</v>
      </c>
      <c r="E8" s="10">
        <v>46709</v>
      </c>
      <c r="F8" s="10">
        <v>46710</v>
      </c>
      <c r="G8" s="10">
        <v>46711</v>
      </c>
      <c r="H8" s="10">
        <v>46712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9" t="s">
        <v>50</v>
      </c>
      <c r="B10" s="10">
        <v>46713</v>
      </c>
      <c r="C10" s="10">
        <v>46714</v>
      </c>
      <c r="D10" s="10">
        <v>46715</v>
      </c>
      <c r="E10" s="10">
        <v>46716</v>
      </c>
      <c r="F10" s="10">
        <v>46717</v>
      </c>
      <c r="G10" s="10">
        <v>46718</v>
      </c>
      <c r="H10" s="10">
        <v>46719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9" t="s">
        <v>51</v>
      </c>
      <c r="B12" s="10">
        <v>46720</v>
      </c>
      <c r="C12" s="10">
        <v>46721</v>
      </c>
      <c r="D12" s="10"/>
      <c r="E12" s="10"/>
      <c r="F12" s="10"/>
      <c r="G12" s="10"/>
      <c r="H12" s="10"/>
    </row>
    <row r="13" spans="1:8" ht="54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 ht="20.100000000000001" customHeight="1">
      <c r="A14" s="9"/>
      <c r="B14" s="10"/>
      <c r="C14" s="10"/>
      <c r="D14" s="10"/>
      <c r="E14" s="10"/>
      <c r="F14" s="10"/>
      <c r="G14" s="10"/>
      <c r="H14" s="10"/>
    </row>
    <row r="15" spans="1:8" ht="54" customHeight="1">
      <c r="A15" s="7"/>
      <c r="B15" s="2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2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2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2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2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2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2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15">
      <c r="A16" s="40" t="s">
        <v>52</v>
      </c>
      <c r="B16" s="35"/>
      <c r="C16" s="35"/>
      <c r="D16" s="35"/>
      <c r="E16" s="35"/>
      <c r="F16" s="35"/>
      <c r="G16" s="35"/>
      <c r="H16" s="35"/>
    </row>
    <row r="17" spans="1:8" ht="20.100000000000001" customHeight="1">
      <c r="A17" s="39" t="s">
        <v>53</v>
      </c>
      <c r="B17" s="35"/>
      <c r="C17" s="35"/>
      <c r="D17" s="35"/>
      <c r="E17" s="35"/>
      <c r="F17" s="35"/>
      <c r="G17" s="35"/>
      <c r="H17" s="35"/>
    </row>
    <row r="18" spans="1:8" ht="27.95" customHeight="1"/>
  </sheetData>
  <mergeCells count="4">
    <mergeCell ref="A2:H2"/>
    <mergeCell ref="A1:H1"/>
    <mergeCell ref="A16:H16"/>
    <mergeCell ref="A17:H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topLeftCell="A4" workbookViewId="0">
      <selection activeCell="E13" sqref="E13"/>
    </sheetView>
  </sheetViews>
  <sheetFormatPr defaultColWidth="0" defaultRowHeight="14.25" zeroHeight="1"/>
  <cols>
    <col min="1" max="8" width="20.625" customWidth="1"/>
  </cols>
  <sheetData>
    <row r="1" spans="1:8" ht="27.95" customHeight="1">
      <c r="A1" s="34" t="s">
        <v>65</v>
      </c>
      <c r="B1" s="35"/>
      <c r="C1" s="35"/>
      <c r="D1" s="35"/>
      <c r="E1" s="35"/>
      <c r="F1" s="35"/>
      <c r="G1" s="35"/>
      <c r="H1" s="35"/>
    </row>
    <row r="2" spans="1:8" ht="24" customHeight="1">
      <c r="A2" s="36"/>
      <c r="B2" s="35"/>
      <c r="C2" s="35"/>
      <c r="D2" s="35"/>
      <c r="E2" s="35"/>
      <c r="F2" s="35"/>
      <c r="G2" s="35"/>
      <c r="H2" s="35"/>
    </row>
    <row r="3" spans="1:8" ht="20.100000000000001" customHeight="1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</row>
    <row r="4" spans="1:8" ht="20.100000000000001" customHeight="1">
      <c r="A4" s="9" t="s">
        <v>47</v>
      </c>
      <c r="B4" s="10"/>
      <c r="C4" s="10"/>
      <c r="D4" s="10">
        <v>46722</v>
      </c>
      <c r="E4" s="10">
        <v>46723</v>
      </c>
      <c r="F4" s="10">
        <v>46724</v>
      </c>
      <c r="G4" s="10">
        <v>46725</v>
      </c>
      <c r="H4" s="10">
        <v>46726</v>
      </c>
    </row>
    <row r="5" spans="1:8" ht="54" customHeight="1">
      <c r="A5" s="7"/>
      <c r="B5" s="23" t="str">
        <f>IF(B4="","",IFERROR(VLOOKUP(TEXT(B4,"yyyymmdd")&amp;"|1",'Project Tracker'!$F$2:$G$201,2,FALSE),"")&amp;IFERROR(CHAR(10)&amp;VLOOKUP(TEXT(B4,"yyyymmdd")&amp;"|2",'Project Tracker'!$F$2:$G$201,2,FALSE),"")&amp;IFERROR(CHAR(10)&amp;VLOOKUP(TEXT(B4,"yyyymmdd")&amp;"|3",'Project Tracker'!$F$2:$G$201,2,FALSE),"")&amp;IF(COUNTIFS('Project Tracker'!$D$2:$D$201,B4,'Project Tracker'!$B$2:$B$201,"&lt;&gt;")&gt;3,CHAR(10)&amp;"+ "&amp;(COUNTIFS('Project Tracker'!$D$2:$D$201,B4,'Project Tracker'!$B$2:$B$201,"&lt;&gt;")-3)&amp;" more",""))</f>
        <v/>
      </c>
      <c r="C5" s="23" t="str">
        <f>IF(C4="","",IFERROR(VLOOKUP(TEXT(C4,"yyyymmdd")&amp;"|1",'Project Tracker'!$F$2:$G$201,2,FALSE),"")&amp;IFERROR(CHAR(10)&amp;VLOOKUP(TEXT(C4,"yyyymmdd")&amp;"|2",'Project Tracker'!$F$2:$G$201,2,FALSE),"")&amp;IFERROR(CHAR(10)&amp;VLOOKUP(TEXT(C4,"yyyymmdd")&amp;"|3",'Project Tracker'!$F$2:$G$201,2,FALSE),"")&amp;IF(COUNTIFS('Project Tracker'!$D$2:$D$201,C4,'Project Tracker'!$B$2:$B$201,"&lt;&gt;")&gt;3,CHAR(10)&amp;"+ "&amp;(COUNTIFS('Project Tracker'!$D$2:$D$201,C4,'Project Tracker'!$B$2:$B$201,"&lt;&gt;")-3)&amp;" more",""))</f>
        <v/>
      </c>
      <c r="D5" s="23" t="str">
        <f>IF(D4="","",IFERROR(VLOOKUP(TEXT(D4,"yyyymmdd")&amp;"|1",'Project Tracker'!$F$2:$G$201,2,FALSE),"")&amp;IFERROR(CHAR(10)&amp;VLOOKUP(TEXT(D4,"yyyymmdd")&amp;"|2",'Project Tracker'!$F$2:$G$201,2,FALSE),"")&amp;IFERROR(CHAR(10)&amp;VLOOKUP(TEXT(D4,"yyyymmdd")&amp;"|3",'Project Tracker'!$F$2:$G$201,2,FALSE),"")&amp;IF(COUNTIFS('Project Tracker'!$D$2:$D$201,D4,'Project Tracker'!$B$2:$B$201,"&lt;&gt;")&gt;3,CHAR(10)&amp;"+ "&amp;(COUNTIFS('Project Tracker'!$D$2:$D$201,D4,'Project Tracker'!$B$2:$B$201,"&lt;&gt;")-3)&amp;" more",""))</f>
        <v/>
      </c>
      <c r="E5" s="23" t="str">
        <f>IF(E4="","",IFERROR(VLOOKUP(TEXT(E4,"yyyymmdd")&amp;"|1",'Project Tracker'!$F$2:$G$201,2,FALSE),"")&amp;IFERROR(CHAR(10)&amp;VLOOKUP(TEXT(E4,"yyyymmdd")&amp;"|2",'Project Tracker'!$F$2:$G$201,2,FALSE),"")&amp;IFERROR(CHAR(10)&amp;VLOOKUP(TEXT(E4,"yyyymmdd")&amp;"|3",'Project Tracker'!$F$2:$G$201,2,FALSE),"")&amp;IF(COUNTIFS('Project Tracker'!$D$2:$D$201,E4,'Project Tracker'!$B$2:$B$201,"&lt;&gt;")&gt;3,CHAR(10)&amp;"+ "&amp;(COUNTIFS('Project Tracker'!$D$2:$D$201,E4,'Project Tracker'!$B$2:$B$201,"&lt;&gt;")-3)&amp;" more",""))</f>
        <v/>
      </c>
      <c r="F5" s="23" t="str">
        <f>IF(F4="","",IFERROR(VLOOKUP(TEXT(F4,"yyyymmdd")&amp;"|1",'Project Tracker'!$F$2:$G$201,2,FALSE),"")&amp;IFERROR(CHAR(10)&amp;VLOOKUP(TEXT(F4,"yyyymmdd")&amp;"|2",'Project Tracker'!$F$2:$G$201,2,FALSE),"")&amp;IFERROR(CHAR(10)&amp;VLOOKUP(TEXT(F4,"yyyymmdd")&amp;"|3",'Project Tracker'!$F$2:$G$201,2,FALSE),"")&amp;IF(COUNTIFS('Project Tracker'!$D$2:$D$201,F4,'Project Tracker'!$B$2:$B$201,"&lt;&gt;")&gt;3,CHAR(10)&amp;"+ "&amp;(COUNTIFS('Project Tracker'!$D$2:$D$201,F4,'Project Tracker'!$B$2:$B$201,"&lt;&gt;")-3)&amp;" more",""))</f>
        <v/>
      </c>
      <c r="G5" s="23" t="str">
        <f>IF(G4="","",IFERROR(VLOOKUP(TEXT(G4,"yyyymmdd")&amp;"|1",'Project Tracker'!$F$2:$G$201,2,FALSE),"")&amp;IFERROR(CHAR(10)&amp;VLOOKUP(TEXT(G4,"yyyymmdd")&amp;"|2",'Project Tracker'!$F$2:$G$201,2,FALSE),"")&amp;IFERROR(CHAR(10)&amp;VLOOKUP(TEXT(G4,"yyyymmdd")&amp;"|3",'Project Tracker'!$F$2:$G$201,2,FALSE),"")&amp;IF(COUNTIFS('Project Tracker'!$D$2:$D$201,G4,'Project Tracker'!$B$2:$B$201,"&lt;&gt;")&gt;3,CHAR(10)&amp;"+ "&amp;(COUNTIFS('Project Tracker'!$D$2:$D$201,G4,'Project Tracker'!$B$2:$B$201,"&lt;&gt;")-3)&amp;" more",""))</f>
        <v/>
      </c>
      <c r="H5" s="23" t="str">
        <f>IF(H4="","",IFERROR(VLOOKUP(TEXT(H4,"yyyymmdd")&amp;"|1",'Project Tracker'!$F$2:$G$201,2,FALSE),"")&amp;IFERROR(CHAR(10)&amp;VLOOKUP(TEXT(H4,"yyyymmdd")&amp;"|2",'Project Tracker'!$F$2:$G$201,2,FALSE),"")&amp;IFERROR(CHAR(10)&amp;VLOOKUP(TEXT(H4,"yyyymmdd")&amp;"|3",'Project Tracker'!$F$2:$G$201,2,FALSE),"")&amp;IF(COUNTIFS('Project Tracker'!$D$2:$D$201,H4,'Project Tracker'!$B$2:$B$201,"&lt;&gt;")&gt;3,CHAR(10)&amp;"+ "&amp;(COUNTIFS('Project Tracker'!$D$2:$D$201,H4,'Project Tracker'!$B$2:$B$201,"&lt;&gt;")-3)&amp;" more",""))</f>
        <v/>
      </c>
    </row>
    <row r="6" spans="1:8" ht="20.100000000000001" customHeight="1">
      <c r="A6" s="9" t="s">
        <v>48</v>
      </c>
      <c r="B6" s="10">
        <v>46727</v>
      </c>
      <c r="C6" s="10">
        <v>46728</v>
      </c>
      <c r="D6" s="10">
        <v>46729</v>
      </c>
      <c r="E6" s="10">
        <v>46730</v>
      </c>
      <c r="F6" s="10">
        <v>46731</v>
      </c>
      <c r="G6" s="10">
        <v>46732</v>
      </c>
      <c r="H6" s="10">
        <v>46733</v>
      </c>
    </row>
    <row r="7" spans="1:8" ht="54" customHeight="1">
      <c r="A7" s="7"/>
      <c r="B7" s="23" t="str">
        <f>IF(B6="","",IFERROR(VLOOKUP(TEXT(B6,"yyyymmdd")&amp;"|1",'Project Tracker'!$F$2:$G$201,2,FALSE),"")&amp;IFERROR(CHAR(10)&amp;VLOOKUP(TEXT(B6,"yyyymmdd")&amp;"|2",'Project Tracker'!$F$2:$G$201,2,FALSE),"")&amp;IFERROR(CHAR(10)&amp;VLOOKUP(TEXT(B6,"yyyymmdd")&amp;"|3",'Project Tracker'!$F$2:$G$201,2,FALSE),"")&amp;IF(COUNTIFS('Project Tracker'!$D$2:$D$201,B6,'Project Tracker'!$B$2:$B$201,"&lt;&gt;")&gt;3,CHAR(10)&amp;"+ "&amp;(COUNTIFS('Project Tracker'!$D$2:$D$201,B6,'Project Tracker'!$B$2:$B$201,"&lt;&gt;")-3)&amp;" more",""))</f>
        <v/>
      </c>
      <c r="C7" s="23" t="str">
        <f>IF(C6="","",IFERROR(VLOOKUP(TEXT(C6,"yyyymmdd")&amp;"|1",'Project Tracker'!$F$2:$G$201,2,FALSE),"")&amp;IFERROR(CHAR(10)&amp;VLOOKUP(TEXT(C6,"yyyymmdd")&amp;"|2",'Project Tracker'!$F$2:$G$201,2,FALSE),"")&amp;IFERROR(CHAR(10)&amp;VLOOKUP(TEXT(C6,"yyyymmdd")&amp;"|3",'Project Tracker'!$F$2:$G$201,2,FALSE),"")&amp;IF(COUNTIFS('Project Tracker'!$D$2:$D$201,C6,'Project Tracker'!$B$2:$B$201,"&lt;&gt;")&gt;3,CHAR(10)&amp;"+ "&amp;(COUNTIFS('Project Tracker'!$D$2:$D$201,C6,'Project Tracker'!$B$2:$B$201,"&lt;&gt;")-3)&amp;" more",""))</f>
        <v/>
      </c>
      <c r="D7" s="23" t="str">
        <f>IF(D6="","",IFERROR(VLOOKUP(TEXT(D6,"yyyymmdd")&amp;"|1",'Project Tracker'!$F$2:$G$201,2,FALSE),"")&amp;IFERROR(CHAR(10)&amp;VLOOKUP(TEXT(D6,"yyyymmdd")&amp;"|2",'Project Tracker'!$F$2:$G$201,2,FALSE),"")&amp;IFERROR(CHAR(10)&amp;VLOOKUP(TEXT(D6,"yyyymmdd")&amp;"|3",'Project Tracker'!$F$2:$G$201,2,FALSE),"")&amp;IF(COUNTIFS('Project Tracker'!$D$2:$D$201,D6,'Project Tracker'!$B$2:$B$201,"&lt;&gt;")&gt;3,CHAR(10)&amp;"+ "&amp;(COUNTIFS('Project Tracker'!$D$2:$D$201,D6,'Project Tracker'!$B$2:$B$201,"&lt;&gt;")-3)&amp;" more",""))</f>
        <v/>
      </c>
      <c r="E7" s="23" t="str">
        <f>IF(E6="","",IFERROR(VLOOKUP(TEXT(E6,"yyyymmdd")&amp;"|1",'Project Tracker'!$F$2:$G$201,2,FALSE),"")&amp;IFERROR(CHAR(10)&amp;VLOOKUP(TEXT(E6,"yyyymmdd")&amp;"|2",'Project Tracker'!$F$2:$G$201,2,FALSE),"")&amp;IFERROR(CHAR(10)&amp;VLOOKUP(TEXT(E6,"yyyymmdd")&amp;"|3",'Project Tracker'!$F$2:$G$201,2,FALSE),"")&amp;IF(COUNTIFS('Project Tracker'!$D$2:$D$201,E6,'Project Tracker'!$B$2:$B$201,"&lt;&gt;")&gt;3,CHAR(10)&amp;"+ "&amp;(COUNTIFS('Project Tracker'!$D$2:$D$201,E6,'Project Tracker'!$B$2:$B$201,"&lt;&gt;")-3)&amp;" more",""))</f>
        <v/>
      </c>
      <c r="F7" s="23" t="str">
        <f>IF(F6="","",IFERROR(VLOOKUP(TEXT(F6,"yyyymmdd")&amp;"|1",'Project Tracker'!$F$2:$G$201,2,FALSE),"")&amp;IFERROR(CHAR(10)&amp;VLOOKUP(TEXT(F6,"yyyymmdd")&amp;"|2",'Project Tracker'!$F$2:$G$201,2,FALSE),"")&amp;IFERROR(CHAR(10)&amp;VLOOKUP(TEXT(F6,"yyyymmdd")&amp;"|3",'Project Tracker'!$F$2:$G$201,2,FALSE),"")&amp;IF(COUNTIFS('Project Tracker'!$D$2:$D$201,F6,'Project Tracker'!$B$2:$B$201,"&lt;&gt;")&gt;3,CHAR(10)&amp;"+ "&amp;(COUNTIFS('Project Tracker'!$D$2:$D$201,F6,'Project Tracker'!$B$2:$B$201,"&lt;&gt;")-3)&amp;" more",""))</f>
        <v/>
      </c>
      <c r="G7" s="23" t="str">
        <f>IF(G6="","",IFERROR(VLOOKUP(TEXT(G6,"yyyymmdd")&amp;"|1",'Project Tracker'!$F$2:$G$201,2,FALSE),"")&amp;IFERROR(CHAR(10)&amp;VLOOKUP(TEXT(G6,"yyyymmdd")&amp;"|2",'Project Tracker'!$F$2:$G$201,2,FALSE),"")&amp;IFERROR(CHAR(10)&amp;VLOOKUP(TEXT(G6,"yyyymmdd")&amp;"|3",'Project Tracker'!$F$2:$G$201,2,FALSE),"")&amp;IF(COUNTIFS('Project Tracker'!$D$2:$D$201,G6,'Project Tracker'!$B$2:$B$201,"&lt;&gt;")&gt;3,CHAR(10)&amp;"+ "&amp;(COUNTIFS('Project Tracker'!$D$2:$D$201,G6,'Project Tracker'!$B$2:$B$201,"&lt;&gt;")-3)&amp;" more",""))</f>
        <v/>
      </c>
      <c r="H7" s="23" t="str">
        <f>IF(H6="","",IFERROR(VLOOKUP(TEXT(H6,"yyyymmdd")&amp;"|1",'Project Tracker'!$F$2:$G$201,2,FALSE),"")&amp;IFERROR(CHAR(10)&amp;VLOOKUP(TEXT(H6,"yyyymmdd")&amp;"|2",'Project Tracker'!$F$2:$G$201,2,FALSE),"")&amp;IFERROR(CHAR(10)&amp;VLOOKUP(TEXT(H6,"yyyymmdd")&amp;"|3",'Project Tracker'!$F$2:$G$201,2,FALSE),"")&amp;IF(COUNTIFS('Project Tracker'!$D$2:$D$201,H6,'Project Tracker'!$B$2:$B$201,"&lt;&gt;")&gt;3,CHAR(10)&amp;"+ "&amp;(COUNTIFS('Project Tracker'!$D$2:$D$201,H6,'Project Tracker'!$B$2:$B$201,"&lt;&gt;")-3)&amp;" more",""))</f>
        <v/>
      </c>
    </row>
    <row r="8" spans="1:8" ht="20.100000000000001" customHeight="1">
      <c r="A8" s="9" t="s">
        <v>49</v>
      </c>
      <c r="B8" s="10">
        <v>46734</v>
      </c>
      <c r="C8" s="10">
        <v>46735</v>
      </c>
      <c r="D8" s="10">
        <v>46736</v>
      </c>
      <c r="E8" s="10">
        <v>46737</v>
      </c>
      <c r="F8" s="10">
        <v>46738</v>
      </c>
      <c r="G8" s="10">
        <v>46739</v>
      </c>
      <c r="H8" s="10">
        <v>46740</v>
      </c>
    </row>
    <row r="9" spans="1:8" ht="54" customHeight="1">
      <c r="A9" s="7"/>
      <c r="B9" s="23" t="str">
        <f>IF(B8="","",IFERROR(VLOOKUP(TEXT(B8,"yyyymmdd")&amp;"|1",'Project Tracker'!$F$2:$G$201,2,FALSE),"")&amp;IFERROR(CHAR(10)&amp;VLOOKUP(TEXT(B8,"yyyymmdd")&amp;"|2",'Project Tracker'!$F$2:$G$201,2,FALSE),"")&amp;IFERROR(CHAR(10)&amp;VLOOKUP(TEXT(B8,"yyyymmdd")&amp;"|3",'Project Tracker'!$F$2:$G$201,2,FALSE),"")&amp;IF(COUNTIFS('Project Tracker'!$D$2:$D$201,B8,'Project Tracker'!$B$2:$B$201,"&lt;&gt;")&gt;3,CHAR(10)&amp;"+ "&amp;(COUNTIFS('Project Tracker'!$D$2:$D$201,B8,'Project Tracker'!$B$2:$B$201,"&lt;&gt;")-3)&amp;" more",""))</f>
        <v/>
      </c>
      <c r="C9" s="23" t="str">
        <f>IF(C8="","",IFERROR(VLOOKUP(TEXT(C8,"yyyymmdd")&amp;"|1",'Project Tracker'!$F$2:$G$201,2,FALSE),"")&amp;IFERROR(CHAR(10)&amp;VLOOKUP(TEXT(C8,"yyyymmdd")&amp;"|2",'Project Tracker'!$F$2:$G$201,2,FALSE),"")&amp;IFERROR(CHAR(10)&amp;VLOOKUP(TEXT(C8,"yyyymmdd")&amp;"|3",'Project Tracker'!$F$2:$G$201,2,FALSE),"")&amp;IF(COUNTIFS('Project Tracker'!$D$2:$D$201,C8,'Project Tracker'!$B$2:$B$201,"&lt;&gt;")&gt;3,CHAR(10)&amp;"+ "&amp;(COUNTIFS('Project Tracker'!$D$2:$D$201,C8,'Project Tracker'!$B$2:$B$201,"&lt;&gt;")-3)&amp;" more",""))</f>
        <v/>
      </c>
      <c r="D9" s="23" t="str">
        <f>IF(D8="","",IFERROR(VLOOKUP(TEXT(D8,"yyyymmdd")&amp;"|1",'Project Tracker'!$F$2:$G$201,2,FALSE),"")&amp;IFERROR(CHAR(10)&amp;VLOOKUP(TEXT(D8,"yyyymmdd")&amp;"|2",'Project Tracker'!$F$2:$G$201,2,FALSE),"")&amp;IFERROR(CHAR(10)&amp;VLOOKUP(TEXT(D8,"yyyymmdd")&amp;"|3",'Project Tracker'!$F$2:$G$201,2,FALSE),"")&amp;IF(COUNTIFS('Project Tracker'!$D$2:$D$201,D8,'Project Tracker'!$B$2:$B$201,"&lt;&gt;")&gt;3,CHAR(10)&amp;"+ "&amp;(COUNTIFS('Project Tracker'!$D$2:$D$201,D8,'Project Tracker'!$B$2:$B$201,"&lt;&gt;")-3)&amp;" more",""))</f>
        <v/>
      </c>
      <c r="E9" s="23" t="str">
        <f>IF(E8="","",IFERROR(VLOOKUP(TEXT(E8,"yyyymmdd")&amp;"|1",'Project Tracker'!$F$2:$G$201,2,FALSE),"")&amp;IFERROR(CHAR(10)&amp;VLOOKUP(TEXT(E8,"yyyymmdd")&amp;"|2",'Project Tracker'!$F$2:$G$201,2,FALSE),"")&amp;IFERROR(CHAR(10)&amp;VLOOKUP(TEXT(E8,"yyyymmdd")&amp;"|3",'Project Tracker'!$F$2:$G$201,2,FALSE),"")&amp;IF(COUNTIFS('Project Tracker'!$D$2:$D$201,E8,'Project Tracker'!$B$2:$B$201,"&lt;&gt;")&gt;3,CHAR(10)&amp;"+ "&amp;(COUNTIFS('Project Tracker'!$D$2:$D$201,E8,'Project Tracker'!$B$2:$B$201,"&lt;&gt;")-3)&amp;" more",""))</f>
        <v/>
      </c>
      <c r="F9" s="23" t="str">
        <f>IF(F8="","",IFERROR(VLOOKUP(TEXT(F8,"yyyymmdd")&amp;"|1",'Project Tracker'!$F$2:$G$201,2,FALSE),"")&amp;IFERROR(CHAR(10)&amp;VLOOKUP(TEXT(F8,"yyyymmdd")&amp;"|2",'Project Tracker'!$F$2:$G$201,2,FALSE),"")&amp;IFERROR(CHAR(10)&amp;VLOOKUP(TEXT(F8,"yyyymmdd")&amp;"|3",'Project Tracker'!$F$2:$G$201,2,FALSE),"")&amp;IF(COUNTIFS('Project Tracker'!$D$2:$D$201,F8,'Project Tracker'!$B$2:$B$201,"&lt;&gt;")&gt;3,CHAR(10)&amp;"+ "&amp;(COUNTIFS('Project Tracker'!$D$2:$D$201,F8,'Project Tracker'!$B$2:$B$201,"&lt;&gt;")-3)&amp;" more",""))</f>
        <v/>
      </c>
      <c r="G9" s="23" t="str">
        <f>IF(G8="","",IFERROR(VLOOKUP(TEXT(G8,"yyyymmdd")&amp;"|1",'Project Tracker'!$F$2:$G$201,2,FALSE),"")&amp;IFERROR(CHAR(10)&amp;VLOOKUP(TEXT(G8,"yyyymmdd")&amp;"|2",'Project Tracker'!$F$2:$G$201,2,FALSE),"")&amp;IFERROR(CHAR(10)&amp;VLOOKUP(TEXT(G8,"yyyymmdd")&amp;"|3",'Project Tracker'!$F$2:$G$201,2,FALSE),"")&amp;IF(COUNTIFS('Project Tracker'!$D$2:$D$201,G8,'Project Tracker'!$B$2:$B$201,"&lt;&gt;")&gt;3,CHAR(10)&amp;"+ "&amp;(COUNTIFS('Project Tracker'!$D$2:$D$201,G8,'Project Tracker'!$B$2:$B$201,"&lt;&gt;")-3)&amp;" more",""))</f>
        <v/>
      </c>
      <c r="H9" s="23" t="str">
        <f>IF(H8="","",IFERROR(VLOOKUP(TEXT(H8,"yyyymmdd")&amp;"|1",'Project Tracker'!$F$2:$G$201,2,FALSE),"")&amp;IFERROR(CHAR(10)&amp;VLOOKUP(TEXT(H8,"yyyymmdd")&amp;"|2",'Project Tracker'!$F$2:$G$201,2,FALSE),"")&amp;IFERROR(CHAR(10)&amp;VLOOKUP(TEXT(H8,"yyyymmdd")&amp;"|3",'Project Tracker'!$F$2:$G$201,2,FALSE),"")&amp;IF(COUNTIFS('Project Tracker'!$D$2:$D$201,H8,'Project Tracker'!$B$2:$B$201,"&lt;&gt;")&gt;3,CHAR(10)&amp;"+ "&amp;(COUNTIFS('Project Tracker'!$D$2:$D$201,H8,'Project Tracker'!$B$2:$B$201,"&lt;&gt;")-3)&amp;" more",""))</f>
        <v/>
      </c>
    </row>
    <row r="10" spans="1:8" ht="20.100000000000001" customHeight="1">
      <c r="A10" s="9" t="s">
        <v>50</v>
      </c>
      <c r="B10" s="10">
        <v>46741</v>
      </c>
      <c r="C10" s="10">
        <v>46742</v>
      </c>
      <c r="D10" s="10">
        <v>46743</v>
      </c>
      <c r="E10" s="10">
        <v>46744</v>
      </c>
      <c r="F10" s="10">
        <v>46745</v>
      </c>
      <c r="G10" s="10">
        <v>46746</v>
      </c>
      <c r="H10" s="10">
        <v>46747</v>
      </c>
    </row>
    <row r="11" spans="1:8" ht="54" customHeight="1">
      <c r="A11" s="7"/>
      <c r="B11" s="23" t="str">
        <f>IF(B10="","",IFERROR(VLOOKUP(TEXT(B10,"yyyymmdd")&amp;"|1",'Project Tracker'!$F$2:$G$201,2,FALSE),"")&amp;IFERROR(CHAR(10)&amp;VLOOKUP(TEXT(B10,"yyyymmdd")&amp;"|2",'Project Tracker'!$F$2:$G$201,2,FALSE),"")&amp;IFERROR(CHAR(10)&amp;VLOOKUP(TEXT(B10,"yyyymmdd")&amp;"|3",'Project Tracker'!$F$2:$G$201,2,FALSE),"")&amp;IF(COUNTIFS('Project Tracker'!$D$2:$D$201,B10,'Project Tracker'!$B$2:$B$201,"&lt;&gt;")&gt;3,CHAR(10)&amp;"+ "&amp;(COUNTIFS('Project Tracker'!$D$2:$D$201,B10,'Project Tracker'!$B$2:$B$201,"&lt;&gt;")-3)&amp;" more",""))</f>
        <v/>
      </c>
      <c r="C11" s="23" t="str">
        <f>IF(C10="","",IFERROR(VLOOKUP(TEXT(C10,"yyyymmdd")&amp;"|1",'Project Tracker'!$F$2:$G$201,2,FALSE),"")&amp;IFERROR(CHAR(10)&amp;VLOOKUP(TEXT(C10,"yyyymmdd")&amp;"|2",'Project Tracker'!$F$2:$G$201,2,FALSE),"")&amp;IFERROR(CHAR(10)&amp;VLOOKUP(TEXT(C10,"yyyymmdd")&amp;"|3",'Project Tracker'!$F$2:$G$201,2,FALSE),"")&amp;IF(COUNTIFS('Project Tracker'!$D$2:$D$201,C10,'Project Tracker'!$B$2:$B$201,"&lt;&gt;")&gt;3,CHAR(10)&amp;"+ "&amp;(COUNTIFS('Project Tracker'!$D$2:$D$201,C10,'Project Tracker'!$B$2:$B$201,"&lt;&gt;")-3)&amp;" more",""))</f>
        <v/>
      </c>
      <c r="D11" s="23" t="str">
        <f>IF(D10="","",IFERROR(VLOOKUP(TEXT(D10,"yyyymmdd")&amp;"|1",'Project Tracker'!$F$2:$G$201,2,FALSE),"")&amp;IFERROR(CHAR(10)&amp;VLOOKUP(TEXT(D10,"yyyymmdd")&amp;"|2",'Project Tracker'!$F$2:$G$201,2,FALSE),"")&amp;IFERROR(CHAR(10)&amp;VLOOKUP(TEXT(D10,"yyyymmdd")&amp;"|3",'Project Tracker'!$F$2:$G$201,2,FALSE),"")&amp;IF(COUNTIFS('Project Tracker'!$D$2:$D$201,D10,'Project Tracker'!$B$2:$B$201,"&lt;&gt;")&gt;3,CHAR(10)&amp;"+ "&amp;(COUNTIFS('Project Tracker'!$D$2:$D$201,D10,'Project Tracker'!$B$2:$B$201,"&lt;&gt;")-3)&amp;" more",""))</f>
        <v/>
      </c>
      <c r="E11" s="23" t="str">
        <f>IF(E10="","",IFERROR(VLOOKUP(TEXT(E10,"yyyymmdd")&amp;"|1",'Project Tracker'!$F$2:$G$201,2,FALSE),"")&amp;IFERROR(CHAR(10)&amp;VLOOKUP(TEXT(E10,"yyyymmdd")&amp;"|2",'Project Tracker'!$F$2:$G$201,2,FALSE),"")&amp;IFERROR(CHAR(10)&amp;VLOOKUP(TEXT(E10,"yyyymmdd")&amp;"|3",'Project Tracker'!$F$2:$G$201,2,FALSE),"")&amp;IF(COUNTIFS('Project Tracker'!$D$2:$D$201,E10,'Project Tracker'!$B$2:$B$201,"&lt;&gt;")&gt;3,CHAR(10)&amp;"+ "&amp;(COUNTIFS('Project Tracker'!$D$2:$D$201,E10,'Project Tracker'!$B$2:$B$201,"&lt;&gt;")-3)&amp;" more",""))</f>
        <v/>
      </c>
      <c r="F11" s="23" t="str">
        <f>IF(F10="","",IFERROR(VLOOKUP(TEXT(F10,"yyyymmdd")&amp;"|1",'Project Tracker'!$F$2:$G$201,2,FALSE),"")&amp;IFERROR(CHAR(10)&amp;VLOOKUP(TEXT(F10,"yyyymmdd")&amp;"|2",'Project Tracker'!$F$2:$G$201,2,FALSE),"")&amp;IFERROR(CHAR(10)&amp;VLOOKUP(TEXT(F10,"yyyymmdd")&amp;"|3",'Project Tracker'!$F$2:$G$201,2,FALSE),"")&amp;IF(COUNTIFS('Project Tracker'!$D$2:$D$201,F10,'Project Tracker'!$B$2:$B$201,"&lt;&gt;")&gt;3,CHAR(10)&amp;"+ "&amp;(COUNTIFS('Project Tracker'!$D$2:$D$201,F10,'Project Tracker'!$B$2:$B$201,"&lt;&gt;")-3)&amp;" more",""))</f>
        <v/>
      </c>
      <c r="G11" s="23" t="str">
        <f>IF(G10="","",IFERROR(VLOOKUP(TEXT(G10,"yyyymmdd")&amp;"|1",'Project Tracker'!$F$2:$G$201,2,FALSE),"")&amp;IFERROR(CHAR(10)&amp;VLOOKUP(TEXT(G10,"yyyymmdd")&amp;"|2",'Project Tracker'!$F$2:$G$201,2,FALSE),"")&amp;IFERROR(CHAR(10)&amp;VLOOKUP(TEXT(G10,"yyyymmdd")&amp;"|3",'Project Tracker'!$F$2:$G$201,2,FALSE),"")&amp;IF(COUNTIFS('Project Tracker'!$D$2:$D$201,G10,'Project Tracker'!$B$2:$B$201,"&lt;&gt;")&gt;3,CHAR(10)&amp;"+ "&amp;(COUNTIFS('Project Tracker'!$D$2:$D$201,G10,'Project Tracker'!$B$2:$B$201,"&lt;&gt;")-3)&amp;" more",""))</f>
        <v/>
      </c>
      <c r="H11" s="23" t="str">
        <f>IF(H10="","",IFERROR(VLOOKUP(TEXT(H10,"yyyymmdd")&amp;"|1",'Project Tracker'!$F$2:$G$201,2,FALSE),"")&amp;IFERROR(CHAR(10)&amp;VLOOKUP(TEXT(H10,"yyyymmdd")&amp;"|2",'Project Tracker'!$F$2:$G$201,2,FALSE),"")&amp;IFERROR(CHAR(10)&amp;VLOOKUP(TEXT(H10,"yyyymmdd")&amp;"|3",'Project Tracker'!$F$2:$G$201,2,FALSE),"")&amp;IF(COUNTIFS('Project Tracker'!$D$2:$D$201,H10,'Project Tracker'!$B$2:$B$201,"&lt;&gt;")&gt;3,CHAR(10)&amp;"+ "&amp;(COUNTIFS('Project Tracker'!$D$2:$D$201,H10,'Project Tracker'!$B$2:$B$201,"&lt;&gt;")-3)&amp;" more",""))</f>
        <v/>
      </c>
    </row>
    <row r="12" spans="1:8" ht="20.100000000000001" customHeight="1">
      <c r="A12" s="9" t="s">
        <v>51</v>
      </c>
      <c r="B12" s="10">
        <v>46748</v>
      </c>
      <c r="C12" s="10">
        <v>46749</v>
      </c>
      <c r="D12" s="10">
        <v>46750</v>
      </c>
      <c r="E12" s="10">
        <v>46751</v>
      </c>
      <c r="F12" s="10">
        <v>46752</v>
      </c>
      <c r="G12" s="10"/>
      <c r="H12" s="10"/>
    </row>
    <row r="13" spans="1:8" ht="54" customHeight="1">
      <c r="A13" s="7"/>
      <c r="B13" s="23" t="str">
        <f>IF(B12="","",IFERROR(VLOOKUP(TEXT(B12,"yyyymmdd")&amp;"|1",'Project Tracker'!$F$2:$G$201,2,FALSE),"")&amp;IFERROR(CHAR(10)&amp;VLOOKUP(TEXT(B12,"yyyymmdd")&amp;"|2",'Project Tracker'!$F$2:$G$201,2,FALSE),"")&amp;IFERROR(CHAR(10)&amp;VLOOKUP(TEXT(B12,"yyyymmdd")&amp;"|3",'Project Tracker'!$F$2:$G$201,2,FALSE),"")&amp;IF(COUNTIFS('Project Tracker'!$D$2:$D$201,B12,'Project Tracker'!$B$2:$B$201,"&lt;&gt;")&gt;3,CHAR(10)&amp;"+ "&amp;(COUNTIFS('Project Tracker'!$D$2:$D$201,B12,'Project Tracker'!$B$2:$B$201,"&lt;&gt;")-3)&amp;" more",""))</f>
        <v/>
      </c>
      <c r="C13" s="23" t="str">
        <f>IF(C12="","",IFERROR(VLOOKUP(TEXT(C12,"yyyymmdd")&amp;"|1",'Project Tracker'!$F$2:$G$201,2,FALSE),"")&amp;IFERROR(CHAR(10)&amp;VLOOKUP(TEXT(C12,"yyyymmdd")&amp;"|2",'Project Tracker'!$F$2:$G$201,2,FALSE),"")&amp;IFERROR(CHAR(10)&amp;VLOOKUP(TEXT(C12,"yyyymmdd")&amp;"|3",'Project Tracker'!$F$2:$G$201,2,FALSE),"")&amp;IF(COUNTIFS('Project Tracker'!$D$2:$D$201,C12,'Project Tracker'!$B$2:$B$201,"&lt;&gt;")&gt;3,CHAR(10)&amp;"+ "&amp;(COUNTIFS('Project Tracker'!$D$2:$D$201,C12,'Project Tracker'!$B$2:$B$201,"&lt;&gt;")-3)&amp;" more",""))</f>
        <v/>
      </c>
      <c r="D13" s="23" t="str">
        <f>IF(D12="","",IFERROR(VLOOKUP(TEXT(D12,"yyyymmdd")&amp;"|1",'Project Tracker'!$F$2:$G$201,2,FALSE),"")&amp;IFERROR(CHAR(10)&amp;VLOOKUP(TEXT(D12,"yyyymmdd")&amp;"|2",'Project Tracker'!$F$2:$G$201,2,FALSE),"")&amp;IFERROR(CHAR(10)&amp;VLOOKUP(TEXT(D12,"yyyymmdd")&amp;"|3",'Project Tracker'!$F$2:$G$201,2,FALSE),"")&amp;IF(COUNTIFS('Project Tracker'!$D$2:$D$201,D12,'Project Tracker'!$B$2:$B$201,"&lt;&gt;")&gt;3,CHAR(10)&amp;"+ "&amp;(COUNTIFS('Project Tracker'!$D$2:$D$201,D12,'Project Tracker'!$B$2:$B$201,"&lt;&gt;")-3)&amp;" more",""))</f>
        <v/>
      </c>
      <c r="E13" s="23" t="str">
        <f>IF(E12="","",IFERROR(VLOOKUP(TEXT(E12,"yyyymmdd")&amp;"|1",'Project Tracker'!$F$2:$G$201,2,FALSE),"")&amp;IFERROR(CHAR(10)&amp;VLOOKUP(TEXT(E12,"yyyymmdd")&amp;"|2",'Project Tracker'!$F$2:$G$201,2,FALSE),"")&amp;IFERROR(CHAR(10)&amp;VLOOKUP(TEXT(E12,"yyyymmdd")&amp;"|3",'Project Tracker'!$F$2:$G$201,2,FALSE),"")&amp;IF(COUNTIFS('Project Tracker'!$D$2:$D$201,E12,'Project Tracker'!$B$2:$B$201,"&lt;&gt;")&gt;3,CHAR(10)&amp;"+ "&amp;(COUNTIFS('Project Tracker'!$D$2:$D$201,E12,'Project Tracker'!$B$2:$B$201,"&lt;&gt;")-3)&amp;" more",""))</f>
        <v/>
      </c>
      <c r="F13" s="23" t="str">
        <f>IF(F12="","",IFERROR(VLOOKUP(TEXT(F12,"yyyymmdd")&amp;"|1",'Project Tracker'!$F$2:$G$201,2,FALSE),"")&amp;IFERROR(CHAR(10)&amp;VLOOKUP(TEXT(F12,"yyyymmdd")&amp;"|2",'Project Tracker'!$F$2:$G$201,2,FALSE),"")&amp;IFERROR(CHAR(10)&amp;VLOOKUP(TEXT(F12,"yyyymmdd")&amp;"|3",'Project Tracker'!$F$2:$G$201,2,FALSE),"")&amp;IF(COUNTIFS('Project Tracker'!$D$2:$D$201,F12,'Project Tracker'!$B$2:$B$201,"&lt;&gt;")&gt;3,CHAR(10)&amp;"+ "&amp;(COUNTIFS('Project Tracker'!$D$2:$D$201,F12,'Project Tracker'!$B$2:$B$201,"&lt;&gt;")-3)&amp;" more",""))</f>
        <v/>
      </c>
      <c r="G13" s="23" t="str">
        <f>IF(G12="","",IFERROR(VLOOKUP(TEXT(G12,"yyyymmdd")&amp;"|1",'Project Tracker'!$F$2:$G$201,2,FALSE),"")&amp;IFERROR(CHAR(10)&amp;VLOOKUP(TEXT(G12,"yyyymmdd")&amp;"|2",'Project Tracker'!$F$2:$G$201,2,FALSE),"")&amp;IFERROR(CHAR(10)&amp;VLOOKUP(TEXT(G12,"yyyymmdd")&amp;"|3",'Project Tracker'!$F$2:$G$201,2,FALSE),"")&amp;IF(COUNTIFS('Project Tracker'!$D$2:$D$201,G12,'Project Tracker'!$B$2:$B$201,"&lt;&gt;")&gt;3,CHAR(10)&amp;"+ "&amp;(COUNTIFS('Project Tracker'!$D$2:$D$201,G12,'Project Tracker'!$B$2:$B$201,"&lt;&gt;")-3)&amp;" more",""))</f>
        <v/>
      </c>
      <c r="H13" s="23" t="str">
        <f>IF(H12="","",IFERROR(VLOOKUP(TEXT(H12,"yyyymmdd")&amp;"|1",'Project Tracker'!$F$2:$G$201,2,FALSE),"")&amp;IFERROR(CHAR(10)&amp;VLOOKUP(TEXT(H12,"yyyymmdd")&amp;"|2",'Project Tracker'!$F$2:$G$201,2,FALSE),"")&amp;IFERROR(CHAR(10)&amp;VLOOKUP(TEXT(H12,"yyyymmdd")&amp;"|3",'Project Tracker'!$F$2:$G$201,2,FALSE),"")&amp;IF(COUNTIFS('Project Tracker'!$D$2:$D$201,H12,'Project Tracker'!$B$2:$B$201,"&lt;&gt;")&gt;3,CHAR(10)&amp;"+ "&amp;(COUNTIFS('Project Tracker'!$D$2:$D$201,H12,'Project Tracker'!$B$2:$B$201,"&lt;&gt;")-3)&amp;" more",""))</f>
        <v/>
      </c>
    </row>
    <row r="14" spans="1:8">
      <c r="B14" s="24"/>
      <c r="C14" s="24"/>
      <c r="D14" s="24"/>
      <c r="E14" s="24"/>
      <c r="F14" s="24"/>
      <c r="G14" s="24"/>
      <c r="H14" s="24"/>
    </row>
    <row r="15" spans="1:8" ht="54" customHeight="1">
      <c r="B15" s="13" t="str">
        <f>IF(B14="","",IFERROR(VLOOKUP(TEXT(B14,"yyyymmdd")&amp;"|1",'Project Tracker'!$F$2:$G$201,2,FALSE),"")&amp;IFERROR(CHAR(10)&amp;VLOOKUP(TEXT(B14,"yyyymmdd")&amp;"|2",'Project Tracker'!$F$2:$G$201,2,FALSE),"")&amp;IFERROR(CHAR(10)&amp;VLOOKUP(TEXT(B14,"yyyymmdd")&amp;"|3",'Project Tracker'!$F$2:$G$201,2,FALSE),"")&amp;IF(COUNTIFS('Project Tracker'!$D$2:$D$201,B14,'Project Tracker'!$B$2:$B$201,"&lt;&gt;")&gt;3,CHAR(10)&amp;"+ "&amp;(COUNTIFS('Project Tracker'!$D$2:$D$201,B14,'Project Tracker'!$B$2:$B$201,"&lt;&gt;")-3)&amp;" more",""))</f>
        <v/>
      </c>
      <c r="C15" s="13" t="str">
        <f>IF(C14="","",IFERROR(VLOOKUP(TEXT(C14,"yyyymmdd")&amp;"|1",'Project Tracker'!$F$2:$G$201,2,FALSE),"")&amp;IFERROR(CHAR(10)&amp;VLOOKUP(TEXT(C14,"yyyymmdd")&amp;"|2",'Project Tracker'!$F$2:$G$201,2,FALSE),"")&amp;IFERROR(CHAR(10)&amp;VLOOKUP(TEXT(C14,"yyyymmdd")&amp;"|3",'Project Tracker'!$F$2:$G$201,2,FALSE),"")&amp;IF(COUNTIFS('Project Tracker'!$D$2:$D$201,C14,'Project Tracker'!$B$2:$B$201,"&lt;&gt;")&gt;3,CHAR(10)&amp;"+ "&amp;(COUNTIFS('Project Tracker'!$D$2:$D$201,C14,'Project Tracker'!$B$2:$B$201,"&lt;&gt;")-3)&amp;" more",""))</f>
        <v/>
      </c>
      <c r="D15" s="13" t="str">
        <f>IF(D14="","",IFERROR(VLOOKUP(TEXT(D14,"yyyymmdd")&amp;"|1",'Project Tracker'!$F$2:$G$201,2,FALSE),"")&amp;IFERROR(CHAR(10)&amp;VLOOKUP(TEXT(D14,"yyyymmdd")&amp;"|2",'Project Tracker'!$F$2:$G$201,2,FALSE),"")&amp;IFERROR(CHAR(10)&amp;VLOOKUP(TEXT(D14,"yyyymmdd")&amp;"|3",'Project Tracker'!$F$2:$G$201,2,FALSE),"")&amp;IF(COUNTIFS('Project Tracker'!$D$2:$D$201,D14,'Project Tracker'!$B$2:$B$201,"&lt;&gt;")&gt;3,CHAR(10)&amp;"+ "&amp;(COUNTIFS('Project Tracker'!$D$2:$D$201,D14,'Project Tracker'!$B$2:$B$201,"&lt;&gt;")-3)&amp;" more",""))</f>
        <v/>
      </c>
      <c r="E15" s="13" t="str">
        <f>IF(E14="","",IFERROR(VLOOKUP(TEXT(E14,"yyyymmdd")&amp;"|1",'Project Tracker'!$F$2:$G$201,2,FALSE),"")&amp;IFERROR(CHAR(10)&amp;VLOOKUP(TEXT(E14,"yyyymmdd")&amp;"|2",'Project Tracker'!$F$2:$G$201,2,FALSE),"")&amp;IFERROR(CHAR(10)&amp;VLOOKUP(TEXT(E14,"yyyymmdd")&amp;"|3",'Project Tracker'!$F$2:$G$201,2,FALSE),"")&amp;IF(COUNTIFS('Project Tracker'!$D$2:$D$201,E14,'Project Tracker'!$B$2:$B$201,"&lt;&gt;")&gt;3,CHAR(10)&amp;"+ "&amp;(COUNTIFS('Project Tracker'!$D$2:$D$201,E14,'Project Tracker'!$B$2:$B$201,"&lt;&gt;")-3)&amp;" more",""))</f>
        <v/>
      </c>
      <c r="F15" s="13" t="str">
        <f>IF(F14="","",IFERROR(VLOOKUP(TEXT(F14,"yyyymmdd")&amp;"|1",'Project Tracker'!$F$2:$G$201,2,FALSE),"")&amp;IFERROR(CHAR(10)&amp;VLOOKUP(TEXT(F14,"yyyymmdd")&amp;"|2",'Project Tracker'!$F$2:$G$201,2,FALSE),"")&amp;IFERROR(CHAR(10)&amp;VLOOKUP(TEXT(F14,"yyyymmdd")&amp;"|3",'Project Tracker'!$F$2:$G$201,2,FALSE),"")&amp;IF(COUNTIFS('Project Tracker'!$D$2:$D$201,F14,'Project Tracker'!$B$2:$B$201,"&lt;&gt;")&gt;3,CHAR(10)&amp;"+ "&amp;(COUNTIFS('Project Tracker'!$D$2:$D$201,F14,'Project Tracker'!$B$2:$B$201,"&lt;&gt;")-3)&amp;" more",""))</f>
        <v/>
      </c>
      <c r="G15" s="13" t="str">
        <f>IF(G14="","",IFERROR(VLOOKUP(TEXT(G14,"yyyymmdd")&amp;"|1",'Project Tracker'!$F$2:$G$201,2,FALSE),"")&amp;IFERROR(CHAR(10)&amp;VLOOKUP(TEXT(G14,"yyyymmdd")&amp;"|2",'Project Tracker'!$F$2:$G$201,2,FALSE),"")&amp;IFERROR(CHAR(10)&amp;VLOOKUP(TEXT(G14,"yyyymmdd")&amp;"|3",'Project Tracker'!$F$2:$G$201,2,FALSE),"")&amp;IF(COUNTIFS('Project Tracker'!$D$2:$D$201,G14,'Project Tracker'!$B$2:$B$201,"&lt;&gt;")&gt;3,CHAR(10)&amp;"+ "&amp;(COUNTIFS('Project Tracker'!$D$2:$D$201,G14,'Project Tracker'!$B$2:$B$201,"&lt;&gt;")-3)&amp;" more",""))</f>
        <v/>
      </c>
      <c r="H15" s="13" t="str">
        <f>IF(H14="","",IFERROR(VLOOKUP(TEXT(H14,"yyyymmdd")&amp;"|1",'Project Tracker'!$F$2:$G$201,2,FALSE),"")&amp;IFERROR(CHAR(10)&amp;VLOOKUP(TEXT(H14,"yyyymmdd")&amp;"|2",'Project Tracker'!$F$2:$G$201,2,FALSE),"")&amp;IFERROR(CHAR(10)&amp;VLOOKUP(TEXT(H14,"yyyymmdd")&amp;"|3",'Project Tracker'!$F$2:$G$201,2,FALSE),"")&amp;IF(COUNTIFS('Project Tracker'!$D$2:$D$201,H14,'Project Tracker'!$B$2:$B$201,"&lt;&gt;")&gt;3,CHAR(10)&amp;"+ "&amp;(COUNTIFS('Project Tracker'!$D$2:$D$201,H14,'Project Tracker'!$B$2:$B$201,"&lt;&gt;")-3)&amp;" more",""))</f>
        <v/>
      </c>
    </row>
    <row r="16" spans="1:8" ht="20.100000000000001" customHeight="1">
      <c r="A16" s="40" t="s">
        <v>52</v>
      </c>
      <c r="B16" s="35"/>
      <c r="C16" s="35"/>
      <c r="D16" s="35"/>
      <c r="E16" s="35"/>
      <c r="F16" s="35"/>
      <c r="G16" s="35"/>
      <c r="H16" s="35"/>
    </row>
    <row r="17" spans="1:8" ht="27.95" customHeight="1">
      <c r="A17" s="39" t="s">
        <v>53</v>
      </c>
      <c r="B17" s="35"/>
      <c r="C17" s="35"/>
      <c r="D17" s="35"/>
      <c r="E17" s="35"/>
      <c r="F17" s="35"/>
      <c r="G17" s="35"/>
      <c r="H17" s="35"/>
    </row>
  </sheetData>
  <mergeCells count="4">
    <mergeCell ref="A1:H1"/>
    <mergeCell ref="A2:H2"/>
    <mergeCell ref="A16:H16"/>
    <mergeCell ref="A17:H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E9" sqref="E9"/>
    </sheetView>
  </sheetViews>
  <sheetFormatPr defaultRowHeight="14.25"/>
  <cols>
    <col min="1" max="1" width="18" customWidth="1"/>
    <col min="4" max="5" width="30.625" customWidth="1"/>
  </cols>
  <sheetData>
    <row r="1" spans="1:5" ht="15" customHeight="1">
      <c r="A1" s="1" t="s">
        <v>66</v>
      </c>
    </row>
    <row r="2" spans="1:5">
      <c r="A2" s="2" t="s">
        <v>5</v>
      </c>
      <c r="D2" t="e">
        <f>MATCH(TEXT('June 2027 Calendar'!B4,"yyyymmdd")&amp;"|1",'Project Tracker'!$F$2:$F$201,0)</f>
        <v>#N/A</v>
      </c>
      <c r="E2" t="str">
        <f>IFERROR(VLOOKUP(TEXT('June 2027 Calendar'!B4,"yyyymmdd")&amp;"|1",'Project Tracker'!$F$2:$G$201,2,FALSE),"")</f>
        <v/>
      </c>
    </row>
    <row r="3" spans="1:5">
      <c r="A3" s="2" t="s">
        <v>3</v>
      </c>
      <c r="D3" t="str">
        <f>IFERROR(MATCH(TEXT('June 2027 Calendar'!B4,"yyyymmdd")&amp;"|1",'Project Tracker'!$F$2:$F$201,0),"no")</f>
        <v>no</v>
      </c>
      <c r="E3" t="e">
        <f>VLOOKUP(TEXT('June 2027 Calendar'!F4,"yyyymmdd")&amp;"|1",'Project Tracker'!$F$2:$G$201,2,FALSE)</f>
        <v>#N/A</v>
      </c>
    </row>
    <row r="4" spans="1:5">
      <c r="A4" s="2" t="s">
        <v>4</v>
      </c>
      <c r="D4" t="str">
        <f>TEXT('June 2027 Calendar'!F4,"yyyymmdd")</f>
        <v>20270604</v>
      </c>
      <c r="E4">
        <f>COUNTIF('Project Tracker'!$F$2:$F$201,TEXT('June 2027 Calendar'!B4,"yyyymmdd")&amp;"|*")</f>
        <v>0</v>
      </c>
    </row>
    <row r="5" spans="1:5">
      <c r="A5" s="2" t="s">
        <v>6</v>
      </c>
      <c r="D5" t="e">
        <f>MATCH(TEXT('June 2027 Calendar'!F4,"yyyymmdd")&amp;"|1",'Project Tracker'!$F$2:$F$201,0)</f>
        <v>#N/A</v>
      </c>
      <c r="E5">
        <f>COUNTIF('Project Tracker'!$F$2:$F$201,TEXT('June 2027 Calendar'!F4,"yyyymmdd")&amp;"|*")</f>
        <v>0</v>
      </c>
    </row>
    <row r="6" spans="1:5">
      <c r="D6" t="str">
        <f>IFERROR(INDEX('Project Tracker'!$G$2:$G$201,MATCH(TEXT('June 2027 Calendar'!B4,"yyyymmdd")&amp;"|1",'Project Tracker'!$F$2:$F$201,0)),"")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f38257-c025-46c4-af32-aecd95abb877" xsi:nil="true"/>
    <lcf76f155ced4ddcb4097134ff3c332f xmlns="890c2d56-a23b-4548-b896-15650a1462e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E365B77DBF794C958AF93F15F0978A" ma:contentTypeVersion="12" ma:contentTypeDescription="Create a new document." ma:contentTypeScope="" ma:versionID="a63b6b2a6314f29c4f9a8c6fc62bfc44">
  <xsd:schema xmlns:xsd="http://www.w3.org/2001/XMLSchema" xmlns:xs="http://www.w3.org/2001/XMLSchema" xmlns:p="http://schemas.microsoft.com/office/2006/metadata/properties" xmlns:ns2="890c2d56-a23b-4548-b896-15650a1462e1" xmlns:ns3="6cf38257-c025-46c4-af32-aecd95abb877" targetNamespace="http://schemas.microsoft.com/office/2006/metadata/properties" ma:root="true" ma:fieldsID="b299f382b8674c7ef26d986c11d99ade" ns2:_="" ns3:_="">
    <xsd:import namespace="890c2d56-a23b-4548-b896-15650a1462e1"/>
    <xsd:import namespace="6cf38257-c025-46c4-af32-aecd95abb8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c2d56-a23b-4548-b896-15650a146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a0afa7-5024-417c-8ef9-c5e81e45e3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38257-c025-46c4-af32-aecd95abb8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f9accf-3836-4d12-8505-3295b7cc4680}" ma:internalName="TaxCatchAll" ma:showField="CatchAllData" ma:web="6cf38257-c025-46c4-af32-aecd95abb8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84C2D2-23A4-40BA-B256-FD9DA062FDCB}">
  <ds:schemaRefs>
    <ds:schemaRef ds:uri="http://schemas.microsoft.com/office/2006/metadata/properties"/>
    <ds:schemaRef ds:uri="http://schemas.microsoft.com/office/infopath/2007/PartnerControls"/>
    <ds:schemaRef ds:uri="6cf38257-c025-46c4-af32-aecd95abb877"/>
    <ds:schemaRef ds:uri="890c2d56-a23b-4548-b896-15650a1462e1"/>
  </ds:schemaRefs>
</ds:datastoreItem>
</file>

<file path=customXml/itemProps2.xml><?xml version="1.0" encoding="utf-8"?>
<ds:datastoreItem xmlns:ds="http://schemas.openxmlformats.org/officeDocument/2006/customXml" ds:itemID="{C06A0BC3-6F05-4A1C-8E71-45C49FA0EF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0c2d56-a23b-4548-b896-15650a1462e1"/>
    <ds:schemaRef ds:uri="6cf38257-c025-46c4-af32-aecd95abb8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F471F2-0D00-44DF-BCFF-3BA929E7E3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Dashboard</vt:lpstr>
      <vt:lpstr>Project Tracker</vt:lpstr>
      <vt:lpstr>January 2027 Calendar</vt:lpstr>
      <vt:lpstr>February 2027 Calendar</vt:lpstr>
      <vt:lpstr>March 2027 Calendar</vt:lpstr>
      <vt:lpstr>April 2027 Calendar</vt:lpstr>
      <vt:lpstr>May 2027 Calendar</vt:lpstr>
      <vt:lpstr>June 2027 Calendar</vt:lpstr>
      <vt:lpstr>July 2027 Calendar</vt:lpstr>
      <vt:lpstr>August 2027 Calendar</vt:lpstr>
      <vt:lpstr>September 2027 Calendar</vt:lpstr>
      <vt:lpstr>October 2027 Calendar</vt:lpstr>
      <vt:lpstr>November 2027 Calendar</vt:lpstr>
      <vt:lpstr>December 2027 Calendar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Archim Paul Pameroyan</cp:lastModifiedBy>
  <cp:revision/>
  <dcterms:created xsi:type="dcterms:W3CDTF">2026-06-05T00:44:34Z</dcterms:created>
  <dcterms:modified xsi:type="dcterms:W3CDTF">2026-06-27T20:54:16Z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0x010100FBE365B77DBF794C958AF93F15F0978A</vt:lpwstr>
  </property>
</Properties>
</file>