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08" codeName="{26A90621-87C4-6C01-FD6A-EE6E7C140903}"/>
  <workbookPr codeName="ThisWorkbook"/>
  <mc:AlternateContent xmlns:mc="http://schemas.openxmlformats.org/markup-compatibility/2006">
    <mc:Choice Requires="x15">
      <x15ac:absPath xmlns:x15ac="http://schemas.microsoft.com/office/spreadsheetml/2010/11/ac" url="A:\Users\Archim Pameroyan\Documents\GitHub\System-Production-Adorama\Production Tracker\"/>
    </mc:Choice>
  </mc:AlternateContent>
  <xr:revisionPtr revIDLastSave="0" documentId="13_ncr:1_{C166F58F-14EC-486A-9F98-AB6C65F6B0DA}" xr6:coauthVersionLast="47" xr6:coauthVersionMax="47" xr10:uidLastSave="{00000000-0000-0000-0000-000000000000}"/>
  <bookViews>
    <workbookView xWindow="-120" yWindow="-120" windowWidth="29040" windowHeight="15990" xr2:uid="{00000000-000D-0000-FFFF-FFFF00000000}"/>
  </bookViews>
  <sheets>
    <sheet name="Dashboard" sheetId="2" r:id="rId1"/>
    <sheet name="Email Campaigns" sheetId="1" r:id="rId2"/>
    <sheet name="SMS Campaigns" sheetId="19" r:id="rId3"/>
    <sheet name="Notes - Instructions" sheetId="21" r:id="rId4"/>
    <sheet name="May 2026 Calendar" sheetId="25" state="hidden" r:id="rId5"/>
    <sheet name="June 2026 Calendar" sheetId="26" r:id="rId6"/>
    <sheet name="Template for Duplicate" sheetId="27" r:id="rId7"/>
    <sheet name="Dropdowns" sheetId="4" state="veryHidden" r:id="rId8"/>
    <sheet name="Automation Log" sheetId="5" state="veryHidden" r:id="rId9"/>
  </sheets>
  <functionGroups builtInGroupCount="19"/>
  <externalReferences>
    <externalReference r:id="rId10"/>
    <externalReference r:id="rId11"/>
    <externalReference r:id="rId12"/>
    <externalReference r:id="rId13"/>
  </externalReferences>
  <definedNames>
    <definedName name="_xlpm.allDone" hidden="1" xlm="1">#NAME?</definedName>
    <definedName name="_xlpm.audience" hidden="1" xlm="1">#NAME?</definedName>
    <definedName name="_xlpm.camp" hidden="1" xlm="1">#NAME?</definedName>
    <definedName name="_xlpm.ch" hidden="1" xlm="1">#NAME?</definedName>
    <definedName name="_xlpm.checked" hidden="1" xlm="1">#NAME?</definedName>
    <definedName name="_xlpm.clean" hidden="1" xlm="1">#NAME?</definedName>
    <definedName name="_xlpm.code" hidden="1" xlm="1">#NAME?</definedName>
    <definedName name="_xlpm.d" hidden="1" xlm="1">#NAME?</definedName>
    <definedName name="_xlpm.data" hidden="1" xlm="1">#NAME?</definedName>
    <definedName name="_xlpm.delivered" hidden="1" xlm="1">#NAME?</definedName>
    <definedName name="_xlpm.e_cancel" hidden="1" xlm="1">#NAME?</definedName>
    <definedName name="_xlpm.eCancel" hidden="1" xlm="1">#NAME?</definedName>
    <definedName name="_xlpm.email" hidden="1" xlm="1">#NAME?</definedName>
    <definedName name="_xlpm.eMax" hidden="1" xlm="1">#NAME?</definedName>
    <definedName name="_xlpm.empty" hidden="1" xlm="1">#NAME?</definedName>
    <definedName name="_xlpm.first" hidden="1" xlm="1">#NAME?</definedName>
    <definedName name="_xlpm.items" hidden="1" xlm="1">#NAME?</definedName>
    <definedName name="_xlpm.latest" hidden="1" xlm="1">#NAME?</definedName>
    <definedName name="_xlpm.link" hidden="1" xlm="1">#NAME?</definedName>
    <definedName name="_xlpm.parsed" hidden="1" xlm="1">#NAME?</definedName>
    <definedName name="_xlpm.s_cancel" hidden="1" xlm="1">#NAME?</definedName>
    <definedName name="_xlpm.sCancel" hidden="1" xlm="1">#NAME?</definedName>
    <definedName name="_xlpm.sendDate" hidden="1" xlm="1">#NAME?</definedName>
    <definedName name="_xlpm.sMax" hidden="1" xlm="1">#NAME?</definedName>
    <definedName name="_xlpm.sms" hidden="1" xlm="1">#NAME?</definedName>
    <definedName name="_xlpm.useDate" hidden="1" xlm="1">#NAME?</definedName>
    <definedName name="_xlpm.we" hidden="1" xlm="1">#NAME?</definedName>
    <definedName name="_xlpm.ws" hidden="1" xlm="1">#NAME?</definedName>
  </definedNames>
  <calcPr calcId="191029" forceFullCal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27" l="1" a="1"/>
  <c r="B3" i="27"/>
  <c r="C3" i="27"/>
  <c r="D3" i="27"/>
  <c r="E3" i="27"/>
  <c r="F3" i="27"/>
  <c r="G3" i="27"/>
  <c r="H3" i="27"/>
  <c r="A4" i="27"/>
  <c r="G4" i="27" a="1"/>
  <c r="A6" i="27" a="1"/>
  <c r="A8" i="27" a="1"/>
  <c r="A10" i="27" a="1"/>
  <c r="A12" i="27" a="1"/>
  <c r="A14" i="27" a="1"/>
  <c r="B18" i="27" a="1"/>
  <c r="B19" i="27" a="1"/>
  <c r="A20" i="27"/>
  <c r="G20" i="27" a="1"/>
  <c r="A22" i="27" a="1"/>
  <c r="A24" i="27" a="1"/>
  <c r="A26" i="27" a="1"/>
  <c r="A28" i="27" a="1"/>
  <c r="A30" i="27" a="1"/>
  <c r="B31" i="27"/>
  <c r="B2" i="26"/>
  <c r="C2" i="26"/>
  <c r="D2" i="26"/>
  <c r="E2" i="26"/>
  <c r="F2" i="26"/>
  <c r="G2" i="26"/>
  <c r="H2" i="26"/>
  <c r="B3" i="26"/>
  <c r="C3" i="26"/>
  <c r="D3" i="26"/>
  <c r="E3" i="26"/>
  <c r="F3" i="26"/>
  <c r="G3" i="26"/>
  <c r="H3" i="26"/>
  <c r="A4" i="26"/>
  <c r="B4" i="26"/>
  <c r="C4" i="26"/>
  <c r="D4" i="26"/>
  <c r="E4" i="26"/>
  <c r="F4" i="26"/>
  <c r="G4" i="26"/>
  <c r="H4" i="26"/>
  <c r="C5" i="26"/>
  <c r="D5" i="26"/>
  <c r="E5" i="26"/>
  <c r="F5" i="26"/>
  <c r="G5" i="26"/>
  <c r="H5" i="26"/>
  <c r="A6" i="26"/>
  <c r="B6" i="26"/>
  <c r="C6" i="26"/>
  <c r="D6" i="26"/>
  <c r="E6" i="26"/>
  <c r="F6" i="26"/>
  <c r="G6" i="26"/>
  <c r="H6" i="26"/>
  <c r="B7" i="26"/>
  <c r="C7" i="26"/>
  <c r="D7" i="26"/>
  <c r="E7" i="26"/>
  <c r="F7" i="26"/>
  <c r="G7" i="26"/>
  <c r="H7" i="26"/>
  <c r="A8" i="26"/>
  <c r="B8" i="26"/>
  <c r="C8" i="26"/>
  <c r="D8" i="26"/>
  <c r="E8" i="26"/>
  <c r="F8" i="26"/>
  <c r="G8" i="26"/>
  <c r="H8" i="26"/>
  <c r="B9" i="26"/>
  <c r="C9" i="26"/>
  <c r="D9" i="26"/>
  <c r="E9" i="26"/>
  <c r="F9" i="26"/>
  <c r="G9" i="26"/>
  <c r="H9" i="26"/>
  <c r="A10" i="26"/>
  <c r="B10" i="26"/>
  <c r="C10" i="26"/>
  <c r="D10" i="26"/>
  <c r="E10" i="26"/>
  <c r="F10" i="26"/>
  <c r="G10" i="26"/>
  <c r="H10" i="26"/>
  <c r="B11" i="26"/>
  <c r="C11" i="26"/>
  <c r="D11" i="26"/>
  <c r="E11" i="26"/>
  <c r="F11" i="26"/>
  <c r="G11" i="26"/>
  <c r="H11" i="26"/>
  <c r="A12" i="26"/>
  <c r="B12" i="26"/>
  <c r="C12" i="26"/>
  <c r="D12" i="26"/>
  <c r="E12" i="26"/>
  <c r="F12" i="26"/>
  <c r="G12" i="26"/>
  <c r="H12" i="26"/>
  <c r="B13" i="26"/>
  <c r="C13" i="26"/>
  <c r="D13" i="26"/>
  <c r="E13" i="26"/>
  <c r="F13" i="26"/>
  <c r="G13" i="26"/>
  <c r="H13" i="26"/>
  <c r="B18" i="26"/>
  <c r="C18" i="26"/>
  <c r="D18" i="26"/>
  <c r="E18" i="26"/>
  <c r="F18" i="26"/>
  <c r="G18" i="26"/>
  <c r="H18" i="26"/>
  <c r="B19" i="26"/>
  <c r="C19" i="26"/>
  <c r="D19" i="26"/>
  <c r="E19" i="26"/>
  <c r="F19" i="26"/>
  <c r="G19" i="26"/>
  <c r="H19" i="26"/>
  <c r="A20" i="26"/>
  <c r="B20" i="26"/>
  <c r="C20" i="26"/>
  <c r="D20" i="26"/>
  <c r="E20" i="26"/>
  <c r="F20" i="26"/>
  <c r="G20" i="26"/>
  <c r="H20" i="26"/>
  <c r="B21" i="26"/>
  <c r="C21" i="26"/>
  <c r="D21" i="26"/>
  <c r="E21" i="26"/>
  <c r="F21" i="26"/>
  <c r="G21" i="26"/>
  <c r="H21" i="26"/>
  <c r="A22" i="26"/>
  <c r="B22" i="26"/>
  <c r="C22" i="26"/>
  <c r="D22" i="26"/>
  <c r="E22" i="26"/>
  <c r="F22" i="26"/>
  <c r="G22" i="26"/>
  <c r="H22" i="26"/>
  <c r="B23" i="26"/>
  <c r="C23" i="26"/>
  <c r="D23" i="26"/>
  <c r="E23" i="26"/>
  <c r="F23" i="26"/>
  <c r="G23" i="26"/>
  <c r="H23" i="26"/>
  <c r="A24" i="26"/>
  <c r="B24" i="26"/>
  <c r="C24" i="26"/>
  <c r="D24" i="26"/>
  <c r="E24" i="26"/>
  <c r="F24" i="26"/>
  <c r="G24" i="26"/>
  <c r="H24" i="26"/>
  <c r="B25" i="26"/>
  <c r="C25" i="26"/>
  <c r="D25" i="26"/>
  <c r="E25" i="26"/>
  <c r="F25" i="26"/>
  <c r="G25" i="26"/>
  <c r="H25" i="26"/>
  <c r="A26" i="26"/>
  <c r="B26" i="26"/>
  <c r="C26" i="26"/>
  <c r="D26" i="26"/>
  <c r="E26" i="26"/>
  <c r="F26" i="26"/>
  <c r="G26" i="26"/>
  <c r="H26" i="26"/>
  <c r="B27" i="26"/>
  <c r="C27" i="26"/>
  <c r="D27" i="26"/>
  <c r="E27" i="26"/>
  <c r="F27" i="26"/>
  <c r="G27" i="26"/>
  <c r="H27" i="26"/>
  <c r="A28" i="26"/>
  <c r="B28" i="26"/>
  <c r="C28" i="26"/>
  <c r="D28" i="26"/>
  <c r="E28" i="26"/>
  <c r="F28" i="26"/>
  <c r="G28" i="26"/>
  <c r="H28" i="26"/>
  <c r="B29" i="26"/>
  <c r="C29" i="26"/>
  <c r="D29" i="26"/>
  <c r="E29" i="26"/>
  <c r="F29" i="26"/>
  <c r="G29" i="26"/>
  <c r="H29" i="26"/>
  <c r="B2" i="25" a="1"/>
  <c r="B3" i="25"/>
  <c r="C3" i="25"/>
  <c r="D3" i="25"/>
  <c r="E3" i="25"/>
  <c r="F3" i="25"/>
  <c r="G3" i="25"/>
  <c r="H3" i="25"/>
  <c r="A4" i="25"/>
  <c r="B4" i="25"/>
  <c r="C4" i="25"/>
  <c r="D4" i="25"/>
  <c r="E4" i="25"/>
  <c r="F4" i="25"/>
  <c r="G4" i="25" a="1"/>
  <c r="G5" i="25" a="1"/>
  <c r="A6" i="25" a="1"/>
  <c r="B7" i="25" a="1"/>
  <c r="A8" i="25" a="1"/>
  <c r="B9" i="25" a="1"/>
  <c r="A10" i="25" a="1"/>
  <c r="B11" i="25" a="1"/>
  <c r="A12" i="25" a="1"/>
  <c r="B13" i="25" a="1"/>
  <c r="A14" i="25" a="1"/>
  <c r="B15" i="25"/>
  <c r="B18" i="25" a="1"/>
  <c r="B19" i="25" a="1"/>
  <c r="A20" i="25"/>
  <c r="B20" i="25"/>
  <c r="C20" i="25"/>
  <c r="D20" i="25"/>
  <c r="E20" i="25"/>
  <c r="F20" i="25"/>
  <c r="G20" i="25" a="1"/>
  <c r="G21" i="25" a="1"/>
  <c r="A22" i="25" a="1"/>
  <c r="B23" i="25" a="1"/>
  <c r="A24" i="25" a="1"/>
  <c r="B25" i="25" a="1"/>
  <c r="A26" i="25" a="1"/>
  <c r="B27" i="25" a="1"/>
  <c r="A28" i="25" a="1"/>
  <c r="B29" i="25" a="1"/>
  <c r="A31" i="25" a="1"/>
  <c r="C31" i="25"/>
  <c r="D31" i="25"/>
  <c r="E31" i="25"/>
  <c r="F31" i="25"/>
  <c r="G31" i="25"/>
  <c r="H31" i="25"/>
  <c r="B32" i="25"/>
  <c r="M8" i="19"/>
  <c r="M5" i="2"/>
  <c r="Q29" i="1"/>
  <c r="Q28" i="1"/>
  <c r="Q27" i="1"/>
  <c r="E27" i="1"/>
  <c r="E28" i="1"/>
  <c r="P26" i="1"/>
  <c r="Q26" i="1"/>
  <c r="R25" i="1"/>
  <c r="Q25" i="1"/>
  <c r="P25" i="1"/>
  <c r="P24" i="1"/>
  <c r="Q24" i="1"/>
  <c r="R24" i="1"/>
  <c r="P23" i="1"/>
  <c r="Q23" i="1"/>
  <c r="R23" i="1"/>
  <c r="R22" i="1"/>
  <c r="P22" i="1"/>
  <c r="Q22" i="1"/>
  <c r="Q21" i="1"/>
  <c r="R21" i="1"/>
  <c r="P20" i="1"/>
  <c r="Q20" i="1"/>
  <c r="R20" i="1"/>
  <c r="P19" i="1"/>
  <c r="Q19" i="1"/>
  <c r="P18" i="1"/>
  <c r="Q18" i="1"/>
  <c r="R19" i="1"/>
  <c r="R18" i="1"/>
  <c r="L9" i="19"/>
  <c r="M9" i="19"/>
  <c r="M7" i="19"/>
  <c r="M6" i="19"/>
  <c r="M5" i="19"/>
  <c r="M4" i="19"/>
  <c r="M3" i="19"/>
  <c r="M2" i="19"/>
  <c r="L7" i="19"/>
  <c r="L5" i="19"/>
  <c r="L3" i="19"/>
  <c r="L2" i="19"/>
  <c r="R17" i="1"/>
  <c r="R16" i="1"/>
  <c r="R15" i="1"/>
  <c r="R14" i="1"/>
  <c r="R13" i="1"/>
  <c r="R12" i="1"/>
  <c r="R11" i="1"/>
  <c r="R10" i="1"/>
  <c r="R9" i="1"/>
  <c r="R8" i="1"/>
  <c r="R7" i="1"/>
  <c r="R6" i="1"/>
  <c r="R5" i="1"/>
  <c r="R4" i="1"/>
  <c r="R3" i="1"/>
  <c r="R2" i="1"/>
  <c r="Q17" i="1"/>
  <c r="Q15" i="1"/>
  <c r="Q14" i="1"/>
  <c r="Q13" i="1"/>
  <c r="Q12" i="1"/>
  <c r="Q11" i="1"/>
  <c r="Q10" i="1"/>
  <c r="Q9" i="1"/>
  <c r="Q8" i="1"/>
  <c r="Q7" i="1"/>
  <c r="Q6" i="1"/>
  <c r="Q5" i="1"/>
  <c r="Q4" i="1"/>
  <c r="Q3" i="1"/>
  <c r="Q2" i="1"/>
  <c r="P17" i="1"/>
  <c r="P16" i="1"/>
  <c r="P15" i="1"/>
  <c r="P14" i="1"/>
  <c r="P13" i="1"/>
  <c r="P12" i="1"/>
  <c r="P11" i="1"/>
  <c r="P10" i="1"/>
  <c r="P9" i="1"/>
  <c r="P8" i="1"/>
  <c r="P7" i="1"/>
  <c r="P6" i="1"/>
  <c r="P5" i="1"/>
  <c r="P4" i="1"/>
  <c r="P3" i="1"/>
  <c r="P2" i="1"/>
  <c r="E2" i="19"/>
  <c r="E3" i="19"/>
  <c r="E4" i="19"/>
  <c r="E5" i="19"/>
  <c r="E6" i="19"/>
  <c r="E7" i="19"/>
  <c r="E8" i="19"/>
  <c r="E9" i="19"/>
  <c r="E10" i="19"/>
  <c r="E11" i="19"/>
  <c r="E12" i="19"/>
  <c r="E13" i="19"/>
  <c r="E14" i="19"/>
  <c r="E15" i="19"/>
  <c r="E16" i="19"/>
  <c r="E17" i="19"/>
  <c r="E18" i="19"/>
  <c r="E19" i="19"/>
  <c r="E20" i="19"/>
  <c r="E21" i="19"/>
  <c r="E22" i="19"/>
  <c r="E23" i="19"/>
  <c r="E24" i="19"/>
  <c r="E25" i="19"/>
  <c r="E26" i="19"/>
  <c r="E27" i="19"/>
  <c r="E28" i="19"/>
  <c r="E29" i="19"/>
  <c r="E30" i="19"/>
  <c r="E31" i="19"/>
  <c r="E32" i="19"/>
  <c r="E33" i="19"/>
  <c r="E34" i="19"/>
  <c r="E35" i="19"/>
  <c r="E36" i="19"/>
  <c r="E37" i="19"/>
  <c r="E38" i="19"/>
  <c r="E39" i="19"/>
  <c r="E40" i="19"/>
  <c r="E41" i="19"/>
  <c r="E42" i="19"/>
  <c r="E43" i="19"/>
  <c r="E44" i="19"/>
  <c r="E45" i="19"/>
  <c r="E46" i="19"/>
  <c r="E47" i="19"/>
  <c r="E48" i="19"/>
  <c r="E49" i="19"/>
  <c r="E50" i="19"/>
  <c r="E51" i="19"/>
  <c r="E52" i="19"/>
  <c r="E53" i="19"/>
  <c r="E54" i="19"/>
  <c r="E55" i="19"/>
  <c r="E56" i="19"/>
  <c r="E57" i="19"/>
  <c r="E58" i="19"/>
  <c r="E59" i="19"/>
  <c r="E60" i="19"/>
  <c r="E61" i="19"/>
  <c r="E62" i="19"/>
  <c r="E63" i="19"/>
  <c r="E64" i="19"/>
  <c r="E65" i="19"/>
  <c r="E66" i="19"/>
  <c r="E67" i="19"/>
  <c r="E68" i="19"/>
  <c r="E69" i="19"/>
  <c r="E70" i="19"/>
  <c r="E71" i="19"/>
  <c r="E72" i="19"/>
  <c r="E73" i="19"/>
  <c r="E74" i="19"/>
  <c r="E75" i="19"/>
  <c r="E76" i="19"/>
  <c r="E77" i="19"/>
  <c r="E78" i="19"/>
  <c r="E79" i="19"/>
  <c r="E80" i="19"/>
  <c r="E81" i="19"/>
  <c r="E82" i="19"/>
  <c r="E83" i="19"/>
  <c r="E84" i="19"/>
  <c r="E85" i="19"/>
  <c r="E86" i="19"/>
  <c r="E87" i="19"/>
  <c r="E88" i="19"/>
  <c r="E89" i="19"/>
  <c r="E90" i="19"/>
  <c r="E91" i="19"/>
  <c r="E92" i="19"/>
  <c r="E93" i="19"/>
  <c r="E94" i="19"/>
  <c r="E95" i="19"/>
  <c r="E96" i="19"/>
  <c r="E97" i="19"/>
  <c r="E98" i="19"/>
  <c r="E99" i="19"/>
  <c r="E100" i="19"/>
  <c r="E101" i="19"/>
  <c r="E102" i="19"/>
  <c r="E103" i="19"/>
  <c r="E104" i="19"/>
  <c r="E105" i="19"/>
  <c r="E106" i="19"/>
  <c r="E107" i="19"/>
  <c r="E108" i="19"/>
  <c r="E109" i="19"/>
  <c r="E110" i="19"/>
  <c r="E111" i="19"/>
  <c r="E112" i="19"/>
  <c r="E113" i="19"/>
  <c r="E114" i="19"/>
  <c r="E115" i="19"/>
  <c r="E116" i="19"/>
  <c r="E117" i="19"/>
  <c r="E118" i="19"/>
  <c r="E119" i="19"/>
  <c r="E120" i="19"/>
  <c r="E121" i="19"/>
  <c r="E122" i="19"/>
  <c r="E123" i="19"/>
  <c r="E124" i="19"/>
  <c r="E125" i="19"/>
  <c r="E126" i="19"/>
  <c r="E127" i="19"/>
  <c r="E128" i="19"/>
  <c r="E129" i="19"/>
  <c r="E130" i="19"/>
  <c r="E131" i="19"/>
  <c r="E132" i="19"/>
  <c r="E133" i="19"/>
  <c r="E134" i="19"/>
  <c r="E135" i="19"/>
  <c r="E136" i="19"/>
  <c r="E137" i="19"/>
  <c r="E138" i="19"/>
  <c r="E139" i="19"/>
  <c r="E140" i="19"/>
  <c r="E141" i="19"/>
  <c r="E142" i="19"/>
  <c r="E143" i="19"/>
  <c r="E144" i="19"/>
  <c r="E145" i="19"/>
  <c r="E146" i="19"/>
  <c r="E147" i="19"/>
  <c r="E148" i="19"/>
  <c r="E149" i="19"/>
  <c r="E150" i="19"/>
  <c r="E151" i="19"/>
  <c r="E152" i="19"/>
  <c r="E153" i="19"/>
  <c r="E154" i="19"/>
  <c r="E155" i="19"/>
  <c r="E156" i="19"/>
  <c r="E157" i="19"/>
  <c r="E158" i="19"/>
  <c r="E159" i="19"/>
  <c r="E160" i="19"/>
  <c r="E161" i="19"/>
  <c r="E162" i="19"/>
  <c r="E163" i="19"/>
  <c r="E164" i="19"/>
  <c r="E165" i="19"/>
  <c r="E166" i="19"/>
  <c r="E167" i="19"/>
  <c r="E168" i="19"/>
  <c r="E169" i="19"/>
  <c r="E170" i="19"/>
  <c r="E171" i="19"/>
  <c r="E172" i="19"/>
  <c r="E173" i="19"/>
  <c r="E174" i="19"/>
  <c r="E175" i="19"/>
  <c r="E176" i="19"/>
  <c r="E177" i="19"/>
  <c r="E178" i="19"/>
  <c r="E179" i="19"/>
  <c r="E180" i="19"/>
  <c r="E181" i="19"/>
  <c r="E182" i="19"/>
  <c r="E183" i="19"/>
  <c r="E184" i="19"/>
  <c r="E185" i="19"/>
  <c r="E186" i="19"/>
  <c r="E187" i="19"/>
  <c r="E188" i="19"/>
  <c r="E189" i="19"/>
  <c r="E190" i="19"/>
  <c r="E191" i="19"/>
  <c r="E192" i="19"/>
  <c r="E193" i="19"/>
  <c r="E194" i="19"/>
  <c r="E195" i="19"/>
  <c r="E196" i="19"/>
  <c r="E197" i="19"/>
  <c r="E198" i="19"/>
  <c r="E199" i="19"/>
  <c r="E200" i="19"/>
  <c r="E201" i="19"/>
  <c r="E2" i="1"/>
  <c r="E3" i="1"/>
  <c r="E4" i="1"/>
  <c r="E5" i="1"/>
  <c r="E6" i="1"/>
  <c r="E7" i="1"/>
  <c r="E8" i="1"/>
  <c r="E9" i="1"/>
  <c r="E10" i="1"/>
  <c r="E11" i="1"/>
  <c r="E12" i="1"/>
  <c r="E13" i="1"/>
  <c r="E14" i="1"/>
  <c r="E15" i="1"/>
  <c r="E16" i="1"/>
  <c r="E17" i="1"/>
  <c r="E18" i="1"/>
  <c r="E19" i="1"/>
  <c r="E20" i="1"/>
  <c r="E21" i="1"/>
  <c r="E22" i="1"/>
  <c r="E23" i="1"/>
  <c r="E24" i="1"/>
  <c r="E25" i="1"/>
  <c r="E26"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AA3" i="2"/>
  <c r="D3" i="2" s="1"/>
  <c r="B3" i="2"/>
  <c r="AA11" i="2" l="1" a="1"/>
  <c r="C5" i="2" a="1"/>
  <c r="C162" i="2" s="1"/>
  <c r="K5" i="2" a="1"/>
  <c r="C166" i="2" s="1"/>
  <c r="I5" i="2" a="1"/>
  <c r="C165" i="2" s="1"/>
  <c r="G5" i="2" a="1"/>
  <c r="C164" i="2" s="1"/>
  <c r="E5" i="2" a="1"/>
  <c r="C163" i="2" s="1"/>
  <c r="A5" i="2" l="1"/>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K38" i="2"/>
  <c r="K37" i="2"/>
  <c r="K36" i="2"/>
  <c r="K35" i="2"/>
  <c r="K34" i="2"/>
  <c r="K29" i="2"/>
  <c r="K25" i="2"/>
  <c r="K23" i="2"/>
  <c r="K19" i="2"/>
  <c r="K17" i="2"/>
  <c r="K44" i="2"/>
  <c r="K42" i="2"/>
  <c r="K40" i="2"/>
  <c r="K33" i="2"/>
  <c r="K32" i="2"/>
  <c r="K31" i="2"/>
  <c r="K30" i="2"/>
  <c r="K28" i="2"/>
  <c r="K27" i="2"/>
  <c r="K24" i="2"/>
  <c r="K21" i="2"/>
  <c r="K18" i="2"/>
  <c r="K26" i="2"/>
  <c r="K22" i="2"/>
  <c r="K45" i="2"/>
  <c r="K43" i="2"/>
  <c r="K20" i="2"/>
  <c r="K16" i="2"/>
  <c r="K15" i="2"/>
  <c r="K14" i="2"/>
  <c r="K13" i="2"/>
  <c r="K12" i="2"/>
  <c r="K41" i="2"/>
  <c r="K39" i="2"/>
  <c r="K11"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L116" i="2" a="1"/>
  <c r="L117" i="2" a="1"/>
  <c r="L118" i="2" a="1"/>
  <c r="L119" i="2" a="1"/>
  <c r="L120" i="2" a="1"/>
  <c r="L121" i="2" a="1"/>
  <c r="L122" i="2" a="1"/>
  <c r="L123" i="2" a="1"/>
  <c r="L124" i="2" a="1"/>
  <c r="L125" i="2" a="1"/>
  <c r="L126" i="2" a="1"/>
  <c r="L127" i="2" a="1"/>
  <c r="L128" i="2" a="1"/>
  <c r="L129" i="2" a="1"/>
  <c r="L130" i="2" a="1"/>
  <c r="L131" i="2" a="1"/>
  <c r="L132" i="2" a="1"/>
  <c r="L133" i="2" a="1"/>
  <c r="L134" i="2" a="1"/>
  <c r="L135" i="2" a="1"/>
  <c r="L136" i="2" a="1"/>
  <c r="L137" i="2" a="1"/>
  <c r="L138" i="2" a="1"/>
  <c r="L139" i="2" a="1"/>
  <c r="L140" i="2" a="1"/>
  <c r="L141" i="2" a="1"/>
  <c r="L142" i="2" a="1"/>
  <c r="L143" i="2" a="1"/>
  <c r="L144" i="2" a="1"/>
  <c r="L145" i="2" a="1"/>
  <c r="L146" i="2" a="1"/>
  <c r="L148" i="2" a="1"/>
  <c r="L149" i="2" a="1"/>
  <c r="L151" i="2" a="1"/>
  <c r="L153" i="2" a="1"/>
  <c r="L155" i="2" a="1"/>
  <c r="L157" i="2" a="1"/>
  <c r="L159" i="2" a="1"/>
  <c r="L147" i="2" a="1"/>
  <c r="I111" i="2" a="1"/>
  <c r="I113" i="2" a="1"/>
  <c r="I116" i="2" a="1"/>
  <c r="I119" i="2" a="1"/>
  <c r="C84" i="2" a="1"/>
  <c r="C87" i="2" a="1"/>
  <c r="C95" i="2" a="1"/>
  <c r="C105" i="2" a="1"/>
  <c r="C109" i="2" a="1"/>
  <c r="C115" i="2" a="1"/>
  <c r="B26" i="2" a="1"/>
  <c r="B34" i="2" a="1"/>
  <c r="B44" i="2" a="1"/>
  <c r="B50" i="2" a="1"/>
  <c r="B62" i="2" a="1"/>
  <c r="B72" i="2" a="1"/>
  <c r="B132" i="2" a="1"/>
  <c r="L160" i="2" a="1"/>
  <c r="L107" i="2" a="1"/>
  <c r="I114" i="2" a="1"/>
  <c r="I117" i="2" a="1"/>
  <c r="I120" i="2" a="1"/>
  <c r="C140" i="2" a="1"/>
  <c r="C81" i="2" a="1"/>
  <c r="C86" i="2" a="1"/>
  <c r="C93" i="2" a="1"/>
  <c r="C118" i="2" a="1"/>
  <c r="B25" i="2" a="1"/>
  <c r="B29" i="2" a="1"/>
  <c r="B32" i="2" a="1"/>
  <c r="B38" i="2" a="1"/>
  <c r="B43" i="2" a="1"/>
  <c r="B49" i="2" a="1"/>
  <c r="B65" i="2" a="1"/>
  <c r="B74" i="2" a="1"/>
  <c r="B143" i="2" a="1"/>
  <c r="L70" i="2" a="1"/>
  <c r="L152" i="2" a="1"/>
  <c r="L81" i="2" a="1"/>
  <c r="L86" i="2" a="1"/>
  <c r="L99" i="2" a="1"/>
  <c r="L103" i="2" a="1"/>
  <c r="I46" i="2" a="1"/>
  <c r="I48" i="2" a="1"/>
  <c r="I50" i="2" a="1"/>
  <c r="I52" i="2" a="1"/>
  <c r="I54" i="2" a="1"/>
  <c r="I56" i="2" a="1"/>
  <c r="I57" i="2" a="1"/>
  <c r="I121" i="2" a="1"/>
  <c r="C142" i="2" a="1"/>
  <c r="C85" i="2" a="1"/>
  <c r="C90" i="2" a="1"/>
  <c r="C101" i="2" a="1"/>
  <c r="C106" i="2" a="1"/>
  <c r="C112" i="2" a="1"/>
  <c r="I11" i="2" a="1"/>
  <c r="I12" i="2" a="1"/>
  <c r="I13" i="2" a="1"/>
  <c r="I14" i="2" a="1"/>
  <c r="I15" i="2" a="1"/>
  <c r="I16" i="2" a="1"/>
  <c r="I17" i="2" a="1"/>
  <c r="I18" i="2" a="1"/>
  <c r="I19" i="2" a="1"/>
  <c r="I20" i="2" a="1"/>
  <c r="I21" i="2" a="1"/>
  <c r="I22" i="2" a="1"/>
  <c r="I23" i="2" a="1"/>
  <c r="I24" i="2" a="1"/>
  <c r="I25" i="2" a="1"/>
  <c r="I26" i="2" a="1"/>
  <c r="I27" i="2" a="1"/>
  <c r="I28" i="2" a="1"/>
  <c r="I29" i="2" a="1"/>
  <c r="I30" i="2" a="1"/>
  <c r="I31" i="2" a="1"/>
  <c r="I32" i="2" a="1"/>
  <c r="I33" i="2" a="1"/>
  <c r="I34" i="2" a="1"/>
  <c r="I35" i="2" a="1"/>
  <c r="I36" i="2" a="1"/>
  <c r="I37" i="2" a="1"/>
  <c r="I38" i="2" a="1"/>
  <c r="I39" i="2" a="1"/>
  <c r="I40" i="2" a="1"/>
  <c r="I41" i="2" a="1"/>
  <c r="I42" i="2" a="1"/>
  <c r="I43" i="2" a="1"/>
  <c r="I44" i="2" a="1"/>
  <c r="I45" i="2" a="1"/>
  <c r="I47" i="2" a="1"/>
  <c r="I49" i="2" a="1"/>
  <c r="I51" i="2" a="1"/>
  <c r="I53" i="2" a="1"/>
  <c r="I55" i="2" a="1"/>
  <c r="I58" i="2" a="1"/>
  <c r="I59" i="2" a="1"/>
  <c r="I60" i="2" a="1"/>
  <c r="I61" i="2" a="1"/>
  <c r="I62" i="2" a="1"/>
  <c r="I63" i="2" a="1"/>
  <c r="I64" i="2" a="1"/>
  <c r="I65" i="2" a="1"/>
  <c r="I66" i="2" a="1"/>
  <c r="I67" i="2" a="1"/>
  <c r="I68" i="2" a="1"/>
  <c r="I69" i="2" a="1"/>
  <c r="I70" i="2" a="1"/>
  <c r="I71" i="2" a="1"/>
  <c r="I72" i="2" a="1"/>
  <c r="I73" i="2" a="1"/>
  <c r="I74" i="2" a="1"/>
  <c r="I75" i="2" a="1"/>
  <c r="I76" i="2" a="1"/>
  <c r="I77" i="2" a="1"/>
  <c r="I78" i="2" a="1"/>
  <c r="I143" i="2" a="1"/>
  <c r="I145" i="2" a="1"/>
  <c r="I79" i="2" a="1"/>
  <c r="I80" i="2" a="1"/>
  <c r="I81" i="2" a="1"/>
  <c r="I82" i="2" a="1"/>
  <c r="I83" i="2" a="1"/>
  <c r="I84" i="2" a="1"/>
  <c r="I85" i="2" a="1"/>
  <c r="I86" i="2" a="1"/>
  <c r="I87" i="2" a="1"/>
  <c r="I88" i="2" a="1"/>
  <c r="I89" i="2" a="1"/>
  <c r="I90" i="2" a="1"/>
  <c r="I91" i="2" a="1"/>
  <c r="I92" i="2" a="1"/>
  <c r="I93" i="2" a="1"/>
  <c r="I94" i="2" a="1"/>
  <c r="I95" i="2" a="1"/>
  <c r="I96" i="2" a="1"/>
  <c r="I97" i="2" a="1"/>
  <c r="I98" i="2" a="1"/>
  <c r="I99" i="2" a="1"/>
  <c r="I100" i="2" a="1"/>
  <c r="I101" i="2" a="1"/>
  <c r="I102" i="2" a="1"/>
  <c r="I103" i="2" a="1"/>
  <c r="I104" i="2" a="1"/>
  <c r="I105" i="2" a="1"/>
  <c r="I106" i="2" a="1"/>
  <c r="I107" i="2" a="1"/>
  <c r="I108" i="2" a="1"/>
  <c r="I109" i="2" a="1"/>
  <c r="I110" i="2" a="1"/>
  <c r="I112" i="2" a="1"/>
  <c r="I115" i="2" a="1"/>
  <c r="I118" i="2" a="1"/>
  <c r="C144" i="2" a="1"/>
  <c r="C89" i="2" a="1"/>
  <c r="C94" i="2" a="1"/>
  <c r="C104" i="2" a="1"/>
  <c r="C117" i="2" a="1"/>
  <c r="C120" i="2" a="1"/>
  <c r="B35" i="2" a="1"/>
  <c r="B40" i="2" a="1"/>
  <c r="B52" i="2" a="1"/>
  <c r="B57" i="2" a="1"/>
  <c r="B64" i="2" a="1"/>
  <c r="B70" i="2" a="1"/>
  <c r="B135" i="2" a="1"/>
  <c r="B79" i="2" a="1"/>
  <c r="L67" i="2" a="1"/>
  <c r="L75" i="2" a="1"/>
  <c r="L78" i="2" a="1"/>
  <c r="L84" i="2" a="1"/>
  <c r="L93" i="2" a="1"/>
  <c r="L98" i="2" a="1"/>
  <c r="L101" i="2" a="1"/>
  <c r="L108" i="2" a="1"/>
  <c r="I122" i="2" a="1"/>
  <c r="I123" i="2" a="1"/>
  <c r="I124" i="2" a="1"/>
  <c r="I125" i="2" a="1"/>
  <c r="I126" i="2" a="1"/>
  <c r="I127" i="2" a="1"/>
  <c r="I128" i="2" a="1"/>
  <c r="I129" i="2" a="1"/>
  <c r="I130" i="2" a="1"/>
  <c r="I131" i="2" a="1"/>
  <c r="I132" i="2" a="1"/>
  <c r="I133" i="2" a="1"/>
  <c r="I134" i="2" a="1"/>
  <c r="I135" i="2" a="1"/>
  <c r="I136" i="2" a="1"/>
  <c r="I137" i="2" a="1"/>
  <c r="I138" i="2" a="1"/>
  <c r="I139" i="2" a="1"/>
  <c r="I140" i="2" a="1"/>
  <c r="I141" i="2" a="1"/>
  <c r="I142" i="2" a="1"/>
  <c r="I144" i="2" a="1"/>
  <c r="I146" i="2" a="1"/>
  <c r="I147" i="2" a="1"/>
  <c r="I148" i="2" a="1"/>
  <c r="I149" i="2" a="1"/>
  <c r="I150" i="2" a="1"/>
  <c r="I151" i="2" a="1"/>
  <c r="I152" i="2" a="1"/>
  <c r="I153" i="2" a="1"/>
  <c r="I154" i="2" a="1"/>
  <c r="I155" i="2" a="1"/>
  <c r="I156" i="2" a="1"/>
  <c r="I157" i="2" a="1"/>
  <c r="I158" i="2" a="1"/>
  <c r="I159" i="2" a="1"/>
  <c r="I160" i="2" a="1"/>
  <c r="H11" i="2" a="1"/>
  <c r="H12" i="2" a="1"/>
  <c r="H13" i="2" a="1"/>
  <c r="H14" i="2" a="1"/>
  <c r="H15" i="2" a="1"/>
  <c r="H16" i="2" a="1"/>
  <c r="H17" i="2" a="1"/>
  <c r="H18" i="2" a="1"/>
  <c r="H19" i="2" a="1"/>
  <c r="H20" i="2" a="1"/>
  <c r="H21" i="2" a="1"/>
  <c r="H22" i="2" a="1"/>
  <c r="H23" i="2" a="1"/>
  <c r="H24" i="2" a="1"/>
  <c r="H25" i="2" a="1"/>
  <c r="H26" i="2" a="1"/>
  <c r="H27" i="2" a="1"/>
  <c r="H28" i="2" a="1"/>
  <c r="H29" i="2" a="1"/>
  <c r="H30" i="2" a="1"/>
  <c r="H31" i="2" a="1"/>
  <c r="H32" i="2" a="1"/>
  <c r="H33" i="2" a="1"/>
  <c r="H34" i="2" a="1"/>
  <c r="H35" i="2" a="1"/>
  <c r="H36" i="2" a="1"/>
  <c r="H37" i="2" a="1"/>
  <c r="H38" i="2" a="1"/>
  <c r="H39" i="2" a="1"/>
  <c r="H40" i="2" a="1"/>
  <c r="H41" i="2" a="1"/>
  <c r="H42" i="2" a="1"/>
  <c r="H43" i="2" a="1"/>
  <c r="H44" i="2" a="1"/>
  <c r="H45" i="2" a="1"/>
  <c r="H46" i="2" a="1"/>
  <c r="H47" i="2" a="1"/>
  <c r="H48" i="2" a="1"/>
  <c r="H49" i="2" a="1"/>
  <c r="H50" i="2" a="1"/>
  <c r="H51" i="2" a="1"/>
  <c r="H52" i="2" a="1"/>
  <c r="H53" i="2" a="1"/>
  <c r="H54" i="2" a="1"/>
  <c r="H55" i="2" a="1"/>
  <c r="H56" i="2" a="1"/>
  <c r="H57" i="2" a="1"/>
  <c r="H58" i="2" a="1"/>
  <c r="H59" i="2" a="1"/>
  <c r="H60" i="2" a="1"/>
  <c r="H61" i="2" a="1"/>
  <c r="H62" i="2" a="1"/>
  <c r="H63" i="2" a="1"/>
  <c r="H64" i="2" a="1"/>
  <c r="H65" i="2" a="1"/>
  <c r="H66" i="2" a="1"/>
  <c r="H67" i="2" a="1"/>
  <c r="H68" i="2" a="1"/>
  <c r="H69" i="2" a="1"/>
  <c r="H70" i="2" a="1"/>
  <c r="H71" i="2" a="1"/>
  <c r="H72" i="2" a="1"/>
  <c r="H73" i="2" a="1"/>
  <c r="H74" i="2" a="1"/>
  <c r="H75" i="2" a="1"/>
  <c r="H76" i="2" a="1"/>
  <c r="H77" i="2" a="1"/>
  <c r="H78" i="2" a="1"/>
  <c r="H119" i="2" a="1"/>
  <c r="H122" i="2" a="1"/>
  <c r="H124" i="2" a="1"/>
  <c r="H125" i="2" a="1"/>
  <c r="H127" i="2" a="1"/>
  <c r="H129" i="2" a="1"/>
  <c r="H131" i="2" a="1"/>
  <c r="H153" i="2" a="1"/>
  <c r="H155" i="2" a="1"/>
  <c r="H157" i="2" a="1"/>
  <c r="H159" i="2" a="1"/>
  <c r="G11" i="2" a="1"/>
  <c r="G13" i="2" a="1"/>
  <c r="G15" i="2" a="1"/>
  <c r="G17" i="2" a="1"/>
  <c r="G19" i="2" a="1"/>
  <c r="G21" i="2" a="1"/>
  <c r="G23" i="2" a="1"/>
  <c r="G25" i="2" a="1"/>
  <c r="G27" i="2" a="1"/>
  <c r="G29" i="2" a="1"/>
  <c r="G31" i="2" a="1"/>
  <c r="G33" i="2" a="1"/>
  <c r="G35" i="2" a="1"/>
  <c r="G37" i="2" a="1"/>
  <c r="G39" i="2" a="1"/>
  <c r="G41" i="2" a="1"/>
  <c r="G42" i="2" a="1"/>
  <c r="G43" i="2" a="1"/>
  <c r="G44" i="2" a="1"/>
  <c r="G45" i="2" a="1"/>
  <c r="G46" i="2" a="1"/>
  <c r="G47" i="2" a="1"/>
  <c r="G48" i="2" a="1"/>
  <c r="G125" i="2" a="1"/>
  <c r="G127" i="2" a="1"/>
  <c r="G130" i="2" a="1"/>
  <c r="G135" i="2" a="1"/>
  <c r="G142" i="2" a="1"/>
  <c r="G144" i="2" a="1"/>
  <c r="G145" i="2" a="1"/>
  <c r="G147" i="2" a="1"/>
  <c r="G149" i="2" a="1"/>
  <c r="G151" i="2" a="1"/>
  <c r="G153" i="2" a="1"/>
  <c r="G155" i="2" a="1"/>
  <c r="G157" i="2" a="1"/>
  <c r="G159" i="2" a="1"/>
  <c r="F11" i="2" a="1"/>
  <c r="D83" i="2" a="1"/>
  <c r="D89" i="2" a="1"/>
  <c r="D94" i="2" a="1"/>
  <c r="D99" i="2" a="1"/>
  <c r="D104" i="2" a="1"/>
  <c r="D108" i="2" a="1"/>
  <c r="D114" i="2" a="1"/>
  <c r="D119" i="2" a="1"/>
  <c r="D124" i="2" a="1"/>
  <c r="D128" i="2" a="1"/>
  <c r="D135" i="2" a="1"/>
  <c r="D140" i="2" a="1"/>
  <c r="D144" i="2" a="1"/>
  <c r="D149" i="2" a="1"/>
  <c r="D154" i="2" a="1"/>
  <c r="C11" i="2" a="1"/>
  <c r="C46" i="2" a="1"/>
  <c r="C74" i="2" a="1"/>
  <c r="C79" i="2" a="1"/>
  <c r="C88" i="2" a="1"/>
  <c r="C96" i="2" a="1"/>
  <c r="C116" i="2" a="1"/>
  <c r="B23" i="2" a="1"/>
  <c r="B31" i="2" a="1"/>
  <c r="B36" i="2" a="1"/>
  <c r="B48" i="2" a="1"/>
  <c r="B66" i="2" a="1"/>
  <c r="B75" i="2" a="1"/>
  <c r="B145" i="2" a="1"/>
  <c r="L74" i="2" a="1"/>
  <c r="L156" i="2" a="1"/>
  <c r="L80" i="2" a="1"/>
  <c r="L85" i="2" a="1"/>
  <c r="L96" i="2" a="1"/>
  <c r="H133" i="2" a="1"/>
  <c r="H135" i="2" a="1"/>
  <c r="H137" i="2" a="1"/>
  <c r="H139" i="2" a="1"/>
  <c r="H141" i="2" a="1"/>
  <c r="H143" i="2" a="1"/>
  <c r="H145" i="2" a="1"/>
  <c r="H146" i="2" a="1"/>
  <c r="H79" i="2" a="1"/>
  <c r="H80" i="2" a="1"/>
  <c r="H81" i="2" a="1"/>
  <c r="H82" i="2" a="1"/>
  <c r="H83" i="2" a="1"/>
  <c r="H84" i="2" a="1"/>
  <c r="H85" i="2" a="1"/>
  <c r="H86" i="2" a="1"/>
  <c r="H87" i="2" a="1"/>
  <c r="H88" i="2" a="1"/>
  <c r="H89" i="2" a="1"/>
  <c r="H90" i="2" a="1"/>
  <c r="H91" i="2" a="1"/>
  <c r="H92" i="2" a="1"/>
  <c r="H93" i="2" a="1"/>
  <c r="H94" i="2" a="1"/>
  <c r="H95" i="2" a="1"/>
  <c r="H96" i="2" a="1"/>
  <c r="H97" i="2" a="1"/>
  <c r="H98" i="2" a="1"/>
  <c r="H99" i="2" a="1"/>
  <c r="H100" i="2" a="1"/>
  <c r="H101" i="2" a="1"/>
  <c r="H102" i="2" a="1"/>
  <c r="H103" i="2" a="1"/>
  <c r="H104" i="2" a="1"/>
  <c r="H105" i="2" a="1"/>
  <c r="H106" i="2" a="1"/>
  <c r="H107" i="2" a="1"/>
  <c r="H108" i="2" a="1"/>
  <c r="H109" i="2" a="1"/>
  <c r="H110" i="2" a="1"/>
  <c r="H111" i="2" a="1"/>
  <c r="H112" i="2" a="1"/>
  <c r="H113" i="2" a="1"/>
  <c r="H114" i="2" a="1"/>
  <c r="H115" i="2" a="1"/>
  <c r="H116" i="2" a="1"/>
  <c r="H117" i="2" a="1"/>
  <c r="H118" i="2" a="1"/>
  <c r="H120" i="2" a="1"/>
  <c r="H121" i="2" a="1"/>
  <c r="H123" i="2" a="1"/>
  <c r="H126" i="2" a="1"/>
  <c r="H128" i="2" a="1"/>
  <c r="H130" i="2" a="1"/>
  <c r="H132" i="2" a="1"/>
  <c r="H134" i="2" a="1"/>
  <c r="H136" i="2" a="1"/>
  <c r="H138" i="2" a="1"/>
  <c r="H140" i="2" a="1"/>
  <c r="H142" i="2" a="1"/>
  <c r="H144" i="2" a="1"/>
  <c r="H147" i="2" a="1"/>
  <c r="H148" i="2" a="1"/>
  <c r="H149" i="2" a="1"/>
  <c r="H150" i="2" a="1"/>
  <c r="H151" i="2" a="1"/>
  <c r="H152" i="2" a="1"/>
  <c r="H154" i="2" a="1"/>
  <c r="H156" i="2" a="1"/>
  <c r="H158" i="2" a="1"/>
  <c r="H160" i="2" a="1"/>
  <c r="G12" i="2" a="1"/>
  <c r="G14" i="2" a="1"/>
  <c r="G16" i="2" a="1"/>
  <c r="G18" i="2" a="1"/>
  <c r="G20" i="2" a="1"/>
  <c r="G22" i="2" a="1"/>
  <c r="G24" i="2" a="1"/>
  <c r="G26" i="2" a="1"/>
  <c r="G28" i="2" a="1"/>
  <c r="G30" i="2" a="1"/>
  <c r="G32" i="2" a="1"/>
  <c r="G34" i="2" a="1"/>
  <c r="G36" i="2" a="1"/>
  <c r="G38" i="2" a="1"/>
  <c r="G40" i="2" a="1"/>
  <c r="C43" i="2" a="1"/>
  <c r="C50" i="2" a="1"/>
  <c r="C56" i="2" a="1"/>
  <c r="C61" i="2" a="1"/>
  <c r="C66" i="2" a="1"/>
  <c r="C70" i="2" a="1"/>
  <c r="C76" i="2" a="1"/>
  <c r="C103" i="2" a="1"/>
  <c r="C111" i="2" a="1"/>
  <c r="C114" i="2" a="1"/>
  <c r="B30" i="2" a="1"/>
  <c r="B47" i="2" a="1"/>
  <c r="B53" i="2" a="1"/>
  <c r="B63" i="2" a="1"/>
  <c r="B71" i="2" a="1"/>
  <c r="B76" i="2" a="1"/>
  <c r="L72" i="2" a="1"/>
  <c r="L106" i="2" a="1"/>
  <c r="G49" i="2" a="1"/>
  <c r="G50" i="2" a="1"/>
  <c r="G51" i="2" a="1"/>
  <c r="G52" i="2" a="1"/>
  <c r="G53" i="2" a="1"/>
  <c r="G54" i="2" a="1"/>
  <c r="G55" i="2" a="1"/>
  <c r="G56" i="2" a="1"/>
  <c r="G57" i="2" a="1"/>
  <c r="G58" i="2" a="1"/>
  <c r="G59" i="2" a="1"/>
  <c r="G60" i="2" a="1"/>
  <c r="G61" i="2" a="1"/>
  <c r="G62" i="2" a="1"/>
  <c r="G63" i="2" a="1"/>
  <c r="G64" i="2" a="1"/>
  <c r="G65" i="2" a="1"/>
  <c r="G66" i="2" a="1"/>
  <c r="G67" i="2" a="1"/>
  <c r="G68" i="2" a="1"/>
  <c r="G69" i="2" a="1"/>
  <c r="G70" i="2" a="1"/>
  <c r="G71" i="2" a="1"/>
  <c r="G72" i="2" a="1"/>
  <c r="G73" i="2" a="1"/>
  <c r="G74" i="2" a="1"/>
  <c r="G75" i="2" a="1"/>
  <c r="G76" i="2" a="1"/>
  <c r="G77" i="2" a="1"/>
  <c r="G78" i="2" a="1"/>
  <c r="G112" i="2" a="1"/>
  <c r="G114" i="2" a="1"/>
  <c r="G116" i="2" a="1"/>
  <c r="G117" i="2" a="1"/>
  <c r="G119" i="2" a="1"/>
  <c r="G121" i="2" a="1"/>
  <c r="G123" i="2" a="1"/>
  <c r="G124" i="2" a="1"/>
  <c r="G126" i="2" a="1"/>
  <c r="G128" i="2" a="1"/>
  <c r="G129" i="2" a="1"/>
  <c r="G131" i="2" a="1"/>
  <c r="G133" i="2" a="1"/>
  <c r="G134" i="2" a="1"/>
  <c r="G136" i="2" a="1"/>
  <c r="G138" i="2" a="1"/>
  <c r="G139" i="2" a="1"/>
  <c r="G141" i="2" a="1"/>
  <c r="G79" i="2" a="1"/>
  <c r="G80" i="2" a="1"/>
  <c r="G81" i="2" a="1"/>
  <c r="G82" i="2" a="1"/>
  <c r="G83" i="2" a="1"/>
  <c r="G84" i="2" a="1"/>
  <c r="G85" i="2" a="1"/>
  <c r="G86" i="2" a="1"/>
  <c r="G87" i="2" a="1"/>
  <c r="G88" i="2" a="1"/>
  <c r="G89" i="2" a="1"/>
  <c r="G90" i="2" a="1"/>
  <c r="G91" i="2" a="1"/>
  <c r="G92" i="2" a="1"/>
  <c r="G93" i="2" a="1"/>
  <c r="G94" i="2" a="1"/>
  <c r="G95" i="2" a="1"/>
  <c r="G96" i="2" a="1"/>
  <c r="G97" i="2" a="1"/>
  <c r="G98" i="2" a="1"/>
  <c r="G99" i="2" a="1"/>
  <c r="G100" i="2" a="1"/>
  <c r="G101" i="2" a="1"/>
  <c r="G102" i="2" a="1"/>
  <c r="G103" i="2" a="1"/>
  <c r="G104" i="2" a="1"/>
  <c r="G105" i="2" a="1"/>
  <c r="G106" i="2" a="1"/>
  <c r="G107" i="2" a="1"/>
  <c r="G108" i="2" a="1"/>
  <c r="G109" i="2" a="1"/>
  <c r="G110" i="2" a="1"/>
  <c r="G111" i="2" a="1"/>
  <c r="G113" i="2" a="1"/>
  <c r="G115" i="2" a="1"/>
  <c r="G118" i="2" a="1"/>
  <c r="G120" i="2" a="1"/>
  <c r="G122" i="2" a="1"/>
  <c r="G132" i="2" a="1"/>
  <c r="G137" i="2" a="1"/>
  <c r="G140" i="2" a="1"/>
  <c r="G143" i="2" a="1"/>
  <c r="G146" i="2" a="1"/>
  <c r="G148" i="2" a="1"/>
  <c r="G150" i="2" a="1"/>
  <c r="G152" i="2" a="1"/>
  <c r="G154" i="2" a="1"/>
  <c r="G156" i="2" a="1"/>
  <c r="G158" i="2" a="1"/>
  <c r="G160" i="2" a="1"/>
  <c r="D82" i="2" a="1"/>
  <c r="D87" i="2" a="1"/>
  <c r="D92" i="2" a="1"/>
  <c r="D97" i="2" a="1"/>
  <c r="D102" i="2" a="1"/>
  <c r="D107" i="2" a="1"/>
  <c r="D112" i="2" a="1"/>
  <c r="D117" i="2" a="1"/>
  <c r="D122" i="2" a="1"/>
  <c r="D127" i="2" a="1"/>
  <c r="D133" i="2" a="1"/>
  <c r="D138" i="2" a="1"/>
  <c r="D143" i="2" a="1"/>
  <c r="D148" i="2" a="1"/>
  <c r="D153" i="2" a="1"/>
  <c r="D158" i="2" a="1"/>
  <c r="C12" i="2" a="1"/>
  <c r="C48" i="2" a="1"/>
  <c r="C53" i="2" a="1"/>
  <c r="C59" i="2" a="1"/>
  <c r="C63" i="2" a="1"/>
  <c r="C68" i="2" a="1"/>
  <c r="C75" i="2" a="1"/>
  <c r="C92" i="2" a="1"/>
  <c r="C99" i="2" a="1"/>
  <c r="C110" i="2" a="1"/>
  <c r="B24" i="2" a="1"/>
  <c r="B37" i="2" a="1"/>
  <c r="B41" i="2" a="1"/>
  <c r="B55" i="2" a="1"/>
  <c r="B59" i="2" a="1"/>
  <c r="B73" i="2" a="1"/>
  <c r="B77" i="2" a="1"/>
  <c r="L89" i="2" a="1"/>
  <c r="L100" i="2" a="1"/>
  <c r="L113" i="2" a="1"/>
  <c r="F12" i="2" a="1"/>
  <c r="F13" i="2" a="1"/>
  <c r="F14" i="2" a="1"/>
  <c r="F15" i="2" a="1"/>
  <c r="F16" i="2" a="1"/>
  <c r="F17" i="2" a="1"/>
  <c r="F18" i="2" a="1"/>
  <c r="F19" i="2" a="1"/>
  <c r="F20" i="2" a="1"/>
  <c r="F21" i="2" a="1"/>
  <c r="F22" i="2" a="1"/>
  <c r="F23" i="2" a="1"/>
  <c r="F24" i="2" a="1"/>
  <c r="F25" i="2" a="1"/>
  <c r="F26" i="2" a="1"/>
  <c r="F27" i="2" a="1"/>
  <c r="F28" i="2" a="1"/>
  <c r="F29" i="2" a="1"/>
  <c r="F30" i="2" a="1"/>
  <c r="F31" i="2" a="1"/>
  <c r="F32" i="2" a="1"/>
  <c r="F33" i="2" a="1"/>
  <c r="F34" i="2" a="1"/>
  <c r="F35" i="2" a="1"/>
  <c r="F36" i="2" a="1"/>
  <c r="F37" i="2" a="1"/>
  <c r="F38" i="2" a="1"/>
  <c r="F39" i="2" a="1"/>
  <c r="F40" i="2" a="1"/>
  <c r="F41" i="2" a="1"/>
  <c r="F42" i="2" a="1"/>
  <c r="F43" i="2" a="1"/>
  <c r="F44" i="2" a="1"/>
  <c r="F45" i="2" a="1"/>
  <c r="F46" i="2" a="1"/>
  <c r="F47" i="2" a="1"/>
  <c r="F48" i="2" a="1"/>
  <c r="F49" i="2" a="1"/>
  <c r="F50" i="2" a="1"/>
  <c r="F51" i="2" a="1"/>
  <c r="F52" i="2" a="1"/>
  <c r="F53" i="2" a="1"/>
  <c r="F54" i="2" a="1"/>
  <c r="F55" i="2" a="1"/>
  <c r="F56" i="2" a="1"/>
  <c r="F57" i="2" a="1"/>
  <c r="F58" i="2" a="1"/>
  <c r="F59" i="2" a="1"/>
  <c r="F60" i="2" a="1"/>
  <c r="F61" i="2" a="1"/>
  <c r="F62" i="2" a="1"/>
  <c r="F63" i="2" a="1"/>
  <c r="F64" i="2" a="1"/>
  <c r="F65" i="2" a="1"/>
  <c r="F66" i="2" a="1"/>
  <c r="F67" i="2" a="1"/>
  <c r="F68" i="2" a="1"/>
  <c r="F69" i="2" a="1"/>
  <c r="F70" i="2" a="1"/>
  <c r="F71" i="2" a="1"/>
  <c r="F72" i="2" a="1"/>
  <c r="F73" i="2" a="1"/>
  <c r="F74" i="2" a="1"/>
  <c r="F75" i="2" a="1"/>
  <c r="F76" i="2" a="1"/>
  <c r="F77" i="2" a="1"/>
  <c r="F78" i="2" a="1"/>
  <c r="F116" i="2" a="1"/>
  <c r="F118" i="2" a="1"/>
  <c r="F119" i="2" a="1"/>
  <c r="F121" i="2" a="1"/>
  <c r="F123" i="2" a="1"/>
  <c r="F125" i="2" a="1"/>
  <c r="F127" i="2" a="1"/>
  <c r="F128" i="2" a="1"/>
  <c r="F130" i="2" a="1"/>
  <c r="F132" i="2" a="1"/>
  <c r="F134" i="2" a="1"/>
  <c r="F135" i="2" a="1"/>
  <c r="F137" i="2" a="1"/>
  <c r="F139" i="2" a="1"/>
  <c r="F140" i="2" a="1"/>
  <c r="F142" i="2" a="1"/>
  <c r="F144" i="2" a="1"/>
  <c r="F146" i="2" a="1"/>
  <c r="F79" i="2" a="1"/>
  <c r="F80" i="2" a="1"/>
  <c r="F81" i="2" a="1"/>
  <c r="F82" i="2" a="1"/>
  <c r="F83" i="2" a="1"/>
  <c r="F84" i="2" a="1"/>
  <c r="F85" i="2" a="1"/>
  <c r="F86" i="2" a="1"/>
  <c r="F87" i="2" a="1"/>
  <c r="F88" i="2" a="1"/>
  <c r="F89" i="2" a="1"/>
  <c r="F90" i="2" a="1"/>
  <c r="F91" i="2" a="1"/>
  <c r="F92" i="2" a="1"/>
  <c r="F93" i="2" a="1"/>
  <c r="F94" i="2" a="1"/>
  <c r="F95" i="2" a="1"/>
  <c r="F96" i="2" a="1"/>
  <c r="F97" i="2" a="1"/>
  <c r="F98" i="2" a="1"/>
  <c r="F99" i="2" a="1"/>
  <c r="F100" i="2" a="1"/>
  <c r="F101" i="2" a="1"/>
  <c r="F102" i="2" a="1"/>
  <c r="F103" i="2" a="1"/>
  <c r="F104" i="2" a="1"/>
  <c r="F105" i="2" a="1"/>
  <c r="F106" i="2" a="1"/>
  <c r="E86" i="2" a="1"/>
  <c r="D24" i="2" a="1"/>
  <c r="D26" i="2" a="1"/>
  <c r="D28" i="2" a="1"/>
  <c r="D30" i="2" a="1"/>
  <c r="D32" i="2" a="1"/>
  <c r="D34" i="2" a="1"/>
  <c r="D36" i="2" a="1"/>
  <c r="D38" i="2" a="1"/>
  <c r="D40" i="2" a="1"/>
  <c r="D44" i="2" a="1"/>
  <c r="D47" i="2" a="1"/>
  <c r="D48" i="2" a="1"/>
  <c r="D51" i="2" a="1"/>
  <c r="D54" i="2" a="1"/>
  <c r="D57" i="2" a="1"/>
  <c r="D61" i="2" a="1"/>
  <c r="D63" i="2" a="1"/>
  <c r="D68" i="2" a="1"/>
  <c r="D71" i="2" a="1"/>
  <c r="D74" i="2" a="1"/>
  <c r="D77" i="2" a="1"/>
  <c r="D80" i="2" a="1"/>
  <c r="D85" i="2" a="1"/>
  <c r="D90" i="2" a="1"/>
  <c r="D95" i="2" a="1"/>
  <c r="D100" i="2" a="1"/>
  <c r="D106" i="2" a="1"/>
  <c r="D111" i="2" a="1"/>
  <c r="D116" i="2" a="1"/>
  <c r="D121" i="2" a="1"/>
  <c r="D126" i="2" a="1"/>
  <c r="D130" i="2" a="1"/>
  <c r="D134" i="2" a="1"/>
  <c r="D139" i="2" a="1"/>
  <c r="D145" i="2" a="1"/>
  <c r="D150" i="2" a="1"/>
  <c r="D155" i="2" a="1"/>
  <c r="D159" i="2" a="1"/>
  <c r="C45" i="2" a="1"/>
  <c r="C49" i="2" a="1"/>
  <c r="C54" i="2" a="1"/>
  <c r="C58" i="2" a="1"/>
  <c r="C64" i="2" a="1"/>
  <c r="C69" i="2" a="1"/>
  <c r="C73" i="2" a="1"/>
  <c r="C82" i="2" a="1"/>
  <c r="C98" i="2" a="1"/>
  <c r="C107" i="2" a="1"/>
  <c r="C121" i="2" a="1"/>
  <c r="B28" i="2" a="1"/>
  <c r="B58" i="2" a="1"/>
  <c r="B68" i="2" a="1"/>
  <c r="B139" i="2" a="1"/>
  <c r="L109" i="2" a="1"/>
  <c r="L115" i="2" a="1"/>
  <c r="F107" i="2" a="1"/>
  <c r="F108" i="2" a="1"/>
  <c r="F109" i="2" a="1"/>
  <c r="F110" i="2" a="1"/>
  <c r="F111" i="2" a="1"/>
  <c r="F112" i="2" a="1"/>
  <c r="F113" i="2" a="1"/>
  <c r="F114" i="2" a="1"/>
  <c r="F115" i="2" a="1"/>
  <c r="F117" i="2" a="1"/>
  <c r="F120" i="2" a="1"/>
  <c r="F122" i="2" a="1"/>
  <c r="F124" i="2" a="1"/>
  <c r="F126" i="2" a="1"/>
  <c r="F129" i="2" a="1"/>
  <c r="F131" i="2" a="1"/>
  <c r="F133" i="2" a="1"/>
  <c r="F136" i="2" a="1"/>
  <c r="F138" i="2" a="1"/>
  <c r="F141" i="2" a="1"/>
  <c r="F143" i="2" a="1"/>
  <c r="F145" i="2" a="1"/>
  <c r="F160" i="2" a="1"/>
  <c r="F147" i="2" a="1"/>
  <c r="F148" i="2" a="1"/>
  <c r="F149" i="2" a="1"/>
  <c r="F150" i="2" a="1"/>
  <c r="F151" i="2" a="1"/>
  <c r="F152" i="2" a="1"/>
  <c r="F153" i="2" a="1"/>
  <c r="F154" i="2" a="1"/>
  <c r="F155" i="2" a="1"/>
  <c r="F156" i="2" a="1"/>
  <c r="F157" i="2" a="1"/>
  <c r="F158" i="2" a="1"/>
  <c r="F159" i="2" a="1"/>
  <c r="E11" i="2" a="1"/>
  <c r="E12" i="2" a="1"/>
  <c r="E13" i="2" a="1"/>
  <c r="E14" i="2" a="1"/>
  <c r="E15" i="2" a="1"/>
  <c r="E16" i="2" a="1"/>
  <c r="E17" i="2" a="1"/>
  <c r="E18" i="2" a="1"/>
  <c r="E19" i="2" a="1"/>
  <c r="E20" i="2" a="1"/>
  <c r="E21" i="2" a="1"/>
  <c r="E22" i="2" a="1"/>
  <c r="E23" i="2" a="1"/>
  <c r="E24" i="2" a="1"/>
  <c r="E25" i="2" a="1"/>
  <c r="E26" i="2" a="1"/>
  <c r="E27" i="2" a="1"/>
  <c r="E28" i="2" a="1"/>
  <c r="E29" i="2" a="1"/>
  <c r="E30" i="2" a="1"/>
  <c r="E31" i="2" a="1"/>
  <c r="E32" i="2" a="1"/>
  <c r="E33" i="2" a="1"/>
  <c r="E34" i="2" a="1"/>
  <c r="E35" i="2" a="1"/>
  <c r="E36" i="2" a="1"/>
  <c r="E37" i="2" a="1"/>
  <c r="E38" i="2" a="1"/>
  <c r="E39" i="2" a="1"/>
  <c r="E40" i="2" a="1"/>
  <c r="E41" i="2" a="1"/>
  <c r="E42" i="2" a="1"/>
  <c r="E43" i="2" a="1"/>
  <c r="E44" i="2" a="1"/>
  <c r="E45" i="2" a="1"/>
  <c r="E46" i="2" a="1"/>
  <c r="E47" i="2" a="1"/>
  <c r="E48" i="2" a="1"/>
  <c r="E49" i="2" a="1"/>
  <c r="E50" i="2" a="1"/>
  <c r="E51" i="2" a="1"/>
  <c r="E52" i="2" a="1"/>
  <c r="E53" i="2" a="1"/>
  <c r="E54" i="2" a="1"/>
  <c r="E55" i="2" a="1"/>
  <c r="E56" i="2" a="1"/>
  <c r="E57" i="2" a="1"/>
  <c r="E58" i="2" a="1"/>
  <c r="E59" i="2" a="1"/>
  <c r="E60" i="2" a="1"/>
  <c r="E61" i="2" a="1"/>
  <c r="E62" i="2" a="1"/>
  <c r="E63" i="2" a="1"/>
  <c r="E64" i="2" a="1"/>
  <c r="E65" i="2" a="1"/>
  <c r="E66" i="2" a="1"/>
  <c r="E67" i="2" a="1"/>
  <c r="E68" i="2" a="1"/>
  <c r="E69" i="2" a="1"/>
  <c r="E70" i="2" a="1"/>
  <c r="E71" i="2" a="1"/>
  <c r="E72" i="2" a="1"/>
  <c r="E73" i="2" a="1"/>
  <c r="E74" i="2" a="1"/>
  <c r="E75" i="2" a="1"/>
  <c r="E76" i="2" a="1"/>
  <c r="E77" i="2" a="1"/>
  <c r="E78" i="2" a="1"/>
  <c r="E79" i="2" a="1"/>
  <c r="E80" i="2" a="1"/>
  <c r="E81" i="2" a="1"/>
  <c r="E82" i="2" a="1"/>
  <c r="E83" i="2" a="1"/>
  <c r="E84" i="2" a="1"/>
  <c r="E85" i="2" a="1"/>
  <c r="E87" i="2" a="1"/>
  <c r="D25" i="2" a="1"/>
  <c r="D27" i="2" a="1"/>
  <c r="D29" i="2" a="1"/>
  <c r="D31" i="2" a="1"/>
  <c r="D33" i="2" a="1"/>
  <c r="D35" i="2" a="1"/>
  <c r="D37" i="2" a="1"/>
  <c r="D39" i="2" a="1"/>
  <c r="D42" i="2" a="1"/>
  <c r="D45" i="2" a="1"/>
  <c r="D50" i="2" a="1"/>
  <c r="D53" i="2" a="1"/>
  <c r="D56" i="2" a="1"/>
  <c r="D59" i="2" a="1"/>
  <c r="D62" i="2" a="1"/>
  <c r="D65" i="2" a="1"/>
  <c r="D67" i="2" a="1"/>
  <c r="D70" i="2" a="1"/>
  <c r="D73" i="2" a="1"/>
  <c r="D76" i="2" a="1"/>
  <c r="D79" i="2" a="1"/>
  <c r="D84" i="2" a="1"/>
  <c r="D88" i="2" a="1"/>
  <c r="D93" i="2" a="1"/>
  <c r="D98" i="2" a="1"/>
  <c r="D103" i="2" a="1"/>
  <c r="D109" i="2" a="1"/>
  <c r="D115" i="2" a="1"/>
  <c r="D120" i="2" a="1"/>
  <c r="D125" i="2" a="1"/>
  <c r="D132" i="2" a="1"/>
  <c r="D136" i="2" a="1"/>
  <c r="D142" i="2" a="1"/>
  <c r="D147" i="2" a="1"/>
  <c r="D152" i="2" a="1"/>
  <c r="D156" i="2" a="1"/>
  <c r="D160" i="2" a="1"/>
  <c r="C47" i="2" a="1"/>
  <c r="C51" i="2" a="1"/>
  <c r="C55" i="2" a="1"/>
  <c r="C60" i="2" a="1"/>
  <c r="C65" i="2" a="1"/>
  <c r="C71" i="2" a="1"/>
  <c r="C78" i="2" a="1"/>
  <c r="C80" i="2" a="1"/>
  <c r="C91" i="2" a="1"/>
  <c r="C100" i="2" a="1"/>
  <c r="C119" i="2" a="1"/>
  <c r="B42" i="2" a="1"/>
  <c r="B46" i="2" a="1"/>
  <c r="B54" i="2" a="1"/>
  <c r="B61" i="2" a="1"/>
  <c r="B137" i="2" a="1"/>
  <c r="B80" i="2" a="1"/>
  <c r="L68" i="2" a="1"/>
  <c r="L158" i="2" a="1"/>
  <c r="L83" i="2" a="1"/>
  <c r="L92" i="2" a="1"/>
  <c r="L110" i="2" a="1"/>
  <c r="E88" i="2" a="1"/>
  <c r="E89" i="2" a="1"/>
  <c r="E90" i="2" a="1"/>
  <c r="E91" i="2" a="1"/>
  <c r="E92" i="2" a="1"/>
  <c r="E93" i="2" a="1"/>
  <c r="E94" i="2" a="1"/>
  <c r="E95" i="2" a="1"/>
  <c r="E96" i="2" a="1"/>
  <c r="E97" i="2" a="1"/>
  <c r="E98" i="2" a="1"/>
  <c r="E99" i="2" a="1"/>
  <c r="E100" i="2" a="1"/>
  <c r="E101" i="2" a="1"/>
  <c r="E102" i="2" a="1"/>
  <c r="E103" i="2" a="1"/>
  <c r="E104" i="2" a="1"/>
  <c r="E105" i="2" a="1"/>
  <c r="E106" i="2" a="1"/>
  <c r="E107" i="2" a="1"/>
  <c r="E108" i="2" a="1"/>
  <c r="E109" i="2" a="1"/>
  <c r="E110" i="2" a="1"/>
  <c r="E111" i="2" a="1"/>
  <c r="E112" i="2" a="1"/>
  <c r="E113" i="2" a="1"/>
  <c r="E114" i="2" a="1"/>
  <c r="E115" i="2" a="1"/>
  <c r="E116" i="2" a="1"/>
  <c r="E117" i="2" a="1"/>
  <c r="E118" i="2" a="1"/>
  <c r="E119" i="2" a="1"/>
  <c r="E120" i="2" a="1"/>
  <c r="E121" i="2" a="1"/>
  <c r="E122" i="2" a="1"/>
  <c r="E123" i="2" a="1"/>
  <c r="E124" i="2" a="1"/>
  <c r="E125" i="2" a="1"/>
  <c r="E126" i="2" a="1"/>
  <c r="E127" i="2" a="1"/>
  <c r="E128" i="2" a="1"/>
  <c r="E129" i="2" a="1"/>
  <c r="E130" i="2" a="1"/>
  <c r="E131" i="2" a="1"/>
  <c r="E132" i="2" a="1"/>
  <c r="E133" i="2" a="1"/>
  <c r="E134" i="2" a="1"/>
  <c r="E135" i="2" a="1"/>
  <c r="E136" i="2" a="1"/>
  <c r="E137" i="2" a="1"/>
  <c r="E138" i="2" a="1"/>
  <c r="E139" i="2" a="1"/>
  <c r="E140" i="2" a="1"/>
  <c r="E141" i="2" a="1"/>
  <c r="E142" i="2" a="1"/>
  <c r="E143" i="2" a="1"/>
  <c r="E144" i="2" a="1"/>
  <c r="E145" i="2" a="1"/>
  <c r="E146" i="2" a="1"/>
  <c r="E155" i="2" a="1"/>
  <c r="E156" i="2" a="1"/>
  <c r="E157" i="2" a="1"/>
  <c r="E147" i="2" a="1"/>
  <c r="E148" i="2" a="1"/>
  <c r="E149" i="2" a="1"/>
  <c r="E150" i="2" a="1"/>
  <c r="E151" i="2" a="1"/>
  <c r="E152" i="2" a="1"/>
  <c r="E153" i="2" a="1"/>
  <c r="E154" i="2" a="1"/>
  <c r="E158" i="2" a="1"/>
  <c r="E159" i="2" a="1"/>
  <c r="E160" i="2" a="1"/>
  <c r="D11" i="2" a="1"/>
  <c r="D12" i="2" a="1"/>
  <c r="D13" i="2" a="1"/>
  <c r="D14" i="2" a="1"/>
  <c r="D15" i="2" a="1"/>
  <c r="D16" i="2" a="1"/>
  <c r="D17" i="2" a="1"/>
  <c r="D18" i="2" a="1"/>
  <c r="D19" i="2" a="1"/>
  <c r="D20" i="2" a="1"/>
  <c r="D21" i="2" a="1"/>
  <c r="D22" i="2" a="1"/>
  <c r="D23" i="2" a="1"/>
  <c r="D41" i="2" a="1"/>
  <c r="D43" i="2" a="1"/>
  <c r="D46" i="2" a="1"/>
  <c r="D49" i="2" a="1"/>
  <c r="D52" i="2" a="1"/>
  <c r="D55" i="2" a="1"/>
  <c r="D58" i="2" a="1"/>
  <c r="D60" i="2" a="1"/>
  <c r="D64" i="2" a="1"/>
  <c r="D66" i="2" a="1"/>
  <c r="D69" i="2" a="1"/>
  <c r="D72" i="2" a="1"/>
  <c r="D75" i="2" a="1"/>
  <c r="D78" i="2" a="1"/>
  <c r="D81" i="2" a="1"/>
  <c r="D86" i="2" a="1"/>
  <c r="D91" i="2" a="1"/>
  <c r="D96" i="2" a="1"/>
  <c r="D101" i="2" a="1"/>
  <c r="D105" i="2" a="1"/>
  <c r="D110" i="2" a="1"/>
  <c r="D113" i="2" a="1"/>
  <c r="D118" i="2" a="1"/>
  <c r="D123" i="2" a="1"/>
  <c r="D129" i="2" a="1"/>
  <c r="D131" i="2" a="1"/>
  <c r="D137" i="2" a="1"/>
  <c r="D141" i="2" a="1"/>
  <c r="D146" i="2" a="1"/>
  <c r="D151" i="2" a="1"/>
  <c r="D157" i="2" a="1"/>
  <c r="C44" i="2" a="1"/>
  <c r="C52" i="2" a="1"/>
  <c r="C57" i="2" a="1"/>
  <c r="C62" i="2" a="1"/>
  <c r="C67" i="2" a="1"/>
  <c r="C72" i="2" a="1"/>
  <c r="C77" i="2" a="1"/>
  <c r="C146" i="2" a="1"/>
  <c r="C83" i="2" a="1"/>
  <c r="C97" i="2" a="1"/>
  <c r="C102" i="2" a="1"/>
  <c r="C108" i="2" a="1"/>
  <c r="C113" i="2" a="1"/>
  <c r="B27" i="2" a="1"/>
  <c r="B33" i="2" a="1"/>
  <c r="B39" i="2" a="1"/>
  <c r="B45" i="2" a="1"/>
  <c r="B51" i="2" a="1"/>
  <c r="B56" i="2" a="1"/>
  <c r="B60" i="2" a="1"/>
  <c r="B67" i="2" a="1"/>
  <c r="B69" i="2" a="1"/>
  <c r="B78" i="2" a="1"/>
  <c r="B81" i="2" a="1"/>
  <c r="L69" i="2" a="1"/>
  <c r="L77" i="2" a="1"/>
  <c r="L88" i="2" a="1"/>
  <c r="L95" i="2" a="1"/>
  <c r="L105" i="2" a="1"/>
  <c r="L111" i="2" a="1"/>
  <c r="L114" i="2" a="1"/>
  <c r="C13" i="2" a="1"/>
  <c r="C14" i="2" a="1"/>
  <c r="C15" i="2" a="1"/>
  <c r="C16" i="2" a="1"/>
  <c r="C17" i="2" a="1"/>
  <c r="C18" i="2" a="1"/>
  <c r="C19" i="2" a="1"/>
  <c r="C20" i="2" a="1"/>
  <c r="C21" i="2" a="1"/>
  <c r="C22" i="2" a="1"/>
  <c r="C23" i="2" a="1"/>
  <c r="C24" i="2" a="1"/>
  <c r="C25" i="2" a="1"/>
  <c r="C26" i="2" a="1"/>
  <c r="C27" i="2" a="1"/>
  <c r="C28" i="2" a="1"/>
  <c r="C29" i="2" a="1"/>
  <c r="C30" i="2" a="1"/>
  <c r="C31" i="2" a="1"/>
  <c r="C32" i="2" a="1"/>
  <c r="C33" i="2" a="1"/>
  <c r="C34" i="2" a="1"/>
  <c r="C35" i="2" a="1"/>
  <c r="C36" i="2" a="1"/>
  <c r="C37" i="2" a="1"/>
  <c r="C38" i="2" a="1"/>
  <c r="C39" i="2" a="1"/>
  <c r="C40" i="2" a="1"/>
  <c r="C41" i="2" a="1"/>
  <c r="C42" i="2" a="1"/>
  <c r="B141" i="2" a="1"/>
  <c r="L65" i="2" a="1"/>
  <c r="L76" i="2" a="1"/>
  <c r="L150" i="2" a="1"/>
  <c r="L79" i="2" a="1"/>
  <c r="L90" i="2" a="1"/>
  <c r="L97" i="2" a="1"/>
  <c r="C122" i="2" a="1"/>
  <c r="C123" i="2" a="1"/>
  <c r="C124" i="2" a="1"/>
  <c r="C125" i="2" a="1"/>
  <c r="C126" i="2" a="1"/>
  <c r="C127" i="2" a="1"/>
  <c r="C128" i="2" a="1"/>
  <c r="C129" i="2" a="1"/>
  <c r="C130" i="2" a="1"/>
  <c r="C131" i="2" a="1"/>
  <c r="C132" i="2" a="1"/>
  <c r="C133" i="2" a="1"/>
  <c r="C134" i="2" a="1"/>
  <c r="C135" i="2" a="1"/>
  <c r="C136" i="2" a="1"/>
  <c r="C137" i="2" a="1"/>
  <c r="C138" i="2" a="1"/>
  <c r="C139" i="2" a="1"/>
  <c r="C141" i="2" a="1"/>
  <c r="C143" i="2" a="1"/>
  <c r="C145" i="2" a="1"/>
  <c r="C147" i="2" a="1"/>
  <c r="C148" i="2" a="1"/>
  <c r="C149" i="2" a="1"/>
  <c r="C150" i="2" a="1"/>
  <c r="C151" i="2" a="1"/>
  <c r="C152" i="2" a="1"/>
  <c r="C153" i="2" a="1"/>
  <c r="C154" i="2" a="1"/>
  <c r="C155" i="2" a="1"/>
  <c r="C156" i="2" a="1"/>
  <c r="C157" i="2" a="1"/>
  <c r="C158" i="2" a="1"/>
  <c r="C159" i="2" a="1"/>
  <c r="C160" i="2" a="1"/>
  <c r="B11" i="2" a="1"/>
  <c r="B12" i="2" a="1"/>
  <c r="B13" i="2" a="1"/>
  <c r="B14" i="2" a="1"/>
  <c r="B15" i="2" a="1"/>
  <c r="B16" i="2" a="1"/>
  <c r="B17" i="2" a="1"/>
  <c r="B18" i="2" a="1"/>
  <c r="B19" i="2" a="1"/>
  <c r="B20" i="2" a="1"/>
  <c r="B21" i="2" a="1"/>
  <c r="B22" i="2" a="1"/>
  <c r="B82" i="2" a="1"/>
  <c r="B83" i="2" a="1"/>
  <c r="B84" i="2" a="1"/>
  <c r="B85" i="2" a="1"/>
  <c r="B86" i="2" a="1"/>
  <c r="B87" i="2" a="1"/>
  <c r="B88" i="2" a="1"/>
  <c r="B89" i="2" a="1"/>
  <c r="B90" i="2" a="1"/>
  <c r="B91" i="2" a="1"/>
  <c r="B92" i="2" a="1"/>
  <c r="B93" i="2" a="1"/>
  <c r="B94" i="2" a="1"/>
  <c r="B95" i="2" a="1"/>
  <c r="B96" i="2" a="1"/>
  <c r="B97" i="2" a="1"/>
  <c r="B98" i="2" a="1"/>
  <c r="B99" i="2" a="1"/>
  <c r="B100" i="2" a="1"/>
  <c r="B101" i="2" a="1"/>
  <c r="B102" i="2" a="1"/>
  <c r="B103" i="2" a="1"/>
  <c r="B104" i="2" a="1"/>
  <c r="B105" i="2" a="1"/>
  <c r="B106" i="2" a="1"/>
  <c r="B107" i="2" a="1"/>
  <c r="B108" i="2" a="1"/>
  <c r="B109" i="2" a="1"/>
  <c r="B110" i="2" a="1"/>
  <c r="B111" i="2" a="1"/>
  <c r="B112" i="2" a="1"/>
  <c r="B113" i="2" a="1"/>
  <c r="B114" i="2" a="1"/>
  <c r="B115" i="2" a="1"/>
  <c r="B116" i="2" a="1"/>
  <c r="B117" i="2" a="1"/>
  <c r="B118" i="2" a="1"/>
  <c r="B119" i="2" a="1"/>
  <c r="B120" i="2" a="1"/>
  <c r="B121" i="2" a="1"/>
  <c r="B122" i="2" a="1"/>
  <c r="B123" i="2" a="1"/>
  <c r="B124" i="2" a="1"/>
  <c r="B125" i="2" a="1"/>
  <c r="B126" i="2" a="1"/>
  <c r="B127" i="2" a="1"/>
  <c r="B128" i="2" a="1"/>
  <c r="B129" i="2" a="1"/>
  <c r="B130" i="2" a="1"/>
  <c r="B131" i="2" a="1"/>
  <c r="B133" i="2" a="1"/>
  <c r="B134" i="2" a="1"/>
  <c r="B136" i="2" a="1"/>
  <c r="B138" i="2" a="1"/>
  <c r="B140" i="2" a="1"/>
  <c r="B142" i="2" a="1"/>
  <c r="B144" i="2" a="1"/>
  <c r="B146" i="2" a="1"/>
  <c r="B147" i="2" a="1"/>
  <c r="B148" i="2" a="1"/>
  <c r="B149" i="2" a="1"/>
  <c r="B150" i="2" a="1"/>
  <c r="B151" i="2" a="1"/>
  <c r="B152" i="2" a="1"/>
  <c r="B153" i="2" a="1"/>
  <c r="B154" i="2" a="1"/>
  <c r="B155" i="2" a="1"/>
  <c r="B156" i="2" a="1"/>
  <c r="B157" i="2" a="1"/>
  <c r="B158" i="2" a="1"/>
  <c r="B159" i="2" a="1"/>
  <c r="B160" i="2" a="1"/>
  <c r="A12" i="2" a="1"/>
  <c r="A13" i="2" a="1"/>
  <c r="A14" i="2" a="1"/>
  <c r="A15" i="2" a="1"/>
  <c r="A16" i="2" a="1"/>
  <c r="A17" i="2" a="1"/>
  <c r="A18" i="2" a="1"/>
  <c r="A19" i="2" a="1"/>
  <c r="A20" i="2" a="1"/>
  <c r="A21" i="2" a="1"/>
  <c r="A22" i="2" a="1"/>
  <c r="A23" i="2" a="1"/>
  <c r="A24" i="2" a="1"/>
  <c r="A25" i="2" a="1"/>
  <c r="A26" i="2" a="1"/>
  <c r="A27" i="2" a="1"/>
  <c r="A28" i="2" a="1"/>
  <c r="A29" i="2" a="1"/>
  <c r="A30" i="2" a="1"/>
  <c r="A31" i="2" a="1"/>
  <c r="A32" i="2" a="1"/>
  <c r="A33" i="2" a="1"/>
  <c r="A34" i="2" a="1"/>
  <c r="A35" i="2" a="1"/>
  <c r="A36" i="2" a="1"/>
  <c r="A37" i="2" a="1"/>
  <c r="A38" i="2" a="1"/>
  <c r="A39" i="2" a="1"/>
  <c r="A40" i="2" a="1"/>
  <c r="A41" i="2" a="1"/>
  <c r="A42" i="2" a="1"/>
  <c r="A43" i="2" a="1"/>
  <c r="A44" i="2" a="1"/>
  <c r="A45" i="2" a="1"/>
  <c r="A46" i="2" a="1"/>
  <c r="A47" i="2" a="1"/>
  <c r="A48" i="2" a="1"/>
  <c r="A49" i="2" a="1"/>
  <c r="A50" i="2" a="1"/>
  <c r="A51" i="2" a="1"/>
  <c r="A139" i="2" a="1"/>
  <c r="A141" i="2" a="1"/>
  <c r="A143" i="2" a="1"/>
  <c r="A146" i="2" a="1"/>
  <c r="A148" i="2" a="1"/>
  <c r="A150" i="2" a="1"/>
  <c r="A152" i="2" a="1"/>
  <c r="A154" i="2" a="1"/>
  <c r="A156" i="2" a="1"/>
  <c r="A158" i="2" a="1"/>
  <c r="A160" i="2" a="1"/>
  <c r="L12" i="2" a="1"/>
  <c r="L15" i="2" a="1"/>
  <c r="L17" i="2" a="1"/>
  <c r="L19" i="2" a="1"/>
  <c r="L21" i="2" a="1"/>
  <c r="L23" i="2" a="1"/>
  <c r="L24" i="2" a="1"/>
  <c r="L26" i="2" a="1"/>
  <c r="L28" i="2" a="1"/>
  <c r="L30" i="2" a="1"/>
  <c r="L32" i="2" a="1"/>
  <c r="L35" i="2" a="1"/>
  <c r="L36" i="2" a="1"/>
  <c r="L38" i="2" a="1"/>
  <c r="L40" i="2" a="1"/>
  <c r="L42" i="2" a="1"/>
  <c r="L44" i="2" a="1"/>
  <c r="L46" i="2" a="1"/>
  <c r="L48" i="2" a="1"/>
  <c r="L50" i="2" a="1"/>
  <c r="L51" i="2" a="1"/>
  <c r="L53" i="2" a="1"/>
  <c r="L55" i="2" a="1"/>
  <c r="L56" i="2" a="1"/>
  <c r="L58" i="2" a="1"/>
  <c r="L60" i="2" a="1"/>
  <c r="L62" i="2" a="1"/>
  <c r="L64" i="2" a="1"/>
  <c r="L71" i="2" a="1"/>
  <c r="L154" i="2" a="1"/>
  <c r="L82" i="2" a="1"/>
  <c r="L91" i="2" a="1"/>
  <c r="L102" i="2" a="1"/>
  <c r="L112" i="2" a="1"/>
  <c r="A52" i="2" a="1"/>
  <c r="A53" i="2" a="1"/>
  <c r="A54" i="2" a="1"/>
  <c r="A55" i="2" a="1"/>
  <c r="A56" i="2" a="1"/>
  <c r="A57" i="2" a="1"/>
  <c r="A58" i="2" a="1"/>
  <c r="A59" i="2" a="1"/>
  <c r="A60" i="2" a="1"/>
  <c r="A61" i="2" a="1"/>
  <c r="A62" i="2" a="1"/>
  <c r="A63" i="2" a="1"/>
  <c r="A64" i="2" a="1"/>
  <c r="A65" i="2" a="1"/>
  <c r="A66" i="2" a="1"/>
  <c r="A67" i="2" a="1"/>
  <c r="A68" i="2" a="1"/>
  <c r="A69" i="2" a="1"/>
  <c r="A70" i="2" a="1"/>
  <c r="A71" i="2" a="1"/>
  <c r="A72" i="2" a="1"/>
  <c r="A73" i="2" a="1"/>
  <c r="A74" i="2" a="1"/>
  <c r="A75" i="2" a="1"/>
  <c r="A76" i="2" a="1"/>
  <c r="A77" i="2" a="1"/>
  <c r="A78" i="2" a="1"/>
  <c r="A144" i="2" a="1"/>
  <c r="A79" i="2" a="1"/>
  <c r="A80" i="2" a="1"/>
  <c r="A81" i="2" a="1"/>
  <c r="A82" i="2" a="1"/>
  <c r="A83" i="2" a="1"/>
  <c r="A84" i="2" a="1"/>
  <c r="A85" i="2" a="1"/>
  <c r="A86" i="2" a="1"/>
  <c r="A87" i="2" a="1"/>
  <c r="A88" i="2" a="1"/>
  <c r="A89" i="2" a="1"/>
  <c r="A90" i="2" a="1"/>
  <c r="A91" i="2" a="1"/>
  <c r="A92" i="2" a="1"/>
  <c r="A93" i="2" a="1"/>
  <c r="A94" i="2" a="1"/>
  <c r="A95" i="2" a="1"/>
  <c r="A96" i="2" a="1"/>
  <c r="A97" i="2" a="1"/>
  <c r="A98" i="2" a="1"/>
  <c r="A99" i="2" a="1"/>
  <c r="A100" i="2" a="1"/>
  <c r="A101" i="2" a="1"/>
  <c r="A102" i="2" a="1"/>
  <c r="A103" i="2" a="1"/>
  <c r="A104" i="2" a="1"/>
  <c r="A105" i="2" a="1"/>
  <c r="A106" i="2" a="1"/>
  <c r="A107" i="2" a="1"/>
  <c r="A108" i="2" a="1"/>
  <c r="A109" i="2" a="1"/>
  <c r="A110" i="2" a="1"/>
  <c r="A111" i="2" a="1"/>
  <c r="A112" i="2" a="1"/>
  <c r="A113" i="2" a="1"/>
  <c r="A114" i="2" a="1"/>
  <c r="A115" i="2" a="1"/>
  <c r="A116" i="2" a="1"/>
  <c r="A117" i="2" a="1"/>
  <c r="A118" i="2" a="1"/>
  <c r="A119" i="2" a="1"/>
  <c r="A120" i="2" a="1"/>
  <c r="A121" i="2" a="1"/>
  <c r="A122" i="2" a="1"/>
  <c r="A123" i="2" a="1"/>
  <c r="A124" i="2" a="1"/>
  <c r="A125" i="2" a="1"/>
  <c r="A126" i="2" a="1"/>
  <c r="A127" i="2" a="1"/>
  <c r="A128" i="2" a="1"/>
  <c r="A129" i="2" a="1"/>
  <c r="A130" i="2" a="1"/>
  <c r="A131" i="2" a="1"/>
  <c r="A132" i="2" a="1"/>
  <c r="A133" i="2" a="1"/>
  <c r="A134" i="2" a="1"/>
  <c r="A135" i="2" a="1"/>
  <c r="A136" i="2" a="1"/>
  <c r="A137" i="2" a="1"/>
  <c r="A138" i="2" a="1"/>
  <c r="A140" i="2" a="1"/>
  <c r="A142" i="2" a="1"/>
  <c r="A145" i="2" a="1"/>
  <c r="A147" i="2" a="1"/>
  <c r="A149" i="2" a="1"/>
  <c r="A151" i="2" a="1"/>
  <c r="A153" i="2" a="1"/>
  <c r="A155" i="2" a="1"/>
  <c r="A157" i="2" a="1"/>
  <c r="A159" i="2" a="1"/>
  <c r="L11" i="2" a="1"/>
  <c r="L13" i="2" a="1"/>
  <c r="L14" i="2" a="1"/>
  <c r="L16" i="2" a="1"/>
  <c r="L18" i="2" a="1"/>
  <c r="L20" i="2" a="1"/>
  <c r="L22" i="2" a="1"/>
  <c r="L25" i="2" a="1"/>
  <c r="L27" i="2" a="1"/>
  <c r="L29" i="2" a="1"/>
  <c r="L31" i="2" a="1"/>
  <c r="L33" i="2" a="1"/>
  <c r="L34" i="2" a="1"/>
  <c r="L37" i="2" a="1"/>
  <c r="L39" i="2" a="1"/>
  <c r="L41" i="2" a="1"/>
  <c r="L43" i="2" a="1"/>
  <c r="L45" i="2" a="1"/>
  <c r="L47" i="2" a="1"/>
  <c r="L49" i="2" a="1"/>
  <c r="L52" i="2" a="1"/>
  <c r="L54" i="2" a="1"/>
  <c r="L57" i="2" a="1"/>
  <c r="L59" i="2" a="1"/>
  <c r="L61" i="2" a="1"/>
  <c r="L63" i="2" a="1"/>
  <c r="L66" i="2" a="1"/>
  <c r="L73" i="2" a="1"/>
  <c r="L87" i="2" a="1"/>
  <c r="L94" i="2" a="1"/>
  <c r="L104" i="2" a="1"/>
  <c r="M14" i="2" l="1"/>
  <c r="M13" i="2" s="1"/>
  <c r="M12" i="2" s="1"/>
  <c r="A11" i="2" s="1" a="1"/>
  <c r="M11" i="2" s="1"/>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8EEF714-7550-41FC-9758-CC719B3B3FB2}" keepAlive="1" name="Query - 2026 June Email Calendar" description="Connection to the '2026 June Email Calendar' query in the workbook." type="5" refreshedVersion="0" background="1" saveData="1">
    <dbPr connection="Provider=Microsoft.Mashup.OleDb.1;Data Source=$Workbook$;Location=&quot;2026 June Email Calendar&quot;;Extended Properties=&quot;&quot;" command="SELECT * FROM [2026 June Email Calenda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<sst xmlns="http://schemas.openxmlformats.org/spreadsheetml/2006/main" count="1036" uniqueCount="284">
  <si>
    <t>Email &amp; SMS Campaign Summary</t>
  </si>
  <si>
    <t>Current week through next week Email and SMS campaigns.</t>
  </si>
  <si>
    <t>Last Refresh</t>
  </si>
  <si>
    <t>Last Edited By</t>
  </si>
  <si>
    <t>Active Work</t>
  </si>
  <si>
    <t>Sending Today</t>
  </si>
  <si>
    <t>Email Active</t>
  </si>
  <si>
    <t>SMS Active</t>
  </si>
  <si>
    <t>Approval Pending</t>
  </si>
  <si>
    <t>Sent</t>
  </si>
  <si>
    <t>Week Number</t>
  </si>
  <si>
    <t>Email + SMS not yet sent</t>
  </si>
  <si>
    <t>Email + SMS scheduled today</t>
  </si>
  <si>
    <t>Open email campaigns</t>
  </si>
  <si>
    <t>Open SMS campaigns</t>
  </si>
  <si>
    <t>Approval checkbox is open</t>
  </si>
  <si>
    <t>Campaigns with Delivered &gt; 0</t>
  </si>
  <si>
    <t>Current + next week (Sun-Sat)</t>
  </si>
  <si>
    <t>Current Week + Next Week Campaigns</t>
  </si>
  <si>
    <t>All campaigns scheduled from this Sunday through next Saturday.</t>
  </si>
  <si>
    <t>Send Date</t>
  </si>
  <si>
    <t>Time</t>
  </si>
  <si>
    <t>Channel</t>
  </si>
  <si>
    <t>Campaign</t>
  </si>
  <si>
    <t>Type</t>
  </si>
  <si>
    <t>Stage</t>
  </si>
  <si>
    <t>Owner</t>
  </si>
  <si>
    <t>Approval</t>
  </si>
  <si>
    <t>Segments</t>
  </si>
  <si>
    <t>Jira</t>
  </si>
  <si>
    <t>ClickUp</t>
  </si>
  <si>
    <t>Bluecore/Attentive</t>
  </si>
  <si>
    <t>Today's Sends</t>
  </si>
  <si>
    <t>Email + SMS</t>
  </si>
  <si>
    <t>Confirm scheduled and send status</t>
  </si>
  <si>
    <t>Current production</t>
  </si>
  <si>
    <t>Complete the email workflow</t>
  </si>
  <si>
    <t>Complete the SMS workflow</t>
  </si>
  <si>
    <t>Obtain final approval</t>
  </si>
  <si>
    <t>Delivered &gt; 0</t>
  </si>
  <si>
    <t>Completed campaigns</t>
  </si>
  <si>
    <t>Send Time</t>
  </si>
  <si>
    <t>Campaign Name</t>
  </si>
  <si>
    <t>Campaign Type</t>
  </si>
  <si>
    <t>Current Stage</t>
  </si>
  <si>
    <t>Campaign Name and UTM Parameter (Source Code)</t>
  </si>
  <si>
    <t>Creative Brief, SL &amp; PH</t>
  </si>
  <si>
    <t>SKUs</t>
  </si>
  <si>
    <t>In-Design</t>
  </si>
  <si>
    <t>Build, QA</t>
  </si>
  <si>
    <t>Route</t>
  </si>
  <si>
    <t>Scheduled</t>
  </si>
  <si>
    <t>Jira Link</t>
  </si>
  <si>
    <t>ClickUp Link</t>
  </si>
  <si>
    <t>Bluecore/Attentive Link</t>
  </si>
  <si>
    <t>Est. Audience</t>
  </si>
  <si>
    <t>Delivered</t>
  </si>
  <si>
    <t>Last Updated</t>
  </si>
  <si>
    <t>Last Updated By</t>
  </si>
  <si>
    <t>Notes</t>
  </si>
  <si>
    <t>STO</t>
  </si>
  <si>
    <t>Promo</t>
  </si>
  <si>
    <t>Archim</t>
  </si>
  <si>
    <t>Kim Chim</t>
  </si>
  <si>
    <t>Services</t>
  </si>
  <si>
    <t>Jed</t>
  </si>
  <si>
    <t>Cancelled</t>
  </si>
  <si>
    <t>Newsletters</t>
  </si>
  <si>
    <t>Events</t>
  </si>
  <si>
    <t>NPA</t>
  </si>
  <si>
    <t>N/A</t>
  </si>
  <si>
    <t>509K</t>
  </si>
  <si>
    <t>TBD</t>
  </si>
  <si>
    <t>Send SMS Options</t>
  </si>
  <si>
    <t>Send Test</t>
  </si>
  <si>
    <t>Proof of Schedule</t>
  </si>
  <si>
    <t>11:00:00 AM Local Timezone</t>
  </si>
  <si>
    <t>3:45:00 PM Local Timezone</t>
  </si>
  <si>
    <t>11:30:00 AM Local Timezone</t>
  </si>
  <si>
    <t>Archim/Sean</t>
  </si>
  <si>
    <t>Detailed Notes and Instructions</t>
  </si>
  <si>
    <t>Action</t>
  </si>
  <si>
    <t>Email Campaigns</t>
  </si>
  <si>
    <t>SMS Campaigns</t>
  </si>
  <si>
    <t>Filters</t>
  </si>
  <si>
    <t>Dashboard</t>
  </si>
  <si>
    <t>Audit Fields</t>
  </si>
  <si>
    <t>SharePoint</t>
  </si>
  <si>
    <t>Maintenance</t>
  </si>
  <si>
    <t>Cancelled Campaigns</t>
  </si>
  <si>
    <t>Timed Link Labels</t>
  </si>
  <si>
    <t>Troubleshooting</t>
  </si>
  <si>
    <t>Performance</t>
  </si>
  <si>
    <t>Sheet Protection</t>
  </si>
  <si>
    <t>Schedule-Gap Highlighting</t>
  </si>
  <si>
    <t>Dashboard Week Number</t>
  </si>
  <si>
    <t>Status Values</t>
  </si>
  <si>
    <t>Risk Level</t>
  </si>
  <si>
    <t>Owner List</t>
  </si>
  <si>
    <t>Not Started</t>
  </si>
  <si>
    <t>On Track</t>
  </si>
  <si>
    <t>Manager</t>
  </si>
  <si>
    <t>Waiting for SKUs</t>
  </si>
  <si>
    <t>At Risk</t>
  </si>
  <si>
    <t>Email Manager</t>
  </si>
  <si>
    <t>Brief in Progress</t>
  </si>
  <si>
    <t>Needed</t>
  </si>
  <si>
    <t>High Risk</t>
  </si>
  <si>
    <t>Associate</t>
  </si>
  <si>
    <t>Brief Ready</t>
  </si>
  <si>
    <t>Requested</t>
  </si>
  <si>
    <t>Critical</t>
  </si>
  <si>
    <t>Designer</t>
  </si>
  <si>
    <t>With Design</t>
  </si>
  <si>
    <t>Received</t>
  </si>
  <si>
    <t>Blocked</t>
  </si>
  <si>
    <t>Builder</t>
  </si>
  <si>
    <t>Design Ready</t>
  </si>
  <si>
    <t>Draft</t>
  </si>
  <si>
    <t>Ready</t>
  </si>
  <si>
    <t>Client</t>
  </si>
  <si>
    <t>Others</t>
  </si>
  <si>
    <t>Sent to Builder</t>
  </si>
  <si>
    <t>In Progress</t>
  </si>
  <si>
    <t>Complete</t>
  </si>
  <si>
    <t>Built in Bluecore</t>
  </si>
  <si>
    <t>Segment Ready</t>
  </si>
  <si>
    <t>Approved</t>
  </si>
  <si>
    <t>QA in Progress</t>
  </si>
  <si>
    <t>Created</t>
  </si>
  <si>
    <t>QA Passed</t>
  </si>
  <si>
    <t>Passed</t>
  </si>
  <si>
    <t>Failed</t>
  </si>
  <si>
    <t>Timestamp</t>
  </si>
  <si>
    <t>User</t>
  </si>
  <si>
    <t>Details</t>
  </si>
  <si>
    <t>RefreshDashboard</t>
  </si>
  <si>
    <t>Dashboard formulas refreshed</t>
  </si>
  <si>
    <t>MigrateProductionInventoryStructure</t>
  </si>
  <si>
    <t>Production Inventory migrated. Backup: A:\Users\Archim Pameroyan\Documents\GitHub\System-Production-Adorama\Email_Production_Inventory_Tracker_UI_PRE_MIGRATION_20260606_070302.xlsm</t>
  </si>
  <si>
    <t>Production Inventory migrated. Backup: A:\Users\Archim Pameroyan\Documents\GitHub\System-Production-Adorama\Email_Production_Inventory_Tracker_UI_PRE_MIGRATION_20260606_070756.xlsm</t>
  </si>
  <si>
    <t>Calendar/UI QA Upgrade</t>
  </si>
  <si>
    <t>Created 12 dynamic monthly calendars; removed README and VBA Code; enhanced navigation and workbook UI.</t>
  </si>
  <si>
    <t>ApplyAllConfigurations</t>
  </si>
  <si>
    <t>All configurations applied successfully</t>
  </si>
  <si>
    <t>RefreshProductionStatus</t>
  </si>
  <si>
    <t>Production Inventory and Dashboard refreshed</t>
  </si>
  <si>
    <t>RebuildMonthlyCalendars</t>
  </si>
  <si>
    <t>Twelve dynamic monthly calendar sheets rebuilt</t>
  </si>
  <si>
    <t>Email, SMS, calendars, and Dashboard refreshed</t>
  </si>
  <si>
    <t>FormatTest1</t>
  </si>
  <si>
    <t>HasFormula: False, Val: True</t>
  </si>
  <si>
    <t>FormatTest2</t>
  </si>
  <si>
    <t>ValStr: True</t>
  </si>
  <si>
    <t>HasFormula: False, Val: False</t>
  </si>
  <si>
    <t>ValStr: False</t>
  </si>
  <si>
    <t>ApplyCampaignEntryFormats</t>
  </si>
  <si>
    <t>Error 1004: Unable to set the NumberFormat property of the Range class</t>
  </si>
  <si>
    <t>Loyalty</t>
  </si>
  <si>
    <t>PLCC</t>
  </si>
  <si>
    <t>Promo: Bundle &amp; Save</t>
  </si>
  <si>
    <t>Loyalty: VIP Rewards</t>
  </si>
  <si>
    <t>Services: Open Box</t>
  </si>
  <si>
    <t>PLCC: Open To Buy</t>
  </si>
  <si>
    <t>Loyalty V1: VIP Perks</t>
  </si>
  <si>
    <t>Loyalty V2: VIP PRO</t>
  </si>
  <si>
    <t>Services V3: Open Box</t>
  </si>
  <si>
    <t>Promo EM1: Gaming</t>
  </si>
  <si>
    <t>Promo EM2: Weekend Deals (Video)</t>
  </si>
  <si>
    <t>Promo EM3: Weekend Deals (Photo + Other Categories)</t>
  </si>
  <si>
    <t>Newsletter: Creators Huddle</t>
  </si>
  <si>
    <t>Event: JK x Adorama NYC Workshop</t>
  </si>
  <si>
    <t>Promo: Photo Rebates</t>
  </si>
  <si>
    <t>Promo: Sony a7R VI In-Stock</t>
  </si>
  <si>
    <t>Newsletter: Store</t>
  </si>
  <si>
    <t>NPA: Insta360 Luna</t>
  </si>
  <si>
    <t>Services: Private Brands</t>
  </si>
  <si>
    <t>Loyalty EM1: Non-Member Acquisition</t>
  </si>
  <si>
    <t>Loyalty EM2: 1,000 Points Card Member Reminder</t>
  </si>
  <si>
    <t>Promo: Father's Day</t>
  </si>
  <si>
    <t>Promo: Photo Rebates Resend</t>
  </si>
  <si>
    <t>Newsletter: Photo</t>
  </si>
  <si>
    <t>Event EM2: ABS Giveaway</t>
  </si>
  <si>
    <t>Event EM2: FIFA World Cup 2026</t>
  </si>
  <si>
    <t>Promo EM2: 24-Hour Sale</t>
  </si>
  <si>
    <t>Services: Trade</t>
  </si>
  <si>
    <t>PLCC: Adorama Brands</t>
  </si>
  <si>
    <t>Promo: Warehouse Sale</t>
  </si>
  <si>
    <t>Newsletter: Video</t>
  </si>
  <si>
    <t>Promo: Top Deals</t>
  </si>
  <si>
    <t>Event: JK X Adorama NYC Workshop</t>
  </si>
  <si>
    <t>NPA: Skyrover Drone with Smart Remotes In-Stock</t>
  </si>
  <si>
    <t>Email Calendar</t>
  </si>
  <si>
    <t>SMS Calendar</t>
  </si>
  <si>
    <t>May SMS Framework</t>
  </si>
  <si>
    <t>May Email Framework</t>
  </si>
  <si>
    <t>May Tracker</t>
  </si>
  <si>
    <t>June Email Framework</t>
  </si>
  <si>
    <t>June SMS Framework</t>
  </si>
  <si>
    <t>Monthly Calendars</t>
  </si>
  <si>
    <t>Feature</t>
  </si>
  <si>
    <t>What you do</t>
  </si>
  <si>
    <t>How it works (in plain words)</t>
  </si>
  <si>
    <t>Please do / Please avoid</t>
  </si>
  <si>
    <t>Where it works</t>
  </si>
  <si>
    <t>Add or change an email campaign</t>
  </si>
  <si>
    <t>This is the list of every email campaign. Put one campaign on each row. The most important box is the Send Date - that is the day the email goes out, and the Dashboard summary page uses it to show what is coming up.</t>
  </si>
  <si>
    <t>Please fill in at least the Campaign Name and the Send Date. Do not rename the column titles along the top, and do not delete the columns that fill in by themselves.</t>
  </si>
  <si>
    <t>Works in the Excel app on your computer and in a web browser.</t>
  </si>
  <si>
    <t>Tick off each step as you finish it</t>
  </si>
  <si>
    <t>Every campaign has a row of small tick boxes for the work that needs doing. Click a box to tick it. The Current Stage box then lists everything you have ticked, and says Completed once all the needed steps are done.</t>
  </si>
  <si>
    <t>Please use the tick boxes that are already there. Do not type words in them or swap them for drop-down lists.</t>
  </si>
  <si>
    <t>On your computer you click to tick. In a web browser, type TRUE to tick or FALSE to untick.</t>
  </si>
  <si>
    <t>Add or change a text-message campaign</t>
  </si>
  <si>
    <t>This list works exactly like the email list, but for text messages. Its steps are Send SMS Options, Send Test, Approval, and Segments.</t>
  </si>
  <si>
    <t>Please fill in the Campaign Name and the Send Date. Do not rename this sheet or its column titles.</t>
  </si>
  <si>
    <t>The Dashboard blends the email and text campaigns together for you automatically.</t>
  </si>
  <si>
    <t>Pick the kind of campaign</t>
  </si>
  <si>
    <t>Click the little arrow in the Campaign Type box and choose from the list: Promo, Services, Loyalty, PLCC, Newsletters, Events, NPA, Others, or leave it blank. Loyalty and PLCC are now two separate choices. If you pick Others, a small box pops up so you can type your own wording for just that one row.</t>
  </si>
  <si>
    <t>The list of choices is kept on a hidden helper sheet called Dropdowns. Please do not delete that sheet.</t>
  </si>
  <si>
    <t>Anything you type into the Others pop-up is used on that one row only - it is not added to the list for next time.</t>
  </si>
  <si>
    <t>Temporarily hide rows you don't need</t>
  </si>
  <si>
    <t>Click the little arrow at the top of a column (for example Send Date or Delivered) to hide some rows for now, so you can focus on, say, just this month's work.</t>
  </si>
  <si>
    <t>If a campaign looks like it has gone missing, clear the filters first - it is almost always just hidden.</t>
  </si>
  <si>
    <t>See what is coming up</t>
  </si>
  <si>
    <t>The Dashboard is the summary page. Its main table gathers the email and text campaigns going out from this Sunday through the following Saturday, all in one place.</t>
  </si>
  <si>
    <t>Please make your changes on the Email or SMS sheets, not on the Dashboard - the Dashboard fills itself in. (Approval shows Done or Not Yet; Segments shows Provided or Pending.)</t>
  </si>
  <si>
    <t>You can read it in a web browser; the full automatic updating happens in the Excel app on your computer.</t>
  </si>
  <si>
    <t>Update the Dashboard</t>
  </si>
  <si>
    <t>The Last Refresh time updates on its own. If you have just changed the campaign lists and want the Dashboard to catch up straight away, use the Refresh Dashboard command (in the Excel app on your computer).</t>
  </si>
  <si>
    <t>Off to the right are some light-gray helper columns the file uses to do its sums. Please leave them hidden and do not type in them.</t>
  </si>
  <si>
    <t>A web browser cannot run the little helper programs, but the saved numbers and tables still show correctly.</t>
  </si>
  <si>
    <t>Look at the planning calendars</t>
  </si>
  <si>
    <t>The June 2026 Calendar (and a hidden May 2026 Calendar) show the team's monthly plan. They fill in automatically from the team's files kept on SharePoint, so you do not type anything here. Template for Duplicate is a blank, ready-made month you can copy to make a new one.</t>
  </si>
  <si>
    <t>To add a new month: (1) right-click the Template for Duplicate tab and choose Move or Copy to make a copy; (2) rename the copy, for example July 2026 Calendar; (3) go to Data &gt; Edit Links and point it to that month's SharePoint files; (4) click Update. Please keep the calendar's look exactly the same.</t>
  </si>
  <si>
    <t>The calendars refresh in the Excel app on your computer when you can reach the SharePoint files - if asked, click Update Values.</t>
  </si>
  <si>
    <t>See who changed a row, and when</t>
  </si>
  <si>
    <t>The Last Updated and Last Updated By boxes quietly record the date and time, and the name of the person who last changed a campaign row. On your computer this fills in by itself.</t>
  </si>
  <si>
    <t>Please do not type over these boxes. (In a web browser you may fill in Last Updated By yourself if you wish.)</t>
  </si>
  <si>
    <t>A web browser cannot record the name automatically - to see who changed something there, use SharePoint's version history.</t>
  </si>
  <si>
    <t>Share the file safely</t>
  </si>
  <si>
    <t>Keep this file in SharePoint and open it from there, so everyone is working on the same copy.</t>
  </si>
  <si>
    <t>Please do not save it as a plain .xlsx file - that throws away the built-in helpers. Try not to have two people rearranging the tables at the very same moment.</t>
  </si>
  <si>
    <t>The automatic helpers run in the Excel app on your computer; the numbers, tables, and filters can still be viewed in a web browser.</t>
  </si>
  <si>
    <t>Keep everything tidy</t>
  </si>
  <si>
    <t>If the Dashboard ever looks out of date, use the Refresh Dashboard command. It simply re-does the sums; it does not rebuild or change your campaign lists.</t>
  </si>
  <si>
    <t>Before making big changes to the tables or the column titles, save a backup copy (or a SharePoint version) first, just in case.</t>
  </si>
  <si>
    <t>A refresh repairs the Dashboard's sums and look without touching your source lists or the calendars.</t>
  </si>
  <si>
    <t>Type the day a campaign goes out</t>
  </si>
  <si>
    <t>Type a normal date, for example 6/10/2026. The file then shows it nicely as Wednesday, June 10, 2026, but underneath it stays a real date the Dashboard can use.</t>
  </si>
  <si>
    <t>Please type a real date. Do not type the weekday and month out as a plain sentence.</t>
  </si>
  <si>
    <t>The nice Wednesday, June 10, 2026 style is saved in the file and looks the same on your computer and in a web browser.</t>
  </si>
  <si>
    <t>Type a time, or a short label</t>
  </si>
  <si>
    <t>Type a normal time and it shows as 10:00 AM or 10:00 PM. When there is no exact time yet, you may instead type a short label such as STO or Local Timezone.</t>
  </si>
  <si>
    <t>Please type either a real time or the agreed label. Do not add a rule that blocks typing in this box.</t>
  </si>
  <si>
    <t>Words stay as words; real times automatically get the 10:00 AM style.</t>
  </si>
  <si>
    <t>Take a campaign off the Dashboard</t>
  </si>
  <si>
    <t>To remove a campaign from the Dashboard, type just the single word Cancelled (or Canceled) in its Notes box - nothing else.</t>
  </si>
  <si>
    <t>Type only that one word. Extra words such as 'Cancelled by team' will NOT count (capital letters and spaces do not matter, but extra words do).</t>
  </si>
  <si>
    <t>The Dashboard list and the summary count boxes both follow this same rule.</t>
  </si>
  <si>
    <t>Links tidy themselves up after a week</t>
  </si>
  <si>
    <t>For the JIRA, ClickUp, Bluecore/Attentive, and Proof of Schedule links, the box shows the full web address for the first seven days after the send. After that it neatly shows just the name (such as JIRA), and the link still works when clicked.</t>
  </si>
  <si>
    <t>For exact timing, give the row a real Send Date and a real time. If the time is STO, Local Timezone, or left blank, the seven days are counted from midnight on the Send Date.</t>
  </si>
  <si>
    <t>Works in the Excel app on your computer and in a web browser. Your computer also refreshes it at the next due time while the file is open.</t>
  </si>
  <si>
    <t>If something does not look right</t>
  </si>
  <si>
    <t>Most of the automatic features only run in the Excel app on your computer, with macros (the built-in helper programs) allowed. If something seems stuck, close the file and open it again on your computer.</t>
  </si>
  <si>
    <t>When in doubt, open the file in the Excel app on your computer and click Enable if it asks about macros.</t>
  </si>
  <si>
    <t>A web browser shows the saved numbers and formatting but does not run the helpers.</t>
  </si>
  <si>
    <t>The file stays quick on its own</t>
  </si>
  <si>
    <t>The file is set up to stay fast. It updates the Dashboard once after a batch of edits, rather than after every single change.</t>
  </si>
  <si>
    <t>Please do not rename the tables or column titles, and do not paste over the hidden helper area - that is what keeps it fast and correct.</t>
  </si>
  <si>
    <t>The Refresh Dashboard command only re-does the Dashboard's sums, so it stays speedy.</t>
  </si>
  <si>
    <t>This page is locked on purpose</t>
  </si>
  <si>
    <t>This Notes page is locked so it cannot be changed by accident.</t>
  </si>
  <si>
    <t>If the person who looks after the file needs to edit it, the unlock password is Adorama@042026_. Please lock the page again afterwards.</t>
  </si>
  <si>
    <t>The lock only prevents accidental edits - it is not security and does not hide the file's contents.</t>
  </si>
  <si>
    <t>A colour warning for sends that are not booked yet</t>
  </si>
  <si>
    <t>On the Email and SMS sheets, a row turns orange (email) or yellow (text) when it is due to go out the next day but its Scheduled box is not ticked yet. On Fridays the warning also covers Saturday, Sunday, and Monday. The Dashboard shows the same warning colours.</t>
  </si>
  <si>
    <t>Once the campaign is booked, tick the Scheduled box and the colour clears by itself. Please do not remove this colouring or rename the Scheduled, Send Date, Campaign Name, or Notes columns.</t>
  </si>
  <si>
    <t>The colouring updates with today's date and works on your computer and in a web browser.</t>
  </si>
  <si>
    <t>See which week of the year it is</t>
  </si>
  <si>
    <t>Beside the summary boxes, a small Week Number tile shows the current two weeks of the year as a range, such as 25-26. The campaign list also has a Week Number column that shows the week for each row (it reads the date code at the start of the campaign name, or uses the Send Date when there is no code).</t>
  </si>
  <si>
    <t>This is for reading only - please do not type over it.</t>
  </si>
  <si>
    <t>It updates by itself with today's date, on your computer and in a web browser.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</si>
</sst>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mm/dd/yyyy\ h:mm\ AM/PM"/>
    <numFmt numFmtId="165" formatCode="dddd\,\ mm/dd/yyyy"/>
    <numFmt numFmtId="166" formatCode="[$-F800]dddd\,\ mmmm\ dd\,\ yyyy"/>
    <numFmt numFmtId="167" formatCode="dddd\,\ mmmm\ d\,\ yyyy"/>
    <numFmt numFmtId="168" formatCode="m/d/yy;@"/>
  </numFmts>
  <fonts count="26">
    <font>
      <sz val="11"/>
      <name val="Carlito"/>
    </font>
    <font>
      <sz val="11"/>
      <color theme="1"/>
      <name val="Calibri"/>
      <family val="2"/>
      <scheme val="minor"/>
    </font>
    <font>
      <b/>
      <sz val="11"/>
      <color rgb="FFFFFFFF"/>
      <name val="Carlito"/>
    </font>
    <font>
      <u/>
      <sz val="11"/>
      <color theme="10"/>
      <name val="Carlito"/>
    </font>
    <font>
      <b/>
      <sz val="11"/>
      <color rgb="FFFFFFFF"/>
      <name val="Aptos"/>
      <family val="2"/>
    </font>
    <font>
      <sz val="11"/>
      <name val="Aptos"/>
      <family val="2"/>
    </font>
    <font>
      <b/>
      <sz val="10"/>
      <color rgb="FFFFFFFF"/>
      <name val="Aptos"/>
      <family val="2"/>
    </font>
    <font>
      <b/>
      <sz val="11"/>
      <color rgb="FF17365D"/>
      <name val="Aptos"/>
      <family val="2"/>
    </font>
    <font>
      <b/>
      <sz val="9"/>
      <color rgb="FF17365D"/>
      <name val="Aptos"/>
      <family val="2"/>
    </font>
    <font>
      <b/>
      <sz val="13"/>
      <color rgb="FFFFFFFF"/>
      <name val="Aptos"/>
      <family val="2"/>
    </font>
    <font>
      <i/>
      <sz val="11"/>
      <color rgb="FF17365D"/>
      <name val="Aptos"/>
      <family val="2"/>
    </font>
    <font>
      <u/>
      <sz val="11"/>
      <color theme="10"/>
      <name val="Aptos"/>
      <family val="2"/>
    </font>
    <font>
      <sz val="11"/>
      <color rgb="FF0563C1"/>
      <name val="Aptos"/>
      <family val="2"/>
    </font>
    <font>
      <sz val="12"/>
      <name val="Aptos"/>
      <family val="2"/>
    </font>
    <font>
      <b/>
      <sz val="20"/>
      <color rgb="FFFFFFFF"/>
      <name val="Aptos"/>
      <family val="2"/>
    </font>
    <font>
      <b/>
      <sz val="16"/>
      <color rgb="FF17365D"/>
      <name val="Aptos"/>
      <family val="2"/>
    </font>
    <font>
      <b/>
      <sz val="11"/>
      <name val="Aptos"/>
      <family val="2"/>
    </font>
    <font>
      <b/>
      <sz val="22"/>
      <color rgb="FFFFFFFF"/>
      <name val="Aptos"/>
      <family val="2"/>
    </font>
    <font>
      <sz val="11"/>
      <color theme="1"/>
      <name val="Aptos"/>
      <family val="2"/>
    </font>
    <font>
      <b/>
      <sz val="20"/>
      <color theme="1"/>
      <name val="Calibri"/>
      <family val="2"/>
      <scheme val="minor"/>
    </font>
    <font>
      <b/>
      <sz val="16"/>
      <color theme="1"/>
      <name val="Calibri"/>
      <family val="2"/>
      <scheme val="minor"/>
    </font>
    <font>
      <sz val="11"/>
      <name val="Calibri"/>
      <family val="2"/>
      <scheme val="minor"/>
    </font>
    <font>
      <u/>
      <sz val="11"/>
      <color theme="10"/>
      <name val="Calibri"/>
      <family val="2"/>
      <scheme val="minor"/>
    </font>
    <font>
      <b/>
      <u/>
      <sz val="14"/>
      <color theme="10"/>
      <name val="Calibri"/>
      <family val="2"/>
      <scheme val="minor"/>
    </font>
    <font>
      <b/>
      <u/>
      <sz val="12"/>
      <color theme="10"/>
      <name val="Calibri"/>
      <family val="2"/>
      <scheme val="minor"/>
    </font>
    <font>
      <b/>
      <u/>
      <sz val="11"/>
      <color theme="10"/>
      <name val="Carlito"/>
    </font>
  </fonts>
  <fills count="26">
    <fill>
      <patternFill patternType="none"/>
    </fill>
    <fill>
      <patternFill patternType="gray125"/>
    </fill>
    <fill>
      <patternFill patternType="solid">
        <fgColor rgb="FF1F4E79"/>
      </patternFill>
    </fill>
    <fill>
      <patternFill patternType="solid">
        <fgColor rgb="FFF2F2F2"/>
      </patternFill>
    </fill>
    <fill>
      <patternFill patternType="solid">
        <fgColor rgb="FFD9EAD3"/>
      </patternFill>
    </fill>
    <fill>
      <patternFill patternType="solid">
        <fgColor rgb="FFD9EAF7"/>
      </patternFill>
    </fill>
    <fill>
      <patternFill patternType="solid">
        <fgColor rgb="FFD9D2E9"/>
      </patternFill>
    </fill>
    <fill>
      <patternFill patternType="solid">
        <fgColor rgb="FFFFF2CC"/>
      </patternFill>
    </fill>
    <fill>
      <patternFill patternType="solid">
        <fgColor rgb="FFD9D9D9"/>
      </patternFill>
    </fill>
    <fill>
      <patternFill patternType="solid">
        <fgColor rgb="FF17365D"/>
      </patternFill>
    </fill>
    <fill>
      <patternFill patternType="solid">
        <fgColor rgb="FFEAF4FB"/>
      </patternFill>
    </fill>
    <fill>
      <patternFill patternType="solid">
        <fgColor rgb="FF1F4E79"/>
        <bgColor indexed="64"/>
      </patternFill>
    </fill>
    <fill>
      <patternFill patternType="solid">
        <fgColor rgb="FFDDEBF7"/>
        <bgColor indexed="64"/>
      </patternFill>
    </fill>
    <fill>
      <patternFill patternType="solid">
        <fgColor rgb="FFF2F2F2"/>
        <bgColor indexed="64"/>
      </patternFill>
    </fill>
    <fill>
      <patternFill patternType="solid">
        <fgColor rgb="FFFF9E9E"/>
        <bgColor indexed="64"/>
      </patternFill>
    </fill>
    <fill>
      <patternFill patternType="solid">
        <fgColor rgb="FF002060"/>
        <bgColor indexed="64"/>
      </patternFill>
    </fill>
    <fill>
      <patternFill patternType="solid">
        <fgColor theme="4" tint="0.79998168889431442"/>
        <bgColor theme="4" tint="0.79998168889431442"/>
      </patternFill>
    </fill>
    <fill>
      <patternFill patternType="solid">
        <fgColor theme="9"/>
        <bgColor indexed="64"/>
      </patternFill>
    </fill>
    <fill>
      <patternFill patternType="solid">
        <fgColor theme="2" tint="-9.9978637043366805E-2"/>
        <bgColor indexed="64"/>
      </patternFill>
    </fill>
    <fill>
      <patternFill patternType="solid">
        <fgColor theme="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rgb="FFBA4646"/>
        <bgColor indexed="64"/>
      </patternFill>
    </fill>
    <fill>
      <patternFill patternType="solid">
        <fgColor theme="4"/>
        <bgColor indexed="64"/>
      </patternFill>
    </fill>
    <fill>
      <patternFill patternType="solid">
        <fgColor theme="7" tint="0.59999389629810485"/>
        <bgColor indexed="64"/>
      </patternFill>
    </fill>
    <fill>
      <patternFill patternType="solid">
        <fgColor theme="5" tint="-0.249977111117893"/>
        <bgColor indexed="64"/>
      </patternFill>
    </fill>
  </fills>
  <borders count="10">
    <border>
      <left/>
      <right/>
      <top/>
      <bottom/>
      <diagonal/>
    </border>
    <border>
      <left/>
      <right/>
      <top/>
      <bottom/>
      <diagonal/>
    </border>
    <border>
      <left style="thin">
        <color rgb="FFD9E1F2"/>
      </left>
      <right style="thin">
        <color rgb="FFD9E1F2"/>
      </right>
      <top style="thin">
        <color rgb="FFD9E1F2"/>
      </top>
      <bottom style="thin">
        <color rgb="FFD9E1F2"/>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rgb="FFD9E1F2"/>
      </left>
      <right/>
      <top style="thin">
        <color rgb="FFD9E1F2"/>
      </top>
      <bottom style="thin">
        <color rgb="FFD9E1F2"/>
      </bottom>
      <diagonal/>
    </border>
    <border>
      <left/>
      <right style="thin">
        <color rgb="FFD9E1F2"/>
      </right>
      <top style="thin">
        <color rgb="FFD9E1F2"/>
      </top>
      <bottom style="thin">
        <color rgb="FFD9E1F2"/>
      </bottom>
      <diagonal/>
    </border>
  </borders>
  <cellStyleXfs count="4">
    <xf numFmtId="0" fontId="0" fillId="0" borderId="0"/>
    <xf numFmtId="0" fontId="3" fillId="0" borderId="0" applyNumberFormat="0" applyFill="0" applyBorder="0" applyAlignment="0" applyProtection="0"/>
    <xf numFmtId="0" fontId="1" fillId="0" borderId="1"/>
    <xf numFmtId="0" fontId="22" fillId="0" borderId="1" applyNumberFormat="0" applyFill="0" applyBorder="0" applyAlignment="0" applyProtection="0"/>
  </cellStyleXfs>
  <cellXfs count="139">
    <xf numFmtId="0" fontId="0" fillId="0" borderId="0" xfId="0"/>
    <xf numFmtId="0" fontId="5" fillId="0" borderId="0" xfId="0" applyFont="1"/>
    <xf numFmtId="0" fontId="5" fillId="0" borderId="0" xfId="0" applyFont="1" applyAlignment="1">
      <alignment vertical="center" wrapText="1"/>
    </xf>
    <xf numFmtId="0" fontId="5" fillId="0" borderId="0" xfId="0" applyFont="1" applyAlignment="1">
      <alignment horizontal="center" vertical="center"/>
    </xf>
    <xf numFmtId="0" fontId="5" fillId="0" borderId="0" xfId="0" applyFont="1" applyAlignment="1">
      <alignment horizontal="center" vertical="center" wrapText="1"/>
    </xf>
    <xf numFmtId="0" fontId="5" fillId="0" borderId="0" xfId="0" applyFont="1" applyAlignment="1">
      <alignment wrapText="1"/>
    </xf>
    <xf numFmtId="0" fontId="5" fillId="0" borderId="0" xfId="0" applyFont="1" applyAlignment="1">
      <alignment vertical="top" wrapText="1"/>
    </xf>
    <xf numFmtId="0" fontId="5" fillId="0" borderId="0" xfId="0" applyFont="1" applyAlignment="1">
      <alignment horizontal="center" vertical="top" wrapText="1"/>
    </xf>
    <xf numFmtId="0" fontId="0" fillId="0" borderId="0" xfId="0" applyAlignment="1">
      <alignment vertical="top" wrapText="1"/>
    </xf>
    <xf numFmtId="164" fontId="0" fillId="0" borderId="0" xfId="0" applyNumberFormat="1" applyAlignment="1">
      <alignment vertical="top" wrapText="1"/>
    </xf>
    <xf numFmtId="0" fontId="2" fillId="2" borderId="0" xfId="0" applyFont="1" applyFill="1" applyAlignment="1">
      <alignment horizontal="center" vertical="top" wrapText="1"/>
    </xf>
    <xf numFmtId="18" fontId="5" fillId="0" borderId="0" xfId="0" applyNumberFormat="1" applyFont="1" applyAlignment="1">
      <alignment horizontal="center" vertical="center" wrapText="1"/>
    </xf>
    <xf numFmtId="0" fontId="4" fillId="0" borderId="0" xfId="0" applyFont="1" applyAlignment="1">
      <alignment horizontal="left" vertical="center" wrapText="1"/>
    </xf>
    <xf numFmtId="0" fontId="5" fillId="0" borderId="0" xfId="0" applyFont="1" applyAlignment="1">
      <alignment horizontal="left" vertical="center" wrapText="1"/>
    </xf>
    <xf numFmtId="0" fontId="4" fillId="2" borderId="1" xfId="0" applyFont="1" applyFill="1" applyBorder="1" applyAlignment="1">
      <alignment horizontal="left" vertical="center" wrapText="1"/>
    </xf>
    <xf numFmtId="0" fontId="5" fillId="0" borderId="1" xfId="0" applyFont="1" applyBorder="1" applyAlignment="1">
      <alignment horizontal="left" vertical="center" wrapText="1"/>
    </xf>
    <xf numFmtId="0" fontId="5" fillId="12" borderId="2" xfId="0" applyFont="1" applyFill="1" applyBorder="1" applyAlignment="1">
      <alignment horizontal="left" vertical="center" wrapText="1"/>
    </xf>
    <xf numFmtId="0" fontId="5" fillId="0" borderId="2" xfId="0" applyFont="1" applyBorder="1" applyAlignment="1">
      <alignment horizontal="left" vertical="center" wrapText="1"/>
    </xf>
    <xf numFmtId="0" fontId="5" fillId="13" borderId="2" xfId="0" applyFont="1" applyFill="1" applyBorder="1" applyAlignment="1">
      <alignment horizontal="left" vertical="center" wrapText="1"/>
    </xf>
    <xf numFmtId="0" fontId="5" fillId="0" borderId="0" xfId="0" applyFont="1" applyAlignment="1">
      <alignment horizontal="left" vertical="center"/>
    </xf>
    <xf numFmtId="165" fontId="5" fillId="0" borderId="0" xfId="0" applyNumberFormat="1" applyFont="1" applyAlignment="1">
      <alignment horizontal="center" vertical="center" wrapText="1"/>
    </xf>
    <xf numFmtId="0" fontId="7" fillId="3" borderId="0" xfId="0" applyFont="1" applyFill="1" applyAlignment="1">
      <alignment horizontal="center" vertical="center" wrapText="1"/>
    </xf>
    <xf numFmtId="0" fontId="16" fillId="0" borderId="0" xfId="0" applyFont="1" applyAlignment="1">
      <alignment horizontal="center" vertical="center" wrapText="1"/>
    </xf>
    <xf numFmtId="0" fontId="4" fillId="2" borderId="1" xfId="0" applyFont="1" applyFill="1" applyBorder="1" applyAlignment="1">
      <alignment horizontal="center" vertical="center" wrapText="1"/>
    </xf>
    <xf numFmtId="0" fontId="5" fillId="0" borderId="1" xfId="0" applyFont="1" applyBorder="1" applyAlignment="1">
      <alignment horizontal="center" vertical="center" wrapText="1"/>
    </xf>
    <xf numFmtId="0" fontId="11" fillId="0" borderId="1" xfId="1" applyFont="1" applyBorder="1" applyAlignment="1">
      <alignment horizontal="center" vertical="center" wrapText="1"/>
    </xf>
    <xf numFmtId="0" fontId="12" fillId="0" borderId="0" xfId="0" applyFont="1" applyAlignment="1">
      <alignment horizontal="center" vertical="center" wrapText="1"/>
    </xf>
    <xf numFmtId="0" fontId="11" fillId="0" borderId="0" xfId="1" applyFont="1" applyAlignment="1">
      <alignment horizontal="center" vertical="center" wrapText="1"/>
    </xf>
    <xf numFmtId="165" fontId="5" fillId="12" borderId="2" xfId="0" applyNumberFormat="1" applyFont="1" applyFill="1" applyBorder="1" applyAlignment="1">
      <alignment horizontal="center" vertical="center" wrapText="1"/>
    </xf>
    <xf numFmtId="18" fontId="5" fillId="12" borderId="2" xfId="0" applyNumberFormat="1" applyFont="1" applyFill="1" applyBorder="1" applyAlignment="1">
      <alignment horizontal="center" vertical="center" wrapText="1"/>
    </xf>
    <xf numFmtId="165" fontId="5" fillId="0" borderId="2" xfId="0" applyNumberFormat="1" applyFont="1" applyBorder="1" applyAlignment="1">
      <alignment horizontal="center" vertical="center" wrapText="1"/>
    </xf>
    <xf numFmtId="18" fontId="5" fillId="0" borderId="2" xfId="0" applyNumberFormat="1" applyFont="1" applyBorder="1" applyAlignment="1">
      <alignment horizontal="center" vertical="center" wrapText="1"/>
    </xf>
    <xf numFmtId="165" fontId="5" fillId="13" borderId="2" xfId="0" applyNumberFormat="1" applyFont="1" applyFill="1" applyBorder="1" applyAlignment="1">
      <alignment horizontal="center" vertical="center" wrapText="1"/>
    </xf>
    <xf numFmtId="18" fontId="5" fillId="13" borderId="2" xfId="0" applyNumberFormat="1" applyFont="1" applyFill="1" applyBorder="1" applyAlignment="1">
      <alignment horizontal="center" vertical="center" wrapText="1"/>
    </xf>
    <xf numFmtId="0" fontId="5" fillId="0" borderId="3" xfId="0" applyFont="1" applyBorder="1" applyAlignment="1">
      <alignment horizontal="center" vertical="center" wrapText="1"/>
    </xf>
    <xf numFmtId="49" fontId="5" fillId="0" borderId="3" xfId="0" applyNumberFormat="1" applyFont="1" applyBorder="1" applyAlignment="1">
      <alignment horizontal="center" vertical="center" wrapText="1"/>
    </xf>
    <xf numFmtId="0" fontId="5" fillId="0" borderId="3" xfId="0" applyFont="1" applyBorder="1" applyAlignment="1">
      <alignment horizontal="center" vertical="center" wrapText="1"/>
      <extLst>
        <ext xmlns:xfpb="http://schemas.microsoft.com/office/spreadsheetml/2022/featurepropertybag" uri="{C7286773-470A-42A8-94C5-96B5CB345126}">
          <xfpb:xfComplement i="0"/>
        </ext>
      </extLst>
    </xf>
    <xf numFmtId="0" fontId="3" fillId="0" borderId="3" xfId="1" applyBorder="1" applyAlignment="1">
      <alignment horizontal="center" vertical="center" wrapText="1"/>
    </xf>
    <xf numFmtId="0" fontId="3" fillId="0" borderId="3" xfId="1" applyFill="1" applyBorder="1" applyAlignment="1">
      <alignment horizontal="center" vertical="center" wrapText="1"/>
    </xf>
    <xf numFmtId="3" fontId="5" fillId="0" borderId="3" xfId="0" applyNumberFormat="1" applyFont="1" applyBorder="1" applyAlignment="1">
      <alignment horizontal="center" vertical="center" wrapText="1"/>
    </xf>
    <xf numFmtId="0" fontId="5" fillId="0" borderId="3" xfId="0" applyFont="1" applyBorder="1" applyAlignment="1">
      <alignment horizontal="center" vertical="center"/>
    </xf>
    <xf numFmtId="0" fontId="5" fillId="0" borderId="1" xfId="0" applyFont="1" applyBorder="1" applyAlignment="1">
      <alignment vertical="center" wrapText="1"/>
    </xf>
    <xf numFmtId="0" fontId="5" fillId="0" borderId="1" xfId="0" applyFont="1" applyBorder="1" applyAlignment="1">
      <alignment wrapText="1"/>
    </xf>
    <xf numFmtId="0" fontId="5" fillId="0" borderId="1" xfId="0" applyFont="1" applyBorder="1" applyAlignment="1">
      <alignment horizontal="center" vertical="center"/>
    </xf>
    <xf numFmtId="0" fontId="4" fillId="2" borderId="3" xfId="0" applyFont="1" applyFill="1" applyBorder="1" applyAlignment="1">
      <alignment horizontal="center" vertical="center" wrapText="1"/>
    </xf>
    <xf numFmtId="0" fontId="13" fillId="0" borderId="3" xfId="0" applyFont="1" applyBorder="1" applyAlignment="1">
      <alignment horizontal="center" vertical="center" wrapText="1"/>
      <extLst>
        <ext xmlns:xfpb="http://schemas.microsoft.com/office/spreadsheetml/2022/featurepropertybag" uri="{C7286773-470A-42A8-94C5-96B5CB345126}">
          <xfpb:xfComplement i="0"/>
        </ext>
      </extLst>
    </xf>
    <xf numFmtId="0" fontId="5" fillId="14" borderId="3" xfId="0" applyFont="1" applyFill="1" applyBorder="1" applyAlignment="1">
      <alignment horizontal="center" vertical="center" wrapText="1"/>
    </xf>
    <xf numFmtId="49" fontId="5" fillId="14" borderId="3" xfId="0" applyNumberFormat="1" applyFont="1" applyFill="1" applyBorder="1" applyAlignment="1">
      <alignment horizontal="center" vertical="center" wrapText="1"/>
    </xf>
    <xf numFmtId="0" fontId="13" fillId="14" borderId="3"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3" fillId="14" borderId="3" xfId="1" applyFill="1" applyBorder="1" applyAlignment="1">
      <alignment horizontal="center" vertical="center" wrapText="1"/>
    </xf>
    <xf numFmtId="3" fontId="5" fillId="14" borderId="3" xfId="0" applyNumberFormat="1" applyFont="1" applyFill="1" applyBorder="1" applyAlignment="1">
      <alignment horizontal="center" vertical="center" wrapText="1"/>
    </xf>
    <xf numFmtId="0" fontId="5" fillId="0" borderId="1" xfId="0" applyFont="1" applyBorder="1"/>
    <xf numFmtId="164" fontId="5" fillId="0" borderId="3" xfId="0" applyNumberFormat="1" applyFont="1" applyBorder="1" applyAlignment="1">
      <alignment horizontal="left" vertical="center" wrapText="1"/>
    </xf>
    <xf numFmtId="164" fontId="5" fillId="14" borderId="3" xfId="0" applyNumberFormat="1" applyFont="1" applyFill="1" applyBorder="1" applyAlignment="1">
      <alignment horizontal="left" vertical="center" wrapText="1"/>
    </xf>
    <xf numFmtId="164" fontId="5" fillId="0" borderId="3" xfId="0" applyNumberFormat="1" applyFont="1" applyBorder="1" applyAlignment="1">
      <alignment horizontal="center" vertical="center" wrapText="1"/>
    </xf>
    <xf numFmtId="1" fontId="5" fillId="12" borderId="2" xfId="0" applyNumberFormat="1" applyFont="1" applyFill="1" applyBorder="1" applyAlignment="1">
      <alignment horizontal="center" vertical="center" wrapText="1"/>
    </xf>
    <xf numFmtId="1" fontId="5" fillId="0" borderId="2" xfId="0" applyNumberFormat="1" applyFont="1" applyBorder="1" applyAlignment="1">
      <alignment horizontal="center" vertical="center" wrapText="1"/>
    </xf>
    <xf numFmtId="1" fontId="5" fillId="13" borderId="2" xfId="0" applyNumberFormat="1" applyFont="1" applyFill="1" applyBorder="1" applyAlignment="1">
      <alignment horizontal="center" vertical="center" wrapText="1"/>
    </xf>
    <xf numFmtId="0" fontId="11" fillId="0" borderId="3" xfId="1" applyFont="1" applyBorder="1" applyAlignment="1">
      <alignment horizontal="center" vertical="center" wrapText="1"/>
    </xf>
    <xf numFmtId="0" fontId="4" fillId="2" borderId="7" xfId="0" applyFont="1" applyFill="1" applyBorder="1" applyAlignment="1">
      <alignment horizontal="center" vertical="center" wrapText="1"/>
    </xf>
    <xf numFmtId="0" fontId="18" fillId="16" borderId="6" xfId="0" applyFont="1" applyFill="1" applyBorder="1" applyAlignment="1">
      <alignment horizontal="center" vertical="center" wrapText="1"/>
    </xf>
    <xf numFmtId="0" fontId="18" fillId="0" borderId="6" xfId="0" applyFont="1" applyBorder="1" applyAlignment="1">
      <alignment horizontal="center" vertical="center" wrapText="1"/>
    </xf>
    <xf numFmtId="0" fontId="1" fillId="0" borderId="1" xfId="2"/>
    <xf numFmtId="0" fontId="1" fillId="0" borderId="1" xfId="2" applyAlignment="1">
      <alignment horizontal="center" vertical="center" wrapText="1"/>
    </xf>
    <xf numFmtId="0" fontId="1" fillId="21" borderId="1" xfId="2" applyFill="1" applyAlignment="1">
      <alignment horizontal="center" vertical="center" wrapText="1"/>
    </xf>
    <xf numFmtId="16" fontId="1" fillId="0" borderId="1" xfId="2" applyNumberFormat="1" applyAlignment="1">
      <alignment horizontal="center" vertical="center" wrapText="1"/>
    </xf>
    <xf numFmtId="16" fontId="1" fillId="20" borderId="1" xfId="2" applyNumberFormat="1" applyFill="1" applyAlignment="1">
      <alignment horizontal="center" vertical="center" wrapText="1"/>
    </xf>
    <xf numFmtId="0" fontId="1" fillId="22" borderId="1" xfId="2" applyFill="1" applyAlignment="1">
      <alignment horizontal="center" vertical="center" wrapText="1"/>
    </xf>
    <xf numFmtId="16" fontId="1" fillId="22" borderId="1" xfId="2" applyNumberFormat="1" applyFill="1" applyAlignment="1">
      <alignment horizontal="center" vertical="center" wrapText="1"/>
    </xf>
    <xf numFmtId="0" fontId="1" fillId="25" borderId="1" xfId="2" applyFill="1" applyAlignment="1">
      <alignment horizontal="center" vertical="center" wrapText="1"/>
    </xf>
    <xf numFmtId="0" fontId="20" fillId="19" borderId="1" xfId="2" applyFont="1" applyFill="1" applyAlignment="1">
      <alignment horizontal="center" vertical="center" wrapText="1"/>
    </xf>
    <xf numFmtId="0" fontId="20" fillId="18" borderId="1" xfId="2" applyFont="1" applyFill="1" applyAlignment="1">
      <alignment horizontal="center" vertical="center" wrapText="1"/>
    </xf>
    <xf numFmtId="16" fontId="1" fillId="21" borderId="1" xfId="2" applyNumberFormat="1" applyFill="1" applyAlignment="1">
      <alignment horizontal="center" vertical="center" wrapText="1"/>
    </xf>
    <xf numFmtId="168" fontId="1" fillId="20" borderId="1" xfId="2" applyNumberFormat="1" applyFill="1" applyAlignment="1">
      <alignment horizontal="center" vertical="center" wrapText="1"/>
    </xf>
    <xf numFmtId="0" fontId="21" fillId="21" borderId="1" xfId="2" applyFont="1" applyFill="1" applyAlignment="1">
      <alignment horizontal="center" vertical="center" wrapText="1"/>
    </xf>
    <xf numFmtId="16" fontId="21" fillId="0" borderId="1" xfId="3" applyNumberFormat="1" applyFont="1" applyAlignment="1">
      <alignment horizontal="center" vertical="center" wrapText="1"/>
    </xf>
    <xf numFmtId="0" fontId="21" fillId="0" borderId="1" xfId="2" applyFont="1" applyAlignment="1">
      <alignment horizontal="center" vertical="center" wrapText="1"/>
    </xf>
    <xf numFmtId="16" fontId="22" fillId="0" borderId="1" xfId="3" applyNumberFormat="1" applyAlignment="1">
      <alignment horizontal="center" vertical="center" wrapText="1"/>
    </xf>
    <xf numFmtId="167" fontId="5" fillId="0" borderId="1" xfId="0" applyNumberFormat="1" applyFont="1" applyBorder="1" applyAlignment="1">
      <alignment horizontal="left" vertical="center" wrapText="1"/>
    </xf>
    <xf numFmtId="167" fontId="5" fillId="0" borderId="0" xfId="0" applyNumberFormat="1" applyFont="1" applyAlignment="1">
      <alignment horizontal="left" vertical="center" wrapText="1"/>
    </xf>
    <xf numFmtId="18" fontId="5" fillId="0" borderId="1" xfId="0" applyNumberFormat="1" applyFont="1" applyBorder="1" applyAlignment="1">
      <alignment horizontal="left" vertical="center" wrapText="1"/>
    </xf>
    <xf numFmtId="18" fontId="5" fillId="0" borderId="0" xfId="0" applyNumberFormat="1" applyFont="1" applyAlignment="1">
      <alignment horizontal="left" vertical="center" wrapText="1"/>
    </xf>
    <xf numFmtId="1" fontId="4" fillId="2" borderId="1" xfId="0" applyNumberFormat="1" applyFont="1" applyFill="1" applyBorder="1" applyAlignment="1">
      <alignment horizontal="left" vertical="center" wrapText="1"/>
    </xf>
    <xf numFmtId="0" fontId="4" fillId="2" borderId="3" xfId="0" applyFont="1" applyFill="1" applyBorder="1" applyAlignment="1">
      <alignment horizontal="left" vertical="center" wrapText="1"/>
    </xf>
    <xf numFmtId="167" fontId="5" fillId="0" borderId="3" xfId="0" applyNumberFormat="1" applyFont="1" applyBorder="1" applyAlignment="1">
      <alignment horizontal="left" vertical="center" wrapText="1"/>
    </xf>
    <xf numFmtId="167" fontId="5" fillId="14" borderId="3" xfId="0" applyNumberFormat="1" applyFont="1" applyFill="1" applyBorder="1" applyAlignment="1">
      <alignment horizontal="left" vertical="center" wrapText="1"/>
    </xf>
    <xf numFmtId="167" fontId="5" fillId="0" borderId="4" xfId="0" applyNumberFormat="1" applyFont="1" applyBorder="1" applyAlignment="1">
      <alignment horizontal="left" vertical="center" wrapText="1"/>
    </xf>
    <xf numFmtId="0" fontId="0" fillId="0" borderId="0" xfId="0" applyAlignment="1">
      <alignment horizontal="left"/>
    </xf>
    <xf numFmtId="0" fontId="5" fillId="0" borderId="3" xfId="0" applyFont="1" applyBorder="1" applyAlignment="1">
      <alignment horizontal="left" vertical="center"/>
    </xf>
    <xf numFmtId="18" fontId="5" fillId="0" borderId="3" xfId="0" applyNumberFormat="1" applyFont="1" applyBorder="1" applyAlignment="1">
      <alignment horizontal="left" vertical="center" wrapText="1"/>
    </xf>
    <xf numFmtId="18" fontId="5" fillId="14" borderId="3" xfId="0" applyNumberFormat="1" applyFont="1" applyFill="1" applyBorder="1" applyAlignment="1">
      <alignment horizontal="left" vertical="center" wrapText="1"/>
    </xf>
    <xf numFmtId="166" fontId="5" fillId="0" borderId="3" xfId="0" applyNumberFormat="1" applyFont="1" applyBorder="1" applyAlignment="1">
      <alignment horizontal="left" vertical="center" wrapText="1"/>
    </xf>
    <xf numFmtId="166" fontId="5" fillId="0" borderId="3" xfId="0" applyNumberFormat="1" applyFont="1" applyBorder="1" applyAlignment="1">
      <alignment horizontal="left" vertical="center"/>
    </xf>
    <xf numFmtId="0" fontId="5" fillId="0" borderId="3" xfId="0" applyFont="1" applyBorder="1" applyAlignment="1">
      <alignment horizontal="left" vertical="center" wrapText="1"/>
    </xf>
    <xf numFmtId="0" fontId="5" fillId="14" borderId="3" xfId="0" applyFont="1" applyFill="1" applyBorder="1" applyAlignment="1">
      <alignment horizontal="left" vertical="center" wrapText="1"/>
    </xf>
    <xf numFmtId="49" fontId="5" fillId="0" borderId="3" xfId="0" applyNumberFormat="1" applyFont="1" applyBorder="1" applyAlignment="1">
      <alignment horizontal="left" vertical="center" wrapText="1"/>
    </xf>
    <xf numFmtId="49" fontId="5" fillId="14" borderId="3" xfId="0" applyNumberFormat="1" applyFont="1" applyFill="1" applyBorder="1" applyAlignment="1">
      <alignment horizontal="left" vertical="center" wrapText="1"/>
    </xf>
    <xf numFmtId="49" fontId="5" fillId="0" borderId="5" xfId="0" applyNumberFormat="1" applyFont="1" applyBorder="1" applyAlignment="1">
      <alignment horizontal="left" vertical="center" wrapText="1"/>
    </xf>
    <xf numFmtId="0" fontId="7" fillId="4" borderId="8" xfId="0" applyFont="1" applyFill="1" applyBorder="1" applyAlignment="1">
      <alignment horizontal="center" vertical="center" wrapText="1"/>
    </xf>
    <xf numFmtId="0" fontId="7" fillId="4" borderId="9" xfId="0" applyFont="1" applyFill="1" applyBorder="1" applyAlignment="1">
      <alignment horizontal="center" vertical="center" wrapText="1"/>
    </xf>
    <xf numFmtId="1" fontId="15" fillId="4" borderId="8" xfId="0" applyNumberFormat="1" applyFont="1" applyFill="1" applyBorder="1" applyAlignment="1">
      <alignment horizontal="center" vertical="center" wrapText="1"/>
    </xf>
    <xf numFmtId="1" fontId="15" fillId="4" borderId="9" xfId="0" applyNumberFormat="1" applyFont="1" applyFill="1" applyBorder="1" applyAlignment="1">
      <alignment horizontal="center" vertical="center" wrapText="1"/>
    </xf>
    <xf numFmtId="0" fontId="7" fillId="8" borderId="8" xfId="0" applyFont="1" applyFill="1" applyBorder="1" applyAlignment="1">
      <alignment horizontal="center" vertical="center" wrapText="1"/>
    </xf>
    <xf numFmtId="0" fontId="7" fillId="8" borderId="9" xfId="0" applyFont="1" applyFill="1" applyBorder="1" applyAlignment="1">
      <alignment horizontal="center" vertical="center" wrapText="1"/>
    </xf>
    <xf numFmtId="1" fontId="15" fillId="8" borderId="8" xfId="0" applyNumberFormat="1" applyFont="1" applyFill="1" applyBorder="1" applyAlignment="1">
      <alignment horizontal="center" vertical="center" wrapText="1"/>
    </xf>
    <xf numFmtId="1" fontId="15" fillId="8" borderId="9" xfId="0" applyNumberFormat="1" applyFont="1" applyFill="1" applyBorder="1" applyAlignment="1">
      <alignment horizontal="center" vertical="center" wrapText="1"/>
    </xf>
    <xf numFmtId="0" fontId="8" fillId="8" borderId="8" xfId="0" applyFont="1" applyFill="1" applyBorder="1" applyAlignment="1">
      <alignment horizontal="center" vertical="center" wrapText="1"/>
    </xf>
    <xf numFmtId="0" fontId="8" fillId="8" borderId="9" xfId="0" applyFont="1" applyFill="1" applyBorder="1" applyAlignment="1">
      <alignment horizontal="center" vertical="center" wrapText="1"/>
    </xf>
    <xf numFmtId="0" fontId="8" fillId="4" borderId="8" xfId="0" applyFont="1" applyFill="1" applyBorder="1" applyAlignment="1">
      <alignment horizontal="center" vertical="center" wrapText="1"/>
    </xf>
    <xf numFmtId="0" fontId="8" fillId="4" borderId="9" xfId="0" applyFont="1" applyFill="1" applyBorder="1" applyAlignment="1">
      <alignment horizontal="center" vertical="center" wrapText="1"/>
    </xf>
    <xf numFmtId="0" fontId="14" fillId="11" borderId="0" xfId="0" applyFont="1" applyFill="1" applyAlignment="1">
      <alignment horizontal="center" vertical="center" wrapText="1"/>
    </xf>
    <xf numFmtId="0" fontId="6" fillId="2" borderId="0" xfId="0" applyFont="1" applyFill="1" applyAlignment="1">
      <alignment horizontal="center" vertical="center" wrapText="1"/>
    </xf>
    <xf numFmtId="0" fontId="9" fillId="9" borderId="1"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7" fillId="5" borderId="8" xfId="0" applyFont="1" applyFill="1" applyBorder="1" applyAlignment="1">
      <alignment horizontal="center" vertical="center" wrapText="1"/>
    </xf>
    <xf numFmtId="0" fontId="7" fillId="5" borderId="9" xfId="0" applyFont="1" applyFill="1" applyBorder="1" applyAlignment="1">
      <alignment horizontal="center" vertical="center" wrapText="1"/>
    </xf>
    <xf numFmtId="1" fontId="15" fillId="5" borderId="8" xfId="0" applyNumberFormat="1" applyFont="1" applyFill="1" applyBorder="1" applyAlignment="1">
      <alignment horizontal="center" vertical="center" wrapText="1"/>
    </xf>
    <xf numFmtId="1" fontId="15" fillId="5" borderId="9" xfId="0" applyNumberFormat="1" applyFont="1" applyFill="1" applyBorder="1" applyAlignment="1">
      <alignment horizontal="center" vertical="center" wrapText="1"/>
    </xf>
    <xf numFmtId="0" fontId="8" fillId="5" borderId="8" xfId="0" applyFont="1" applyFill="1" applyBorder="1" applyAlignment="1">
      <alignment horizontal="center" vertical="center" wrapText="1"/>
    </xf>
    <xf numFmtId="0" fontId="8" fillId="5" borderId="9" xfId="0" applyFont="1" applyFill="1" applyBorder="1" applyAlignment="1">
      <alignment horizontal="center" vertical="center" wrapText="1"/>
    </xf>
    <xf numFmtId="0" fontId="7" fillId="6" borderId="8" xfId="0" applyFont="1" applyFill="1" applyBorder="1" applyAlignment="1">
      <alignment horizontal="center" vertical="center" wrapText="1"/>
    </xf>
    <xf numFmtId="0" fontId="7" fillId="6" borderId="9" xfId="0" applyFont="1" applyFill="1" applyBorder="1" applyAlignment="1">
      <alignment horizontal="center" vertical="center" wrapText="1"/>
    </xf>
    <xf numFmtId="1" fontId="15" fillId="6" borderId="8" xfId="0" applyNumberFormat="1" applyFont="1" applyFill="1" applyBorder="1" applyAlignment="1">
      <alignment horizontal="center" vertical="center" wrapText="1"/>
    </xf>
    <xf numFmtId="1" fontId="15" fillId="6" borderId="9" xfId="0" applyNumberFormat="1" applyFont="1" applyFill="1" applyBorder="1" applyAlignment="1">
      <alignment horizontal="center" vertical="center" wrapText="1"/>
    </xf>
    <xf numFmtId="0" fontId="8" fillId="6" borderId="8" xfId="0" applyFont="1" applyFill="1" applyBorder="1" applyAlignment="1">
      <alignment horizontal="center" vertical="center" wrapText="1"/>
    </xf>
    <xf numFmtId="0" fontId="8" fillId="6" borderId="9" xfId="0" applyFont="1" applyFill="1" applyBorder="1" applyAlignment="1">
      <alignment horizontal="center" vertical="center" wrapText="1"/>
    </xf>
    <xf numFmtId="0" fontId="7" fillId="7" borderId="8" xfId="0" applyFont="1" applyFill="1" applyBorder="1" applyAlignment="1">
      <alignment horizontal="center" vertical="center" wrapText="1"/>
    </xf>
    <xf numFmtId="0" fontId="7" fillId="7" borderId="9" xfId="0" applyFont="1" applyFill="1" applyBorder="1" applyAlignment="1">
      <alignment horizontal="center" vertical="center" wrapText="1"/>
    </xf>
    <xf numFmtId="1" fontId="15" fillId="7" borderId="8" xfId="0" applyNumberFormat="1" applyFont="1" applyFill="1" applyBorder="1" applyAlignment="1">
      <alignment horizontal="center" vertical="center" wrapText="1"/>
    </xf>
    <xf numFmtId="1" fontId="15" fillId="7" borderId="9" xfId="0" applyNumberFormat="1" applyFont="1" applyFill="1" applyBorder="1" applyAlignment="1">
      <alignment horizontal="center" vertical="center" wrapText="1"/>
    </xf>
    <xf numFmtId="0" fontId="8" fillId="7" borderId="8" xfId="0" applyFont="1" applyFill="1" applyBorder="1" applyAlignment="1">
      <alignment horizontal="center" vertical="center" wrapText="1"/>
    </xf>
    <xf numFmtId="0" fontId="8" fillId="7" borderId="9" xfId="0" applyFont="1" applyFill="1" applyBorder="1" applyAlignment="1">
      <alignment horizontal="center" vertical="center" wrapText="1"/>
    </xf>
    <xf numFmtId="0" fontId="17" fillId="15" borderId="0" xfId="0" applyFont="1" applyFill="1" applyAlignment="1">
      <alignment horizontal="center" vertical="top" wrapText="1"/>
    </xf>
    <xf numFmtId="0" fontId="19" fillId="17" borderId="1" xfId="2" applyFont="1" applyFill="1" applyAlignment="1">
      <alignment horizontal="center" vertical="center" wrapText="1"/>
    </xf>
    <xf numFmtId="0" fontId="19" fillId="23" borderId="1" xfId="2" applyFont="1" applyFill="1" applyAlignment="1">
      <alignment horizontal="center" vertical="center" wrapText="1"/>
    </xf>
    <xf numFmtId="0" fontId="24" fillId="24" borderId="3" xfId="3" applyFont="1" applyFill="1" applyBorder="1" applyAlignment="1">
      <alignment horizontal="center" vertical="center" wrapText="1"/>
    </xf>
    <xf numFmtId="0" fontId="25" fillId="24" borderId="3" xfId="1" applyFont="1" applyFill="1" applyBorder="1" applyAlignment="1">
      <alignment horizontal="center" vertical="center" wrapText="1"/>
    </xf>
    <xf numFmtId="0" fontId="23" fillId="24" borderId="3" xfId="3" applyFont="1" applyFill="1" applyBorder="1" applyAlignment="1">
      <alignment horizontal="center" vertical="center" wrapText="1"/>
    </xf>
    <xf numFmtId="0" fontId="1" fillId="24" borderId="3" xfId="2" applyFill="1" applyBorder="1" applyAlignment="1">
      <alignment horizontal="center" vertical="center" wrapText="1"/>
    </xf>
  </cellXfs>
  <cellStyles count="4">
    <cellStyle name="Hyperlink" xfId="1" builtinId="8"/>
    <cellStyle name="Hyperlink 2" xfId="3" xr:uid="{CCCF4767-B9A1-45D8-B618-9CE29D9D47FA}"/>
    <cellStyle name="Normal" xfId="0" builtinId="0"/>
    <cellStyle name="Normal 2" xfId="2" xr:uid="{C7771AEC-D26F-4CEE-912C-20FFDAD6DCA4}"/>
  </cellStyles>
  <dxfs count="114">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numFmt numFmtId="164" formatCode="mm/dd/yyyy\ h:mm\ AM/PM"/>
      <alignment horizontal="general" vertical="top" textRotation="0" wrapText="1" indent="0" justifyLastLine="0" shrinkToFit="0" readingOrder="0"/>
    </dxf>
    <dxf>
      <alignment vertical="top" textRotation="0" wrapText="1" indent="0" justifyLastLine="0" shrinkToFit="0" readingOrder="0"/>
    </dxf>
    <dxf>
      <alignment horizontal="general" vertical="top" textRotation="0" wrapText="1" indent="0" justifyLastLine="0" shrinkToFit="0" readingOrder="0"/>
    </dxf>
    <dxf>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b val="0"/>
        <i val="0"/>
        <strike val="0"/>
        <outline val="0"/>
        <shadow val="0"/>
        <u val="none"/>
        <vertAlign val="baseline"/>
        <sz val="11"/>
        <color auto="1"/>
        <name val="Aptos"/>
        <family val="2"/>
        <scheme val="none"/>
      </font>
      <numFmt numFmtId="30" formatCode="@"/>
      <alignment horizontal="left" vertical="center" textRotation="0" wrapText="1" indent="0" justifyLastLine="0" shrinkToFit="0" readingOrder="0"/>
      <border outline="0">
        <left style="thin">
          <color rgb="FF000000"/>
        </left>
        <right/>
        <top style="thin">
          <color rgb="FF000000"/>
        </top>
        <bottom style="thin">
          <color rgb="FF000000"/>
        </bottom>
      </border>
    </dxf>
    <dxf>
      <font>
        <b val="0"/>
        <i val="0"/>
        <strike val="0"/>
        <outline val="0"/>
        <shadow val="0"/>
        <u val="none"/>
        <vertAlign val="baseline"/>
        <sz val="11"/>
        <color auto="1"/>
        <name val="Aptos"/>
        <family val="2"/>
        <scheme val="none"/>
      </font>
      <numFmt numFmtId="30" formatCode="@"/>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b val="0"/>
        <i val="0"/>
        <strike val="0"/>
        <outline val="0"/>
        <shadow val="0"/>
        <u val="none"/>
        <vertAlign val="baseline"/>
        <sz val="11"/>
        <color auto="1"/>
        <name val="Aptos"/>
        <family val="2"/>
        <scheme val="none"/>
      </font>
      <numFmt numFmtId="164" formatCode="mm/dd/yyyy\ h:mm\ AM/PM"/>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1"/>
        <color auto="1"/>
        <name val="Aptos"/>
        <family val="2"/>
        <scheme val="none"/>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extLst>
        <ext xmlns:xfpb="http://schemas.microsoft.com/office/spreadsheetml/2022/featurepropertybag" uri="{0417FA29-78FA-4A13-93AC-8FF0FAFDF519}">
          <xfpb:DXFComplement i="0"/>
        </ext>
      </extLst>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extLst>
        <ext xmlns:xfpb="http://schemas.microsoft.com/office/spreadsheetml/2022/featurepropertybag" uri="{0417FA29-78FA-4A13-93AC-8FF0FAFDF519}">
          <xfpb:DXFComplement i="0"/>
        </ext>
      </extLst>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extLst>
        <ext xmlns:xfpb="http://schemas.microsoft.com/office/spreadsheetml/2022/featurepropertybag" uri="{0417FA29-78FA-4A13-93AC-8FF0FAFDF519}">
          <xfpb:DXFComplement i="0"/>
        </ext>
      </extLst>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extLst>
        <ext xmlns:xfpb="http://schemas.microsoft.com/office/spreadsheetml/2022/featurepropertybag" uri="{0417FA29-78FA-4A13-93AC-8FF0FAFDF519}">
          <xfpb:DXFComplement i="0"/>
        </ext>
      </extLst>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extLst>
        <ext xmlns:xfpb="http://schemas.microsoft.com/office/spreadsheetml/2022/featurepropertybag" uri="{0417FA29-78FA-4A13-93AC-8FF0FAFDF519}">
          <xfpb:DXFComplement i="0"/>
        </ext>
      </extLst>
    </dxf>
    <dxf>
      <font>
        <b val="0"/>
        <i val="0"/>
        <strike val="0"/>
        <outline val="0"/>
        <shadow val="0"/>
        <u val="none"/>
        <vertAlign val="baseline"/>
        <sz val="11"/>
        <color auto="1"/>
        <name val="Aptos"/>
        <family val="2"/>
        <scheme val="none"/>
      </font>
      <numFmt numFmtId="30" formatCode="@"/>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b val="0"/>
        <i val="0"/>
        <strike val="0"/>
        <outline val="0"/>
        <shadow val="0"/>
        <u val="none"/>
        <vertAlign val="baseline"/>
        <sz val="11"/>
        <color auto="1"/>
        <name val="Aptos"/>
        <family val="2"/>
        <scheme val="none"/>
      </font>
      <alignment horizontal="left"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b val="0"/>
        <i val="0"/>
        <strike val="0"/>
        <outline val="0"/>
        <shadow val="0"/>
        <u val="none"/>
        <vertAlign val="baseline"/>
        <sz val="11"/>
        <color auto="1"/>
        <name val="Aptos"/>
        <family val="2"/>
        <scheme val="none"/>
      </font>
      <numFmt numFmtId="169" formatCode="h:mm\ AM/PM"/>
      <alignment horizontal="left"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b val="0"/>
        <i val="0"/>
        <strike val="0"/>
        <outline val="0"/>
        <shadow val="0"/>
        <u val="none"/>
        <vertAlign val="baseline"/>
        <sz val="11"/>
        <color auto="1"/>
        <name val="Aptos"/>
        <family val="2"/>
        <scheme val="none"/>
      </font>
      <numFmt numFmtId="167" formatCode="dddd\,\ mmmm\ d\,\ yyyy"/>
      <alignment horizontal="left" vertical="center" textRotation="0" wrapText="1" indent="0" justifyLastLine="0" shrinkToFit="0" readingOrder="0"/>
      <border outline="0">
        <left/>
        <right style="thin">
          <color rgb="FF000000"/>
        </right>
        <top style="thin">
          <color rgb="FF000000"/>
        </top>
        <bottom style="thin">
          <color rgb="FF000000"/>
        </bottom>
      </border>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border>
        <left style="thin">
          <color rgb="FF000000"/>
        </left>
        <right style="thin">
          <color rgb="FF000000"/>
        </right>
        <top/>
        <bottom/>
        <vertical style="thin">
          <color rgb="FF000000"/>
        </vertical>
        <horizontal style="thin">
          <color rgb="FF000000"/>
        </horizontal>
      </border>
    </dxf>
    <dxf>
      <fill>
        <patternFill>
          <bgColor rgb="FFFF9E9E"/>
        </patternFill>
      </fill>
    </dxf>
    <dxf>
      <fill>
        <patternFill>
          <bgColor rgb="FFFF9E9E"/>
        </patternFill>
      </fill>
    </dxf>
    <dxf>
      <font>
        <color rgb="FF000000"/>
      </font>
      <fill>
        <patternFill>
          <bgColor rgb="FFFFFF00"/>
        </patternFill>
      </fill>
    </dxf>
    <dxf>
      <font>
        <color rgb="FF9C6500"/>
      </font>
      <fill>
        <patternFill>
          <bgColor rgb="FFFFEB9C"/>
        </patternFill>
      </fill>
    </dxf>
    <dxf>
      <font>
        <color rgb="FF1F4E79"/>
      </font>
      <fill>
        <patternFill>
          <bgColor rgb="FFDDEBF7"/>
        </patternFill>
      </fill>
    </dxf>
    <dxf>
      <font>
        <color rgb="FF006100"/>
      </font>
      <fill>
        <patternFill>
          <bgColor rgb="FFC6EFCE"/>
        </patternFill>
      </fill>
    </dxf>
    <dxf>
      <font>
        <color rgb="FF9C6500"/>
      </font>
      <fill>
        <patternFill>
          <bgColor rgb="FFFFF2CC"/>
        </patternFill>
      </fill>
    </dxf>
    <dxf>
      <font>
        <color rgb="FF1F4E79"/>
      </font>
      <fill>
        <patternFill>
          <bgColor rgb="FFDDEBF7"/>
        </patternFill>
      </fill>
    </dxf>
    <dxf>
      <font>
        <strike val="0"/>
        <outline val="0"/>
        <shadow val="0"/>
        <vertAlign val="baseline"/>
        <name val="Aptos"/>
        <family val="2"/>
        <scheme val="none"/>
      </font>
      <alignment horizontal="center" vertical="center" textRotation="0" indent="0" justifyLastLine="0" shrinkToFit="0" readingOrder="0"/>
    </dxf>
    <dxf>
      <font>
        <strike val="0"/>
        <outline val="0"/>
        <shadow val="0"/>
        <vertAlign val="baseline"/>
        <name val="Aptos"/>
        <family val="2"/>
        <scheme val="none"/>
      </font>
      <numFmt numFmtId="30" formatCode="@"/>
      <alignment horizontal="left" vertical="center" textRotation="0" wrapText="1" indent="0" justifyLastLine="0" shrinkToFit="0" readingOrder="0"/>
      <border outline="0">
        <left style="thin">
          <color rgb="FF000000"/>
        </left>
        <right/>
        <top style="thin">
          <color rgb="FF000000"/>
        </top>
        <bottom style="thin">
          <color rgb="FF000000"/>
        </bottom>
      </border>
    </dxf>
    <dxf>
      <font>
        <strike val="0"/>
        <outline val="0"/>
        <shadow val="0"/>
        <vertAlign val="baseline"/>
        <name val="Aptos"/>
        <family val="2"/>
        <scheme val="none"/>
      </font>
      <numFmt numFmtId="30" formatCode="@"/>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strike val="0"/>
        <outline val="0"/>
        <shadow val="0"/>
        <vertAlign val="baseline"/>
        <name val="Aptos"/>
        <family val="2"/>
        <scheme val="none"/>
      </font>
      <numFmt numFmtId="164" formatCode="mm/dd/yyyy\ h:mm\ AM/PM"/>
      <alignment horizontal="left"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strike val="0"/>
        <outline val="0"/>
        <shadow val="0"/>
        <vertAlign val="baseline"/>
        <name val="Aptos"/>
        <family val="2"/>
        <scheme val="none"/>
      </font>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strike val="0"/>
        <outline val="0"/>
        <shadow val="0"/>
        <vertAlign val="baseline"/>
        <name val="Aptos"/>
        <family val="2"/>
        <scheme val="none"/>
      </font>
      <alignment horizontal="center" vertical="center" textRotation="0" wrapText="1" indent="0" justifyLastLine="0" shrinkToFit="0" readingOrder="0"/>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strike val="0"/>
        <outline val="0"/>
        <shadow val="0"/>
        <vertAlign val="baseline"/>
        <name val="Aptos"/>
        <family val="2"/>
        <scheme val="none"/>
      </font>
      <alignment horizontal="center" vertical="center" textRotation="0" wrapText="1" indent="0" justifyLastLine="0" shrinkToFit="0" readingOrder="0"/>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strike val="0"/>
        <outline val="0"/>
        <shadow val="0"/>
        <vertAlign val="baseline"/>
        <name val="Aptos"/>
        <family val="2"/>
        <scheme val="none"/>
      </font>
      <alignment horizontal="center" vertical="center" textRotation="0" wrapText="1" indent="0" justifyLastLine="0" shrinkToFit="0" readingOrder="0"/>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strike val="0"/>
        <outline val="0"/>
        <shadow val="0"/>
        <vertAlign val="baseline"/>
        <name val="Aptos"/>
        <family val="2"/>
        <scheme val="none"/>
      </font>
      <alignment horizontal="center" vertical="center" textRotation="0" wrapText="1" indent="0" justifyLastLine="0" shrinkToFit="0" readingOrder="0"/>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2"/>
        <color auto="1"/>
        <name val="Aptos"/>
        <family val="2"/>
        <scheme val="none"/>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extLst>
        <ext xmlns:xfpb="http://schemas.microsoft.com/office/spreadsheetml/2022/featurepropertybag" uri="{0417FA29-78FA-4A13-93AC-8FF0FAFDF519}">
          <xfpb:DXFComplement i="0"/>
        </ext>
      </extLst>
    </dxf>
    <dxf>
      <font>
        <strike val="0"/>
        <outline val="0"/>
        <shadow val="0"/>
        <vertAlign val="baseline"/>
        <name val="Aptos"/>
        <family val="2"/>
        <scheme val="none"/>
      </font>
      <numFmt numFmtId="30" formatCode="@"/>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strike val="0"/>
        <outline val="0"/>
        <shadow val="0"/>
        <vertAlign val="baseline"/>
        <name val="Aptos"/>
        <family val="2"/>
        <scheme val="none"/>
      </font>
      <numFmt numFmtId="0" formatCode="General"/>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strike val="0"/>
        <outline val="0"/>
        <shadow val="0"/>
        <vertAlign val="baseline"/>
        <name val="Aptos"/>
        <family val="2"/>
        <scheme val="none"/>
      </font>
      <alignment horizontal="center"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strike val="0"/>
        <outline val="0"/>
        <shadow val="0"/>
        <vertAlign val="baseline"/>
        <name val="Aptos"/>
        <family val="2"/>
        <scheme val="none"/>
      </font>
      <alignment horizontal="left"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strike val="0"/>
        <outline val="0"/>
        <shadow val="0"/>
        <vertAlign val="baseline"/>
        <name val="Aptos"/>
        <family val="2"/>
        <scheme val="none"/>
      </font>
      <numFmt numFmtId="169" formatCode="h:mm\ AM/PM"/>
      <alignment horizontal="left" vertical="center" textRotation="0" wrapText="1" indent="0" justifyLastLine="0" shrinkToFit="0" readingOrder="0"/>
      <border outline="0">
        <left style="thin">
          <color rgb="FF000000"/>
        </left>
        <right style="thin">
          <color rgb="FF000000"/>
        </right>
        <top style="thin">
          <color rgb="FF000000"/>
        </top>
        <bottom style="thin">
          <color rgb="FF000000"/>
        </bottom>
      </border>
    </dxf>
    <dxf>
      <font>
        <strike val="0"/>
        <outline val="0"/>
        <shadow val="0"/>
        <vertAlign val="baseline"/>
        <name val="Aptos"/>
        <family val="2"/>
        <scheme val="none"/>
      </font>
      <numFmt numFmtId="167" formatCode="dddd\,\ mmmm\ d\,\ yyyy"/>
      <alignment horizontal="left" vertical="center" textRotation="0" wrapText="1" indent="0" justifyLastLine="0" shrinkToFit="0" readingOrder="0"/>
      <border outline="0">
        <left/>
        <right style="thin">
          <color rgb="FF000000"/>
        </right>
        <top style="thin">
          <color rgb="FF000000"/>
        </top>
        <bottom style="thin">
          <color rgb="FF000000"/>
        </bottom>
      </border>
    </dxf>
    <dxf>
      <font>
        <strike val="0"/>
        <outline val="0"/>
        <shadow val="0"/>
        <vertAlign val="baseline"/>
        <name val="Aptos"/>
        <family val="2"/>
        <scheme val="none"/>
      </font>
      <alignment horizontal="center" vertical="center" textRotation="0" wrapText="1" indent="0" justifyLastLine="0" shrinkToFit="0" readingOrder="0"/>
      <border>
        <left style="thin">
          <color rgb="FF000000"/>
        </left>
        <right style="thin">
          <color rgb="FF000000"/>
        </right>
        <top/>
        <bottom/>
        <vertical style="thin">
          <color rgb="FF000000"/>
        </vertical>
        <horizontal style="thin">
          <color rgb="FF000000"/>
        </horizontal>
      </border>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border>
        <left style="thin">
          <color rgb="FF000000"/>
        </left>
        <right style="thin">
          <color rgb="FF000000"/>
        </right>
        <top/>
        <bottom/>
        <vertical style="thin">
          <color rgb="FF000000"/>
        </vertical>
        <horizontal style="thin">
          <color rgb="FF000000"/>
        </horizontal>
      </border>
    </dxf>
    <dxf>
      <font>
        <color rgb="FF000000"/>
      </font>
      <fill>
        <patternFill>
          <bgColor rgb="FFFFC000"/>
        </patternFill>
      </fill>
    </dxf>
    <dxf>
      <fill>
        <patternFill>
          <bgColor rgb="FFFF9E9E"/>
        </patternFill>
      </fill>
    </dxf>
    <dxf>
      <fill>
        <patternFill>
          <bgColor rgb="FFFF9E9E"/>
        </patternFill>
      </fill>
    </dxf>
    <dxf>
      <fill>
        <patternFill>
          <bgColor rgb="FFFF9E9E"/>
        </patternFill>
      </fill>
    </dxf>
    <dxf>
      <fill>
        <patternFill>
          <bgColor rgb="FFFF9E9E"/>
        </patternFill>
      </fill>
    </dxf>
    <dxf>
      <font>
        <color rgb="FF9C6500"/>
      </font>
      <fill>
        <patternFill>
          <bgColor rgb="FFFFEB9C"/>
        </patternFill>
      </fill>
    </dxf>
    <dxf>
      <font>
        <color rgb="FF1F4E79"/>
      </font>
      <fill>
        <patternFill>
          <bgColor rgb="FFDDEBF7"/>
        </patternFill>
      </fill>
    </dxf>
    <dxf>
      <font>
        <color rgb="FF006100"/>
      </font>
      <fill>
        <patternFill>
          <bgColor rgb="FFC6EFCE"/>
        </patternFill>
      </fill>
    </dxf>
    <dxf>
      <font>
        <color rgb="FF9C6500"/>
      </font>
      <fill>
        <patternFill>
          <bgColor rgb="FFFFF2CC"/>
        </patternFill>
      </fill>
    </dxf>
    <dxf>
      <font>
        <color rgb="FF1F4E79"/>
      </font>
      <fill>
        <patternFill>
          <bgColor rgb="FFDDEBF7"/>
        </patternFill>
      </fill>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numFmt numFmtId="0" formatCode="General"/>
      <alignment horizontal="center" vertical="center" textRotation="0" wrapText="1" indent="0" justifyLastLine="0" shrinkToFit="0" readingOrder="0"/>
    </dxf>
    <dxf>
      <font>
        <strike val="0"/>
        <outline val="0"/>
        <shadow val="0"/>
        <vertAlign val="baseline"/>
        <name val="Aptos"/>
        <family val="2"/>
        <scheme val="none"/>
      </font>
      <numFmt numFmtId="0" formatCode="General"/>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numFmt numFmtId="169" formatCode="h:mm\ AM/PM"/>
      <alignment horizontal="left" vertical="center" textRotation="0" wrapText="1" indent="0" justifyLastLine="0" shrinkToFit="0" readingOrder="0"/>
    </dxf>
    <dxf>
      <font>
        <strike val="0"/>
        <outline val="0"/>
        <shadow val="0"/>
        <vertAlign val="baseline"/>
        <name val="Aptos"/>
        <family val="2"/>
        <scheme val="none"/>
      </font>
      <numFmt numFmtId="167" formatCode="dddd\,\ mmmm\ d\,\ yyyy"/>
      <alignment horizontal="left"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ill>
        <patternFill>
          <bgColor rgb="FFFF9E9E"/>
        </patternFill>
      </fill>
    </dxf>
    <dxf>
      <fill>
        <patternFill>
          <bgColor rgb="FFFF9E9E"/>
        </patternFill>
      </fill>
    </dxf>
    <dxf>
      <fill>
        <patternFill>
          <bgColor rgb="FFFF9E9E"/>
        </patternFill>
      </fill>
    </dxf>
    <dxf>
      <font>
        <color rgb="FF000000"/>
      </font>
      <fill>
        <patternFill>
          <bgColor rgb="FFFFFF00"/>
        </patternFill>
      </fill>
    </dxf>
    <dxf>
      <font>
        <color rgb="FF000000"/>
      </font>
      <fill>
        <patternFill>
          <bgColor rgb="FFFFC000"/>
        </patternFill>
      </fill>
    </dxf>
    <dxf>
      <fill>
        <patternFill>
          <bgColor rgb="FFFF9E9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b/>
        <color rgb="FF666666"/>
      </font>
      <fill>
        <patternFill patternType="solid">
          <bgColor rgb="FFD9D9D9"/>
        </patternFill>
      </fill>
    </dxf>
    <dxf>
      <font>
        <b/>
        <color rgb="FF274E13"/>
      </font>
      <fill>
        <patternFill patternType="solid">
          <bgColor rgb="FFD9EAD3"/>
        </patternFill>
      </fill>
    </dxf>
    <dxf>
      <font>
        <b/>
        <color rgb="FF351C75"/>
      </font>
      <fill>
        <patternFill patternType="solid">
          <bgColor rgb="FFD9D2E9"/>
        </patternFill>
      </fill>
    </dxf>
    <dxf>
      <font>
        <b/>
        <color rgb="FF7F6000"/>
      </font>
      <fill>
        <patternFill patternType="solid">
          <bgColor rgb="FFFFE699"/>
        </patternFill>
      </fill>
    </dxf>
    <dxf>
      <font>
        <b/>
        <color rgb="FF7F6000"/>
      </font>
      <fill>
        <patternFill patternType="solid">
          <bgColor rgb="FFFFF2CC"/>
        </patternFill>
      </fill>
    </dxf>
    <dxf>
      <font>
        <b/>
        <color rgb="FF9C0006"/>
      </font>
      <fill>
        <patternFill patternType="solid">
          <bgColor rgb="FFF4CCCC"/>
        </patternFill>
      </fill>
    </dxf>
    <dxf>
      <font>
        <b/>
        <color rgb="FF351C75"/>
      </font>
      <fill>
        <patternFill patternType="solid">
          <bgColor rgb="FFD9D2E9"/>
        </patternFill>
      </fill>
    </dxf>
    <dxf>
      <font>
        <b/>
        <color rgb="FF666666"/>
      </font>
      <fill>
        <patternFill patternType="solid">
          <bgColor rgb="FFD9D9D9"/>
        </patternFill>
      </fill>
    </dxf>
    <dxf>
      <font>
        <b/>
        <color rgb="FF274E13"/>
      </font>
      <fill>
        <patternFill patternType="solid">
          <bgColor rgb="FFD9EAD3"/>
        </patternFill>
      </fill>
    </dxf>
    <dxf>
      <fill>
        <patternFill>
          <bgColor rgb="FFFFF2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4.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sharedStrings" Target="sharedStrings.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connections" Target="connections.xml"/><Relationship Id="rId23" Type="http://schemas.openxmlformats.org/officeDocument/2006/relationships/customXml" Target="../customXml/item3.xml"/><Relationship Id="rId10" Type="http://schemas.openxmlformats.org/officeDocument/2006/relationships/externalLink" Target="externalLinks/externalLink1.xml"/><Relationship Id="rId19" Type="http://schemas.microsoft.com/office/2022/11/relationships/FeaturePropertyBag" Target="featurePropertyBag/feature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https://adorama.sharepoint.com/sites/EmailMarketingTeam/Shared%20Documents/EMAIL%20PLANNING/2026/05-May/ADORAMA/2026%20Adorama%20May%20Email%20Calendar.xlsx" TargetMode="External"/><Relationship Id="rId1" Type="http://schemas.openxmlformats.org/officeDocument/2006/relationships/externalLinkPath" Target="https://adorama.sharepoint.com/sites/EmailMarketingTeam/Shared%20Documents/EMAIL%20PLANNING/2026/05-May/ADORAMA/2026%20Adorama%20May%20Email%20Calendar.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adorama.sharepoint.com/sites/EmailMarketingTeam/Shared%20Documents/SMS%20Planning/2026/05-May/ADORAMA/2026%20Adorama%20May%20SMS%20Calendar.xlsx" TargetMode="External"/><Relationship Id="rId1" Type="http://schemas.openxmlformats.org/officeDocument/2006/relationships/externalLinkPath" Target="https://adorama.sharepoint.com/sites/EmailMarketingTeam/Shared%20Documents/SMS%20Planning/2026/05-May/ADORAMA/2026%20Adorama%20May%20SMS%20Calendar.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https://adorama.sharepoint.com/sites/EmailMarketingTeam/Shared%20Documents/EMAIL%20PLANNING/2026/06-June/ADORAMA/2026%20Adorama%20June%20Email%20Calendar.xlsx" TargetMode="External"/><Relationship Id="rId1" Type="http://schemas.openxmlformats.org/officeDocument/2006/relationships/externalLinkPath" Target="https://adorama.sharepoint.com/sites/EmailMarketingTeam/Shared%20Documents/EMAIL%20PLANNING/2026/06-June/ADORAMA/2026%20Adorama%20June%20Email%20Calendar.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https://adorama.sharepoint.com/sites/EmailMarketingTeam/Shared%20Documents/SMS%20Planning/2026/06-June/ADORAMA/2026%20Adorama%20June%20SMS%20Calendar.xlsx" TargetMode="External"/><Relationship Id="rId1" Type="http://schemas.openxmlformats.org/officeDocument/2006/relationships/externalLinkPath" Target="https://adorama.sharepoint.com/sites/EmailMarketingTeam/Shared%20Documents/SMS%20Planning/2026/06-June/ADORAMA/2026%20Adorama%20June%20SMS%20Calenda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SMhbEN3-7kOxi7GsI7HjlVeC82wlwMRGrzKuzZWruHdWLQyJO6JIRbiWFWUKFGLh" itemId="01PTSFPL7GG52BUKHCW5AIVR54D3S25E65">
      <xxl21:absoluteUrl r:id="rId2"/>
    </xxl21:alternateUrls>
    <sheetNames>
      <sheetName val="2026 May Email Calendar"/>
      <sheetName val="2026 March Banner Placements"/>
      <sheetName val="2025 May Email Calendar "/>
      <sheetName val="2025 May Performance (AW)"/>
      <sheetName val="2025 May Email Revenue_Looker "/>
      <sheetName val="2024 May Email Revenue_Looker"/>
      <sheetName val="Notes"/>
      <sheetName val="2026 Adorama May Email Calendar"/>
    </sheetNames>
    <sheetDataSet>
      <sheetData sheetId="0">
        <row r="2">
          <cell r="B2" t="str">
            <v>Sunday</v>
          </cell>
          <cell r="C2" t="str">
            <v>Monday</v>
          </cell>
          <cell r="D2" t="str">
            <v>Tuesday</v>
          </cell>
          <cell r="E2" t="str">
            <v>Wednesday</v>
          </cell>
          <cell r="F2" t="str">
            <v>Thursday</v>
          </cell>
          <cell r="G2" t="str">
            <v>Friday</v>
          </cell>
          <cell r="H2" t="str">
            <v>Saturday</v>
          </cell>
        </row>
        <row r="3">
          <cell r="A3" t="str">
            <v>Wk. 18: April 26 – May 02</v>
          </cell>
          <cell r="B3">
            <v>46138</v>
          </cell>
          <cell r="C3">
            <v>46139</v>
          </cell>
          <cell r="D3">
            <v>46140</v>
          </cell>
          <cell r="E3">
            <v>46141</v>
          </cell>
          <cell r="F3">
            <v>46142</v>
          </cell>
          <cell r="G3">
            <v>46143</v>
          </cell>
          <cell r="H3">
            <v>46144</v>
          </cell>
        </row>
        <row r="4">
          <cell r="G4" t="str">
            <v>Promo: 
Warehouse Sale Reminder
8AM
With Dynamic Products
NO EMAILS AFTER 7:25PM</v>
          </cell>
          <cell r="H4" t="str">
            <v>Newsletters:
Creators Huddle 
9:30PM
NO EMAILS BEFORE 9:10PM</v>
          </cell>
        </row>
        <row r="5">
          <cell r="A5" t="str">
            <v>Wk. 19: May 03 – May 09</v>
          </cell>
          <cell r="B5">
            <v>46145</v>
          </cell>
          <cell r="C5">
            <v>46146</v>
          </cell>
          <cell r="D5">
            <v>46147</v>
          </cell>
          <cell r="E5">
            <v>46148</v>
          </cell>
          <cell r="F5">
            <v>46149</v>
          </cell>
          <cell r="G5">
            <v>46150</v>
          </cell>
          <cell r="H5">
            <v>46151</v>
          </cell>
        </row>
        <row r="6">
          <cell r="B6" t="str">
            <v>EVENTS: 5/3 Karen Haberberg | Coffee with Creators 
8AM</v>
          </cell>
          <cell r="C6" t="str">
            <v>Promo: 
Photo Rebates 
With Static Products
2x7
8AM</v>
          </cell>
          <cell r="D6"/>
          <cell r="E6" t="str">
            <v>Services: 
Open Box 
With Photo L2 + L1 Categories
2x3
STO</v>
          </cell>
          <cell r="F6" t="str">
            <v xml:space="preserve">Loyalty:
EM1: Engagement: Ways to earn with new actions 
STO
EM2: VIP Acquisition
STO
</v>
          </cell>
          <cell r="G6" t="str">
            <v>EM1: Badge Scan Leads Post Show
8AM
EM2: Promo:
Graduation Sale + Bundle &amp; Save 
With Dynamic Products
2x6 for both Bundle &amp; Save and Graduation Gift Sale
9AM
NO EMAILS AFTER 7:35PM</v>
          </cell>
          <cell r="H6" t="str">
            <v>Newsletters:
Photo (include bundle and save)
With Dynamic Products
2x6
These value SKUs mainly cover photo products, with some video SKUs included. All feature free items.
9:30PM
NO EMAILS BEFORE 9:20PM</v>
          </cell>
        </row>
        <row r="7">
          <cell r="A7" t="str">
            <v>Wk. 20: May 10 – May 16</v>
          </cell>
          <cell r="B7">
            <v>46152</v>
          </cell>
          <cell r="C7">
            <v>46153</v>
          </cell>
          <cell r="D7">
            <v>46154</v>
          </cell>
          <cell r="E7">
            <v>46155</v>
          </cell>
          <cell r="F7">
            <v>46156</v>
          </cell>
          <cell r="G7">
            <v>46157</v>
          </cell>
          <cell r="H7">
            <v>46158</v>
          </cell>
        </row>
        <row r="8">
          <cell r="B8" t="str">
            <v>EVENTS: EM1: 5/10 Neil Leifer | Coffee with Creators https://www.youtube.com/live/elf3MrhR5aM
STO</v>
          </cell>
          <cell r="C8" t="str">
            <v>Promo: 
Wedding Season 
With Dynamic Products
STO</v>
          </cell>
          <cell r="D8" t="str">
            <v xml:space="preserve">NPA:
Panasonic
12PM
</v>
          </cell>
          <cell r="E8" t="str">
            <v>NPA:
EM1: Canon Camera &amp; Lenses
9AM
EM2: Sony New Camera, Lens and 5 Accessories
After 12:16PM</v>
          </cell>
          <cell r="F8" t="str">
            <v>Loyalty: 
Redemption: Spend $1k get back 500pts
8AM</v>
          </cell>
          <cell r="G8" t="str">
            <v>Promo: 
EM1. Sony Lens Retargeting 
(8AM)
EM2. 3-Day Sale: Lexar Memory Cards 
With L1. Category (Computers)
(9AM) 
EM3. Weekend Deals 
(10AM)
NO EMAILS AFTER 7:40PM</v>
          </cell>
          <cell r="H8" t="str">
            <v>Newsletters:
Private Brands (Flashpoint/Glow)
10PM
NO EMAILS BEFORE 9:25PM</v>
          </cell>
        </row>
        <row r="9">
          <cell r="A9" t="str">
            <v>Wk. 21: May 17 – May 23</v>
          </cell>
          <cell r="B9">
            <v>46159</v>
          </cell>
          <cell r="C9">
            <v>46160</v>
          </cell>
          <cell r="D9">
            <v>46161</v>
          </cell>
          <cell r="E9">
            <v>46162</v>
          </cell>
          <cell r="F9">
            <v>46163</v>
          </cell>
          <cell r="G9">
            <v>46164</v>
          </cell>
          <cell r="H9">
            <v>46165</v>
          </cell>
        </row>
        <row r="10">
          <cell r="B10" t="str">
            <v>Events: 5/17 All Access: Creating Iconic Band Portraits with Photographer Jeremy Saffer
https://www.eventbrite.com/e/all-access-creating-iconic-band-portraits-with-photographer-jeremy-saffer-tickets-1988403215544?aff=oddtdtcreator&amp;keep_tld=true
https://www.youtube.com/live/IaserPm4bJ4
STO</v>
          </cell>
          <cell r="C10" t="str">
            <v>Promo: 
Memorial Day Sale 
With Brands + Categories
STO</v>
          </cell>
          <cell r="D10"/>
          <cell r="E10" t="str">
            <v>Services: 
EM1: Private Brands Best Sellers + Social Proof (theme: Memorial Day) 
8AM
EM2: Used (wedding season theme)
9AM</v>
          </cell>
          <cell r="F10" t="str">
            <v>Promo: 
Memorial Day (v1. Video &amp; v2. everyone else)
With Categories and Products
8AM
NO EMAILS AFTER 7:45PM</v>
          </cell>
          <cell r="G10" t="str">
            <v>NO EMAIL: Shavuot</v>
          </cell>
          <cell r="H10" t="str">
            <v>Newsletters:
Photo (theme: Memorial Day Sale)
10PM
NO EMAILS BEFORE 9:30PM</v>
          </cell>
        </row>
        <row r="11">
          <cell r="A11" t="str">
            <v>Wk. 22: May 24 – May 30</v>
          </cell>
          <cell r="B11">
            <v>46166</v>
          </cell>
          <cell r="C11">
            <v>46167</v>
          </cell>
          <cell r="D11">
            <v>46168</v>
          </cell>
          <cell r="E11">
            <v>46169</v>
          </cell>
          <cell r="F11">
            <v>46170</v>
          </cell>
          <cell r="G11">
            <v>46171</v>
          </cell>
          <cell r="H11">
            <v>46172</v>
          </cell>
        </row>
        <row r="12">
          <cell r="B12" t="str">
            <v>Events: 
EM2: PLCC
Statement Credit + NPA Recap</v>
          </cell>
          <cell r="C12" t="str">
            <v>Promo: 
Memorial Day Sale 
With Brands + Categories
STO</v>
          </cell>
          <cell r="D12" t="str">
            <v>Promo: 
EM1: Memorial Day Final Day With Products (8AM)
EM2: Memorial Day Final Hours Categories Only (3PM)</v>
          </cell>
          <cell r="E12" t="str">
            <v>Services:  
EM1: EDU (8AM)
EM2: Trade (9AM)</v>
          </cell>
          <cell r="F12" t="str">
            <v xml:space="preserve">Loyalty: 
EM1: VIP Summary (Adorama - existing VIPs)
V1: VIP Rewards
V2: VIP Perks
V3: VIP PRO
8AM
PLCC:
EM2: Statement Credit
</v>
          </cell>
          <cell r="G12" t="str">
            <v>Promo: 
V1: Live Sound/DJ campaign
11AM
V2: Weekend Deals
12PM
NO EMAILS AFTER 7:55PM</v>
          </cell>
          <cell r="H12" t="str">
            <v>Newsletters:
Video
10PM
NO EMAILS BEFORE 9:35PM</v>
          </cell>
        </row>
        <row r="13">
          <cell r="A13" t="str">
            <v>Wk. 23: May 31 – June 06</v>
          </cell>
          <cell r="B13">
            <v>46173</v>
          </cell>
        </row>
        <row r="14">
          <cell r="B14" t="str">
            <v>Events: 
NPA Recap</v>
          </cell>
        </row>
        <row r="16">
          <cell r="B16" t="str">
            <v>Events</v>
          </cell>
          <cell r="C16" t="str">
            <v>Promo</v>
          </cell>
          <cell r="D16"/>
          <cell r="E16" t="str">
            <v>Services</v>
          </cell>
          <cell r="F16" t="str">
            <v>PLCC &amp; Loyalty</v>
          </cell>
          <cell r="G16" t="str">
            <v>Promo</v>
          </cell>
          <cell r="H16" t="str">
            <v>Newsletters</v>
          </cell>
        </row>
      </sheetData>
      <sheetData sheetId="1"/>
      <sheetData sheetId="2"/>
      <sheetData sheetId="3"/>
      <sheetData sheetId="4"/>
      <sheetData sheetId="5"/>
      <sheetData sheetId="6"/>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SMhbEN3-7kOxi7GsI7HjlVeC82wlwMRGrzKuzZWruHdWLQyJO6JIRbiWFWUKFGLh" itemId="01PTSFPL3NOWVBDUTAYNAKUFOK2KDVRQY4">
      <xxl21:absoluteUrl r:id="rId2"/>
    </xxl21:alternateUrls>
    <sheetNames>
      <sheetName val="2024 October Revenue (Looker)"/>
      <sheetName val="2026 May SMS Calendar"/>
      <sheetName val="2025 May SMS Calendar"/>
      <sheetName val="Looker Monthly Data"/>
      <sheetName val="Attentive_Campaign_Performance"/>
      <sheetName val="2025 SMS Performance"/>
      <sheetName val="2025 May SMS Financials(Looker)"/>
      <sheetName val="October 23 vs. 24 - Raw Data"/>
      <sheetName val="Notes"/>
      <sheetName val="SMS Performance"/>
      <sheetName val="2026 Adorama May SMS Calendar"/>
    </sheetNames>
    <sheetDataSet>
      <sheetData sheetId="0"/>
      <sheetData sheetId="1">
        <row r="2">
          <cell r="B2" t="str">
            <v>Sunday</v>
          </cell>
          <cell r="C2" t="str">
            <v>Monday</v>
          </cell>
          <cell r="D2" t="str">
            <v>Tuesday</v>
          </cell>
          <cell r="E2" t="str">
            <v>Wednesday</v>
          </cell>
          <cell r="F2" t="str">
            <v>Thursday</v>
          </cell>
          <cell r="G2" t="str">
            <v>Friday</v>
          </cell>
          <cell r="H2" t="str">
            <v>Saturday</v>
          </cell>
        </row>
        <row r="3">
          <cell r="A3" t="str">
            <v>Wk. 18: April 26 – May 02</v>
          </cell>
          <cell r="B3">
            <v>46138</v>
          </cell>
          <cell r="C3">
            <v>46139</v>
          </cell>
          <cell r="D3">
            <v>46140</v>
          </cell>
          <cell r="E3">
            <v>46141</v>
          </cell>
          <cell r="F3">
            <v>46142</v>
          </cell>
          <cell r="G3">
            <v>46143</v>
          </cell>
          <cell r="H3">
            <v>46144</v>
          </cell>
        </row>
        <row r="4">
          <cell r="G4" t="str">
            <v>Promo: 
Warehouse Sale Reminder
11AM Local</v>
          </cell>
          <cell r="H4"/>
        </row>
        <row r="5">
          <cell r="A5" t="str">
            <v>Wk. 19: May 03 – May 09</v>
          </cell>
          <cell r="B5">
            <v>46145</v>
          </cell>
          <cell r="C5">
            <v>46146</v>
          </cell>
          <cell r="D5">
            <v>46147</v>
          </cell>
          <cell r="E5">
            <v>46148</v>
          </cell>
          <cell r="F5">
            <v>46149</v>
          </cell>
          <cell r="G5">
            <v>46150</v>
          </cell>
          <cell r="H5">
            <v>46151</v>
          </cell>
        </row>
        <row r="6">
          <cell r="B6"/>
          <cell r="C6" t="str">
            <v>Promo: 
Photo Rebates
11AM Local</v>
          </cell>
          <cell r="D6"/>
          <cell r="E6" t="str">
            <v>Services: 
Open Box
11AM Local</v>
          </cell>
          <cell r="F6"/>
          <cell r="G6" t="str">
            <v>Promo:
Graduation Sale + Bundle &amp; Save
11AM Local</v>
          </cell>
          <cell r="H6"/>
        </row>
        <row r="7">
          <cell r="A7" t="str">
            <v>Wk. 20: May 10 – May 16</v>
          </cell>
          <cell r="B7">
            <v>46152</v>
          </cell>
          <cell r="C7">
            <v>46153</v>
          </cell>
          <cell r="D7">
            <v>46154</v>
          </cell>
          <cell r="E7">
            <v>46155</v>
          </cell>
          <cell r="F7">
            <v>46156</v>
          </cell>
          <cell r="G7">
            <v>46157</v>
          </cell>
          <cell r="H7">
            <v>46158</v>
          </cell>
        </row>
        <row r="8">
          <cell r="B8"/>
          <cell r="C8" t="str">
            <v>Promo: 
Wedding Season
11AM Local</v>
          </cell>
          <cell r="D8" t="str">
            <v xml:space="preserve">NPA:
Panasonic
1PM
</v>
          </cell>
          <cell r="E8" t="str">
            <v>NPA:
EM1: Canon Camera &amp; Lenses
10AM
EM2: Sony New Camera, Lens and 5 Accessories
11:35AM</v>
          </cell>
          <cell r="F8"/>
          <cell r="G8" t="str">
            <v>Promo: 
Live Sound/DJ campaign
11AM Local</v>
          </cell>
          <cell r="H8"/>
        </row>
        <row r="9">
          <cell r="A9" t="str">
            <v>Wk. 21: May 17 – May 23</v>
          </cell>
          <cell r="B9">
            <v>46159</v>
          </cell>
          <cell r="C9">
            <v>46160</v>
          </cell>
          <cell r="D9">
            <v>46161</v>
          </cell>
          <cell r="E9">
            <v>46162</v>
          </cell>
          <cell r="F9">
            <v>46163</v>
          </cell>
          <cell r="G9">
            <v>46164</v>
          </cell>
          <cell r="H9">
            <v>46165</v>
          </cell>
        </row>
        <row r="10">
          <cell r="B10"/>
          <cell r="C10" t="str">
            <v>Promo: 
Memorial Day 
11AM Local</v>
          </cell>
          <cell r="D10"/>
          <cell r="E10" t="str">
            <v>Services: 
EM1: Private Brands Best Sellers + Social Proof (theme: Memorial Day)
11AM Local</v>
          </cell>
          <cell r="F10" t="str">
            <v>Promo: 
Memorial Day  (photo)
11AM Local</v>
          </cell>
          <cell r="G10" t="str">
            <v>NO SMS: Shavuot</v>
          </cell>
          <cell r="H10"/>
        </row>
        <row r="11">
          <cell r="A11" t="str">
            <v>Wk. 22: May 24 – May 30</v>
          </cell>
          <cell r="B11">
            <v>46166</v>
          </cell>
          <cell r="C11">
            <v>46167</v>
          </cell>
          <cell r="D11">
            <v>46168</v>
          </cell>
          <cell r="E11">
            <v>46169</v>
          </cell>
          <cell r="F11">
            <v>46170</v>
          </cell>
          <cell r="G11">
            <v>46171</v>
          </cell>
          <cell r="H11">
            <v>46172</v>
          </cell>
        </row>
        <row r="12">
          <cell r="B12"/>
          <cell r="C12" t="str">
            <v>Promo: 
Memorial Day (broad)
11AM Local</v>
          </cell>
          <cell r="D12" t="str">
            <v>Promo: 
EM1: Memorial Day Final Day (broad)
11AM Local</v>
          </cell>
          <cell r="E12"/>
          <cell r="F12"/>
          <cell r="G12" t="str">
            <v>Promo: 
Bundle &amp; Save
11AM Local</v>
          </cell>
          <cell r="H12"/>
        </row>
        <row r="13">
          <cell r="A13" t="str">
            <v>Wk. 23: May 31 – June 06</v>
          </cell>
          <cell r="B13">
            <v>46173</v>
          </cell>
        </row>
        <row r="14">
          <cell r="B14"/>
        </row>
      </sheetData>
      <sheetData sheetId="2"/>
      <sheetData sheetId="3"/>
      <sheetData sheetId="4"/>
      <sheetData sheetId="5"/>
      <sheetData sheetId="6"/>
      <sheetData sheetId="7"/>
      <sheetData sheetId="8"/>
      <sheetData sheetId="9" refreshError="1"/>
      <sheetData sheetId="1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SMhbEN3-7kOxi7GsI7HjlVeC82wlwMRGrzKuzZWruHdWLQyJO6JIRbiWFWUKFGLh" itemId="01PTSFPL4SY7E25YZDINE2ZUXA3HXXNYOI">
      <xxl21:absoluteUrl r:id="rId2"/>
    </xxl21:alternateUrls>
    <sheetNames>
      <sheetName val="2026 June Email Calendar"/>
      <sheetName val="2026 March Banner Placements"/>
      <sheetName val="2025 June Email Calendar "/>
      <sheetName val="2025 June Performance (AW)"/>
      <sheetName val="2025 June Email Revenue_Looker "/>
      <sheetName val="Notes"/>
    </sheetNames>
    <sheetDataSet>
      <sheetData sheetId="0">
        <row r="2">
          <cell r="B2" t="str">
            <v>Sunday</v>
          </cell>
          <cell r="C2" t="str">
            <v>Monday</v>
          </cell>
          <cell r="D2" t="str">
            <v>Tuesday</v>
          </cell>
          <cell r="E2" t="str">
            <v>Wednesday</v>
          </cell>
          <cell r="F2" t="str">
            <v>Thursday</v>
          </cell>
          <cell r="G2" t="str">
            <v>Friday</v>
          </cell>
          <cell r="H2" t="str">
            <v>Saturday</v>
          </cell>
        </row>
        <row r="3">
          <cell r="A3" t="str">
            <v>Wk. 23: May 31 – June 06</v>
          </cell>
          <cell r="B3">
            <v>46173</v>
          </cell>
          <cell r="C3">
            <v>46174</v>
          </cell>
          <cell r="D3">
            <v>46175</v>
          </cell>
          <cell r="E3">
            <v>46176</v>
          </cell>
          <cell r="F3">
            <v>46177</v>
          </cell>
          <cell r="G3">
            <v>46178</v>
          </cell>
          <cell r="H3">
            <v>46179</v>
          </cell>
        </row>
        <row r="4">
          <cell r="C4" t="str">
            <v>Promo: 
Bundle &amp; Save
STO</v>
          </cell>
          <cell r="D4" t="str">
            <v>Loyalty: 
VIP Summary (Adorama - existing VIPs)
V1: VIP Rewards
V2: VIP Perks
V3: VIP PRO
STO</v>
          </cell>
          <cell r="E4" t="str">
            <v xml:space="preserve">Services: 
Open Box
STO
</v>
          </cell>
          <cell r="F4" t="str">
            <v>PLCC:
Open To Buy (targeted)
STO</v>
          </cell>
          <cell r="G4" t="str">
            <v>Promo: 
EM1: Gaming with Products
8AM
EM2: Weekend Deals with Products (video)
9AM
EM3: Weekend Deals with Products (photo + other categories)
10AM
NO EMAILS AFTER 8:00PM</v>
          </cell>
          <cell r="H4" t="str">
            <v>Newsletters:
Creators Huddle 
10PM
NO EMAILS BEFORE 9:40PM</v>
          </cell>
        </row>
        <row r="5">
          <cell r="A5" t="str">
            <v>Wk. 24: June 07 - June 13</v>
          </cell>
          <cell r="B5">
            <v>45815</v>
          </cell>
          <cell r="C5">
            <v>45816</v>
          </cell>
          <cell r="D5">
            <v>45817</v>
          </cell>
          <cell r="E5">
            <v>45818</v>
          </cell>
          <cell r="F5">
            <v>45819</v>
          </cell>
          <cell r="G5">
            <v>45820</v>
          </cell>
          <cell r="H5">
            <v>45821</v>
          </cell>
        </row>
        <row r="6">
          <cell r="B6" t="str">
            <v>Event: 
JK x ADORAMA NYC WORKSHOP
Targeted to New York metropolitan area (tri-state area)
STO
In-Stock:
Sony ISOA7R6
STO</v>
          </cell>
          <cell r="C6" t="str">
            <v>Promo: 
Photo Rebates with Products
STO</v>
          </cell>
          <cell r="D6" t="str">
            <v>Newsletter:
Store (include Sunday's event)
STO
NPA:
Insta360 Luna Ultra Gimbal Camera</v>
          </cell>
          <cell r="E6" t="str">
            <v xml:space="preserve">Services:
Private Brands (include Sunday's event)
STO
</v>
          </cell>
          <cell r="F6" t="str">
            <v>Loyalty: 
EM1: Non Member Acquisition
STO
EM2: 1,000 Points Card Member Reminder
STO</v>
          </cell>
          <cell r="G6" t="str">
            <v>Promo: 
EM1: Father's Day
8AM
EM2: Photo Rebates Resend
(targeting: people who received 6/8/26 Photo Rebates, opened them, but did not buy)
3PM
NO EMAILS AFTER 8:05PM</v>
          </cell>
          <cell r="H6" t="str">
            <v>Newsletter: 
Photo (supporting FIFA World Cup 2026)
10PM
NO EMAILS BEFORE 9:45PM</v>
          </cell>
        </row>
        <row r="7">
          <cell r="A7" t="str">
            <v>Wk. 25: June 14 - June 20</v>
          </cell>
          <cell r="B7">
            <v>45822</v>
          </cell>
          <cell r="C7">
            <v>45823</v>
          </cell>
          <cell r="D7">
            <v>45824</v>
          </cell>
          <cell r="E7">
            <v>45825</v>
          </cell>
          <cell r="F7">
            <v>45826</v>
          </cell>
          <cell r="G7">
            <v>45827</v>
          </cell>
          <cell r="H7">
            <v>45828</v>
          </cell>
        </row>
        <row r="8">
          <cell r="B8" t="str">
            <v>Event:
EM1: FIFA World Cup 2026
9AM
EM2: ABS Giveaway
10AM</v>
          </cell>
          <cell r="C8" t="str">
            <v>EM1: NPA:
Leica 
9AM
EM1: 24-Hour Sale
7AM</v>
          </cell>
          <cell r="D8"/>
          <cell r="E8" t="str">
            <v>Services:
Trade
STO</v>
          </cell>
          <cell r="F8" t="str">
            <v>PLCC: 
Adorama Brands (Coupon email for cardmembers - targeted)
STO</v>
          </cell>
          <cell r="G8" t="str">
            <v>Promo: 
Warehouse Sale
8AM
NO EMAILS AFTER 8:07PM</v>
          </cell>
          <cell r="H8" t="str">
            <v>Newsletter:
Video
10PM
NO EMAILS BEFORE 9:50PM</v>
          </cell>
        </row>
        <row r="9">
          <cell r="A9" t="str">
            <v>Wk. 26: June 21 - June 27</v>
          </cell>
          <cell r="B9">
            <v>45829</v>
          </cell>
          <cell r="C9">
            <v>45830</v>
          </cell>
          <cell r="D9">
            <v>45831</v>
          </cell>
          <cell r="E9">
            <v>45832</v>
          </cell>
          <cell r="F9">
            <v>45833</v>
          </cell>
          <cell r="G9">
            <v>45834</v>
          </cell>
          <cell r="H9">
            <v>45835</v>
          </cell>
        </row>
        <row r="10">
          <cell r="B10" t="str">
            <v>Events: 
Lighting for Narrative Cinematography
Date: Wednesday, June 24th · 5pm - 6pm ET
OnSet with Daniel Norton: Portraits with a Point and Shoot
Date: Thursday, June 25th · 5 - 6pm ET</v>
          </cell>
          <cell r="C10" t="str">
            <v>Promo: 
EM1. Top Deals (Photo) with Products
EM2. Top Deals (cross category) with Products
EM3: Top Deals (Lighting &amp; Studio) with Products</v>
          </cell>
          <cell r="D10" t="str">
            <v>Promo: 
Summer Cyber Sale
STO</v>
          </cell>
          <cell r="E10" t="str">
            <v xml:space="preserve">Services: 
EM1: EDU with products (8AM)
EM2: Used with products (9AM)
</v>
          </cell>
          <cell r="F10" t="str">
            <v>EM1: PLCC: 
1,000 points new cardmember reminder - 30 15 days out (targeted)
STO
EM2: Summer Save w/ Products (Lighting &amp; Studio)</v>
          </cell>
          <cell r="G10" t="str">
            <v>Promo: 
Weekend Deals (cross category)
Summer Cyber Sale LC
9AM
NO EMAILS AFTER 8:10PM</v>
          </cell>
          <cell r="H10" t="str">
            <v>Newsletter: 
Creators Huddle
10PM
NO EMAILS BEFORE 9:50PM</v>
          </cell>
        </row>
        <row r="11">
          <cell r="A11" t="str">
            <v>Wk. 27: June 28 - July 04</v>
          </cell>
          <cell r="B11">
            <v>45836</v>
          </cell>
          <cell r="C11">
            <v>45837</v>
          </cell>
          <cell r="D11">
            <v>45838</v>
          </cell>
          <cell r="E11">
            <v>45839</v>
          </cell>
          <cell r="F11">
            <v>45840</v>
          </cell>
          <cell r="G11">
            <v>45841</v>
          </cell>
          <cell r="H11">
            <v>45842</v>
          </cell>
        </row>
        <row r="12">
          <cell r="B12" t="str">
            <v xml:space="preserve">Events:
Agreeable Strangers: From Passion Project to Published Book with Charles Chessler
Date: Wednesday, July 1st · 5pm - 6pm ET
Agreeable Strangers: From Passion Project to Published Book with Charles Chessler
Date: Wednesday, July 1st · 5pm - 6pm ET
</v>
          </cell>
          <cell r="C12" t="str">
            <v>July 4th Sale Launch (products + Categories)
STO</v>
          </cell>
          <cell r="D12"/>
          <cell r="E12" t="str">
            <v>EM1: July 4th Sale Going on Now (Brands and categories)
STO
EM2: 4th of July w/ Products - lightning &amp; studio</v>
          </cell>
          <cell r="F12"/>
          <cell r="G12" t="str">
            <v>July 4th Sale Ends Tomorrow (with Products and categories + countdown timer)
8AM
NO EMAILS AFTER 8:10PM</v>
          </cell>
          <cell r="H12" t="str">
            <v>July 4th Sale (Products and Brands)
10PM
NO EMAILS BEFORE 9:50PM</v>
          </cell>
        </row>
        <row r="15">
          <cell r="B15" t="str">
            <v>Events</v>
          </cell>
          <cell r="C15" t="str">
            <v>Promo</v>
          </cell>
          <cell r="D15"/>
          <cell r="E15" t="str">
            <v>Services</v>
          </cell>
          <cell r="F15" t="str">
            <v>PLCC &amp; Loyalty</v>
          </cell>
          <cell r="G15" t="str">
            <v>Promo</v>
          </cell>
          <cell r="H15" t="str">
            <v>Newsletters</v>
          </cell>
        </row>
      </sheetData>
      <sheetData sheetId="1"/>
      <sheetData sheetId="2"/>
      <sheetData sheetId="3"/>
      <sheetData sheetId="4"/>
      <sheetData sheetId="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SMhbEN3-7kOxi7GsI7HjlVeC82wlwMRGrzKuzZWruHdWLQyJO6JIRbiWFWUKFGLh" itemId="01PTSFPL6KGPRAQZEIHVAKJDVP25LDMW4T">
      <xxl21:absoluteUrl r:id="rId2"/>
    </xxl21:alternateUrls>
    <sheetNames>
      <sheetName val="2024 October Revenue (Looker)"/>
      <sheetName val="2026 June SMS Calendar"/>
      <sheetName val="2025 June SMS Calendar"/>
      <sheetName val="Looker Monthly Data"/>
      <sheetName val="Attentive_Campaign_Performance"/>
      <sheetName val="2025 SMS Performance"/>
      <sheetName val="2025 JuneSMS Financials(Looker)"/>
      <sheetName val="October 23 vs. 24 - Raw Data"/>
      <sheetName val="Notes"/>
    </sheetNames>
    <sheetDataSet>
      <sheetData sheetId="0"/>
      <sheetData sheetId="1">
        <row r="2">
          <cell r="B2" t="str">
            <v>Sunday</v>
          </cell>
          <cell r="C2" t="str">
            <v>Monday</v>
          </cell>
          <cell r="D2" t="str">
            <v>Tuesday</v>
          </cell>
          <cell r="E2" t="str">
            <v>Wednesday</v>
          </cell>
          <cell r="F2" t="str">
            <v>Thursday</v>
          </cell>
          <cell r="G2" t="str">
            <v>Friday</v>
          </cell>
          <cell r="H2" t="str">
            <v>Saturday</v>
          </cell>
        </row>
        <row r="3">
          <cell r="A3" t="str">
            <v>Wk. 23: May 31 – June 06</v>
          </cell>
          <cell r="B3">
            <v>46173</v>
          </cell>
          <cell r="C3">
            <v>46174</v>
          </cell>
          <cell r="D3">
            <v>46175</v>
          </cell>
          <cell r="E3">
            <v>46176</v>
          </cell>
          <cell r="F3">
            <v>46177</v>
          </cell>
          <cell r="G3">
            <v>46178</v>
          </cell>
          <cell r="H3">
            <v>46179</v>
          </cell>
        </row>
        <row r="4">
          <cell r="B4" t="str">
            <v xml:space="preserve">Event: 
JK x ADORAMA NYC WORKSHOP
Targeted to New York metropolitan area (tri-state area)
11AM Local
</v>
          </cell>
          <cell r="C4" t="str">
            <v>Services: 
Open Box
11AM Local</v>
          </cell>
          <cell r="D4"/>
          <cell r="E4"/>
          <cell r="F4"/>
          <cell r="G4" t="str">
            <v>SMS1: Top Deals
11AM Local
SMS : In-Stock: Sony ISOA746
3:45PM Local
NO EMAILS AFTER 8:00PM</v>
          </cell>
          <cell r="H4" t="str">
            <v xml:space="preserve">
NO EMAILS BEFORE 9:40PM</v>
          </cell>
        </row>
        <row r="5">
          <cell r="A5" t="str">
            <v>Wk. 24: June 07 - June 13</v>
          </cell>
          <cell r="B5">
            <v>45815</v>
          </cell>
          <cell r="C5">
            <v>45816</v>
          </cell>
          <cell r="D5">
            <v>45817</v>
          </cell>
          <cell r="E5">
            <v>45818</v>
          </cell>
          <cell r="F5">
            <v>45819</v>
          </cell>
          <cell r="G5">
            <v>45820</v>
          </cell>
          <cell r="H5">
            <v>45821</v>
          </cell>
        </row>
        <row r="6">
          <cell r="B6" t="str">
            <v>Event: 
JK x ADORAMA NYC WORKSHOP
Targeted to New York metropolitan area (tri-state area)
11AM Local
In-Stock:
Sony ISOA746
11:30AM Local</v>
          </cell>
          <cell r="C6" t="str">
            <v>Promo: 
Photo Rebates with Products
11AM Local</v>
          </cell>
          <cell r="D6"/>
          <cell r="E6" t="str">
            <v>NPA:
Skyrover Drone with smart remotes
In Stock
11AM</v>
          </cell>
          <cell r="F6"/>
          <cell r="G6" t="str">
            <v>Promo: 
Father's Day
11AM Local
NO EMAILS AFTER 8:05PM</v>
          </cell>
          <cell r="H6" t="str">
            <v>NO EMAILS BEFORE 9:45PM</v>
          </cell>
        </row>
        <row r="7">
          <cell r="A7" t="str">
            <v>Wk. 25: June 14 - June 20</v>
          </cell>
          <cell r="B7">
            <v>45822</v>
          </cell>
          <cell r="C7">
            <v>45823</v>
          </cell>
          <cell r="D7">
            <v>45824</v>
          </cell>
          <cell r="E7">
            <v>45825</v>
          </cell>
          <cell r="F7">
            <v>45826</v>
          </cell>
          <cell r="G7">
            <v>45827</v>
          </cell>
          <cell r="H7">
            <v>45828</v>
          </cell>
        </row>
        <row r="8">
          <cell r="B8"/>
          <cell r="C8" t="str">
            <v xml:space="preserve">EM1: NPA:
Leica 
9AM
</v>
          </cell>
          <cell r="D8"/>
          <cell r="E8" t="str">
            <v>Services:
Trade
STO</v>
          </cell>
          <cell r="F8"/>
          <cell r="G8" t="str">
            <v>Promo: 
Warehouse Sale
11AM Local
NO EMAILS AFTER 8:07PM</v>
          </cell>
          <cell r="H8" t="str">
            <v xml:space="preserve">
NO EMAILS BEFORE 9:50PM</v>
          </cell>
        </row>
        <row r="9">
          <cell r="A9" t="str">
            <v>Wk. 26: June 21 - June 27</v>
          </cell>
          <cell r="B9">
            <v>45829</v>
          </cell>
          <cell r="C9">
            <v>45830</v>
          </cell>
          <cell r="D9">
            <v>45831</v>
          </cell>
          <cell r="E9">
            <v>45832</v>
          </cell>
          <cell r="F9">
            <v>45833</v>
          </cell>
          <cell r="G9">
            <v>45834</v>
          </cell>
          <cell r="H9">
            <v>45835</v>
          </cell>
        </row>
        <row r="10">
          <cell r="B10" t="str">
            <v>Events: 
Lighting for Narrative Cinematography
Date: Wednesday, June 24th · 5pm - 6pm ET
OnSet with Daniel Norton: Portraits with a Point and Shoot
Date: Thursday, June 25th · 5 - 6pm ET
11AM Local</v>
          </cell>
          <cell r="C10" t="str">
            <v xml:space="preserve">Promo: 
Photo Top Deals with Products
11AM Local
</v>
          </cell>
          <cell r="D10"/>
          <cell r="E10" t="str">
            <v xml:space="preserve">Services: 
Used with products
11AM Local
</v>
          </cell>
          <cell r="F10"/>
          <cell r="G10" t="str">
            <v>Promo: 
Weekend Deals (cross category)
11AM Local
NO EMAILS AFTER 8:10PM</v>
          </cell>
          <cell r="H10" t="str">
            <v>NO EMAILS BEFORE 9:50PM</v>
          </cell>
        </row>
        <row r="11">
          <cell r="A11" t="str">
            <v>Wk. 27: June 28 - July 04</v>
          </cell>
          <cell r="B11">
            <v>11</v>
          </cell>
          <cell r="C11">
            <v>45837</v>
          </cell>
          <cell r="D11">
            <v>45838</v>
          </cell>
          <cell r="E11">
            <v>45839</v>
          </cell>
          <cell r="F11">
            <v>45840</v>
          </cell>
          <cell r="G11">
            <v>45841</v>
          </cell>
          <cell r="H11">
            <v>45842</v>
          </cell>
        </row>
        <row r="12">
          <cell r="B12" t="str">
            <v>Events:
Agreeable Strangers: From Passion Project to Published Book with Charles Chessler
Date: Wednesday, July 1st · 5pm - 6pm ET
Agreeable Strangers: From Passion Project to Published Book with Charles Chessler
Date: Wednesday, July 1st · 5pm - 6pm ET
11AM Local</v>
          </cell>
          <cell r="C12" t="str">
            <v>July 4th Sale Launch (products + Categories)
11AM Local</v>
          </cell>
          <cell r="D12"/>
          <cell r="E12"/>
          <cell r="F12"/>
          <cell r="G12" t="str">
            <v>July 4th Sale 
11AM Local
NO EMAILS AFTER 8:10PM</v>
          </cell>
          <cell r="H12" t="str">
            <v>NO EMAILS BEFORE 9:50PM</v>
          </cell>
        </row>
        <row r="15">
          <cell r="B15" t="str">
            <v>Events</v>
          </cell>
          <cell r="C15" t="str">
            <v>Promo</v>
          </cell>
          <cell r="D15"/>
          <cell r="E15" t="str">
            <v>Services</v>
          </cell>
          <cell r="F15" t="str">
            <v>PLCC &amp; Loyalty</v>
          </cell>
          <cell r="G15" t="str">
            <v>Promo</v>
          </cell>
          <cell r="H15" t="str">
            <v>Newsletters</v>
          </cell>
        </row>
      </sheetData>
      <sheetData sheetId="2"/>
      <sheetData sheetId="3"/>
      <sheetData sheetId="4"/>
      <sheetData sheetId="5"/>
      <sheetData sheetId="6"/>
      <sheetData sheetId="7"/>
      <sheetData sheetId="8"/>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DashboardWorkTable" displayName="DashboardWorkTable" ref="A10:L160" headerRowDxfId="93" dataDxfId="92" totalsRowDxfId="91">
  <tableColumns count="12">
    <tableColumn id="1" xr3:uid="{00000000-0010-0000-0100-000001000000}" name="Send Date" dataDxfId="90">
      <calculatedColumnFormula array="1">IFERROR(INDEX(_xlfn.ANCHORARRAY($AA$11),ROW()-10,1),"")</calculatedColumnFormula>
    </tableColumn>
    <tableColumn id="2" xr3:uid="{00000000-0010-0000-0100-000002000000}" name="Time" dataDxfId="89">
      <calculatedColumnFormula array="1">IFERROR(INDEX(_xlfn.ANCHORARRAY($AA$11),ROW()-10,2),"")</calculatedColumnFormula>
    </tableColumn>
    <tableColumn id="3" xr3:uid="{00000000-0010-0000-0100-000003000000}" name="Channel" dataDxfId="88">
      <calculatedColumnFormula array="1">IFERROR(INDEX(_xlfn.ANCHORARRAY($AA$11),ROW()-10,3),"")</calculatedColumnFormula>
    </tableColumn>
    <tableColumn id="4" xr3:uid="{00000000-0010-0000-0100-000004000000}" name="Campaign" dataDxfId="87">
      <calculatedColumnFormula array="1">IFERROR(INDEX(_xlfn.ANCHORARRAY($AA$11),ROW()-10,4),"")</calculatedColumnFormula>
    </tableColumn>
    <tableColumn id="5" xr3:uid="{00000000-0010-0000-0100-000005000000}" name="Type" dataDxfId="86">
      <calculatedColumnFormula array="1">IFERROR(INDEX(_xlfn.ANCHORARRAY($AA$11),ROW()-10,5),"")</calculatedColumnFormula>
    </tableColumn>
    <tableColumn id="6" xr3:uid="{00000000-0010-0000-0100-000006000000}" name="Stage" dataDxfId="85">
      <calculatedColumnFormula array="1">IFERROR(INDEX(_xlfn.ANCHORARRAY($AA$11),ROW()-10,6),"")</calculatedColumnFormula>
    </tableColumn>
    <tableColumn id="7" xr3:uid="{00000000-0010-0000-0100-000007000000}" name="Owner" dataDxfId="84">
      <calculatedColumnFormula array="1">IFERROR(INDEX(_xlfn.ANCHORARRAY($AA$11),ROW()-10,7),"")</calculatedColumnFormula>
    </tableColumn>
    <tableColumn id="8" xr3:uid="{00000000-0010-0000-0100-000008000000}" name="Approval" dataDxfId="83">
      <calculatedColumnFormula array="1">IFERROR(INDEX(_xlfn.ANCHORARRAY($AA$11),ROW()-10,8),"")</calculatedColumnFormula>
    </tableColumn>
    <tableColumn id="9" xr3:uid="{00000000-0010-0000-0100-000009000000}" name="Segments" dataDxfId="82">
      <calculatedColumnFormula array="1">IFERROR(INDEX(_xlfn.ANCHORARRAY($AA$11),ROW()-10,9),"")</calculatedColumnFormula>
    </tableColumn>
    <tableColumn id="10" xr3:uid="{00000000-0010-0000-0100-00000A000000}" name="Jira" dataDxfId="81">
      <calculatedColumnFormula>_xlfn.LET(_xlpm.ch,IFERROR(INDEX(_xlfn.ANCHORARRAY($AA$11),ROW()-10,3),""),_xlpm.link,IFERROR(INDEX(_xlfn.ANCHORARRAY($AA$11),ROW()-10,10),""),IF(OR(_xlpm.link="",_xlpm.ch="SMS"),"",HYPERLINK(_xlpm.link,"JIRA")))</calculatedColumnFormula>
    </tableColumn>
    <tableColumn id="11" xr3:uid="{00000000-0010-0000-0100-00000B000000}" name="ClickUp" dataDxfId="80">
      <calculatedColumnFormula>_xlfn.LET(_xlpm.ch,IFERROR(INDEX(_xlfn.ANCHORARRAY($AA$11),ROW()-10,3),""),_xlpm.link,IFERROR(INDEX(_xlfn.ANCHORARRAY($AA$11),ROW()-10,11),""),IF(OR(_xlpm.link="",_xlpm.ch="SMS"),"",HYPERLINK(_xlpm.link,"ClickUp")))</calculatedColumnFormula>
    </tableColumn>
    <tableColumn id="12" xr3:uid="{00000000-0010-0000-0100-00000C000000}" name="Bluecore/Attentive" dataDxfId="79">
      <calculatedColumnFormula array="1">_xlfn.LET(_xlpm.link,IFERROR(INDEX(_xlfn.ANCHORARRAY($AA$11),ROW()-10,12),""),IF(_xlpm.link="","",HYPERLINK(_xlpm.link,"Bluecore/Attentive")))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EmailCampaignsTable" displayName="EmailCampaignsTable" ref="A1:W207" headerRowDxfId="68" dataDxfId="67" totalsRowDxfId="66">
  <autoFilter ref="A1:W207" xr:uid="{00000000-000C-0000-FFFF-FFFF00000000}"/>
  <tableColumns count="23">
    <tableColumn id="2" xr3:uid="{00000000-0010-0000-0000-000002000000}" name="Send Date" dataDxfId="65"/>
    <tableColumn id="3" xr3:uid="{00000000-0010-0000-0000-000003000000}" name="Send Time" dataDxfId="64"/>
    <tableColumn id="4" xr3:uid="{00000000-0010-0000-0000-000004000000}" name="Campaign Name" dataDxfId="63"/>
    <tableColumn id="5" xr3:uid="{00000000-0010-0000-0000-000005000000}" name="Campaign Type" dataDxfId="62"/>
    <tableColumn id="6" xr3:uid="{00000000-0010-0000-0000-000006000000}" name="Current Stage" dataDxfId="61">
      <calculatedColumnFormula>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calculatedColumnFormula>
    </tableColumn>
    <tableColumn id="7" xr3:uid="{00000000-0010-0000-0000-000007000000}" name="Owner" dataDxfId="60"/>
    <tableColumn id="1" xr3:uid="{B2077B23-1D1A-459D-9583-F63147D6D936}" name="Campaign Name and UTM Parameter (Source Code)" dataDxfId="59"/>
    <tableColumn id="8" xr3:uid="{63A16BD6-6B10-4AD5-B57D-B92EA2935F36}" name="Creative Brief, SL &amp; PH" dataDxfId="58"/>
    <tableColumn id="9" xr3:uid="{23EAD37F-5B0E-461E-85FF-0AAFD24BAA68}" name="SKUs" dataDxfId="57"/>
    <tableColumn id="10" xr3:uid="{9640EB9F-78BB-44D9-B70D-05FDE06036E4}" name="In-Design" dataDxfId="56"/>
    <tableColumn id="11" xr3:uid="{ADDF4395-0E99-41A9-BED7-3DBCF6006F91}" name="Build, QA" dataDxfId="55"/>
    <tableColumn id="12" xr3:uid="{6DF2B722-97C3-4902-87DE-A2A9727C8024}" name="Route" dataDxfId="54"/>
    <tableColumn id="14" xr3:uid="{2C5B824E-A4DE-4EA9-87E9-7663BB92F9D4}" name="Approval" dataDxfId="53"/>
    <tableColumn id="15" xr3:uid="{4CE14FFB-3FFB-4445-B89C-5D3C3D24D6C0}" name="Segments" dataDxfId="52"/>
    <tableColumn id="22" xr3:uid="{2EF3AB09-8E18-4B83-BFE1-8509C2B541BB}" name="Scheduled" dataDxfId="51"/>
    <tableColumn id="17" xr3:uid="{00000000-0010-0000-0000-000011000000}" name="Jira Link" dataDxfId="50"/>
    <tableColumn id="18" xr3:uid="{00000000-0010-0000-0000-000012000000}" name="ClickUp Link" dataDxfId="49"/>
    <tableColumn id="19" xr3:uid="{00000000-0010-0000-0000-000013000000}" name="Bluecore/Attentive Link" dataDxfId="48"/>
    <tableColumn id="20" xr3:uid="{00000000-0010-0000-0000-000014000000}" name="Est. Audience" dataDxfId="47"/>
    <tableColumn id="21" xr3:uid="{00000000-0010-0000-0000-000015000000}" name="Delivered" dataDxfId="46"/>
    <tableColumn id="23" xr3:uid="{00000000-0010-0000-0000-000017000000}" name="Last Updated" dataDxfId="45"/>
    <tableColumn id="13" xr3:uid="{6717C158-5D55-49BD-B0A1-8EF5E6BE7E59}" name="Last Updated By" dataDxfId="44"/>
    <tableColumn id="16" xr3:uid="{45C4D116-AEA5-4484-9652-2029E5D3A263}" name="Notes" dataDxfId="43" totalsRowDxfId="4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A5B085-3B5F-4682-B501-752F9044F617}" name="SMSCampaignsTable" displayName="SMSCampaignsTable" ref="A1:R201" totalsRowShown="0" headerRowDxfId="33" dataDxfId="32">
  <autoFilter ref="A1:R201" xr:uid="{5BA5B085-3B5F-4682-B501-752F9044F617}"/>
  <tableColumns count="18">
    <tableColumn id="1" xr3:uid="{A00F9C46-9585-47C9-83D4-D97802A976D5}" name="Send Date" dataDxfId="31"/>
    <tableColumn id="2" xr3:uid="{FA54A5FD-1AB7-4749-AF9C-A820CCD54864}" name="Send Time" dataDxfId="30"/>
    <tableColumn id="3" xr3:uid="{D8232C60-1B45-4E39-B4FB-F7D15854588A}" name="Campaign Name" dataDxfId="29"/>
    <tableColumn id="4" xr3:uid="{488CC129-7AB9-4CDE-A0F4-708CCF476FDC}" name="Campaign Type" dataDxfId="28"/>
    <tableColumn id="5" xr3:uid="{60402621-821D-4B42-BBBF-04ECD600240D}" name="Current Stage" dataDxfId="27">
      <calculatedColumnFormula>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calculatedColumnFormula>
    </tableColumn>
    <tableColumn id="6" xr3:uid="{BCB79FBA-6E48-4196-9FCA-87C1D34838D7}" name="Owner" dataDxfId="26"/>
    <tableColumn id="7" xr3:uid="{C602E6A7-154A-4913-82F7-B1297F8FB4AA}" name="Send SMS Options" dataDxfId="25"/>
    <tableColumn id="8" xr3:uid="{050AA88E-4FCE-418E-B3E4-7BADF355F594}" name="Send Test" dataDxfId="24"/>
    <tableColumn id="9" xr3:uid="{CD7DB146-3A9F-407E-8AE2-FB08A35D3255}" name="Approval" dataDxfId="23"/>
    <tableColumn id="10" xr3:uid="{85A3C652-A90B-4131-9C59-60C896B66276}" name="Segments" dataDxfId="22"/>
    <tableColumn id="12" xr3:uid="{AC00EA76-6FB3-4990-AB16-9C58CED6F5CB}" name="Scheduled" dataDxfId="21"/>
    <tableColumn id="11" xr3:uid="{E3A201AA-BB4D-46BF-87B3-3EC3AB5D84A8}" name="Proof of Schedule" dataDxfId="20"/>
    <tableColumn id="13" xr3:uid="{F3B86E58-9B1C-4BE7-ACD4-4A17ABF9CF1F}" name="Bluecore/Attentive Link" dataDxfId="19"/>
    <tableColumn id="14" xr3:uid="{AB05A972-8E88-4F0F-A2C0-E592CA11CF69}" name="Est. Audience" dataDxfId="18"/>
    <tableColumn id="15" xr3:uid="{031FC6D8-9EA2-4822-8ABB-1D691F532C78}" name="Delivered" dataDxfId="17"/>
    <tableColumn id="16" xr3:uid="{677491C6-5902-44D9-B11E-9456715084CA}" name="Last Updated" dataDxfId="16"/>
    <tableColumn id="17" xr3:uid="{D2166D60-5145-4BCB-A4C1-8E83A65F8013}" name="Last Updated By" dataDxfId="15"/>
    <tableColumn id="18" xr3:uid="{98F5A958-53CF-45DE-B03D-F670270697A7}" name="Notes" dataDxfId="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D4A2E31-B0C9-4EC4-9E8B-C2BCE879F8F4}" name="NotesTable" displayName="NotesTable" ref="A3:E23" totalsRowShown="0" headerRowDxfId="13" dataDxfId="12">
  <autoFilter ref="A3:E23" xr:uid="{AD4A2E31-B0C9-4EC4-9E8B-C2BCE879F8F4}"/>
  <tableColumns count="5">
    <tableColumn id="1" xr3:uid="{D364D815-E2DC-4A91-9059-EEA2C09E2A7D}" name="Feature" dataDxfId="11"/>
    <tableColumn id="2" xr3:uid="{8D13228D-79F9-4FAD-959A-7C300CB3AF82}" name="What you do" dataDxfId="10"/>
    <tableColumn id="3" xr3:uid="{5FF555F9-5E62-4C43-BD38-29BED062BC4A}" name="How it works (in plain words)" dataDxfId="9"/>
    <tableColumn id="4" xr3:uid="{A98B25B0-5711-458F-BA27-73F7668785D2}" name="Please do / Please avoid" dataDxfId="8"/>
    <tableColumn id="5" xr3:uid="{2E6E2F82-E207-4CFE-B7E4-1EB74B5CFADD}" name="Where it works" dataDxfId="7"/>
  </tableColumns>
  <tableStyleInfo name="TableStyleMedium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AutomationLogTable" displayName="AutomationLogTable" ref="A1:D270" headerRowDxfId="6" dataDxfId="5" totalsRowDxfId="4">
  <tableColumns count="4">
    <tableColumn id="1" xr3:uid="{00000000-0010-0000-0300-000001000000}" name="Timestamp" dataDxfId="3"/>
    <tableColumn id="2" xr3:uid="{00000000-0010-0000-0300-000002000000}" name="User" dataDxfId="2"/>
    <tableColumn id="3" xr3:uid="{00000000-0010-0000-0300-000003000000}" name="Action" dataDxfId="1"/>
    <tableColumn id="4" xr3:uid="{00000000-0010-0000-0300-000004000000}" name="Details" dataDxfId="0"/>
  </tableColumns>
  <tableStyleInfo name="TableStyleMedium2" showFirstColumn="0" showLastColumn="0" showRowStripes="1" showColumnStripes="0"/>
</table>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a:ea typeface="Calibri"/>
        <a:cs typeface="Calibri"/>
      </a:majorFont>
      <a:minorFont>
        <a:latin typeface="Calibri"/>
        <a:ea typeface="Calibri"/>
        <a:cs typeface="Calibri"/>
      </a:minorFont>
    </a:fontScheme>
    <a:fmtScheme name="ChatGPT">
      <a:fillStyleLst>
        <a:solidFill>
          <a:schemeClr val="phClr"/>
        </a:solidFill>
        <a:solidFill>
          <a:schemeClr val="dk1"/>
        </a:solidFill>
        <a:solidFill>
          <a:schemeClr val="accent1"/>
        </a:soli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bluecore.example.com/campaign/005" TargetMode="External"/><Relationship Id="rId13" Type="http://schemas.openxmlformats.org/officeDocument/2006/relationships/table" Target="../tables/table1.xml"/><Relationship Id="rId3" Type="http://schemas.openxmlformats.org/officeDocument/2006/relationships/hyperlink" Target="https://bluecore.example.com/campaign/002" TargetMode="External"/><Relationship Id="rId7" Type="http://schemas.openxmlformats.org/officeDocument/2006/relationships/hyperlink" Target="https://clickup.example.com/task/005" TargetMode="External"/><Relationship Id="rId12" Type="http://schemas.openxmlformats.org/officeDocument/2006/relationships/hyperlink" Target="https://bluecore.example.com/campaign/005" TargetMode="External"/><Relationship Id="rId2" Type="http://schemas.openxmlformats.org/officeDocument/2006/relationships/hyperlink" Target="https://clickup.example.com/task/002" TargetMode="External"/><Relationship Id="rId1" Type="http://schemas.openxmlformats.org/officeDocument/2006/relationships/hyperlink" Target="https://jira.example.com/EMAIL-002" TargetMode="External"/><Relationship Id="rId6" Type="http://schemas.openxmlformats.org/officeDocument/2006/relationships/hyperlink" Target="https://jira.example.com/EMAIL-004" TargetMode="External"/><Relationship Id="rId11" Type="http://schemas.openxmlformats.org/officeDocument/2006/relationships/hyperlink" Target="https://bluecore.example.com/campaign/005" TargetMode="External"/><Relationship Id="rId5" Type="http://schemas.openxmlformats.org/officeDocument/2006/relationships/hyperlink" Target="https://jira.example.com/EMAIL-004" TargetMode="External"/><Relationship Id="rId10" Type="http://schemas.openxmlformats.org/officeDocument/2006/relationships/hyperlink" Target="https://bluecore.example.com/campaign/005" TargetMode="External"/><Relationship Id="rId4" Type="http://schemas.openxmlformats.org/officeDocument/2006/relationships/hyperlink" Target="https://jira.example.com/EMAIL-003" TargetMode="External"/><Relationship Id="rId9" Type="http://schemas.openxmlformats.org/officeDocument/2006/relationships/hyperlink" Target="https://jira.adorama.com/browse/MKT-103183" TargetMode="External"/></Relationships>
</file>

<file path=xl/worksheets/_rels/sheet2.xml.rels><?xml version="1.0" encoding="UTF-8" standalone="yes"?>
<Relationships xmlns="http://schemas.openxmlformats.org/package/2006/relationships"><Relationship Id="rId26" Type="http://schemas.openxmlformats.org/officeDocument/2006/relationships/hyperlink" Target="https://jira.adorama.com/browse/MKT-102434" TargetMode="External"/><Relationship Id="rId21" Type="http://schemas.openxmlformats.org/officeDocument/2006/relationships/hyperlink" Target="https://app.clickup.com/t/9010122869/86ahrpf48" TargetMode="External"/><Relationship Id="rId42" Type="http://schemas.openxmlformats.org/officeDocument/2006/relationships/hyperlink" Target="https://jira.adorama.com/browse/MKT-103103" TargetMode="External"/><Relationship Id="rId47" Type="http://schemas.openxmlformats.org/officeDocument/2006/relationships/hyperlink" Target="https://jira.adorama.com/browse/MKT-103106" TargetMode="External"/><Relationship Id="rId63" Type="http://schemas.openxmlformats.org/officeDocument/2006/relationships/hyperlink" Target="https://app.clickup.com/t/9010122869/86ahv69g7" TargetMode="External"/><Relationship Id="rId68" Type="http://schemas.openxmlformats.org/officeDocument/2006/relationships/hyperlink" Target="https://jira.adorama.com/browse/MKT-103362" TargetMode="External"/><Relationship Id="rId2" Type="http://schemas.openxmlformats.org/officeDocument/2006/relationships/hyperlink" Target="https://app.clickup.com/t/86ahrpf3e" TargetMode="External"/><Relationship Id="rId16" Type="http://schemas.openxmlformats.org/officeDocument/2006/relationships/hyperlink" Target="https://app.bluecore.com/admin/campaigns/adorama/5230301059866624/edit" TargetMode="External"/><Relationship Id="rId29" Type="http://schemas.openxmlformats.org/officeDocument/2006/relationships/hyperlink" Target="https://app.clickup.com/t/9010122869/86ahrpf4k" TargetMode="External"/><Relationship Id="rId11" Type="http://schemas.openxmlformats.org/officeDocument/2006/relationships/hyperlink" Target="https://jira.adorama.com/browse/MKT-102791" TargetMode="External"/><Relationship Id="rId24" Type="http://schemas.openxmlformats.org/officeDocument/2006/relationships/hyperlink" Target="https://app.bluecore.com/admin/campaigns/adorama/6658156696297472" TargetMode="External"/><Relationship Id="rId32" Type="http://schemas.openxmlformats.org/officeDocument/2006/relationships/hyperlink" Target="https://jira.adorama.com/browse/MKT-103104" TargetMode="External"/><Relationship Id="rId37" Type="http://schemas.openxmlformats.org/officeDocument/2006/relationships/hyperlink" Target="https://app.bluecore.com/admin/campaigns/adorama/4926905073393664" TargetMode="External"/><Relationship Id="rId40" Type="http://schemas.openxmlformats.org/officeDocument/2006/relationships/hyperlink" Target="https://app.bluecore.com/admin/campaigns/adorama/6635126578339840" TargetMode="External"/><Relationship Id="rId45" Type="http://schemas.openxmlformats.org/officeDocument/2006/relationships/hyperlink" Target="https://app.bluecore.com/admin/campaigns/adorama/5289607948001280" TargetMode="External"/><Relationship Id="rId53" Type="http://schemas.openxmlformats.org/officeDocument/2006/relationships/hyperlink" Target="https://jira.adorama.com/browse/MKT-102097" TargetMode="External"/><Relationship Id="rId58" Type="http://schemas.openxmlformats.org/officeDocument/2006/relationships/hyperlink" Target="https://app.clickup.com/t/9010122869/86aj0k0dv" TargetMode="External"/><Relationship Id="rId66" Type="http://schemas.openxmlformats.org/officeDocument/2006/relationships/hyperlink" Target="https://app.clickup.com/t/9010122869/86aj0erre" TargetMode="External"/><Relationship Id="rId74" Type="http://schemas.openxmlformats.org/officeDocument/2006/relationships/hyperlink" Target="https://app.clickup.com/t/9010122869/86ahyhqum" TargetMode="External"/><Relationship Id="rId5" Type="http://schemas.openxmlformats.org/officeDocument/2006/relationships/hyperlink" Target="https://jira.adorama.com/browse/MKT-102651" TargetMode="External"/><Relationship Id="rId61" Type="http://schemas.openxmlformats.org/officeDocument/2006/relationships/hyperlink" Target="https://app.bluecore.com/admin/campaigns/adorama/6684665553215488?viewTab=summary" TargetMode="External"/><Relationship Id="rId19" Type="http://schemas.openxmlformats.org/officeDocument/2006/relationships/hyperlink" Target="https://app.bluecore.com/admin/campaigns/adorama/4956572627099648" TargetMode="External"/><Relationship Id="rId14" Type="http://schemas.openxmlformats.org/officeDocument/2006/relationships/hyperlink" Target="https://app.clickup.com/t/86ahrpf3t" TargetMode="External"/><Relationship Id="rId22" Type="http://schemas.openxmlformats.org/officeDocument/2006/relationships/hyperlink" Target="https://jira.adorama.com/browse/MKT-103041" TargetMode="External"/><Relationship Id="rId27" Type="http://schemas.openxmlformats.org/officeDocument/2006/relationships/hyperlink" Target="https://app.clickup.com/t/9010122869/86ahrpf4z" TargetMode="External"/><Relationship Id="rId30" Type="http://schemas.openxmlformats.org/officeDocument/2006/relationships/hyperlink" Target="https://jira.adorama.com/browse/MKT-103042" TargetMode="External"/><Relationship Id="rId35" Type="http://schemas.openxmlformats.org/officeDocument/2006/relationships/hyperlink" Target="https://app.clickup.com/t/9010122869/86ahv69f9" TargetMode="External"/><Relationship Id="rId43" Type="http://schemas.openxmlformats.org/officeDocument/2006/relationships/hyperlink" Target="https://jira.adorama.com/browse/MKT-103371" TargetMode="External"/><Relationship Id="rId48" Type="http://schemas.openxmlformats.org/officeDocument/2006/relationships/hyperlink" Target="https://app.bluecore.com/admin/campaigns/adorama/5285349538258944" TargetMode="External"/><Relationship Id="rId56" Type="http://schemas.openxmlformats.org/officeDocument/2006/relationships/hyperlink" Target="https://jira.adorama.com/browse/MKT-103155" TargetMode="External"/><Relationship Id="rId64" Type="http://schemas.openxmlformats.org/officeDocument/2006/relationships/hyperlink" Target="https://jira.adorama.com/browse/MKT-103306" TargetMode="External"/><Relationship Id="rId69" Type="http://schemas.openxmlformats.org/officeDocument/2006/relationships/hyperlink" Target="https://app.clickup.com/t/9010122869/86ahv69gh" TargetMode="External"/><Relationship Id="rId8" Type="http://schemas.openxmlformats.org/officeDocument/2006/relationships/hyperlink" Target="https://app.clickup.com/t/86ahjqzr0" TargetMode="External"/><Relationship Id="rId51" Type="http://schemas.openxmlformats.org/officeDocument/2006/relationships/hyperlink" Target="https://jira.adorama.com/browse/MKT-103185" TargetMode="External"/><Relationship Id="rId72" Type="http://schemas.openxmlformats.org/officeDocument/2006/relationships/hyperlink" Target="https://jira.adorama.com/browse/MKT-103394" TargetMode="External"/><Relationship Id="rId3" Type="http://schemas.openxmlformats.org/officeDocument/2006/relationships/hyperlink" Target="https://jira.adorama.com/browse/MKT-102959" TargetMode="External"/><Relationship Id="rId12" Type="http://schemas.openxmlformats.org/officeDocument/2006/relationships/hyperlink" Target="https://app.clickup.com/t/86ahjqzra" TargetMode="External"/><Relationship Id="rId17" Type="http://schemas.openxmlformats.org/officeDocument/2006/relationships/hyperlink" Target="https://app.clickup.com/t/9010122869/86ahrpf44" TargetMode="External"/><Relationship Id="rId25" Type="http://schemas.openxmlformats.org/officeDocument/2006/relationships/hyperlink" Target="https://app.bluecore.com/admin/campaigns/adorama/4539315346333696" TargetMode="External"/><Relationship Id="rId33" Type="http://schemas.openxmlformats.org/officeDocument/2006/relationships/hyperlink" Target="https://app.clickup.com/t/9010122869/86ahv69f4" TargetMode="External"/><Relationship Id="rId38" Type="http://schemas.openxmlformats.org/officeDocument/2006/relationships/hyperlink" Target="https://app.clickup.com/t/9010122869/86ahx8ewb" TargetMode="External"/><Relationship Id="rId46" Type="http://schemas.openxmlformats.org/officeDocument/2006/relationships/hyperlink" Target="https://app.clickup.com/t/9010122869/86ahv69fj" TargetMode="External"/><Relationship Id="rId59" Type="http://schemas.openxmlformats.org/officeDocument/2006/relationships/hyperlink" Target="https://app.clickup.com/t/9010122869/86ahv69g0" TargetMode="External"/><Relationship Id="rId67" Type="http://schemas.openxmlformats.org/officeDocument/2006/relationships/hyperlink" Target="https://jira.adorama.com/browse/MKT-103361" TargetMode="External"/><Relationship Id="rId20" Type="http://schemas.openxmlformats.org/officeDocument/2006/relationships/hyperlink" Target="https://jira.adorama.com/browse/MKT-103040" TargetMode="External"/><Relationship Id="rId41" Type="http://schemas.openxmlformats.org/officeDocument/2006/relationships/hyperlink" Target="https://app.clickup.com/t/9010122869/86ahv69fe" TargetMode="External"/><Relationship Id="rId54" Type="http://schemas.openxmlformats.org/officeDocument/2006/relationships/hyperlink" Target="https://app.bluecore.com/admin/campaigns/adorama/5227436333457408" TargetMode="External"/><Relationship Id="rId62" Type="http://schemas.openxmlformats.org/officeDocument/2006/relationships/hyperlink" Target="https://app.bluecore.com/admin/campaigns/adorama/4713774384537600" TargetMode="External"/><Relationship Id="rId70" Type="http://schemas.openxmlformats.org/officeDocument/2006/relationships/hyperlink" Target="https://app.bluecore.com/admin/campaigns/adorama/4706919281188864" TargetMode="External"/><Relationship Id="rId75" Type="http://schemas.openxmlformats.org/officeDocument/2006/relationships/hyperlink" Target="https://app.clickup.com/t/9010122869/86ahyhqup" TargetMode="External"/><Relationship Id="rId1" Type="http://schemas.openxmlformats.org/officeDocument/2006/relationships/hyperlink" Target="https://app.bluecore.com/admin/campaigns/adorama/4944513273290752/edit" TargetMode="External"/><Relationship Id="rId6" Type="http://schemas.openxmlformats.org/officeDocument/2006/relationships/hyperlink" Target="https://app.clickup.com/t/86ahjqzqj" TargetMode="External"/><Relationship Id="rId15" Type="http://schemas.openxmlformats.org/officeDocument/2006/relationships/hyperlink" Target="https://app.bluecore.com/admin/campaigns/adorama/6601684654350336v" TargetMode="External"/><Relationship Id="rId23" Type="http://schemas.openxmlformats.org/officeDocument/2006/relationships/hyperlink" Target="https://app.clickup.com/t/9010122869/86ahrpf4c" TargetMode="External"/><Relationship Id="rId28" Type="http://schemas.openxmlformats.org/officeDocument/2006/relationships/hyperlink" Target="https://app.bluecore.com/admin/campaigns/adorama/6125956057915392/edit" TargetMode="External"/><Relationship Id="rId36" Type="http://schemas.openxmlformats.org/officeDocument/2006/relationships/hyperlink" Target="https://app.clickup.com/t/9010122869/86ahv69f9" TargetMode="External"/><Relationship Id="rId49" Type="http://schemas.openxmlformats.org/officeDocument/2006/relationships/hyperlink" Target="https://app.bluecore.com/admin/campaigns/adorama/5642474475085824?viewTab=summary" TargetMode="External"/><Relationship Id="rId57" Type="http://schemas.openxmlformats.org/officeDocument/2006/relationships/hyperlink" Target="https://app.bluecore.com/admin/campaigns/adorama/6438219826454528" TargetMode="External"/><Relationship Id="rId10" Type="http://schemas.openxmlformats.org/officeDocument/2006/relationships/hyperlink" Target="https://app.bluecore.com/admin/campaigns/adorama/5627261038223360" TargetMode="External"/><Relationship Id="rId31" Type="http://schemas.openxmlformats.org/officeDocument/2006/relationships/hyperlink" Target="https://app.bluecore.com/admin/campaigns/adorama/5531449167831040" TargetMode="External"/><Relationship Id="rId44" Type="http://schemas.openxmlformats.org/officeDocument/2006/relationships/hyperlink" Target="https://app.bluecore.com/admin/campaigns/adorama/6087564217671680" TargetMode="External"/><Relationship Id="rId52" Type="http://schemas.openxmlformats.org/officeDocument/2006/relationships/hyperlink" Target="https://app.clickup.com/t/9010122869/86ahwyeyb" TargetMode="External"/><Relationship Id="rId60" Type="http://schemas.openxmlformats.org/officeDocument/2006/relationships/hyperlink" Target="https://jira.adorama.com/browse/MKT-103292" TargetMode="External"/><Relationship Id="rId65" Type="http://schemas.openxmlformats.org/officeDocument/2006/relationships/hyperlink" Target="https://app.bluecore.com/admin/campaigns/adorama/5363057140031488?viewTab=summary" TargetMode="External"/><Relationship Id="rId73" Type="http://schemas.openxmlformats.org/officeDocument/2006/relationships/hyperlink" Target="https://app.clickup.com/t/9010122869/86ahyhquj" TargetMode="External"/><Relationship Id="rId4" Type="http://schemas.openxmlformats.org/officeDocument/2006/relationships/hyperlink" Target="https://app.bluecore.com/admin/campaigns/adorama/6259984043991040" TargetMode="External"/><Relationship Id="rId9" Type="http://schemas.openxmlformats.org/officeDocument/2006/relationships/hyperlink" Target="https://jira.adorama.com/browse/MKT-102790" TargetMode="External"/><Relationship Id="rId13" Type="http://schemas.openxmlformats.org/officeDocument/2006/relationships/hyperlink" Target="https://jira.adorama.com/browse/MKT-103036" TargetMode="External"/><Relationship Id="rId18" Type="http://schemas.openxmlformats.org/officeDocument/2006/relationships/hyperlink" Target="https://jira.adorama.com/browse/MKT-102007" TargetMode="External"/><Relationship Id="rId39" Type="http://schemas.openxmlformats.org/officeDocument/2006/relationships/hyperlink" Target="https://jira.adorama.com/browse/MKT-103301" TargetMode="External"/><Relationship Id="rId34" Type="http://schemas.openxmlformats.org/officeDocument/2006/relationships/hyperlink" Target="https://jira.adorama.com/browse/MKT-103105" TargetMode="External"/><Relationship Id="rId50" Type="http://schemas.openxmlformats.org/officeDocument/2006/relationships/hyperlink" Target="https://app.clickup.com/t/9010122869/86ahwyey7" TargetMode="External"/><Relationship Id="rId55" Type="http://schemas.openxmlformats.org/officeDocument/2006/relationships/hyperlink" Target="https://app.clickup.com/t/9010122869/86ahv69fr" TargetMode="External"/><Relationship Id="rId76" Type="http://schemas.openxmlformats.org/officeDocument/2006/relationships/table" Target="../tables/table2.xml"/><Relationship Id="rId7" Type="http://schemas.openxmlformats.org/officeDocument/2006/relationships/hyperlink" Target="https://app.bluecore.com/admin/campaigns/adorama/4905183754444800" TargetMode="External"/><Relationship Id="rId71" Type="http://schemas.openxmlformats.org/officeDocument/2006/relationships/hyperlink" Target="https://app.clickup.com/t/9010122869/86ahyhque"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ui.attentivemobile.com/campaigns/messages/MTQ6Q29tcG9zZU1lc3NhZ2UxMTIxMTM3Nw/overview" TargetMode="External"/><Relationship Id="rId13" Type="http://schemas.openxmlformats.org/officeDocument/2006/relationships/hyperlink" Target="https://teams.microsoft.com/l/message/19:e8e45d54914640ea878fe0171aa48fdc@thread.v2/1781212008047?context=%7B%22contextType%22%3A%22chat%22%7D" TargetMode="External"/><Relationship Id="rId3" Type="http://schemas.openxmlformats.org/officeDocument/2006/relationships/hyperlink" Target="https://ui.attentivemobile.com/campaigns/messages/MTQ6Q29tcG9zZU1lc3NhZ2UxMTE3MzA5Mw/overview" TargetMode="External"/><Relationship Id="rId7" Type="http://schemas.openxmlformats.org/officeDocument/2006/relationships/hyperlink" Target="https://teams.microsoft.com/l/message/19:e8e45d54914640ea878fe0171aa48fdc@thread.v2/1780504108170?context=%7B%22contextType%22%3A%22chat%22%7D" TargetMode="External"/><Relationship Id="rId12" Type="http://schemas.openxmlformats.org/officeDocument/2006/relationships/hyperlink" Target="https://ui.attentivemobile.com/campaigns/compose/design?campaignId=MTU6Q29tcG9zZUNhbXBhaWduMGY3ZGY2OWYtNmE1ZC00Zjc3LThjN2UtODk5MzNjODA5ZDE1&amp;messageGroupId=MjA6Q2FtcGFpZ25NZXNzYWdlR3JvdXAKJDk0NDQ2MmEzLThiODItNDE5Ni1hYjE3LWMzMDFmYzNlMGFlOA&amp;channel=COMPOSE_MESSAGE_CHANNEL_TEXT" TargetMode="External"/><Relationship Id="rId2" Type="http://schemas.openxmlformats.org/officeDocument/2006/relationships/hyperlink" Target="https://teams.microsoft.com/l/message/19:e8e45d54914640ea878fe0171aa48fdc@thread.v2/1780080460120?context=%7B%22contextType%22%3A%22chat%22%7D" TargetMode="External"/><Relationship Id="rId1" Type="http://schemas.openxmlformats.org/officeDocument/2006/relationships/hyperlink" Target="https://ui.attentivemobile.com/campaigns/messages/MTQ6Q29tcG9zZU1lc3NhZ2UxMTE1MDg4NQ/overview" TargetMode="External"/><Relationship Id="rId6" Type="http://schemas.openxmlformats.org/officeDocument/2006/relationships/hyperlink" Target="https://ui.attentivemobile.com/campaigns/messages/MTQ6Q29tcG9zZU1lc3NhZ2UxMTE4NTU0NQ/overview" TargetMode="External"/><Relationship Id="rId11" Type="http://schemas.openxmlformats.org/officeDocument/2006/relationships/hyperlink" Target="https://ui.attentivemobile.com/campaigns/messages/MTQ6Q29tcG9zZU1lc3NhZ2UxMTI4ODMyNQ/overview" TargetMode="External"/><Relationship Id="rId5" Type="http://schemas.openxmlformats.org/officeDocument/2006/relationships/hyperlink" Target="https://ui.attentivemobile.com/campaigns/messages/MTQ6Q29tcG9zZU1lc3NhZ2UxMTIxNDU2OA/overview" TargetMode="External"/><Relationship Id="rId10" Type="http://schemas.openxmlformats.org/officeDocument/2006/relationships/hyperlink" Target="https://ui.attentivemobile.com/campaigns/messages/MTQ6Q29tcG9zZU1lc3NhZ2UxMTE5NzU2MA/overview" TargetMode="External"/><Relationship Id="rId4" Type="http://schemas.openxmlformats.org/officeDocument/2006/relationships/hyperlink" Target="https://teams.microsoft.com/l/message/19:e8e45d54914640ea878fe0171aa48fdc@thread.v2/1780585124630?context=%7B%22contextType%22%3A%22chat%22%7D" TargetMode="External"/><Relationship Id="rId9" Type="http://schemas.openxmlformats.org/officeDocument/2006/relationships/hyperlink" Target="https://teams.microsoft.com/l/message/19:e8e45d54914640ea878fe0171aa48fdc@thread.v2/1780676675054?context=%7B%22contextType%22%3A%22chat%22%7D" TargetMode="External"/><Relationship Id="rId1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hyperlink" Target="https://adorama.sharepoint.com/:x:/r/sites/EmailMarketingTeam/Shared%20Documents/SMS%20Planning/2026/05-May/ADORAMA/2026%20Adorama%20May%20SMS%20Calendar.xlsx?d=w11aa756d60d240c3aa15cad28758c31c&amp;csf=1&amp;web=1&amp;e=cPQ0a5&amp;nav=MTVfezY5QzY3MjBELTM2RDQtNDM0MS1BMUM4LTk2QTkwMEE2NjNCQX0" TargetMode="External"/><Relationship Id="rId2" Type="http://schemas.openxmlformats.org/officeDocument/2006/relationships/hyperlink" Target="https://adorama.sharepoint.com/:x:/r/sites/EmailMarketingTeam/Shared%20Documents/EMAIL%20PLANNING/2026/05-May/ADORAMA/2026%20Adorama%20May%20Email%20Calendar.xlsx?d=w1a7437e6e22840b78ac7bc1ee5ae93dd&amp;csf=1&amp;web=1&amp;e=h7plld&amp;nav=MTVfezY4OTYzN0FCLUUxNUMtNEREOC04QUJDLTYzMTcyRDM2M0M4Q30" TargetMode="External"/><Relationship Id="rId1" Type="http://schemas.openxmlformats.org/officeDocument/2006/relationships/hyperlink" Target="https://adorama-my.sharepoint.com/:x:/r/personal/gerberr_adorama_com/Documents/Adorama%20Email%20Production%20Schedule%20and%20Status%20-112621.xlsx?d=w7a05c13c7b3b442da84406d1739235bf&amp;csf=1&amp;web=1&amp;e=c0NW4Q&amp;nav=MTVfe0IxMTI5NDQ1LTE2RjMtNEFEMC04OUUxLUY4QzZBNTI4MUM3MX0"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s://adorama.sharepoint.com/:x:/r/sites/EmailMarketingTeam/_layouts/15/Doc.aspx?sourcedoc=%7B08E233CA-8864-403D-A48E-AFD756365B93%7D&amp;file=2026%20Adorama%20June%20SMS%20Calendar.xlsx&amp;action=default&amp;mobileredirect=true" TargetMode="External"/><Relationship Id="rId1" Type="http://schemas.openxmlformats.org/officeDocument/2006/relationships/hyperlink" Target="https://adorama.sharepoint.com/:x:/r/sites/EmailMarketingTeam/_layouts/15/Doc.aspx?sourcedoc=%7BAEC9C792-23E3-4943-ACD2-E0D9EF76E1C8%7D&amp;file=2026%20Adorama%20June%20Email%20Calendar.xlsx&amp;action=default&amp;mobileredirect=true"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1F4E79"/>
  </sheetPr>
  <dimension ref="A1:AL1000"/>
  <sheetViews>
    <sheetView showGridLines="0" tabSelected="1" zoomScale="90" zoomScaleNormal="90" workbookViewId="0">
      <selection activeCell="F11" sqref="F11"/>
    </sheetView>
  </sheetViews>
  <sheetFormatPr defaultRowHeight="15"/>
  <cols>
    <col min="1" max="1" width="28.625" style="3" customWidth="1"/>
    <col min="2" max="2" width="24.625" style="3" customWidth="1"/>
    <col min="3" max="3" width="15.625" style="3" customWidth="1"/>
    <col min="4" max="4" width="32.625" style="19" customWidth="1"/>
    <col min="5" max="5" width="14.625" style="3" customWidth="1"/>
    <col min="6" max="6" width="42.625" style="4" customWidth="1"/>
    <col min="7" max="7" width="16.625" style="3" customWidth="1"/>
    <col min="8" max="9" width="12.625" style="3" customWidth="1"/>
    <col min="10" max="12" width="11.625" style="3" customWidth="1"/>
    <col min="13" max="13" width="9" style="3"/>
    <col min="14" max="14" width="11.875" style="3" bestFit="1" customWidth="1"/>
    <col min="15" max="15" width="11.625" style="3" bestFit="1" customWidth="1"/>
    <col min="16" max="16" width="10.625" style="3" bestFit="1" customWidth="1"/>
    <col min="17" max="17" width="17.25" style="3" bestFit="1" customWidth="1"/>
    <col min="18" max="18" width="9.625" style="3" customWidth="1"/>
    <col min="19" max="26" width="9" style="1"/>
    <col min="27" max="38" width="0" style="1" hidden="1" customWidth="1"/>
    <col min="39" max="16384" width="9" style="1"/>
  </cols>
  <sheetData>
    <row r="1" spans="1:38" ht="26.25" customHeight="1">
      <c r="A1" s="110" t="s">
        <v>0</v>
      </c>
      <c r="B1" s="110"/>
      <c r="C1" s="110"/>
      <c r="D1" s="110"/>
      <c r="E1" s="110"/>
      <c r="F1" s="110"/>
      <c r="G1" s="110"/>
      <c r="H1" s="110"/>
      <c r="I1" s="110"/>
      <c r="J1" s="110"/>
      <c r="K1" s="110"/>
      <c r="L1" s="110"/>
      <c r="M1" s="110"/>
      <c r="N1" s="110"/>
      <c r="O1" s="7"/>
      <c r="P1" s="7"/>
      <c r="Q1" s="7"/>
      <c r="R1" s="7"/>
      <c r="S1" s="6"/>
      <c r="T1" s="6"/>
      <c r="U1" s="6"/>
      <c r="V1" s="6"/>
      <c r="W1" s="6"/>
      <c r="X1" s="6"/>
      <c r="Y1" s="6"/>
      <c r="Z1" s="6"/>
      <c r="AA1" s="6"/>
      <c r="AB1" s="6"/>
      <c r="AC1" s="6"/>
      <c r="AD1" s="6"/>
      <c r="AE1" s="6"/>
      <c r="AF1" s="6"/>
      <c r="AG1" s="6"/>
      <c r="AH1" s="6"/>
      <c r="AI1" s="6"/>
      <c r="AJ1" s="6"/>
      <c r="AK1" s="6"/>
      <c r="AL1" s="6"/>
    </row>
    <row r="2" spans="1:38" ht="15" customHeight="1">
      <c r="A2" s="111" t="s">
        <v>1</v>
      </c>
      <c r="B2" s="111"/>
      <c r="C2" s="111"/>
      <c r="D2" s="111"/>
      <c r="E2" s="111"/>
      <c r="F2" s="111"/>
      <c r="G2" s="111"/>
      <c r="H2" s="111"/>
      <c r="I2" s="111"/>
      <c r="J2" s="111"/>
      <c r="K2" s="111"/>
      <c r="L2" s="111"/>
      <c r="M2" s="111"/>
      <c r="N2" s="111"/>
      <c r="O2"/>
      <c r="P2"/>
      <c r="Q2"/>
      <c r="R2"/>
      <c r="S2"/>
      <c r="T2" s="6"/>
      <c r="U2" s="6"/>
      <c r="V2" s="6"/>
      <c r="W2" s="6"/>
      <c r="X2" s="6"/>
      <c r="Y2" s="6"/>
      <c r="Z2" s="6"/>
      <c r="AA2" s="6"/>
      <c r="AB2" s="6"/>
      <c r="AC2" s="6"/>
      <c r="AD2" s="6"/>
      <c r="AE2" s="6"/>
      <c r="AF2" s="6"/>
      <c r="AG2" s="6"/>
      <c r="AH2" s="6"/>
      <c r="AI2" s="6"/>
      <c r="AJ2" s="6"/>
      <c r="AK2" s="6"/>
      <c r="AL2" s="6"/>
    </row>
    <row r="3" spans="1:38">
      <c r="A3" s="21" t="s">
        <v>2</v>
      </c>
      <c r="B3" s="21" t="str">
        <f ca="1">TEXT(NOW(),"m/d/yyyy h:mm AM/PM")</f>
        <v>6/16/2026 3:49 am</v>
      </c>
      <c r="C3" s="22" t="s">
        <v>3</v>
      </c>
      <c r="D3" s="12" t="str">
        <f>$AA$3</f>
        <v>Kim Chim</v>
      </c>
      <c r="E3" s="4"/>
      <c r="G3" s="4"/>
      <c r="H3" s="4"/>
      <c r="I3" s="4"/>
      <c r="J3" s="4"/>
      <c r="K3" s="4"/>
      <c r="L3" s="4"/>
      <c r="M3" s="7"/>
      <c r="N3"/>
      <c r="O3"/>
      <c r="P3"/>
      <c r="Q3"/>
      <c r="R3"/>
      <c r="S3"/>
      <c r="T3" s="6"/>
      <c r="U3" s="6"/>
      <c r="V3" s="6"/>
      <c r="W3" s="6"/>
      <c r="X3" s="6"/>
      <c r="Y3" s="6"/>
      <c r="Z3" s="6"/>
      <c r="AA3" s="6" t="str">
        <f>_xlfn.LET(_xlpm.eMax,MAX(EmailCampaignsTable[Last Updated]),_xlpm.sMax,MAX(SMSCampaignsTable[Last Updated]),_xlpm.latest,MAX(_xlpm.eMax,_xlpm.sMax),IF(_xlpm.latest=0,"Manual in web / see SharePoint history",IF(_xlpm.eMax&gt;=_xlpm.sMax,IFERROR(INDEX(EmailCampaignsTable[Last Updated By],MATCH(_xlpm.eMax,EmailCampaignsTable[Last Updated],0)),""),IFERROR(INDEX(SMSCampaignsTable[Last Updated By],MATCH(_xlpm.sMax,SMSCampaignsTable[Last Updated],0)),""))))</f>
        <v>Kim Chim</v>
      </c>
      <c r="AB3" s="6"/>
      <c r="AC3" s="6"/>
      <c r="AD3" s="6"/>
      <c r="AE3" s="6"/>
      <c r="AF3" s="6"/>
      <c r="AG3" s="6"/>
      <c r="AH3" s="6"/>
      <c r="AI3" s="6"/>
      <c r="AJ3" s="6"/>
      <c r="AK3" s="6"/>
      <c r="AL3" s="6"/>
    </row>
    <row r="4" spans="1:38" ht="15" customHeight="1">
      <c r="A4" s="98" t="s">
        <v>4</v>
      </c>
      <c r="B4" s="99"/>
      <c r="C4" s="114" t="s">
        <v>5</v>
      </c>
      <c r="D4" s="115"/>
      <c r="E4" s="120" t="s">
        <v>6</v>
      </c>
      <c r="F4" s="121"/>
      <c r="G4" s="126" t="s">
        <v>7</v>
      </c>
      <c r="H4" s="127"/>
      <c r="I4" s="98" t="s">
        <v>8</v>
      </c>
      <c r="J4" s="99"/>
      <c r="K4" s="102" t="s">
        <v>9</v>
      </c>
      <c r="L4" s="103"/>
      <c r="M4" s="102" t="s">
        <v>10</v>
      </c>
      <c r="N4" s="103"/>
      <c r="O4"/>
      <c r="P4"/>
      <c r="Q4"/>
      <c r="R4"/>
      <c r="S4"/>
      <c r="T4" s="6"/>
      <c r="U4" s="6"/>
      <c r="V4" s="6"/>
      <c r="W4" s="6"/>
      <c r="X4" s="6"/>
      <c r="Y4" s="6"/>
      <c r="Z4" s="6"/>
      <c r="AA4" s="6"/>
      <c r="AB4" s="6"/>
      <c r="AC4" s="6"/>
      <c r="AD4" s="6"/>
      <c r="AE4" s="6"/>
      <c r="AF4" s="6"/>
      <c r="AG4" s="6"/>
      <c r="AH4" s="6"/>
      <c r="AI4" s="6"/>
      <c r="AJ4" s="6"/>
      <c r="AK4" s="6"/>
      <c r="AL4" s="6"/>
    </row>
    <row r="5" spans="1:38" ht="21">
      <c r="A5" s="100">
        <f>E5+G5</f>
        <v>6</v>
      </c>
      <c r="B5" s="101"/>
      <c r="C5" s="116" cm="1">
        <f t="array" aca="1" ref="C5" ca="1">SUMPRODUCT(--(IFERROR(INT(EmailCampaignsTable[Send Date]),0)=TODAY()),--(EmailCampaignsTable[Campaign Name]&lt;&gt;""),--(LOWER(TRIM(EmailCampaignsTable[Current Stage]))&lt;&gt;"cancelled"),--(LOWER(TRIM(EmailCampaignsTable[Current Stage]))&lt;&gt;"canceled"),--(LOWER(TRIM(EmailCampaignsTable[Notes]))&lt;&gt;"cancelled"),--(LOWER(TRIM(EmailCampaignsTable[Notes]))&lt;&gt;"canceled"))+SUMPRODUCT(--(IFERROR(INT(SMSCampaignsTable[Send Date]),0)=TODAY()),--(SMSCampaignsTable[Campaign Name]&lt;&gt;""),--(LOWER(TRIM(SMSCampaignsTable[Current Stage]))&lt;&gt;"cancelled"),--(LOWER(TRIM(SMSCampaignsTable[Current Stage]))&lt;&gt;"canceled"),--(LOWER(TRIM(SMSCampaignsTable[Notes]))&lt;&gt;"cancelled"),--(LOWER(TRIM(SMSCampaignsTable[Notes]))&lt;&gt;"canceled"))</f>
        <v>1</v>
      </c>
      <c r="D5" s="117"/>
      <c r="E5" s="122" cm="1">
        <f t="array" ref="E5">SUMPRODUCT(--(EmailCampaignsTable[Campaign Name]&lt;&gt;""),--(IFERROR(--EmailCampaignsTable[Delivered],0)&lt;=0),--(LOWER(TRIM(EmailCampaignsTable[Current Stage]))&lt;&gt;"cancelled"),--(LOWER(TRIM(EmailCampaignsTable[Current Stage]))&lt;&gt;"canceled"),--(LOWER(TRIM(EmailCampaignsTable[Notes]))&lt;&gt;"cancelled"),--(LOWER(TRIM(EmailCampaignsTable[Notes]))&lt;&gt;"canceled"))</f>
        <v>5</v>
      </c>
      <c r="F5" s="123"/>
      <c r="G5" s="128" cm="1">
        <f t="array" ref="G5">SUMPRODUCT(--(SMSCampaignsTable[Campaign Name]&lt;&gt;""),--(IFERROR(--SMSCampaignsTable[Delivered],0)&lt;=0),--(LOWER(TRIM(SMSCampaignsTable[Current Stage]))&lt;&gt;"cancelled"),--(LOWER(TRIM(SMSCampaignsTable[Current Stage]))&lt;&gt;"canceled"),--(LOWER(TRIM(SMSCampaignsTable[Notes]))&lt;&gt;"cancelled"),--(LOWER(TRIM(SMSCampaignsTable[Notes]))&lt;&gt;"canceled"))</f>
        <v>1</v>
      </c>
      <c r="H5" s="129"/>
      <c r="I5" s="100" cm="1">
        <f t="array" ref="I5">SUMPRODUCT(--(EmailCampaignsTable[Campaign Name]&lt;&gt;""),--(EmailCampaignsTable[Approval]=FALSE),--(LOWER(TRIM(EmailCampaignsTable[Current Stage]))&lt;&gt;"cancelled"),--(LOWER(TRIM(EmailCampaignsTable[Current Stage]))&lt;&gt;"canceled"),--(LOWER(TRIM(EmailCampaignsTable[Notes]))&lt;&gt;"cancelled"),--(LOWER(TRIM(EmailCampaignsTable[Notes]))&lt;&gt;"canceled"))+SUMPRODUCT(--(SMSCampaignsTable[Campaign Name]&lt;&gt;""),--(SMSCampaignsTable[Approval]=FALSE),--(LOWER(TRIM(SMSCampaignsTable[Current Stage]))&lt;&gt;"cancelled"),--(LOWER(TRIM(SMSCampaignsTable[Current Stage]))&lt;&gt;"canceled"),--(LOWER(TRIM(SMSCampaignsTable[Notes]))&lt;&gt;"cancelled"),--(LOWER(TRIM(SMSCampaignsTable[Notes]))&lt;&gt;"canceled"))</f>
        <v>5</v>
      </c>
      <c r="J5" s="101"/>
      <c r="K5" s="104" cm="1">
        <f t="array" ref="K5">SUMPRODUCT(--(EmailCampaignsTable[Campaign Name]&lt;&gt;""),--(IFERROR(--EmailCampaignsTable[Delivered],0)&gt;0),--(LOWER(TRIM(EmailCampaignsTable[Current Stage]))&lt;&gt;"cancelled"),--(LOWER(TRIM(EmailCampaignsTable[Current Stage]))&lt;&gt;"canceled"),--(LOWER(TRIM(EmailCampaignsTable[Notes]))&lt;&gt;"cancelled"),--(LOWER(TRIM(EmailCampaignsTable[Notes]))&lt;&gt;"canceled"))+SUMPRODUCT(--(SMSCampaignsTable[Campaign Name]&lt;&gt;""),--(IFERROR(--SMSCampaignsTable[Delivered],0)&gt;0),--(LOWER(TRIM(SMSCampaignsTable[Current Stage]))&lt;&gt;"cancelled"),--(LOWER(TRIM(SMSCampaignsTable[Current Stage]))&lt;&gt;"canceled"),--(LOWER(TRIM(SMSCampaignsTable[Notes]))&lt;&gt;"cancelled"),--(LOWER(TRIM(SMSCampaignsTable[Notes]))&lt;&gt;"canceled"))</f>
        <v>30</v>
      </c>
      <c r="L5" s="105"/>
      <c r="M5" s="104" t="str">
        <f ca="1">WEEKNUM(TODAY(),1)&amp;"-"&amp;WEEKNUM(TODAY()+7,1)</f>
        <v>25-26</v>
      </c>
      <c r="N5" s="105"/>
      <c r="O5"/>
      <c r="P5"/>
      <c r="Q5"/>
      <c r="R5"/>
      <c r="S5"/>
      <c r="T5" s="6"/>
      <c r="U5" s="6"/>
      <c r="V5" s="6"/>
      <c r="W5" s="6"/>
      <c r="X5" s="6"/>
      <c r="Y5" s="6"/>
      <c r="Z5" s="6"/>
      <c r="AA5" s="6"/>
      <c r="AB5" s="6"/>
      <c r="AC5" s="6"/>
      <c r="AD5" s="6"/>
      <c r="AE5" s="6"/>
      <c r="AF5" s="6"/>
      <c r="AG5" s="6"/>
      <c r="AH5" s="6"/>
      <c r="AI5" s="6"/>
      <c r="AJ5" s="6"/>
      <c r="AK5" s="6"/>
      <c r="AL5" s="6"/>
    </row>
    <row r="6" spans="1:38" ht="15" customHeight="1">
      <c r="A6" s="108" t="s">
        <v>11</v>
      </c>
      <c r="B6" s="109"/>
      <c r="C6" s="118" t="s">
        <v>12</v>
      </c>
      <c r="D6" s="119"/>
      <c r="E6" s="124" t="s">
        <v>13</v>
      </c>
      <c r="F6" s="125"/>
      <c r="G6" s="130" t="s">
        <v>14</v>
      </c>
      <c r="H6" s="131"/>
      <c r="I6" s="108" t="s">
        <v>15</v>
      </c>
      <c r="J6" s="109"/>
      <c r="K6" s="106" t="s">
        <v>16</v>
      </c>
      <c r="L6" s="107"/>
      <c r="M6" s="106" t="s">
        <v>17</v>
      </c>
      <c r="N6" s="107"/>
      <c r="O6"/>
      <c r="P6"/>
      <c r="Q6"/>
      <c r="R6"/>
      <c r="S6"/>
      <c r="T6" s="6"/>
      <c r="U6" s="6"/>
      <c r="V6" s="6"/>
      <c r="W6" s="6"/>
      <c r="X6" s="6"/>
      <c r="Y6" s="6"/>
      <c r="Z6" s="6"/>
      <c r="AA6" s="6"/>
      <c r="AB6" s="6"/>
      <c r="AC6" s="6"/>
      <c r="AD6" s="6"/>
      <c r="AE6" s="6"/>
      <c r="AF6" s="6"/>
      <c r="AG6" s="6"/>
      <c r="AH6" s="6"/>
      <c r="AI6" s="6"/>
      <c r="AJ6" s="6"/>
      <c r="AK6" s="6"/>
      <c r="AL6" s="6"/>
    </row>
    <row r="7" spans="1:38">
      <c r="A7"/>
      <c r="B7"/>
      <c r="C7"/>
      <c r="D7"/>
      <c r="E7"/>
      <c r="F7"/>
      <c r="G7"/>
      <c r="H7"/>
      <c r="I7"/>
      <c r="J7"/>
      <c r="K7"/>
      <c r="L7"/>
      <c r="M7" s="7"/>
      <c r="N7"/>
      <c r="O7"/>
      <c r="P7"/>
      <c r="Q7"/>
      <c r="R7"/>
      <c r="S7"/>
      <c r="T7" s="6"/>
      <c r="U7" s="6"/>
      <c r="V7" s="6"/>
      <c r="W7" s="6"/>
      <c r="X7" s="6"/>
      <c r="Y7" s="6"/>
      <c r="Z7" s="6"/>
      <c r="AA7" s="6"/>
      <c r="AB7" s="6"/>
      <c r="AC7" s="6"/>
      <c r="AD7" s="6"/>
      <c r="AE7" s="6"/>
      <c r="AF7" s="6"/>
      <c r="AG7" s="6"/>
      <c r="AH7" s="6"/>
      <c r="AI7" s="6"/>
      <c r="AJ7" s="6"/>
      <c r="AK7" s="6"/>
      <c r="AL7" s="6"/>
    </row>
    <row r="8" spans="1:38" ht="17.25" customHeight="1">
      <c r="A8" s="112" t="s">
        <v>18</v>
      </c>
      <c r="B8" s="112"/>
      <c r="C8" s="112"/>
      <c r="D8" s="112"/>
      <c r="E8" s="112"/>
      <c r="F8" s="112"/>
      <c r="G8" s="112"/>
      <c r="H8" s="112"/>
      <c r="I8" s="112"/>
      <c r="J8" s="112"/>
      <c r="K8" s="112"/>
      <c r="L8" s="112"/>
      <c r="M8" s="112"/>
      <c r="N8" s="112"/>
      <c r="O8"/>
      <c r="P8"/>
      <c r="Q8"/>
      <c r="R8"/>
      <c r="S8"/>
      <c r="T8" s="6"/>
      <c r="U8" s="6"/>
      <c r="V8" s="6"/>
      <c r="W8" s="6"/>
      <c r="X8" s="6"/>
      <c r="Y8" s="6"/>
      <c r="Z8" s="6"/>
      <c r="AA8" s="6"/>
      <c r="AB8" s="6"/>
      <c r="AC8" s="6"/>
      <c r="AD8" s="6"/>
      <c r="AE8" s="6"/>
      <c r="AF8" s="6"/>
      <c r="AG8" s="6"/>
      <c r="AH8" s="6"/>
      <c r="AI8" s="6"/>
      <c r="AJ8" s="6"/>
      <c r="AK8" s="6"/>
      <c r="AL8" s="6"/>
    </row>
    <row r="9" spans="1:38" ht="15" customHeight="1">
      <c r="A9" s="113" t="s">
        <v>19</v>
      </c>
      <c r="B9" s="113"/>
      <c r="C9" s="113"/>
      <c r="D9" s="113"/>
      <c r="E9" s="113"/>
      <c r="F9" s="113"/>
      <c r="G9" s="113"/>
      <c r="H9" s="113"/>
      <c r="I9" s="113"/>
      <c r="J9" s="113"/>
      <c r="K9" s="113"/>
      <c r="L9" s="113"/>
      <c r="M9" s="113"/>
      <c r="N9" s="113"/>
      <c r="O9"/>
      <c r="P9"/>
      <c r="Q9"/>
      <c r="R9"/>
      <c r="S9"/>
      <c r="T9" s="6"/>
      <c r="U9" s="6"/>
      <c r="V9" s="6"/>
      <c r="W9" s="6"/>
      <c r="X9" s="6"/>
      <c r="Y9" s="6"/>
      <c r="Z9" s="6"/>
      <c r="AA9" s="6"/>
      <c r="AB9" s="6"/>
      <c r="AC9" s="6"/>
      <c r="AD9" s="6"/>
      <c r="AE9" s="6"/>
      <c r="AF9" s="6"/>
      <c r="AG9" s="6"/>
      <c r="AH9" s="6"/>
      <c r="AI9" s="6"/>
      <c r="AJ9" s="6"/>
      <c r="AK9" s="6"/>
      <c r="AL9" s="6"/>
    </row>
    <row r="10" spans="1:38" ht="30">
      <c r="A10" s="14" t="s">
        <v>20</v>
      </c>
      <c r="B10" s="82" t="s">
        <v>21</v>
      </c>
      <c r="C10" s="23" t="s">
        <v>22</v>
      </c>
      <c r="D10" s="14" t="s">
        <v>23</v>
      </c>
      <c r="E10" s="23" t="s">
        <v>24</v>
      </c>
      <c r="F10" s="23" t="s">
        <v>25</v>
      </c>
      <c r="G10" s="23" t="s">
        <v>26</v>
      </c>
      <c r="H10" s="23" t="s">
        <v>27</v>
      </c>
      <c r="I10" s="23" t="s">
        <v>28</v>
      </c>
      <c r="J10" s="23" t="s">
        <v>29</v>
      </c>
      <c r="K10" s="23" t="s">
        <v>30</v>
      </c>
      <c r="L10" s="23" t="s">
        <v>31</v>
      </c>
      <c r="M10" s="59" t="s">
        <v>10</v>
      </c>
      <c r="N10"/>
      <c r="O10"/>
      <c r="P10"/>
      <c r="Q10"/>
      <c r="R10"/>
      <c r="S10"/>
      <c r="T10" s="6"/>
      <c r="U10" s="6"/>
      <c r="V10" s="6"/>
      <c r="W10" s="6"/>
      <c r="X10" s="6"/>
      <c r="Y10" s="6"/>
      <c r="Z10" s="6"/>
      <c r="AA10" t="s">
        <v>20</v>
      </c>
      <c r="AB10" t="s">
        <v>21</v>
      </c>
      <c r="AC10" t="s">
        <v>22</v>
      </c>
      <c r="AD10" t="s">
        <v>23</v>
      </c>
      <c r="AE10" t="s">
        <v>24</v>
      </c>
      <c r="AF10" t="s">
        <v>25</v>
      </c>
      <c r="AG10" t="s">
        <v>26</v>
      </c>
      <c r="AH10" t="s">
        <v>27</v>
      </c>
      <c r="AI10" t="s">
        <v>28</v>
      </c>
      <c r="AJ10" t="s">
        <v>29</v>
      </c>
      <c r="AK10" t="s">
        <v>30</v>
      </c>
      <c r="AL10" t="s">
        <v>31</v>
      </c>
    </row>
    <row r="11" spans="1:38" ht="45">
      <c r="A11" s="78" cm="1">
        <f t="array" aca="1" ref="A11" ca="1">IFERROR(INDEX(_xlfn.ANCHORARRAY($AA$11),ROW()-10,1),"")</f>
        <v>46187</v>
      </c>
      <c r="B11" s="80" cm="1">
        <f t="array" aca="1" ref="B11" ca="1">IFERROR(INDEX(_xlfn.ANCHORARRAY($AA$11),ROW()-10,2),"")</f>
        <v>0.375</v>
      </c>
      <c r="C11" s="24" t="str" cm="1">
        <f t="array" aca="1" ref="C11" ca="1">IFERROR(INDEX(_xlfn.ANCHORARRAY($AA$11),ROW()-10,3),"")</f>
        <v>Email</v>
      </c>
      <c r="D11" s="15" t="str" cm="1">
        <f t="array" aca="1" ref="D11" ca="1">IFERROR(INDEX(_xlfn.ANCHORARRAY($AA$11),ROW()-10,4),"")</f>
        <v>Event EM2: FIFA World Cup 2026</v>
      </c>
      <c r="E11" s="24" t="str" cm="1">
        <f t="array" aca="1" ref="E11" ca="1">IFERROR(INDEX(_xlfn.ANCHORARRAY($AA$11),ROW()-10,5),"")</f>
        <v>Events</v>
      </c>
      <c r="F11" s="15" t="str" cm="1">
        <f t="array" aca="1" ref="F11" ca="1">IFERROR(INDEX(_xlfn.ANCHORARRAY($AA$11),ROW()-10,6),"")</f>
        <v>Checked: Campaign Name and UTM Parameter (Source Code), Creative Brief, SL &amp; PH, SKUs, In-Design, Build, QA, Route, Approval, Segments</v>
      </c>
      <c r="G11" s="24" t="str" cm="1">
        <f t="array" aca="1" ref="G11" ca="1">IFERROR(INDEX(_xlfn.ANCHORARRAY($AA$11),ROW()-10,7),"")</f>
        <v>Archim</v>
      </c>
      <c r="H11" s="24" t="str" cm="1">
        <f t="array" aca="1" ref="H11" ca="1">IFERROR(INDEX(_xlfn.ANCHORARRAY($AA$11),ROW()-10,8),"")</f>
        <v>Done</v>
      </c>
      <c r="I11" s="24" t="str" cm="1">
        <f t="array" aca="1" ref="I11" ca="1">IFERROR(INDEX(_xlfn.ANCHORARRAY($AA$11),ROW()-10,9),"")</f>
        <v>Provided</v>
      </c>
      <c r="J11" s="25" t="str">
        <f t="shared" ref="J11:J42" ca="1" si="0">_xlfn.LET(_xlpm.ch,IFERROR(INDEX(_xlfn.ANCHORARRAY($AA$11),ROW()-10,3),""),_xlpm.link,IFERROR(INDEX(_xlfn.ANCHORARRAY($AA$11),ROW()-10,10),""),IF(OR(_xlpm.link="",_xlpm.ch="SMS"),"",HYPERLINK(_xlpm.link,"JIRA")))</f>
        <v>JIRA</v>
      </c>
      <c r="K11" s="25" t="str">
        <f t="shared" ref="K11:K42" ca="1" si="1">_xlfn.LET(_xlpm.ch,IFERROR(INDEX(_xlfn.ANCHORARRAY($AA$11),ROW()-10,3),""),_xlpm.link,IFERROR(INDEX(_xlfn.ANCHORARRAY($AA$11),ROW()-10,11),""),IF(OR(_xlpm.link="",_xlpm.ch="SMS"),"",HYPERLINK(_xlpm.link,"ClickUp")))</f>
        <v>ClickUp</v>
      </c>
      <c r="L11" s="25" t="str" cm="1">
        <f t="array" aca="1" ref="L11" ca="1">_xlfn.LET(_xlpm.link,IFERROR(INDEX(_xlfn.ANCHORARRAY($AA$11),ROW()-10,12),""),IF(_xlpm.link="","",HYPERLINK(_xlpm.link,"Bluecore/Attentive")))</f>
        <v>Bluecore/Attentive</v>
      </c>
      <c r="M11" s="60" t="str">
        <f t="shared" ref="M11:M42" ca="1" si="2">_xlfn.LET(_xlpm.sendDate,$A11,_xlpm.camp,$D11&amp;"",_xlpm.code,LEFT(_xlpm.camp,6),_xlpm.parsed,IFERROR(DATE(2000+VALUE(MID(_xlpm.code,5,2)),VALUE(LEFT(_xlpm.code,2)),VALUE(MID(_xlpm.code,3,2))),""),_xlpm.useDate,IF(_xlpm.parsed="",IF(ISNUMBER(_xlpm.sendDate),INT(_xlpm.sendDate),""),_xlpm.parsed),IF(_xlpm.useDate="","","Week "&amp;WEEKNUM(_xlpm.useDate,1)))</f>
        <v>Week 25</v>
      </c>
      <c r="N11"/>
      <c r="O11"/>
      <c r="P11"/>
      <c r="Q11"/>
      <c r="R11"/>
      <c r="S11"/>
      <c r="T11" s="6"/>
      <c r="U11" s="6"/>
      <c r="V11" s="6"/>
      <c r="W11" s="6"/>
      <c r="X11" s="6"/>
      <c r="Y11" s="6"/>
      <c r="Z11" s="6"/>
      <c r="AA11" cm="1">
        <f t="array" aca="1" ref="AA11:AL18" ca="1">_xlfn.LET(_xlpm.ws,TODAY()-WEEKDAY(TODAY(),1)+1,_xlpm.we,_xlpm.ws+13,_xlpm.empty,_xlfn.HSTACK("","","","","","","","","","","",""),_xlpm.email,_xlfn._xlws.FILTER(_xlfn.HSTACK(EmailCampaignsTable[Send Date],EmailCampaignsTable[Send Time],IF(EmailCampaignsTable[Campaign Name]&lt;&gt;"","Email",""),EmailCampaignsTable[Campaign Name],EmailCampaignsTable[Campaign Type],EmailCampaignsTable[Current Stage],EmailCampaignsTable[Owner],IF(EmailCampaignsTable[Approval],"Done","Not Yet"),IF(EmailCampaignsTable[Segments],"Provided","Pending"),EmailCampaignsTable[Jira Link],EmailCampaignsTable[ClickUp Link],EmailCampaignsTable[Bluecore/Attentive Link]),(EmailCampaignsTable[Campaign Name]&lt;&gt;"")*(IFERROR(INT(EmailCampaignsTable[Send Date]),0)&gt;=_xlpm.ws)*(IFERROR(INT(EmailCampaignsTable[Send Date]),0)&lt;=_xlpm.we)*(((LOWER(TRIM(EmailCampaignsTable[Current Stage]))="cancelled")+(LOWER(TRIM(EmailCampaignsTable[Current Stage]))="canceled")+(LOWER(TRIM(EmailCampaignsTable[Notes]))="cancelled")+(LOWER(TRIM(EmailCampaignsTable[Notes]))="canceled"))=0),_xlpm.empty),_xlpm.sms,_xlfn._xlws.FILTER(_xlfn.HSTACK(SMSCampaignsTable[Send Date],SMSCampaignsTable[Send Time],IF(SMSCampaignsTable[Campaign Name]&lt;&gt;"","SMS",""),SMSCampaignsTable[Campaign Name],SMSCampaignsTable[Campaign Type],SMSCampaignsTable[Current Stage],SMSCampaignsTable[Owner],IF(SMSCampaignsTable[Approval],"Done","Not Yet"),IF(SMSCampaignsTable[Segments],"Provided","Pending"),SMSCampaignsTable[Proof of Schedule],"",SMSCampaignsTable[Bluecore/Attentive Link]),(SMSCampaignsTable[Campaign Name]&lt;&gt;"")*(IFERROR(INT(SMSCampaignsTable[Send Date]),0)&gt;=_xlpm.ws)*(IFERROR(INT(SMSCampaignsTable[Send Date]),0)&lt;=_xlpm.we)*(((LOWER(TRIM(SMSCampaignsTable[Current Stage]))="cancelled")+(LOWER(TRIM(SMSCampaignsTable[Current Stage]))="canceled")+(LOWER(TRIM(SMSCampaignsTable[Notes]))="cancelled")+(LOWER(TRIM(SMSCampaignsTable[Notes]))="canceled"))=0),_xlpm.empty),_xlpm.data,_xlfn.VSTACK(_xlpm.email,_xlpm.sms),_xlpm.clean,_xlfn._xlws.FILTER(_xlpm.data,_xlfn.CHOOSECOLS(_xlpm.data,4)&lt;&gt;""),IFERROR(_xlfn.SORTBY(_xlpm.clean,_xlfn.CHOOSECOLS(_xlpm.clean,1),1,IFERROR(--_xlfn.CHOOSECOLS(_xlpm.clean,2),0),1,_xlfn.CHOOSECOLS(_xlpm.clean,3),1,_xlfn.CHOOSECOLS(_xlpm.clean,4),1),""))</f>
        <v>46187</v>
      </c>
      <c r="AB11">
        <f ca="1"/>
        <v>0.375</v>
      </c>
      <c r="AC11" t="str">
        <f ca="1"/>
        <v>Email</v>
      </c>
      <c r="AD11" t="str">
        <f ca="1"/>
        <v>Event EM2: FIFA World Cup 2026</v>
      </c>
      <c r="AE11" t="str">
        <f ca="1"/>
        <v>Events</v>
      </c>
      <c r="AF11" t="str">
        <f ca="1"/>
        <v>Checked: Campaign Name and UTM Parameter (Source Code), Creative Brief, SL &amp; PH, SKUs, In-Design, Build, QA, Route, Approval, Segments</v>
      </c>
      <c r="AG11" t="str">
        <f ca="1"/>
        <v>Archim</v>
      </c>
      <c r="AH11" t="str">
        <f ca="1"/>
        <v>Done</v>
      </c>
      <c r="AI11" t="str">
        <f ca="1"/>
        <v>Provided</v>
      </c>
      <c r="AJ11" t="str">
        <f ca="1"/>
        <v>https://jira.adorama.com/browse/MKT-103306</v>
      </c>
      <c r="AK11" t="str">
        <f ca="1"/>
        <v>https://app.clickup.com/t/9010122869/86ahv69g7</v>
      </c>
      <c r="AL11" t="str">
        <f ca="1"/>
        <v>https://app.bluecore.com/admin/campaigns/adorama/4713774384537600</v>
      </c>
    </row>
    <row r="12" spans="1:38" ht="45">
      <c r="A12" s="78" cm="1">
        <f t="array" aca="1" ref="A12" ca="1">IFERROR(INDEX(_xlfn.ANCHORARRAY($AA$11),ROW()-10,1),"")</f>
        <v>46187</v>
      </c>
      <c r="B12" s="80" cm="1">
        <f t="array" aca="1" ref="B12" ca="1">IFERROR(INDEX(_xlfn.ANCHORARRAY($AA$11),ROW()-10,2),"")</f>
        <v>0.41666666666666669</v>
      </c>
      <c r="C12" s="4" t="str" cm="1">
        <f t="array" aca="1" ref="C12" ca="1">IFERROR(INDEX(_xlfn.ANCHORARRAY($AA$11),ROW()-10,3),"")</f>
        <v>Email</v>
      </c>
      <c r="D12" s="13" t="str" cm="1">
        <f t="array" aca="1" ref="D12" ca="1">IFERROR(INDEX(_xlfn.ANCHORARRAY($AA$11),ROW()-10,4),"")</f>
        <v>Event EM2: ABS Giveaway</v>
      </c>
      <c r="E12" s="4" t="str" cm="1">
        <f t="array" aca="1" ref="E12" ca="1">IFERROR(INDEX(_xlfn.ANCHORARRAY($AA$11),ROW()-10,5),"")</f>
        <v>Events</v>
      </c>
      <c r="F12" s="13" t="str" cm="1">
        <f t="array" aca="1" ref="F12" ca="1">IFERROR(INDEX(_xlfn.ANCHORARRAY($AA$11),ROW()-10,6),"")</f>
        <v>Checked: Campaign Name and UTM Parameter (Source Code), Creative Brief, SL &amp; PH, SKUs, In-Design, Build, QA, Route, Approval, Segments</v>
      </c>
      <c r="G12" s="4" t="str" cm="1">
        <f t="array" aca="1" ref="G12" ca="1">IFERROR(INDEX(_xlfn.ANCHORARRAY($AA$11),ROW()-10,7),"")</f>
        <v>Jed</v>
      </c>
      <c r="H12" s="4" t="str" cm="1">
        <f t="array" aca="1" ref="H12" ca="1">IFERROR(INDEX(_xlfn.ANCHORARRAY($AA$11),ROW()-10,8),"")</f>
        <v>Done</v>
      </c>
      <c r="I12" s="4" t="str" cm="1">
        <f t="array" aca="1" ref="I12" ca="1">IFERROR(INDEX(_xlfn.ANCHORARRAY($AA$11),ROW()-10,9),"")</f>
        <v>Provided</v>
      </c>
      <c r="J12" s="25" t="str">
        <f t="shared" ca="1" si="0"/>
        <v>JIRA</v>
      </c>
      <c r="K12" s="24" t="str">
        <f t="shared" ca="1" si="1"/>
        <v>ClickUp</v>
      </c>
      <c r="L12" s="24" t="str" cm="1">
        <f t="array" aca="1" ref="L12" ca="1">_xlfn.LET(_xlpm.link,IFERROR(INDEX(_xlfn.ANCHORARRAY($AA$11),ROW()-10,12),""),IF(_xlpm.link="","",HYPERLINK(_xlpm.link,"Bluecore/Attentive")))</f>
        <v>Bluecore/Attentive</v>
      </c>
      <c r="M12" s="61" t="str">
        <f t="shared" ca="1" si="2"/>
        <v>Week 25</v>
      </c>
      <c r="N12"/>
      <c r="O12"/>
      <c r="P12"/>
      <c r="Q12"/>
      <c r="R12"/>
      <c r="S12"/>
      <c r="T12" s="6"/>
      <c r="U12" s="6"/>
      <c r="V12" s="6"/>
      <c r="W12" s="6"/>
      <c r="X12" s="6"/>
      <c r="Y12" s="6"/>
      <c r="Z12" s="6"/>
      <c r="AA12">
        <f ca="1"/>
        <v>46187</v>
      </c>
      <c r="AB12">
        <f ca="1"/>
        <v>0.41666666666666669</v>
      </c>
      <c r="AC12" t="str">
        <f ca="1"/>
        <v>Email</v>
      </c>
      <c r="AD12" t="str">
        <f ca="1"/>
        <v>Event EM2: ABS Giveaway</v>
      </c>
      <c r="AE12" t="str">
        <f ca="1"/>
        <v>Events</v>
      </c>
      <c r="AF12" t="str">
        <f ca="1"/>
        <v>Checked: Campaign Name and UTM Parameter (Source Code), Creative Brief, SL &amp; PH, SKUs, In-Design, Build, QA, Route, Approval, Segments</v>
      </c>
      <c r="AG12" t="str">
        <f ca="1"/>
        <v>Jed</v>
      </c>
      <c r="AH12" t="str">
        <f ca="1"/>
        <v>Done</v>
      </c>
      <c r="AI12" t="str">
        <f ca="1"/>
        <v>Provided</v>
      </c>
      <c r="AJ12" t="str">
        <f ca="1"/>
        <v>https://jira.adorama.com/browse/MKT-103361</v>
      </c>
      <c r="AK12" t="str">
        <f ca="1"/>
        <v>https://app.clickup.com/t/9010122869/86aj0erre</v>
      </c>
      <c r="AL12" t="str">
        <f ca="1"/>
        <v>https://app.bluecore.com/admin/campaigns/adorama/5363057140031488?viewTab=summary</v>
      </c>
    </row>
    <row r="13" spans="1:38" ht="45">
      <c r="A13" s="78" cm="1">
        <f t="array" aca="1" ref="A13" ca="1">IFERROR(INDEX(_xlfn.ANCHORARRAY($AA$11),ROW()-10,1),"")</f>
        <v>46188</v>
      </c>
      <c r="B13" s="80" cm="1">
        <f t="array" aca="1" ref="B13" ca="1">IFERROR(INDEX(_xlfn.ANCHORARRAY($AA$11),ROW()-10,2),"")</f>
        <v>0.29166666666666669</v>
      </c>
      <c r="C13" s="4" t="str" cm="1">
        <f t="array" aca="1" ref="C13" ca="1">IFERROR(INDEX(_xlfn.ANCHORARRAY($AA$11),ROW()-10,3),"")</f>
        <v>Email</v>
      </c>
      <c r="D13" s="13" t="str" cm="1">
        <f t="array" aca="1" ref="D13" ca="1">IFERROR(INDEX(_xlfn.ANCHORARRAY($AA$11),ROW()-10,4),"")</f>
        <v>Promo EM2: 24-Hour Sale</v>
      </c>
      <c r="E13" s="4" t="str" cm="1">
        <f t="array" aca="1" ref="E13" ca="1">IFERROR(INDEX(_xlfn.ANCHORARRAY($AA$11),ROW()-10,5),"")</f>
        <v>Promo</v>
      </c>
      <c r="F13" s="13" t="str" cm="1">
        <f t="array" aca="1" ref="F13" ca="1">IFERROR(INDEX(_xlfn.ANCHORARRAY($AA$11),ROW()-10,6),"")</f>
        <v>Checked: Campaign Name and UTM Parameter (Source Code), Creative Brief, SL &amp; PH, SKUs, In-Design, Build, QA, Route, Approval, Segments</v>
      </c>
      <c r="G13" s="4" t="str" cm="1">
        <f t="array" aca="1" ref="G13" ca="1">IFERROR(INDEX(_xlfn.ANCHORARRAY($AA$11),ROW()-10,7),"")</f>
        <v>Archim</v>
      </c>
      <c r="H13" s="4" t="str" cm="1">
        <f t="array" aca="1" ref="H13" ca="1">IFERROR(INDEX(_xlfn.ANCHORARRAY($AA$11),ROW()-10,8),"")</f>
        <v>Done</v>
      </c>
      <c r="I13" s="4" t="str" cm="1">
        <f t="array" aca="1" ref="I13" ca="1">IFERROR(INDEX(_xlfn.ANCHORARRAY($AA$11),ROW()-10,9),"")</f>
        <v>Provided</v>
      </c>
      <c r="J13" s="25" t="str">
        <f t="shared" ca="1" si="0"/>
        <v>JIRA</v>
      </c>
      <c r="K13" s="26" t="str">
        <f t="shared" ca="1" si="1"/>
        <v>ClickUp</v>
      </c>
      <c r="L13" s="26" t="str" cm="1">
        <f t="array" aca="1" ref="L13" ca="1">_xlfn.LET(_xlpm.link,IFERROR(INDEX(_xlfn.ANCHORARRAY($AA$11),ROW()-10,12),""),IF(_xlpm.link="","",HYPERLINK(_xlpm.link,"Bluecore/Attentive")))</f>
        <v>Bluecore/Attentive</v>
      </c>
      <c r="M13" s="60" t="str">
        <f t="shared" ca="1" si="2"/>
        <v>Week 25</v>
      </c>
      <c r="N13"/>
      <c r="O13"/>
      <c r="P13"/>
      <c r="Q13"/>
      <c r="R13"/>
      <c r="S13"/>
      <c r="T13" s="6"/>
      <c r="U13" s="6"/>
      <c r="V13" s="6"/>
      <c r="W13" s="6"/>
      <c r="X13" s="6"/>
      <c r="Y13" s="6"/>
      <c r="Z13" s="6"/>
      <c r="AA13">
        <f ca="1"/>
        <v>46188</v>
      </c>
      <c r="AB13">
        <f ca="1"/>
        <v>0.29166666666666669</v>
      </c>
      <c r="AC13" t="str">
        <f ca="1"/>
        <v>Email</v>
      </c>
      <c r="AD13" t="str">
        <f ca="1"/>
        <v>Promo EM2: 24-Hour Sale</v>
      </c>
      <c r="AE13" t="str">
        <f ca="1"/>
        <v>Promo</v>
      </c>
      <c r="AF13" t="str">
        <f ca="1"/>
        <v>Checked: Campaign Name and UTM Parameter (Source Code), Creative Brief, SL &amp; PH, SKUs, In-Design, Build, QA, Route, Approval, Segments</v>
      </c>
      <c r="AG13" t="str">
        <f ca="1"/>
        <v>Archim</v>
      </c>
      <c r="AH13" t="str">
        <f ca="1"/>
        <v>Done</v>
      </c>
      <c r="AI13" t="str">
        <f ca="1"/>
        <v>Provided</v>
      </c>
      <c r="AJ13" t="str">
        <f ca="1"/>
        <v>https://jira.adorama.com/browse/MKT-103362</v>
      </c>
      <c r="AK13" t="str">
        <f ca="1"/>
        <v>https://app.clickup.com/t/9010122869/86ahv69gh</v>
      </c>
      <c r="AL13" t="str">
        <f ca="1"/>
        <v>https://app.bluecore.com/admin/campaigns/adorama/4706919281188864</v>
      </c>
    </row>
    <row r="14" spans="1:38" ht="30">
      <c r="A14" s="78" cm="1">
        <f t="array" aca="1" ref="A14" ca="1">IFERROR(INDEX(_xlfn.ANCHORARRAY($AA$11),ROW()-10,1),"")</f>
        <v>46189</v>
      </c>
      <c r="B14" s="80" t="str" cm="1">
        <f t="array" aca="1" ref="B14" ca="1">IFERROR(INDEX(_xlfn.ANCHORARRAY($AA$11),ROW()-10,2),"")</f>
        <v>11:00:00 AM Local Timezone</v>
      </c>
      <c r="C14" s="4" t="str" cm="1">
        <f t="array" aca="1" ref="C14" ca="1">IFERROR(INDEX(_xlfn.ANCHORARRAY($AA$11),ROW()-10,3),"")</f>
        <v>SMS</v>
      </c>
      <c r="D14" s="13" t="str" cm="1">
        <f t="array" aca="1" ref="D14" ca="1">IFERROR(INDEX(_xlfn.ANCHORARRAY($AA$11),ROW()-10,4),"")</f>
        <v>Services: Trade</v>
      </c>
      <c r="E14" s="4" t="str" cm="1">
        <f t="array" aca="1" ref="E14" ca="1">IFERROR(INDEX(_xlfn.ANCHORARRAY($AA$11),ROW()-10,5),"")</f>
        <v>Services</v>
      </c>
      <c r="F14" s="13" t="str" cm="1">
        <f t="array" aca="1" ref="F14" ca="1">IFERROR(INDEX(_xlfn.ANCHORARRAY($AA$11),ROW()-10,6),"")</f>
        <v>No checklist items checked</v>
      </c>
      <c r="G14" s="4" t="str" cm="1">
        <f t="array" aca="1" ref="G14" ca="1">IFERROR(INDEX(_xlfn.ANCHORARRAY($AA$11),ROW()-10,7),"")</f>
        <v>Archim</v>
      </c>
      <c r="H14" s="4" t="str" cm="1">
        <f t="array" aca="1" ref="H14" ca="1">IFERROR(INDEX(_xlfn.ANCHORARRAY($AA$11),ROW()-10,8),"")</f>
        <v>Not Yet</v>
      </c>
      <c r="I14" s="4" t="str" cm="1">
        <f t="array" aca="1" ref="I14" ca="1">IFERROR(INDEX(_xlfn.ANCHORARRAY($AA$11),ROW()-10,9),"")</f>
        <v>Pending</v>
      </c>
      <c r="J14" s="25" t="str">
        <f t="shared" ca="1" si="0"/>
        <v/>
      </c>
      <c r="K14" s="27" t="str">
        <f t="shared" ca="1" si="1"/>
        <v/>
      </c>
      <c r="L14" s="27" t="str" cm="1">
        <f t="array" aca="1" ref="L14" ca="1">_xlfn.LET(_xlpm.link,IFERROR(INDEX(_xlfn.ANCHORARRAY($AA$11),ROW()-10,12),""),IF(_xlpm.link="","",HYPERLINK(_xlpm.link,"Bluecore/Attentive")))</f>
        <v>Bluecore/Attentive</v>
      </c>
      <c r="M14" s="61" t="str">
        <f t="shared" ca="1" si="2"/>
        <v>Week 25</v>
      </c>
      <c r="N14"/>
      <c r="O14"/>
      <c r="P14"/>
      <c r="Q14"/>
      <c r="R14"/>
      <c r="S14"/>
      <c r="T14" s="6"/>
      <c r="U14" s="6"/>
      <c r="V14" s="6"/>
      <c r="W14" s="6"/>
      <c r="X14" s="6"/>
      <c r="Y14" s="6"/>
      <c r="Z14" s="6"/>
      <c r="AA14">
        <f ca="1"/>
        <v>46189</v>
      </c>
      <c r="AB14" t="str">
        <f ca="1"/>
        <v>11:00:00 AM Local Timezone</v>
      </c>
      <c r="AC14" t="str">
        <f ca="1"/>
        <v>SMS</v>
      </c>
      <c r="AD14" t="str">
        <f ca="1"/>
        <v>Services: Trade</v>
      </c>
      <c r="AE14" t="str">
        <f ca="1"/>
        <v>Services</v>
      </c>
      <c r="AF14" t="str">
        <f ca="1"/>
        <v>No checklist items checked</v>
      </c>
      <c r="AG14" t="str">
        <f ca="1"/>
        <v>Archim</v>
      </c>
      <c r="AH14" t="str">
        <f ca="1"/>
        <v>Not Yet</v>
      </c>
      <c r="AI14" t="str">
        <f ca="1"/>
        <v>Pending</v>
      </c>
      <c r="AJ14">
        <f ca="1"/>
        <v>0</v>
      </c>
      <c r="AK14" t="str">
        <f ca="1"/>
        <v/>
      </c>
      <c r="AL14">
        <f ca="1"/>
        <v>0</v>
      </c>
    </row>
    <row r="15" spans="1:38" ht="45">
      <c r="A15" s="78" cm="1">
        <f t="array" aca="1" ref="A15" ca="1">IFERROR(INDEX(_xlfn.ANCHORARRAY($AA$11),ROW()-10,1),"")</f>
        <v>46190</v>
      </c>
      <c r="B15" s="80" t="str" cm="1">
        <f t="array" aca="1" ref="B15" ca="1">IFERROR(INDEX(_xlfn.ANCHORARRAY($AA$11),ROW()-10,2),"")</f>
        <v>STO</v>
      </c>
      <c r="C15" s="4" t="str" cm="1">
        <f t="array" aca="1" ref="C15" ca="1">IFERROR(INDEX(_xlfn.ANCHORARRAY($AA$11),ROW()-10,3),"")</f>
        <v>Email</v>
      </c>
      <c r="D15" s="13" t="str" cm="1">
        <f t="array" aca="1" ref="D15" ca="1">IFERROR(INDEX(_xlfn.ANCHORARRAY($AA$11),ROW()-10,4),"")</f>
        <v>Services: Trade</v>
      </c>
      <c r="E15" s="4" t="str" cm="1">
        <f t="array" aca="1" ref="E15" ca="1">IFERROR(INDEX(_xlfn.ANCHORARRAY($AA$11),ROW()-10,5),"")</f>
        <v>Services</v>
      </c>
      <c r="F15" s="13" t="str" cm="1">
        <f t="array" aca="1" ref="F15" ca="1">IFERROR(INDEX(_xlfn.ANCHORARRAY($AA$11),ROW()-10,6),"")</f>
        <v>Checked: Campaign Name and UTM Parameter (Source Code), Creative Brief, SL &amp; PH, SKUs, In-Design, Build, QA, Segments</v>
      </c>
      <c r="G15" s="4" t="str" cm="1">
        <f t="array" aca="1" ref="G15" ca="1">IFERROR(INDEX(_xlfn.ANCHORARRAY($AA$11),ROW()-10,7),"")</f>
        <v>Archim</v>
      </c>
      <c r="H15" s="4" t="str" cm="1">
        <f t="array" aca="1" ref="H15" ca="1">IFERROR(INDEX(_xlfn.ANCHORARRAY($AA$11),ROW()-10,8),"")</f>
        <v>Not Yet</v>
      </c>
      <c r="I15" s="4" t="str" cm="1">
        <f t="array" aca="1" ref="I15" ca="1">IFERROR(INDEX(_xlfn.ANCHORARRAY($AA$11),ROW()-10,9),"")</f>
        <v>Provided</v>
      </c>
      <c r="J15" s="25" t="str">
        <f t="shared" ca="1" si="0"/>
        <v>JIRA</v>
      </c>
      <c r="K15" s="24" t="str">
        <f t="shared" ca="1" si="1"/>
        <v>ClickUp</v>
      </c>
      <c r="L15" s="24" t="str" cm="1">
        <f t="array" aca="1" ref="L15" ca="1">_xlfn.LET(_xlpm.link,IFERROR(INDEX(_xlfn.ANCHORARRAY($AA$11),ROW()-10,12),""),IF(_xlpm.link="","",HYPERLINK(_xlpm.link,"Bluecore/Attentive")))</f>
        <v>Bluecore/Attentive</v>
      </c>
      <c r="M15" s="60" t="str">
        <f t="shared" ca="1" si="2"/>
        <v>Week 25</v>
      </c>
      <c r="N15"/>
      <c r="O15"/>
      <c r="P15"/>
      <c r="Q15"/>
      <c r="R15"/>
      <c r="S15"/>
      <c r="T15" s="6"/>
      <c r="U15" s="6"/>
      <c r="V15" s="6"/>
      <c r="W15" s="6"/>
      <c r="X15" s="6"/>
      <c r="Y15" s="6"/>
      <c r="Z15" s="6"/>
      <c r="AA15">
        <f ca="1"/>
        <v>46190</v>
      </c>
      <c r="AB15" t="str">
        <f ca="1"/>
        <v>STO</v>
      </c>
      <c r="AC15" t="str">
        <f ca="1"/>
        <v>Email</v>
      </c>
      <c r="AD15" t="str">
        <f ca="1"/>
        <v>Services: Trade</v>
      </c>
      <c r="AE15" t="str">
        <f ca="1"/>
        <v>Services</v>
      </c>
      <c r="AF15" t="str">
        <f ca="1"/>
        <v>Checked: Campaign Name and UTM Parameter (Source Code), Creative Brief, SL &amp; PH, SKUs, In-Design, Build, QA, Segments</v>
      </c>
      <c r="AG15" t="str">
        <f ca="1"/>
        <v>Archim</v>
      </c>
      <c r="AH15" t="str">
        <f ca="1"/>
        <v>Not Yet</v>
      </c>
      <c r="AI15" t="str">
        <f ca="1"/>
        <v>Provided</v>
      </c>
      <c r="AJ15" t="str">
        <f ca="1"/>
        <v>https://jira.adorama.com/browse/MKT-103394</v>
      </c>
      <c r="AK15" t="str">
        <f ca="1"/>
        <v>https://app.clickup.com/t/9010122869/86ahyhque</v>
      </c>
      <c r="AL15">
        <f ca="1"/>
        <v>0</v>
      </c>
    </row>
    <row r="16" spans="1:38" ht="45">
      <c r="A16" s="79" cm="1">
        <f t="array" aca="1" ref="A16" ca="1">IFERROR(INDEX(_xlfn.ANCHORARRAY($AA$11),ROW()-10,1),"")</f>
        <v>46191</v>
      </c>
      <c r="B16" s="81" t="str" cm="1">
        <f t="array" aca="1" ref="B16" ca="1">IFERROR(INDEX(_xlfn.ANCHORARRAY($AA$11),ROW()-10,2),"")</f>
        <v>STO</v>
      </c>
      <c r="C16" s="4" t="str" cm="1">
        <f t="array" aca="1" ref="C16" ca="1">IFERROR(INDEX(_xlfn.ANCHORARRAY($AA$11),ROW()-10,3),"")</f>
        <v>Email</v>
      </c>
      <c r="D16" s="13" t="str" cm="1">
        <f t="array" aca="1" ref="D16" ca="1">IFERROR(INDEX(_xlfn.ANCHORARRAY($AA$11),ROW()-10,4),"")</f>
        <v>PLCC: Adorama Brands</v>
      </c>
      <c r="E16" s="4" t="str" cm="1">
        <f t="array" aca="1" ref="E16" ca="1">IFERROR(INDEX(_xlfn.ANCHORARRAY($AA$11),ROW()-10,5),"")</f>
        <v>PLCC</v>
      </c>
      <c r="F16" s="13" t="str" cm="1">
        <f t="array" aca="1" ref="F16" ca="1">IFERROR(INDEX(_xlfn.ANCHORARRAY($AA$11),ROW()-10,6),"")</f>
        <v>Checked: Campaign Name and UTM Parameter (Source Code), Creative Brief, SL &amp; PH, SKUs, In-Design</v>
      </c>
      <c r="G16" s="4" t="str" cm="1">
        <f t="array" aca="1" ref="G16" ca="1">IFERROR(INDEX(_xlfn.ANCHORARRAY($AA$11),ROW()-10,7),"")</f>
        <v>Archim</v>
      </c>
      <c r="H16" s="4" t="str" cm="1">
        <f t="array" aca="1" ref="H16" ca="1">IFERROR(INDEX(_xlfn.ANCHORARRAY($AA$11),ROW()-10,8),"")</f>
        <v>Not Yet</v>
      </c>
      <c r="I16" s="4" t="str" cm="1">
        <f t="array" aca="1" ref="I16" ca="1">IFERROR(INDEX(_xlfn.ANCHORARRAY($AA$11),ROW()-10,9),"")</f>
        <v>Pending</v>
      </c>
      <c r="J16" s="25" t="str">
        <f t="shared" ca="1" si="0"/>
        <v>JIRA</v>
      </c>
      <c r="K16" s="27" t="str">
        <f t="shared" ca="1" si="1"/>
        <v>ClickUp</v>
      </c>
      <c r="L16" s="27" t="str" cm="1">
        <f t="array" aca="1" ref="L16" ca="1">_xlfn.LET(_xlpm.link,IFERROR(INDEX(_xlfn.ANCHORARRAY($AA$11),ROW()-10,12),""),IF(_xlpm.link="","",HYPERLINK(_xlpm.link,"Bluecore/Attentive")))</f>
        <v>Bluecore/Attentive</v>
      </c>
      <c r="M16" s="61" t="str">
        <f t="shared" ca="1" si="2"/>
        <v>Week 25</v>
      </c>
      <c r="N16"/>
      <c r="O16"/>
      <c r="P16"/>
      <c r="Q16"/>
      <c r="R16"/>
      <c r="S16"/>
      <c r="T16" s="6"/>
      <c r="U16" s="6"/>
      <c r="V16" s="6"/>
      <c r="W16" s="6"/>
      <c r="X16" s="6"/>
      <c r="Y16" s="6"/>
      <c r="Z16" s="6"/>
      <c r="AA16">
        <f ca="1"/>
        <v>46191</v>
      </c>
      <c r="AB16" t="str">
        <f ca="1"/>
        <v>STO</v>
      </c>
      <c r="AC16" t="str">
        <f ca="1"/>
        <v>Email</v>
      </c>
      <c r="AD16" t="str">
        <f ca="1"/>
        <v>PLCC: Adorama Brands</v>
      </c>
      <c r="AE16" t="str">
        <f ca="1"/>
        <v>PLCC</v>
      </c>
      <c r="AF16" t="str">
        <f ca="1"/>
        <v>Checked: Campaign Name and UTM Parameter (Source Code), Creative Brief, SL &amp; PH, SKUs, In-Design</v>
      </c>
      <c r="AG16" t="str">
        <f ca="1"/>
        <v>Archim</v>
      </c>
      <c r="AH16" t="str">
        <f ca="1"/>
        <v>Not Yet</v>
      </c>
      <c r="AI16" t="str">
        <f ca="1"/>
        <v>Pending</v>
      </c>
      <c r="AJ16">
        <f ca="1"/>
        <v>0</v>
      </c>
      <c r="AK16" t="str">
        <f ca="1"/>
        <v>https://app.clickup.com/t/9010122869/86ahyhquj</v>
      </c>
      <c r="AL16">
        <f ca="1"/>
        <v>0</v>
      </c>
    </row>
    <row r="17" spans="1:38" ht="45">
      <c r="A17" s="79" cm="1">
        <f t="array" aca="1" ref="A17" ca="1">IFERROR(INDEX(_xlfn.ANCHORARRAY($AA$11),ROW()-10,1),"")</f>
        <v>46192</v>
      </c>
      <c r="B17" s="81" cm="1">
        <f t="array" aca="1" ref="B17" ca="1">IFERROR(INDEX(_xlfn.ANCHORARRAY($AA$11),ROW()-10,2),"")</f>
        <v>0.33333333333333331</v>
      </c>
      <c r="C17" s="4" t="str" cm="1">
        <f t="array" aca="1" ref="C17" ca="1">IFERROR(INDEX(_xlfn.ANCHORARRAY($AA$11),ROW()-10,3),"")</f>
        <v>Email</v>
      </c>
      <c r="D17" s="13" t="str" cm="1">
        <f t="array" aca="1" ref="D17" ca="1">IFERROR(INDEX(_xlfn.ANCHORARRAY($AA$11),ROW()-10,4),"")</f>
        <v>Promo: Warehouse Sale</v>
      </c>
      <c r="E17" s="4" t="str" cm="1">
        <f t="array" aca="1" ref="E17" ca="1">IFERROR(INDEX(_xlfn.ANCHORARRAY($AA$11),ROW()-10,5),"")</f>
        <v>Promo</v>
      </c>
      <c r="F17" s="13" t="str" cm="1">
        <f t="array" aca="1" ref="F17" ca="1">IFERROR(INDEX(_xlfn.ANCHORARRAY($AA$11),ROW()-10,6),"")</f>
        <v>Checked: Campaign Name and UTM Parameter (Source Code), Creative Brief, SL &amp; PH, SKUs, Segments</v>
      </c>
      <c r="G17" s="4" t="str" cm="1">
        <f t="array" aca="1" ref="G17" ca="1">IFERROR(INDEX(_xlfn.ANCHORARRAY($AA$11),ROW()-10,7),"")</f>
        <v>Archim</v>
      </c>
      <c r="H17" s="4" t="str" cm="1">
        <f t="array" aca="1" ref="H17" ca="1">IFERROR(INDEX(_xlfn.ANCHORARRAY($AA$11),ROW()-10,8),"")</f>
        <v>Not Yet</v>
      </c>
      <c r="I17" s="4" t="str" cm="1">
        <f t="array" aca="1" ref="I17" ca="1">IFERROR(INDEX(_xlfn.ANCHORARRAY($AA$11),ROW()-10,9),"")</f>
        <v>Provided</v>
      </c>
      <c r="J17" s="4" t="str">
        <f t="shared" ca="1" si="0"/>
        <v>JIRA</v>
      </c>
      <c r="K17" s="4" t="str">
        <f t="shared" ca="1" si="1"/>
        <v>ClickUp</v>
      </c>
      <c r="L17" s="4" t="str" cm="1">
        <f t="array" aca="1" ref="L17" ca="1">_xlfn.LET(_xlpm.link,IFERROR(INDEX(_xlfn.ANCHORARRAY($AA$11),ROW()-10,12),""),IF(_xlpm.link="","",HYPERLINK(_xlpm.link,"Bluecore/Attentive")))</f>
        <v>Bluecore/Attentive</v>
      </c>
      <c r="M17" s="60" t="str">
        <f t="shared" ca="1" si="2"/>
        <v>Week 25</v>
      </c>
      <c r="N17"/>
      <c r="O17"/>
      <c r="P17"/>
      <c r="Q17"/>
      <c r="R17"/>
      <c r="S17"/>
      <c r="T17" s="6"/>
      <c r="U17" s="6"/>
      <c r="V17" s="6"/>
      <c r="W17" s="6"/>
      <c r="X17" s="6"/>
      <c r="Y17" s="6"/>
      <c r="Z17" s="6"/>
      <c r="AA17">
        <f ca="1"/>
        <v>46192</v>
      </c>
      <c r="AB17">
        <f ca="1"/>
        <v>0.33333333333333331</v>
      </c>
      <c r="AC17" t="str">
        <f ca="1"/>
        <v>Email</v>
      </c>
      <c r="AD17" t="str">
        <f ca="1"/>
        <v>Promo: Warehouse Sale</v>
      </c>
      <c r="AE17" t="str">
        <f ca="1"/>
        <v>Promo</v>
      </c>
      <c r="AF17" t="str">
        <f ca="1"/>
        <v>Checked: Campaign Name and UTM Parameter (Source Code), Creative Brief, SL &amp; PH, SKUs, Segments</v>
      </c>
      <c r="AG17" t="str">
        <f ca="1"/>
        <v>Archim</v>
      </c>
      <c r="AH17" t="str">
        <f ca="1"/>
        <v>Not Yet</v>
      </c>
      <c r="AI17" t="str">
        <f ca="1"/>
        <v>Provided</v>
      </c>
      <c r="AJ17">
        <f ca="1"/>
        <v>0</v>
      </c>
      <c r="AK17" t="str">
        <f ca="1"/>
        <v>https://app.clickup.com/t/9010122869/86ahyhqum</v>
      </c>
      <c r="AL17">
        <f ca="1"/>
        <v>0</v>
      </c>
    </row>
    <row r="18" spans="1:38" ht="45">
      <c r="A18" s="79" cm="1">
        <f t="array" aca="1" ref="A18" ca="1">IFERROR(INDEX(_xlfn.ANCHORARRAY($AA$11),ROW()-10,1),"")</f>
        <v>46193</v>
      </c>
      <c r="B18" s="81" cm="1">
        <f t="array" aca="1" ref="B18" ca="1">IFERROR(INDEX(_xlfn.ANCHORARRAY($AA$11),ROW()-10,2),"")</f>
        <v>0.91666666666666663</v>
      </c>
      <c r="C18" s="4" t="str" cm="1">
        <f t="array" aca="1" ref="C18" ca="1">IFERROR(INDEX(_xlfn.ANCHORARRAY($AA$11),ROW()-10,3),"")</f>
        <v>Email</v>
      </c>
      <c r="D18" s="13" t="str" cm="1">
        <f t="array" aca="1" ref="D18" ca="1">IFERROR(INDEX(_xlfn.ANCHORARRAY($AA$11),ROW()-10,4),"")</f>
        <v>Newsletter: Video</v>
      </c>
      <c r="E18" s="4" t="str" cm="1">
        <f t="array" aca="1" ref="E18" ca="1">IFERROR(INDEX(_xlfn.ANCHORARRAY($AA$11),ROW()-10,5),"")</f>
        <v>Newsletters</v>
      </c>
      <c r="F18" s="13" t="str" cm="1">
        <f t="array" aca="1" ref="F18" ca="1">IFERROR(INDEX(_xlfn.ANCHORARRAY($AA$11),ROW()-10,6),"")</f>
        <v>Checked: Campaign Name and UTM Parameter (Source Code), Creative Brief, SL &amp; PH, SKUs, Segments</v>
      </c>
      <c r="G18" s="4" t="str" cm="1">
        <f t="array" aca="1" ref="G18" ca="1">IFERROR(INDEX(_xlfn.ANCHORARRAY($AA$11),ROW()-10,7),"")</f>
        <v>Archim</v>
      </c>
      <c r="H18" s="4" t="str" cm="1">
        <f t="array" aca="1" ref="H18" ca="1">IFERROR(INDEX(_xlfn.ANCHORARRAY($AA$11),ROW()-10,8),"")</f>
        <v>Not Yet</v>
      </c>
      <c r="I18" s="4" t="str" cm="1">
        <f t="array" aca="1" ref="I18" ca="1">IFERROR(INDEX(_xlfn.ANCHORARRAY($AA$11),ROW()-10,9),"")</f>
        <v>Provided</v>
      </c>
      <c r="J18" s="4" t="str">
        <f t="shared" ca="1" si="0"/>
        <v>JIRA</v>
      </c>
      <c r="K18" s="4" t="str">
        <f t="shared" ca="1" si="1"/>
        <v>ClickUp</v>
      </c>
      <c r="L18" s="4" t="str" cm="1">
        <f t="array" aca="1" ref="L18" ca="1">_xlfn.LET(_xlpm.link,IFERROR(INDEX(_xlfn.ANCHORARRAY($AA$11),ROW()-10,12),""),IF(_xlpm.link="","",HYPERLINK(_xlpm.link,"Bluecore/Attentive")))</f>
        <v>Bluecore/Attentive</v>
      </c>
      <c r="M18" s="61" t="str">
        <f t="shared" ca="1" si="2"/>
        <v>Week 25</v>
      </c>
      <c r="N18"/>
      <c r="O18"/>
      <c r="P18"/>
      <c r="Q18"/>
      <c r="R18"/>
      <c r="S18"/>
      <c r="T18" s="6"/>
      <c r="U18" s="6"/>
      <c r="V18" s="6"/>
      <c r="W18" s="6"/>
      <c r="X18" s="6"/>
      <c r="Y18" s="6"/>
      <c r="Z18" s="6"/>
      <c r="AA18">
        <f ca="1"/>
        <v>46193</v>
      </c>
      <c r="AB18">
        <f ca="1"/>
        <v>0.91666666666666663</v>
      </c>
      <c r="AC18" t="str">
        <f ca="1"/>
        <v>Email</v>
      </c>
      <c r="AD18" t="str">
        <f ca="1"/>
        <v>Newsletter: Video</v>
      </c>
      <c r="AE18" t="str">
        <f ca="1"/>
        <v>Newsletters</v>
      </c>
      <c r="AF18" t="str">
        <f ca="1"/>
        <v>Checked: Campaign Name and UTM Parameter (Source Code), Creative Brief, SL &amp; PH, SKUs, Segments</v>
      </c>
      <c r="AG18" t="str">
        <f ca="1"/>
        <v>Archim</v>
      </c>
      <c r="AH18" t="str">
        <f ca="1"/>
        <v>Not Yet</v>
      </c>
      <c r="AI18" t="str">
        <f ca="1"/>
        <v>Provided</v>
      </c>
      <c r="AJ18">
        <f ca="1"/>
        <v>0</v>
      </c>
      <c r="AK18" t="str">
        <f ca="1"/>
        <v>https://app.clickup.com/t/9010122869/86ahyhqup</v>
      </c>
      <c r="AL18">
        <f ca="1"/>
        <v>0</v>
      </c>
    </row>
    <row r="19" spans="1:38">
      <c r="A19" s="79" t="str" cm="1">
        <f t="array" aca="1" ref="A19" ca="1">IFERROR(INDEX(_xlfn.ANCHORARRAY($AA$11),ROW()-10,1),"")</f>
        <v/>
      </c>
      <c r="B19" s="81" t="str" cm="1">
        <f t="array" aca="1" ref="B19" ca="1">IFERROR(INDEX(_xlfn.ANCHORARRAY($AA$11),ROW()-10,2),"")</f>
        <v/>
      </c>
      <c r="C19" s="4" t="str" cm="1">
        <f t="array" aca="1" ref="C19" ca="1">IFERROR(INDEX(_xlfn.ANCHORARRAY($AA$11),ROW()-10,3),"")</f>
        <v/>
      </c>
      <c r="D19" s="13" t="str" cm="1">
        <f t="array" aca="1" ref="D19" ca="1">IFERROR(INDEX(_xlfn.ANCHORARRAY($AA$11),ROW()-10,4),"")</f>
        <v/>
      </c>
      <c r="E19" s="4" t="str" cm="1">
        <f t="array" aca="1" ref="E19" ca="1">IFERROR(INDEX(_xlfn.ANCHORARRAY($AA$11),ROW()-10,5),"")</f>
        <v/>
      </c>
      <c r="F19" s="13" t="str" cm="1">
        <f t="array" aca="1" ref="F19" ca="1">IFERROR(INDEX(_xlfn.ANCHORARRAY($AA$11),ROW()-10,6),"")</f>
        <v/>
      </c>
      <c r="G19" s="4" t="str" cm="1">
        <f t="array" aca="1" ref="G19" ca="1">IFERROR(INDEX(_xlfn.ANCHORARRAY($AA$11),ROW()-10,7),"")</f>
        <v/>
      </c>
      <c r="H19" s="4" t="str" cm="1">
        <f t="array" aca="1" ref="H19" ca="1">IFERROR(INDEX(_xlfn.ANCHORARRAY($AA$11),ROW()-10,8),"")</f>
        <v/>
      </c>
      <c r="I19" s="4" t="str" cm="1">
        <f t="array" aca="1" ref="I19" ca="1">IFERROR(INDEX(_xlfn.ANCHORARRAY($AA$11),ROW()-10,9),"")</f>
        <v/>
      </c>
      <c r="J19" s="4" t="str">
        <f t="shared" ca="1" si="0"/>
        <v/>
      </c>
      <c r="K19" s="4" t="str">
        <f t="shared" ca="1" si="1"/>
        <v/>
      </c>
      <c r="L19" s="4" t="str" cm="1">
        <f t="array" aca="1" ref="L19" ca="1">_xlfn.LET(_xlpm.link,IFERROR(INDEX(_xlfn.ANCHORARRAY($AA$11),ROW()-10,12),""),IF(_xlpm.link="","",HYPERLINK(_xlpm.link,"Bluecore/Attentive")))</f>
        <v/>
      </c>
      <c r="M19" s="60" t="str">
        <f t="shared" ca="1" si="2"/>
        <v/>
      </c>
      <c r="N19"/>
      <c r="O19"/>
      <c r="P19"/>
      <c r="Q19"/>
      <c r="R19"/>
      <c r="S19"/>
      <c r="T19" s="6"/>
      <c r="U19" s="6"/>
      <c r="V19" s="6"/>
      <c r="W19" s="6"/>
      <c r="X19" s="6"/>
      <c r="Y19" s="6"/>
      <c r="Z19" s="6"/>
      <c r="AA19"/>
      <c r="AB19"/>
      <c r="AC19"/>
      <c r="AD19"/>
      <c r="AE19"/>
      <c r="AF19"/>
      <c r="AG19"/>
      <c r="AH19"/>
      <c r="AI19"/>
      <c r="AJ19"/>
      <c r="AK19"/>
      <c r="AL19"/>
    </row>
    <row r="20" spans="1:38">
      <c r="A20" s="79" t="str" cm="1">
        <f t="array" aca="1" ref="A20" ca="1">IFERROR(INDEX(_xlfn.ANCHORARRAY($AA$11),ROW()-10,1),"")</f>
        <v/>
      </c>
      <c r="B20" s="81" t="str" cm="1">
        <f t="array" aca="1" ref="B20" ca="1">IFERROR(INDEX(_xlfn.ANCHORARRAY($AA$11),ROW()-10,2),"")</f>
        <v/>
      </c>
      <c r="C20" s="4" t="str" cm="1">
        <f t="array" aca="1" ref="C20" ca="1">IFERROR(INDEX(_xlfn.ANCHORARRAY($AA$11),ROW()-10,3),"")</f>
        <v/>
      </c>
      <c r="D20" s="13" t="str" cm="1">
        <f t="array" aca="1" ref="D20" ca="1">IFERROR(INDEX(_xlfn.ANCHORARRAY($AA$11),ROW()-10,4),"")</f>
        <v/>
      </c>
      <c r="E20" s="4" t="str" cm="1">
        <f t="array" aca="1" ref="E20" ca="1">IFERROR(INDEX(_xlfn.ANCHORARRAY($AA$11),ROW()-10,5),"")</f>
        <v/>
      </c>
      <c r="F20" s="13" t="str" cm="1">
        <f t="array" aca="1" ref="F20" ca="1">IFERROR(INDEX(_xlfn.ANCHORARRAY($AA$11),ROW()-10,6),"")</f>
        <v/>
      </c>
      <c r="G20" s="4" t="str" cm="1">
        <f t="array" aca="1" ref="G20" ca="1">IFERROR(INDEX(_xlfn.ANCHORARRAY($AA$11),ROW()-10,7),"")</f>
        <v/>
      </c>
      <c r="H20" s="4" t="str" cm="1">
        <f t="array" aca="1" ref="H20" ca="1">IFERROR(INDEX(_xlfn.ANCHORARRAY($AA$11),ROW()-10,8),"")</f>
        <v/>
      </c>
      <c r="I20" s="4" t="str" cm="1">
        <f t="array" aca="1" ref="I20" ca="1">IFERROR(INDEX(_xlfn.ANCHORARRAY($AA$11),ROW()-10,9),"")</f>
        <v/>
      </c>
      <c r="J20" s="4" t="str">
        <f t="shared" ca="1" si="0"/>
        <v/>
      </c>
      <c r="K20" s="4" t="str">
        <f t="shared" ca="1" si="1"/>
        <v/>
      </c>
      <c r="L20" s="4" t="str" cm="1">
        <f t="array" aca="1" ref="L20" ca="1">_xlfn.LET(_xlpm.link,IFERROR(INDEX(_xlfn.ANCHORARRAY($AA$11),ROW()-10,12),""),IF(_xlpm.link="","",HYPERLINK(_xlpm.link,"Bluecore/Attentive")))</f>
        <v/>
      </c>
      <c r="M20" s="61" t="str">
        <f t="shared" ca="1" si="2"/>
        <v/>
      </c>
      <c r="N20"/>
      <c r="O20"/>
      <c r="P20"/>
      <c r="Q20"/>
      <c r="R20"/>
      <c r="S20"/>
      <c r="T20" s="6"/>
      <c r="U20" s="6"/>
      <c r="V20" s="6"/>
      <c r="W20" s="6"/>
      <c r="X20" s="6"/>
      <c r="Y20" s="6"/>
      <c r="Z20" s="6"/>
      <c r="AA20"/>
      <c r="AB20"/>
      <c r="AC20"/>
      <c r="AD20"/>
      <c r="AE20"/>
      <c r="AF20"/>
      <c r="AG20"/>
      <c r="AH20"/>
      <c r="AI20"/>
      <c r="AJ20"/>
      <c r="AK20"/>
      <c r="AL20"/>
    </row>
    <row r="21" spans="1:38">
      <c r="A21" s="79" t="str" cm="1">
        <f t="array" aca="1" ref="A21" ca="1">IFERROR(INDEX(_xlfn.ANCHORARRAY($AA$11),ROW()-10,1),"")</f>
        <v/>
      </c>
      <c r="B21" s="81" t="str" cm="1">
        <f t="array" aca="1" ref="B21" ca="1">IFERROR(INDEX(_xlfn.ANCHORARRAY($AA$11),ROW()-10,2),"")</f>
        <v/>
      </c>
      <c r="C21" s="4" t="str" cm="1">
        <f t="array" aca="1" ref="C21" ca="1">IFERROR(INDEX(_xlfn.ANCHORARRAY($AA$11),ROW()-10,3),"")</f>
        <v/>
      </c>
      <c r="D21" s="13" t="str" cm="1">
        <f t="array" aca="1" ref="D21" ca="1">IFERROR(INDEX(_xlfn.ANCHORARRAY($AA$11),ROW()-10,4),"")</f>
        <v/>
      </c>
      <c r="E21" s="4" t="str" cm="1">
        <f t="array" aca="1" ref="E21" ca="1">IFERROR(INDEX(_xlfn.ANCHORARRAY($AA$11),ROW()-10,5),"")</f>
        <v/>
      </c>
      <c r="F21" s="13" t="str" cm="1">
        <f t="array" aca="1" ref="F21" ca="1">IFERROR(INDEX(_xlfn.ANCHORARRAY($AA$11),ROW()-10,6),"")</f>
        <v/>
      </c>
      <c r="G21" s="4" t="str" cm="1">
        <f t="array" aca="1" ref="G21" ca="1">IFERROR(INDEX(_xlfn.ANCHORARRAY($AA$11),ROW()-10,7),"")</f>
        <v/>
      </c>
      <c r="H21" s="4" t="str" cm="1">
        <f t="array" aca="1" ref="H21" ca="1">IFERROR(INDEX(_xlfn.ANCHORARRAY($AA$11),ROW()-10,8),"")</f>
        <v/>
      </c>
      <c r="I21" s="4" t="str" cm="1">
        <f t="array" aca="1" ref="I21" ca="1">IFERROR(INDEX(_xlfn.ANCHORARRAY($AA$11),ROW()-10,9),"")</f>
        <v/>
      </c>
      <c r="J21" s="4" t="str">
        <f t="shared" ca="1" si="0"/>
        <v/>
      </c>
      <c r="K21" s="4" t="str">
        <f t="shared" ca="1" si="1"/>
        <v/>
      </c>
      <c r="L21" s="4" t="str" cm="1">
        <f t="array" aca="1" ref="L21" ca="1">_xlfn.LET(_xlpm.link,IFERROR(INDEX(_xlfn.ANCHORARRAY($AA$11),ROW()-10,12),""),IF(_xlpm.link="","",HYPERLINK(_xlpm.link,"Bluecore/Attentive")))</f>
        <v/>
      </c>
      <c r="M21" s="60" t="str">
        <f t="shared" ca="1" si="2"/>
        <v/>
      </c>
      <c r="N21"/>
      <c r="O21"/>
      <c r="P21"/>
      <c r="Q21"/>
      <c r="R21"/>
      <c r="S21"/>
      <c r="T21" s="6"/>
      <c r="U21" s="6"/>
      <c r="V21" s="6"/>
      <c r="W21" s="6"/>
      <c r="X21" s="6"/>
      <c r="Y21" s="6"/>
      <c r="Z21" s="6"/>
      <c r="AA21"/>
      <c r="AB21"/>
      <c r="AC21"/>
      <c r="AD21"/>
      <c r="AE21"/>
      <c r="AF21"/>
      <c r="AG21"/>
      <c r="AH21"/>
      <c r="AI21"/>
      <c r="AJ21"/>
      <c r="AK21"/>
      <c r="AL21"/>
    </row>
    <row r="22" spans="1:38">
      <c r="A22" s="79" t="str" cm="1">
        <f t="array" aca="1" ref="A22" ca="1">IFERROR(INDEX(_xlfn.ANCHORARRAY($AA$11),ROW()-10,1),"")</f>
        <v/>
      </c>
      <c r="B22" s="81" t="str" cm="1">
        <f t="array" aca="1" ref="B22" ca="1">IFERROR(INDEX(_xlfn.ANCHORARRAY($AA$11),ROW()-10,2),"")</f>
        <v/>
      </c>
      <c r="C22" s="4" t="str" cm="1">
        <f t="array" aca="1" ref="C22" ca="1">IFERROR(INDEX(_xlfn.ANCHORARRAY($AA$11),ROW()-10,3),"")</f>
        <v/>
      </c>
      <c r="D22" s="13" t="str" cm="1">
        <f t="array" aca="1" ref="D22" ca="1">IFERROR(INDEX(_xlfn.ANCHORARRAY($AA$11),ROW()-10,4),"")</f>
        <v/>
      </c>
      <c r="E22" s="4" t="str" cm="1">
        <f t="array" aca="1" ref="E22" ca="1">IFERROR(INDEX(_xlfn.ANCHORARRAY($AA$11),ROW()-10,5),"")</f>
        <v/>
      </c>
      <c r="F22" s="13" t="str" cm="1">
        <f t="array" aca="1" ref="F22" ca="1">IFERROR(INDEX(_xlfn.ANCHORARRAY($AA$11),ROW()-10,6),"")</f>
        <v/>
      </c>
      <c r="G22" s="4" t="str" cm="1">
        <f t="array" aca="1" ref="G22" ca="1">IFERROR(INDEX(_xlfn.ANCHORARRAY($AA$11),ROW()-10,7),"")</f>
        <v/>
      </c>
      <c r="H22" s="4" t="str" cm="1">
        <f t="array" aca="1" ref="H22" ca="1">IFERROR(INDEX(_xlfn.ANCHORARRAY($AA$11),ROW()-10,8),"")</f>
        <v/>
      </c>
      <c r="I22" s="4" t="str" cm="1">
        <f t="array" aca="1" ref="I22" ca="1">IFERROR(INDEX(_xlfn.ANCHORARRAY($AA$11),ROW()-10,9),"")</f>
        <v/>
      </c>
      <c r="J22" s="4" t="str">
        <f t="shared" ca="1" si="0"/>
        <v/>
      </c>
      <c r="K22" s="4" t="str">
        <f t="shared" ca="1" si="1"/>
        <v/>
      </c>
      <c r="L22" s="4" t="str" cm="1">
        <f t="array" aca="1" ref="L22" ca="1">_xlfn.LET(_xlpm.link,IFERROR(INDEX(_xlfn.ANCHORARRAY($AA$11),ROW()-10,12),""),IF(_xlpm.link="","",HYPERLINK(_xlpm.link,"Bluecore/Attentive")))</f>
        <v/>
      </c>
      <c r="M22" s="61" t="str">
        <f t="shared" ca="1" si="2"/>
        <v/>
      </c>
      <c r="N22"/>
      <c r="O22"/>
      <c r="P22"/>
      <c r="Q22"/>
      <c r="R22"/>
      <c r="S22"/>
      <c r="T22" s="6"/>
      <c r="U22" s="6"/>
      <c r="V22" s="6"/>
      <c r="W22" s="6"/>
      <c r="X22" s="6"/>
      <c r="Y22" s="6"/>
      <c r="Z22" s="6"/>
      <c r="AA22"/>
      <c r="AB22"/>
      <c r="AC22"/>
      <c r="AD22"/>
      <c r="AE22"/>
      <c r="AF22"/>
      <c r="AG22"/>
      <c r="AH22"/>
      <c r="AI22"/>
      <c r="AJ22"/>
      <c r="AK22"/>
      <c r="AL22"/>
    </row>
    <row r="23" spans="1:38">
      <c r="A23" s="79" t="str" cm="1">
        <f t="array" aca="1" ref="A23" ca="1">IFERROR(INDEX(_xlfn.ANCHORARRAY($AA$11),ROW()-10,1),"")</f>
        <v/>
      </c>
      <c r="B23" s="81" t="str" cm="1">
        <f t="array" aca="1" ref="B23" ca="1">IFERROR(INDEX(_xlfn.ANCHORARRAY($AA$11),ROW()-10,2),"")</f>
        <v/>
      </c>
      <c r="C23" s="4" t="str" cm="1">
        <f t="array" aca="1" ref="C23" ca="1">IFERROR(INDEX(_xlfn.ANCHORARRAY($AA$11),ROW()-10,3),"")</f>
        <v/>
      </c>
      <c r="D23" s="13" t="str" cm="1">
        <f t="array" aca="1" ref="D23" ca="1">IFERROR(INDEX(_xlfn.ANCHORARRAY($AA$11),ROW()-10,4),"")</f>
        <v/>
      </c>
      <c r="E23" s="4" t="str" cm="1">
        <f t="array" aca="1" ref="E23" ca="1">IFERROR(INDEX(_xlfn.ANCHORARRAY($AA$11),ROW()-10,5),"")</f>
        <v/>
      </c>
      <c r="F23" s="13" t="str" cm="1">
        <f t="array" aca="1" ref="F23" ca="1">IFERROR(INDEX(_xlfn.ANCHORARRAY($AA$11),ROW()-10,6),"")</f>
        <v/>
      </c>
      <c r="G23" s="4" t="str" cm="1">
        <f t="array" aca="1" ref="G23" ca="1">IFERROR(INDEX(_xlfn.ANCHORARRAY($AA$11),ROW()-10,7),"")</f>
        <v/>
      </c>
      <c r="H23" s="4" t="str" cm="1">
        <f t="array" aca="1" ref="H23" ca="1">IFERROR(INDEX(_xlfn.ANCHORARRAY($AA$11),ROW()-10,8),"")</f>
        <v/>
      </c>
      <c r="I23" s="4" t="str" cm="1">
        <f t="array" aca="1" ref="I23" ca="1">IFERROR(INDEX(_xlfn.ANCHORARRAY($AA$11),ROW()-10,9),"")</f>
        <v/>
      </c>
      <c r="J23" s="4" t="str">
        <f t="shared" ca="1" si="0"/>
        <v/>
      </c>
      <c r="K23" s="4" t="str">
        <f t="shared" ca="1" si="1"/>
        <v/>
      </c>
      <c r="L23" s="4" t="str" cm="1">
        <f t="array" aca="1" ref="L23" ca="1">_xlfn.LET(_xlpm.link,IFERROR(INDEX(_xlfn.ANCHORARRAY($AA$11),ROW()-10,12),""),IF(_xlpm.link="","",HYPERLINK(_xlpm.link,"Bluecore/Attentive")))</f>
        <v/>
      </c>
      <c r="M23" s="60" t="str">
        <f t="shared" ca="1" si="2"/>
        <v/>
      </c>
      <c r="N23"/>
      <c r="O23"/>
      <c r="P23"/>
      <c r="Q23"/>
      <c r="R23"/>
      <c r="S23"/>
      <c r="T23" s="6"/>
      <c r="U23" s="6"/>
      <c r="V23" s="6"/>
      <c r="W23" s="6"/>
      <c r="X23" s="6"/>
      <c r="Y23" s="6"/>
      <c r="Z23" s="6"/>
      <c r="AA23"/>
      <c r="AB23"/>
      <c r="AC23"/>
      <c r="AD23"/>
      <c r="AE23"/>
      <c r="AF23"/>
      <c r="AG23"/>
      <c r="AH23"/>
      <c r="AI23"/>
      <c r="AJ23"/>
      <c r="AK23"/>
      <c r="AL23"/>
    </row>
    <row r="24" spans="1:38" ht="15" customHeight="1">
      <c r="A24" s="79" t="str" cm="1">
        <f t="array" aca="1" ref="A24" ca="1">IFERROR(INDEX(_xlfn.ANCHORARRAY($AA$11),ROW()-10,1),"")</f>
        <v/>
      </c>
      <c r="B24" s="81" t="str" cm="1">
        <f t="array" aca="1" ref="B24" ca="1">IFERROR(INDEX(_xlfn.ANCHORARRAY($AA$11),ROW()-10,2),"")</f>
        <v/>
      </c>
      <c r="C24" s="4" t="str" cm="1">
        <f t="array" aca="1" ref="C24" ca="1">IFERROR(INDEX(_xlfn.ANCHORARRAY($AA$11),ROW()-10,3),"")</f>
        <v/>
      </c>
      <c r="D24" s="13" t="str" cm="1">
        <f t="array" aca="1" ref="D24" ca="1">IFERROR(INDEX(_xlfn.ANCHORARRAY($AA$11),ROW()-10,4),"")</f>
        <v/>
      </c>
      <c r="E24" s="4" t="str" cm="1">
        <f t="array" aca="1" ref="E24" ca="1">IFERROR(INDEX(_xlfn.ANCHORARRAY($AA$11),ROW()-10,5),"")</f>
        <v/>
      </c>
      <c r="F24" s="13" t="str" cm="1">
        <f t="array" aca="1" ref="F24" ca="1">IFERROR(INDEX(_xlfn.ANCHORARRAY($AA$11),ROW()-10,6),"")</f>
        <v/>
      </c>
      <c r="G24" s="4" t="str" cm="1">
        <f t="array" aca="1" ref="G24" ca="1">IFERROR(INDEX(_xlfn.ANCHORARRAY($AA$11),ROW()-10,7),"")</f>
        <v/>
      </c>
      <c r="H24" s="4" t="str" cm="1">
        <f t="array" aca="1" ref="H24" ca="1">IFERROR(INDEX(_xlfn.ANCHORARRAY($AA$11),ROW()-10,8),"")</f>
        <v/>
      </c>
      <c r="I24" s="4" t="str" cm="1">
        <f t="array" aca="1" ref="I24" ca="1">IFERROR(INDEX(_xlfn.ANCHORARRAY($AA$11),ROW()-10,9),"")</f>
        <v/>
      </c>
      <c r="J24" s="4" t="str">
        <f t="shared" ca="1" si="0"/>
        <v/>
      </c>
      <c r="K24" s="4" t="str">
        <f t="shared" ca="1" si="1"/>
        <v/>
      </c>
      <c r="L24" s="4" t="str" cm="1">
        <f t="array" aca="1" ref="L24" ca="1">_xlfn.LET(_xlpm.link,IFERROR(INDEX(_xlfn.ANCHORARRAY($AA$11),ROW()-10,12),""),IF(_xlpm.link="","",HYPERLINK(_xlpm.link,"Bluecore/Attentive")))</f>
        <v/>
      </c>
      <c r="M24" s="61" t="str">
        <f t="shared" ca="1" si="2"/>
        <v/>
      </c>
      <c r="N24"/>
      <c r="O24"/>
      <c r="P24"/>
      <c r="Q24"/>
      <c r="R24"/>
      <c r="S24"/>
      <c r="T24" s="6"/>
      <c r="U24" s="6"/>
      <c r="V24" s="6"/>
      <c r="W24" s="6"/>
      <c r="X24" s="6"/>
      <c r="Y24" s="6"/>
      <c r="Z24" s="6"/>
      <c r="AA24"/>
      <c r="AB24"/>
      <c r="AC24"/>
      <c r="AD24"/>
      <c r="AE24"/>
      <c r="AF24"/>
      <c r="AG24"/>
      <c r="AH24"/>
      <c r="AI24"/>
      <c r="AJ24"/>
      <c r="AK24"/>
      <c r="AL24"/>
    </row>
    <row r="25" spans="1:38">
      <c r="A25" s="79" t="str" cm="1">
        <f t="array" aca="1" ref="A25" ca="1">IFERROR(INDEX(_xlfn.ANCHORARRAY($AA$11),ROW()-10,1),"")</f>
        <v/>
      </c>
      <c r="B25" s="81" t="str" cm="1">
        <f t="array" aca="1" ref="B25" ca="1">IFERROR(INDEX(_xlfn.ANCHORARRAY($AA$11),ROW()-10,2),"")</f>
        <v/>
      </c>
      <c r="C25" s="4" t="str" cm="1">
        <f t="array" aca="1" ref="C25" ca="1">IFERROR(INDEX(_xlfn.ANCHORARRAY($AA$11),ROW()-10,3),"")</f>
        <v/>
      </c>
      <c r="D25" s="13" t="str" cm="1">
        <f t="array" aca="1" ref="D25" ca="1">IFERROR(INDEX(_xlfn.ANCHORARRAY($AA$11),ROW()-10,4),"")</f>
        <v/>
      </c>
      <c r="E25" s="4" t="str" cm="1">
        <f t="array" aca="1" ref="E25" ca="1">IFERROR(INDEX(_xlfn.ANCHORARRAY($AA$11),ROW()-10,5),"")</f>
        <v/>
      </c>
      <c r="F25" s="13" t="str" cm="1">
        <f t="array" aca="1" ref="F25" ca="1">IFERROR(INDEX(_xlfn.ANCHORARRAY($AA$11),ROW()-10,6),"")</f>
        <v/>
      </c>
      <c r="G25" s="4" t="str" cm="1">
        <f t="array" aca="1" ref="G25" ca="1">IFERROR(INDEX(_xlfn.ANCHORARRAY($AA$11),ROW()-10,7),"")</f>
        <v/>
      </c>
      <c r="H25" s="4" t="str" cm="1">
        <f t="array" aca="1" ref="H25" ca="1">IFERROR(INDEX(_xlfn.ANCHORARRAY($AA$11),ROW()-10,8),"")</f>
        <v/>
      </c>
      <c r="I25" s="4" t="str" cm="1">
        <f t="array" aca="1" ref="I25" ca="1">IFERROR(INDEX(_xlfn.ANCHORARRAY($AA$11),ROW()-10,9),"")</f>
        <v/>
      </c>
      <c r="J25" s="4" t="str">
        <f t="shared" ca="1" si="0"/>
        <v/>
      </c>
      <c r="K25" s="4" t="str">
        <f t="shared" ca="1" si="1"/>
        <v/>
      </c>
      <c r="L25" s="4" t="str" cm="1">
        <f t="array" aca="1" ref="L25" ca="1">_xlfn.LET(_xlpm.link,IFERROR(INDEX(_xlfn.ANCHORARRAY($AA$11),ROW()-10,12),""),IF(_xlpm.link="","",HYPERLINK(_xlpm.link,"Bluecore/Attentive")))</f>
        <v/>
      </c>
      <c r="M25" s="60" t="str">
        <f t="shared" ca="1" si="2"/>
        <v/>
      </c>
      <c r="N25"/>
      <c r="O25"/>
      <c r="P25"/>
      <c r="Q25"/>
      <c r="R25"/>
      <c r="S25"/>
      <c r="T25" s="6"/>
      <c r="U25" s="6"/>
      <c r="V25" s="6"/>
      <c r="W25" s="6"/>
      <c r="X25" s="6"/>
      <c r="Y25" s="6"/>
      <c r="Z25" s="6"/>
      <c r="AA25"/>
      <c r="AB25"/>
      <c r="AC25"/>
      <c r="AD25"/>
      <c r="AE25"/>
      <c r="AF25"/>
      <c r="AG25"/>
      <c r="AH25"/>
      <c r="AI25"/>
      <c r="AJ25"/>
      <c r="AK25"/>
      <c r="AL25"/>
    </row>
    <row r="26" spans="1:38">
      <c r="A26" s="79" t="str" cm="1">
        <f t="array" aca="1" ref="A26" ca="1">IFERROR(INDEX(_xlfn.ANCHORARRAY($AA$11),ROW()-10,1),"")</f>
        <v/>
      </c>
      <c r="B26" s="81" t="str" cm="1">
        <f t="array" aca="1" ref="B26" ca="1">IFERROR(INDEX(_xlfn.ANCHORARRAY($AA$11),ROW()-10,2),"")</f>
        <v/>
      </c>
      <c r="C26" s="4" t="str" cm="1">
        <f t="array" aca="1" ref="C26" ca="1">IFERROR(INDEX(_xlfn.ANCHORARRAY($AA$11),ROW()-10,3),"")</f>
        <v/>
      </c>
      <c r="D26" s="13" t="str" cm="1">
        <f t="array" aca="1" ref="D26" ca="1">IFERROR(INDEX(_xlfn.ANCHORARRAY($AA$11),ROW()-10,4),"")</f>
        <v/>
      </c>
      <c r="E26" s="4" t="str" cm="1">
        <f t="array" aca="1" ref="E26" ca="1">IFERROR(INDEX(_xlfn.ANCHORARRAY($AA$11),ROW()-10,5),"")</f>
        <v/>
      </c>
      <c r="F26" s="13" t="str" cm="1">
        <f t="array" aca="1" ref="F26" ca="1">IFERROR(INDEX(_xlfn.ANCHORARRAY($AA$11),ROW()-10,6),"")</f>
        <v/>
      </c>
      <c r="G26" s="4" t="str" cm="1">
        <f t="array" aca="1" ref="G26" ca="1">IFERROR(INDEX(_xlfn.ANCHORARRAY($AA$11),ROW()-10,7),"")</f>
        <v/>
      </c>
      <c r="H26" s="4" t="str" cm="1">
        <f t="array" aca="1" ref="H26" ca="1">IFERROR(INDEX(_xlfn.ANCHORARRAY($AA$11),ROW()-10,8),"")</f>
        <v/>
      </c>
      <c r="I26" s="4" t="str" cm="1">
        <f t="array" aca="1" ref="I26" ca="1">IFERROR(INDEX(_xlfn.ANCHORARRAY($AA$11),ROW()-10,9),"")</f>
        <v/>
      </c>
      <c r="J26" s="4" t="str">
        <f t="shared" ca="1" si="0"/>
        <v/>
      </c>
      <c r="K26" s="4" t="str">
        <f t="shared" ca="1" si="1"/>
        <v/>
      </c>
      <c r="L26" s="4" t="str" cm="1">
        <f t="array" aca="1" ref="L26" ca="1">_xlfn.LET(_xlpm.link,IFERROR(INDEX(_xlfn.ANCHORARRAY($AA$11),ROW()-10,12),""),IF(_xlpm.link="","",HYPERLINK(_xlpm.link,"Bluecore/Attentive")))</f>
        <v/>
      </c>
      <c r="M26" s="61" t="str">
        <f t="shared" ca="1" si="2"/>
        <v/>
      </c>
      <c r="N26"/>
      <c r="O26"/>
      <c r="P26"/>
      <c r="Q26"/>
      <c r="R26"/>
      <c r="S26"/>
      <c r="T26" s="6"/>
      <c r="U26" s="6"/>
      <c r="V26" s="6"/>
      <c r="W26" s="6"/>
      <c r="X26" s="6"/>
      <c r="Y26" s="6"/>
      <c r="Z26" s="6"/>
      <c r="AA26"/>
      <c r="AB26"/>
      <c r="AC26"/>
      <c r="AD26"/>
      <c r="AE26"/>
      <c r="AF26"/>
      <c r="AG26"/>
      <c r="AH26"/>
      <c r="AI26"/>
      <c r="AJ26"/>
      <c r="AK26"/>
      <c r="AL26"/>
    </row>
    <row r="27" spans="1:38">
      <c r="A27" s="79" t="str" cm="1">
        <f t="array" aca="1" ref="A27" ca="1">IFERROR(INDEX(_xlfn.ANCHORARRAY($AA$11),ROW()-10,1),"")</f>
        <v/>
      </c>
      <c r="B27" s="81" t="str" cm="1">
        <f t="array" aca="1" ref="B27" ca="1">IFERROR(INDEX(_xlfn.ANCHORARRAY($AA$11),ROW()-10,2),"")</f>
        <v/>
      </c>
      <c r="C27" s="4" t="str" cm="1">
        <f t="array" aca="1" ref="C27" ca="1">IFERROR(INDEX(_xlfn.ANCHORARRAY($AA$11),ROW()-10,3),"")</f>
        <v/>
      </c>
      <c r="D27" s="13" t="str" cm="1">
        <f t="array" aca="1" ref="D27" ca="1">IFERROR(INDEX(_xlfn.ANCHORARRAY($AA$11),ROW()-10,4),"")</f>
        <v/>
      </c>
      <c r="E27" s="4" t="str" cm="1">
        <f t="array" aca="1" ref="E27" ca="1">IFERROR(INDEX(_xlfn.ANCHORARRAY($AA$11),ROW()-10,5),"")</f>
        <v/>
      </c>
      <c r="F27" s="13" t="str" cm="1">
        <f t="array" aca="1" ref="F27" ca="1">IFERROR(INDEX(_xlfn.ANCHORARRAY($AA$11),ROW()-10,6),"")</f>
        <v/>
      </c>
      <c r="G27" s="4" t="str" cm="1">
        <f t="array" aca="1" ref="G27" ca="1">IFERROR(INDEX(_xlfn.ANCHORARRAY($AA$11),ROW()-10,7),"")</f>
        <v/>
      </c>
      <c r="H27" s="4" t="str" cm="1">
        <f t="array" aca="1" ref="H27" ca="1">IFERROR(INDEX(_xlfn.ANCHORARRAY($AA$11),ROW()-10,8),"")</f>
        <v/>
      </c>
      <c r="I27" s="4" t="str" cm="1">
        <f t="array" aca="1" ref="I27" ca="1">IFERROR(INDEX(_xlfn.ANCHORARRAY($AA$11),ROW()-10,9),"")</f>
        <v/>
      </c>
      <c r="J27" s="4" t="str">
        <f t="shared" ca="1" si="0"/>
        <v/>
      </c>
      <c r="K27" s="4" t="str">
        <f t="shared" ca="1" si="1"/>
        <v/>
      </c>
      <c r="L27" s="4" t="str" cm="1">
        <f t="array" aca="1" ref="L27" ca="1">_xlfn.LET(_xlpm.link,IFERROR(INDEX(_xlfn.ANCHORARRAY($AA$11),ROW()-10,12),""),IF(_xlpm.link="","",HYPERLINK(_xlpm.link,"Bluecore/Attentive")))</f>
        <v/>
      </c>
      <c r="M27" s="60" t="str">
        <f t="shared" ca="1" si="2"/>
        <v/>
      </c>
      <c r="N27"/>
      <c r="O27"/>
      <c r="P27"/>
      <c r="Q27"/>
      <c r="R27"/>
      <c r="S27"/>
      <c r="T27" s="6"/>
      <c r="U27" s="6"/>
      <c r="V27" s="6"/>
      <c r="W27" s="6"/>
      <c r="X27" s="6"/>
      <c r="Y27" s="6"/>
      <c r="Z27" s="6"/>
      <c r="AA27"/>
      <c r="AB27"/>
      <c r="AC27"/>
      <c r="AD27"/>
      <c r="AE27"/>
      <c r="AF27"/>
      <c r="AG27"/>
      <c r="AH27"/>
      <c r="AI27"/>
      <c r="AJ27"/>
      <c r="AK27"/>
      <c r="AL27"/>
    </row>
    <row r="28" spans="1:38">
      <c r="A28" s="79" t="str" cm="1">
        <f t="array" aca="1" ref="A28" ca="1">IFERROR(INDEX(_xlfn.ANCHORARRAY($AA$11),ROW()-10,1),"")</f>
        <v/>
      </c>
      <c r="B28" s="81" t="str" cm="1">
        <f t="array" aca="1" ref="B28" ca="1">IFERROR(INDEX(_xlfn.ANCHORARRAY($AA$11),ROW()-10,2),"")</f>
        <v/>
      </c>
      <c r="C28" s="4" t="str" cm="1">
        <f t="array" aca="1" ref="C28" ca="1">IFERROR(INDEX(_xlfn.ANCHORARRAY($AA$11),ROW()-10,3),"")</f>
        <v/>
      </c>
      <c r="D28" s="13" t="str" cm="1">
        <f t="array" aca="1" ref="D28" ca="1">IFERROR(INDEX(_xlfn.ANCHORARRAY($AA$11),ROW()-10,4),"")</f>
        <v/>
      </c>
      <c r="E28" s="4" t="str" cm="1">
        <f t="array" aca="1" ref="E28" ca="1">IFERROR(INDEX(_xlfn.ANCHORARRAY($AA$11),ROW()-10,5),"")</f>
        <v/>
      </c>
      <c r="F28" s="13" t="str" cm="1">
        <f t="array" aca="1" ref="F28" ca="1">IFERROR(INDEX(_xlfn.ANCHORARRAY($AA$11),ROW()-10,6),"")</f>
        <v/>
      </c>
      <c r="G28" s="4" t="str" cm="1">
        <f t="array" aca="1" ref="G28" ca="1">IFERROR(INDEX(_xlfn.ANCHORARRAY($AA$11),ROW()-10,7),"")</f>
        <v/>
      </c>
      <c r="H28" s="4" t="str" cm="1">
        <f t="array" aca="1" ref="H28" ca="1">IFERROR(INDEX(_xlfn.ANCHORARRAY($AA$11),ROW()-10,8),"")</f>
        <v/>
      </c>
      <c r="I28" s="4" t="str" cm="1">
        <f t="array" aca="1" ref="I28" ca="1">IFERROR(INDEX(_xlfn.ANCHORARRAY($AA$11),ROW()-10,9),"")</f>
        <v/>
      </c>
      <c r="J28" s="4" t="str">
        <f t="shared" ca="1" si="0"/>
        <v/>
      </c>
      <c r="K28" s="4" t="str">
        <f t="shared" ca="1" si="1"/>
        <v/>
      </c>
      <c r="L28" s="4" t="str" cm="1">
        <f t="array" aca="1" ref="L28" ca="1">_xlfn.LET(_xlpm.link,IFERROR(INDEX(_xlfn.ANCHORARRAY($AA$11),ROW()-10,12),""),IF(_xlpm.link="","",HYPERLINK(_xlpm.link,"Bluecore/Attentive")))</f>
        <v/>
      </c>
      <c r="M28" s="61" t="str">
        <f t="shared" ca="1" si="2"/>
        <v/>
      </c>
      <c r="N28"/>
      <c r="O28"/>
      <c r="P28"/>
      <c r="Q28"/>
      <c r="R28"/>
      <c r="S28"/>
      <c r="T28" s="6"/>
      <c r="U28" s="6"/>
      <c r="V28" s="6"/>
      <c r="W28" s="6"/>
      <c r="X28" s="6"/>
      <c r="Y28" s="6"/>
      <c r="Z28" s="6"/>
      <c r="AA28"/>
      <c r="AB28"/>
      <c r="AC28"/>
      <c r="AD28"/>
      <c r="AE28"/>
      <c r="AF28"/>
      <c r="AG28"/>
      <c r="AH28"/>
      <c r="AI28"/>
      <c r="AJ28"/>
      <c r="AK28"/>
      <c r="AL28"/>
    </row>
    <row r="29" spans="1:38">
      <c r="A29" s="79" t="str" cm="1">
        <f t="array" aca="1" ref="A29" ca="1">IFERROR(INDEX(_xlfn.ANCHORARRAY($AA$11),ROW()-10,1),"")</f>
        <v/>
      </c>
      <c r="B29" s="81" t="str" cm="1">
        <f t="array" aca="1" ref="B29" ca="1">IFERROR(INDEX(_xlfn.ANCHORARRAY($AA$11),ROW()-10,2),"")</f>
        <v/>
      </c>
      <c r="C29" s="4" t="str" cm="1">
        <f t="array" aca="1" ref="C29" ca="1">IFERROR(INDEX(_xlfn.ANCHORARRAY($AA$11),ROW()-10,3),"")</f>
        <v/>
      </c>
      <c r="D29" s="13" t="str" cm="1">
        <f t="array" aca="1" ref="D29" ca="1">IFERROR(INDEX(_xlfn.ANCHORARRAY($AA$11),ROW()-10,4),"")</f>
        <v/>
      </c>
      <c r="E29" s="4" t="str" cm="1">
        <f t="array" aca="1" ref="E29" ca="1">IFERROR(INDEX(_xlfn.ANCHORARRAY($AA$11),ROW()-10,5),"")</f>
        <v/>
      </c>
      <c r="F29" s="13" t="str" cm="1">
        <f t="array" aca="1" ref="F29" ca="1">IFERROR(INDEX(_xlfn.ANCHORARRAY($AA$11),ROW()-10,6),"")</f>
        <v/>
      </c>
      <c r="G29" s="4" t="str" cm="1">
        <f t="array" aca="1" ref="G29" ca="1">IFERROR(INDEX(_xlfn.ANCHORARRAY($AA$11),ROW()-10,7),"")</f>
        <v/>
      </c>
      <c r="H29" s="4" t="str" cm="1">
        <f t="array" aca="1" ref="H29" ca="1">IFERROR(INDEX(_xlfn.ANCHORARRAY($AA$11),ROW()-10,8),"")</f>
        <v/>
      </c>
      <c r="I29" s="4" t="str" cm="1">
        <f t="array" aca="1" ref="I29" ca="1">IFERROR(INDEX(_xlfn.ANCHORARRAY($AA$11),ROW()-10,9),"")</f>
        <v/>
      </c>
      <c r="J29" s="4" t="str">
        <f t="shared" ca="1" si="0"/>
        <v/>
      </c>
      <c r="K29" s="4" t="str">
        <f t="shared" ca="1" si="1"/>
        <v/>
      </c>
      <c r="L29" s="4" t="str" cm="1">
        <f t="array" aca="1" ref="L29" ca="1">_xlfn.LET(_xlpm.link,IFERROR(INDEX(_xlfn.ANCHORARRAY($AA$11),ROW()-10,12),""),IF(_xlpm.link="","",HYPERLINK(_xlpm.link,"Bluecore/Attentive")))</f>
        <v/>
      </c>
      <c r="M29" s="60" t="str">
        <f t="shared" ca="1" si="2"/>
        <v/>
      </c>
      <c r="N29"/>
      <c r="O29"/>
      <c r="P29"/>
      <c r="Q29"/>
      <c r="R29"/>
      <c r="S29"/>
      <c r="T29" s="6"/>
      <c r="U29" s="6"/>
      <c r="V29" s="6"/>
      <c r="W29" s="6"/>
      <c r="X29" s="6"/>
      <c r="Y29" s="6"/>
      <c r="Z29" s="6"/>
      <c r="AA29"/>
      <c r="AB29"/>
      <c r="AC29"/>
      <c r="AD29"/>
      <c r="AE29"/>
      <c r="AF29"/>
      <c r="AG29"/>
      <c r="AH29"/>
      <c r="AI29"/>
      <c r="AJ29"/>
      <c r="AK29"/>
      <c r="AL29"/>
    </row>
    <row r="30" spans="1:38">
      <c r="A30" s="79" t="str" cm="1">
        <f t="array" aca="1" ref="A30" ca="1">IFERROR(INDEX(_xlfn.ANCHORARRAY($AA$11),ROW()-10,1),"")</f>
        <v/>
      </c>
      <c r="B30" s="81" t="str" cm="1">
        <f t="array" aca="1" ref="B30" ca="1">IFERROR(INDEX(_xlfn.ANCHORARRAY($AA$11),ROW()-10,2),"")</f>
        <v/>
      </c>
      <c r="C30" s="4" t="str" cm="1">
        <f t="array" aca="1" ref="C30" ca="1">IFERROR(INDEX(_xlfn.ANCHORARRAY($AA$11),ROW()-10,3),"")</f>
        <v/>
      </c>
      <c r="D30" s="13" t="str" cm="1">
        <f t="array" aca="1" ref="D30" ca="1">IFERROR(INDEX(_xlfn.ANCHORARRAY($AA$11),ROW()-10,4),"")</f>
        <v/>
      </c>
      <c r="E30" s="4" t="str" cm="1">
        <f t="array" aca="1" ref="E30" ca="1">IFERROR(INDEX(_xlfn.ANCHORARRAY($AA$11),ROW()-10,5),"")</f>
        <v/>
      </c>
      <c r="F30" s="13" t="str" cm="1">
        <f t="array" aca="1" ref="F30" ca="1">IFERROR(INDEX(_xlfn.ANCHORARRAY($AA$11),ROW()-10,6),"")</f>
        <v/>
      </c>
      <c r="G30" s="4" t="str" cm="1">
        <f t="array" aca="1" ref="G30" ca="1">IFERROR(INDEX(_xlfn.ANCHORARRAY($AA$11),ROW()-10,7),"")</f>
        <v/>
      </c>
      <c r="H30" s="4" t="str" cm="1">
        <f t="array" aca="1" ref="H30" ca="1">IFERROR(INDEX(_xlfn.ANCHORARRAY($AA$11),ROW()-10,8),"")</f>
        <v/>
      </c>
      <c r="I30" s="4" t="str" cm="1">
        <f t="array" aca="1" ref="I30" ca="1">IFERROR(INDEX(_xlfn.ANCHORARRAY($AA$11),ROW()-10,9),"")</f>
        <v/>
      </c>
      <c r="J30" s="4" t="str">
        <f t="shared" ca="1" si="0"/>
        <v/>
      </c>
      <c r="K30" s="4" t="str">
        <f t="shared" ca="1" si="1"/>
        <v/>
      </c>
      <c r="L30" s="4" t="str" cm="1">
        <f t="array" aca="1" ref="L30" ca="1">_xlfn.LET(_xlpm.link,IFERROR(INDEX(_xlfn.ANCHORARRAY($AA$11),ROW()-10,12),""),IF(_xlpm.link="","",HYPERLINK(_xlpm.link,"Bluecore/Attentive")))</f>
        <v/>
      </c>
      <c r="M30" s="61" t="str">
        <f t="shared" ca="1" si="2"/>
        <v/>
      </c>
      <c r="N30"/>
      <c r="O30"/>
      <c r="P30"/>
      <c r="Q30"/>
      <c r="R30"/>
      <c r="S30"/>
      <c r="T30" s="6"/>
      <c r="U30" s="6"/>
      <c r="V30" s="6"/>
      <c r="W30" s="6"/>
      <c r="X30" s="6"/>
      <c r="Y30" s="6"/>
      <c r="Z30" s="6"/>
      <c r="AA30"/>
      <c r="AB30"/>
      <c r="AC30"/>
      <c r="AD30"/>
      <c r="AE30"/>
      <c r="AF30"/>
      <c r="AG30"/>
      <c r="AH30"/>
      <c r="AI30"/>
      <c r="AJ30"/>
      <c r="AK30"/>
      <c r="AL30"/>
    </row>
    <row r="31" spans="1:38">
      <c r="A31" s="79" t="str" cm="1">
        <f t="array" aca="1" ref="A31" ca="1">IFERROR(INDEX(_xlfn.ANCHORARRAY($AA$11),ROW()-10,1),"")</f>
        <v/>
      </c>
      <c r="B31" s="81" t="str" cm="1">
        <f t="array" aca="1" ref="B31" ca="1">IFERROR(INDEX(_xlfn.ANCHORARRAY($AA$11),ROW()-10,2),"")</f>
        <v/>
      </c>
      <c r="C31" s="4" t="str" cm="1">
        <f t="array" aca="1" ref="C31" ca="1">IFERROR(INDEX(_xlfn.ANCHORARRAY($AA$11),ROW()-10,3),"")</f>
        <v/>
      </c>
      <c r="D31" s="13" t="str" cm="1">
        <f t="array" aca="1" ref="D31" ca="1">IFERROR(INDEX(_xlfn.ANCHORARRAY($AA$11),ROW()-10,4),"")</f>
        <v/>
      </c>
      <c r="E31" s="4" t="str" cm="1">
        <f t="array" aca="1" ref="E31" ca="1">IFERROR(INDEX(_xlfn.ANCHORARRAY($AA$11),ROW()-10,5),"")</f>
        <v/>
      </c>
      <c r="F31" s="13" t="str" cm="1">
        <f t="array" aca="1" ref="F31" ca="1">IFERROR(INDEX(_xlfn.ANCHORARRAY($AA$11),ROW()-10,6),"")</f>
        <v/>
      </c>
      <c r="G31" s="4" t="str" cm="1">
        <f t="array" aca="1" ref="G31" ca="1">IFERROR(INDEX(_xlfn.ANCHORARRAY($AA$11),ROW()-10,7),"")</f>
        <v/>
      </c>
      <c r="H31" s="4" t="str" cm="1">
        <f t="array" aca="1" ref="H31" ca="1">IFERROR(INDEX(_xlfn.ANCHORARRAY($AA$11),ROW()-10,8),"")</f>
        <v/>
      </c>
      <c r="I31" s="4" t="str" cm="1">
        <f t="array" aca="1" ref="I31" ca="1">IFERROR(INDEX(_xlfn.ANCHORARRAY($AA$11),ROW()-10,9),"")</f>
        <v/>
      </c>
      <c r="J31" s="4" t="str">
        <f t="shared" ca="1" si="0"/>
        <v/>
      </c>
      <c r="K31" s="4" t="str">
        <f t="shared" ca="1" si="1"/>
        <v/>
      </c>
      <c r="L31" s="4" t="str" cm="1">
        <f t="array" aca="1" ref="L31" ca="1">_xlfn.LET(_xlpm.link,IFERROR(INDEX(_xlfn.ANCHORARRAY($AA$11),ROW()-10,12),""),IF(_xlpm.link="","",HYPERLINK(_xlpm.link,"Bluecore/Attentive")))</f>
        <v/>
      </c>
      <c r="M31" s="60" t="str">
        <f t="shared" ca="1" si="2"/>
        <v/>
      </c>
      <c r="N31"/>
      <c r="O31"/>
      <c r="P31"/>
      <c r="Q31"/>
      <c r="R31"/>
      <c r="S31"/>
      <c r="T31" s="6"/>
      <c r="U31" s="6"/>
      <c r="V31" s="6"/>
      <c r="W31" s="6"/>
      <c r="X31" s="6"/>
      <c r="Y31" s="6"/>
      <c r="Z31" s="6"/>
      <c r="AA31"/>
      <c r="AB31"/>
      <c r="AC31"/>
      <c r="AD31"/>
      <c r="AE31"/>
      <c r="AF31"/>
      <c r="AG31"/>
      <c r="AH31"/>
      <c r="AI31"/>
      <c r="AJ31"/>
      <c r="AK31"/>
      <c r="AL31"/>
    </row>
    <row r="32" spans="1:38">
      <c r="A32" s="79" t="str" cm="1">
        <f t="array" aca="1" ref="A32" ca="1">IFERROR(INDEX(_xlfn.ANCHORARRAY($AA$11),ROW()-10,1),"")</f>
        <v/>
      </c>
      <c r="B32" s="81" t="str" cm="1">
        <f t="array" aca="1" ref="B32" ca="1">IFERROR(INDEX(_xlfn.ANCHORARRAY($AA$11),ROW()-10,2),"")</f>
        <v/>
      </c>
      <c r="C32" s="4" t="str" cm="1">
        <f t="array" aca="1" ref="C32" ca="1">IFERROR(INDEX(_xlfn.ANCHORARRAY($AA$11),ROW()-10,3),"")</f>
        <v/>
      </c>
      <c r="D32" s="13" t="str" cm="1">
        <f t="array" aca="1" ref="D32" ca="1">IFERROR(INDEX(_xlfn.ANCHORARRAY($AA$11),ROW()-10,4),"")</f>
        <v/>
      </c>
      <c r="E32" s="4" t="str" cm="1">
        <f t="array" aca="1" ref="E32" ca="1">IFERROR(INDEX(_xlfn.ANCHORARRAY($AA$11),ROW()-10,5),"")</f>
        <v/>
      </c>
      <c r="F32" s="13" t="str" cm="1">
        <f t="array" aca="1" ref="F32" ca="1">IFERROR(INDEX(_xlfn.ANCHORARRAY($AA$11),ROW()-10,6),"")</f>
        <v/>
      </c>
      <c r="G32" s="4" t="str" cm="1">
        <f t="array" aca="1" ref="G32" ca="1">IFERROR(INDEX(_xlfn.ANCHORARRAY($AA$11),ROW()-10,7),"")</f>
        <v/>
      </c>
      <c r="H32" s="4" t="str" cm="1">
        <f t="array" aca="1" ref="H32" ca="1">IFERROR(INDEX(_xlfn.ANCHORARRAY($AA$11),ROW()-10,8),"")</f>
        <v/>
      </c>
      <c r="I32" s="4" t="str" cm="1">
        <f t="array" aca="1" ref="I32" ca="1">IFERROR(INDEX(_xlfn.ANCHORARRAY($AA$11),ROW()-10,9),"")</f>
        <v/>
      </c>
      <c r="J32" s="4" t="str">
        <f t="shared" ca="1" si="0"/>
        <v/>
      </c>
      <c r="K32" s="4" t="str">
        <f t="shared" ca="1" si="1"/>
        <v/>
      </c>
      <c r="L32" s="4" t="str" cm="1">
        <f t="array" aca="1" ref="L32" ca="1">_xlfn.LET(_xlpm.link,IFERROR(INDEX(_xlfn.ANCHORARRAY($AA$11),ROW()-10,12),""),IF(_xlpm.link="","",HYPERLINK(_xlpm.link,"Bluecore/Attentive")))</f>
        <v/>
      </c>
      <c r="M32" s="61" t="str">
        <f t="shared" ca="1" si="2"/>
        <v/>
      </c>
      <c r="N32"/>
      <c r="O32"/>
      <c r="P32"/>
      <c r="Q32"/>
      <c r="R32"/>
      <c r="S32"/>
      <c r="T32" s="6"/>
      <c r="U32" s="6"/>
      <c r="V32" s="6"/>
      <c r="W32" s="6"/>
      <c r="X32" s="6"/>
      <c r="Y32" s="6"/>
      <c r="Z32" s="6"/>
      <c r="AA32"/>
      <c r="AB32"/>
      <c r="AC32"/>
      <c r="AD32"/>
      <c r="AE32"/>
      <c r="AF32"/>
      <c r="AG32"/>
      <c r="AH32"/>
      <c r="AI32"/>
      <c r="AJ32"/>
      <c r="AK32"/>
      <c r="AL32"/>
    </row>
    <row r="33" spans="1:38">
      <c r="A33" s="79" t="str" cm="1">
        <f t="array" aca="1" ref="A33" ca="1">IFERROR(INDEX(_xlfn.ANCHORARRAY($AA$11),ROW()-10,1),"")</f>
        <v/>
      </c>
      <c r="B33" s="81" t="str" cm="1">
        <f t="array" aca="1" ref="B33" ca="1">IFERROR(INDEX(_xlfn.ANCHORARRAY($AA$11),ROW()-10,2),"")</f>
        <v/>
      </c>
      <c r="C33" s="4" t="str" cm="1">
        <f t="array" aca="1" ref="C33" ca="1">IFERROR(INDEX(_xlfn.ANCHORARRAY($AA$11),ROW()-10,3),"")</f>
        <v/>
      </c>
      <c r="D33" s="13" t="str" cm="1">
        <f t="array" aca="1" ref="D33" ca="1">IFERROR(INDEX(_xlfn.ANCHORARRAY($AA$11),ROW()-10,4),"")</f>
        <v/>
      </c>
      <c r="E33" s="4" t="str" cm="1">
        <f t="array" aca="1" ref="E33" ca="1">IFERROR(INDEX(_xlfn.ANCHORARRAY($AA$11),ROW()-10,5),"")</f>
        <v/>
      </c>
      <c r="F33" s="13" t="str" cm="1">
        <f t="array" aca="1" ref="F33" ca="1">IFERROR(INDEX(_xlfn.ANCHORARRAY($AA$11),ROW()-10,6),"")</f>
        <v/>
      </c>
      <c r="G33" s="4" t="str" cm="1">
        <f t="array" aca="1" ref="G33" ca="1">IFERROR(INDEX(_xlfn.ANCHORARRAY($AA$11),ROW()-10,7),"")</f>
        <v/>
      </c>
      <c r="H33" s="4" t="str" cm="1">
        <f t="array" aca="1" ref="H33" ca="1">IFERROR(INDEX(_xlfn.ANCHORARRAY($AA$11),ROW()-10,8),"")</f>
        <v/>
      </c>
      <c r="I33" s="4" t="str" cm="1">
        <f t="array" aca="1" ref="I33" ca="1">IFERROR(INDEX(_xlfn.ANCHORARRAY($AA$11),ROW()-10,9),"")</f>
        <v/>
      </c>
      <c r="J33" s="4" t="str">
        <f t="shared" ca="1" si="0"/>
        <v/>
      </c>
      <c r="K33" s="4" t="str">
        <f t="shared" ca="1" si="1"/>
        <v/>
      </c>
      <c r="L33" s="4" t="str" cm="1">
        <f t="array" aca="1" ref="L33" ca="1">_xlfn.LET(_xlpm.link,IFERROR(INDEX(_xlfn.ANCHORARRAY($AA$11),ROW()-10,12),""),IF(_xlpm.link="","",HYPERLINK(_xlpm.link,"Bluecore/Attentive")))</f>
        <v/>
      </c>
      <c r="M33" s="60" t="str">
        <f t="shared" ca="1" si="2"/>
        <v/>
      </c>
      <c r="N33"/>
      <c r="O33"/>
      <c r="P33"/>
      <c r="Q33"/>
      <c r="R33"/>
      <c r="S33"/>
      <c r="T33" s="6"/>
      <c r="U33" s="6"/>
      <c r="V33" s="6"/>
      <c r="W33" s="6"/>
      <c r="X33" s="6"/>
      <c r="Y33" s="6"/>
      <c r="Z33" s="6"/>
      <c r="AA33"/>
      <c r="AB33"/>
      <c r="AC33"/>
      <c r="AD33"/>
      <c r="AE33"/>
      <c r="AF33"/>
      <c r="AG33"/>
      <c r="AH33"/>
      <c r="AI33"/>
      <c r="AJ33"/>
      <c r="AK33"/>
      <c r="AL33"/>
    </row>
    <row r="34" spans="1:38">
      <c r="A34" s="79" t="str" cm="1">
        <f t="array" aca="1" ref="A34" ca="1">IFERROR(INDEX(_xlfn.ANCHORARRAY($AA$11),ROW()-10,1),"")</f>
        <v/>
      </c>
      <c r="B34" s="81" t="str" cm="1">
        <f t="array" aca="1" ref="B34" ca="1">IFERROR(INDEX(_xlfn.ANCHORARRAY($AA$11),ROW()-10,2),"")</f>
        <v/>
      </c>
      <c r="C34" s="4" t="str" cm="1">
        <f t="array" aca="1" ref="C34" ca="1">IFERROR(INDEX(_xlfn.ANCHORARRAY($AA$11),ROW()-10,3),"")</f>
        <v/>
      </c>
      <c r="D34" s="13" t="str" cm="1">
        <f t="array" aca="1" ref="D34" ca="1">IFERROR(INDEX(_xlfn.ANCHORARRAY($AA$11),ROW()-10,4),"")</f>
        <v/>
      </c>
      <c r="E34" s="4" t="str" cm="1">
        <f t="array" aca="1" ref="E34" ca="1">IFERROR(INDEX(_xlfn.ANCHORARRAY($AA$11),ROW()-10,5),"")</f>
        <v/>
      </c>
      <c r="F34" s="13" t="str" cm="1">
        <f t="array" aca="1" ref="F34" ca="1">IFERROR(INDEX(_xlfn.ANCHORARRAY($AA$11),ROW()-10,6),"")</f>
        <v/>
      </c>
      <c r="G34" s="4" t="str" cm="1">
        <f t="array" aca="1" ref="G34" ca="1">IFERROR(INDEX(_xlfn.ANCHORARRAY($AA$11),ROW()-10,7),"")</f>
        <v/>
      </c>
      <c r="H34" s="4" t="str" cm="1">
        <f t="array" aca="1" ref="H34" ca="1">IFERROR(INDEX(_xlfn.ANCHORARRAY($AA$11),ROW()-10,8),"")</f>
        <v/>
      </c>
      <c r="I34" s="4" t="str" cm="1">
        <f t="array" aca="1" ref="I34" ca="1">IFERROR(INDEX(_xlfn.ANCHORARRAY($AA$11),ROW()-10,9),"")</f>
        <v/>
      </c>
      <c r="J34" s="4" t="str">
        <f t="shared" ca="1" si="0"/>
        <v/>
      </c>
      <c r="K34" s="4" t="str">
        <f t="shared" ca="1" si="1"/>
        <v/>
      </c>
      <c r="L34" s="4" t="str" cm="1">
        <f t="array" aca="1" ref="L34" ca="1">_xlfn.LET(_xlpm.link,IFERROR(INDEX(_xlfn.ANCHORARRAY($AA$11),ROW()-10,12),""),IF(_xlpm.link="","",HYPERLINK(_xlpm.link,"Bluecore/Attentive")))</f>
        <v/>
      </c>
      <c r="M34" s="61" t="str">
        <f t="shared" ca="1" si="2"/>
        <v/>
      </c>
      <c r="N34"/>
      <c r="O34"/>
      <c r="P34"/>
      <c r="Q34"/>
      <c r="R34"/>
      <c r="S34"/>
      <c r="T34" s="6"/>
      <c r="U34" s="6"/>
      <c r="V34" s="6"/>
      <c r="W34" s="6"/>
      <c r="X34" s="6"/>
      <c r="Y34" s="6"/>
      <c r="Z34" s="6"/>
      <c r="AA34"/>
      <c r="AB34"/>
      <c r="AC34"/>
      <c r="AD34"/>
      <c r="AE34"/>
      <c r="AF34"/>
      <c r="AG34"/>
      <c r="AH34"/>
      <c r="AI34"/>
      <c r="AJ34"/>
      <c r="AK34"/>
      <c r="AL34"/>
    </row>
    <row r="35" spans="1:38">
      <c r="A35" s="79" t="str" cm="1">
        <f t="array" aca="1" ref="A35" ca="1">IFERROR(INDEX(_xlfn.ANCHORARRAY($AA$11),ROW()-10,1),"")</f>
        <v/>
      </c>
      <c r="B35" s="81" t="str" cm="1">
        <f t="array" aca="1" ref="B35" ca="1">IFERROR(INDEX(_xlfn.ANCHORARRAY($AA$11),ROW()-10,2),"")</f>
        <v/>
      </c>
      <c r="C35" s="4" t="str" cm="1">
        <f t="array" aca="1" ref="C35" ca="1">IFERROR(INDEX(_xlfn.ANCHORARRAY($AA$11),ROW()-10,3),"")</f>
        <v/>
      </c>
      <c r="D35" s="13" t="str" cm="1">
        <f t="array" aca="1" ref="D35" ca="1">IFERROR(INDEX(_xlfn.ANCHORARRAY($AA$11),ROW()-10,4),"")</f>
        <v/>
      </c>
      <c r="E35" s="4" t="str" cm="1">
        <f t="array" aca="1" ref="E35" ca="1">IFERROR(INDEX(_xlfn.ANCHORARRAY($AA$11),ROW()-10,5),"")</f>
        <v/>
      </c>
      <c r="F35" s="13" t="str" cm="1">
        <f t="array" aca="1" ref="F35" ca="1">IFERROR(INDEX(_xlfn.ANCHORARRAY($AA$11),ROW()-10,6),"")</f>
        <v/>
      </c>
      <c r="G35" s="4" t="str" cm="1">
        <f t="array" aca="1" ref="G35" ca="1">IFERROR(INDEX(_xlfn.ANCHORARRAY($AA$11),ROW()-10,7),"")</f>
        <v/>
      </c>
      <c r="H35" s="4" t="str" cm="1">
        <f t="array" aca="1" ref="H35" ca="1">IFERROR(INDEX(_xlfn.ANCHORARRAY($AA$11),ROW()-10,8),"")</f>
        <v/>
      </c>
      <c r="I35" s="4" t="str" cm="1">
        <f t="array" aca="1" ref="I35" ca="1">IFERROR(INDEX(_xlfn.ANCHORARRAY($AA$11),ROW()-10,9),"")</f>
        <v/>
      </c>
      <c r="J35" s="4" t="str">
        <f t="shared" ca="1" si="0"/>
        <v/>
      </c>
      <c r="K35" s="4" t="str">
        <f t="shared" ca="1" si="1"/>
        <v/>
      </c>
      <c r="L35" s="4" t="str" cm="1">
        <f t="array" aca="1" ref="L35" ca="1">_xlfn.LET(_xlpm.link,IFERROR(INDEX(_xlfn.ANCHORARRAY($AA$11),ROW()-10,12),""),IF(_xlpm.link="","",HYPERLINK(_xlpm.link,"Bluecore/Attentive")))</f>
        <v/>
      </c>
      <c r="M35" s="60" t="str">
        <f t="shared" ca="1" si="2"/>
        <v/>
      </c>
      <c r="N35"/>
      <c r="O35"/>
      <c r="P35"/>
      <c r="Q35"/>
      <c r="R35"/>
      <c r="S35"/>
      <c r="T35" s="6"/>
      <c r="U35" s="6"/>
      <c r="V35" s="6"/>
      <c r="W35" s="6"/>
      <c r="X35" s="6"/>
      <c r="Y35" s="6"/>
      <c r="Z35" s="6"/>
      <c r="AA35"/>
      <c r="AB35"/>
      <c r="AC35"/>
      <c r="AD35"/>
      <c r="AE35"/>
      <c r="AF35"/>
      <c r="AG35"/>
      <c r="AH35"/>
      <c r="AI35"/>
      <c r="AJ35"/>
      <c r="AK35"/>
      <c r="AL35"/>
    </row>
    <row r="36" spans="1:38">
      <c r="A36" s="79" t="str" cm="1">
        <f t="array" aca="1" ref="A36" ca="1">IFERROR(INDEX(_xlfn.ANCHORARRAY($AA$11),ROW()-10,1),"")</f>
        <v/>
      </c>
      <c r="B36" s="81" t="str" cm="1">
        <f t="array" aca="1" ref="B36" ca="1">IFERROR(INDEX(_xlfn.ANCHORARRAY($AA$11),ROW()-10,2),"")</f>
        <v/>
      </c>
      <c r="C36" s="4" t="str" cm="1">
        <f t="array" aca="1" ref="C36" ca="1">IFERROR(INDEX(_xlfn.ANCHORARRAY($AA$11),ROW()-10,3),"")</f>
        <v/>
      </c>
      <c r="D36" s="13" t="str" cm="1">
        <f t="array" aca="1" ref="D36" ca="1">IFERROR(INDEX(_xlfn.ANCHORARRAY($AA$11),ROW()-10,4),"")</f>
        <v/>
      </c>
      <c r="E36" s="4" t="str" cm="1">
        <f t="array" aca="1" ref="E36" ca="1">IFERROR(INDEX(_xlfn.ANCHORARRAY($AA$11),ROW()-10,5),"")</f>
        <v/>
      </c>
      <c r="F36" s="13" t="str" cm="1">
        <f t="array" aca="1" ref="F36" ca="1">IFERROR(INDEX(_xlfn.ANCHORARRAY($AA$11),ROW()-10,6),"")</f>
        <v/>
      </c>
      <c r="G36" s="4" t="str" cm="1">
        <f t="array" aca="1" ref="G36" ca="1">IFERROR(INDEX(_xlfn.ANCHORARRAY($AA$11),ROW()-10,7),"")</f>
        <v/>
      </c>
      <c r="H36" s="4" t="str" cm="1">
        <f t="array" aca="1" ref="H36" ca="1">IFERROR(INDEX(_xlfn.ANCHORARRAY($AA$11),ROW()-10,8),"")</f>
        <v/>
      </c>
      <c r="I36" s="4" t="str" cm="1">
        <f t="array" aca="1" ref="I36" ca="1">IFERROR(INDEX(_xlfn.ANCHORARRAY($AA$11),ROW()-10,9),"")</f>
        <v/>
      </c>
      <c r="J36" s="4" t="str">
        <f t="shared" ca="1" si="0"/>
        <v/>
      </c>
      <c r="K36" s="4" t="str">
        <f t="shared" ca="1" si="1"/>
        <v/>
      </c>
      <c r="L36" s="4" t="str" cm="1">
        <f t="array" aca="1" ref="L36" ca="1">_xlfn.LET(_xlpm.link,IFERROR(INDEX(_xlfn.ANCHORARRAY($AA$11),ROW()-10,12),""),IF(_xlpm.link="","",HYPERLINK(_xlpm.link,"Bluecore/Attentive")))</f>
        <v/>
      </c>
      <c r="M36" s="61" t="str">
        <f t="shared" ca="1" si="2"/>
        <v/>
      </c>
      <c r="N36"/>
      <c r="O36"/>
      <c r="P36"/>
      <c r="Q36"/>
      <c r="R36"/>
      <c r="S36"/>
      <c r="T36" s="6"/>
      <c r="U36" s="6"/>
      <c r="V36" s="6"/>
      <c r="W36" s="6"/>
      <c r="X36" s="6"/>
      <c r="Y36" s="6"/>
      <c r="Z36" s="6"/>
      <c r="AA36"/>
      <c r="AB36"/>
      <c r="AC36"/>
      <c r="AD36"/>
      <c r="AE36"/>
      <c r="AF36"/>
      <c r="AG36"/>
      <c r="AH36"/>
      <c r="AI36"/>
      <c r="AJ36"/>
      <c r="AK36"/>
      <c r="AL36"/>
    </row>
    <row r="37" spans="1:38">
      <c r="A37" s="79" t="str" cm="1">
        <f t="array" aca="1" ref="A37" ca="1">IFERROR(INDEX(_xlfn.ANCHORARRAY($AA$11),ROW()-10,1),"")</f>
        <v/>
      </c>
      <c r="B37" s="81" t="str" cm="1">
        <f t="array" aca="1" ref="B37" ca="1">IFERROR(INDEX(_xlfn.ANCHORARRAY($AA$11),ROW()-10,2),"")</f>
        <v/>
      </c>
      <c r="C37" s="4" t="str" cm="1">
        <f t="array" aca="1" ref="C37" ca="1">IFERROR(INDEX(_xlfn.ANCHORARRAY($AA$11),ROW()-10,3),"")</f>
        <v/>
      </c>
      <c r="D37" s="13" t="str" cm="1">
        <f t="array" aca="1" ref="D37" ca="1">IFERROR(INDEX(_xlfn.ANCHORARRAY($AA$11),ROW()-10,4),"")</f>
        <v/>
      </c>
      <c r="E37" s="4" t="str" cm="1">
        <f t="array" aca="1" ref="E37" ca="1">IFERROR(INDEX(_xlfn.ANCHORARRAY($AA$11),ROW()-10,5),"")</f>
        <v/>
      </c>
      <c r="F37" s="13" t="str" cm="1">
        <f t="array" aca="1" ref="F37" ca="1">IFERROR(INDEX(_xlfn.ANCHORARRAY($AA$11),ROW()-10,6),"")</f>
        <v/>
      </c>
      <c r="G37" s="4" t="str" cm="1">
        <f t="array" aca="1" ref="G37" ca="1">IFERROR(INDEX(_xlfn.ANCHORARRAY($AA$11),ROW()-10,7),"")</f>
        <v/>
      </c>
      <c r="H37" s="4" t="str" cm="1">
        <f t="array" aca="1" ref="H37" ca="1">IFERROR(INDEX(_xlfn.ANCHORARRAY($AA$11),ROW()-10,8),"")</f>
        <v/>
      </c>
      <c r="I37" s="4" t="str" cm="1">
        <f t="array" aca="1" ref="I37" ca="1">IFERROR(INDEX(_xlfn.ANCHORARRAY($AA$11),ROW()-10,9),"")</f>
        <v/>
      </c>
      <c r="J37" s="4" t="str">
        <f t="shared" ca="1" si="0"/>
        <v/>
      </c>
      <c r="K37" s="4" t="str">
        <f t="shared" ca="1" si="1"/>
        <v/>
      </c>
      <c r="L37" s="4" t="str" cm="1">
        <f t="array" aca="1" ref="L37" ca="1">_xlfn.LET(_xlpm.link,IFERROR(INDEX(_xlfn.ANCHORARRAY($AA$11),ROW()-10,12),""),IF(_xlpm.link="","",HYPERLINK(_xlpm.link,"Bluecore/Attentive")))</f>
        <v/>
      </c>
      <c r="M37" s="60" t="str">
        <f t="shared" ca="1" si="2"/>
        <v/>
      </c>
      <c r="N37"/>
      <c r="O37"/>
      <c r="P37"/>
      <c r="Q37"/>
      <c r="R37"/>
      <c r="S37"/>
      <c r="T37" s="6"/>
      <c r="U37" s="6"/>
      <c r="V37" s="6"/>
      <c r="W37" s="6"/>
      <c r="X37" s="6"/>
      <c r="Y37" s="6"/>
      <c r="Z37" s="6"/>
      <c r="AA37"/>
      <c r="AB37"/>
      <c r="AC37"/>
      <c r="AD37"/>
      <c r="AE37"/>
      <c r="AF37"/>
      <c r="AG37"/>
      <c r="AH37"/>
      <c r="AI37"/>
      <c r="AJ37"/>
      <c r="AK37"/>
      <c r="AL37"/>
    </row>
    <row r="38" spans="1:38">
      <c r="A38" s="79" t="str" cm="1">
        <f t="array" aca="1" ref="A38" ca="1">IFERROR(INDEX(_xlfn.ANCHORARRAY($AA$11),ROW()-10,1),"")</f>
        <v/>
      </c>
      <c r="B38" s="81" t="str" cm="1">
        <f t="array" aca="1" ref="B38" ca="1">IFERROR(INDEX(_xlfn.ANCHORARRAY($AA$11),ROW()-10,2),"")</f>
        <v/>
      </c>
      <c r="C38" s="4" t="str" cm="1">
        <f t="array" aca="1" ref="C38" ca="1">IFERROR(INDEX(_xlfn.ANCHORARRAY($AA$11),ROW()-10,3),"")</f>
        <v/>
      </c>
      <c r="D38" s="13" t="str" cm="1">
        <f t="array" aca="1" ref="D38" ca="1">IFERROR(INDEX(_xlfn.ANCHORARRAY($AA$11),ROW()-10,4),"")</f>
        <v/>
      </c>
      <c r="E38" s="4" t="str" cm="1">
        <f t="array" aca="1" ref="E38" ca="1">IFERROR(INDEX(_xlfn.ANCHORARRAY($AA$11),ROW()-10,5),"")</f>
        <v/>
      </c>
      <c r="F38" s="13" t="str" cm="1">
        <f t="array" aca="1" ref="F38" ca="1">IFERROR(INDEX(_xlfn.ANCHORARRAY($AA$11),ROW()-10,6),"")</f>
        <v/>
      </c>
      <c r="G38" s="4" t="str" cm="1">
        <f t="array" aca="1" ref="G38" ca="1">IFERROR(INDEX(_xlfn.ANCHORARRAY($AA$11),ROW()-10,7),"")</f>
        <v/>
      </c>
      <c r="H38" s="4" t="str" cm="1">
        <f t="array" aca="1" ref="H38" ca="1">IFERROR(INDEX(_xlfn.ANCHORARRAY($AA$11),ROW()-10,8),"")</f>
        <v/>
      </c>
      <c r="I38" s="4" t="str" cm="1">
        <f t="array" aca="1" ref="I38" ca="1">IFERROR(INDEX(_xlfn.ANCHORARRAY($AA$11),ROW()-10,9),"")</f>
        <v/>
      </c>
      <c r="J38" s="4" t="str">
        <f t="shared" ca="1" si="0"/>
        <v/>
      </c>
      <c r="K38" s="4" t="str">
        <f t="shared" ca="1" si="1"/>
        <v/>
      </c>
      <c r="L38" s="4" t="str" cm="1">
        <f t="array" aca="1" ref="L38" ca="1">_xlfn.LET(_xlpm.link,IFERROR(INDEX(_xlfn.ANCHORARRAY($AA$11),ROW()-10,12),""),IF(_xlpm.link="","",HYPERLINK(_xlpm.link,"Bluecore/Attentive")))</f>
        <v/>
      </c>
      <c r="M38" s="61" t="str">
        <f t="shared" ca="1" si="2"/>
        <v/>
      </c>
      <c r="N38"/>
      <c r="O38"/>
      <c r="P38"/>
      <c r="Q38"/>
      <c r="R38"/>
      <c r="S38"/>
      <c r="T38" s="6"/>
      <c r="U38" s="6"/>
      <c r="V38" s="6"/>
      <c r="W38" s="6"/>
      <c r="X38" s="6"/>
      <c r="Y38" s="6"/>
      <c r="Z38" s="6"/>
      <c r="AA38"/>
      <c r="AB38"/>
      <c r="AC38"/>
      <c r="AD38"/>
      <c r="AE38"/>
      <c r="AF38"/>
      <c r="AG38"/>
      <c r="AH38"/>
      <c r="AI38"/>
      <c r="AJ38"/>
      <c r="AK38"/>
      <c r="AL38"/>
    </row>
    <row r="39" spans="1:38">
      <c r="A39" s="79" t="str" cm="1">
        <f t="array" aca="1" ref="A39" ca="1">IFERROR(INDEX(_xlfn.ANCHORARRAY($AA$11),ROW()-10,1),"")</f>
        <v/>
      </c>
      <c r="B39" s="81" t="str" cm="1">
        <f t="array" aca="1" ref="B39" ca="1">IFERROR(INDEX(_xlfn.ANCHORARRAY($AA$11),ROW()-10,2),"")</f>
        <v/>
      </c>
      <c r="C39" s="4" t="str" cm="1">
        <f t="array" aca="1" ref="C39" ca="1">IFERROR(INDEX(_xlfn.ANCHORARRAY($AA$11),ROW()-10,3),"")</f>
        <v/>
      </c>
      <c r="D39" s="13" t="str" cm="1">
        <f t="array" aca="1" ref="D39" ca="1">IFERROR(INDEX(_xlfn.ANCHORARRAY($AA$11),ROW()-10,4),"")</f>
        <v/>
      </c>
      <c r="E39" s="4" t="str" cm="1">
        <f t="array" aca="1" ref="E39" ca="1">IFERROR(INDEX(_xlfn.ANCHORARRAY($AA$11),ROW()-10,5),"")</f>
        <v/>
      </c>
      <c r="F39" s="13" t="str" cm="1">
        <f t="array" aca="1" ref="F39" ca="1">IFERROR(INDEX(_xlfn.ANCHORARRAY($AA$11),ROW()-10,6),"")</f>
        <v/>
      </c>
      <c r="G39" s="4" t="str" cm="1">
        <f t="array" aca="1" ref="G39" ca="1">IFERROR(INDEX(_xlfn.ANCHORARRAY($AA$11),ROW()-10,7),"")</f>
        <v/>
      </c>
      <c r="H39" s="4" t="str" cm="1">
        <f t="array" aca="1" ref="H39" ca="1">IFERROR(INDEX(_xlfn.ANCHORARRAY($AA$11),ROW()-10,8),"")</f>
        <v/>
      </c>
      <c r="I39" s="4" t="str" cm="1">
        <f t="array" aca="1" ref="I39" ca="1">IFERROR(INDEX(_xlfn.ANCHORARRAY($AA$11),ROW()-10,9),"")</f>
        <v/>
      </c>
      <c r="J39" s="4" t="str">
        <f t="shared" ca="1" si="0"/>
        <v/>
      </c>
      <c r="K39" s="4" t="str">
        <f t="shared" ca="1" si="1"/>
        <v/>
      </c>
      <c r="L39" s="4" t="str" cm="1">
        <f t="array" aca="1" ref="L39" ca="1">_xlfn.LET(_xlpm.link,IFERROR(INDEX(_xlfn.ANCHORARRAY($AA$11),ROW()-10,12),""),IF(_xlpm.link="","",HYPERLINK(_xlpm.link,"Bluecore/Attentive")))</f>
        <v/>
      </c>
      <c r="M39" s="60" t="str">
        <f t="shared" ca="1" si="2"/>
        <v/>
      </c>
      <c r="N39"/>
      <c r="O39"/>
      <c r="P39"/>
      <c r="Q39"/>
      <c r="R39"/>
      <c r="S39"/>
      <c r="T39" s="6"/>
      <c r="U39" s="6"/>
      <c r="V39" s="6"/>
      <c r="W39" s="6"/>
      <c r="X39" s="6"/>
      <c r="Y39" s="6"/>
      <c r="Z39" s="6"/>
      <c r="AA39"/>
      <c r="AB39"/>
      <c r="AC39"/>
      <c r="AD39"/>
      <c r="AE39"/>
      <c r="AF39"/>
      <c r="AG39"/>
      <c r="AH39"/>
      <c r="AI39"/>
      <c r="AJ39"/>
      <c r="AK39"/>
      <c r="AL39"/>
    </row>
    <row r="40" spans="1:38">
      <c r="A40" s="79" t="str" cm="1">
        <f t="array" aca="1" ref="A40" ca="1">IFERROR(INDEX(_xlfn.ANCHORARRAY($AA$11),ROW()-10,1),"")</f>
        <v/>
      </c>
      <c r="B40" s="81" t="str" cm="1">
        <f t="array" aca="1" ref="B40" ca="1">IFERROR(INDEX(_xlfn.ANCHORARRAY($AA$11),ROW()-10,2),"")</f>
        <v/>
      </c>
      <c r="C40" s="4" t="str" cm="1">
        <f t="array" aca="1" ref="C40" ca="1">IFERROR(INDEX(_xlfn.ANCHORARRAY($AA$11),ROW()-10,3),"")</f>
        <v/>
      </c>
      <c r="D40" s="13" t="str" cm="1">
        <f t="array" aca="1" ref="D40" ca="1">IFERROR(INDEX(_xlfn.ANCHORARRAY($AA$11),ROW()-10,4),"")</f>
        <v/>
      </c>
      <c r="E40" s="4" t="str" cm="1">
        <f t="array" aca="1" ref="E40" ca="1">IFERROR(INDEX(_xlfn.ANCHORARRAY($AA$11),ROW()-10,5),"")</f>
        <v/>
      </c>
      <c r="F40" s="13" t="str" cm="1">
        <f t="array" aca="1" ref="F40" ca="1">IFERROR(INDEX(_xlfn.ANCHORARRAY($AA$11),ROW()-10,6),"")</f>
        <v/>
      </c>
      <c r="G40" s="4" t="str" cm="1">
        <f t="array" aca="1" ref="G40" ca="1">IFERROR(INDEX(_xlfn.ANCHORARRAY($AA$11),ROW()-10,7),"")</f>
        <v/>
      </c>
      <c r="H40" s="4" t="str" cm="1">
        <f t="array" aca="1" ref="H40" ca="1">IFERROR(INDEX(_xlfn.ANCHORARRAY($AA$11),ROW()-10,8),"")</f>
        <v/>
      </c>
      <c r="I40" s="4" t="str" cm="1">
        <f t="array" aca="1" ref="I40" ca="1">IFERROR(INDEX(_xlfn.ANCHORARRAY($AA$11),ROW()-10,9),"")</f>
        <v/>
      </c>
      <c r="J40" s="4" t="str">
        <f t="shared" ca="1" si="0"/>
        <v/>
      </c>
      <c r="K40" s="4" t="str">
        <f t="shared" ca="1" si="1"/>
        <v/>
      </c>
      <c r="L40" s="4" t="str" cm="1">
        <f t="array" aca="1" ref="L40" ca="1">_xlfn.LET(_xlpm.link,IFERROR(INDEX(_xlfn.ANCHORARRAY($AA$11),ROW()-10,12),""),IF(_xlpm.link="","",HYPERLINK(_xlpm.link,"Bluecore/Attentive")))</f>
        <v/>
      </c>
      <c r="M40" s="61" t="str">
        <f t="shared" ca="1" si="2"/>
        <v/>
      </c>
      <c r="N40"/>
      <c r="O40"/>
      <c r="P40"/>
      <c r="Q40"/>
      <c r="R40"/>
      <c r="S40"/>
      <c r="T40" s="6"/>
      <c r="U40" s="6"/>
      <c r="V40" s="6"/>
      <c r="W40" s="6"/>
      <c r="X40" s="6"/>
      <c r="Y40" s="6"/>
      <c r="Z40" s="6"/>
      <c r="AA40"/>
      <c r="AB40"/>
      <c r="AC40"/>
      <c r="AD40"/>
      <c r="AE40"/>
      <c r="AF40"/>
      <c r="AG40"/>
      <c r="AH40"/>
      <c r="AI40"/>
      <c r="AJ40"/>
      <c r="AK40"/>
      <c r="AL40"/>
    </row>
    <row r="41" spans="1:38">
      <c r="A41" s="79" t="str" cm="1">
        <f t="array" aca="1" ref="A41" ca="1">IFERROR(INDEX(_xlfn.ANCHORARRAY($AA$11),ROW()-10,1),"")</f>
        <v/>
      </c>
      <c r="B41" s="81" t="str" cm="1">
        <f t="array" aca="1" ref="B41" ca="1">IFERROR(INDEX(_xlfn.ANCHORARRAY($AA$11),ROW()-10,2),"")</f>
        <v/>
      </c>
      <c r="C41" s="4" t="str" cm="1">
        <f t="array" aca="1" ref="C41" ca="1">IFERROR(INDEX(_xlfn.ANCHORARRAY($AA$11),ROW()-10,3),"")</f>
        <v/>
      </c>
      <c r="D41" s="13" t="str" cm="1">
        <f t="array" aca="1" ref="D41" ca="1">IFERROR(INDEX(_xlfn.ANCHORARRAY($AA$11),ROW()-10,4),"")</f>
        <v/>
      </c>
      <c r="E41" s="4" t="str" cm="1">
        <f t="array" aca="1" ref="E41" ca="1">IFERROR(INDEX(_xlfn.ANCHORARRAY($AA$11),ROW()-10,5),"")</f>
        <v/>
      </c>
      <c r="F41" s="13" t="str" cm="1">
        <f t="array" aca="1" ref="F41" ca="1">IFERROR(INDEX(_xlfn.ANCHORARRAY($AA$11),ROW()-10,6),"")</f>
        <v/>
      </c>
      <c r="G41" s="4" t="str" cm="1">
        <f t="array" aca="1" ref="G41" ca="1">IFERROR(INDEX(_xlfn.ANCHORARRAY($AA$11),ROW()-10,7),"")</f>
        <v/>
      </c>
      <c r="H41" s="4" t="str" cm="1">
        <f t="array" aca="1" ref="H41" ca="1">IFERROR(INDEX(_xlfn.ANCHORARRAY($AA$11),ROW()-10,8),"")</f>
        <v/>
      </c>
      <c r="I41" s="4" t="str" cm="1">
        <f t="array" aca="1" ref="I41" ca="1">IFERROR(INDEX(_xlfn.ANCHORARRAY($AA$11),ROW()-10,9),"")</f>
        <v/>
      </c>
      <c r="J41" s="4" t="str">
        <f t="shared" ca="1" si="0"/>
        <v/>
      </c>
      <c r="K41" s="4" t="str">
        <f t="shared" ca="1" si="1"/>
        <v/>
      </c>
      <c r="L41" s="4" t="str" cm="1">
        <f t="array" aca="1" ref="L41" ca="1">_xlfn.LET(_xlpm.link,IFERROR(INDEX(_xlfn.ANCHORARRAY($AA$11),ROW()-10,12),""),IF(_xlpm.link="","",HYPERLINK(_xlpm.link,"Bluecore/Attentive")))</f>
        <v/>
      </c>
      <c r="M41" s="60" t="str">
        <f t="shared" ca="1" si="2"/>
        <v/>
      </c>
      <c r="N41"/>
      <c r="O41"/>
      <c r="P41"/>
      <c r="Q41"/>
      <c r="R41"/>
      <c r="S41"/>
      <c r="T41" s="6"/>
      <c r="U41" s="6"/>
      <c r="V41" s="6"/>
      <c r="W41" s="6"/>
      <c r="X41" s="6"/>
      <c r="Y41" s="6"/>
      <c r="Z41" s="6"/>
      <c r="AA41"/>
      <c r="AB41"/>
      <c r="AC41"/>
      <c r="AD41"/>
      <c r="AE41"/>
      <c r="AF41"/>
      <c r="AG41"/>
      <c r="AH41"/>
      <c r="AI41"/>
      <c r="AJ41"/>
      <c r="AK41"/>
      <c r="AL41"/>
    </row>
    <row r="42" spans="1:38">
      <c r="A42" s="79" t="str" cm="1">
        <f t="array" aca="1" ref="A42" ca="1">IFERROR(INDEX(_xlfn.ANCHORARRAY($AA$11),ROW()-10,1),"")</f>
        <v/>
      </c>
      <c r="B42" s="81" t="str" cm="1">
        <f t="array" aca="1" ref="B42" ca="1">IFERROR(INDEX(_xlfn.ANCHORARRAY($AA$11),ROW()-10,2),"")</f>
        <v/>
      </c>
      <c r="C42" s="4" t="str" cm="1">
        <f t="array" aca="1" ref="C42" ca="1">IFERROR(INDEX(_xlfn.ANCHORARRAY($AA$11),ROW()-10,3),"")</f>
        <v/>
      </c>
      <c r="D42" s="13" t="str" cm="1">
        <f t="array" aca="1" ref="D42" ca="1">IFERROR(INDEX(_xlfn.ANCHORARRAY($AA$11),ROW()-10,4),"")</f>
        <v/>
      </c>
      <c r="E42" s="4" t="str" cm="1">
        <f t="array" aca="1" ref="E42" ca="1">IFERROR(INDEX(_xlfn.ANCHORARRAY($AA$11),ROW()-10,5),"")</f>
        <v/>
      </c>
      <c r="F42" s="13" t="str" cm="1">
        <f t="array" aca="1" ref="F42" ca="1">IFERROR(INDEX(_xlfn.ANCHORARRAY($AA$11),ROW()-10,6),"")</f>
        <v/>
      </c>
      <c r="G42" s="4" t="str" cm="1">
        <f t="array" aca="1" ref="G42" ca="1">IFERROR(INDEX(_xlfn.ANCHORARRAY($AA$11),ROW()-10,7),"")</f>
        <v/>
      </c>
      <c r="H42" s="4" t="str" cm="1">
        <f t="array" aca="1" ref="H42" ca="1">IFERROR(INDEX(_xlfn.ANCHORARRAY($AA$11),ROW()-10,8),"")</f>
        <v/>
      </c>
      <c r="I42" s="4" t="str" cm="1">
        <f t="array" aca="1" ref="I42" ca="1">IFERROR(INDEX(_xlfn.ANCHORARRAY($AA$11),ROW()-10,9),"")</f>
        <v/>
      </c>
      <c r="J42" s="4" t="str">
        <f t="shared" ca="1" si="0"/>
        <v/>
      </c>
      <c r="K42" s="4" t="str">
        <f t="shared" ca="1" si="1"/>
        <v/>
      </c>
      <c r="L42" s="4" t="str" cm="1">
        <f t="array" aca="1" ref="L42" ca="1">_xlfn.LET(_xlpm.link,IFERROR(INDEX(_xlfn.ANCHORARRAY($AA$11),ROW()-10,12),""),IF(_xlpm.link="","",HYPERLINK(_xlpm.link,"Bluecore/Attentive")))</f>
        <v/>
      </c>
      <c r="M42" s="61" t="str">
        <f t="shared" ca="1" si="2"/>
        <v/>
      </c>
      <c r="N42"/>
      <c r="O42"/>
      <c r="P42"/>
      <c r="Q42"/>
      <c r="R42"/>
      <c r="S42"/>
      <c r="T42" s="6"/>
      <c r="U42" s="6"/>
      <c r="V42" s="6"/>
      <c r="W42" s="6"/>
      <c r="X42" s="6"/>
      <c r="Y42" s="6"/>
      <c r="Z42" s="6"/>
      <c r="AA42"/>
      <c r="AB42"/>
      <c r="AC42"/>
      <c r="AD42"/>
      <c r="AE42"/>
      <c r="AF42"/>
      <c r="AG42"/>
      <c r="AH42"/>
      <c r="AI42"/>
      <c r="AJ42"/>
      <c r="AK42"/>
      <c r="AL42"/>
    </row>
    <row r="43" spans="1:38">
      <c r="A43" s="79" t="str" cm="1">
        <f t="array" aca="1" ref="A43" ca="1">IFERROR(INDEX(_xlfn.ANCHORARRAY($AA$11),ROW()-10,1),"")</f>
        <v/>
      </c>
      <c r="B43" s="81" t="str" cm="1">
        <f t="array" aca="1" ref="B43" ca="1">IFERROR(INDEX(_xlfn.ANCHORARRAY($AA$11),ROW()-10,2),"")</f>
        <v/>
      </c>
      <c r="C43" s="4" t="str" cm="1">
        <f t="array" aca="1" ref="C43" ca="1">IFERROR(INDEX(_xlfn.ANCHORARRAY($AA$11),ROW()-10,3),"")</f>
        <v/>
      </c>
      <c r="D43" s="13" t="str" cm="1">
        <f t="array" aca="1" ref="D43" ca="1">IFERROR(INDEX(_xlfn.ANCHORARRAY($AA$11),ROW()-10,4),"")</f>
        <v/>
      </c>
      <c r="E43" s="4" t="str" cm="1">
        <f t="array" aca="1" ref="E43" ca="1">IFERROR(INDEX(_xlfn.ANCHORARRAY($AA$11),ROW()-10,5),"")</f>
        <v/>
      </c>
      <c r="F43" s="13" t="str" cm="1">
        <f t="array" aca="1" ref="F43" ca="1">IFERROR(INDEX(_xlfn.ANCHORARRAY($AA$11),ROW()-10,6),"")</f>
        <v/>
      </c>
      <c r="G43" s="4" t="str" cm="1">
        <f t="array" aca="1" ref="G43" ca="1">IFERROR(INDEX(_xlfn.ANCHORARRAY($AA$11),ROW()-10,7),"")</f>
        <v/>
      </c>
      <c r="H43" s="4" t="str" cm="1">
        <f t="array" aca="1" ref="H43" ca="1">IFERROR(INDEX(_xlfn.ANCHORARRAY($AA$11),ROW()-10,8),"")</f>
        <v/>
      </c>
      <c r="I43" s="4" t="str" cm="1">
        <f t="array" aca="1" ref="I43" ca="1">IFERROR(INDEX(_xlfn.ANCHORARRAY($AA$11),ROW()-10,9),"")</f>
        <v/>
      </c>
      <c r="J43" s="4" t="str">
        <f t="shared" ref="J43:J74" ca="1" si="3">_xlfn.LET(_xlpm.ch,IFERROR(INDEX(_xlfn.ANCHORARRAY($AA$11),ROW()-10,3),""),_xlpm.link,IFERROR(INDEX(_xlfn.ANCHORARRAY($AA$11),ROW()-10,10),""),IF(OR(_xlpm.link="",_xlpm.ch="SMS"),"",HYPERLINK(_xlpm.link,"JIRA")))</f>
        <v/>
      </c>
      <c r="K43" s="4" t="str">
        <f t="shared" ref="K43:K74" ca="1" si="4">_xlfn.LET(_xlpm.ch,IFERROR(INDEX(_xlfn.ANCHORARRAY($AA$11),ROW()-10,3),""),_xlpm.link,IFERROR(INDEX(_xlfn.ANCHORARRAY($AA$11),ROW()-10,11),""),IF(OR(_xlpm.link="",_xlpm.ch="SMS"),"",HYPERLINK(_xlpm.link,"ClickUp")))</f>
        <v/>
      </c>
      <c r="L43" s="4" t="str" cm="1">
        <f t="array" aca="1" ref="L43" ca="1">_xlfn.LET(_xlpm.link,IFERROR(INDEX(_xlfn.ANCHORARRAY($AA$11),ROW()-10,12),""),IF(_xlpm.link="","",HYPERLINK(_xlpm.link,"Bluecore/Attentive")))</f>
        <v/>
      </c>
      <c r="M43" s="60" t="str">
        <f t="shared" ref="M43:M74" ca="1" si="5">_xlfn.LET(_xlpm.sendDate,$A43,_xlpm.camp,$D43&amp;"",_xlpm.code,LEFT(_xlpm.camp,6),_xlpm.parsed,IFERROR(DATE(2000+VALUE(MID(_xlpm.code,5,2)),VALUE(LEFT(_xlpm.code,2)),VALUE(MID(_xlpm.code,3,2))),""),_xlpm.useDate,IF(_xlpm.parsed="",IF(ISNUMBER(_xlpm.sendDate),INT(_xlpm.sendDate),""),_xlpm.parsed),IF(_xlpm.useDate="","","Week "&amp;WEEKNUM(_xlpm.useDate,1)))</f>
        <v/>
      </c>
      <c r="N43"/>
      <c r="O43"/>
      <c r="P43"/>
      <c r="Q43"/>
      <c r="R43"/>
      <c r="S43"/>
      <c r="T43" s="6"/>
      <c r="U43" s="6"/>
      <c r="V43" s="6"/>
      <c r="W43" s="6"/>
      <c r="X43" s="6"/>
      <c r="Y43" s="6"/>
      <c r="Z43" s="6"/>
      <c r="AA43"/>
      <c r="AB43"/>
      <c r="AC43"/>
      <c r="AD43"/>
      <c r="AE43"/>
      <c r="AF43"/>
      <c r="AG43"/>
      <c r="AH43"/>
      <c r="AI43"/>
      <c r="AJ43"/>
      <c r="AK43"/>
      <c r="AL43"/>
    </row>
    <row r="44" spans="1:38">
      <c r="A44" s="79" t="str" cm="1">
        <f t="array" aca="1" ref="A44" ca="1">IFERROR(INDEX(_xlfn.ANCHORARRAY($AA$11),ROW()-10,1),"")</f>
        <v/>
      </c>
      <c r="B44" s="81" t="str" cm="1">
        <f t="array" aca="1" ref="B44" ca="1">IFERROR(INDEX(_xlfn.ANCHORARRAY($AA$11),ROW()-10,2),"")</f>
        <v/>
      </c>
      <c r="C44" s="4" t="str" cm="1">
        <f t="array" aca="1" ref="C44" ca="1">IFERROR(INDEX(_xlfn.ANCHORARRAY($AA$11),ROW()-10,3),"")</f>
        <v/>
      </c>
      <c r="D44" s="13" t="str" cm="1">
        <f t="array" aca="1" ref="D44" ca="1">IFERROR(INDEX(_xlfn.ANCHORARRAY($AA$11),ROW()-10,4),"")</f>
        <v/>
      </c>
      <c r="E44" s="4" t="str" cm="1">
        <f t="array" aca="1" ref="E44" ca="1">IFERROR(INDEX(_xlfn.ANCHORARRAY($AA$11),ROW()-10,5),"")</f>
        <v/>
      </c>
      <c r="F44" s="13" t="str" cm="1">
        <f t="array" aca="1" ref="F44" ca="1">IFERROR(INDEX(_xlfn.ANCHORARRAY($AA$11),ROW()-10,6),"")</f>
        <v/>
      </c>
      <c r="G44" s="4" t="str" cm="1">
        <f t="array" aca="1" ref="G44" ca="1">IFERROR(INDEX(_xlfn.ANCHORARRAY($AA$11),ROW()-10,7),"")</f>
        <v/>
      </c>
      <c r="H44" s="4" t="str" cm="1">
        <f t="array" aca="1" ref="H44" ca="1">IFERROR(INDEX(_xlfn.ANCHORARRAY($AA$11),ROW()-10,8),"")</f>
        <v/>
      </c>
      <c r="I44" s="4" t="str" cm="1">
        <f t="array" aca="1" ref="I44" ca="1">IFERROR(INDEX(_xlfn.ANCHORARRAY($AA$11),ROW()-10,9),"")</f>
        <v/>
      </c>
      <c r="J44" s="4" t="str">
        <f t="shared" ca="1" si="3"/>
        <v/>
      </c>
      <c r="K44" s="4" t="str">
        <f t="shared" ca="1" si="4"/>
        <v/>
      </c>
      <c r="L44" s="4" t="str" cm="1">
        <f t="array" aca="1" ref="L44" ca="1">_xlfn.LET(_xlpm.link,IFERROR(INDEX(_xlfn.ANCHORARRAY($AA$11),ROW()-10,12),""),IF(_xlpm.link="","",HYPERLINK(_xlpm.link,"Bluecore/Attentive")))</f>
        <v/>
      </c>
      <c r="M44" s="61" t="str">
        <f t="shared" ca="1" si="5"/>
        <v/>
      </c>
      <c r="N44"/>
      <c r="O44"/>
      <c r="P44"/>
      <c r="Q44"/>
      <c r="R44"/>
      <c r="S44"/>
      <c r="T44" s="6"/>
      <c r="U44" s="6"/>
      <c r="V44" s="6"/>
      <c r="W44" s="6"/>
      <c r="X44" s="6"/>
      <c r="Y44" s="6"/>
      <c r="Z44" s="6"/>
      <c r="AA44"/>
      <c r="AB44"/>
      <c r="AC44"/>
      <c r="AD44"/>
      <c r="AE44"/>
      <c r="AF44"/>
      <c r="AG44"/>
      <c r="AH44"/>
      <c r="AI44"/>
      <c r="AJ44"/>
      <c r="AK44"/>
      <c r="AL44"/>
    </row>
    <row r="45" spans="1:38">
      <c r="A45" s="79" t="str" cm="1">
        <f t="array" aca="1" ref="A45" ca="1">IFERROR(INDEX(_xlfn.ANCHORARRAY($AA$11),ROW()-10,1),"")</f>
        <v/>
      </c>
      <c r="B45" s="81" t="str" cm="1">
        <f t="array" aca="1" ref="B45" ca="1">IFERROR(INDEX(_xlfn.ANCHORARRAY($AA$11),ROW()-10,2),"")</f>
        <v/>
      </c>
      <c r="C45" s="4" t="str" cm="1">
        <f t="array" aca="1" ref="C45" ca="1">IFERROR(INDEX(_xlfn.ANCHORARRAY($AA$11),ROW()-10,3),"")</f>
        <v/>
      </c>
      <c r="D45" s="13" t="str" cm="1">
        <f t="array" aca="1" ref="D45" ca="1">IFERROR(INDEX(_xlfn.ANCHORARRAY($AA$11),ROW()-10,4),"")</f>
        <v/>
      </c>
      <c r="E45" s="4" t="str" cm="1">
        <f t="array" aca="1" ref="E45" ca="1">IFERROR(INDEX(_xlfn.ANCHORARRAY($AA$11),ROW()-10,5),"")</f>
        <v/>
      </c>
      <c r="F45" s="13" t="str" cm="1">
        <f t="array" aca="1" ref="F45" ca="1">IFERROR(INDEX(_xlfn.ANCHORARRAY($AA$11),ROW()-10,6),"")</f>
        <v/>
      </c>
      <c r="G45" s="4" t="str" cm="1">
        <f t="array" aca="1" ref="G45" ca="1">IFERROR(INDEX(_xlfn.ANCHORARRAY($AA$11),ROW()-10,7),"")</f>
        <v/>
      </c>
      <c r="H45" s="4" t="str" cm="1">
        <f t="array" aca="1" ref="H45" ca="1">IFERROR(INDEX(_xlfn.ANCHORARRAY($AA$11),ROW()-10,8),"")</f>
        <v/>
      </c>
      <c r="I45" s="4" t="str" cm="1">
        <f t="array" aca="1" ref="I45" ca="1">IFERROR(INDEX(_xlfn.ANCHORARRAY($AA$11),ROW()-10,9),"")</f>
        <v/>
      </c>
      <c r="J45" s="4" t="str">
        <f t="shared" ca="1" si="3"/>
        <v/>
      </c>
      <c r="K45" s="4" t="str">
        <f t="shared" ca="1" si="4"/>
        <v/>
      </c>
      <c r="L45" s="4" t="str" cm="1">
        <f t="array" aca="1" ref="L45" ca="1">_xlfn.LET(_xlpm.link,IFERROR(INDEX(_xlfn.ANCHORARRAY($AA$11),ROW()-10,12),""),IF(_xlpm.link="","",HYPERLINK(_xlpm.link,"Bluecore/Attentive")))</f>
        <v/>
      </c>
      <c r="M45" s="60" t="str">
        <f t="shared" ca="1" si="5"/>
        <v/>
      </c>
      <c r="N45" s="7"/>
      <c r="O45" s="7"/>
      <c r="P45" s="7"/>
      <c r="Q45" s="7"/>
      <c r="R45" s="7"/>
      <c r="S45" s="6"/>
      <c r="T45" s="6"/>
      <c r="U45" s="6"/>
      <c r="V45" s="6"/>
      <c r="W45" s="6"/>
      <c r="X45" s="6"/>
      <c r="Y45" s="6"/>
      <c r="Z45" s="6"/>
      <c r="AA45"/>
      <c r="AB45"/>
      <c r="AC45"/>
      <c r="AD45"/>
      <c r="AE45"/>
      <c r="AF45"/>
      <c r="AG45"/>
      <c r="AH45"/>
      <c r="AI45"/>
      <c r="AJ45"/>
      <c r="AK45"/>
      <c r="AL45"/>
    </row>
    <row r="46" spans="1:38">
      <c r="A46" s="79" t="str" cm="1">
        <f t="array" aca="1" ref="A46" ca="1">IFERROR(INDEX(_xlfn.ANCHORARRAY($AA$11),ROW()-10,1),"")</f>
        <v/>
      </c>
      <c r="B46" s="81" t="str" cm="1">
        <f t="array" aca="1" ref="B46" ca="1">IFERROR(INDEX(_xlfn.ANCHORARRAY($AA$11),ROW()-10,2),"")</f>
        <v/>
      </c>
      <c r="C46" s="4" t="str" cm="1">
        <f t="array" aca="1" ref="C46" ca="1">IFERROR(INDEX(_xlfn.ANCHORARRAY($AA$11),ROW()-10,3),"")</f>
        <v/>
      </c>
      <c r="D46" s="13" t="str" cm="1">
        <f t="array" aca="1" ref="D46" ca="1">IFERROR(INDEX(_xlfn.ANCHORARRAY($AA$11),ROW()-10,4),"")</f>
        <v/>
      </c>
      <c r="E46" s="4" t="str" cm="1">
        <f t="array" aca="1" ref="E46" ca="1">IFERROR(INDEX(_xlfn.ANCHORARRAY($AA$11),ROW()-10,5),"")</f>
        <v/>
      </c>
      <c r="F46" s="13" t="str" cm="1">
        <f t="array" aca="1" ref="F46" ca="1">IFERROR(INDEX(_xlfn.ANCHORARRAY($AA$11),ROW()-10,6),"")</f>
        <v/>
      </c>
      <c r="G46" s="4" t="str" cm="1">
        <f t="array" aca="1" ref="G46" ca="1">IFERROR(INDEX(_xlfn.ANCHORARRAY($AA$11),ROW()-10,7),"")</f>
        <v/>
      </c>
      <c r="H46" s="4" t="str" cm="1">
        <f t="array" aca="1" ref="H46" ca="1">IFERROR(INDEX(_xlfn.ANCHORARRAY($AA$11),ROW()-10,8),"")</f>
        <v/>
      </c>
      <c r="I46" s="4" t="str" cm="1">
        <f t="array" aca="1" ref="I46" ca="1">IFERROR(INDEX(_xlfn.ANCHORARRAY($AA$11),ROW()-10,9),"")</f>
        <v/>
      </c>
      <c r="J46" s="4" t="str">
        <f t="shared" ca="1" si="3"/>
        <v/>
      </c>
      <c r="K46" s="4" t="str">
        <f t="shared" ca="1" si="4"/>
        <v/>
      </c>
      <c r="L46" s="4" t="str" cm="1">
        <f t="array" aca="1" ref="L46" ca="1">_xlfn.LET(_xlpm.link,IFERROR(INDEX(_xlfn.ANCHORARRAY($AA$11),ROW()-10,12),""),IF(_xlpm.link="","",HYPERLINK(_xlpm.link,"Bluecore/Attentive")))</f>
        <v/>
      </c>
      <c r="M46" s="61" t="str">
        <f t="shared" ca="1" si="5"/>
        <v/>
      </c>
      <c r="N46" s="7"/>
      <c r="O46" s="7"/>
      <c r="P46" s="7"/>
      <c r="Q46" s="7"/>
      <c r="R46" s="7"/>
      <c r="S46" s="6"/>
      <c r="T46" s="6"/>
      <c r="U46" s="6"/>
      <c r="V46" s="6"/>
      <c r="W46" s="6"/>
      <c r="X46" s="6"/>
      <c r="Y46" s="6"/>
      <c r="Z46" s="6"/>
      <c r="AA46"/>
      <c r="AB46"/>
      <c r="AC46"/>
      <c r="AD46"/>
      <c r="AE46"/>
      <c r="AF46"/>
      <c r="AG46"/>
      <c r="AH46"/>
      <c r="AI46"/>
      <c r="AJ46"/>
      <c r="AK46"/>
      <c r="AL46"/>
    </row>
    <row r="47" spans="1:38">
      <c r="A47" s="79" t="str" cm="1">
        <f t="array" aca="1" ref="A47" ca="1">IFERROR(INDEX(_xlfn.ANCHORARRAY($AA$11),ROW()-10,1),"")</f>
        <v/>
      </c>
      <c r="B47" s="81" t="str" cm="1">
        <f t="array" aca="1" ref="B47" ca="1">IFERROR(INDEX(_xlfn.ANCHORARRAY($AA$11),ROW()-10,2),"")</f>
        <v/>
      </c>
      <c r="C47" s="4" t="str" cm="1">
        <f t="array" aca="1" ref="C47" ca="1">IFERROR(INDEX(_xlfn.ANCHORARRAY($AA$11),ROW()-10,3),"")</f>
        <v/>
      </c>
      <c r="D47" s="13" t="str" cm="1">
        <f t="array" aca="1" ref="D47" ca="1">IFERROR(INDEX(_xlfn.ANCHORARRAY($AA$11),ROW()-10,4),"")</f>
        <v/>
      </c>
      <c r="E47" s="4" t="str" cm="1">
        <f t="array" aca="1" ref="E47" ca="1">IFERROR(INDEX(_xlfn.ANCHORARRAY($AA$11),ROW()-10,5),"")</f>
        <v/>
      </c>
      <c r="F47" s="13" t="str" cm="1">
        <f t="array" aca="1" ref="F47" ca="1">IFERROR(INDEX(_xlfn.ANCHORARRAY($AA$11),ROW()-10,6),"")</f>
        <v/>
      </c>
      <c r="G47" s="4" t="str" cm="1">
        <f t="array" aca="1" ref="G47" ca="1">IFERROR(INDEX(_xlfn.ANCHORARRAY($AA$11),ROW()-10,7),"")</f>
        <v/>
      </c>
      <c r="H47" s="4" t="str" cm="1">
        <f t="array" aca="1" ref="H47" ca="1">IFERROR(INDEX(_xlfn.ANCHORARRAY($AA$11),ROW()-10,8),"")</f>
        <v/>
      </c>
      <c r="I47" s="4" t="str" cm="1">
        <f t="array" aca="1" ref="I47" ca="1">IFERROR(INDEX(_xlfn.ANCHORARRAY($AA$11),ROW()-10,9),"")</f>
        <v/>
      </c>
      <c r="J47" s="4" t="str">
        <f t="shared" ca="1" si="3"/>
        <v/>
      </c>
      <c r="K47" s="4" t="str">
        <f t="shared" ca="1" si="4"/>
        <v/>
      </c>
      <c r="L47" s="4" t="str" cm="1">
        <f t="array" aca="1" ref="L47" ca="1">_xlfn.LET(_xlpm.link,IFERROR(INDEX(_xlfn.ANCHORARRAY($AA$11),ROW()-10,12),""),IF(_xlpm.link="","",HYPERLINK(_xlpm.link,"Bluecore/Attentive")))</f>
        <v/>
      </c>
      <c r="M47" s="60" t="str">
        <f t="shared" ca="1" si="5"/>
        <v/>
      </c>
      <c r="N47" s="7"/>
      <c r="O47" s="7"/>
      <c r="P47" s="7"/>
      <c r="Q47" s="7"/>
      <c r="R47" s="7"/>
      <c r="S47" s="6"/>
      <c r="T47" s="6"/>
      <c r="U47" s="6"/>
      <c r="V47" s="6"/>
      <c r="W47" s="6"/>
      <c r="X47" s="6"/>
      <c r="Y47" s="6"/>
      <c r="Z47" s="6"/>
      <c r="AA47"/>
      <c r="AB47"/>
      <c r="AC47"/>
      <c r="AD47"/>
      <c r="AE47"/>
      <c r="AF47"/>
      <c r="AG47"/>
      <c r="AH47"/>
      <c r="AI47"/>
      <c r="AJ47"/>
      <c r="AK47"/>
      <c r="AL47"/>
    </row>
    <row r="48" spans="1:38">
      <c r="A48" s="79" t="str" cm="1">
        <f t="array" aca="1" ref="A48" ca="1">IFERROR(INDEX(_xlfn.ANCHORARRAY($AA$11),ROW()-10,1),"")</f>
        <v/>
      </c>
      <c r="B48" s="81" t="str" cm="1">
        <f t="array" aca="1" ref="B48" ca="1">IFERROR(INDEX(_xlfn.ANCHORARRAY($AA$11),ROW()-10,2),"")</f>
        <v/>
      </c>
      <c r="C48" s="4" t="str" cm="1">
        <f t="array" aca="1" ref="C48" ca="1">IFERROR(INDEX(_xlfn.ANCHORARRAY($AA$11),ROW()-10,3),"")</f>
        <v/>
      </c>
      <c r="D48" s="13" t="str" cm="1">
        <f t="array" aca="1" ref="D48" ca="1">IFERROR(INDEX(_xlfn.ANCHORARRAY($AA$11),ROW()-10,4),"")</f>
        <v/>
      </c>
      <c r="E48" s="4" t="str" cm="1">
        <f t="array" aca="1" ref="E48" ca="1">IFERROR(INDEX(_xlfn.ANCHORARRAY($AA$11),ROW()-10,5),"")</f>
        <v/>
      </c>
      <c r="F48" s="13" t="str" cm="1">
        <f t="array" aca="1" ref="F48" ca="1">IFERROR(INDEX(_xlfn.ANCHORARRAY($AA$11),ROW()-10,6),"")</f>
        <v/>
      </c>
      <c r="G48" s="4" t="str" cm="1">
        <f t="array" aca="1" ref="G48" ca="1">IFERROR(INDEX(_xlfn.ANCHORARRAY($AA$11),ROW()-10,7),"")</f>
        <v/>
      </c>
      <c r="H48" s="4" t="str" cm="1">
        <f t="array" aca="1" ref="H48" ca="1">IFERROR(INDEX(_xlfn.ANCHORARRAY($AA$11),ROW()-10,8),"")</f>
        <v/>
      </c>
      <c r="I48" s="4" t="str" cm="1">
        <f t="array" aca="1" ref="I48" ca="1">IFERROR(INDEX(_xlfn.ANCHORARRAY($AA$11),ROW()-10,9),"")</f>
        <v/>
      </c>
      <c r="J48" s="4" t="str">
        <f t="shared" ca="1" si="3"/>
        <v/>
      </c>
      <c r="K48" s="4" t="str">
        <f t="shared" ca="1" si="4"/>
        <v/>
      </c>
      <c r="L48" s="4" t="str" cm="1">
        <f t="array" aca="1" ref="L48" ca="1">_xlfn.LET(_xlpm.link,IFERROR(INDEX(_xlfn.ANCHORARRAY($AA$11),ROW()-10,12),""),IF(_xlpm.link="","",HYPERLINK(_xlpm.link,"Bluecore/Attentive")))</f>
        <v/>
      </c>
      <c r="M48" s="61" t="str">
        <f t="shared" ca="1" si="5"/>
        <v/>
      </c>
      <c r="N48" s="7"/>
      <c r="O48" s="7"/>
      <c r="P48" s="7"/>
      <c r="Q48" s="7"/>
      <c r="R48" s="7"/>
      <c r="S48" s="6"/>
      <c r="T48" s="6"/>
      <c r="U48" s="6"/>
      <c r="V48" s="6"/>
      <c r="W48" s="6"/>
      <c r="X48" s="6"/>
      <c r="Y48" s="6"/>
      <c r="Z48" s="6"/>
      <c r="AA48"/>
      <c r="AB48"/>
      <c r="AC48"/>
      <c r="AD48"/>
      <c r="AE48"/>
      <c r="AF48"/>
      <c r="AG48"/>
      <c r="AH48"/>
      <c r="AI48"/>
      <c r="AJ48"/>
      <c r="AK48"/>
      <c r="AL48"/>
    </row>
    <row r="49" spans="1:38">
      <c r="A49" s="79" t="str" cm="1">
        <f t="array" aca="1" ref="A49" ca="1">IFERROR(INDEX(_xlfn.ANCHORARRAY($AA$11),ROW()-10,1),"")</f>
        <v/>
      </c>
      <c r="B49" s="81" t="str" cm="1">
        <f t="array" aca="1" ref="B49" ca="1">IFERROR(INDEX(_xlfn.ANCHORARRAY($AA$11),ROW()-10,2),"")</f>
        <v/>
      </c>
      <c r="C49" s="4" t="str" cm="1">
        <f t="array" aca="1" ref="C49" ca="1">IFERROR(INDEX(_xlfn.ANCHORARRAY($AA$11),ROW()-10,3),"")</f>
        <v/>
      </c>
      <c r="D49" s="13" t="str" cm="1">
        <f t="array" aca="1" ref="D49" ca="1">IFERROR(INDEX(_xlfn.ANCHORARRAY($AA$11),ROW()-10,4),"")</f>
        <v/>
      </c>
      <c r="E49" s="4" t="str" cm="1">
        <f t="array" aca="1" ref="E49" ca="1">IFERROR(INDEX(_xlfn.ANCHORARRAY($AA$11),ROW()-10,5),"")</f>
        <v/>
      </c>
      <c r="F49" s="13" t="str" cm="1">
        <f t="array" aca="1" ref="F49" ca="1">IFERROR(INDEX(_xlfn.ANCHORARRAY($AA$11),ROW()-10,6),"")</f>
        <v/>
      </c>
      <c r="G49" s="4" t="str" cm="1">
        <f t="array" aca="1" ref="G49" ca="1">IFERROR(INDEX(_xlfn.ANCHORARRAY($AA$11),ROW()-10,7),"")</f>
        <v/>
      </c>
      <c r="H49" s="4" t="str" cm="1">
        <f t="array" aca="1" ref="H49" ca="1">IFERROR(INDEX(_xlfn.ANCHORARRAY($AA$11),ROW()-10,8),"")</f>
        <v/>
      </c>
      <c r="I49" s="4" t="str" cm="1">
        <f t="array" aca="1" ref="I49" ca="1">IFERROR(INDEX(_xlfn.ANCHORARRAY($AA$11),ROW()-10,9),"")</f>
        <v/>
      </c>
      <c r="J49" s="4" t="str">
        <f t="shared" ca="1" si="3"/>
        <v/>
      </c>
      <c r="K49" s="4" t="str">
        <f t="shared" ca="1" si="4"/>
        <v/>
      </c>
      <c r="L49" s="4" t="str" cm="1">
        <f t="array" aca="1" ref="L49" ca="1">_xlfn.LET(_xlpm.link,IFERROR(INDEX(_xlfn.ANCHORARRAY($AA$11),ROW()-10,12),""),IF(_xlpm.link="","",HYPERLINK(_xlpm.link,"Bluecore/Attentive")))</f>
        <v/>
      </c>
      <c r="M49" s="60" t="str">
        <f t="shared" ca="1" si="5"/>
        <v/>
      </c>
      <c r="N49" s="7"/>
      <c r="O49" s="7"/>
      <c r="P49" s="7"/>
      <c r="Q49" s="7"/>
      <c r="R49" s="7"/>
      <c r="S49" s="6"/>
      <c r="T49" s="6"/>
      <c r="U49" s="6"/>
      <c r="V49" s="6"/>
      <c r="W49" s="6"/>
      <c r="X49" s="6"/>
      <c r="Y49" s="6"/>
      <c r="Z49" s="6"/>
      <c r="AA49"/>
      <c r="AB49"/>
      <c r="AC49"/>
      <c r="AD49"/>
      <c r="AE49"/>
      <c r="AF49"/>
      <c r="AG49"/>
      <c r="AH49"/>
      <c r="AI49"/>
      <c r="AJ49"/>
      <c r="AK49"/>
      <c r="AL49"/>
    </row>
    <row r="50" spans="1:38">
      <c r="A50" s="79" t="str" cm="1">
        <f t="array" aca="1" ref="A50" ca="1">IFERROR(INDEX(_xlfn.ANCHORARRAY($AA$11),ROW()-10,1),"")</f>
        <v/>
      </c>
      <c r="B50" s="81" t="str" cm="1">
        <f t="array" aca="1" ref="B50" ca="1">IFERROR(INDEX(_xlfn.ANCHORARRAY($AA$11),ROW()-10,2),"")</f>
        <v/>
      </c>
      <c r="C50" s="4" t="str" cm="1">
        <f t="array" aca="1" ref="C50" ca="1">IFERROR(INDEX(_xlfn.ANCHORARRAY($AA$11),ROW()-10,3),"")</f>
        <v/>
      </c>
      <c r="D50" s="13" t="str" cm="1">
        <f t="array" aca="1" ref="D50" ca="1">IFERROR(INDEX(_xlfn.ANCHORARRAY($AA$11),ROW()-10,4),"")</f>
        <v/>
      </c>
      <c r="E50" s="4" t="str" cm="1">
        <f t="array" aca="1" ref="E50" ca="1">IFERROR(INDEX(_xlfn.ANCHORARRAY($AA$11),ROW()-10,5),"")</f>
        <v/>
      </c>
      <c r="F50" s="13" t="str" cm="1">
        <f t="array" aca="1" ref="F50" ca="1">IFERROR(INDEX(_xlfn.ANCHORARRAY($AA$11),ROW()-10,6),"")</f>
        <v/>
      </c>
      <c r="G50" s="4" t="str" cm="1">
        <f t="array" aca="1" ref="G50" ca="1">IFERROR(INDEX(_xlfn.ANCHORARRAY($AA$11),ROW()-10,7),"")</f>
        <v/>
      </c>
      <c r="H50" s="4" t="str" cm="1">
        <f t="array" aca="1" ref="H50" ca="1">IFERROR(INDEX(_xlfn.ANCHORARRAY($AA$11),ROW()-10,8),"")</f>
        <v/>
      </c>
      <c r="I50" s="4" t="str" cm="1">
        <f t="array" aca="1" ref="I50" ca="1">IFERROR(INDEX(_xlfn.ANCHORARRAY($AA$11),ROW()-10,9),"")</f>
        <v/>
      </c>
      <c r="J50" s="4" t="str">
        <f t="shared" ca="1" si="3"/>
        <v/>
      </c>
      <c r="K50" s="4" t="str">
        <f t="shared" ca="1" si="4"/>
        <v/>
      </c>
      <c r="L50" s="4" t="str" cm="1">
        <f t="array" aca="1" ref="L50" ca="1">_xlfn.LET(_xlpm.link,IFERROR(INDEX(_xlfn.ANCHORARRAY($AA$11),ROW()-10,12),""),IF(_xlpm.link="","",HYPERLINK(_xlpm.link,"Bluecore/Attentive")))</f>
        <v/>
      </c>
      <c r="M50" s="61" t="str">
        <f t="shared" ca="1" si="5"/>
        <v/>
      </c>
      <c r="N50" s="7"/>
      <c r="O50" s="7"/>
      <c r="P50" s="7"/>
      <c r="Q50" s="7"/>
      <c r="R50" s="7"/>
      <c r="S50" s="6"/>
      <c r="T50" s="6"/>
      <c r="U50" s="6"/>
      <c r="V50" s="6"/>
      <c r="W50" s="6"/>
      <c r="X50" s="6"/>
      <c r="Y50" s="6"/>
      <c r="Z50" s="6"/>
      <c r="AA50"/>
      <c r="AB50"/>
      <c r="AC50"/>
      <c r="AD50"/>
      <c r="AE50"/>
      <c r="AF50"/>
      <c r="AG50"/>
      <c r="AH50"/>
      <c r="AI50"/>
      <c r="AJ50"/>
      <c r="AK50"/>
      <c r="AL50"/>
    </row>
    <row r="51" spans="1:38">
      <c r="A51" s="79" t="str" cm="1">
        <f t="array" aca="1" ref="A51" ca="1">IFERROR(INDEX(_xlfn.ANCHORARRAY($AA$11),ROW()-10,1),"")</f>
        <v/>
      </c>
      <c r="B51" s="81" t="str" cm="1">
        <f t="array" aca="1" ref="B51" ca="1">IFERROR(INDEX(_xlfn.ANCHORARRAY($AA$11),ROW()-10,2),"")</f>
        <v/>
      </c>
      <c r="C51" s="4" t="str" cm="1">
        <f t="array" aca="1" ref="C51" ca="1">IFERROR(INDEX(_xlfn.ANCHORARRAY($AA$11),ROW()-10,3),"")</f>
        <v/>
      </c>
      <c r="D51" s="13" t="str" cm="1">
        <f t="array" aca="1" ref="D51" ca="1">IFERROR(INDEX(_xlfn.ANCHORARRAY($AA$11),ROW()-10,4),"")</f>
        <v/>
      </c>
      <c r="E51" s="4" t="str" cm="1">
        <f t="array" aca="1" ref="E51" ca="1">IFERROR(INDEX(_xlfn.ANCHORARRAY($AA$11),ROW()-10,5),"")</f>
        <v/>
      </c>
      <c r="F51" s="13" t="str" cm="1">
        <f t="array" aca="1" ref="F51" ca="1">IFERROR(INDEX(_xlfn.ANCHORARRAY($AA$11),ROW()-10,6),"")</f>
        <v/>
      </c>
      <c r="G51" s="4" t="str" cm="1">
        <f t="array" aca="1" ref="G51" ca="1">IFERROR(INDEX(_xlfn.ANCHORARRAY($AA$11),ROW()-10,7),"")</f>
        <v/>
      </c>
      <c r="H51" s="4" t="str" cm="1">
        <f t="array" aca="1" ref="H51" ca="1">IFERROR(INDEX(_xlfn.ANCHORARRAY($AA$11),ROW()-10,8),"")</f>
        <v/>
      </c>
      <c r="I51" s="4" t="str" cm="1">
        <f t="array" aca="1" ref="I51" ca="1">IFERROR(INDEX(_xlfn.ANCHORARRAY($AA$11),ROW()-10,9),"")</f>
        <v/>
      </c>
      <c r="J51" s="4" t="str">
        <f t="shared" ca="1" si="3"/>
        <v/>
      </c>
      <c r="K51" s="4" t="str">
        <f t="shared" ca="1" si="4"/>
        <v/>
      </c>
      <c r="L51" s="4" t="str" cm="1">
        <f t="array" aca="1" ref="L51" ca="1">_xlfn.LET(_xlpm.link,IFERROR(INDEX(_xlfn.ANCHORARRAY($AA$11),ROW()-10,12),""),IF(_xlpm.link="","",HYPERLINK(_xlpm.link,"Bluecore/Attentive")))</f>
        <v/>
      </c>
      <c r="M51" s="60" t="str">
        <f t="shared" ca="1" si="5"/>
        <v/>
      </c>
      <c r="N51" s="7"/>
      <c r="O51" s="7"/>
      <c r="P51" s="7"/>
      <c r="Q51" s="7"/>
      <c r="R51" s="7"/>
      <c r="S51" s="6"/>
      <c r="T51" s="6"/>
      <c r="U51" s="6"/>
      <c r="V51" s="6"/>
      <c r="W51" s="6"/>
      <c r="X51" s="6"/>
      <c r="Y51" s="6"/>
      <c r="Z51" s="6"/>
      <c r="AA51"/>
      <c r="AB51"/>
      <c r="AC51"/>
      <c r="AD51"/>
      <c r="AE51"/>
      <c r="AF51"/>
      <c r="AG51"/>
      <c r="AH51"/>
      <c r="AI51"/>
      <c r="AJ51"/>
      <c r="AK51"/>
      <c r="AL51"/>
    </row>
    <row r="52" spans="1:38">
      <c r="A52" s="79" t="str" cm="1">
        <f t="array" aca="1" ref="A52" ca="1">IFERROR(INDEX(_xlfn.ANCHORARRAY($AA$11),ROW()-10,1),"")</f>
        <v/>
      </c>
      <c r="B52" s="81" t="str" cm="1">
        <f t="array" aca="1" ref="B52" ca="1">IFERROR(INDEX(_xlfn.ANCHORARRAY($AA$11),ROW()-10,2),"")</f>
        <v/>
      </c>
      <c r="C52" s="4" t="str" cm="1">
        <f t="array" aca="1" ref="C52" ca="1">IFERROR(INDEX(_xlfn.ANCHORARRAY($AA$11),ROW()-10,3),"")</f>
        <v/>
      </c>
      <c r="D52" s="13" t="str" cm="1">
        <f t="array" aca="1" ref="D52" ca="1">IFERROR(INDEX(_xlfn.ANCHORARRAY($AA$11),ROW()-10,4),"")</f>
        <v/>
      </c>
      <c r="E52" s="4" t="str" cm="1">
        <f t="array" aca="1" ref="E52" ca="1">IFERROR(INDEX(_xlfn.ANCHORARRAY($AA$11),ROW()-10,5),"")</f>
        <v/>
      </c>
      <c r="F52" s="13" t="str" cm="1">
        <f t="array" aca="1" ref="F52" ca="1">IFERROR(INDEX(_xlfn.ANCHORARRAY($AA$11),ROW()-10,6),"")</f>
        <v/>
      </c>
      <c r="G52" s="4" t="str" cm="1">
        <f t="array" aca="1" ref="G52" ca="1">IFERROR(INDEX(_xlfn.ANCHORARRAY($AA$11),ROW()-10,7),"")</f>
        <v/>
      </c>
      <c r="H52" s="4" t="str" cm="1">
        <f t="array" aca="1" ref="H52" ca="1">IFERROR(INDEX(_xlfn.ANCHORARRAY($AA$11),ROW()-10,8),"")</f>
        <v/>
      </c>
      <c r="I52" s="4" t="str" cm="1">
        <f t="array" aca="1" ref="I52" ca="1">IFERROR(INDEX(_xlfn.ANCHORARRAY($AA$11),ROW()-10,9),"")</f>
        <v/>
      </c>
      <c r="J52" s="4" t="str">
        <f t="shared" ca="1" si="3"/>
        <v/>
      </c>
      <c r="K52" s="4" t="str">
        <f t="shared" ca="1" si="4"/>
        <v/>
      </c>
      <c r="L52" s="4" t="str" cm="1">
        <f t="array" aca="1" ref="L52" ca="1">_xlfn.LET(_xlpm.link,IFERROR(INDEX(_xlfn.ANCHORARRAY($AA$11),ROW()-10,12),""),IF(_xlpm.link="","",HYPERLINK(_xlpm.link,"Bluecore/Attentive")))</f>
        <v/>
      </c>
      <c r="M52" s="61" t="str">
        <f t="shared" ca="1" si="5"/>
        <v/>
      </c>
      <c r="N52" s="7"/>
      <c r="O52" s="7"/>
      <c r="P52" s="7"/>
      <c r="Q52" s="7"/>
      <c r="R52" s="7"/>
      <c r="S52" s="6"/>
      <c r="T52" s="6"/>
      <c r="U52" s="6"/>
      <c r="V52" s="6"/>
      <c r="W52" s="6"/>
      <c r="X52" s="6"/>
      <c r="Y52" s="6"/>
      <c r="Z52" s="6"/>
      <c r="AA52"/>
      <c r="AB52"/>
      <c r="AC52"/>
      <c r="AD52"/>
      <c r="AE52"/>
      <c r="AF52"/>
      <c r="AG52"/>
      <c r="AH52"/>
      <c r="AI52"/>
      <c r="AJ52"/>
      <c r="AK52"/>
      <c r="AL52"/>
    </row>
    <row r="53" spans="1:38">
      <c r="A53" s="79" t="str" cm="1">
        <f t="array" aca="1" ref="A53" ca="1">IFERROR(INDEX(_xlfn.ANCHORARRAY($AA$11),ROW()-10,1),"")</f>
        <v/>
      </c>
      <c r="B53" s="81" t="str" cm="1">
        <f t="array" aca="1" ref="B53" ca="1">IFERROR(INDEX(_xlfn.ANCHORARRAY($AA$11),ROW()-10,2),"")</f>
        <v/>
      </c>
      <c r="C53" s="4" t="str" cm="1">
        <f t="array" aca="1" ref="C53" ca="1">IFERROR(INDEX(_xlfn.ANCHORARRAY($AA$11),ROW()-10,3),"")</f>
        <v/>
      </c>
      <c r="D53" s="13" t="str" cm="1">
        <f t="array" aca="1" ref="D53" ca="1">IFERROR(INDEX(_xlfn.ANCHORARRAY($AA$11),ROW()-10,4),"")</f>
        <v/>
      </c>
      <c r="E53" s="4" t="str" cm="1">
        <f t="array" aca="1" ref="E53" ca="1">IFERROR(INDEX(_xlfn.ANCHORARRAY($AA$11),ROW()-10,5),"")</f>
        <v/>
      </c>
      <c r="F53" s="13" t="str" cm="1">
        <f t="array" aca="1" ref="F53" ca="1">IFERROR(INDEX(_xlfn.ANCHORARRAY($AA$11),ROW()-10,6),"")</f>
        <v/>
      </c>
      <c r="G53" s="4" t="str" cm="1">
        <f t="array" aca="1" ref="G53" ca="1">IFERROR(INDEX(_xlfn.ANCHORARRAY($AA$11),ROW()-10,7),"")</f>
        <v/>
      </c>
      <c r="H53" s="4" t="str" cm="1">
        <f t="array" aca="1" ref="H53" ca="1">IFERROR(INDEX(_xlfn.ANCHORARRAY($AA$11),ROW()-10,8),"")</f>
        <v/>
      </c>
      <c r="I53" s="4" t="str" cm="1">
        <f t="array" aca="1" ref="I53" ca="1">IFERROR(INDEX(_xlfn.ANCHORARRAY($AA$11),ROW()-10,9),"")</f>
        <v/>
      </c>
      <c r="J53" s="4" t="str">
        <f t="shared" ca="1" si="3"/>
        <v/>
      </c>
      <c r="K53" s="4" t="str">
        <f t="shared" ca="1" si="4"/>
        <v/>
      </c>
      <c r="L53" s="4" t="str" cm="1">
        <f t="array" aca="1" ref="L53" ca="1">_xlfn.LET(_xlpm.link,IFERROR(INDEX(_xlfn.ANCHORARRAY($AA$11),ROW()-10,12),""),IF(_xlpm.link="","",HYPERLINK(_xlpm.link,"Bluecore/Attentive")))</f>
        <v/>
      </c>
      <c r="M53" s="60" t="str">
        <f t="shared" ca="1" si="5"/>
        <v/>
      </c>
      <c r="N53" s="7"/>
      <c r="O53" s="7"/>
      <c r="P53" s="7"/>
      <c r="Q53" s="7"/>
      <c r="R53" s="7"/>
      <c r="S53" s="6"/>
      <c r="T53" s="6"/>
      <c r="U53" s="6"/>
      <c r="V53" s="6"/>
      <c r="W53" s="6"/>
      <c r="X53" s="6"/>
      <c r="Y53" s="6"/>
      <c r="Z53" s="6"/>
      <c r="AA53"/>
      <c r="AB53"/>
      <c r="AC53"/>
      <c r="AD53"/>
      <c r="AE53"/>
      <c r="AF53"/>
      <c r="AG53"/>
      <c r="AH53"/>
      <c r="AI53"/>
      <c r="AJ53"/>
      <c r="AK53"/>
      <c r="AL53"/>
    </row>
    <row r="54" spans="1:38">
      <c r="A54" s="79" t="str" cm="1">
        <f t="array" aca="1" ref="A54" ca="1">IFERROR(INDEX(_xlfn.ANCHORARRAY($AA$11),ROW()-10,1),"")</f>
        <v/>
      </c>
      <c r="B54" s="81" t="str" cm="1">
        <f t="array" aca="1" ref="B54" ca="1">IFERROR(INDEX(_xlfn.ANCHORARRAY($AA$11),ROW()-10,2),"")</f>
        <v/>
      </c>
      <c r="C54" s="4" t="str" cm="1">
        <f t="array" aca="1" ref="C54" ca="1">IFERROR(INDEX(_xlfn.ANCHORARRAY($AA$11),ROW()-10,3),"")</f>
        <v/>
      </c>
      <c r="D54" s="13" t="str" cm="1">
        <f t="array" aca="1" ref="D54" ca="1">IFERROR(INDEX(_xlfn.ANCHORARRAY($AA$11),ROW()-10,4),"")</f>
        <v/>
      </c>
      <c r="E54" s="4" t="str" cm="1">
        <f t="array" aca="1" ref="E54" ca="1">IFERROR(INDEX(_xlfn.ANCHORARRAY($AA$11),ROW()-10,5),"")</f>
        <v/>
      </c>
      <c r="F54" s="13" t="str" cm="1">
        <f t="array" aca="1" ref="F54" ca="1">IFERROR(INDEX(_xlfn.ANCHORARRAY($AA$11),ROW()-10,6),"")</f>
        <v/>
      </c>
      <c r="G54" s="4" t="str" cm="1">
        <f t="array" aca="1" ref="G54" ca="1">IFERROR(INDEX(_xlfn.ANCHORARRAY($AA$11),ROW()-10,7),"")</f>
        <v/>
      </c>
      <c r="H54" s="4" t="str" cm="1">
        <f t="array" aca="1" ref="H54" ca="1">IFERROR(INDEX(_xlfn.ANCHORARRAY($AA$11),ROW()-10,8),"")</f>
        <v/>
      </c>
      <c r="I54" s="4" t="str" cm="1">
        <f t="array" aca="1" ref="I54" ca="1">IFERROR(INDEX(_xlfn.ANCHORARRAY($AA$11),ROW()-10,9),"")</f>
        <v/>
      </c>
      <c r="J54" s="4" t="str">
        <f t="shared" ca="1" si="3"/>
        <v/>
      </c>
      <c r="K54" s="4" t="str">
        <f t="shared" ca="1" si="4"/>
        <v/>
      </c>
      <c r="L54" s="4" t="str" cm="1">
        <f t="array" aca="1" ref="L54" ca="1">_xlfn.LET(_xlpm.link,IFERROR(INDEX(_xlfn.ANCHORARRAY($AA$11),ROW()-10,12),""),IF(_xlpm.link="","",HYPERLINK(_xlpm.link,"Bluecore/Attentive")))</f>
        <v/>
      </c>
      <c r="M54" s="61" t="str">
        <f t="shared" ca="1" si="5"/>
        <v/>
      </c>
      <c r="N54" s="7"/>
      <c r="O54" s="7"/>
      <c r="P54" s="7"/>
      <c r="Q54" s="7"/>
      <c r="R54" s="7"/>
      <c r="S54" s="6"/>
      <c r="T54" s="6"/>
      <c r="U54" s="6"/>
      <c r="V54" s="6"/>
      <c r="W54" s="6"/>
      <c r="X54" s="6"/>
      <c r="Y54" s="6"/>
      <c r="Z54" s="6"/>
      <c r="AA54"/>
      <c r="AB54"/>
      <c r="AC54"/>
      <c r="AD54"/>
      <c r="AE54"/>
      <c r="AF54"/>
      <c r="AG54"/>
      <c r="AH54"/>
      <c r="AI54"/>
      <c r="AJ54"/>
      <c r="AK54"/>
      <c r="AL54"/>
    </row>
    <row r="55" spans="1:38">
      <c r="A55" s="79" t="str" cm="1">
        <f t="array" aca="1" ref="A55" ca="1">IFERROR(INDEX(_xlfn.ANCHORARRAY($AA$11),ROW()-10,1),"")</f>
        <v/>
      </c>
      <c r="B55" s="81" t="str" cm="1">
        <f t="array" aca="1" ref="B55" ca="1">IFERROR(INDEX(_xlfn.ANCHORARRAY($AA$11),ROW()-10,2),"")</f>
        <v/>
      </c>
      <c r="C55" s="4" t="str" cm="1">
        <f t="array" aca="1" ref="C55" ca="1">IFERROR(INDEX(_xlfn.ANCHORARRAY($AA$11),ROW()-10,3),"")</f>
        <v/>
      </c>
      <c r="D55" s="13" t="str" cm="1">
        <f t="array" aca="1" ref="D55" ca="1">IFERROR(INDEX(_xlfn.ANCHORARRAY($AA$11),ROW()-10,4),"")</f>
        <v/>
      </c>
      <c r="E55" s="4" t="str" cm="1">
        <f t="array" aca="1" ref="E55" ca="1">IFERROR(INDEX(_xlfn.ANCHORARRAY($AA$11),ROW()-10,5),"")</f>
        <v/>
      </c>
      <c r="F55" s="13" t="str" cm="1">
        <f t="array" aca="1" ref="F55" ca="1">IFERROR(INDEX(_xlfn.ANCHORARRAY($AA$11),ROW()-10,6),"")</f>
        <v/>
      </c>
      <c r="G55" s="4" t="str" cm="1">
        <f t="array" aca="1" ref="G55" ca="1">IFERROR(INDEX(_xlfn.ANCHORARRAY($AA$11),ROW()-10,7),"")</f>
        <v/>
      </c>
      <c r="H55" s="4" t="str" cm="1">
        <f t="array" aca="1" ref="H55" ca="1">IFERROR(INDEX(_xlfn.ANCHORARRAY($AA$11),ROW()-10,8),"")</f>
        <v/>
      </c>
      <c r="I55" s="4" t="str" cm="1">
        <f t="array" aca="1" ref="I55" ca="1">IFERROR(INDEX(_xlfn.ANCHORARRAY($AA$11),ROW()-10,9),"")</f>
        <v/>
      </c>
      <c r="J55" s="4" t="str">
        <f t="shared" ca="1" si="3"/>
        <v/>
      </c>
      <c r="K55" s="4" t="str">
        <f t="shared" ca="1" si="4"/>
        <v/>
      </c>
      <c r="L55" s="4" t="str" cm="1">
        <f t="array" aca="1" ref="L55" ca="1">_xlfn.LET(_xlpm.link,IFERROR(INDEX(_xlfn.ANCHORARRAY($AA$11),ROW()-10,12),""),IF(_xlpm.link="","",HYPERLINK(_xlpm.link,"Bluecore/Attentive")))</f>
        <v/>
      </c>
      <c r="M55" s="60" t="str">
        <f t="shared" ca="1" si="5"/>
        <v/>
      </c>
      <c r="N55" s="7"/>
      <c r="O55" s="7"/>
      <c r="P55" s="7"/>
      <c r="Q55" s="7"/>
      <c r="R55" s="7"/>
      <c r="S55" s="6"/>
      <c r="T55" s="6"/>
      <c r="U55" s="6"/>
      <c r="V55" s="6"/>
      <c r="W55" s="6"/>
      <c r="X55" s="6"/>
      <c r="Y55" s="6"/>
      <c r="Z55" s="6"/>
      <c r="AA55"/>
      <c r="AB55"/>
      <c r="AC55"/>
      <c r="AD55"/>
      <c r="AE55"/>
      <c r="AF55"/>
      <c r="AG55"/>
      <c r="AH55"/>
      <c r="AI55"/>
      <c r="AJ55"/>
      <c r="AK55"/>
      <c r="AL55"/>
    </row>
    <row r="56" spans="1:38">
      <c r="A56" s="79" t="str" cm="1">
        <f t="array" aca="1" ref="A56" ca="1">IFERROR(INDEX(_xlfn.ANCHORARRAY($AA$11),ROW()-10,1),"")</f>
        <v/>
      </c>
      <c r="B56" s="81" t="str" cm="1">
        <f t="array" aca="1" ref="B56" ca="1">IFERROR(INDEX(_xlfn.ANCHORARRAY($AA$11),ROW()-10,2),"")</f>
        <v/>
      </c>
      <c r="C56" s="4" t="str" cm="1">
        <f t="array" aca="1" ref="C56" ca="1">IFERROR(INDEX(_xlfn.ANCHORARRAY($AA$11),ROW()-10,3),"")</f>
        <v/>
      </c>
      <c r="D56" s="13" t="str" cm="1">
        <f t="array" aca="1" ref="D56" ca="1">IFERROR(INDEX(_xlfn.ANCHORARRAY($AA$11),ROW()-10,4),"")</f>
        <v/>
      </c>
      <c r="E56" s="4" t="str" cm="1">
        <f t="array" aca="1" ref="E56" ca="1">IFERROR(INDEX(_xlfn.ANCHORARRAY($AA$11),ROW()-10,5),"")</f>
        <v/>
      </c>
      <c r="F56" s="13" t="str" cm="1">
        <f t="array" aca="1" ref="F56" ca="1">IFERROR(INDEX(_xlfn.ANCHORARRAY($AA$11),ROW()-10,6),"")</f>
        <v/>
      </c>
      <c r="G56" s="4" t="str" cm="1">
        <f t="array" aca="1" ref="G56" ca="1">IFERROR(INDEX(_xlfn.ANCHORARRAY($AA$11),ROW()-10,7),"")</f>
        <v/>
      </c>
      <c r="H56" s="4" t="str" cm="1">
        <f t="array" aca="1" ref="H56" ca="1">IFERROR(INDEX(_xlfn.ANCHORARRAY($AA$11),ROW()-10,8),"")</f>
        <v/>
      </c>
      <c r="I56" s="4" t="str" cm="1">
        <f t="array" aca="1" ref="I56" ca="1">IFERROR(INDEX(_xlfn.ANCHORARRAY($AA$11),ROW()-10,9),"")</f>
        <v/>
      </c>
      <c r="J56" s="4" t="str">
        <f t="shared" ca="1" si="3"/>
        <v/>
      </c>
      <c r="K56" s="4" t="str">
        <f t="shared" ca="1" si="4"/>
        <v/>
      </c>
      <c r="L56" s="4" t="str" cm="1">
        <f t="array" aca="1" ref="L56" ca="1">_xlfn.LET(_xlpm.link,IFERROR(INDEX(_xlfn.ANCHORARRAY($AA$11),ROW()-10,12),""),IF(_xlpm.link="","",HYPERLINK(_xlpm.link,"Bluecore/Attentive")))</f>
        <v/>
      </c>
      <c r="M56" s="61" t="str">
        <f t="shared" ca="1" si="5"/>
        <v/>
      </c>
      <c r="N56" s="7"/>
      <c r="O56" s="7"/>
      <c r="P56" s="7"/>
      <c r="Q56" s="7"/>
      <c r="R56" s="7"/>
      <c r="S56" s="6"/>
      <c r="T56" s="6"/>
      <c r="U56" s="6"/>
      <c r="V56" s="6"/>
      <c r="W56" s="6"/>
      <c r="X56" s="6"/>
      <c r="Y56" s="6"/>
      <c r="Z56" s="6"/>
      <c r="AA56"/>
      <c r="AB56"/>
      <c r="AC56"/>
      <c r="AD56"/>
      <c r="AE56"/>
      <c r="AF56"/>
      <c r="AG56"/>
      <c r="AH56"/>
      <c r="AI56"/>
      <c r="AJ56"/>
      <c r="AK56"/>
      <c r="AL56"/>
    </row>
    <row r="57" spans="1:38">
      <c r="A57" s="79" t="str" cm="1">
        <f t="array" aca="1" ref="A57" ca="1">IFERROR(INDEX(_xlfn.ANCHORARRAY($AA$11),ROW()-10,1),"")</f>
        <v/>
      </c>
      <c r="B57" s="81" t="str" cm="1">
        <f t="array" aca="1" ref="B57" ca="1">IFERROR(INDEX(_xlfn.ANCHORARRAY($AA$11),ROW()-10,2),"")</f>
        <v/>
      </c>
      <c r="C57" s="4" t="str" cm="1">
        <f t="array" aca="1" ref="C57" ca="1">IFERROR(INDEX(_xlfn.ANCHORARRAY($AA$11),ROW()-10,3),"")</f>
        <v/>
      </c>
      <c r="D57" s="13" t="str" cm="1">
        <f t="array" aca="1" ref="D57" ca="1">IFERROR(INDEX(_xlfn.ANCHORARRAY($AA$11),ROW()-10,4),"")</f>
        <v/>
      </c>
      <c r="E57" s="4" t="str" cm="1">
        <f t="array" aca="1" ref="E57" ca="1">IFERROR(INDEX(_xlfn.ANCHORARRAY($AA$11),ROW()-10,5),"")</f>
        <v/>
      </c>
      <c r="F57" s="13" t="str" cm="1">
        <f t="array" aca="1" ref="F57" ca="1">IFERROR(INDEX(_xlfn.ANCHORARRAY($AA$11),ROW()-10,6),"")</f>
        <v/>
      </c>
      <c r="G57" s="4" t="str" cm="1">
        <f t="array" aca="1" ref="G57" ca="1">IFERROR(INDEX(_xlfn.ANCHORARRAY($AA$11),ROW()-10,7),"")</f>
        <v/>
      </c>
      <c r="H57" s="4" t="str" cm="1">
        <f t="array" aca="1" ref="H57" ca="1">IFERROR(INDEX(_xlfn.ANCHORARRAY($AA$11),ROW()-10,8),"")</f>
        <v/>
      </c>
      <c r="I57" s="4" t="str" cm="1">
        <f t="array" aca="1" ref="I57" ca="1">IFERROR(INDEX(_xlfn.ANCHORARRAY($AA$11),ROW()-10,9),"")</f>
        <v/>
      </c>
      <c r="J57" s="4" t="str">
        <f t="shared" ca="1" si="3"/>
        <v/>
      </c>
      <c r="K57" s="4" t="str">
        <f t="shared" ca="1" si="4"/>
        <v/>
      </c>
      <c r="L57" s="4" t="str" cm="1">
        <f t="array" aca="1" ref="L57" ca="1">_xlfn.LET(_xlpm.link,IFERROR(INDEX(_xlfn.ANCHORARRAY($AA$11),ROW()-10,12),""),IF(_xlpm.link="","",HYPERLINK(_xlpm.link,"Bluecore/Attentive")))</f>
        <v/>
      </c>
      <c r="M57" s="60" t="str">
        <f t="shared" ca="1" si="5"/>
        <v/>
      </c>
      <c r="N57" s="7"/>
      <c r="O57" s="7"/>
      <c r="P57" s="7"/>
      <c r="Q57" s="7"/>
      <c r="R57" s="7"/>
      <c r="S57" s="6"/>
      <c r="T57" s="6"/>
      <c r="U57" s="6"/>
      <c r="V57" s="6"/>
      <c r="W57" s="6"/>
      <c r="X57" s="6"/>
      <c r="Y57" s="6"/>
      <c r="Z57" s="6"/>
      <c r="AA57"/>
      <c r="AB57"/>
      <c r="AC57"/>
      <c r="AD57"/>
      <c r="AE57"/>
      <c r="AF57"/>
      <c r="AG57"/>
      <c r="AH57"/>
      <c r="AI57"/>
      <c r="AJ57"/>
      <c r="AK57"/>
      <c r="AL57"/>
    </row>
    <row r="58" spans="1:38">
      <c r="A58" s="79" t="str" cm="1">
        <f t="array" aca="1" ref="A58" ca="1">IFERROR(INDEX(_xlfn.ANCHORARRAY($AA$11),ROW()-10,1),"")</f>
        <v/>
      </c>
      <c r="B58" s="81" t="str" cm="1">
        <f t="array" aca="1" ref="B58" ca="1">IFERROR(INDEX(_xlfn.ANCHORARRAY($AA$11),ROW()-10,2),"")</f>
        <v/>
      </c>
      <c r="C58" s="4" t="str" cm="1">
        <f t="array" aca="1" ref="C58" ca="1">IFERROR(INDEX(_xlfn.ANCHORARRAY($AA$11),ROW()-10,3),"")</f>
        <v/>
      </c>
      <c r="D58" s="13" t="str" cm="1">
        <f t="array" aca="1" ref="D58" ca="1">IFERROR(INDEX(_xlfn.ANCHORARRAY($AA$11),ROW()-10,4),"")</f>
        <v/>
      </c>
      <c r="E58" s="4" t="str" cm="1">
        <f t="array" aca="1" ref="E58" ca="1">IFERROR(INDEX(_xlfn.ANCHORARRAY($AA$11),ROW()-10,5),"")</f>
        <v/>
      </c>
      <c r="F58" s="13" t="str" cm="1">
        <f t="array" aca="1" ref="F58" ca="1">IFERROR(INDEX(_xlfn.ANCHORARRAY($AA$11),ROW()-10,6),"")</f>
        <v/>
      </c>
      <c r="G58" s="4" t="str" cm="1">
        <f t="array" aca="1" ref="G58" ca="1">IFERROR(INDEX(_xlfn.ANCHORARRAY($AA$11),ROW()-10,7),"")</f>
        <v/>
      </c>
      <c r="H58" s="4" t="str" cm="1">
        <f t="array" aca="1" ref="H58" ca="1">IFERROR(INDEX(_xlfn.ANCHORARRAY($AA$11),ROW()-10,8),"")</f>
        <v/>
      </c>
      <c r="I58" s="4" t="str" cm="1">
        <f t="array" aca="1" ref="I58" ca="1">IFERROR(INDEX(_xlfn.ANCHORARRAY($AA$11),ROW()-10,9),"")</f>
        <v/>
      </c>
      <c r="J58" s="4" t="str">
        <f t="shared" ca="1" si="3"/>
        <v/>
      </c>
      <c r="K58" s="4" t="str">
        <f t="shared" ca="1" si="4"/>
        <v/>
      </c>
      <c r="L58" s="4" t="str" cm="1">
        <f t="array" aca="1" ref="L58" ca="1">_xlfn.LET(_xlpm.link,IFERROR(INDEX(_xlfn.ANCHORARRAY($AA$11),ROW()-10,12),""),IF(_xlpm.link="","",HYPERLINK(_xlpm.link,"Bluecore/Attentive")))</f>
        <v/>
      </c>
      <c r="M58" s="61" t="str">
        <f t="shared" ca="1" si="5"/>
        <v/>
      </c>
      <c r="N58" s="7"/>
      <c r="O58" s="7"/>
      <c r="P58" s="7"/>
      <c r="Q58" s="7"/>
      <c r="R58" s="7"/>
      <c r="S58" s="6"/>
      <c r="T58" s="6"/>
      <c r="U58" s="6"/>
      <c r="V58" s="6"/>
      <c r="W58" s="6"/>
      <c r="X58" s="6"/>
      <c r="Y58" s="6"/>
      <c r="Z58" s="6"/>
      <c r="AA58"/>
      <c r="AB58"/>
      <c r="AC58"/>
      <c r="AD58"/>
      <c r="AE58"/>
      <c r="AF58"/>
      <c r="AG58"/>
      <c r="AH58"/>
      <c r="AI58"/>
      <c r="AJ58"/>
      <c r="AK58"/>
      <c r="AL58"/>
    </row>
    <row r="59" spans="1:38">
      <c r="A59" s="79" t="str" cm="1">
        <f t="array" aca="1" ref="A59" ca="1">IFERROR(INDEX(_xlfn.ANCHORARRAY($AA$11),ROW()-10,1),"")</f>
        <v/>
      </c>
      <c r="B59" s="81" t="str" cm="1">
        <f t="array" aca="1" ref="B59" ca="1">IFERROR(INDEX(_xlfn.ANCHORARRAY($AA$11),ROW()-10,2),"")</f>
        <v/>
      </c>
      <c r="C59" s="4" t="str" cm="1">
        <f t="array" aca="1" ref="C59" ca="1">IFERROR(INDEX(_xlfn.ANCHORARRAY($AA$11),ROW()-10,3),"")</f>
        <v/>
      </c>
      <c r="D59" s="13" t="str" cm="1">
        <f t="array" aca="1" ref="D59" ca="1">IFERROR(INDEX(_xlfn.ANCHORARRAY($AA$11),ROW()-10,4),"")</f>
        <v/>
      </c>
      <c r="E59" s="4" t="str" cm="1">
        <f t="array" aca="1" ref="E59" ca="1">IFERROR(INDEX(_xlfn.ANCHORARRAY($AA$11),ROW()-10,5),"")</f>
        <v/>
      </c>
      <c r="F59" s="13" t="str" cm="1">
        <f t="array" aca="1" ref="F59" ca="1">IFERROR(INDEX(_xlfn.ANCHORARRAY($AA$11),ROW()-10,6),"")</f>
        <v/>
      </c>
      <c r="G59" s="4" t="str" cm="1">
        <f t="array" aca="1" ref="G59" ca="1">IFERROR(INDEX(_xlfn.ANCHORARRAY($AA$11),ROW()-10,7),"")</f>
        <v/>
      </c>
      <c r="H59" s="4" t="str" cm="1">
        <f t="array" aca="1" ref="H59" ca="1">IFERROR(INDEX(_xlfn.ANCHORARRAY($AA$11),ROW()-10,8),"")</f>
        <v/>
      </c>
      <c r="I59" s="4" t="str" cm="1">
        <f t="array" aca="1" ref="I59" ca="1">IFERROR(INDEX(_xlfn.ANCHORARRAY($AA$11),ROW()-10,9),"")</f>
        <v/>
      </c>
      <c r="J59" s="4" t="str">
        <f t="shared" ca="1" si="3"/>
        <v/>
      </c>
      <c r="K59" s="4" t="str">
        <f t="shared" ca="1" si="4"/>
        <v/>
      </c>
      <c r="L59" s="4" t="str" cm="1">
        <f t="array" aca="1" ref="L59" ca="1">_xlfn.LET(_xlpm.link,IFERROR(INDEX(_xlfn.ANCHORARRAY($AA$11),ROW()-10,12),""),IF(_xlpm.link="","",HYPERLINK(_xlpm.link,"Bluecore/Attentive")))</f>
        <v/>
      </c>
      <c r="M59" s="60" t="str">
        <f t="shared" ca="1" si="5"/>
        <v/>
      </c>
      <c r="N59" s="7"/>
      <c r="O59" s="7"/>
      <c r="P59" s="7"/>
      <c r="Q59" s="7"/>
      <c r="R59" s="7"/>
      <c r="S59" s="6"/>
      <c r="T59" s="6"/>
      <c r="U59" s="6"/>
      <c r="V59" s="6"/>
      <c r="W59" s="6"/>
      <c r="X59" s="6"/>
      <c r="Y59" s="6"/>
      <c r="Z59" s="6"/>
      <c r="AA59"/>
      <c r="AB59"/>
      <c r="AC59"/>
      <c r="AD59"/>
      <c r="AE59"/>
      <c r="AF59"/>
      <c r="AG59"/>
      <c r="AH59"/>
      <c r="AI59"/>
      <c r="AJ59"/>
      <c r="AK59"/>
      <c r="AL59"/>
    </row>
    <row r="60" spans="1:38">
      <c r="A60" s="79" t="str" cm="1">
        <f t="array" aca="1" ref="A60" ca="1">IFERROR(INDEX(_xlfn.ANCHORARRAY($AA$11),ROW()-10,1),"")</f>
        <v/>
      </c>
      <c r="B60" s="81" t="str" cm="1">
        <f t="array" aca="1" ref="B60" ca="1">IFERROR(INDEX(_xlfn.ANCHORARRAY($AA$11),ROW()-10,2),"")</f>
        <v/>
      </c>
      <c r="C60" s="4" t="str" cm="1">
        <f t="array" aca="1" ref="C60" ca="1">IFERROR(INDEX(_xlfn.ANCHORARRAY($AA$11),ROW()-10,3),"")</f>
        <v/>
      </c>
      <c r="D60" s="13" t="str" cm="1">
        <f t="array" aca="1" ref="D60" ca="1">IFERROR(INDEX(_xlfn.ANCHORARRAY($AA$11),ROW()-10,4),"")</f>
        <v/>
      </c>
      <c r="E60" s="4" t="str" cm="1">
        <f t="array" aca="1" ref="E60" ca="1">IFERROR(INDEX(_xlfn.ANCHORARRAY($AA$11),ROW()-10,5),"")</f>
        <v/>
      </c>
      <c r="F60" s="13" t="str" cm="1">
        <f t="array" aca="1" ref="F60" ca="1">IFERROR(INDEX(_xlfn.ANCHORARRAY($AA$11),ROW()-10,6),"")</f>
        <v/>
      </c>
      <c r="G60" s="4" t="str" cm="1">
        <f t="array" aca="1" ref="G60" ca="1">IFERROR(INDEX(_xlfn.ANCHORARRAY($AA$11),ROW()-10,7),"")</f>
        <v/>
      </c>
      <c r="H60" s="4" t="str" cm="1">
        <f t="array" aca="1" ref="H60" ca="1">IFERROR(INDEX(_xlfn.ANCHORARRAY($AA$11),ROW()-10,8),"")</f>
        <v/>
      </c>
      <c r="I60" s="4" t="str" cm="1">
        <f t="array" aca="1" ref="I60" ca="1">IFERROR(INDEX(_xlfn.ANCHORARRAY($AA$11),ROW()-10,9),"")</f>
        <v/>
      </c>
      <c r="J60" s="4" t="str">
        <f t="shared" ca="1" si="3"/>
        <v/>
      </c>
      <c r="K60" s="4" t="str">
        <f t="shared" ca="1" si="4"/>
        <v/>
      </c>
      <c r="L60" s="4" t="str" cm="1">
        <f t="array" aca="1" ref="L60" ca="1">_xlfn.LET(_xlpm.link,IFERROR(INDEX(_xlfn.ANCHORARRAY($AA$11),ROW()-10,12),""),IF(_xlpm.link="","",HYPERLINK(_xlpm.link,"Bluecore/Attentive")))</f>
        <v/>
      </c>
      <c r="M60" s="61" t="str">
        <f t="shared" ca="1" si="5"/>
        <v/>
      </c>
      <c r="N60" s="7"/>
      <c r="O60" s="7"/>
      <c r="P60" s="7"/>
      <c r="Q60" s="7"/>
      <c r="R60" s="7"/>
      <c r="S60" s="6"/>
      <c r="T60" s="6"/>
      <c r="U60" s="6"/>
      <c r="V60" s="6"/>
      <c r="W60" s="6"/>
      <c r="X60" s="6"/>
      <c r="Y60" s="6"/>
      <c r="Z60" s="6"/>
      <c r="AA60"/>
      <c r="AB60"/>
      <c r="AC60"/>
      <c r="AD60"/>
      <c r="AE60"/>
      <c r="AF60"/>
      <c r="AG60"/>
      <c r="AH60"/>
      <c r="AI60"/>
      <c r="AJ60"/>
      <c r="AK60"/>
      <c r="AL60"/>
    </row>
    <row r="61" spans="1:38">
      <c r="A61" s="79" t="str" cm="1">
        <f t="array" aca="1" ref="A61" ca="1">IFERROR(INDEX(_xlfn.ANCHORARRAY($AA$11),ROW()-10,1),"")</f>
        <v/>
      </c>
      <c r="B61" s="81" t="str" cm="1">
        <f t="array" aca="1" ref="B61" ca="1">IFERROR(INDEX(_xlfn.ANCHORARRAY($AA$11),ROW()-10,2),"")</f>
        <v/>
      </c>
      <c r="C61" s="4" t="str" cm="1">
        <f t="array" aca="1" ref="C61" ca="1">IFERROR(INDEX(_xlfn.ANCHORARRAY($AA$11),ROW()-10,3),"")</f>
        <v/>
      </c>
      <c r="D61" s="13" t="str" cm="1">
        <f t="array" aca="1" ref="D61" ca="1">IFERROR(INDEX(_xlfn.ANCHORARRAY($AA$11),ROW()-10,4),"")</f>
        <v/>
      </c>
      <c r="E61" s="4" t="str" cm="1">
        <f t="array" aca="1" ref="E61" ca="1">IFERROR(INDEX(_xlfn.ANCHORARRAY($AA$11),ROW()-10,5),"")</f>
        <v/>
      </c>
      <c r="F61" s="13" t="str" cm="1">
        <f t="array" aca="1" ref="F61" ca="1">IFERROR(INDEX(_xlfn.ANCHORARRAY($AA$11),ROW()-10,6),"")</f>
        <v/>
      </c>
      <c r="G61" s="4" t="str" cm="1">
        <f t="array" aca="1" ref="G61" ca="1">IFERROR(INDEX(_xlfn.ANCHORARRAY($AA$11),ROW()-10,7),"")</f>
        <v/>
      </c>
      <c r="H61" s="4" t="str" cm="1">
        <f t="array" aca="1" ref="H61" ca="1">IFERROR(INDEX(_xlfn.ANCHORARRAY($AA$11),ROW()-10,8),"")</f>
        <v/>
      </c>
      <c r="I61" s="4" t="str" cm="1">
        <f t="array" aca="1" ref="I61" ca="1">IFERROR(INDEX(_xlfn.ANCHORARRAY($AA$11),ROW()-10,9),"")</f>
        <v/>
      </c>
      <c r="J61" s="4" t="str">
        <f t="shared" ca="1" si="3"/>
        <v/>
      </c>
      <c r="K61" s="4" t="str">
        <f t="shared" ca="1" si="4"/>
        <v/>
      </c>
      <c r="L61" s="4" t="str" cm="1">
        <f t="array" aca="1" ref="L61" ca="1">_xlfn.LET(_xlpm.link,IFERROR(INDEX(_xlfn.ANCHORARRAY($AA$11),ROW()-10,12),""),IF(_xlpm.link="","",HYPERLINK(_xlpm.link,"Bluecore/Attentive")))</f>
        <v/>
      </c>
      <c r="M61" s="60" t="str">
        <f t="shared" ca="1" si="5"/>
        <v/>
      </c>
      <c r="N61" s="7"/>
      <c r="O61" s="7"/>
      <c r="P61" s="7"/>
      <c r="Q61" s="7"/>
      <c r="R61" s="7"/>
      <c r="S61" s="6"/>
      <c r="T61" s="6"/>
      <c r="U61" s="6"/>
      <c r="V61" s="6"/>
      <c r="W61" s="6"/>
      <c r="X61" s="6"/>
      <c r="Y61" s="6"/>
      <c r="Z61" s="6"/>
      <c r="AA61"/>
      <c r="AB61"/>
      <c r="AC61"/>
      <c r="AD61"/>
      <c r="AE61"/>
      <c r="AF61"/>
      <c r="AG61"/>
      <c r="AH61"/>
      <c r="AI61"/>
      <c r="AJ61"/>
      <c r="AK61"/>
      <c r="AL61"/>
    </row>
    <row r="62" spans="1:38">
      <c r="A62" s="79" t="str" cm="1">
        <f t="array" aca="1" ref="A62" ca="1">IFERROR(INDEX(_xlfn.ANCHORARRAY($AA$11),ROW()-10,1),"")</f>
        <v/>
      </c>
      <c r="B62" s="81" t="str" cm="1">
        <f t="array" aca="1" ref="B62" ca="1">IFERROR(INDEX(_xlfn.ANCHORARRAY($AA$11),ROW()-10,2),"")</f>
        <v/>
      </c>
      <c r="C62" s="4" t="str" cm="1">
        <f t="array" aca="1" ref="C62" ca="1">IFERROR(INDEX(_xlfn.ANCHORARRAY($AA$11),ROW()-10,3),"")</f>
        <v/>
      </c>
      <c r="D62" s="13" t="str" cm="1">
        <f t="array" aca="1" ref="D62" ca="1">IFERROR(INDEX(_xlfn.ANCHORARRAY($AA$11),ROW()-10,4),"")</f>
        <v/>
      </c>
      <c r="E62" s="4" t="str" cm="1">
        <f t="array" aca="1" ref="E62" ca="1">IFERROR(INDEX(_xlfn.ANCHORARRAY($AA$11),ROW()-10,5),"")</f>
        <v/>
      </c>
      <c r="F62" s="13" t="str" cm="1">
        <f t="array" aca="1" ref="F62" ca="1">IFERROR(INDEX(_xlfn.ANCHORARRAY($AA$11),ROW()-10,6),"")</f>
        <v/>
      </c>
      <c r="G62" s="4" t="str" cm="1">
        <f t="array" aca="1" ref="G62" ca="1">IFERROR(INDEX(_xlfn.ANCHORARRAY($AA$11),ROW()-10,7),"")</f>
        <v/>
      </c>
      <c r="H62" s="4" t="str" cm="1">
        <f t="array" aca="1" ref="H62" ca="1">IFERROR(INDEX(_xlfn.ANCHORARRAY($AA$11),ROW()-10,8),"")</f>
        <v/>
      </c>
      <c r="I62" s="4" t="str" cm="1">
        <f t="array" aca="1" ref="I62" ca="1">IFERROR(INDEX(_xlfn.ANCHORARRAY($AA$11),ROW()-10,9),"")</f>
        <v/>
      </c>
      <c r="J62" s="4" t="str">
        <f t="shared" ca="1" si="3"/>
        <v/>
      </c>
      <c r="K62" s="4" t="str">
        <f t="shared" ca="1" si="4"/>
        <v/>
      </c>
      <c r="L62" s="4" t="str" cm="1">
        <f t="array" aca="1" ref="L62" ca="1">_xlfn.LET(_xlpm.link,IFERROR(INDEX(_xlfn.ANCHORARRAY($AA$11),ROW()-10,12),""),IF(_xlpm.link="","",HYPERLINK(_xlpm.link,"Bluecore/Attentive")))</f>
        <v/>
      </c>
      <c r="M62" s="61" t="str">
        <f t="shared" ca="1" si="5"/>
        <v/>
      </c>
      <c r="N62" s="7"/>
      <c r="O62" s="7"/>
      <c r="P62" s="7"/>
      <c r="Q62" s="7"/>
      <c r="R62" s="7"/>
      <c r="S62" s="6"/>
      <c r="T62" s="6"/>
      <c r="U62" s="6"/>
      <c r="V62" s="6"/>
      <c r="W62" s="6"/>
      <c r="X62" s="6"/>
      <c r="Y62" s="6"/>
      <c r="Z62" s="6"/>
      <c r="AA62"/>
      <c r="AB62"/>
      <c r="AC62"/>
      <c r="AD62"/>
      <c r="AE62"/>
      <c r="AF62"/>
      <c r="AG62"/>
      <c r="AH62"/>
      <c r="AI62"/>
      <c r="AJ62"/>
      <c r="AK62"/>
      <c r="AL62"/>
    </row>
    <row r="63" spans="1:38">
      <c r="A63" s="79" t="str" cm="1">
        <f t="array" aca="1" ref="A63" ca="1">IFERROR(INDEX(_xlfn.ANCHORARRAY($AA$11),ROW()-10,1),"")</f>
        <v/>
      </c>
      <c r="B63" s="81" t="str" cm="1">
        <f t="array" aca="1" ref="B63" ca="1">IFERROR(INDEX(_xlfn.ANCHORARRAY($AA$11),ROW()-10,2),"")</f>
        <v/>
      </c>
      <c r="C63" s="4" t="str" cm="1">
        <f t="array" aca="1" ref="C63" ca="1">IFERROR(INDEX(_xlfn.ANCHORARRAY($AA$11),ROW()-10,3),"")</f>
        <v/>
      </c>
      <c r="D63" s="13" t="str" cm="1">
        <f t="array" aca="1" ref="D63" ca="1">IFERROR(INDEX(_xlfn.ANCHORARRAY($AA$11),ROW()-10,4),"")</f>
        <v/>
      </c>
      <c r="E63" s="4" t="str" cm="1">
        <f t="array" aca="1" ref="E63" ca="1">IFERROR(INDEX(_xlfn.ANCHORARRAY($AA$11),ROW()-10,5),"")</f>
        <v/>
      </c>
      <c r="F63" s="13" t="str" cm="1">
        <f t="array" aca="1" ref="F63" ca="1">IFERROR(INDEX(_xlfn.ANCHORARRAY($AA$11),ROW()-10,6),"")</f>
        <v/>
      </c>
      <c r="G63" s="4" t="str" cm="1">
        <f t="array" aca="1" ref="G63" ca="1">IFERROR(INDEX(_xlfn.ANCHORARRAY($AA$11),ROW()-10,7),"")</f>
        <v/>
      </c>
      <c r="H63" s="4" t="str" cm="1">
        <f t="array" aca="1" ref="H63" ca="1">IFERROR(INDEX(_xlfn.ANCHORARRAY($AA$11),ROW()-10,8),"")</f>
        <v/>
      </c>
      <c r="I63" s="4" t="str" cm="1">
        <f t="array" aca="1" ref="I63" ca="1">IFERROR(INDEX(_xlfn.ANCHORARRAY($AA$11),ROW()-10,9),"")</f>
        <v/>
      </c>
      <c r="J63" s="4" t="str">
        <f t="shared" ca="1" si="3"/>
        <v/>
      </c>
      <c r="K63" s="4" t="str">
        <f t="shared" ca="1" si="4"/>
        <v/>
      </c>
      <c r="L63" s="4" t="str" cm="1">
        <f t="array" aca="1" ref="L63" ca="1">_xlfn.LET(_xlpm.link,IFERROR(INDEX(_xlfn.ANCHORARRAY($AA$11),ROW()-10,12),""),IF(_xlpm.link="","",HYPERLINK(_xlpm.link,"Bluecore/Attentive")))</f>
        <v/>
      </c>
      <c r="M63" s="60" t="str">
        <f t="shared" ca="1" si="5"/>
        <v/>
      </c>
      <c r="N63" s="7"/>
      <c r="O63" s="7"/>
      <c r="P63" s="7"/>
      <c r="Q63" s="7"/>
      <c r="R63" s="7"/>
      <c r="S63" s="6"/>
      <c r="T63" s="6"/>
      <c r="U63" s="6"/>
      <c r="V63" s="6"/>
      <c r="W63" s="6"/>
      <c r="X63" s="6"/>
      <c r="Y63" s="6"/>
      <c r="Z63" s="6"/>
      <c r="AA63"/>
      <c r="AB63"/>
      <c r="AC63"/>
      <c r="AD63"/>
      <c r="AE63"/>
      <c r="AF63"/>
      <c r="AG63"/>
      <c r="AH63"/>
      <c r="AI63"/>
      <c r="AJ63"/>
      <c r="AK63"/>
      <c r="AL63"/>
    </row>
    <row r="64" spans="1:38">
      <c r="A64" s="79" t="str" cm="1">
        <f t="array" aca="1" ref="A64" ca="1">IFERROR(INDEX(_xlfn.ANCHORARRAY($AA$11),ROW()-10,1),"")</f>
        <v/>
      </c>
      <c r="B64" s="81" t="str" cm="1">
        <f t="array" aca="1" ref="B64" ca="1">IFERROR(INDEX(_xlfn.ANCHORARRAY($AA$11),ROW()-10,2),"")</f>
        <v/>
      </c>
      <c r="C64" s="4" t="str" cm="1">
        <f t="array" aca="1" ref="C64" ca="1">IFERROR(INDEX(_xlfn.ANCHORARRAY($AA$11),ROW()-10,3),"")</f>
        <v/>
      </c>
      <c r="D64" s="13" t="str" cm="1">
        <f t="array" aca="1" ref="D64" ca="1">IFERROR(INDEX(_xlfn.ANCHORARRAY($AA$11),ROW()-10,4),"")</f>
        <v/>
      </c>
      <c r="E64" s="4" t="str" cm="1">
        <f t="array" aca="1" ref="E64" ca="1">IFERROR(INDEX(_xlfn.ANCHORARRAY($AA$11),ROW()-10,5),"")</f>
        <v/>
      </c>
      <c r="F64" s="13" t="str" cm="1">
        <f t="array" aca="1" ref="F64" ca="1">IFERROR(INDEX(_xlfn.ANCHORARRAY($AA$11),ROW()-10,6),"")</f>
        <v/>
      </c>
      <c r="G64" s="4" t="str" cm="1">
        <f t="array" aca="1" ref="G64" ca="1">IFERROR(INDEX(_xlfn.ANCHORARRAY($AA$11),ROW()-10,7),"")</f>
        <v/>
      </c>
      <c r="H64" s="4" t="str" cm="1">
        <f t="array" aca="1" ref="H64" ca="1">IFERROR(INDEX(_xlfn.ANCHORARRAY($AA$11),ROW()-10,8),"")</f>
        <v/>
      </c>
      <c r="I64" s="4" t="str" cm="1">
        <f t="array" aca="1" ref="I64" ca="1">IFERROR(INDEX(_xlfn.ANCHORARRAY($AA$11),ROW()-10,9),"")</f>
        <v/>
      </c>
      <c r="J64" s="4" t="str">
        <f t="shared" ca="1" si="3"/>
        <v/>
      </c>
      <c r="K64" s="4" t="str">
        <f t="shared" ca="1" si="4"/>
        <v/>
      </c>
      <c r="L64" s="4" t="str" cm="1">
        <f t="array" aca="1" ref="L64" ca="1">_xlfn.LET(_xlpm.link,IFERROR(INDEX(_xlfn.ANCHORARRAY($AA$11),ROW()-10,12),""),IF(_xlpm.link="","",HYPERLINK(_xlpm.link,"Bluecore/Attentive")))</f>
        <v/>
      </c>
      <c r="M64" s="61" t="str">
        <f t="shared" ca="1" si="5"/>
        <v/>
      </c>
      <c r="N64" s="7"/>
      <c r="O64" s="7"/>
      <c r="P64" s="7"/>
      <c r="Q64" s="7"/>
      <c r="R64" s="7"/>
      <c r="S64" s="6"/>
      <c r="T64" s="6"/>
      <c r="U64" s="6"/>
      <c r="V64" s="6"/>
      <c r="W64" s="6"/>
      <c r="X64" s="6"/>
      <c r="Y64" s="6"/>
      <c r="Z64" s="6"/>
      <c r="AA64"/>
      <c r="AB64"/>
      <c r="AC64"/>
      <c r="AD64"/>
      <c r="AE64"/>
      <c r="AF64"/>
      <c r="AG64"/>
      <c r="AH64"/>
      <c r="AI64"/>
      <c r="AJ64"/>
      <c r="AK64"/>
      <c r="AL64"/>
    </row>
    <row r="65" spans="1:38">
      <c r="A65" s="79" t="str" cm="1">
        <f t="array" aca="1" ref="A65" ca="1">IFERROR(INDEX(_xlfn.ANCHORARRAY($AA$11),ROW()-10,1),"")</f>
        <v/>
      </c>
      <c r="B65" s="81" t="str" cm="1">
        <f t="array" aca="1" ref="B65" ca="1">IFERROR(INDEX(_xlfn.ANCHORARRAY($AA$11),ROW()-10,2),"")</f>
        <v/>
      </c>
      <c r="C65" s="4" t="str" cm="1">
        <f t="array" aca="1" ref="C65" ca="1">IFERROR(INDEX(_xlfn.ANCHORARRAY($AA$11),ROW()-10,3),"")</f>
        <v/>
      </c>
      <c r="D65" s="13" t="str" cm="1">
        <f t="array" aca="1" ref="D65" ca="1">IFERROR(INDEX(_xlfn.ANCHORARRAY($AA$11),ROW()-10,4),"")</f>
        <v/>
      </c>
      <c r="E65" s="4" t="str" cm="1">
        <f t="array" aca="1" ref="E65" ca="1">IFERROR(INDEX(_xlfn.ANCHORARRAY($AA$11),ROW()-10,5),"")</f>
        <v/>
      </c>
      <c r="F65" s="13" t="str" cm="1">
        <f t="array" aca="1" ref="F65" ca="1">IFERROR(INDEX(_xlfn.ANCHORARRAY($AA$11),ROW()-10,6),"")</f>
        <v/>
      </c>
      <c r="G65" s="4" t="str" cm="1">
        <f t="array" aca="1" ref="G65" ca="1">IFERROR(INDEX(_xlfn.ANCHORARRAY($AA$11),ROW()-10,7),"")</f>
        <v/>
      </c>
      <c r="H65" s="4" t="str" cm="1">
        <f t="array" aca="1" ref="H65" ca="1">IFERROR(INDEX(_xlfn.ANCHORARRAY($AA$11),ROW()-10,8),"")</f>
        <v/>
      </c>
      <c r="I65" s="4" t="str" cm="1">
        <f t="array" aca="1" ref="I65" ca="1">IFERROR(INDEX(_xlfn.ANCHORARRAY($AA$11),ROW()-10,9),"")</f>
        <v/>
      </c>
      <c r="J65" s="4" t="str">
        <f t="shared" ca="1" si="3"/>
        <v/>
      </c>
      <c r="K65" s="4" t="str">
        <f t="shared" ca="1" si="4"/>
        <v/>
      </c>
      <c r="L65" s="4" t="str" cm="1">
        <f t="array" aca="1" ref="L65" ca="1">_xlfn.LET(_xlpm.link,IFERROR(INDEX(_xlfn.ANCHORARRAY($AA$11),ROW()-10,12),""),IF(_xlpm.link="","",HYPERLINK(_xlpm.link,"Bluecore/Attentive")))</f>
        <v/>
      </c>
      <c r="M65" s="60" t="str">
        <f t="shared" ca="1" si="5"/>
        <v/>
      </c>
      <c r="N65" s="7"/>
      <c r="O65" s="7"/>
      <c r="P65" s="7"/>
      <c r="Q65" s="7"/>
      <c r="R65" s="7"/>
      <c r="S65" s="6"/>
      <c r="T65" s="6"/>
      <c r="U65" s="6"/>
      <c r="V65" s="6"/>
      <c r="W65" s="6"/>
      <c r="X65" s="6"/>
      <c r="Y65" s="6"/>
      <c r="Z65" s="6"/>
      <c r="AA65"/>
      <c r="AB65"/>
      <c r="AC65"/>
      <c r="AD65"/>
      <c r="AE65"/>
      <c r="AF65"/>
      <c r="AG65"/>
      <c r="AH65"/>
      <c r="AI65"/>
      <c r="AJ65"/>
      <c r="AK65"/>
      <c r="AL65"/>
    </row>
    <row r="66" spans="1:38">
      <c r="A66" s="79" t="str" cm="1">
        <f t="array" aca="1" ref="A66" ca="1">IFERROR(INDEX(_xlfn.ANCHORARRAY($AA$11),ROW()-10,1),"")</f>
        <v/>
      </c>
      <c r="B66" s="81" t="str" cm="1">
        <f t="array" aca="1" ref="B66" ca="1">IFERROR(INDEX(_xlfn.ANCHORARRAY($AA$11),ROW()-10,2),"")</f>
        <v/>
      </c>
      <c r="C66" s="4" t="str" cm="1">
        <f t="array" aca="1" ref="C66" ca="1">IFERROR(INDEX(_xlfn.ANCHORARRAY($AA$11),ROW()-10,3),"")</f>
        <v/>
      </c>
      <c r="D66" s="13" t="str" cm="1">
        <f t="array" aca="1" ref="D66" ca="1">IFERROR(INDEX(_xlfn.ANCHORARRAY($AA$11),ROW()-10,4),"")</f>
        <v/>
      </c>
      <c r="E66" s="4" t="str" cm="1">
        <f t="array" aca="1" ref="E66" ca="1">IFERROR(INDEX(_xlfn.ANCHORARRAY($AA$11),ROW()-10,5),"")</f>
        <v/>
      </c>
      <c r="F66" s="13" t="str" cm="1">
        <f t="array" aca="1" ref="F66" ca="1">IFERROR(INDEX(_xlfn.ANCHORARRAY($AA$11),ROW()-10,6),"")</f>
        <v/>
      </c>
      <c r="G66" s="4" t="str" cm="1">
        <f t="array" aca="1" ref="G66" ca="1">IFERROR(INDEX(_xlfn.ANCHORARRAY($AA$11),ROW()-10,7),"")</f>
        <v/>
      </c>
      <c r="H66" s="4" t="str" cm="1">
        <f t="array" aca="1" ref="H66" ca="1">IFERROR(INDEX(_xlfn.ANCHORARRAY($AA$11),ROW()-10,8),"")</f>
        <v/>
      </c>
      <c r="I66" s="4" t="str" cm="1">
        <f t="array" aca="1" ref="I66" ca="1">IFERROR(INDEX(_xlfn.ANCHORARRAY($AA$11),ROW()-10,9),"")</f>
        <v/>
      </c>
      <c r="J66" s="4" t="str">
        <f t="shared" ca="1" si="3"/>
        <v/>
      </c>
      <c r="K66" s="4" t="str">
        <f t="shared" ca="1" si="4"/>
        <v/>
      </c>
      <c r="L66" s="4" t="str" cm="1">
        <f t="array" aca="1" ref="L66" ca="1">_xlfn.LET(_xlpm.link,IFERROR(INDEX(_xlfn.ANCHORARRAY($AA$11),ROW()-10,12),""),IF(_xlpm.link="","",HYPERLINK(_xlpm.link,"Bluecore/Attentive")))</f>
        <v/>
      </c>
      <c r="M66" s="61" t="str">
        <f t="shared" ca="1" si="5"/>
        <v/>
      </c>
      <c r="N66" s="7"/>
      <c r="O66" s="7"/>
      <c r="P66" s="7"/>
      <c r="Q66" s="7"/>
      <c r="R66" s="7"/>
      <c r="S66" s="6"/>
      <c r="T66" s="6"/>
      <c r="U66" s="6"/>
      <c r="V66" s="6"/>
      <c r="W66" s="6"/>
      <c r="X66" s="6"/>
      <c r="Y66" s="6"/>
      <c r="Z66" s="6"/>
      <c r="AA66"/>
      <c r="AB66"/>
      <c r="AC66"/>
      <c r="AD66"/>
      <c r="AE66"/>
      <c r="AF66"/>
      <c r="AG66"/>
      <c r="AH66"/>
      <c r="AI66"/>
      <c r="AJ66"/>
      <c r="AK66"/>
      <c r="AL66"/>
    </row>
    <row r="67" spans="1:38">
      <c r="A67" s="79" t="str" cm="1">
        <f t="array" aca="1" ref="A67" ca="1">IFERROR(INDEX(_xlfn.ANCHORARRAY($AA$11),ROW()-10,1),"")</f>
        <v/>
      </c>
      <c r="B67" s="81" t="str" cm="1">
        <f t="array" aca="1" ref="B67" ca="1">IFERROR(INDEX(_xlfn.ANCHORARRAY($AA$11),ROW()-10,2),"")</f>
        <v/>
      </c>
      <c r="C67" s="4" t="str" cm="1">
        <f t="array" aca="1" ref="C67" ca="1">IFERROR(INDEX(_xlfn.ANCHORARRAY($AA$11),ROW()-10,3),"")</f>
        <v/>
      </c>
      <c r="D67" s="13" t="str" cm="1">
        <f t="array" aca="1" ref="D67" ca="1">IFERROR(INDEX(_xlfn.ANCHORARRAY($AA$11),ROW()-10,4),"")</f>
        <v/>
      </c>
      <c r="E67" s="4" t="str" cm="1">
        <f t="array" aca="1" ref="E67" ca="1">IFERROR(INDEX(_xlfn.ANCHORARRAY($AA$11),ROW()-10,5),"")</f>
        <v/>
      </c>
      <c r="F67" s="13" t="str" cm="1">
        <f t="array" aca="1" ref="F67" ca="1">IFERROR(INDEX(_xlfn.ANCHORARRAY($AA$11),ROW()-10,6),"")</f>
        <v/>
      </c>
      <c r="G67" s="4" t="str" cm="1">
        <f t="array" aca="1" ref="G67" ca="1">IFERROR(INDEX(_xlfn.ANCHORARRAY($AA$11),ROW()-10,7),"")</f>
        <v/>
      </c>
      <c r="H67" s="4" t="str" cm="1">
        <f t="array" aca="1" ref="H67" ca="1">IFERROR(INDEX(_xlfn.ANCHORARRAY($AA$11),ROW()-10,8),"")</f>
        <v/>
      </c>
      <c r="I67" s="4" t="str" cm="1">
        <f t="array" aca="1" ref="I67" ca="1">IFERROR(INDEX(_xlfn.ANCHORARRAY($AA$11),ROW()-10,9),"")</f>
        <v/>
      </c>
      <c r="J67" s="4" t="str">
        <f t="shared" ca="1" si="3"/>
        <v/>
      </c>
      <c r="K67" s="4" t="str">
        <f t="shared" ca="1" si="4"/>
        <v/>
      </c>
      <c r="L67" s="4" t="str" cm="1">
        <f t="array" aca="1" ref="L67" ca="1">_xlfn.LET(_xlpm.link,IFERROR(INDEX(_xlfn.ANCHORARRAY($AA$11),ROW()-10,12),""),IF(_xlpm.link="","",HYPERLINK(_xlpm.link,"Bluecore/Attentive")))</f>
        <v/>
      </c>
      <c r="M67" s="60" t="str">
        <f t="shared" ca="1" si="5"/>
        <v/>
      </c>
      <c r="N67" s="7"/>
      <c r="O67" s="7"/>
      <c r="P67" s="7"/>
      <c r="Q67" s="7"/>
      <c r="R67" s="7"/>
      <c r="S67" s="6"/>
      <c r="T67" s="6"/>
      <c r="U67" s="6"/>
      <c r="V67" s="6"/>
      <c r="W67" s="6"/>
      <c r="X67" s="6"/>
      <c r="Y67" s="6"/>
      <c r="Z67" s="6"/>
      <c r="AA67"/>
      <c r="AB67"/>
      <c r="AC67"/>
      <c r="AD67"/>
      <c r="AE67"/>
      <c r="AF67"/>
      <c r="AG67"/>
      <c r="AH67"/>
      <c r="AI67"/>
      <c r="AJ67"/>
      <c r="AK67"/>
      <c r="AL67"/>
    </row>
    <row r="68" spans="1:38">
      <c r="A68" s="79" t="str" cm="1">
        <f t="array" aca="1" ref="A68" ca="1">IFERROR(INDEX(_xlfn.ANCHORARRAY($AA$11),ROW()-10,1),"")</f>
        <v/>
      </c>
      <c r="B68" s="81" t="str" cm="1">
        <f t="array" aca="1" ref="B68" ca="1">IFERROR(INDEX(_xlfn.ANCHORARRAY($AA$11),ROW()-10,2),"")</f>
        <v/>
      </c>
      <c r="C68" s="4" t="str" cm="1">
        <f t="array" aca="1" ref="C68" ca="1">IFERROR(INDEX(_xlfn.ANCHORARRAY($AA$11),ROW()-10,3),"")</f>
        <v/>
      </c>
      <c r="D68" s="13" t="str" cm="1">
        <f t="array" aca="1" ref="D68" ca="1">IFERROR(INDEX(_xlfn.ANCHORARRAY($AA$11),ROW()-10,4),"")</f>
        <v/>
      </c>
      <c r="E68" s="4" t="str" cm="1">
        <f t="array" aca="1" ref="E68" ca="1">IFERROR(INDEX(_xlfn.ANCHORARRAY($AA$11),ROW()-10,5),"")</f>
        <v/>
      </c>
      <c r="F68" s="13" t="str" cm="1">
        <f t="array" aca="1" ref="F68" ca="1">IFERROR(INDEX(_xlfn.ANCHORARRAY($AA$11),ROW()-10,6),"")</f>
        <v/>
      </c>
      <c r="G68" s="4" t="str" cm="1">
        <f t="array" aca="1" ref="G68" ca="1">IFERROR(INDEX(_xlfn.ANCHORARRAY($AA$11),ROW()-10,7),"")</f>
        <v/>
      </c>
      <c r="H68" s="4" t="str" cm="1">
        <f t="array" aca="1" ref="H68" ca="1">IFERROR(INDEX(_xlfn.ANCHORARRAY($AA$11),ROW()-10,8),"")</f>
        <v/>
      </c>
      <c r="I68" s="4" t="str" cm="1">
        <f t="array" aca="1" ref="I68" ca="1">IFERROR(INDEX(_xlfn.ANCHORARRAY($AA$11),ROW()-10,9),"")</f>
        <v/>
      </c>
      <c r="J68" s="4" t="str">
        <f t="shared" ca="1" si="3"/>
        <v/>
      </c>
      <c r="K68" s="4" t="str">
        <f t="shared" ca="1" si="4"/>
        <v/>
      </c>
      <c r="L68" s="4" t="str" cm="1">
        <f t="array" aca="1" ref="L68" ca="1">_xlfn.LET(_xlpm.link,IFERROR(INDEX(_xlfn.ANCHORARRAY($AA$11),ROW()-10,12),""),IF(_xlpm.link="","",HYPERLINK(_xlpm.link,"Bluecore/Attentive")))</f>
        <v/>
      </c>
      <c r="M68" s="61" t="str">
        <f t="shared" ca="1" si="5"/>
        <v/>
      </c>
      <c r="N68" s="7"/>
      <c r="O68" s="7"/>
      <c r="P68" s="7"/>
      <c r="Q68" s="7"/>
      <c r="R68" s="7"/>
      <c r="S68" s="6"/>
      <c r="T68" s="6"/>
      <c r="U68" s="6"/>
      <c r="V68" s="6"/>
      <c r="W68" s="6"/>
      <c r="X68" s="6"/>
      <c r="Y68" s="6"/>
      <c r="Z68" s="6"/>
      <c r="AA68"/>
      <c r="AB68"/>
      <c r="AC68"/>
      <c r="AD68"/>
      <c r="AE68"/>
      <c r="AF68"/>
      <c r="AG68"/>
      <c r="AH68"/>
      <c r="AI68"/>
      <c r="AJ68"/>
      <c r="AK68"/>
      <c r="AL68"/>
    </row>
    <row r="69" spans="1:38">
      <c r="A69" s="79" t="str" cm="1">
        <f t="array" aca="1" ref="A69" ca="1">IFERROR(INDEX(_xlfn.ANCHORARRAY($AA$11),ROW()-10,1),"")</f>
        <v/>
      </c>
      <c r="B69" s="81" t="str" cm="1">
        <f t="array" aca="1" ref="B69" ca="1">IFERROR(INDEX(_xlfn.ANCHORARRAY($AA$11),ROW()-10,2),"")</f>
        <v/>
      </c>
      <c r="C69" s="4" t="str" cm="1">
        <f t="array" aca="1" ref="C69" ca="1">IFERROR(INDEX(_xlfn.ANCHORARRAY($AA$11),ROW()-10,3),"")</f>
        <v/>
      </c>
      <c r="D69" s="13" t="str" cm="1">
        <f t="array" aca="1" ref="D69" ca="1">IFERROR(INDEX(_xlfn.ANCHORARRAY($AA$11),ROW()-10,4),"")</f>
        <v/>
      </c>
      <c r="E69" s="4" t="str" cm="1">
        <f t="array" aca="1" ref="E69" ca="1">IFERROR(INDEX(_xlfn.ANCHORARRAY($AA$11),ROW()-10,5),"")</f>
        <v/>
      </c>
      <c r="F69" s="13" t="str" cm="1">
        <f t="array" aca="1" ref="F69" ca="1">IFERROR(INDEX(_xlfn.ANCHORARRAY($AA$11),ROW()-10,6),"")</f>
        <v/>
      </c>
      <c r="G69" s="4" t="str" cm="1">
        <f t="array" aca="1" ref="G69" ca="1">IFERROR(INDEX(_xlfn.ANCHORARRAY($AA$11),ROW()-10,7),"")</f>
        <v/>
      </c>
      <c r="H69" s="4" t="str" cm="1">
        <f t="array" aca="1" ref="H69" ca="1">IFERROR(INDEX(_xlfn.ANCHORARRAY($AA$11),ROW()-10,8),"")</f>
        <v/>
      </c>
      <c r="I69" s="4" t="str" cm="1">
        <f t="array" aca="1" ref="I69" ca="1">IFERROR(INDEX(_xlfn.ANCHORARRAY($AA$11),ROW()-10,9),"")</f>
        <v/>
      </c>
      <c r="J69" s="4" t="str">
        <f t="shared" ca="1" si="3"/>
        <v/>
      </c>
      <c r="K69" s="4" t="str">
        <f t="shared" ca="1" si="4"/>
        <v/>
      </c>
      <c r="L69" s="4" t="str" cm="1">
        <f t="array" aca="1" ref="L69" ca="1">_xlfn.LET(_xlpm.link,IFERROR(INDEX(_xlfn.ANCHORARRAY($AA$11),ROW()-10,12),""),IF(_xlpm.link="","",HYPERLINK(_xlpm.link,"Bluecore/Attentive")))</f>
        <v/>
      </c>
      <c r="M69" s="60" t="str">
        <f t="shared" ca="1" si="5"/>
        <v/>
      </c>
      <c r="N69" s="7"/>
      <c r="O69" s="7"/>
      <c r="P69" s="7"/>
      <c r="Q69" s="7"/>
      <c r="R69" s="7"/>
      <c r="S69" s="6"/>
      <c r="T69" s="6"/>
      <c r="U69" s="6"/>
      <c r="V69" s="6"/>
      <c r="W69" s="6"/>
      <c r="X69" s="6"/>
      <c r="Y69" s="6"/>
      <c r="Z69" s="6"/>
      <c r="AA69"/>
      <c r="AB69"/>
      <c r="AC69"/>
      <c r="AD69"/>
      <c r="AE69"/>
      <c r="AF69"/>
      <c r="AG69"/>
      <c r="AH69"/>
      <c r="AI69"/>
      <c r="AJ69"/>
      <c r="AK69"/>
      <c r="AL69"/>
    </row>
    <row r="70" spans="1:38">
      <c r="A70" s="79" t="str" cm="1">
        <f t="array" aca="1" ref="A70" ca="1">IFERROR(INDEX(_xlfn.ANCHORARRAY($AA$11),ROW()-10,1),"")</f>
        <v/>
      </c>
      <c r="B70" s="81" t="str" cm="1">
        <f t="array" aca="1" ref="B70" ca="1">IFERROR(INDEX(_xlfn.ANCHORARRAY($AA$11),ROW()-10,2),"")</f>
        <v/>
      </c>
      <c r="C70" s="4" t="str" cm="1">
        <f t="array" aca="1" ref="C70" ca="1">IFERROR(INDEX(_xlfn.ANCHORARRAY($AA$11),ROW()-10,3),"")</f>
        <v/>
      </c>
      <c r="D70" s="13" t="str" cm="1">
        <f t="array" aca="1" ref="D70" ca="1">IFERROR(INDEX(_xlfn.ANCHORARRAY($AA$11),ROW()-10,4),"")</f>
        <v/>
      </c>
      <c r="E70" s="4" t="str" cm="1">
        <f t="array" aca="1" ref="E70" ca="1">IFERROR(INDEX(_xlfn.ANCHORARRAY($AA$11),ROW()-10,5),"")</f>
        <v/>
      </c>
      <c r="F70" s="13" t="str" cm="1">
        <f t="array" aca="1" ref="F70" ca="1">IFERROR(INDEX(_xlfn.ANCHORARRAY($AA$11),ROW()-10,6),"")</f>
        <v/>
      </c>
      <c r="G70" s="4" t="str" cm="1">
        <f t="array" aca="1" ref="G70" ca="1">IFERROR(INDEX(_xlfn.ANCHORARRAY($AA$11),ROW()-10,7),"")</f>
        <v/>
      </c>
      <c r="H70" s="4" t="str" cm="1">
        <f t="array" aca="1" ref="H70" ca="1">IFERROR(INDEX(_xlfn.ANCHORARRAY($AA$11),ROW()-10,8),"")</f>
        <v/>
      </c>
      <c r="I70" s="4" t="str" cm="1">
        <f t="array" aca="1" ref="I70" ca="1">IFERROR(INDEX(_xlfn.ANCHORARRAY($AA$11),ROW()-10,9),"")</f>
        <v/>
      </c>
      <c r="J70" s="4" t="str">
        <f t="shared" ca="1" si="3"/>
        <v/>
      </c>
      <c r="K70" s="4" t="str">
        <f t="shared" ca="1" si="4"/>
        <v/>
      </c>
      <c r="L70" s="4" t="str" cm="1">
        <f t="array" aca="1" ref="L70" ca="1">_xlfn.LET(_xlpm.link,IFERROR(INDEX(_xlfn.ANCHORARRAY($AA$11),ROW()-10,12),""),IF(_xlpm.link="","",HYPERLINK(_xlpm.link,"Bluecore/Attentive")))</f>
        <v/>
      </c>
      <c r="M70" s="61" t="str">
        <f t="shared" ca="1" si="5"/>
        <v/>
      </c>
      <c r="N70" s="7"/>
      <c r="O70" s="7"/>
      <c r="P70" s="7"/>
      <c r="Q70" s="7"/>
      <c r="R70" s="7"/>
      <c r="S70" s="6"/>
      <c r="T70" s="6"/>
      <c r="U70" s="6"/>
      <c r="V70" s="6"/>
      <c r="W70" s="6"/>
      <c r="X70" s="6"/>
      <c r="Y70" s="6"/>
      <c r="Z70" s="6"/>
      <c r="AA70"/>
      <c r="AB70"/>
      <c r="AC70"/>
      <c r="AD70"/>
      <c r="AE70"/>
      <c r="AF70"/>
      <c r="AG70"/>
      <c r="AH70"/>
      <c r="AI70"/>
      <c r="AJ70"/>
      <c r="AK70"/>
      <c r="AL70"/>
    </row>
    <row r="71" spans="1:38">
      <c r="A71" s="79" t="str" cm="1">
        <f t="array" aca="1" ref="A71" ca="1">IFERROR(INDEX(_xlfn.ANCHORARRAY($AA$11),ROW()-10,1),"")</f>
        <v/>
      </c>
      <c r="B71" s="81" t="str" cm="1">
        <f t="array" aca="1" ref="B71" ca="1">IFERROR(INDEX(_xlfn.ANCHORARRAY($AA$11),ROW()-10,2),"")</f>
        <v/>
      </c>
      <c r="C71" s="4" t="str" cm="1">
        <f t="array" aca="1" ref="C71" ca="1">IFERROR(INDEX(_xlfn.ANCHORARRAY($AA$11),ROW()-10,3),"")</f>
        <v/>
      </c>
      <c r="D71" s="13" t="str" cm="1">
        <f t="array" aca="1" ref="D71" ca="1">IFERROR(INDEX(_xlfn.ANCHORARRAY($AA$11),ROW()-10,4),"")</f>
        <v/>
      </c>
      <c r="E71" s="4" t="str" cm="1">
        <f t="array" aca="1" ref="E71" ca="1">IFERROR(INDEX(_xlfn.ANCHORARRAY($AA$11),ROW()-10,5),"")</f>
        <v/>
      </c>
      <c r="F71" s="13" t="str" cm="1">
        <f t="array" aca="1" ref="F71" ca="1">IFERROR(INDEX(_xlfn.ANCHORARRAY($AA$11),ROW()-10,6),"")</f>
        <v/>
      </c>
      <c r="G71" s="4" t="str" cm="1">
        <f t="array" aca="1" ref="G71" ca="1">IFERROR(INDEX(_xlfn.ANCHORARRAY($AA$11),ROW()-10,7),"")</f>
        <v/>
      </c>
      <c r="H71" s="4" t="str" cm="1">
        <f t="array" aca="1" ref="H71" ca="1">IFERROR(INDEX(_xlfn.ANCHORARRAY($AA$11),ROW()-10,8),"")</f>
        <v/>
      </c>
      <c r="I71" s="4" t="str" cm="1">
        <f t="array" aca="1" ref="I71" ca="1">IFERROR(INDEX(_xlfn.ANCHORARRAY($AA$11),ROW()-10,9),"")</f>
        <v/>
      </c>
      <c r="J71" s="4" t="str">
        <f t="shared" ca="1" si="3"/>
        <v/>
      </c>
      <c r="K71" s="4" t="str">
        <f t="shared" ca="1" si="4"/>
        <v/>
      </c>
      <c r="L71" s="4" t="str" cm="1">
        <f t="array" aca="1" ref="L71" ca="1">_xlfn.LET(_xlpm.link,IFERROR(INDEX(_xlfn.ANCHORARRAY($AA$11),ROW()-10,12),""),IF(_xlpm.link="","",HYPERLINK(_xlpm.link,"Bluecore/Attentive")))</f>
        <v/>
      </c>
      <c r="M71" s="60" t="str">
        <f t="shared" ca="1" si="5"/>
        <v/>
      </c>
      <c r="N71" s="7"/>
      <c r="O71" s="7"/>
      <c r="P71" s="7"/>
      <c r="Q71" s="7"/>
      <c r="R71" s="7"/>
      <c r="S71" s="6"/>
      <c r="T71" s="6"/>
      <c r="U71" s="6"/>
      <c r="V71" s="6"/>
      <c r="W71" s="6"/>
      <c r="X71" s="6"/>
      <c r="Y71" s="6"/>
      <c r="Z71" s="6"/>
      <c r="AA71"/>
      <c r="AB71"/>
      <c r="AC71"/>
      <c r="AD71"/>
      <c r="AE71"/>
      <c r="AF71"/>
      <c r="AG71"/>
      <c r="AH71"/>
      <c r="AI71"/>
      <c r="AJ71"/>
      <c r="AK71"/>
      <c r="AL71"/>
    </row>
    <row r="72" spans="1:38">
      <c r="A72" s="79" t="str" cm="1">
        <f t="array" aca="1" ref="A72" ca="1">IFERROR(INDEX(_xlfn.ANCHORARRAY($AA$11),ROW()-10,1),"")</f>
        <v/>
      </c>
      <c r="B72" s="81" t="str" cm="1">
        <f t="array" aca="1" ref="B72" ca="1">IFERROR(INDEX(_xlfn.ANCHORARRAY($AA$11),ROW()-10,2),"")</f>
        <v/>
      </c>
      <c r="C72" s="4" t="str" cm="1">
        <f t="array" aca="1" ref="C72" ca="1">IFERROR(INDEX(_xlfn.ANCHORARRAY($AA$11),ROW()-10,3),"")</f>
        <v/>
      </c>
      <c r="D72" s="13" t="str" cm="1">
        <f t="array" aca="1" ref="D72" ca="1">IFERROR(INDEX(_xlfn.ANCHORARRAY($AA$11),ROW()-10,4),"")</f>
        <v/>
      </c>
      <c r="E72" s="4" t="str" cm="1">
        <f t="array" aca="1" ref="E72" ca="1">IFERROR(INDEX(_xlfn.ANCHORARRAY($AA$11),ROW()-10,5),"")</f>
        <v/>
      </c>
      <c r="F72" s="13" t="str" cm="1">
        <f t="array" aca="1" ref="F72" ca="1">IFERROR(INDEX(_xlfn.ANCHORARRAY($AA$11),ROW()-10,6),"")</f>
        <v/>
      </c>
      <c r="G72" s="4" t="str" cm="1">
        <f t="array" aca="1" ref="G72" ca="1">IFERROR(INDEX(_xlfn.ANCHORARRAY($AA$11),ROW()-10,7),"")</f>
        <v/>
      </c>
      <c r="H72" s="4" t="str" cm="1">
        <f t="array" aca="1" ref="H72" ca="1">IFERROR(INDEX(_xlfn.ANCHORARRAY($AA$11),ROW()-10,8),"")</f>
        <v/>
      </c>
      <c r="I72" s="4" t="str" cm="1">
        <f t="array" aca="1" ref="I72" ca="1">IFERROR(INDEX(_xlfn.ANCHORARRAY($AA$11),ROW()-10,9),"")</f>
        <v/>
      </c>
      <c r="J72" s="4" t="str">
        <f t="shared" ca="1" si="3"/>
        <v/>
      </c>
      <c r="K72" s="4" t="str">
        <f t="shared" ca="1" si="4"/>
        <v/>
      </c>
      <c r="L72" s="4" t="str" cm="1">
        <f t="array" aca="1" ref="L72" ca="1">_xlfn.LET(_xlpm.link,IFERROR(INDEX(_xlfn.ANCHORARRAY($AA$11),ROW()-10,12),""),IF(_xlpm.link="","",HYPERLINK(_xlpm.link,"Bluecore/Attentive")))</f>
        <v/>
      </c>
      <c r="M72" s="61" t="str">
        <f t="shared" ca="1" si="5"/>
        <v/>
      </c>
      <c r="N72" s="7"/>
      <c r="O72" s="7"/>
      <c r="P72" s="7"/>
      <c r="Q72" s="7"/>
      <c r="R72" s="7"/>
      <c r="S72" s="6"/>
      <c r="T72" s="6"/>
      <c r="U72" s="6"/>
      <c r="V72" s="6"/>
      <c r="W72" s="6"/>
      <c r="X72" s="6"/>
      <c r="Y72" s="6"/>
      <c r="Z72" s="6"/>
      <c r="AA72"/>
      <c r="AB72"/>
      <c r="AC72"/>
      <c r="AD72"/>
      <c r="AE72"/>
      <c r="AF72"/>
      <c r="AG72"/>
      <c r="AH72"/>
      <c r="AI72"/>
      <c r="AJ72"/>
      <c r="AK72"/>
      <c r="AL72"/>
    </row>
    <row r="73" spans="1:38">
      <c r="A73" s="79" t="str" cm="1">
        <f t="array" aca="1" ref="A73" ca="1">IFERROR(INDEX(_xlfn.ANCHORARRAY($AA$11),ROW()-10,1),"")</f>
        <v/>
      </c>
      <c r="B73" s="81" t="str" cm="1">
        <f t="array" aca="1" ref="B73" ca="1">IFERROR(INDEX(_xlfn.ANCHORARRAY($AA$11),ROW()-10,2),"")</f>
        <v/>
      </c>
      <c r="C73" s="4" t="str" cm="1">
        <f t="array" aca="1" ref="C73" ca="1">IFERROR(INDEX(_xlfn.ANCHORARRAY($AA$11),ROW()-10,3),"")</f>
        <v/>
      </c>
      <c r="D73" s="13" t="str" cm="1">
        <f t="array" aca="1" ref="D73" ca="1">IFERROR(INDEX(_xlfn.ANCHORARRAY($AA$11),ROW()-10,4),"")</f>
        <v/>
      </c>
      <c r="E73" s="4" t="str" cm="1">
        <f t="array" aca="1" ref="E73" ca="1">IFERROR(INDEX(_xlfn.ANCHORARRAY($AA$11),ROW()-10,5),"")</f>
        <v/>
      </c>
      <c r="F73" s="13" t="str" cm="1">
        <f t="array" aca="1" ref="F73" ca="1">IFERROR(INDEX(_xlfn.ANCHORARRAY($AA$11),ROW()-10,6),"")</f>
        <v/>
      </c>
      <c r="G73" s="4" t="str" cm="1">
        <f t="array" aca="1" ref="G73" ca="1">IFERROR(INDEX(_xlfn.ANCHORARRAY($AA$11),ROW()-10,7),"")</f>
        <v/>
      </c>
      <c r="H73" s="4" t="str" cm="1">
        <f t="array" aca="1" ref="H73" ca="1">IFERROR(INDEX(_xlfn.ANCHORARRAY($AA$11),ROW()-10,8),"")</f>
        <v/>
      </c>
      <c r="I73" s="4" t="str" cm="1">
        <f t="array" aca="1" ref="I73" ca="1">IFERROR(INDEX(_xlfn.ANCHORARRAY($AA$11),ROW()-10,9),"")</f>
        <v/>
      </c>
      <c r="J73" s="4" t="str">
        <f t="shared" ca="1" si="3"/>
        <v/>
      </c>
      <c r="K73" s="4" t="str">
        <f t="shared" ca="1" si="4"/>
        <v/>
      </c>
      <c r="L73" s="4" t="str" cm="1">
        <f t="array" aca="1" ref="L73" ca="1">_xlfn.LET(_xlpm.link,IFERROR(INDEX(_xlfn.ANCHORARRAY($AA$11),ROW()-10,12),""),IF(_xlpm.link="","",HYPERLINK(_xlpm.link,"Bluecore/Attentive")))</f>
        <v/>
      </c>
      <c r="M73" s="60" t="str">
        <f t="shared" ca="1" si="5"/>
        <v/>
      </c>
      <c r="N73" s="7"/>
      <c r="O73" s="7"/>
      <c r="P73" s="7"/>
      <c r="Q73" s="7"/>
      <c r="R73" s="7"/>
      <c r="S73" s="6"/>
      <c r="T73" s="6"/>
      <c r="U73" s="6"/>
      <c r="V73" s="6"/>
      <c r="W73" s="6"/>
      <c r="X73" s="6"/>
      <c r="Y73" s="6"/>
      <c r="Z73" s="6"/>
      <c r="AA73"/>
      <c r="AB73"/>
      <c r="AC73"/>
      <c r="AD73"/>
      <c r="AE73"/>
      <c r="AF73"/>
      <c r="AG73"/>
      <c r="AH73"/>
      <c r="AI73"/>
      <c r="AJ73"/>
      <c r="AK73"/>
      <c r="AL73"/>
    </row>
    <row r="74" spans="1:38">
      <c r="A74" s="79" t="str" cm="1">
        <f t="array" aca="1" ref="A74" ca="1">IFERROR(INDEX(_xlfn.ANCHORARRAY($AA$11),ROW()-10,1),"")</f>
        <v/>
      </c>
      <c r="B74" s="81" t="str" cm="1">
        <f t="array" aca="1" ref="B74" ca="1">IFERROR(INDEX(_xlfn.ANCHORARRAY($AA$11),ROW()-10,2),"")</f>
        <v/>
      </c>
      <c r="C74" s="4" t="str" cm="1">
        <f t="array" aca="1" ref="C74" ca="1">IFERROR(INDEX(_xlfn.ANCHORARRAY($AA$11),ROW()-10,3),"")</f>
        <v/>
      </c>
      <c r="D74" s="13" t="str" cm="1">
        <f t="array" aca="1" ref="D74" ca="1">IFERROR(INDEX(_xlfn.ANCHORARRAY($AA$11),ROW()-10,4),"")</f>
        <v/>
      </c>
      <c r="E74" s="4" t="str" cm="1">
        <f t="array" aca="1" ref="E74" ca="1">IFERROR(INDEX(_xlfn.ANCHORARRAY($AA$11),ROW()-10,5),"")</f>
        <v/>
      </c>
      <c r="F74" s="13" t="str" cm="1">
        <f t="array" aca="1" ref="F74" ca="1">IFERROR(INDEX(_xlfn.ANCHORARRAY($AA$11),ROW()-10,6),"")</f>
        <v/>
      </c>
      <c r="G74" s="4" t="str" cm="1">
        <f t="array" aca="1" ref="G74" ca="1">IFERROR(INDEX(_xlfn.ANCHORARRAY($AA$11),ROW()-10,7),"")</f>
        <v/>
      </c>
      <c r="H74" s="4" t="str" cm="1">
        <f t="array" aca="1" ref="H74" ca="1">IFERROR(INDEX(_xlfn.ANCHORARRAY($AA$11),ROW()-10,8),"")</f>
        <v/>
      </c>
      <c r="I74" s="4" t="str" cm="1">
        <f t="array" aca="1" ref="I74" ca="1">IFERROR(INDEX(_xlfn.ANCHORARRAY($AA$11),ROW()-10,9),"")</f>
        <v/>
      </c>
      <c r="J74" s="4" t="str">
        <f t="shared" ca="1" si="3"/>
        <v/>
      </c>
      <c r="K74" s="4" t="str">
        <f t="shared" ca="1" si="4"/>
        <v/>
      </c>
      <c r="L74" s="4" t="str" cm="1">
        <f t="array" aca="1" ref="L74" ca="1">_xlfn.LET(_xlpm.link,IFERROR(INDEX(_xlfn.ANCHORARRAY($AA$11),ROW()-10,12),""),IF(_xlpm.link="","",HYPERLINK(_xlpm.link,"Bluecore/Attentive")))</f>
        <v/>
      </c>
      <c r="M74" s="61" t="str">
        <f t="shared" ca="1" si="5"/>
        <v/>
      </c>
      <c r="N74" s="7"/>
      <c r="O74" s="7"/>
      <c r="P74" s="7"/>
      <c r="Q74" s="7"/>
      <c r="R74" s="7"/>
      <c r="S74" s="6"/>
      <c r="T74" s="6"/>
      <c r="U74" s="6"/>
      <c r="V74" s="6"/>
      <c r="W74" s="6"/>
      <c r="X74" s="6"/>
      <c r="Y74" s="6"/>
      <c r="Z74" s="6"/>
      <c r="AA74"/>
      <c r="AB74"/>
      <c r="AC74"/>
      <c r="AD74"/>
      <c r="AE74"/>
      <c r="AF74"/>
      <c r="AG74"/>
      <c r="AH74"/>
      <c r="AI74"/>
      <c r="AJ74"/>
      <c r="AK74"/>
      <c r="AL74"/>
    </row>
    <row r="75" spans="1:38">
      <c r="A75" s="79" t="str" cm="1">
        <f t="array" aca="1" ref="A75" ca="1">IFERROR(INDEX(_xlfn.ANCHORARRAY($AA$11),ROW()-10,1),"")</f>
        <v/>
      </c>
      <c r="B75" s="81" t="str" cm="1">
        <f t="array" aca="1" ref="B75" ca="1">IFERROR(INDEX(_xlfn.ANCHORARRAY($AA$11),ROW()-10,2),"")</f>
        <v/>
      </c>
      <c r="C75" s="4" t="str" cm="1">
        <f t="array" aca="1" ref="C75" ca="1">IFERROR(INDEX(_xlfn.ANCHORARRAY($AA$11),ROW()-10,3),"")</f>
        <v/>
      </c>
      <c r="D75" s="13" t="str" cm="1">
        <f t="array" aca="1" ref="D75" ca="1">IFERROR(INDEX(_xlfn.ANCHORARRAY($AA$11),ROW()-10,4),"")</f>
        <v/>
      </c>
      <c r="E75" s="4" t="str" cm="1">
        <f t="array" aca="1" ref="E75" ca="1">IFERROR(INDEX(_xlfn.ANCHORARRAY($AA$11),ROW()-10,5),"")</f>
        <v/>
      </c>
      <c r="F75" s="13" t="str" cm="1">
        <f t="array" aca="1" ref="F75" ca="1">IFERROR(INDEX(_xlfn.ANCHORARRAY($AA$11),ROW()-10,6),"")</f>
        <v/>
      </c>
      <c r="G75" s="4" t="str" cm="1">
        <f t="array" aca="1" ref="G75" ca="1">IFERROR(INDEX(_xlfn.ANCHORARRAY($AA$11),ROW()-10,7),"")</f>
        <v/>
      </c>
      <c r="H75" s="4" t="str" cm="1">
        <f t="array" aca="1" ref="H75" ca="1">IFERROR(INDEX(_xlfn.ANCHORARRAY($AA$11),ROW()-10,8),"")</f>
        <v/>
      </c>
      <c r="I75" s="4" t="str" cm="1">
        <f t="array" aca="1" ref="I75" ca="1">IFERROR(INDEX(_xlfn.ANCHORARRAY($AA$11),ROW()-10,9),"")</f>
        <v/>
      </c>
      <c r="J75" s="4" t="str">
        <f t="shared" ref="J75:J106" ca="1" si="6">_xlfn.LET(_xlpm.ch,IFERROR(INDEX(_xlfn.ANCHORARRAY($AA$11),ROW()-10,3),""),_xlpm.link,IFERROR(INDEX(_xlfn.ANCHORARRAY($AA$11),ROW()-10,10),""),IF(OR(_xlpm.link="",_xlpm.ch="SMS"),"",HYPERLINK(_xlpm.link,"JIRA")))</f>
        <v/>
      </c>
      <c r="K75" s="4" t="str">
        <f t="shared" ref="K75:K106" ca="1" si="7">_xlfn.LET(_xlpm.ch,IFERROR(INDEX(_xlfn.ANCHORARRAY($AA$11),ROW()-10,3),""),_xlpm.link,IFERROR(INDEX(_xlfn.ANCHORARRAY($AA$11),ROW()-10,11),""),IF(OR(_xlpm.link="",_xlpm.ch="SMS"),"",HYPERLINK(_xlpm.link,"ClickUp")))</f>
        <v/>
      </c>
      <c r="L75" s="4" t="str" cm="1">
        <f t="array" aca="1" ref="L75" ca="1">_xlfn.LET(_xlpm.link,IFERROR(INDEX(_xlfn.ANCHORARRAY($AA$11),ROW()-10,12),""),IF(_xlpm.link="","",HYPERLINK(_xlpm.link,"Bluecore/Attentive")))</f>
        <v/>
      </c>
      <c r="M75" s="60" t="str">
        <f t="shared" ref="M75:M106" ca="1" si="8">_xlfn.LET(_xlpm.sendDate,$A75,_xlpm.camp,$D75&amp;"",_xlpm.code,LEFT(_xlpm.camp,6),_xlpm.parsed,IFERROR(DATE(2000+VALUE(MID(_xlpm.code,5,2)),VALUE(LEFT(_xlpm.code,2)),VALUE(MID(_xlpm.code,3,2))),""),_xlpm.useDate,IF(_xlpm.parsed="",IF(ISNUMBER(_xlpm.sendDate),INT(_xlpm.sendDate),""),_xlpm.parsed),IF(_xlpm.useDate="","","Week "&amp;WEEKNUM(_xlpm.useDate,1)))</f>
        <v/>
      </c>
      <c r="N75" s="7"/>
      <c r="O75" s="7"/>
      <c r="P75" s="7"/>
      <c r="Q75" s="7"/>
      <c r="R75" s="7"/>
      <c r="S75" s="6"/>
      <c r="T75" s="6"/>
      <c r="U75" s="6"/>
      <c r="V75" s="6"/>
      <c r="W75" s="6"/>
      <c r="X75" s="6"/>
      <c r="Y75" s="6"/>
      <c r="Z75" s="6"/>
      <c r="AA75"/>
      <c r="AB75"/>
      <c r="AC75"/>
      <c r="AD75"/>
      <c r="AE75"/>
      <c r="AF75"/>
      <c r="AG75"/>
      <c r="AH75"/>
      <c r="AI75"/>
      <c r="AJ75"/>
      <c r="AK75"/>
      <c r="AL75"/>
    </row>
    <row r="76" spans="1:38">
      <c r="A76" s="79" t="str" cm="1">
        <f t="array" aca="1" ref="A76" ca="1">IFERROR(INDEX(_xlfn.ANCHORARRAY($AA$11),ROW()-10,1),"")</f>
        <v/>
      </c>
      <c r="B76" s="81" t="str" cm="1">
        <f t="array" aca="1" ref="B76" ca="1">IFERROR(INDEX(_xlfn.ANCHORARRAY($AA$11),ROW()-10,2),"")</f>
        <v/>
      </c>
      <c r="C76" s="4" t="str" cm="1">
        <f t="array" aca="1" ref="C76" ca="1">IFERROR(INDEX(_xlfn.ANCHORARRAY($AA$11),ROW()-10,3),"")</f>
        <v/>
      </c>
      <c r="D76" s="13" t="str" cm="1">
        <f t="array" aca="1" ref="D76" ca="1">IFERROR(INDEX(_xlfn.ANCHORARRAY($AA$11),ROW()-10,4),"")</f>
        <v/>
      </c>
      <c r="E76" s="4" t="str" cm="1">
        <f t="array" aca="1" ref="E76" ca="1">IFERROR(INDEX(_xlfn.ANCHORARRAY($AA$11),ROW()-10,5),"")</f>
        <v/>
      </c>
      <c r="F76" s="13" t="str" cm="1">
        <f t="array" aca="1" ref="F76" ca="1">IFERROR(INDEX(_xlfn.ANCHORARRAY($AA$11),ROW()-10,6),"")</f>
        <v/>
      </c>
      <c r="G76" s="4" t="str" cm="1">
        <f t="array" aca="1" ref="G76" ca="1">IFERROR(INDEX(_xlfn.ANCHORARRAY($AA$11),ROW()-10,7),"")</f>
        <v/>
      </c>
      <c r="H76" s="4" t="str" cm="1">
        <f t="array" aca="1" ref="H76" ca="1">IFERROR(INDEX(_xlfn.ANCHORARRAY($AA$11),ROW()-10,8),"")</f>
        <v/>
      </c>
      <c r="I76" s="4" t="str" cm="1">
        <f t="array" aca="1" ref="I76" ca="1">IFERROR(INDEX(_xlfn.ANCHORARRAY($AA$11),ROW()-10,9),"")</f>
        <v/>
      </c>
      <c r="J76" s="4" t="str">
        <f t="shared" ca="1" si="6"/>
        <v/>
      </c>
      <c r="K76" s="4" t="str">
        <f t="shared" ca="1" si="7"/>
        <v/>
      </c>
      <c r="L76" s="4" t="str" cm="1">
        <f t="array" aca="1" ref="L76" ca="1">_xlfn.LET(_xlpm.link,IFERROR(INDEX(_xlfn.ANCHORARRAY($AA$11),ROW()-10,12),""),IF(_xlpm.link="","",HYPERLINK(_xlpm.link,"Bluecore/Attentive")))</f>
        <v/>
      </c>
      <c r="M76" s="61" t="str">
        <f t="shared" ca="1" si="8"/>
        <v/>
      </c>
      <c r="N76" s="7"/>
      <c r="O76" s="7"/>
      <c r="P76" s="7"/>
      <c r="Q76" s="7"/>
      <c r="R76" s="7"/>
      <c r="S76" s="6"/>
      <c r="T76" s="6"/>
      <c r="U76" s="6"/>
      <c r="V76" s="6"/>
      <c r="W76" s="6"/>
      <c r="X76" s="6"/>
      <c r="Y76" s="6"/>
      <c r="Z76" s="6"/>
      <c r="AA76"/>
      <c r="AB76"/>
      <c r="AC76"/>
      <c r="AD76"/>
      <c r="AE76"/>
      <c r="AF76"/>
      <c r="AG76"/>
      <c r="AH76"/>
      <c r="AI76"/>
      <c r="AJ76"/>
      <c r="AK76"/>
      <c r="AL76"/>
    </row>
    <row r="77" spans="1:38">
      <c r="A77" s="79" t="str" cm="1">
        <f t="array" aca="1" ref="A77" ca="1">IFERROR(INDEX(_xlfn.ANCHORARRAY($AA$11),ROW()-10,1),"")</f>
        <v/>
      </c>
      <c r="B77" s="81" t="str" cm="1">
        <f t="array" aca="1" ref="B77" ca="1">IFERROR(INDEX(_xlfn.ANCHORARRAY($AA$11),ROW()-10,2),"")</f>
        <v/>
      </c>
      <c r="C77" s="4" t="str" cm="1">
        <f t="array" aca="1" ref="C77" ca="1">IFERROR(INDEX(_xlfn.ANCHORARRAY($AA$11),ROW()-10,3),"")</f>
        <v/>
      </c>
      <c r="D77" s="13" t="str" cm="1">
        <f t="array" aca="1" ref="D77" ca="1">IFERROR(INDEX(_xlfn.ANCHORARRAY($AA$11),ROW()-10,4),"")</f>
        <v/>
      </c>
      <c r="E77" s="4" t="str" cm="1">
        <f t="array" aca="1" ref="E77" ca="1">IFERROR(INDEX(_xlfn.ANCHORARRAY($AA$11),ROW()-10,5),"")</f>
        <v/>
      </c>
      <c r="F77" s="13" t="str" cm="1">
        <f t="array" aca="1" ref="F77" ca="1">IFERROR(INDEX(_xlfn.ANCHORARRAY($AA$11),ROW()-10,6),"")</f>
        <v/>
      </c>
      <c r="G77" s="4" t="str" cm="1">
        <f t="array" aca="1" ref="G77" ca="1">IFERROR(INDEX(_xlfn.ANCHORARRAY($AA$11),ROW()-10,7),"")</f>
        <v/>
      </c>
      <c r="H77" s="4" t="str" cm="1">
        <f t="array" aca="1" ref="H77" ca="1">IFERROR(INDEX(_xlfn.ANCHORARRAY($AA$11),ROW()-10,8),"")</f>
        <v/>
      </c>
      <c r="I77" s="4" t="str" cm="1">
        <f t="array" aca="1" ref="I77" ca="1">IFERROR(INDEX(_xlfn.ANCHORARRAY($AA$11),ROW()-10,9),"")</f>
        <v/>
      </c>
      <c r="J77" s="4" t="str">
        <f t="shared" ca="1" si="6"/>
        <v/>
      </c>
      <c r="K77" s="4" t="str">
        <f t="shared" ca="1" si="7"/>
        <v/>
      </c>
      <c r="L77" s="4" t="str" cm="1">
        <f t="array" aca="1" ref="L77" ca="1">_xlfn.LET(_xlpm.link,IFERROR(INDEX(_xlfn.ANCHORARRAY($AA$11),ROW()-10,12),""),IF(_xlpm.link="","",HYPERLINK(_xlpm.link,"Bluecore/Attentive")))</f>
        <v/>
      </c>
      <c r="M77" s="60" t="str">
        <f t="shared" ca="1" si="8"/>
        <v/>
      </c>
      <c r="N77" s="7"/>
      <c r="O77" s="7"/>
      <c r="P77" s="7"/>
      <c r="Q77" s="7"/>
      <c r="R77" s="7"/>
      <c r="S77" s="6"/>
      <c r="T77" s="6"/>
      <c r="U77" s="6"/>
      <c r="V77" s="6"/>
      <c r="W77" s="6"/>
      <c r="X77" s="6"/>
      <c r="Y77" s="6"/>
      <c r="Z77" s="6"/>
      <c r="AA77"/>
      <c r="AB77"/>
      <c r="AC77"/>
      <c r="AD77"/>
      <c r="AE77"/>
      <c r="AF77"/>
      <c r="AG77"/>
      <c r="AH77"/>
      <c r="AI77"/>
      <c r="AJ77"/>
      <c r="AK77"/>
      <c r="AL77"/>
    </row>
    <row r="78" spans="1:38">
      <c r="A78" s="79" t="str" cm="1">
        <f t="array" aca="1" ref="A78" ca="1">IFERROR(INDEX(_xlfn.ANCHORARRAY($AA$11),ROW()-10,1),"")</f>
        <v/>
      </c>
      <c r="B78" s="81" t="str" cm="1">
        <f t="array" aca="1" ref="B78" ca="1">IFERROR(INDEX(_xlfn.ANCHORARRAY($AA$11),ROW()-10,2),"")</f>
        <v/>
      </c>
      <c r="C78" s="4" t="str" cm="1">
        <f t="array" aca="1" ref="C78" ca="1">IFERROR(INDEX(_xlfn.ANCHORARRAY($AA$11),ROW()-10,3),"")</f>
        <v/>
      </c>
      <c r="D78" s="13" t="str" cm="1">
        <f t="array" aca="1" ref="D78" ca="1">IFERROR(INDEX(_xlfn.ANCHORARRAY($AA$11),ROW()-10,4),"")</f>
        <v/>
      </c>
      <c r="E78" s="4" t="str" cm="1">
        <f t="array" aca="1" ref="E78" ca="1">IFERROR(INDEX(_xlfn.ANCHORARRAY($AA$11),ROW()-10,5),"")</f>
        <v/>
      </c>
      <c r="F78" s="13" t="str" cm="1">
        <f t="array" aca="1" ref="F78" ca="1">IFERROR(INDEX(_xlfn.ANCHORARRAY($AA$11),ROW()-10,6),"")</f>
        <v/>
      </c>
      <c r="G78" s="4" t="str" cm="1">
        <f t="array" aca="1" ref="G78" ca="1">IFERROR(INDEX(_xlfn.ANCHORARRAY($AA$11),ROW()-10,7),"")</f>
        <v/>
      </c>
      <c r="H78" s="4" t="str" cm="1">
        <f t="array" aca="1" ref="H78" ca="1">IFERROR(INDEX(_xlfn.ANCHORARRAY($AA$11),ROW()-10,8),"")</f>
        <v/>
      </c>
      <c r="I78" s="4" t="str" cm="1">
        <f t="array" aca="1" ref="I78" ca="1">IFERROR(INDEX(_xlfn.ANCHORARRAY($AA$11),ROW()-10,9),"")</f>
        <v/>
      </c>
      <c r="J78" s="4" t="str">
        <f t="shared" ca="1" si="6"/>
        <v/>
      </c>
      <c r="K78" s="4" t="str">
        <f t="shared" ca="1" si="7"/>
        <v/>
      </c>
      <c r="L78" s="4" t="str" cm="1">
        <f t="array" aca="1" ref="L78" ca="1">_xlfn.LET(_xlpm.link,IFERROR(INDEX(_xlfn.ANCHORARRAY($AA$11),ROW()-10,12),""),IF(_xlpm.link="","",HYPERLINK(_xlpm.link,"Bluecore/Attentive")))</f>
        <v/>
      </c>
      <c r="M78" s="61" t="str">
        <f t="shared" ca="1" si="8"/>
        <v/>
      </c>
      <c r="N78" s="7"/>
      <c r="O78" s="7"/>
      <c r="P78" s="7"/>
      <c r="Q78" s="7"/>
      <c r="R78" s="7"/>
      <c r="S78" s="6"/>
      <c r="T78" s="6"/>
      <c r="U78" s="6"/>
      <c r="V78" s="6"/>
      <c r="W78" s="6"/>
      <c r="X78" s="6"/>
      <c r="Y78" s="6"/>
      <c r="Z78" s="6"/>
      <c r="AA78"/>
      <c r="AB78"/>
      <c r="AC78"/>
      <c r="AD78"/>
      <c r="AE78"/>
      <c r="AF78"/>
      <c r="AG78"/>
      <c r="AH78"/>
      <c r="AI78"/>
      <c r="AJ78"/>
      <c r="AK78"/>
      <c r="AL78"/>
    </row>
    <row r="79" spans="1:38">
      <c r="A79" s="79" t="str" cm="1">
        <f t="array" aca="1" ref="A79" ca="1">IFERROR(INDEX(_xlfn.ANCHORARRAY($AA$11),ROW()-10,1),"")</f>
        <v/>
      </c>
      <c r="B79" s="81" t="str" cm="1">
        <f t="array" aca="1" ref="B79" ca="1">IFERROR(INDEX(_xlfn.ANCHORARRAY($AA$11),ROW()-10,2),"")</f>
        <v/>
      </c>
      <c r="C79" s="4" t="str" cm="1">
        <f t="array" aca="1" ref="C79" ca="1">IFERROR(INDEX(_xlfn.ANCHORARRAY($AA$11),ROW()-10,3),"")</f>
        <v/>
      </c>
      <c r="D79" s="13" t="str" cm="1">
        <f t="array" aca="1" ref="D79" ca="1">IFERROR(INDEX(_xlfn.ANCHORARRAY($AA$11),ROW()-10,4),"")</f>
        <v/>
      </c>
      <c r="E79" s="4" t="str" cm="1">
        <f t="array" aca="1" ref="E79" ca="1">IFERROR(INDEX(_xlfn.ANCHORARRAY($AA$11),ROW()-10,5),"")</f>
        <v/>
      </c>
      <c r="F79" s="13" t="str" cm="1">
        <f t="array" aca="1" ref="F79" ca="1">IFERROR(INDEX(_xlfn.ANCHORARRAY($AA$11),ROW()-10,6),"")</f>
        <v/>
      </c>
      <c r="G79" s="4" t="str" cm="1">
        <f t="array" aca="1" ref="G79" ca="1">IFERROR(INDEX(_xlfn.ANCHORARRAY($AA$11),ROW()-10,7),"")</f>
        <v/>
      </c>
      <c r="H79" s="4" t="str" cm="1">
        <f t="array" aca="1" ref="H79" ca="1">IFERROR(INDEX(_xlfn.ANCHORARRAY($AA$11),ROW()-10,8),"")</f>
        <v/>
      </c>
      <c r="I79" s="4" t="str" cm="1">
        <f t="array" aca="1" ref="I79" ca="1">IFERROR(INDEX(_xlfn.ANCHORARRAY($AA$11),ROW()-10,9),"")</f>
        <v/>
      </c>
      <c r="J79" s="4" t="str">
        <f t="shared" ca="1" si="6"/>
        <v/>
      </c>
      <c r="K79" s="4" t="str">
        <f t="shared" ca="1" si="7"/>
        <v/>
      </c>
      <c r="L79" s="4" t="str" cm="1">
        <f t="array" aca="1" ref="L79" ca="1">_xlfn.LET(_xlpm.link,IFERROR(INDEX(_xlfn.ANCHORARRAY($AA$11),ROW()-10,12),""),IF(_xlpm.link="","",HYPERLINK(_xlpm.link,"Bluecore/Attentive")))</f>
        <v/>
      </c>
      <c r="M79" s="60" t="str">
        <f t="shared" ca="1" si="8"/>
        <v/>
      </c>
      <c r="N79" s="7"/>
      <c r="O79" s="7"/>
      <c r="P79" s="7"/>
      <c r="Q79" s="7"/>
      <c r="R79" s="7"/>
      <c r="S79" s="6"/>
      <c r="T79" s="6"/>
      <c r="U79" s="6"/>
      <c r="V79" s="6"/>
      <c r="W79" s="6"/>
      <c r="X79" s="6"/>
      <c r="Y79" s="6"/>
      <c r="Z79" s="6"/>
      <c r="AA79"/>
      <c r="AB79"/>
      <c r="AC79"/>
      <c r="AD79"/>
      <c r="AE79"/>
      <c r="AF79"/>
      <c r="AG79"/>
      <c r="AH79"/>
      <c r="AI79"/>
      <c r="AJ79"/>
      <c r="AK79"/>
      <c r="AL79"/>
    </row>
    <row r="80" spans="1:38">
      <c r="A80" s="79" t="str" cm="1">
        <f t="array" aca="1" ref="A80" ca="1">IFERROR(INDEX(_xlfn.ANCHORARRAY($AA$11),ROW()-10,1),"")</f>
        <v/>
      </c>
      <c r="B80" s="81" t="str" cm="1">
        <f t="array" aca="1" ref="B80" ca="1">IFERROR(INDEX(_xlfn.ANCHORARRAY($AA$11),ROW()-10,2),"")</f>
        <v/>
      </c>
      <c r="C80" s="4" t="str" cm="1">
        <f t="array" aca="1" ref="C80" ca="1">IFERROR(INDEX(_xlfn.ANCHORARRAY($AA$11),ROW()-10,3),"")</f>
        <v/>
      </c>
      <c r="D80" s="13" t="str" cm="1">
        <f t="array" aca="1" ref="D80" ca="1">IFERROR(INDEX(_xlfn.ANCHORARRAY($AA$11),ROW()-10,4),"")</f>
        <v/>
      </c>
      <c r="E80" s="4" t="str" cm="1">
        <f t="array" aca="1" ref="E80" ca="1">IFERROR(INDEX(_xlfn.ANCHORARRAY($AA$11),ROW()-10,5),"")</f>
        <v/>
      </c>
      <c r="F80" s="13" t="str" cm="1">
        <f t="array" aca="1" ref="F80" ca="1">IFERROR(INDEX(_xlfn.ANCHORARRAY($AA$11),ROW()-10,6),"")</f>
        <v/>
      </c>
      <c r="G80" s="4" t="str" cm="1">
        <f t="array" aca="1" ref="G80" ca="1">IFERROR(INDEX(_xlfn.ANCHORARRAY($AA$11),ROW()-10,7),"")</f>
        <v/>
      </c>
      <c r="H80" s="4" t="str" cm="1">
        <f t="array" aca="1" ref="H80" ca="1">IFERROR(INDEX(_xlfn.ANCHORARRAY($AA$11),ROW()-10,8),"")</f>
        <v/>
      </c>
      <c r="I80" s="4" t="str" cm="1">
        <f t="array" aca="1" ref="I80" ca="1">IFERROR(INDEX(_xlfn.ANCHORARRAY($AA$11),ROW()-10,9),"")</f>
        <v/>
      </c>
      <c r="J80" s="4" t="str">
        <f t="shared" ca="1" si="6"/>
        <v/>
      </c>
      <c r="K80" s="4" t="str">
        <f t="shared" ca="1" si="7"/>
        <v/>
      </c>
      <c r="L80" s="4" t="str" cm="1">
        <f t="array" aca="1" ref="L80" ca="1">_xlfn.LET(_xlpm.link,IFERROR(INDEX(_xlfn.ANCHORARRAY($AA$11),ROW()-10,12),""),IF(_xlpm.link="","",HYPERLINK(_xlpm.link,"Bluecore/Attentive")))</f>
        <v/>
      </c>
      <c r="M80" s="61" t="str">
        <f t="shared" ca="1" si="8"/>
        <v/>
      </c>
      <c r="N80" s="7"/>
      <c r="O80" s="7"/>
      <c r="P80" s="7"/>
      <c r="Q80" s="7"/>
      <c r="R80" s="7"/>
      <c r="S80" s="6"/>
      <c r="T80" s="6"/>
      <c r="U80" s="6"/>
      <c r="V80" s="6"/>
      <c r="W80" s="6"/>
      <c r="X80" s="6"/>
      <c r="Y80" s="6"/>
      <c r="Z80" s="6"/>
      <c r="AA80"/>
      <c r="AB80"/>
      <c r="AC80"/>
      <c r="AD80"/>
      <c r="AE80"/>
      <c r="AF80"/>
      <c r="AG80"/>
      <c r="AH80"/>
      <c r="AI80"/>
      <c r="AJ80"/>
      <c r="AK80"/>
      <c r="AL80"/>
    </row>
    <row r="81" spans="1:38">
      <c r="A81" s="79" t="str" cm="1">
        <f t="array" aca="1" ref="A81" ca="1">IFERROR(INDEX(_xlfn.ANCHORARRAY($AA$11),ROW()-10,1),"")</f>
        <v/>
      </c>
      <c r="B81" s="81" t="str" cm="1">
        <f t="array" aca="1" ref="B81" ca="1">IFERROR(INDEX(_xlfn.ANCHORARRAY($AA$11),ROW()-10,2),"")</f>
        <v/>
      </c>
      <c r="C81" s="4" t="str" cm="1">
        <f t="array" aca="1" ref="C81" ca="1">IFERROR(INDEX(_xlfn.ANCHORARRAY($AA$11),ROW()-10,3),"")</f>
        <v/>
      </c>
      <c r="D81" s="13" t="str" cm="1">
        <f t="array" aca="1" ref="D81" ca="1">IFERROR(INDEX(_xlfn.ANCHORARRAY($AA$11),ROW()-10,4),"")</f>
        <v/>
      </c>
      <c r="E81" s="4" t="str" cm="1">
        <f t="array" aca="1" ref="E81" ca="1">IFERROR(INDEX(_xlfn.ANCHORARRAY($AA$11),ROW()-10,5),"")</f>
        <v/>
      </c>
      <c r="F81" s="13" t="str" cm="1">
        <f t="array" aca="1" ref="F81" ca="1">IFERROR(INDEX(_xlfn.ANCHORARRAY($AA$11),ROW()-10,6),"")</f>
        <v/>
      </c>
      <c r="G81" s="4" t="str" cm="1">
        <f t="array" aca="1" ref="G81" ca="1">IFERROR(INDEX(_xlfn.ANCHORARRAY($AA$11),ROW()-10,7),"")</f>
        <v/>
      </c>
      <c r="H81" s="4" t="str" cm="1">
        <f t="array" aca="1" ref="H81" ca="1">IFERROR(INDEX(_xlfn.ANCHORARRAY($AA$11),ROW()-10,8),"")</f>
        <v/>
      </c>
      <c r="I81" s="4" t="str" cm="1">
        <f t="array" aca="1" ref="I81" ca="1">IFERROR(INDEX(_xlfn.ANCHORARRAY($AA$11),ROW()-10,9),"")</f>
        <v/>
      </c>
      <c r="J81" s="4" t="str">
        <f t="shared" ca="1" si="6"/>
        <v/>
      </c>
      <c r="K81" s="4" t="str">
        <f t="shared" ca="1" si="7"/>
        <v/>
      </c>
      <c r="L81" s="4" t="str" cm="1">
        <f t="array" aca="1" ref="L81" ca="1">_xlfn.LET(_xlpm.link,IFERROR(INDEX(_xlfn.ANCHORARRAY($AA$11),ROW()-10,12),""),IF(_xlpm.link="","",HYPERLINK(_xlpm.link,"Bluecore/Attentive")))</f>
        <v/>
      </c>
      <c r="M81" s="60" t="str">
        <f t="shared" ca="1" si="8"/>
        <v/>
      </c>
      <c r="N81" s="7"/>
      <c r="O81" s="7"/>
      <c r="P81" s="7"/>
      <c r="Q81" s="7"/>
      <c r="R81" s="7"/>
      <c r="S81" s="6"/>
      <c r="T81" s="6"/>
      <c r="U81" s="6"/>
      <c r="V81" s="6"/>
      <c r="W81" s="6"/>
      <c r="X81" s="6"/>
      <c r="Y81" s="6"/>
      <c r="Z81" s="6"/>
      <c r="AA81"/>
      <c r="AB81"/>
      <c r="AC81"/>
      <c r="AD81"/>
      <c r="AE81"/>
      <c r="AF81"/>
      <c r="AG81"/>
      <c r="AH81"/>
      <c r="AI81"/>
      <c r="AJ81"/>
      <c r="AK81"/>
      <c r="AL81"/>
    </row>
    <row r="82" spans="1:38">
      <c r="A82" s="79" t="str" cm="1">
        <f t="array" aca="1" ref="A82" ca="1">IFERROR(INDEX(_xlfn.ANCHORARRAY($AA$11),ROW()-10,1),"")</f>
        <v/>
      </c>
      <c r="B82" s="81" t="str" cm="1">
        <f t="array" aca="1" ref="B82" ca="1">IFERROR(INDEX(_xlfn.ANCHORARRAY($AA$11),ROW()-10,2),"")</f>
        <v/>
      </c>
      <c r="C82" s="4" t="str" cm="1">
        <f t="array" aca="1" ref="C82" ca="1">IFERROR(INDEX(_xlfn.ANCHORARRAY($AA$11),ROW()-10,3),"")</f>
        <v/>
      </c>
      <c r="D82" s="13" t="str" cm="1">
        <f t="array" aca="1" ref="D82" ca="1">IFERROR(INDEX(_xlfn.ANCHORARRAY($AA$11),ROW()-10,4),"")</f>
        <v/>
      </c>
      <c r="E82" s="4" t="str" cm="1">
        <f t="array" aca="1" ref="E82" ca="1">IFERROR(INDEX(_xlfn.ANCHORARRAY($AA$11),ROW()-10,5),"")</f>
        <v/>
      </c>
      <c r="F82" s="13" t="str" cm="1">
        <f t="array" aca="1" ref="F82" ca="1">IFERROR(INDEX(_xlfn.ANCHORARRAY($AA$11),ROW()-10,6),"")</f>
        <v/>
      </c>
      <c r="G82" s="4" t="str" cm="1">
        <f t="array" aca="1" ref="G82" ca="1">IFERROR(INDEX(_xlfn.ANCHORARRAY($AA$11),ROW()-10,7),"")</f>
        <v/>
      </c>
      <c r="H82" s="4" t="str" cm="1">
        <f t="array" aca="1" ref="H82" ca="1">IFERROR(INDEX(_xlfn.ANCHORARRAY($AA$11),ROW()-10,8),"")</f>
        <v/>
      </c>
      <c r="I82" s="4" t="str" cm="1">
        <f t="array" aca="1" ref="I82" ca="1">IFERROR(INDEX(_xlfn.ANCHORARRAY($AA$11),ROW()-10,9),"")</f>
        <v/>
      </c>
      <c r="J82" s="4" t="str">
        <f t="shared" ca="1" si="6"/>
        <v/>
      </c>
      <c r="K82" s="4" t="str">
        <f t="shared" ca="1" si="7"/>
        <v/>
      </c>
      <c r="L82" s="4" t="str" cm="1">
        <f t="array" aca="1" ref="L82" ca="1">_xlfn.LET(_xlpm.link,IFERROR(INDEX(_xlfn.ANCHORARRAY($AA$11),ROW()-10,12),""),IF(_xlpm.link="","",HYPERLINK(_xlpm.link,"Bluecore/Attentive")))</f>
        <v/>
      </c>
      <c r="M82" s="61" t="str">
        <f t="shared" ca="1" si="8"/>
        <v/>
      </c>
      <c r="N82" s="7"/>
      <c r="O82" s="7"/>
      <c r="P82" s="7"/>
      <c r="Q82" s="7"/>
      <c r="R82" s="7"/>
      <c r="S82" s="6"/>
      <c r="T82" s="6"/>
      <c r="U82" s="6"/>
      <c r="V82" s="6"/>
      <c r="W82" s="6"/>
      <c r="X82" s="6"/>
      <c r="Y82" s="6"/>
      <c r="Z82" s="6"/>
      <c r="AA82"/>
      <c r="AB82"/>
      <c r="AC82"/>
      <c r="AD82"/>
      <c r="AE82"/>
      <c r="AF82"/>
      <c r="AG82"/>
      <c r="AH82"/>
      <c r="AI82"/>
      <c r="AJ82"/>
      <c r="AK82"/>
      <c r="AL82"/>
    </row>
    <row r="83" spans="1:38">
      <c r="A83" s="79" t="str" cm="1">
        <f t="array" aca="1" ref="A83" ca="1">IFERROR(INDEX(_xlfn.ANCHORARRAY($AA$11),ROW()-10,1),"")</f>
        <v/>
      </c>
      <c r="B83" s="81" t="str" cm="1">
        <f t="array" aca="1" ref="B83" ca="1">IFERROR(INDEX(_xlfn.ANCHORARRAY($AA$11),ROW()-10,2),"")</f>
        <v/>
      </c>
      <c r="C83" s="4" t="str" cm="1">
        <f t="array" aca="1" ref="C83" ca="1">IFERROR(INDEX(_xlfn.ANCHORARRAY($AA$11),ROW()-10,3),"")</f>
        <v/>
      </c>
      <c r="D83" s="13" t="str" cm="1">
        <f t="array" aca="1" ref="D83" ca="1">IFERROR(INDEX(_xlfn.ANCHORARRAY($AA$11),ROW()-10,4),"")</f>
        <v/>
      </c>
      <c r="E83" s="4" t="str" cm="1">
        <f t="array" aca="1" ref="E83" ca="1">IFERROR(INDEX(_xlfn.ANCHORARRAY($AA$11),ROW()-10,5),"")</f>
        <v/>
      </c>
      <c r="F83" s="13" t="str" cm="1">
        <f t="array" aca="1" ref="F83" ca="1">IFERROR(INDEX(_xlfn.ANCHORARRAY($AA$11),ROW()-10,6),"")</f>
        <v/>
      </c>
      <c r="G83" s="4" t="str" cm="1">
        <f t="array" aca="1" ref="G83" ca="1">IFERROR(INDEX(_xlfn.ANCHORARRAY($AA$11),ROW()-10,7),"")</f>
        <v/>
      </c>
      <c r="H83" s="4" t="str" cm="1">
        <f t="array" aca="1" ref="H83" ca="1">IFERROR(INDEX(_xlfn.ANCHORARRAY($AA$11),ROW()-10,8),"")</f>
        <v/>
      </c>
      <c r="I83" s="4" t="str" cm="1">
        <f t="array" aca="1" ref="I83" ca="1">IFERROR(INDEX(_xlfn.ANCHORARRAY($AA$11),ROW()-10,9),"")</f>
        <v/>
      </c>
      <c r="J83" s="4" t="str">
        <f t="shared" ca="1" si="6"/>
        <v/>
      </c>
      <c r="K83" s="4" t="str">
        <f t="shared" ca="1" si="7"/>
        <v/>
      </c>
      <c r="L83" s="4" t="str" cm="1">
        <f t="array" aca="1" ref="L83" ca="1">_xlfn.LET(_xlpm.link,IFERROR(INDEX(_xlfn.ANCHORARRAY($AA$11),ROW()-10,12),""),IF(_xlpm.link="","",HYPERLINK(_xlpm.link,"Bluecore/Attentive")))</f>
        <v/>
      </c>
      <c r="M83" s="60" t="str">
        <f t="shared" ca="1" si="8"/>
        <v/>
      </c>
      <c r="N83" s="7"/>
      <c r="O83" s="7"/>
      <c r="P83" s="7"/>
      <c r="Q83" s="7"/>
      <c r="R83" s="7"/>
      <c r="S83" s="6"/>
      <c r="T83" s="6"/>
      <c r="U83" s="6"/>
      <c r="V83" s="6"/>
      <c r="W83" s="6"/>
      <c r="X83" s="6"/>
      <c r="Y83" s="6"/>
      <c r="Z83" s="6"/>
      <c r="AA83"/>
      <c r="AB83"/>
      <c r="AC83"/>
      <c r="AD83"/>
      <c r="AE83"/>
      <c r="AF83"/>
      <c r="AG83"/>
      <c r="AH83"/>
      <c r="AI83"/>
      <c r="AJ83"/>
      <c r="AK83"/>
      <c r="AL83"/>
    </row>
    <row r="84" spans="1:38">
      <c r="A84" s="79" t="str" cm="1">
        <f t="array" aca="1" ref="A84" ca="1">IFERROR(INDEX(_xlfn.ANCHORARRAY($AA$11),ROW()-10,1),"")</f>
        <v/>
      </c>
      <c r="B84" s="81" t="str" cm="1">
        <f t="array" aca="1" ref="B84" ca="1">IFERROR(INDEX(_xlfn.ANCHORARRAY($AA$11),ROW()-10,2),"")</f>
        <v/>
      </c>
      <c r="C84" s="4" t="str" cm="1">
        <f t="array" aca="1" ref="C84" ca="1">IFERROR(INDEX(_xlfn.ANCHORARRAY($AA$11),ROW()-10,3),"")</f>
        <v/>
      </c>
      <c r="D84" s="13" t="str" cm="1">
        <f t="array" aca="1" ref="D84" ca="1">IFERROR(INDEX(_xlfn.ANCHORARRAY($AA$11),ROW()-10,4),"")</f>
        <v/>
      </c>
      <c r="E84" s="4" t="str" cm="1">
        <f t="array" aca="1" ref="E84" ca="1">IFERROR(INDEX(_xlfn.ANCHORARRAY($AA$11),ROW()-10,5),"")</f>
        <v/>
      </c>
      <c r="F84" s="13" t="str" cm="1">
        <f t="array" aca="1" ref="F84" ca="1">IFERROR(INDEX(_xlfn.ANCHORARRAY($AA$11),ROW()-10,6),"")</f>
        <v/>
      </c>
      <c r="G84" s="4" t="str" cm="1">
        <f t="array" aca="1" ref="G84" ca="1">IFERROR(INDEX(_xlfn.ANCHORARRAY($AA$11),ROW()-10,7),"")</f>
        <v/>
      </c>
      <c r="H84" s="4" t="str" cm="1">
        <f t="array" aca="1" ref="H84" ca="1">IFERROR(INDEX(_xlfn.ANCHORARRAY($AA$11),ROW()-10,8),"")</f>
        <v/>
      </c>
      <c r="I84" s="4" t="str" cm="1">
        <f t="array" aca="1" ref="I84" ca="1">IFERROR(INDEX(_xlfn.ANCHORARRAY($AA$11),ROW()-10,9),"")</f>
        <v/>
      </c>
      <c r="J84" s="4" t="str">
        <f t="shared" ca="1" si="6"/>
        <v/>
      </c>
      <c r="K84" s="4" t="str">
        <f t="shared" ca="1" si="7"/>
        <v/>
      </c>
      <c r="L84" s="4" t="str" cm="1">
        <f t="array" aca="1" ref="L84" ca="1">_xlfn.LET(_xlpm.link,IFERROR(INDEX(_xlfn.ANCHORARRAY($AA$11),ROW()-10,12),""),IF(_xlpm.link="","",HYPERLINK(_xlpm.link,"Bluecore/Attentive")))</f>
        <v/>
      </c>
      <c r="M84" s="61" t="str">
        <f t="shared" ca="1" si="8"/>
        <v/>
      </c>
      <c r="N84" s="7"/>
      <c r="O84" s="7"/>
      <c r="P84" s="7"/>
      <c r="Q84" s="7"/>
      <c r="R84" s="7"/>
      <c r="S84" s="6"/>
      <c r="T84" s="6"/>
      <c r="U84" s="6"/>
      <c r="V84" s="6"/>
      <c r="W84" s="6"/>
      <c r="X84" s="6"/>
      <c r="Y84" s="6"/>
      <c r="Z84" s="6"/>
      <c r="AA84"/>
      <c r="AB84"/>
      <c r="AC84"/>
      <c r="AD84"/>
      <c r="AE84"/>
      <c r="AF84"/>
      <c r="AG84"/>
      <c r="AH84"/>
      <c r="AI84"/>
      <c r="AJ84"/>
      <c r="AK84"/>
      <c r="AL84"/>
    </row>
    <row r="85" spans="1:38">
      <c r="A85" s="79" t="str" cm="1">
        <f t="array" aca="1" ref="A85" ca="1">IFERROR(INDEX(_xlfn.ANCHORARRAY($AA$11),ROW()-10,1),"")</f>
        <v/>
      </c>
      <c r="B85" s="81" t="str" cm="1">
        <f t="array" aca="1" ref="B85" ca="1">IFERROR(INDEX(_xlfn.ANCHORARRAY($AA$11),ROW()-10,2),"")</f>
        <v/>
      </c>
      <c r="C85" s="4" t="str" cm="1">
        <f t="array" aca="1" ref="C85" ca="1">IFERROR(INDEX(_xlfn.ANCHORARRAY($AA$11),ROW()-10,3),"")</f>
        <v/>
      </c>
      <c r="D85" s="13" t="str" cm="1">
        <f t="array" aca="1" ref="D85" ca="1">IFERROR(INDEX(_xlfn.ANCHORARRAY($AA$11),ROW()-10,4),"")</f>
        <v/>
      </c>
      <c r="E85" s="4" t="str" cm="1">
        <f t="array" aca="1" ref="E85" ca="1">IFERROR(INDEX(_xlfn.ANCHORARRAY($AA$11),ROW()-10,5),"")</f>
        <v/>
      </c>
      <c r="F85" s="13" t="str" cm="1">
        <f t="array" aca="1" ref="F85" ca="1">IFERROR(INDEX(_xlfn.ANCHORARRAY($AA$11),ROW()-10,6),"")</f>
        <v/>
      </c>
      <c r="G85" s="4" t="str" cm="1">
        <f t="array" aca="1" ref="G85" ca="1">IFERROR(INDEX(_xlfn.ANCHORARRAY($AA$11),ROW()-10,7),"")</f>
        <v/>
      </c>
      <c r="H85" s="4" t="str" cm="1">
        <f t="array" aca="1" ref="H85" ca="1">IFERROR(INDEX(_xlfn.ANCHORARRAY($AA$11),ROW()-10,8),"")</f>
        <v/>
      </c>
      <c r="I85" s="4" t="str" cm="1">
        <f t="array" aca="1" ref="I85" ca="1">IFERROR(INDEX(_xlfn.ANCHORARRAY($AA$11),ROW()-10,9),"")</f>
        <v/>
      </c>
      <c r="J85" s="4" t="str">
        <f t="shared" ca="1" si="6"/>
        <v/>
      </c>
      <c r="K85" s="4" t="str">
        <f t="shared" ca="1" si="7"/>
        <v/>
      </c>
      <c r="L85" s="4" t="str" cm="1">
        <f t="array" aca="1" ref="L85" ca="1">_xlfn.LET(_xlpm.link,IFERROR(INDEX(_xlfn.ANCHORARRAY($AA$11),ROW()-10,12),""),IF(_xlpm.link="","",HYPERLINK(_xlpm.link,"Bluecore/Attentive")))</f>
        <v/>
      </c>
      <c r="M85" s="60" t="str">
        <f t="shared" ca="1" si="8"/>
        <v/>
      </c>
      <c r="N85" s="7"/>
      <c r="O85" s="7"/>
      <c r="P85" s="7"/>
      <c r="Q85" s="7"/>
      <c r="R85" s="7"/>
      <c r="S85" s="6"/>
      <c r="T85" s="6"/>
      <c r="U85" s="6"/>
      <c r="V85" s="6"/>
      <c r="W85" s="6"/>
      <c r="X85" s="6"/>
      <c r="Y85" s="6"/>
      <c r="Z85" s="6"/>
      <c r="AA85"/>
      <c r="AB85"/>
      <c r="AC85"/>
      <c r="AD85"/>
      <c r="AE85"/>
      <c r="AF85"/>
      <c r="AG85"/>
      <c r="AH85"/>
      <c r="AI85"/>
      <c r="AJ85"/>
      <c r="AK85"/>
      <c r="AL85"/>
    </row>
    <row r="86" spans="1:38">
      <c r="A86" s="79" t="str" cm="1">
        <f t="array" aca="1" ref="A86" ca="1">IFERROR(INDEX(_xlfn.ANCHORARRAY($AA$11),ROW()-10,1),"")</f>
        <v/>
      </c>
      <c r="B86" s="81" t="str" cm="1">
        <f t="array" aca="1" ref="B86" ca="1">IFERROR(INDEX(_xlfn.ANCHORARRAY($AA$11),ROW()-10,2),"")</f>
        <v/>
      </c>
      <c r="C86" s="4" t="str" cm="1">
        <f t="array" aca="1" ref="C86" ca="1">IFERROR(INDEX(_xlfn.ANCHORARRAY($AA$11),ROW()-10,3),"")</f>
        <v/>
      </c>
      <c r="D86" s="13" t="str" cm="1">
        <f t="array" aca="1" ref="D86" ca="1">IFERROR(INDEX(_xlfn.ANCHORARRAY($AA$11),ROW()-10,4),"")</f>
        <v/>
      </c>
      <c r="E86" s="4" t="str" cm="1">
        <f t="array" aca="1" ref="E86" ca="1">IFERROR(INDEX(_xlfn.ANCHORARRAY($AA$11),ROW()-10,5),"")</f>
        <v/>
      </c>
      <c r="F86" s="13" t="str" cm="1">
        <f t="array" aca="1" ref="F86" ca="1">IFERROR(INDEX(_xlfn.ANCHORARRAY($AA$11),ROW()-10,6),"")</f>
        <v/>
      </c>
      <c r="G86" s="4" t="str" cm="1">
        <f t="array" aca="1" ref="G86" ca="1">IFERROR(INDEX(_xlfn.ANCHORARRAY($AA$11),ROW()-10,7),"")</f>
        <v/>
      </c>
      <c r="H86" s="4" t="str" cm="1">
        <f t="array" aca="1" ref="H86" ca="1">IFERROR(INDEX(_xlfn.ANCHORARRAY($AA$11),ROW()-10,8),"")</f>
        <v/>
      </c>
      <c r="I86" s="4" t="str" cm="1">
        <f t="array" aca="1" ref="I86" ca="1">IFERROR(INDEX(_xlfn.ANCHORARRAY($AA$11),ROW()-10,9),"")</f>
        <v/>
      </c>
      <c r="J86" s="4" t="str">
        <f t="shared" ca="1" si="6"/>
        <v/>
      </c>
      <c r="K86" s="4" t="str">
        <f t="shared" ca="1" si="7"/>
        <v/>
      </c>
      <c r="L86" s="4" t="str" cm="1">
        <f t="array" aca="1" ref="L86" ca="1">_xlfn.LET(_xlpm.link,IFERROR(INDEX(_xlfn.ANCHORARRAY($AA$11),ROW()-10,12),""),IF(_xlpm.link="","",HYPERLINK(_xlpm.link,"Bluecore/Attentive")))</f>
        <v/>
      </c>
      <c r="M86" s="61" t="str">
        <f t="shared" ca="1" si="8"/>
        <v/>
      </c>
      <c r="N86" s="7"/>
      <c r="O86" s="7"/>
      <c r="P86" s="7"/>
      <c r="Q86" s="7"/>
      <c r="R86" s="7"/>
      <c r="S86" s="6"/>
      <c r="T86" s="6"/>
      <c r="U86" s="6"/>
      <c r="V86" s="6"/>
      <c r="W86" s="6"/>
      <c r="X86" s="6"/>
      <c r="Y86" s="6"/>
      <c r="Z86" s="6"/>
      <c r="AA86"/>
      <c r="AB86"/>
      <c r="AC86"/>
      <c r="AD86"/>
      <c r="AE86"/>
      <c r="AF86"/>
      <c r="AG86"/>
      <c r="AH86"/>
      <c r="AI86"/>
      <c r="AJ86"/>
      <c r="AK86"/>
      <c r="AL86"/>
    </row>
    <row r="87" spans="1:38">
      <c r="A87" s="79" t="str" cm="1">
        <f t="array" aca="1" ref="A87" ca="1">IFERROR(INDEX(_xlfn.ANCHORARRAY($AA$11),ROW()-10,1),"")</f>
        <v/>
      </c>
      <c r="B87" s="81" t="str" cm="1">
        <f t="array" aca="1" ref="B87" ca="1">IFERROR(INDEX(_xlfn.ANCHORARRAY($AA$11),ROW()-10,2),"")</f>
        <v/>
      </c>
      <c r="C87" s="4" t="str" cm="1">
        <f t="array" aca="1" ref="C87" ca="1">IFERROR(INDEX(_xlfn.ANCHORARRAY($AA$11),ROW()-10,3),"")</f>
        <v/>
      </c>
      <c r="D87" s="13" t="str" cm="1">
        <f t="array" aca="1" ref="D87" ca="1">IFERROR(INDEX(_xlfn.ANCHORARRAY($AA$11),ROW()-10,4),"")</f>
        <v/>
      </c>
      <c r="E87" s="4" t="str" cm="1">
        <f t="array" aca="1" ref="E87" ca="1">IFERROR(INDEX(_xlfn.ANCHORARRAY($AA$11),ROW()-10,5),"")</f>
        <v/>
      </c>
      <c r="F87" s="13" t="str" cm="1">
        <f t="array" aca="1" ref="F87" ca="1">IFERROR(INDEX(_xlfn.ANCHORARRAY($AA$11),ROW()-10,6),"")</f>
        <v/>
      </c>
      <c r="G87" s="4" t="str" cm="1">
        <f t="array" aca="1" ref="G87" ca="1">IFERROR(INDEX(_xlfn.ANCHORARRAY($AA$11),ROW()-10,7),"")</f>
        <v/>
      </c>
      <c r="H87" s="4" t="str" cm="1">
        <f t="array" aca="1" ref="H87" ca="1">IFERROR(INDEX(_xlfn.ANCHORARRAY($AA$11),ROW()-10,8),"")</f>
        <v/>
      </c>
      <c r="I87" s="4" t="str" cm="1">
        <f t="array" aca="1" ref="I87" ca="1">IFERROR(INDEX(_xlfn.ANCHORARRAY($AA$11),ROW()-10,9),"")</f>
        <v/>
      </c>
      <c r="J87" s="4" t="str">
        <f t="shared" ca="1" si="6"/>
        <v/>
      </c>
      <c r="K87" s="4" t="str">
        <f t="shared" ca="1" si="7"/>
        <v/>
      </c>
      <c r="L87" s="4" t="str" cm="1">
        <f t="array" aca="1" ref="L87" ca="1">_xlfn.LET(_xlpm.link,IFERROR(INDEX(_xlfn.ANCHORARRAY($AA$11),ROW()-10,12),""),IF(_xlpm.link="","",HYPERLINK(_xlpm.link,"Bluecore/Attentive")))</f>
        <v/>
      </c>
      <c r="M87" s="60" t="str">
        <f t="shared" ca="1" si="8"/>
        <v/>
      </c>
      <c r="N87" s="7"/>
      <c r="O87" s="7"/>
      <c r="P87" s="7"/>
      <c r="Q87" s="7"/>
      <c r="R87" s="7"/>
      <c r="S87" s="6"/>
      <c r="T87" s="6"/>
      <c r="U87" s="6"/>
      <c r="V87" s="6"/>
      <c r="W87" s="6"/>
      <c r="X87" s="6"/>
      <c r="Y87" s="6"/>
      <c r="Z87" s="6"/>
      <c r="AA87"/>
      <c r="AB87"/>
      <c r="AC87"/>
      <c r="AD87"/>
      <c r="AE87"/>
      <c r="AF87"/>
      <c r="AG87"/>
      <c r="AH87"/>
      <c r="AI87"/>
      <c r="AJ87"/>
      <c r="AK87"/>
      <c r="AL87"/>
    </row>
    <row r="88" spans="1:38">
      <c r="A88" s="79" t="str" cm="1">
        <f t="array" aca="1" ref="A88" ca="1">IFERROR(INDEX(_xlfn.ANCHORARRAY($AA$11),ROW()-10,1),"")</f>
        <v/>
      </c>
      <c r="B88" s="81" t="str" cm="1">
        <f t="array" aca="1" ref="B88" ca="1">IFERROR(INDEX(_xlfn.ANCHORARRAY($AA$11),ROW()-10,2),"")</f>
        <v/>
      </c>
      <c r="C88" s="4" t="str" cm="1">
        <f t="array" aca="1" ref="C88" ca="1">IFERROR(INDEX(_xlfn.ANCHORARRAY($AA$11),ROW()-10,3),"")</f>
        <v/>
      </c>
      <c r="D88" s="13" t="str" cm="1">
        <f t="array" aca="1" ref="D88" ca="1">IFERROR(INDEX(_xlfn.ANCHORARRAY($AA$11),ROW()-10,4),"")</f>
        <v/>
      </c>
      <c r="E88" s="4" t="str" cm="1">
        <f t="array" aca="1" ref="E88" ca="1">IFERROR(INDEX(_xlfn.ANCHORARRAY($AA$11),ROW()-10,5),"")</f>
        <v/>
      </c>
      <c r="F88" s="13" t="str" cm="1">
        <f t="array" aca="1" ref="F88" ca="1">IFERROR(INDEX(_xlfn.ANCHORARRAY($AA$11),ROW()-10,6),"")</f>
        <v/>
      </c>
      <c r="G88" s="4" t="str" cm="1">
        <f t="array" aca="1" ref="G88" ca="1">IFERROR(INDEX(_xlfn.ANCHORARRAY($AA$11),ROW()-10,7),"")</f>
        <v/>
      </c>
      <c r="H88" s="4" t="str" cm="1">
        <f t="array" aca="1" ref="H88" ca="1">IFERROR(INDEX(_xlfn.ANCHORARRAY($AA$11),ROW()-10,8),"")</f>
        <v/>
      </c>
      <c r="I88" s="4" t="str" cm="1">
        <f t="array" aca="1" ref="I88" ca="1">IFERROR(INDEX(_xlfn.ANCHORARRAY($AA$11),ROW()-10,9),"")</f>
        <v/>
      </c>
      <c r="J88" s="4" t="str">
        <f t="shared" ca="1" si="6"/>
        <v/>
      </c>
      <c r="K88" s="4" t="str">
        <f t="shared" ca="1" si="7"/>
        <v/>
      </c>
      <c r="L88" s="4" t="str" cm="1">
        <f t="array" aca="1" ref="L88" ca="1">_xlfn.LET(_xlpm.link,IFERROR(INDEX(_xlfn.ANCHORARRAY($AA$11),ROW()-10,12),""),IF(_xlpm.link="","",HYPERLINK(_xlpm.link,"Bluecore/Attentive")))</f>
        <v/>
      </c>
      <c r="M88" s="61" t="str">
        <f t="shared" ca="1" si="8"/>
        <v/>
      </c>
      <c r="N88" s="7"/>
      <c r="O88" s="7"/>
      <c r="P88" s="7"/>
      <c r="Q88" s="7"/>
      <c r="R88" s="7"/>
      <c r="S88" s="6"/>
      <c r="T88" s="6"/>
      <c r="U88" s="6"/>
      <c r="V88" s="6"/>
      <c r="W88" s="6"/>
      <c r="X88" s="6"/>
      <c r="Y88" s="6"/>
      <c r="Z88" s="6"/>
      <c r="AA88"/>
      <c r="AB88"/>
      <c r="AC88"/>
      <c r="AD88"/>
      <c r="AE88"/>
      <c r="AF88"/>
      <c r="AG88"/>
      <c r="AH88"/>
      <c r="AI88"/>
      <c r="AJ88"/>
      <c r="AK88"/>
      <c r="AL88"/>
    </row>
    <row r="89" spans="1:38">
      <c r="A89" s="79" t="str" cm="1">
        <f t="array" aca="1" ref="A89" ca="1">IFERROR(INDEX(_xlfn.ANCHORARRAY($AA$11),ROW()-10,1),"")</f>
        <v/>
      </c>
      <c r="B89" s="81" t="str" cm="1">
        <f t="array" aca="1" ref="B89" ca="1">IFERROR(INDEX(_xlfn.ANCHORARRAY($AA$11),ROW()-10,2),"")</f>
        <v/>
      </c>
      <c r="C89" s="4" t="str" cm="1">
        <f t="array" aca="1" ref="C89" ca="1">IFERROR(INDEX(_xlfn.ANCHORARRAY($AA$11),ROW()-10,3),"")</f>
        <v/>
      </c>
      <c r="D89" s="13" t="str" cm="1">
        <f t="array" aca="1" ref="D89" ca="1">IFERROR(INDEX(_xlfn.ANCHORARRAY($AA$11),ROW()-10,4),"")</f>
        <v/>
      </c>
      <c r="E89" s="4" t="str" cm="1">
        <f t="array" aca="1" ref="E89" ca="1">IFERROR(INDEX(_xlfn.ANCHORARRAY($AA$11),ROW()-10,5),"")</f>
        <v/>
      </c>
      <c r="F89" s="13" t="str" cm="1">
        <f t="array" aca="1" ref="F89" ca="1">IFERROR(INDEX(_xlfn.ANCHORARRAY($AA$11),ROW()-10,6),"")</f>
        <v/>
      </c>
      <c r="G89" s="4" t="str" cm="1">
        <f t="array" aca="1" ref="G89" ca="1">IFERROR(INDEX(_xlfn.ANCHORARRAY($AA$11),ROW()-10,7),"")</f>
        <v/>
      </c>
      <c r="H89" s="4" t="str" cm="1">
        <f t="array" aca="1" ref="H89" ca="1">IFERROR(INDEX(_xlfn.ANCHORARRAY($AA$11),ROW()-10,8),"")</f>
        <v/>
      </c>
      <c r="I89" s="4" t="str" cm="1">
        <f t="array" aca="1" ref="I89" ca="1">IFERROR(INDEX(_xlfn.ANCHORARRAY($AA$11),ROW()-10,9),"")</f>
        <v/>
      </c>
      <c r="J89" s="4" t="str">
        <f t="shared" ca="1" si="6"/>
        <v/>
      </c>
      <c r="K89" s="4" t="str">
        <f t="shared" ca="1" si="7"/>
        <v/>
      </c>
      <c r="L89" s="4" t="str" cm="1">
        <f t="array" aca="1" ref="L89" ca="1">_xlfn.LET(_xlpm.link,IFERROR(INDEX(_xlfn.ANCHORARRAY($AA$11),ROW()-10,12),""),IF(_xlpm.link="","",HYPERLINK(_xlpm.link,"Bluecore/Attentive")))</f>
        <v/>
      </c>
      <c r="M89" s="60" t="str">
        <f t="shared" ca="1" si="8"/>
        <v/>
      </c>
      <c r="N89" s="7"/>
      <c r="O89" s="7"/>
      <c r="P89" s="7"/>
      <c r="Q89" s="7"/>
      <c r="R89" s="7"/>
      <c r="S89" s="6"/>
      <c r="T89" s="6"/>
      <c r="U89" s="6"/>
      <c r="V89" s="6"/>
      <c r="W89" s="6"/>
      <c r="X89" s="6"/>
      <c r="Y89" s="6"/>
      <c r="Z89" s="6"/>
      <c r="AA89"/>
      <c r="AB89"/>
      <c r="AC89"/>
      <c r="AD89"/>
      <c r="AE89"/>
      <c r="AF89"/>
      <c r="AG89"/>
      <c r="AH89"/>
      <c r="AI89"/>
      <c r="AJ89"/>
      <c r="AK89"/>
      <c r="AL89"/>
    </row>
    <row r="90" spans="1:38">
      <c r="A90" s="79" t="str" cm="1">
        <f t="array" aca="1" ref="A90" ca="1">IFERROR(INDEX(_xlfn.ANCHORARRAY($AA$11),ROW()-10,1),"")</f>
        <v/>
      </c>
      <c r="B90" s="81" t="str" cm="1">
        <f t="array" aca="1" ref="B90" ca="1">IFERROR(INDEX(_xlfn.ANCHORARRAY($AA$11),ROW()-10,2),"")</f>
        <v/>
      </c>
      <c r="C90" s="4" t="str" cm="1">
        <f t="array" aca="1" ref="C90" ca="1">IFERROR(INDEX(_xlfn.ANCHORARRAY($AA$11),ROW()-10,3),"")</f>
        <v/>
      </c>
      <c r="D90" s="13" t="str" cm="1">
        <f t="array" aca="1" ref="D90" ca="1">IFERROR(INDEX(_xlfn.ANCHORARRAY($AA$11),ROW()-10,4),"")</f>
        <v/>
      </c>
      <c r="E90" s="4" t="str" cm="1">
        <f t="array" aca="1" ref="E90" ca="1">IFERROR(INDEX(_xlfn.ANCHORARRAY($AA$11),ROW()-10,5),"")</f>
        <v/>
      </c>
      <c r="F90" s="13" t="str" cm="1">
        <f t="array" aca="1" ref="F90" ca="1">IFERROR(INDEX(_xlfn.ANCHORARRAY($AA$11),ROW()-10,6),"")</f>
        <v/>
      </c>
      <c r="G90" s="4" t="str" cm="1">
        <f t="array" aca="1" ref="G90" ca="1">IFERROR(INDEX(_xlfn.ANCHORARRAY($AA$11),ROW()-10,7),"")</f>
        <v/>
      </c>
      <c r="H90" s="4" t="str" cm="1">
        <f t="array" aca="1" ref="H90" ca="1">IFERROR(INDEX(_xlfn.ANCHORARRAY($AA$11),ROW()-10,8),"")</f>
        <v/>
      </c>
      <c r="I90" s="4" t="str" cm="1">
        <f t="array" aca="1" ref="I90" ca="1">IFERROR(INDEX(_xlfn.ANCHORARRAY($AA$11),ROW()-10,9),"")</f>
        <v/>
      </c>
      <c r="J90" s="4" t="str">
        <f t="shared" ca="1" si="6"/>
        <v/>
      </c>
      <c r="K90" s="4" t="str">
        <f t="shared" ca="1" si="7"/>
        <v/>
      </c>
      <c r="L90" s="4" t="str" cm="1">
        <f t="array" aca="1" ref="L90" ca="1">_xlfn.LET(_xlpm.link,IFERROR(INDEX(_xlfn.ANCHORARRAY($AA$11),ROW()-10,12),""),IF(_xlpm.link="","",HYPERLINK(_xlpm.link,"Bluecore/Attentive")))</f>
        <v/>
      </c>
      <c r="M90" s="61" t="str">
        <f t="shared" ca="1" si="8"/>
        <v/>
      </c>
      <c r="N90" s="7"/>
      <c r="O90" s="7"/>
      <c r="P90" s="7"/>
      <c r="Q90" s="7"/>
      <c r="R90" s="7"/>
      <c r="S90" s="6"/>
      <c r="T90" s="6"/>
      <c r="U90" s="6"/>
      <c r="V90" s="6"/>
      <c r="W90" s="6"/>
      <c r="X90" s="6"/>
      <c r="Y90" s="6"/>
      <c r="Z90" s="6"/>
      <c r="AA90"/>
      <c r="AB90"/>
      <c r="AC90"/>
      <c r="AD90"/>
      <c r="AE90"/>
      <c r="AF90"/>
      <c r="AG90"/>
      <c r="AH90"/>
      <c r="AI90"/>
      <c r="AJ90"/>
      <c r="AK90"/>
      <c r="AL90"/>
    </row>
    <row r="91" spans="1:38">
      <c r="A91" s="79" t="str" cm="1">
        <f t="array" aca="1" ref="A91" ca="1">IFERROR(INDEX(_xlfn.ANCHORARRAY($AA$11),ROW()-10,1),"")</f>
        <v/>
      </c>
      <c r="B91" s="81" t="str" cm="1">
        <f t="array" aca="1" ref="B91" ca="1">IFERROR(INDEX(_xlfn.ANCHORARRAY($AA$11),ROW()-10,2),"")</f>
        <v/>
      </c>
      <c r="C91" s="4" t="str" cm="1">
        <f t="array" aca="1" ref="C91" ca="1">IFERROR(INDEX(_xlfn.ANCHORARRAY($AA$11),ROW()-10,3),"")</f>
        <v/>
      </c>
      <c r="D91" s="13" t="str" cm="1">
        <f t="array" aca="1" ref="D91" ca="1">IFERROR(INDEX(_xlfn.ANCHORARRAY($AA$11),ROW()-10,4),"")</f>
        <v/>
      </c>
      <c r="E91" s="4" t="str" cm="1">
        <f t="array" aca="1" ref="E91" ca="1">IFERROR(INDEX(_xlfn.ANCHORARRAY($AA$11),ROW()-10,5),"")</f>
        <v/>
      </c>
      <c r="F91" s="13" t="str" cm="1">
        <f t="array" aca="1" ref="F91" ca="1">IFERROR(INDEX(_xlfn.ANCHORARRAY($AA$11),ROW()-10,6),"")</f>
        <v/>
      </c>
      <c r="G91" s="4" t="str" cm="1">
        <f t="array" aca="1" ref="G91" ca="1">IFERROR(INDEX(_xlfn.ANCHORARRAY($AA$11),ROW()-10,7),"")</f>
        <v/>
      </c>
      <c r="H91" s="4" t="str" cm="1">
        <f t="array" aca="1" ref="H91" ca="1">IFERROR(INDEX(_xlfn.ANCHORARRAY($AA$11),ROW()-10,8),"")</f>
        <v/>
      </c>
      <c r="I91" s="4" t="str" cm="1">
        <f t="array" aca="1" ref="I91" ca="1">IFERROR(INDEX(_xlfn.ANCHORARRAY($AA$11),ROW()-10,9),"")</f>
        <v/>
      </c>
      <c r="J91" s="4" t="str">
        <f t="shared" ca="1" si="6"/>
        <v/>
      </c>
      <c r="K91" s="4" t="str">
        <f t="shared" ca="1" si="7"/>
        <v/>
      </c>
      <c r="L91" s="4" t="str" cm="1">
        <f t="array" aca="1" ref="L91" ca="1">_xlfn.LET(_xlpm.link,IFERROR(INDEX(_xlfn.ANCHORARRAY($AA$11),ROW()-10,12),""),IF(_xlpm.link="","",HYPERLINK(_xlpm.link,"Bluecore/Attentive")))</f>
        <v/>
      </c>
      <c r="M91" s="60" t="str">
        <f t="shared" ca="1" si="8"/>
        <v/>
      </c>
      <c r="N91" s="7"/>
      <c r="O91" s="7"/>
      <c r="P91" s="7"/>
      <c r="Q91" s="7"/>
      <c r="R91" s="7"/>
      <c r="S91" s="6"/>
      <c r="T91" s="6"/>
      <c r="U91" s="6"/>
      <c r="V91" s="6"/>
      <c r="W91" s="6"/>
      <c r="X91" s="6"/>
      <c r="Y91" s="6"/>
      <c r="Z91" s="6"/>
      <c r="AA91"/>
      <c r="AB91"/>
      <c r="AC91"/>
      <c r="AD91"/>
      <c r="AE91"/>
      <c r="AF91"/>
      <c r="AG91"/>
      <c r="AH91"/>
      <c r="AI91"/>
      <c r="AJ91"/>
      <c r="AK91"/>
      <c r="AL91"/>
    </row>
    <row r="92" spans="1:38">
      <c r="A92" s="79" t="str" cm="1">
        <f t="array" aca="1" ref="A92" ca="1">IFERROR(INDEX(_xlfn.ANCHORARRAY($AA$11),ROW()-10,1),"")</f>
        <v/>
      </c>
      <c r="B92" s="81" t="str" cm="1">
        <f t="array" aca="1" ref="B92" ca="1">IFERROR(INDEX(_xlfn.ANCHORARRAY($AA$11),ROW()-10,2),"")</f>
        <v/>
      </c>
      <c r="C92" s="4" t="str" cm="1">
        <f t="array" aca="1" ref="C92" ca="1">IFERROR(INDEX(_xlfn.ANCHORARRAY($AA$11),ROW()-10,3),"")</f>
        <v/>
      </c>
      <c r="D92" s="13" t="str" cm="1">
        <f t="array" aca="1" ref="D92" ca="1">IFERROR(INDEX(_xlfn.ANCHORARRAY($AA$11),ROW()-10,4),"")</f>
        <v/>
      </c>
      <c r="E92" s="4" t="str" cm="1">
        <f t="array" aca="1" ref="E92" ca="1">IFERROR(INDEX(_xlfn.ANCHORARRAY($AA$11),ROW()-10,5),"")</f>
        <v/>
      </c>
      <c r="F92" s="13" t="str" cm="1">
        <f t="array" aca="1" ref="F92" ca="1">IFERROR(INDEX(_xlfn.ANCHORARRAY($AA$11),ROW()-10,6),"")</f>
        <v/>
      </c>
      <c r="G92" s="4" t="str" cm="1">
        <f t="array" aca="1" ref="G92" ca="1">IFERROR(INDEX(_xlfn.ANCHORARRAY($AA$11),ROW()-10,7),"")</f>
        <v/>
      </c>
      <c r="H92" s="4" t="str" cm="1">
        <f t="array" aca="1" ref="H92" ca="1">IFERROR(INDEX(_xlfn.ANCHORARRAY($AA$11),ROW()-10,8),"")</f>
        <v/>
      </c>
      <c r="I92" s="4" t="str" cm="1">
        <f t="array" aca="1" ref="I92" ca="1">IFERROR(INDEX(_xlfn.ANCHORARRAY($AA$11),ROW()-10,9),"")</f>
        <v/>
      </c>
      <c r="J92" s="4" t="str">
        <f t="shared" ca="1" si="6"/>
        <v/>
      </c>
      <c r="K92" s="4" t="str">
        <f t="shared" ca="1" si="7"/>
        <v/>
      </c>
      <c r="L92" s="4" t="str" cm="1">
        <f t="array" aca="1" ref="L92" ca="1">_xlfn.LET(_xlpm.link,IFERROR(INDEX(_xlfn.ANCHORARRAY($AA$11),ROW()-10,12),""),IF(_xlpm.link="","",HYPERLINK(_xlpm.link,"Bluecore/Attentive")))</f>
        <v/>
      </c>
      <c r="M92" s="61" t="str">
        <f t="shared" ca="1" si="8"/>
        <v/>
      </c>
      <c r="N92" s="7"/>
      <c r="O92" s="7"/>
      <c r="P92" s="7"/>
      <c r="Q92" s="7"/>
      <c r="R92" s="7"/>
      <c r="S92" s="6"/>
      <c r="T92" s="6"/>
      <c r="U92" s="6"/>
      <c r="V92" s="6"/>
      <c r="W92" s="6"/>
      <c r="X92" s="6"/>
      <c r="Y92" s="6"/>
      <c r="Z92" s="6"/>
      <c r="AA92"/>
      <c r="AB92"/>
      <c r="AC92"/>
      <c r="AD92"/>
      <c r="AE92"/>
      <c r="AF92"/>
      <c r="AG92"/>
      <c r="AH92"/>
      <c r="AI92"/>
      <c r="AJ92"/>
      <c r="AK92"/>
      <c r="AL92"/>
    </row>
    <row r="93" spans="1:38">
      <c r="A93" s="79" t="str" cm="1">
        <f t="array" aca="1" ref="A93" ca="1">IFERROR(INDEX(_xlfn.ANCHORARRAY($AA$11),ROW()-10,1),"")</f>
        <v/>
      </c>
      <c r="B93" s="81" t="str" cm="1">
        <f t="array" aca="1" ref="B93" ca="1">IFERROR(INDEX(_xlfn.ANCHORARRAY($AA$11),ROW()-10,2),"")</f>
        <v/>
      </c>
      <c r="C93" s="4" t="str" cm="1">
        <f t="array" aca="1" ref="C93" ca="1">IFERROR(INDEX(_xlfn.ANCHORARRAY($AA$11),ROW()-10,3),"")</f>
        <v/>
      </c>
      <c r="D93" s="13" t="str" cm="1">
        <f t="array" aca="1" ref="D93" ca="1">IFERROR(INDEX(_xlfn.ANCHORARRAY($AA$11),ROW()-10,4),"")</f>
        <v/>
      </c>
      <c r="E93" s="4" t="str" cm="1">
        <f t="array" aca="1" ref="E93" ca="1">IFERROR(INDEX(_xlfn.ANCHORARRAY($AA$11),ROW()-10,5),"")</f>
        <v/>
      </c>
      <c r="F93" s="13" t="str" cm="1">
        <f t="array" aca="1" ref="F93" ca="1">IFERROR(INDEX(_xlfn.ANCHORARRAY($AA$11),ROW()-10,6),"")</f>
        <v/>
      </c>
      <c r="G93" s="4" t="str" cm="1">
        <f t="array" aca="1" ref="G93" ca="1">IFERROR(INDEX(_xlfn.ANCHORARRAY($AA$11),ROW()-10,7),"")</f>
        <v/>
      </c>
      <c r="H93" s="4" t="str" cm="1">
        <f t="array" aca="1" ref="H93" ca="1">IFERROR(INDEX(_xlfn.ANCHORARRAY($AA$11),ROW()-10,8),"")</f>
        <v/>
      </c>
      <c r="I93" s="4" t="str" cm="1">
        <f t="array" aca="1" ref="I93" ca="1">IFERROR(INDEX(_xlfn.ANCHORARRAY($AA$11),ROW()-10,9),"")</f>
        <v/>
      </c>
      <c r="J93" s="4" t="str">
        <f t="shared" ca="1" si="6"/>
        <v/>
      </c>
      <c r="K93" s="4" t="str">
        <f t="shared" ca="1" si="7"/>
        <v/>
      </c>
      <c r="L93" s="4" t="str" cm="1">
        <f t="array" aca="1" ref="L93" ca="1">_xlfn.LET(_xlpm.link,IFERROR(INDEX(_xlfn.ANCHORARRAY($AA$11),ROW()-10,12),""),IF(_xlpm.link="","",HYPERLINK(_xlpm.link,"Bluecore/Attentive")))</f>
        <v/>
      </c>
      <c r="M93" s="60" t="str">
        <f t="shared" ca="1" si="8"/>
        <v/>
      </c>
      <c r="N93" s="7"/>
      <c r="O93" s="7"/>
      <c r="P93" s="7"/>
      <c r="Q93" s="7"/>
      <c r="R93" s="7"/>
      <c r="S93" s="6"/>
      <c r="T93" s="6"/>
      <c r="U93" s="6"/>
      <c r="V93" s="6"/>
      <c r="W93" s="6"/>
      <c r="X93" s="6"/>
      <c r="Y93" s="6"/>
      <c r="Z93" s="6"/>
      <c r="AA93"/>
      <c r="AB93"/>
      <c r="AC93"/>
      <c r="AD93"/>
      <c r="AE93"/>
      <c r="AF93"/>
      <c r="AG93"/>
      <c r="AH93"/>
      <c r="AI93"/>
      <c r="AJ93"/>
      <c r="AK93"/>
      <c r="AL93"/>
    </row>
    <row r="94" spans="1:38">
      <c r="A94" s="79" t="str" cm="1">
        <f t="array" aca="1" ref="A94" ca="1">IFERROR(INDEX(_xlfn.ANCHORARRAY($AA$11),ROW()-10,1),"")</f>
        <v/>
      </c>
      <c r="B94" s="81" t="str" cm="1">
        <f t="array" aca="1" ref="B94" ca="1">IFERROR(INDEX(_xlfn.ANCHORARRAY($AA$11),ROW()-10,2),"")</f>
        <v/>
      </c>
      <c r="C94" s="4" t="str" cm="1">
        <f t="array" aca="1" ref="C94" ca="1">IFERROR(INDEX(_xlfn.ANCHORARRAY($AA$11),ROW()-10,3),"")</f>
        <v/>
      </c>
      <c r="D94" s="13" t="str" cm="1">
        <f t="array" aca="1" ref="D94" ca="1">IFERROR(INDEX(_xlfn.ANCHORARRAY($AA$11),ROW()-10,4),"")</f>
        <v/>
      </c>
      <c r="E94" s="4" t="str" cm="1">
        <f t="array" aca="1" ref="E94" ca="1">IFERROR(INDEX(_xlfn.ANCHORARRAY($AA$11),ROW()-10,5),"")</f>
        <v/>
      </c>
      <c r="F94" s="13" t="str" cm="1">
        <f t="array" aca="1" ref="F94" ca="1">IFERROR(INDEX(_xlfn.ANCHORARRAY($AA$11),ROW()-10,6),"")</f>
        <v/>
      </c>
      <c r="G94" s="4" t="str" cm="1">
        <f t="array" aca="1" ref="G94" ca="1">IFERROR(INDEX(_xlfn.ANCHORARRAY($AA$11),ROW()-10,7),"")</f>
        <v/>
      </c>
      <c r="H94" s="4" t="str" cm="1">
        <f t="array" aca="1" ref="H94" ca="1">IFERROR(INDEX(_xlfn.ANCHORARRAY($AA$11),ROW()-10,8),"")</f>
        <v/>
      </c>
      <c r="I94" s="4" t="str" cm="1">
        <f t="array" aca="1" ref="I94" ca="1">IFERROR(INDEX(_xlfn.ANCHORARRAY($AA$11),ROW()-10,9),"")</f>
        <v/>
      </c>
      <c r="J94" s="4" t="str">
        <f t="shared" ca="1" si="6"/>
        <v/>
      </c>
      <c r="K94" s="4" t="str">
        <f t="shared" ca="1" si="7"/>
        <v/>
      </c>
      <c r="L94" s="4" t="str" cm="1">
        <f t="array" aca="1" ref="L94" ca="1">_xlfn.LET(_xlpm.link,IFERROR(INDEX(_xlfn.ANCHORARRAY($AA$11),ROW()-10,12),""),IF(_xlpm.link="","",HYPERLINK(_xlpm.link,"Bluecore/Attentive")))</f>
        <v/>
      </c>
      <c r="M94" s="61" t="str">
        <f t="shared" ca="1" si="8"/>
        <v/>
      </c>
      <c r="N94" s="7"/>
      <c r="O94" s="7"/>
      <c r="P94" s="7"/>
      <c r="Q94" s="7"/>
      <c r="R94" s="7"/>
      <c r="S94" s="6"/>
      <c r="T94" s="6"/>
      <c r="U94" s="6"/>
      <c r="V94" s="6"/>
      <c r="W94" s="6"/>
      <c r="X94" s="6"/>
      <c r="Y94" s="6"/>
      <c r="Z94" s="6"/>
      <c r="AA94"/>
      <c r="AB94"/>
      <c r="AC94"/>
      <c r="AD94"/>
      <c r="AE94"/>
      <c r="AF94"/>
      <c r="AG94"/>
      <c r="AH94"/>
      <c r="AI94"/>
      <c r="AJ94"/>
      <c r="AK94"/>
      <c r="AL94"/>
    </row>
    <row r="95" spans="1:38">
      <c r="A95" s="79" t="str" cm="1">
        <f t="array" aca="1" ref="A95" ca="1">IFERROR(INDEX(_xlfn.ANCHORARRAY($AA$11),ROW()-10,1),"")</f>
        <v/>
      </c>
      <c r="B95" s="81" t="str" cm="1">
        <f t="array" aca="1" ref="B95" ca="1">IFERROR(INDEX(_xlfn.ANCHORARRAY($AA$11),ROW()-10,2),"")</f>
        <v/>
      </c>
      <c r="C95" s="4" t="str" cm="1">
        <f t="array" aca="1" ref="C95" ca="1">IFERROR(INDEX(_xlfn.ANCHORARRAY($AA$11),ROW()-10,3),"")</f>
        <v/>
      </c>
      <c r="D95" s="13" t="str" cm="1">
        <f t="array" aca="1" ref="D95" ca="1">IFERROR(INDEX(_xlfn.ANCHORARRAY($AA$11),ROW()-10,4),"")</f>
        <v/>
      </c>
      <c r="E95" s="4" t="str" cm="1">
        <f t="array" aca="1" ref="E95" ca="1">IFERROR(INDEX(_xlfn.ANCHORARRAY($AA$11),ROW()-10,5),"")</f>
        <v/>
      </c>
      <c r="F95" s="13" t="str" cm="1">
        <f t="array" aca="1" ref="F95" ca="1">IFERROR(INDEX(_xlfn.ANCHORARRAY($AA$11),ROW()-10,6),"")</f>
        <v/>
      </c>
      <c r="G95" s="4" t="str" cm="1">
        <f t="array" aca="1" ref="G95" ca="1">IFERROR(INDEX(_xlfn.ANCHORARRAY($AA$11),ROW()-10,7),"")</f>
        <v/>
      </c>
      <c r="H95" s="4" t="str" cm="1">
        <f t="array" aca="1" ref="H95" ca="1">IFERROR(INDEX(_xlfn.ANCHORARRAY($AA$11),ROW()-10,8),"")</f>
        <v/>
      </c>
      <c r="I95" s="4" t="str" cm="1">
        <f t="array" aca="1" ref="I95" ca="1">IFERROR(INDEX(_xlfn.ANCHORARRAY($AA$11),ROW()-10,9),"")</f>
        <v/>
      </c>
      <c r="J95" s="4" t="str">
        <f t="shared" ca="1" si="6"/>
        <v/>
      </c>
      <c r="K95" s="4" t="str">
        <f t="shared" ca="1" si="7"/>
        <v/>
      </c>
      <c r="L95" s="4" t="str" cm="1">
        <f t="array" aca="1" ref="L95" ca="1">_xlfn.LET(_xlpm.link,IFERROR(INDEX(_xlfn.ANCHORARRAY($AA$11),ROW()-10,12),""),IF(_xlpm.link="","",HYPERLINK(_xlpm.link,"Bluecore/Attentive")))</f>
        <v/>
      </c>
      <c r="M95" s="60" t="str">
        <f t="shared" ca="1" si="8"/>
        <v/>
      </c>
      <c r="N95" s="7"/>
      <c r="O95" s="7"/>
      <c r="P95" s="7"/>
      <c r="Q95" s="7"/>
      <c r="R95" s="7"/>
      <c r="S95" s="6"/>
      <c r="T95" s="6"/>
      <c r="U95" s="6"/>
      <c r="V95" s="6"/>
      <c r="W95" s="6"/>
      <c r="X95" s="6"/>
      <c r="Y95" s="6"/>
      <c r="Z95" s="6"/>
      <c r="AA95"/>
      <c r="AB95"/>
      <c r="AC95"/>
      <c r="AD95"/>
      <c r="AE95"/>
      <c r="AF95"/>
      <c r="AG95"/>
      <c r="AH95"/>
      <c r="AI95"/>
      <c r="AJ95"/>
      <c r="AK95"/>
      <c r="AL95"/>
    </row>
    <row r="96" spans="1:38">
      <c r="A96" s="79" t="str" cm="1">
        <f t="array" aca="1" ref="A96" ca="1">IFERROR(INDEX(_xlfn.ANCHORARRAY($AA$11),ROW()-10,1),"")</f>
        <v/>
      </c>
      <c r="B96" s="81" t="str" cm="1">
        <f t="array" aca="1" ref="B96" ca="1">IFERROR(INDEX(_xlfn.ANCHORARRAY($AA$11),ROW()-10,2),"")</f>
        <v/>
      </c>
      <c r="C96" s="4" t="str" cm="1">
        <f t="array" aca="1" ref="C96" ca="1">IFERROR(INDEX(_xlfn.ANCHORARRAY($AA$11),ROW()-10,3),"")</f>
        <v/>
      </c>
      <c r="D96" s="13" t="str" cm="1">
        <f t="array" aca="1" ref="D96" ca="1">IFERROR(INDEX(_xlfn.ANCHORARRAY($AA$11),ROW()-10,4),"")</f>
        <v/>
      </c>
      <c r="E96" s="4" t="str" cm="1">
        <f t="array" aca="1" ref="E96" ca="1">IFERROR(INDEX(_xlfn.ANCHORARRAY($AA$11),ROW()-10,5),"")</f>
        <v/>
      </c>
      <c r="F96" s="13" t="str" cm="1">
        <f t="array" aca="1" ref="F96" ca="1">IFERROR(INDEX(_xlfn.ANCHORARRAY($AA$11),ROW()-10,6),"")</f>
        <v/>
      </c>
      <c r="G96" s="4" t="str" cm="1">
        <f t="array" aca="1" ref="G96" ca="1">IFERROR(INDEX(_xlfn.ANCHORARRAY($AA$11),ROW()-10,7),"")</f>
        <v/>
      </c>
      <c r="H96" s="4" t="str" cm="1">
        <f t="array" aca="1" ref="H96" ca="1">IFERROR(INDEX(_xlfn.ANCHORARRAY($AA$11),ROW()-10,8),"")</f>
        <v/>
      </c>
      <c r="I96" s="4" t="str" cm="1">
        <f t="array" aca="1" ref="I96" ca="1">IFERROR(INDEX(_xlfn.ANCHORARRAY($AA$11),ROW()-10,9),"")</f>
        <v/>
      </c>
      <c r="J96" s="4" t="str">
        <f t="shared" ca="1" si="6"/>
        <v/>
      </c>
      <c r="K96" s="4" t="str">
        <f t="shared" ca="1" si="7"/>
        <v/>
      </c>
      <c r="L96" s="4" t="str" cm="1">
        <f t="array" aca="1" ref="L96" ca="1">_xlfn.LET(_xlpm.link,IFERROR(INDEX(_xlfn.ANCHORARRAY($AA$11),ROW()-10,12),""),IF(_xlpm.link="","",HYPERLINK(_xlpm.link,"Bluecore/Attentive")))</f>
        <v/>
      </c>
      <c r="M96" s="61" t="str">
        <f t="shared" ca="1" si="8"/>
        <v/>
      </c>
      <c r="N96" s="7"/>
      <c r="O96" s="7"/>
      <c r="P96" s="7"/>
      <c r="Q96" s="7"/>
      <c r="R96" s="7"/>
      <c r="S96" s="6"/>
      <c r="T96" s="6"/>
      <c r="U96" s="6"/>
      <c r="V96" s="6"/>
      <c r="W96" s="6"/>
      <c r="X96" s="6"/>
      <c r="Y96" s="6"/>
      <c r="Z96" s="6"/>
      <c r="AA96"/>
      <c r="AB96"/>
      <c r="AC96"/>
      <c r="AD96"/>
      <c r="AE96"/>
      <c r="AF96"/>
      <c r="AG96"/>
      <c r="AH96"/>
      <c r="AI96"/>
      <c r="AJ96"/>
      <c r="AK96"/>
      <c r="AL96"/>
    </row>
    <row r="97" spans="1:38">
      <c r="A97" s="79" t="str" cm="1">
        <f t="array" aca="1" ref="A97" ca="1">IFERROR(INDEX(_xlfn.ANCHORARRAY($AA$11),ROW()-10,1),"")</f>
        <v/>
      </c>
      <c r="B97" s="81" t="str" cm="1">
        <f t="array" aca="1" ref="B97" ca="1">IFERROR(INDEX(_xlfn.ANCHORARRAY($AA$11),ROW()-10,2),"")</f>
        <v/>
      </c>
      <c r="C97" s="4" t="str" cm="1">
        <f t="array" aca="1" ref="C97" ca="1">IFERROR(INDEX(_xlfn.ANCHORARRAY($AA$11),ROW()-10,3),"")</f>
        <v/>
      </c>
      <c r="D97" s="13" t="str" cm="1">
        <f t="array" aca="1" ref="D97" ca="1">IFERROR(INDEX(_xlfn.ANCHORARRAY($AA$11),ROW()-10,4),"")</f>
        <v/>
      </c>
      <c r="E97" s="4" t="str" cm="1">
        <f t="array" aca="1" ref="E97" ca="1">IFERROR(INDEX(_xlfn.ANCHORARRAY($AA$11),ROW()-10,5),"")</f>
        <v/>
      </c>
      <c r="F97" s="13" t="str" cm="1">
        <f t="array" aca="1" ref="F97" ca="1">IFERROR(INDEX(_xlfn.ANCHORARRAY($AA$11),ROW()-10,6),"")</f>
        <v/>
      </c>
      <c r="G97" s="4" t="str" cm="1">
        <f t="array" aca="1" ref="G97" ca="1">IFERROR(INDEX(_xlfn.ANCHORARRAY($AA$11),ROW()-10,7),"")</f>
        <v/>
      </c>
      <c r="H97" s="4" t="str" cm="1">
        <f t="array" aca="1" ref="H97" ca="1">IFERROR(INDEX(_xlfn.ANCHORARRAY($AA$11),ROW()-10,8),"")</f>
        <v/>
      </c>
      <c r="I97" s="4" t="str" cm="1">
        <f t="array" aca="1" ref="I97" ca="1">IFERROR(INDEX(_xlfn.ANCHORARRAY($AA$11),ROW()-10,9),"")</f>
        <v/>
      </c>
      <c r="J97" s="4" t="str">
        <f t="shared" ca="1" si="6"/>
        <v/>
      </c>
      <c r="K97" s="4" t="str">
        <f t="shared" ca="1" si="7"/>
        <v/>
      </c>
      <c r="L97" s="4" t="str" cm="1">
        <f t="array" aca="1" ref="L97" ca="1">_xlfn.LET(_xlpm.link,IFERROR(INDEX(_xlfn.ANCHORARRAY($AA$11),ROW()-10,12),""),IF(_xlpm.link="","",HYPERLINK(_xlpm.link,"Bluecore/Attentive")))</f>
        <v/>
      </c>
      <c r="M97" s="60" t="str">
        <f t="shared" ca="1" si="8"/>
        <v/>
      </c>
      <c r="N97" s="7"/>
      <c r="O97" s="7"/>
      <c r="P97" s="7"/>
      <c r="Q97" s="7"/>
      <c r="R97" s="7"/>
      <c r="S97" s="6"/>
      <c r="T97" s="6"/>
      <c r="U97" s="6"/>
      <c r="V97" s="6"/>
      <c r="W97" s="6"/>
      <c r="X97" s="6"/>
      <c r="Y97" s="6"/>
      <c r="Z97" s="6"/>
      <c r="AA97"/>
      <c r="AB97"/>
      <c r="AC97"/>
      <c r="AD97"/>
      <c r="AE97"/>
      <c r="AF97"/>
      <c r="AG97"/>
      <c r="AH97"/>
      <c r="AI97"/>
      <c r="AJ97"/>
      <c r="AK97"/>
      <c r="AL97"/>
    </row>
    <row r="98" spans="1:38">
      <c r="A98" s="79" t="str" cm="1">
        <f t="array" aca="1" ref="A98" ca="1">IFERROR(INDEX(_xlfn.ANCHORARRAY($AA$11),ROW()-10,1),"")</f>
        <v/>
      </c>
      <c r="B98" s="81" t="str" cm="1">
        <f t="array" aca="1" ref="B98" ca="1">IFERROR(INDEX(_xlfn.ANCHORARRAY($AA$11),ROW()-10,2),"")</f>
        <v/>
      </c>
      <c r="C98" s="4" t="str" cm="1">
        <f t="array" aca="1" ref="C98" ca="1">IFERROR(INDEX(_xlfn.ANCHORARRAY($AA$11),ROW()-10,3),"")</f>
        <v/>
      </c>
      <c r="D98" s="13" t="str" cm="1">
        <f t="array" aca="1" ref="D98" ca="1">IFERROR(INDEX(_xlfn.ANCHORARRAY($AA$11),ROW()-10,4),"")</f>
        <v/>
      </c>
      <c r="E98" s="4" t="str" cm="1">
        <f t="array" aca="1" ref="E98" ca="1">IFERROR(INDEX(_xlfn.ANCHORARRAY($AA$11),ROW()-10,5),"")</f>
        <v/>
      </c>
      <c r="F98" s="13" t="str" cm="1">
        <f t="array" aca="1" ref="F98" ca="1">IFERROR(INDEX(_xlfn.ANCHORARRAY($AA$11),ROW()-10,6),"")</f>
        <v/>
      </c>
      <c r="G98" s="4" t="str" cm="1">
        <f t="array" aca="1" ref="G98" ca="1">IFERROR(INDEX(_xlfn.ANCHORARRAY($AA$11),ROW()-10,7),"")</f>
        <v/>
      </c>
      <c r="H98" s="4" t="str" cm="1">
        <f t="array" aca="1" ref="H98" ca="1">IFERROR(INDEX(_xlfn.ANCHORARRAY($AA$11),ROW()-10,8),"")</f>
        <v/>
      </c>
      <c r="I98" s="4" t="str" cm="1">
        <f t="array" aca="1" ref="I98" ca="1">IFERROR(INDEX(_xlfn.ANCHORARRAY($AA$11),ROW()-10,9),"")</f>
        <v/>
      </c>
      <c r="J98" s="4" t="str">
        <f t="shared" ca="1" si="6"/>
        <v/>
      </c>
      <c r="K98" s="4" t="str">
        <f t="shared" ca="1" si="7"/>
        <v/>
      </c>
      <c r="L98" s="4" t="str" cm="1">
        <f t="array" aca="1" ref="L98" ca="1">_xlfn.LET(_xlpm.link,IFERROR(INDEX(_xlfn.ANCHORARRAY($AA$11),ROW()-10,12),""),IF(_xlpm.link="","",HYPERLINK(_xlpm.link,"Bluecore/Attentive")))</f>
        <v/>
      </c>
      <c r="M98" s="61" t="str">
        <f t="shared" ca="1" si="8"/>
        <v/>
      </c>
      <c r="N98" s="7"/>
      <c r="O98" s="7"/>
      <c r="P98" s="7"/>
      <c r="Q98" s="7"/>
      <c r="R98" s="7"/>
      <c r="S98" s="6"/>
      <c r="T98" s="6"/>
      <c r="U98" s="6"/>
      <c r="V98" s="6"/>
      <c r="W98" s="6"/>
      <c r="X98" s="6"/>
      <c r="Y98" s="6"/>
      <c r="Z98" s="6"/>
      <c r="AA98"/>
      <c r="AB98"/>
      <c r="AC98"/>
      <c r="AD98"/>
      <c r="AE98"/>
      <c r="AF98"/>
      <c r="AG98"/>
      <c r="AH98"/>
      <c r="AI98"/>
      <c r="AJ98"/>
      <c r="AK98"/>
      <c r="AL98"/>
    </row>
    <row r="99" spans="1:38">
      <c r="A99" s="79" t="str" cm="1">
        <f t="array" aca="1" ref="A99" ca="1">IFERROR(INDEX(_xlfn.ANCHORARRAY($AA$11),ROW()-10,1),"")</f>
        <v/>
      </c>
      <c r="B99" s="81" t="str" cm="1">
        <f t="array" aca="1" ref="B99" ca="1">IFERROR(INDEX(_xlfn.ANCHORARRAY($AA$11),ROW()-10,2),"")</f>
        <v/>
      </c>
      <c r="C99" s="4" t="str" cm="1">
        <f t="array" aca="1" ref="C99" ca="1">IFERROR(INDEX(_xlfn.ANCHORARRAY($AA$11),ROW()-10,3),"")</f>
        <v/>
      </c>
      <c r="D99" s="13" t="str" cm="1">
        <f t="array" aca="1" ref="D99" ca="1">IFERROR(INDEX(_xlfn.ANCHORARRAY($AA$11),ROW()-10,4),"")</f>
        <v/>
      </c>
      <c r="E99" s="4" t="str" cm="1">
        <f t="array" aca="1" ref="E99" ca="1">IFERROR(INDEX(_xlfn.ANCHORARRAY($AA$11),ROW()-10,5),"")</f>
        <v/>
      </c>
      <c r="F99" s="13" t="str" cm="1">
        <f t="array" aca="1" ref="F99" ca="1">IFERROR(INDEX(_xlfn.ANCHORARRAY($AA$11),ROW()-10,6),"")</f>
        <v/>
      </c>
      <c r="G99" s="4" t="str" cm="1">
        <f t="array" aca="1" ref="G99" ca="1">IFERROR(INDEX(_xlfn.ANCHORARRAY($AA$11),ROW()-10,7),"")</f>
        <v/>
      </c>
      <c r="H99" s="4" t="str" cm="1">
        <f t="array" aca="1" ref="H99" ca="1">IFERROR(INDEX(_xlfn.ANCHORARRAY($AA$11),ROW()-10,8),"")</f>
        <v/>
      </c>
      <c r="I99" s="4" t="str" cm="1">
        <f t="array" aca="1" ref="I99" ca="1">IFERROR(INDEX(_xlfn.ANCHORARRAY($AA$11),ROW()-10,9),"")</f>
        <v/>
      </c>
      <c r="J99" s="4" t="str">
        <f t="shared" ca="1" si="6"/>
        <v/>
      </c>
      <c r="K99" s="4" t="str">
        <f t="shared" ca="1" si="7"/>
        <v/>
      </c>
      <c r="L99" s="4" t="str" cm="1">
        <f t="array" aca="1" ref="L99" ca="1">_xlfn.LET(_xlpm.link,IFERROR(INDEX(_xlfn.ANCHORARRAY($AA$11),ROW()-10,12),""),IF(_xlpm.link="","",HYPERLINK(_xlpm.link,"Bluecore/Attentive")))</f>
        <v/>
      </c>
      <c r="M99" s="60" t="str">
        <f t="shared" ca="1" si="8"/>
        <v/>
      </c>
      <c r="N99" s="7"/>
      <c r="O99" s="7"/>
      <c r="P99" s="7"/>
      <c r="Q99" s="7"/>
      <c r="R99" s="7"/>
      <c r="S99" s="6"/>
      <c r="T99" s="6"/>
      <c r="U99" s="6"/>
      <c r="V99" s="6"/>
      <c r="W99" s="6"/>
      <c r="X99" s="6"/>
      <c r="Y99" s="6"/>
      <c r="Z99" s="6"/>
      <c r="AA99"/>
      <c r="AB99"/>
      <c r="AC99"/>
      <c r="AD99"/>
      <c r="AE99"/>
      <c r="AF99"/>
      <c r="AG99"/>
      <c r="AH99"/>
      <c r="AI99"/>
      <c r="AJ99"/>
      <c r="AK99"/>
      <c r="AL99"/>
    </row>
    <row r="100" spans="1:38">
      <c r="A100" s="79" t="str" cm="1">
        <f t="array" aca="1" ref="A100" ca="1">IFERROR(INDEX(_xlfn.ANCHORARRAY($AA$11),ROW()-10,1),"")</f>
        <v/>
      </c>
      <c r="B100" s="81" t="str" cm="1">
        <f t="array" aca="1" ref="B100" ca="1">IFERROR(INDEX(_xlfn.ANCHORARRAY($AA$11),ROW()-10,2),"")</f>
        <v/>
      </c>
      <c r="C100" s="4" t="str" cm="1">
        <f t="array" aca="1" ref="C100" ca="1">IFERROR(INDEX(_xlfn.ANCHORARRAY($AA$11),ROW()-10,3),"")</f>
        <v/>
      </c>
      <c r="D100" s="13" t="str" cm="1">
        <f t="array" aca="1" ref="D100" ca="1">IFERROR(INDEX(_xlfn.ANCHORARRAY($AA$11),ROW()-10,4),"")</f>
        <v/>
      </c>
      <c r="E100" s="4" t="str" cm="1">
        <f t="array" aca="1" ref="E100" ca="1">IFERROR(INDEX(_xlfn.ANCHORARRAY($AA$11),ROW()-10,5),"")</f>
        <v/>
      </c>
      <c r="F100" s="13" t="str" cm="1">
        <f t="array" aca="1" ref="F100" ca="1">IFERROR(INDEX(_xlfn.ANCHORARRAY($AA$11),ROW()-10,6),"")</f>
        <v/>
      </c>
      <c r="G100" s="4" t="str" cm="1">
        <f t="array" aca="1" ref="G100" ca="1">IFERROR(INDEX(_xlfn.ANCHORARRAY($AA$11),ROW()-10,7),"")</f>
        <v/>
      </c>
      <c r="H100" s="4" t="str" cm="1">
        <f t="array" aca="1" ref="H100" ca="1">IFERROR(INDEX(_xlfn.ANCHORARRAY($AA$11),ROW()-10,8),"")</f>
        <v/>
      </c>
      <c r="I100" s="4" t="str" cm="1">
        <f t="array" aca="1" ref="I100" ca="1">IFERROR(INDEX(_xlfn.ANCHORARRAY($AA$11),ROW()-10,9),"")</f>
        <v/>
      </c>
      <c r="J100" s="4" t="str">
        <f t="shared" ca="1" si="6"/>
        <v/>
      </c>
      <c r="K100" s="4" t="str">
        <f t="shared" ca="1" si="7"/>
        <v/>
      </c>
      <c r="L100" s="4" t="str" cm="1">
        <f t="array" aca="1" ref="L100" ca="1">_xlfn.LET(_xlpm.link,IFERROR(INDEX(_xlfn.ANCHORARRAY($AA$11),ROW()-10,12),""),IF(_xlpm.link="","",HYPERLINK(_xlpm.link,"Bluecore/Attentive")))</f>
        <v/>
      </c>
      <c r="M100" s="61" t="str">
        <f t="shared" ca="1" si="8"/>
        <v/>
      </c>
      <c r="N100" s="7"/>
      <c r="O100" s="7"/>
      <c r="P100" s="7"/>
      <c r="Q100" s="7"/>
      <c r="R100" s="7"/>
      <c r="S100" s="6"/>
      <c r="T100" s="6"/>
      <c r="U100" s="6"/>
      <c r="V100" s="6"/>
      <c r="W100" s="6"/>
      <c r="X100" s="6"/>
      <c r="Y100" s="6"/>
      <c r="Z100" s="6"/>
      <c r="AA100"/>
      <c r="AB100"/>
      <c r="AC100"/>
      <c r="AD100"/>
      <c r="AE100"/>
      <c r="AF100"/>
      <c r="AG100"/>
      <c r="AH100"/>
      <c r="AI100"/>
      <c r="AJ100"/>
      <c r="AK100"/>
      <c r="AL100"/>
    </row>
    <row r="101" spans="1:38">
      <c r="A101" s="79" t="str" cm="1">
        <f t="array" aca="1" ref="A101" ca="1">IFERROR(INDEX(_xlfn.ANCHORARRAY($AA$11),ROW()-10,1),"")</f>
        <v/>
      </c>
      <c r="B101" s="81" t="str" cm="1">
        <f t="array" aca="1" ref="B101" ca="1">IFERROR(INDEX(_xlfn.ANCHORARRAY($AA$11),ROW()-10,2),"")</f>
        <v/>
      </c>
      <c r="C101" s="4" t="str" cm="1">
        <f t="array" aca="1" ref="C101" ca="1">IFERROR(INDEX(_xlfn.ANCHORARRAY($AA$11),ROW()-10,3),"")</f>
        <v/>
      </c>
      <c r="D101" s="13" t="str" cm="1">
        <f t="array" aca="1" ref="D101" ca="1">IFERROR(INDEX(_xlfn.ANCHORARRAY($AA$11),ROW()-10,4),"")</f>
        <v/>
      </c>
      <c r="E101" s="4" t="str" cm="1">
        <f t="array" aca="1" ref="E101" ca="1">IFERROR(INDEX(_xlfn.ANCHORARRAY($AA$11),ROW()-10,5),"")</f>
        <v/>
      </c>
      <c r="F101" s="13" t="str" cm="1">
        <f t="array" aca="1" ref="F101" ca="1">IFERROR(INDEX(_xlfn.ANCHORARRAY($AA$11),ROW()-10,6),"")</f>
        <v/>
      </c>
      <c r="G101" s="4" t="str" cm="1">
        <f t="array" aca="1" ref="G101" ca="1">IFERROR(INDEX(_xlfn.ANCHORARRAY($AA$11),ROW()-10,7),"")</f>
        <v/>
      </c>
      <c r="H101" s="4" t="str" cm="1">
        <f t="array" aca="1" ref="H101" ca="1">IFERROR(INDEX(_xlfn.ANCHORARRAY($AA$11),ROW()-10,8),"")</f>
        <v/>
      </c>
      <c r="I101" s="4" t="str" cm="1">
        <f t="array" aca="1" ref="I101" ca="1">IFERROR(INDEX(_xlfn.ANCHORARRAY($AA$11),ROW()-10,9),"")</f>
        <v/>
      </c>
      <c r="J101" s="4" t="str">
        <f t="shared" ca="1" si="6"/>
        <v/>
      </c>
      <c r="K101" s="4" t="str">
        <f t="shared" ca="1" si="7"/>
        <v/>
      </c>
      <c r="L101" s="4" t="str" cm="1">
        <f t="array" aca="1" ref="L101" ca="1">_xlfn.LET(_xlpm.link,IFERROR(INDEX(_xlfn.ANCHORARRAY($AA$11),ROW()-10,12),""),IF(_xlpm.link="","",HYPERLINK(_xlpm.link,"Bluecore/Attentive")))</f>
        <v/>
      </c>
      <c r="M101" s="60" t="str">
        <f t="shared" ca="1" si="8"/>
        <v/>
      </c>
      <c r="N101" s="7"/>
      <c r="O101" s="7"/>
      <c r="P101" s="7"/>
      <c r="Q101" s="7"/>
      <c r="R101" s="7"/>
      <c r="S101" s="6"/>
      <c r="T101" s="6"/>
      <c r="U101" s="6"/>
      <c r="V101" s="6"/>
      <c r="W101" s="6"/>
      <c r="X101" s="6"/>
      <c r="Y101" s="6"/>
      <c r="Z101" s="6"/>
      <c r="AA101"/>
      <c r="AB101"/>
      <c r="AC101"/>
      <c r="AD101"/>
      <c r="AE101"/>
      <c r="AF101"/>
      <c r="AG101"/>
      <c r="AH101"/>
      <c r="AI101"/>
      <c r="AJ101"/>
      <c r="AK101"/>
      <c r="AL101"/>
    </row>
    <row r="102" spans="1:38">
      <c r="A102" s="79" t="str" cm="1">
        <f t="array" aca="1" ref="A102" ca="1">IFERROR(INDEX(_xlfn.ANCHORARRAY($AA$11),ROW()-10,1),"")</f>
        <v/>
      </c>
      <c r="B102" s="81" t="str" cm="1">
        <f t="array" aca="1" ref="B102" ca="1">IFERROR(INDEX(_xlfn.ANCHORARRAY($AA$11),ROW()-10,2),"")</f>
        <v/>
      </c>
      <c r="C102" s="4" t="str" cm="1">
        <f t="array" aca="1" ref="C102" ca="1">IFERROR(INDEX(_xlfn.ANCHORARRAY($AA$11),ROW()-10,3),"")</f>
        <v/>
      </c>
      <c r="D102" s="13" t="str" cm="1">
        <f t="array" aca="1" ref="D102" ca="1">IFERROR(INDEX(_xlfn.ANCHORARRAY($AA$11),ROW()-10,4),"")</f>
        <v/>
      </c>
      <c r="E102" s="4" t="str" cm="1">
        <f t="array" aca="1" ref="E102" ca="1">IFERROR(INDEX(_xlfn.ANCHORARRAY($AA$11),ROW()-10,5),"")</f>
        <v/>
      </c>
      <c r="F102" s="13" t="str" cm="1">
        <f t="array" aca="1" ref="F102" ca="1">IFERROR(INDEX(_xlfn.ANCHORARRAY($AA$11),ROW()-10,6),"")</f>
        <v/>
      </c>
      <c r="G102" s="4" t="str" cm="1">
        <f t="array" aca="1" ref="G102" ca="1">IFERROR(INDEX(_xlfn.ANCHORARRAY($AA$11),ROW()-10,7),"")</f>
        <v/>
      </c>
      <c r="H102" s="4" t="str" cm="1">
        <f t="array" aca="1" ref="H102" ca="1">IFERROR(INDEX(_xlfn.ANCHORARRAY($AA$11),ROW()-10,8),"")</f>
        <v/>
      </c>
      <c r="I102" s="4" t="str" cm="1">
        <f t="array" aca="1" ref="I102" ca="1">IFERROR(INDEX(_xlfn.ANCHORARRAY($AA$11),ROW()-10,9),"")</f>
        <v/>
      </c>
      <c r="J102" s="4" t="str">
        <f t="shared" ca="1" si="6"/>
        <v/>
      </c>
      <c r="K102" s="4" t="str">
        <f t="shared" ca="1" si="7"/>
        <v/>
      </c>
      <c r="L102" s="4" t="str" cm="1">
        <f t="array" aca="1" ref="L102" ca="1">_xlfn.LET(_xlpm.link,IFERROR(INDEX(_xlfn.ANCHORARRAY($AA$11),ROW()-10,12),""),IF(_xlpm.link="","",HYPERLINK(_xlpm.link,"Bluecore/Attentive")))</f>
        <v/>
      </c>
      <c r="M102" s="61" t="str">
        <f t="shared" ca="1" si="8"/>
        <v/>
      </c>
      <c r="N102" s="7"/>
      <c r="O102" s="7"/>
      <c r="P102" s="7"/>
      <c r="Q102" s="7"/>
      <c r="R102" s="7"/>
      <c r="S102" s="6"/>
      <c r="T102" s="6"/>
      <c r="U102" s="6"/>
      <c r="V102" s="6"/>
      <c r="W102" s="6"/>
      <c r="X102" s="6"/>
      <c r="Y102" s="6"/>
      <c r="Z102" s="6"/>
      <c r="AA102"/>
      <c r="AB102"/>
      <c r="AC102"/>
      <c r="AD102"/>
      <c r="AE102"/>
      <c r="AF102"/>
      <c r="AG102"/>
      <c r="AH102"/>
      <c r="AI102"/>
      <c r="AJ102"/>
      <c r="AK102"/>
      <c r="AL102"/>
    </row>
    <row r="103" spans="1:38">
      <c r="A103" s="79" t="str" cm="1">
        <f t="array" aca="1" ref="A103" ca="1">IFERROR(INDEX(_xlfn.ANCHORARRAY($AA$11),ROW()-10,1),"")</f>
        <v/>
      </c>
      <c r="B103" s="81" t="str" cm="1">
        <f t="array" aca="1" ref="B103" ca="1">IFERROR(INDEX(_xlfn.ANCHORARRAY($AA$11),ROW()-10,2),"")</f>
        <v/>
      </c>
      <c r="C103" s="4" t="str" cm="1">
        <f t="array" aca="1" ref="C103" ca="1">IFERROR(INDEX(_xlfn.ANCHORARRAY($AA$11),ROW()-10,3),"")</f>
        <v/>
      </c>
      <c r="D103" s="13" t="str" cm="1">
        <f t="array" aca="1" ref="D103" ca="1">IFERROR(INDEX(_xlfn.ANCHORARRAY($AA$11),ROW()-10,4),"")</f>
        <v/>
      </c>
      <c r="E103" s="4" t="str" cm="1">
        <f t="array" aca="1" ref="E103" ca="1">IFERROR(INDEX(_xlfn.ANCHORARRAY($AA$11),ROW()-10,5),"")</f>
        <v/>
      </c>
      <c r="F103" s="13" t="str" cm="1">
        <f t="array" aca="1" ref="F103" ca="1">IFERROR(INDEX(_xlfn.ANCHORARRAY($AA$11),ROW()-10,6),"")</f>
        <v/>
      </c>
      <c r="G103" s="4" t="str" cm="1">
        <f t="array" aca="1" ref="G103" ca="1">IFERROR(INDEX(_xlfn.ANCHORARRAY($AA$11),ROW()-10,7),"")</f>
        <v/>
      </c>
      <c r="H103" s="4" t="str" cm="1">
        <f t="array" aca="1" ref="H103" ca="1">IFERROR(INDEX(_xlfn.ANCHORARRAY($AA$11),ROW()-10,8),"")</f>
        <v/>
      </c>
      <c r="I103" s="4" t="str" cm="1">
        <f t="array" aca="1" ref="I103" ca="1">IFERROR(INDEX(_xlfn.ANCHORARRAY($AA$11),ROW()-10,9),"")</f>
        <v/>
      </c>
      <c r="J103" s="4" t="str">
        <f t="shared" ca="1" si="6"/>
        <v/>
      </c>
      <c r="K103" s="4" t="str">
        <f t="shared" ca="1" si="7"/>
        <v/>
      </c>
      <c r="L103" s="4" t="str" cm="1">
        <f t="array" aca="1" ref="L103" ca="1">_xlfn.LET(_xlpm.link,IFERROR(INDEX(_xlfn.ANCHORARRAY($AA$11),ROW()-10,12),""),IF(_xlpm.link="","",HYPERLINK(_xlpm.link,"Bluecore/Attentive")))</f>
        <v/>
      </c>
      <c r="M103" s="60" t="str">
        <f t="shared" ca="1" si="8"/>
        <v/>
      </c>
      <c r="N103" s="7"/>
      <c r="O103" s="7"/>
      <c r="P103" s="7"/>
      <c r="Q103" s="7"/>
      <c r="R103" s="7"/>
      <c r="S103" s="6"/>
      <c r="T103" s="6"/>
      <c r="U103" s="6"/>
      <c r="V103" s="6"/>
      <c r="W103" s="6"/>
      <c r="X103" s="6"/>
      <c r="Y103" s="6"/>
      <c r="Z103" s="6"/>
      <c r="AA103"/>
      <c r="AB103"/>
      <c r="AC103"/>
      <c r="AD103"/>
      <c r="AE103"/>
      <c r="AF103"/>
      <c r="AG103"/>
      <c r="AH103"/>
      <c r="AI103"/>
      <c r="AJ103"/>
      <c r="AK103"/>
      <c r="AL103"/>
    </row>
    <row r="104" spans="1:38">
      <c r="A104" s="79" t="str" cm="1">
        <f t="array" aca="1" ref="A104" ca="1">IFERROR(INDEX(_xlfn.ANCHORARRAY($AA$11),ROW()-10,1),"")</f>
        <v/>
      </c>
      <c r="B104" s="81" t="str" cm="1">
        <f t="array" aca="1" ref="B104" ca="1">IFERROR(INDEX(_xlfn.ANCHORARRAY($AA$11),ROW()-10,2),"")</f>
        <v/>
      </c>
      <c r="C104" s="4" t="str" cm="1">
        <f t="array" aca="1" ref="C104" ca="1">IFERROR(INDEX(_xlfn.ANCHORARRAY($AA$11),ROW()-10,3),"")</f>
        <v/>
      </c>
      <c r="D104" s="13" t="str" cm="1">
        <f t="array" aca="1" ref="D104" ca="1">IFERROR(INDEX(_xlfn.ANCHORARRAY($AA$11),ROW()-10,4),"")</f>
        <v/>
      </c>
      <c r="E104" s="4" t="str" cm="1">
        <f t="array" aca="1" ref="E104" ca="1">IFERROR(INDEX(_xlfn.ANCHORARRAY($AA$11),ROW()-10,5),"")</f>
        <v/>
      </c>
      <c r="F104" s="13" t="str" cm="1">
        <f t="array" aca="1" ref="F104" ca="1">IFERROR(INDEX(_xlfn.ANCHORARRAY($AA$11),ROW()-10,6),"")</f>
        <v/>
      </c>
      <c r="G104" s="4" t="str" cm="1">
        <f t="array" aca="1" ref="G104" ca="1">IFERROR(INDEX(_xlfn.ANCHORARRAY($AA$11),ROW()-10,7),"")</f>
        <v/>
      </c>
      <c r="H104" s="4" t="str" cm="1">
        <f t="array" aca="1" ref="H104" ca="1">IFERROR(INDEX(_xlfn.ANCHORARRAY($AA$11),ROW()-10,8),"")</f>
        <v/>
      </c>
      <c r="I104" s="4" t="str" cm="1">
        <f t="array" aca="1" ref="I104" ca="1">IFERROR(INDEX(_xlfn.ANCHORARRAY($AA$11),ROW()-10,9),"")</f>
        <v/>
      </c>
      <c r="J104" s="4" t="str">
        <f t="shared" ca="1" si="6"/>
        <v/>
      </c>
      <c r="K104" s="4" t="str">
        <f t="shared" ca="1" si="7"/>
        <v/>
      </c>
      <c r="L104" s="4" t="str" cm="1">
        <f t="array" aca="1" ref="L104" ca="1">_xlfn.LET(_xlpm.link,IFERROR(INDEX(_xlfn.ANCHORARRAY($AA$11),ROW()-10,12),""),IF(_xlpm.link="","",HYPERLINK(_xlpm.link,"Bluecore/Attentive")))</f>
        <v/>
      </c>
      <c r="M104" s="61" t="str">
        <f t="shared" ca="1" si="8"/>
        <v/>
      </c>
      <c r="N104" s="7"/>
      <c r="O104" s="7"/>
      <c r="P104" s="7"/>
      <c r="Q104" s="7"/>
      <c r="R104" s="7"/>
      <c r="S104" s="6"/>
      <c r="T104" s="6"/>
      <c r="U104" s="6"/>
      <c r="V104" s="6"/>
      <c r="W104" s="6"/>
      <c r="X104" s="6"/>
      <c r="Y104" s="6"/>
      <c r="Z104" s="6"/>
      <c r="AA104"/>
      <c r="AB104"/>
      <c r="AC104"/>
      <c r="AD104"/>
      <c r="AE104"/>
      <c r="AF104"/>
      <c r="AG104"/>
      <c r="AH104"/>
      <c r="AI104"/>
      <c r="AJ104"/>
      <c r="AK104"/>
      <c r="AL104"/>
    </row>
    <row r="105" spans="1:38">
      <c r="A105" s="79" t="str" cm="1">
        <f t="array" aca="1" ref="A105" ca="1">IFERROR(INDEX(_xlfn.ANCHORARRAY($AA$11),ROW()-10,1),"")</f>
        <v/>
      </c>
      <c r="B105" s="81" t="str" cm="1">
        <f t="array" aca="1" ref="B105" ca="1">IFERROR(INDEX(_xlfn.ANCHORARRAY($AA$11),ROW()-10,2),"")</f>
        <v/>
      </c>
      <c r="C105" s="4" t="str" cm="1">
        <f t="array" aca="1" ref="C105" ca="1">IFERROR(INDEX(_xlfn.ANCHORARRAY($AA$11),ROW()-10,3),"")</f>
        <v/>
      </c>
      <c r="D105" s="13" t="str" cm="1">
        <f t="array" aca="1" ref="D105" ca="1">IFERROR(INDEX(_xlfn.ANCHORARRAY($AA$11),ROW()-10,4),"")</f>
        <v/>
      </c>
      <c r="E105" s="4" t="str" cm="1">
        <f t="array" aca="1" ref="E105" ca="1">IFERROR(INDEX(_xlfn.ANCHORARRAY($AA$11),ROW()-10,5),"")</f>
        <v/>
      </c>
      <c r="F105" s="13" t="str" cm="1">
        <f t="array" aca="1" ref="F105" ca="1">IFERROR(INDEX(_xlfn.ANCHORARRAY($AA$11),ROW()-10,6),"")</f>
        <v/>
      </c>
      <c r="G105" s="4" t="str" cm="1">
        <f t="array" aca="1" ref="G105" ca="1">IFERROR(INDEX(_xlfn.ANCHORARRAY($AA$11),ROW()-10,7),"")</f>
        <v/>
      </c>
      <c r="H105" s="4" t="str" cm="1">
        <f t="array" aca="1" ref="H105" ca="1">IFERROR(INDEX(_xlfn.ANCHORARRAY($AA$11),ROW()-10,8),"")</f>
        <v/>
      </c>
      <c r="I105" s="4" t="str" cm="1">
        <f t="array" aca="1" ref="I105" ca="1">IFERROR(INDEX(_xlfn.ANCHORARRAY($AA$11),ROW()-10,9),"")</f>
        <v/>
      </c>
      <c r="J105" s="4" t="str">
        <f t="shared" ca="1" si="6"/>
        <v/>
      </c>
      <c r="K105" s="4" t="str">
        <f t="shared" ca="1" si="7"/>
        <v/>
      </c>
      <c r="L105" s="4" t="str" cm="1">
        <f t="array" aca="1" ref="L105" ca="1">_xlfn.LET(_xlpm.link,IFERROR(INDEX(_xlfn.ANCHORARRAY($AA$11),ROW()-10,12),""),IF(_xlpm.link="","",HYPERLINK(_xlpm.link,"Bluecore/Attentive")))</f>
        <v/>
      </c>
      <c r="M105" s="60" t="str">
        <f t="shared" ca="1" si="8"/>
        <v/>
      </c>
      <c r="N105" s="7"/>
      <c r="O105" s="7"/>
      <c r="P105" s="7"/>
      <c r="Q105" s="7"/>
      <c r="R105" s="7"/>
      <c r="S105" s="6"/>
      <c r="T105" s="6"/>
      <c r="U105" s="6"/>
      <c r="V105" s="6"/>
      <c r="W105" s="6"/>
      <c r="X105" s="6"/>
      <c r="Y105" s="6"/>
      <c r="Z105" s="6"/>
      <c r="AA105"/>
      <c r="AB105"/>
      <c r="AC105"/>
      <c r="AD105"/>
      <c r="AE105"/>
      <c r="AF105"/>
      <c r="AG105"/>
      <c r="AH105"/>
      <c r="AI105"/>
      <c r="AJ105"/>
      <c r="AK105"/>
      <c r="AL105"/>
    </row>
    <row r="106" spans="1:38">
      <c r="A106" s="79" t="str" cm="1">
        <f t="array" aca="1" ref="A106" ca="1">IFERROR(INDEX(_xlfn.ANCHORARRAY($AA$11),ROW()-10,1),"")</f>
        <v/>
      </c>
      <c r="B106" s="81" t="str" cm="1">
        <f t="array" aca="1" ref="B106" ca="1">IFERROR(INDEX(_xlfn.ANCHORARRAY($AA$11),ROW()-10,2),"")</f>
        <v/>
      </c>
      <c r="C106" s="4" t="str" cm="1">
        <f t="array" aca="1" ref="C106" ca="1">IFERROR(INDEX(_xlfn.ANCHORARRAY($AA$11),ROW()-10,3),"")</f>
        <v/>
      </c>
      <c r="D106" s="13" t="str" cm="1">
        <f t="array" aca="1" ref="D106" ca="1">IFERROR(INDEX(_xlfn.ANCHORARRAY($AA$11),ROW()-10,4),"")</f>
        <v/>
      </c>
      <c r="E106" s="4" t="str" cm="1">
        <f t="array" aca="1" ref="E106" ca="1">IFERROR(INDEX(_xlfn.ANCHORARRAY($AA$11),ROW()-10,5),"")</f>
        <v/>
      </c>
      <c r="F106" s="13" t="str" cm="1">
        <f t="array" aca="1" ref="F106" ca="1">IFERROR(INDEX(_xlfn.ANCHORARRAY($AA$11),ROW()-10,6),"")</f>
        <v/>
      </c>
      <c r="G106" s="4" t="str" cm="1">
        <f t="array" aca="1" ref="G106" ca="1">IFERROR(INDEX(_xlfn.ANCHORARRAY($AA$11),ROW()-10,7),"")</f>
        <v/>
      </c>
      <c r="H106" s="4" t="str" cm="1">
        <f t="array" aca="1" ref="H106" ca="1">IFERROR(INDEX(_xlfn.ANCHORARRAY($AA$11),ROW()-10,8),"")</f>
        <v/>
      </c>
      <c r="I106" s="4" t="str" cm="1">
        <f t="array" aca="1" ref="I106" ca="1">IFERROR(INDEX(_xlfn.ANCHORARRAY($AA$11),ROW()-10,9),"")</f>
        <v/>
      </c>
      <c r="J106" s="4" t="str">
        <f t="shared" ca="1" si="6"/>
        <v/>
      </c>
      <c r="K106" s="4" t="str">
        <f t="shared" ca="1" si="7"/>
        <v/>
      </c>
      <c r="L106" s="4" t="str" cm="1">
        <f t="array" aca="1" ref="L106" ca="1">_xlfn.LET(_xlpm.link,IFERROR(INDEX(_xlfn.ANCHORARRAY($AA$11),ROW()-10,12),""),IF(_xlpm.link="","",HYPERLINK(_xlpm.link,"Bluecore/Attentive")))</f>
        <v/>
      </c>
      <c r="M106" s="61" t="str">
        <f t="shared" ca="1" si="8"/>
        <v/>
      </c>
      <c r="N106" s="7"/>
      <c r="O106" s="7"/>
      <c r="P106" s="7"/>
      <c r="Q106" s="7"/>
      <c r="R106" s="7"/>
      <c r="S106" s="6"/>
      <c r="T106" s="6"/>
      <c r="U106" s="6"/>
      <c r="V106" s="6"/>
      <c r="W106" s="6"/>
      <c r="X106" s="6"/>
      <c r="Y106" s="6"/>
      <c r="Z106" s="6"/>
      <c r="AA106"/>
      <c r="AB106"/>
      <c r="AC106"/>
      <c r="AD106"/>
      <c r="AE106"/>
      <c r="AF106"/>
      <c r="AG106"/>
      <c r="AH106"/>
      <c r="AI106"/>
      <c r="AJ106"/>
      <c r="AK106"/>
      <c r="AL106"/>
    </row>
    <row r="107" spans="1:38">
      <c r="A107" s="79" t="str" cm="1">
        <f t="array" aca="1" ref="A107" ca="1">IFERROR(INDEX(_xlfn.ANCHORARRAY($AA$11),ROW()-10,1),"")</f>
        <v/>
      </c>
      <c r="B107" s="81" t="str" cm="1">
        <f t="array" aca="1" ref="B107" ca="1">IFERROR(INDEX(_xlfn.ANCHORARRAY($AA$11),ROW()-10,2),"")</f>
        <v/>
      </c>
      <c r="C107" s="4" t="str" cm="1">
        <f t="array" aca="1" ref="C107" ca="1">IFERROR(INDEX(_xlfn.ANCHORARRAY($AA$11),ROW()-10,3),"")</f>
        <v/>
      </c>
      <c r="D107" s="13" t="str" cm="1">
        <f t="array" aca="1" ref="D107" ca="1">IFERROR(INDEX(_xlfn.ANCHORARRAY($AA$11),ROW()-10,4),"")</f>
        <v/>
      </c>
      <c r="E107" s="4" t="str" cm="1">
        <f t="array" aca="1" ref="E107" ca="1">IFERROR(INDEX(_xlfn.ANCHORARRAY($AA$11),ROW()-10,5),"")</f>
        <v/>
      </c>
      <c r="F107" s="13" t="str" cm="1">
        <f t="array" aca="1" ref="F107" ca="1">IFERROR(INDEX(_xlfn.ANCHORARRAY($AA$11),ROW()-10,6),"")</f>
        <v/>
      </c>
      <c r="G107" s="4" t="str" cm="1">
        <f t="array" aca="1" ref="G107" ca="1">IFERROR(INDEX(_xlfn.ANCHORARRAY($AA$11),ROW()-10,7),"")</f>
        <v/>
      </c>
      <c r="H107" s="4" t="str" cm="1">
        <f t="array" aca="1" ref="H107" ca="1">IFERROR(INDEX(_xlfn.ANCHORARRAY($AA$11),ROW()-10,8),"")</f>
        <v/>
      </c>
      <c r="I107" s="4" t="str" cm="1">
        <f t="array" aca="1" ref="I107" ca="1">IFERROR(INDEX(_xlfn.ANCHORARRAY($AA$11),ROW()-10,9),"")</f>
        <v/>
      </c>
      <c r="J107" s="4" t="str">
        <f t="shared" ref="J107:J138" ca="1" si="9">_xlfn.LET(_xlpm.ch,IFERROR(INDEX(_xlfn.ANCHORARRAY($AA$11),ROW()-10,3),""),_xlpm.link,IFERROR(INDEX(_xlfn.ANCHORARRAY($AA$11),ROW()-10,10),""),IF(OR(_xlpm.link="",_xlpm.ch="SMS"),"",HYPERLINK(_xlpm.link,"JIRA")))</f>
        <v/>
      </c>
      <c r="K107" s="4" t="str">
        <f t="shared" ref="K107:K138" ca="1" si="10">_xlfn.LET(_xlpm.ch,IFERROR(INDEX(_xlfn.ANCHORARRAY($AA$11),ROW()-10,3),""),_xlpm.link,IFERROR(INDEX(_xlfn.ANCHORARRAY($AA$11),ROW()-10,11),""),IF(OR(_xlpm.link="",_xlpm.ch="SMS"),"",HYPERLINK(_xlpm.link,"ClickUp")))</f>
        <v/>
      </c>
      <c r="L107" s="4" t="str" cm="1">
        <f t="array" aca="1" ref="L107" ca="1">_xlfn.LET(_xlpm.link,IFERROR(INDEX(_xlfn.ANCHORARRAY($AA$11),ROW()-10,12),""),IF(_xlpm.link="","",HYPERLINK(_xlpm.link,"Bluecore/Attentive")))</f>
        <v/>
      </c>
      <c r="M107" s="60" t="str">
        <f t="shared" ref="M107:M138" ca="1" si="11">_xlfn.LET(_xlpm.sendDate,$A107,_xlpm.camp,$D107&amp;"",_xlpm.code,LEFT(_xlpm.camp,6),_xlpm.parsed,IFERROR(DATE(2000+VALUE(MID(_xlpm.code,5,2)),VALUE(LEFT(_xlpm.code,2)),VALUE(MID(_xlpm.code,3,2))),""),_xlpm.useDate,IF(_xlpm.parsed="",IF(ISNUMBER(_xlpm.sendDate),INT(_xlpm.sendDate),""),_xlpm.parsed),IF(_xlpm.useDate="","","Week "&amp;WEEKNUM(_xlpm.useDate,1)))</f>
        <v/>
      </c>
      <c r="N107" s="7"/>
      <c r="O107" s="7"/>
      <c r="P107" s="7"/>
      <c r="Q107" s="7"/>
      <c r="R107" s="7"/>
      <c r="S107" s="6"/>
      <c r="T107" s="6"/>
      <c r="U107" s="6"/>
      <c r="V107" s="6"/>
      <c r="W107" s="6"/>
      <c r="X107" s="6"/>
      <c r="Y107" s="6"/>
      <c r="Z107" s="6"/>
      <c r="AA107"/>
      <c r="AB107"/>
      <c r="AC107"/>
      <c r="AD107"/>
      <c r="AE107"/>
      <c r="AF107"/>
      <c r="AG107"/>
      <c r="AH107"/>
      <c r="AI107"/>
      <c r="AJ107"/>
      <c r="AK107"/>
      <c r="AL107"/>
    </row>
    <row r="108" spans="1:38">
      <c r="A108" s="79" t="str" cm="1">
        <f t="array" aca="1" ref="A108" ca="1">IFERROR(INDEX(_xlfn.ANCHORARRAY($AA$11),ROW()-10,1),"")</f>
        <v/>
      </c>
      <c r="B108" s="81" t="str" cm="1">
        <f t="array" aca="1" ref="B108" ca="1">IFERROR(INDEX(_xlfn.ANCHORARRAY($AA$11),ROW()-10,2),"")</f>
        <v/>
      </c>
      <c r="C108" s="4" t="str" cm="1">
        <f t="array" aca="1" ref="C108" ca="1">IFERROR(INDEX(_xlfn.ANCHORARRAY($AA$11),ROW()-10,3),"")</f>
        <v/>
      </c>
      <c r="D108" s="13" t="str" cm="1">
        <f t="array" aca="1" ref="D108" ca="1">IFERROR(INDEX(_xlfn.ANCHORARRAY($AA$11),ROW()-10,4),"")</f>
        <v/>
      </c>
      <c r="E108" s="4" t="str" cm="1">
        <f t="array" aca="1" ref="E108" ca="1">IFERROR(INDEX(_xlfn.ANCHORARRAY($AA$11),ROW()-10,5),"")</f>
        <v/>
      </c>
      <c r="F108" s="13" t="str" cm="1">
        <f t="array" aca="1" ref="F108" ca="1">IFERROR(INDEX(_xlfn.ANCHORARRAY($AA$11),ROW()-10,6),"")</f>
        <v/>
      </c>
      <c r="G108" s="4" t="str" cm="1">
        <f t="array" aca="1" ref="G108" ca="1">IFERROR(INDEX(_xlfn.ANCHORARRAY($AA$11),ROW()-10,7),"")</f>
        <v/>
      </c>
      <c r="H108" s="4" t="str" cm="1">
        <f t="array" aca="1" ref="H108" ca="1">IFERROR(INDEX(_xlfn.ANCHORARRAY($AA$11),ROW()-10,8),"")</f>
        <v/>
      </c>
      <c r="I108" s="4" t="str" cm="1">
        <f t="array" aca="1" ref="I108" ca="1">IFERROR(INDEX(_xlfn.ANCHORARRAY($AA$11),ROW()-10,9),"")</f>
        <v/>
      </c>
      <c r="J108" s="4" t="str">
        <f t="shared" ca="1" si="9"/>
        <v/>
      </c>
      <c r="K108" s="4" t="str">
        <f t="shared" ca="1" si="10"/>
        <v/>
      </c>
      <c r="L108" s="4" t="str" cm="1">
        <f t="array" aca="1" ref="L108" ca="1">_xlfn.LET(_xlpm.link,IFERROR(INDEX(_xlfn.ANCHORARRAY($AA$11),ROW()-10,12),""),IF(_xlpm.link="","",HYPERLINK(_xlpm.link,"Bluecore/Attentive")))</f>
        <v/>
      </c>
      <c r="M108" s="61" t="str">
        <f t="shared" ca="1" si="11"/>
        <v/>
      </c>
      <c r="N108" s="7"/>
      <c r="O108" s="7"/>
      <c r="P108" s="7"/>
      <c r="Q108" s="7"/>
      <c r="R108" s="7"/>
      <c r="S108" s="6"/>
      <c r="T108" s="6"/>
      <c r="U108" s="6"/>
      <c r="V108" s="6"/>
      <c r="W108" s="6"/>
      <c r="X108" s="6"/>
      <c r="Y108" s="6"/>
      <c r="Z108" s="6"/>
      <c r="AA108"/>
      <c r="AB108"/>
      <c r="AC108"/>
      <c r="AD108"/>
      <c r="AE108"/>
      <c r="AF108"/>
      <c r="AG108"/>
      <c r="AH108"/>
      <c r="AI108"/>
      <c r="AJ108"/>
      <c r="AK108"/>
      <c r="AL108"/>
    </row>
    <row r="109" spans="1:38">
      <c r="A109" s="79" t="str" cm="1">
        <f t="array" aca="1" ref="A109" ca="1">IFERROR(INDEX(_xlfn.ANCHORARRAY($AA$11),ROW()-10,1),"")</f>
        <v/>
      </c>
      <c r="B109" s="81" t="str" cm="1">
        <f t="array" aca="1" ref="B109" ca="1">IFERROR(INDEX(_xlfn.ANCHORARRAY($AA$11),ROW()-10,2),"")</f>
        <v/>
      </c>
      <c r="C109" s="4" t="str" cm="1">
        <f t="array" aca="1" ref="C109" ca="1">IFERROR(INDEX(_xlfn.ANCHORARRAY($AA$11),ROW()-10,3),"")</f>
        <v/>
      </c>
      <c r="D109" s="13" t="str" cm="1">
        <f t="array" aca="1" ref="D109" ca="1">IFERROR(INDEX(_xlfn.ANCHORARRAY($AA$11),ROW()-10,4),"")</f>
        <v/>
      </c>
      <c r="E109" s="4" t="str" cm="1">
        <f t="array" aca="1" ref="E109" ca="1">IFERROR(INDEX(_xlfn.ANCHORARRAY($AA$11),ROW()-10,5),"")</f>
        <v/>
      </c>
      <c r="F109" s="13" t="str" cm="1">
        <f t="array" aca="1" ref="F109" ca="1">IFERROR(INDEX(_xlfn.ANCHORARRAY($AA$11),ROW()-10,6),"")</f>
        <v/>
      </c>
      <c r="G109" s="4" t="str" cm="1">
        <f t="array" aca="1" ref="G109" ca="1">IFERROR(INDEX(_xlfn.ANCHORARRAY($AA$11),ROW()-10,7),"")</f>
        <v/>
      </c>
      <c r="H109" s="4" t="str" cm="1">
        <f t="array" aca="1" ref="H109" ca="1">IFERROR(INDEX(_xlfn.ANCHORARRAY($AA$11),ROW()-10,8),"")</f>
        <v/>
      </c>
      <c r="I109" s="4" t="str" cm="1">
        <f t="array" aca="1" ref="I109" ca="1">IFERROR(INDEX(_xlfn.ANCHORARRAY($AA$11),ROW()-10,9),"")</f>
        <v/>
      </c>
      <c r="J109" s="4" t="str">
        <f t="shared" ca="1" si="9"/>
        <v/>
      </c>
      <c r="K109" s="4" t="str">
        <f t="shared" ca="1" si="10"/>
        <v/>
      </c>
      <c r="L109" s="4" t="str" cm="1">
        <f t="array" aca="1" ref="L109" ca="1">_xlfn.LET(_xlpm.link,IFERROR(INDEX(_xlfn.ANCHORARRAY($AA$11),ROW()-10,12),""),IF(_xlpm.link="","",HYPERLINK(_xlpm.link,"Bluecore/Attentive")))</f>
        <v/>
      </c>
      <c r="M109" s="60" t="str">
        <f t="shared" ca="1" si="11"/>
        <v/>
      </c>
      <c r="N109" s="7"/>
      <c r="O109" s="7"/>
      <c r="P109" s="7"/>
      <c r="Q109" s="7"/>
      <c r="R109" s="7"/>
      <c r="S109" s="6"/>
      <c r="T109" s="6"/>
      <c r="U109" s="6"/>
      <c r="V109" s="6"/>
      <c r="W109" s="6"/>
      <c r="X109" s="6"/>
      <c r="Y109" s="6"/>
      <c r="Z109" s="6"/>
      <c r="AA109"/>
      <c r="AB109"/>
      <c r="AC109"/>
      <c r="AD109"/>
      <c r="AE109"/>
      <c r="AF109"/>
      <c r="AG109"/>
      <c r="AH109"/>
      <c r="AI109"/>
      <c r="AJ109"/>
      <c r="AK109"/>
      <c r="AL109"/>
    </row>
    <row r="110" spans="1:38">
      <c r="A110" s="79" t="str" cm="1">
        <f t="array" aca="1" ref="A110" ca="1">IFERROR(INDEX(_xlfn.ANCHORARRAY($AA$11),ROW()-10,1),"")</f>
        <v/>
      </c>
      <c r="B110" s="81" t="str" cm="1">
        <f t="array" aca="1" ref="B110" ca="1">IFERROR(INDEX(_xlfn.ANCHORARRAY($AA$11),ROW()-10,2),"")</f>
        <v/>
      </c>
      <c r="C110" s="4" t="str" cm="1">
        <f t="array" aca="1" ref="C110" ca="1">IFERROR(INDEX(_xlfn.ANCHORARRAY($AA$11),ROW()-10,3),"")</f>
        <v/>
      </c>
      <c r="D110" s="13" t="str" cm="1">
        <f t="array" aca="1" ref="D110" ca="1">IFERROR(INDEX(_xlfn.ANCHORARRAY($AA$11),ROW()-10,4),"")</f>
        <v/>
      </c>
      <c r="E110" s="4" t="str" cm="1">
        <f t="array" aca="1" ref="E110" ca="1">IFERROR(INDEX(_xlfn.ANCHORARRAY($AA$11),ROW()-10,5),"")</f>
        <v/>
      </c>
      <c r="F110" s="13" t="str" cm="1">
        <f t="array" aca="1" ref="F110" ca="1">IFERROR(INDEX(_xlfn.ANCHORARRAY($AA$11),ROW()-10,6),"")</f>
        <v/>
      </c>
      <c r="G110" s="4" t="str" cm="1">
        <f t="array" aca="1" ref="G110" ca="1">IFERROR(INDEX(_xlfn.ANCHORARRAY($AA$11),ROW()-10,7),"")</f>
        <v/>
      </c>
      <c r="H110" s="4" t="str" cm="1">
        <f t="array" aca="1" ref="H110" ca="1">IFERROR(INDEX(_xlfn.ANCHORARRAY($AA$11),ROW()-10,8),"")</f>
        <v/>
      </c>
      <c r="I110" s="4" t="str" cm="1">
        <f t="array" aca="1" ref="I110" ca="1">IFERROR(INDEX(_xlfn.ANCHORARRAY($AA$11),ROW()-10,9),"")</f>
        <v/>
      </c>
      <c r="J110" s="4" t="str">
        <f t="shared" ca="1" si="9"/>
        <v/>
      </c>
      <c r="K110" s="4" t="str">
        <f t="shared" ca="1" si="10"/>
        <v/>
      </c>
      <c r="L110" s="4" t="str" cm="1">
        <f t="array" aca="1" ref="L110" ca="1">_xlfn.LET(_xlpm.link,IFERROR(INDEX(_xlfn.ANCHORARRAY($AA$11),ROW()-10,12),""),IF(_xlpm.link="","",HYPERLINK(_xlpm.link,"Bluecore/Attentive")))</f>
        <v/>
      </c>
      <c r="M110" s="61" t="str">
        <f t="shared" ca="1" si="11"/>
        <v/>
      </c>
      <c r="N110" s="7"/>
      <c r="O110" s="7"/>
      <c r="P110" s="7"/>
      <c r="Q110" s="7"/>
      <c r="R110" s="7"/>
      <c r="S110" s="6"/>
      <c r="T110" s="6"/>
      <c r="U110" s="6"/>
      <c r="V110" s="6"/>
      <c r="W110" s="6"/>
      <c r="X110" s="6"/>
      <c r="Y110" s="6"/>
      <c r="Z110" s="6"/>
      <c r="AA110"/>
      <c r="AB110"/>
      <c r="AC110"/>
      <c r="AD110"/>
      <c r="AE110"/>
      <c r="AF110"/>
      <c r="AG110"/>
      <c r="AH110"/>
      <c r="AI110"/>
      <c r="AJ110"/>
      <c r="AK110"/>
      <c r="AL110"/>
    </row>
    <row r="111" spans="1:38">
      <c r="A111" s="79" t="str" cm="1">
        <f t="array" aca="1" ref="A111" ca="1">IFERROR(INDEX(_xlfn.ANCHORARRAY($AA$11),ROW()-10,1),"")</f>
        <v/>
      </c>
      <c r="B111" s="81" t="str" cm="1">
        <f t="array" aca="1" ref="B111" ca="1">IFERROR(INDEX(_xlfn.ANCHORARRAY($AA$11),ROW()-10,2),"")</f>
        <v/>
      </c>
      <c r="C111" s="4" t="str" cm="1">
        <f t="array" aca="1" ref="C111" ca="1">IFERROR(INDEX(_xlfn.ANCHORARRAY($AA$11),ROW()-10,3),"")</f>
        <v/>
      </c>
      <c r="D111" s="13" t="str" cm="1">
        <f t="array" aca="1" ref="D111" ca="1">IFERROR(INDEX(_xlfn.ANCHORARRAY($AA$11),ROW()-10,4),"")</f>
        <v/>
      </c>
      <c r="E111" s="4" t="str" cm="1">
        <f t="array" aca="1" ref="E111" ca="1">IFERROR(INDEX(_xlfn.ANCHORARRAY($AA$11),ROW()-10,5),"")</f>
        <v/>
      </c>
      <c r="F111" s="13" t="str" cm="1">
        <f t="array" aca="1" ref="F111" ca="1">IFERROR(INDEX(_xlfn.ANCHORARRAY($AA$11),ROW()-10,6),"")</f>
        <v/>
      </c>
      <c r="G111" s="4" t="str" cm="1">
        <f t="array" aca="1" ref="G111" ca="1">IFERROR(INDEX(_xlfn.ANCHORARRAY($AA$11),ROW()-10,7),"")</f>
        <v/>
      </c>
      <c r="H111" s="4" t="str" cm="1">
        <f t="array" aca="1" ref="H111" ca="1">IFERROR(INDEX(_xlfn.ANCHORARRAY($AA$11),ROW()-10,8),"")</f>
        <v/>
      </c>
      <c r="I111" s="4" t="str" cm="1">
        <f t="array" aca="1" ref="I111" ca="1">IFERROR(INDEX(_xlfn.ANCHORARRAY($AA$11),ROW()-10,9),"")</f>
        <v/>
      </c>
      <c r="J111" s="4" t="str">
        <f t="shared" ca="1" si="9"/>
        <v/>
      </c>
      <c r="K111" s="4" t="str">
        <f t="shared" ca="1" si="10"/>
        <v/>
      </c>
      <c r="L111" s="4" t="str" cm="1">
        <f t="array" aca="1" ref="L111" ca="1">_xlfn.LET(_xlpm.link,IFERROR(INDEX(_xlfn.ANCHORARRAY($AA$11),ROW()-10,12),""),IF(_xlpm.link="","",HYPERLINK(_xlpm.link,"Bluecore/Attentive")))</f>
        <v/>
      </c>
      <c r="M111" s="60" t="str">
        <f t="shared" ca="1" si="11"/>
        <v/>
      </c>
      <c r="N111" s="7"/>
      <c r="O111" s="7"/>
      <c r="P111" s="7"/>
      <c r="Q111" s="7"/>
      <c r="R111" s="7"/>
      <c r="S111" s="6"/>
      <c r="T111" s="6"/>
      <c r="U111" s="6"/>
      <c r="V111" s="6"/>
      <c r="W111" s="6"/>
      <c r="X111" s="6"/>
      <c r="Y111" s="6"/>
      <c r="Z111" s="6"/>
      <c r="AA111"/>
      <c r="AB111"/>
      <c r="AC111"/>
      <c r="AD111"/>
      <c r="AE111"/>
      <c r="AF111"/>
      <c r="AG111"/>
      <c r="AH111"/>
      <c r="AI111"/>
      <c r="AJ111"/>
      <c r="AK111"/>
      <c r="AL111"/>
    </row>
    <row r="112" spans="1:38">
      <c r="A112" s="79" t="str" cm="1">
        <f t="array" aca="1" ref="A112" ca="1">IFERROR(INDEX(_xlfn.ANCHORARRAY($AA$11),ROW()-10,1),"")</f>
        <v/>
      </c>
      <c r="B112" s="81" t="str" cm="1">
        <f t="array" aca="1" ref="B112" ca="1">IFERROR(INDEX(_xlfn.ANCHORARRAY($AA$11),ROW()-10,2),"")</f>
        <v/>
      </c>
      <c r="C112" s="4" t="str" cm="1">
        <f t="array" aca="1" ref="C112" ca="1">IFERROR(INDEX(_xlfn.ANCHORARRAY($AA$11),ROW()-10,3),"")</f>
        <v/>
      </c>
      <c r="D112" s="13" t="str" cm="1">
        <f t="array" aca="1" ref="D112" ca="1">IFERROR(INDEX(_xlfn.ANCHORARRAY($AA$11),ROW()-10,4),"")</f>
        <v/>
      </c>
      <c r="E112" s="4" t="str" cm="1">
        <f t="array" aca="1" ref="E112" ca="1">IFERROR(INDEX(_xlfn.ANCHORARRAY($AA$11),ROW()-10,5),"")</f>
        <v/>
      </c>
      <c r="F112" s="13" t="str" cm="1">
        <f t="array" aca="1" ref="F112" ca="1">IFERROR(INDEX(_xlfn.ANCHORARRAY($AA$11),ROW()-10,6),"")</f>
        <v/>
      </c>
      <c r="G112" s="4" t="str" cm="1">
        <f t="array" aca="1" ref="G112" ca="1">IFERROR(INDEX(_xlfn.ANCHORARRAY($AA$11),ROW()-10,7),"")</f>
        <v/>
      </c>
      <c r="H112" s="4" t="str" cm="1">
        <f t="array" aca="1" ref="H112" ca="1">IFERROR(INDEX(_xlfn.ANCHORARRAY($AA$11),ROW()-10,8),"")</f>
        <v/>
      </c>
      <c r="I112" s="4" t="str" cm="1">
        <f t="array" aca="1" ref="I112" ca="1">IFERROR(INDEX(_xlfn.ANCHORARRAY($AA$11),ROW()-10,9),"")</f>
        <v/>
      </c>
      <c r="J112" s="4" t="str">
        <f t="shared" ca="1" si="9"/>
        <v/>
      </c>
      <c r="K112" s="4" t="str">
        <f t="shared" ca="1" si="10"/>
        <v/>
      </c>
      <c r="L112" s="4" t="str" cm="1">
        <f t="array" aca="1" ref="L112" ca="1">_xlfn.LET(_xlpm.link,IFERROR(INDEX(_xlfn.ANCHORARRAY($AA$11),ROW()-10,12),""),IF(_xlpm.link="","",HYPERLINK(_xlpm.link,"Bluecore/Attentive")))</f>
        <v/>
      </c>
      <c r="M112" s="61" t="str">
        <f t="shared" ca="1" si="11"/>
        <v/>
      </c>
      <c r="N112" s="7"/>
      <c r="O112" s="7"/>
      <c r="P112" s="7"/>
      <c r="Q112" s="7"/>
      <c r="R112" s="7"/>
      <c r="S112" s="6"/>
      <c r="T112" s="6"/>
      <c r="U112" s="6"/>
      <c r="V112" s="6"/>
      <c r="W112" s="6"/>
      <c r="X112" s="6"/>
      <c r="Y112" s="6"/>
      <c r="Z112" s="6"/>
      <c r="AA112"/>
      <c r="AB112"/>
      <c r="AC112"/>
      <c r="AD112"/>
      <c r="AE112"/>
      <c r="AF112"/>
      <c r="AG112"/>
      <c r="AH112"/>
      <c r="AI112"/>
      <c r="AJ112"/>
      <c r="AK112"/>
      <c r="AL112"/>
    </row>
    <row r="113" spans="1:38">
      <c r="A113" s="79" t="str" cm="1">
        <f t="array" aca="1" ref="A113" ca="1">IFERROR(INDEX(_xlfn.ANCHORARRAY($AA$11),ROW()-10,1),"")</f>
        <v/>
      </c>
      <c r="B113" s="81" t="str" cm="1">
        <f t="array" aca="1" ref="B113" ca="1">IFERROR(INDEX(_xlfn.ANCHORARRAY($AA$11),ROW()-10,2),"")</f>
        <v/>
      </c>
      <c r="C113" s="4" t="str" cm="1">
        <f t="array" aca="1" ref="C113" ca="1">IFERROR(INDEX(_xlfn.ANCHORARRAY($AA$11),ROW()-10,3),"")</f>
        <v/>
      </c>
      <c r="D113" s="13" t="str" cm="1">
        <f t="array" aca="1" ref="D113" ca="1">IFERROR(INDEX(_xlfn.ANCHORARRAY($AA$11),ROW()-10,4),"")</f>
        <v/>
      </c>
      <c r="E113" s="4" t="str" cm="1">
        <f t="array" aca="1" ref="E113" ca="1">IFERROR(INDEX(_xlfn.ANCHORARRAY($AA$11),ROW()-10,5),"")</f>
        <v/>
      </c>
      <c r="F113" s="13" t="str" cm="1">
        <f t="array" aca="1" ref="F113" ca="1">IFERROR(INDEX(_xlfn.ANCHORARRAY($AA$11),ROW()-10,6),"")</f>
        <v/>
      </c>
      <c r="G113" s="4" t="str" cm="1">
        <f t="array" aca="1" ref="G113" ca="1">IFERROR(INDEX(_xlfn.ANCHORARRAY($AA$11),ROW()-10,7),"")</f>
        <v/>
      </c>
      <c r="H113" s="4" t="str" cm="1">
        <f t="array" aca="1" ref="H113" ca="1">IFERROR(INDEX(_xlfn.ANCHORARRAY($AA$11),ROW()-10,8),"")</f>
        <v/>
      </c>
      <c r="I113" s="4" t="str" cm="1">
        <f t="array" aca="1" ref="I113" ca="1">IFERROR(INDEX(_xlfn.ANCHORARRAY($AA$11),ROW()-10,9),"")</f>
        <v/>
      </c>
      <c r="J113" s="4" t="str">
        <f t="shared" ca="1" si="9"/>
        <v/>
      </c>
      <c r="K113" s="4" t="str">
        <f t="shared" ca="1" si="10"/>
        <v/>
      </c>
      <c r="L113" s="4" t="str" cm="1">
        <f t="array" aca="1" ref="L113" ca="1">_xlfn.LET(_xlpm.link,IFERROR(INDEX(_xlfn.ANCHORARRAY($AA$11),ROW()-10,12),""),IF(_xlpm.link="","",HYPERLINK(_xlpm.link,"Bluecore/Attentive")))</f>
        <v/>
      </c>
      <c r="M113" s="60" t="str">
        <f t="shared" ca="1" si="11"/>
        <v/>
      </c>
      <c r="N113" s="7"/>
      <c r="O113" s="7"/>
      <c r="P113" s="7"/>
      <c r="Q113" s="7"/>
      <c r="R113" s="7"/>
      <c r="S113" s="6"/>
      <c r="T113" s="6"/>
      <c r="U113" s="6"/>
      <c r="V113" s="6"/>
      <c r="W113" s="6"/>
      <c r="X113" s="6"/>
      <c r="Y113" s="6"/>
      <c r="Z113" s="6"/>
      <c r="AA113"/>
      <c r="AB113"/>
      <c r="AC113"/>
      <c r="AD113"/>
      <c r="AE113"/>
      <c r="AF113"/>
      <c r="AG113"/>
      <c r="AH113"/>
      <c r="AI113"/>
      <c r="AJ113"/>
      <c r="AK113"/>
      <c r="AL113"/>
    </row>
    <row r="114" spans="1:38">
      <c r="A114" s="79" t="str" cm="1">
        <f t="array" aca="1" ref="A114" ca="1">IFERROR(INDEX(_xlfn.ANCHORARRAY($AA$11),ROW()-10,1),"")</f>
        <v/>
      </c>
      <c r="B114" s="81" t="str" cm="1">
        <f t="array" aca="1" ref="B114" ca="1">IFERROR(INDEX(_xlfn.ANCHORARRAY($AA$11),ROW()-10,2),"")</f>
        <v/>
      </c>
      <c r="C114" s="4" t="str" cm="1">
        <f t="array" aca="1" ref="C114" ca="1">IFERROR(INDEX(_xlfn.ANCHORARRAY($AA$11),ROW()-10,3),"")</f>
        <v/>
      </c>
      <c r="D114" s="13" t="str" cm="1">
        <f t="array" aca="1" ref="D114" ca="1">IFERROR(INDEX(_xlfn.ANCHORARRAY($AA$11),ROW()-10,4),"")</f>
        <v/>
      </c>
      <c r="E114" s="4" t="str" cm="1">
        <f t="array" aca="1" ref="E114" ca="1">IFERROR(INDEX(_xlfn.ANCHORARRAY($AA$11),ROW()-10,5),"")</f>
        <v/>
      </c>
      <c r="F114" s="13" t="str" cm="1">
        <f t="array" aca="1" ref="F114" ca="1">IFERROR(INDEX(_xlfn.ANCHORARRAY($AA$11),ROW()-10,6),"")</f>
        <v/>
      </c>
      <c r="G114" s="4" t="str" cm="1">
        <f t="array" aca="1" ref="G114" ca="1">IFERROR(INDEX(_xlfn.ANCHORARRAY($AA$11),ROW()-10,7),"")</f>
        <v/>
      </c>
      <c r="H114" s="4" t="str" cm="1">
        <f t="array" aca="1" ref="H114" ca="1">IFERROR(INDEX(_xlfn.ANCHORARRAY($AA$11),ROW()-10,8),"")</f>
        <v/>
      </c>
      <c r="I114" s="4" t="str" cm="1">
        <f t="array" aca="1" ref="I114" ca="1">IFERROR(INDEX(_xlfn.ANCHORARRAY($AA$11),ROW()-10,9),"")</f>
        <v/>
      </c>
      <c r="J114" s="4" t="str">
        <f t="shared" ca="1" si="9"/>
        <v/>
      </c>
      <c r="K114" s="4" t="str">
        <f t="shared" ca="1" si="10"/>
        <v/>
      </c>
      <c r="L114" s="4" t="str" cm="1">
        <f t="array" aca="1" ref="L114" ca="1">_xlfn.LET(_xlpm.link,IFERROR(INDEX(_xlfn.ANCHORARRAY($AA$11),ROW()-10,12),""),IF(_xlpm.link="","",HYPERLINK(_xlpm.link,"Bluecore/Attentive")))</f>
        <v/>
      </c>
      <c r="M114" s="61" t="str">
        <f t="shared" ca="1" si="11"/>
        <v/>
      </c>
      <c r="N114" s="7"/>
      <c r="O114" s="7"/>
      <c r="P114" s="7"/>
      <c r="Q114" s="7"/>
      <c r="R114" s="7"/>
      <c r="S114" s="6"/>
      <c r="T114" s="6"/>
      <c r="U114" s="6"/>
      <c r="V114" s="6"/>
      <c r="W114" s="6"/>
      <c r="X114" s="6"/>
      <c r="Y114" s="6"/>
      <c r="Z114" s="6"/>
      <c r="AA114"/>
      <c r="AB114"/>
      <c r="AC114"/>
      <c r="AD114"/>
      <c r="AE114"/>
      <c r="AF114"/>
      <c r="AG114"/>
      <c r="AH114"/>
      <c r="AI114"/>
      <c r="AJ114"/>
      <c r="AK114"/>
      <c r="AL114"/>
    </row>
    <row r="115" spans="1:38">
      <c r="A115" s="79" t="str" cm="1">
        <f t="array" aca="1" ref="A115" ca="1">IFERROR(INDEX(_xlfn.ANCHORARRAY($AA$11),ROW()-10,1),"")</f>
        <v/>
      </c>
      <c r="B115" s="81" t="str" cm="1">
        <f t="array" aca="1" ref="B115" ca="1">IFERROR(INDEX(_xlfn.ANCHORARRAY($AA$11),ROW()-10,2),"")</f>
        <v/>
      </c>
      <c r="C115" s="4" t="str" cm="1">
        <f t="array" aca="1" ref="C115" ca="1">IFERROR(INDEX(_xlfn.ANCHORARRAY($AA$11),ROW()-10,3),"")</f>
        <v/>
      </c>
      <c r="D115" s="13" t="str" cm="1">
        <f t="array" aca="1" ref="D115" ca="1">IFERROR(INDEX(_xlfn.ANCHORARRAY($AA$11),ROW()-10,4),"")</f>
        <v/>
      </c>
      <c r="E115" s="4" t="str" cm="1">
        <f t="array" aca="1" ref="E115" ca="1">IFERROR(INDEX(_xlfn.ANCHORARRAY($AA$11),ROW()-10,5),"")</f>
        <v/>
      </c>
      <c r="F115" s="13" t="str" cm="1">
        <f t="array" aca="1" ref="F115" ca="1">IFERROR(INDEX(_xlfn.ANCHORARRAY($AA$11),ROW()-10,6),"")</f>
        <v/>
      </c>
      <c r="G115" s="4" t="str" cm="1">
        <f t="array" aca="1" ref="G115" ca="1">IFERROR(INDEX(_xlfn.ANCHORARRAY($AA$11),ROW()-10,7),"")</f>
        <v/>
      </c>
      <c r="H115" s="4" t="str" cm="1">
        <f t="array" aca="1" ref="H115" ca="1">IFERROR(INDEX(_xlfn.ANCHORARRAY($AA$11),ROW()-10,8),"")</f>
        <v/>
      </c>
      <c r="I115" s="4" t="str" cm="1">
        <f t="array" aca="1" ref="I115" ca="1">IFERROR(INDEX(_xlfn.ANCHORARRAY($AA$11),ROW()-10,9),"")</f>
        <v/>
      </c>
      <c r="J115" s="4" t="str">
        <f t="shared" ca="1" si="9"/>
        <v/>
      </c>
      <c r="K115" s="4" t="str">
        <f t="shared" ca="1" si="10"/>
        <v/>
      </c>
      <c r="L115" s="4" t="str" cm="1">
        <f t="array" aca="1" ref="L115" ca="1">_xlfn.LET(_xlpm.link,IFERROR(INDEX(_xlfn.ANCHORARRAY($AA$11),ROW()-10,12),""),IF(_xlpm.link="","",HYPERLINK(_xlpm.link,"Bluecore/Attentive")))</f>
        <v/>
      </c>
      <c r="M115" s="60" t="str">
        <f t="shared" ca="1" si="11"/>
        <v/>
      </c>
      <c r="N115" s="7"/>
      <c r="O115" s="7"/>
      <c r="P115" s="7"/>
      <c r="Q115" s="7"/>
      <c r="R115" s="7"/>
      <c r="S115" s="6"/>
      <c r="T115" s="6"/>
      <c r="U115" s="6"/>
      <c r="V115" s="6"/>
      <c r="W115" s="6"/>
      <c r="X115" s="6"/>
      <c r="Y115" s="6"/>
      <c r="Z115" s="6"/>
      <c r="AA115"/>
      <c r="AB115"/>
      <c r="AC115"/>
      <c r="AD115"/>
      <c r="AE115"/>
      <c r="AF115"/>
      <c r="AG115"/>
      <c r="AH115"/>
      <c r="AI115"/>
      <c r="AJ115"/>
      <c r="AK115"/>
      <c r="AL115"/>
    </row>
    <row r="116" spans="1:38">
      <c r="A116" s="79" t="str" cm="1">
        <f t="array" aca="1" ref="A116" ca="1">IFERROR(INDEX(_xlfn.ANCHORARRAY($AA$11),ROW()-10,1),"")</f>
        <v/>
      </c>
      <c r="B116" s="81" t="str" cm="1">
        <f t="array" aca="1" ref="B116" ca="1">IFERROR(INDEX(_xlfn.ANCHORARRAY($AA$11),ROW()-10,2),"")</f>
        <v/>
      </c>
      <c r="C116" s="4" t="str" cm="1">
        <f t="array" aca="1" ref="C116" ca="1">IFERROR(INDEX(_xlfn.ANCHORARRAY($AA$11),ROW()-10,3),"")</f>
        <v/>
      </c>
      <c r="D116" s="13" t="str" cm="1">
        <f t="array" aca="1" ref="D116" ca="1">IFERROR(INDEX(_xlfn.ANCHORARRAY($AA$11),ROW()-10,4),"")</f>
        <v/>
      </c>
      <c r="E116" s="4" t="str" cm="1">
        <f t="array" aca="1" ref="E116" ca="1">IFERROR(INDEX(_xlfn.ANCHORARRAY($AA$11),ROW()-10,5),"")</f>
        <v/>
      </c>
      <c r="F116" s="13" t="str" cm="1">
        <f t="array" aca="1" ref="F116" ca="1">IFERROR(INDEX(_xlfn.ANCHORARRAY($AA$11),ROW()-10,6),"")</f>
        <v/>
      </c>
      <c r="G116" s="4" t="str" cm="1">
        <f t="array" aca="1" ref="G116" ca="1">IFERROR(INDEX(_xlfn.ANCHORARRAY($AA$11),ROW()-10,7),"")</f>
        <v/>
      </c>
      <c r="H116" s="4" t="str" cm="1">
        <f t="array" aca="1" ref="H116" ca="1">IFERROR(INDEX(_xlfn.ANCHORARRAY($AA$11),ROW()-10,8),"")</f>
        <v/>
      </c>
      <c r="I116" s="4" t="str" cm="1">
        <f t="array" aca="1" ref="I116" ca="1">IFERROR(INDEX(_xlfn.ANCHORARRAY($AA$11),ROW()-10,9),"")</f>
        <v/>
      </c>
      <c r="J116" s="4" t="str">
        <f t="shared" ca="1" si="9"/>
        <v/>
      </c>
      <c r="K116" s="4" t="str">
        <f t="shared" ca="1" si="10"/>
        <v/>
      </c>
      <c r="L116" s="4" t="str" cm="1">
        <f t="array" aca="1" ref="L116" ca="1">_xlfn.LET(_xlpm.link,IFERROR(INDEX(_xlfn.ANCHORARRAY($AA$11),ROW()-10,12),""),IF(_xlpm.link="","",HYPERLINK(_xlpm.link,"Bluecore/Attentive")))</f>
        <v/>
      </c>
      <c r="M116" s="61" t="str">
        <f t="shared" ca="1" si="11"/>
        <v/>
      </c>
      <c r="N116" s="7"/>
      <c r="O116" s="7"/>
      <c r="P116" s="7"/>
      <c r="Q116" s="7"/>
      <c r="R116" s="7"/>
      <c r="S116" s="6"/>
      <c r="T116" s="6"/>
      <c r="U116" s="6"/>
      <c r="V116" s="6"/>
      <c r="W116" s="6"/>
      <c r="X116" s="6"/>
      <c r="Y116" s="6"/>
      <c r="Z116" s="6"/>
      <c r="AA116"/>
      <c r="AB116"/>
      <c r="AC116"/>
      <c r="AD116"/>
      <c r="AE116"/>
      <c r="AF116"/>
      <c r="AG116"/>
      <c r="AH116"/>
      <c r="AI116"/>
      <c r="AJ116"/>
      <c r="AK116"/>
      <c r="AL116"/>
    </row>
    <row r="117" spans="1:38">
      <c r="A117" s="79" t="str" cm="1">
        <f t="array" aca="1" ref="A117" ca="1">IFERROR(INDEX(_xlfn.ANCHORARRAY($AA$11),ROW()-10,1),"")</f>
        <v/>
      </c>
      <c r="B117" s="81" t="str" cm="1">
        <f t="array" aca="1" ref="B117" ca="1">IFERROR(INDEX(_xlfn.ANCHORARRAY($AA$11),ROW()-10,2),"")</f>
        <v/>
      </c>
      <c r="C117" s="4" t="str" cm="1">
        <f t="array" aca="1" ref="C117" ca="1">IFERROR(INDEX(_xlfn.ANCHORARRAY($AA$11),ROW()-10,3),"")</f>
        <v/>
      </c>
      <c r="D117" s="13" t="str" cm="1">
        <f t="array" aca="1" ref="D117" ca="1">IFERROR(INDEX(_xlfn.ANCHORARRAY($AA$11),ROW()-10,4),"")</f>
        <v/>
      </c>
      <c r="E117" s="4" t="str" cm="1">
        <f t="array" aca="1" ref="E117" ca="1">IFERROR(INDEX(_xlfn.ANCHORARRAY($AA$11),ROW()-10,5),"")</f>
        <v/>
      </c>
      <c r="F117" s="13" t="str" cm="1">
        <f t="array" aca="1" ref="F117" ca="1">IFERROR(INDEX(_xlfn.ANCHORARRAY($AA$11),ROW()-10,6),"")</f>
        <v/>
      </c>
      <c r="G117" s="4" t="str" cm="1">
        <f t="array" aca="1" ref="G117" ca="1">IFERROR(INDEX(_xlfn.ANCHORARRAY($AA$11),ROW()-10,7),"")</f>
        <v/>
      </c>
      <c r="H117" s="4" t="str" cm="1">
        <f t="array" aca="1" ref="H117" ca="1">IFERROR(INDEX(_xlfn.ANCHORARRAY($AA$11),ROW()-10,8),"")</f>
        <v/>
      </c>
      <c r="I117" s="4" t="str" cm="1">
        <f t="array" aca="1" ref="I117" ca="1">IFERROR(INDEX(_xlfn.ANCHORARRAY($AA$11),ROW()-10,9),"")</f>
        <v/>
      </c>
      <c r="J117" s="4" t="str">
        <f t="shared" ca="1" si="9"/>
        <v/>
      </c>
      <c r="K117" s="4" t="str">
        <f t="shared" ca="1" si="10"/>
        <v/>
      </c>
      <c r="L117" s="4" t="str" cm="1">
        <f t="array" aca="1" ref="L117" ca="1">_xlfn.LET(_xlpm.link,IFERROR(INDEX(_xlfn.ANCHORARRAY($AA$11),ROW()-10,12),""),IF(_xlpm.link="","",HYPERLINK(_xlpm.link,"Bluecore/Attentive")))</f>
        <v/>
      </c>
      <c r="M117" s="60" t="str">
        <f t="shared" ca="1" si="11"/>
        <v/>
      </c>
      <c r="N117" s="7"/>
      <c r="O117" s="7"/>
      <c r="P117" s="7"/>
      <c r="Q117" s="7"/>
      <c r="R117" s="7"/>
      <c r="S117" s="6"/>
      <c r="T117" s="6"/>
      <c r="U117" s="6"/>
      <c r="V117" s="6"/>
      <c r="W117" s="6"/>
      <c r="X117" s="6"/>
      <c r="Y117" s="6"/>
      <c r="Z117" s="6"/>
      <c r="AA117"/>
      <c r="AB117"/>
      <c r="AC117"/>
      <c r="AD117"/>
      <c r="AE117"/>
      <c r="AF117"/>
      <c r="AG117"/>
      <c r="AH117"/>
      <c r="AI117"/>
      <c r="AJ117"/>
      <c r="AK117"/>
      <c r="AL117"/>
    </row>
    <row r="118" spans="1:38">
      <c r="A118" s="79" t="str" cm="1">
        <f t="array" aca="1" ref="A118" ca="1">IFERROR(INDEX(_xlfn.ANCHORARRAY($AA$11),ROW()-10,1),"")</f>
        <v/>
      </c>
      <c r="B118" s="81" t="str" cm="1">
        <f t="array" aca="1" ref="B118" ca="1">IFERROR(INDEX(_xlfn.ANCHORARRAY($AA$11),ROW()-10,2),"")</f>
        <v/>
      </c>
      <c r="C118" s="4" t="str" cm="1">
        <f t="array" aca="1" ref="C118" ca="1">IFERROR(INDEX(_xlfn.ANCHORARRAY($AA$11),ROW()-10,3),"")</f>
        <v/>
      </c>
      <c r="D118" s="13" t="str" cm="1">
        <f t="array" aca="1" ref="D118" ca="1">IFERROR(INDEX(_xlfn.ANCHORARRAY($AA$11),ROW()-10,4),"")</f>
        <v/>
      </c>
      <c r="E118" s="4" t="str" cm="1">
        <f t="array" aca="1" ref="E118" ca="1">IFERROR(INDEX(_xlfn.ANCHORARRAY($AA$11),ROW()-10,5),"")</f>
        <v/>
      </c>
      <c r="F118" s="13" t="str" cm="1">
        <f t="array" aca="1" ref="F118" ca="1">IFERROR(INDEX(_xlfn.ANCHORARRAY($AA$11),ROW()-10,6),"")</f>
        <v/>
      </c>
      <c r="G118" s="4" t="str" cm="1">
        <f t="array" aca="1" ref="G118" ca="1">IFERROR(INDEX(_xlfn.ANCHORARRAY($AA$11),ROW()-10,7),"")</f>
        <v/>
      </c>
      <c r="H118" s="4" t="str" cm="1">
        <f t="array" aca="1" ref="H118" ca="1">IFERROR(INDEX(_xlfn.ANCHORARRAY($AA$11),ROW()-10,8),"")</f>
        <v/>
      </c>
      <c r="I118" s="4" t="str" cm="1">
        <f t="array" aca="1" ref="I118" ca="1">IFERROR(INDEX(_xlfn.ANCHORARRAY($AA$11),ROW()-10,9),"")</f>
        <v/>
      </c>
      <c r="J118" s="4" t="str">
        <f t="shared" ca="1" si="9"/>
        <v/>
      </c>
      <c r="K118" s="4" t="str">
        <f t="shared" ca="1" si="10"/>
        <v/>
      </c>
      <c r="L118" s="4" t="str" cm="1">
        <f t="array" aca="1" ref="L118" ca="1">_xlfn.LET(_xlpm.link,IFERROR(INDEX(_xlfn.ANCHORARRAY($AA$11),ROW()-10,12),""),IF(_xlpm.link="","",HYPERLINK(_xlpm.link,"Bluecore/Attentive")))</f>
        <v/>
      </c>
      <c r="M118" s="61" t="str">
        <f t="shared" ca="1" si="11"/>
        <v/>
      </c>
      <c r="N118" s="7"/>
      <c r="O118" s="7"/>
      <c r="P118" s="7"/>
      <c r="Q118" s="7"/>
      <c r="R118" s="7"/>
      <c r="S118" s="6"/>
      <c r="T118" s="6"/>
      <c r="U118" s="6"/>
      <c r="V118" s="6"/>
      <c r="W118" s="6"/>
      <c r="X118" s="6"/>
      <c r="Y118" s="6"/>
      <c r="Z118" s="6"/>
      <c r="AA118"/>
      <c r="AB118"/>
      <c r="AC118"/>
      <c r="AD118"/>
      <c r="AE118"/>
      <c r="AF118"/>
      <c r="AG118"/>
      <c r="AH118"/>
      <c r="AI118"/>
      <c r="AJ118"/>
      <c r="AK118"/>
      <c r="AL118"/>
    </row>
    <row r="119" spans="1:38">
      <c r="A119" s="79" t="str" cm="1">
        <f t="array" aca="1" ref="A119" ca="1">IFERROR(INDEX(_xlfn.ANCHORARRAY($AA$11),ROW()-10,1),"")</f>
        <v/>
      </c>
      <c r="B119" s="81" t="str" cm="1">
        <f t="array" aca="1" ref="B119" ca="1">IFERROR(INDEX(_xlfn.ANCHORARRAY($AA$11),ROW()-10,2),"")</f>
        <v/>
      </c>
      <c r="C119" s="4" t="str" cm="1">
        <f t="array" aca="1" ref="C119" ca="1">IFERROR(INDEX(_xlfn.ANCHORARRAY($AA$11),ROW()-10,3),"")</f>
        <v/>
      </c>
      <c r="D119" s="13" t="str" cm="1">
        <f t="array" aca="1" ref="D119" ca="1">IFERROR(INDEX(_xlfn.ANCHORARRAY($AA$11),ROW()-10,4),"")</f>
        <v/>
      </c>
      <c r="E119" s="4" t="str" cm="1">
        <f t="array" aca="1" ref="E119" ca="1">IFERROR(INDEX(_xlfn.ANCHORARRAY($AA$11),ROW()-10,5),"")</f>
        <v/>
      </c>
      <c r="F119" s="13" t="str" cm="1">
        <f t="array" aca="1" ref="F119" ca="1">IFERROR(INDEX(_xlfn.ANCHORARRAY($AA$11),ROW()-10,6),"")</f>
        <v/>
      </c>
      <c r="G119" s="4" t="str" cm="1">
        <f t="array" aca="1" ref="G119" ca="1">IFERROR(INDEX(_xlfn.ANCHORARRAY($AA$11),ROW()-10,7),"")</f>
        <v/>
      </c>
      <c r="H119" s="4" t="str" cm="1">
        <f t="array" aca="1" ref="H119" ca="1">IFERROR(INDEX(_xlfn.ANCHORARRAY($AA$11),ROW()-10,8),"")</f>
        <v/>
      </c>
      <c r="I119" s="4" t="str" cm="1">
        <f t="array" aca="1" ref="I119" ca="1">IFERROR(INDEX(_xlfn.ANCHORARRAY($AA$11),ROW()-10,9),"")</f>
        <v/>
      </c>
      <c r="J119" s="4" t="str">
        <f t="shared" ca="1" si="9"/>
        <v/>
      </c>
      <c r="K119" s="4" t="str">
        <f t="shared" ca="1" si="10"/>
        <v/>
      </c>
      <c r="L119" s="4" t="str" cm="1">
        <f t="array" aca="1" ref="L119" ca="1">_xlfn.LET(_xlpm.link,IFERROR(INDEX(_xlfn.ANCHORARRAY($AA$11),ROW()-10,12),""),IF(_xlpm.link="","",HYPERLINK(_xlpm.link,"Bluecore/Attentive")))</f>
        <v/>
      </c>
      <c r="M119" s="60" t="str">
        <f t="shared" ca="1" si="11"/>
        <v/>
      </c>
      <c r="N119" s="7"/>
      <c r="O119" s="7"/>
      <c r="P119" s="7"/>
      <c r="Q119" s="7"/>
      <c r="R119" s="7"/>
      <c r="S119" s="6"/>
      <c r="T119" s="6"/>
      <c r="U119" s="6"/>
      <c r="V119" s="6"/>
      <c r="W119" s="6"/>
      <c r="X119" s="6"/>
      <c r="Y119" s="6"/>
      <c r="Z119" s="6"/>
      <c r="AA119"/>
      <c r="AB119"/>
      <c r="AC119"/>
      <c r="AD119"/>
      <c r="AE119"/>
      <c r="AF119"/>
      <c r="AG119"/>
      <c r="AH119"/>
      <c r="AI119"/>
      <c r="AJ119"/>
      <c r="AK119"/>
      <c r="AL119"/>
    </row>
    <row r="120" spans="1:38">
      <c r="A120" s="79" t="str" cm="1">
        <f t="array" aca="1" ref="A120" ca="1">IFERROR(INDEX(_xlfn.ANCHORARRAY($AA$11),ROW()-10,1),"")</f>
        <v/>
      </c>
      <c r="B120" s="81" t="str" cm="1">
        <f t="array" aca="1" ref="B120" ca="1">IFERROR(INDEX(_xlfn.ANCHORARRAY($AA$11),ROW()-10,2),"")</f>
        <v/>
      </c>
      <c r="C120" s="4" t="str" cm="1">
        <f t="array" aca="1" ref="C120" ca="1">IFERROR(INDEX(_xlfn.ANCHORARRAY($AA$11),ROW()-10,3),"")</f>
        <v/>
      </c>
      <c r="D120" s="13" t="str" cm="1">
        <f t="array" aca="1" ref="D120" ca="1">IFERROR(INDEX(_xlfn.ANCHORARRAY($AA$11),ROW()-10,4),"")</f>
        <v/>
      </c>
      <c r="E120" s="4" t="str" cm="1">
        <f t="array" aca="1" ref="E120" ca="1">IFERROR(INDEX(_xlfn.ANCHORARRAY($AA$11),ROW()-10,5),"")</f>
        <v/>
      </c>
      <c r="F120" s="13" t="str" cm="1">
        <f t="array" aca="1" ref="F120" ca="1">IFERROR(INDEX(_xlfn.ANCHORARRAY($AA$11),ROW()-10,6),"")</f>
        <v/>
      </c>
      <c r="G120" s="4" t="str" cm="1">
        <f t="array" aca="1" ref="G120" ca="1">IFERROR(INDEX(_xlfn.ANCHORARRAY($AA$11),ROW()-10,7),"")</f>
        <v/>
      </c>
      <c r="H120" s="4" t="str" cm="1">
        <f t="array" aca="1" ref="H120" ca="1">IFERROR(INDEX(_xlfn.ANCHORARRAY($AA$11),ROW()-10,8),"")</f>
        <v/>
      </c>
      <c r="I120" s="4" t="str" cm="1">
        <f t="array" aca="1" ref="I120" ca="1">IFERROR(INDEX(_xlfn.ANCHORARRAY($AA$11),ROW()-10,9),"")</f>
        <v/>
      </c>
      <c r="J120" s="4" t="str">
        <f t="shared" ca="1" si="9"/>
        <v/>
      </c>
      <c r="K120" s="4" t="str">
        <f t="shared" ca="1" si="10"/>
        <v/>
      </c>
      <c r="L120" s="4" t="str" cm="1">
        <f t="array" aca="1" ref="L120" ca="1">_xlfn.LET(_xlpm.link,IFERROR(INDEX(_xlfn.ANCHORARRAY($AA$11),ROW()-10,12),""),IF(_xlpm.link="","",HYPERLINK(_xlpm.link,"Bluecore/Attentive")))</f>
        <v/>
      </c>
      <c r="M120" s="61" t="str">
        <f t="shared" ca="1" si="11"/>
        <v/>
      </c>
      <c r="N120" s="7"/>
      <c r="O120" s="7"/>
      <c r="P120" s="7"/>
      <c r="Q120" s="7"/>
      <c r="R120" s="7"/>
      <c r="S120" s="6"/>
      <c r="T120" s="6"/>
      <c r="U120" s="6"/>
      <c r="V120" s="6"/>
      <c r="W120" s="6"/>
      <c r="X120" s="6"/>
      <c r="Y120" s="6"/>
      <c r="Z120" s="6"/>
      <c r="AA120"/>
      <c r="AB120"/>
      <c r="AC120"/>
      <c r="AD120"/>
      <c r="AE120"/>
      <c r="AF120"/>
      <c r="AG120"/>
      <c r="AH120"/>
      <c r="AI120"/>
      <c r="AJ120"/>
      <c r="AK120"/>
      <c r="AL120"/>
    </row>
    <row r="121" spans="1:38">
      <c r="A121" s="79" t="str" cm="1">
        <f t="array" aca="1" ref="A121" ca="1">IFERROR(INDEX(_xlfn.ANCHORARRAY($AA$11),ROW()-10,1),"")</f>
        <v/>
      </c>
      <c r="B121" s="81" t="str" cm="1">
        <f t="array" aca="1" ref="B121" ca="1">IFERROR(INDEX(_xlfn.ANCHORARRAY($AA$11),ROW()-10,2),"")</f>
        <v/>
      </c>
      <c r="C121" s="4" t="str" cm="1">
        <f t="array" aca="1" ref="C121" ca="1">IFERROR(INDEX(_xlfn.ANCHORARRAY($AA$11),ROW()-10,3),"")</f>
        <v/>
      </c>
      <c r="D121" s="13" t="str" cm="1">
        <f t="array" aca="1" ref="D121" ca="1">IFERROR(INDEX(_xlfn.ANCHORARRAY($AA$11),ROW()-10,4),"")</f>
        <v/>
      </c>
      <c r="E121" s="4" t="str" cm="1">
        <f t="array" aca="1" ref="E121" ca="1">IFERROR(INDEX(_xlfn.ANCHORARRAY($AA$11),ROW()-10,5),"")</f>
        <v/>
      </c>
      <c r="F121" s="13" t="str" cm="1">
        <f t="array" aca="1" ref="F121" ca="1">IFERROR(INDEX(_xlfn.ANCHORARRAY($AA$11),ROW()-10,6),"")</f>
        <v/>
      </c>
      <c r="G121" s="4" t="str" cm="1">
        <f t="array" aca="1" ref="G121" ca="1">IFERROR(INDEX(_xlfn.ANCHORARRAY($AA$11),ROW()-10,7),"")</f>
        <v/>
      </c>
      <c r="H121" s="4" t="str" cm="1">
        <f t="array" aca="1" ref="H121" ca="1">IFERROR(INDEX(_xlfn.ANCHORARRAY($AA$11),ROW()-10,8),"")</f>
        <v/>
      </c>
      <c r="I121" s="4" t="str" cm="1">
        <f t="array" aca="1" ref="I121" ca="1">IFERROR(INDEX(_xlfn.ANCHORARRAY($AA$11),ROW()-10,9),"")</f>
        <v/>
      </c>
      <c r="J121" s="4" t="str">
        <f t="shared" ca="1" si="9"/>
        <v/>
      </c>
      <c r="K121" s="4" t="str">
        <f t="shared" ca="1" si="10"/>
        <v/>
      </c>
      <c r="L121" s="4" t="str" cm="1">
        <f t="array" aca="1" ref="L121" ca="1">_xlfn.LET(_xlpm.link,IFERROR(INDEX(_xlfn.ANCHORARRAY($AA$11),ROW()-10,12),""),IF(_xlpm.link="","",HYPERLINK(_xlpm.link,"Bluecore/Attentive")))</f>
        <v/>
      </c>
      <c r="M121" s="60" t="str">
        <f t="shared" ca="1" si="11"/>
        <v/>
      </c>
      <c r="N121" s="7"/>
      <c r="O121" s="7"/>
      <c r="P121" s="7"/>
      <c r="Q121" s="7"/>
      <c r="R121" s="7"/>
      <c r="S121" s="6"/>
      <c r="T121" s="6"/>
      <c r="U121" s="6"/>
      <c r="V121" s="6"/>
      <c r="W121" s="6"/>
      <c r="X121" s="6"/>
      <c r="Y121" s="6"/>
      <c r="Z121" s="6"/>
      <c r="AA121"/>
      <c r="AB121"/>
      <c r="AC121"/>
      <c r="AD121"/>
      <c r="AE121"/>
      <c r="AF121"/>
      <c r="AG121"/>
      <c r="AH121"/>
      <c r="AI121"/>
      <c r="AJ121"/>
      <c r="AK121"/>
      <c r="AL121"/>
    </row>
    <row r="122" spans="1:38">
      <c r="A122" s="79" t="str" cm="1">
        <f t="array" aca="1" ref="A122" ca="1">IFERROR(INDEX(_xlfn.ANCHORARRAY($AA$11),ROW()-10,1),"")</f>
        <v/>
      </c>
      <c r="B122" s="81" t="str" cm="1">
        <f t="array" aca="1" ref="B122" ca="1">IFERROR(INDEX(_xlfn.ANCHORARRAY($AA$11),ROW()-10,2),"")</f>
        <v/>
      </c>
      <c r="C122" s="4" t="str" cm="1">
        <f t="array" aca="1" ref="C122" ca="1">IFERROR(INDEX(_xlfn.ANCHORARRAY($AA$11),ROW()-10,3),"")</f>
        <v/>
      </c>
      <c r="D122" s="13" t="str" cm="1">
        <f t="array" aca="1" ref="D122" ca="1">IFERROR(INDEX(_xlfn.ANCHORARRAY($AA$11),ROW()-10,4),"")</f>
        <v/>
      </c>
      <c r="E122" s="4" t="str" cm="1">
        <f t="array" aca="1" ref="E122" ca="1">IFERROR(INDEX(_xlfn.ANCHORARRAY($AA$11),ROW()-10,5),"")</f>
        <v/>
      </c>
      <c r="F122" s="13" t="str" cm="1">
        <f t="array" aca="1" ref="F122" ca="1">IFERROR(INDEX(_xlfn.ANCHORARRAY($AA$11),ROW()-10,6),"")</f>
        <v/>
      </c>
      <c r="G122" s="4" t="str" cm="1">
        <f t="array" aca="1" ref="G122" ca="1">IFERROR(INDEX(_xlfn.ANCHORARRAY($AA$11),ROW()-10,7),"")</f>
        <v/>
      </c>
      <c r="H122" s="4" t="str" cm="1">
        <f t="array" aca="1" ref="H122" ca="1">IFERROR(INDEX(_xlfn.ANCHORARRAY($AA$11),ROW()-10,8),"")</f>
        <v/>
      </c>
      <c r="I122" s="4" t="str" cm="1">
        <f t="array" aca="1" ref="I122" ca="1">IFERROR(INDEX(_xlfn.ANCHORARRAY($AA$11),ROW()-10,9),"")</f>
        <v/>
      </c>
      <c r="J122" s="4" t="str">
        <f t="shared" ca="1" si="9"/>
        <v/>
      </c>
      <c r="K122" s="4" t="str">
        <f t="shared" ca="1" si="10"/>
        <v/>
      </c>
      <c r="L122" s="4" t="str" cm="1">
        <f t="array" aca="1" ref="L122" ca="1">_xlfn.LET(_xlpm.link,IFERROR(INDEX(_xlfn.ANCHORARRAY($AA$11),ROW()-10,12),""),IF(_xlpm.link="","",HYPERLINK(_xlpm.link,"Bluecore/Attentive")))</f>
        <v/>
      </c>
      <c r="M122" s="61" t="str">
        <f t="shared" ca="1" si="11"/>
        <v/>
      </c>
      <c r="N122" s="7"/>
      <c r="O122" s="7"/>
      <c r="P122" s="7"/>
      <c r="Q122" s="7"/>
      <c r="R122" s="7"/>
      <c r="S122" s="6"/>
      <c r="T122" s="6"/>
      <c r="U122" s="6"/>
      <c r="V122" s="6"/>
      <c r="W122" s="6"/>
      <c r="X122" s="6"/>
      <c r="Y122" s="6"/>
      <c r="Z122" s="6"/>
      <c r="AA122"/>
      <c r="AB122"/>
      <c r="AC122"/>
      <c r="AD122"/>
      <c r="AE122"/>
      <c r="AF122"/>
      <c r="AG122"/>
      <c r="AH122"/>
      <c r="AI122"/>
      <c r="AJ122"/>
      <c r="AK122"/>
      <c r="AL122"/>
    </row>
    <row r="123" spans="1:38">
      <c r="A123" s="79" t="str" cm="1">
        <f t="array" aca="1" ref="A123" ca="1">IFERROR(INDEX(_xlfn.ANCHORARRAY($AA$11),ROW()-10,1),"")</f>
        <v/>
      </c>
      <c r="B123" s="81" t="str" cm="1">
        <f t="array" aca="1" ref="B123" ca="1">IFERROR(INDEX(_xlfn.ANCHORARRAY($AA$11),ROW()-10,2),"")</f>
        <v/>
      </c>
      <c r="C123" s="4" t="str" cm="1">
        <f t="array" aca="1" ref="C123" ca="1">IFERROR(INDEX(_xlfn.ANCHORARRAY($AA$11),ROW()-10,3),"")</f>
        <v/>
      </c>
      <c r="D123" s="13" t="str" cm="1">
        <f t="array" aca="1" ref="D123" ca="1">IFERROR(INDEX(_xlfn.ANCHORARRAY($AA$11),ROW()-10,4),"")</f>
        <v/>
      </c>
      <c r="E123" s="4" t="str" cm="1">
        <f t="array" aca="1" ref="E123" ca="1">IFERROR(INDEX(_xlfn.ANCHORARRAY($AA$11),ROW()-10,5),"")</f>
        <v/>
      </c>
      <c r="F123" s="13" t="str" cm="1">
        <f t="array" aca="1" ref="F123" ca="1">IFERROR(INDEX(_xlfn.ANCHORARRAY($AA$11),ROW()-10,6),"")</f>
        <v/>
      </c>
      <c r="G123" s="4" t="str" cm="1">
        <f t="array" aca="1" ref="G123" ca="1">IFERROR(INDEX(_xlfn.ANCHORARRAY($AA$11),ROW()-10,7),"")</f>
        <v/>
      </c>
      <c r="H123" s="4" t="str" cm="1">
        <f t="array" aca="1" ref="H123" ca="1">IFERROR(INDEX(_xlfn.ANCHORARRAY($AA$11),ROW()-10,8),"")</f>
        <v/>
      </c>
      <c r="I123" s="4" t="str" cm="1">
        <f t="array" aca="1" ref="I123" ca="1">IFERROR(INDEX(_xlfn.ANCHORARRAY($AA$11),ROW()-10,9),"")</f>
        <v/>
      </c>
      <c r="J123" s="4" t="str">
        <f t="shared" ca="1" si="9"/>
        <v/>
      </c>
      <c r="K123" s="4" t="str">
        <f t="shared" ca="1" si="10"/>
        <v/>
      </c>
      <c r="L123" s="4" t="str" cm="1">
        <f t="array" aca="1" ref="L123" ca="1">_xlfn.LET(_xlpm.link,IFERROR(INDEX(_xlfn.ANCHORARRAY($AA$11),ROW()-10,12),""),IF(_xlpm.link="","",HYPERLINK(_xlpm.link,"Bluecore/Attentive")))</f>
        <v/>
      </c>
      <c r="M123" s="60" t="str">
        <f t="shared" ca="1" si="11"/>
        <v/>
      </c>
      <c r="N123" s="7"/>
      <c r="O123" s="7"/>
      <c r="P123" s="7"/>
      <c r="Q123" s="7"/>
      <c r="R123" s="7"/>
      <c r="S123" s="6"/>
      <c r="T123" s="6"/>
      <c r="U123" s="6"/>
      <c r="V123" s="6"/>
      <c r="W123" s="6"/>
      <c r="X123" s="6"/>
      <c r="Y123" s="6"/>
      <c r="Z123" s="6"/>
      <c r="AA123"/>
      <c r="AB123"/>
      <c r="AC123"/>
      <c r="AD123"/>
      <c r="AE123"/>
      <c r="AF123"/>
      <c r="AG123"/>
      <c r="AH123"/>
      <c r="AI123"/>
      <c r="AJ123"/>
      <c r="AK123"/>
      <c r="AL123"/>
    </row>
    <row r="124" spans="1:38">
      <c r="A124" s="79" t="str" cm="1">
        <f t="array" aca="1" ref="A124" ca="1">IFERROR(INDEX(_xlfn.ANCHORARRAY($AA$11),ROW()-10,1),"")</f>
        <v/>
      </c>
      <c r="B124" s="81" t="str" cm="1">
        <f t="array" aca="1" ref="B124" ca="1">IFERROR(INDEX(_xlfn.ANCHORARRAY($AA$11),ROW()-10,2),"")</f>
        <v/>
      </c>
      <c r="C124" s="4" t="str" cm="1">
        <f t="array" aca="1" ref="C124" ca="1">IFERROR(INDEX(_xlfn.ANCHORARRAY($AA$11),ROW()-10,3),"")</f>
        <v/>
      </c>
      <c r="D124" s="13" t="str" cm="1">
        <f t="array" aca="1" ref="D124" ca="1">IFERROR(INDEX(_xlfn.ANCHORARRAY($AA$11),ROW()-10,4),"")</f>
        <v/>
      </c>
      <c r="E124" s="4" t="str" cm="1">
        <f t="array" aca="1" ref="E124" ca="1">IFERROR(INDEX(_xlfn.ANCHORARRAY($AA$11),ROW()-10,5),"")</f>
        <v/>
      </c>
      <c r="F124" s="13" t="str" cm="1">
        <f t="array" aca="1" ref="F124" ca="1">IFERROR(INDEX(_xlfn.ANCHORARRAY($AA$11),ROW()-10,6),"")</f>
        <v/>
      </c>
      <c r="G124" s="4" t="str" cm="1">
        <f t="array" aca="1" ref="G124" ca="1">IFERROR(INDEX(_xlfn.ANCHORARRAY($AA$11),ROW()-10,7),"")</f>
        <v/>
      </c>
      <c r="H124" s="4" t="str" cm="1">
        <f t="array" aca="1" ref="H124" ca="1">IFERROR(INDEX(_xlfn.ANCHORARRAY($AA$11),ROW()-10,8),"")</f>
        <v/>
      </c>
      <c r="I124" s="4" t="str" cm="1">
        <f t="array" aca="1" ref="I124" ca="1">IFERROR(INDEX(_xlfn.ANCHORARRAY($AA$11),ROW()-10,9),"")</f>
        <v/>
      </c>
      <c r="J124" s="4" t="str">
        <f t="shared" ca="1" si="9"/>
        <v/>
      </c>
      <c r="K124" s="4" t="str">
        <f t="shared" ca="1" si="10"/>
        <v/>
      </c>
      <c r="L124" s="4" t="str" cm="1">
        <f t="array" aca="1" ref="L124" ca="1">_xlfn.LET(_xlpm.link,IFERROR(INDEX(_xlfn.ANCHORARRAY($AA$11),ROW()-10,12),""),IF(_xlpm.link="","",HYPERLINK(_xlpm.link,"Bluecore/Attentive")))</f>
        <v/>
      </c>
      <c r="M124" s="61" t="str">
        <f t="shared" ca="1" si="11"/>
        <v/>
      </c>
      <c r="N124" s="7"/>
      <c r="O124" s="7"/>
      <c r="P124" s="7"/>
      <c r="Q124" s="7"/>
      <c r="R124" s="7"/>
      <c r="S124" s="6"/>
      <c r="T124" s="6"/>
      <c r="U124" s="6"/>
      <c r="V124" s="6"/>
      <c r="W124" s="6"/>
      <c r="X124" s="6"/>
      <c r="Y124" s="6"/>
      <c r="Z124" s="6"/>
      <c r="AA124"/>
      <c r="AB124"/>
      <c r="AC124"/>
      <c r="AD124"/>
      <c r="AE124"/>
      <c r="AF124"/>
      <c r="AG124"/>
      <c r="AH124"/>
      <c r="AI124"/>
      <c r="AJ124"/>
      <c r="AK124"/>
      <c r="AL124"/>
    </row>
    <row r="125" spans="1:38">
      <c r="A125" s="79" t="str" cm="1">
        <f t="array" aca="1" ref="A125" ca="1">IFERROR(INDEX(_xlfn.ANCHORARRAY($AA$11),ROW()-10,1),"")</f>
        <v/>
      </c>
      <c r="B125" s="81" t="str" cm="1">
        <f t="array" aca="1" ref="B125" ca="1">IFERROR(INDEX(_xlfn.ANCHORARRAY($AA$11),ROW()-10,2),"")</f>
        <v/>
      </c>
      <c r="C125" s="4" t="str" cm="1">
        <f t="array" aca="1" ref="C125" ca="1">IFERROR(INDEX(_xlfn.ANCHORARRAY($AA$11),ROW()-10,3),"")</f>
        <v/>
      </c>
      <c r="D125" s="13" t="str" cm="1">
        <f t="array" aca="1" ref="D125" ca="1">IFERROR(INDEX(_xlfn.ANCHORARRAY($AA$11),ROW()-10,4),"")</f>
        <v/>
      </c>
      <c r="E125" s="4" t="str" cm="1">
        <f t="array" aca="1" ref="E125" ca="1">IFERROR(INDEX(_xlfn.ANCHORARRAY($AA$11),ROW()-10,5),"")</f>
        <v/>
      </c>
      <c r="F125" s="13" t="str" cm="1">
        <f t="array" aca="1" ref="F125" ca="1">IFERROR(INDEX(_xlfn.ANCHORARRAY($AA$11),ROW()-10,6),"")</f>
        <v/>
      </c>
      <c r="G125" s="4" t="str" cm="1">
        <f t="array" aca="1" ref="G125" ca="1">IFERROR(INDEX(_xlfn.ANCHORARRAY($AA$11),ROW()-10,7),"")</f>
        <v/>
      </c>
      <c r="H125" s="4" t="str" cm="1">
        <f t="array" aca="1" ref="H125" ca="1">IFERROR(INDEX(_xlfn.ANCHORARRAY($AA$11),ROW()-10,8),"")</f>
        <v/>
      </c>
      <c r="I125" s="4" t="str" cm="1">
        <f t="array" aca="1" ref="I125" ca="1">IFERROR(INDEX(_xlfn.ANCHORARRAY($AA$11),ROW()-10,9),"")</f>
        <v/>
      </c>
      <c r="J125" s="4" t="str">
        <f t="shared" ca="1" si="9"/>
        <v/>
      </c>
      <c r="K125" s="4" t="str">
        <f t="shared" ca="1" si="10"/>
        <v/>
      </c>
      <c r="L125" s="4" t="str" cm="1">
        <f t="array" aca="1" ref="L125" ca="1">_xlfn.LET(_xlpm.link,IFERROR(INDEX(_xlfn.ANCHORARRAY($AA$11),ROW()-10,12),""),IF(_xlpm.link="","",HYPERLINK(_xlpm.link,"Bluecore/Attentive")))</f>
        <v/>
      </c>
      <c r="M125" s="60" t="str">
        <f t="shared" ca="1" si="11"/>
        <v/>
      </c>
      <c r="N125" s="7"/>
      <c r="O125" s="7"/>
      <c r="P125" s="7"/>
      <c r="Q125" s="7"/>
      <c r="R125" s="7"/>
      <c r="S125" s="6"/>
      <c r="T125" s="6"/>
      <c r="U125" s="6"/>
      <c r="V125" s="6"/>
      <c r="W125" s="6"/>
      <c r="X125" s="6"/>
      <c r="Y125" s="6"/>
      <c r="Z125" s="6"/>
      <c r="AA125"/>
      <c r="AB125"/>
      <c r="AC125"/>
      <c r="AD125"/>
      <c r="AE125"/>
      <c r="AF125"/>
      <c r="AG125"/>
      <c r="AH125"/>
      <c r="AI125"/>
      <c r="AJ125"/>
      <c r="AK125"/>
      <c r="AL125"/>
    </row>
    <row r="126" spans="1:38">
      <c r="A126" s="79" t="str" cm="1">
        <f t="array" aca="1" ref="A126" ca="1">IFERROR(INDEX(_xlfn.ANCHORARRAY($AA$11),ROW()-10,1),"")</f>
        <v/>
      </c>
      <c r="B126" s="81" t="str" cm="1">
        <f t="array" aca="1" ref="B126" ca="1">IFERROR(INDEX(_xlfn.ANCHORARRAY($AA$11),ROW()-10,2),"")</f>
        <v/>
      </c>
      <c r="C126" s="4" t="str" cm="1">
        <f t="array" aca="1" ref="C126" ca="1">IFERROR(INDEX(_xlfn.ANCHORARRAY($AA$11),ROW()-10,3),"")</f>
        <v/>
      </c>
      <c r="D126" s="13" t="str" cm="1">
        <f t="array" aca="1" ref="D126" ca="1">IFERROR(INDEX(_xlfn.ANCHORARRAY($AA$11),ROW()-10,4),"")</f>
        <v/>
      </c>
      <c r="E126" s="4" t="str" cm="1">
        <f t="array" aca="1" ref="E126" ca="1">IFERROR(INDEX(_xlfn.ANCHORARRAY($AA$11),ROW()-10,5),"")</f>
        <v/>
      </c>
      <c r="F126" s="13" t="str" cm="1">
        <f t="array" aca="1" ref="F126" ca="1">IFERROR(INDEX(_xlfn.ANCHORARRAY($AA$11),ROW()-10,6),"")</f>
        <v/>
      </c>
      <c r="G126" s="4" t="str" cm="1">
        <f t="array" aca="1" ref="G126" ca="1">IFERROR(INDEX(_xlfn.ANCHORARRAY($AA$11),ROW()-10,7),"")</f>
        <v/>
      </c>
      <c r="H126" s="4" t="str" cm="1">
        <f t="array" aca="1" ref="H126" ca="1">IFERROR(INDEX(_xlfn.ANCHORARRAY($AA$11),ROW()-10,8),"")</f>
        <v/>
      </c>
      <c r="I126" s="4" t="str" cm="1">
        <f t="array" aca="1" ref="I126" ca="1">IFERROR(INDEX(_xlfn.ANCHORARRAY($AA$11),ROW()-10,9),"")</f>
        <v/>
      </c>
      <c r="J126" s="4" t="str">
        <f t="shared" ca="1" si="9"/>
        <v/>
      </c>
      <c r="K126" s="4" t="str">
        <f t="shared" ca="1" si="10"/>
        <v/>
      </c>
      <c r="L126" s="4" t="str" cm="1">
        <f t="array" aca="1" ref="L126" ca="1">_xlfn.LET(_xlpm.link,IFERROR(INDEX(_xlfn.ANCHORARRAY($AA$11),ROW()-10,12),""),IF(_xlpm.link="","",HYPERLINK(_xlpm.link,"Bluecore/Attentive")))</f>
        <v/>
      </c>
      <c r="M126" s="61" t="str">
        <f t="shared" ca="1" si="11"/>
        <v/>
      </c>
      <c r="N126" s="7"/>
      <c r="O126" s="7"/>
      <c r="P126" s="7"/>
      <c r="Q126" s="7"/>
      <c r="R126" s="7"/>
      <c r="S126" s="6"/>
      <c r="T126" s="6"/>
      <c r="U126" s="6"/>
      <c r="V126" s="6"/>
      <c r="W126" s="6"/>
      <c r="X126" s="6"/>
      <c r="Y126" s="6"/>
      <c r="Z126" s="6"/>
      <c r="AA126"/>
      <c r="AB126"/>
      <c r="AC126"/>
      <c r="AD126"/>
      <c r="AE126"/>
      <c r="AF126"/>
      <c r="AG126"/>
      <c r="AH126"/>
      <c r="AI126"/>
      <c r="AJ126"/>
      <c r="AK126"/>
      <c r="AL126"/>
    </row>
    <row r="127" spans="1:38">
      <c r="A127" s="79" t="str" cm="1">
        <f t="array" aca="1" ref="A127" ca="1">IFERROR(INDEX(_xlfn.ANCHORARRAY($AA$11),ROW()-10,1),"")</f>
        <v/>
      </c>
      <c r="B127" s="81" t="str" cm="1">
        <f t="array" aca="1" ref="B127" ca="1">IFERROR(INDEX(_xlfn.ANCHORARRAY($AA$11),ROW()-10,2),"")</f>
        <v/>
      </c>
      <c r="C127" s="4" t="str" cm="1">
        <f t="array" aca="1" ref="C127" ca="1">IFERROR(INDEX(_xlfn.ANCHORARRAY($AA$11),ROW()-10,3),"")</f>
        <v/>
      </c>
      <c r="D127" s="13" t="str" cm="1">
        <f t="array" aca="1" ref="D127" ca="1">IFERROR(INDEX(_xlfn.ANCHORARRAY($AA$11),ROW()-10,4),"")</f>
        <v/>
      </c>
      <c r="E127" s="4" t="str" cm="1">
        <f t="array" aca="1" ref="E127" ca="1">IFERROR(INDEX(_xlfn.ANCHORARRAY($AA$11),ROW()-10,5),"")</f>
        <v/>
      </c>
      <c r="F127" s="13" t="str" cm="1">
        <f t="array" aca="1" ref="F127" ca="1">IFERROR(INDEX(_xlfn.ANCHORARRAY($AA$11),ROW()-10,6),"")</f>
        <v/>
      </c>
      <c r="G127" s="4" t="str" cm="1">
        <f t="array" aca="1" ref="G127" ca="1">IFERROR(INDEX(_xlfn.ANCHORARRAY($AA$11),ROW()-10,7),"")</f>
        <v/>
      </c>
      <c r="H127" s="4" t="str" cm="1">
        <f t="array" aca="1" ref="H127" ca="1">IFERROR(INDEX(_xlfn.ANCHORARRAY($AA$11),ROW()-10,8),"")</f>
        <v/>
      </c>
      <c r="I127" s="4" t="str" cm="1">
        <f t="array" aca="1" ref="I127" ca="1">IFERROR(INDEX(_xlfn.ANCHORARRAY($AA$11),ROW()-10,9),"")</f>
        <v/>
      </c>
      <c r="J127" s="4" t="str">
        <f t="shared" ca="1" si="9"/>
        <v/>
      </c>
      <c r="K127" s="4" t="str">
        <f t="shared" ca="1" si="10"/>
        <v/>
      </c>
      <c r="L127" s="4" t="str" cm="1">
        <f t="array" aca="1" ref="L127" ca="1">_xlfn.LET(_xlpm.link,IFERROR(INDEX(_xlfn.ANCHORARRAY($AA$11),ROW()-10,12),""),IF(_xlpm.link="","",HYPERLINK(_xlpm.link,"Bluecore/Attentive")))</f>
        <v/>
      </c>
      <c r="M127" s="60" t="str">
        <f t="shared" ca="1" si="11"/>
        <v/>
      </c>
      <c r="N127" s="7"/>
      <c r="O127" s="7"/>
      <c r="P127" s="7"/>
      <c r="Q127" s="7"/>
      <c r="R127" s="7"/>
      <c r="S127" s="6"/>
      <c r="T127" s="6"/>
      <c r="U127" s="6"/>
      <c r="V127" s="6"/>
      <c r="W127" s="6"/>
      <c r="X127" s="6"/>
      <c r="Y127" s="6"/>
      <c r="Z127" s="6"/>
      <c r="AA127"/>
      <c r="AB127"/>
      <c r="AC127"/>
      <c r="AD127"/>
      <c r="AE127"/>
      <c r="AF127"/>
      <c r="AG127"/>
      <c r="AH127"/>
      <c r="AI127"/>
      <c r="AJ127"/>
      <c r="AK127"/>
      <c r="AL127"/>
    </row>
    <row r="128" spans="1:38">
      <c r="A128" s="79" t="str" cm="1">
        <f t="array" aca="1" ref="A128" ca="1">IFERROR(INDEX(_xlfn.ANCHORARRAY($AA$11),ROW()-10,1),"")</f>
        <v/>
      </c>
      <c r="B128" s="81" t="str" cm="1">
        <f t="array" aca="1" ref="B128" ca="1">IFERROR(INDEX(_xlfn.ANCHORARRAY($AA$11),ROW()-10,2),"")</f>
        <v/>
      </c>
      <c r="C128" s="4" t="str" cm="1">
        <f t="array" aca="1" ref="C128" ca="1">IFERROR(INDEX(_xlfn.ANCHORARRAY($AA$11),ROW()-10,3),"")</f>
        <v/>
      </c>
      <c r="D128" s="13" t="str" cm="1">
        <f t="array" aca="1" ref="D128" ca="1">IFERROR(INDEX(_xlfn.ANCHORARRAY($AA$11),ROW()-10,4),"")</f>
        <v/>
      </c>
      <c r="E128" s="4" t="str" cm="1">
        <f t="array" aca="1" ref="E128" ca="1">IFERROR(INDEX(_xlfn.ANCHORARRAY($AA$11),ROW()-10,5),"")</f>
        <v/>
      </c>
      <c r="F128" s="13" t="str" cm="1">
        <f t="array" aca="1" ref="F128" ca="1">IFERROR(INDEX(_xlfn.ANCHORARRAY($AA$11),ROW()-10,6),"")</f>
        <v/>
      </c>
      <c r="G128" s="4" t="str" cm="1">
        <f t="array" aca="1" ref="G128" ca="1">IFERROR(INDEX(_xlfn.ANCHORARRAY($AA$11),ROW()-10,7),"")</f>
        <v/>
      </c>
      <c r="H128" s="4" t="str" cm="1">
        <f t="array" aca="1" ref="H128" ca="1">IFERROR(INDEX(_xlfn.ANCHORARRAY($AA$11),ROW()-10,8),"")</f>
        <v/>
      </c>
      <c r="I128" s="4" t="str" cm="1">
        <f t="array" aca="1" ref="I128" ca="1">IFERROR(INDEX(_xlfn.ANCHORARRAY($AA$11),ROW()-10,9),"")</f>
        <v/>
      </c>
      <c r="J128" s="4" t="str">
        <f t="shared" ca="1" si="9"/>
        <v/>
      </c>
      <c r="K128" s="4" t="str">
        <f t="shared" ca="1" si="10"/>
        <v/>
      </c>
      <c r="L128" s="4" t="str" cm="1">
        <f t="array" aca="1" ref="L128" ca="1">_xlfn.LET(_xlpm.link,IFERROR(INDEX(_xlfn.ANCHORARRAY($AA$11),ROW()-10,12),""),IF(_xlpm.link="","",HYPERLINK(_xlpm.link,"Bluecore/Attentive")))</f>
        <v/>
      </c>
      <c r="M128" s="61" t="str">
        <f t="shared" ca="1" si="11"/>
        <v/>
      </c>
      <c r="N128" s="7"/>
      <c r="O128" s="7"/>
      <c r="P128" s="7"/>
      <c r="Q128" s="7"/>
      <c r="R128" s="7"/>
      <c r="S128" s="6"/>
      <c r="T128" s="6"/>
      <c r="U128" s="6"/>
      <c r="V128" s="6"/>
      <c r="W128" s="6"/>
      <c r="X128" s="6"/>
      <c r="Y128" s="6"/>
      <c r="Z128" s="6"/>
      <c r="AA128"/>
      <c r="AB128"/>
      <c r="AC128"/>
      <c r="AD128"/>
      <c r="AE128"/>
      <c r="AF128"/>
      <c r="AG128"/>
      <c r="AH128"/>
      <c r="AI128"/>
      <c r="AJ128"/>
      <c r="AK128"/>
      <c r="AL128"/>
    </row>
    <row r="129" spans="1:38">
      <c r="A129" s="79" t="str" cm="1">
        <f t="array" aca="1" ref="A129" ca="1">IFERROR(INDEX(_xlfn.ANCHORARRAY($AA$11),ROW()-10,1),"")</f>
        <v/>
      </c>
      <c r="B129" s="81" t="str" cm="1">
        <f t="array" aca="1" ref="B129" ca="1">IFERROR(INDEX(_xlfn.ANCHORARRAY($AA$11),ROW()-10,2),"")</f>
        <v/>
      </c>
      <c r="C129" s="4" t="str" cm="1">
        <f t="array" aca="1" ref="C129" ca="1">IFERROR(INDEX(_xlfn.ANCHORARRAY($AA$11),ROW()-10,3),"")</f>
        <v/>
      </c>
      <c r="D129" s="13" t="str" cm="1">
        <f t="array" aca="1" ref="D129" ca="1">IFERROR(INDEX(_xlfn.ANCHORARRAY($AA$11),ROW()-10,4),"")</f>
        <v/>
      </c>
      <c r="E129" s="4" t="str" cm="1">
        <f t="array" aca="1" ref="E129" ca="1">IFERROR(INDEX(_xlfn.ANCHORARRAY($AA$11),ROW()-10,5),"")</f>
        <v/>
      </c>
      <c r="F129" s="13" t="str" cm="1">
        <f t="array" aca="1" ref="F129" ca="1">IFERROR(INDEX(_xlfn.ANCHORARRAY($AA$11),ROW()-10,6),"")</f>
        <v/>
      </c>
      <c r="G129" s="4" t="str" cm="1">
        <f t="array" aca="1" ref="G129" ca="1">IFERROR(INDEX(_xlfn.ANCHORARRAY($AA$11),ROW()-10,7),"")</f>
        <v/>
      </c>
      <c r="H129" s="4" t="str" cm="1">
        <f t="array" aca="1" ref="H129" ca="1">IFERROR(INDEX(_xlfn.ANCHORARRAY($AA$11),ROW()-10,8),"")</f>
        <v/>
      </c>
      <c r="I129" s="4" t="str" cm="1">
        <f t="array" aca="1" ref="I129" ca="1">IFERROR(INDEX(_xlfn.ANCHORARRAY($AA$11),ROW()-10,9),"")</f>
        <v/>
      </c>
      <c r="J129" s="4" t="str">
        <f t="shared" ca="1" si="9"/>
        <v/>
      </c>
      <c r="K129" s="4" t="str">
        <f t="shared" ca="1" si="10"/>
        <v/>
      </c>
      <c r="L129" s="4" t="str" cm="1">
        <f t="array" aca="1" ref="L129" ca="1">_xlfn.LET(_xlpm.link,IFERROR(INDEX(_xlfn.ANCHORARRAY($AA$11),ROW()-10,12),""),IF(_xlpm.link="","",HYPERLINK(_xlpm.link,"Bluecore/Attentive")))</f>
        <v/>
      </c>
      <c r="M129" s="60" t="str">
        <f t="shared" ca="1" si="11"/>
        <v/>
      </c>
      <c r="N129" s="7"/>
      <c r="O129" s="7"/>
      <c r="P129" s="7"/>
      <c r="Q129" s="7"/>
      <c r="R129" s="7"/>
      <c r="S129" s="6"/>
      <c r="T129" s="6"/>
      <c r="U129" s="6"/>
      <c r="V129" s="6"/>
      <c r="W129" s="6"/>
      <c r="X129" s="6"/>
      <c r="Y129" s="6"/>
      <c r="Z129" s="6"/>
      <c r="AA129"/>
      <c r="AB129"/>
      <c r="AC129"/>
      <c r="AD129"/>
      <c r="AE129"/>
      <c r="AF129"/>
      <c r="AG129"/>
      <c r="AH129"/>
      <c r="AI129"/>
      <c r="AJ129"/>
      <c r="AK129"/>
      <c r="AL129"/>
    </row>
    <row r="130" spans="1:38">
      <c r="A130" s="79" t="str" cm="1">
        <f t="array" aca="1" ref="A130" ca="1">IFERROR(INDEX(_xlfn.ANCHORARRAY($AA$11),ROW()-10,1),"")</f>
        <v/>
      </c>
      <c r="B130" s="81" t="str" cm="1">
        <f t="array" aca="1" ref="B130" ca="1">IFERROR(INDEX(_xlfn.ANCHORARRAY($AA$11),ROW()-10,2),"")</f>
        <v/>
      </c>
      <c r="C130" s="4" t="str" cm="1">
        <f t="array" aca="1" ref="C130" ca="1">IFERROR(INDEX(_xlfn.ANCHORARRAY($AA$11),ROW()-10,3),"")</f>
        <v/>
      </c>
      <c r="D130" s="13" t="str" cm="1">
        <f t="array" aca="1" ref="D130" ca="1">IFERROR(INDEX(_xlfn.ANCHORARRAY($AA$11),ROW()-10,4),"")</f>
        <v/>
      </c>
      <c r="E130" s="4" t="str" cm="1">
        <f t="array" aca="1" ref="E130" ca="1">IFERROR(INDEX(_xlfn.ANCHORARRAY($AA$11),ROW()-10,5),"")</f>
        <v/>
      </c>
      <c r="F130" s="13" t="str" cm="1">
        <f t="array" aca="1" ref="F130" ca="1">IFERROR(INDEX(_xlfn.ANCHORARRAY($AA$11),ROW()-10,6),"")</f>
        <v/>
      </c>
      <c r="G130" s="4" t="str" cm="1">
        <f t="array" aca="1" ref="G130" ca="1">IFERROR(INDEX(_xlfn.ANCHORARRAY($AA$11),ROW()-10,7),"")</f>
        <v/>
      </c>
      <c r="H130" s="4" t="str" cm="1">
        <f t="array" aca="1" ref="H130" ca="1">IFERROR(INDEX(_xlfn.ANCHORARRAY($AA$11),ROW()-10,8),"")</f>
        <v/>
      </c>
      <c r="I130" s="4" t="str" cm="1">
        <f t="array" aca="1" ref="I130" ca="1">IFERROR(INDEX(_xlfn.ANCHORARRAY($AA$11),ROW()-10,9),"")</f>
        <v/>
      </c>
      <c r="J130" s="4" t="str">
        <f t="shared" ca="1" si="9"/>
        <v/>
      </c>
      <c r="K130" s="4" t="str">
        <f t="shared" ca="1" si="10"/>
        <v/>
      </c>
      <c r="L130" s="4" t="str" cm="1">
        <f t="array" aca="1" ref="L130" ca="1">_xlfn.LET(_xlpm.link,IFERROR(INDEX(_xlfn.ANCHORARRAY($AA$11),ROW()-10,12),""),IF(_xlpm.link="","",HYPERLINK(_xlpm.link,"Bluecore/Attentive")))</f>
        <v/>
      </c>
      <c r="M130" s="61" t="str">
        <f t="shared" ca="1" si="11"/>
        <v/>
      </c>
      <c r="N130" s="7"/>
      <c r="O130" s="7"/>
      <c r="P130" s="7"/>
      <c r="Q130" s="7"/>
      <c r="R130" s="7"/>
      <c r="S130" s="6"/>
      <c r="T130" s="6"/>
      <c r="U130" s="6"/>
      <c r="V130" s="6"/>
      <c r="W130" s="6"/>
      <c r="X130" s="6"/>
      <c r="Y130" s="6"/>
      <c r="Z130" s="6"/>
      <c r="AA130"/>
      <c r="AB130"/>
      <c r="AC130"/>
      <c r="AD130"/>
      <c r="AE130"/>
      <c r="AF130"/>
      <c r="AG130"/>
      <c r="AH130"/>
      <c r="AI130"/>
      <c r="AJ130"/>
      <c r="AK130"/>
      <c r="AL130"/>
    </row>
    <row r="131" spans="1:38">
      <c r="A131" s="79" t="str" cm="1">
        <f t="array" aca="1" ref="A131" ca="1">IFERROR(INDEX(_xlfn.ANCHORARRAY($AA$11),ROW()-10,1),"")</f>
        <v/>
      </c>
      <c r="B131" s="81" t="str" cm="1">
        <f t="array" aca="1" ref="B131" ca="1">IFERROR(INDEX(_xlfn.ANCHORARRAY($AA$11),ROW()-10,2),"")</f>
        <v/>
      </c>
      <c r="C131" s="4" t="str" cm="1">
        <f t="array" aca="1" ref="C131" ca="1">IFERROR(INDEX(_xlfn.ANCHORARRAY($AA$11),ROW()-10,3),"")</f>
        <v/>
      </c>
      <c r="D131" s="13" t="str" cm="1">
        <f t="array" aca="1" ref="D131" ca="1">IFERROR(INDEX(_xlfn.ANCHORARRAY($AA$11),ROW()-10,4),"")</f>
        <v/>
      </c>
      <c r="E131" s="4" t="str" cm="1">
        <f t="array" aca="1" ref="E131" ca="1">IFERROR(INDEX(_xlfn.ANCHORARRAY($AA$11),ROW()-10,5),"")</f>
        <v/>
      </c>
      <c r="F131" s="13" t="str" cm="1">
        <f t="array" aca="1" ref="F131" ca="1">IFERROR(INDEX(_xlfn.ANCHORARRAY($AA$11),ROW()-10,6),"")</f>
        <v/>
      </c>
      <c r="G131" s="4" t="str" cm="1">
        <f t="array" aca="1" ref="G131" ca="1">IFERROR(INDEX(_xlfn.ANCHORARRAY($AA$11),ROW()-10,7),"")</f>
        <v/>
      </c>
      <c r="H131" s="4" t="str" cm="1">
        <f t="array" aca="1" ref="H131" ca="1">IFERROR(INDEX(_xlfn.ANCHORARRAY($AA$11),ROW()-10,8),"")</f>
        <v/>
      </c>
      <c r="I131" s="4" t="str" cm="1">
        <f t="array" aca="1" ref="I131" ca="1">IFERROR(INDEX(_xlfn.ANCHORARRAY($AA$11),ROW()-10,9),"")</f>
        <v/>
      </c>
      <c r="J131" s="4" t="str">
        <f t="shared" ca="1" si="9"/>
        <v/>
      </c>
      <c r="K131" s="4" t="str">
        <f t="shared" ca="1" si="10"/>
        <v/>
      </c>
      <c r="L131" s="4" t="str" cm="1">
        <f t="array" aca="1" ref="L131" ca="1">_xlfn.LET(_xlpm.link,IFERROR(INDEX(_xlfn.ANCHORARRAY($AA$11),ROW()-10,12),""),IF(_xlpm.link="","",HYPERLINK(_xlpm.link,"Bluecore/Attentive")))</f>
        <v/>
      </c>
      <c r="M131" s="60" t="str">
        <f t="shared" ca="1" si="11"/>
        <v/>
      </c>
      <c r="N131" s="7"/>
      <c r="O131" s="7"/>
      <c r="P131" s="7"/>
      <c r="Q131" s="7"/>
      <c r="R131" s="7"/>
      <c r="S131" s="6"/>
      <c r="T131" s="6"/>
      <c r="U131" s="6"/>
      <c r="V131" s="6"/>
      <c r="W131" s="6"/>
      <c r="X131" s="6"/>
      <c r="Y131" s="6"/>
      <c r="Z131" s="6"/>
      <c r="AA131"/>
      <c r="AB131"/>
      <c r="AC131"/>
      <c r="AD131"/>
      <c r="AE131"/>
      <c r="AF131"/>
      <c r="AG131"/>
      <c r="AH131"/>
      <c r="AI131"/>
      <c r="AJ131"/>
      <c r="AK131"/>
      <c r="AL131"/>
    </row>
    <row r="132" spans="1:38">
      <c r="A132" s="79" t="str" cm="1">
        <f t="array" aca="1" ref="A132" ca="1">IFERROR(INDEX(_xlfn.ANCHORARRAY($AA$11),ROW()-10,1),"")</f>
        <v/>
      </c>
      <c r="B132" s="81" t="str" cm="1">
        <f t="array" aca="1" ref="B132" ca="1">IFERROR(INDEX(_xlfn.ANCHORARRAY($AA$11),ROW()-10,2),"")</f>
        <v/>
      </c>
      <c r="C132" s="4" t="str" cm="1">
        <f t="array" aca="1" ref="C132" ca="1">IFERROR(INDEX(_xlfn.ANCHORARRAY($AA$11),ROW()-10,3),"")</f>
        <v/>
      </c>
      <c r="D132" s="13" t="str" cm="1">
        <f t="array" aca="1" ref="D132" ca="1">IFERROR(INDEX(_xlfn.ANCHORARRAY($AA$11),ROW()-10,4),"")</f>
        <v/>
      </c>
      <c r="E132" s="4" t="str" cm="1">
        <f t="array" aca="1" ref="E132" ca="1">IFERROR(INDEX(_xlfn.ANCHORARRAY($AA$11),ROW()-10,5),"")</f>
        <v/>
      </c>
      <c r="F132" s="13" t="str" cm="1">
        <f t="array" aca="1" ref="F132" ca="1">IFERROR(INDEX(_xlfn.ANCHORARRAY($AA$11),ROW()-10,6),"")</f>
        <v/>
      </c>
      <c r="G132" s="4" t="str" cm="1">
        <f t="array" aca="1" ref="G132" ca="1">IFERROR(INDEX(_xlfn.ANCHORARRAY($AA$11),ROW()-10,7),"")</f>
        <v/>
      </c>
      <c r="H132" s="4" t="str" cm="1">
        <f t="array" aca="1" ref="H132" ca="1">IFERROR(INDEX(_xlfn.ANCHORARRAY($AA$11),ROW()-10,8),"")</f>
        <v/>
      </c>
      <c r="I132" s="4" t="str" cm="1">
        <f t="array" aca="1" ref="I132" ca="1">IFERROR(INDEX(_xlfn.ANCHORARRAY($AA$11),ROW()-10,9),"")</f>
        <v/>
      </c>
      <c r="J132" s="4" t="str">
        <f t="shared" ca="1" si="9"/>
        <v/>
      </c>
      <c r="K132" s="4" t="str">
        <f t="shared" ca="1" si="10"/>
        <v/>
      </c>
      <c r="L132" s="4" t="str" cm="1">
        <f t="array" aca="1" ref="L132" ca="1">_xlfn.LET(_xlpm.link,IFERROR(INDEX(_xlfn.ANCHORARRAY($AA$11),ROW()-10,12),""),IF(_xlpm.link="","",HYPERLINK(_xlpm.link,"Bluecore/Attentive")))</f>
        <v/>
      </c>
      <c r="M132" s="61" t="str">
        <f t="shared" ca="1" si="11"/>
        <v/>
      </c>
      <c r="N132" s="7"/>
      <c r="O132" s="7"/>
      <c r="P132" s="7"/>
      <c r="Q132" s="7"/>
      <c r="R132" s="7"/>
      <c r="S132" s="6"/>
      <c r="T132" s="6"/>
      <c r="U132" s="6"/>
      <c r="V132" s="6"/>
      <c r="W132" s="6"/>
      <c r="X132" s="6"/>
      <c r="Y132" s="6"/>
      <c r="Z132" s="6"/>
      <c r="AA132"/>
      <c r="AB132"/>
      <c r="AC132"/>
      <c r="AD132"/>
      <c r="AE132"/>
      <c r="AF132"/>
      <c r="AG132"/>
      <c r="AH132"/>
      <c r="AI132"/>
      <c r="AJ132"/>
      <c r="AK132"/>
      <c r="AL132"/>
    </row>
    <row r="133" spans="1:38">
      <c r="A133" s="79" t="str" cm="1">
        <f t="array" aca="1" ref="A133" ca="1">IFERROR(INDEX(_xlfn.ANCHORARRAY($AA$11),ROW()-10,1),"")</f>
        <v/>
      </c>
      <c r="B133" s="81" t="str" cm="1">
        <f t="array" aca="1" ref="B133" ca="1">IFERROR(INDEX(_xlfn.ANCHORARRAY($AA$11),ROW()-10,2),"")</f>
        <v/>
      </c>
      <c r="C133" s="4" t="str" cm="1">
        <f t="array" aca="1" ref="C133" ca="1">IFERROR(INDEX(_xlfn.ANCHORARRAY($AA$11),ROW()-10,3),"")</f>
        <v/>
      </c>
      <c r="D133" s="13" t="str" cm="1">
        <f t="array" aca="1" ref="D133" ca="1">IFERROR(INDEX(_xlfn.ANCHORARRAY($AA$11),ROW()-10,4),"")</f>
        <v/>
      </c>
      <c r="E133" s="4" t="str" cm="1">
        <f t="array" aca="1" ref="E133" ca="1">IFERROR(INDEX(_xlfn.ANCHORARRAY($AA$11),ROW()-10,5),"")</f>
        <v/>
      </c>
      <c r="F133" s="13" t="str" cm="1">
        <f t="array" aca="1" ref="F133" ca="1">IFERROR(INDEX(_xlfn.ANCHORARRAY($AA$11),ROW()-10,6),"")</f>
        <v/>
      </c>
      <c r="G133" s="4" t="str" cm="1">
        <f t="array" aca="1" ref="G133" ca="1">IFERROR(INDEX(_xlfn.ANCHORARRAY($AA$11),ROW()-10,7),"")</f>
        <v/>
      </c>
      <c r="H133" s="4" t="str" cm="1">
        <f t="array" aca="1" ref="H133" ca="1">IFERROR(INDEX(_xlfn.ANCHORARRAY($AA$11),ROW()-10,8),"")</f>
        <v/>
      </c>
      <c r="I133" s="4" t="str" cm="1">
        <f t="array" aca="1" ref="I133" ca="1">IFERROR(INDEX(_xlfn.ANCHORARRAY($AA$11),ROW()-10,9),"")</f>
        <v/>
      </c>
      <c r="J133" s="4" t="str">
        <f t="shared" ca="1" si="9"/>
        <v/>
      </c>
      <c r="K133" s="4" t="str">
        <f t="shared" ca="1" si="10"/>
        <v/>
      </c>
      <c r="L133" s="4" t="str" cm="1">
        <f t="array" aca="1" ref="L133" ca="1">_xlfn.LET(_xlpm.link,IFERROR(INDEX(_xlfn.ANCHORARRAY($AA$11),ROW()-10,12),""),IF(_xlpm.link="","",HYPERLINK(_xlpm.link,"Bluecore/Attentive")))</f>
        <v/>
      </c>
      <c r="M133" s="60" t="str">
        <f t="shared" ca="1" si="11"/>
        <v/>
      </c>
      <c r="N133" s="7"/>
      <c r="O133" s="7"/>
      <c r="P133" s="7"/>
      <c r="Q133" s="7"/>
      <c r="R133" s="7"/>
      <c r="S133" s="6"/>
      <c r="T133" s="6"/>
      <c r="U133" s="6"/>
      <c r="V133" s="6"/>
      <c r="W133" s="6"/>
      <c r="X133" s="6"/>
      <c r="Y133" s="6"/>
      <c r="Z133" s="6"/>
      <c r="AA133"/>
      <c r="AB133"/>
      <c r="AC133"/>
      <c r="AD133"/>
      <c r="AE133"/>
      <c r="AF133"/>
      <c r="AG133"/>
      <c r="AH133"/>
      <c r="AI133"/>
      <c r="AJ133"/>
      <c r="AK133"/>
      <c r="AL133"/>
    </row>
    <row r="134" spans="1:38">
      <c r="A134" s="79" t="str" cm="1">
        <f t="array" aca="1" ref="A134" ca="1">IFERROR(INDEX(_xlfn.ANCHORARRAY($AA$11),ROW()-10,1),"")</f>
        <v/>
      </c>
      <c r="B134" s="81" t="str" cm="1">
        <f t="array" aca="1" ref="B134" ca="1">IFERROR(INDEX(_xlfn.ANCHORARRAY($AA$11),ROW()-10,2),"")</f>
        <v/>
      </c>
      <c r="C134" s="4" t="str" cm="1">
        <f t="array" aca="1" ref="C134" ca="1">IFERROR(INDEX(_xlfn.ANCHORARRAY($AA$11),ROW()-10,3),"")</f>
        <v/>
      </c>
      <c r="D134" s="13" t="str" cm="1">
        <f t="array" aca="1" ref="D134" ca="1">IFERROR(INDEX(_xlfn.ANCHORARRAY($AA$11),ROW()-10,4),"")</f>
        <v/>
      </c>
      <c r="E134" s="4" t="str" cm="1">
        <f t="array" aca="1" ref="E134" ca="1">IFERROR(INDEX(_xlfn.ANCHORARRAY($AA$11),ROW()-10,5),"")</f>
        <v/>
      </c>
      <c r="F134" s="13" t="str" cm="1">
        <f t="array" aca="1" ref="F134" ca="1">IFERROR(INDEX(_xlfn.ANCHORARRAY($AA$11),ROW()-10,6),"")</f>
        <v/>
      </c>
      <c r="G134" s="4" t="str" cm="1">
        <f t="array" aca="1" ref="G134" ca="1">IFERROR(INDEX(_xlfn.ANCHORARRAY($AA$11),ROW()-10,7),"")</f>
        <v/>
      </c>
      <c r="H134" s="4" t="str" cm="1">
        <f t="array" aca="1" ref="H134" ca="1">IFERROR(INDEX(_xlfn.ANCHORARRAY($AA$11),ROW()-10,8),"")</f>
        <v/>
      </c>
      <c r="I134" s="4" t="str" cm="1">
        <f t="array" aca="1" ref="I134" ca="1">IFERROR(INDEX(_xlfn.ANCHORARRAY($AA$11),ROW()-10,9),"")</f>
        <v/>
      </c>
      <c r="J134" s="4" t="str">
        <f t="shared" ca="1" si="9"/>
        <v/>
      </c>
      <c r="K134" s="4" t="str">
        <f t="shared" ca="1" si="10"/>
        <v/>
      </c>
      <c r="L134" s="4" t="str" cm="1">
        <f t="array" aca="1" ref="L134" ca="1">_xlfn.LET(_xlpm.link,IFERROR(INDEX(_xlfn.ANCHORARRAY($AA$11),ROW()-10,12),""),IF(_xlpm.link="","",HYPERLINK(_xlpm.link,"Bluecore/Attentive")))</f>
        <v/>
      </c>
      <c r="M134" s="61" t="str">
        <f t="shared" ca="1" si="11"/>
        <v/>
      </c>
      <c r="N134" s="7"/>
      <c r="O134" s="7"/>
      <c r="P134" s="7"/>
      <c r="Q134" s="7"/>
      <c r="R134" s="7"/>
      <c r="S134" s="6"/>
      <c r="T134" s="6"/>
      <c r="U134" s="6"/>
      <c r="V134" s="6"/>
      <c r="W134" s="6"/>
      <c r="X134" s="6"/>
      <c r="Y134" s="6"/>
      <c r="Z134" s="6"/>
      <c r="AA134"/>
      <c r="AB134"/>
      <c r="AC134"/>
      <c r="AD134"/>
      <c r="AE134"/>
      <c r="AF134"/>
      <c r="AG134"/>
      <c r="AH134"/>
      <c r="AI134"/>
      <c r="AJ134"/>
      <c r="AK134"/>
      <c r="AL134"/>
    </row>
    <row r="135" spans="1:38">
      <c r="A135" s="79" t="str" cm="1">
        <f t="array" aca="1" ref="A135" ca="1">IFERROR(INDEX(_xlfn.ANCHORARRAY($AA$11),ROW()-10,1),"")</f>
        <v/>
      </c>
      <c r="B135" s="81" t="str" cm="1">
        <f t="array" aca="1" ref="B135" ca="1">IFERROR(INDEX(_xlfn.ANCHORARRAY($AA$11),ROW()-10,2),"")</f>
        <v/>
      </c>
      <c r="C135" s="4" t="str" cm="1">
        <f t="array" aca="1" ref="C135" ca="1">IFERROR(INDEX(_xlfn.ANCHORARRAY($AA$11),ROW()-10,3),"")</f>
        <v/>
      </c>
      <c r="D135" s="13" t="str" cm="1">
        <f t="array" aca="1" ref="D135" ca="1">IFERROR(INDEX(_xlfn.ANCHORARRAY($AA$11),ROW()-10,4),"")</f>
        <v/>
      </c>
      <c r="E135" s="4" t="str" cm="1">
        <f t="array" aca="1" ref="E135" ca="1">IFERROR(INDEX(_xlfn.ANCHORARRAY($AA$11),ROW()-10,5),"")</f>
        <v/>
      </c>
      <c r="F135" s="13" t="str" cm="1">
        <f t="array" aca="1" ref="F135" ca="1">IFERROR(INDEX(_xlfn.ANCHORARRAY($AA$11),ROW()-10,6),"")</f>
        <v/>
      </c>
      <c r="G135" s="4" t="str" cm="1">
        <f t="array" aca="1" ref="G135" ca="1">IFERROR(INDEX(_xlfn.ANCHORARRAY($AA$11),ROW()-10,7),"")</f>
        <v/>
      </c>
      <c r="H135" s="4" t="str" cm="1">
        <f t="array" aca="1" ref="H135" ca="1">IFERROR(INDEX(_xlfn.ANCHORARRAY($AA$11),ROW()-10,8),"")</f>
        <v/>
      </c>
      <c r="I135" s="4" t="str" cm="1">
        <f t="array" aca="1" ref="I135" ca="1">IFERROR(INDEX(_xlfn.ANCHORARRAY($AA$11),ROW()-10,9),"")</f>
        <v/>
      </c>
      <c r="J135" s="4" t="str">
        <f t="shared" ca="1" si="9"/>
        <v/>
      </c>
      <c r="K135" s="4" t="str">
        <f t="shared" ca="1" si="10"/>
        <v/>
      </c>
      <c r="L135" s="4" t="str" cm="1">
        <f t="array" aca="1" ref="L135" ca="1">_xlfn.LET(_xlpm.link,IFERROR(INDEX(_xlfn.ANCHORARRAY($AA$11),ROW()-10,12),""),IF(_xlpm.link="","",HYPERLINK(_xlpm.link,"Bluecore/Attentive")))</f>
        <v/>
      </c>
      <c r="M135" s="60" t="str">
        <f t="shared" ca="1" si="11"/>
        <v/>
      </c>
      <c r="N135" s="7"/>
      <c r="O135" s="7"/>
      <c r="P135" s="7"/>
      <c r="Q135" s="7"/>
      <c r="R135" s="7"/>
      <c r="S135" s="6"/>
      <c r="T135" s="6"/>
      <c r="U135" s="6"/>
      <c r="V135" s="6"/>
      <c r="W135" s="6"/>
      <c r="X135" s="6"/>
      <c r="Y135" s="6"/>
      <c r="Z135" s="6"/>
      <c r="AA135"/>
      <c r="AB135"/>
      <c r="AC135"/>
      <c r="AD135"/>
      <c r="AE135"/>
      <c r="AF135"/>
      <c r="AG135"/>
      <c r="AH135"/>
      <c r="AI135"/>
      <c r="AJ135"/>
      <c r="AK135"/>
      <c r="AL135"/>
    </row>
    <row r="136" spans="1:38">
      <c r="A136" s="79" t="str" cm="1">
        <f t="array" aca="1" ref="A136" ca="1">IFERROR(INDEX(_xlfn.ANCHORARRAY($AA$11),ROW()-10,1),"")</f>
        <v/>
      </c>
      <c r="B136" s="81" t="str" cm="1">
        <f t="array" aca="1" ref="B136" ca="1">IFERROR(INDEX(_xlfn.ANCHORARRAY($AA$11),ROW()-10,2),"")</f>
        <v/>
      </c>
      <c r="C136" s="4" t="str" cm="1">
        <f t="array" aca="1" ref="C136" ca="1">IFERROR(INDEX(_xlfn.ANCHORARRAY($AA$11),ROW()-10,3),"")</f>
        <v/>
      </c>
      <c r="D136" s="13" t="str" cm="1">
        <f t="array" aca="1" ref="D136" ca="1">IFERROR(INDEX(_xlfn.ANCHORARRAY($AA$11),ROW()-10,4),"")</f>
        <v/>
      </c>
      <c r="E136" s="4" t="str" cm="1">
        <f t="array" aca="1" ref="E136" ca="1">IFERROR(INDEX(_xlfn.ANCHORARRAY($AA$11),ROW()-10,5),"")</f>
        <v/>
      </c>
      <c r="F136" s="13" t="str" cm="1">
        <f t="array" aca="1" ref="F136" ca="1">IFERROR(INDEX(_xlfn.ANCHORARRAY($AA$11),ROW()-10,6),"")</f>
        <v/>
      </c>
      <c r="G136" s="4" t="str" cm="1">
        <f t="array" aca="1" ref="G136" ca="1">IFERROR(INDEX(_xlfn.ANCHORARRAY($AA$11),ROW()-10,7),"")</f>
        <v/>
      </c>
      <c r="H136" s="4" t="str" cm="1">
        <f t="array" aca="1" ref="H136" ca="1">IFERROR(INDEX(_xlfn.ANCHORARRAY($AA$11),ROW()-10,8),"")</f>
        <v/>
      </c>
      <c r="I136" s="4" t="str" cm="1">
        <f t="array" aca="1" ref="I136" ca="1">IFERROR(INDEX(_xlfn.ANCHORARRAY($AA$11),ROW()-10,9),"")</f>
        <v/>
      </c>
      <c r="J136" s="4" t="str">
        <f t="shared" ca="1" si="9"/>
        <v/>
      </c>
      <c r="K136" s="4" t="str">
        <f t="shared" ca="1" si="10"/>
        <v/>
      </c>
      <c r="L136" s="4" t="str" cm="1">
        <f t="array" aca="1" ref="L136" ca="1">_xlfn.LET(_xlpm.link,IFERROR(INDEX(_xlfn.ANCHORARRAY($AA$11),ROW()-10,12),""),IF(_xlpm.link="","",HYPERLINK(_xlpm.link,"Bluecore/Attentive")))</f>
        <v/>
      </c>
      <c r="M136" s="61" t="str">
        <f t="shared" ca="1" si="11"/>
        <v/>
      </c>
      <c r="N136" s="7"/>
      <c r="O136" s="7"/>
      <c r="P136" s="7"/>
      <c r="Q136" s="7"/>
      <c r="R136" s="7"/>
      <c r="S136" s="6"/>
      <c r="T136" s="6"/>
      <c r="U136" s="6"/>
      <c r="V136" s="6"/>
      <c r="W136" s="6"/>
      <c r="X136" s="6"/>
      <c r="Y136" s="6"/>
      <c r="Z136" s="6"/>
      <c r="AA136"/>
      <c r="AB136"/>
      <c r="AC136"/>
      <c r="AD136"/>
      <c r="AE136"/>
      <c r="AF136"/>
      <c r="AG136"/>
      <c r="AH136"/>
      <c r="AI136"/>
      <c r="AJ136"/>
      <c r="AK136"/>
      <c r="AL136"/>
    </row>
    <row r="137" spans="1:38">
      <c r="A137" s="79" t="str" cm="1">
        <f t="array" aca="1" ref="A137" ca="1">IFERROR(INDEX(_xlfn.ANCHORARRAY($AA$11),ROW()-10,1),"")</f>
        <v/>
      </c>
      <c r="B137" s="81" t="str" cm="1">
        <f t="array" aca="1" ref="B137" ca="1">IFERROR(INDEX(_xlfn.ANCHORARRAY($AA$11),ROW()-10,2),"")</f>
        <v/>
      </c>
      <c r="C137" s="4" t="str" cm="1">
        <f t="array" aca="1" ref="C137" ca="1">IFERROR(INDEX(_xlfn.ANCHORARRAY($AA$11),ROW()-10,3),"")</f>
        <v/>
      </c>
      <c r="D137" s="13" t="str" cm="1">
        <f t="array" aca="1" ref="D137" ca="1">IFERROR(INDEX(_xlfn.ANCHORARRAY($AA$11),ROW()-10,4),"")</f>
        <v/>
      </c>
      <c r="E137" s="4" t="str" cm="1">
        <f t="array" aca="1" ref="E137" ca="1">IFERROR(INDEX(_xlfn.ANCHORARRAY($AA$11),ROW()-10,5),"")</f>
        <v/>
      </c>
      <c r="F137" s="13" t="str" cm="1">
        <f t="array" aca="1" ref="F137" ca="1">IFERROR(INDEX(_xlfn.ANCHORARRAY($AA$11),ROW()-10,6),"")</f>
        <v/>
      </c>
      <c r="G137" s="4" t="str" cm="1">
        <f t="array" aca="1" ref="G137" ca="1">IFERROR(INDEX(_xlfn.ANCHORARRAY($AA$11),ROW()-10,7),"")</f>
        <v/>
      </c>
      <c r="H137" s="4" t="str" cm="1">
        <f t="array" aca="1" ref="H137" ca="1">IFERROR(INDEX(_xlfn.ANCHORARRAY($AA$11),ROW()-10,8),"")</f>
        <v/>
      </c>
      <c r="I137" s="4" t="str" cm="1">
        <f t="array" aca="1" ref="I137" ca="1">IFERROR(INDEX(_xlfn.ANCHORARRAY($AA$11),ROW()-10,9),"")</f>
        <v/>
      </c>
      <c r="J137" s="4" t="str">
        <f t="shared" ca="1" si="9"/>
        <v/>
      </c>
      <c r="K137" s="4" t="str">
        <f t="shared" ca="1" si="10"/>
        <v/>
      </c>
      <c r="L137" s="4" t="str" cm="1">
        <f t="array" aca="1" ref="L137" ca="1">_xlfn.LET(_xlpm.link,IFERROR(INDEX(_xlfn.ANCHORARRAY($AA$11),ROW()-10,12),""),IF(_xlpm.link="","",HYPERLINK(_xlpm.link,"Bluecore/Attentive")))</f>
        <v/>
      </c>
      <c r="M137" s="60" t="str">
        <f t="shared" ca="1" si="11"/>
        <v/>
      </c>
      <c r="N137" s="7"/>
      <c r="O137" s="7"/>
      <c r="P137" s="7"/>
      <c r="Q137" s="7"/>
      <c r="R137" s="7"/>
      <c r="S137" s="6"/>
      <c r="T137" s="6"/>
      <c r="U137" s="6"/>
      <c r="V137" s="6"/>
      <c r="W137" s="6"/>
      <c r="X137" s="6"/>
      <c r="Y137" s="6"/>
      <c r="Z137" s="6"/>
      <c r="AA137"/>
      <c r="AB137"/>
      <c r="AC137"/>
      <c r="AD137"/>
      <c r="AE137"/>
      <c r="AF137"/>
      <c r="AG137"/>
      <c r="AH137"/>
      <c r="AI137"/>
      <c r="AJ137"/>
      <c r="AK137"/>
      <c r="AL137"/>
    </row>
    <row r="138" spans="1:38">
      <c r="A138" s="79" t="str" cm="1">
        <f t="array" aca="1" ref="A138" ca="1">IFERROR(INDEX(_xlfn.ANCHORARRAY($AA$11),ROW()-10,1),"")</f>
        <v/>
      </c>
      <c r="B138" s="81" t="str" cm="1">
        <f t="array" aca="1" ref="B138" ca="1">IFERROR(INDEX(_xlfn.ANCHORARRAY($AA$11),ROW()-10,2),"")</f>
        <v/>
      </c>
      <c r="C138" s="4" t="str" cm="1">
        <f t="array" aca="1" ref="C138" ca="1">IFERROR(INDEX(_xlfn.ANCHORARRAY($AA$11),ROW()-10,3),"")</f>
        <v/>
      </c>
      <c r="D138" s="13" t="str" cm="1">
        <f t="array" aca="1" ref="D138" ca="1">IFERROR(INDEX(_xlfn.ANCHORARRAY($AA$11),ROW()-10,4),"")</f>
        <v/>
      </c>
      <c r="E138" s="4" t="str" cm="1">
        <f t="array" aca="1" ref="E138" ca="1">IFERROR(INDEX(_xlfn.ANCHORARRAY($AA$11),ROW()-10,5),"")</f>
        <v/>
      </c>
      <c r="F138" s="13" t="str" cm="1">
        <f t="array" aca="1" ref="F138" ca="1">IFERROR(INDEX(_xlfn.ANCHORARRAY($AA$11),ROW()-10,6),"")</f>
        <v/>
      </c>
      <c r="G138" s="4" t="str" cm="1">
        <f t="array" aca="1" ref="G138" ca="1">IFERROR(INDEX(_xlfn.ANCHORARRAY($AA$11),ROW()-10,7),"")</f>
        <v/>
      </c>
      <c r="H138" s="4" t="str" cm="1">
        <f t="array" aca="1" ref="H138" ca="1">IFERROR(INDEX(_xlfn.ANCHORARRAY($AA$11),ROW()-10,8),"")</f>
        <v/>
      </c>
      <c r="I138" s="4" t="str" cm="1">
        <f t="array" aca="1" ref="I138" ca="1">IFERROR(INDEX(_xlfn.ANCHORARRAY($AA$11),ROW()-10,9),"")</f>
        <v/>
      </c>
      <c r="J138" s="4" t="str">
        <f t="shared" ca="1" si="9"/>
        <v/>
      </c>
      <c r="K138" s="4" t="str">
        <f t="shared" ca="1" si="10"/>
        <v/>
      </c>
      <c r="L138" s="4" t="str" cm="1">
        <f t="array" aca="1" ref="L138" ca="1">_xlfn.LET(_xlpm.link,IFERROR(INDEX(_xlfn.ANCHORARRAY($AA$11),ROW()-10,12),""),IF(_xlpm.link="","",HYPERLINK(_xlpm.link,"Bluecore/Attentive")))</f>
        <v/>
      </c>
      <c r="M138" s="61" t="str">
        <f t="shared" ca="1" si="11"/>
        <v/>
      </c>
      <c r="N138" s="7"/>
      <c r="O138" s="7"/>
      <c r="P138" s="7"/>
      <c r="Q138" s="7"/>
      <c r="R138" s="7"/>
      <c r="S138" s="6"/>
      <c r="T138" s="6"/>
      <c r="U138" s="6"/>
      <c r="V138" s="6"/>
      <c r="W138" s="6"/>
      <c r="X138" s="6"/>
      <c r="Y138" s="6"/>
      <c r="Z138" s="6"/>
      <c r="AA138"/>
      <c r="AB138"/>
      <c r="AC138"/>
      <c r="AD138"/>
      <c r="AE138"/>
      <c r="AF138"/>
      <c r="AG138"/>
      <c r="AH138"/>
      <c r="AI138"/>
      <c r="AJ138"/>
      <c r="AK138"/>
      <c r="AL138"/>
    </row>
    <row r="139" spans="1:38">
      <c r="A139" s="79" t="str" cm="1">
        <f t="array" aca="1" ref="A139" ca="1">IFERROR(INDEX(_xlfn.ANCHORARRAY($AA$11),ROW()-10,1),"")</f>
        <v/>
      </c>
      <c r="B139" s="81" t="str" cm="1">
        <f t="array" aca="1" ref="B139" ca="1">IFERROR(INDEX(_xlfn.ANCHORARRAY($AA$11),ROW()-10,2),"")</f>
        <v/>
      </c>
      <c r="C139" s="4" t="str" cm="1">
        <f t="array" aca="1" ref="C139" ca="1">IFERROR(INDEX(_xlfn.ANCHORARRAY($AA$11),ROW()-10,3),"")</f>
        <v/>
      </c>
      <c r="D139" s="13" t="str" cm="1">
        <f t="array" aca="1" ref="D139" ca="1">IFERROR(INDEX(_xlfn.ANCHORARRAY($AA$11),ROW()-10,4),"")</f>
        <v/>
      </c>
      <c r="E139" s="4" t="str" cm="1">
        <f t="array" aca="1" ref="E139" ca="1">IFERROR(INDEX(_xlfn.ANCHORARRAY($AA$11),ROW()-10,5),"")</f>
        <v/>
      </c>
      <c r="F139" s="13" t="str" cm="1">
        <f t="array" aca="1" ref="F139" ca="1">IFERROR(INDEX(_xlfn.ANCHORARRAY($AA$11),ROW()-10,6),"")</f>
        <v/>
      </c>
      <c r="G139" s="4" t="str" cm="1">
        <f t="array" aca="1" ref="G139" ca="1">IFERROR(INDEX(_xlfn.ANCHORARRAY($AA$11),ROW()-10,7),"")</f>
        <v/>
      </c>
      <c r="H139" s="4" t="str" cm="1">
        <f t="array" aca="1" ref="H139" ca="1">IFERROR(INDEX(_xlfn.ANCHORARRAY($AA$11),ROW()-10,8),"")</f>
        <v/>
      </c>
      <c r="I139" s="4" t="str" cm="1">
        <f t="array" aca="1" ref="I139" ca="1">IFERROR(INDEX(_xlfn.ANCHORARRAY($AA$11),ROW()-10,9),"")</f>
        <v/>
      </c>
      <c r="J139" s="4" t="str">
        <f t="shared" ref="J139:J160" ca="1" si="12">_xlfn.LET(_xlpm.ch,IFERROR(INDEX(_xlfn.ANCHORARRAY($AA$11),ROW()-10,3),""),_xlpm.link,IFERROR(INDEX(_xlfn.ANCHORARRAY($AA$11),ROW()-10,10),""),IF(OR(_xlpm.link="",_xlpm.ch="SMS"),"",HYPERLINK(_xlpm.link,"JIRA")))</f>
        <v/>
      </c>
      <c r="K139" s="4" t="str">
        <f t="shared" ref="K139:K160" ca="1" si="13">_xlfn.LET(_xlpm.ch,IFERROR(INDEX(_xlfn.ANCHORARRAY($AA$11),ROW()-10,3),""),_xlpm.link,IFERROR(INDEX(_xlfn.ANCHORARRAY($AA$11),ROW()-10,11),""),IF(OR(_xlpm.link="",_xlpm.ch="SMS"),"",HYPERLINK(_xlpm.link,"ClickUp")))</f>
        <v/>
      </c>
      <c r="L139" s="4" t="str" cm="1">
        <f t="array" aca="1" ref="L139" ca="1">_xlfn.LET(_xlpm.link,IFERROR(INDEX(_xlfn.ANCHORARRAY($AA$11),ROW()-10,12),""),IF(_xlpm.link="","",HYPERLINK(_xlpm.link,"Bluecore/Attentive")))</f>
        <v/>
      </c>
      <c r="M139" s="60" t="str">
        <f t="shared" ref="M139:M160" ca="1" si="14">_xlfn.LET(_xlpm.sendDate,$A139,_xlpm.camp,$D139&amp;"",_xlpm.code,LEFT(_xlpm.camp,6),_xlpm.parsed,IFERROR(DATE(2000+VALUE(MID(_xlpm.code,5,2)),VALUE(LEFT(_xlpm.code,2)),VALUE(MID(_xlpm.code,3,2))),""),_xlpm.useDate,IF(_xlpm.parsed="",IF(ISNUMBER(_xlpm.sendDate),INT(_xlpm.sendDate),""),_xlpm.parsed),IF(_xlpm.useDate="","","Week "&amp;WEEKNUM(_xlpm.useDate,1)))</f>
        <v/>
      </c>
      <c r="N139" s="7"/>
      <c r="O139" s="7"/>
      <c r="P139" s="7"/>
      <c r="Q139" s="7"/>
      <c r="R139" s="7"/>
      <c r="S139" s="6"/>
      <c r="T139" s="6"/>
      <c r="U139" s="6"/>
      <c r="V139" s="6"/>
      <c r="W139" s="6"/>
      <c r="X139" s="6"/>
      <c r="Y139" s="6"/>
      <c r="Z139" s="6"/>
      <c r="AA139"/>
      <c r="AB139"/>
      <c r="AC139"/>
      <c r="AD139"/>
      <c r="AE139"/>
      <c r="AF139"/>
      <c r="AG139"/>
      <c r="AH139"/>
      <c r="AI139"/>
      <c r="AJ139"/>
      <c r="AK139"/>
      <c r="AL139"/>
    </row>
    <row r="140" spans="1:38">
      <c r="A140" s="79" t="str" cm="1">
        <f t="array" aca="1" ref="A140" ca="1">IFERROR(INDEX(_xlfn.ANCHORARRAY($AA$11),ROW()-10,1),"")</f>
        <v/>
      </c>
      <c r="B140" s="81" t="str" cm="1">
        <f t="array" aca="1" ref="B140" ca="1">IFERROR(INDEX(_xlfn.ANCHORARRAY($AA$11),ROW()-10,2),"")</f>
        <v/>
      </c>
      <c r="C140" s="4" t="str" cm="1">
        <f t="array" aca="1" ref="C140" ca="1">IFERROR(INDEX(_xlfn.ANCHORARRAY($AA$11),ROW()-10,3),"")</f>
        <v/>
      </c>
      <c r="D140" s="13" t="str" cm="1">
        <f t="array" aca="1" ref="D140" ca="1">IFERROR(INDEX(_xlfn.ANCHORARRAY($AA$11),ROW()-10,4),"")</f>
        <v/>
      </c>
      <c r="E140" s="4" t="str" cm="1">
        <f t="array" aca="1" ref="E140" ca="1">IFERROR(INDEX(_xlfn.ANCHORARRAY($AA$11),ROW()-10,5),"")</f>
        <v/>
      </c>
      <c r="F140" s="13" t="str" cm="1">
        <f t="array" aca="1" ref="F140" ca="1">IFERROR(INDEX(_xlfn.ANCHORARRAY($AA$11),ROW()-10,6),"")</f>
        <v/>
      </c>
      <c r="G140" s="4" t="str" cm="1">
        <f t="array" aca="1" ref="G140" ca="1">IFERROR(INDEX(_xlfn.ANCHORARRAY($AA$11),ROW()-10,7),"")</f>
        <v/>
      </c>
      <c r="H140" s="4" t="str" cm="1">
        <f t="array" aca="1" ref="H140" ca="1">IFERROR(INDEX(_xlfn.ANCHORARRAY($AA$11),ROW()-10,8),"")</f>
        <v/>
      </c>
      <c r="I140" s="4" t="str" cm="1">
        <f t="array" aca="1" ref="I140" ca="1">IFERROR(INDEX(_xlfn.ANCHORARRAY($AA$11),ROW()-10,9),"")</f>
        <v/>
      </c>
      <c r="J140" s="4" t="str">
        <f t="shared" ca="1" si="12"/>
        <v/>
      </c>
      <c r="K140" s="4" t="str">
        <f t="shared" ca="1" si="13"/>
        <v/>
      </c>
      <c r="L140" s="4" t="str" cm="1">
        <f t="array" aca="1" ref="L140" ca="1">_xlfn.LET(_xlpm.link,IFERROR(INDEX(_xlfn.ANCHORARRAY($AA$11),ROW()-10,12),""),IF(_xlpm.link="","",HYPERLINK(_xlpm.link,"Bluecore/Attentive")))</f>
        <v/>
      </c>
      <c r="M140" s="61" t="str">
        <f t="shared" ca="1" si="14"/>
        <v/>
      </c>
      <c r="N140" s="7"/>
      <c r="O140" s="7"/>
      <c r="P140" s="7"/>
      <c r="Q140" s="7"/>
      <c r="R140" s="7"/>
      <c r="S140" s="6"/>
      <c r="T140" s="6"/>
      <c r="U140" s="6"/>
      <c r="V140" s="6"/>
      <c r="W140" s="6"/>
      <c r="X140" s="6"/>
      <c r="Y140" s="6"/>
      <c r="Z140" s="6"/>
      <c r="AA140"/>
      <c r="AB140"/>
      <c r="AC140"/>
      <c r="AD140"/>
      <c r="AE140"/>
      <c r="AF140"/>
      <c r="AG140"/>
      <c r="AH140"/>
      <c r="AI140"/>
      <c r="AJ140"/>
      <c r="AK140"/>
      <c r="AL140"/>
    </row>
    <row r="141" spans="1:38">
      <c r="A141" s="79" t="str" cm="1">
        <f t="array" aca="1" ref="A141" ca="1">IFERROR(INDEX(_xlfn.ANCHORARRAY($AA$11),ROW()-10,1),"")</f>
        <v/>
      </c>
      <c r="B141" s="81" t="str" cm="1">
        <f t="array" aca="1" ref="B141" ca="1">IFERROR(INDEX(_xlfn.ANCHORARRAY($AA$11),ROW()-10,2),"")</f>
        <v/>
      </c>
      <c r="C141" s="4" t="str" cm="1">
        <f t="array" aca="1" ref="C141" ca="1">IFERROR(INDEX(_xlfn.ANCHORARRAY($AA$11),ROW()-10,3),"")</f>
        <v/>
      </c>
      <c r="D141" s="13" t="str" cm="1">
        <f t="array" aca="1" ref="D141" ca="1">IFERROR(INDEX(_xlfn.ANCHORARRAY($AA$11),ROW()-10,4),"")</f>
        <v/>
      </c>
      <c r="E141" s="4" t="str" cm="1">
        <f t="array" aca="1" ref="E141" ca="1">IFERROR(INDEX(_xlfn.ANCHORARRAY($AA$11),ROW()-10,5),"")</f>
        <v/>
      </c>
      <c r="F141" s="13" t="str" cm="1">
        <f t="array" aca="1" ref="F141" ca="1">IFERROR(INDEX(_xlfn.ANCHORARRAY($AA$11),ROW()-10,6),"")</f>
        <v/>
      </c>
      <c r="G141" s="4" t="str" cm="1">
        <f t="array" aca="1" ref="G141" ca="1">IFERROR(INDEX(_xlfn.ANCHORARRAY($AA$11),ROW()-10,7),"")</f>
        <v/>
      </c>
      <c r="H141" s="4" t="str" cm="1">
        <f t="array" aca="1" ref="H141" ca="1">IFERROR(INDEX(_xlfn.ANCHORARRAY($AA$11),ROW()-10,8),"")</f>
        <v/>
      </c>
      <c r="I141" s="4" t="str" cm="1">
        <f t="array" aca="1" ref="I141" ca="1">IFERROR(INDEX(_xlfn.ANCHORARRAY($AA$11),ROW()-10,9),"")</f>
        <v/>
      </c>
      <c r="J141" s="4" t="str">
        <f t="shared" ca="1" si="12"/>
        <v/>
      </c>
      <c r="K141" s="4" t="str">
        <f t="shared" ca="1" si="13"/>
        <v/>
      </c>
      <c r="L141" s="4" t="str" cm="1">
        <f t="array" aca="1" ref="L141" ca="1">_xlfn.LET(_xlpm.link,IFERROR(INDEX(_xlfn.ANCHORARRAY($AA$11),ROW()-10,12),""),IF(_xlpm.link="","",HYPERLINK(_xlpm.link,"Bluecore/Attentive")))</f>
        <v/>
      </c>
      <c r="M141" s="60" t="str">
        <f t="shared" ca="1" si="14"/>
        <v/>
      </c>
      <c r="N141" s="7"/>
      <c r="O141" s="7"/>
      <c r="P141" s="7"/>
      <c r="Q141" s="7"/>
      <c r="R141" s="7"/>
      <c r="S141" s="6"/>
      <c r="T141" s="6"/>
      <c r="U141" s="6"/>
      <c r="V141" s="6"/>
      <c r="W141" s="6"/>
      <c r="X141" s="6"/>
      <c r="Y141" s="6"/>
      <c r="Z141" s="6"/>
      <c r="AA141"/>
      <c r="AB141"/>
      <c r="AC141"/>
      <c r="AD141"/>
      <c r="AE141"/>
      <c r="AF141"/>
      <c r="AG141"/>
      <c r="AH141"/>
      <c r="AI141"/>
      <c r="AJ141"/>
      <c r="AK141"/>
      <c r="AL141"/>
    </row>
    <row r="142" spans="1:38">
      <c r="A142" s="79" t="str" cm="1">
        <f t="array" aca="1" ref="A142" ca="1">IFERROR(INDEX(_xlfn.ANCHORARRAY($AA$11),ROW()-10,1),"")</f>
        <v/>
      </c>
      <c r="B142" s="81" t="str" cm="1">
        <f t="array" aca="1" ref="B142" ca="1">IFERROR(INDEX(_xlfn.ANCHORARRAY($AA$11),ROW()-10,2),"")</f>
        <v/>
      </c>
      <c r="C142" s="4" t="str" cm="1">
        <f t="array" aca="1" ref="C142" ca="1">IFERROR(INDEX(_xlfn.ANCHORARRAY($AA$11),ROW()-10,3),"")</f>
        <v/>
      </c>
      <c r="D142" s="13" t="str" cm="1">
        <f t="array" aca="1" ref="D142" ca="1">IFERROR(INDEX(_xlfn.ANCHORARRAY($AA$11),ROW()-10,4),"")</f>
        <v/>
      </c>
      <c r="E142" s="4" t="str" cm="1">
        <f t="array" aca="1" ref="E142" ca="1">IFERROR(INDEX(_xlfn.ANCHORARRAY($AA$11),ROW()-10,5),"")</f>
        <v/>
      </c>
      <c r="F142" s="13" t="str" cm="1">
        <f t="array" aca="1" ref="F142" ca="1">IFERROR(INDEX(_xlfn.ANCHORARRAY($AA$11),ROW()-10,6),"")</f>
        <v/>
      </c>
      <c r="G142" s="4" t="str" cm="1">
        <f t="array" aca="1" ref="G142" ca="1">IFERROR(INDEX(_xlfn.ANCHORARRAY($AA$11),ROW()-10,7),"")</f>
        <v/>
      </c>
      <c r="H142" s="4" t="str" cm="1">
        <f t="array" aca="1" ref="H142" ca="1">IFERROR(INDEX(_xlfn.ANCHORARRAY($AA$11),ROW()-10,8),"")</f>
        <v/>
      </c>
      <c r="I142" s="4" t="str" cm="1">
        <f t="array" aca="1" ref="I142" ca="1">IFERROR(INDEX(_xlfn.ANCHORARRAY($AA$11),ROW()-10,9),"")</f>
        <v/>
      </c>
      <c r="J142" s="4" t="str">
        <f t="shared" ca="1" si="12"/>
        <v/>
      </c>
      <c r="K142" s="4" t="str">
        <f t="shared" ca="1" si="13"/>
        <v/>
      </c>
      <c r="L142" s="4" t="str" cm="1">
        <f t="array" aca="1" ref="L142" ca="1">_xlfn.LET(_xlpm.link,IFERROR(INDEX(_xlfn.ANCHORARRAY($AA$11),ROW()-10,12),""),IF(_xlpm.link="","",HYPERLINK(_xlpm.link,"Bluecore/Attentive")))</f>
        <v/>
      </c>
      <c r="M142" s="61" t="str">
        <f t="shared" ca="1" si="14"/>
        <v/>
      </c>
      <c r="N142" s="7"/>
      <c r="O142" s="7"/>
      <c r="P142" s="7"/>
      <c r="Q142" s="7"/>
      <c r="R142" s="7"/>
      <c r="S142" s="6"/>
      <c r="T142" s="6"/>
      <c r="U142" s="6"/>
      <c r="V142" s="6"/>
      <c r="W142" s="6"/>
      <c r="X142" s="6"/>
      <c r="Y142" s="6"/>
      <c r="Z142" s="6"/>
      <c r="AA142"/>
      <c r="AB142"/>
      <c r="AC142"/>
      <c r="AD142"/>
      <c r="AE142"/>
      <c r="AF142"/>
      <c r="AG142"/>
      <c r="AH142"/>
      <c r="AI142"/>
      <c r="AJ142"/>
      <c r="AK142"/>
      <c r="AL142"/>
    </row>
    <row r="143" spans="1:38">
      <c r="A143" s="79" t="str" cm="1">
        <f t="array" aca="1" ref="A143" ca="1">IFERROR(INDEX(_xlfn.ANCHORARRAY($AA$11),ROW()-10,1),"")</f>
        <v/>
      </c>
      <c r="B143" s="81" t="str" cm="1">
        <f t="array" aca="1" ref="B143" ca="1">IFERROR(INDEX(_xlfn.ANCHORARRAY($AA$11),ROW()-10,2),"")</f>
        <v/>
      </c>
      <c r="C143" s="4" t="str" cm="1">
        <f t="array" aca="1" ref="C143" ca="1">IFERROR(INDEX(_xlfn.ANCHORARRAY($AA$11),ROW()-10,3),"")</f>
        <v/>
      </c>
      <c r="D143" s="13" t="str" cm="1">
        <f t="array" aca="1" ref="D143" ca="1">IFERROR(INDEX(_xlfn.ANCHORARRAY($AA$11),ROW()-10,4),"")</f>
        <v/>
      </c>
      <c r="E143" s="4" t="str" cm="1">
        <f t="array" aca="1" ref="E143" ca="1">IFERROR(INDEX(_xlfn.ANCHORARRAY($AA$11),ROW()-10,5),"")</f>
        <v/>
      </c>
      <c r="F143" s="13" t="str" cm="1">
        <f t="array" aca="1" ref="F143" ca="1">IFERROR(INDEX(_xlfn.ANCHORARRAY($AA$11),ROW()-10,6),"")</f>
        <v/>
      </c>
      <c r="G143" s="4" t="str" cm="1">
        <f t="array" aca="1" ref="G143" ca="1">IFERROR(INDEX(_xlfn.ANCHORARRAY($AA$11),ROW()-10,7),"")</f>
        <v/>
      </c>
      <c r="H143" s="4" t="str" cm="1">
        <f t="array" aca="1" ref="H143" ca="1">IFERROR(INDEX(_xlfn.ANCHORARRAY($AA$11),ROW()-10,8),"")</f>
        <v/>
      </c>
      <c r="I143" s="4" t="str" cm="1">
        <f t="array" aca="1" ref="I143" ca="1">IFERROR(INDEX(_xlfn.ANCHORARRAY($AA$11),ROW()-10,9),"")</f>
        <v/>
      </c>
      <c r="J143" s="4" t="str">
        <f t="shared" ca="1" si="12"/>
        <v/>
      </c>
      <c r="K143" s="4" t="str">
        <f t="shared" ca="1" si="13"/>
        <v/>
      </c>
      <c r="L143" s="4" t="str" cm="1">
        <f t="array" aca="1" ref="L143" ca="1">_xlfn.LET(_xlpm.link,IFERROR(INDEX(_xlfn.ANCHORARRAY($AA$11),ROW()-10,12),""),IF(_xlpm.link="","",HYPERLINK(_xlpm.link,"Bluecore/Attentive")))</f>
        <v/>
      </c>
      <c r="M143" s="60" t="str">
        <f t="shared" ca="1" si="14"/>
        <v/>
      </c>
      <c r="N143" s="7"/>
      <c r="O143" s="7"/>
      <c r="P143" s="7"/>
      <c r="Q143" s="7"/>
      <c r="R143" s="7"/>
      <c r="S143" s="6"/>
      <c r="T143" s="6"/>
      <c r="U143" s="6"/>
      <c r="V143" s="6"/>
      <c r="W143" s="6"/>
      <c r="X143" s="6"/>
      <c r="Y143" s="6"/>
      <c r="Z143" s="6"/>
      <c r="AA143"/>
      <c r="AB143"/>
      <c r="AC143"/>
      <c r="AD143"/>
      <c r="AE143"/>
      <c r="AF143"/>
      <c r="AG143"/>
      <c r="AH143"/>
      <c r="AI143"/>
      <c r="AJ143"/>
      <c r="AK143"/>
      <c r="AL143"/>
    </row>
    <row r="144" spans="1:38">
      <c r="A144" s="79" t="str" cm="1">
        <f t="array" aca="1" ref="A144" ca="1">IFERROR(INDEX(_xlfn.ANCHORARRAY($AA$11),ROW()-10,1),"")</f>
        <v/>
      </c>
      <c r="B144" s="81" t="str" cm="1">
        <f t="array" aca="1" ref="B144" ca="1">IFERROR(INDEX(_xlfn.ANCHORARRAY($AA$11),ROW()-10,2),"")</f>
        <v/>
      </c>
      <c r="C144" s="4" t="str" cm="1">
        <f t="array" aca="1" ref="C144" ca="1">IFERROR(INDEX(_xlfn.ANCHORARRAY($AA$11),ROW()-10,3),"")</f>
        <v/>
      </c>
      <c r="D144" s="13" t="str" cm="1">
        <f t="array" aca="1" ref="D144" ca="1">IFERROR(INDEX(_xlfn.ANCHORARRAY($AA$11),ROW()-10,4),"")</f>
        <v/>
      </c>
      <c r="E144" s="4" t="str" cm="1">
        <f t="array" aca="1" ref="E144" ca="1">IFERROR(INDEX(_xlfn.ANCHORARRAY($AA$11),ROW()-10,5),"")</f>
        <v/>
      </c>
      <c r="F144" s="13" t="str" cm="1">
        <f t="array" aca="1" ref="F144" ca="1">IFERROR(INDEX(_xlfn.ANCHORARRAY($AA$11),ROW()-10,6),"")</f>
        <v/>
      </c>
      <c r="G144" s="4" t="str" cm="1">
        <f t="array" aca="1" ref="G144" ca="1">IFERROR(INDEX(_xlfn.ANCHORARRAY($AA$11),ROW()-10,7),"")</f>
        <v/>
      </c>
      <c r="H144" s="4" t="str" cm="1">
        <f t="array" aca="1" ref="H144" ca="1">IFERROR(INDEX(_xlfn.ANCHORARRAY($AA$11),ROW()-10,8),"")</f>
        <v/>
      </c>
      <c r="I144" s="4" t="str" cm="1">
        <f t="array" aca="1" ref="I144" ca="1">IFERROR(INDEX(_xlfn.ANCHORARRAY($AA$11),ROW()-10,9),"")</f>
        <v/>
      </c>
      <c r="J144" s="4" t="str">
        <f t="shared" ca="1" si="12"/>
        <v/>
      </c>
      <c r="K144" s="4" t="str">
        <f t="shared" ca="1" si="13"/>
        <v/>
      </c>
      <c r="L144" s="4" t="str" cm="1">
        <f t="array" aca="1" ref="L144" ca="1">_xlfn.LET(_xlpm.link,IFERROR(INDEX(_xlfn.ANCHORARRAY($AA$11),ROW()-10,12),""),IF(_xlpm.link="","",HYPERLINK(_xlpm.link,"Bluecore/Attentive")))</f>
        <v/>
      </c>
      <c r="M144" s="61" t="str">
        <f t="shared" ca="1" si="14"/>
        <v/>
      </c>
      <c r="N144" s="7"/>
      <c r="O144" s="7"/>
      <c r="P144" s="7"/>
      <c r="Q144" s="7"/>
      <c r="R144" s="7"/>
      <c r="S144" s="6"/>
      <c r="T144" s="6"/>
      <c r="U144" s="6"/>
      <c r="V144" s="6"/>
      <c r="W144" s="6"/>
      <c r="X144" s="6"/>
      <c r="Y144" s="6"/>
      <c r="Z144" s="6"/>
      <c r="AA144"/>
      <c r="AB144"/>
      <c r="AC144"/>
      <c r="AD144"/>
      <c r="AE144"/>
      <c r="AF144"/>
      <c r="AG144"/>
      <c r="AH144"/>
      <c r="AI144"/>
      <c r="AJ144"/>
      <c r="AK144"/>
      <c r="AL144"/>
    </row>
    <row r="145" spans="1:38">
      <c r="A145" s="79" t="str" cm="1">
        <f t="array" aca="1" ref="A145" ca="1">IFERROR(INDEX(_xlfn.ANCHORARRAY($AA$11),ROW()-10,1),"")</f>
        <v/>
      </c>
      <c r="B145" s="81" t="str" cm="1">
        <f t="array" aca="1" ref="B145" ca="1">IFERROR(INDEX(_xlfn.ANCHORARRAY($AA$11),ROW()-10,2),"")</f>
        <v/>
      </c>
      <c r="C145" s="4" t="str" cm="1">
        <f t="array" aca="1" ref="C145" ca="1">IFERROR(INDEX(_xlfn.ANCHORARRAY($AA$11),ROW()-10,3),"")</f>
        <v/>
      </c>
      <c r="D145" s="13" t="str" cm="1">
        <f t="array" aca="1" ref="D145" ca="1">IFERROR(INDEX(_xlfn.ANCHORARRAY($AA$11),ROW()-10,4),"")</f>
        <v/>
      </c>
      <c r="E145" s="4" t="str" cm="1">
        <f t="array" aca="1" ref="E145" ca="1">IFERROR(INDEX(_xlfn.ANCHORARRAY($AA$11),ROW()-10,5),"")</f>
        <v/>
      </c>
      <c r="F145" s="13" t="str" cm="1">
        <f t="array" aca="1" ref="F145" ca="1">IFERROR(INDEX(_xlfn.ANCHORARRAY($AA$11),ROW()-10,6),"")</f>
        <v/>
      </c>
      <c r="G145" s="4" t="str" cm="1">
        <f t="array" aca="1" ref="G145" ca="1">IFERROR(INDEX(_xlfn.ANCHORARRAY($AA$11),ROW()-10,7),"")</f>
        <v/>
      </c>
      <c r="H145" s="4" t="str" cm="1">
        <f t="array" aca="1" ref="H145" ca="1">IFERROR(INDEX(_xlfn.ANCHORARRAY($AA$11),ROW()-10,8),"")</f>
        <v/>
      </c>
      <c r="I145" s="4" t="str" cm="1">
        <f t="array" aca="1" ref="I145" ca="1">IFERROR(INDEX(_xlfn.ANCHORARRAY($AA$11),ROW()-10,9),"")</f>
        <v/>
      </c>
      <c r="J145" s="4" t="str">
        <f t="shared" ca="1" si="12"/>
        <v/>
      </c>
      <c r="K145" s="4" t="str">
        <f t="shared" ca="1" si="13"/>
        <v/>
      </c>
      <c r="L145" s="4" t="str" cm="1">
        <f t="array" aca="1" ref="L145" ca="1">_xlfn.LET(_xlpm.link,IFERROR(INDEX(_xlfn.ANCHORARRAY($AA$11),ROW()-10,12),""),IF(_xlpm.link="","",HYPERLINK(_xlpm.link,"Bluecore/Attentive")))</f>
        <v/>
      </c>
      <c r="M145" s="60" t="str">
        <f t="shared" ca="1" si="14"/>
        <v/>
      </c>
      <c r="N145" s="7"/>
      <c r="O145" s="7"/>
      <c r="P145" s="7"/>
      <c r="Q145" s="7"/>
      <c r="R145" s="7"/>
      <c r="S145" s="6"/>
      <c r="T145" s="6"/>
      <c r="U145" s="6"/>
      <c r="V145" s="6"/>
      <c r="W145" s="6"/>
      <c r="X145" s="6"/>
      <c r="Y145" s="6"/>
      <c r="Z145" s="6"/>
      <c r="AA145"/>
      <c r="AB145"/>
      <c r="AC145"/>
      <c r="AD145"/>
      <c r="AE145"/>
      <c r="AF145"/>
      <c r="AG145"/>
      <c r="AH145"/>
      <c r="AI145"/>
      <c r="AJ145"/>
      <c r="AK145"/>
      <c r="AL145"/>
    </row>
    <row r="146" spans="1:38">
      <c r="A146" s="79" t="str" cm="1">
        <f t="array" aca="1" ref="A146" ca="1">IFERROR(INDEX(_xlfn.ANCHORARRAY($AA$11),ROW()-10,1),"")</f>
        <v/>
      </c>
      <c r="B146" s="81" t="str" cm="1">
        <f t="array" aca="1" ref="B146" ca="1">IFERROR(INDEX(_xlfn.ANCHORARRAY($AA$11),ROW()-10,2),"")</f>
        <v/>
      </c>
      <c r="C146" s="4" t="str" cm="1">
        <f t="array" aca="1" ref="C146" ca="1">IFERROR(INDEX(_xlfn.ANCHORARRAY($AA$11),ROW()-10,3),"")</f>
        <v/>
      </c>
      <c r="D146" s="13" t="str" cm="1">
        <f t="array" aca="1" ref="D146" ca="1">IFERROR(INDEX(_xlfn.ANCHORARRAY($AA$11),ROW()-10,4),"")</f>
        <v/>
      </c>
      <c r="E146" s="4" t="str" cm="1">
        <f t="array" aca="1" ref="E146" ca="1">IFERROR(INDEX(_xlfn.ANCHORARRAY($AA$11),ROW()-10,5),"")</f>
        <v/>
      </c>
      <c r="F146" s="13" t="str" cm="1">
        <f t="array" aca="1" ref="F146" ca="1">IFERROR(INDEX(_xlfn.ANCHORARRAY($AA$11),ROW()-10,6),"")</f>
        <v/>
      </c>
      <c r="G146" s="4" t="str" cm="1">
        <f t="array" aca="1" ref="G146" ca="1">IFERROR(INDEX(_xlfn.ANCHORARRAY($AA$11),ROW()-10,7),"")</f>
        <v/>
      </c>
      <c r="H146" s="4" t="str" cm="1">
        <f t="array" aca="1" ref="H146" ca="1">IFERROR(INDEX(_xlfn.ANCHORARRAY($AA$11),ROW()-10,8),"")</f>
        <v/>
      </c>
      <c r="I146" s="4" t="str" cm="1">
        <f t="array" aca="1" ref="I146" ca="1">IFERROR(INDEX(_xlfn.ANCHORARRAY($AA$11),ROW()-10,9),"")</f>
        <v/>
      </c>
      <c r="J146" s="4" t="str">
        <f t="shared" ca="1" si="12"/>
        <v/>
      </c>
      <c r="K146" s="4" t="str">
        <f t="shared" ca="1" si="13"/>
        <v/>
      </c>
      <c r="L146" s="4" t="str" cm="1">
        <f t="array" aca="1" ref="L146" ca="1">_xlfn.LET(_xlpm.link,IFERROR(INDEX(_xlfn.ANCHORARRAY($AA$11),ROW()-10,12),""),IF(_xlpm.link="","",HYPERLINK(_xlpm.link,"Bluecore/Attentive")))</f>
        <v/>
      </c>
      <c r="M146" s="61" t="str">
        <f t="shared" ca="1" si="14"/>
        <v/>
      </c>
      <c r="N146" s="7"/>
      <c r="O146" s="7"/>
      <c r="P146" s="7"/>
      <c r="Q146" s="7"/>
      <c r="R146" s="7"/>
      <c r="S146" s="6"/>
      <c r="T146" s="6"/>
      <c r="U146" s="6"/>
      <c r="V146" s="6"/>
      <c r="W146" s="6"/>
      <c r="X146" s="6"/>
      <c r="Y146" s="6"/>
      <c r="Z146" s="6"/>
      <c r="AA146"/>
      <c r="AB146"/>
      <c r="AC146"/>
      <c r="AD146"/>
      <c r="AE146"/>
      <c r="AF146"/>
      <c r="AG146"/>
      <c r="AH146"/>
      <c r="AI146"/>
      <c r="AJ146"/>
      <c r="AK146"/>
      <c r="AL146"/>
    </row>
    <row r="147" spans="1:38">
      <c r="A147" s="79" t="str" cm="1">
        <f t="array" aca="1" ref="A147" ca="1">IFERROR(INDEX(_xlfn.ANCHORARRAY($AA$11),ROW()-10,1),"")</f>
        <v/>
      </c>
      <c r="B147" s="81" t="str" cm="1">
        <f t="array" aca="1" ref="B147" ca="1">IFERROR(INDEX(_xlfn.ANCHORARRAY($AA$11),ROW()-10,2),"")</f>
        <v/>
      </c>
      <c r="C147" s="4" t="str" cm="1">
        <f t="array" aca="1" ref="C147" ca="1">IFERROR(INDEX(_xlfn.ANCHORARRAY($AA$11),ROW()-10,3),"")</f>
        <v/>
      </c>
      <c r="D147" s="13" t="str" cm="1">
        <f t="array" aca="1" ref="D147" ca="1">IFERROR(INDEX(_xlfn.ANCHORARRAY($AA$11),ROW()-10,4),"")</f>
        <v/>
      </c>
      <c r="E147" s="4" t="str" cm="1">
        <f t="array" aca="1" ref="E147" ca="1">IFERROR(INDEX(_xlfn.ANCHORARRAY($AA$11),ROW()-10,5),"")</f>
        <v/>
      </c>
      <c r="F147" s="13" t="str" cm="1">
        <f t="array" aca="1" ref="F147" ca="1">IFERROR(INDEX(_xlfn.ANCHORARRAY($AA$11),ROW()-10,6),"")</f>
        <v/>
      </c>
      <c r="G147" s="4" t="str" cm="1">
        <f t="array" aca="1" ref="G147" ca="1">IFERROR(INDEX(_xlfn.ANCHORARRAY($AA$11),ROW()-10,7),"")</f>
        <v/>
      </c>
      <c r="H147" s="4" t="str" cm="1">
        <f t="array" aca="1" ref="H147" ca="1">IFERROR(INDEX(_xlfn.ANCHORARRAY($AA$11),ROW()-10,8),"")</f>
        <v/>
      </c>
      <c r="I147" s="4" t="str" cm="1">
        <f t="array" aca="1" ref="I147" ca="1">IFERROR(INDEX(_xlfn.ANCHORARRAY($AA$11),ROW()-10,9),"")</f>
        <v/>
      </c>
      <c r="J147" s="4" t="str">
        <f t="shared" ca="1" si="12"/>
        <v/>
      </c>
      <c r="K147" s="4" t="str">
        <f t="shared" ca="1" si="13"/>
        <v/>
      </c>
      <c r="L147" s="4" t="str" cm="1">
        <f t="array" aca="1" ref="L147" ca="1">_xlfn.LET(_xlpm.link,IFERROR(INDEX(_xlfn.ANCHORARRAY($AA$11),ROW()-10,12),""),IF(_xlpm.link="","",HYPERLINK(_xlpm.link,"Bluecore/Attentive")))</f>
        <v/>
      </c>
      <c r="M147" s="60" t="str">
        <f t="shared" ca="1" si="14"/>
        <v/>
      </c>
      <c r="N147" s="7"/>
      <c r="O147" s="7"/>
      <c r="P147" s="7"/>
      <c r="Q147" s="7"/>
      <c r="R147" s="7"/>
      <c r="S147" s="6"/>
      <c r="T147" s="6"/>
      <c r="U147" s="6"/>
      <c r="V147" s="6"/>
      <c r="W147" s="6"/>
      <c r="X147" s="6"/>
      <c r="Y147" s="6"/>
      <c r="Z147" s="6"/>
      <c r="AA147"/>
      <c r="AB147"/>
      <c r="AC147"/>
      <c r="AD147"/>
      <c r="AE147"/>
      <c r="AF147"/>
      <c r="AG147"/>
      <c r="AH147"/>
      <c r="AI147"/>
      <c r="AJ147"/>
      <c r="AK147"/>
      <c r="AL147"/>
    </row>
    <row r="148" spans="1:38">
      <c r="A148" s="79" t="str" cm="1">
        <f t="array" aca="1" ref="A148" ca="1">IFERROR(INDEX(_xlfn.ANCHORARRAY($AA$11),ROW()-10,1),"")</f>
        <v/>
      </c>
      <c r="B148" s="81" t="str" cm="1">
        <f t="array" aca="1" ref="B148" ca="1">IFERROR(INDEX(_xlfn.ANCHORARRAY($AA$11),ROW()-10,2),"")</f>
        <v/>
      </c>
      <c r="C148" s="4" t="str" cm="1">
        <f t="array" aca="1" ref="C148" ca="1">IFERROR(INDEX(_xlfn.ANCHORARRAY($AA$11),ROW()-10,3),"")</f>
        <v/>
      </c>
      <c r="D148" s="13" t="str" cm="1">
        <f t="array" aca="1" ref="D148" ca="1">IFERROR(INDEX(_xlfn.ANCHORARRAY($AA$11),ROW()-10,4),"")</f>
        <v/>
      </c>
      <c r="E148" s="4" t="str" cm="1">
        <f t="array" aca="1" ref="E148" ca="1">IFERROR(INDEX(_xlfn.ANCHORARRAY($AA$11),ROW()-10,5),"")</f>
        <v/>
      </c>
      <c r="F148" s="13" t="str" cm="1">
        <f t="array" aca="1" ref="F148" ca="1">IFERROR(INDEX(_xlfn.ANCHORARRAY($AA$11),ROW()-10,6),"")</f>
        <v/>
      </c>
      <c r="G148" s="4" t="str" cm="1">
        <f t="array" aca="1" ref="G148" ca="1">IFERROR(INDEX(_xlfn.ANCHORARRAY($AA$11),ROW()-10,7),"")</f>
        <v/>
      </c>
      <c r="H148" s="4" t="str" cm="1">
        <f t="array" aca="1" ref="H148" ca="1">IFERROR(INDEX(_xlfn.ANCHORARRAY($AA$11),ROW()-10,8),"")</f>
        <v/>
      </c>
      <c r="I148" s="4" t="str" cm="1">
        <f t="array" aca="1" ref="I148" ca="1">IFERROR(INDEX(_xlfn.ANCHORARRAY($AA$11),ROW()-10,9),"")</f>
        <v/>
      </c>
      <c r="J148" s="4" t="str">
        <f t="shared" ca="1" si="12"/>
        <v/>
      </c>
      <c r="K148" s="4" t="str">
        <f t="shared" ca="1" si="13"/>
        <v/>
      </c>
      <c r="L148" s="4" t="str" cm="1">
        <f t="array" aca="1" ref="L148" ca="1">_xlfn.LET(_xlpm.link,IFERROR(INDEX(_xlfn.ANCHORARRAY($AA$11),ROW()-10,12),""),IF(_xlpm.link="","",HYPERLINK(_xlpm.link,"Bluecore/Attentive")))</f>
        <v/>
      </c>
      <c r="M148" s="61" t="str">
        <f t="shared" ca="1" si="14"/>
        <v/>
      </c>
      <c r="N148" s="7"/>
      <c r="O148" s="7"/>
      <c r="P148" s="7"/>
      <c r="Q148" s="7"/>
      <c r="R148" s="7"/>
      <c r="S148" s="6"/>
      <c r="T148" s="6"/>
      <c r="U148" s="6"/>
      <c r="V148" s="6"/>
      <c r="W148" s="6"/>
      <c r="X148" s="6"/>
      <c r="Y148" s="6"/>
      <c r="Z148" s="6"/>
      <c r="AA148"/>
      <c r="AB148"/>
      <c r="AC148"/>
      <c r="AD148"/>
      <c r="AE148"/>
      <c r="AF148"/>
      <c r="AG148"/>
      <c r="AH148"/>
      <c r="AI148"/>
      <c r="AJ148"/>
      <c r="AK148"/>
      <c r="AL148"/>
    </row>
    <row r="149" spans="1:38">
      <c r="A149" s="79" t="str" cm="1">
        <f t="array" aca="1" ref="A149" ca="1">IFERROR(INDEX(_xlfn.ANCHORARRAY($AA$11),ROW()-10,1),"")</f>
        <v/>
      </c>
      <c r="B149" s="81" t="str" cm="1">
        <f t="array" aca="1" ref="B149" ca="1">IFERROR(INDEX(_xlfn.ANCHORARRAY($AA$11),ROW()-10,2),"")</f>
        <v/>
      </c>
      <c r="C149" s="4" t="str" cm="1">
        <f t="array" aca="1" ref="C149" ca="1">IFERROR(INDEX(_xlfn.ANCHORARRAY($AA$11),ROW()-10,3),"")</f>
        <v/>
      </c>
      <c r="D149" s="13" t="str" cm="1">
        <f t="array" aca="1" ref="D149" ca="1">IFERROR(INDEX(_xlfn.ANCHORARRAY($AA$11),ROW()-10,4),"")</f>
        <v/>
      </c>
      <c r="E149" s="4" t="str" cm="1">
        <f t="array" aca="1" ref="E149" ca="1">IFERROR(INDEX(_xlfn.ANCHORARRAY($AA$11),ROW()-10,5),"")</f>
        <v/>
      </c>
      <c r="F149" s="13" t="str" cm="1">
        <f t="array" aca="1" ref="F149" ca="1">IFERROR(INDEX(_xlfn.ANCHORARRAY($AA$11),ROW()-10,6),"")</f>
        <v/>
      </c>
      <c r="G149" s="4" t="str" cm="1">
        <f t="array" aca="1" ref="G149" ca="1">IFERROR(INDEX(_xlfn.ANCHORARRAY($AA$11),ROW()-10,7),"")</f>
        <v/>
      </c>
      <c r="H149" s="4" t="str" cm="1">
        <f t="array" aca="1" ref="H149" ca="1">IFERROR(INDEX(_xlfn.ANCHORARRAY($AA$11),ROW()-10,8),"")</f>
        <v/>
      </c>
      <c r="I149" s="4" t="str" cm="1">
        <f t="array" aca="1" ref="I149" ca="1">IFERROR(INDEX(_xlfn.ANCHORARRAY($AA$11),ROW()-10,9),"")</f>
        <v/>
      </c>
      <c r="J149" s="4" t="str">
        <f t="shared" ca="1" si="12"/>
        <v/>
      </c>
      <c r="K149" s="4" t="str">
        <f t="shared" ca="1" si="13"/>
        <v/>
      </c>
      <c r="L149" s="4" t="str" cm="1">
        <f t="array" aca="1" ref="L149" ca="1">_xlfn.LET(_xlpm.link,IFERROR(INDEX(_xlfn.ANCHORARRAY($AA$11),ROW()-10,12),""),IF(_xlpm.link="","",HYPERLINK(_xlpm.link,"Bluecore/Attentive")))</f>
        <v/>
      </c>
      <c r="M149" s="60" t="str">
        <f t="shared" ca="1" si="14"/>
        <v/>
      </c>
      <c r="N149" s="7"/>
      <c r="O149" s="7"/>
      <c r="P149" s="7"/>
      <c r="Q149" s="7"/>
      <c r="R149" s="7"/>
      <c r="S149" s="6"/>
      <c r="T149" s="6"/>
      <c r="U149" s="6"/>
      <c r="V149" s="6"/>
      <c r="W149" s="6"/>
      <c r="X149" s="6"/>
      <c r="Y149" s="6"/>
      <c r="Z149" s="6"/>
      <c r="AA149"/>
      <c r="AB149"/>
      <c r="AC149"/>
      <c r="AD149"/>
      <c r="AE149"/>
      <c r="AF149"/>
      <c r="AG149"/>
      <c r="AH149"/>
      <c r="AI149"/>
      <c r="AJ149"/>
      <c r="AK149"/>
      <c r="AL149"/>
    </row>
    <row r="150" spans="1:38">
      <c r="A150" s="79" t="str" cm="1">
        <f t="array" aca="1" ref="A150" ca="1">IFERROR(INDEX(_xlfn.ANCHORARRAY($AA$11),ROW()-10,1),"")</f>
        <v/>
      </c>
      <c r="B150" s="81" t="str" cm="1">
        <f t="array" aca="1" ref="B150" ca="1">IFERROR(INDEX(_xlfn.ANCHORARRAY($AA$11),ROW()-10,2),"")</f>
        <v/>
      </c>
      <c r="C150" s="4" t="str" cm="1">
        <f t="array" aca="1" ref="C150" ca="1">IFERROR(INDEX(_xlfn.ANCHORARRAY($AA$11),ROW()-10,3),"")</f>
        <v/>
      </c>
      <c r="D150" s="13" t="str" cm="1">
        <f t="array" aca="1" ref="D150" ca="1">IFERROR(INDEX(_xlfn.ANCHORARRAY($AA$11),ROW()-10,4),"")</f>
        <v/>
      </c>
      <c r="E150" s="4" t="str" cm="1">
        <f t="array" aca="1" ref="E150" ca="1">IFERROR(INDEX(_xlfn.ANCHORARRAY($AA$11),ROW()-10,5),"")</f>
        <v/>
      </c>
      <c r="F150" s="13" t="str" cm="1">
        <f t="array" aca="1" ref="F150" ca="1">IFERROR(INDEX(_xlfn.ANCHORARRAY($AA$11),ROW()-10,6),"")</f>
        <v/>
      </c>
      <c r="G150" s="4" t="str" cm="1">
        <f t="array" aca="1" ref="G150" ca="1">IFERROR(INDEX(_xlfn.ANCHORARRAY($AA$11),ROW()-10,7),"")</f>
        <v/>
      </c>
      <c r="H150" s="4" t="str" cm="1">
        <f t="array" aca="1" ref="H150" ca="1">IFERROR(INDEX(_xlfn.ANCHORARRAY($AA$11),ROW()-10,8),"")</f>
        <v/>
      </c>
      <c r="I150" s="4" t="str" cm="1">
        <f t="array" aca="1" ref="I150" ca="1">IFERROR(INDEX(_xlfn.ANCHORARRAY($AA$11),ROW()-10,9),"")</f>
        <v/>
      </c>
      <c r="J150" s="4" t="str">
        <f t="shared" ca="1" si="12"/>
        <v/>
      </c>
      <c r="K150" s="4" t="str">
        <f t="shared" ca="1" si="13"/>
        <v/>
      </c>
      <c r="L150" s="4" t="str" cm="1">
        <f t="array" aca="1" ref="L150" ca="1">_xlfn.LET(_xlpm.link,IFERROR(INDEX(_xlfn.ANCHORARRAY($AA$11),ROW()-10,12),""),IF(_xlpm.link="","",HYPERLINK(_xlpm.link,"Bluecore/Attentive")))</f>
        <v/>
      </c>
      <c r="M150" s="61" t="str">
        <f t="shared" ca="1" si="14"/>
        <v/>
      </c>
      <c r="N150" s="7"/>
      <c r="O150" s="7"/>
      <c r="P150" s="7"/>
      <c r="Q150" s="7"/>
      <c r="R150" s="7"/>
      <c r="S150" s="6"/>
      <c r="T150" s="6"/>
      <c r="U150" s="6"/>
      <c r="V150" s="6"/>
      <c r="W150" s="6"/>
      <c r="X150" s="6"/>
      <c r="Y150" s="6"/>
      <c r="Z150" s="6"/>
      <c r="AA150"/>
      <c r="AB150"/>
      <c r="AC150"/>
      <c r="AD150"/>
      <c r="AE150"/>
      <c r="AF150"/>
      <c r="AG150"/>
      <c r="AH150"/>
      <c r="AI150"/>
      <c r="AJ150"/>
      <c r="AK150"/>
      <c r="AL150"/>
    </row>
    <row r="151" spans="1:38">
      <c r="A151" s="79" t="str" cm="1">
        <f t="array" aca="1" ref="A151" ca="1">IFERROR(INDEX(_xlfn.ANCHORARRAY($AA$11),ROW()-10,1),"")</f>
        <v/>
      </c>
      <c r="B151" s="81" t="str" cm="1">
        <f t="array" aca="1" ref="B151" ca="1">IFERROR(INDEX(_xlfn.ANCHORARRAY($AA$11),ROW()-10,2),"")</f>
        <v/>
      </c>
      <c r="C151" s="4" t="str" cm="1">
        <f t="array" aca="1" ref="C151" ca="1">IFERROR(INDEX(_xlfn.ANCHORARRAY($AA$11),ROW()-10,3),"")</f>
        <v/>
      </c>
      <c r="D151" s="13" t="str" cm="1">
        <f t="array" aca="1" ref="D151" ca="1">IFERROR(INDEX(_xlfn.ANCHORARRAY($AA$11),ROW()-10,4),"")</f>
        <v/>
      </c>
      <c r="E151" s="4" t="str" cm="1">
        <f t="array" aca="1" ref="E151" ca="1">IFERROR(INDEX(_xlfn.ANCHORARRAY($AA$11),ROW()-10,5),"")</f>
        <v/>
      </c>
      <c r="F151" s="13" t="str" cm="1">
        <f t="array" aca="1" ref="F151" ca="1">IFERROR(INDEX(_xlfn.ANCHORARRAY($AA$11),ROW()-10,6),"")</f>
        <v/>
      </c>
      <c r="G151" s="4" t="str" cm="1">
        <f t="array" aca="1" ref="G151" ca="1">IFERROR(INDEX(_xlfn.ANCHORARRAY($AA$11),ROW()-10,7),"")</f>
        <v/>
      </c>
      <c r="H151" s="4" t="str" cm="1">
        <f t="array" aca="1" ref="H151" ca="1">IFERROR(INDEX(_xlfn.ANCHORARRAY($AA$11),ROW()-10,8),"")</f>
        <v/>
      </c>
      <c r="I151" s="4" t="str" cm="1">
        <f t="array" aca="1" ref="I151" ca="1">IFERROR(INDEX(_xlfn.ANCHORARRAY($AA$11),ROW()-10,9),"")</f>
        <v/>
      </c>
      <c r="J151" s="4" t="str">
        <f t="shared" ca="1" si="12"/>
        <v/>
      </c>
      <c r="K151" s="4" t="str">
        <f t="shared" ca="1" si="13"/>
        <v/>
      </c>
      <c r="L151" s="4" t="str" cm="1">
        <f t="array" aca="1" ref="L151" ca="1">_xlfn.LET(_xlpm.link,IFERROR(INDEX(_xlfn.ANCHORARRAY($AA$11),ROW()-10,12),""),IF(_xlpm.link="","",HYPERLINK(_xlpm.link,"Bluecore/Attentive")))</f>
        <v/>
      </c>
      <c r="M151" s="60" t="str">
        <f t="shared" ca="1" si="14"/>
        <v/>
      </c>
      <c r="N151" s="7"/>
      <c r="O151" s="7"/>
      <c r="P151" s="7"/>
      <c r="Q151" s="7"/>
      <c r="R151" s="7"/>
      <c r="S151" s="6"/>
      <c r="T151" s="6"/>
      <c r="U151" s="6"/>
      <c r="V151" s="6"/>
      <c r="W151" s="6"/>
      <c r="X151" s="6"/>
      <c r="Y151" s="6"/>
      <c r="Z151" s="6"/>
      <c r="AA151"/>
      <c r="AB151"/>
      <c r="AC151"/>
      <c r="AD151"/>
      <c r="AE151"/>
      <c r="AF151"/>
      <c r="AG151"/>
      <c r="AH151"/>
      <c r="AI151"/>
      <c r="AJ151"/>
      <c r="AK151"/>
      <c r="AL151"/>
    </row>
    <row r="152" spans="1:38">
      <c r="A152" s="79" t="str" cm="1">
        <f t="array" aca="1" ref="A152" ca="1">IFERROR(INDEX(_xlfn.ANCHORARRAY($AA$11),ROW()-10,1),"")</f>
        <v/>
      </c>
      <c r="B152" s="81" t="str" cm="1">
        <f t="array" aca="1" ref="B152" ca="1">IFERROR(INDEX(_xlfn.ANCHORARRAY($AA$11),ROW()-10,2),"")</f>
        <v/>
      </c>
      <c r="C152" s="4" t="str" cm="1">
        <f t="array" aca="1" ref="C152" ca="1">IFERROR(INDEX(_xlfn.ANCHORARRAY($AA$11),ROW()-10,3),"")</f>
        <v/>
      </c>
      <c r="D152" s="13" t="str" cm="1">
        <f t="array" aca="1" ref="D152" ca="1">IFERROR(INDEX(_xlfn.ANCHORARRAY($AA$11),ROW()-10,4),"")</f>
        <v/>
      </c>
      <c r="E152" s="4" t="str" cm="1">
        <f t="array" aca="1" ref="E152" ca="1">IFERROR(INDEX(_xlfn.ANCHORARRAY($AA$11),ROW()-10,5),"")</f>
        <v/>
      </c>
      <c r="F152" s="13" t="str" cm="1">
        <f t="array" aca="1" ref="F152" ca="1">IFERROR(INDEX(_xlfn.ANCHORARRAY($AA$11),ROW()-10,6),"")</f>
        <v/>
      </c>
      <c r="G152" s="4" t="str" cm="1">
        <f t="array" aca="1" ref="G152" ca="1">IFERROR(INDEX(_xlfn.ANCHORARRAY($AA$11),ROW()-10,7),"")</f>
        <v/>
      </c>
      <c r="H152" s="4" t="str" cm="1">
        <f t="array" aca="1" ref="H152" ca="1">IFERROR(INDEX(_xlfn.ANCHORARRAY($AA$11),ROW()-10,8),"")</f>
        <v/>
      </c>
      <c r="I152" s="4" t="str" cm="1">
        <f t="array" aca="1" ref="I152" ca="1">IFERROR(INDEX(_xlfn.ANCHORARRAY($AA$11),ROW()-10,9),"")</f>
        <v/>
      </c>
      <c r="J152" s="4" t="str">
        <f t="shared" ca="1" si="12"/>
        <v/>
      </c>
      <c r="K152" s="4" t="str">
        <f t="shared" ca="1" si="13"/>
        <v/>
      </c>
      <c r="L152" s="4" t="str" cm="1">
        <f t="array" aca="1" ref="L152" ca="1">_xlfn.LET(_xlpm.link,IFERROR(INDEX(_xlfn.ANCHORARRAY($AA$11),ROW()-10,12),""),IF(_xlpm.link="","",HYPERLINK(_xlpm.link,"Bluecore/Attentive")))</f>
        <v/>
      </c>
      <c r="M152" s="61" t="str">
        <f t="shared" ca="1" si="14"/>
        <v/>
      </c>
      <c r="N152" s="7"/>
      <c r="O152" s="7"/>
      <c r="P152" s="7"/>
      <c r="Q152" s="7"/>
      <c r="R152" s="7"/>
      <c r="S152" s="6"/>
      <c r="T152" s="6"/>
      <c r="U152" s="6"/>
      <c r="V152" s="6"/>
      <c r="W152" s="6"/>
      <c r="X152" s="6"/>
      <c r="Y152" s="6"/>
      <c r="Z152" s="6"/>
      <c r="AA152"/>
      <c r="AB152"/>
      <c r="AC152"/>
      <c r="AD152"/>
      <c r="AE152"/>
      <c r="AF152"/>
      <c r="AG152"/>
      <c r="AH152"/>
      <c r="AI152"/>
      <c r="AJ152"/>
      <c r="AK152"/>
      <c r="AL152"/>
    </row>
    <row r="153" spans="1:38">
      <c r="A153" s="79" t="str" cm="1">
        <f t="array" aca="1" ref="A153" ca="1">IFERROR(INDEX(_xlfn.ANCHORARRAY($AA$11),ROW()-10,1),"")</f>
        <v/>
      </c>
      <c r="B153" s="81" t="str" cm="1">
        <f t="array" aca="1" ref="B153" ca="1">IFERROR(INDEX(_xlfn.ANCHORARRAY($AA$11),ROW()-10,2),"")</f>
        <v/>
      </c>
      <c r="C153" s="4" t="str" cm="1">
        <f t="array" aca="1" ref="C153" ca="1">IFERROR(INDEX(_xlfn.ANCHORARRAY($AA$11),ROW()-10,3),"")</f>
        <v/>
      </c>
      <c r="D153" s="13" t="str" cm="1">
        <f t="array" aca="1" ref="D153" ca="1">IFERROR(INDEX(_xlfn.ANCHORARRAY($AA$11),ROW()-10,4),"")</f>
        <v/>
      </c>
      <c r="E153" s="4" t="str" cm="1">
        <f t="array" aca="1" ref="E153" ca="1">IFERROR(INDEX(_xlfn.ANCHORARRAY($AA$11),ROW()-10,5),"")</f>
        <v/>
      </c>
      <c r="F153" s="13" t="str" cm="1">
        <f t="array" aca="1" ref="F153" ca="1">IFERROR(INDEX(_xlfn.ANCHORARRAY($AA$11),ROW()-10,6),"")</f>
        <v/>
      </c>
      <c r="G153" s="4" t="str" cm="1">
        <f t="array" aca="1" ref="G153" ca="1">IFERROR(INDEX(_xlfn.ANCHORARRAY($AA$11),ROW()-10,7),"")</f>
        <v/>
      </c>
      <c r="H153" s="4" t="str" cm="1">
        <f t="array" aca="1" ref="H153" ca="1">IFERROR(INDEX(_xlfn.ANCHORARRAY($AA$11),ROW()-10,8),"")</f>
        <v/>
      </c>
      <c r="I153" s="4" t="str" cm="1">
        <f t="array" aca="1" ref="I153" ca="1">IFERROR(INDEX(_xlfn.ANCHORARRAY($AA$11),ROW()-10,9),"")</f>
        <v/>
      </c>
      <c r="J153" s="4" t="str">
        <f t="shared" ca="1" si="12"/>
        <v/>
      </c>
      <c r="K153" s="4" t="str">
        <f t="shared" ca="1" si="13"/>
        <v/>
      </c>
      <c r="L153" s="4" t="str" cm="1">
        <f t="array" aca="1" ref="L153" ca="1">_xlfn.LET(_xlpm.link,IFERROR(INDEX(_xlfn.ANCHORARRAY($AA$11),ROW()-10,12),""),IF(_xlpm.link="","",HYPERLINK(_xlpm.link,"Bluecore/Attentive")))</f>
        <v/>
      </c>
      <c r="M153" s="60" t="str">
        <f t="shared" ca="1" si="14"/>
        <v/>
      </c>
      <c r="N153" s="7"/>
      <c r="O153" s="7"/>
      <c r="P153" s="7"/>
      <c r="Q153" s="7"/>
      <c r="R153" s="7"/>
      <c r="S153" s="6"/>
      <c r="T153" s="6"/>
      <c r="U153" s="6"/>
      <c r="V153" s="6"/>
      <c r="W153" s="6"/>
      <c r="X153" s="6"/>
      <c r="Y153" s="6"/>
      <c r="Z153" s="6"/>
      <c r="AA153"/>
      <c r="AB153"/>
      <c r="AC153"/>
      <c r="AD153"/>
      <c r="AE153"/>
      <c r="AF153"/>
      <c r="AG153"/>
      <c r="AH153"/>
      <c r="AI153"/>
      <c r="AJ153"/>
      <c r="AK153"/>
      <c r="AL153"/>
    </row>
    <row r="154" spans="1:38">
      <c r="A154" s="79" t="str" cm="1">
        <f t="array" aca="1" ref="A154" ca="1">IFERROR(INDEX(_xlfn.ANCHORARRAY($AA$11),ROW()-10,1),"")</f>
        <v/>
      </c>
      <c r="B154" s="81" t="str" cm="1">
        <f t="array" aca="1" ref="B154" ca="1">IFERROR(INDEX(_xlfn.ANCHORARRAY($AA$11),ROW()-10,2),"")</f>
        <v/>
      </c>
      <c r="C154" s="4" t="str" cm="1">
        <f t="array" aca="1" ref="C154" ca="1">IFERROR(INDEX(_xlfn.ANCHORARRAY($AA$11),ROW()-10,3),"")</f>
        <v/>
      </c>
      <c r="D154" s="13" t="str" cm="1">
        <f t="array" aca="1" ref="D154" ca="1">IFERROR(INDEX(_xlfn.ANCHORARRAY($AA$11),ROW()-10,4),"")</f>
        <v/>
      </c>
      <c r="E154" s="4" t="str" cm="1">
        <f t="array" aca="1" ref="E154" ca="1">IFERROR(INDEX(_xlfn.ANCHORARRAY($AA$11),ROW()-10,5),"")</f>
        <v/>
      </c>
      <c r="F154" s="13" t="str" cm="1">
        <f t="array" aca="1" ref="F154" ca="1">IFERROR(INDEX(_xlfn.ANCHORARRAY($AA$11),ROW()-10,6),"")</f>
        <v/>
      </c>
      <c r="G154" s="4" t="str" cm="1">
        <f t="array" aca="1" ref="G154" ca="1">IFERROR(INDEX(_xlfn.ANCHORARRAY($AA$11),ROW()-10,7),"")</f>
        <v/>
      </c>
      <c r="H154" s="4" t="str" cm="1">
        <f t="array" aca="1" ref="H154" ca="1">IFERROR(INDEX(_xlfn.ANCHORARRAY($AA$11),ROW()-10,8),"")</f>
        <v/>
      </c>
      <c r="I154" s="4" t="str" cm="1">
        <f t="array" aca="1" ref="I154" ca="1">IFERROR(INDEX(_xlfn.ANCHORARRAY($AA$11),ROW()-10,9),"")</f>
        <v/>
      </c>
      <c r="J154" s="4" t="str">
        <f t="shared" ca="1" si="12"/>
        <v/>
      </c>
      <c r="K154" s="4" t="str">
        <f t="shared" ca="1" si="13"/>
        <v/>
      </c>
      <c r="L154" s="4" t="str" cm="1">
        <f t="array" aca="1" ref="L154" ca="1">_xlfn.LET(_xlpm.link,IFERROR(INDEX(_xlfn.ANCHORARRAY($AA$11),ROW()-10,12),""),IF(_xlpm.link="","",HYPERLINK(_xlpm.link,"Bluecore/Attentive")))</f>
        <v/>
      </c>
      <c r="M154" s="61" t="str">
        <f t="shared" ca="1" si="14"/>
        <v/>
      </c>
      <c r="N154" s="7"/>
      <c r="O154" s="7"/>
      <c r="P154" s="7"/>
      <c r="Q154" s="7"/>
      <c r="R154" s="7"/>
      <c r="S154" s="6"/>
      <c r="T154" s="6"/>
      <c r="U154" s="6"/>
      <c r="V154" s="6"/>
      <c r="W154" s="6"/>
      <c r="X154" s="6"/>
      <c r="Y154" s="6"/>
      <c r="Z154" s="6"/>
      <c r="AA154"/>
      <c r="AB154"/>
      <c r="AC154"/>
      <c r="AD154"/>
      <c r="AE154"/>
      <c r="AF154"/>
      <c r="AG154"/>
      <c r="AH154"/>
      <c r="AI154"/>
      <c r="AJ154"/>
      <c r="AK154"/>
      <c r="AL154"/>
    </row>
    <row r="155" spans="1:38">
      <c r="A155" s="79" t="str" cm="1">
        <f t="array" aca="1" ref="A155" ca="1">IFERROR(INDEX(_xlfn.ANCHORARRAY($AA$11),ROW()-10,1),"")</f>
        <v/>
      </c>
      <c r="B155" s="81" t="str" cm="1">
        <f t="array" aca="1" ref="B155" ca="1">IFERROR(INDEX(_xlfn.ANCHORARRAY($AA$11),ROW()-10,2),"")</f>
        <v/>
      </c>
      <c r="C155" s="4" t="str" cm="1">
        <f t="array" aca="1" ref="C155" ca="1">IFERROR(INDEX(_xlfn.ANCHORARRAY($AA$11),ROW()-10,3),"")</f>
        <v/>
      </c>
      <c r="D155" s="13" t="str" cm="1">
        <f t="array" aca="1" ref="D155" ca="1">IFERROR(INDEX(_xlfn.ANCHORARRAY($AA$11),ROW()-10,4),"")</f>
        <v/>
      </c>
      <c r="E155" s="4" t="str" cm="1">
        <f t="array" aca="1" ref="E155" ca="1">IFERROR(INDEX(_xlfn.ANCHORARRAY($AA$11),ROW()-10,5),"")</f>
        <v/>
      </c>
      <c r="F155" s="13" t="str" cm="1">
        <f t="array" aca="1" ref="F155" ca="1">IFERROR(INDEX(_xlfn.ANCHORARRAY($AA$11),ROW()-10,6),"")</f>
        <v/>
      </c>
      <c r="G155" s="4" t="str" cm="1">
        <f t="array" aca="1" ref="G155" ca="1">IFERROR(INDEX(_xlfn.ANCHORARRAY($AA$11),ROW()-10,7),"")</f>
        <v/>
      </c>
      <c r="H155" s="4" t="str" cm="1">
        <f t="array" aca="1" ref="H155" ca="1">IFERROR(INDEX(_xlfn.ANCHORARRAY($AA$11),ROW()-10,8),"")</f>
        <v/>
      </c>
      <c r="I155" s="4" t="str" cm="1">
        <f t="array" aca="1" ref="I155" ca="1">IFERROR(INDEX(_xlfn.ANCHORARRAY($AA$11),ROW()-10,9),"")</f>
        <v/>
      </c>
      <c r="J155" s="4" t="str">
        <f t="shared" ca="1" si="12"/>
        <v/>
      </c>
      <c r="K155" s="4" t="str">
        <f t="shared" ca="1" si="13"/>
        <v/>
      </c>
      <c r="L155" s="4" t="str" cm="1">
        <f t="array" aca="1" ref="L155" ca="1">_xlfn.LET(_xlpm.link,IFERROR(INDEX(_xlfn.ANCHORARRAY($AA$11),ROW()-10,12),""),IF(_xlpm.link="","",HYPERLINK(_xlpm.link,"Bluecore/Attentive")))</f>
        <v/>
      </c>
      <c r="M155" s="60" t="str">
        <f t="shared" ca="1" si="14"/>
        <v/>
      </c>
      <c r="N155" s="7"/>
      <c r="O155" s="7"/>
      <c r="P155" s="7"/>
      <c r="Q155" s="7"/>
      <c r="R155" s="7"/>
      <c r="S155" s="6"/>
      <c r="T155" s="6"/>
      <c r="U155" s="6"/>
      <c r="V155" s="6"/>
      <c r="W155" s="6"/>
      <c r="X155" s="6"/>
      <c r="Y155" s="6"/>
      <c r="Z155" s="6"/>
      <c r="AA155"/>
      <c r="AB155"/>
      <c r="AC155"/>
      <c r="AD155"/>
      <c r="AE155"/>
      <c r="AF155"/>
      <c r="AG155"/>
      <c r="AH155"/>
      <c r="AI155"/>
      <c r="AJ155"/>
      <c r="AK155"/>
      <c r="AL155"/>
    </row>
    <row r="156" spans="1:38">
      <c r="A156" s="79" t="str" cm="1">
        <f t="array" aca="1" ref="A156" ca="1">IFERROR(INDEX(_xlfn.ANCHORARRAY($AA$11),ROW()-10,1),"")</f>
        <v/>
      </c>
      <c r="B156" s="81" t="str" cm="1">
        <f t="array" aca="1" ref="B156" ca="1">IFERROR(INDEX(_xlfn.ANCHORARRAY($AA$11),ROW()-10,2),"")</f>
        <v/>
      </c>
      <c r="C156" s="4" t="str" cm="1">
        <f t="array" aca="1" ref="C156" ca="1">IFERROR(INDEX(_xlfn.ANCHORARRAY($AA$11),ROW()-10,3),"")</f>
        <v/>
      </c>
      <c r="D156" s="13" t="str" cm="1">
        <f t="array" aca="1" ref="D156" ca="1">IFERROR(INDEX(_xlfn.ANCHORARRAY($AA$11),ROW()-10,4),"")</f>
        <v/>
      </c>
      <c r="E156" s="4" t="str" cm="1">
        <f t="array" aca="1" ref="E156" ca="1">IFERROR(INDEX(_xlfn.ANCHORARRAY($AA$11),ROW()-10,5),"")</f>
        <v/>
      </c>
      <c r="F156" s="13" t="str" cm="1">
        <f t="array" aca="1" ref="F156" ca="1">IFERROR(INDEX(_xlfn.ANCHORARRAY($AA$11),ROW()-10,6),"")</f>
        <v/>
      </c>
      <c r="G156" s="4" t="str" cm="1">
        <f t="array" aca="1" ref="G156" ca="1">IFERROR(INDEX(_xlfn.ANCHORARRAY($AA$11),ROW()-10,7),"")</f>
        <v/>
      </c>
      <c r="H156" s="4" t="str" cm="1">
        <f t="array" aca="1" ref="H156" ca="1">IFERROR(INDEX(_xlfn.ANCHORARRAY($AA$11),ROW()-10,8),"")</f>
        <v/>
      </c>
      <c r="I156" s="4" t="str" cm="1">
        <f t="array" aca="1" ref="I156" ca="1">IFERROR(INDEX(_xlfn.ANCHORARRAY($AA$11),ROW()-10,9),"")</f>
        <v/>
      </c>
      <c r="J156" s="4" t="str">
        <f t="shared" ca="1" si="12"/>
        <v/>
      </c>
      <c r="K156" s="4" t="str">
        <f t="shared" ca="1" si="13"/>
        <v/>
      </c>
      <c r="L156" s="4" t="str" cm="1">
        <f t="array" aca="1" ref="L156" ca="1">_xlfn.LET(_xlpm.link,IFERROR(INDEX(_xlfn.ANCHORARRAY($AA$11),ROW()-10,12),""),IF(_xlpm.link="","",HYPERLINK(_xlpm.link,"Bluecore/Attentive")))</f>
        <v/>
      </c>
      <c r="M156" s="61" t="str">
        <f t="shared" ca="1" si="14"/>
        <v/>
      </c>
      <c r="N156" s="7"/>
      <c r="O156" s="7"/>
      <c r="P156" s="7"/>
      <c r="Q156" s="7"/>
      <c r="R156" s="7"/>
      <c r="S156" s="6"/>
      <c r="T156" s="6"/>
      <c r="U156" s="6"/>
      <c r="V156" s="6"/>
      <c r="W156" s="6"/>
      <c r="X156" s="6"/>
      <c r="Y156" s="6"/>
      <c r="Z156" s="6"/>
      <c r="AA156"/>
      <c r="AB156"/>
      <c r="AC156"/>
      <c r="AD156"/>
      <c r="AE156"/>
      <c r="AF156"/>
      <c r="AG156"/>
      <c r="AH156"/>
      <c r="AI156"/>
      <c r="AJ156"/>
      <c r="AK156"/>
      <c r="AL156"/>
    </row>
    <row r="157" spans="1:38">
      <c r="A157" s="79" t="str" cm="1">
        <f t="array" aca="1" ref="A157" ca="1">IFERROR(INDEX(_xlfn.ANCHORARRAY($AA$11),ROW()-10,1),"")</f>
        <v/>
      </c>
      <c r="B157" s="81" t="str" cm="1">
        <f t="array" aca="1" ref="B157" ca="1">IFERROR(INDEX(_xlfn.ANCHORARRAY($AA$11),ROW()-10,2),"")</f>
        <v/>
      </c>
      <c r="C157" s="4" t="str" cm="1">
        <f t="array" aca="1" ref="C157" ca="1">IFERROR(INDEX(_xlfn.ANCHORARRAY($AA$11),ROW()-10,3),"")</f>
        <v/>
      </c>
      <c r="D157" s="13" t="str" cm="1">
        <f t="array" aca="1" ref="D157" ca="1">IFERROR(INDEX(_xlfn.ANCHORARRAY($AA$11),ROW()-10,4),"")</f>
        <v/>
      </c>
      <c r="E157" s="4" t="str" cm="1">
        <f t="array" aca="1" ref="E157" ca="1">IFERROR(INDEX(_xlfn.ANCHORARRAY($AA$11),ROW()-10,5),"")</f>
        <v/>
      </c>
      <c r="F157" s="13" t="str" cm="1">
        <f t="array" aca="1" ref="F157" ca="1">IFERROR(INDEX(_xlfn.ANCHORARRAY($AA$11),ROW()-10,6),"")</f>
        <v/>
      </c>
      <c r="G157" s="4" t="str" cm="1">
        <f t="array" aca="1" ref="G157" ca="1">IFERROR(INDEX(_xlfn.ANCHORARRAY($AA$11),ROW()-10,7),"")</f>
        <v/>
      </c>
      <c r="H157" s="4" t="str" cm="1">
        <f t="array" aca="1" ref="H157" ca="1">IFERROR(INDEX(_xlfn.ANCHORARRAY($AA$11),ROW()-10,8),"")</f>
        <v/>
      </c>
      <c r="I157" s="4" t="str" cm="1">
        <f t="array" aca="1" ref="I157" ca="1">IFERROR(INDEX(_xlfn.ANCHORARRAY($AA$11),ROW()-10,9),"")</f>
        <v/>
      </c>
      <c r="J157" s="4" t="str">
        <f t="shared" ca="1" si="12"/>
        <v/>
      </c>
      <c r="K157" s="4" t="str">
        <f t="shared" ca="1" si="13"/>
        <v/>
      </c>
      <c r="L157" s="4" t="str" cm="1">
        <f t="array" aca="1" ref="L157" ca="1">_xlfn.LET(_xlpm.link,IFERROR(INDEX(_xlfn.ANCHORARRAY($AA$11),ROW()-10,12),""),IF(_xlpm.link="","",HYPERLINK(_xlpm.link,"Bluecore/Attentive")))</f>
        <v/>
      </c>
      <c r="M157" s="60" t="str">
        <f t="shared" ca="1" si="14"/>
        <v/>
      </c>
      <c r="N157" s="7"/>
      <c r="O157" s="7"/>
      <c r="P157" s="7"/>
      <c r="Q157" s="7"/>
      <c r="R157" s="7"/>
      <c r="S157" s="6"/>
      <c r="T157" s="6"/>
      <c r="U157" s="6"/>
      <c r="V157" s="6"/>
      <c r="W157" s="6"/>
      <c r="X157" s="6"/>
      <c r="Y157" s="6"/>
      <c r="Z157" s="6"/>
      <c r="AA157"/>
      <c r="AB157"/>
      <c r="AC157"/>
      <c r="AD157"/>
      <c r="AE157"/>
      <c r="AF157"/>
      <c r="AG157"/>
      <c r="AH157"/>
      <c r="AI157"/>
      <c r="AJ157"/>
      <c r="AK157"/>
      <c r="AL157"/>
    </row>
    <row r="158" spans="1:38">
      <c r="A158" s="79" t="str" cm="1">
        <f t="array" aca="1" ref="A158" ca="1">IFERROR(INDEX(_xlfn.ANCHORARRAY($AA$11),ROW()-10,1),"")</f>
        <v/>
      </c>
      <c r="B158" s="81" t="str" cm="1">
        <f t="array" aca="1" ref="B158" ca="1">IFERROR(INDEX(_xlfn.ANCHORARRAY($AA$11),ROW()-10,2),"")</f>
        <v/>
      </c>
      <c r="C158" s="4" t="str" cm="1">
        <f t="array" aca="1" ref="C158" ca="1">IFERROR(INDEX(_xlfn.ANCHORARRAY($AA$11),ROW()-10,3),"")</f>
        <v/>
      </c>
      <c r="D158" s="13" t="str" cm="1">
        <f t="array" aca="1" ref="D158" ca="1">IFERROR(INDEX(_xlfn.ANCHORARRAY($AA$11),ROW()-10,4),"")</f>
        <v/>
      </c>
      <c r="E158" s="4" t="str" cm="1">
        <f t="array" aca="1" ref="E158" ca="1">IFERROR(INDEX(_xlfn.ANCHORARRAY($AA$11),ROW()-10,5),"")</f>
        <v/>
      </c>
      <c r="F158" s="13" t="str" cm="1">
        <f t="array" aca="1" ref="F158" ca="1">IFERROR(INDEX(_xlfn.ANCHORARRAY($AA$11),ROW()-10,6),"")</f>
        <v/>
      </c>
      <c r="G158" s="4" t="str" cm="1">
        <f t="array" aca="1" ref="G158" ca="1">IFERROR(INDEX(_xlfn.ANCHORARRAY($AA$11),ROW()-10,7),"")</f>
        <v/>
      </c>
      <c r="H158" s="4" t="str" cm="1">
        <f t="array" aca="1" ref="H158" ca="1">IFERROR(INDEX(_xlfn.ANCHORARRAY($AA$11),ROW()-10,8),"")</f>
        <v/>
      </c>
      <c r="I158" s="4" t="str" cm="1">
        <f t="array" aca="1" ref="I158" ca="1">IFERROR(INDEX(_xlfn.ANCHORARRAY($AA$11),ROW()-10,9),"")</f>
        <v/>
      </c>
      <c r="J158" s="4" t="str">
        <f t="shared" ca="1" si="12"/>
        <v/>
      </c>
      <c r="K158" s="4" t="str">
        <f t="shared" ca="1" si="13"/>
        <v/>
      </c>
      <c r="L158" s="4" t="str" cm="1">
        <f t="array" aca="1" ref="L158" ca="1">_xlfn.LET(_xlpm.link,IFERROR(INDEX(_xlfn.ANCHORARRAY($AA$11),ROW()-10,12),""),IF(_xlpm.link="","",HYPERLINK(_xlpm.link,"Bluecore/Attentive")))</f>
        <v/>
      </c>
      <c r="M158" s="61" t="str">
        <f t="shared" ca="1" si="14"/>
        <v/>
      </c>
      <c r="N158" s="7"/>
      <c r="O158" s="7"/>
      <c r="P158" s="7"/>
      <c r="Q158" s="7"/>
      <c r="R158" s="7"/>
      <c r="S158" s="6"/>
      <c r="T158" s="6"/>
      <c r="U158" s="6"/>
      <c r="V158" s="6"/>
      <c r="W158" s="6"/>
      <c r="X158" s="6"/>
      <c r="Y158" s="6"/>
      <c r="Z158" s="6"/>
      <c r="AA158"/>
      <c r="AB158"/>
      <c r="AC158"/>
      <c r="AD158"/>
      <c r="AE158"/>
      <c r="AF158"/>
      <c r="AG158"/>
      <c r="AH158"/>
      <c r="AI158"/>
      <c r="AJ158"/>
      <c r="AK158"/>
      <c r="AL158"/>
    </row>
    <row r="159" spans="1:38">
      <c r="A159" s="79" t="str" cm="1">
        <f t="array" aca="1" ref="A159" ca="1">IFERROR(INDEX(_xlfn.ANCHORARRAY($AA$11),ROW()-10,1),"")</f>
        <v/>
      </c>
      <c r="B159" s="81" t="str" cm="1">
        <f t="array" aca="1" ref="B159" ca="1">IFERROR(INDEX(_xlfn.ANCHORARRAY($AA$11),ROW()-10,2),"")</f>
        <v/>
      </c>
      <c r="C159" s="4" t="str" cm="1">
        <f t="array" aca="1" ref="C159" ca="1">IFERROR(INDEX(_xlfn.ANCHORARRAY($AA$11),ROW()-10,3),"")</f>
        <v/>
      </c>
      <c r="D159" s="13" t="str" cm="1">
        <f t="array" aca="1" ref="D159" ca="1">IFERROR(INDEX(_xlfn.ANCHORARRAY($AA$11),ROW()-10,4),"")</f>
        <v/>
      </c>
      <c r="E159" s="4" t="str" cm="1">
        <f t="array" aca="1" ref="E159" ca="1">IFERROR(INDEX(_xlfn.ANCHORARRAY($AA$11),ROW()-10,5),"")</f>
        <v/>
      </c>
      <c r="F159" s="13" t="str" cm="1">
        <f t="array" aca="1" ref="F159" ca="1">IFERROR(INDEX(_xlfn.ANCHORARRAY($AA$11),ROW()-10,6),"")</f>
        <v/>
      </c>
      <c r="G159" s="4" t="str" cm="1">
        <f t="array" aca="1" ref="G159" ca="1">IFERROR(INDEX(_xlfn.ANCHORARRAY($AA$11),ROW()-10,7),"")</f>
        <v/>
      </c>
      <c r="H159" s="4" t="str" cm="1">
        <f t="array" aca="1" ref="H159" ca="1">IFERROR(INDEX(_xlfn.ANCHORARRAY($AA$11),ROW()-10,8),"")</f>
        <v/>
      </c>
      <c r="I159" s="4" t="str" cm="1">
        <f t="array" aca="1" ref="I159" ca="1">IFERROR(INDEX(_xlfn.ANCHORARRAY($AA$11),ROW()-10,9),"")</f>
        <v/>
      </c>
      <c r="J159" s="4" t="str">
        <f t="shared" ca="1" si="12"/>
        <v/>
      </c>
      <c r="K159" s="4" t="str">
        <f t="shared" ca="1" si="13"/>
        <v/>
      </c>
      <c r="L159" s="4" t="str" cm="1">
        <f t="array" aca="1" ref="L159" ca="1">_xlfn.LET(_xlpm.link,IFERROR(INDEX(_xlfn.ANCHORARRAY($AA$11),ROW()-10,12),""),IF(_xlpm.link="","",HYPERLINK(_xlpm.link,"Bluecore/Attentive")))</f>
        <v/>
      </c>
      <c r="M159" s="60" t="str">
        <f t="shared" ca="1" si="14"/>
        <v/>
      </c>
      <c r="N159" s="7"/>
      <c r="O159" s="7"/>
      <c r="P159" s="7"/>
      <c r="Q159" s="7"/>
      <c r="R159" s="7"/>
      <c r="S159" s="6"/>
      <c r="T159" s="6"/>
      <c r="U159" s="6"/>
      <c r="V159" s="6"/>
      <c r="W159" s="6"/>
      <c r="X159" s="6"/>
      <c r="Y159" s="6"/>
      <c r="Z159" s="6"/>
      <c r="AA159"/>
      <c r="AB159"/>
      <c r="AC159"/>
      <c r="AD159"/>
      <c r="AE159"/>
      <c r="AF159"/>
      <c r="AG159"/>
      <c r="AH159"/>
      <c r="AI159"/>
      <c r="AJ159"/>
      <c r="AK159"/>
      <c r="AL159"/>
    </row>
    <row r="160" spans="1:38">
      <c r="A160" s="79" t="str" cm="1">
        <f t="array" aca="1" ref="A160" ca="1">IFERROR(INDEX(_xlfn.ANCHORARRAY($AA$11),ROW()-10,1),"")</f>
        <v/>
      </c>
      <c r="B160" s="81" t="str" cm="1">
        <f t="array" aca="1" ref="B160" ca="1">IFERROR(INDEX(_xlfn.ANCHORARRAY($AA$11),ROW()-10,2),"")</f>
        <v/>
      </c>
      <c r="C160" s="4" t="str" cm="1">
        <f t="array" aca="1" ref="C160" ca="1">IFERROR(INDEX(_xlfn.ANCHORARRAY($AA$11),ROW()-10,3),"")</f>
        <v/>
      </c>
      <c r="D160" s="13" t="str" cm="1">
        <f t="array" aca="1" ref="D160" ca="1">IFERROR(INDEX(_xlfn.ANCHORARRAY($AA$11),ROW()-10,4),"")</f>
        <v/>
      </c>
      <c r="E160" s="4" t="str" cm="1">
        <f t="array" aca="1" ref="E160" ca="1">IFERROR(INDEX(_xlfn.ANCHORARRAY($AA$11),ROW()-10,5),"")</f>
        <v/>
      </c>
      <c r="F160" s="13" t="str" cm="1">
        <f t="array" aca="1" ref="F160" ca="1">IFERROR(INDEX(_xlfn.ANCHORARRAY($AA$11),ROW()-10,6),"")</f>
        <v/>
      </c>
      <c r="G160" s="4" t="str" cm="1">
        <f t="array" aca="1" ref="G160" ca="1">IFERROR(INDEX(_xlfn.ANCHORARRAY($AA$11),ROW()-10,7),"")</f>
        <v/>
      </c>
      <c r="H160" s="4" t="str" cm="1">
        <f t="array" aca="1" ref="H160" ca="1">IFERROR(INDEX(_xlfn.ANCHORARRAY($AA$11),ROW()-10,8),"")</f>
        <v/>
      </c>
      <c r="I160" s="4" t="str" cm="1">
        <f t="array" aca="1" ref="I160" ca="1">IFERROR(INDEX(_xlfn.ANCHORARRAY($AA$11),ROW()-10,9),"")</f>
        <v/>
      </c>
      <c r="J160" s="4" t="str">
        <f t="shared" ca="1" si="12"/>
        <v/>
      </c>
      <c r="K160" s="4" t="str">
        <f t="shared" ca="1" si="13"/>
        <v/>
      </c>
      <c r="L160" s="4" t="str" cm="1">
        <f t="array" aca="1" ref="L160" ca="1">_xlfn.LET(_xlpm.link,IFERROR(INDEX(_xlfn.ANCHORARRAY($AA$11),ROW()-10,12),""),IF(_xlpm.link="","",HYPERLINK(_xlpm.link,"Bluecore/Attentive")))</f>
        <v/>
      </c>
      <c r="M160" s="61" t="str">
        <f t="shared" ca="1" si="14"/>
        <v/>
      </c>
      <c r="N160" s="7"/>
      <c r="O160" s="7"/>
      <c r="P160" s="7"/>
      <c r="Q160" s="7"/>
      <c r="R160" s="7"/>
      <c r="S160" s="6"/>
      <c r="T160" s="6"/>
      <c r="U160" s="6"/>
      <c r="V160" s="6"/>
      <c r="W160" s="6"/>
      <c r="X160" s="6"/>
      <c r="Y160" s="6"/>
      <c r="Z160" s="6"/>
      <c r="AA160"/>
      <c r="AB160"/>
      <c r="AC160"/>
      <c r="AD160"/>
      <c r="AE160"/>
      <c r="AF160"/>
      <c r="AG160"/>
      <c r="AH160"/>
      <c r="AI160"/>
      <c r="AJ160"/>
      <c r="AK160"/>
      <c r="AL160"/>
    </row>
    <row r="161" spans="1:38">
      <c r="A161" s="20"/>
      <c r="B161" s="11"/>
      <c r="C161" s="4"/>
      <c r="D161" s="13"/>
      <c r="E161" s="4"/>
      <c r="G161" s="4"/>
      <c r="H161" s="4"/>
      <c r="I161" s="4"/>
      <c r="J161" s="4"/>
      <c r="K161" s="4"/>
      <c r="L161" s="4"/>
      <c r="M161" s="7"/>
      <c r="N161" s="7"/>
      <c r="O161" s="7"/>
      <c r="P161" s="7"/>
      <c r="Q161" s="7"/>
      <c r="R161" s="7"/>
      <c r="S161" s="6"/>
      <c r="T161" s="6"/>
      <c r="U161" s="6"/>
      <c r="V161" s="6"/>
      <c r="W161" s="6"/>
      <c r="X161" s="6"/>
      <c r="Y161" s="6"/>
      <c r="Z161" s="6"/>
      <c r="AA161"/>
      <c r="AB161"/>
      <c r="AC161"/>
      <c r="AD161"/>
      <c r="AE161"/>
      <c r="AF161"/>
      <c r="AG161"/>
      <c r="AH161"/>
      <c r="AI161"/>
      <c r="AJ161"/>
      <c r="AK161"/>
      <c r="AL161"/>
    </row>
    <row r="162" spans="1:38">
      <c r="A162" s="28" t="s">
        <v>32</v>
      </c>
      <c r="B162" s="29" t="s">
        <v>33</v>
      </c>
      <c r="C162" s="55">
        <f ca="1">C5</f>
        <v>1</v>
      </c>
      <c r="D162" s="16" t="s">
        <v>34</v>
      </c>
      <c r="E162" s="4"/>
      <c r="G162" s="4"/>
      <c r="H162" s="4"/>
      <c r="I162" s="4"/>
      <c r="J162" s="4"/>
      <c r="K162" s="4"/>
      <c r="L162" s="4"/>
      <c r="M162" s="7"/>
      <c r="N162" s="7"/>
      <c r="O162" s="7"/>
      <c r="P162" s="7"/>
      <c r="Q162" s="7"/>
      <c r="R162" s="7"/>
      <c r="S162" s="6"/>
      <c r="T162" s="6"/>
      <c r="U162" s="6"/>
      <c r="V162" s="6"/>
      <c r="W162" s="6"/>
      <c r="X162" s="6"/>
      <c r="Y162" s="6"/>
      <c r="Z162" s="6"/>
      <c r="AA162"/>
      <c r="AB162"/>
      <c r="AC162"/>
      <c r="AD162"/>
      <c r="AE162"/>
      <c r="AF162"/>
      <c r="AG162"/>
      <c r="AH162"/>
      <c r="AI162"/>
      <c r="AJ162"/>
      <c r="AK162"/>
      <c r="AL162"/>
    </row>
    <row r="163" spans="1:38">
      <c r="A163" s="30" t="s">
        <v>6</v>
      </c>
      <c r="B163" s="31" t="s">
        <v>35</v>
      </c>
      <c r="C163" s="56">
        <f>E5</f>
        <v>5</v>
      </c>
      <c r="D163" s="17" t="s">
        <v>36</v>
      </c>
      <c r="E163" s="4"/>
      <c r="G163" s="4"/>
      <c r="H163" s="4"/>
      <c r="I163" s="4"/>
      <c r="J163" s="4"/>
      <c r="K163" s="4"/>
      <c r="L163" s="4"/>
      <c r="M163" s="7"/>
      <c r="N163" s="7"/>
      <c r="O163" s="7"/>
      <c r="P163" s="7"/>
      <c r="Q163" s="7"/>
      <c r="R163" s="7"/>
      <c r="S163" s="6"/>
      <c r="T163" s="6"/>
      <c r="U163" s="6"/>
      <c r="V163" s="6"/>
      <c r="W163" s="6"/>
      <c r="X163" s="6"/>
      <c r="Y163" s="6"/>
      <c r="Z163" s="6"/>
      <c r="AA163"/>
      <c r="AB163"/>
      <c r="AC163"/>
      <c r="AD163"/>
      <c r="AE163"/>
      <c r="AF163"/>
      <c r="AG163"/>
      <c r="AH163"/>
      <c r="AI163"/>
      <c r="AJ163"/>
      <c r="AK163"/>
      <c r="AL163"/>
    </row>
    <row r="164" spans="1:38">
      <c r="A164" s="32" t="s">
        <v>7</v>
      </c>
      <c r="B164" s="33" t="s">
        <v>35</v>
      </c>
      <c r="C164" s="57">
        <f>G5</f>
        <v>1</v>
      </c>
      <c r="D164" s="18" t="s">
        <v>37</v>
      </c>
      <c r="E164" s="4"/>
      <c r="G164" s="4"/>
      <c r="H164" s="4"/>
      <c r="I164" s="4"/>
      <c r="J164" s="4"/>
      <c r="K164" s="4"/>
      <c r="L164" s="4"/>
      <c r="M164" s="7"/>
      <c r="N164" s="7"/>
      <c r="O164" s="7"/>
      <c r="P164" s="7"/>
      <c r="Q164" s="7"/>
      <c r="R164" s="7"/>
      <c r="S164" s="6"/>
      <c r="T164" s="6"/>
      <c r="U164" s="6"/>
      <c r="V164" s="6"/>
      <c r="W164" s="6"/>
      <c r="X164" s="6"/>
      <c r="Y164" s="6"/>
      <c r="Z164" s="6"/>
      <c r="AA164"/>
      <c r="AB164"/>
      <c r="AC164"/>
      <c r="AD164"/>
      <c r="AE164"/>
      <c r="AF164"/>
      <c r="AG164"/>
      <c r="AH164"/>
      <c r="AI164"/>
      <c r="AJ164"/>
      <c r="AK164"/>
      <c r="AL164"/>
    </row>
    <row r="165" spans="1:38">
      <c r="A165" s="30" t="s">
        <v>8</v>
      </c>
      <c r="B165" s="31" t="s">
        <v>33</v>
      </c>
      <c r="C165" s="56">
        <f>I5</f>
        <v>5</v>
      </c>
      <c r="D165" s="17" t="s">
        <v>38</v>
      </c>
      <c r="E165" s="4"/>
      <c r="G165" s="4"/>
      <c r="H165" s="4"/>
      <c r="I165" s="4"/>
      <c r="J165" s="4"/>
      <c r="K165" s="4"/>
      <c r="L165" s="4"/>
      <c r="M165" s="7"/>
      <c r="N165" s="7"/>
      <c r="O165" s="7"/>
      <c r="P165" s="7"/>
      <c r="Q165" s="7"/>
      <c r="R165" s="7"/>
      <c r="S165" s="6"/>
      <c r="T165" s="6"/>
      <c r="U165" s="6"/>
      <c r="V165" s="6"/>
      <c r="W165" s="6"/>
      <c r="X165" s="6"/>
      <c r="Y165" s="6"/>
      <c r="Z165" s="6"/>
      <c r="AA165"/>
      <c r="AB165"/>
      <c r="AC165"/>
      <c r="AD165"/>
      <c r="AE165"/>
      <c r="AF165"/>
      <c r="AG165"/>
      <c r="AH165"/>
      <c r="AI165"/>
      <c r="AJ165"/>
      <c r="AK165"/>
      <c r="AL165"/>
    </row>
    <row r="166" spans="1:38">
      <c r="A166" s="32" t="s">
        <v>9</v>
      </c>
      <c r="B166" s="33" t="s">
        <v>39</v>
      </c>
      <c r="C166" s="57">
        <f>K5</f>
        <v>30</v>
      </c>
      <c r="D166" s="18" t="s">
        <v>40</v>
      </c>
      <c r="E166" s="4"/>
      <c r="G166" s="4"/>
      <c r="H166" s="4"/>
      <c r="I166" s="4"/>
      <c r="J166" s="4"/>
      <c r="K166" s="4"/>
      <c r="L166" s="4"/>
      <c r="M166" s="7"/>
      <c r="N166" s="7"/>
      <c r="O166" s="7"/>
      <c r="P166" s="7"/>
      <c r="Q166" s="7"/>
      <c r="R166" s="7"/>
      <c r="S166" s="6"/>
      <c r="T166" s="6"/>
      <c r="U166" s="6"/>
      <c r="V166" s="6"/>
      <c r="W166" s="6"/>
      <c r="X166" s="6"/>
      <c r="Y166" s="6"/>
      <c r="Z166" s="6"/>
      <c r="AA166"/>
      <c r="AB166"/>
      <c r="AC166"/>
      <c r="AD166"/>
      <c r="AE166"/>
      <c r="AF166"/>
      <c r="AG166"/>
      <c r="AH166"/>
      <c r="AI166"/>
      <c r="AJ166"/>
      <c r="AK166"/>
      <c r="AL166"/>
    </row>
    <row r="167" spans="1:38">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row>
    <row r="168" spans="1:38">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row>
    <row r="169" spans="1:38">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row>
    <row r="170" spans="1:38">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row>
    <row r="171" spans="1:38">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row>
    <row r="172" spans="1:38">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row>
    <row r="173" spans="1:38">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row>
    <row r="174" spans="1:38">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row>
    <row r="175" spans="1:38">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row>
    <row r="176" spans="1:38">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row>
    <row r="177" spans="1:38">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row>
    <row r="178" spans="1:38">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row>
    <row r="179" spans="1:38">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row>
    <row r="180" spans="1:38">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row>
    <row r="181" spans="1:38">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row>
    <row r="182" spans="1:38">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row>
    <row r="183" spans="1:38">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row>
    <row r="184" spans="1:38">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row>
    <row r="185" spans="1:38">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row>
    <row r="186" spans="1:38">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row>
    <row r="187" spans="1:38">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row>
    <row r="188" spans="1:38">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row>
    <row r="189" spans="1:38">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row>
    <row r="190" spans="1:38">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row>
    <row r="191" spans="1:38">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row>
    <row r="192" spans="1:38">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row>
    <row r="193" spans="1:38">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row>
    <row r="194" spans="1:38">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row>
    <row r="195" spans="1:38">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row>
    <row r="196" spans="1:38">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row>
    <row r="197" spans="1:38">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row>
    <row r="198" spans="1:38">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row>
    <row r="199" spans="1:38">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row>
    <row r="200" spans="1:38">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row>
    <row r="201" spans="1:38">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row>
    <row r="202" spans="1:38">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row>
    <row r="203" spans="1:38">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row>
    <row r="204" spans="1:38">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row>
    <row r="205" spans="1:38">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row>
    <row r="206" spans="1:38">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row>
    <row r="207" spans="1:38">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row>
    <row r="208" spans="1:38">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row>
    <row r="209" spans="1:38">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row>
    <row r="210" spans="1:38">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row>
    <row r="211" spans="1:38">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row>
    <row r="212" spans="1:38">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row>
    <row r="213" spans="1:38">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row>
    <row r="214" spans="1:38">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row>
    <row r="215" spans="1:38">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row>
    <row r="216" spans="1:38">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row>
    <row r="217" spans="1:38">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row>
    <row r="218" spans="1:38">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row>
    <row r="219" spans="1:38">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row>
    <row r="220" spans="1:38">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row>
    <row r="221" spans="1:38">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row>
    <row r="222" spans="1:38">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row>
    <row r="223" spans="1:38">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row>
    <row r="224" spans="1:38">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row>
    <row r="225" spans="1:38">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row>
    <row r="226" spans="1:38">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row>
    <row r="227" spans="1:38">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row>
    <row r="228" spans="1:38">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row>
    <row r="229" spans="1:38">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row>
    <row r="230" spans="1:38">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row>
    <row r="231" spans="1:38">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row>
    <row r="232" spans="1:38">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row>
    <row r="233" spans="1:38">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row>
    <row r="234" spans="1:38">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row>
    <row r="235" spans="1:38">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row>
    <row r="236" spans="1:38">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row>
    <row r="237" spans="1:38">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row>
    <row r="238" spans="1:38">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row>
    <row r="239" spans="1:38">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row>
    <row r="240" spans="1:38">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row>
    <row r="241" spans="1:38">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row>
    <row r="242" spans="1:38">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row>
    <row r="243" spans="1:38">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row>
    <row r="244" spans="1:38">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row>
    <row r="245" spans="1:38">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row>
    <row r="246" spans="1:38">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row>
    <row r="247" spans="1:38">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row>
    <row r="248" spans="1:38">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row>
    <row r="249" spans="1:38">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row>
    <row r="250" spans="1:38">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row>
    <row r="251" spans="1:38">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row>
    <row r="252" spans="1:38">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row>
    <row r="253" spans="1:38">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row>
    <row r="254" spans="1:38">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row>
    <row r="255" spans="1:38">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row>
    <row r="256" spans="1:38">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row>
    <row r="257" spans="1:38">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row>
    <row r="258" spans="1:38">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row>
    <row r="259" spans="1:38">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row>
    <row r="260" spans="1:38">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row>
    <row r="261" spans="1:38">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row>
    <row r="262" spans="1:38">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row>
    <row r="263" spans="1:38">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row>
    <row r="264" spans="1:38">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row>
    <row r="265" spans="1:38">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row>
    <row r="266" spans="1:38">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row>
    <row r="267" spans="1:38">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row>
    <row r="268" spans="1:38">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row>
    <row r="269" spans="1:38">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row>
    <row r="270" spans="1:38">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row>
    <row r="271" spans="1:38">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row>
    <row r="272" spans="1:38">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row>
    <row r="273" spans="1:38">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row>
    <row r="274" spans="1:38">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row>
    <row r="275" spans="1:38">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row>
    <row r="276" spans="1:38">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row>
    <row r="277" spans="1:38">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row>
    <row r="278" spans="1:38">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row>
    <row r="279" spans="1:38">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row>
    <row r="280" spans="1:38">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row>
    <row r="281" spans="1:38">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row>
    <row r="282" spans="1:38">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row>
    <row r="283" spans="1:38">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row>
    <row r="284" spans="1:38">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row>
    <row r="285" spans="1:38">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row>
    <row r="286" spans="1:38">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row>
    <row r="287" spans="1:38">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row>
    <row r="288" spans="1:38">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row>
    <row r="289" spans="1:38">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row>
    <row r="290" spans="1:38">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row>
    <row r="291" spans="1:38">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row>
    <row r="292" spans="1:38">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row>
    <row r="293" spans="1:38">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row>
    <row r="294" spans="1:38">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row>
    <row r="295" spans="1:38">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row>
    <row r="296" spans="1:38">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row>
    <row r="297" spans="1:38">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row>
    <row r="298" spans="1:38">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row>
    <row r="299" spans="1:38">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row>
    <row r="300" spans="1:38">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row>
    <row r="301" spans="1:38">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row>
    <row r="302" spans="1:38">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row>
    <row r="303" spans="1:38">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row>
    <row r="304" spans="1:38">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row>
    <row r="305" spans="1:38">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row>
    <row r="306" spans="1:38">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row>
    <row r="307" spans="1:38">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row>
    <row r="308" spans="1:38">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row>
    <row r="309" spans="1:38">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row>
    <row r="310" spans="1:38">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row>
    <row r="311" spans="1:38">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row>
    <row r="312" spans="1:38">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row>
    <row r="313" spans="1:38">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row>
    <row r="314" spans="1:38">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row>
    <row r="315" spans="1:38">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row>
    <row r="316" spans="1:38">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row>
    <row r="317" spans="1:38">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row>
    <row r="318" spans="1:38">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row>
    <row r="319" spans="1:38">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row>
    <row r="320" spans="1:38">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row>
    <row r="321" spans="1:38">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row>
    <row r="322" spans="1:38">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row>
    <row r="323" spans="1:38">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row>
    <row r="324" spans="1:38">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row>
    <row r="325" spans="1:38">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row>
    <row r="326" spans="1:38">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row>
    <row r="327" spans="1:38">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row>
    <row r="328" spans="1:38">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row>
    <row r="329" spans="1:38">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row>
    <row r="330" spans="1:38">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row>
    <row r="331" spans="1:38">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row>
    <row r="332" spans="1:38">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row>
    <row r="333" spans="1:38">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row>
    <row r="334" spans="1:38">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row>
    <row r="335" spans="1:38">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row>
    <row r="336" spans="1:38">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row>
    <row r="337" spans="1:38">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row>
    <row r="338" spans="1:38">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row>
    <row r="339" spans="1:38">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row>
    <row r="340" spans="1:38">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row>
    <row r="341" spans="1:38">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row>
    <row r="342" spans="1:38">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row>
    <row r="343" spans="1:38">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row>
    <row r="344" spans="1:38">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row>
    <row r="345" spans="1:38">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row>
    <row r="346" spans="1:38">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row>
    <row r="347" spans="1:38">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row>
    <row r="348" spans="1:38">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row>
    <row r="349" spans="1:38">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row>
    <row r="350" spans="1:38">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row>
    <row r="351" spans="1:38">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row>
    <row r="352" spans="1:38">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row>
    <row r="353" spans="1:38">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row>
    <row r="354" spans="1:38">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row>
    <row r="355" spans="1:38">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row>
    <row r="356" spans="1:38">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row>
    <row r="357" spans="1:38">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row>
    <row r="358" spans="1:38">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row>
    <row r="359" spans="1:38">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row>
    <row r="360" spans="1:38">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row>
    <row r="361" spans="1:38">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row>
    <row r="362" spans="1:38">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row>
    <row r="363" spans="1:38">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row>
    <row r="364" spans="1:38">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row>
    <row r="365" spans="1:38">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row>
    <row r="366" spans="1:38">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row>
    <row r="367" spans="1:38">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row>
    <row r="368" spans="1:38">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row>
    <row r="369" spans="1:38">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row>
    <row r="370" spans="1:38">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row>
    <row r="371" spans="1:38">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row>
    <row r="372" spans="1:38">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row>
    <row r="373" spans="1:38">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row>
    <row r="374" spans="1:38">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row>
    <row r="375" spans="1:38">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row>
    <row r="376" spans="1:38">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row>
    <row r="377" spans="1:38">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row>
    <row r="378" spans="1:38">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row>
    <row r="379" spans="1:38">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row>
    <row r="380" spans="1:38">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row>
    <row r="381" spans="1:38">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row>
    <row r="382" spans="1:38">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row>
    <row r="383" spans="1:38">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row>
    <row r="384" spans="1:38">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row>
    <row r="385" spans="1:38">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row>
    <row r="386" spans="1:38">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row>
    <row r="387" spans="1:38">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row>
    <row r="388" spans="1:38">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row>
    <row r="389" spans="1:38">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row>
    <row r="390" spans="1:38">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row>
    <row r="391" spans="1:38">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row>
    <row r="392" spans="1:38">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row>
    <row r="393" spans="1:38">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row>
    <row r="394" spans="1:38">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row>
    <row r="395" spans="1:38">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row>
    <row r="396" spans="1:38">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row>
    <row r="397" spans="1:38">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row>
    <row r="398" spans="1:38">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row>
    <row r="399" spans="1:38">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row>
    <row r="400" spans="1:38">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row>
    <row r="401" spans="1:38">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row>
    <row r="402" spans="1:38">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row>
    <row r="403" spans="1:38">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row>
    <row r="404" spans="1:38">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row>
    <row r="405" spans="1:38">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row>
    <row r="406" spans="1:38">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row>
    <row r="407" spans="1:38">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row>
    <row r="408" spans="1:38">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row>
    <row r="409" spans="1:38">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row>
    <row r="410" spans="1:38">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row>
    <row r="411" spans="1:38">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row>
    <row r="412" spans="1:38">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row>
    <row r="413" spans="1:38">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row>
    <row r="414" spans="1:38">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row>
    <row r="415" spans="1:38">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row>
    <row r="416" spans="1:38">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row>
    <row r="417" spans="1:38">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row>
    <row r="418" spans="1:38">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row>
    <row r="419" spans="1:38">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row>
    <row r="420" spans="1:38">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row>
    <row r="421" spans="1:38">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row>
    <row r="422" spans="1:38">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row>
    <row r="423" spans="1:38">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row>
    <row r="424" spans="1:38">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row>
    <row r="425" spans="1:38">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row>
    <row r="426" spans="1:38">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row>
    <row r="427" spans="1:38">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row>
    <row r="428" spans="1:38">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row>
    <row r="429" spans="1:38">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row>
    <row r="430" spans="1:38">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row>
    <row r="431" spans="1:38">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row>
    <row r="432" spans="1:38">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row>
    <row r="433" spans="1:38">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row>
    <row r="434" spans="1:38">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row>
    <row r="435" spans="1:38">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row>
    <row r="436" spans="1:38">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row>
    <row r="437" spans="1:38">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row>
    <row r="438" spans="1:38">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row>
    <row r="439" spans="1:38">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row>
    <row r="440" spans="1:38">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row>
    <row r="441" spans="1:38">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row>
    <row r="442" spans="1:38">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row>
    <row r="443" spans="1:38">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row>
    <row r="444" spans="1:38">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row>
    <row r="445" spans="1:38">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row>
    <row r="446" spans="1:38">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row>
    <row r="447" spans="1:38">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row>
    <row r="448" spans="1:38">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row>
    <row r="449" spans="1:38">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row>
    <row r="450" spans="1:38">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row>
    <row r="451" spans="1:38">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row>
    <row r="452" spans="1:38">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row>
    <row r="453" spans="1:38">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row>
    <row r="454" spans="1:38">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row>
    <row r="455" spans="1:38">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row>
    <row r="456" spans="1:38">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row>
    <row r="457" spans="1:38">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row>
    <row r="458" spans="1:38">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row>
    <row r="459" spans="1:38">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row>
    <row r="460" spans="1:38">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row>
    <row r="461" spans="1:38">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row>
    <row r="462" spans="1:38">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row>
    <row r="463" spans="1:38">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row>
    <row r="464" spans="1:38">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row>
    <row r="465" spans="1:38">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row>
    <row r="466" spans="1:38">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row>
    <row r="467" spans="1:38">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row>
    <row r="468" spans="1:38">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row>
    <row r="469" spans="1:38">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row>
    <row r="470" spans="1:38">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row>
    <row r="471" spans="1:38">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row>
    <row r="472" spans="1:38">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row>
    <row r="473" spans="1:38">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row>
    <row r="474" spans="1:38">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row>
    <row r="475" spans="1:38">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row>
    <row r="476" spans="1:38">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row>
    <row r="477" spans="1:38">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row>
    <row r="478" spans="1:38">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row>
    <row r="479" spans="1:38">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row>
    <row r="480" spans="1:38">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row>
    <row r="481" spans="1:38">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row>
    <row r="482" spans="1:38">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row>
    <row r="483" spans="1:38">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row>
    <row r="484" spans="1:38">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row>
    <row r="485" spans="1:38">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row>
    <row r="486" spans="1:38">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row>
    <row r="487" spans="1:38">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row>
    <row r="488" spans="1:38">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row>
    <row r="489" spans="1:38">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row>
    <row r="490" spans="1:38">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row>
    <row r="491" spans="1:38">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row>
    <row r="492" spans="1:38">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row>
    <row r="493" spans="1:38">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row>
    <row r="494" spans="1:38">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row>
    <row r="495" spans="1:38">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row>
    <row r="496" spans="1:38">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row>
    <row r="497" spans="1:38">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row>
    <row r="498" spans="1:38">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row>
    <row r="499" spans="1:38">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row>
    <row r="500" spans="1:38">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row>
    <row r="501" spans="1:38">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row>
    <row r="502" spans="1:38">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row>
    <row r="503" spans="1:38">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row>
    <row r="504" spans="1:38">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row>
    <row r="505" spans="1:38">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row>
    <row r="506" spans="1:38">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row>
    <row r="507" spans="1:38">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row>
    <row r="508" spans="1:38">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row>
    <row r="509" spans="1:38">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row>
    <row r="510" spans="1:38">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row>
    <row r="511" spans="1:38">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row>
    <row r="512" spans="1:38">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row>
    <row r="513" spans="1:38">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row>
    <row r="514" spans="1:38">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row>
    <row r="515" spans="1:38">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row>
    <row r="516" spans="1:38">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row>
    <row r="517" spans="1:38">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row>
    <row r="518" spans="1:38">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row>
    <row r="519" spans="1:38">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row>
    <row r="520" spans="1:38">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row>
    <row r="521" spans="1:38">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row>
    <row r="522" spans="1:38">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row>
    <row r="523" spans="1:38">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row>
    <row r="524" spans="1:38">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row>
    <row r="525" spans="1:38">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row>
    <row r="526" spans="1:38">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row>
    <row r="527" spans="1:38">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row>
    <row r="528" spans="1:38">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row>
    <row r="529" spans="1:38">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row>
    <row r="530" spans="1:38">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row>
    <row r="531" spans="1:38">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row>
    <row r="532" spans="1:38">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row>
    <row r="533" spans="1:38">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row>
    <row r="534" spans="1:38">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row>
    <row r="535" spans="1:38">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row>
    <row r="536" spans="1:38">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row>
    <row r="537" spans="1:38">
      <c r="A53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row>
    <row r="538" spans="1:38">
      <c r="A538"/>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row>
    <row r="539" spans="1:38">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row>
    <row r="540" spans="1:38">
      <c r="A540"/>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row>
    <row r="541" spans="1:38">
      <c r="A541"/>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row>
    <row r="542" spans="1:38">
      <c r="A542"/>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row>
    <row r="543" spans="1:38">
      <c r="A54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row>
    <row r="544" spans="1:38">
      <c r="A544"/>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row>
    <row r="545" spans="1:38">
      <c r="A54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row>
    <row r="546" spans="1:38">
      <c r="A54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row>
    <row r="547" spans="1:38">
      <c r="A54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row>
    <row r="548" spans="1:38">
      <c r="A548"/>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row>
    <row r="549" spans="1:38">
      <c r="A549"/>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row>
    <row r="550" spans="1:38">
      <c r="A550"/>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row>
    <row r="551" spans="1:38">
      <c r="A551"/>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row>
    <row r="552" spans="1:38">
      <c r="A552"/>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row>
    <row r="553" spans="1:38">
      <c r="A55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row>
    <row r="554" spans="1:38">
      <c r="A554"/>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row>
    <row r="555" spans="1:38">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row>
    <row r="556" spans="1:38">
      <c r="A55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row>
    <row r="557" spans="1:38">
      <c r="A5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row>
    <row r="558" spans="1:38">
      <c r="A558"/>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row>
    <row r="559" spans="1:38">
      <c r="A559"/>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row>
    <row r="560" spans="1:38">
      <c r="A560"/>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row>
    <row r="561" spans="1:38">
      <c r="A561"/>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row>
    <row r="562" spans="1:38">
      <c r="A562"/>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row>
    <row r="563" spans="1:38">
      <c r="A56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row>
    <row r="564" spans="1:38">
      <c r="A564"/>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row>
    <row r="565" spans="1:38">
      <c r="A56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row>
    <row r="566" spans="1:38">
      <c r="A56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row>
    <row r="567" spans="1:38">
      <c r="A56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row>
    <row r="568" spans="1:38">
      <c r="A568"/>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row>
    <row r="569" spans="1:38">
      <c r="A569"/>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row>
    <row r="570" spans="1:38">
      <c r="A570"/>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row>
    <row r="571" spans="1:38">
      <c r="A571"/>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row>
    <row r="572" spans="1:38">
      <c r="A572"/>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row>
    <row r="573" spans="1:38">
      <c r="A57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row>
    <row r="574" spans="1:38">
      <c r="A574"/>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row>
    <row r="575" spans="1:38">
      <c r="A57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row>
    <row r="576" spans="1:38">
      <c r="A57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row>
    <row r="577" spans="1:38">
      <c r="A57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row>
    <row r="578" spans="1:38">
      <c r="A578"/>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row>
    <row r="579" spans="1:38">
      <c r="A579"/>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row>
    <row r="580" spans="1:38">
      <c r="A580"/>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row>
    <row r="581" spans="1:38">
      <c r="A581"/>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row>
    <row r="582" spans="1:38">
      <c r="A582"/>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row>
    <row r="583" spans="1:38">
      <c r="A58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row>
    <row r="584" spans="1:38">
      <c r="A58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row>
    <row r="585" spans="1:38">
      <c r="A58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row>
    <row r="586" spans="1:38">
      <c r="A58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row>
    <row r="587" spans="1:38">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row>
    <row r="588" spans="1:38">
      <c r="A588"/>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row>
    <row r="589" spans="1:38">
      <c r="A589"/>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row>
    <row r="590" spans="1:38">
      <c r="A590"/>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row>
    <row r="591" spans="1:38">
      <c r="A591"/>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row>
    <row r="592" spans="1:38">
      <c r="A592"/>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row>
    <row r="593" spans="1:38">
      <c r="A593"/>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row>
    <row r="594" spans="1:38">
      <c r="A594"/>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row>
    <row r="595" spans="1:38">
      <c r="A59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row>
    <row r="596" spans="1:38">
      <c r="A596"/>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row>
    <row r="597" spans="1:38">
      <c r="A597"/>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row>
    <row r="598" spans="1:38">
      <c r="A598"/>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row>
    <row r="599" spans="1:38">
      <c r="A599"/>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row>
    <row r="600" spans="1:38">
      <c r="A600"/>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row>
    <row r="601" spans="1:38">
      <c r="A601"/>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row>
    <row r="602" spans="1:38">
      <c r="A602"/>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row>
    <row r="603" spans="1:38">
      <c r="A603"/>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row>
    <row r="604" spans="1:38">
      <c r="A604"/>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row>
    <row r="605" spans="1:38">
      <c r="A60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row>
    <row r="606" spans="1:38">
      <c r="A606"/>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row>
    <row r="607" spans="1:38">
      <c r="A607"/>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row>
    <row r="608" spans="1:38">
      <c r="A608"/>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row>
    <row r="609" spans="1:38">
      <c r="A609"/>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row>
    <row r="610" spans="1:38">
      <c r="A610"/>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row>
    <row r="611" spans="1:38">
      <c r="A611"/>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row>
    <row r="612" spans="1:38">
      <c r="A612"/>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row>
    <row r="613" spans="1:38">
      <c r="A613"/>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row>
    <row r="614" spans="1:38">
      <c r="A614"/>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row>
    <row r="615" spans="1:38">
      <c r="A61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row>
    <row r="616" spans="1:38">
      <c r="A616"/>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row>
    <row r="617" spans="1:38">
      <c r="A617"/>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row>
    <row r="618" spans="1:38">
      <c r="A618"/>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row>
    <row r="619" spans="1:38">
      <c r="A619"/>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row>
    <row r="620" spans="1:38">
      <c r="A620"/>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row>
    <row r="621" spans="1:38">
      <c r="A621"/>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row>
    <row r="622" spans="1:38">
      <c r="A622"/>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row>
    <row r="623" spans="1:38">
      <c r="A623"/>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row>
    <row r="624" spans="1:38">
      <c r="A624"/>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row>
    <row r="625" spans="1:38">
      <c r="A6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row>
    <row r="626" spans="1:38">
      <c r="A626"/>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row>
    <row r="627" spans="1:38">
      <c r="A627"/>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row>
    <row r="628" spans="1:38">
      <c r="A628"/>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row>
    <row r="629" spans="1:38">
      <c r="A629"/>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row>
    <row r="630" spans="1:38">
      <c r="A630"/>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row>
    <row r="631" spans="1:38">
      <c r="A631"/>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row>
    <row r="632" spans="1:38">
      <c r="A632"/>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row>
    <row r="633" spans="1:38">
      <c r="A633"/>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row>
    <row r="634" spans="1:38">
      <c r="A634"/>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row>
    <row r="635" spans="1:38">
      <c r="A63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row>
    <row r="636" spans="1:38">
      <c r="A636"/>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row>
    <row r="637" spans="1:38">
      <c r="A637"/>
      <c r="B637"/>
      <c r="C637"/>
      <c r="D637"/>
      <c r="E637"/>
      <c r="F637"/>
      <c r="G637"/>
      <c r="H637"/>
      <c r="I637"/>
      <c r="J637"/>
      <c r="K637"/>
      <c r="L637"/>
      <c r="M637"/>
      <c r="N637"/>
      <c r="O637"/>
      <c r="P637"/>
      <c r="Q637"/>
      <c r="R637"/>
      <c r="S637"/>
      <c r="T637"/>
      <c r="U637"/>
      <c r="V637"/>
      <c r="W637"/>
      <c r="X637"/>
      <c r="Y637"/>
      <c r="Z637"/>
      <c r="AA637"/>
      <c r="AB637"/>
      <c r="AC637"/>
      <c r="AD637"/>
      <c r="AE637"/>
      <c r="AF637"/>
      <c r="AG637"/>
      <c r="AH637"/>
      <c r="AI637"/>
      <c r="AJ637"/>
      <c r="AK637"/>
      <c r="AL637"/>
    </row>
    <row r="638" spans="1:38">
      <c r="A638"/>
      <c r="B638"/>
      <c r="C638"/>
      <c r="D638"/>
      <c r="E638"/>
      <c r="F638"/>
      <c r="G638"/>
      <c r="H638"/>
      <c r="I638"/>
      <c r="J638"/>
      <c r="K638"/>
      <c r="L638"/>
      <c r="M638"/>
      <c r="N638"/>
      <c r="O638"/>
      <c r="P638"/>
      <c r="Q638"/>
      <c r="R638"/>
      <c r="S638"/>
      <c r="T638"/>
      <c r="U638"/>
      <c r="V638"/>
      <c r="W638"/>
      <c r="X638"/>
      <c r="Y638"/>
      <c r="Z638"/>
      <c r="AA638"/>
      <c r="AB638"/>
      <c r="AC638"/>
      <c r="AD638"/>
      <c r="AE638"/>
      <c r="AF638"/>
      <c r="AG638"/>
      <c r="AH638"/>
      <c r="AI638"/>
      <c r="AJ638"/>
      <c r="AK638"/>
      <c r="AL638"/>
    </row>
    <row r="639" spans="1:38">
      <c r="A639"/>
      <c r="B639"/>
      <c r="C639"/>
      <c r="D639"/>
      <c r="E639"/>
      <c r="F639"/>
      <c r="G639"/>
      <c r="H639"/>
      <c r="I639"/>
      <c r="J639"/>
      <c r="K639"/>
      <c r="L639"/>
      <c r="M639"/>
      <c r="N639"/>
      <c r="O639"/>
      <c r="P639"/>
      <c r="Q639"/>
      <c r="R639"/>
      <c r="S639"/>
      <c r="T639"/>
      <c r="U639"/>
      <c r="V639"/>
      <c r="W639"/>
      <c r="X639"/>
      <c r="Y639"/>
      <c r="Z639"/>
      <c r="AA639"/>
      <c r="AB639"/>
      <c r="AC639"/>
      <c r="AD639"/>
      <c r="AE639"/>
      <c r="AF639"/>
      <c r="AG639"/>
      <c r="AH639"/>
      <c r="AI639"/>
      <c r="AJ639"/>
      <c r="AK639"/>
      <c r="AL639"/>
    </row>
    <row r="640" spans="1:38">
      <c r="A640"/>
      <c r="B640"/>
      <c r="C640"/>
      <c r="D640"/>
      <c r="E640"/>
      <c r="F640"/>
      <c r="G640"/>
      <c r="H640"/>
      <c r="I640"/>
      <c r="J640"/>
      <c r="K640"/>
      <c r="L640"/>
      <c r="M640"/>
      <c r="N640"/>
      <c r="O640"/>
      <c r="P640"/>
      <c r="Q640"/>
      <c r="R640"/>
      <c r="S640"/>
      <c r="T640"/>
      <c r="U640"/>
      <c r="V640"/>
      <c r="W640"/>
      <c r="X640"/>
      <c r="Y640"/>
      <c r="Z640"/>
      <c r="AA640"/>
      <c r="AB640"/>
      <c r="AC640"/>
      <c r="AD640"/>
      <c r="AE640"/>
      <c r="AF640"/>
      <c r="AG640"/>
      <c r="AH640"/>
      <c r="AI640"/>
      <c r="AJ640"/>
      <c r="AK640"/>
      <c r="AL640"/>
    </row>
    <row r="641" spans="1:38">
      <c r="A641"/>
      <c r="B641"/>
      <c r="C641"/>
      <c r="D641"/>
      <c r="E641"/>
      <c r="F641"/>
      <c r="G641"/>
      <c r="H641"/>
      <c r="I641"/>
      <c r="J641"/>
      <c r="K641"/>
      <c r="L641"/>
      <c r="M641"/>
      <c r="N641"/>
      <c r="O641"/>
      <c r="P641"/>
      <c r="Q641"/>
      <c r="R641"/>
      <c r="S641"/>
      <c r="T641"/>
      <c r="U641"/>
      <c r="V641"/>
      <c r="W641"/>
      <c r="X641"/>
      <c r="Y641"/>
      <c r="Z641"/>
      <c r="AA641"/>
      <c r="AB641"/>
      <c r="AC641"/>
      <c r="AD641"/>
      <c r="AE641"/>
      <c r="AF641"/>
      <c r="AG641"/>
      <c r="AH641"/>
      <c r="AI641"/>
      <c r="AJ641"/>
      <c r="AK641"/>
      <c r="AL641"/>
    </row>
    <row r="642" spans="1:38">
      <c r="A642"/>
      <c r="B642"/>
      <c r="C642"/>
      <c r="D642"/>
      <c r="E642"/>
      <c r="F642"/>
      <c r="G642"/>
      <c r="H642"/>
      <c r="I642"/>
      <c r="J642"/>
      <c r="K642"/>
      <c r="L642"/>
      <c r="M642"/>
      <c r="N642"/>
      <c r="O642"/>
      <c r="P642"/>
      <c r="Q642"/>
      <c r="R642"/>
      <c r="S642"/>
      <c r="T642"/>
      <c r="U642"/>
      <c r="V642"/>
      <c r="W642"/>
      <c r="X642"/>
      <c r="Y642"/>
      <c r="Z642"/>
      <c r="AA642"/>
      <c r="AB642"/>
      <c r="AC642"/>
      <c r="AD642"/>
      <c r="AE642"/>
      <c r="AF642"/>
      <c r="AG642"/>
      <c r="AH642"/>
      <c r="AI642"/>
      <c r="AJ642"/>
      <c r="AK642"/>
      <c r="AL642"/>
    </row>
    <row r="643" spans="1:38">
      <c r="A643"/>
      <c r="B643"/>
      <c r="C643"/>
      <c r="D643"/>
      <c r="E643"/>
      <c r="F643"/>
      <c r="G643"/>
      <c r="H643"/>
      <c r="I643"/>
      <c r="J643"/>
      <c r="K643"/>
      <c r="L643"/>
      <c r="M643"/>
      <c r="N643"/>
      <c r="O643"/>
      <c r="P643"/>
      <c r="Q643"/>
      <c r="R643"/>
      <c r="S643"/>
      <c r="T643"/>
      <c r="U643"/>
      <c r="V643"/>
      <c r="W643"/>
      <c r="X643"/>
      <c r="Y643"/>
      <c r="Z643"/>
      <c r="AA643"/>
      <c r="AB643"/>
      <c r="AC643"/>
      <c r="AD643"/>
      <c r="AE643"/>
      <c r="AF643"/>
      <c r="AG643"/>
      <c r="AH643"/>
      <c r="AI643"/>
      <c r="AJ643"/>
      <c r="AK643"/>
      <c r="AL643"/>
    </row>
    <row r="644" spans="1:38">
      <c r="A644"/>
      <c r="B644"/>
      <c r="C644"/>
      <c r="D644"/>
      <c r="E644"/>
      <c r="F644"/>
      <c r="G644"/>
      <c r="H644"/>
      <c r="I644"/>
      <c r="J644"/>
      <c r="K644"/>
      <c r="L644"/>
      <c r="M644"/>
      <c r="N644"/>
      <c r="O644"/>
      <c r="P644"/>
      <c r="Q644"/>
      <c r="R644"/>
      <c r="S644"/>
      <c r="T644"/>
      <c r="U644"/>
      <c r="V644"/>
      <c r="W644"/>
      <c r="X644"/>
      <c r="Y644"/>
      <c r="Z644"/>
      <c r="AA644"/>
      <c r="AB644"/>
      <c r="AC644"/>
      <c r="AD644"/>
      <c r="AE644"/>
      <c r="AF644"/>
      <c r="AG644"/>
      <c r="AH644"/>
      <c r="AI644"/>
      <c r="AJ644"/>
      <c r="AK644"/>
      <c r="AL644"/>
    </row>
    <row r="645" spans="1:38">
      <c r="A645"/>
      <c r="B645"/>
      <c r="C645"/>
      <c r="D645"/>
      <c r="E645"/>
      <c r="F645"/>
      <c r="G645"/>
      <c r="H645"/>
      <c r="I645"/>
      <c r="J645"/>
      <c r="K645"/>
      <c r="L645"/>
      <c r="M645"/>
      <c r="N645"/>
      <c r="O645"/>
      <c r="P645"/>
      <c r="Q645"/>
      <c r="R645"/>
      <c r="S645"/>
      <c r="T645"/>
      <c r="U645"/>
      <c r="V645"/>
      <c r="W645"/>
      <c r="X645"/>
      <c r="Y645"/>
      <c r="Z645"/>
      <c r="AA645"/>
      <c r="AB645"/>
      <c r="AC645"/>
      <c r="AD645"/>
      <c r="AE645"/>
      <c r="AF645"/>
      <c r="AG645"/>
      <c r="AH645"/>
      <c r="AI645"/>
      <c r="AJ645"/>
      <c r="AK645"/>
      <c r="AL645"/>
    </row>
    <row r="646" spans="1:38">
      <c r="A646"/>
      <c r="B646"/>
      <c r="C646"/>
      <c r="D646"/>
      <c r="E646"/>
      <c r="F646"/>
      <c r="G646"/>
      <c r="H646"/>
      <c r="I646"/>
      <c r="J646"/>
      <c r="K646"/>
      <c r="L646"/>
      <c r="M646"/>
      <c r="N646"/>
      <c r="O646"/>
      <c r="P646"/>
      <c r="Q646"/>
      <c r="R646"/>
      <c r="S646"/>
      <c r="T646"/>
      <c r="U646"/>
      <c r="V646"/>
      <c r="W646"/>
      <c r="X646"/>
      <c r="Y646"/>
      <c r="Z646"/>
      <c r="AA646"/>
      <c r="AB646"/>
      <c r="AC646"/>
      <c r="AD646"/>
      <c r="AE646"/>
      <c r="AF646"/>
      <c r="AG646"/>
      <c r="AH646"/>
      <c r="AI646"/>
      <c r="AJ646"/>
      <c r="AK646"/>
      <c r="AL646"/>
    </row>
    <row r="647" spans="1:38">
      <c r="A647"/>
      <c r="B647"/>
      <c r="C647"/>
      <c r="D647"/>
      <c r="E647"/>
      <c r="F647"/>
      <c r="G647"/>
      <c r="H647"/>
      <c r="I647"/>
      <c r="J647"/>
      <c r="K647"/>
      <c r="L647"/>
      <c r="M647"/>
      <c r="N647"/>
      <c r="O647"/>
      <c r="P647"/>
      <c r="Q647"/>
      <c r="R647"/>
      <c r="S647"/>
      <c r="T647"/>
      <c r="U647"/>
      <c r="V647"/>
      <c r="W647"/>
      <c r="X647"/>
      <c r="Y647"/>
      <c r="Z647"/>
      <c r="AA647"/>
      <c r="AB647"/>
      <c r="AC647"/>
      <c r="AD647"/>
      <c r="AE647"/>
      <c r="AF647"/>
      <c r="AG647"/>
      <c r="AH647"/>
      <c r="AI647"/>
      <c r="AJ647"/>
      <c r="AK647"/>
      <c r="AL647"/>
    </row>
    <row r="648" spans="1:38">
      <c r="A648"/>
      <c r="B648"/>
      <c r="C648"/>
      <c r="D648"/>
      <c r="E648"/>
      <c r="F648"/>
      <c r="G648"/>
      <c r="H648"/>
      <c r="I648"/>
      <c r="J648"/>
      <c r="K648"/>
      <c r="L648"/>
      <c r="M648"/>
      <c r="N648"/>
      <c r="O648"/>
      <c r="P648"/>
      <c r="Q648"/>
      <c r="R648"/>
      <c r="S648"/>
      <c r="T648"/>
      <c r="U648"/>
      <c r="V648"/>
      <c r="W648"/>
      <c r="X648"/>
      <c r="Y648"/>
      <c r="Z648"/>
      <c r="AA648"/>
      <c r="AB648"/>
      <c r="AC648"/>
      <c r="AD648"/>
      <c r="AE648"/>
      <c r="AF648"/>
      <c r="AG648"/>
      <c r="AH648"/>
      <c r="AI648"/>
      <c r="AJ648"/>
      <c r="AK648"/>
      <c r="AL648"/>
    </row>
    <row r="649" spans="1:38">
      <c r="A649"/>
      <c r="B649"/>
      <c r="C649"/>
      <c r="D649"/>
      <c r="E649"/>
      <c r="F649"/>
      <c r="G649"/>
      <c r="H649"/>
      <c r="I649"/>
      <c r="J649"/>
      <c r="K649"/>
      <c r="L649"/>
      <c r="M649"/>
      <c r="N649"/>
      <c r="O649"/>
      <c r="P649"/>
      <c r="Q649"/>
      <c r="R649"/>
      <c r="S649"/>
      <c r="T649"/>
      <c r="U649"/>
      <c r="V649"/>
      <c r="W649"/>
      <c r="X649"/>
      <c r="Y649"/>
      <c r="Z649"/>
      <c r="AA649"/>
      <c r="AB649"/>
      <c r="AC649"/>
      <c r="AD649"/>
      <c r="AE649"/>
      <c r="AF649"/>
      <c r="AG649"/>
      <c r="AH649"/>
      <c r="AI649"/>
      <c r="AJ649"/>
      <c r="AK649"/>
      <c r="AL649"/>
    </row>
    <row r="650" spans="1:38">
      <c r="A650"/>
      <c r="B650"/>
      <c r="C650"/>
      <c r="D650"/>
      <c r="E650"/>
      <c r="F650"/>
      <c r="G650"/>
      <c r="H650"/>
      <c r="I650"/>
      <c r="J650"/>
      <c r="K650"/>
      <c r="L650"/>
      <c r="M650"/>
      <c r="N650"/>
      <c r="O650"/>
      <c r="P650"/>
      <c r="Q650"/>
      <c r="R650"/>
      <c r="S650"/>
      <c r="T650"/>
      <c r="U650"/>
      <c r="V650"/>
      <c r="W650"/>
      <c r="X650"/>
      <c r="Y650"/>
      <c r="Z650"/>
      <c r="AA650"/>
      <c r="AB650"/>
      <c r="AC650"/>
      <c r="AD650"/>
      <c r="AE650"/>
      <c r="AF650"/>
      <c r="AG650"/>
      <c r="AH650"/>
      <c r="AI650"/>
      <c r="AJ650"/>
      <c r="AK650"/>
      <c r="AL650"/>
    </row>
    <row r="651" spans="1:38">
      <c r="A651"/>
      <c r="B651"/>
      <c r="C651"/>
      <c r="D651"/>
      <c r="E651"/>
      <c r="F651"/>
      <c r="G651"/>
      <c r="H651"/>
      <c r="I651"/>
      <c r="J651"/>
      <c r="K651"/>
      <c r="L651"/>
      <c r="M651"/>
      <c r="N651"/>
      <c r="O651"/>
      <c r="P651"/>
      <c r="Q651"/>
      <c r="R651"/>
      <c r="S651"/>
      <c r="T651"/>
      <c r="U651"/>
      <c r="V651"/>
      <c r="W651"/>
      <c r="X651"/>
      <c r="Y651"/>
      <c r="Z651"/>
      <c r="AA651"/>
      <c r="AB651"/>
      <c r="AC651"/>
      <c r="AD651"/>
      <c r="AE651"/>
      <c r="AF651"/>
      <c r="AG651"/>
      <c r="AH651"/>
      <c r="AI651"/>
      <c r="AJ651"/>
      <c r="AK651"/>
      <c r="AL651"/>
    </row>
    <row r="652" spans="1:38">
      <c r="A652"/>
      <c r="B652"/>
      <c r="C652"/>
      <c r="D652"/>
      <c r="E652"/>
      <c r="F652"/>
      <c r="G652"/>
      <c r="H652"/>
      <c r="I652"/>
      <c r="J652"/>
      <c r="K652"/>
      <c r="L652"/>
      <c r="M652"/>
      <c r="N652"/>
      <c r="O652"/>
      <c r="P652"/>
      <c r="Q652"/>
      <c r="R652"/>
      <c r="S652"/>
      <c r="T652"/>
      <c r="U652"/>
      <c r="V652"/>
      <c r="W652"/>
      <c r="X652"/>
      <c r="Y652"/>
      <c r="Z652"/>
      <c r="AA652"/>
      <c r="AB652"/>
      <c r="AC652"/>
      <c r="AD652"/>
      <c r="AE652"/>
      <c r="AF652"/>
      <c r="AG652"/>
      <c r="AH652"/>
      <c r="AI652"/>
      <c r="AJ652"/>
      <c r="AK652"/>
      <c r="AL652"/>
    </row>
    <row r="653" spans="1:38">
      <c r="A653"/>
      <c r="B653"/>
      <c r="C653"/>
      <c r="D653"/>
      <c r="E653"/>
      <c r="F653"/>
      <c r="G653"/>
      <c r="H653"/>
      <c r="I653"/>
      <c r="J653"/>
      <c r="K653"/>
      <c r="L653"/>
      <c r="M653"/>
      <c r="N653"/>
      <c r="O653"/>
      <c r="P653"/>
      <c r="Q653"/>
      <c r="R653"/>
      <c r="S653"/>
      <c r="T653"/>
      <c r="U653"/>
      <c r="V653"/>
      <c r="W653"/>
      <c r="X653"/>
      <c r="Y653"/>
      <c r="Z653"/>
      <c r="AA653"/>
      <c r="AB653"/>
      <c r="AC653"/>
      <c r="AD653"/>
      <c r="AE653"/>
      <c r="AF653"/>
      <c r="AG653"/>
      <c r="AH653"/>
      <c r="AI653"/>
      <c r="AJ653"/>
      <c r="AK653"/>
      <c r="AL653"/>
    </row>
    <row r="654" spans="1:38">
      <c r="A654"/>
      <c r="B654"/>
      <c r="C654"/>
      <c r="D654"/>
      <c r="E654"/>
      <c r="F654"/>
      <c r="G654"/>
      <c r="H654"/>
      <c r="I654"/>
      <c r="J654"/>
      <c r="K654"/>
      <c r="L654"/>
      <c r="M654"/>
      <c r="N654"/>
      <c r="O654"/>
      <c r="P654"/>
      <c r="Q654"/>
      <c r="R654"/>
      <c r="S654"/>
      <c r="T654"/>
      <c r="U654"/>
      <c r="V654"/>
      <c r="W654"/>
      <c r="X654"/>
      <c r="Y654"/>
      <c r="Z654"/>
      <c r="AA654"/>
      <c r="AB654"/>
      <c r="AC654"/>
      <c r="AD654"/>
      <c r="AE654"/>
      <c r="AF654"/>
      <c r="AG654"/>
      <c r="AH654"/>
      <c r="AI654"/>
      <c r="AJ654"/>
      <c r="AK654"/>
      <c r="AL654"/>
    </row>
    <row r="655" spans="1:38">
      <c r="A655"/>
      <c r="B655"/>
      <c r="C655"/>
      <c r="D655"/>
      <c r="E655"/>
      <c r="F655"/>
      <c r="G655"/>
      <c r="H655"/>
      <c r="I655"/>
      <c r="J655"/>
      <c r="K655"/>
      <c r="L655"/>
      <c r="M655"/>
      <c r="N655"/>
      <c r="O655"/>
      <c r="P655"/>
      <c r="Q655"/>
      <c r="R655"/>
      <c r="S655"/>
      <c r="T655"/>
      <c r="U655"/>
      <c r="V655"/>
      <c r="W655"/>
      <c r="X655"/>
      <c r="Y655"/>
      <c r="Z655"/>
      <c r="AA655"/>
      <c r="AB655"/>
      <c r="AC655"/>
      <c r="AD655"/>
      <c r="AE655"/>
      <c r="AF655"/>
      <c r="AG655"/>
      <c r="AH655"/>
      <c r="AI655"/>
      <c r="AJ655"/>
      <c r="AK655"/>
      <c r="AL655"/>
    </row>
    <row r="656" spans="1:38">
      <c r="A656"/>
      <c r="B656"/>
      <c r="C656"/>
      <c r="D656"/>
      <c r="E656"/>
      <c r="F656"/>
      <c r="G656"/>
      <c r="H656"/>
      <c r="I656"/>
      <c r="J656"/>
      <c r="K656"/>
      <c r="L656"/>
      <c r="M656"/>
      <c r="N656"/>
      <c r="O656"/>
      <c r="P656"/>
      <c r="Q656"/>
      <c r="R656"/>
      <c r="S656"/>
      <c r="T656"/>
      <c r="U656"/>
      <c r="V656"/>
      <c r="W656"/>
      <c r="X656"/>
      <c r="Y656"/>
      <c r="Z656"/>
      <c r="AA656"/>
      <c r="AB656"/>
      <c r="AC656"/>
      <c r="AD656"/>
      <c r="AE656"/>
      <c r="AF656"/>
      <c r="AG656"/>
      <c r="AH656"/>
      <c r="AI656"/>
      <c r="AJ656"/>
      <c r="AK656"/>
      <c r="AL656"/>
    </row>
    <row r="657" spans="1:38">
      <c r="A657"/>
      <c r="B657"/>
      <c r="C657"/>
      <c r="D657"/>
      <c r="E657"/>
      <c r="F657"/>
      <c r="G657"/>
      <c r="H657"/>
      <c r="I657"/>
      <c r="J657"/>
      <c r="K657"/>
      <c r="L657"/>
      <c r="M657"/>
      <c r="N657"/>
      <c r="O657"/>
      <c r="P657"/>
      <c r="Q657"/>
      <c r="R657"/>
      <c r="S657"/>
      <c r="T657"/>
      <c r="U657"/>
      <c r="V657"/>
      <c r="W657"/>
      <c r="X657"/>
      <c r="Y657"/>
      <c r="Z657"/>
      <c r="AA657"/>
      <c r="AB657"/>
      <c r="AC657"/>
      <c r="AD657"/>
      <c r="AE657"/>
      <c r="AF657"/>
      <c r="AG657"/>
      <c r="AH657"/>
      <c r="AI657"/>
      <c r="AJ657"/>
      <c r="AK657"/>
      <c r="AL657"/>
    </row>
    <row r="658" spans="1:38">
      <c r="A658"/>
      <c r="B658"/>
      <c r="C658"/>
      <c r="D658"/>
      <c r="E658"/>
      <c r="F658"/>
      <c r="G658"/>
      <c r="H658"/>
      <c r="I658"/>
      <c r="J658"/>
      <c r="K658"/>
      <c r="L658"/>
      <c r="M658"/>
      <c r="N658"/>
      <c r="O658"/>
      <c r="P658"/>
      <c r="Q658"/>
      <c r="R658"/>
      <c r="S658"/>
      <c r="T658"/>
      <c r="U658"/>
      <c r="V658"/>
      <c r="W658"/>
      <c r="X658"/>
      <c r="Y658"/>
      <c r="Z658"/>
      <c r="AA658"/>
      <c r="AB658"/>
      <c r="AC658"/>
      <c r="AD658"/>
      <c r="AE658"/>
      <c r="AF658"/>
      <c r="AG658"/>
      <c r="AH658"/>
      <c r="AI658"/>
      <c r="AJ658"/>
      <c r="AK658"/>
      <c r="AL658"/>
    </row>
    <row r="659" spans="1:38">
      <c r="A659"/>
      <c r="B659"/>
      <c r="C659"/>
      <c r="D659"/>
      <c r="E659"/>
      <c r="F659"/>
      <c r="G659"/>
      <c r="H659"/>
      <c r="I659"/>
      <c r="J659"/>
      <c r="K659"/>
      <c r="L659"/>
      <c r="M659"/>
      <c r="N659"/>
      <c r="O659"/>
      <c r="P659"/>
      <c r="Q659"/>
      <c r="R659"/>
      <c r="S659"/>
      <c r="T659"/>
      <c r="U659"/>
      <c r="V659"/>
      <c r="W659"/>
      <c r="X659"/>
      <c r="Y659"/>
      <c r="Z659"/>
      <c r="AA659"/>
      <c r="AB659"/>
      <c r="AC659"/>
      <c r="AD659"/>
      <c r="AE659"/>
      <c r="AF659"/>
      <c r="AG659"/>
      <c r="AH659"/>
      <c r="AI659"/>
      <c r="AJ659"/>
      <c r="AK659"/>
      <c r="AL659"/>
    </row>
    <row r="660" spans="1:38">
      <c r="A660"/>
      <c r="B660"/>
      <c r="C660"/>
      <c r="D660"/>
      <c r="E660"/>
      <c r="F660"/>
      <c r="G660"/>
      <c r="H660"/>
      <c r="I660"/>
      <c r="J660"/>
      <c r="K660"/>
      <c r="L660"/>
      <c r="M660"/>
      <c r="N660"/>
      <c r="O660"/>
      <c r="P660"/>
      <c r="Q660"/>
      <c r="R660"/>
      <c r="S660"/>
      <c r="T660"/>
      <c r="U660"/>
      <c r="V660"/>
      <c r="W660"/>
      <c r="X660"/>
      <c r="Y660"/>
      <c r="Z660"/>
      <c r="AA660"/>
      <c r="AB660"/>
      <c r="AC660"/>
      <c r="AD660"/>
      <c r="AE660"/>
      <c r="AF660"/>
      <c r="AG660"/>
      <c r="AH660"/>
      <c r="AI660"/>
      <c r="AJ660"/>
      <c r="AK660"/>
      <c r="AL660"/>
    </row>
    <row r="661" spans="1:38">
      <c r="A661"/>
      <c r="B661"/>
      <c r="C661"/>
      <c r="D661"/>
      <c r="E661"/>
      <c r="F661"/>
      <c r="G661"/>
      <c r="H661"/>
      <c r="I661"/>
      <c r="J661"/>
      <c r="K661"/>
      <c r="L661"/>
      <c r="M661"/>
      <c r="N661"/>
      <c r="O661"/>
      <c r="P661"/>
      <c r="Q661"/>
      <c r="R661"/>
      <c r="S661"/>
      <c r="T661"/>
      <c r="U661"/>
      <c r="V661"/>
      <c r="W661"/>
      <c r="X661"/>
      <c r="Y661"/>
      <c r="Z661"/>
      <c r="AA661"/>
      <c r="AB661"/>
      <c r="AC661"/>
      <c r="AD661"/>
      <c r="AE661"/>
      <c r="AF661"/>
      <c r="AG661"/>
      <c r="AH661"/>
      <c r="AI661"/>
      <c r="AJ661"/>
      <c r="AK661"/>
      <c r="AL661"/>
    </row>
    <row r="662" spans="1:38">
      <c r="A662"/>
      <c r="B662"/>
      <c r="C662"/>
      <c r="D662"/>
      <c r="E662"/>
      <c r="F662"/>
      <c r="G662"/>
      <c r="H662"/>
      <c r="I662"/>
      <c r="J662"/>
      <c r="K662"/>
      <c r="L662"/>
      <c r="M662"/>
      <c r="N662"/>
      <c r="O662"/>
      <c r="P662"/>
      <c r="Q662"/>
      <c r="R662"/>
      <c r="S662"/>
      <c r="T662"/>
      <c r="U662"/>
      <c r="V662"/>
      <c r="W662"/>
      <c r="X662"/>
      <c r="Y662"/>
      <c r="Z662"/>
      <c r="AA662"/>
      <c r="AB662"/>
      <c r="AC662"/>
      <c r="AD662"/>
      <c r="AE662"/>
      <c r="AF662"/>
      <c r="AG662"/>
      <c r="AH662"/>
      <c r="AI662"/>
      <c r="AJ662"/>
      <c r="AK662"/>
      <c r="AL662"/>
    </row>
    <row r="663" spans="1:38">
      <c r="A663"/>
      <c r="B663"/>
      <c r="C663"/>
      <c r="D663"/>
      <c r="E663"/>
      <c r="F663"/>
      <c r="G663"/>
      <c r="H663"/>
      <c r="I663"/>
      <c r="J663"/>
      <c r="K663"/>
      <c r="L663"/>
      <c r="M663"/>
      <c r="N663"/>
      <c r="O663"/>
      <c r="P663"/>
      <c r="Q663"/>
      <c r="R663"/>
      <c r="S663"/>
      <c r="T663"/>
      <c r="U663"/>
      <c r="V663"/>
      <c r="W663"/>
      <c r="X663"/>
      <c r="Y663"/>
      <c r="Z663"/>
      <c r="AA663"/>
      <c r="AB663"/>
      <c r="AC663"/>
      <c r="AD663"/>
      <c r="AE663"/>
      <c r="AF663"/>
      <c r="AG663"/>
      <c r="AH663"/>
      <c r="AI663"/>
      <c r="AJ663"/>
      <c r="AK663"/>
      <c r="AL663"/>
    </row>
    <row r="664" spans="1:38">
      <c r="A664"/>
      <c r="B664"/>
      <c r="C664"/>
      <c r="D664"/>
      <c r="E664"/>
      <c r="F664"/>
      <c r="G664"/>
      <c r="H664"/>
      <c r="I664"/>
      <c r="J664"/>
      <c r="K664"/>
      <c r="L664"/>
      <c r="M664"/>
      <c r="N664"/>
      <c r="O664"/>
      <c r="P664"/>
      <c r="Q664"/>
      <c r="R664"/>
      <c r="S664"/>
      <c r="T664"/>
      <c r="U664"/>
      <c r="V664"/>
      <c r="W664"/>
      <c r="X664"/>
      <c r="Y664"/>
      <c r="Z664"/>
      <c r="AA664"/>
      <c r="AB664"/>
      <c r="AC664"/>
      <c r="AD664"/>
      <c r="AE664"/>
      <c r="AF664"/>
      <c r="AG664"/>
      <c r="AH664"/>
      <c r="AI664"/>
      <c r="AJ664"/>
      <c r="AK664"/>
      <c r="AL664"/>
    </row>
    <row r="665" spans="1:38">
      <c r="A665"/>
      <c r="B665"/>
      <c r="C665"/>
      <c r="D665"/>
      <c r="E665"/>
      <c r="F665"/>
      <c r="G665"/>
      <c r="H665"/>
      <c r="I665"/>
      <c r="J665"/>
      <c r="K665"/>
      <c r="L665"/>
      <c r="M665"/>
      <c r="N665"/>
      <c r="O665"/>
      <c r="P665"/>
      <c r="Q665"/>
      <c r="R665"/>
      <c r="S665"/>
      <c r="T665"/>
      <c r="U665"/>
      <c r="V665"/>
      <c r="W665"/>
      <c r="X665"/>
      <c r="Y665"/>
      <c r="Z665"/>
      <c r="AA665"/>
      <c r="AB665"/>
      <c r="AC665"/>
      <c r="AD665"/>
      <c r="AE665"/>
      <c r="AF665"/>
      <c r="AG665"/>
      <c r="AH665"/>
      <c r="AI665"/>
      <c r="AJ665"/>
      <c r="AK665"/>
      <c r="AL665"/>
    </row>
    <row r="666" spans="1:38">
      <c r="A666"/>
      <c r="B666"/>
      <c r="C666"/>
      <c r="D666"/>
      <c r="E666"/>
      <c r="F666"/>
      <c r="G666"/>
      <c r="H666"/>
      <c r="I666"/>
      <c r="J666"/>
      <c r="K666"/>
      <c r="L666"/>
      <c r="M666"/>
      <c r="N666"/>
      <c r="O666"/>
      <c r="P666"/>
      <c r="Q666"/>
      <c r="R666"/>
      <c r="S666"/>
      <c r="T666"/>
      <c r="U666"/>
      <c r="V666"/>
      <c r="W666"/>
      <c r="X666"/>
      <c r="Y666"/>
      <c r="Z666"/>
      <c r="AA666"/>
      <c r="AB666"/>
      <c r="AC666"/>
      <c r="AD666"/>
      <c r="AE666"/>
      <c r="AF666"/>
      <c r="AG666"/>
      <c r="AH666"/>
      <c r="AI666"/>
      <c r="AJ666"/>
      <c r="AK666"/>
      <c r="AL666"/>
    </row>
    <row r="667" spans="1:38">
      <c r="A667"/>
      <c r="B667"/>
      <c r="C667"/>
      <c r="D667"/>
      <c r="E667"/>
      <c r="F667"/>
      <c r="G667"/>
      <c r="H667"/>
      <c r="I667"/>
      <c r="J667"/>
      <c r="K667"/>
      <c r="L667"/>
      <c r="M667"/>
      <c r="N667"/>
      <c r="O667"/>
      <c r="P667"/>
      <c r="Q667"/>
      <c r="R667"/>
      <c r="S667"/>
      <c r="T667"/>
      <c r="U667"/>
      <c r="V667"/>
      <c r="W667"/>
      <c r="X667"/>
      <c r="Y667"/>
      <c r="Z667"/>
      <c r="AA667"/>
      <c r="AB667"/>
      <c r="AC667"/>
      <c r="AD667"/>
      <c r="AE667"/>
      <c r="AF667"/>
      <c r="AG667"/>
      <c r="AH667"/>
      <c r="AI667"/>
      <c r="AJ667"/>
      <c r="AK667"/>
      <c r="AL667"/>
    </row>
    <row r="668" spans="1:38">
      <c r="A668"/>
      <c r="B668"/>
      <c r="C668"/>
      <c r="D668"/>
      <c r="E668"/>
      <c r="F668"/>
      <c r="G668"/>
      <c r="H668"/>
      <c r="I668"/>
      <c r="J668"/>
      <c r="K668"/>
      <c r="L668"/>
      <c r="M668"/>
      <c r="N668"/>
      <c r="O668"/>
      <c r="P668"/>
      <c r="Q668"/>
      <c r="R668"/>
      <c r="S668"/>
      <c r="T668"/>
      <c r="U668"/>
      <c r="V668"/>
      <c r="W668"/>
      <c r="X668"/>
      <c r="Y668"/>
      <c r="Z668"/>
      <c r="AA668"/>
      <c r="AB668"/>
      <c r="AC668"/>
      <c r="AD668"/>
      <c r="AE668"/>
      <c r="AF668"/>
      <c r="AG668"/>
      <c r="AH668"/>
      <c r="AI668"/>
      <c r="AJ668"/>
      <c r="AK668"/>
      <c r="AL668"/>
    </row>
    <row r="669" spans="1:38">
      <c r="A669"/>
      <c r="B669"/>
      <c r="C669"/>
      <c r="D669"/>
      <c r="E669"/>
      <c r="F669"/>
      <c r="G669"/>
      <c r="H669"/>
      <c r="I669"/>
      <c r="J669"/>
      <c r="K669"/>
      <c r="L669"/>
      <c r="M669"/>
      <c r="N669"/>
      <c r="O669"/>
      <c r="P669"/>
      <c r="Q669"/>
      <c r="R669"/>
      <c r="S669"/>
      <c r="T669"/>
      <c r="U669"/>
      <c r="V669"/>
      <c r="W669"/>
      <c r="X669"/>
      <c r="Y669"/>
      <c r="Z669"/>
      <c r="AA669"/>
      <c r="AB669"/>
      <c r="AC669"/>
      <c r="AD669"/>
      <c r="AE669"/>
      <c r="AF669"/>
      <c r="AG669"/>
      <c r="AH669"/>
      <c r="AI669"/>
      <c r="AJ669"/>
      <c r="AK669"/>
      <c r="AL669"/>
    </row>
    <row r="670" spans="1:38">
      <c r="A670"/>
      <c r="B670"/>
      <c r="C670"/>
      <c r="D670"/>
      <c r="E670"/>
      <c r="F670"/>
      <c r="G670"/>
      <c r="H670"/>
      <c r="I670"/>
      <c r="J670"/>
      <c r="K670"/>
      <c r="L670"/>
      <c r="M670"/>
      <c r="N670"/>
      <c r="O670"/>
      <c r="P670"/>
      <c r="Q670"/>
      <c r="R670"/>
      <c r="S670"/>
      <c r="T670"/>
      <c r="U670"/>
      <c r="V670"/>
      <c r="W670"/>
      <c r="X670"/>
      <c r="Y670"/>
      <c r="Z670"/>
      <c r="AA670"/>
      <c r="AB670"/>
      <c r="AC670"/>
      <c r="AD670"/>
      <c r="AE670"/>
      <c r="AF670"/>
      <c r="AG670"/>
      <c r="AH670"/>
      <c r="AI670"/>
      <c r="AJ670"/>
      <c r="AK670"/>
      <c r="AL670"/>
    </row>
    <row r="671" spans="1:38">
      <c r="A671"/>
      <c r="B671"/>
      <c r="C671"/>
      <c r="D671"/>
      <c r="E671"/>
      <c r="F671"/>
      <c r="G671"/>
      <c r="H671"/>
      <c r="I671"/>
      <c r="J671"/>
      <c r="K671"/>
      <c r="L671"/>
      <c r="M671"/>
      <c r="N671"/>
      <c r="O671"/>
      <c r="P671"/>
      <c r="Q671"/>
      <c r="R671"/>
      <c r="S671"/>
      <c r="T671"/>
      <c r="U671"/>
      <c r="V671"/>
      <c r="W671"/>
      <c r="X671"/>
      <c r="Y671"/>
      <c r="Z671"/>
      <c r="AA671"/>
      <c r="AB671"/>
      <c r="AC671"/>
      <c r="AD671"/>
      <c r="AE671"/>
      <c r="AF671"/>
      <c r="AG671"/>
      <c r="AH671"/>
      <c r="AI671"/>
      <c r="AJ671"/>
      <c r="AK671"/>
      <c r="AL671"/>
    </row>
    <row r="672" spans="1:38">
      <c r="A672"/>
      <c r="B672"/>
      <c r="C672"/>
      <c r="D672"/>
      <c r="E672"/>
      <c r="F672"/>
      <c r="G672"/>
      <c r="H672"/>
      <c r="I672"/>
      <c r="J672"/>
      <c r="K672"/>
      <c r="L672"/>
      <c r="M672"/>
      <c r="N672"/>
      <c r="O672"/>
      <c r="P672"/>
      <c r="Q672"/>
      <c r="R672"/>
      <c r="S672"/>
      <c r="T672"/>
      <c r="U672"/>
      <c r="V672"/>
      <c r="W672"/>
      <c r="X672"/>
      <c r="Y672"/>
      <c r="Z672"/>
      <c r="AA672"/>
      <c r="AB672"/>
      <c r="AC672"/>
      <c r="AD672"/>
      <c r="AE672"/>
      <c r="AF672"/>
      <c r="AG672"/>
      <c r="AH672"/>
      <c r="AI672"/>
      <c r="AJ672"/>
      <c r="AK672"/>
      <c r="AL672"/>
    </row>
    <row r="673" spans="1:38">
      <c r="A673"/>
      <c r="B673"/>
      <c r="C673"/>
      <c r="D673"/>
      <c r="E673"/>
      <c r="F673"/>
      <c r="G673"/>
      <c r="H673"/>
      <c r="I673"/>
      <c r="J673"/>
      <c r="K673"/>
      <c r="L673"/>
      <c r="M673"/>
      <c r="N673"/>
      <c r="O673"/>
      <c r="P673"/>
      <c r="Q673"/>
      <c r="R673"/>
      <c r="S673"/>
      <c r="T673"/>
      <c r="U673"/>
      <c r="V673"/>
      <c r="W673"/>
      <c r="X673"/>
      <c r="Y673"/>
      <c r="Z673"/>
      <c r="AA673"/>
      <c r="AB673"/>
      <c r="AC673"/>
      <c r="AD673"/>
      <c r="AE673"/>
      <c r="AF673"/>
      <c r="AG673"/>
      <c r="AH673"/>
      <c r="AI673"/>
      <c r="AJ673"/>
      <c r="AK673"/>
      <c r="AL673"/>
    </row>
    <row r="674" spans="1:38">
      <c r="A674"/>
      <c r="B674"/>
      <c r="C674"/>
      <c r="D674"/>
      <c r="E674"/>
      <c r="F674"/>
      <c r="G674"/>
      <c r="H674"/>
      <c r="I674"/>
      <c r="J674"/>
      <c r="K674"/>
      <c r="L674"/>
      <c r="M674"/>
      <c r="N674"/>
      <c r="O674"/>
      <c r="P674"/>
      <c r="Q674"/>
      <c r="R674"/>
      <c r="S674"/>
      <c r="T674"/>
      <c r="U674"/>
      <c r="V674"/>
      <c r="W674"/>
      <c r="X674"/>
      <c r="Y674"/>
      <c r="Z674"/>
      <c r="AA674"/>
      <c r="AB674"/>
      <c r="AC674"/>
      <c r="AD674"/>
      <c r="AE674"/>
      <c r="AF674"/>
      <c r="AG674"/>
      <c r="AH674"/>
      <c r="AI674"/>
      <c r="AJ674"/>
      <c r="AK674"/>
      <c r="AL674"/>
    </row>
    <row r="675" spans="1:38">
      <c r="A675"/>
      <c r="B675"/>
      <c r="C675"/>
      <c r="D675"/>
      <c r="E675"/>
      <c r="F675"/>
      <c r="G675"/>
      <c r="H675"/>
      <c r="I675"/>
      <c r="J675"/>
      <c r="K675"/>
      <c r="L675"/>
      <c r="M675"/>
      <c r="N675"/>
      <c r="O675"/>
      <c r="P675"/>
      <c r="Q675"/>
      <c r="R675"/>
      <c r="S675"/>
      <c r="T675"/>
      <c r="U675"/>
      <c r="V675"/>
      <c r="W675"/>
      <c r="X675"/>
      <c r="Y675"/>
      <c r="Z675"/>
      <c r="AA675"/>
      <c r="AB675"/>
      <c r="AC675"/>
      <c r="AD675"/>
      <c r="AE675"/>
      <c r="AF675"/>
      <c r="AG675"/>
      <c r="AH675"/>
      <c r="AI675"/>
      <c r="AJ675"/>
      <c r="AK675"/>
      <c r="AL675"/>
    </row>
    <row r="676" spans="1:38">
      <c r="A676"/>
      <c r="B676"/>
      <c r="C676"/>
      <c r="D676"/>
      <c r="E676"/>
      <c r="F676"/>
      <c r="G676"/>
      <c r="H676"/>
      <c r="I676"/>
      <c r="J676"/>
      <c r="K676"/>
      <c r="L676"/>
      <c r="M676"/>
      <c r="N676"/>
      <c r="O676"/>
      <c r="P676"/>
      <c r="Q676"/>
      <c r="R676"/>
      <c r="S676"/>
      <c r="T676"/>
      <c r="U676"/>
      <c r="V676"/>
      <c r="W676"/>
      <c r="X676"/>
      <c r="Y676"/>
      <c r="Z676"/>
      <c r="AA676"/>
      <c r="AB676"/>
      <c r="AC676"/>
      <c r="AD676"/>
      <c r="AE676"/>
      <c r="AF676"/>
      <c r="AG676"/>
      <c r="AH676"/>
      <c r="AI676"/>
      <c r="AJ676"/>
      <c r="AK676"/>
      <c r="AL676"/>
    </row>
    <row r="677" spans="1:38">
      <c r="A677"/>
      <c r="B677"/>
      <c r="C677"/>
      <c r="D677"/>
      <c r="E677"/>
      <c r="F677"/>
      <c r="G677"/>
      <c r="H677"/>
      <c r="I677"/>
      <c r="J677"/>
      <c r="K677"/>
      <c r="L677"/>
      <c r="M677"/>
      <c r="N677"/>
      <c r="O677"/>
      <c r="P677"/>
      <c r="Q677"/>
      <c r="R677"/>
      <c r="S677"/>
      <c r="T677"/>
      <c r="U677"/>
      <c r="V677"/>
      <c r="W677"/>
      <c r="X677"/>
      <c r="Y677"/>
      <c r="Z677"/>
      <c r="AA677"/>
      <c r="AB677"/>
      <c r="AC677"/>
      <c r="AD677"/>
      <c r="AE677"/>
      <c r="AF677"/>
      <c r="AG677"/>
      <c r="AH677"/>
      <c r="AI677"/>
      <c r="AJ677"/>
      <c r="AK677"/>
      <c r="AL677"/>
    </row>
    <row r="678" spans="1:38">
      <c r="A678"/>
      <c r="B678"/>
      <c r="C678"/>
      <c r="D678"/>
      <c r="E678"/>
      <c r="F678"/>
      <c r="G678"/>
      <c r="H678"/>
      <c r="I678"/>
      <c r="J678"/>
      <c r="K678"/>
      <c r="L678"/>
      <c r="M678"/>
      <c r="N678"/>
      <c r="O678"/>
      <c r="P678"/>
      <c r="Q678"/>
      <c r="R678"/>
      <c r="S678"/>
      <c r="T678"/>
      <c r="U678"/>
      <c r="V678"/>
      <c r="W678"/>
      <c r="X678"/>
      <c r="Y678"/>
      <c r="Z678"/>
      <c r="AA678"/>
      <c r="AB678"/>
      <c r="AC678"/>
      <c r="AD678"/>
      <c r="AE678"/>
      <c r="AF678"/>
      <c r="AG678"/>
      <c r="AH678"/>
      <c r="AI678"/>
      <c r="AJ678"/>
      <c r="AK678"/>
      <c r="AL678"/>
    </row>
    <row r="679" spans="1:38">
      <c r="A679"/>
      <c r="B679"/>
      <c r="C679"/>
      <c r="D679"/>
      <c r="E679"/>
      <c r="F679"/>
      <c r="G679"/>
      <c r="H679"/>
      <c r="I679"/>
      <c r="J679"/>
      <c r="K679"/>
      <c r="L679"/>
      <c r="M679"/>
      <c r="N679"/>
      <c r="O679"/>
      <c r="P679"/>
      <c r="Q679"/>
      <c r="R679"/>
      <c r="S679"/>
      <c r="T679"/>
      <c r="U679"/>
      <c r="V679"/>
      <c r="W679"/>
      <c r="X679"/>
      <c r="Y679"/>
      <c r="Z679"/>
      <c r="AA679"/>
      <c r="AB679"/>
      <c r="AC679"/>
      <c r="AD679"/>
      <c r="AE679"/>
      <c r="AF679"/>
      <c r="AG679"/>
      <c r="AH679"/>
      <c r="AI679"/>
      <c r="AJ679"/>
      <c r="AK679"/>
      <c r="AL679"/>
    </row>
    <row r="680" spans="1:38">
      <c r="A680"/>
      <c r="B680"/>
      <c r="C680"/>
      <c r="D680"/>
      <c r="E680"/>
      <c r="F680"/>
      <c r="G680"/>
      <c r="H680"/>
      <c r="I680"/>
      <c r="J680"/>
      <c r="K680"/>
      <c r="L680"/>
      <c r="M680"/>
      <c r="N680"/>
      <c r="O680"/>
      <c r="P680"/>
      <c r="Q680"/>
      <c r="R680"/>
      <c r="S680"/>
      <c r="T680"/>
      <c r="U680"/>
      <c r="V680"/>
      <c r="W680"/>
      <c r="X680"/>
      <c r="Y680"/>
      <c r="Z680"/>
      <c r="AA680"/>
      <c r="AB680"/>
      <c r="AC680"/>
      <c r="AD680"/>
      <c r="AE680"/>
      <c r="AF680"/>
      <c r="AG680"/>
      <c r="AH680"/>
      <c r="AI680"/>
      <c r="AJ680"/>
      <c r="AK680"/>
      <c r="AL680"/>
    </row>
    <row r="681" spans="1:38">
      <c r="A681"/>
      <c r="B681"/>
      <c r="C681"/>
      <c r="D681"/>
      <c r="E681"/>
      <c r="F681"/>
      <c r="G681"/>
      <c r="H681"/>
      <c r="I681"/>
      <c r="J681"/>
      <c r="K681"/>
      <c r="L681"/>
      <c r="M681"/>
      <c r="N681"/>
      <c r="O681"/>
      <c r="P681"/>
      <c r="Q681"/>
      <c r="R681"/>
      <c r="S681"/>
      <c r="T681"/>
      <c r="U681"/>
      <c r="V681"/>
      <c r="W681"/>
      <c r="X681"/>
      <c r="Y681"/>
      <c r="Z681"/>
      <c r="AA681"/>
      <c r="AB681"/>
      <c r="AC681"/>
      <c r="AD681"/>
      <c r="AE681"/>
      <c r="AF681"/>
      <c r="AG681"/>
      <c r="AH681"/>
      <c r="AI681"/>
      <c r="AJ681"/>
      <c r="AK681"/>
      <c r="AL681"/>
    </row>
    <row r="682" spans="1:38">
      <c r="A682"/>
      <c r="B682"/>
      <c r="C682"/>
      <c r="D682"/>
      <c r="E682"/>
      <c r="F682"/>
      <c r="G682"/>
      <c r="H682"/>
      <c r="I682"/>
      <c r="J682"/>
      <c r="K682"/>
      <c r="L682"/>
      <c r="M682"/>
      <c r="N682"/>
      <c r="O682"/>
      <c r="P682"/>
      <c r="Q682"/>
      <c r="R682"/>
      <c r="S682"/>
      <c r="T682"/>
      <c r="U682"/>
      <c r="V682"/>
      <c r="W682"/>
      <c r="X682"/>
      <c r="Y682"/>
      <c r="Z682"/>
      <c r="AA682"/>
      <c r="AB682"/>
      <c r="AC682"/>
      <c r="AD682"/>
      <c r="AE682"/>
      <c r="AF682"/>
      <c r="AG682"/>
      <c r="AH682"/>
      <c r="AI682"/>
      <c r="AJ682"/>
      <c r="AK682"/>
      <c r="AL682"/>
    </row>
    <row r="683" spans="1:38">
      <c r="A683"/>
      <c r="B683"/>
      <c r="C683"/>
      <c r="D683"/>
      <c r="E683"/>
      <c r="F683"/>
      <c r="G683"/>
      <c r="H683"/>
      <c r="I683"/>
      <c r="J683"/>
      <c r="K683"/>
      <c r="L683"/>
      <c r="M683"/>
      <c r="N683"/>
      <c r="O683"/>
      <c r="P683"/>
      <c r="Q683"/>
      <c r="R683"/>
      <c r="S683"/>
      <c r="T683"/>
      <c r="U683"/>
      <c r="V683"/>
      <c r="W683"/>
      <c r="X683"/>
      <c r="Y683"/>
      <c r="Z683"/>
      <c r="AA683"/>
      <c r="AB683"/>
      <c r="AC683"/>
      <c r="AD683"/>
      <c r="AE683"/>
      <c r="AF683"/>
      <c r="AG683"/>
      <c r="AH683"/>
      <c r="AI683"/>
      <c r="AJ683"/>
      <c r="AK683"/>
      <c r="AL683"/>
    </row>
    <row r="684" spans="1:38">
      <c r="A684"/>
      <c r="B684"/>
      <c r="C684"/>
      <c r="D684"/>
      <c r="E684"/>
      <c r="F684"/>
      <c r="G684"/>
      <c r="H684"/>
      <c r="I684"/>
      <c r="J684"/>
      <c r="K684"/>
      <c r="L684"/>
      <c r="M684"/>
      <c r="N684"/>
      <c r="O684"/>
      <c r="P684"/>
      <c r="Q684"/>
      <c r="R684"/>
      <c r="S684"/>
      <c r="T684"/>
      <c r="U684"/>
      <c r="V684"/>
      <c r="W684"/>
      <c r="X684"/>
      <c r="Y684"/>
      <c r="Z684"/>
      <c r="AA684"/>
      <c r="AB684"/>
      <c r="AC684"/>
      <c r="AD684"/>
      <c r="AE684"/>
      <c r="AF684"/>
      <c r="AG684"/>
      <c r="AH684"/>
      <c r="AI684"/>
      <c r="AJ684"/>
      <c r="AK684"/>
      <c r="AL684"/>
    </row>
    <row r="685" spans="1:38">
      <c r="A685"/>
      <c r="B685"/>
      <c r="C685"/>
      <c r="D685"/>
      <c r="E685"/>
      <c r="F685"/>
      <c r="G685"/>
      <c r="H685"/>
      <c r="I685"/>
      <c r="J685"/>
      <c r="K685"/>
      <c r="L685"/>
      <c r="M685"/>
      <c r="N685"/>
      <c r="O685"/>
      <c r="P685"/>
      <c r="Q685"/>
      <c r="R685"/>
      <c r="S685"/>
      <c r="T685"/>
      <c r="U685"/>
      <c r="V685"/>
      <c r="W685"/>
      <c r="X685"/>
      <c r="Y685"/>
      <c r="Z685"/>
      <c r="AA685"/>
      <c r="AB685"/>
      <c r="AC685"/>
      <c r="AD685"/>
      <c r="AE685"/>
      <c r="AF685"/>
      <c r="AG685"/>
      <c r="AH685"/>
      <c r="AI685"/>
      <c r="AJ685"/>
      <c r="AK685"/>
      <c r="AL685"/>
    </row>
    <row r="686" spans="1:38">
      <c r="A686"/>
      <c r="B686"/>
      <c r="C686"/>
      <c r="D686"/>
      <c r="E686"/>
      <c r="F686"/>
      <c r="G686"/>
      <c r="H686"/>
      <c r="I686"/>
      <c r="J686"/>
      <c r="K686"/>
      <c r="L686"/>
      <c r="M686"/>
      <c r="N686"/>
      <c r="O686"/>
      <c r="P686"/>
      <c r="Q686"/>
      <c r="R686"/>
      <c r="S686"/>
      <c r="T686"/>
      <c r="U686"/>
      <c r="V686"/>
      <c r="W686"/>
      <c r="X686"/>
      <c r="Y686"/>
      <c r="Z686"/>
      <c r="AA686"/>
      <c r="AB686"/>
      <c r="AC686"/>
      <c r="AD686"/>
      <c r="AE686"/>
      <c r="AF686"/>
      <c r="AG686"/>
      <c r="AH686"/>
      <c r="AI686"/>
      <c r="AJ686"/>
      <c r="AK686"/>
      <c r="AL686"/>
    </row>
    <row r="687" spans="1:38">
      <c r="A687"/>
      <c r="B687"/>
      <c r="C687"/>
      <c r="D687"/>
      <c r="E687"/>
      <c r="F687"/>
      <c r="G687"/>
      <c r="H687"/>
      <c r="I687"/>
      <c r="J687"/>
      <c r="K687"/>
      <c r="L687"/>
      <c r="M687"/>
      <c r="N687"/>
      <c r="O687"/>
      <c r="P687"/>
      <c r="Q687"/>
      <c r="R687"/>
      <c r="S687"/>
      <c r="T687"/>
      <c r="U687"/>
      <c r="V687"/>
      <c r="W687"/>
      <c r="X687"/>
      <c r="Y687"/>
      <c r="Z687"/>
      <c r="AA687"/>
      <c r="AB687"/>
      <c r="AC687"/>
      <c r="AD687"/>
      <c r="AE687"/>
      <c r="AF687"/>
      <c r="AG687"/>
      <c r="AH687"/>
      <c r="AI687"/>
      <c r="AJ687"/>
      <c r="AK687"/>
      <c r="AL687"/>
    </row>
    <row r="688" spans="1:38">
      <c r="A688"/>
      <c r="B688"/>
      <c r="C688"/>
      <c r="D688"/>
      <c r="E688"/>
      <c r="F688"/>
      <c r="G688"/>
      <c r="H688"/>
      <c r="I688"/>
      <c r="J688"/>
      <c r="K688"/>
      <c r="L688"/>
      <c r="M688"/>
      <c r="N688"/>
      <c r="O688"/>
      <c r="P688"/>
      <c r="Q688"/>
      <c r="R688"/>
      <c r="S688"/>
      <c r="T688"/>
      <c r="U688"/>
      <c r="V688"/>
      <c r="W688"/>
      <c r="X688"/>
      <c r="Y688"/>
      <c r="Z688"/>
      <c r="AA688"/>
      <c r="AB688"/>
      <c r="AC688"/>
      <c r="AD688"/>
      <c r="AE688"/>
      <c r="AF688"/>
      <c r="AG688"/>
      <c r="AH688"/>
      <c r="AI688"/>
      <c r="AJ688"/>
      <c r="AK688"/>
      <c r="AL688"/>
    </row>
    <row r="689" spans="1:38">
      <c r="A689"/>
      <c r="B689"/>
      <c r="C689"/>
      <c r="D689"/>
      <c r="E689"/>
      <c r="F689"/>
      <c r="G689"/>
      <c r="H689"/>
      <c r="I689"/>
      <c r="J689"/>
      <c r="K689"/>
      <c r="L689"/>
      <c r="M689"/>
      <c r="N689"/>
      <c r="O689"/>
      <c r="P689"/>
      <c r="Q689"/>
      <c r="R689"/>
      <c r="S689"/>
      <c r="T689"/>
      <c r="U689"/>
      <c r="V689"/>
      <c r="W689"/>
      <c r="X689"/>
      <c r="Y689"/>
      <c r="Z689"/>
      <c r="AA689"/>
      <c r="AB689"/>
      <c r="AC689"/>
      <c r="AD689"/>
      <c r="AE689"/>
      <c r="AF689"/>
      <c r="AG689"/>
      <c r="AH689"/>
      <c r="AI689"/>
      <c r="AJ689"/>
      <c r="AK689"/>
      <c r="AL689"/>
    </row>
    <row r="690" spans="1:38">
      <c r="A690"/>
      <c r="B690"/>
      <c r="C690"/>
      <c r="D690"/>
      <c r="E690"/>
      <c r="F690"/>
      <c r="G690"/>
      <c r="H690"/>
      <c r="I690"/>
      <c r="J690"/>
      <c r="K690"/>
      <c r="L690"/>
      <c r="M690"/>
      <c r="N690"/>
      <c r="O690"/>
      <c r="P690"/>
      <c r="Q690"/>
      <c r="R690"/>
      <c r="S690"/>
      <c r="T690"/>
      <c r="U690"/>
      <c r="V690"/>
      <c r="W690"/>
      <c r="X690"/>
      <c r="Y690"/>
      <c r="Z690"/>
      <c r="AA690"/>
      <c r="AB690"/>
      <c r="AC690"/>
      <c r="AD690"/>
      <c r="AE690"/>
      <c r="AF690"/>
      <c r="AG690"/>
      <c r="AH690"/>
      <c r="AI690"/>
      <c r="AJ690"/>
      <c r="AK690"/>
      <c r="AL690"/>
    </row>
    <row r="691" spans="1:38">
      <c r="A691"/>
      <c r="B691"/>
      <c r="C691"/>
      <c r="D691"/>
      <c r="E691"/>
      <c r="F691"/>
      <c r="G691"/>
      <c r="H691"/>
      <c r="I691"/>
      <c r="J691"/>
      <c r="K691"/>
      <c r="L691"/>
      <c r="M691"/>
      <c r="N691"/>
      <c r="O691"/>
      <c r="P691"/>
      <c r="Q691"/>
      <c r="R691"/>
      <c r="S691"/>
      <c r="T691"/>
      <c r="U691"/>
      <c r="V691"/>
      <c r="W691"/>
      <c r="X691"/>
      <c r="Y691"/>
      <c r="Z691"/>
      <c r="AA691"/>
      <c r="AB691"/>
      <c r="AC691"/>
      <c r="AD691"/>
      <c r="AE691"/>
      <c r="AF691"/>
      <c r="AG691"/>
      <c r="AH691"/>
      <c r="AI691"/>
      <c r="AJ691"/>
      <c r="AK691"/>
      <c r="AL691"/>
    </row>
    <row r="692" spans="1:38">
      <c r="A692"/>
      <c r="B692"/>
      <c r="C692"/>
      <c r="D692"/>
      <c r="E692"/>
      <c r="F692"/>
      <c r="G692"/>
      <c r="H692"/>
      <c r="I692"/>
      <c r="J692"/>
      <c r="K692"/>
      <c r="L692"/>
      <c r="M692"/>
      <c r="N692"/>
      <c r="O692"/>
      <c r="P692"/>
      <c r="Q692"/>
      <c r="R692"/>
      <c r="S692"/>
      <c r="T692"/>
      <c r="U692"/>
      <c r="V692"/>
      <c r="W692"/>
      <c r="X692"/>
      <c r="Y692"/>
      <c r="Z692"/>
      <c r="AA692"/>
      <c r="AB692"/>
      <c r="AC692"/>
      <c r="AD692"/>
      <c r="AE692"/>
      <c r="AF692"/>
      <c r="AG692"/>
      <c r="AH692"/>
      <c r="AI692"/>
      <c r="AJ692"/>
      <c r="AK692"/>
      <c r="AL692"/>
    </row>
    <row r="693" spans="1:38">
      <c r="A693"/>
      <c r="B693"/>
      <c r="C693"/>
      <c r="D693"/>
      <c r="E693"/>
      <c r="F693"/>
      <c r="G693"/>
      <c r="H693"/>
      <c r="I693"/>
      <c r="J693"/>
      <c r="K693"/>
      <c r="L693"/>
      <c r="M693"/>
      <c r="N693"/>
      <c r="O693"/>
      <c r="P693"/>
      <c r="Q693"/>
      <c r="R693"/>
      <c r="S693"/>
      <c r="T693"/>
      <c r="U693"/>
      <c r="V693"/>
      <c r="W693"/>
      <c r="X693"/>
      <c r="Y693"/>
      <c r="Z693"/>
      <c r="AA693"/>
      <c r="AB693"/>
      <c r="AC693"/>
      <c r="AD693"/>
      <c r="AE693"/>
      <c r="AF693"/>
      <c r="AG693"/>
      <c r="AH693"/>
      <c r="AI693"/>
      <c r="AJ693"/>
      <c r="AK693"/>
      <c r="AL693"/>
    </row>
    <row r="694" spans="1:38">
      <c r="A694"/>
      <c r="B694"/>
      <c r="C694"/>
      <c r="D694"/>
      <c r="E694"/>
      <c r="F694"/>
      <c r="G694"/>
      <c r="H694"/>
      <c r="I694"/>
      <c r="J694"/>
      <c r="K694"/>
      <c r="L694"/>
      <c r="M694"/>
      <c r="N694"/>
      <c r="O694"/>
      <c r="P694"/>
      <c r="Q694"/>
      <c r="R694"/>
      <c r="S694"/>
      <c r="T694"/>
      <c r="U694"/>
      <c r="V694"/>
      <c r="W694"/>
      <c r="X694"/>
      <c r="Y694"/>
      <c r="Z694"/>
      <c r="AA694"/>
      <c r="AB694"/>
      <c r="AC694"/>
      <c r="AD694"/>
      <c r="AE694"/>
      <c r="AF694"/>
      <c r="AG694"/>
      <c r="AH694"/>
      <c r="AI694"/>
      <c r="AJ694"/>
      <c r="AK694"/>
      <c r="AL694"/>
    </row>
    <row r="695" spans="1:38">
      <c r="A695"/>
      <c r="B695"/>
      <c r="C695"/>
      <c r="D695"/>
      <c r="E695"/>
      <c r="F695"/>
      <c r="G695"/>
      <c r="H695"/>
      <c r="I695"/>
      <c r="J695"/>
      <c r="K695"/>
      <c r="L695"/>
      <c r="M695"/>
      <c r="N695"/>
      <c r="O695"/>
      <c r="P695"/>
      <c r="Q695"/>
      <c r="R695"/>
      <c r="S695"/>
      <c r="T695"/>
      <c r="U695"/>
      <c r="V695"/>
      <c r="W695"/>
      <c r="X695"/>
      <c r="Y695"/>
      <c r="Z695"/>
      <c r="AA695"/>
      <c r="AB695"/>
      <c r="AC695"/>
      <c r="AD695"/>
      <c r="AE695"/>
      <c r="AF695"/>
      <c r="AG695"/>
      <c r="AH695"/>
      <c r="AI695"/>
      <c r="AJ695"/>
      <c r="AK695"/>
      <c r="AL695"/>
    </row>
    <row r="696" spans="1:38">
      <c r="A696"/>
      <c r="B696"/>
      <c r="C696"/>
      <c r="D696"/>
      <c r="E696"/>
      <c r="F696"/>
      <c r="G696"/>
      <c r="H696"/>
      <c r="I696"/>
      <c r="J696"/>
      <c r="K696"/>
      <c r="L696"/>
      <c r="M696"/>
      <c r="N696"/>
      <c r="O696"/>
      <c r="P696"/>
      <c r="Q696"/>
      <c r="R696"/>
      <c r="S696"/>
      <c r="T696"/>
      <c r="U696"/>
      <c r="V696"/>
      <c r="W696"/>
      <c r="X696"/>
      <c r="Y696"/>
      <c r="Z696"/>
      <c r="AA696"/>
      <c r="AB696"/>
      <c r="AC696"/>
      <c r="AD696"/>
      <c r="AE696"/>
      <c r="AF696"/>
      <c r="AG696"/>
      <c r="AH696"/>
      <c r="AI696"/>
      <c r="AJ696"/>
      <c r="AK696"/>
      <c r="AL696"/>
    </row>
    <row r="697" spans="1:38">
      <c r="A697"/>
      <c r="B697"/>
      <c r="C697"/>
      <c r="D697"/>
      <c r="E697"/>
      <c r="F697"/>
      <c r="G697"/>
      <c r="H697"/>
      <c r="I697"/>
      <c r="J697"/>
      <c r="K697"/>
      <c r="L697"/>
      <c r="M697"/>
      <c r="N697"/>
      <c r="O697"/>
      <c r="P697"/>
      <c r="Q697"/>
      <c r="R697"/>
      <c r="S697"/>
      <c r="T697"/>
      <c r="U697"/>
      <c r="V697"/>
      <c r="W697"/>
      <c r="X697"/>
      <c r="Y697"/>
      <c r="Z697"/>
      <c r="AA697"/>
      <c r="AB697"/>
      <c r="AC697"/>
      <c r="AD697"/>
      <c r="AE697"/>
      <c r="AF697"/>
      <c r="AG697"/>
      <c r="AH697"/>
      <c r="AI697"/>
      <c r="AJ697"/>
      <c r="AK697"/>
      <c r="AL697"/>
    </row>
    <row r="698" spans="1:38">
      <c r="A698"/>
      <c r="B698"/>
      <c r="C698"/>
      <c r="D698"/>
      <c r="E698"/>
      <c r="F698"/>
      <c r="G698"/>
      <c r="H698"/>
      <c r="I698"/>
      <c r="J698"/>
      <c r="K698"/>
      <c r="L698"/>
      <c r="M698"/>
      <c r="N698"/>
      <c r="O698"/>
      <c r="P698"/>
      <c r="Q698"/>
      <c r="R698"/>
      <c r="S698"/>
      <c r="T698"/>
      <c r="U698"/>
      <c r="V698"/>
      <c r="W698"/>
      <c r="X698"/>
      <c r="Y698"/>
      <c r="Z698"/>
      <c r="AA698"/>
      <c r="AB698"/>
      <c r="AC698"/>
      <c r="AD698"/>
      <c r="AE698"/>
      <c r="AF698"/>
      <c r="AG698"/>
      <c r="AH698"/>
      <c r="AI698"/>
      <c r="AJ698"/>
      <c r="AK698"/>
      <c r="AL698"/>
    </row>
    <row r="699" spans="1:38">
      <c r="A699"/>
      <c r="B699"/>
      <c r="C699"/>
      <c r="D699"/>
      <c r="E699"/>
      <c r="F699"/>
      <c r="G699"/>
      <c r="H699"/>
      <c r="I699"/>
      <c r="J699"/>
      <c r="K699"/>
      <c r="L699"/>
      <c r="M699"/>
      <c r="N699"/>
      <c r="O699"/>
      <c r="P699"/>
      <c r="Q699"/>
      <c r="R699"/>
      <c r="S699"/>
      <c r="T699"/>
      <c r="U699"/>
      <c r="V699"/>
      <c r="W699"/>
      <c r="X699"/>
      <c r="Y699"/>
      <c r="Z699"/>
      <c r="AA699"/>
      <c r="AB699"/>
      <c r="AC699"/>
      <c r="AD699"/>
      <c r="AE699"/>
      <c r="AF699"/>
      <c r="AG699"/>
      <c r="AH699"/>
      <c r="AI699"/>
      <c r="AJ699"/>
      <c r="AK699"/>
      <c r="AL699"/>
    </row>
    <row r="700" spans="1:38">
      <c r="A700"/>
      <c r="B700"/>
      <c r="C700"/>
      <c r="D700"/>
      <c r="E700"/>
      <c r="F700"/>
      <c r="G700"/>
      <c r="H700"/>
      <c r="I700"/>
      <c r="J700"/>
      <c r="K700"/>
      <c r="L700"/>
      <c r="M700"/>
      <c r="N700"/>
      <c r="O700"/>
      <c r="P700"/>
      <c r="Q700"/>
      <c r="R700"/>
      <c r="S700"/>
      <c r="T700"/>
      <c r="U700"/>
      <c r="V700"/>
      <c r="W700"/>
      <c r="X700"/>
      <c r="Y700"/>
      <c r="Z700"/>
      <c r="AA700"/>
      <c r="AB700"/>
      <c r="AC700"/>
      <c r="AD700"/>
      <c r="AE700"/>
      <c r="AF700"/>
      <c r="AG700"/>
      <c r="AH700"/>
      <c r="AI700"/>
      <c r="AJ700"/>
      <c r="AK700"/>
      <c r="AL700"/>
    </row>
    <row r="701" spans="1:38">
      <c r="A701"/>
      <c r="B701"/>
      <c r="C701"/>
      <c r="D701"/>
      <c r="E701"/>
      <c r="F701"/>
      <c r="G701"/>
      <c r="H701"/>
      <c r="I701"/>
      <c r="J701"/>
      <c r="K701"/>
      <c r="L701"/>
      <c r="M701"/>
      <c r="N701"/>
      <c r="O701"/>
      <c r="P701"/>
      <c r="Q701"/>
      <c r="R701"/>
      <c r="S701"/>
      <c r="T701"/>
      <c r="U701"/>
      <c r="V701"/>
      <c r="W701"/>
      <c r="X701"/>
      <c r="Y701"/>
      <c r="Z701"/>
      <c r="AA701"/>
      <c r="AB701"/>
      <c r="AC701"/>
      <c r="AD701"/>
      <c r="AE701"/>
      <c r="AF701"/>
      <c r="AG701"/>
      <c r="AH701"/>
      <c r="AI701"/>
      <c r="AJ701"/>
      <c r="AK701"/>
      <c r="AL701"/>
    </row>
    <row r="702" spans="1:38">
      <c r="A702"/>
      <c r="B702"/>
      <c r="C702"/>
      <c r="D702"/>
      <c r="E702"/>
      <c r="F702"/>
      <c r="G702"/>
      <c r="H702"/>
      <c r="I702"/>
      <c r="J702"/>
      <c r="K702"/>
      <c r="L702"/>
      <c r="M702"/>
      <c r="N702"/>
      <c r="O702"/>
      <c r="P702"/>
      <c r="Q702"/>
      <c r="R702"/>
      <c r="S702"/>
      <c r="T702"/>
      <c r="U702"/>
      <c r="V702"/>
      <c r="W702"/>
      <c r="X702"/>
      <c r="Y702"/>
      <c r="Z702"/>
      <c r="AA702"/>
      <c r="AB702"/>
      <c r="AC702"/>
      <c r="AD702"/>
      <c r="AE702"/>
      <c r="AF702"/>
      <c r="AG702"/>
      <c r="AH702"/>
      <c r="AI702"/>
      <c r="AJ702"/>
      <c r="AK702"/>
      <c r="AL702"/>
    </row>
    <row r="703" spans="1:38">
      <c r="A703"/>
      <c r="B703"/>
      <c r="C703"/>
      <c r="D703"/>
      <c r="E703"/>
      <c r="F703"/>
      <c r="G703"/>
      <c r="H703"/>
      <c r="I703"/>
      <c r="J703"/>
      <c r="K703"/>
      <c r="L703"/>
      <c r="M703"/>
      <c r="N703"/>
      <c r="O703"/>
      <c r="P703"/>
      <c r="Q703"/>
      <c r="R703"/>
      <c r="S703"/>
      <c r="T703"/>
      <c r="U703"/>
      <c r="V703"/>
      <c r="W703"/>
      <c r="X703"/>
      <c r="Y703"/>
      <c r="Z703"/>
      <c r="AA703"/>
      <c r="AB703"/>
      <c r="AC703"/>
      <c r="AD703"/>
      <c r="AE703"/>
      <c r="AF703"/>
      <c r="AG703"/>
      <c r="AH703"/>
      <c r="AI703"/>
      <c r="AJ703"/>
      <c r="AK703"/>
      <c r="AL703"/>
    </row>
    <row r="704" spans="1:38">
      <c r="A704"/>
      <c r="B704"/>
      <c r="C704"/>
      <c r="D704"/>
      <c r="E704"/>
      <c r="F704"/>
      <c r="G704"/>
      <c r="H704"/>
      <c r="I704"/>
      <c r="J704"/>
      <c r="K704"/>
      <c r="L704"/>
      <c r="M704"/>
      <c r="N704"/>
      <c r="O704"/>
      <c r="P704"/>
      <c r="Q704"/>
      <c r="R704"/>
      <c r="S704"/>
      <c r="T704"/>
      <c r="U704"/>
      <c r="V704"/>
      <c r="W704"/>
      <c r="X704"/>
      <c r="Y704"/>
      <c r="Z704"/>
      <c r="AA704"/>
      <c r="AB704"/>
      <c r="AC704"/>
      <c r="AD704"/>
      <c r="AE704"/>
      <c r="AF704"/>
      <c r="AG704"/>
      <c r="AH704"/>
      <c r="AI704"/>
      <c r="AJ704"/>
      <c r="AK704"/>
      <c r="AL704"/>
    </row>
    <row r="705" spans="1:38">
      <c r="A705"/>
      <c r="B705"/>
      <c r="C705"/>
      <c r="D705"/>
      <c r="E705"/>
      <c r="F705"/>
      <c r="G705"/>
      <c r="H705"/>
      <c r="I705"/>
      <c r="J705"/>
      <c r="K705"/>
      <c r="L705"/>
      <c r="M705"/>
      <c r="N705"/>
      <c r="O705"/>
      <c r="P705"/>
      <c r="Q705"/>
      <c r="R705"/>
      <c r="S705"/>
      <c r="T705"/>
      <c r="U705"/>
      <c r="V705"/>
      <c r="W705"/>
      <c r="X705"/>
      <c r="Y705"/>
      <c r="Z705"/>
      <c r="AA705"/>
      <c r="AB705"/>
      <c r="AC705"/>
      <c r="AD705"/>
      <c r="AE705"/>
      <c r="AF705"/>
      <c r="AG705"/>
      <c r="AH705"/>
      <c r="AI705"/>
      <c r="AJ705"/>
      <c r="AK705"/>
      <c r="AL705"/>
    </row>
    <row r="706" spans="1:38">
      <c r="A706"/>
      <c r="B706"/>
      <c r="C706"/>
      <c r="D706"/>
      <c r="E706"/>
      <c r="F706"/>
      <c r="G706"/>
      <c r="H706"/>
      <c r="I706"/>
      <c r="J706"/>
      <c r="K706"/>
      <c r="L706"/>
      <c r="M706"/>
      <c r="N706"/>
      <c r="O706"/>
      <c r="P706"/>
      <c r="Q706"/>
      <c r="R706"/>
      <c r="S706"/>
      <c r="T706"/>
      <c r="U706"/>
      <c r="V706"/>
      <c r="W706"/>
      <c r="X706"/>
      <c r="Y706"/>
      <c r="Z706"/>
      <c r="AA706"/>
      <c r="AB706"/>
      <c r="AC706"/>
      <c r="AD706"/>
      <c r="AE706"/>
      <c r="AF706"/>
      <c r="AG706"/>
      <c r="AH706"/>
      <c r="AI706"/>
      <c r="AJ706"/>
      <c r="AK706"/>
      <c r="AL706"/>
    </row>
    <row r="707" spans="1:38">
      <c r="A707"/>
      <c r="B707"/>
      <c r="C707"/>
      <c r="D707"/>
      <c r="E707"/>
      <c r="F707"/>
      <c r="G707"/>
      <c r="H707"/>
      <c r="I707"/>
      <c r="J707"/>
      <c r="K707"/>
      <c r="L707"/>
      <c r="M707"/>
      <c r="N707"/>
      <c r="O707"/>
      <c r="P707"/>
      <c r="Q707"/>
      <c r="R707"/>
      <c r="S707"/>
      <c r="T707"/>
      <c r="U707"/>
      <c r="V707"/>
      <c r="W707"/>
      <c r="X707"/>
      <c r="Y707"/>
      <c r="Z707"/>
      <c r="AA707"/>
      <c r="AB707"/>
      <c r="AC707"/>
      <c r="AD707"/>
      <c r="AE707"/>
      <c r="AF707"/>
      <c r="AG707"/>
      <c r="AH707"/>
      <c r="AI707"/>
      <c r="AJ707"/>
      <c r="AK707"/>
      <c r="AL707"/>
    </row>
    <row r="708" spans="1:38">
      <c r="A708"/>
      <c r="B708"/>
      <c r="C708"/>
      <c r="D708"/>
      <c r="E708"/>
      <c r="F708"/>
      <c r="G708"/>
      <c r="H708"/>
      <c r="I708"/>
      <c r="J708"/>
      <c r="K708"/>
      <c r="L708"/>
      <c r="M708"/>
      <c r="N708"/>
      <c r="O708"/>
      <c r="P708"/>
      <c r="Q708"/>
      <c r="R708"/>
      <c r="S708"/>
      <c r="T708"/>
      <c r="U708"/>
      <c r="V708"/>
      <c r="W708"/>
      <c r="X708"/>
      <c r="Y708"/>
      <c r="Z708"/>
      <c r="AA708"/>
      <c r="AB708"/>
      <c r="AC708"/>
      <c r="AD708"/>
      <c r="AE708"/>
      <c r="AF708"/>
      <c r="AG708"/>
      <c r="AH708"/>
      <c r="AI708"/>
      <c r="AJ708"/>
      <c r="AK708"/>
      <c r="AL708"/>
    </row>
    <row r="709" spans="1:38">
      <c r="A709"/>
      <c r="B709"/>
      <c r="C709"/>
      <c r="D709"/>
      <c r="E709"/>
      <c r="F709"/>
      <c r="G709"/>
      <c r="H709"/>
      <c r="I709"/>
      <c r="J709"/>
      <c r="K709"/>
      <c r="L709"/>
      <c r="M709"/>
      <c r="N709"/>
      <c r="O709"/>
      <c r="P709"/>
      <c r="Q709"/>
      <c r="R709"/>
      <c r="S709"/>
      <c r="T709"/>
      <c r="U709"/>
      <c r="V709"/>
      <c r="W709"/>
      <c r="X709"/>
      <c r="Y709"/>
      <c r="Z709"/>
      <c r="AA709"/>
      <c r="AB709"/>
      <c r="AC709"/>
      <c r="AD709"/>
      <c r="AE709"/>
      <c r="AF709"/>
      <c r="AG709"/>
      <c r="AH709"/>
      <c r="AI709"/>
      <c r="AJ709"/>
      <c r="AK709"/>
      <c r="AL709"/>
    </row>
    <row r="710" spans="1:38">
      <c r="A710"/>
      <c r="B710"/>
      <c r="C710"/>
      <c r="D710"/>
      <c r="E710"/>
      <c r="F710"/>
      <c r="G710"/>
      <c r="H710"/>
      <c r="I710"/>
      <c r="J710"/>
      <c r="K710"/>
      <c r="L710"/>
      <c r="M710"/>
      <c r="N710"/>
      <c r="O710"/>
      <c r="P710"/>
      <c r="Q710"/>
      <c r="R710"/>
      <c r="S710"/>
      <c r="T710"/>
      <c r="U710"/>
      <c r="V710"/>
      <c r="W710"/>
      <c r="X710"/>
      <c r="Y710"/>
      <c r="Z710"/>
      <c r="AA710"/>
      <c r="AB710"/>
      <c r="AC710"/>
      <c r="AD710"/>
      <c r="AE710"/>
      <c r="AF710"/>
      <c r="AG710"/>
      <c r="AH710"/>
      <c r="AI710"/>
      <c r="AJ710"/>
      <c r="AK710"/>
      <c r="AL710"/>
    </row>
    <row r="711" spans="1:38">
      <c r="A711"/>
      <c r="B711"/>
      <c r="C711"/>
      <c r="D711"/>
      <c r="E711"/>
      <c r="F711"/>
      <c r="G711"/>
      <c r="H711"/>
      <c r="I711"/>
      <c r="J711"/>
      <c r="K711"/>
      <c r="L711"/>
      <c r="M711"/>
      <c r="N711"/>
      <c r="O711"/>
      <c r="P711"/>
      <c r="Q711"/>
      <c r="R711"/>
      <c r="S711"/>
      <c r="T711"/>
      <c r="U711"/>
      <c r="V711"/>
      <c r="W711"/>
      <c r="X711"/>
      <c r="Y711"/>
      <c r="Z711"/>
      <c r="AA711"/>
      <c r="AB711"/>
      <c r="AC711"/>
      <c r="AD711"/>
      <c r="AE711"/>
      <c r="AF711"/>
      <c r="AG711"/>
      <c r="AH711"/>
      <c r="AI711"/>
      <c r="AJ711"/>
      <c r="AK711"/>
      <c r="AL711"/>
    </row>
    <row r="712" spans="1:38">
      <c r="A712"/>
      <c r="B712"/>
      <c r="C712"/>
      <c r="D712"/>
      <c r="E712"/>
      <c r="F712"/>
      <c r="G712"/>
      <c r="H712"/>
      <c r="I712"/>
      <c r="J712"/>
      <c r="K712"/>
      <c r="L712"/>
      <c r="M712"/>
      <c r="N712"/>
      <c r="O712"/>
      <c r="P712"/>
      <c r="Q712"/>
      <c r="R712"/>
      <c r="S712"/>
      <c r="T712"/>
      <c r="U712"/>
      <c r="V712"/>
      <c r="W712"/>
      <c r="X712"/>
      <c r="Y712"/>
      <c r="Z712"/>
      <c r="AA712"/>
      <c r="AB712"/>
      <c r="AC712"/>
      <c r="AD712"/>
      <c r="AE712"/>
      <c r="AF712"/>
      <c r="AG712"/>
      <c r="AH712"/>
      <c r="AI712"/>
      <c r="AJ712"/>
      <c r="AK712"/>
      <c r="AL712"/>
    </row>
    <row r="713" spans="1:38">
      <c r="A713"/>
      <c r="B713"/>
      <c r="C713"/>
      <c r="D713"/>
      <c r="E713"/>
      <c r="F713"/>
      <c r="G713"/>
      <c r="H713"/>
      <c r="I713"/>
      <c r="J713"/>
      <c r="K713"/>
      <c r="L713"/>
      <c r="M713"/>
      <c r="N713"/>
      <c r="O713"/>
      <c r="P713"/>
      <c r="Q713"/>
      <c r="R713"/>
      <c r="S713"/>
      <c r="T713"/>
      <c r="U713"/>
      <c r="V713"/>
      <c r="W713"/>
      <c r="X713"/>
      <c r="Y713"/>
      <c r="Z713"/>
      <c r="AA713"/>
      <c r="AB713"/>
      <c r="AC713"/>
      <c r="AD713"/>
      <c r="AE713"/>
      <c r="AF713"/>
      <c r="AG713"/>
      <c r="AH713"/>
      <c r="AI713"/>
      <c r="AJ713"/>
      <c r="AK713"/>
      <c r="AL713"/>
    </row>
    <row r="714" spans="1:38">
      <c r="A714"/>
      <c r="B714"/>
      <c r="C714"/>
      <c r="D714"/>
      <c r="E714"/>
      <c r="F714"/>
      <c r="G714"/>
      <c r="H714"/>
      <c r="I714"/>
      <c r="J714"/>
      <c r="K714"/>
      <c r="L714"/>
      <c r="M714"/>
      <c r="N714"/>
      <c r="O714"/>
      <c r="P714"/>
      <c r="Q714"/>
      <c r="R714"/>
      <c r="S714"/>
      <c r="T714"/>
      <c r="U714"/>
      <c r="V714"/>
      <c r="W714"/>
      <c r="X714"/>
      <c r="Y714"/>
      <c r="Z714"/>
      <c r="AA714"/>
      <c r="AB714"/>
      <c r="AC714"/>
      <c r="AD714"/>
      <c r="AE714"/>
      <c r="AF714"/>
      <c r="AG714"/>
      <c r="AH714"/>
      <c r="AI714"/>
      <c r="AJ714"/>
      <c r="AK714"/>
      <c r="AL714"/>
    </row>
    <row r="715" spans="1:38">
      <c r="A715"/>
      <c r="B715"/>
      <c r="C715"/>
      <c r="D715"/>
      <c r="E715"/>
      <c r="F715"/>
      <c r="G715"/>
      <c r="H715"/>
      <c r="I715"/>
      <c r="J715"/>
      <c r="K715"/>
      <c r="L715"/>
      <c r="M715"/>
      <c r="N715"/>
      <c r="O715"/>
      <c r="P715"/>
      <c r="Q715"/>
      <c r="R715"/>
      <c r="S715"/>
      <c r="T715"/>
      <c r="U715"/>
      <c r="V715"/>
      <c r="W715"/>
      <c r="X715"/>
      <c r="Y715"/>
      <c r="Z715"/>
      <c r="AA715"/>
      <c r="AB715"/>
      <c r="AC715"/>
      <c r="AD715"/>
      <c r="AE715"/>
      <c r="AF715"/>
      <c r="AG715"/>
      <c r="AH715"/>
      <c r="AI715"/>
      <c r="AJ715"/>
      <c r="AK715"/>
      <c r="AL715"/>
    </row>
    <row r="716" spans="1:38">
      <c r="A716"/>
      <c r="B716"/>
      <c r="C716"/>
      <c r="D716"/>
      <c r="E716"/>
      <c r="F716"/>
      <c r="G716"/>
      <c r="H716"/>
      <c r="I716"/>
      <c r="J716"/>
      <c r="K716"/>
      <c r="L716"/>
      <c r="M716"/>
      <c r="N716"/>
      <c r="O716"/>
      <c r="P716"/>
      <c r="Q716"/>
      <c r="R716"/>
      <c r="S716"/>
      <c r="T716"/>
      <c r="U716"/>
      <c r="V716"/>
      <c r="W716"/>
      <c r="X716"/>
      <c r="Y716"/>
      <c r="Z716"/>
      <c r="AA716"/>
      <c r="AB716"/>
      <c r="AC716"/>
      <c r="AD716"/>
      <c r="AE716"/>
      <c r="AF716"/>
      <c r="AG716"/>
      <c r="AH716"/>
      <c r="AI716"/>
      <c r="AJ716"/>
      <c r="AK716"/>
      <c r="AL716"/>
    </row>
    <row r="717" spans="1:38">
      <c r="A717"/>
      <c r="B717"/>
      <c r="C717"/>
      <c r="D717"/>
      <c r="E717"/>
      <c r="F717"/>
      <c r="G717"/>
      <c r="H717"/>
      <c r="I717"/>
      <c r="J717"/>
      <c r="K717"/>
      <c r="L717"/>
      <c r="M717"/>
      <c r="N717"/>
      <c r="O717"/>
      <c r="P717"/>
      <c r="Q717"/>
      <c r="R717"/>
      <c r="S717"/>
      <c r="T717"/>
      <c r="U717"/>
      <c r="V717"/>
      <c r="W717"/>
      <c r="X717"/>
      <c r="Y717"/>
      <c r="Z717"/>
      <c r="AA717"/>
      <c r="AB717"/>
      <c r="AC717"/>
      <c r="AD717"/>
      <c r="AE717"/>
      <c r="AF717"/>
      <c r="AG717"/>
      <c r="AH717"/>
      <c r="AI717"/>
      <c r="AJ717"/>
      <c r="AK717"/>
      <c r="AL717"/>
    </row>
    <row r="718" spans="1:38">
      <c r="A718"/>
      <c r="B718"/>
      <c r="C718"/>
      <c r="D718"/>
      <c r="E718"/>
      <c r="F718"/>
      <c r="G718"/>
      <c r="H718"/>
      <c r="I718"/>
      <c r="J718"/>
      <c r="K718"/>
      <c r="L718"/>
      <c r="M718"/>
      <c r="N718"/>
      <c r="O718"/>
      <c r="P718"/>
      <c r="Q718"/>
      <c r="R718"/>
      <c r="S718"/>
      <c r="T718"/>
      <c r="U718"/>
      <c r="V718"/>
      <c r="W718"/>
      <c r="X718"/>
      <c r="Y718"/>
      <c r="Z718"/>
      <c r="AA718"/>
      <c r="AB718"/>
      <c r="AC718"/>
      <c r="AD718"/>
      <c r="AE718"/>
      <c r="AF718"/>
      <c r="AG718"/>
      <c r="AH718"/>
      <c r="AI718"/>
      <c r="AJ718"/>
      <c r="AK718"/>
      <c r="AL718"/>
    </row>
    <row r="719" spans="1:38">
      <c r="A719"/>
      <c r="B719"/>
      <c r="C719"/>
      <c r="D719"/>
      <c r="E719"/>
      <c r="F719"/>
      <c r="G719"/>
      <c r="H719"/>
      <c r="I719"/>
      <c r="J719"/>
      <c r="K719"/>
      <c r="L719"/>
      <c r="M719"/>
      <c r="N719"/>
      <c r="O719"/>
      <c r="P719"/>
      <c r="Q719"/>
      <c r="R719"/>
      <c r="S719"/>
      <c r="T719"/>
      <c r="U719"/>
      <c r="V719"/>
      <c r="W719"/>
      <c r="X719"/>
      <c r="Y719"/>
      <c r="Z719"/>
      <c r="AA719"/>
      <c r="AB719"/>
      <c r="AC719"/>
      <c r="AD719"/>
      <c r="AE719"/>
      <c r="AF719"/>
      <c r="AG719"/>
      <c r="AH719"/>
      <c r="AI719"/>
      <c r="AJ719"/>
      <c r="AK719"/>
      <c r="AL719"/>
    </row>
    <row r="720" spans="1:38">
      <c r="A720"/>
      <c r="B720"/>
      <c r="C720"/>
      <c r="D720"/>
      <c r="E720"/>
      <c r="F720"/>
      <c r="G720"/>
      <c r="H720"/>
      <c r="I720"/>
      <c r="J720"/>
      <c r="K720"/>
      <c r="L720"/>
      <c r="M720"/>
      <c r="N720"/>
      <c r="O720"/>
      <c r="P720"/>
      <c r="Q720"/>
      <c r="R720"/>
      <c r="S720"/>
      <c r="T720"/>
      <c r="U720"/>
      <c r="V720"/>
      <c r="W720"/>
      <c r="X720"/>
      <c r="Y720"/>
      <c r="Z720"/>
      <c r="AA720"/>
      <c r="AB720"/>
      <c r="AC720"/>
      <c r="AD720"/>
      <c r="AE720"/>
      <c r="AF720"/>
      <c r="AG720"/>
      <c r="AH720"/>
      <c r="AI720"/>
      <c r="AJ720"/>
      <c r="AK720"/>
      <c r="AL720"/>
    </row>
    <row r="721" spans="1:38">
      <c r="A721"/>
      <c r="B721"/>
      <c r="C721"/>
      <c r="D721"/>
      <c r="E721"/>
      <c r="F721"/>
      <c r="G721"/>
      <c r="H721"/>
      <c r="I721"/>
      <c r="J721"/>
      <c r="K721"/>
      <c r="L721"/>
      <c r="M721"/>
      <c r="N721"/>
      <c r="O721"/>
      <c r="P721"/>
      <c r="Q721"/>
      <c r="R721"/>
      <c r="S721"/>
      <c r="T721"/>
      <c r="U721"/>
      <c r="V721"/>
      <c r="W721"/>
      <c r="X721"/>
      <c r="Y721"/>
      <c r="Z721"/>
      <c r="AA721"/>
      <c r="AB721"/>
      <c r="AC721"/>
      <c r="AD721"/>
      <c r="AE721"/>
      <c r="AF721"/>
      <c r="AG721"/>
      <c r="AH721"/>
      <c r="AI721"/>
      <c r="AJ721"/>
      <c r="AK721"/>
      <c r="AL721"/>
    </row>
    <row r="722" spans="1:38">
      <c r="A722"/>
      <c r="B722"/>
      <c r="C722"/>
      <c r="D722"/>
      <c r="E722"/>
      <c r="F722"/>
      <c r="G722"/>
      <c r="H722"/>
      <c r="I722"/>
      <c r="J722"/>
      <c r="K722"/>
      <c r="L722"/>
      <c r="M722"/>
      <c r="N722"/>
      <c r="O722"/>
      <c r="P722"/>
      <c r="Q722"/>
      <c r="R722"/>
      <c r="S722"/>
      <c r="T722"/>
      <c r="U722"/>
      <c r="V722"/>
      <c r="W722"/>
      <c r="X722"/>
      <c r="Y722"/>
      <c r="Z722"/>
      <c r="AA722"/>
      <c r="AB722"/>
      <c r="AC722"/>
      <c r="AD722"/>
      <c r="AE722"/>
      <c r="AF722"/>
      <c r="AG722"/>
      <c r="AH722"/>
      <c r="AI722"/>
      <c r="AJ722"/>
      <c r="AK722"/>
      <c r="AL722"/>
    </row>
    <row r="723" spans="1:38">
      <c r="A723"/>
      <c r="B723"/>
      <c r="C723"/>
      <c r="D723"/>
      <c r="E723"/>
      <c r="F723"/>
      <c r="G723"/>
      <c r="H723"/>
      <c r="I723"/>
      <c r="J723"/>
      <c r="K723"/>
      <c r="L723"/>
      <c r="M723"/>
      <c r="N723"/>
      <c r="O723"/>
      <c r="P723"/>
      <c r="Q723"/>
      <c r="R723"/>
      <c r="S723"/>
      <c r="T723"/>
      <c r="U723"/>
      <c r="V723"/>
      <c r="W723"/>
      <c r="X723"/>
      <c r="Y723"/>
      <c r="Z723"/>
      <c r="AA723"/>
      <c r="AB723"/>
      <c r="AC723"/>
      <c r="AD723"/>
      <c r="AE723"/>
      <c r="AF723"/>
      <c r="AG723"/>
      <c r="AH723"/>
      <c r="AI723"/>
      <c r="AJ723"/>
      <c r="AK723"/>
      <c r="AL723"/>
    </row>
    <row r="724" spans="1:38">
      <c r="A724"/>
      <c r="B724"/>
      <c r="C724"/>
      <c r="D724"/>
      <c r="E724"/>
      <c r="F724"/>
      <c r="G724"/>
      <c r="H724"/>
      <c r="I724"/>
      <c r="J724"/>
      <c r="K724"/>
      <c r="L724"/>
      <c r="M724"/>
      <c r="N724"/>
      <c r="O724"/>
      <c r="P724"/>
      <c r="Q724"/>
      <c r="R724"/>
      <c r="S724"/>
      <c r="T724"/>
      <c r="U724"/>
      <c r="V724"/>
      <c r="W724"/>
      <c r="X724"/>
      <c r="Y724"/>
      <c r="Z724"/>
      <c r="AA724"/>
      <c r="AB724"/>
      <c r="AC724"/>
      <c r="AD724"/>
      <c r="AE724"/>
      <c r="AF724"/>
      <c r="AG724"/>
      <c r="AH724"/>
      <c r="AI724"/>
      <c r="AJ724"/>
      <c r="AK724"/>
      <c r="AL724"/>
    </row>
    <row r="725" spans="1:38">
      <c r="A725"/>
      <c r="B725"/>
      <c r="C725"/>
      <c r="D725"/>
      <c r="E725"/>
      <c r="F725"/>
      <c r="G725"/>
      <c r="H725"/>
      <c r="I725"/>
      <c r="J725"/>
      <c r="K725"/>
      <c r="L725"/>
      <c r="M725"/>
      <c r="N725"/>
      <c r="O725"/>
      <c r="P725"/>
      <c r="Q725"/>
      <c r="R725"/>
      <c r="S725"/>
      <c r="T725"/>
      <c r="U725"/>
      <c r="V725"/>
      <c r="W725"/>
      <c r="X725"/>
      <c r="Y725"/>
      <c r="Z725"/>
      <c r="AA725"/>
      <c r="AB725"/>
      <c r="AC725"/>
      <c r="AD725"/>
      <c r="AE725"/>
      <c r="AF725"/>
      <c r="AG725"/>
      <c r="AH725"/>
      <c r="AI725"/>
      <c r="AJ725"/>
      <c r="AK725"/>
      <c r="AL725"/>
    </row>
    <row r="726" spans="1:38">
      <c r="A726"/>
      <c r="B726"/>
      <c r="C726"/>
      <c r="D726"/>
      <c r="E726"/>
      <c r="F726"/>
      <c r="G726"/>
      <c r="H726"/>
      <c r="I726"/>
      <c r="J726"/>
      <c r="K726"/>
      <c r="L726"/>
      <c r="M726"/>
      <c r="N726"/>
      <c r="O726"/>
      <c r="P726"/>
      <c r="Q726"/>
      <c r="R726"/>
      <c r="S726"/>
      <c r="T726"/>
      <c r="U726"/>
      <c r="V726"/>
      <c r="W726"/>
      <c r="X726"/>
      <c r="Y726"/>
      <c r="Z726"/>
      <c r="AA726"/>
      <c r="AB726"/>
      <c r="AC726"/>
      <c r="AD726"/>
      <c r="AE726"/>
      <c r="AF726"/>
      <c r="AG726"/>
      <c r="AH726"/>
      <c r="AI726"/>
      <c r="AJ726"/>
      <c r="AK726"/>
      <c r="AL726"/>
    </row>
    <row r="727" spans="1:38">
      <c r="A727"/>
      <c r="B727"/>
      <c r="C727"/>
      <c r="D727"/>
      <c r="E727"/>
      <c r="F727"/>
      <c r="G727"/>
      <c r="H727"/>
      <c r="I727"/>
      <c r="J727"/>
      <c r="K727"/>
      <c r="L727"/>
      <c r="M727"/>
      <c r="N727"/>
      <c r="O727"/>
      <c r="P727"/>
      <c r="Q727"/>
      <c r="R727"/>
      <c r="S727"/>
      <c r="T727"/>
      <c r="U727"/>
      <c r="V727"/>
      <c r="W727"/>
      <c r="X727"/>
      <c r="Y727"/>
      <c r="Z727"/>
      <c r="AA727"/>
      <c r="AB727"/>
      <c r="AC727"/>
      <c r="AD727"/>
      <c r="AE727"/>
      <c r="AF727"/>
      <c r="AG727"/>
      <c r="AH727"/>
      <c r="AI727"/>
      <c r="AJ727"/>
      <c r="AK727"/>
      <c r="AL727"/>
    </row>
    <row r="728" spans="1:38">
      <c r="A728"/>
      <c r="B728"/>
      <c r="C728"/>
      <c r="D728"/>
      <c r="E728"/>
      <c r="F728"/>
      <c r="G728"/>
      <c r="H728"/>
      <c r="I728"/>
      <c r="J728"/>
      <c r="K728"/>
      <c r="L728"/>
      <c r="M728"/>
      <c r="N728"/>
      <c r="O728"/>
      <c r="P728"/>
      <c r="Q728"/>
      <c r="R728"/>
      <c r="S728"/>
      <c r="T728"/>
      <c r="U728"/>
      <c r="V728"/>
      <c r="W728"/>
      <c r="X728"/>
      <c r="Y728"/>
      <c r="Z728"/>
      <c r="AA728"/>
      <c r="AB728"/>
      <c r="AC728"/>
      <c r="AD728"/>
      <c r="AE728"/>
      <c r="AF728"/>
      <c r="AG728"/>
      <c r="AH728"/>
      <c r="AI728"/>
      <c r="AJ728"/>
      <c r="AK728"/>
      <c r="AL728"/>
    </row>
    <row r="729" spans="1:38">
      <c r="A729"/>
      <c r="B729"/>
      <c r="C729"/>
      <c r="D729"/>
      <c r="E729"/>
      <c r="F729"/>
      <c r="G729"/>
      <c r="H729"/>
      <c r="I729"/>
      <c r="J729"/>
      <c r="K729"/>
      <c r="L729"/>
      <c r="M729"/>
      <c r="N729"/>
      <c r="O729"/>
      <c r="P729"/>
      <c r="Q729"/>
      <c r="R729"/>
      <c r="S729"/>
      <c r="T729"/>
      <c r="U729"/>
      <c r="V729"/>
      <c r="W729"/>
      <c r="X729"/>
      <c r="Y729"/>
      <c r="Z729"/>
      <c r="AA729"/>
      <c r="AB729"/>
      <c r="AC729"/>
      <c r="AD729"/>
      <c r="AE729"/>
      <c r="AF729"/>
      <c r="AG729"/>
      <c r="AH729"/>
      <c r="AI729"/>
      <c r="AJ729"/>
      <c r="AK729"/>
      <c r="AL729"/>
    </row>
    <row r="730" spans="1:38">
      <c r="A730"/>
      <c r="B730"/>
      <c r="C730"/>
      <c r="D730"/>
      <c r="E730"/>
      <c r="F730"/>
      <c r="G730"/>
      <c r="H730"/>
      <c r="I730"/>
      <c r="J730"/>
      <c r="K730"/>
      <c r="L730"/>
      <c r="M730"/>
      <c r="N730"/>
      <c r="O730"/>
      <c r="P730"/>
      <c r="Q730"/>
      <c r="R730"/>
      <c r="S730"/>
      <c r="T730"/>
      <c r="U730"/>
      <c r="V730"/>
      <c r="W730"/>
      <c r="X730"/>
      <c r="Y730"/>
      <c r="Z730"/>
      <c r="AA730"/>
      <c r="AB730"/>
      <c r="AC730"/>
      <c r="AD730"/>
      <c r="AE730"/>
      <c r="AF730"/>
      <c r="AG730"/>
      <c r="AH730"/>
      <c r="AI730"/>
      <c r="AJ730"/>
      <c r="AK730"/>
      <c r="AL730"/>
    </row>
    <row r="731" spans="1:38">
      <c r="A731"/>
      <c r="B731"/>
      <c r="C731"/>
      <c r="D731"/>
      <c r="E731"/>
      <c r="F731"/>
      <c r="G731"/>
      <c r="H731"/>
      <c r="I731"/>
      <c r="J731"/>
      <c r="K731"/>
      <c r="L731"/>
      <c r="M731"/>
      <c r="N731"/>
      <c r="O731"/>
      <c r="P731"/>
      <c r="Q731"/>
      <c r="R731"/>
      <c r="S731"/>
      <c r="T731"/>
      <c r="U731"/>
      <c r="V731"/>
      <c r="W731"/>
      <c r="X731"/>
      <c r="Y731"/>
      <c r="Z731"/>
      <c r="AA731"/>
      <c r="AB731"/>
      <c r="AC731"/>
      <c r="AD731"/>
      <c r="AE731"/>
      <c r="AF731"/>
      <c r="AG731"/>
      <c r="AH731"/>
      <c r="AI731"/>
      <c r="AJ731"/>
      <c r="AK731"/>
      <c r="AL731"/>
    </row>
    <row r="732" spans="1:38">
      <c r="A732"/>
      <c r="B732"/>
      <c r="C732"/>
      <c r="D732"/>
      <c r="E732"/>
      <c r="F732"/>
      <c r="G732"/>
      <c r="H732"/>
      <c r="I732"/>
      <c r="J732"/>
      <c r="K732"/>
      <c r="L732"/>
      <c r="M732"/>
      <c r="N732"/>
      <c r="O732"/>
      <c r="P732"/>
      <c r="Q732"/>
      <c r="R732"/>
      <c r="S732"/>
      <c r="T732"/>
      <c r="U732"/>
      <c r="V732"/>
      <c r="W732"/>
      <c r="X732"/>
      <c r="Y732"/>
      <c r="Z732"/>
      <c r="AA732"/>
      <c r="AB732"/>
      <c r="AC732"/>
      <c r="AD732"/>
      <c r="AE732"/>
      <c r="AF732"/>
      <c r="AG732"/>
      <c r="AH732"/>
      <c r="AI732"/>
      <c r="AJ732"/>
      <c r="AK732"/>
      <c r="AL732"/>
    </row>
    <row r="733" spans="1:38">
      <c r="A733"/>
      <c r="B733"/>
      <c r="C733"/>
      <c r="D733"/>
      <c r="E733"/>
      <c r="F733"/>
      <c r="G733"/>
      <c r="H733"/>
      <c r="I733"/>
      <c r="J733"/>
      <c r="K733"/>
      <c r="L733"/>
      <c r="M733"/>
      <c r="N733"/>
      <c r="O733"/>
      <c r="P733"/>
      <c r="Q733"/>
      <c r="R733"/>
      <c r="S733"/>
      <c r="T733"/>
      <c r="U733"/>
      <c r="V733"/>
      <c r="W733"/>
      <c r="X733"/>
      <c r="Y733"/>
      <c r="Z733"/>
      <c r="AA733"/>
      <c r="AB733"/>
      <c r="AC733"/>
      <c r="AD733"/>
      <c r="AE733"/>
      <c r="AF733"/>
      <c r="AG733"/>
      <c r="AH733"/>
      <c r="AI733"/>
      <c r="AJ733"/>
      <c r="AK733"/>
      <c r="AL733"/>
    </row>
    <row r="734" spans="1:38">
      <c r="A734"/>
      <c r="B734"/>
      <c r="C734"/>
      <c r="D734"/>
      <c r="E734"/>
      <c r="F734"/>
      <c r="G734"/>
      <c r="H734"/>
      <c r="I734"/>
      <c r="J734"/>
      <c r="K734"/>
      <c r="L734"/>
      <c r="M734"/>
      <c r="N734"/>
      <c r="O734"/>
      <c r="P734"/>
      <c r="Q734"/>
      <c r="R734"/>
      <c r="S734"/>
      <c r="T734"/>
      <c r="U734"/>
      <c r="V734"/>
      <c r="W734"/>
      <c r="X734"/>
      <c r="Y734"/>
      <c r="Z734"/>
      <c r="AA734"/>
      <c r="AB734"/>
      <c r="AC734"/>
      <c r="AD734"/>
      <c r="AE734"/>
      <c r="AF734"/>
      <c r="AG734"/>
      <c r="AH734"/>
      <c r="AI734"/>
      <c r="AJ734"/>
      <c r="AK734"/>
      <c r="AL734"/>
    </row>
    <row r="735" spans="1:38">
      <c r="A735"/>
      <c r="B735"/>
      <c r="C735"/>
      <c r="D735"/>
      <c r="E735"/>
      <c r="F735"/>
      <c r="G735"/>
      <c r="H735"/>
      <c r="I735"/>
      <c r="J735"/>
      <c r="K735"/>
      <c r="L735"/>
      <c r="M735"/>
      <c r="N735"/>
      <c r="O735"/>
      <c r="P735"/>
      <c r="Q735"/>
      <c r="R735"/>
      <c r="S735"/>
      <c r="T735"/>
      <c r="U735"/>
      <c r="V735"/>
      <c r="W735"/>
      <c r="X735"/>
      <c r="Y735"/>
      <c r="Z735"/>
      <c r="AA735"/>
      <c r="AB735"/>
      <c r="AC735"/>
      <c r="AD735"/>
      <c r="AE735"/>
      <c r="AF735"/>
      <c r="AG735"/>
      <c r="AH735"/>
      <c r="AI735"/>
      <c r="AJ735"/>
      <c r="AK735"/>
      <c r="AL735"/>
    </row>
    <row r="736" spans="1:38">
      <c r="A736"/>
      <c r="B736"/>
      <c r="C736"/>
      <c r="D736"/>
      <c r="E736"/>
      <c r="F736"/>
      <c r="G736"/>
      <c r="H736"/>
      <c r="I736"/>
      <c r="J736"/>
      <c r="K736"/>
      <c r="L736"/>
      <c r="M736"/>
      <c r="N736"/>
      <c r="O736"/>
      <c r="P736"/>
      <c r="Q736"/>
      <c r="R736"/>
      <c r="S736"/>
      <c r="T736"/>
      <c r="U736"/>
      <c r="V736"/>
      <c r="W736"/>
      <c r="X736"/>
      <c r="Y736"/>
      <c r="Z736"/>
      <c r="AA736"/>
      <c r="AB736"/>
      <c r="AC736"/>
      <c r="AD736"/>
      <c r="AE736"/>
      <c r="AF736"/>
      <c r="AG736"/>
      <c r="AH736"/>
      <c r="AI736"/>
      <c r="AJ736"/>
      <c r="AK736"/>
      <c r="AL736"/>
    </row>
    <row r="737" spans="1:38">
      <c r="A737"/>
      <c r="B737"/>
      <c r="C737"/>
      <c r="D737"/>
      <c r="E737"/>
      <c r="F737"/>
      <c r="G737"/>
      <c r="H737"/>
      <c r="I737"/>
      <c r="J737"/>
      <c r="K737"/>
      <c r="L737"/>
      <c r="M737"/>
      <c r="N737"/>
      <c r="O737"/>
      <c r="P737"/>
      <c r="Q737"/>
      <c r="R737"/>
      <c r="S737"/>
      <c r="T737"/>
      <c r="U737"/>
      <c r="V737"/>
      <c r="W737"/>
      <c r="X737"/>
      <c r="Y737"/>
      <c r="Z737"/>
      <c r="AA737"/>
      <c r="AB737"/>
      <c r="AC737"/>
      <c r="AD737"/>
      <c r="AE737"/>
      <c r="AF737"/>
      <c r="AG737"/>
      <c r="AH737"/>
      <c r="AI737"/>
      <c r="AJ737"/>
      <c r="AK737"/>
      <c r="AL737"/>
    </row>
    <row r="738" spans="1:38">
      <c r="A738"/>
      <c r="B738"/>
      <c r="C738"/>
      <c r="D738"/>
      <c r="E738"/>
      <c r="F738"/>
      <c r="G738"/>
      <c r="H738"/>
      <c r="I738"/>
      <c r="J738"/>
      <c r="K738"/>
      <c r="L738"/>
      <c r="M738"/>
      <c r="N738"/>
      <c r="O738"/>
      <c r="P738"/>
      <c r="Q738"/>
      <c r="R738"/>
      <c r="S738"/>
      <c r="T738"/>
      <c r="U738"/>
      <c r="V738"/>
      <c r="W738"/>
      <c r="X738"/>
      <c r="Y738"/>
      <c r="Z738"/>
      <c r="AA738"/>
      <c r="AB738"/>
      <c r="AC738"/>
      <c r="AD738"/>
      <c r="AE738"/>
      <c r="AF738"/>
      <c r="AG738"/>
      <c r="AH738"/>
      <c r="AI738"/>
      <c r="AJ738"/>
      <c r="AK738"/>
      <c r="AL738"/>
    </row>
    <row r="739" spans="1:38">
      <c r="A739"/>
      <c r="B739"/>
      <c r="C739"/>
      <c r="D739"/>
      <c r="E739"/>
      <c r="F739"/>
      <c r="G739"/>
      <c r="H739"/>
      <c r="I739"/>
      <c r="J739"/>
      <c r="K739"/>
      <c r="L739"/>
      <c r="M739"/>
      <c r="N739"/>
      <c r="O739"/>
      <c r="P739"/>
      <c r="Q739"/>
      <c r="R739"/>
      <c r="S739"/>
      <c r="T739"/>
      <c r="U739"/>
      <c r="V739"/>
      <c r="W739"/>
      <c r="X739"/>
      <c r="Y739"/>
      <c r="Z739"/>
      <c r="AA739"/>
      <c r="AB739"/>
      <c r="AC739"/>
      <c r="AD739"/>
      <c r="AE739"/>
      <c r="AF739"/>
      <c r="AG739"/>
      <c r="AH739"/>
      <c r="AI739"/>
      <c r="AJ739"/>
      <c r="AK739"/>
      <c r="AL739"/>
    </row>
    <row r="740" spans="1:38">
      <c r="A740"/>
      <c r="B740"/>
      <c r="C740"/>
      <c r="D740"/>
      <c r="E740"/>
      <c r="F740"/>
      <c r="G740"/>
      <c r="H740"/>
      <c r="I740"/>
      <c r="J740"/>
      <c r="K740"/>
      <c r="L740"/>
      <c r="M740"/>
      <c r="N740"/>
      <c r="O740"/>
      <c r="P740"/>
      <c r="Q740"/>
      <c r="R740"/>
      <c r="S740"/>
      <c r="T740"/>
      <c r="U740"/>
      <c r="V740"/>
      <c r="W740"/>
      <c r="X740"/>
      <c r="Y740"/>
      <c r="Z740"/>
      <c r="AA740"/>
      <c r="AB740"/>
      <c r="AC740"/>
      <c r="AD740"/>
      <c r="AE740"/>
      <c r="AF740"/>
      <c r="AG740"/>
      <c r="AH740"/>
      <c r="AI740"/>
      <c r="AJ740"/>
      <c r="AK740"/>
      <c r="AL740"/>
    </row>
    <row r="741" spans="1:38">
      <c r="A741"/>
      <c r="B741"/>
      <c r="C741"/>
      <c r="D741"/>
      <c r="E741"/>
      <c r="F741"/>
      <c r="G741"/>
      <c r="H741"/>
      <c r="I741"/>
      <c r="J741"/>
      <c r="K741"/>
      <c r="L741"/>
      <c r="M741"/>
      <c r="N741"/>
      <c r="O741"/>
      <c r="P741"/>
      <c r="Q741"/>
      <c r="R741"/>
      <c r="S741"/>
      <c r="T741"/>
      <c r="U741"/>
      <c r="V741"/>
      <c r="W741"/>
      <c r="X741"/>
      <c r="Y741"/>
      <c r="Z741"/>
      <c r="AA741"/>
      <c r="AB741"/>
      <c r="AC741"/>
      <c r="AD741"/>
      <c r="AE741"/>
      <c r="AF741"/>
      <c r="AG741"/>
      <c r="AH741"/>
      <c r="AI741"/>
      <c r="AJ741"/>
      <c r="AK741"/>
      <c r="AL741"/>
    </row>
    <row r="742" spans="1:38">
      <c r="A742"/>
      <c r="B742"/>
      <c r="C742"/>
      <c r="D742"/>
      <c r="E742"/>
      <c r="F742"/>
      <c r="G742"/>
      <c r="H742"/>
      <c r="I742"/>
      <c r="J742"/>
      <c r="K742"/>
      <c r="L742"/>
      <c r="M742"/>
      <c r="N742"/>
      <c r="O742"/>
      <c r="P742"/>
      <c r="Q742"/>
      <c r="R742"/>
      <c r="S742"/>
      <c r="T742"/>
      <c r="U742"/>
      <c r="V742"/>
      <c r="W742"/>
      <c r="X742"/>
      <c r="Y742"/>
      <c r="Z742"/>
      <c r="AA742"/>
      <c r="AB742"/>
      <c r="AC742"/>
      <c r="AD742"/>
      <c r="AE742"/>
      <c r="AF742"/>
      <c r="AG742"/>
      <c r="AH742"/>
      <c r="AI742"/>
      <c r="AJ742"/>
      <c r="AK742"/>
      <c r="AL742"/>
    </row>
    <row r="743" spans="1:38">
      <c r="A743"/>
      <c r="B743"/>
      <c r="C743"/>
      <c r="D743"/>
      <c r="E743"/>
      <c r="F743"/>
      <c r="G743"/>
      <c r="H743"/>
      <c r="I743"/>
      <c r="J743"/>
      <c r="K743"/>
      <c r="L743"/>
      <c r="M743"/>
      <c r="N743"/>
      <c r="O743"/>
      <c r="P743"/>
      <c r="Q743"/>
      <c r="R743"/>
      <c r="S743"/>
      <c r="T743"/>
      <c r="U743"/>
      <c r="V743"/>
      <c r="W743"/>
      <c r="X743"/>
      <c r="Y743"/>
      <c r="Z743"/>
      <c r="AA743"/>
      <c r="AB743"/>
      <c r="AC743"/>
      <c r="AD743"/>
      <c r="AE743"/>
      <c r="AF743"/>
      <c r="AG743"/>
      <c r="AH743"/>
      <c r="AI743"/>
      <c r="AJ743"/>
      <c r="AK743"/>
      <c r="AL743"/>
    </row>
    <row r="744" spans="1:38">
      <c r="A744"/>
      <c r="B744"/>
      <c r="C744"/>
      <c r="D744"/>
      <c r="E744"/>
      <c r="F744"/>
      <c r="G744"/>
      <c r="H744"/>
      <c r="I744"/>
      <c r="J744"/>
      <c r="K744"/>
      <c r="L744"/>
      <c r="M744"/>
      <c r="N744"/>
      <c r="O744"/>
      <c r="P744"/>
      <c r="Q744"/>
      <c r="R744"/>
      <c r="S744"/>
      <c r="T744"/>
      <c r="U744"/>
      <c r="V744"/>
      <c r="W744"/>
      <c r="X744"/>
      <c r="Y744"/>
      <c r="Z744"/>
      <c r="AA744"/>
      <c r="AB744"/>
      <c r="AC744"/>
      <c r="AD744"/>
      <c r="AE744"/>
      <c r="AF744"/>
      <c r="AG744"/>
      <c r="AH744"/>
      <c r="AI744"/>
      <c r="AJ744"/>
      <c r="AK744"/>
      <c r="AL744"/>
    </row>
    <row r="745" spans="1:38">
      <c r="A745"/>
      <c r="B745"/>
      <c r="C745"/>
      <c r="D745"/>
      <c r="E745"/>
      <c r="F745"/>
      <c r="G745"/>
      <c r="H745"/>
      <c r="I745"/>
      <c r="J745"/>
      <c r="K745"/>
      <c r="L745"/>
      <c r="M745"/>
      <c r="N745"/>
      <c r="O745"/>
      <c r="P745"/>
      <c r="Q745"/>
      <c r="R745"/>
      <c r="S745"/>
      <c r="T745"/>
      <c r="U745"/>
      <c r="V745"/>
      <c r="W745"/>
      <c r="X745"/>
      <c r="Y745"/>
      <c r="Z745"/>
      <c r="AA745"/>
      <c r="AB745"/>
      <c r="AC745"/>
      <c r="AD745"/>
      <c r="AE745"/>
      <c r="AF745"/>
      <c r="AG745"/>
      <c r="AH745"/>
      <c r="AI745"/>
      <c r="AJ745"/>
      <c r="AK745"/>
      <c r="AL745"/>
    </row>
    <row r="746" spans="1:38">
      <c r="A746"/>
      <c r="B746"/>
      <c r="C746"/>
      <c r="D746"/>
      <c r="E746"/>
      <c r="F746"/>
      <c r="G746"/>
      <c r="H746"/>
      <c r="I746"/>
      <c r="J746"/>
      <c r="K746"/>
      <c r="L746"/>
      <c r="M746"/>
      <c r="N746"/>
      <c r="O746"/>
      <c r="P746"/>
      <c r="Q746"/>
      <c r="R746"/>
      <c r="S746"/>
      <c r="T746"/>
      <c r="U746"/>
      <c r="V746"/>
      <c r="W746"/>
      <c r="X746"/>
      <c r="Y746"/>
      <c r="Z746"/>
      <c r="AA746"/>
      <c r="AB746"/>
      <c r="AC746"/>
      <c r="AD746"/>
      <c r="AE746"/>
      <c r="AF746"/>
      <c r="AG746"/>
      <c r="AH746"/>
      <c r="AI746"/>
      <c r="AJ746"/>
      <c r="AK746"/>
      <c r="AL746"/>
    </row>
    <row r="747" spans="1:38">
      <c r="A747"/>
      <c r="B747"/>
      <c r="C747"/>
      <c r="D747"/>
      <c r="E747"/>
      <c r="F747"/>
      <c r="G747"/>
      <c r="H747"/>
      <c r="I747"/>
      <c r="J747"/>
      <c r="K747"/>
      <c r="L747"/>
      <c r="M747"/>
      <c r="N747"/>
      <c r="O747"/>
      <c r="P747"/>
      <c r="Q747"/>
      <c r="R747"/>
      <c r="S747"/>
      <c r="T747"/>
      <c r="U747"/>
      <c r="V747"/>
      <c r="W747"/>
      <c r="X747"/>
      <c r="Y747"/>
      <c r="Z747"/>
      <c r="AA747"/>
      <c r="AB747"/>
      <c r="AC747"/>
      <c r="AD747"/>
      <c r="AE747"/>
      <c r="AF747"/>
      <c r="AG747"/>
      <c r="AH747"/>
      <c r="AI747"/>
      <c r="AJ747"/>
      <c r="AK747"/>
      <c r="AL747"/>
    </row>
    <row r="748" spans="1:38">
      <c r="A748"/>
      <c r="B748"/>
      <c r="C748"/>
      <c r="D748"/>
      <c r="E748"/>
      <c r="F748"/>
      <c r="G748"/>
      <c r="H748"/>
      <c r="I748"/>
      <c r="J748"/>
      <c r="K748"/>
      <c r="L748"/>
      <c r="M748"/>
      <c r="N748"/>
      <c r="O748"/>
      <c r="P748"/>
      <c r="Q748"/>
      <c r="R748"/>
      <c r="S748"/>
      <c r="T748"/>
      <c r="U748"/>
      <c r="V748"/>
      <c r="W748"/>
      <c r="X748"/>
      <c r="Y748"/>
      <c r="Z748"/>
      <c r="AA748"/>
      <c r="AB748"/>
      <c r="AC748"/>
      <c r="AD748"/>
      <c r="AE748"/>
      <c r="AF748"/>
      <c r="AG748"/>
      <c r="AH748"/>
      <c r="AI748"/>
      <c r="AJ748"/>
      <c r="AK748"/>
      <c r="AL748"/>
    </row>
    <row r="749" spans="1:38">
      <c r="A749"/>
      <c r="B749"/>
      <c r="C749"/>
      <c r="D749"/>
      <c r="E749"/>
      <c r="F749"/>
      <c r="G749"/>
      <c r="H749"/>
      <c r="I749"/>
      <c r="J749"/>
      <c r="K749"/>
      <c r="L749"/>
      <c r="M749"/>
      <c r="N749"/>
      <c r="O749"/>
      <c r="P749"/>
      <c r="Q749"/>
      <c r="R749"/>
      <c r="S749"/>
      <c r="T749"/>
      <c r="U749"/>
      <c r="V749"/>
      <c r="W749"/>
      <c r="X749"/>
      <c r="Y749"/>
      <c r="Z749"/>
      <c r="AA749"/>
      <c r="AB749"/>
      <c r="AC749"/>
      <c r="AD749"/>
      <c r="AE749"/>
      <c r="AF749"/>
      <c r="AG749"/>
      <c r="AH749"/>
      <c r="AI749"/>
      <c r="AJ749"/>
      <c r="AK749"/>
      <c r="AL749"/>
    </row>
    <row r="750" spans="1:38">
      <c r="A750"/>
      <c r="B750"/>
      <c r="C750"/>
      <c r="D750"/>
      <c r="E750"/>
      <c r="F750"/>
      <c r="G750"/>
      <c r="H750"/>
      <c r="I750"/>
      <c r="J750"/>
      <c r="K750"/>
      <c r="L750"/>
      <c r="M750"/>
      <c r="N750"/>
      <c r="O750"/>
      <c r="P750"/>
      <c r="Q750"/>
      <c r="R750"/>
      <c r="S750"/>
      <c r="T750"/>
      <c r="U750"/>
      <c r="V750"/>
      <c r="W750"/>
      <c r="X750"/>
      <c r="Y750"/>
      <c r="Z750"/>
      <c r="AA750"/>
      <c r="AB750"/>
      <c r="AC750"/>
      <c r="AD750"/>
      <c r="AE750"/>
      <c r="AF750"/>
      <c r="AG750"/>
      <c r="AH750"/>
      <c r="AI750"/>
      <c r="AJ750"/>
      <c r="AK750"/>
      <c r="AL750"/>
    </row>
    <row r="751" spans="1:38">
      <c r="A751"/>
      <c r="B751"/>
      <c r="C751"/>
      <c r="D751"/>
      <c r="E751"/>
      <c r="F751"/>
      <c r="G751"/>
      <c r="H751"/>
      <c r="I751"/>
      <c r="J751"/>
      <c r="K751"/>
      <c r="L751"/>
      <c r="M751"/>
      <c r="N751"/>
      <c r="O751"/>
      <c r="P751"/>
      <c r="Q751"/>
      <c r="R751"/>
      <c r="S751"/>
      <c r="T751"/>
      <c r="U751"/>
      <c r="V751"/>
      <c r="W751"/>
      <c r="X751"/>
      <c r="Y751"/>
      <c r="Z751"/>
      <c r="AA751"/>
      <c r="AB751"/>
      <c r="AC751"/>
      <c r="AD751"/>
      <c r="AE751"/>
      <c r="AF751"/>
      <c r="AG751"/>
      <c r="AH751"/>
      <c r="AI751"/>
      <c r="AJ751"/>
      <c r="AK751"/>
      <c r="AL751"/>
    </row>
    <row r="752" spans="1:38">
      <c r="A752"/>
      <c r="B752"/>
      <c r="C752"/>
      <c r="D752"/>
      <c r="E752"/>
      <c r="F752"/>
      <c r="G752"/>
      <c r="H752"/>
      <c r="I752"/>
      <c r="J752"/>
      <c r="K752"/>
      <c r="L752"/>
      <c r="M752"/>
      <c r="N752"/>
      <c r="O752"/>
      <c r="P752"/>
      <c r="Q752"/>
      <c r="R752"/>
      <c r="S752"/>
      <c r="T752"/>
      <c r="U752"/>
      <c r="V752"/>
      <c r="W752"/>
      <c r="X752"/>
      <c r="Y752"/>
      <c r="Z752"/>
      <c r="AA752"/>
      <c r="AB752"/>
      <c r="AC752"/>
      <c r="AD752"/>
      <c r="AE752"/>
      <c r="AF752"/>
      <c r="AG752"/>
      <c r="AH752"/>
      <c r="AI752"/>
      <c r="AJ752"/>
      <c r="AK752"/>
      <c r="AL752"/>
    </row>
    <row r="753" spans="1:38">
      <c r="A753"/>
      <c r="B753"/>
      <c r="C753"/>
      <c r="D753"/>
      <c r="E753"/>
      <c r="F753"/>
      <c r="G753"/>
      <c r="H753"/>
      <c r="I753"/>
      <c r="J753"/>
      <c r="K753"/>
      <c r="L753"/>
      <c r="M753"/>
      <c r="N753"/>
      <c r="O753"/>
      <c r="P753"/>
      <c r="Q753"/>
      <c r="R753"/>
      <c r="S753"/>
      <c r="T753"/>
      <c r="U753"/>
      <c r="V753"/>
      <c r="W753"/>
      <c r="X753"/>
      <c r="Y753"/>
      <c r="Z753"/>
      <c r="AA753"/>
      <c r="AB753"/>
      <c r="AC753"/>
      <c r="AD753"/>
      <c r="AE753"/>
      <c r="AF753"/>
      <c r="AG753"/>
      <c r="AH753"/>
      <c r="AI753"/>
      <c r="AJ753"/>
      <c r="AK753"/>
      <c r="AL753"/>
    </row>
    <row r="754" spans="1:38">
      <c r="A754"/>
      <c r="B754"/>
      <c r="C754"/>
      <c r="D754"/>
      <c r="E754"/>
      <c r="F754"/>
      <c r="G754"/>
      <c r="H754"/>
      <c r="I754"/>
      <c r="J754"/>
      <c r="K754"/>
      <c r="L754"/>
      <c r="M754"/>
      <c r="N754"/>
      <c r="O754"/>
      <c r="P754"/>
      <c r="Q754"/>
      <c r="R754"/>
      <c r="S754"/>
      <c r="T754"/>
      <c r="U754"/>
      <c r="V754"/>
      <c r="W754"/>
      <c r="X754"/>
      <c r="Y754"/>
      <c r="Z754"/>
      <c r="AA754"/>
      <c r="AB754"/>
      <c r="AC754"/>
      <c r="AD754"/>
      <c r="AE754"/>
      <c r="AF754"/>
      <c r="AG754"/>
      <c r="AH754"/>
      <c r="AI754"/>
      <c r="AJ754"/>
      <c r="AK754"/>
      <c r="AL754"/>
    </row>
    <row r="755" spans="1:38">
      <c r="A755"/>
      <c r="B755"/>
      <c r="C755"/>
      <c r="D755"/>
      <c r="E755"/>
      <c r="F755"/>
      <c r="G755"/>
      <c r="H755"/>
      <c r="I755"/>
      <c r="J755"/>
      <c r="K755"/>
      <c r="L755"/>
      <c r="M755"/>
      <c r="N755"/>
      <c r="O755"/>
      <c r="P755"/>
      <c r="Q755"/>
      <c r="R755"/>
      <c r="S755"/>
      <c r="T755"/>
      <c r="U755"/>
      <c r="V755"/>
      <c r="W755"/>
      <c r="X755"/>
      <c r="Y755"/>
      <c r="Z755"/>
      <c r="AA755"/>
      <c r="AB755"/>
      <c r="AC755"/>
      <c r="AD755"/>
      <c r="AE755"/>
      <c r="AF755"/>
      <c r="AG755"/>
      <c r="AH755"/>
      <c r="AI755"/>
      <c r="AJ755"/>
      <c r="AK755"/>
      <c r="AL755"/>
    </row>
    <row r="756" spans="1:38">
      <c r="A756"/>
      <c r="B756"/>
      <c r="C756"/>
      <c r="D756"/>
      <c r="E756"/>
      <c r="F756"/>
      <c r="G756"/>
      <c r="H756"/>
      <c r="I756"/>
      <c r="J756"/>
      <c r="K756"/>
      <c r="L756"/>
      <c r="M756"/>
      <c r="N756"/>
      <c r="O756"/>
      <c r="P756"/>
      <c r="Q756"/>
      <c r="R756"/>
      <c r="S756"/>
      <c r="T756"/>
      <c r="U756"/>
      <c r="V756"/>
      <c r="W756"/>
      <c r="X756"/>
      <c r="Y756"/>
      <c r="Z756"/>
      <c r="AA756"/>
      <c r="AB756"/>
      <c r="AC756"/>
      <c r="AD756"/>
      <c r="AE756"/>
      <c r="AF756"/>
      <c r="AG756"/>
      <c r="AH756"/>
      <c r="AI756"/>
      <c r="AJ756"/>
      <c r="AK756"/>
      <c r="AL756"/>
    </row>
    <row r="757" spans="1:38">
      <c r="A757"/>
      <c r="B757"/>
      <c r="C757"/>
      <c r="D757"/>
      <c r="E757"/>
      <c r="F757"/>
      <c r="G757"/>
      <c r="H757"/>
      <c r="I757"/>
      <c r="J757"/>
      <c r="K757"/>
      <c r="L757"/>
      <c r="M757"/>
      <c r="N757"/>
      <c r="O757"/>
      <c r="P757"/>
      <c r="Q757"/>
      <c r="R757"/>
      <c r="S757"/>
      <c r="T757"/>
      <c r="U757"/>
      <c r="V757"/>
      <c r="W757"/>
      <c r="X757"/>
      <c r="Y757"/>
      <c r="Z757"/>
      <c r="AA757"/>
      <c r="AB757"/>
      <c r="AC757"/>
      <c r="AD757"/>
      <c r="AE757"/>
      <c r="AF757"/>
      <c r="AG757"/>
      <c r="AH757"/>
      <c r="AI757"/>
      <c r="AJ757"/>
      <c r="AK757"/>
      <c r="AL757"/>
    </row>
    <row r="758" spans="1:38">
      <c r="A758"/>
      <c r="B758"/>
      <c r="C758"/>
      <c r="D758"/>
      <c r="E758"/>
      <c r="F758"/>
      <c r="G758"/>
      <c r="H758"/>
      <c r="I758"/>
      <c r="J758"/>
      <c r="K758"/>
      <c r="L758"/>
      <c r="M758"/>
      <c r="N758"/>
      <c r="O758"/>
      <c r="P758"/>
      <c r="Q758"/>
      <c r="R758"/>
      <c r="S758"/>
      <c r="T758"/>
      <c r="U758"/>
      <c r="V758"/>
      <c r="W758"/>
      <c r="X758"/>
      <c r="Y758"/>
      <c r="Z758"/>
      <c r="AA758"/>
      <c r="AB758"/>
      <c r="AC758"/>
      <c r="AD758"/>
      <c r="AE758"/>
      <c r="AF758"/>
      <c r="AG758"/>
      <c r="AH758"/>
      <c r="AI758"/>
      <c r="AJ758"/>
      <c r="AK758"/>
      <c r="AL758"/>
    </row>
    <row r="759" spans="1:38">
      <c r="A759"/>
      <c r="B759"/>
      <c r="C759"/>
      <c r="D759"/>
      <c r="E759"/>
      <c r="F759"/>
      <c r="G759"/>
      <c r="H759"/>
      <c r="I759"/>
      <c r="J759"/>
      <c r="K759"/>
      <c r="L759"/>
      <c r="M759"/>
      <c r="N759"/>
      <c r="O759"/>
      <c r="P759"/>
      <c r="Q759"/>
      <c r="R759"/>
      <c r="S759"/>
      <c r="T759"/>
      <c r="U759"/>
      <c r="V759"/>
      <c r="W759"/>
      <c r="X759"/>
      <c r="Y759"/>
      <c r="Z759"/>
      <c r="AA759"/>
      <c r="AB759"/>
      <c r="AC759"/>
      <c r="AD759"/>
      <c r="AE759"/>
      <c r="AF759"/>
      <c r="AG759"/>
      <c r="AH759"/>
      <c r="AI759"/>
      <c r="AJ759"/>
      <c r="AK759"/>
      <c r="AL759"/>
    </row>
    <row r="760" spans="1:38">
      <c r="A760"/>
      <c r="B760"/>
      <c r="C760"/>
      <c r="D760"/>
      <c r="E760"/>
      <c r="F760"/>
      <c r="G760"/>
      <c r="H760"/>
      <c r="I760"/>
      <c r="J760"/>
      <c r="K760"/>
      <c r="L760"/>
      <c r="M760"/>
      <c r="N760"/>
      <c r="O760"/>
      <c r="P760"/>
      <c r="Q760"/>
      <c r="R760"/>
      <c r="S760"/>
      <c r="T760"/>
      <c r="U760"/>
      <c r="V760"/>
      <c r="W760"/>
      <c r="X760"/>
      <c r="Y760"/>
      <c r="Z760"/>
      <c r="AA760"/>
      <c r="AB760"/>
      <c r="AC760"/>
      <c r="AD760"/>
      <c r="AE760"/>
      <c r="AF760"/>
      <c r="AG760"/>
      <c r="AH760"/>
      <c r="AI760"/>
      <c r="AJ760"/>
      <c r="AK760"/>
      <c r="AL760"/>
    </row>
    <row r="761" spans="1:38">
      <c r="A761"/>
      <c r="B761"/>
      <c r="C761"/>
      <c r="D761"/>
      <c r="E761"/>
      <c r="F761"/>
      <c r="G761"/>
      <c r="H761"/>
      <c r="I761"/>
      <c r="J761"/>
      <c r="K761"/>
      <c r="L761"/>
      <c r="M761"/>
      <c r="N761"/>
      <c r="O761"/>
      <c r="P761"/>
      <c r="Q761"/>
      <c r="R761"/>
      <c r="S761"/>
      <c r="T761"/>
      <c r="U761"/>
      <c r="V761"/>
      <c r="W761"/>
      <c r="X761"/>
      <c r="Y761"/>
      <c r="Z761"/>
      <c r="AA761"/>
      <c r="AB761"/>
      <c r="AC761"/>
      <c r="AD761"/>
      <c r="AE761"/>
      <c r="AF761"/>
      <c r="AG761"/>
      <c r="AH761"/>
      <c r="AI761"/>
      <c r="AJ761"/>
      <c r="AK761"/>
      <c r="AL761"/>
    </row>
    <row r="762" spans="1:38">
      <c r="A762"/>
      <c r="B762"/>
      <c r="C762"/>
      <c r="D762"/>
      <c r="E762"/>
      <c r="F762"/>
      <c r="G762"/>
      <c r="H762"/>
      <c r="I762"/>
      <c r="J762"/>
      <c r="K762"/>
      <c r="L762"/>
      <c r="M762"/>
      <c r="N762"/>
      <c r="O762"/>
      <c r="P762"/>
      <c r="Q762"/>
      <c r="R762"/>
      <c r="S762"/>
      <c r="T762"/>
      <c r="U762"/>
      <c r="V762"/>
      <c r="W762"/>
      <c r="X762"/>
      <c r="Y762"/>
      <c r="Z762"/>
      <c r="AA762"/>
      <c r="AB762"/>
      <c r="AC762"/>
      <c r="AD762"/>
      <c r="AE762"/>
      <c r="AF762"/>
      <c r="AG762"/>
      <c r="AH762"/>
      <c r="AI762"/>
      <c r="AJ762"/>
      <c r="AK762"/>
      <c r="AL762"/>
    </row>
    <row r="763" spans="1:38">
      <c r="A763"/>
      <c r="B763"/>
      <c r="C763"/>
      <c r="D763"/>
      <c r="E763"/>
      <c r="F763"/>
      <c r="G763"/>
      <c r="H763"/>
      <c r="I763"/>
      <c r="J763"/>
      <c r="K763"/>
      <c r="L763"/>
      <c r="M763"/>
      <c r="N763"/>
      <c r="O763"/>
      <c r="P763"/>
      <c r="Q763"/>
      <c r="R763"/>
      <c r="S763"/>
      <c r="T763"/>
      <c r="U763"/>
      <c r="V763"/>
      <c r="W763"/>
      <c r="X763"/>
      <c r="Y763"/>
      <c r="Z763"/>
      <c r="AA763"/>
      <c r="AB763"/>
      <c r="AC763"/>
      <c r="AD763"/>
      <c r="AE763"/>
      <c r="AF763"/>
      <c r="AG763"/>
      <c r="AH763"/>
      <c r="AI763"/>
      <c r="AJ763"/>
      <c r="AK763"/>
      <c r="AL763"/>
    </row>
    <row r="764" spans="1:38">
      <c r="A764"/>
      <c r="B764"/>
      <c r="C764"/>
      <c r="D764"/>
      <c r="E764"/>
      <c r="F764"/>
      <c r="G764"/>
      <c r="H764"/>
      <c r="I764"/>
      <c r="J764"/>
      <c r="K764"/>
      <c r="L764"/>
      <c r="M764"/>
      <c r="N764"/>
      <c r="O764"/>
      <c r="P764"/>
      <c r="Q764"/>
      <c r="R764"/>
      <c r="S764"/>
      <c r="T764"/>
      <c r="U764"/>
      <c r="V764"/>
      <c r="W764"/>
      <c r="X764"/>
      <c r="Y764"/>
      <c r="Z764"/>
      <c r="AA764"/>
      <c r="AB764"/>
      <c r="AC764"/>
      <c r="AD764"/>
      <c r="AE764"/>
      <c r="AF764"/>
      <c r="AG764"/>
      <c r="AH764"/>
      <c r="AI764"/>
      <c r="AJ764"/>
      <c r="AK764"/>
      <c r="AL764"/>
    </row>
    <row r="765" spans="1:38">
      <c r="A765"/>
      <c r="B765"/>
      <c r="C765"/>
      <c r="D765"/>
      <c r="E765"/>
      <c r="F765"/>
      <c r="G765"/>
      <c r="H765"/>
      <c r="I765"/>
      <c r="J765"/>
      <c r="K765"/>
      <c r="L765"/>
      <c r="M765"/>
      <c r="N765"/>
      <c r="O765"/>
      <c r="P765"/>
      <c r="Q765"/>
      <c r="R765"/>
      <c r="S765"/>
      <c r="T765"/>
      <c r="U765"/>
      <c r="V765"/>
      <c r="W765"/>
      <c r="X765"/>
      <c r="Y765"/>
      <c r="Z765"/>
      <c r="AA765"/>
      <c r="AB765"/>
      <c r="AC765"/>
      <c r="AD765"/>
      <c r="AE765"/>
      <c r="AF765"/>
      <c r="AG765"/>
      <c r="AH765"/>
      <c r="AI765"/>
      <c r="AJ765"/>
      <c r="AK765"/>
      <c r="AL765"/>
    </row>
    <row r="766" spans="1:38">
      <c r="A766"/>
      <c r="B766"/>
      <c r="C766"/>
      <c r="D766"/>
      <c r="E766"/>
      <c r="F766"/>
      <c r="G766"/>
      <c r="H766"/>
      <c r="I766"/>
      <c r="J766"/>
      <c r="K766"/>
      <c r="L766"/>
      <c r="M766"/>
      <c r="N766"/>
      <c r="O766"/>
      <c r="P766"/>
      <c r="Q766"/>
      <c r="R766"/>
      <c r="S766"/>
      <c r="T766"/>
      <c r="U766"/>
      <c r="V766"/>
      <c r="W766"/>
      <c r="X766"/>
      <c r="Y766"/>
      <c r="Z766"/>
      <c r="AA766"/>
      <c r="AB766"/>
      <c r="AC766"/>
      <c r="AD766"/>
      <c r="AE766"/>
      <c r="AF766"/>
      <c r="AG766"/>
      <c r="AH766"/>
      <c r="AI766"/>
      <c r="AJ766"/>
      <c r="AK766"/>
      <c r="AL766"/>
    </row>
    <row r="767" spans="1:38">
      <c r="A767"/>
      <c r="B767"/>
      <c r="C767"/>
      <c r="D767"/>
      <c r="E767"/>
      <c r="F767"/>
      <c r="G767"/>
      <c r="H767"/>
      <c r="I767"/>
      <c r="J767"/>
      <c r="K767"/>
      <c r="L767"/>
      <c r="M767"/>
      <c r="N767"/>
      <c r="O767"/>
      <c r="P767"/>
      <c r="Q767"/>
      <c r="R767"/>
      <c r="S767"/>
      <c r="T767"/>
      <c r="U767"/>
      <c r="V767"/>
      <c r="W767"/>
      <c r="X767"/>
      <c r="Y767"/>
      <c r="Z767"/>
      <c r="AA767"/>
      <c r="AB767"/>
      <c r="AC767"/>
      <c r="AD767"/>
      <c r="AE767"/>
      <c r="AF767"/>
      <c r="AG767"/>
      <c r="AH767"/>
      <c r="AI767"/>
      <c r="AJ767"/>
      <c r="AK767"/>
      <c r="AL767"/>
    </row>
    <row r="768" spans="1:38">
      <c r="A768"/>
      <c r="B768"/>
      <c r="C768"/>
      <c r="D768"/>
      <c r="E768"/>
      <c r="F768"/>
      <c r="G768"/>
      <c r="H768"/>
      <c r="I768"/>
      <c r="J768"/>
      <c r="K768"/>
      <c r="L768"/>
      <c r="M768"/>
      <c r="N768"/>
      <c r="O768"/>
      <c r="P768"/>
      <c r="Q768"/>
      <c r="R768"/>
      <c r="S768"/>
      <c r="T768"/>
      <c r="U768"/>
      <c r="V768"/>
      <c r="W768"/>
      <c r="X768"/>
      <c r="Y768"/>
      <c r="Z768"/>
      <c r="AA768"/>
      <c r="AB768"/>
      <c r="AC768"/>
      <c r="AD768"/>
      <c r="AE768"/>
      <c r="AF768"/>
      <c r="AG768"/>
      <c r="AH768"/>
      <c r="AI768"/>
      <c r="AJ768"/>
      <c r="AK768"/>
      <c r="AL768"/>
    </row>
    <row r="769" spans="1:38">
      <c r="A769"/>
      <c r="B769"/>
      <c r="C769"/>
      <c r="D769"/>
      <c r="E769"/>
      <c r="F769"/>
      <c r="G769"/>
      <c r="H769"/>
      <c r="I769"/>
      <c r="J769"/>
      <c r="K769"/>
      <c r="L769"/>
      <c r="M769"/>
      <c r="N769"/>
      <c r="O769"/>
      <c r="P769"/>
      <c r="Q769"/>
      <c r="R769"/>
      <c r="S769"/>
      <c r="T769"/>
      <c r="U769"/>
      <c r="V769"/>
      <c r="W769"/>
      <c r="X769"/>
      <c r="Y769"/>
      <c r="Z769"/>
      <c r="AA769"/>
      <c r="AB769"/>
      <c r="AC769"/>
      <c r="AD769"/>
      <c r="AE769"/>
      <c r="AF769"/>
      <c r="AG769"/>
      <c r="AH769"/>
      <c r="AI769"/>
      <c r="AJ769"/>
      <c r="AK769"/>
      <c r="AL769"/>
    </row>
    <row r="770" spans="1:38">
      <c r="A770"/>
      <c r="B770"/>
      <c r="C770"/>
      <c r="D770"/>
      <c r="E770"/>
      <c r="F770"/>
      <c r="G770"/>
      <c r="H770"/>
      <c r="I770"/>
      <c r="J770"/>
      <c r="K770"/>
      <c r="L770"/>
      <c r="M770"/>
      <c r="N770"/>
      <c r="O770"/>
      <c r="P770"/>
      <c r="Q770"/>
      <c r="R770"/>
      <c r="S770"/>
      <c r="T770"/>
      <c r="U770"/>
      <c r="V770"/>
      <c r="W770"/>
      <c r="X770"/>
      <c r="Y770"/>
      <c r="Z770"/>
      <c r="AA770"/>
      <c r="AB770"/>
      <c r="AC770"/>
      <c r="AD770"/>
      <c r="AE770"/>
      <c r="AF770"/>
      <c r="AG770"/>
      <c r="AH770"/>
      <c r="AI770"/>
      <c r="AJ770"/>
      <c r="AK770"/>
      <c r="AL770"/>
    </row>
    <row r="771" spans="1:38">
      <c r="A771"/>
      <c r="B771"/>
      <c r="C771"/>
      <c r="D771"/>
      <c r="E771"/>
      <c r="F771"/>
      <c r="G771"/>
      <c r="H771"/>
      <c r="I771"/>
      <c r="J771"/>
      <c r="K771"/>
      <c r="L771"/>
      <c r="M771"/>
      <c r="N771"/>
      <c r="O771"/>
      <c r="P771"/>
      <c r="Q771"/>
      <c r="R771"/>
      <c r="S771"/>
      <c r="T771"/>
      <c r="U771"/>
      <c r="V771"/>
      <c r="W771"/>
      <c r="X771"/>
      <c r="Y771"/>
      <c r="Z771"/>
      <c r="AA771"/>
      <c r="AB771"/>
      <c r="AC771"/>
      <c r="AD771"/>
      <c r="AE771"/>
      <c r="AF771"/>
      <c r="AG771"/>
      <c r="AH771"/>
      <c r="AI771"/>
      <c r="AJ771"/>
      <c r="AK771"/>
      <c r="AL771"/>
    </row>
    <row r="772" spans="1:38">
      <c r="A772"/>
      <c r="B772"/>
      <c r="C772"/>
      <c r="D772"/>
      <c r="E772"/>
      <c r="F772"/>
      <c r="G772"/>
      <c r="H772"/>
      <c r="I772"/>
      <c r="J772"/>
      <c r="K772"/>
      <c r="L772"/>
      <c r="M772"/>
      <c r="N772"/>
      <c r="O772"/>
      <c r="P772"/>
      <c r="Q772"/>
      <c r="R772"/>
      <c r="S772"/>
      <c r="T772"/>
      <c r="U772"/>
      <c r="V772"/>
      <c r="W772"/>
      <c r="X772"/>
      <c r="Y772"/>
      <c r="Z772"/>
      <c r="AA772"/>
      <c r="AB772"/>
      <c r="AC772"/>
      <c r="AD772"/>
      <c r="AE772"/>
      <c r="AF772"/>
      <c r="AG772"/>
      <c r="AH772"/>
      <c r="AI772"/>
      <c r="AJ772"/>
      <c r="AK772"/>
      <c r="AL772"/>
    </row>
    <row r="773" spans="1:38">
      <c r="A773"/>
      <c r="B773"/>
      <c r="C773"/>
      <c r="D773"/>
      <c r="E773"/>
      <c r="F773"/>
      <c r="G773"/>
      <c r="H773"/>
      <c r="I773"/>
      <c r="J773"/>
      <c r="K773"/>
      <c r="L773"/>
      <c r="M773"/>
      <c r="N773"/>
      <c r="O773"/>
      <c r="P773"/>
      <c r="Q773"/>
      <c r="R773"/>
      <c r="S773"/>
      <c r="T773"/>
      <c r="U773"/>
      <c r="V773"/>
      <c r="W773"/>
      <c r="X773"/>
      <c r="Y773"/>
      <c r="Z773"/>
      <c r="AA773"/>
      <c r="AB773"/>
      <c r="AC773"/>
      <c r="AD773"/>
      <c r="AE773"/>
      <c r="AF773"/>
      <c r="AG773"/>
      <c r="AH773"/>
      <c r="AI773"/>
      <c r="AJ773"/>
      <c r="AK773"/>
      <c r="AL773"/>
    </row>
    <row r="774" spans="1:38">
      <c r="A774"/>
      <c r="B774"/>
      <c r="C774"/>
      <c r="D774"/>
      <c r="E774"/>
      <c r="F774"/>
      <c r="G774"/>
      <c r="H774"/>
      <c r="I774"/>
      <c r="J774"/>
      <c r="K774"/>
      <c r="L774"/>
      <c r="M774"/>
      <c r="N774"/>
      <c r="O774"/>
      <c r="P774"/>
      <c r="Q774"/>
      <c r="R774"/>
      <c r="S774"/>
      <c r="T774"/>
      <c r="U774"/>
      <c r="V774"/>
      <c r="W774"/>
      <c r="X774"/>
      <c r="Y774"/>
      <c r="Z774"/>
      <c r="AA774"/>
      <c r="AB774"/>
      <c r="AC774"/>
      <c r="AD774"/>
      <c r="AE774"/>
      <c r="AF774"/>
      <c r="AG774"/>
      <c r="AH774"/>
      <c r="AI774"/>
      <c r="AJ774"/>
      <c r="AK774"/>
      <c r="AL774"/>
    </row>
    <row r="775" spans="1:38">
      <c r="A775"/>
      <c r="B775"/>
      <c r="C775"/>
      <c r="D775"/>
      <c r="E775"/>
      <c r="F775"/>
      <c r="G775"/>
      <c r="H775"/>
      <c r="I775"/>
      <c r="J775"/>
      <c r="K775"/>
      <c r="L775"/>
      <c r="M775"/>
      <c r="N775"/>
      <c r="O775"/>
      <c r="P775"/>
      <c r="Q775"/>
      <c r="R775"/>
      <c r="S775"/>
      <c r="T775"/>
      <c r="U775"/>
      <c r="V775"/>
      <c r="W775"/>
      <c r="X775"/>
      <c r="Y775"/>
      <c r="Z775"/>
      <c r="AA775"/>
      <c r="AB775"/>
      <c r="AC775"/>
      <c r="AD775"/>
      <c r="AE775"/>
      <c r="AF775"/>
      <c r="AG775"/>
      <c r="AH775"/>
      <c r="AI775"/>
      <c r="AJ775"/>
      <c r="AK775"/>
      <c r="AL775"/>
    </row>
    <row r="776" spans="1:38">
      <c r="A776"/>
      <c r="B776"/>
      <c r="C776"/>
      <c r="D776"/>
      <c r="E776"/>
      <c r="F776"/>
      <c r="G776"/>
      <c r="H776"/>
      <c r="I776"/>
      <c r="J776"/>
      <c r="K776"/>
      <c r="L776"/>
      <c r="M776"/>
      <c r="N776"/>
      <c r="O776"/>
      <c r="P776"/>
      <c r="Q776"/>
      <c r="R776"/>
      <c r="S776"/>
      <c r="T776"/>
      <c r="U776"/>
      <c r="V776"/>
      <c r="W776"/>
      <c r="X776"/>
      <c r="Y776"/>
      <c r="Z776"/>
      <c r="AA776"/>
      <c r="AB776"/>
      <c r="AC776"/>
      <c r="AD776"/>
      <c r="AE776"/>
      <c r="AF776"/>
      <c r="AG776"/>
      <c r="AH776"/>
      <c r="AI776"/>
      <c r="AJ776"/>
      <c r="AK776"/>
      <c r="AL776"/>
    </row>
    <row r="777" spans="1:38">
      <c r="A777"/>
      <c r="B777"/>
      <c r="C777"/>
      <c r="D777"/>
      <c r="E777"/>
      <c r="F777"/>
      <c r="G777"/>
      <c r="H777"/>
      <c r="I777"/>
      <c r="J777"/>
      <c r="K777"/>
      <c r="L777"/>
      <c r="M777"/>
      <c r="N777"/>
      <c r="O777"/>
      <c r="P777"/>
      <c r="Q777"/>
      <c r="R777"/>
      <c r="S777"/>
      <c r="T777"/>
      <c r="U777"/>
      <c r="V777"/>
      <c r="W777"/>
      <c r="X777"/>
      <c r="Y777"/>
      <c r="Z777"/>
      <c r="AA777"/>
      <c r="AB777"/>
      <c r="AC777"/>
      <c r="AD777"/>
      <c r="AE777"/>
      <c r="AF777"/>
      <c r="AG777"/>
      <c r="AH777"/>
      <c r="AI777"/>
      <c r="AJ777"/>
      <c r="AK777"/>
      <c r="AL777"/>
    </row>
    <row r="778" spans="1:38">
      <c r="A778"/>
      <c r="B778"/>
      <c r="C778"/>
      <c r="D778"/>
      <c r="E778"/>
      <c r="F778"/>
      <c r="G778"/>
      <c r="H778"/>
      <c r="I778"/>
      <c r="J778"/>
      <c r="K778"/>
      <c r="L778"/>
      <c r="M778"/>
      <c r="N778"/>
      <c r="O778"/>
      <c r="P778"/>
      <c r="Q778"/>
      <c r="R778"/>
      <c r="S778"/>
      <c r="T778"/>
      <c r="U778"/>
      <c r="V778"/>
      <c r="W778"/>
      <c r="X778"/>
      <c r="Y778"/>
      <c r="Z778"/>
      <c r="AA778"/>
      <c r="AB778"/>
      <c r="AC778"/>
      <c r="AD778"/>
      <c r="AE778"/>
      <c r="AF778"/>
      <c r="AG778"/>
      <c r="AH778"/>
      <c r="AI778"/>
      <c r="AJ778"/>
      <c r="AK778"/>
      <c r="AL778"/>
    </row>
    <row r="779" spans="1:38">
      <c r="A779"/>
      <c r="B779"/>
      <c r="C779"/>
      <c r="D779"/>
      <c r="E779"/>
      <c r="F779"/>
      <c r="G779"/>
      <c r="H779"/>
      <c r="I779"/>
      <c r="J779"/>
      <c r="K779"/>
      <c r="L779"/>
      <c r="M779"/>
      <c r="N779"/>
      <c r="O779"/>
      <c r="P779"/>
      <c r="Q779"/>
      <c r="R779"/>
      <c r="S779"/>
      <c r="T779"/>
      <c r="U779"/>
      <c r="V779"/>
      <c r="W779"/>
      <c r="X779"/>
      <c r="Y779"/>
      <c r="Z779"/>
      <c r="AA779"/>
      <c r="AB779"/>
      <c r="AC779"/>
      <c r="AD779"/>
      <c r="AE779"/>
      <c r="AF779"/>
      <c r="AG779"/>
      <c r="AH779"/>
      <c r="AI779"/>
      <c r="AJ779"/>
      <c r="AK779"/>
      <c r="AL779"/>
    </row>
    <row r="780" spans="1:38">
      <c r="A780"/>
      <c r="B780"/>
      <c r="C780"/>
      <c r="D780"/>
      <c r="E780"/>
      <c r="F780"/>
      <c r="G780"/>
      <c r="H780"/>
      <c r="I780"/>
      <c r="J780"/>
      <c r="K780"/>
      <c r="L780"/>
      <c r="M780"/>
      <c r="N780"/>
      <c r="O780"/>
      <c r="P780"/>
      <c r="Q780"/>
      <c r="R780"/>
      <c r="S780"/>
      <c r="T780"/>
      <c r="U780"/>
      <c r="V780"/>
      <c r="W780"/>
      <c r="X780"/>
      <c r="Y780"/>
      <c r="Z780"/>
      <c r="AA780"/>
      <c r="AB780"/>
      <c r="AC780"/>
      <c r="AD780"/>
      <c r="AE780"/>
      <c r="AF780"/>
      <c r="AG780"/>
      <c r="AH780"/>
      <c r="AI780"/>
      <c r="AJ780"/>
      <c r="AK780"/>
      <c r="AL780"/>
    </row>
    <row r="781" spans="1:38">
      <c r="A781"/>
      <c r="B781"/>
      <c r="C781"/>
      <c r="D781"/>
      <c r="E781"/>
      <c r="F781"/>
      <c r="G781"/>
      <c r="H781"/>
      <c r="I781"/>
      <c r="J781"/>
      <c r="K781"/>
      <c r="L781"/>
      <c r="M781"/>
      <c r="N781"/>
      <c r="O781"/>
      <c r="P781"/>
      <c r="Q781"/>
      <c r="R781"/>
      <c r="S781"/>
      <c r="T781"/>
      <c r="U781"/>
      <c r="V781"/>
      <c r="W781"/>
      <c r="X781"/>
      <c r="Y781"/>
      <c r="Z781"/>
      <c r="AA781"/>
      <c r="AB781"/>
      <c r="AC781"/>
      <c r="AD781"/>
      <c r="AE781"/>
      <c r="AF781"/>
      <c r="AG781"/>
      <c r="AH781"/>
      <c r="AI781"/>
      <c r="AJ781"/>
      <c r="AK781"/>
      <c r="AL781"/>
    </row>
    <row r="782" spans="1:38">
      <c r="A782"/>
      <c r="B782"/>
      <c r="C782"/>
      <c r="D782"/>
      <c r="E782"/>
      <c r="F782"/>
      <c r="G782"/>
      <c r="H782"/>
      <c r="I782"/>
      <c r="J782"/>
      <c r="K782"/>
      <c r="L782"/>
      <c r="M782"/>
      <c r="N782"/>
      <c r="O782"/>
      <c r="P782"/>
      <c r="Q782"/>
      <c r="R782"/>
      <c r="S782"/>
      <c r="T782"/>
      <c r="U782"/>
      <c r="V782"/>
      <c r="W782"/>
      <c r="X782"/>
      <c r="Y782"/>
      <c r="Z782"/>
      <c r="AA782"/>
      <c r="AB782"/>
      <c r="AC782"/>
      <c r="AD782"/>
      <c r="AE782"/>
      <c r="AF782"/>
      <c r="AG782"/>
      <c r="AH782"/>
      <c r="AI782"/>
      <c r="AJ782"/>
      <c r="AK782"/>
      <c r="AL782"/>
    </row>
    <row r="783" spans="1:38">
      <c r="A783"/>
      <c r="B783"/>
      <c r="C783"/>
      <c r="D783"/>
      <c r="E783"/>
      <c r="F783"/>
      <c r="G783"/>
      <c r="H783"/>
      <c r="I783"/>
      <c r="J783"/>
      <c r="K783"/>
      <c r="L783"/>
      <c r="M783"/>
      <c r="N783"/>
      <c r="O783"/>
      <c r="P783"/>
      <c r="Q783"/>
      <c r="R783"/>
      <c r="S783"/>
      <c r="T783"/>
      <c r="U783"/>
      <c r="V783"/>
      <c r="W783"/>
      <c r="X783"/>
      <c r="Y783"/>
      <c r="Z783"/>
      <c r="AA783"/>
      <c r="AB783"/>
      <c r="AC783"/>
      <c r="AD783"/>
      <c r="AE783"/>
      <c r="AF783"/>
      <c r="AG783"/>
      <c r="AH783"/>
      <c r="AI783"/>
      <c r="AJ783"/>
      <c r="AK783"/>
      <c r="AL783"/>
    </row>
    <row r="784" spans="1:38">
      <c r="A784"/>
      <c r="B784"/>
      <c r="C784"/>
      <c r="D784"/>
      <c r="E784"/>
      <c r="F784"/>
      <c r="G784"/>
      <c r="H784"/>
      <c r="I784"/>
      <c r="J784"/>
      <c r="K784"/>
      <c r="L784"/>
      <c r="M784"/>
      <c r="N784"/>
      <c r="O784"/>
      <c r="P784"/>
      <c r="Q784"/>
      <c r="R784"/>
      <c r="S784"/>
      <c r="T784"/>
      <c r="U784"/>
      <c r="V784"/>
      <c r="W784"/>
      <c r="X784"/>
      <c r="Y784"/>
      <c r="Z784"/>
      <c r="AA784"/>
      <c r="AB784"/>
      <c r="AC784"/>
      <c r="AD784"/>
      <c r="AE784"/>
      <c r="AF784"/>
      <c r="AG784"/>
      <c r="AH784"/>
      <c r="AI784"/>
      <c r="AJ784"/>
      <c r="AK784"/>
      <c r="AL784"/>
    </row>
    <row r="785" spans="1:38">
      <c r="A785"/>
      <c r="B785"/>
      <c r="C785"/>
      <c r="D785"/>
      <c r="E785"/>
      <c r="F785"/>
      <c r="G785"/>
      <c r="H785"/>
      <c r="I785"/>
      <c r="J785"/>
      <c r="K785"/>
      <c r="L785"/>
      <c r="M785"/>
      <c r="N785"/>
      <c r="O785"/>
      <c r="P785"/>
      <c r="Q785"/>
      <c r="R785"/>
      <c r="S785"/>
      <c r="T785"/>
      <c r="U785"/>
      <c r="V785"/>
      <c r="W785"/>
      <c r="X785"/>
      <c r="Y785"/>
      <c r="Z785"/>
      <c r="AA785"/>
      <c r="AB785"/>
      <c r="AC785"/>
      <c r="AD785"/>
      <c r="AE785"/>
      <c r="AF785"/>
      <c r="AG785"/>
      <c r="AH785"/>
      <c r="AI785"/>
      <c r="AJ785"/>
      <c r="AK785"/>
      <c r="AL785"/>
    </row>
    <row r="786" spans="1:38">
      <c r="A786"/>
      <c r="B786"/>
      <c r="C786"/>
      <c r="D786"/>
      <c r="E786"/>
      <c r="F786"/>
      <c r="G786"/>
      <c r="H786"/>
      <c r="I786"/>
      <c r="J786"/>
      <c r="K786"/>
      <c r="L786"/>
      <c r="M786"/>
      <c r="N786"/>
      <c r="O786"/>
      <c r="P786"/>
      <c r="Q786"/>
      <c r="R786"/>
      <c r="S786"/>
      <c r="T786"/>
      <c r="U786"/>
      <c r="V786"/>
      <c r="W786"/>
      <c r="X786"/>
      <c r="Y786"/>
      <c r="Z786"/>
      <c r="AA786"/>
      <c r="AB786"/>
      <c r="AC786"/>
      <c r="AD786"/>
      <c r="AE786"/>
      <c r="AF786"/>
      <c r="AG786"/>
      <c r="AH786"/>
      <c r="AI786"/>
      <c r="AJ786"/>
      <c r="AK786"/>
      <c r="AL786"/>
    </row>
    <row r="787" spans="1:38">
      <c r="A787"/>
      <c r="B787"/>
      <c r="C787"/>
      <c r="D787"/>
      <c r="E787"/>
      <c r="F787"/>
      <c r="G787"/>
      <c r="H787"/>
      <c r="I787"/>
      <c r="J787"/>
      <c r="K787"/>
      <c r="L787"/>
      <c r="M787"/>
      <c r="N787"/>
      <c r="O787"/>
      <c r="P787"/>
      <c r="Q787"/>
      <c r="R787"/>
      <c r="S787"/>
      <c r="T787"/>
      <c r="U787"/>
      <c r="V787"/>
      <c r="W787"/>
      <c r="X787"/>
      <c r="Y787"/>
      <c r="Z787"/>
      <c r="AA787"/>
      <c r="AB787"/>
      <c r="AC787"/>
      <c r="AD787"/>
      <c r="AE787"/>
      <c r="AF787"/>
      <c r="AG787"/>
      <c r="AH787"/>
      <c r="AI787"/>
      <c r="AJ787"/>
      <c r="AK787"/>
      <c r="AL787"/>
    </row>
    <row r="788" spans="1:38">
      <c r="A788"/>
      <c r="B788"/>
      <c r="C788"/>
      <c r="D788"/>
      <c r="E788"/>
      <c r="F788"/>
      <c r="G788"/>
      <c r="H788"/>
      <c r="I788"/>
      <c r="J788"/>
      <c r="K788"/>
      <c r="L788"/>
      <c r="M788"/>
      <c r="N788"/>
      <c r="O788"/>
      <c r="P788"/>
      <c r="Q788"/>
      <c r="R788"/>
      <c r="S788"/>
      <c r="T788"/>
      <c r="U788"/>
      <c r="V788"/>
      <c r="W788"/>
      <c r="X788"/>
      <c r="Y788"/>
      <c r="Z788"/>
      <c r="AA788"/>
      <c r="AB788"/>
      <c r="AC788"/>
      <c r="AD788"/>
      <c r="AE788"/>
      <c r="AF788"/>
      <c r="AG788"/>
      <c r="AH788"/>
      <c r="AI788"/>
      <c r="AJ788"/>
      <c r="AK788"/>
      <c r="AL788"/>
    </row>
    <row r="789" spans="1:38">
      <c r="A789"/>
      <c r="B789"/>
      <c r="C789"/>
      <c r="D789"/>
      <c r="E789"/>
      <c r="F789"/>
      <c r="G789"/>
      <c r="H789"/>
      <c r="I789"/>
      <c r="J789"/>
      <c r="K789"/>
      <c r="L789"/>
      <c r="M789"/>
      <c r="N789"/>
      <c r="O789"/>
      <c r="P789"/>
      <c r="Q789"/>
      <c r="R789"/>
      <c r="S789"/>
      <c r="T789"/>
      <c r="U789"/>
      <c r="V789"/>
      <c r="W789"/>
      <c r="X789"/>
      <c r="Y789"/>
      <c r="Z789"/>
      <c r="AA789"/>
      <c r="AB789"/>
      <c r="AC789"/>
      <c r="AD789"/>
      <c r="AE789"/>
      <c r="AF789"/>
      <c r="AG789"/>
      <c r="AH789"/>
      <c r="AI789"/>
      <c r="AJ789"/>
      <c r="AK789"/>
      <c r="AL789"/>
    </row>
    <row r="790" spans="1:38">
      <c r="A790"/>
      <c r="B790"/>
      <c r="C790"/>
      <c r="D790"/>
      <c r="E790"/>
      <c r="F790"/>
      <c r="G790"/>
      <c r="H790"/>
      <c r="I790"/>
      <c r="J790"/>
      <c r="K790"/>
      <c r="L790"/>
      <c r="M790"/>
      <c r="N790"/>
      <c r="O790"/>
      <c r="P790"/>
      <c r="Q790"/>
      <c r="R790"/>
      <c r="S790"/>
      <c r="T790"/>
      <c r="U790"/>
      <c r="V790"/>
      <c r="W790"/>
      <c r="X790"/>
      <c r="Y790"/>
      <c r="Z790"/>
      <c r="AA790"/>
      <c r="AB790"/>
      <c r="AC790"/>
      <c r="AD790"/>
      <c r="AE790"/>
      <c r="AF790"/>
      <c r="AG790"/>
      <c r="AH790"/>
      <c r="AI790"/>
      <c r="AJ790"/>
      <c r="AK790"/>
      <c r="AL790"/>
    </row>
    <row r="791" spans="1:38">
      <c r="A791"/>
      <c r="B791"/>
      <c r="C791"/>
      <c r="D791"/>
      <c r="E791"/>
      <c r="F791"/>
      <c r="G791"/>
      <c r="H791"/>
      <c r="I791"/>
      <c r="J791"/>
      <c r="K791"/>
      <c r="L791"/>
      <c r="M791"/>
      <c r="N791"/>
      <c r="O791"/>
      <c r="P791"/>
      <c r="Q791"/>
      <c r="R791"/>
      <c r="S791"/>
      <c r="T791"/>
      <c r="U791"/>
      <c r="V791"/>
      <c r="W791"/>
      <c r="X791"/>
      <c r="Y791"/>
      <c r="Z791"/>
      <c r="AA791"/>
      <c r="AB791"/>
      <c r="AC791"/>
      <c r="AD791"/>
      <c r="AE791"/>
      <c r="AF791"/>
      <c r="AG791"/>
      <c r="AH791"/>
      <c r="AI791"/>
      <c r="AJ791"/>
      <c r="AK791"/>
      <c r="AL791"/>
    </row>
    <row r="792" spans="1:38">
      <c r="A792"/>
      <c r="B792"/>
      <c r="C792"/>
      <c r="D792"/>
      <c r="E792"/>
      <c r="F792"/>
      <c r="G792"/>
      <c r="H792"/>
      <c r="I792"/>
      <c r="J792"/>
      <c r="K792"/>
      <c r="L792"/>
      <c r="M792"/>
      <c r="N792"/>
      <c r="O792"/>
      <c r="P792"/>
      <c r="Q792"/>
      <c r="R792"/>
      <c r="S792"/>
      <c r="T792"/>
      <c r="U792"/>
      <c r="V792"/>
      <c r="W792"/>
      <c r="X792"/>
      <c r="Y792"/>
      <c r="Z792"/>
      <c r="AA792"/>
      <c r="AB792"/>
      <c r="AC792"/>
      <c r="AD792"/>
      <c r="AE792"/>
      <c r="AF792"/>
      <c r="AG792"/>
      <c r="AH792"/>
      <c r="AI792"/>
      <c r="AJ792"/>
      <c r="AK792"/>
      <c r="AL792"/>
    </row>
    <row r="793" spans="1:38">
      <c r="A793"/>
      <c r="B793"/>
      <c r="C793"/>
      <c r="D793"/>
      <c r="E793"/>
      <c r="F793"/>
      <c r="G793"/>
      <c r="H793"/>
      <c r="I793"/>
      <c r="J793"/>
      <c r="K793"/>
      <c r="L793"/>
      <c r="M793"/>
      <c r="N793"/>
      <c r="O793"/>
      <c r="P793"/>
      <c r="Q793"/>
      <c r="R793"/>
      <c r="S793"/>
      <c r="T793"/>
      <c r="U793"/>
      <c r="V793"/>
      <c r="W793"/>
      <c r="X793"/>
      <c r="Y793"/>
      <c r="Z793"/>
      <c r="AA793"/>
      <c r="AB793"/>
      <c r="AC793"/>
      <c r="AD793"/>
      <c r="AE793"/>
      <c r="AF793"/>
      <c r="AG793"/>
      <c r="AH793"/>
      <c r="AI793"/>
      <c r="AJ793"/>
      <c r="AK793"/>
      <c r="AL793"/>
    </row>
    <row r="794" spans="1:38">
      <c r="A794"/>
      <c r="B794"/>
      <c r="C794"/>
      <c r="D794"/>
      <c r="E794"/>
      <c r="F794"/>
      <c r="G794"/>
      <c r="H794"/>
      <c r="I794"/>
      <c r="J794"/>
      <c r="K794"/>
      <c r="L794"/>
      <c r="M794"/>
      <c r="N794"/>
      <c r="O794"/>
      <c r="P794"/>
      <c r="Q794"/>
      <c r="R794"/>
      <c r="S794"/>
      <c r="T794"/>
      <c r="U794"/>
      <c r="V794"/>
      <c r="W794"/>
      <c r="X794"/>
      <c r="Y794"/>
      <c r="Z794"/>
      <c r="AA794"/>
      <c r="AB794"/>
      <c r="AC794"/>
      <c r="AD794"/>
      <c r="AE794"/>
      <c r="AF794"/>
      <c r="AG794"/>
      <c r="AH794"/>
      <c r="AI794"/>
      <c r="AJ794"/>
      <c r="AK794"/>
      <c r="AL794"/>
    </row>
    <row r="795" spans="1:38">
      <c r="A795"/>
      <c r="B795"/>
      <c r="C795"/>
      <c r="D795"/>
      <c r="E795"/>
      <c r="F795"/>
      <c r="G795"/>
      <c r="H795"/>
      <c r="I795"/>
      <c r="J795"/>
      <c r="K795"/>
      <c r="L795"/>
      <c r="M795"/>
      <c r="N795"/>
      <c r="O795"/>
      <c r="P795"/>
      <c r="Q795"/>
      <c r="R795"/>
      <c r="S795"/>
      <c r="T795"/>
      <c r="U795"/>
      <c r="V795"/>
      <c r="W795"/>
      <c r="X795"/>
      <c r="Y795"/>
      <c r="Z795"/>
      <c r="AA795"/>
      <c r="AB795"/>
      <c r="AC795"/>
      <c r="AD795"/>
      <c r="AE795"/>
      <c r="AF795"/>
      <c r="AG795"/>
      <c r="AH795"/>
      <c r="AI795"/>
      <c r="AJ795"/>
      <c r="AK795"/>
      <c r="AL795"/>
    </row>
    <row r="796" spans="1:38">
      <c r="A796"/>
      <c r="B796"/>
      <c r="C796"/>
      <c r="D796"/>
      <c r="E796"/>
      <c r="F796"/>
      <c r="G796"/>
      <c r="H796"/>
      <c r="I796"/>
      <c r="J796"/>
      <c r="K796"/>
      <c r="L796"/>
      <c r="M796"/>
      <c r="N796"/>
      <c r="O796"/>
      <c r="P796"/>
      <c r="Q796"/>
      <c r="R796"/>
      <c r="S796"/>
      <c r="T796"/>
      <c r="U796"/>
      <c r="V796"/>
      <c r="W796"/>
      <c r="X796"/>
      <c r="Y796"/>
      <c r="Z796"/>
      <c r="AA796"/>
      <c r="AB796"/>
      <c r="AC796"/>
      <c r="AD796"/>
      <c r="AE796"/>
      <c r="AF796"/>
      <c r="AG796"/>
      <c r="AH796"/>
      <c r="AI796"/>
      <c r="AJ796"/>
      <c r="AK796"/>
      <c r="AL796"/>
    </row>
    <row r="797" spans="1:38">
      <c r="A797"/>
      <c r="B797"/>
      <c r="C797"/>
      <c r="D797"/>
      <c r="E797"/>
      <c r="F797"/>
      <c r="G797"/>
      <c r="H797"/>
      <c r="I797"/>
      <c r="J797"/>
      <c r="K797"/>
      <c r="L797"/>
      <c r="M797"/>
      <c r="N797"/>
      <c r="O797"/>
      <c r="P797"/>
      <c r="Q797"/>
      <c r="R797"/>
      <c r="S797"/>
      <c r="T797"/>
      <c r="U797"/>
      <c r="V797"/>
      <c r="W797"/>
      <c r="X797"/>
      <c r="Y797"/>
      <c r="Z797"/>
      <c r="AA797"/>
      <c r="AB797"/>
      <c r="AC797"/>
      <c r="AD797"/>
      <c r="AE797"/>
      <c r="AF797"/>
      <c r="AG797"/>
      <c r="AH797"/>
      <c r="AI797"/>
      <c r="AJ797"/>
      <c r="AK797"/>
      <c r="AL797"/>
    </row>
    <row r="798" spans="1:38">
      <c r="A798"/>
      <c r="B798"/>
      <c r="C798"/>
      <c r="D798"/>
      <c r="E798"/>
      <c r="F798"/>
      <c r="G798"/>
      <c r="H798"/>
      <c r="I798"/>
      <c r="J798"/>
      <c r="K798"/>
      <c r="L798"/>
      <c r="M798"/>
      <c r="N798"/>
      <c r="O798"/>
      <c r="P798"/>
      <c r="Q798"/>
      <c r="R798"/>
      <c r="S798"/>
      <c r="T798"/>
      <c r="U798"/>
      <c r="V798"/>
      <c r="W798"/>
      <c r="X798"/>
      <c r="Y798"/>
      <c r="Z798"/>
      <c r="AA798"/>
      <c r="AB798"/>
      <c r="AC798"/>
      <c r="AD798"/>
      <c r="AE798"/>
      <c r="AF798"/>
      <c r="AG798"/>
      <c r="AH798"/>
      <c r="AI798"/>
      <c r="AJ798"/>
      <c r="AK798"/>
      <c r="AL798"/>
    </row>
    <row r="799" spans="1:38">
      <c r="A799"/>
      <c r="B799"/>
      <c r="C799"/>
      <c r="D799"/>
      <c r="E799"/>
      <c r="F799"/>
      <c r="G799"/>
      <c r="H799"/>
      <c r="I799"/>
      <c r="J799"/>
      <c r="K799"/>
      <c r="L799"/>
      <c r="M799"/>
      <c r="N799"/>
      <c r="O799"/>
      <c r="P799"/>
      <c r="Q799"/>
      <c r="R799"/>
      <c r="S799"/>
      <c r="T799"/>
      <c r="U799"/>
      <c r="V799"/>
      <c r="W799"/>
      <c r="X799"/>
      <c r="Y799"/>
      <c r="Z799"/>
      <c r="AA799"/>
      <c r="AB799"/>
      <c r="AC799"/>
      <c r="AD799"/>
      <c r="AE799"/>
      <c r="AF799"/>
      <c r="AG799"/>
      <c r="AH799"/>
      <c r="AI799"/>
      <c r="AJ799"/>
      <c r="AK799"/>
      <c r="AL799"/>
    </row>
    <row r="800" spans="1:38">
      <c r="A800"/>
      <c r="B800"/>
      <c r="C800"/>
      <c r="D800"/>
      <c r="E800"/>
      <c r="F800"/>
      <c r="G800"/>
      <c r="H800"/>
      <c r="I800"/>
      <c r="J800"/>
      <c r="K800"/>
      <c r="L800"/>
      <c r="M800"/>
      <c r="N800"/>
      <c r="O800"/>
      <c r="P800"/>
      <c r="Q800"/>
      <c r="R800"/>
      <c r="S800"/>
      <c r="T800"/>
      <c r="U800"/>
      <c r="V800"/>
      <c r="W800"/>
      <c r="X800"/>
      <c r="Y800"/>
      <c r="Z800"/>
      <c r="AA800"/>
      <c r="AB800"/>
      <c r="AC800"/>
      <c r="AD800"/>
      <c r="AE800"/>
      <c r="AF800"/>
      <c r="AG800"/>
      <c r="AH800"/>
      <c r="AI800"/>
      <c r="AJ800"/>
      <c r="AK800"/>
      <c r="AL800"/>
    </row>
    <row r="801" spans="1:38">
      <c r="A801"/>
      <c r="B801"/>
      <c r="C801"/>
      <c r="D801"/>
      <c r="E801"/>
      <c r="F801"/>
      <c r="G801"/>
      <c r="H801"/>
      <c r="I801"/>
      <c r="J801"/>
      <c r="K801"/>
      <c r="L801"/>
      <c r="M801"/>
      <c r="N801"/>
      <c r="O801"/>
      <c r="P801"/>
      <c r="Q801"/>
      <c r="R801"/>
      <c r="S801"/>
      <c r="T801"/>
      <c r="U801"/>
      <c r="V801"/>
      <c r="W801"/>
      <c r="X801"/>
      <c r="Y801"/>
      <c r="Z801"/>
      <c r="AA801"/>
      <c r="AB801"/>
      <c r="AC801"/>
      <c r="AD801"/>
      <c r="AE801"/>
      <c r="AF801"/>
      <c r="AG801"/>
      <c r="AH801"/>
      <c r="AI801"/>
      <c r="AJ801"/>
      <c r="AK801"/>
      <c r="AL801"/>
    </row>
    <row r="802" spans="1:38">
      <c r="A802"/>
      <c r="B802"/>
      <c r="C802"/>
      <c r="D802"/>
      <c r="E802"/>
      <c r="F802"/>
      <c r="G802"/>
      <c r="H802"/>
      <c r="I802"/>
      <c r="J802"/>
      <c r="K802"/>
      <c r="L802"/>
      <c r="M802"/>
      <c r="N802"/>
      <c r="O802"/>
      <c r="P802"/>
      <c r="Q802"/>
      <c r="R802"/>
      <c r="S802"/>
      <c r="T802"/>
      <c r="U802"/>
      <c r="V802"/>
      <c r="W802"/>
      <c r="X802"/>
      <c r="Y802"/>
      <c r="Z802"/>
      <c r="AA802"/>
      <c r="AB802"/>
      <c r="AC802"/>
      <c r="AD802"/>
      <c r="AE802"/>
      <c r="AF802"/>
      <c r="AG802"/>
      <c r="AH802"/>
      <c r="AI802"/>
      <c r="AJ802"/>
      <c r="AK802"/>
      <c r="AL802"/>
    </row>
    <row r="803" spans="1:38">
      <c r="A803"/>
      <c r="B803"/>
      <c r="C803"/>
      <c r="D803"/>
      <c r="E803"/>
      <c r="F803"/>
      <c r="G803"/>
      <c r="H803"/>
      <c r="I803"/>
      <c r="J803"/>
      <c r="K803"/>
      <c r="L803"/>
      <c r="M803"/>
      <c r="N803"/>
      <c r="O803"/>
      <c r="P803"/>
      <c r="Q803"/>
      <c r="R803"/>
      <c r="S803"/>
      <c r="T803"/>
      <c r="U803"/>
      <c r="V803"/>
      <c r="W803"/>
      <c r="X803"/>
      <c r="Y803"/>
      <c r="Z803"/>
      <c r="AA803"/>
      <c r="AB803"/>
      <c r="AC803"/>
      <c r="AD803"/>
      <c r="AE803"/>
      <c r="AF803"/>
      <c r="AG803"/>
      <c r="AH803"/>
      <c r="AI803"/>
      <c r="AJ803"/>
      <c r="AK803"/>
      <c r="AL803"/>
    </row>
    <row r="804" spans="1:38">
      <c r="A804"/>
      <c r="B804"/>
      <c r="C804"/>
      <c r="D804"/>
      <c r="E804"/>
      <c r="F804"/>
      <c r="G804"/>
      <c r="H804"/>
      <c r="I804"/>
      <c r="J804"/>
      <c r="K804"/>
      <c r="L804"/>
      <c r="M804"/>
      <c r="N804"/>
      <c r="O804"/>
      <c r="P804"/>
      <c r="Q804"/>
      <c r="R804"/>
      <c r="S804"/>
      <c r="T804"/>
      <c r="U804"/>
      <c r="V804"/>
      <c r="W804"/>
      <c r="X804"/>
      <c r="Y804"/>
      <c r="Z804"/>
      <c r="AA804"/>
      <c r="AB804"/>
      <c r="AC804"/>
      <c r="AD804"/>
      <c r="AE804"/>
      <c r="AF804"/>
      <c r="AG804"/>
      <c r="AH804"/>
      <c r="AI804"/>
      <c r="AJ804"/>
      <c r="AK804"/>
      <c r="AL804"/>
    </row>
    <row r="805" spans="1:38">
      <c r="A805"/>
      <c r="B805"/>
      <c r="C805"/>
      <c r="D805"/>
      <c r="E805"/>
      <c r="F805"/>
      <c r="G805"/>
      <c r="H805"/>
      <c r="I805"/>
      <c r="J805"/>
      <c r="K805"/>
      <c r="L805"/>
      <c r="M805"/>
      <c r="N805"/>
      <c r="O805"/>
      <c r="P805"/>
      <c r="Q805"/>
      <c r="R805"/>
      <c r="S805"/>
      <c r="T805"/>
      <c r="U805"/>
      <c r="V805"/>
      <c r="W805"/>
      <c r="X805"/>
      <c r="Y805"/>
      <c r="Z805"/>
      <c r="AA805"/>
      <c r="AB805"/>
      <c r="AC805"/>
      <c r="AD805"/>
      <c r="AE805"/>
      <c r="AF805"/>
      <c r="AG805"/>
      <c r="AH805"/>
      <c r="AI805"/>
      <c r="AJ805"/>
      <c r="AK805"/>
      <c r="AL805"/>
    </row>
    <row r="806" spans="1:38">
      <c r="A806"/>
      <c r="B806"/>
      <c r="C806"/>
      <c r="D806"/>
      <c r="E806"/>
      <c r="F806"/>
      <c r="G806"/>
      <c r="H806"/>
      <c r="I806"/>
      <c r="J806"/>
      <c r="K806"/>
      <c r="L806"/>
      <c r="M806"/>
      <c r="N806"/>
      <c r="O806"/>
      <c r="P806"/>
      <c r="Q806"/>
      <c r="R806"/>
      <c r="S806"/>
      <c r="T806"/>
      <c r="U806"/>
      <c r="V806"/>
      <c r="W806"/>
      <c r="X806"/>
      <c r="Y806"/>
      <c r="Z806"/>
      <c r="AA806"/>
      <c r="AB806"/>
      <c r="AC806"/>
      <c r="AD806"/>
      <c r="AE806"/>
      <c r="AF806"/>
      <c r="AG806"/>
      <c r="AH806"/>
      <c r="AI806"/>
      <c r="AJ806"/>
      <c r="AK806"/>
      <c r="AL806"/>
    </row>
    <row r="807" spans="1:38">
      <c r="A807"/>
      <c r="B807"/>
      <c r="C807"/>
      <c r="D807"/>
      <c r="E807"/>
      <c r="F807"/>
      <c r="G807"/>
      <c r="H807"/>
      <c r="I807"/>
      <c r="J807"/>
      <c r="K807"/>
      <c r="L807"/>
      <c r="M807"/>
      <c r="N807"/>
      <c r="O807"/>
      <c r="P807"/>
      <c r="Q807"/>
      <c r="R807"/>
      <c r="S807"/>
      <c r="T807"/>
      <c r="U807"/>
      <c r="V807"/>
      <c r="W807"/>
      <c r="X807"/>
      <c r="Y807"/>
      <c r="Z807"/>
      <c r="AA807"/>
      <c r="AB807"/>
      <c r="AC807"/>
      <c r="AD807"/>
      <c r="AE807"/>
      <c r="AF807"/>
      <c r="AG807"/>
      <c r="AH807"/>
      <c r="AI807"/>
      <c r="AJ807"/>
      <c r="AK807"/>
      <c r="AL807"/>
    </row>
    <row r="808" spans="1:38">
      <c r="A808"/>
      <c r="B808"/>
      <c r="C808"/>
      <c r="D808"/>
      <c r="E808"/>
      <c r="F808"/>
      <c r="G808"/>
      <c r="H808"/>
      <c r="I808"/>
      <c r="J808"/>
      <c r="K808"/>
      <c r="L808"/>
      <c r="M808"/>
      <c r="N808"/>
      <c r="O808"/>
      <c r="P808"/>
      <c r="Q808"/>
      <c r="R808"/>
      <c r="S808"/>
      <c r="T808"/>
      <c r="U808"/>
      <c r="V808"/>
      <c r="W808"/>
      <c r="X808"/>
      <c r="Y808"/>
      <c r="Z808"/>
      <c r="AA808"/>
      <c r="AB808"/>
      <c r="AC808"/>
      <c r="AD808"/>
      <c r="AE808"/>
      <c r="AF808"/>
      <c r="AG808"/>
      <c r="AH808"/>
      <c r="AI808"/>
      <c r="AJ808"/>
      <c r="AK808"/>
      <c r="AL808"/>
    </row>
    <row r="809" spans="1:38">
      <c r="A809"/>
      <c r="B809"/>
      <c r="C809"/>
      <c r="D809"/>
      <c r="E809"/>
      <c r="F809"/>
      <c r="G809"/>
      <c r="H809"/>
      <c r="I809"/>
      <c r="J809"/>
      <c r="K809"/>
      <c r="L809"/>
      <c r="M809"/>
      <c r="N809"/>
      <c r="O809"/>
      <c r="P809"/>
      <c r="Q809"/>
      <c r="R809"/>
      <c r="S809"/>
      <c r="T809"/>
      <c r="U809"/>
      <c r="V809"/>
      <c r="W809"/>
      <c r="X809"/>
      <c r="Y809"/>
      <c r="Z809"/>
      <c r="AA809"/>
      <c r="AB809"/>
      <c r="AC809"/>
      <c r="AD809"/>
      <c r="AE809"/>
      <c r="AF809"/>
      <c r="AG809"/>
      <c r="AH809"/>
      <c r="AI809"/>
      <c r="AJ809"/>
      <c r="AK809"/>
      <c r="AL809"/>
    </row>
    <row r="810" spans="1:38">
      <c r="A810"/>
      <c r="B810"/>
      <c r="C810"/>
      <c r="D810"/>
      <c r="E810"/>
      <c r="F810"/>
      <c r="G810"/>
      <c r="H810"/>
      <c r="I810"/>
      <c r="J810"/>
      <c r="K810"/>
      <c r="L810"/>
      <c r="M810"/>
      <c r="N810"/>
      <c r="O810"/>
      <c r="P810"/>
      <c r="Q810"/>
      <c r="R810"/>
      <c r="S810"/>
      <c r="T810"/>
      <c r="U810"/>
      <c r="V810"/>
      <c r="W810"/>
      <c r="X810"/>
      <c r="Y810"/>
      <c r="Z810"/>
      <c r="AA810"/>
      <c r="AB810"/>
      <c r="AC810"/>
      <c r="AD810"/>
      <c r="AE810"/>
      <c r="AF810"/>
      <c r="AG810"/>
      <c r="AH810"/>
      <c r="AI810"/>
      <c r="AJ810"/>
      <c r="AK810"/>
      <c r="AL810"/>
    </row>
    <row r="811" spans="1:38">
      <c r="A811"/>
      <c r="B811"/>
      <c r="C811"/>
      <c r="D811"/>
      <c r="E811"/>
      <c r="F811"/>
      <c r="G811"/>
      <c r="H811"/>
      <c r="I811"/>
      <c r="J811"/>
      <c r="K811"/>
      <c r="L811"/>
      <c r="M811"/>
      <c r="N811"/>
      <c r="O811"/>
      <c r="P811"/>
      <c r="Q811"/>
      <c r="R811"/>
      <c r="S811"/>
      <c r="T811"/>
      <c r="U811"/>
      <c r="V811"/>
      <c r="W811"/>
      <c r="X811"/>
      <c r="Y811"/>
      <c r="Z811"/>
      <c r="AA811"/>
      <c r="AB811"/>
      <c r="AC811"/>
      <c r="AD811"/>
      <c r="AE811"/>
      <c r="AF811"/>
      <c r="AG811"/>
      <c r="AH811"/>
      <c r="AI811"/>
      <c r="AJ811"/>
      <c r="AK811"/>
      <c r="AL811"/>
    </row>
    <row r="812" spans="1:38">
      <c r="A812"/>
      <c r="B812"/>
      <c r="C812"/>
      <c r="D812"/>
      <c r="E812"/>
      <c r="F812"/>
      <c r="G812"/>
      <c r="H812"/>
      <c r="I812"/>
      <c r="J812"/>
      <c r="K812"/>
      <c r="L812"/>
      <c r="M812"/>
      <c r="N812"/>
      <c r="O812"/>
      <c r="P812"/>
      <c r="Q812"/>
      <c r="R812"/>
      <c r="S812"/>
      <c r="T812"/>
      <c r="U812"/>
      <c r="V812"/>
      <c r="W812"/>
      <c r="X812"/>
      <c r="Y812"/>
      <c r="Z812"/>
      <c r="AA812"/>
      <c r="AB812"/>
      <c r="AC812"/>
      <c r="AD812"/>
      <c r="AE812"/>
      <c r="AF812"/>
      <c r="AG812"/>
      <c r="AH812"/>
      <c r="AI812"/>
      <c r="AJ812"/>
      <c r="AK812"/>
      <c r="AL812"/>
    </row>
    <row r="813" spans="1:38">
      <c r="A813"/>
      <c r="B813"/>
      <c r="C813"/>
      <c r="D813"/>
      <c r="E813"/>
      <c r="F813"/>
      <c r="G813"/>
      <c r="H813"/>
      <c r="I813"/>
      <c r="J813"/>
      <c r="K813"/>
      <c r="L813"/>
      <c r="M813"/>
      <c r="N813"/>
      <c r="O813"/>
      <c r="P813"/>
      <c r="Q813"/>
      <c r="R813"/>
      <c r="S813"/>
      <c r="T813"/>
      <c r="U813"/>
      <c r="V813"/>
      <c r="W813"/>
      <c r="X813"/>
      <c r="Y813"/>
      <c r="Z813"/>
      <c r="AA813"/>
      <c r="AB813"/>
      <c r="AC813"/>
      <c r="AD813"/>
      <c r="AE813"/>
      <c r="AF813"/>
      <c r="AG813"/>
      <c r="AH813"/>
      <c r="AI813"/>
      <c r="AJ813"/>
      <c r="AK813"/>
      <c r="AL813"/>
    </row>
    <row r="814" spans="1:38">
      <c r="A814"/>
      <c r="B814"/>
      <c r="C814"/>
      <c r="D814"/>
      <c r="E814"/>
      <c r="F814"/>
      <c r="G814"/>
      <c r="H814"/>
      <c r="I814"/>
      <c r="J814"/>
      <c r="K814"/>
      <c r="L814"/>
      <c r="M814"/>
      <c r="N814"/>
      <c r="O814"/>
      <c r="P814"/>
      <c r="Q814"/>
      <c r="R814"/>
      <c r="S814"/>
      <c r="T814"/>
      <c r="U814"/>
      <c r="V814"/>
      <c r="W814"/>
      <c r="X814"/>
      <c r="Y814"/>
      <c r="Z814"/>
      <c r="AA814"/>
      <c r="AB814"/>
      <c r="AC814"/>
      <c r="AD814"/>
      <c r="AE814"/>
      <c r="AF814"/>
      <c r="AG814"/>
      <c r="AH814"/>
      <c r="AI814"/>
      <c r="AJ814"/>
      <c r="AK814"/>
      <c r="AL814"/>
    </row>
    <row r="815" spans="1:38">
      <c r="A815"/>
      <c r="B815"/>
      <c r="C815"/>
      <c r="D815"/>
      <c r="E815"/>
      <c r="F815"/>
      <c r="G815"/>
      <c r="H815"/>
      <c r="I815"/>
      <c r="J815"/>
      <c r="K815"/>
      <c r="L815"/>
      <c r="M815"/>
      <c r="N815"/>
      <c r="O815"/>
      <c r="P815"/>
      <c r="Q815"/>
      <c r="R815"/>
      <c r="S815"/>
      <c r="T815"/>
      <c r="U815"/>
      <c r="V815"/>
      <c r="W815"/>
      <c r="X815"/>
      <c r="Y815"/>
      <c r="Z815"/>
      <c r="AA815"/>
      <c r="AB815"/>
      <c r="AC815"/>
      <c r="AD815"/>
      <c r="AE815"/>
      <c r="AF815"/>
      <c r="AG815"/>
      <c r="AH815"/>
      <c r="AI815"/>
      <c r="AJ815"/>
      <c r="AK815"/>
      <c r="AL815"/>
    </row>
    <row r="816" spans="1:38">
      <c r="A816"/>
      <c r="B816"/>
      <c r="C816"/>
      <c r="D816"/>
      <c r="E816"/>
      <c r="F816"/>
      <c r="G816"/>
      <c r="H816"/>
      <c r="I816"/>
      <c r="J816"/>
      <c r="K816"/>
      <c r="L816"/>
      <c r="M816"/>
      <c r="N816"/>
      <c r="O816"/>
      <c r="P816"/>
      <c r="Q816"/>
      <c r="R816"/>
      <c r="S816"/>
      <c r="T816"/>
      <c r="U816"/>
      <c r="V816"/>
      <c r="W816"/>
      <c r="X816"/>
      <c r="Y816"/>
      <c r="Z816"/>
      <c r="AA816"/>
      <c r="AB816"/>
      <c r="AC816"/>
      <c r="AD816"/>
      <c r="AE816"/>
      <c r="AF816"/>
      <c r="AG816"/>
      <c r="AH816"/>
      <c r="AI816"/>
      <c r="AJ816"/>
      <c r="AK816"/>
      <c r="AL816"/>
    </row>
    <row r="817" spans="1:38">
      <c r="A817"/>
      <c r="B817"/>
      <c r="C817"/>
      <c r="D817"/>
      <c r="E817"/>
      <c r="F817"/>
      <c r="G817"/>
      <c r="H817"/>
      <c r="I817"/>
      <c r="J817"/>
      <c r="K817"/>
      <c r="L817"/>
      <c r="M817"/>
      <c r="N817"/>
      <c r="O817"/>
      <c r="P817"/>
      <c r="Q817"/>
      <c r="R817"/>
      <c r="S817"/>
      <c r="T817"/>
      <c r="U817"/>
      <c r="V817"/>
      <c r="W817"/>
      <c r="X817"/>
      <c r="Y817"/>
      <c r="Z817"/>
      <c r="AA817"/>
      <c r="AB817"/>
      <c r="AC817"/>
      <c r="AD817"/>
      <c r="AE817"/>
      <c r="AF817"/>
      <c r="AG817"/>
      <c r="AH817"/>
      <c r="AI817"/>
      <c r="AJ817"/>
      <c r="AK817"/>
      <c r="AL817"/>
    </row>
    <row r="818" spans="1:38">
      <c r="A818"/>
      <c r="B818"/>
      <c r="C818"/>
      <c r="D818"/>
      <c r="E818"/>
      <c r="F818"/>
      <c r="G818"/>
      <c r="H818"/>
      <c r="I818"/>
      <c r="J818"/>
      <c r="K818"/>
      <c r="L818"/>
      <c r="M818"/>
      <c r="N818"/>
      <c r="O818"/>
      <c r="P818"/>
      <c r="Q818"/>
      <c r="R818"/>
      <c r="S818"/>
      <c r="T818"/>
      <c r="U818"/>
      <c r="V818"/>
      <c r="W818"/>
      <c r="X818"/>
      <c r="Y818"/>
      <c r="Z818"/>
      <c r="AA818"/>
      <c r="AB818"/>
      <c r="AC818"/>
      <c r="AD818"/>
      <c r="AE818"/>
      <c r="AF818"/>
      <c r="AG818"/>
      <c r="AH818"/>
      <c r="AI818"/>
      <c r="AJ818"/>
      <c r="AK818"/>
      <c r="AL818"/>
    </row>
    <row r="819" spans="1:38">
      <c r="A819"/>
      <c r="B819"/>
      <c r="C819"/>
      <c r="D819"/>
      <c r="E819"/>
      <c r="F819"/>
      <c r="G819"/>
      <c r="H819"/>
      <c r="I819"/>
      <c r="J819"/>
      <c r="K819"/>
      <c r="L819"/>
      <c r="M819"/>
      <c r="N819"/>
      <c r="O819"/>
      <c r="P819"/>
      <c r="Q819"/>
      <c r="R819"/>
      <c r="S819"/>
      <c r="T819"/>
      <c r="U819"/>
      <c r="V819"/>
      <c r="W819"/>
      <c r="X819"/>
      <c r="Y819"/>
      <c r="Z819"/>
      <c r="AA819"/>
      <c r="AB819"/>
      <c r="AC819"/>
      <c r="AD819"/>
      <c r="AE819"/>
      <c r="AF819"/>
      <c r="AG819"/>
      <c r="AH819"/>
      <c r="AI819"/>
      <c r="AJ819"/>
      <c r="AK819"/>
      <c r="AL819"/>
    </row>
    <row r="820" spans="1:38">
      <c r="A820"/>
      <c r="B820"/>
      <c r="C820"/>
      <c r="D820"/>
      <c r="E820"/>
      <c r="F820"/>
      <c r="G820"/>
      <c r="H820"/>
      <c r="I820"/>
      <c r="J820"/>
      <c r="K820"/>
      <c r="L820"/>
      <c r="M820"/>
      <c r="N820"/>
      <c r="O820"/>
      <c r="P820"/>
      <c r="Q820"/>
      <c r="R820"/>
      <c r="S820"/>
      <c r="T820"/>
      <c r="U820"/>
      <c r="V820"/>
      <c r="W820"/>
      <c r="X820"/>
      <c r="Y820"/>
      <c r="Z820"/>
      <c r="AA820"/>
      <c r="AB820"/>
      <c r="AC820"/>
      <c r="AD820"/>
      <c r="AE820"/>
      <c r="AF820"/>
      <c r="AG820"/>
      <c r="AH820"/>
      <c r="AI820"/>
      <c r="AJ820"/>
      <c r="AK820"/>
      <c r="AL820"/>
    </row>
    <row r="821" spans="1:38">
      <c r="A821"/>
      <c r="B821"/>
      <c r="C821"/>
      <c r="D821"/>
      <c r="E821"/>
      <c r="F821"/>
      <c r="G821"/>
      <c r="H821"/>
      <c r="I821"/>
      <c r="J821"/>
      <c r="K821"/>
      <c r="L821"/>
      <c r="M821"/>
      <c r="N821"/>
      <c r="O821"/>
      <c r="P821"/>
      <c r="Q821"/>
      <c r="R821"/>
      <c r="S821"/>
      <c r="T821"/>
      <c r="U821"/>
      <c r="V821"/>
      <c r="W821"/>
      <c r="X821"/>
      <c r="Y821"/>
      <c r="Z821"/>
      <c r="AA821"/>
      <c r="AB821"/>
      <c r="AC821"/>
      <c r="AD821"/>
      <c r="AE821"/>
      <c r="AF821"/>
      <c r="AG821"/>
      <c r="AH821"/>
      <c r="AI821"/>
      <c r="AJ821"/>
      <c r="AK821"/>
      <c r="AL821"/>
    </row>
    <row r="822" spans="1:38">
      <c r="A822"/>
      <c r="B822"/>
      <c r="C822"/>
      <c r="D822"/>
      <c r="E822"/>
      <c r="F822"/>
      <c r="G822"/>
      <c r="H822"/>
      <c r="I822"/>
      <c r="J822"/>
      <c r="K822"/>
      <c r="L822"/>
      <c r="M822"/>
      <c r="N822"/>
      <c r="O822"/>
      <c r="P822"/>
      <c r="Q822"/>
      <c r="R822"/>
      <c r="S822"/>
      <c r="T822"/>
      <c r="U822"/>
      <c r="V822"/>
      <c r="W822"/>
      <c r="X822"/>
      <c r="Y822"/>
      <c r="Z822"/>
      <c r="AA822"/>
      <c r="AB822"/>
      <c r="AC822"/>
      <c r="AD822"/>
      <c r="AE822"/>
      <c r="AF822"/>
      <c r="AG822"/>
      <c r="AH822"/>
      <c r="AI822"/>
      <c r="AJ822"/>
      <c r="AK822"/>
      <c r="AL822"/>
    </row>
    <row r="823" spans="1:38">
      <c r="A823"/>
      <c r="B823"/>
      <c r="C823"/>
      <c r="D823"/>
      <c r="E823"/>
      <c r="F823"/>
      <c r="G823"/>
      <c r="H823"/>
      <c r="I823"/>
      <c r="J823"/>
      <c r="K823"/>
      <c r="L823"/>
      <c r="M823"/>
      <c r="N823"/>
      <c r="O823"/>
      <c r="P823"/>
      <c r="Q823"/>
      <c r="R823"/>
      <c r="S823"/>
      <c r="T823"/>
      <c r="U823"/>
      <c r="V823"/>
      <c r="W823"/>
      <c r="X823"/>
      <c r="Y823"/>
      <c r="Z823"/>
      <c r="AA823"/>
      <c r="AB823"/>
      <c r="AC823"/>
      <c r="AD823"/>
      <c r="AE823"/>
      <c r="AF823"/>
      <c r="AG823"/>
      <c r="AH823"/>
      <c r="AI823"/>
      <c r="AJ823"/>
      <c r="AK823"/>
      <c r="AL823"/>
    </row>
    <row r="824" spans="1:38">
      <c r="A824"/>
      <c r="B824"/>
      <c r="C824"/>
      <c r="D824"/>
      <c r="E824"/>
      <c r="F824"/>
      <c r="G824"/>
      <c r="H824"/>
      <c r="I824"/>
      <c r="J824"/>
      <c r="K824"/>
      <c r="L824"/>
      <c r="M824"/>
      <c r="N824"/>
      <c r="O824"/>
      <c r="P824"/>
      <c r="Q824"/>
      <c r="R824"/>
      <c r="S824"/>
      <c r="T824"/>
      <c r="U824"/>
      <c r="V824"/>
      <c r="W824"/>
      <c r="X824"/>
      <c r="Y824"/>
      <c r="Z824"/>
      <c r="AA824"/>
      <c r="AB824"/>
      <c r="AC824"/>
      <c r="AD824"/>
      <c r="AE824"/>
      <c r="AF824"/>
      <c r="AG824"/>
      <c r="AH824"/>
      <c r="AI824"/>
      <c r="AJ824"/>
      <c r="AK824"/>
      <c r="AL824"/>
    </row>
    <row r="825" spans="1:38">
      <c r="A825"/>
      <c r="B825"/>
      <c r="C825"/>
      <c r="D825"/>
      <c r="E825"/>
      <c r="F825"/>
      <c r="G825"/>
      <c r="H825"/>
      <c r="I825"/>
      <c r="J825"/>
      <c r="K825"/>
      <c r="L825"/>
      <c r="M825"/>
      <c r="N825"/>
      <c r="O825"/>
      <c r="P825"/>
      <c r="Q825"/>
      <c r="R825"/>
      <c r="S825"/>
      <c r="T825"/>
      <c r="U825"/>
      <c r="V825"/>
      <c r="W825"/>
      <c r="X825"/>
      <c r="Y825"/>
      <c r="Z825"/>
      <c r="AA825"/>
      <c r="AB825"/>
      <c r="AC825"/>
      <c r="AD825"/>
      <c r="AE825"/>
      <c r="AF825"/>
      <c r="AG825"/>
      <c r="AH825"/>
      <c r="AI825"/>
      <c r="AJ825"/>
      <c r="AK825"/>
      <c r="AL825"/>
    </row>
    <row r="826" spans="1:38">
      <c r="A826"/>
      <c r="B826"/>
      <c r="C826"/>
      <c r="D826"/>
      <c r="E826"/>
      <c r="F826"/>
      <c r="G826"/>
      <c r="H826"/>
      <c r="I826"/>
      <c r="J826"/>
      <c r="K826"/>
      <c r="L826"/>
      <c r="M826"/>
      <c r="N826"/>
      <c r="O826"/>
      <c r="P826"/>
      <c r="Q826"/>
      <c r="R826"/>
      <c r="S826"/>
      <c r="T826"/>
      <c r="U826"/>
      <c r="V826"/>
      <c r="W826"/>
      <c r="X826"/>
      <c r="Y826"/>
      <c r="Z826"/>
      <c r="AA826"/>
      <c r="AB826"/>
      <c r="AC826"/>
      <c r="AD826"/>
      <c r="AE826"/>
      <c r="AF826"/>
      <c r="AG826"/>
      <c r="AH826"/>
      <c r="AI826"/>
      <c r="AJ826"/>
      <c r="AK826"/>
      <c r="AL826"/>
    </row>
    <row r="827" spans="1:38">
      <c r="A827"/>
      <c r="B827"/>
      <c r="C827"/>
      <c r="D827"/>
      <c r="E827"/>
      <c r="F827"/>
      <c r="G827"/>
      <c r="H827"/>
      <c r="I827"/>
      <c r="J827"/>
      <c r="K827"/>
      <c r="L827"/>
      <c r="M827"/>
      <c r="N827"/>
      <c r="O827"/>
      <c r="P827"/>
      <c r="Q827"/>
      <c r="R827"/>
      <c r="S827"/>
      <c r="T827"/>
      <c r="U827"/>
      <c r="V827"/>
      <c r="W827"/>
      <c r="X827"/>
      <c r="Y827"/>
      <c r="Z827"/>
      <c r="AA827"/>
      <c r="AB827"/>
      <c r="AC827"/>
      <c r="AD827"/>
      <c r="AE827"/>
      <c r="AF827"/>
      <c r="AG827"/>
      <c r="AH827"/>
      <c r="AI827"/>
      <c r="AJ827"/>
      <c r="AK827"/>
      <c r="AL827"/>
    </row>
    <row r="828" spans="1:38">
      <c r="A828"/>
      <c r="B828"/>
      <c r="C828"/>
      <c r="D828"/>
      <c r="E828"/>
      <c r="F828"/>
      <c r="G828"/>
      <c r="H828"/>
      <c r="I828"/>
      <c r="J828"/>
      <c r="K828"/>
      <c r="L828"/>
      <c r="M828"/>
      <c r="N828"/>
      <c r="O828"/>
      <c r="P828"/>
      <c r="Q828"/>
      <c r="R828"/>
      <c r="S828"/>
      <c r="T828"/>
      <c r="U828"/>
      <c r="V828"/>
      <c r="W828"/>
      <c r="X828"/>
      <c r="Y828"/>
      <c r="Z828"/>
      <c r="AA828"/>
      <c r="AB828"/>
      <c r="AC828"/>
      <c r="AD828"/>
      <c r="AE828"/>
      <c r="AF828"/>
      <c r="AG828"/>
      <c r="AH828"/>
      <c r="AI828"/>
      <c r="AJ828"/>
      <c r="AK828"/>
      <c r="AL828"/>
    </row>
    <row r="829" spans="1:38">
      <c r="A829"/>
      <c r="B829"/>
      <c r="C829"/>
      <c r="D829"/>
      <c r="E829"/>
      <c r="F829"/>
      <c r="G829"/>
      <c r="H829"/>
      <c r="I829"/>
      <c r="J829"/>
      <c r="K829"/>
      <c r="L829"/>
      <c r="M829"/>
      <c r="N829"/>
      <c r="O829"/>
      <c r="P829"/>
      <c r="Q829"/>
      <c r="R829"/>
      <c r="S829"/>
      <c r="T829"/>
      <c r="U829"/>
      <c r="V829"/>
      <c r="W829"/>
      <c r="X829"/>
      <c r="Y829"/>
      <c r="Z829"/>
      <c r="AA829"/>
      <c r="AB829"/>
      <c r="AC829"/>
      <c r="AD829"/>
      <c r="AE829"/>
      <c r="AF829"/>
      <c r="AG829"/>
      <c r="AH829"/>
      <c r="AI829"/>
      <c r="AJ829"/>
      <c r="AK829"/>
      <c r="AL829"/>
    </row>
    <row r="830" spans="1:38">
      <c r="A830"/>
      <c r="B830"/>
      <c r="C830"/>
      <c r="D830"/>
      <c r="E830"/>
      <c r="F830"/>
      <c r="G830"/>
      <c r="H830"/>
      <c r="I830"/>
      <c r="J830"/>
      <c r="K830"/>
      <c r="L830"/>
      <c r="M830"/>
      <c r="N830"/>
      <c r="O830"/>
      <c r="P830"/>
      <c r="Q830"/>
      <c r="R830"/>
      <c r="S830"/>
      <c r="T830"/>
      <c r="U830"/>
      <c r="V830"/>
      <c r="W830"/>
      <c r="X830"/>
      <c r="Y830"/>
      <c r="Z830"/>
      <c r="AA830"/>
      <c r="AB830"/>
      <c r="AC830"/>
      <c r="AD830"/>
      <c r="AE830"/>
      <c r="AF830"/>
      <c r="AG830"/>
      <c r="AH830"/>
      <c r="AI830"/>
      <c r="AJ830"/>
      <c r="AK830"/>
      <c r="AL830"/>
    </row>
    <row r="831" spans="1:38">
      <c r="A831"/>
      <c r="B831"/>
      <c r="C831"/>
      <c r="D831"/>
      <c r="E831"/>
      <c r="F831"/>
      <c r="G831"/>
      <c r="H831"/>
      <c r="I831"/>
      <c r="J831"/>
      <c r="K831"/>
      <c r="L831"/>
      <c r="M831"/>
      <c r="N831"/>
      <c r="O831"/>
      <c r="P831"/>
      <c r="Q831"/>
      <c r="R831"/>
      <c r="S831"/>
      <c r="T831"/>
      <c r="U831"/>
      <c r="V831"/>
      <c r="W831"/>
      <c r="X831"/>
      <c r="Y831"/>
      <c r="Z831"/>
      <c r="AA831"/>
      <c r="AB831"/>
      <c r="AC831"/>
      <c r="AD831"/>
      <c r="AE831"/>
      <c r="AF831"/>
      <c r="AG831"/>
      <c r="AH831"/>
      <c r="AI831"/>
      <c r="AJ831"/>
      <c r="AK831"/>
      <c r="AL831"/>
    </row>
    <row r="832" spans="1:38">
      <c r="A832"/>
      <c r="B832"/>
      <c r="C832"/>
      <c r="D832"/>
      <c r="E832"/>
      <c r="F832"/>
      <c r="G832"/>
      <c r="H832"/>
      <c r="I832"/>
      <c r="J832"/>
      <c r="K832"/>
      <c r="L832"/>
      <c r="M832"/>
      <c r="N832"/>
      <c r="O832"/>
      <c r="P832"/>
      <c r="Q832"/>
      <c r="R832"/>
      <c r="S832"/>
      <c r="T832"/>
      <c r="U832"/>
      <c r="V832"/>
      <c r="W832"/>
      <c r="X832"/>
      <c r="Y832"/>
      <c r="Z832"/>
      <c r="AA832"/>
      <c r="AB832"/>
      <c r="AC832"/>
      <c r="AD832"/>
      <c r="AE832"/>
      <c r="AF832"/>
      <c r="AG832"/>
      <c r="AH832"/>
      <c r="AI832"/>
      <c r="AJ832"/>
      <c r="AK832"/>
      <c r="AL832"/>
    </row>
    <row r="833" spans="1:38">
      <c r="A833"/>
      <c r="B833"/>
      <c r="C833"/>
      <c r="D833"/>
      <c r="E833"/>
      <c r="F833"/>
      <c r="G833"/>
      <c r="H833"/>
      <c r="I833"/>
      <c r="J833"/>
      <c r="K833"/>
      <c r="L833"/>
      <c r="M833"/>
      <c r="N833"/>
      <c r="O833"/>
      <c r="P833"/>
      <c r="Q833"/>
      <c r="R833"/>
      <c r="S833"/>
      <c r="T833"/>
      <c r="U833"/>
      <c r="V833"/>
      <c r="W833"/>
      <c r="X833"/>
      <c r="Y833"/>
      <c r="Z833"/>
      <c r="AA833"/>
      <c r="AB833"/>
      <c r="AC833"/>
      <c r="AD833"/>
      <c r="AE833"/>
      <c r="AF833"/>
      <c r="AG833"/>
      <c r="AH833"/>
      <c r="AI833"/>
      <c r="AJ833"/>
      <c r="AK833"/>
      <c r="AL833"/>
    </row>
    <row r="834" spans="1:38">
      <c r="A834"/>
      <c r="B834"/>
      <c r="C834"/>
      <c r="D834"/>
      <c r="E834"/>
      <c r="F834"/>
      <c r="G834"/>
      <c r="H834"/>
      <c r="I834"/>
      <c r="J834"/>
      <c r="K834"/>
      <c r="L834"/>
      <c r="M834"/>
      <c r="N834"/>
      <c r="O834"/>
      <c r="P834"/>
      <c r="Q834"/>
      <c r="R834"/>
      <c r="S834"/>
      <c r="T834"/>
      <c r="U834"/>
      <c r="V834"/>
      <c r="W834"/>
      <c r="X834"/>
      <c r="Y834"/>
      <c r="Z834"/>
      <c r="AA834"/>
      <c r="AB834"/>
      <c r="AC834"/>
      <c r="AD834"/>
      <c r="AE834"/>
      <c r="AF834"/>
      <c r="AG834"/>
      <c r="AH834"/>
      <c r="AI834"/>
      <c r="AJ834"/>
      <c r="AK834"/>
      <c r="AL834"/>
    </row>
    <row r="835" spans="1:38">
      <c r="A835"/>
      <c r="B835"/>
      <c r="C835"/>
      <c r="D835"/>
      <c r="E835"/>
      <c r="F835"/>
      <c r="G835"/>
      <c r="H835"/>
      <c r="I835"/>
      <c r="J835"/>
      <c r="K835"/>
      <c r="L835"/>
      <c r="M835"/>
      <c r="N835"/>
      <c r="O835"/>
      <c r="P835"/>
      <c r="Q835"/>
      <c r="R835"/>
      <c r="S835"/>
      <c r="T835"/>
      <c r="U835"/>
      <c r="V835"/>
      <c r="W835"/>
      <c r="X835"/>
      <c r="Y835"/>
      <c r="Z835"/>
      <c r="AA835"/>
      <c r="AB835"/>
      <c r="AC835"/>
      <c r="AD835"/>
      <c r="AE835"/>
      <c r="AF835"/>
      <c r="AG835"/>
      <c r="AH835"/>
      <c r="AI835"/>
      <c r="AJ835"/>
      <c r="AK835"/>
      <c r="AL835"/>
    </row>
    <row r="836" spans="1:38">
      <c r="A836"/>
      <c r="B836"/>
      <c r="C836"/>
      <c r="D836"/>
      <c r="E836"/>
      <c r="F836"/>
      <c r="G836"/>
      <c r="H836"/>
      <c r="I836"/>
      <c r="J836"/>
      <c r="K836"/>
      <c r="L836"/>
      <c r="M836"/>
      <c r="N836"/>
      <c r="O836"/>
      <c r="P836"/>
      <c r="Q836"/>
      <c r="R836"/>
      <c r="S836"/>
      <c r="T836"/>
      <c r="U836"/>
      <c r="V836"/>
      <c r="W836"/>
      <c r="X836"/>
      <c r="Y836"/>
      <c r="Z836"/>
      <c r="AA836"/>
      <c r="AB836"/>
      <c r="AC836"/>
      <c r="AD836"/>
      <c r="AE836"/>
      <c r="AF836"/>
      <c r="AG836"/>
      <c r="AH836"/>
      <c r="AI836"/>
      <c r="AJ836"/>
      <c r="AK836"/>
      <c r="AL836"/>
    </row>
    <row r="837" spans="1:38">
      <c r="A837"/>
      <c r="B837"/>
      <c r="C837"/>
      <c r="D837"/>
      <c r="E837"/>
      <c r="F837"/>
      <c r="G837"/>
      <c r="H837"/>
      <c r="I837"/>
      <c r="J837"/>
      <c r="K837"/>
      <c r="L837"/>
      <c r="M837"/>
      <c r="N837"/>
      <c r="O837"/>
      <c r="P837"/>
      <c r="Q837"/>
      <c r="R837"/>
      <c r="S837"/>
      <c r="T837"/>
      <c r="U837"/>
      <c r="V837"/>
      <c r="W837"/>
      <c r="X837"/>
      <c r="Y837"/>
      <c r="Z837"/>
      <c r="AA837"/>
      <c r="AB837"/>
      <c r="AC837"/>
      <c r="AD837"/>
      <c r="AE837"/>
      <c r="AF837"/>
      <c r="AG837"/>
      <c r="AH837"/>
      <c r="AI837"/>
      <c r="AJ837"/>
      <c r="AK837"/>
      <c r="AL837"/>
    </row>
    <row r="838" spans="1:38">
      <c r="A838"/>
      <c r="B838"/>
      <c r="C838"/>
      <c r="D838"/>
      <c r="E838"/>
      <c r="F838"/>
      <c r="G838"/>
      <c r="H838"/>
      <c r="I838"/>
      <c r="J838"/>
      <c r="K838"/>
      <c r="L838"/>
      <c r="M838"/>
      <c r="N838"/>
      <c r="O838"/>
      <c r="P838"/>
      <c r="Q838"/>
      <c r="R838"/>
      <c r="S838"/>
      <c r="T838"/>
      <c r="U838"/>
      <c r="V838"/>
      <c r="W838"/>
      <c r="X838"/>
      <c r="Y838"/>
      <c r="Z838"/>
      <c r="AA838"/>
      <c r="AB838"/>
      <c r="AC838"/>
      <c r="AD838"/>
      <c r="AE838"/>
      <c r="AF838"/>
      <c r="AG838"/>
      <c r="AH838"/>
      <c r="AI838"/>
      <c r="AJ838"/>
      <c r="AK838"/>
      <c r="AL838"/>
    </row>
    <row r="839" spans="1:38">
      <c r="A839"/>
      <c r="B839"/>
      <c r="C839"/>
      <c r="D839"/>
      <c r="E839"/>
      <c r="F839"/>
      <c r="G839"/>
      <c r="H839"/>
      <c r="I839"/>
      <c r="J839"/>
      <c r="K839"/>
      <c r="L839"/>
      <c r="M839"/>
      <c r="N839"/>
      <c r="O839"/>
      <c r="P839"/>
      <c r="Q839"/>
      <c r="R839"/>
      <c r="S839"/>
      <c r="T839"/>
      <c r="U839"/>
      <c r="V839"/>
      <c r="W839"/>
      <c r="X839"/>
      <c r="Y839"/>
      <c r="Z839"/>
      <c r="AA839"/>
      <c r="AB839"/>
      <c r="AC839"/>
      <c r="AD839"/>
      <c r="AE839"/>
      <c r="AF839"/>
      <c r="AG839"/>
      <c r="AH839"/>
      <c r="AI839"/>
      <c r="AJ839"/>
      <c r="AK839"/>
      <c r="AL839"/>
    </row>
    <row r="840" spans="1:38">
      <c r="A840"/>
      <c r="B840"/>
      <c r="C840"/>
      <c r="D840"/>
      <c r="E840"/>
      <c r="F840"/>
      <c r="G840"/>
      <c r="H840"/>
      <c r="I840"/>
      <c r="J840"/>
      <c r="K840"/>
      <c r="L840"/>
      <c r="M840"/>
      <c r="N840"/>
      <c r="O840"/>
      <c r="P840"/>
      <c r="Q840"/>
      <c r="R840"/>
      <c r="S840"/>
      <c r="T840"/>
      <c r="U840"/>
      <c r="V840"/>
      <c r="W840"/>
      <c r="X840"/>
      <c r="Y840"/>
      <c r="Z840"/>
      <c r="AA840"/>
      <c r="AB840"/>
      <c r="AC840"/>
      <c r="AD840"/>
      <c r="AE840"/>
      <c r="AF840"/>
      <c r="AG840"/>
      <c r="AH840"/>
      <c r="AI840"/>
      <c r="AJ840"/>
      <c r="AK840"/>
      <c r="AL840"/>
    </row>
    <row r="841" spans="1:38">
      <c r="A841"/>
      <c r="B841"/>
      <c r="C841"/>
      <c r="D841"/>
      <c r="E841"/>
      <c r="F841"/>
      <c r="G841"/>
      <c r="H841"/>
      <c r="I841"/>
      <c r="J841"/>
      <c r="K841"/>
      <c r="L841"/>
      <c r="M841"/>
      <c r="N841"/>
      <c r="O841"/>
      <c r="P841"/>
      <c r="Q841"/>
      <c r="R841"/>
      <c r="S841"/>
      <c r="T841"/>
      <c r="U841"/>
      <c r="V841"/>
      <c r="W841"/>
      <c r="X841"/>
      <c r="Y841"/>
      <c r="Z841"/>
      <c r="AA841"/>
      <c r="AB841"/>
      <c r="AC841"/>
      <c r="AD841"/>
      <c r="AE841"/>
      <c r="AF841"/>
      <c r="AG841"/>
      <c r="AH841"/>
      <c r="AI841"/>
      <c r="AJ841"/>
      <c r="AK841"/>
      <c r="AL841"/>
    </row>
    <row r="842" spans="1:38">
      <c r="A842"/>
      <c r="B842"/>
      <c r="C842"/>
      <c r="D842"/>
      <c r="E842"/>
      <c r="F842"/>
      <c r="G842"/>
      <c r="H842"/>
      <c r="I842"/>
      <c r="J842"/>
      <c r="K842"/>
      <c r="L842"/>
      <c r="M842"/>
      <c r="N842"/>
      <c r="O842"/>
      <c r="P842"/>
      <c r="Q842"/>
      <c r="R842"/>
      <c r="S842"/>
      <c r="T842"/>
      <c r="U842"/>
      <c r="V842"/>
      <c r="W842"/>
      <c r="X842"/>
      <c r="Y842"/>
      <c r="Z842"/>
      <c r="AA842"/>
      <c r="AB842"/>
      <c r="AC842"/>
      <c r="AD842"/>
      <c r="AE842"/>
      <c r="AF842"/>
      <c r="AG842"/>
      <c r="AH842"/>
      <c r="AI842"/>
      <c r="AJ842"/>
      <c r="AK842"/>
      <c r="AL842"/>
    </row>
    <row r="843" spans="1:38">
      <c r="A843"/>
      <c r="B843"/>
      <c r="C843"/>
      <c r="D843"/>
      <c r="E843"/>
      <c r="F843"/>
      <c r="G843"/>
      <c r="H843"/>
      <c r="I843"/>
      <c r="J843"/>
      <c r="K843"/>
      <c r="L843"/>
      <c r="M843"/>
      <c r="N843"/>
      <c r="O843"/>
      <c r="P843"/>
      <c r="Q843"/>
      <c r="R843"/>
      <c r="S843"/>
      <c r="T843"/>
      <c r="U843"/>
      <c r="V843"/>
      <c r="W843"/>
      <c r="X843"/>
      <c r="Y843"/>
      <c r="Z843"/>
      <c r="AA843"/>
      <c r="AB843"/>
      <c r="AC843"/>
      <c r="AD843"/>
      <c r="AE843"/>
      <c r="AF843"/>
      <c r="AG843"/>
      <c r="AH843"/>
      <c r="AI843"/>
      <c r="AJ843"/>
      <c r="AK843"/>
      <c r="AL843"/>
    </row>
    <row r="844" spans="1:38">
      <c r="A844"/>
      <c r="B844"/>
      <c r="C844"/>
      <c r="D844"/>
      <c r="E844"/>
      <c r="F844"/>
      <c r="G844"/>
      <c r="H844"/>
      <c r="I844"/>
      <c r="J844"/>
      <c r="K844"/>
      <c r="L844"/>
      <c r="M844"/>
      <c r="N844"/>
      <c r="O844"/>
      <c r="P844"/>
      <c r="Q844"/>
      <c r="R844"/>
      <c r="S844"/>
      <c r="T844"/>
      <c r="U844"/>
      <c r="V844"/>
      <c r="W844"/>
      <c r="X844"/>
      <c r="Y844"/>
      <c r="Z844"/>
      <c r="AA844"/>
      <c r="AB844"/>
      <c r="AC844"/>
      <c r="AD844"/>
      <c r="AE844"/>
      <c r="AF844"/>
      <c r="AG844"/>
      <c r="AH844"/>
      <c r="AI844"/>
      <c r="AJ844"/>
      <c r="AK844"/>
      <c r="AL844"/>
    </row>
    <row r="845" spans="1:38">
      <c r="A845"/>
      <c r="B845"/>
      <c r="C845"/>
      <c r="D845"/>
      <c r="E845"/>
      <c r="F845"/>
      <c r="G845"/>
      <c r="H845"/>
      <c r="I845"/>
      <c r="J845"/>
      <c r="K845"/>
      <c r="L845"/>
      <c r="M845"/>
      <c r="N845"/>
      <c r="O845"/>
      <c r="P845"/>
      <c r="Q845"/>
      <c r="R845"/>
      <c r="S845"/>
      <c r="T845"/>
      <c r="U845"/>
      <c r="V845"/>
      <c r="W845"/>
      <c r="X845"/>
      <c r="Y845"/>
      <c r="Z845"/>
      <c r="AA845"/>
      <c r="AB845"/>
      <c r="AC845"/>
      <c r="AD845"/>
      <c r="AE845"/>
      <c r="AF845"/>
      <c r="AG845"/>
      <c r="AH845"/>
      <c r="AI845"/>
      <c r="AJ845"/>
      <c r="AK845"/>
      <c r="AL845"/>
    </row>
    <row r="846" spans="1:38">
      <c r="A846"/>
      <c r="B846"/>
      <c r="C846"/>
      <c r="D846"/>
      <c r="E846"/>
      <c r="F846"/>
      <c r="G846"/>
      <c r="H846"/>
      <c r="I846"/>
      <c r="J846"/>
      <c r="K846"/>
      <c r="L846"/>
      <c r="M846"/>
      <c r="N846"/>
      <c r="O846"/>
      <c r="P846"/>
      <c r="Q846"/>
      <c r="R846"/>
      <c r="S846"/>
      <c r="T846"/>
      <c r="U846"/>
      <c r="V846"/>
      <c r="W846"/>
      <c r="X846"/>
      <c r="Y846"/>
      <c r="Z846"/>
      <c r="AA846"/>
      <c r="AB846"/>
      <c r="AC846"/>
      <c r="AD846"/>
      <c r="AE846"/>
      <c r="AF846"/>
      <c r="AG846"/>
      <c r="AH846"/>
      <c r="AI846"/>
      <c r="AJ846"/>
      <c r="AK846"/>
      <c r="AL846"/>
    </row>
    <row r="847" spans="1:38">
      <c r="A847"/>
      <c r="B847"/>
      <c r="C847"/>
      <c r="D847"/>
      <c r="E847"/>
      <c r="F847"/>
      <c r="G847"/>
      <c r="H847"/>
      <c r="I847"/>
      <c r="J847"/>
      <c r="K847"/>
      <c r="L847"/>
      <c r="M847"/>
      <c r="N847"/>
      <c r="O847"/>
      <c r="P847"/>
      <c r="Q847"/>
      <c r="R847"/>
      <c r="S847"/>
      <c r="T847"/>
      <c r="U847"/>
      <c r="V847"/>
      <c r="W847"/>
      <c r="X847"/>
      <c r="Y847"/>
      <c r="Z847"/>
      <c r="AA847"/>
      <c r="AB847"/>
      <c r="AC847"/>
      <c r="AD847"/>
      <c r="AE847"/>
      <c r="AF847"/>
      <c r="AG847"/>
      <c r="AH847"/>
      <c r="AI847"/>
      <c r="AJ847"/>
      <c r="AK847"/>
      <c r="AL847"/>
    </row>
    <row r="848" spans="1:38">
      <c r="A848"/>
      <c r="B848"/>
      <c r="C848"/>
      <c r="D848"/>
      <c r="E848"/>
      <c r="F848"/>
      <c r="G848"/>
      <c r="H848"/>
      <c r="I848"/>
      <c r="J848"/>
      <c r="K848"/>
      <c r="L848"/>
      <c r="M848"/>
      <c r="N848"/>
      <c r="O848"/>
      <c r="P848"/>
      <c r="Q848"/>
      <c r="R848"/>
      <c r="S848"/>
      <c r="T848"/>
      <c r="U848"/>
      <c r="V848"/>
      <c r="W848"/>
      <c r="X848"/>
      <c r="Y848"/>
      <c r="Z848"/>
      <c r="AA848"/>
      <c r="AB848"/>
      <c r="AC848"/>
      <c r="AD848"/>
      <c r="AE848"/>
      <c r="AF848"/>
      <c r="AG848"/>
      <c r="AH848"/>
      <c r="AI848"/>
      <c r="AJ848"/>
      <c r="AK848"/>
      <c r="AL848"/>
    </row>
    <row r="849" spans="1:38">
      <c r="A849"/>
      <c r="B849"/>
      <c r="C849"/>
      <c r="D849"/>
      <c r="E849"/>
      <c r="F849"/>
      <c r="G849"/>
      <c r="H849"/>
      <c r="I849"/>
      <c r="J849"/>
      <c r="K849"/>
      <c r="L849"/>
      <c r="M849"/>
      <c r="N849"/>
      <c r="O849"/>
      <c r="P849"/>
      <c r="Q849"/>
      <c r="R849"/>
      <c r="S849"/>
      <c r="T849"/>
      <c r="U849"/>
      <c r="V849"/>
      <c r="W849"/>
      <c r="X849"/>
      <c r="Y849"/>
      <c r="Z849"/>
      <c r="AA849"/>
      <c r="AB849"/>
      <c r="AC849"/>
      <c r="AD849"/>
      <c r="AE849"/>
      <c r="AF849"/>
      <c r="AG849"/>
      <c r="AH849"/>
      <c r="AI849"/>
      <c r="AJ849"/>
      <c r="AK849"/>
      <c r="AL849"/>
    </row>
    <row r="850" spans="1:38">
      <c r="A850"/>
      <c r="B850"/>
      <c r="C850"/>
      <c r="D850"/>
      <c r="E850"/>
      <c r="F850"/>
      <c r="G850"/>
      <c r="H850"/>
      <c r="I850"/>
      <c r="J850"/>
      <c r="K850"/>
      <c r="L850"/>
      <c r="M850"/>
      <c r="N850"/>
      <c r="O850"/>
      <c r="P850"/>
      <c r="Q850"/>
      <c r="R850"/>
      <c r="S850"/>
      <c r="T850"/>
      <c r="U850"/>
      <c r="V850"/>
      <c r="W850"/>
      <c r="X850"/>
      <c r="Y850"/>
      <c r="Z850"/>
      <c r="AA850"/>
      <c r="AB850"/>
      <c r="AC850"/>
      <c r="AD850"/>
      <c r="AE850"/>
      <c r="AF850"/>
      <c r="AG850"/>
      <c r="AH850"/>
      <c r="AI850"/>
      <c r="AJ850"/>
      <c r="AK850"/>
      <c r="AL850"/>
    </row>
    <row r="851" spans="1:38">
      <c r="A851"/>
      <c r="B851"/>
      <c r="C851"/>
      <c r="D851"/>
      <c r="E851"/>
      <c r="F851"/>
      <c r="G851"/>
      <c r="H851"/>
      <c r="I851"/>
      <c r="J851"/>
      <c r="K851"/>
      <c r="L851"/>
      <c r="M851"/>
      <c r="N851"/>
      <c r="O851"/>
      <c r="P851"/>
      <c r="Q851"/>
      <c r="R851"/>
      <c r="S851"/>
      <c r="T851"/>
      <c r="U851"/>
      <c r="V851"/>
      <c r="W851"/>
      <c r="X851"/>
      <c r="Y851"/>
      <c r="Z851"/>
      <c r="AA851"/>
      <c r="AB851"/>
      <c r="AC851"/>
      <c r="AD851"/>
      <c r="AE851"/>
      <c r="AF851"/>
      <c r="AG851"/>
      <c r="AH851"/>
      <c r="AI851"/>
      <c r="AJ851"/>
      <c r="AK851"/>
      <c r="AL851"/>
    </row>
    <row r="852" spans="1:38">
      <c r="A852"/>
      <c r="B852"/>
      <c r="C852"/>
      <c r="D852"/>
      <c r="E852"/>
      <c r="F852"/>
      <c r="G852"/>
      <c r="H852"/>
      <c r="I852"/>
      <c r="J852"/>
      <c r="K852"/>
      <c r="L852"/>
      <c r="M852"/>
      <c r="N852"/>
      <c r="O852"/>
      <c r="P852"/>
      <c r="Q852"/>
      <c r="R852"/>
      <c r="S852"/>
      <c r="T852"/>
      <c r="U852"/>
      <c r="V852"/>
      <c r="W852"/>
      <c r="X852"/>
      <c r="Y852"/>
      <c r="Z852"/>
      <c r="AA852"/>
      <c r="AB852"/>
      <c r="AC852"/>
      <c r="AD852"/>
      <c r="AE852"/>
      <c r="AF852"/>
      <c r="AG852"/>
      <c r="AH852"/>
      <c r="AI852"/>
      <c r="AJ852"/>
      <c r="AK852"/>
      <c r="AL852"/>
    </row>
    <row r="853" spans="1:38">
      <c r="A853"/>
      <c r="B853"/>
      <c r="C853"/>
      <c r="D853"/>
      <c r="E853"/>
      <c r="F853"/>
      <c r="G853"/>
      <c r="H853"/>
      <c r="I853"/>
      <c r="J853"/>
      <c r="K853"/>
      <c r="L853"/>
      <c r="M853"/>
      <c r="N853"/>
      <c r="O853"/>
      <c r="P853"/>
      <c r="Q853"/>
      <c r="R853"/>
      <c r="S853"/>
      <c r="T853"/>
      <c r="U853"/>
      <c r="V853"/>
      <c r="W853"/>
      <c r="X853"/>
      <c r="Y853"/>
      <c r="Z853"/>
      <c r="AA853"/>
      <c r="AB853"/>
      <c r="AC853"/>
      <c r="AD853"/>
      <c r="AE853"/>
      <c r="AF853"/>
      <c r="AG853"/>
      <c r="AH853"/>
      <c r="AI853"/>
      <c r="AJ853"/>
      <c r="AK853"/>
      <c r="AL853"/>
    </row>
    <row r="854" spans="1:38">
      <c r="A854"/>
      <c r="B854"/>
      <c r="C854"/>
      <c r="D854"/>
      <c r="E854"/>
      <c r="F854"/>
      <c r="G854"/>
      <c r="H854"/>
      <c r="I854"/>
      <c r="J854"/>
      <c r="K854"/>
      <c r="L854"/>
      <c r="M854"/>
      <c r="N854"/>
      <c r="O854"/>
      <c r="P854"/>
      <c r="Q854"/>
      <c r="R854"/>
      <c r="S854"/>
      <c r="T854"/>
      <c r="U854"/>
      <c r="V854"/>
      <c r="W854"/>
      <c r="X854"/>
      <c r="Y854"/>
      <c r="Z854"/>
      <c r="AA854"/>
      <c r="AB854"/>
      <c r="AC854"/>
      <c r="AD854"/>
      <c r="AE854"/>
      <c r="AF854"/>
      <c r="AG854"/>
      <c r="AH854"/>
      <c r="AI854"/>
      <c r="AJ854"/>
      <c r="AK854"/>
      <c r="AL854"/>
    </row>
    <row r="855" spans="1:38">
      <c r="A855"/>
      <c r="B855"/>
      <c r="C855"/>
      <c r="D855"/>
      <c r="E855"/>
      <c r="F855"/>
      <c r="G855"/>
      <c r="H855"/>
      <c r="I855"/>
      <c r="J855"/>
      <c r="K855"/>
      <c r="L855"/>
      <c r="M855"/>
      <c r="N855"/>
      <c r="O855"/>
      <c r="P855"/>
      <c r="Q855"/>
      <c r="R855"/>
      <c r="S855"/>
      <c r="T855"/>
      <c r="U855"/>
      <c r="V855"/>
      <c r="W855"/>
      <c r="X855"/>
      <c r="Y855"/>
      <c r="Z855"/>
      <c r="AA855"/>
      <c r="AB855"/>
      <c r="AC855"/>
      <c r="AD855"/>
      <c r="AE855"/>
      <c r="AF855"/>
      <c r="AG855"/>
      <c r="AH855"/>
      <c r="AI855"/>
      <c r="AJ855"/>
      <c r="AK855"/>
      <c r="AL855"/>
    </row>
    <row r="856" spans="1:38">
      <c r="A856"/>
      <c r="B856"/>
      <c r="C856"/>
      <c r="D856"/>
      <c r="E856"/>
      <c r="F856"/>
      <c r="G856"/>
      <c r="H856"/>
      <c r="I856"/>
      <c r="J856"/>
      <c r="K856"/>
      <c r="L856"/>
      <c r="M856"/>
      <c r="N856"/>
      <c r="O856"/>
      <c r="P856"/>
      <c r="Q856"/>
      <c r="R856"/>
      <c r="S856"/>
      <c r="T856"/>
      <c r="U856"/>
      <c r="V856"/>
      <c r="W856"/>
      <c r="X856"/>
      <c r="Y856"/>
      <c r="Z856"/>
      <c r="AA856"/>
      <c r="AB856"/>
      <c r="AC856"/>
      <c r="AD856"/>
      <c r="AE856"/>
      <c r="AF856"/>
      <c r="AG856"/>
      <c r="AH856"/>
      <c r="AI856"/>
      <c r="AJ856"/>
      <c r="AK856"/>
      <c r="AL856"/>
    </row>
    <row r="857" spans="1:38">
      <c r="A857"/>
      <c r="B857"/>
      <c r="C857"/>
      <c r="D857"/>
      <c r="E857"/>
      <c r="F857"/>
      <c r="G857"/>
      <c r="H857"/>
      <c r="I857"/>
      <c r="J857"/>
      <c r="K857"/>
      <c r="L857"/>
      <c r="M857"/>
      <c r="N857"/>
      <c r="O857"/>
      <c r="P857"/>
      <c r="Q857"/>
      <c r="R857"/>
      <c r="S857"/>
      <c r="T857"/>
      <c r="U857"/>
      <c r="V857"/>
      <c r="W857"/>
      <c r="X857"/>
      <c r="Y857"/>
      <c r="Z857"/>
      <c r="AA857"/>
      <c r="AB857"/>
      <c r="AC857"/>
      <c r="AD857"/>
      <c r="AE857"/>
      <c r="AF857"/>
      <c r="AG857"/>
      <c r="AH857"/>
      <c r="AI857"/>
      <c r="AJ857"/>
      <c r="AK857"/>
      <c r="AL857"/>
    </row>
    <row r="858" spans="1:38">
      <c r="A858"/>
      <c r="B858"/>
      <c r="C858"/>
      <c r="D858"/>
      <c r="E858"/>
      <c r="F858"/>
      <c r="G858"/>
      <c r="H858"/>
      <c r="I858"/>
      <c r="J858"/>
      <c r="K858"/>
      <c r="L858"/>
      <c r="M858"/>
      <c r="N858"/>
      <c r="O858"/>
      <c r="P858"/>
      <c r="Q858"/>
      <c r="R858"/>
      <c r="S858"/>
      <c r="T858"/>
      <c r="U858"/>
      <c r="V858"/>
      <c r="W858"/>
      <c r="X858"/>
      <c r="Y858"/>
      <c r="Z858"/>
      <c r="AA858"/>
      <c r="AB858"/>
      <c r="AC858"/>
      <c r="AD858"/>
      <c r="AE858"/>
      <c r="AF858"/>
      <c r="AG858"/>
      <c r="AH858"/>
      <c r="AI858"/>
      <c r="AJ858"/>
      <c r="AK858"/>
      <c r="AL858"/>
    </row>
    <row r="859" spans="1:38">
      <c r="A859"/>
      <c r="B859"/>
      <c r="C859"/>
      <c r="D859"/>
      <c r="E859"/>
      <c r="F859"/>
      <c r="G859"/>
      <c r="H859"/>
      <c r="I859"/>
      <c r="J859"/>
      <c r="K859"/>
      <c r="L859"/>
      <c r="M859"/>
      <c r="N859"/>
      <c r="O859"/>
      <c r="P859"/>
      <c r="Q859"/>
      <c r="R859"/>
      <c r="S859"/>
      <c r="T859"/>
      <c r="U859"/>
      <c r="V859"/>
      <c r="W859"/>
      <c r="X859"/>
      <c r="Y859"/>
      <c r="Z859"/>
      <c r="AA859"/>
      <c r="AB859"/>
      <c r="AC859"/>
      <c r="AD859"/>
      <c r="AE859"/>
      <c r="AF859"/>
      <c r="AG859"/>
      <c r="AH859"/>
      <c r="AI859"/>
      <c r="AJ859"/>
      <c r="AK859"/>
      <c r="AL859"/>
    </row>
    <row r="860" spans="1:38">
      <c r="A860"/>
      <c r="B860"/>
      <c r="C860"/>
      <c r="D860"/>
      <c r="E860"/>
      <c r="F860"/>
      <c r="G860"/>
      <c r="H860"/>
      <c r="I860"/>
      <c r="J860"/>
      <c r="K860"/>
      <c r="L860"/>
      <c r="M860"/>
      <c r="N860"/>
      <c r="O860"/>
      <c r="P860"/>
      <c r="Q860"/>
      <c r="R860"/>
      <c r="S860"/>
      <c r="T860"/>
      <c r="U860"/>
      <c r="V860"/>
      <c r="W860"/>
      <c r="X860"/>
      <c r="Y860"/>
      <c r="Z860"/>
      <c r="AA860"/>
      <c r="AB860"/>
      <c r="AC860"/>
      <c r="AD860"/>
      <c r="AE860"/>
      <c r="AF860"/>
      <c r="AG860"/>
      <c r="AH860"/>
      <c r="AI860"/>
      <c r="AJ860"/>
      <c r="AK860"/>
      <c r="AL860"/>
    </row>
    <row r="861" spans="1:38">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row>
    <row r="862" spans="1:38">
      <c r="A862"/>
      <c r="B862"/>
      <c r="C862"/>
      <c r="D862"/>
      <c r="E862"/>
      <c r="F862"/>
      <c r="G862"/>
      <c r="H862"/>
      <c r="I862"/>
      <c r="J862"/>
      <c r="K862"/>
      <c r="L862"/>
      <c r="M862"/>
      <c r="N862"/>
      <c r="O862"/>
      <c r="P862"/>
      <c r="Q862"/>
      <c r="R862"/>
      <c r="S862"/>
      <c r="T862"/>
      <c r="U862"/>
      <c r="V862"/>
      <c r="W862"/>
      <c r="X862"/>
      <c r="Y862"/>
      <c r="Z862"/>
      <c r="AA862"/>
      <c r="AB862"/>
      <c r="AC862"/>
      <c r="AD862"/>
      <c r="AE862"/>
      <c r="AF862"/>
      <c r="AG862"/>
      <c r="AH862"/>
      <c r="AI862"/>
      <c r="AJ862"/>
      <c r="AK862"/>
      <c r="AL862"/>
    </row>
    <row r="863" spans="1:38">
      <c r="A863"/>
      <c r="B863"/>
      <c r="C863"/>
      <c r="D863"/>
      <c r="E863"/>
      <c r="F863"/>
      <c r="G863"/>
      <c r="H863"/>
      <c r="I863"/>
      <c r="J863"/>
      <c r="K863"/>
      <c r="L863"/>
      <c r="M863"/>
      <c r="N863"/>
      <c r="O863"/>
      <c r="P863"/>
      <c r="Q863"/>
      <c r="R863"/>
      <c r="S863"/>
      <c r="T863"/>
      <c r="U863"/>
      <c r="V863"/>
      <c r="W863"/>
      <c r="X863"/>
      <c r="Y863"/>
      <c r="Z863"/>
      <c r="AA863"/>
      <c r="AB863"/>
      <c r="AC863"/>
      <c r="AD863"/>
      <c r="AE863"/>
      <c r="AF863"/>
      <c r="AG863"/>
      <c r="AH863"/>
      <c r="AI863"/>
      <c r="AJ863"/>
      <c r="AK863"/>
      <c r="AL863"/>
    </row>
    <row r="864" spans="1:38">
      <c r="A864"/>
      <c r="B864"/>
      <c r="C864"/>
      <c r="D864"/>
      <c r="E864"/>
      <c r="F864"/>
      <c r="G864"/>
      <c r="H864"/>
      <c r="I864"/>
      <c r="J864"/>
      <c r="K864"/>
      <c r="L864"/>
      <c r="M864"/>
      <c r="N864"/>
      <c r="O864"/>
      <c r="P864"/>
      <c r="Q864"/>
      <c r="R864"/>
      <c r="S864"/>
      <c r="T864"/>
      <c r="U864"/>
      <c r="V864"/>
      <c r="W864"/>
      <c r="X864"/>
      <c r="Y864"/>
      <c r="Z864"/>
      <c r="AA864"/>
      <c r="AB864"/>
      <c r="AC864"/>
      <c r="AD864"/>
      <c r="AE864"/>
      <c r="AF864"/>
      <c r="AG864"/>
      <c r="AH864"/>
      <c r="AI864"/>
      <c r="AJ864"/>
      <c r="AK864"/>
      <c r="AL864"/>
    </row>
    <row r="865" spans="1:38">
      <c r="A865"/>
      <c r="B865"/>
      <c r="C865"/>
      <c r="D865"/>
      <c r="E865"/>
      <c r="F865"/>
      <c r="G865"/>
      <c r="H865"/>
      <c r="I865"/>
      <c r="J865"/>
      <c r="K865"/>
      <c r="L865"/>
      <c r="M865"/>
      <c r="N865"/>
      <c r="O865"/>
      <c r="P865"/>
      <c r="Q865"/>
      <c r="R865"/>
      <c r="S865"/>
      <c r="T865"/>
      <c r="U865"/>
      <c r="V865"/>
      <c r="W865"/>
      <c r="X865"/>
      <c r="Y865"/>
      <c r="Z865"/>
      <c r="AA865"/>
      <c r="AB865"/>
      <c r="AC865"/>
      <c r="AD865"/>
      <c r="AE865"/>
      <c r="AF865"/>
      <c r="AG865"/>
      <c r="AH865"/>
      <c r="AI865"/>
      <c r="AJ865"/>
      <c r="AK865"/>
      <c r="AL865"/>
    </row>
    <row r="866" spans="1:38">
      <c r="A866"/>
      <c r="B866"/>
      <c r="C866"/>
      <c r="D866"/>
      <c r="E866"/>
      <c r="F866"/>
      <c r="G866"/>
      <c r="H866"/>
      <c r="I866"/>
      <c r="J866"/>
      <c r="K866"/>
      <c r="L866"/>
      <c r="M866"/>
      <c r="N866"/>
      <c r="O866"/>
      <c r="P866"/>
      <c r="Q866"/>
      <c r="R866"/>
      <c r="S866"/>
      <c r="T866"/>
      <c r="U866"/>
      <c r="V866"/>
      <c r="W866"/>
      <c r="X866"/>
      <c r="Y866"/>
      <c r="Z866"/>
      <c r="AA866"/>
      <c r="AB866"/>
      <c r="AC866"/>
      <c r="AD866"/>
      <c r="AE866"/>
      <c r="AF866"/>
      <c r="AG866"/>
      <c r="AH866"/>
      <c r="AI866"/>
      <c r="AJ866"/>
      <c r="AK866"/>
      <c r="AL866"/>
    </row>
    <row r="867" spans="1:38">
      <c r="A867"/>
      <c r="B867"/>
      <c r="C867"/>
      <c r="D867"/>
      <c r="E867"/>
      <c r="F867"/>
      <c r="G867"/>
      <c r="H867"/>
      <c r="I867"/>
      <c r="J867"/>
      <c r="K867"/>
      <c r="L867"/>
      <c r="M867"/>
      <c r="N867"/>
      <c r="O867"/>
      <c r="P867"/>
      <c r="Q867"/>
      <c r="R867"/>
      <c r="S867"/>
      <c r="T867"/>
      <c r="U867"/>
      <c r="V867"/>
      <c r="W867"/>
      <c r="X867"/>
      <c r="Y867"/>
      <c r="Z867"/>
      <c r="AA867"/>
      <c r="AB867"/>
      <c r="AC867"/>
      <c r="AD867"/>
      <c r="AE867"/>
      <c r="AF867"/>
      <c r="AG867"/>
      <c r="AH867"/>
      <c r="AI867"/>
      <c r="AJ867"/>
      <c r="AK867"/>
      <c r="AL867"/>
    </row>
    <row r="868" spans="1:38">
      <c r="A868"/>
      <c r="B868"/>
      <c r="C868"/>
      <c r="D868"/>
      <c r="E868"/>
      <c r="F868"/>
      <c r="G868"/>
      <c r="H868"/>
      <c r="I868"/>
      <c r="J868"/>
      <c r="K868"/>
      <c r="L868"/>
      <c r="M868"/>
      <c r="N868"/>
      <c r="O868"/>
      <c r="P868"/>
      <c r="Q868"/>
      <c r="R868"/>
      <c r="S868"/>
      <c r="T868"/>
      <c r="U868"/>
      <c r="V868"/>
      <c r="W868"/>
      <c r="X868"/>
      <c r="Y868"/>
      <c r="Z868"/>
      <c r="AA868"/>
      <c r="AB868"/>
      <c r="AC868"/>
      <c r="AD868"/>
      <c r="AE868"/>
      <c r="AF868"/>
      <c r="AG868"/>
      <c r="AH868"/>
      <c r="AI868"/>
      <c r="AJ868"/>
      <c r="AK868"/>
      <c r="AL868"/>
    </row>
    <row r="869" spans="1:38">
      <c r="A869"/>
      <c r="B869"/>
      <c r="C869"/>
      <c r="D869"/>
      <c r="E869"/>
      <c r="F869"/>
      <c r="G869"/>
      <c r="H869"/>
      <c r="I869"/>
      <c r="J869"/>
      <c r="K869"/>
      <c r="L869"/>
      <c r="M869"/>
      <c r="N869"/>
      <c r="O869"/>
      <c r="P869"/>
      <c r="Q869"/>
      <c r="R869"/>
      <c r="S869"/>
      <c r="T869"/>
      <c r="U869"/>
      <c r="V869"/>
      <c r="W869"/>
      <c r="X869"/>
      <c r="Y869"/>
      <c r="Z869"/>
      <c r="AA869"/>
      <c r="AB869"/>
      <c r="AC869"/>
      <c r="AD869"/>
      <c r="AE869"/>
      <c r="AF869"/>
      <c r="AG869"/>
      <c r="AH869"/>
      <c r="AI869"/>
      <c r="AJ869"/>
      <c r="AK869"/>
      <c r="AL869"/>
    </row>
    <row r="870" spans="1:38">
      <c r="A870"/>
      <c r="B870"/>
      <c r="C870"/>
      <c r="D870"/>
      <c r="E870"/>
      <c r="F870"/>
      <c r="G870"/>
      <c r="H870"/>
      <c r="I870"/>
      <c r="J870"/>
      <c r="K870"/>
      <c r="L870"/>
      <c r="M870"/>
      <c r="N870"/>
      <c r="O870"/>
      <c r="P870"/>
      <c r="Q870"/>
      <c r="R870"/>
      <c r="S870"/>
      <c r="T870"/>
      <c r="U870"/>
      <c r="V870"/>
      <c r="W870"/>
      <c r="X870"/>
      <c r="Y870"/>
      <c r="Z870"/>
      <c r="AA870"/>
      <c r="AB870"/>
      <c r="AC870"/>
      <c r="AD870"/>
      <c r="AE870"/>
      <c r="AF870"/>
      <c r="AG870"/>
      <c r="AH870"/>
      <c r="AI870"/>
      <c r="AJ870"/>
      <c r="AK870"/>
      <c r="AL870"/>
    </row>
    <row r="871" spans="1:38">
      <c r="A871"/>
      <c r="B871"/>
      <c r="C871"/>
      <c r="D871"/>
      <c r="E871"/>
      <c r="F871"/>
      <c r="G871"/>
      <c r="H871"/>
      <c r="I871"/>
      <c r="J871"/>
      <c r="K871"/>
      <c r="L871"/>
      <c r="M871"/>
      <c r="N871"/>
      <c r="O871"/>
      <c r="P871"/>
      <c r="Q871"/>
      <c r="R871"/>
      <c r="S871"/>
      <c r="T871"/>
      <c r="U871"/>
      <c r="V871"/>
      <c r="W871"/>
      <c r="X871"/>
      <c r="Y871"/>
      <c r="Z871"/>
      <c r="AA871"/>
      <c r="AB871"/>
      <c r="AC871"/>
      <c r="AD871"/>
      <c r="AE871"/>
      <c r="AF871"/>
      <c r="AG871"/>
      <c r="AH871"/>
      <c r="AI871"/>
      <c r="AJ871"/>
      <c r="AK871"/>
      <c r="AL871"/>
    </row>
    <row r="872" spans="1:38">
      <c r="A872"/>
      <c r="B872"/>
      <c r="C872"/>
      <c r="D872"/>
      <c r="E872"/>
      <c r="F872"/>
      <c r="G872"/>
      <c r="H872"/>
      <c r="I872"/>
      <c r="J872"/>
      <c r="K872"/>
      <c r="L872"/>
      <c r="M872"/>
      <c r="N872"/>
      <c r="O872"/>
      <c r="P872"/>
      <c r="Q872"/>
      <c r="R872"/>
      <c r="S872"/>
      <c r="T872"/>
      <c r="U872"/>
      <c r="V872"/>
      <c r="W872"/>
      <c r="X872"/>
      <c r="Y872"/>
      <c r="Z872"/>
      <c r="AA872"/>
      <c r="AB872"/>
      <c r="AC872"/>
      <c r="AD872"/>
      <c r="AE872"/>
      <c r="AF872"/>
      <c r="AG872"/>
      <c r="AH872"/>
      <c r="AI872"/>
      <c r="AJ872"/>
      <c r="AK872"/>
      <c r="AL872"/>
    </row>
    <row r="873" spans="1:38">
      <c r="A873"/>
      <c r="B873"/>
      <c r="C873"/>
      <c r="D873"/>
      <c r="E873"/>
      <c r="F873"/>
      <c r="G873"/>
      <c r="H873"/>
      <c r="I873"/>
      <c r="J873"/>
      <c r="K873"/>
      <c r="L873"/>
      <c r="M873"/>
      <c r="N873"/>
      <c r="O873"/>
      <c r="P873"/>
      <c r="Q873"/>
      <c r="R873"/>
      <c r="S873"/>
      <c r="T873"/>
      <c r="U873"/>
      <c r="V873"/>
      <c r="W873"/>
      <c r="X873"/>
      <c r="Y873"/>
      <c r="Z873"/>
      <c r="AA873"/>
      <c r="AB873"/>
      <c r="AC873"/>
      <c r="AD873"/>
      <c r="AE873"/>
      <c r="AF873"/>
      <c r="AG873"/>
      <c r="AH873"/>
      <c r="AI873"/>
      <c r="AJ873"/>
      <c r="AK873"/>
      <c r="AL873"/>
    </row>
    <row r="874" spans="1:38">
      <c r="A874"/>
      <c r="B874"/>
      <c r="C874"/>
      <c r="D874"/>
      <c r="E874"/>
      <c r="F874"/>
      <c r="G874"/>
      <c r="H874"/>
      <c r="I874"/>
      <c r="J874"/>
      <c r="K874"/>
      <c r="L874"/>
      <c r="M874"/>
      <c r="N874"/>
      <c r="O874"/>
      <c r="P874"/>
      <c r="Q874"/>
      <c r="R874"/>
      <c r="S874"/>
      <c r="T874"/>
      <c r="U874"/>
      <c r="V874"/>
      <c r="W874"/>
      <c r="X874"/>
      <c r="Y874"/>
      <c r="Z874"/>
      <c r="AA874"/>
      <c r="AB874"/>
      <c r="AC874"/>
      <c r="AD874"/>
      <c r="AE874"/>
      <c r="AF874"/>
      <c r="AG874"/>
      <c r="AH874"/>
      <c r="AI874"/>
      <c r="AJ874"/>
      <c r="AK874"/>
      <c r="AL874"/>
    </row>
    <row r="875" spans="1:38">
      <c r="A875"/>
      <c r="B875"/>
      <c r="C875"/>
      <c r="D875"/>
      <c r="E875"/>
      <c r="F875"/>
      <c r="G875"/>
      <c r="H875"/>
      <c r="I875"/>
      <c r="J875"/>
      <c r="K875"/>
      <c r="L875"/>
      <c r="M875"/>
      <c r="N875"/>
      <c r="O875"/>
      <c r="P875"/>
      <c r="Q875"/>
      <c r="R875"/>
      <c r="S875"/>
      <c r="T875"/>
      <c r="U875"/>
      <c r="V875"/>
      <c r="W875"/>
      <c r="X875"/>
      <c r="Y875"/>
      <c r="Z875"/>
      <c r="AA875"/>
      <c r="AB875"/>
      <c r="AC875"/>
      <c r="AD875"/>
      <c r="AE875"/>
      <c r="AF875"/>
      <c r="AG875"/>
      <c r="AH875"/>
      <c r="AI875"/>
      <c r="AJ875"/>
      <c r="AK875"/>
      <c r="AL875"/>
    </row>
    <row r="876" spans="1:38">
      <c r="A876"/>
      <c r="B876"/>
      <c r="C876"/>
      <c r="D876"/>
      <c r="E876"/>
      <c r="F876"/>
      <c r="G876"/>
      <c r="H876"/>
      <c r="I876"/>
      <c r="J876"/>
      <c r="K876"/>
      <c r="L876"/>
      <c r="M876"/>
      <c r="N876"/>
      <c r="O876"/>
      <c r="P876"/>
      <c r="Q876"/>
      <c r="R876"/>
      <c r="S876"/>
      <c r="T876"/>
      <c r="U876"/>
      <c r="V876"/>
      <c r="W876"/>
      <c r="X876"/>
      <c r="Y876"/>
      <c r="Z876"/>
      <c r="AA876"/>
      <c r="AB876"/>
      <c r="AC876"/>
      <c r="AD876"/>
      <c r="AE876"/>
      <c r="AF876"/>
      <c r="AG876"/>
      <c r="AH876"/>
      <c r="AI876"/>
      <c r="AJ876"/>
      <c r="AK876"/>
      <c r="AL876"/>
    </row>
    <row r="877" spans="1:38">
      <c r="A877"/>
      <c r="B877"/>
      <c r="C877"/>
      <c r="D877"/>
      <c r="E877"/>
      <c r="F877"/>
      <c r="G877"/>
      <c r="H877"/>
      <c r="I877"/>
      <c r="J877"/>
      <c r="K877"/>
      <c r="L877"/>
      <c r="M877"/>
      <c r="N877"/>
      <c r="O877"/>
      <c r="P877"/>
      <c r="Q877"/>
      <c r="R877"/>
      <c r="S877"/>
      <c r="T877"/>
      <c r="U877"/>
      <c r="V877"/>
      <c r="W877"/>
      <c r="X877"/>
      <c r="Y877"/>
      <c r="Z877"/>
      <c r="AA877"/>
      <c r="AB877"/>
      <c r="AC877"/>
      <c r="AD877"/>
      <c r="AE877"/>
      <c r="AF877"/>
      <c r="AG877"/>
      <c r="AH877"/>
      <c r="AI877"/>
      <c r="AJ877"/>
      <c r="AK877"/>
      <c r="AL877"/>
    </row>
    <row r="878" spans="1:38">
      <c r="A878"/>
      <c r="B878"/>
      <c r="C878"/>
      <c r="D878"/>
      <c r="E878"/>
      <c r="F878"/>
      <c r="G878"/>
      <c r="H878"/>
      <c r="I878"/>
      <c r="J878"/>
      <c r="K878"/>
      <c r="L878"/>
      <c r="M878"/>
      <c r="N878"/>
      <c r="O878"/>
      <c r="P878"/>
      <c r="Q878"/>
      <c r="R878"/>
      <c r="S878"/>
      <c r="T878"/>
      <c r="U878"/>
      <c r="V878"/>
      <c r="W878"/>
      <c r="X878"/>
      <c r="Y878"/>
      <c r="Z878"/>
      <c r="AA878"/>
      <c r="AB878"/>
      <c r="AC878"/>
      <c r="AD878"/>
      <c r="AE878"/>
      <c r="AF878"/>
      <c r="AG878"/>
      <c r="AH878"/>
      <c r="AI878"/>
      <c r="AJ878"/>
      <c r="AK878"/>
      <c r="AL878"/>
    </row>
    <row r="879" spans="1:38">
      <c r="A879"/>
      <c r="B879"/>
      <c r="C879"/>
      <c r="D879"/>
      <c r="E879"/>
      <c r="F879"/>
      <c r="G879"/>
      <c r="H879"/>
      <c r="I879"/>
      <c r="J879"/>
      <c r="K879"/>
      <c r="L879"/>
      <c r="M879"/>
      <c r="N879"/>
      <c r="O879"/>
      <c r="P879"/>
      <c r="Q879"/>
      <c r="R879"/>
      <c r="S879"/>
      <c r="T879"/>
      <c r="U879"/>
      <c r="V879"/>
      <c r="W879"/>
      <c r="X879"/>
      <c r="Y879"/>
      <c r="Z879"/>
      <c r="AA879"/>
      <c r="AB879"/>
      <c r="AC879"/>
      <c r="AD879"/>
      <c r="AE879"/>
      <c r="AF879"/>
      <c r="AG879"/>
      <c r="AH879"/>
      <c r="AI879"/>
      <c r="AJ879"/>
      <c r="AK879"/>
      <c r="AL879"/>
    </row>
    <row r="880" spans="1:38">
      <c r="A880"/>
      <c r="B880"/>
      <c r="C880"/>
      <c r="D880"/>
      <c r="E880"/>
      <c r="F880"/>
      <c r="G880"/>
      <c r="H880"/>
      <c r="I880"/>
      <c r="J880"/>
      <c r="K880"/>
      <c r="L880"/>
      <c r="M880"/>
      <c r="N880"/>
      <c r="O880"/>
      <c r="P880"/>
      <c r="Q880"/>
      <c r="R880"/>
      <c r="S880"/>
      <c r="T880"/>
      <c r="U880"/>
      <c r="V880"/>
      <c r="W880"/>
      <c r="X880"/>
      <c r="Y880"/>
      <c r="Z880"/>
      <c r="AA880"/>
      <c r="AB880"/>
      <c r="AC880"/>
      <c r="AD880"/>
      <c r="AE880"/>
      <c r="AF880"/>
      <c r="AG880"/>
      <c r="AH880"/>
      <c r="AI880"/>
      <c r="AJ880"/>
      <c r="AK880"/>
      <c r="AL880"/>
    </row>
    <row r="881" spans="1:38">
      <c r="A881"/>
      <c r="B881"/>
      <c r="C881"/>
      <c r="D881"/>
      <c r="E881"/>
      <c r="F881"/>
      <c r="G881"/>
      <c r="H881"/>
      <c r="I881"/>
      <c r="J881"/>
      <c r="K881"/>
      <c r="L881"/>
      <c r="M881"/>
      <c r="N881"/>
      <c r="O881"/>
      <c r="P881"/>
      <c r="Q881"/>
      <c r="R881"/>
      <c r="S881"/>
      <c r="T881"/>
      <c r="U881"/>
      <c r="V881"/>
      <c r="W881"/>
      <c r="X881"/>
      <c r="Y881"/>
      <c r="Z881"/>
      <c r="AA881"/>
      <c r="AB881"/>
      <c r="AC881"/>
      <c r="AD881"/>
      <c r="AE881"/>
      <c r="AF881"/>
      <c r="AG881"/>
      <c r="AH881"/>
      <c r="AI881"/>
      <c r="AJ881"/>
      <c r="AK881"/>
      <c r="AL881"/>
    </row>
    <row r="882" spans="1:38">
      <c r="A882"/>
      <c r="B882"/>
      <c r="C882"/>
      <c r="D882"/>
      <c r="E882"/>
      <c r="F882"/>
      <c r="G882"/>
      <c r="H882"/>
      <c r="I882"/>
      <c r="J882"/>
      <c r="K882"/>
      <c r="L882"/>
      <c r="M882"/>
      <c r="N882"/>
      <c r="O882"/>
      <c r="P882"/>
      <c r="Q882"/>
      <c r="R882"/>
      <c r="S882"/>
      <c r="T882"/>
      <c r="U882"/>
      <c r="V882"/>
      <c r="W882"/>
      <c r="X882"/>
      <c r="Y882"/>
      <c r="Z882"/>
      <c r="AA882"/>
      <c r="AB882"/>
      <c r="AC882"/>
      <c r="AD882"/>
      <c r="AE882"/>
      <c r="AF882"/>
      <c r="AG882"/>
      <c r="AH882"/>
      <c r="AI882"/>
      <c r="AJ882"/>
      <c r="AK882"/>
      <c r="AL882"/>
    </row>
    <row r="883" spans="1:38">
      <c r="A883"/>
      <c r="B883"/>
      <c r="C883"/>
      <c r="D883"/>
      <c r="E883"/>
      <c r="F883"/>
      <c r="G883"/>
      <c r="H883"/>
      <c r="I883"/>
      <c r="J883"/>
      <c r="K883"/>
      <c r="L883"/>
      <c r="M883"/>
      <c r="N883"/>
      <c r="O883"/>
      <c r="P883"/>
      <c r="Q883"/>
      <c r="R883"/>
      <c r="S883"/>
      <c r="T883"/>
      <c r="U883"/>
      <c r="V883"/>
      <c r="W883"/>
      <c r="X883"/>
      <c r="Y883"/>
      <c r="Z883"/>
      <c r="AA883"/>
      <c r="AB883"/>
      <c r="AC883"/>
      <c r="AD883"/>
      <c r="AE883"/>
      <c r="AF883"/>
      <c r="AG883"/>
      <c r="AH883"/>
      <c r="AI883"/>
      <c r="AJ883"/>
      <c r="AK883"/>
      <c r="AL883"/>
    </row>
    <row r="884" spans="1:38">
      <c r="A884"/>
      <c r="B884"/>
      <c r="C884"/>
      <c r="D884"/>
      <c r="E884"/>
      <c r="F884"/>
      <c r="G884"/>
      <c r="H884"/>
      <c r="I884"/>
      <c r="J884"/>
      <c r="K884"/>
      <c r="L884"/>
      <c r="M884"/>
      <c r="N884"/>
      <c r="O884"/>
      <c r="P884"/>
      <c r="Q884"/>
      <c r="R884"/>
      <c r="S884"/>
      <c r="T884"/>
      <c r="U884"/>
      <c r="V884"/>
      <c r="W884"/>
      <c r="X884"/>
      <c r="Y884"/>
      <c r="Z884"/>
      <c r="AA884"/>
      <c r="AB884"/>
      <c r="AC884"/>
      <c r="AD884"/>
      <c r="AE884"/>
      <c r="AF884"/>
      <c r="AG884"/>
      <c r="AH884"/>
      <c r="AI884"/>
      <c r="AJ884"/>
      <c r="AK884"/>
      <c r="AL884"/>
    </row>
    <row r="885" spans="1:38">
      <c r="A885"/>
      <c r="B885"/>
      <c r="C885"/>
      <c r="D885"/>
      <c r="E885"/>
      <c r="F885"/>
      <c r="G885"/>
      <c r="H885"/>
      <c r="I885"/>
      <c r="J885"/>
      <c r="K885"/>
      <c r="L885"/>
      <c r="M885"/>
      <c r="N885"/>
      <c r="O885"/>
      <c r="P885"/>
      <c r="Q885"/>
      <c r="R885"/>
      <c r="S885"/>
      <c r="T885"/>
      <c r="U885"/>
      <c r="V885"/>
      <c r="W885"/>
      <c r="X885"/>
      <c r="Y885"/>
      <c r="Z885"/>
      <c r="AA885"/>
      <c r="AB885"/>
      <c r="AC885"/>
      <c r="AD885"/>
      <c r="AE885"/>
      <c r="AF885"/>
      <c r="AG885"/>
      <c r="AH885"/>
      <c r="AI885"/>
      <c r="AJ885"/>
      <c r="AK885"/>
      <c r="AL885"/>
    </row>
    <row r="886" spans="1:38">
      <c r="A886"/>
      <c r="B886"/>
      <c r="C886"/>
      <c r="D886"/>
      <c r="E886"/>
      <c r="F886"/>
      <c r="G886"/>
      <c r="H886"/>
      <c r="I886"/>
      <c r="J886"/>
      <c r="K886"/>
      <c r="L886"/>
      <c r="M886"/>
      <c r="N886"/>
      <c r="O886"/>
      <c r="P886"/>
      <c r="Q886"/>
      <c r="R886"/>
      <c r="S886"/>
      <c r="T886"/>
      <c r="U886"/>
      <c r="V886"/>
      <c r="W886"/>
      <c r="X886"/>
      <c r="Y886"/>
      <c r="Z886"/>
      <c r="AA886"/>
      <c r="AB886"/>
      <c r="AC886"/>
      <c r="AD886"/>
      <c r="AE886"/>
      <c r="AF886"/>
      <c r="AG886"/>
      <c r="AH886"/>
      <c r="AI886"/>
      <c r="AJ886"/>
      <c r="AK886"/>
      <c r="AL886"/>
    </row>
    <row r="887" spans="1:38">
      <c r="A887"/>
      <c r="B887"/>
      <c r="C887"/>
      <c r="D887"/>
      <c r="E887"/>
      <c r="F887"/>
      <c r="G887"/>
      <c r="H887"/>
      <c r="I887"/>
      <c r="J887"/>
      <c r="K887"/>
      <c r="L887"/>
      <c r="M887"/>
      <c r="N887"/>
      <c r="O887"/>
      <c r="P887"/>
      <c r="Q887"/>
      <c r="R887"/>
      <c r="S887"/>
      <c r="T887"/>
      <c r="U887"/>
      <c r="V887"/>
      <c r="W887"/>
      <c r="X887"/>
      <c r="Y887"/>
      <c r="Z887"/>
      <c r="AA887"/>
      <c r="AB887"/>
      <c r="AC887"/>
      <c r="AD887"/>
      <c r="AE887"/>
      <c r="AF887"/>
      <c r="AG887"/>
      <c r="AH887"/>
      <c r="AI887"/>
      <c r="AJ887"/>
      <c r="AK887"/>
      <c r="AL887"/>
    </row>
    <row r="888" spans="1:38">
      <c r="A888"/>
      <c r="B888"/>
      <c r="C888"/>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c r="AL888"/>
    </row>
    <row r="889" spans="1:38">
      <c r="A889"/>
      <c r="B889"/>
      <c r="C889"/>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c r="AL889"/>
    </row>
    <row r="890" spans="1:38">
      <c r="A890"/>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row>
    <row r="891" spans="1:38">
      <c r="A891"/>
      <c r="B891"/>
      <c r="C891"/>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c r="AL891"/>
    </row>
    <row r="892" spans="1:38">
      <c r="A892"/>
      <c r="B892"/>
      <c r="C892"/>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c r="AL892"/>
    </row>
    <row r="893" spans="1:38">
      <c r="A893"/>
      <c r="B893"/>
      <c r="C893"/>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c r="AL893"/>
    </row>
    <row r="894" spans="1:38">
      <c r="A894"/>
      <c r="B894"/>
      <c r="C894"/>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c r="AL894"/>
    </row>
    <row r="895" spans="1:38">
      <c r="A895"/>
      <c r="B895"/>
      <c r="C895"/>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c r="AL895"/>
    </row>
    <row r="896" spans="1:38">
      <c r="A896"/>
      <c r="B896"/>
      <c r="C896"/>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c r="AL896"/>
    </row>
    <row r="897" spans="1:38">
      <c r="A897"/>
      <c r="B897"/>
      <c r="C897"/>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c r="AL897"/>
    </row>
    <row r="898" spans="1:38">
      <c r="A898"/>
      <c r="B898"/>
      <c r="C898"/>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c r="AL898"/>
    </row>
    <row r="899" spans="1:38">
      <c r="A899"/>
      <c r="B899"/>
      <c r="C899"/>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c r="AL899"/>
    </row>
    <row r="900" spans="1:38">
      <c r="A900"/>
      <c r="B900"/>
      <c r="C900"/>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c r="AL900"/>
    </row>
    <row r="901" spans="1:38">
      <c r="A901"/>
      <c r="B901"/>
      <c r="C901"/>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c r="AL901"/>
    </row>
    <row r="902" spans="1:38">
      <c r="A902"/>
      <c r="B902"/>
      <c r="C902"/>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c r="AL902"/>
    </row>
    <row r="903" spans="1:38">
      <c r="A903"/>
      <c r="B903"/>
      <c r="C903"/>
      <c r="D903"/>
      <c r="E903"/>
      <c r="F903"/>
      <c r="G903"/>
      <c r="H903"/>
      <c r="I903"/>
      <c r="J903"/>
      <c r="K903"/>
      <c r="L903"/>
      <c r="M903"/>
      <c r="N903"/>
      <c r="O903"/>
      <c r="P903"/>
      <c r="Q903"/>
      <c r="R903"/>
      <c r="S903"/>
      <c r="T903"/>
      <c r="U903"/>
      <c r="V903"/>
      <c r="W903"/>
      <c r="X903"/>
      <c r="Y903"/>
      <c r="Z903"/>
      <c r="AA903"/>
      <c r="AB903"/>
      <c r="AC903"/>
      <c r="AD903"/>
      <c r="AE903"/>
      <c r="AF903"/>
      <c r="AG903"/>
      <c r="AH903"/>
      <c r="AI903"/>
      <c r="AJ903"/>
      <c r="AK903"/>
      <c r="AL903"/>
    </row>
    <row r="904" spans="1:38">
      <c r="A904"/>
      <c r="B904"/>
      <c r="C904"/>
      <c r="D904"/>
      <c r="E904"/>
      <c r="F904"/>
      <c r="G904"/>
      <c r="H904"/>
      <c r="I904"/>
      <c r="J904"/>
      <c r="K904"/>
      <c r="L904"/>
      <c r="M904"/>
      <c r="N904"/>
      <c r="O904"/>
      <c r="P904"/>
      <c r="Q904"/>
      <c r="R904"/>
      <c r="S904"/>
      <c r="T904"/>
      <c r="U904"/>
      <c r="V904"/>
      <c r="W904"/>
      <c r="X904"/>
      <c r="Y904"/>
      <c r="Z904"/>
      <c r="AA904"/>
      <c r="AB904"/>
      <c r="AC904"/>
      <c r="AD904"/>
      <c r="AE904"/>
      <c r="AF904"/>
      <c r="AG904"/>
      <c r="AH904"/>
      <c r="AI904"/>
      <c r="AJ904"/>
      <c r="AK904"/>
      <c r="AL904"/>
    </row>
    <row r="905" spans="1:38">
      <c r="A905"/>
      <c r="B905"/>
      <c r="C905"/>
      <c r="D905"/>
      <c r="E905"/>
      <c r="F905"/>
      <c r="G905"/>
      <c r="H905"/>
      <c r="I905"/>
      <c r="J905"/>
      <c r="K905"/>
      <c r="L905"/>
      <c r="M905"/>
      <c r="N905"/>
      <c r="O905"/>
      <c r="P905"/>
      <c r="Q905"/>
      <c r="R905"/>
      <c r="S905"/>
      <c r="T905"/>
      <c r="U905"/>
      <c r="V905"/>
      <c r="W905"/>
      <c r="X905"/>
      <c r="Y905"/>
      <c r="Z905"/>
      <c r="AA905"/>
      <c r="AB905"/>
      <c r="AC905"/>
      <c r="AD905"/>
      <c r="AE905"/>
      <c r="AF905"/>
      <c r="AG905"/>
      <c r="AH905"/>
      <c r="AI905"/>
      <c r="AJ905"/>
      <c r="AK905"/>
      <c r="AL905"/>
    </row>
    <row r="906" spans="1:38">
      <c r="A906"/>
      <c r="B906"/>
      <c r="C906"/>
      <c r="D906"/>
      <c r="E906"/>
      <c r="F906"/>
      <c r="G906"/>
      <c r="H906"/>
      <c r="I906"/>
      <c r="J906"/>
      <c r="K906"/>
      <c r="L906"/>
      <c r="M906"/>
      <c r="N906"/>
      <c r="O906"/>
      <c r="P906"/>
      <c r="Q906"/>
      <c r="R906"/>
      <c r="S906"/>
      <c r="T906"/>
      <c r="U906"/>
      <c r="V906"/>
      <c r="W906"/>
      <c r="X906"/>
      <c r="Y906"/>
      <c r="Z906"/>
      <c r="AA906"/>
      <c r="AB906"/>
      <c r="AC906"/>
      <c r="AD906"/>
      <c r="AE906"/>
      <c r="AF906"/>
      <c r="AG906"/>
      <c r="AH906"/>
      <c r="AI906"/>
      <c r="AJ906"/>
      <c r="AK906"/>
      <c r="AL906"/>
    </row>
    <row r="907" spans="1:38">
      <c r="A907"/>
      <c r="B907"/>
      <c r="C907"/>
      <c r="D907"/>
      <c r="E907"/>
      <c r="F907"/>
      <c r="G907"/>
      <c r="H907"/>
      <c r="I907"/>
      <c r="J907"/>
      <c r="K907"/>
      <c r="L907"/>
      <c r="M907"/>
      <c r="N907"/>
      <c r="O907"/>
      <c r="P907"/>
      <c r="Q907"/>
      <c r="R907"/>
      <c r="S907"/>
      <c r="T907"/>
      <c r="U907"/>
      <c r="V907"/>
      <c r="W907"/>
      <c r="X907"/>
      <c r="Y907"/>
      <c r="Z907"/>
      <c r="AA907"/>
      <c r="AB907"/>
      <c r="AC907"/>
      <c r="AD907"/>
      <c r="AE907"/>
      <c r="AF907"/>
      <c r="AG907"/>
      <c r="AH907"/>
      <c r="AI907"/>
      <c r="AJ907"/>
      <c r="AK907"/>
      <c r="AL907"/>
    </row>
    <row r="908" spans="1:38">
      <c r="A908"/>
      <c r="B908"/>
      <c r="C908"/>
      <c r="D908"/>
      <c r="E908"/>
      <c r="F908"/>
      <c r="G908"/>
      <c r="H908"/>
      <c r="I908"/>
      <c r="J908"/>
      <c r="K908"/>
      <c r="L908"/>
      <c r="M908"/>
      <c r="N908"/>
      <c r="O908"/>
      <c r="P908"/>
      <c r="Q908"/>
      <c r="R908"/>
      <c r="S908"/>
      <c r="T908"/>
      <c r="U908"/>
      <c r="V908"/>
      <c r="W908"/>
      <c r="X908"/>
      <c r="Y908"/>
      <c r="Z908"/>
      <c r="AA908"/>
      <c r="AB908"/>
      <c r="AC908"/>
      <c r="AD908"/>
      <c r="AE908"/>
      <c r="AF908"/>
      <c r="AG908"/>
      <c r="AH908"/>
      <c r="AI908"/>
      <c r="AJ908"/>
      <c r="AK908"/>
      <c r="AL908"/>
    </row>
    <row r="909" spans="1:38">
      <c r="A909"/>
      <c r="B909"/>
      <c r="C909"/>
      <c r="D909"/>
      <c r="E909"/>
      <c r="F909"/>
      <c r="G909"/>
      <c r="H909"/>
      <c r="I909"/>
      <c r="J909"/>
      <c r="K909"/>
      <c r="L909"/>
      <c r="M909"/>
      <c r="N909"/>
      <c r="O909"/>
      <c r="P909"/>
      <c r="Q909"/>
      <c r="R909"/>
      <c r="S909"/>
      <c r="T909"/>
      <c r="U909"/>
      <c r="V909"/>
      <c r="W909"/>
      <c r="X909"/>
      <c r="Y909"/>
      <c r="Z909"/>
      <c r="AA909"/>
      <c r="AB909"/>
      <c r="AC909"/>
      <c r="AD909"/>
      <c r="AE909"/>
      <c r="AF909"/>
      <c r="AG909"/>
      <c r="AH909"/>
      <c r="AI909"/>
      <c r="AJ909"/>
      <c r="AK909"/>
      <c r="AL909"/>
    </row>
    <row r="910" spans="1:38">
      <c r="A910"/>
      <c r="B910"/>
      <c r="C910"/>
      <c r="D910"/>
      <c r="E910"/>
      <c r="F910"/>
      <c r="G910"/>
      <c r="H910"/>
      <c r="I910"/>
      <c r="J910"/>
      <c r="K910"/>
      <c r="L910"/>
      <c r="M910"/>
      <c r="N910"/>
      <c r="O910"/>
      <c r="P910"/>
      <c r="Q910"/>
      <c r="R910"/>
      <c r="S910"/>
      <c r="T910"/>
      <c r="U910"/>
      <c r="V910"/>
      <c r="W910"/>
      <c r="X910"/>
      <c r="Y910"/>
      <c r="Z910"/>
      <c r="AA910"/>
      <c r="AB910"/>
      <c r="AC910"/>
      <c r="AD910"/>
      <c r="AE910"/>
      <c r="AF910"/>
      <c r="AG910"/>
      <c r="AH910"/>
      <c r="AI910"/>
      <c r="AJ910"/>
      <c r="AK910"/>
      <c r="AL910"/>
    </row>
    <row r="911" spans="1:38">
      <c r="A911"/>
      <c r="B911"/>
      <c r="C911"/>
      <c r="D911"/>
      <c r="E911"/>
      <c r="F911"/>
      <c r="G911"/>
      <c r="H911"/>
      <c r="I911"/>
      <c r="J911"/>
      <c r="K911"/>
      <c r="L911"/>
      <c r="M911"/>
      <c r="N911"/>
      <c r="O911"/>
      <c r="P911"/>
      <c r="Q911"/>
      <c r="R911"/>
      <c r="S911"/>
      <c r="T911"/>
      <c r="U911"/>
      <c r="V911"/>
      <c r="W911"/>
      <c r="X911"/>
      <c r="Y911"/>
      <c r="Z911"/>
      <c r="AA911"/>
      <c r="AB911"/>
      <c r="AC911"/>
      <c r="AD911"/>
      <c r="AE911"/>
      <c r="AF911"/>
      <c r="AG911"/>
      <c r="AH911"/>
      <c r="AI911"/>
      <c r="AJ911"/>
      <c r="AK911"/>
      <c r="AL911"/>
    </row>
    <row r="912" spans="1:38">
      <c r="A912"/>
      <c r="B912"/>
      <c r="C912"/>
      <c r="D912"/>
      <c r="E912"/>
      <c r="F912"/>
      <c r="G912"/>
      <c r="H912"/>
      <c r="I912"/>
      <c r="J912"/>
      <c r="K912"/>
      <c r="L912"/>
      <c r="M912"/>
      <c r="N912"/>
      <c r="O912"/>
      <c r="P912"/>
      <c r="Q912"/>
      <c r="R912"/>
      <c r="S912"/>
      <c r="T912"/>
      <c r="U912"/>
      <c r="V912"/>
      <c r="W912"/>
      <c r="X912"/>
      <c r="Y912"/>
      <c r="Z912"/>
      <c r="AA912"/>
      <c r="AB912"/>
      <c r="AC912"/>
      <c r="AD912"/>
      <c r="AE912"/>
      <c r="AF912"/>
      <c r="AG912"/>
      <c r="AH912"/>
      <c r="AI912"/>
      <c r="AJ912"/>
      <c r="AK912"/>
      <c r="AL912"/>
    </row>
    <row r="913" spans="1:38">
      <c r="A913"/>
      <c r="B913"/>
      <c r="C913"/>
      <c r="D913"/>
      <c r="E913"/>
      <c r="F913"/>
      <c r="G913"/>
      <c r="H913"/>
      <c r="I913"/>
      <c r="J913"/>
      <c r="K913"/>
      <c r="L913"/>
      <c r="M913"/>
      <c r="N913"/>
      <c r="O913"/>
      <c r="P913"/>
      <c r="Q913"/>
      <c r="R913"/>
      <c r="S913"/>
      <c r="T913"/>
      <c r="U913"/>
      <c r="V913"/>
      <c r="W913"/>
      <c r="X913"/>
      <c r="Y913"/>
      <c r="Z913"/>
      <c r="AA913"/>
      <c r="AB913"/>
      <c r="AC913"/>
      <c r="AD913"/>
      <c r="AE913"/>
      <c r="AF913"/>
      <c r="AG913"/>
      <c r="AH913"/>
      <c r="AI913"/>
      <c r="AJ913"/>
      <c r="AK913"/>
      <c r="AL913"/>
    </row>
    <row r="914" spans="1:38">
      <c r="A914"/>
      <c r="B914"/>
      <c r="C914"/>
      <c r="D914"/>
      <c r="E914"/>
      <c r="F914"/>
      <c r="G914"/>
      <c r="H914"/>
      <c r="I914"/>
      <c r="J914"/>
      <c r="K914"/>
      <c r="L914"/>
      <c r="M914"/>
      <c r="N914"/>
      <c r="O914"/>
      <c r="P914"/>
      <c r="Q914"/>
      <c r="R914"/>
      <c r="S914"/>
      <c r="T914"/>
      <c r="U914"/>
      <c r="V914"/>
      <c r="W914"/>
      <c r="X914"/>
      <c r="Y914"/>
      <c r="Z914"/>
      <c r="AA914"/>
      <c r="AB914"/>
      <c r="AC914"/>
      <c r="AD914"/>
      <c r="AE914"/>
      <c r="AF914"/>
      <c r="AG914"/>
      <c r="AH914"/>
      <c r="AI914"/>
      <c r="AJ914"/>
      <c r="AK914"/>
      <c r="AL914"/>
    </row>
    <row r="915" spans="1:38">
      <c r="A915"/>
      <c r="B915"/>
      <c r="C915"/>
      <c r="D915"/>
      <c r="E915"/>
      <c r="F915"/>
      <c r="G915"/>
      <c r="H915"/>
      <c r="I915"/>
      <c r="J915"/>
      <c r="K915"/>
      <c r="L915"/>
      <c r="M915"/>
      <c r="N915"/>
      <c r="O915"/>
      <c r="P915"/>
      <c r="Q915"/>
      <c r="R915"/>
      <c r="S915"/>
      <c r="T915"/>
      <c r="U915"/>
      <c r="V915"/>
      <c r="W915"/>
      <c r="X915"/>
      <c r="Y915"/>
      <c r="Z915"/>
      <c r="AA915"/>
      <c r="AB915"/>
      <c r="AC915"/>
      <c r="AD915"/>
      <c r="AE915"/>
      <c r="AF915"/>
      <c r="AG915"/>
      <c r="AH915"/>
      <c r="AI915"/>
      <c r="AJ915"/>
      <c r="AK915"/>
      <c r="AL915"/>
    </row>
    <row r="916" spans="1:38">
      <c r="A916"/>
      <c r="B916"/>
      <c r="C916"/>
      <c r="D916"/>
      <c r="E916"/>
      <c r="F916"/>
      <c r="G916"/>
      <c r="H916"/>
      <c r="I916"/>
      <c r="J916"/>
      <c r="K916"/>
      <c r="L916"/>
      <c r="M916"/>
      <c r="N916"/>
      <c r="O916"/>
      <c r="P916"/>
      <c r="Q916"/>
      <c r="R916"/>
      <c r="S916"/>
      <c r="T916"/>
      <c r="U916"/>
      <c r="V916"/>
      <c r="W916"/>
      <c r="X916"/>
      <c r="Y916"/>
      <c r="Z916"/>
      <c r="AA916"/>
      <c r="AB916"/>
      <c r="AC916"/>
      <c r="AD916"/>
      <c r="AE916"/>
      <c r="AF916"/>
      <c r="AG916"/>
      <c r="AH916"/>
      <c r="AI916"/>
      <c r="AJ916"/>
      <c r="AK916"/>
      <c r="AL916"/>
    </row>
    <row r="917" spans="1:38">
      <c r="A917"/>
      <c r="B917"/>
      <c r="C917"/>
      <c r="D917"/>
      <c r="E917"/>
      <c r="F917"/>
      <c r="G917"/>
      <c r="H917"/>
      <c r="I917"/>
      <c r="J917"/>
      <c r="K917"/>
      <c r="L917"/>
      <c r="M917"/>
      <c r="N917"/>
      <c r="O917"/>
      <c r="P917"/>
      <c r="Q917"/>
      <c r="R917"/>
      <c r="S917"/>
      <c r="T917"/>
      <c r="U917"/>
      <c r="V917"/>
      <c r="W917"/>
      <c r="X917"/>
      <c r="Y917"/>
      <c r="Z917"/>
      <c r="AA917"/>
      <c r="AB917"/>
      <c r="AC917"/>
      <c r="AD917"/>
      <c r="AE917"/>
      <c r="AF917"/>
      <c r="AG917"/>
      <c r="AH917"/>
      <c r="AI917"/>
      <c r="AJ917"/>
      <c r="AK917"/>
      <c r="AL917"/>
    </row>
    <row r="918" spans="1:38">
      <c r="A918"/>
      <c r="B918"/>
      <c r="C918"/>
      <c r="D918"/>
      <c r="E918"/>
      <c r="F918"/>
      <c r="G918"/>
      <c r="H918"/>
      <c r="I918"/>
      <c r="J918"/>
      <c r="K918"/>
      <c r="L918"/>
      <c r="M918"/>
      <c r="N918"/>
      <c r="O918"/>
      <c r="P918"/>
      <c r="Q918"/>
      <c r="R918"/>
      <c r="S918"/>
      <c r="T918"/>
      <c r="U918"/>
      <c r="V918"/>
      <c r="W918"/>
      <c r="X918"/>
      <c r="Y918"/>
      <c r="Z918"/>
      <c r="AA918"/>
      <c r="AB918"/>
      <c r="AC918"/>
      <c r="AD918"/>
      <c r="AE918"/>
      <c r="AF918"/>
      <c r="AG918"/>
      <c r="AH918"/>
      <c r="AI918"/>
      <c r="AJ918"/>
      <c r="AK918"/>
      <c r="AL918"/>
    </row>
    <row r="919" spans="1:38">
      <c r="A919"/>
      <c r="B919"/>
      <c r="C919"/>
      <c r="D919"/>
      <c r="E919"/>
      <c r="F919"/>
      <c r="G919"/>
      <c r="H919"/>
      <c r="I919"/>
      <c r="J919"/>
      <c r="K919"/>
      <c r="L919"/>
      <c r="M919"/>
      <c r="N919"/>
      <c r="O919"/>
      <c r="P919"/>
      <c r="Q919"/>
      <c r="R919"/>
      <c r="S919"/>
      <c r="T919"/>
      <c r="U919"/>
      <c r="V919"/>
      <c r="W919"/>
      <c r="X919"/>
      <c r="Y919"/>
      <c r="Z919"/>
      <c r="AA919"/>
      <c r="AB919"/>
      <c r="AC919"/>
      <c r="AD919"/>
      <c r="AE919"/>
      <c r="AF919"/>
      <c r="AG919"/>
      <c r="AH919"/>
      <c r="AI919"/>
      <c r="AJ919"/>
      <c r="AK919"/>
      <c r="AL919"/>
    </row>
    <row r="920" spans="1:38">
      <c r="A920"/>
      <c r="B920"/>
      <c r="C920"/>
      <c r="D920"/>
      <c r="E920"/>
      <c r="F920"/>
      <c r="G920"/>
      <c r="H920"/>
      <c r="I920"/>
      <c r="J920"/>
      <c r="K920"/>
      <c r="L920"/>
      <c r="M920"/>
      <c r="N920"/>
      <c r="O920"/>
      <c r="P920"/>
      <c r="Q920"/>
      <c r="R920"/>
      <c r="S920"/>
      <c r="T920"/>
      <c r="U920"/>
      <c r="V920"/>
      <c r="W920"/>
      <c r="X920"/>
      <c r="Y920"/>
      <c r="Z920"/>
      <c r="AA920"/>
      <c r="AB920"/>
      <c r="AC920"/>
      <c r="AD920"/>
      <c r="AE920"/>
      <c r="AF920"/>
      <c r="AG920"/>
      <c r="AH920"/>
      <c r="AI920"/>
      <c r="AJ920"/>
      <c r="AK920"/>
      <c r="AL920"/>
    </row>
    <row r="921" spans="1:38">
      <c r="A921"/>
      <c r="B921"/>
      <c r="C921"/>
      <c r="D921"/>
      <c r="E921"/>
      <c r="F921"/>
      <c r="G921"/>
      <c r="H921"/>
      <c r="I921"/>
      <c r="J921"/>
      <c r="K921"/>
      <c r="L921"/>
      <c r="M921"/>
      <c r="N921"/>
      <c r="O921"/>
      <c r="P921"/>
      <c r="Q921"/>
      <c r="R921"/>
      <c r="S921"/>
      <c r="T921"/>
      <c r="U921"/>
      <c r="V921"/>
      <c r="W921"/>
      <c r="X921"/>
      <c r="Y921"/>
      <c r="Z921"/>
      <c r="AA921"/>
      <c r="AB921"/>
      <c r="AC921"/>
      <c r="AD921"/>
      <c r="AE921"/>
      <c r="AF921"/>
      <c r="AG921"/>
      <c r="AH921"/>
      <c r="AI921"/>
      <c r="AJ921"/>
      <c r="AK921"/>
      <c r="AL921"/>
    </row>
    <row r="922" spans="1:38">
      <c r="A922"/>
      <c r="B922"/>
      <c r="C922"/>
      <c r="D922"/>
      <c r="E922"/>
      <c r="F922"/>
      <c r="G922"/>
      <c r="H922"/>
      <c r="I922"/>
      <c r="J922"/>
      <c r="K922"/>
      <c r="L922"/>
      <c r="M922"/>
      <c r="N922"/>
      <c r="O922"/>
      <c r="P922"/>
      <c r="Q922"/>
      <c r="R922"/>
      <c r="S922"/>
      <c r="T922"/>
      <c r="U922"/>
      <c r="V922"/>
      <c r="W922"/>
      <c r="X922"/>
      <c r="Y922"/>
      <c r="Z922"/>
      <c r="AA922"/>
      <c r="AB922"/>
      <c r="AC922"/>
      <c r="AD922"/>
      <c r="AE922"/>
      <c r="AF922"/>
      <c r="AG922"/>
      <c r="AH922"/>
      <c r="AI922"/>
      <c r="AJ922"/>
      <c r="AK922"/>
      <c r="AL922"/>
    </row>
    <row r="923" spans="1:38">
      <c r="A923"/>
      <c r="B923"/>
      <c r="C923"/>
      <c r="D923"/>
      <c r="E923"/>
      <c r="F923"/>
      <c r="G923"/>
      <c r="H923"/>
      <c r="I923"/>
      <c r="J923"/>
      <c r="K923"/>
      <c r="L923"/>
      <c r="M923"/>
      <c r="N923"/>
      <c r="O923"/>
      <c r="P923"/>
      <c r="Q923"/>
      <c r="R923"/>
      <c r="S923"/>
      <c r="T923"/>
      <c r="U923"/>
      <c r="V923"/>
      <c r="W923"/>
      <c r="X923"/>
      <c r="Y923"/>
      <c r="Z923"/>
      <c r="AA923"/>
      <c r="AB923"/>
      <c r="AC923"/>
      <c r="AD923"/>
      <c r="AE923"/>
      <c r="AF923"/>
      <c r="AG923"/>
      <c r="AH923"/>
      <c r="AI923"/>
      <c r="AJ923"/>
      <c r="AK923"/>
      <c r="AL923"/>
    </row>
    <row r="924" spans="1:38">
      <c r="A924"/>
      <c r="B924"/>
      <c r="C924"/>
      <c r="D924"/>
      <c r="E924"/>
      <c r="F924"/>
      <c r="G924"/>
      <c r="H924"/>
      <c r="I924"/>
      <c r="J924"/>
      <c r="K924"/>
      <c r="L924"/>
      <c r="M924"/>
      <c r="N924"/>
      <c r="O924"/>
      <c r="P924"/>
      <c r="Q924"/>
      <c r="R924"/>
      <c r="S924"/>
      <c r="T924"/>
      <c r="U924"/>
      <c r="V924"/>
      <c r="W924"/>
      <c r="X924"/>
      <c r="Y924"/>
      <c r="Z924"/>
      <c r="AA924"/>
      <c r="AB924"/>
      <c r="AC924"/>
      <c r="AD924"/>
      <c r="AE924"/>
      <c r="AF924"/>
      <c r="AG924"/>
      <c r="AH924"/>
      <c r="AI924"/>
      <c r="AJ924"/>
      <c r="AK924"/>
      <c r="AL924"/>
    </row>
    <row r="925" spans="1:38">
      <c r="A925"/>
      <c r="B925"/>
      <c r="C925"/>
      <c r="D925"/>
      <c r="E925"/>
      <c r="F925"/>
      <c r="G925"/>
      <c r="H925"/>
      <c r="I925"/>
      <c r="J925"/>
      <c r="K925"/>
      <c r="L925"/>
      <c r="M925"/>
      <c r="N925"/>
      <c r="O925"/>
      <c r="P925"/>
      <c r="Q925"/>
      <c r="R925"/>
      <c r="S925"/>
      <c r="T925"/>
      <c r="U925"/>
      <c r="V925"/>
      <c r="W925"/>
      <c r="X925"/>
      <c r="Y925"/>
      <c r="Z925"/>
      <c r="AA925"/>
      <c r="AB925"/>
      <c r="AC925"/>
      <c r="AD925"/>
      <c r="AE925"/>
      <c r="AF925"/>
      <c r="AG925"/>
      <c r="AH925"/>
      <c r="AI925"/>
      <c r="AJ925"/>
      <c r="AK925"/>
      <c r="AL925"/>
    </row>
    <row r="926" spans="1:38">
      <c r="A926"/>
      <c r="B926"/>
      <c r="C926"/>
      <c r="D926"/>
      <c r="E926"/>
      <c r="F926"/>
      <c r="G926"/>
      <c r="H926"/>
      <c r="I926"/>
      <c r="J926"/>
      <c r="K926"/>
      <c r="L926"/>
      <c r="M926"/>
      <c r="N926"/>
      <c r="O926"/>
      <c r="P926"/>
      <c r="Q926"/>
      <c r="R926"/>
      <c r="S926"/>
      <c r="T926"/>
      <c r="U926"/>
      <c r="V926"/>
      <c r="W926"/>
      <c r="X926"/>
      <c r="Y926"/>
      <c r="Z926"/>
      <c r="AA926"/>
      <c r="AB926"/>
      <c r="AC926"/>
      <c r="AD926"/>
      <c r="AE926"/>
      <c r="AF926"/>
      <c r="AG926"/>
      <c r="AH926"/>
      <c r="AI926"/>
      <c r="AJ926"/>
      <c r="AK926"/>
      <c r="AL926"/>
    </row>
    <row r="927" spans="1:38">
      <c r="A927"/>
      <c r="B927"/>
      <c r="C927"/>
      <c r="D927"/>
      <c r="E927"/>
      <c r="F927"/>
      <c r="G927"/>
      <c r="H927"/>
      <c r="I927"/>
      <c r="J927"/>
      <c r="K927"/>
      <c r="L927"/>
      <c r="M927"/>
      <c r="N927"/>
      <c r="O927"/>
      <c r="P927"/>
      <c r="Q927"/>
      <c r="R927"/>
      <c r="S927"/>
      <c r="T927"/>
      <c r="U927"/>
      <c r="V927"/>
      <c r="W927"/>
      <c r="X927"/>
      <c r="Y927"/>
      <c r="Z927"/>
      <c r="AA927"/>
      <c r="AB927"/>
      <c r="AC927"/>
      <c r="AD927"/>
      <c r="AE927"/>
      <c r="AF927"/>
      <c r="AG927"/>
      <c r="AH927"/>
      <c r="AI927"/>
      <c r="AJ927"/>
      <c r="AK927"/>
      <c r="AL927"/>
    </row>
    <row r="928" spans="1:38">
      <c r="A928"/>
      <c r="B928"/>
      <c r="C928"/>
      <c r="D928"/>
      <c r="E928"/>
      <c r="F928"/>
      <c r="G928"/>
      <c r="H928"/>
      <c r="I928"/>
      <c r="J928"/>
      <c r="K928"/>
      <c r="L928"/>
      <c r="M928"/>
      <c r="N928"/>
      <c r="O928"/>
      <c r="P928"/>
      <c r="Q928"/>
      <c r="R928"/>
      <c r="S928"/>
      <c r="T928"/>
      <c r="U928"/>
      <c r="V928"/>
      <c r="W928"/>
      <c r="X928"/>
      <c r="Y928"/>
      <c r="Z928"/>
      <c r="AA928"/>
      <c r="AB928"/>
      <c r="AC928"/>
      <c r="AD928"/>
      <c r="AE928"/>
      <c r="AF928"/>
      <c r="AG928"/>
      <c r="AH928"/>
      <c r="AI928"/>
      <c r="AJ928"/>
      <c r="AK928"/>
      <c r="AL928"/>
    </row>
    <row r="929" spans="1:38">
      <c r="A929"/>
      <c r="B929"/>
      <c r="C929"/>
      <c r="D929"/>
      <c r="E929"/>
      <c r="F929"/>
      <c r="G929"/>
      <c r="H929"/>
      <c r="I929"/>
      <c r="J929"/>
      <c r="K929"/>
      <c r="L929"/>
      <c r="M929"/>
      <c r="N929"/>
      <c r="O929"/>
      <c r="P929"/>
      <c r="Q929"/>
      <c r="R929"/>
      <c r="S929"/>
      <c r="T929"/>
      <c r="U929"/>
      <c r="V929"/>
      <c r="W929"/>
      <c r="X929"/>
      <c r="Y929"/>
      <c r="Z929"/>
      <c r="AA929"/>
      <c r="AB929"/>
      <c r="AC929"/>
      <c r="AD929"/>
      <c r="AE929"/>
      <c r="AF929"/>
      <c r="AG929"/>
      <c r="AH929"/>
      <c r="AI929"/>
      <c r="AJ929"/>
      <c r="AK929"/>
      <c r="AL929"/>
    </row>
    <row r="930" spans="1:38">
      <c r="A930"/>
      <c r="B930"/>
      <c r="C930"/>
      <c r="D930"/>
      <c r="E930"/>
      <c r="F930"/>
      <c r="G930"/>
      <c r="H930"/>
      <c r="I930"/>
      <c r="J930"/>
      <c r="K930"/>
      <c r="L930"/>
      <c r="M930"/>
      <c r="N930"/>
      <c r="O930"/>
      <c r="P930"/>
      <c r="Q930"/>
      <c r="R930"/>
      <c r="S930"/>
      <c r="T930"/>
      <c r="U930"/>
      <c r="V930"/>
      <c r="W930"/>
      <c r="X930"/>
      <c r="Y930"/>
      <c r="Z930"/>
      <c r="AA930"/>
      <c r="AB930"/>
      <c r="AC930"/>
      <c r="AD930"/>
      <c r="AE930"/>
      <c r="AF930"/>
      <c r="AG930"/>
      <c r="AH930"/>
      <c r="AI930"/>
      <c r="AJ930"/>
      <c r="AK930"/>
      <c r="AL930"/>
    </row>
    <row r="931" spans="1:38">
      <c r="A931"/>
      <c r="B931"/>
      <c r="C931"/>
      <c r="D931"/>
      <c r="E931"/>
      <c r="F931"/>
      <c r="G931"/>
      <c r="H931"/>
      <c r="I931"/>
      <c r="J931"/>
      <c r="K931"/>
      <c r="L931"/>
      <c r="M931"/>
      <c r="N931"/>
      <c r="O931"/>
      <c r="P931"/>
      <c r="Q931"/>
      <c r="R931"/>
      <c r="S931"/>
      <c r="T931"/>
      <c r="U931"/>
      <c r="V931"/>
      <c r="W931"/>
      <c r="X931"/>
      <c r="Y931"/>
      <c r="Z931"/>
      <c r="AA931"/>
      <c r="AB931"/>
      <c r="AC931"/>
      <c r="AD931"/>
      <c r="AE931"/>
      <c r="AF931"/>
      <c r="AG931"/>
      <c r="AH931"/>
      <c r="AI931"/>
      <c r="AJ931"/>
      <c r="AK931"/>
      <c r="AL931"/>
    </row>
    <row r="932" spans="1:38">
      <c r="A932"/>
      <c r="B932"/>
      <c r="C932"/>
      <c r="D932"/>
      <c r="E932"/>
      <c r="F932"/>
      <c r="G932"/>
      <c r="H932"/>
      <c r="I932"/>
      <c r="J932"/>
      <c r="K932"/>
      <c r="L932"/>
      <c r="M932"/>
      <c r="N932"/>
      <c r="O932"/>
      <c r="P932"/>
      <c r="Q932"/>
      <c r="R932"/>
      <c r="S932"/>
      <c r="T932"/>
      <c r="U932"/>
      <c r="V932"/>
      <c r="W932"/>
      <c r="X932"/>
      <c r="Y932"/>
      <c r="Z932"/>
      <c r="AA932"/>
      <c r="AB932"/>
      <c r="AC932"/>
      <c r="AD932"/>
      <c r="AE932"/>
      <c r="AF932"/>
      <c r="AG932"/>
      <c r="AH932"/>
      <c r="AI932"/>
      <c r="AJ932"/>
      <c r="AK932"/>
      <c r="AL932"/>
    </row>
    <row r="933" spans="1:38">
      <c r="A933"/>
      <c r="B933"/>
      <c r="C933"/>
      <c r="D933"/>
      <c r="E933"/>
      <c r="F933"/>
      <c r="G933"/>
      <c r="H933"/>
      <c r="I933"/>
      <c r="J933"/>
      <c r="K933"/>
      <c r="L933"/>
      <c r="M933"/>
      <c r="N933"/>
      <c r="O933"/>
      <c r="P933"/>
      <c r="Q933"/>
      <c r="R933"/>
      <c r="S933"/>
      <c r="T933"/>
      <c r="U933"/>
      <c r="V933"/>
      <c r="W933"/>
      <c r="X933"/>
      <c r="Y933"/>
      <c r="Z933"/>
      <c r="AA933"/>
      <c r="AB933"/>
      <c r="AC933"/>
      <c r="AD933"/>
      <c r="AE933"/>
      <c r="AF933"/>
      <c r="AG933"/>
      <c r="AH933"/>
      <c r="AI933"/>
      <c r="AJ933"/>
      <c r="AK933"/>
      <c r="AL933"/>
    </row>
    <row r="934" spans="1:38">
      <c r="A934"/>
      <c r="B934"/>
      <c r="C934"/>
      <c r="D934"/>
      <c r="E934"/>
      <c r="F934"/>
      <c r="G934"/>
      <c r="H934"/>
      <c r="I934"/>
      <c r="J934"/>
      <c r="K934"/>
      <c r="L934"/>
      <c r="M934"/>
      <c r="N934"/>
      <c r="O934"/>
      <c r="P934"/>
      <c r="Q934"/>
      <c r="R934"/>
      <c r="S934"/>
      <c r="T934"/>
      <c r="U934"/>
      <c r="V934"/>
      <c r="W934"/>
      <c r="X934"/>
      <c r="Y934"/>
      <c r="Z934"/>
      <c r="AA934"/>
      <c r="AB934"/>
      <c r="AC934"/>
      <c r="AD934"/>
      <c r="AE934"/>
      <c r="AF934"/>
      <c r="AG934"/>
      <c r="AH934"/>
      <c r="AI934"/>
      <c r="AJ934"/>
      <c r="AK934"/>
      <c r="AL934"/>
    </row>
    <row r="935" spans="1:38">
      <c r="A935"/>
      <c r="B935"/>
      <c r="C935"/>
      <c r="D935"/>
      <c r="E935"/>
      <c r="F935"/>
      <c r="G935"/>
      <c r="H935"/>
      <c r="I935"/>
      <c r="J935"/>
      <c r="K935"/>
      <c r="L935"/>
      <c r="M935"/>
      <c r="N935"/>
      <c r="O935"/>
      <c r="P935"/>
      <c r="Q935"/>
      <c r="R935"/>
      <c r="S935"/>
      <c r="T935"/>
      <c r="U935"/>
      <c r="V935"/>
      <c r="W935"/>
      <c r="X935"/>
      <c r="Y935"/>
      <c r="Z935"/>
      <c r="AA935"/>
      <c r="AB935"/>
      <c r="AC935"/>
      <c r="AD935"/>
      <c r="AE935"/>
      <c r="AF935"/>
      <c r="AG935"/>
      <c r="AH935"/>
      <c r="AI935"/>
      <c r="AJ935"/>
      <c r="AK935"/>
      <c r="AL935"/>
    </row>
    <row r="936" spans="1:38">
      <c r="A936"/>
      <c r="B936"/>
      <c r="C936"/>
      <c r="D936"/>
      <c r="E936"/>
      <c r="F936"/>
      <c r="G936"/>
      <c r="H936"/>
      <c r="I936"/>
      <c r="J936"/>
      <c r="K936"/>
      <c r="L936"/>
      <c r="M936"/>
      <c r="N936"/>
      <c r="O936"/>
      <c r="P936"/>
      <c r="Q936"/>
      <c r="R936"/>
      <c r="S936"/>
      <c r="T936"/>
      <c r="U936"/>
      <c r="V936"/>
      <c r="W936"/>
      <c r="X936"/>
      <c r="Y936"/>
      <c r="Z936"/>
      <c r="AA936"/>
      <c r="AB936"/>
      <c r="AC936"/>
      <c r="AD936"/>
      <c r="AE936"/>
      <c r="AF936"/>
      <c r="AG936"/>
      <c r="AH936"/>
      <c r="AI936"/>
      <c r="AJ936"/>
      <c r="AK936"/>
      <c r="AL936"/>
    </row>
    <row r="937" spans="1:38">
      <c r="A937"/>
      <c r="B937"/>
      <c r="C937"/>
      <c r="D937"/>
      <c r="E937"/>
      <c r="F937"/>
      <c r="G937"/>
      <c r="H937"/>
      <c r="I937"/>
      <c r="J937"/>
      <c r="K937"/>
      <c r="L937"/>
      <c r="M937"/>
      <c r="N937"/>
      <c r="O937"/>
      <c r="P937"/>
      <c r="Q937"/>
      <c r="R937"/>
      <c r="S937"/>
      <c r="T937"/>
      <c r="U937"/>
      <c r="V937"/>
      <c r="W937"/>
      <c r="X937"/>
      <c r="Y937"/>
      <c r="Z937"/>
      <c r="AA937"/>
      <c r="AB937"/>
      <c r="AC937"/>
      <c r="AD937"/>
      <c r="AE937"/>
      <c r="AF937"/>
      <c r="AG937"/>
      <c r="AH937"/>
      <c r="AI937"/>
      <c r="AJ937"/>
      <c r="AK937"/>
      <c r="AL937"/>
    </row>
    <row r="938" spans="1:38">
      <c r="A938"/>
      <c r="B938"/>
      <c r="C938"/>
      <c r="D938"/>
      <c r="E938"/>
      <c r="F938"/>
      <c r="G938"/>
      <c r="H938"/>
      <c r="I938"/>
      <c r="J938"/>
      <c r="K938"/>
      <c r="L938"/>
      <c r="M938"/>
      <c r="N938"/>
      <c r="O938"/>
      <c r="P938"/>
      <c r="Q938"/>
      <c r="R938"/>
      <c r="S938"/>
      <c r="T938"/>
      <c r="U938"/>
      <c r="V938"/>
      <c r="W938"/>
      <c r="X938"/>
      <c r="Y938"/>
      <c r="Z938"/>
      <c r="AA938"/>
      <c r="AB938"/>
      <c r="AC938"/>
      <c r="AD938"/>
      <c r="AE938"/>
      <c r="AF938"/>
      <c r="AG938"/>
      <c r="AH938"/>
      <c r="AI938"/>
      <c r="AJ938"/>
      <c r="AK938"/>
      <c r="AL938"/>
    </row>
    <row r="939" spans="1:38">
      <c r="A939"/>
      <c r="B939"/>
      <c r="C939"/>
      <c r="D939"/>
      <c r="E939"/>
      <c r="F939"/>
      <c r="G939"/>
      <c r="H939"/>
      <c r="I939"/>
      <c r="J939"/>
      <c r="K939"/>
      <c r="L939"/>
      <c r="M939"/>
      <c r="N939"/>
      <c r="O939"/>
      <c r="P939"/>
      <c r="Q939"/>
      <c r="R939"/>
      <c r="S939"/>
      <c r="T939"/>
      <c r="U939"/>
      <c r="V939"/>
      <c r="W939"/>
      <c r="X939"/>
      <c r="Y939"/>
      <c r="Z939"/>
      <c r="AA939"/>
      <c r="AB939"/>
      <c r="AC939"/>
      <c r="AD939"/>
      <c r="AE939"/>
      <c r="AF939"/>
      <c r="AG939"/>
      <c r="AH939"/>
      <c r="AI939"/>
      <c r="AJ939"/>
      <c r="AK939"/>
      <c r="AL939"/>
    </row>
    <row r="940" spans="1:38">
      <c r="A940"/>
      <c r="B940"/>
      <c r="C940"/>
      <c r="D940"/>
      <c r="E940"/>
      <c r="F940"/>
      <c r="G940"/>
      <c r="H940"/>
      <c r="I940"/>
      <c r="J940"/>
      <c r="K940"/>
      <c r="L940"/>
      <c r="M940"/>
      <c r="N940"/>
      <c r="O940"/>
      <c r="P940"/>
      <c r="Q940"/>
      <c r="R940"/>
      <c r="S940"/>
      <c r="T940"/>
      <c r="U940"/>
      <c r="V940"/>
      <c r="W940"/>
      <c r="X940"/>
      <c r="Y940"/>
      <c r="Z940"/>
      <c r="AA940"/>
      <c r="AB940"/>
      <c r="AC940"/>
      <c r="AD940"/>
      <c r="AE940"/>
      <c r="AF940"/>
      <c r="AG940"/>
      <c r="AH940"/>
      <c r="AI940"/>
      <c r="AJ940"/>
      <c r="AK940"/>
      <c r="AL940"/>
    </row>
    <row r="941" spans="1:38">
      <c r="A941"/>
      <c r="B941"/>
      <c r="C941"/>
      <c r="D941"/>
      <c r="E941"/>
      <c r="F941"/>
      <c r="G941"/>
      <c r="H941"/>
      <c r="I941"/>
      <c r="J941"/>
      <c r="K941"/>
      <c r="L941"/>
      <c r="M941"/>
      <c r="N941"/>
      <c r="O941"/>
      <c r="P941"/>
      <c r="Q941"/>
      <c r="R941"/>
      <c r="S941"/>
      <c r="T941"/>
      <c r="U941"/>
      <c r="V941"/>
      <c r="W941"/>
      <c r="X941"/>
      <c r="Y941"/>
      <c r="Z941"/>
      <c r="AA941"/>
      <c r="AB941"/>
      <c r="AC941"/>
      <c r="AD941"/>
      <c r="AE941"/>
      <c r="AF941"/>
      <c r="AG941"/>
      <c r="AH941"/>
      <c r="AI941"/>
      <c r="AJ941"/>
      <c r="AK941"/>
      <c r="AL941"/>
    </row>
    <row r="942" spans="1:38">
      <c r="A942"/>
      <c r="B942"/>
      <c r="C942"/>
      <c r="D942"/>
      <c r="E942"/>
      <c r="F942"/>
      <c r="G942"/>
      <c r="H942"/>
      <c r="I942"/>
      <c r="J942"/>
      <c r="K942"/>
      <c r="L942"/>
      <c r="M942"/>
      <c r="N942"/>
      <c r="O942"/>
      <c r="P942"/>
      <c r="Q942"/>
      <c r="R942"/>
      <c r="S942"/>
      <c r="T942"/>
      <c r="U942"/>
      <c r="V942"/>
      <c r="W942"/>
      <c r="X942"/>
      <c r="Y942"/>
      <c r="Z942"/>
      <c r="AA942"/>
      <c r="AB942"/>
      <c r="AC942"/>
      <c r="AD942"/>
      <c r="AE942"/>
      <c r="AF942"/>
      <c r="AG942"/>
      <c r="AH942"/>
      <c r="AI942"/>
      <c r="AJ942"/>
      <c r="AK942"/>
      <c r="AL942"/>
    </row>
    <row r="943" spans="1:38">
      <c r="A943"/>
      <c r="B943"/>
      <c r="C943"/>
      <c r="D943"/>
      <c r="E943"/>
      <c r="F943"/>
      <c r="G943"/>
      <c r="H943"/>
      <c r="I943"/>
      <c r="J943"/>
      <c r="K943"/>
      <c r="L943"/>
      <c r="M943"/>
      <c r="N943"/>
      <c r="O943"/>
      <c r="P943"/>
      <c r="Q943"/>
      <c r="R943"/>
      <c r="S943"/>
      <c r="T943"/>
      <c r="U943"/>
      <c r="V943"/>
      <c r="W943"/>
      <c r="X943"/>
      <c r="Y943"/>
      <c r="Z943"/>
      <c r="AA943"/>
      <c r="AB943"/>
      <c r="AC943"/>
      <c r="AD943"/>
      <c r="AE943"/>
      <c r="AF943"/>
      <c r="AG943"/>
      <c r="AH943"/>
      <c r="AI943"/>
      <c r="AJ943"/>
      <c r="AK943"/>
      <c r="AL943"/>
    </row>
    <row r="944" spans="1:38">
      <c r="A944"/>
      <c r="B944"/>
      <c r="C944"/>
      <c r="D944"/>
      <c r="E944"/>
      <c r="F944"/>
      <c r="G944"/>
      <c r="H944"/>
      <c r="I944"/>
      <c r="J944"/>
      <c r="K944"/>
      <c r="L944"/>
      <c r="M944"/>
      <c r="N944"/>
      <c r="O944"/>
      <c r="P944"/>
      <c r="Q944"/>
      <c r="R944"/>
      <c r="S944"/>
      <c r="T944"/>
      <c r="U944"/>
      <c r="V944"/>
      <c r="W944"/>
      <c r="X944"/>
      <c r="Y944"/>
      <c r="Z944"/>
      <c r="AA944"/>
      <c r="AB944"/>
      <c r="AC944"/>
      <c r="AD944"/>
      <c r="AE944"/>
      <c r="AF944"/>
      <c r="AG944"/>
      <c r="AH944"/>
      <c r="AI944"/>
      <c r="AJ944"/>
      <c r="AK944"/>
      <c r="AL944"/>
    </row>
    <row r="945" spans="1:38">
      <c r="A945"/>
      <c r="B945"/>
      <c r="C945"/>
      <c r="D945"/>
      <c r="E945"/>
      <c r="F945"/>
      <c r="G945"/>
      <c r="H945"/>
      <c r="I945"/>
      <c r="J945"/>
      <c r="K945"/>
      <c r="L945"/>
      <c r="M945"/>
      <c r="N945"/>
      <c r="O945"/>
      <c r="P945"/>
      <c r="Q945"/>
      <c r="R945"/>
      <c r="S945"/>
      <c r="T945"/>
      <c r="U945"/>
      <c r="V945"/>
      <c r="W945"/>
      <c r="X945"/>
      <c r="Y945"/>
      <c r="Z945"/>
      <c r="AA945"/>
      <c r="AB945"/>
      <c r="AC945"/>
      <c r="AD945"/>
      <c r="AE945"/>
      <c r="AF945"/>
      <c r="AG945"/>
      <c r="AH945"/>
      <c r="AI945"/>
      <c r="AJ945"/>
      <c r="AK945"/>
      <c r="AL945"/>
    </row>
    <row r="946" spans="1:38">
      <c r="A946"/>
      <c r="B946"/>
      <c r="C946"/>
      <c r="D946"/>
      <c r="E946"/>
      <c r="F946"/>
      <c r="G946"/>
      <c r="H946"/>
      <c r="I946"/>
      <c r="J946"/>
      <c r="K946"/>
      <c r="L946"/>
      <c r="M946"/>
      <c r="N946"/>
      <c r="O946"/>
      <c r="P946"/>
      <c r="Q946"/>
      <c r="R946"/>
      <c r="S946"/>
      <c r="T946"/>
      <c r="U946"/>
      <c r="V946"/>
      <c r="W946"/>
      <c r="X946"/>
      <c r="Y946"/>
      <c r="Z946"/>
      <c r="AA946"/>
      <c r="AB946"/>
      <c r="AC946"/>
      <c r="AD946"/>
      <c r="AE946"/>
      <c r="AF946"/>
      <c r="AG946"/>
      <c r="AH946"/>
      <c r="AI946"/>
      <c r="AJ946"/>
      <c r="AK946"/>
      <c r="AL946"/>
    </row>
    <row r="947" spans="1:38">
      <c r="A947"/>
      <c r="B947"/>
      <c r="C947"/>
      <c r="D947"/>
      <c r="E947"/>
      <c r="F947"/>
      <c r="G947"/>
      <c r="H947"/>
      <c r="I947"/>
      <c r="J947"/>
      <c r="K947"/>
      <c r="L947"/>
      <c r="M947"/>
      <c r="N947"/>
      <c r="O947"/>
      <c r="P947"/>
      <c r="Q947"/>
      <c r="R947"/>
      <c r="S947"/>
      <c r="T947"/>
      <c r="U947"/>
      <c r="V947"/>
      <c r="W947"/>
      <c r="X947"/>
      <c r="Y947"/>
      <c r="Z947"/>
      <c r="AA947"/>
      <c r="AB947"/>
      <c r="AC947"/>
      <c r="AD947"/>
      <c r="AE947"/>
      <c r="AF947"/>
      <c r="AG947"/>
      <c r="AH947"/>
      <c r="AI947"/>
      <c r="AJ947"/>
      <c r="AK947"/>
      <c r="AL947"/>
    </row>
    <row r="948" spans="1:38">
      <c r="A948"/>
      <c r="B948"/>
      <c r="C948"/>
      <c r="D948"/>
      <c r="E948"/>
      <c r="F948"/>
      <c r="G948"/>
      <c r="H948"/>
      <c r="I948"/>
      <c r="J948"/>
      <c r="K948"/>
      <c r="L948"/>
      <c r="M948"/>
      <c r="N948"/>
      <c r="O948"/>
      <c r="P948"/>
      <c r="Q948"/>
      <c r="R948"/>
      <c r="S948"/>
      <c r="T948"/>
      <c r="U948"/>
      <c r="V948"/>
      <c r="W948"/>
      <c r="X948"/>
      <c r="Y948"/>
      <c r="Z948"/>
      <c r="AA948"/>
      <c r="AB948"/>
      <c r="AC948"/>
      <c r="AD948"/>
      <c r="AE948"/>
      <c r="AF948"/>
      <c r="AG948"/>
      <c r="AH948"/>
      <c r="AI948"/>
      <c r="AJ948"/>
      <c r="AK948"/>
      <c r="AL948"/>
    </row>
    <row r="949" spans="1:38">
      <c r="A949"/>
      <c r="B949"/>
      <c r="C949"/>
      <c r="D949"/>
      <c r="E949"/>
      <c r="F949"/>
      <c r="G949"/>
      <c r="H949"/>
      <c r="I949"/>
      <c r="J949"/>
      <c r="K949"/>
      <c r="L949"/>
      <c r="M949"/>
      <c r="N949"/>
      <c r="O949"/>
      <c r="P949"/>
      <c r="Q949"/>
      <c r="R949"/>
      <c r="S949"/>
      <c r="T949"/>
      <c r="U949"/>
      <c r="V949"/>
      <c r="W949"/>
      <c r="X949"/>
      <c r="Y949"/>
      <c r="Z949"/>
      <c r="AA949"/>
      <c r="AB949"/>
      <c r="AC949"/>
      <c r="AD949"/>
      <c r="AE949"/>
      <c r="AF949"/>
      <c r="AG949"/>
      <c r="AH949"/>
      <c r="AI949"/>
      <c r="AJ949"/>
      <c r="AK949"/>
      <c r="AL949"/>
    </row>
    <row r="950" spans="1:38">
      <c r="A950"/>
      <c r="B950"/>
      <c r="C950"/>
      <c r="D950"/>
      <c r="E950"/>
      <c r="F950"/>
      <c r="G950"/>
      <c r="H950"/>
      <c r="I950"/>
      <c r="J950"/>
      <c r="K950"/>
      <c r="L950"/>
      <c r="M950"/>
      <c r="N950"/>
      <c r="O950"/>
      <c r="P950"/>
      <c r="Q950"/>
      <c r="R950"/>
      <c r="S950"/>
      <c r="T950"/>
      <c r="U950"/>
      <c r="V950"/>
      <c r="W950"/>
      <c r="X950"/>
      <c r="Y950"/>
      <c r="Z950"/>
      <c r="AA950"/>
      <c r="AB950"/>
      <c r="AC950"/>
      <c r="AD950"/>
      <c r="AE950"/>
      <c r="AF950"/>
      <c r="AG950"/>
      <c r="AH950"/>
      <c r="AI950"/>
      <c r="AJ950"/>
      <c r="AK950"/>
      <c r="AL950"/>
    </row>
    <row r="951" spans="1:38">
      <c r="A951"/>
      <c r="B951"/>
      <c r="C951"/>
      <c r="D951"/>
      <c r="E951"/>
      <c r="F951"/>
      <c r="G951"/>
      <c r="H951"/>
      <c r="I951"/>
      <c r="J951"/>
      <c r="K951"/>
      <c r="L951"/>
      <c r="M951"/>
      <c r="N951"/>
      <c r="O951"/>
      <c r="P951"/>
      <c r="Q951"/>
      <c r="R951"/>
      <c r="S951"/>
      <c r="T951"/>
      <c r="U951"/>
      <c r="V951"/>
      <c r="W951"/>
      <c r="X951"/>
      <c r="Y951"/>
      <c r="Z951"/>
      <c r="AA951"/>
      <c r="AB951"/>
      <c r="AC951"/>
      <c r="AD951"/>
      <c r="AE951"/>
      <c r="AF951"/>
      <c r="AG951"/>
      <c r="AH951"/>
      <c r="AI951"/>
      <c r="AJ951"/>
      <c r="AK951"/>
      <c r="AL951"/>
    </row>
    <row r="952" spans="1:38">
      <c r="A952"/>
      <c r="B952"/>
      <c r="C952"/>
      <c r="D952"/>
      <c r="E952"/>
      <c r="F952"/>
      <c r="G952"/>
      <c r="H952"/>
      <c r="I952"/>
      <c r="J952"/>
      <c r="K952"/>
      <c r="L952"/>
      <c r="M952"/>
      <c r="N952"/>
      <c r="O952"/>
      <c r="P952"/>
      <c r="Q952"/>
      <c r="R952"/>
      <c r="S952"/>
      <c r="T952"/>
      <c r="U952"/>
      <c r="V952"/>
      <c r="W952"/>
      <c r="X952"/>
      <c r="Y952"/>
      <c r="Z952"/>
      <c r="AA952"/>
      <c r="AB952"/>
      <c r="AC952"/>
      <c r="AD952"/>
      <c r="AE952"/>
      <c r="AF952"/>
      <c r="AG952"/>
      <c r="AH952"/>
      <c r="AI952"/>
      <c r="AJ952"/>
      <c r="AK952"/>
      <c r="AL952"/>
    </row>
    <row r="953" spans="1:38">
      <c r="A953"/>
      <c r="B953"/>
      <c r="C953"/>
      <c r="D953"/>
      <c r="E953"/>
      <c r="F953"/>
      <c r="G953"/>
      <c r="H953"/>
      <c r="I953"/>
      <c r="J953"/>
      <c r="K953"/>
      <c r="L953"/>
      <c r="M953"/>
      <c r="N953"/>
      <c r="O953"/>
      <c r="P953"/>
      <c r="Q953"/>
      <c r="R953"/>
      <c r="S953"/>
      <c r="T953"/>
      <c r="U953"/>
      <c r="V953"/>
      <c r="W953"/>
      <c r="X953"/>
      <c r="Y953"/>
      <c r="Z953"/>
      <c r="AA953"/>
      <c r="AB953"/>
      <c r="AC953"/>
      <c r="AD953"/>
      <c r="AE953"/>
      <c r="AF953"/>
      <c r="AG953"/>
      <c r="AH953"/>
      <c r="AI953"/>
      <c r="AJ953"/>
      <c r="AK953"/>
      <c r="AL953"/>
    </row>
    <row r="954" spans="1:38">
      <c r="A954"/>
      <c r="B954"/>
      <c r="C954"/>
      <c r="D954"/>
      <c r="E954"/>
      <c r="F954"/>
      <c r="G954"/>
      <c r="H954"/>
      <c r="I954"/>
      <c r="J954"/>
      <c r="K954"/>
      <c r="L954"/>
      <c r="M954"/>
      <c r="N954"/>
      <c r="O954"/>
      <c r="P954"/>
      <c r="Q954"/>
      <c r="R954"/>
      <c r="S954"/>
      <c r="T954"/>
      <c r="U954"/>
      <c r="V954"/>
      <c r="W954"/>
      <c r="X954"/>
      <c r="Y954"/>
      <c r="Z954"/>
      <c r="AA954"/>
      <c r="AB954"/>
      <c r="AC954"/>
      <c r="AD954"/>
      <c r="AE954"/>
      <c r="AF954"/>
      <c r="AG954"/>
      <c r="AH954"/>
      <c r="AI954"/>
      <c r="AJ954"/>
      <c r="AK954"/>
      <c r="AL954"/>
    </row>
    <row r="955" spans="1:38">
      <c r="A955"/>
      <c r="B955"/>
      <c r="C955"/>
      <c r="D955"/>
      <c r="E955"/>
      <c r="F955"/>
      <c r="G955"/>
      <c r="H955"/>
      <c r="I955"/>
      <c r="J955"/>
      <c r="K955"/>
      <c r="L955"/>
      <c r="M955"/>
      <c r="N955"/>
      <c r="O955"/>
      <c r="P955"/>
      <c r="Q955"/>
      <c r="R955"/>
      <c r="S955"/>
      <c r="T955"/>
      <c r="U955"/>
      <c r="V955"/>
      <c r="W955"/>
      <c r="X955"/>
      <c r="Y955"/>
      <c r="Z955"/>
      <c r="AA955"/>
      <c r="AB955"/>
      <c r="AC955"/>
      <c r="AD955"/>
      <c r="AE955"/>
      <c r="AF955"/>
      <c r="AG955"/>
      <c r="AH955"/>
      <c r="AI955"/>
      <c r="AJ955"/>
      <c r="AK955"/>
      <c r="AL955"/>
    </row>
    <row r="956" spans="1:38">
      <c r="A956"/>
      <c r="B956"/>
      <c r="C956"/>
      <c r="D956"/>
      <c r="E956"/>
      <c r="F956"/>
      <c r="G956"/>
      <c r="H956"/>
      <c r="I956"/>
      <c r="J956"/>
      <c r="K956"/>
      <c r="L956"/>
      <c r="M956"/>
      <c r="N956"/>
      <c r="O956"/>
      <c r="P956"/>
      <c r="Q956"/>
      <c r="R956"/>
      <c r="S956"/>
      <c r="T956"/>
      <c r="U956"/>
      <c r="V956"/>
      <c r="W956"/>
      <c r="X956"/>
      <c r="Y956"/>
      <c r="Z956"/>
      <c r="AA956"/>
      <c r="AB956"/>
      <c r="AC956"/>
      <c r="AD956"/>
      <c r="AE956"/>
      <c r="AF956"/>
      <c r="AG956"/>
      <c r="AH956"/>
      <c r="AI956"/>
      <c r="AJ956"/>
      <c r="AK956"/>
      <c r="AL956"/>
    </row>
    <row r="957" spans="1:38">
      <c r="A957"/>
      <c r="B957"/>
      <c r="C957"/>
      <c r="D957"/>
      <c r="E957"/>
      <c r="F957"/>
      <c r="G957"/>
      <c r="H957"/>
      <c r="I957"/>
      <c r="J957"/>
      <c r="K957"/>
      <c r="L957"/>
      <c r="M957"/>
      <c r="N957"/>
      <c r="O957"/>
      <c r="P957"/>
      <c r="Q957"/>
      <c r="R957"/>
      <c r="S957"/>
      <c r="T957"/>
      <c r="U957"/>
      <c r="V957"/>
      <c r="W957"/>
      <c r="X957"/>
      <c r="Y957"/>
      <c r="Z957"/>
      <c r="AA957"/>
      <c r="AB957"/>
      <c r="AC957"/>
      <c r="AD957"/>
      <c r="AE957"/>
      <c r="AF957"/>
      <c r="AG957"/>
      <c r="AH957"/>
      <c r="AI957"/>
      <c r="AJ957"/>
      <c r="AK957"/>
      <c r="AL957"/>
    </row>
    <row r="958" spans="1:38">
      <c r="A958"/>
      <c r="B958"/>
      <c r="C958"/>
      <c r="D958"/>
      <c r="E958"/>
      <c r="F958"/>
      <c r="G958"/>
      <c r="H958"/>
      <c r="I958"/>
      <c r="J958"/>
      <c r="K958"/>
      <c r="L958"/>
      <c r="M958"/>
      <c r="N958"/>
      <c r="O958"/>
      <c r="P958"/>
      <c r="Q958"/>
      <c r="R958"/>
      <c r="S958"/>
      <c r="T958"/>
      <c r="U958"/>
      <c r="V958"/>
      <c r="W958"/>
      <c r="X958"/>
      <c r="Y958"/>
      <c r="Z958"/>
      <c r="AA958"/>
      <c r="AB958"/>
      <c r="AC958"/>
      <c r="AD958"/>
      <c r="AE958"/>
      <c r="AF958"/>
      <c r="AG958"/>
      <c r="AH958"/>
      <c r="AI958"/>
      <c r="AJ958"/>
      <c r="AK958"/>
      <c r="AL958"/>
    </row>
    <row r="959" spans="1:38">
      <c r="A959"/>
      <c r="B959"/>
      <c r="C959"/>
      <c r="D959"/>
      <c r="E959"/>
      <c r="F959"/>
      <c r="G959"/>
      <c r="H959"/>
      <c r="I959"/>
      <c r="J959"/>
      <c r="K959"/>
      <c r="L959"/>
      <c r="M959"/>
      <c r="N959"/>
      <c r="O959"/>
      <c r="P959"/>
      <c r="Q959"/>
      <c r="R959"/>
      <c r="S959"/>
      <c r="T959"/>
      <c r="U959"/>
      <c r="V959"/>
      <c r="W959"/>
      <c r="X959"/>
      <c r="Y959"/>
      <c r="Z959"/>
      <c r="AA959"/>
      <c r="AB959"/>
      <c r="AC959"/>
      <c r="AD959"/>
      <c r="AE959"/>
      <c r="AF959"/>
      <c r="AG959"/>
      <c r="AH959"/>
      <c r="AI959"/>
      <c r="AJ959"/>
      <c r="AK959"/>
      <c r="AL959"/>
    </row>
    <row r="960" spans="1:38">
      <c r="A960"/>
      <c r="B960"/>
      <c r="C960"/>
      <c r="D960"/>
      <c r="E960"/>
      <c r="F960"/>
      <c r="G960"/>
      <c r="H960"/>
      <c r="I960"/>
      <c r="J960"/>
      <c r="K960"/>
      <c r="L960"/>
      <c r="M960"/>
      <c r="N960"/>
      <c r="O960"/>
      <c r="P960"/>
      <c r="Q960"/>
      <c r="R960"/>
      <c r="S960"/>
      <c r="T960"/>
      <c r="U960"/>
      <c r="V960"/>
      <c r="W960"/>
      <c r="X960"/>
      <c r="Y960"/>
      <c r="Z960"/>
      <c r="AA960"/>
      <c r="AB960"/>
      <c r="AC960"/>
      <c r="AD960"/>
      <c r="AE960"/>
      <c r="AF960"/>
      <c r="AG960"/>
      <c r="AH960"/>
      <c r="AI960"/>
      <c r="AJ960"/>
      <c r="AK960"/>
      <c r="AL960"/>
    </row>
    <row r="961" spans="1:38">
      <c r="A961"/>
      <c r="B961"/>
      <c r="C961"/>
      <c r="D961"/>
      <c r="E961"/>
      <c r="F961"/>
      <c r="G961"/>
      <c r="H961"/>
      <c r="I961"/>
      <c r="J961"/>
      <c r="K961"/>
      <c r="L961"/>
      <c r="M961"/>
      <c r="N961"/>
      <c r="O961"/>
      <c r="P961"/>
      <c r="Q961"/>
      <c r="R961"/>
      <c r="S961"/>
      <c r="T961"/>
      <c r="U961"/>
      <c r="V961"/>
      <c r="W961"/>
      <c r="X961"/>
      <c r="Y961"/>
      <c r="Z961"/>
      <c r="AA961"/>
      <c r="AB961"/>
      <c r="AC961"/>
      <c r="AD961"/>
      <c r="AE961"/>
      <c r="AF961"/>
      <c r="AG961"/>
      <c r="AH961"/>
      <c r="AI961"/>
      <c r="AJ961"/>
      <c r="AK961"/>
      <c r="AL961"/>
    </row>
    <row r="962" spans="1:38">
      <c r="A962"/>
      <c r="B962"/>
      <c r="C962"/>
      <c r="D962"/>
      <c r="E962"/>
      <c r="F962"/>
      <c r="G962"/>
      <c r="H962"/>
      <c r="I962"/>
      <c r="J962"/>
      <c r="K962"/>
      <c r="L962"/>
      <c r="M962"/>
      <c r="N962"/>
      <c r="O962"/>
      <c r="P962"/>
      <c r="Q962"/>
      <c r="R962"/>
      <c r="S962"/>
      <c r="T962"/>
      <c r="U962"/>
      <c r="V962"/>
      <c r="W962"/>
      <c r="X962"/>
      <c r="Y962"/>
      <c r="Z962"/>
      <c r="AA962"/>
      <c r="AB962"/>
      <c r="AC962"/>
      <c r="AD962"/>
      <c r="AE962"/>
      <c r="AF962"/>
      <c r="AG962"/>
      <c r="AH962"/>
      <c r="AI962"/>
      <c r="AJ962"/>
      <c r="AK962"/>
      <c r="AL962"/>
    </row>
    <row r="963" spans="1:38">
      <c r="A963"/>
      <c r="B963"/>
      <c r="C963"/>
      <c r="D963"/>
      <c r="E963"/>
      <c r="F963"/>
      <c r="G963"/>
      <c r="H963"/>
      <c r="I963"/>
      <c r="J963"/>
      <c r="K963"/>
      <c r="L963"/>
      <c r="M963"/>
      <c r="N963"/>
      <c r="O963"/>
      <c r="P963"/>
      <c r="Q963"/>
      <c r="R963"/>
      <c r="S963"/>
      <c r="T963"/>
      <c r="U963"/>
      <c r="V963"/>
      <c r="W963"/>
      <c r="X963"/>
      <c r="Y963"/>
      <c r="Z963"/>
      <c r="AA963"/>
      <c r="AB963"/>
      <c r="AC963"/>
      <c r="AD963"/>
      <c r="AE963"/>
      <c r="AF963"/>
      <c r="AG963"/>
      <c r="AH963"/>
      <c r="AI963"/>
      <c r="AJ963"/>
      <c r="AK963"/>
      <c r="AL963"/>
    </row>
    <row r="964" spans="1:38">
      <c r="A964"/>
      <c r="B964"/>
      <c r="C964"/>
      <c r="D964"/>
      <c r="E964"/>
      <c r="F964"/>
      <c r="G964"/>
      <c r="H964"/>
      <c r="I964"/>
      <c r="J964"/>
      <c r="K964"/>
      <c r="L964"/>
      <c r="M964"/>
      <c r="N964"/>
      <c r="O964"/>
      <c r="P964"/>
      <c r="Q964"/>
      <c r="R964"/>
      <c r="S964"/>
      <c r="T964"/>
      <c r="U964"/>
      <c r="V964"/>
      <c r="W964"/>
      <c r="X964"/>
      <c r="Y964"/>
      <c r="Z964"/>
      <c r="AA964"/>
      <c r="AB964"/>
      <c r="AC964"/>
      <c r="AD964"/>
      <c r="AE964"/>
      <c r="AF964"/>
      <c r="AG964"/>
      <c r="AH964"/>
      <c r="AI964"/>
      <c r="AJ964"/>
      <c r="AK964"/>
      <c r="AL964"/>
    </row>
    <row r="965" spans="1:38">
      <c r="A965"/>
      <c r="B965"/>
      <c r="C965"/>
      <c r="D965"/>
      <c r="E965"/>
      <c r="F965"/>
      <c r="G965"/>
      <c r="H965"/>
      <c r="I965"/>
      <c r="J965"/>
      <c r="K965"/>
      <c r="L965"/>
      <c r="M965"/>
      <c r="N965"/>
      <c r="O965"/>
      <c r="P965"/>
      <c r="Q965"/>
      <c r="R965"/>
      <c r="S965"/>
      <c r="T965"/>
      <c r="U965"/>
      <c r="V965"/>
      <c r="W965"/>
      <c r="X965"/>
      <c r="Y965"/>
      <c r="Z965"/>
      <c r="AA965"/>
      <c r="AB965"/>
      <c r="AC965"/>
      <c r="AD965"/>
      <c r="AE965"/>
      <c r="AF965"/>
      <c r="AG965"/>
      <c r="AH965"/>
      <c r="AI965"/>
      <c r="AJ965"/>
      <c r="AK965"/>
      <c r="AL965"/>
    </row>
    <row r="966" spans="1:38">
      <c r="A966"/>
      <c r="B966"/>
      <c r="C966"/>
      <c r="D966"/>
      <c r="E966"/>
      <c r="F966"/>
      <c r="G966"/>
      <c r="H966"/>
      <c r="I966"/>
      <c r="J966"/>
      <c r="K966"/>
      <c r="L966"/>
      <c r="M966"/>
      <c r="N966"/>
      <c r="O966"/>
      <c r="P966"/>
      <c r="Q966"/>
      <c r="R966"/>
      <c r="S966"/>
      <c r="T966"/>
      <c r="U966"/>
      <c r="V966"/>
      <c r="W966"/>
      <c r="X966"/>
      <c r="Y966"/>
      <c r="Z966"/>
      <c r="AA966"/>
      <c r="AB966"/>
      <c r="AC966"/>
      <c r="AD966"/>
      <c r="AE966"/>
      <c r="AF966"/>
      <c r="AG966"/>
      <c r="AH966"/>
      <c r="AI966"/>
      <c r="AJ966"/>
      <c r="AK966"/>
      <c r="AL966"/>
    </row>
    <row r="967" spans="1:38">
      <c r="A967"/>
      <c r="B967"/>
      <c r="C967"/>
      <c r="D967"/>
      <c r="E967"/>
      <c r="F967"/>
      <c r="G967"/>
      <c r="H967"/>
      <c r="I967"/>
      <c r="J967"/>
      <c r="K967"/>
      <c r="L967"/>
      <c r="M967"/>
      <c r="N967"/>
      <c r="O967"/>
      <c r="P967"/>
      <c r="Q967"/>
      <c r="R967"/>
      <c r="S967"/>
      <c r="T967"/>
      <c r="U967"/>
      <c r="V967"/>
      <c r="W967"/>
      <c r="X967"/>
      <c r="Y967"/>
      <c r="Z967"/>
      <c r="AA967"/>
      <c r="AB967"/>
      <c r="AC967"/>
      <c r="AD967"/>
      <c r="AE967"/>
      <c r="AF967"/>
      <c r="AG967"/>
      <c r="AH967"/>
      <c r="AI967"/>
      <c r="AJ967"/>
      <c r="AK967"/>
      <c r="AL967"/>
    </row>
    <row r="968" spans="1:38">
      <c r="A968"/>
      <c r="B968"/>
      <c r="C968"/>
      <c r="D968"/>
      <c r="E968"/>
      <c r="F968"/>
      <c r="G968"/>
      <c r="H968"/>
      <c r="I968"/>
      <c r="J968"/>
      <c r="K968"/>
      <c r="L968"/>
      <c r="M968"/>
      <c r="N968"/>
      <c r="O968"/>
      <c r="P968"/>
      <c r="Q968"/>
      <c r="R968"/>
      <c r="S968"/>
      <c r="T968"/>
      <c r="U968"/>
      <c r="V968"/>
      <c r="W968"/>
      <c r="X968"/>
      <c r="Y968"/>
      <c r="Z968"/>
      <c r="AA968"/>
      <c r="AB968"/>
      <c r="AC968"/>
      <c r="AD968"/>
      <c r="AE968"/>
      <c r="AF968"/>
      <c r="AG968"/>
      <c r="AH968"/>
      <c r="AI968"/>
      <c r="AJ968"/>
      <c r="AK968"/>
      <c r="AL968"/>
    </row>
    <row r="969" spans="1:38">
      <c r="A969"/>
      <c r="B969"/>
      <c r="C969"/>
      <c r="D969"/>
      <c r="E969"/>
      <c r="F969"/>
      <c r="G969"/>
      <c r="H969"/>
      <c r="I969"/>
      <c r="J969"/>
      <c r="K969"/>
      <c r="L969"/>
      <c r="M969"/>
      <c r="N969"/>
      <c r="O969"/>
      <c r="P969"/>
      <c r="Q969"/>
      <c r="R969"/>
      <c r="S969"/>
      <c r="T969"/>
      <c r="U969"/>
      <c r="V969"/>
      <c r="W969"/>
      <c r="X969"/>
      <c r="Y969"/>
      <c r="Z969"/>
      <c r="AA969"/>
      <c r="AB969"/>
      <c r="AC969"/>
      <c r="AD969"/>
      <c r="AE969"/>
      <c r="AF969"/>
      <c r="AG969"/>
      <c r="AH969"/>
      <c r="AI969"/>
      <c r="AJ969"/>
      <c r="AK969"/>
      <c r="AL969"/>
    </row>
    <row r="970" spans="1:38">
      <c r="A970"/>
      <c r="B970"/>
      <c r="C970"/>
      <c r="D970"/>
      <c r="E970"/>
      <c r="F970"/>
      <c r="G970"/>
      <c r="H970"/>
      <c r="I970"/>
      <c r="J970"/>
      <c r="K970"/>
      <c r="L970"/>
      <c r="M970"/>
      <c r="N970"/>
      <c r="O970"/>
      <c r="P970"/>
      <c r="Q970"/>
      <c r="R970"/>
      <c r="S970"/>
      <c r="T970"/>
      <c r="U970"/>
      <c r="V970"/>
      <c r="W970"/>
      <c r="X970"/>
      <c r="Y970"/>
      <c r="Z970"/>
      <c r="AA970"/>
      <c r="AB970"/>
      <c r="AC970"/>
      <c r="AD970"/>
      <c r="AE970"/>
      <c r="AF970"/>
      <c r="AG970"/>
      <c r="AH970"/>
      <c r="AI970"/>
      <c r="AJ970"/>
      <c r="AK970"/>
      <c r="AL970"/>
    </row>
    <row r="971" spans="1:38">
      <c r="A971"/>
      <c r="B971"/>
      <c r="C971"/>
      <c r="D971"/>
      <c r="E971"/>
      <c r="F971"/>
      <c r="G971"/>
      <c r="H971"/>
      <c r="I971"/>
      <c r="J971"/>
      <c r="K971"/>
      <c r="L971"/>
      <c r="M971"/>
      <c r="N971"/>
      <c r="O971"/>
      <c r="P971"/>
      <c r="Q971"/>
      <c r="R971"/>
      <c r="S971"/>
      <c r="T971"/>
      <c r="U971"/>
      <c r="V971"/>
      <c r="W971"/>
      <c r="X971"/>
      <c r="Y971"/>
      <c r="Z971"/>
      <c r="AA971"/>
      <c r="AB971"/>
      <c r="AC971"/>
      <c r="AD971"/>
      <c r="AE971"/>
      <c r="AF971"/>
      <c r="AG971"/>
      <c r="AH971"/>
      <c r="AI971"/>
      <c r="AJ971"/>
      <c r="AK971"/>
      <c r="AL971"/>
    </row>
    <row r="972" spans="1:38">
      <c r="A972"/>
      <c r="B972"/>
      <c r="C972"/>
      <c r="D972"/>
      <c r="E972"/>
      <c r="F972"/>
      <c r="G972"/>
      <c r="H972"/>
      <c r="I972"/>
      <c r="J972"/>
      <c r="K972"/>
      <c r="L972"/>
      <c r="M972"/>
      <c r="N972"/>
      <c r="O972"/>
      <c r="P972"/>
      <c r="Q972"/>
      <c r="R972"/>
      <c r="S972"/>
      <c r="T972"/>
      <c r="U972"/>
      <c r="V972"/>
      <c r="W972"/>
      <c r="X972"/>
      <c r="Y972"/>
      <c r="Z972"/>
      <c r="AA972"/>
      <c r="AB972"/>
      <c r="AC972"/>
      <c r="AD972"/>
      <c r="AE972"/>
      <c r="AF972"/>
      <c r="AG972"/>
      <c r="AH972"/>
      <c r="AI972"/>
      <c r="AJ972"/>
      <c r="AK972"/>
      <c r="AL972"/>
    </row>
    <row r="973" spans="1:38">
      <c r="A973"/>
      <c r="B973"/>
      <c r="C973"/>
      <c r="D973"/>
      <c r="E973"/>
      <c r="F973"/>
      <c r="G973"/>
      <c r="H973"/>
      <c r="I973"/>
      <c r="J973"/>
      <c r="K973"/>
      <c r="L973"/>
      <c r="M973"/>
      <c r="N973"/>
      <c r="O973"/>
      <c r="P973"/>
      <c r="Q973"/>
      <c r="R973"/>
      <c r="S973"/>
      <c r="T973"/>
      <c r="U973"/>
      <c r="V973"/>
      <c r="W973"/>
      <c r="X973"/>
      <c r="Y973"/>
      <c r="Z973"/>
      <c r="AA973"/>
      <c r="AB973"/>
      <c r="AC973"/>
      <c r="AD973"/>
      <c r="AE973"/>
      <c r="AF973"/>
      <c r="AG973"/>
      <c r="AH973"/>
      <c r="AI973"/>
      <c r="AJ973"/>
      <c r="AK973"/>
      <c r="AL973"/>
    </row>
    <row r="974" spans="1:38">
      <c r="A974"/>
      <c r="B974"/>
      <c r="C974"/>
      <c r="D974"/>
      <c r="E974"/>
      <c r="F974"/>
      <c r="G974"/>
      <c r="H974"/>
      <c r="I974"/>
      <c r="J974"/>
      <c r="K974"/>
      <c r="L974"/>
      <c r="M974"/>
      <c r="N974"/>
      <c r="O974"/>
      <c r="P974"/>
      <c r="Q974"/>
      <c r="R974"/>
      <c r="S974"/>
      <c r="T974"/>
      <c r="U974"/>
      <c r="V974"/>
      <c r="W974"/>
      <c r="X974"/>
      <c r="Y974"/>
      <c r="Z974"/>
      <c r="AA974"/>
      <c r="AB974"/>
      <c r="AC974"/>
      <c r="AD974"/>
      <c r="AE974"/>
      <c r="AF974"/>
      <c r="AG974"/>
      <c r="AH974"/>
      <c r="AI974"/>
      <c r="AJ974"/>
      <c r="AK974"/>
      <c r="AL974"/>
    </row>
    <row r="975" spans="1:38">
      <c r="A975"/>
      <c r="B975"/>
      <c r="C975"/>
      <c r="D975"/>
      <c r="E975"/>
      <c r="F975"/>
      <c r="G975"/>
      <c r="H975"/>
      <c r="I975"/>
      <c r="J975"/>
      <c r="K975"/>
      <c r="L975"/>
      <c r="M975"/>
      <c r="N975"/>
      <c r="O975"/>
      <c r="P975"/>
      <c r="Q975"/>
      <c r="R975"/>
      <c r="S975"/>
      <c r="T975"/>
      <c r="U975"/>
      <c r="V975"/>
      <c r="W975"/>
      <c r="X975"/>
      <c r="Y975"/>
      <c r="Z975"/>
      <c r="AA975"/>
      <c r="AB975"/>
      <c r="AC975"/>
      <c r="AD975"/>
      <c r="AE975"/>
      <c r="AF975"/>
      <c r="AG975"/>
      <c r="AH975"/>
      <c r="AI975"/>
      <c r="AJ975"/>
      <c r="AK975"/>
      <c r="AL975"/>
    </row>
    <row r="976" spans="1:38">
      <c r="A976"/>
      <c r="B976"/>
      <c r="C976"/>
      <c r="D976"/>
      <c r="E976"/>
      <c r="F976"/>
      <c r="G976"/>
      <c r="H976"/>
      <c r="I976"/>
      <c r="J976"/>
      <c r="K976"/>
      <c r="L976"/>
      <c r="M976"/>
      <c r="N976"/>
      <c r="O976"/>
      <c r="P976"/>
      <c r="Q976"/>
      <c r="R976"/>
      <c r="S976"/>
      <c r="T976"/>
      <c r="U976"/>
      <c r="V976"/>
      <c r="W976"/>
      <c r="X976"/>
      <c r="Y976"/>
      <c r="Z976"/>
      <c r="AA976"/>
      <c r="AB976"/>
      <c r="AC976"/>
      <c r="AD976"/>
      <c r="AE976"/>
      <c r="AF976"/>
      <c r="AG976"/>
      <c r="AH976"/>
      <c r="AI976"/>
      <c r="AJ976"/>
      <c r="AK976"/>
      <c r="AL976"/>
    </row>
    <row r="977" spans="1:38">
      <c r="A977"/>
      <c r="B977"/>
      <c r="C977"/>
      <c r="D977"/>
      <c r="E977"/>
      <c r="F977"/>
      <c r="G977"/>
      <c r="H977"/>
      <c r="I977"/>
      <c r="J977"/>
      <c r="K977"/>
      <c r="L977"/>
      <c r="M977"/>
      <c r="N977"/>
      <c r="O977"/>
      <c r="P977"/>
      <c r="Q977"/>
      <c r="R977"/>
      <c r="S977"/>
      <c r="T977"/>
      <c r="U977"/>
      <c r="V977"/>
      <c r="W977"/>
      <c r="X977"/>
      <c r="Y977"/>
      <c r="Z977"/>
      <c r="AA977"/>
      <c r="AB977"/>
      <c r="AC977"/>
      <c r="AD977"/>
      <c r="AE977"/>
      <c r="AF977"/>
      <c r="AG977"/>
      <c r="AH977"/>
      <c r="AI977"/>
      <c r="AJ977"/>
      <c r="AK977"/>
      <c r="AL977"/>
    </row>
    <row r="978" spans="1:38">
      <c r="A978"/>
      <c r="B978"/>
      <c r="C978"/>
      <c r="D978"/>
      <c r="E978"/>
      <c r="F978"/>
      <c r="G978"/>
      <c r="H978"/>
      <c r="I978"/>
      <c r="J978"/>
      <c r="K978"/>
      <c r="L978"/>
      <c r="M978"/>
      <c r="N978"/>
      <c r="O978"/>
      <c r="P978"/>
      <c r="Q978"/>
      <c r="R978"/>
      <c r="S978"/>
      <c r="T978"/>
      <c r="U978"/>
      <c r="V978"/>
      <c r="W978"/>
      <c r="X978"/>
      <c r="Y978"/>
      <c r="Z978"/>
      <c r="AA978"/>
      <c r="AB978"/>
      <c r="AC978"/>
      <c r="AD978"/>
      <c r="AE978"/>
      <c r="AF978"/>
      <c r="AG978"/>
      <c r="AH978"/>
      <c r="AI978"/>
      <c r="AJ978"/>
      <c r="AK978"/>
      <c r="AL978"/>
    </row>
    <row r="979" spans="1:38">
      <c r="A979"/>
      <c r="B979"/>
      <c r="C979"/>
      <c r="D979"/>
      <c r="E979"/>
      <c r="F979"/>
      <c r="G979"/>
      <c r="H979"/>
      <c r="I979"/>
      <c r="J979"/>
      <c r="K979"/>
      <c r="L979"/>
      <c r="M979"/>
      <c r="N979"/>
      <c r="O979"/>
      <c r="P979"/>
      <c r="Q979"/>
      <c r="R979"/>
      <c r="S979"/>
      <c r="T979"/>
      <c r="U979"/>
      <c r="V979"/>
      <c r="W979"/>
      <c r="X979"/>
      <c r="Y979"/>
      <c r="Z979"/>
      <c r="AA979"/>
      <c r="AB979"/>
      <c r="AC979"/>
      <c r="AD979"/>
      <c r="AE979"/>
      <c r="AF979"/>
      <c r="AG979"/>
      <c r="AH979"/>
      <c r="AI979"/>
      <c r="AJ979"/>
      <c r="AK979"/>
      <c r="AL979"/>
    </row>
    <row r="980" spans="1:38">
      <c r="A980"/>
      <c r="B980"/>
      <c r="C980"/>
      <c r="D980"/>
      <c r="E980"/>
      <c r="F980"/>
      <c r="G980"/>
      <c r="H980"/>
      <c r="I980"/>
      <c r="J980"/>
      <c r="K980"/>
      <c r="L980"/>
      <c r="M980"/>
      <c r="N980"/>
      <c r="O980"/>
      <c r="P980"/>
      <c r="Q980"/>
      <c r="R980"/>
      <c r="S980"/>
      <c r="T980"/>
      <c r="U980"/>
      <c r="V980"/>
      <c r="W980"/>
      <c r="X980"/>
      <c r="Y980"/>
      <c r="Z980"/>
      <c r="AA980"/>
      <c r="AB980"/>
      <c r="AC980"/>
      <c r="AD980"/>
      <c r="AE980"/>
      <c r="AF980"/>
      <c r="AG980"/>
      <c r="AH980"/>
      <c r="AI980"/>
      <c r="AJ980"/>
      <c r="AK980"/>
      <c r="AL980"/>
    </row>
    <row r="981" spans="1:38">
      <c r="A981"/>
      <c r="B981"/>
      <c r="C981"/>
      <c r="D981"/>
      <c r="E981"/>
      <c r="F981"/>
      <c r="G981"/>
      <c r="H981"/>
      <c r="I981"/>
      <c r="J981"/>
      <c r="K981"/>
      <c r="L981"/>
      <c r="M981"/>
      <c r="N981"/>
      <c r="O981"/>
      <c r="P981"/>
      <c r="Q981"/>
      <c r="R981"/>
      <c r="S981"/>
      <c r="T981"/>
      <c r="U981"/>
      <c r="V981"/>
      <c r="W981"/>
      <c r="X981"/>
      <c r="Y981"/>
      <c r="Z981"/>
      <c r="AA981"/>
      <c r="AB981"/>
      <c r="AC981"/>
      <c r="AD981"/>
      <c r="AE981"/>
      <c r="AF981"/>
      <c r="AG981"/>
      <c r="AH981"/>
      <c r="AI981"/>
      <c r="AJ981"/>
      <c r="AK981"/>
      <c r="AL981"/>
    </row>
    <row r="982" spans="1:38">
      <c r="A982"/>
      <c r="B982"/>
      <c r="C982"/>
      <c r="D982"/>
      <c r="E982"/>
      <c r="F982"/>
      <c r="G982"/>
      <c r="H982"/>
      <c r="I982"/>
      <c r="J982"/>
      <c r="K982"/>
      <c r="L982"/>
      <c r="M982"/>
      <c r="N982"/>
      <c r="O982"/>
      <c r="P982"/>
      <c r="Q982"/>
      <c r="R982"/>
      <c r="S982"/>
      <c r="T982"/>
      <c r="U982"/>
      <c r="V982"/>
      <c r="W982"/>
      <c r="X982"/>
      <c r="Y982"/>
      <c r="Z982"/>
      <c r="AA982"/>
      <c r="AB982"/>
      <c r="AC982"/>
      <c r="AD982"/>
      <c r="AE982"/>
      <c r="AF982"/>
      <c r="AG982"/>
      <c r="AH982"/>
      <c r="AI982"/>
      <c r="AJ982"/>
      <c r="AK982"/>
      <c r="AL982"/>
    </row>
    <row r="983" spans="1:38">
      <c r="A983"/>
      <c r="B983"/>
      <c r="C983"/>
      <c r="D983"/>
      <c r="E983"/>
      <c r="F983"/>
      <c r="G983"/>
      <c r="H983"/>
      <c r="I983"/>
      <c r="J983"/>
      <c r="K983"/>
      <c r="L983"/>
      <c r="M983"/>
      <c r="N983"/>
      <c r="O983"/>
      <c r="P983"/>
      <c r="Q983"/>
      <c r="R983"/>
      <c r="S983"/>
      <c r="T983"/>
      <c r="U983"/>
      <c r="V983"/>
      <c r="W983"/>
      <c r="X983"/>
      <c r="Y983"/>
      <c r="Z983"/>
      <c r="AA983"/>
      <c r="AB983"/>
      <c r="AC983"/>
      <c r="AD983"/>
      <c r="AE983"/>
      <c r="AF983"/>
      <c r="AG983"/>
      <c r="AH983"/>
      <c r="AI983"/>
      <c r="AJ983"/>
      <c r="AK983"/>
      <c r="AL983"/>
    </row>
    <row r="984" spans="1:38">
      <c r="A984"/>
      <c r="B984"/>
      <c r="C984"/>
      <c r="D984"/>
      <c r="E984"/>
      <c r="F984"/>
      <c r="G984"/>
      <c r="H984"/>
      <c r="I984"/>
      <c r="J984"/>
      <c r="K984"/>
      <c r="L984"/>
      <c r="M984"/>
      <c r="N984"/>
      <c r="O984"/>
      <c r="P984"/>
      <c r="Q984"/>
      <c r="R984"/>
      <c r="S984"/>
      <c r="T984"/>
      <c r="U984"/>
      <c r="V984"/>
      <c r="W984"/>
      <c r="X984"/>
      <c r="Y984"/>
      <c r="Z984"/>
      <c r="AA984"/>
      <c r="AB984"/>
      <c r="AC984"/>
      <c r="AD984"/>
      <c r="AE984"/>
      <c r="AF984"/>
      <c r="AG984"/>
      <c r="AH984"/>
      <c r="AI984"/>
      <c r="AJ984"/>
      <c r="AK984"/>
      <c r="AL984"/>
    </row>
    <row r="985" spans="1:38">
      <c r="A985"/>
      <c r="B985"/>
      <c r="C985"/>
      <c r="D985"/>
      <c r="E985"/>
      <c r="F985"/>
      <c r="G985"/>
      <c r="H985"/>
      <c r="I985"/>
      <c r="J985"/>
      <c r="K985"/>
      <c r="L985"/>
      <c r="M985"/>
      <c r="N985"/>
      <c r="O985"/>
      <c r="P985"/>
      <c r="Q985"/>
      <c r="R985"/>
      <c r="S985"/>
      <c r="T985"/>
      <c r="U985"/>
      <c r="V985"/>
      <c r="W985"/>
      <c r="X985"/>
      <c r="Y985"/>
      <c r="Z985"/>
      <c r="AA985"/>
      <c r="AB985"/>
      <c r="AC985"/>
      <c r="AD985"/>
      <c r="AE985"/>
      <c r="AF985"/>
      <c r="AG985"/>
      <c r="AH985"/>
      <c r="AI985"/>
      <c r="AJ985"/>
      <c r="AK985"/>
      <c r="AL985"/>
    </row>
    <row r="986" spans="1:38">
      <c r="A986"/>
      <c r="B986"/>
      <c r="C986"/>
      <c r="D986"/>
      <c r="E986"/>
      <c r="F986"/>
      <c r="G986"/>
      <c r="H986"/>
      <c r="I986"/>
      <c r="J986"/>
      <c r="K986"/>
      <c r="L986"/>
      <c r="M986"/>
      <c r="N986"/>
      <c r="O986"/>
      <c r="P986"/>
      <c r="Q986"/>
      <c r="R986"/>
      <c r="S986"/>
      <c r="T986"/>
      <c r="U986"/>
      <c r="V986"/>
      <c r="W986"/>
      <c r="X986"/>
      <c r="Y986"/>
      <c r="Z986"/>
      <c r="AA986"/>
      <c r="AB986"/>
      <c r="AC986"/>
      <c r="AD986"/>
      <c r="AE986"/>
      <c r="AF986"/>
      <c r="AG986"/>
      <c r="AH986"/>
      <c r="AI986"/>
      <c r="AJ986"/>
      <c r="AK986"/>
      <c r="AL986"/>
    </row>
    <row r="987" spans="1:38">
      <c r="A987"/>
      <c r="B987"/>
      <c r="C987"/>
      <c r="D987"/>
      <c r="E987"/>
      <c r="F987"/>
      <c r="G987"/>
      <c r="H987"/>
      <c r="I987"/>
      <c r="J987"/>
      <c r="K987"/>
      <c r="L987"/>
      <c r="M987"/>
      <c r="N987"/>
      <c r="O987"/>
      <c r="P987"/>
      <c r="Q987"/>
      <c r="R987"/>
      <c r="S987"/>
      <c r="T987"/>
      <c r="U987"/>
      <c r="V987"/>
      <c r="W987"/>
      <c r="X987"/>
      <c r="Y987"/>
      <c r="Z987"/>
      <c r="AA987"/>
      <c r="AB987"/>
      <c r="AC987"/>
      <c r="AD987"/>
      <c r="AE987"/>
      <c r="AF987"/>
      <c r="AG987"/>
      <c r="AH987"/>
      <c r="AI987"/>
      <c r="AJ987"/>
      <c r="AK987"/>
      <c r="AL987"/>
    </row>
    <row r="988" spans="1:38">
      <c r="A988"/>
      <c r="B988"/>
      <c r="C988"/>
      <c r="D988"/>
      <c r="E988"/>
      <c r="F988"/>
      <c r="G988"/>
      <c r="H988"/>
      <c r="I988"/>
      <c r="J988"/>
      <c r="K988"/>
      <c r="L988"/>
      <c r="M988"/>
      <c r="N988"/>
      <c r="O988"/>
      <c r="P988"/>
      <c r="Q988"/>
      <c r="R988"/>
      <c r="S988"/>
      <c r="T988"/>
      <c r="U988"/>
      <c r="V988"/>
      <c r="W988"/>
      <c r="X988"/>
      <c r="Y988"/>
      <c r="Z988"/>
      <c r="AA988"/>
      <c r="AB988"/>
      <c r="AC988"/>
      <c r="AD988"/>
      <c r="AE988"/>
      <c r="AF988"/>
      <c r="AG988"/>
      <c r="AH988"/>
      <c r="AI988"/>
      <c r="AJ988"/>
      <c r="AK988"/>
      <c r="AL988"/>
    </row>
    <row r="989" spans="1:38">
      <c r="A989"/>
      <c r="B989"/>
      <c r="C989"/>
      <c r="D989"/>
      <c r="E989"/>
      <c r="F989"/>
      <c r="G989"/>
      <c r="H989"/>
      <c r="I989"/>
      <c r="J989"/>
      <c r="K989"/>
      <c r="L989"/>
      <c r="M989"/>
      <c r="N989"/>
      <c r="O989"/>
      <c r="P989"/>
      <c r="Q989"/>
      <c r="R989"/>
      <c r="S989"/>
      <c r="T989"/>
      <c r="U989"/>
      <c r="V989"/>
      <c r="W989"/>
      <c r="X989"/>
      <c r="Y989"/>
      <c r="Z989"/>
      <c r="AA989"/>
      <c r="AB989"/>
      <c r="AC989"/>
      <c r="AD989"/>
      <c r="AE989"/>
      <c r="AF989"/>
      <c r="AG989"/>
      <c r="AH989"/>
      <c r="AI989"/>
      <c r="AJ989"/>
      <c r="AK989"/>
      <c r="AL989"/>
    </row>
    <row r="990" spans="1:38">
      <c r="A990"/>
      <c r="B990"/>
      <c r="C990"/>
      <c r="D990"/>
      <c r="E990"/>
      <c r="F990"/>
      <c r="G990"/>
      <c r="H990"/>
      <c r="I990"/>
      <c r="J990"/>
      <c r="K990"/>
      <c r="L990"/>
      <c r="M990"/>
      <c r="N990"/>
      <c r="O990"/>
      <c r="P990"/>
      <c r="Q990"/>
      <c r="R990"/>
      <c r="S990"/>
      <c r="T990"/>
      <c r="U990"/>
      <c r="V990"/>
      <c r="W990"/>
      <c r="X990"/>
      <c r="Y990"/>
      <c r="Z990"/>
      <c r="AA990"/>
      <c r="AB990"/>
      <c r="AC990"/>
      <c r="AD990"/>
      <c r="AE990"/>
      <c r="AF990"/>
      <c r="AG990"/>
      <c r="AH990"/>
      <c r="AI990"/>
      <c r="AJ990"/>
      <c r="AK990"/>
      <c r="AL990"/>
    </row>
    <row r="991" spans="1:38">
      <c r="A991"/>
      <c r="B991"/>
      <c r="C991"/>
      <c r="D991"/>
      <c r="E991"/>
      <c r="F991"/>
      <c r="G991"/>
      <c r="H991"/>
      <c r="I991"/>
      <c r="J991"/>
      <c r="K991"/>
      <c r="L991"/>
      <c r="M991"/>
      <c r="N991"/>
      <c r="O991"/>
      <c r="P991"/>
      <c r="Q991"/>
      <c r="R991"/>
      <c r="S991"/>
      <c r="T991"/>
      <c r="U991"/>
      <c r="V991"/>
      <c r="W991"/>
      <c r="X991"/>
      <c r="Y991"/>
      <c r="Z991"/>
      <c r="AA991"/>
      <c r="AB991"/>
      <c r="AC991"/>
      <c r="AD991"/>
      <c r="AE991"/>
      <c r="AF991"/>
      <c r="AG991"/>
      <c r="AH991"/>
      <c r="AI991"/>
      <c r="AJ991"/>
      <c r="AK991"/>
      <c r="AL991"/>
    </row>
    <row r="992" spans="1:38">
      <c r="A992"/>
      <c r="B992"/>
      <c r="C992"/>
      <c r="D992"/>
      <c r="E992"/>
      <c r="F992"/>
      <c r="G992"/>
      <c r="H992"/>
      <c r="I992"/>
      <c r="J992"/>
      <c r="K992"/>
      <c r="L992"/>
      <c r="M992"/>
      <c r="N992"/>
      <c r="O992"/>
      <c r="P992"/>
      <c r="Q992"/>
      <c r="R992"/>
      <c r="S992"/>
      <c r="T992"/>
      <c r="U992"/>
      <c r="V992"/>
      <c r="W992"/>
      <c r="X992"/>
      <c r="Y992"/>
      <c r="Z992"/>
      <c r="AA992"/>
      <c r="AB992"/>
      <c r="AC992"/>
      <c r="AD992"/>
      <c r="AE992"/>
      <c r="AF992"/>
      <c r="AG992"/>
      <c r="AH992"/>
      <c r="AI992"/>
      <c r="AJ992"/>
      <c r="AK992"/>
      <c r="AL992"/>
    </row>
    <row r="993" spans="1:38">
      <c r="A993"/>
      <c r="B993"/>
      <c r="C993"/>
      <c r="D993"/>
      <c r="E993"/>
      <c r="F993"/>
      <c r="G993"/>
      <c r="H993"/>
      <c r="I993"/>
      <c r="J993"/>
      <c r="K993"/>
      <c r="L993"/>
      <c r="M993"/>
      <c r="N993"/>
      <c r="O993"/>
      <c r="P993"/>
      <c r="Q993"/>
      <c r="R993"/>
      <c r="S993"/>
      <c r="T993"/>
      <c r="U993"/>
      <c r="V993"/>
      <c r="W993"/>
      <c r="X993"/>
      <c r="Y993"/>
      <c r="Z993"/>
      <c r="AA993"/>
      <c r="AB993"/>
      <c r="AC993"/>
      <c r="AD993"/>
      <c r="AE993"/>
      <c r="AF993"/>
      <c r="AG993"/>
      <c r="AH993"/>
      <c r="AI993"/>
      <c r="AJ993"/>
      <c r="AK993"/>
      <c r="AL993"/>
    </row>
    <row r="994" spans="1:38">
      <c r="A994"/>
      <c r="B994"/>
      <c r="C994"/>
      <c r="D994"/>
      <c r="E994"/>
      <c r="F994"/>
      <c r="G994"/>
      <c r="H994"/>
      <c r="I994"/>
      <c r="J994"/>
      <c r="K994"/>
      <c r="L994"/>
      <c r="M994"/>
      <c r="N994"/>
      <c r="O994"/>
      <c r="P994"/>
      <c r="Q994"/>
      <c r="R994"/>
      <c r="S994"/>
      <c r="T994"/>
      <c r="U994"/>
      <c r="V994"/>
      <c r="W994"/>
      <c r="X994"/>
      <c r="Y994"/>
      <c r="Z994"/>
      <c r="AA994"/>
      <c r="AB994"/>
      <c r="AC994"/>
      <c r="AD994"/>
      <c r="AE994"/>
      <c r="AF994"/>
      <c r="AG994"/>
      <c r="AH994"/>
      <c r="AI994"/>
      <c r="AJ994"/>
      <c r="AK994"/>
      <c r="AL994"/>
    </row>
    <row r="995" spans="1:38">
      <c r="A995"/>
      <c r="B995"/>
      <c r="C995"/>
      <c r="D995"/>
      <c r="E995"/>
      <c r="F995"/>
      <c r="G995"/>
      <c r="H995"/>
      <c r="I995"/>
      <c r="J995"/>
      <c r="K995"/>
      <c r="L995"/>
      <c r="M995"/>
      <c r="N995"/>
      <c r="O995"/>
      <c r="P995"/>
      <c r="Q995"/>
      <c r="R995"/>
      <c r="S995"/>
      <c r="T995"/>
      <c r="U995"/>
      <c r="V995"/>
      <c r="W995"/>
      <c r="X995"/>
      <c r="Y995"/>
      <c r="Z995"/>
      <c r="AA995"/>
      <c r="AB995"/>
      <c r="AC995"/>
      <c r="AD995"/>
      <c r="AE995"/>
      <c r="AF995"/>
      <c r="AG995"/>
      <c r="AH995"/>
      <c r="AI995"/>
      <c r="AJ995"/>
      <c r="AK995"/>
      <c r="AL995"/>
    </row>
    <row r="996" spans="1:38">
      <c r="A996"/>
      <c r="B996"/>
      <c r="C996"/>
      <c r="D996"/>
      <c r="E996"/>
      <c r="F996"/>
      <c r="G996"/>
      <c r="H996"/>
      <c r="I996"/>
      <c r="J996"/>
      <c r="K996"/>
      <c r="L996"/>
      <c r="M996"/>
      <c r="N996"/>
      <c r="O996"/>
      <c r="P996"/>
      <c r="Q996"/>
      <c r="R996"/>
      <c r="S996"/>
      <c r="T996"/>
      <c r="U996"/>
      <c r="V996"/>
      <c r="W996"/>
      <c r="X996"/>
      <c r="Y996"/>
      <c r="Z996"/>
      <c r="AA996"/>
      <c r="AB996"/>
      <c r="AC996"/>
      <c r="AD996"/>
      <c r="AE996"/>
      <c r="AF996"/>
      <c r="AG996"/>
      <c r="AH996"/>
      <c r="AI996"/>
      <c r="AJ996"/>
      <c r="AK996"/>
      <c r="AL996"/>
    </row>
    <row r="997" spans="1:38">
      <c r="A997"/>
      <c r="B997"/>
      <c r="C997"/>
      <c r="D997"/>
      <c r="E997"/>
      <c r="F997"/>
      <c r="G997"/>
      <c r="H997"/>
      <c r="I997"/>
      <c r="J997"/>
      <c r="K997"/>
      <c r="L997"/>
      <c r="M997"/>
      <c r="N997"/>
      <c r="O997"/>
      <c r="P997"/>
      <c r="Q997"/>
      <c r="R997"/>
      <c r="S997"/>
      <c r="T997"/>
      <c r="U997"/>
      <c r="V997"/>
      <c r="W997"/>
      <c r="X997"/>
      <c r="Y997"/>
      <c r="Z997"/>
      <c r="AA997"/>
      <c r="AB997"/>
      <c r="AC997"/>
      <c r="AD997"/>
      <c r="AE997"/>
      <c r="AF997"/>
      <c r="AG997"/>
      <c r="AH997"/>
      <c r="AI997"/>
      <c r="AJ997"/>
      <c r="AK997"/>
      <c r="AL997"/>
    </row>
    <row r="998" spans="1:38">
      <c r="A998"/>
      <c r="B998"/>
      <c r="C998"/>
      <c r="D998"/>
      <c r="E998"/>
      <c r="F998"/>
      <c r="G998"/>
      <c r="H998"/>
      <c r="I998"/>
      <c r="J998"/>
      <c r="K998"/>
      <c r="L998"/>
      <c r="M998"/>
      <c r="N998"/>
      <c r="O998"/>
      <c r="P998"/>
      <c r="Q998"/>
      <c r="R998"/>
      <c r="S998"/>
      <c r="T998"/>
      <c r="U998"/>
      <c r="V998"/>
      <c r="W998"/>
      <c r="X998"/>
      <c r="Y998"/>
      <c r="Z998"/>
      <c r="AA998"/>
      <c r="AB998"/>
      <c r="AC998"/>
      <c r="AD998"/>
      <c r="AE998"/>
      <c r="AF998"/>
      <c r="AG998"/>
      <c r="AH998"/>
      <c r="AI998"/>
      <c r="AJ998"/>
      <c r="AK998"/>
      <c r="AL998"/>
    </row>
    <row r="999" spans="1:38">
      <c r="A999"/>
      <c r="B999"/>
      <c r="C999"/>
      <c r="D999"/>
      <c r="E999"/>
      <c r="F999"/>
      <c r="G999"/>
      <c r="H999"/>
      <c r="I999"/>
      <c r="J999"/>
      <c r="K999"/>
      <c r="L999"/>
      <c r="M999"/>
      <c r="N999"/>
      <c r="O999"/>
      <c r="P999"/>
      <c r="Q999"/>
      <c r="R999"/>
      <c r="S999"/>
      <c r="T999"/>
      <c r="U999"/>
      <c r="V999"/>
      <c r="W999"/>
      <c r="X999"/>
      <c r="Y999"/>
      <c r="Z999"/>
      <c r="AA999"/>
      <c r="AB999"/>
      <c r="AC999"/>
      <c r="AD999"/>
      <c r="AE999"/>
      <c r="AF999"/>
      <c r="AG999"/>
      <c r="AH999"/>
      <c r="AI999"/>
      <c r="AJ999"/>
      <c r="AK999"/>
      <c r="AL999"/>
    </row>
    <row r="1000" spans="1:38">
      <c r="A1000"/>
      <c r="B1000"/>
      <c r="C1000"/>
      <c r="D1000"/>
      <c r="E1000"/>
      <c r="F1000"/>
      <c r="G1000"/>
      <c r="H1000"/>
      <c r="I1000"/>
      <c r="J1000"/>
      <c r="K1000"/>
      <c r="L1000"/>
      <c r="M1000"/>
      <c r="N1000"/>
      <c r="O1000"/>
      <c r="P1000"/>
      <c r="Q1000"/>
      <c r="R1000"/>
      <c r="S1000"/>
      <c r="T1000"/>
      <c r="U1000"/>
      <c r="V1000"/>
      <c r="W1000"/>
      <c r="X1000"/>
      <c r="Y1000"/>
      <c r="Z1000"/>
      <c r="AA1000"/>
      <c r="AB1000"/>
      <c r="AC1000"/>
      <c r="AD1000"/>
      <c r="AE1000"/>
      <c r="AF1000"/>
      <c r="AG1000"/>
      <c r="AH1000"/>
      <c r="AI1000"/>
      <c r="AJ1000"/>
      <c r="AK1000"/>
      <c r="AL1000"/>
    </row>
  </sheetData>
  <sheetProtection sheet="1" objects="1" scenarios="1"/>
  <mergeCells count="25">
    <mergeCell ref="A1:N1"/>
    <mergeCell ref="A2:N2"/>
    <mergeCell ref="A8:N8"/>
    <mergeCell ref="A9:N9"/>
    <mergeCell ref="A4:B4"/>
    <mergeCell ref="A5:B5"/>
    <mergeCell ref="A6:B6"/>
    <mergeCell ref="C4:D4"/>
    <mergeCell ref="C5:D5"/>
    <mergeCell ref="C6:D6"/>
    <mergeCell ref="E4:F4"/>
    <mergeCell ref="E5:F5"/>
    <mergeCell ref="E6:F6"/>
    <mergeCell ref="G4:H4"/>
    <mergeCell ref="G5:H5"/>
    <mergeCell ref="G6:H6"/>
    <mergeCell ref="I4:J4"/>
    <mergeCell ref="I5:J5"/>
    <mergeCell ref="M4:N4"/>
    <mergeCell ref="M5:N5"/>
    <mergeCell ref="M6:N6"/>
    <mergeCell ref="I6:J6"/>
    <mergeCell ref="K4:L4"/>
    <mergeCell ref="K5:L5"/>
    <mergeCell ref="K6:L6"/>
  </mergeCells>
  <conditionalFormatting sqref="B6">
    <cfRule type="cellIs" dxfId="113" priority="3" operator="greaterThan">
      <formula>0</formula>
    </cfRule>
  </conditionalFormatting>
  <conditionalFormatting sqref="F11:F160">
    <cfRule type="expression" dxfId="112" priority="12">
      <formula>F11="Scheduled"</formula>
    </cfRule>
    <cfRule type="expression" dxfId="111" priority="13">
      <formula>F11="Sent"</formula>
    </cfRule>
    <cfRule type="expression" dxfId="110" priority="14">
      <formula>F11="Blocked"</formula>
    </cfRule>
  </conditionalFormatting>
  <conditionalFormatting sqref="F11:F160">
    <cfRule type="expression" dxfId="109" priority="6">
      <formula>F11="Critical"</formula>
    </cfRule>
    <cfRule type="expression" dxfId="108" priority="7">
      <formula>F11="High Risk"</formula>
    </cfRule>
    <cfRule type="expression" dxfId="107" priority="8">
      <formula>F11="At Risk"</formula>
    </cfRule>
    <cfRule type="expression" dxfId="106" priority="9">
      <formula>F11="Blocked"</formula>
    </cfRule>
    <cfRule type="expression" dxfId="105" priority="10">
      <formula>F11="Ready"</formula>
    </cfRule>
    <cfRule type="expression" dxfId="104" priority="11">
      <formula>OR(F11="Complete",F11="Completed")</formula>
    </cfRule>
  </conditionalFormatting>
  <conditionalFormatting sqref="H11:H160">
    <cfRule type="cellIs" dxfId="103" priority="131" stopIfTrue="1" operator="equal">
      <formula>"Done"</formula>
    </cfRule>
  </conditionalFormatting>
  <conditionalFormatting sqref="H11:H160">
    <cfRule type="cellIs" dxfId="102" priority="132" stopIfTrue="1" operator="equal">
      <formula>"Not Yet"</formula>
    </cfRule>
  </conditionalFormatting>
  <conditionalFormatting sqref="I11:I160">
    <cfRule type="cellIs" dxfId="101" priority="133" stopIfTrue="1" operator="equal">
      <formula>"Provided"</formula>
    </cfRule>
  </conditionalFormatting>
  <conditionalFormatting sqref="I11:I160">
    <cfRule type="cellIs" dxfId="100" priority="134" stopIfTrue="1" operator="equal">
      <formula>"Pending"</formula>
    </cfRule>
  </conditionalFormatting>
  <conditionalFormatting sqref="A11:L160">
    <cfRule type="expression" dxfId="99" priority="135">
      <formula>LEFT($D11,9)="CANCELLED"</formula>
    </cfRule>
    <cfRule type="expression" dxfId="98" priority="137">
      <formula>AND($C11="Email",IFERROR(INT($A11),0)&gt;=TODAY()+1,IFERROR(INT($A11),0)&lt;=TODAY()+IF(WEEKDAY(TODAY(),1)=6,3,1),$F11&lt;&gt;"Scheduled",$F11&lt;&gt;"Sent",LEFT($D11,9)&lt;&gt;"CANCELLED")</formula>
    </cfRule>
    <cfRule type="expression" dxfId="97" priority="138">
      <formula>AND($C11="SMS",IFERROR(INT($A11),0)&gt;=TODAY()+1,IFERROR(INT($A11),0)&lt;=TODAY()+IF(WEEKDAY(TODAY(),1)=6,3,1),$F11&lt;&gt;"Scheduled",$F11&lt;&gt;"Sent",LEFT($D11,9)&lt;&gt;"CANCELLED")</formula>
    </cfRule>
  </conditionalFormatting>
  <conditionalFormatting sqref="A11:L45">
    <cfRule type="expression" dxfId="96" priority="136">
      <formula>LEFT($D11,9)="CANCELLED"</formula>
    </cfRule>
  </conditionalFormatting>
  <conditionalFormatting sqref="M11:M160">
    <cfRule type="expression" dxfId="95" priority="1">
      <formula>LEFT($D11,9)="CANCELLED"</formula>
    </cfRule>
  </conditionalFormatting>
  <conditionalFormatting sqref="M11:M45">
    <cfRule type="expression" dxfId="94" priority="2">
      <formula>LEFT($D11,9)="CANCELLED"</formula>
    </cfRule>
  </conditionalFormatting>
  <hyperlinks>
    <hyperlink ref="J11" r:id="rId1" display="Jira" xr:uid="{F83A3714-650F-4332-9F68-7C21D8E9D7B7}"/>
    <hyperlink ref="K11" r:id="rId2" display="ClickUp" xr:uid="{1D044777-1E14-42F1-92D7-CB462C3879B3}"/>
    <hyperlink ref="L11" r:id="rId3" display="Bluecore/Attentive" xr:uid="{51568F17-B959-4148-8016-D6154636969B}"/>
    <hyperlink ref="J12" r:id="rId4" display="Jira" xr:uid="{42B0421F-EE34-44F6-B4B2-6F9B62A14AFE}"/>
    <hyperlink ref="J13" r:id="rId5" display="Jira" xr:uid="{3C0985DF-9355-4F74-875C-C3A752568514}"/>
    <hyperlink ref="J14" r:id="rId6" display="Jira" xr:uid="{D5F9C78E-9B53-4C3E-88DB-CC14C792A43C}"/>
    <hyperlink ref="K14" r:id="rId7" display="ClickUp" xr:uid="{674FB737-4038-478D-8BD3-6C9C3CE19347}"/>
    <hyperlink ref="L14" r:id="rId8" display="Bluecore/Attentive" xr:uid="{1A3FC285-D9EE-4140-91F7-897925C6DDAA}"/>
    <hyperlink ref="J15" r:id="rId9" display="Jira" xr:uid="{C4C08422-AA1B-420D-8DEC-1EFBD78B6975}"/>
    <hyperlink ref="J16" r:id="rId10" display="Jira" xr:uid="{11213E2A-AE4E-42CF-981E-971C5A197C5E}"/>
    <hyperlink ref="K16" r:id="rId11" display="ClickUp" xr:uid="{953ADC16-EE0A-495D-BD7C-0640F0463A63}"/>
    <hyperlink ref="L16" r:id="rId12" display="Bluecore/Attentive" xr:uid="{BB04DB75-0102-4802-9045-D7FBAA7F0A67}"/>
  </hyperlinks>
  <pageMargins left="0.7" right="0.7" top="0.75" bottom="0.75" header="0.3" footer="0.3"/>
  <tableParts count="1">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70C0"/>
  </sheetPr>
  <dimension ref="A1:X1002"/>
  <sheetViews>
    <sheetView showGridLines="0" zoomScale="85" zoomScaleNormal="85" workbookViewId="0">
      <selection activeCell="F5" sqref="F5"/>
    </sheetView>
  </sheetViews>
  <sheetFormatPr defaultRowHeight="15"/>
  <cols>
    <col min="1" max="1" width="28.625" style="88" customWidth="1"/>
    <col min="2" max="2" width="20.625" style="88" customWidth="1"/>
    <col min="3" max="3" width="34.625" style="88" customWidth="1"/>
    <col min="4" max="4" width="16.625" style="40" customWidth="1"/>
    <col min="5" max="5" width="42.625" style="40" hidden="1" customWidth="1"/>
    <col min="6" max="6" width="16.625" style="40" customWidth="1"/>
    <col min="7" max="7" width="22.625" style="40" customWidth="1"/>
    <col min="8" max="8" width="20.625" style="40" customWidth="1"/>
    <col min="9" max="9" width="12.625" style="40" customWidth="1"/>
    <col min="10" max="11" width="13.625" style="40" customWidth="1"/>
    <col min="12" max="12" width="12.625" style="40" customWidth="1"/>
    <col min="13" max="15" width="13.625" style="40" customWidth="1"/>
    <col min="16" max="19" width="14.625" style="40" customWidth="1"/>
    <col min="20" max="20" width="12.625" style="40" customWidth="1"/>
    <col min="21" max="21" width="20.625" style="40" hidden="1" customWidth="1"/>
    <col min="22" max="22" width="18.625" style="40" hidden="1" customWidth="1"/>
    <col min="23" max="23" width="50.625" style="88" customWidth="1"/>
    <col min="24" max="24" width="19" style="51" customWidth="1"/>
    <col min="25" max="16384" width="9" style="1"/>
  </cols>
  <sheetData>
    <row r="1" spans="1:24" s="2" customFormat="1" ht="45">
      <c r="A1" s="83" t="s">
        <v>20</v>
      </c>
      <c r="B1" s="83" t="s">
        <v>41</v>
      </c>
      <c r="C1" s="83" t="s">
        <v>42</v>
      </c>
      <c r="D1" s="44" t="s">
        <v>43</v>
      </c>
      <c r="E1" s="44" t="s">
        <v>44</v>
      </c>
      <c r="F1" s="44" t="s">
        <v>26</v>
      </c>
      <c r="G1" s="44" t="s">
        <v>45</v>
      </c>
      <c r="H1" s="44" t="s">
        <v>46</v>
      </c>
      <c r="I1" s="44" t="s">
        <v>47</v>
      </c>
      <c r="J1" s="44" t="s">
        <v>48</v>
      </c>
      <c r="K1" s="44" t="s">
        <v>49</v>
      </c>
      <c r="L1" s="44" t="s">
        <v>50</v>
      </c>
      <c r="M1" s="44" t="s">
        <v>27</v>
      </c>
      <c r="N1" s="44" t="s">
        <v>28</v>
      </c>
      <c r="O1" s="44" t="s">
        <v>51</v>
      </c>
      <c r="P1" s="44" t="s">
        <v>52</v>
      </c>
      <c r="Q1" s="44" t="s">
        <v>53</v>
      </c>
      <c r="R1" s="44" t="s">
        <v>54</v>
      </c>
      <c r="S1" s="44" t="s">
        <v>55</v>
      </c>
      <c r="T1" s="44" t="s">
        <v>56</v>
      </c>
      <c r="U1" s="44" t="s">
        <v>57</v>
      </c>
      <c r="V1" s="44" t="s">
        <v>58</v>
      </c>
      <c r="W1" s="44" t="s">
        <v>59</v>
      </c>
      <c r="X1" s="41"/>
    </row>
    <row r="2" spans="1:24" s="5" customFormat="1" ht="45">
      <c r="A2" s="84">
        <v>46174</v>
      </c>
      <c r="B2" s="89" t="s">
        <v>60</v>
      </c>
      <c r="C2" s="93" t="s">
        <v>160</v>
      </c>
      <c r="D2" s="34" t="s">
        <v>61</v>
      </c>
      <c r="E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2" s="35" t="s">
        <v>62</v>
      </c>
      <c r="G2" s="45" t="b">
        <v>1</v>
      </c>
      <c r="H2" s="45" t="b">
        <v>1</v>
      </c>
      <c r="I2" s="45" t="b">
        <v>1</v>
      </c>
      <c r="J2" s="45" t="b">
        <v>1</v>
      </c>
      <c r="K2" s="45" t="b">
        <v>1</v>
      </c>
      <c r="L2" s="45" t="b">
        <v>1</v>
      </c>
      <c r="M2" s="45" t="b">
        <v>1</v>
      </c>
      <c r="N2" s="45" t="b">
        <v>1</v>
      </c>
      <c r="O2" s="45" t="b">
        <v>1</v>
      </c>
      <c r="P2" s="37" t="str">
        <f ca="1">HYPERLINK("https://jira.adorama.com/browse/MKT-102959",IF(AND(ISNUMBER(EmailCampaignsTable[[#This Row],[Send Date]]),NOW()&gt;=INT(EmailCampaignsTable[[#This Row],[Send Date]])+IF(ISNUMBER(EmailCampaignsTable[[#This Row],[Send Time]]),MOD(EmailCampaignsTable[[#This Row],[Send Time]],1),0)+7),"JIRA","https://jira.adorama.com/browse/MKT-102959"))</f>
        <v>JIRA</v>
      </c>
      <c r="Q2" s="37" t="str">
        <f ca="1">HYPERLINK("https://app.clickup.com/t/86ahrpf3e",IF(AND(ISNUMBER(EmailCampaignsTable[[#This Row],[Send Date]]),NOW()&gt;=INT(EmailCampaignsTable[[#This Row],[Send Date]])+IF(ISNUMBER(EmailCampaignsTable[[#This Row],[Send Time]]),MOD(EmailCampaignsTable[[#This Row],[Send Time]],1),0)+7),"ClickUp","https://app.clickup.com/t/86ahrpf3e"))</f>
        <v>ClickUp</v>
      </c>
      <c r="R2" s="37" t="str">
        <f ca="1">HYPERLINK("https://app.bluecore.com/admin/campaigns/adorama/4944513273290752/edit",IF(AND(ISNUMBER(EmailCampaignsTable[[#This Row],[Send Date]]),NOW()&gt;=INT(EmailCampaignsTable[[#This Row],[Send Date]])+IF(ISNUMBER(EmailCampaignsTable[[#This Row],[Send Time]]),MOD(EmailCampaignsTable[[#This Row],[Send Time]],1),0)+7),"Bluecore/Attentive","https://app.bluecore.com/admin/campaigns/adorama/4944513273290752/edit"))</f>
        <v>Bluecore/Attentive</v>
      </c>
      <c r="S2" s="39">
        <v>1034750</v>
      </c>
      <c r="T2" s="39">
        <v>1146014</v>
      </c>
      <c r="U2" s="52">
        <v>46188.989722222221</v>
      </c>
      <c r="V2" s="35" t="s">
        <v>63</v>
      </c>
      <c r="W2" s="95"/>
      <c r="X2" s="42"/>
    </row>
    <row r="3" spans="1:24" s="5" customFormat="1" ht="45">
      <c r="A3" s="84">
        <v>46175</v>
      </c>
      <c r="B3" s="89" t="s">
        <v>60</v>
      </c>
      <c r="C3" s="93" t="s">
        <v>161</v>
      </c>
      <c r="D3" s="34" t="s">
        <v>158</v>
      </c>
      <c r="E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3" s="35" t="s">
        <v>62</v>
      </c>
      <c r="G3" s="45" t="b">
        <v>1</v>
      </c>
      <c r="H3" s="45" t="b">
        <v>1</v>
      </c>
      <c r="I3" s="45" t="b">
        <v>1</v>
      </c>
      <c r="J3" s="45" t="b">
        <v>1</v>
      </c>
      <c r="K3" s="45" t="b">
        <v>1</v>
      </c>
      <c r="L3" s="45" t="b">
        <v>1</v>
      </c>
      <c r="M3" s="45" t="b">
        <v>1</v>
      </c>
      <c r="N3" s="45" t="b">
        <v>1</v>
      </c>
      <c r="O3" s="45" t="b">
        <v>1</v>
      </c>
      <c r="P3" s="37" t="str">
        <f ca="1">HYPERLINK("https://jira.adorama.com/browse/MKT-102651",IF(AND(ISNUMBER(EmailCampaignsTable[[#This Row],[Send Date]]),NOW()&gt;=INT(EmailCampaignsTable[[#This Row],[Send Date]])+IF(ISNUMBER(EmailCampaignsTable[[#This Row],[Send Time]]),MOD(EmailCampaignsTable[[#This Row],[Send Time]],1),0)+7),"JIRA","https://jira.adorama.com/browse/MKT-102651"))</f>
        <v>JIRA</v>
      </c>
      <c r="Q3" s="37" t="str">
        <f ca="1">HYPERLINK("https://app.clickup.com/t/86ahjqzqj",IF(AND(ISNUMBER(EmailCampaignsTable[[#This Row],[Send Date]]),NOW()&gt;=INT(EmailCampaignsTable[[#This Row],[Send Date]])+IF(ISNUMBER(EmailCampaignsTable[[#This Row],[Send Time]]),MOD(EmailCampaignsTable[[#This Row],[Send Time]],1),0)+7),"ClickUp","https://app.clickup.com/t/86ahjqzqj"))</f>
        <v>ClickUp</v>
      </c>
      <c r="R3" s="37" t="str">
        <f ca="1">HYPERLINK("https://app.bluecore.com/admin/campaigns/adorama/6259984043991040",IF(AND(ISNUMBER(EmailCampaignsTable[[#This Row],[Send Date]]),NOW()&gt;=INT(EmailCampaignsTable[[#This Row],[Send Date]])+IF(ISNUMBER(EmailCampaignsTable[[#This Row],[Send Time]]),MOD(EmailCampaignsTable[[#This Row],[Send Time]],1),0)+7),"Bluecore/Attentive","https://app.bluecore.com/admin/campaigns/adorama/6259984043991040"))</f>
        <v>Bluecore/Attentive</v>
      </c>
      <c r="S3" s="39">
        <v>23414</v>
      </c>
      <c r="T3" s="39">
        <v>23461</v>
      </c>
      <c r="U3" s="52">
        <v>46188.898912037039</v>
      </c>
      <c r="V3" s="35" t="s">
        <v>63</v>
      </c>
      <c r="W3" s="95"/>
      <c r="X3" s="42"/>
    </row>
    <row r="4" spans="1:24" s="5" customFormat="1" ht="45">
      <c r="A4" s="84">
        <v>46175</v>
      </c>
      <c r="B4" s="89" t="s">
        <v>60</v>
      </c>
      <c r="C4" s="93" t="s">
        <v>164</v>
      </c>
      <c r="D4" s="34" t="s">
        <v>158</v>
      </c>
      <c r="E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4" s="35" t="s">
        <v>62</v>
      </c>
      <c r="G4" s="45" t="b">
        <v>1</v>
      </c>
      <c r="H4" s="45" t="b">
        <v>1</v>
      </c>
      <c r="I4" s="45" t="b">
        <v>1</v>
      </c>
      <c r="J4" s="45" t="b">
        <v>1</v>
      </c>
      <c r="K4" s="45" t="b">
        <v>1</v>
      </c>
      <c r="L4" s="45" t="b">
        <v>1</v>
      </c>
      <c r="M4" s="45" t="b">
        <v>1</v>
      </c>
      <c r="N4" s="45" t="b">
        <v>1</v>
      </c>
      <c r="O4" s="45" t="b">
        <v>1</v>
      </c>
      <c r="P4" s="37" t="str">
        <f ca="1">HYPERLINK("https://jira.adorama.com/browse/MKT-102790",IF(AND(ISNUMBER(EmailCampaignsTable[[#This Row],[Send Date]]),NOW()&gt;=INT(EmailCampaignsTable[[#This Row],[Send Date]])+IF(ISNUMBER(EmailCampaignsTable[[#This Row],[Send Time]]),MOD(EmailCampaignsTable[[#This Row],[Send Time]],1),0)+7),"JIRA","https://jira.adorama.com/browse/MKT-102790"))</f>
        <v>JIRA</v>
      </c>
      <c r="Q4" s="37" t="str">
        <f ca="1">HYPERLINK("https://app.clickup.com/t/86ahjqzr0",IF(AND(ISNUMBER(EmailCampaignsTable[[#This Row],[Send Date]]),NOW()&gt;=INT(EmailCampaignsTable[[#This Row],[Send Date]])+IF(ISNUMBER(EmailCampaignsTable[[#This Row],[Send Time]]),MOD(EmailCampaignsTable[[#This Row],[Send Time]],1),0)+7),"ClickUp","https://app.clickup.com/t/86ahjqzr0"))</f>
        <v>ClickUp</v>
      </c>
      <c r="R4" s="37" t="str">
        <f ca="1">HYPERLINK("https://app.bluecore.com/admin/campaigns/adorama/4905183754444800",IF(AND(ISNUMBER(EmailCampaignsTable[[#This Row],[Send Date]]),NOW()&gt;=INT(EmailCampaignsTable[[#This Row],[Send Date]])+IF(ISNUMBER(EmailCampaignsTable[[#This Row],[Send Time]]),MOD(EmailCampaignsTable[[#This Row],[Send Time]],1),0)+7),"Bluecore/Attentive","https://app.bluecore.com/admin/campaigns/adorama/4905183754444800"))</f>
        <v>Bluecore/Attentive</v>
      </c>
      <c r="S4" s="39">
        <v>17521</v>
      </c>
      <c r="T4" s="39">
        <v>17922</v>
      </c>
      <c r="U4" s="52">
        <v>46188.900752314818</v>
      </c>
      <c r="V4" s="35" t="s">
        <v>63</v>
      </c>
      <c r="W4" s="95"/>
      <c r="X4" s="42"/>
    </row>
    <row r="5" spans="1:24" s="5" customFormat="1" ht="45">
      <c r="A5" s="84">
        <v>46175</v>
      </c>
      <c r="B5" s="89" t="s">
        <v>60</v>
      </c>
      <c r="C5" s="93" t="s">
        <v>165</v>
      </c>
      <c r="D5" s="34" t="s">
        <v>158</v>
      </c>
      <c r="E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5" s="35" t="s">
        <v>62</v>
      </c>
      <c r="G5" s="45" t="b">
        <v>1</v>
      </c>
      <c r="H5" s="45" t="b">
        <v>1</v>
      </c>
      <c r="I5" s="45" t="b">
        <v>1</v>
      </c>
      <c r="J5" s="45" t="b">
        <v>1</v>
      </c>
      <c r="K5" s="45" t="b">
        <v>1</v>
      </c>
      <c r="L5" s="45" t="b">
        <v>1</v>
      </c>
      <c r="M5" s="45" t="b">
        <v>1</v>
      </c>
      <c r="N5" s="45" t="b">
        <v>1</v>
      </c>
      <c r="O5" s="45" t="b">
        <v>1</v>
      </c>
      <c r="P5" s="37" t="str">
        <f ca="1">HYPERLINK("https://jira.adorama.com/browse/MKT-102791",IF(AND(ISNUMBER(EmailCampaignsTable[[#This Row],[Send Date]]),NOW()&gt;=INT(EmailCampaignsTable[[#This Row],[Send Date]])+IF(ISNUMBER(EmailCampaignsTable[[#This Row],[Send Time]]),MOD(EmailCampaignsTable[[#This Row],[Send Time]],1),0)+7),"JIRA","https://jira.adorama.com/browse/MKT-102791"))</f>
        <v>JIRA</v>
      </c>
      <c r="Q5" s="37" t="str">
        <f ca="1">HYPERLINK("https://app.clickup.com/t/86ahjqzra",IF(AND(ISNUMBER(EmailCampaignsTable[[#This Row],[Send Date]]),NOW()&gt;=INT(EmailCampaignsTable[[#This Row],[Send Date]])+IF(ISNUMBER(EmailCampaignsTable[[#This Row],[Send Time]]),MOD(EmailCampaignsTable[[#This Row],[Send Time]],1),0)+7),"ClickUp","https://app.clickup.com/t/86ahjqzra"))</f>
        <v>ClickUp</v>
      </c>
      <c r="R5" s="37" t="str">
        <f ca="1">HYPERLINK("https://app.bluecore.com/admin/campaigns/adorama/5627261038223360",IF(AND(ISNUMBER(EmailCampaignsTable[[#This Row],[Send Date]]),NOW()&gt;=INT(EmailCampaignsTable[[#This Row],[Send Date]])+IF(ISNUMBER(EmailCampaignsTable[[#This Row],[Send Time]]),MOD(EmailCampaignsTable[[#This Row],[Send Time]],1),0)+7),"Bluecore/Attentive","https://app.bluecore.com/admin/campaigns/adorama/5627261038223360"))</f>
        <v>Bluecore/Attentive</v>
      </c>
      <c r="S5" s="39">
        <v>2587</v>
      </c>
      <c r="T5" s="39">
        <v>2651</v>
      </c>
      <c r="U5" s="52">
        <v>46188.90079861111</v>
      </c>
      <c r="V5" s="35" t="s">
        <v>63</v>
      </c>
      <c r="W5" s="95"/>
      <c r="X5" s="42"/>
    </row>
    <row r="6" spans="1:24" s="5" customFormat="1" ht="45">
      <c r="A6" s="84">
        <v>46176</v>
      </c>
      <c r="B6" s="89" t="s">
        <v>60</v>
      </c>
      <c r="C6" s="93" t="s">
        <v>166</v>
      </c>
      <c r="D6" s="34" t="s">
        <v>64</v>
      </c>
      <c r="E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6" s="35" t="s">
        <v>65</v>
      </c>
      <c r="G6" s="45" t="b">
        <v>1</v>
      </c>
      <c r="H6" s="45" t="b">
        <v>1</v>
      </c>
      <c r="I6" s="45" t="b">
        <v>1</v>
      </c>
      <c r="J6" s="45" t="b">
        <v>1</v>
      </c>
      <c r="K6" s="45" t="b">
        <v>1</v>
      </c>
      <c r="L6" s="45" t="b">
        <v>1</v>
      </c>
      <c r="M6" s="45" t="b">
        <v>1</v>
      </c>
      <c r="N6" s="45" t="b">
        <v>1</v>
      </c>
      <c r="O6" s="45" t="b">
        <v>1</v>
      </c>
      <c r="P6" s="37" t="str">
        <f ca="1">HYPERLINK("https://jira.adorama.com/browse/MKT-103036",IF(AND(ISNUMBER(EmailCampaignsTable[[#This Row],[Send Date]]),NOW()&gt;=INT(EmailCampaignsTable[[#This Row],[Send Date]])+IF(ISNUMBER(EmailCampaignsTable[[#This Row],[Send Time]]),MOD(EmailCampaignsTable[[#This Row],[Send Time]],1),0)+7),"JIRA","https://jira.adorama.com/browse/MKT-103036"))</f>
        <v>JIRA</v>
      </c>
      <c r="Q6" s="37" t="str">
        <f ca="1">HYPERLINK("https://app.clickup.com/t/86ahrpf3t",IF(AND(ISNUMBER(EmailCampaignsTable[[#This Row],[Send Date]]),NOW()&gt;=INT(EmailCampaignsTable[[#This Row],[Send Date]])+IF(ISNUMBER(EmailCampaignsTable[[#This Row],[Send Time]]),MOD(EmailCampaignsTable[[#This Row],[Send Time]],1),0)+7),"ClickUp","https://app.clickup.com/t/86ahrpf3t"))</f>
        <v>ClickUp</v>
      </c>
      <c r="R6" s="37" t="str">
        <f ca="1">HYPERLINK("https://app.bluecore.com/admin/campaigns/adorama/6601684654350336v",IF(AND(ISNUMBER(EmailCampaignsTable[[#This Row],[Send Date]]),NOW()&gt;=INT(EmailCampaignsTable[[#This Row],[Send Date]])+IF(ISNUMBER(EmailCampaignsTable[[#This Row],[Send Time]]),MOD(EmailCampaignsTable[[#This Row],[Send Time]],1),0)+7),"Bluecore/Attentive","https://app.bluecore.com/admin/campaigns/adorama/6601684654350336v"))</f>
        <v>Bluecore/Attentive</v>
      </c>
      <c r="S6" s="39">
        <v>455800</v>
      </c>
      <c r="T6" s="39">
        <v>466728</v>
      </c>
      <c r="U6" s="52">
        <v>46188.90084490741</v>
      </c>
      <c r="V6" s="35" t="s">
        <v>63</v>
      </c>
      <c r="W6" s="95"/>
      <c r="X6" s="42"/>
    </row>
    <row r="7" spans="1:24" s="5" customFormat="1" ht="45">
      <c r="A7" s="85">
        <v>46177</v>
      </c>
      <c r="B7" s="90" t="s">
        <v>60</v>
      </c>
      <c r="C7" s="94" t="s">
        <v>163</v>
      </c>
      <c r="D7" s="46" t="s">
        <v>159</v>
      </c>
      <c r="E7" s="46"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7" s="47" t="s">
        <v>65</v>
      </c>
      <c r="G7" s="48" t="b">
        <v>1</v>
      </c>
      <c r="H7" s="48" t="b">
        <v>1</v>
      </c>
      <c r="I7" s="48" t="b">
        <v>1</v>
      </c>
      <c r="J7" s="48" t="b">
        <v>1</v>
      </c>
      <c r="K7" s="48" t="b">
        <v>1</v>
      </c>
      <c r="L7" s="48" t="b">
        <v>1</v>
      </c>
      <c r="M7" s="48" t="b">
        <v>1</v>
      </c>
      <c r="N7" s="48" t="b">
        <v>1</v>
      </c>
      <c r="O7" s="48" t="b">
        <v>0</v>
      </c>
      <c r="P7" s="49" t="str">
        <f ca="1">HYPERLINK("https://jira.adorama.com/browse/MKT-102007",IF(AND(ISNUMBER(EmailCampaignsTable[[#This Row],[Send Date]]),NOW()&gt;=INT(EmailCampaignsTable[[#This Row],[Send Date]])+IF(ISNUMBER(EmailCampaignsTable[[#This Row],[Send Time]]),MOD(EmailCampaignsTable[[#This Row],[Send Time]],1),0)+7),"JIRA","https://jira.adorama.com/browse/MKT-102007"))</f>
        <v>JIRA</v>
      </c>
      <c r="Q7" s="49" t="str">
        <f ca="1">HYPERLINK("https://app.clickup.com/t/9010122869/86ahrpf44",IF(AND(ISNUMBER(EmailCampaignsTable[[#This Row],[Send Date]]),NOW()&gt;=INT(EmailCampaignsTable[[#This Row],[Send Date]])+IF(ISNUMBER(EmailCampaignsTable[[#This Row],[Send Time]]),MOD(EmailCampaignsTable[[#This Row],[Send Time]],1),0)+7),"ClickUp","https://app.clickup.com/t/9010122869/86ahrpf44"))</f>
        <v>ClickUp</v>
      </c>
      <c r="R7" s="49" t="str">
        <f ca="1">HYPERLINK("https://app.bluecore.com/admin/campaigns/adorama/5230301059866624/edit",IF(AND(ISNUMBER(EmailCampaignsTable[[#This Row],[Send Date]]),NOW()&gt;=INT(EmailCampaignsTable[[#This Row],[Send Date]])+IF(ISNUMBER(EmailCampaignsTable[[#This Row],[Send Time]]),MOD(EmailCampaignsTable[[#This Row],[Send Time]],1),0)+7),"Bluecore/Attentive","https://app.bluecore.com/admin/campaigns/adorama/5230301059866624/edit"))</f>
        <v>Bluecore/Attentive</v>
      </c>
      <c r="S7" s="50"/>
      <c r="T7" s="50"/>
      <c r="U7" s="53">
        <v>46188.899629629632</v>
      </c>
      <c r="V7" s="47" t="s">
        <v>63</v>
      </c>
      <c r="W7" s="96" t="s">
        <v>66</v>
      </c>
      <c r="X7" s="42"/>
    </row>
    <row r="8" spans="1:24" s="5" customFormat="1" ht="45">
      <c r="A8" s="84">
        <v>46178</v>
      </c>
      <c r="B8" s="89">
        <v>0.33333333333333331</v>
      </c>
      <c r="C8" s="93" t="s">
        <v>167</v>
      </c>
      <c r="D8" s="34" t="s">
        <v>61</v>
      </c>
      <c r="E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8" s="35" t="s">
        <v>62</v>
      </c>
      <c r="G8" s="45" t="b">
        <v>1</v>
      </c>
      <c r="H8" s="45" t="b">
        <v>1</v>
      </c>
      <c r="I8" s="45" t="b">
        <v>1</v>
      </c>
      <c r="J8" s="45" t="b">
        <v>1</v>
      </c>
      <c r="K8" s="45" t="b">
        <v>1</v>
      </c>
      <c r="L8" s="45" t="b">
        <v>1</v>
      </c>
      <c r="M8" s="45" t="b">
        <v>1</v>
      </c>
      <c r="N8" s="45" t="b">
        <v>1</v>
      </c>
      <c r="O8" s="45" t="b">
        <v>1</v>
      </c>
      <c r="P8" s="37" t="str">
        <f ca="1">HYPERLINK("https://jira.adorama.com/browse/MKT-103040",IF(AND(ISNUMBER(EmailCampaignsTable[[#This Row],[Send Date]]),NOW()&gt;=INT(EmailCampaignsTable[[#This Row],[Send Date]])+IF(ISNUMBER(EmailCampaignsTable[[#This Row],[Send Time]]),MOD(EmailCampaignsTable[[#This Row],[Send Time]],1),0)+7),"JIRA","https://jira.adorama.com/browse/MKT-103040"))</f>
        <v>JIRA</v>
      </c>
      <c r="Q8" s="37" t="str">
        <f ca="1">HYPERLINK("https://app.clickup.com/t/9010122869/86ahrpf48",IF(AND(ISNUMBER(EmailCampaignsTable[[#This Row],[Send Date]]),NOW()&gt;=INT(EmailCampaignsTable[[#This Row],[Send Date]])+IF(ISNUMBER(EmailCampaignsTable[[#This Row],[Send Time]]),MOD(EmailCampaignsTable[[#This Row],[Send Time]],1),0)+7),"ClickUp","https://app.clickup.com/t/9010122869/86ahrpf48"))</f>
        <v>ClickUp</v>
      </c>
      <c r="R8" s="37" t="str">
        <f ca="1">HYPERLINK("https://app.bluecore.com/admin/campaigns/adorama/4956572627099648",IF(AND(ISNUMBER(EmailCampaignsTable[[#This Row],[Send Date]]),NOW()&gt;=INT(EmailCampaignsTable[[#This Row],[Send Date]])+IF(ISNUMBER(EmailCampaignsTable[[#This Row],[Send Time]]),MOD(EmailCampaignsTable[[#This Row],[Send Time]],1),0)+7),"Bluecore/Attentive","https://app.bluecore.com/admin/campaigns/adorama/4956572627099648"))</f>
        <v>Bluecore/Attentive</v>
      </c>
      <c r="S8" s="39">
        <v>115202</v>
      </c>
      <c r="T8" s="39">
        <v>118481</v>
      </c>
      <c r="U8" s="52">
        <v>46188.989861111113</v>
      </c>
      <c r="V8" s="35" t="s">
        <v>63</v>
      </c>
      <c r="W8" s="95"/>
      <c r="X8" s="42"/>
    </row>
    <row r="9" spans="1:24" s="5" customFormat="1" ht="45">
      <c r="A9" s="84">
        <v>46178</v>
      </c>
      <c r="B9" s="89">
        <v>0.375</v>
      </c>
      <c r="C9" s="93" t="s">
        <v>168</v>
      </c>
      <c r="D9" s="34" t="s">
        <v>61</v>
      </c>
      <c r="E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9" s="35" t="s">
        <v>62</v>
      </c>
      <c r="G9" s="45" t="b">
        <v>1</v>
      </c>
      <c r="H9" s="45" t="b">
        <v>1</v>
      </c>
      <c r="I9" s="45" t="b">
        <v>1</v>
      </c>
      <c r="J9" s="45" t="b">
        <v>1</v>
      </c>
      <c r="K9" s="45" t="b">
        <v>1</v>
      </c>
      <c r="L9" s="45" t="b">
        <v>1</v>
      </c>
      <c r="M9" s="45" t="b">
        <v>1</v>
      </c>
      <c r="N9" s="45" t="b">
        <v>1</v>
      </c>
      <c r="O9" s="45" t="b">
        <v>1</v>
      </c>
      <c r="P9" s="37" t="str">
        <f ca="1">HYPERLINK("https://jira.adorama.com/browse/MKT-103041",IF(AND(ISNUMBER(EmailCampaignsTable[[#This Row],[Send Date]]),NOW()&gt;=INT(EmailCampaignsTable[[#This Row],[Send Date]])+IF(ISNUMBER(EmailCampaignsTable[[#This Row],[Send Time]]),MOD(EmailCampaignsTable[[#This Row],[Send Time]],1),0)+7),"JIRA","https://jira.adorama.com/browse/MKT-103041"))</f>
        <v>JIRA</v>
      </c>
      <c r="Q9" s="37" t="str">
        <f ca="1">HYPERLINK("https://app.clickup.com/t/9010122869/86ahrpf4c",IF(AND(ISNUMBER(EmailCampaignsTable[[#This Row],[Send Date]]),NOW()&gt;=INT(EmailCampaignsTable[[#This Row],[Send Date]])+IF(ISNUMBER(EmailCampaignsTable[[#This Row],[Send Time]]),MOD(EmailCampaignsTable[[#This Row],[Send Time]],1),0)+7),"ClickUp","https://app.clickup.com/t/9010122869/86ahrpf4c"))</f>
        <v>ClickUp</v>
      </c>
      <c r="R9" s="37" t="str">
        <f ca="1">HYPERLINK("https://app.bluecore.com/admin/campaigns/adorama/6658156696297472",IF(AND(ISNUMBER(EmailCampaignsTable[[#This Row],[Send Date]]),NOW()&gt;=INT(EmailCampaignsTable[[#This Row],[Send Date]])+IF(ISNUMBER(EmailCampaignsTable[[#This Row],[Send Time]]),MOD(EmailCampaignsTable[[#This Row],[Send Time]],1),0)+7),"Bluecore/Attentive","https://app.bluecore.com/admin/campaigns/adorama/6658156696297472"))</f>
        <v>Bluecore/Attentive</v>
      </c>
      <c r="S9" s="39">
        <v>202658</v>
      </c>
      <c r="T9" s="39">
        <v>205619</v>
      </c>
      <c r="U9" s="52">
        <v>46188.901307870372</v>
      </c>
      <c r="V9" s="35" t="s">
        <v>63</v>
      </c>
      <c r="W9" s="95"/>
      <c r="X9" s="42"/>
    </row>
    <row r="10" spans="1:24" s="5" customFormat="1" ht="45">
      <c r="A10" s="84">
        <v>46178</v>
      </c>
      <c r="B10" s="89">
        <v>0.41666666666666669</v>
      </c>
      <c r="C10" s="93" t="s">
        <v>169</v>
      </c>
      <c r="D10" s="34" t="s">
        <v>61</v>
      </c>
      <c r="E1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10" s="35" t="s">
        <v>62</v>
      </c>
      <c r="G10" s="45" t="b">
        <v>1</v>
      </c>
      <c r="H10" s="45" t="b">
        <v>1</v>
      </c>
      <c r="I10" s="45" t="b">
        <v>1</v>
      </c>
      <c r="J10" s="45" t="b">
        <v>1</v>
      </c>
      <c r="K10" s="45" t="b">
        <v>1</v>
      </c>
      <c r="L10" s="45" t="b">
        <v>1</v>
      </c>
      <c r="M10" s="45" t="b">
        <v>1</v>
      </c>
      <c r="N10" s="45" t="b">
        <v>1</v>
      </c>
      <c r="O10" s="45" t="b">
        <v>1</v>
      </c>
      <c r="P10" s="37" t="str">
        <f ca="1">HYPERLINK("https://app.clickup.com/t/9010122869/86ahrpf4k",IF(AND(ISNUMBER(EmailCampaignsTable[[#This Row],[Send Date]]),NOW()&gt;=INT(EmailCampaignsTable[[#This Row],[Send Date]])+IF(ISNUMBER(EmailCampaignsTable[[#This Row],[Send Time]]),MOD(EmailCampaignsTable[[#This Row],[Send Time]],1),0)+7),"JIRA","https://app.clickup.com/t/9010122869/86ahrpf4k"))</f>
        <v>JIRA</v>
      </c>
      <c r="Q10" s="37" t="str">
        <f ca="1">HYPERLINK("https://jira.adorama.com/browse/MKT-103042",IF(AND(ISNUMBER(EmailCampaignsTable[[#This Row],[Send Date]]),NOW()&gt;=INT(EmailCampaignsTable[[#This Row],[Send Date]])+IF(ISNUMBER(EmailCampaignsTable[[#This Row],[Send Time]]),MOD(EmailCampaignsTable[[#This Row],[Send Time]],1),0)+7),"ClickUp","https://jira.adorama.com/browse/MKT-103042"))</f>
        <v>ClickUp</v>
      </c>
      <c r="R10" s="37" t="str">
        <f ca="1">HYPERLINK("https://app.bluecore.com/admin/campaigns/adorama/6125956057915392/edit",IF(AND(ISNUMBER(EmailCampaignsTable[[#This Row],[Send Date]]),NOW()&gt;=INT(EmailCampaignsTable[[#This Row],[Send Date]])+IF(ISNUMBER(EmailCampaignsTable[[#This Row],[Send Time]]),MOD(EmailCampaignsTable[[#This Row],[Send Time]],1),0)+7),"Bluecore/Attentive","https://app.bluecore.com/admin/campaigns/adorama/6125956057915392/edit"))</f>
        <v>Bluecore/Attentive</v>
      </c>
      <c r="S10" s="39">
        <v>904918</v>
      </c>
      <c r="T10" s="39">
        <v>880888</v>
      </c>
      <c r="U10" s="52">
        <v>46188.901608796295</v>
      </c>
      <c r="V10" s="35" t="s">
        <v>63</v>
      </c>
      <c r="W10" s="95"/>
      <c r="X10" s="42"/>
    </row>
    <row r="11" spans="1:24" s="5" customFormat="1" ht="45">
      <c r="A11" s="84">
        <v>46179</v>
      </c>
      <c r="B11" s="89">
        <v>0.91666666666666663</v>
      </c>
      <c r="C11" s="93" t="s">
        <v>170</v>
      </c>
      <c r="D11" s="34" t="s">
        <v>67</v>
      </c>
      <c r="E1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11" s="35" t="s">
        <v>65</v>
      </c>
      <c r="G11" s="45" t="b">
        <v>1</v>
      </c>
      <c r="H11" s="45" t="b">
        <v>1</v>
      </c>
      <c r="I11" s="45" t="b">
        <v>1</v>
      </c>
      <c r="J11" s="45" t="b">
        <v>1</v>
      </c>
      <c r="K11" s="45" t="b">
        <v>1</v>
      </c>
      <c r="L11" s="45" t="b">
        <v>1</v>
      </c>
      <c r="M11" s="45" t="b">
        <v>1</v>
      </c>
      <c r="N11" s="45" t="b">
        <v>1</v>
      </c>
      <c r="O11" s="45" t="b">
        <v>1</v>
      </c>
      <c r="P11" s="37" t="str">
        <f ca="1">HYPERLINK("https://jira.adorama.com/browse/MKT-102434",IF(AND(ISNUMBER(EmailCampaignsTable[[#This Row],[Send Date]]),NOW()&gt;=INT(EmailCampaignsTable[[#This Row],[Send Date]])+IF(ISNUMBER(EmailCampaignsTable[[#This Row],[Send Time]]),MOD(EmailCampaignsTable[[#This Row],[Send Time]],1),0)+7),"JIRA","https://jira.adorama.com/browse/MKT-102434"))</f>
        <v>JIRA</v>
      </c>
      <c r="Q11" s="37" t="str">
        <f ca="1">HYPERLINK("https://app.clickup.com/t/9010122869/86ahrpf4z",IF(AND(ISNUMBER(EmailCampaignsTable[[#This Row],[Send Date]]),NOW()&gt;=INT(EmailCampaignsTable[[#This Row],[Send Date]])+IF(ISNUMBER(EmailCampaignsTable[[#This Row],[Send Time]]),MOD(EmailCampaignsTable[[#This Row],[Send Time]],1),0)+7),"ClickUp","https://app.clickup.com/t/9010122869/86ahrpf4z"))</f>
        <v>ClickUp</v>
      </c>
      <c r="R11" s="37" t="str">
        <f ca="1">HYPERLINK("https://app.bluecore.com/admin/campaigns/adorama/4539315346333696",IF(AND(ISNUMBER(EmailCampaignsTable[[#This Row],[Send Date]]),NOW()&gt;=INT(EmailCampaignsTable[[#This Row],[Send Date]])+IF(ISNUMBER(EmailCampaignsTable[[#This Row],[Send Time]]),MOD(EmailCampaignsTable[[#This Row],[Send Time]],1),0)+7),"Bluecore/Attentive","https://app.bluecore.com/admin/campaigns/adorama/4539315346333696"))</f>
        <v>Bluecore/Attentive</v>
      </c>
      <c r="S11" s="39">
        <v>244728</v>
      </c>
      <c r="T11" s="39">
        <v>211870</v>
      </c>
      <c r="U11" s="52">
        <v>46188.901932870373</v>
      </c>
      <c r="V11" s="35" t="s">
        <v>63</v>
      </c>
      <c r="W11" s="95"/>
      <c r="X11" s="42"/>
    </row>
    <row r="12" spans="1:24" s="5" customFormat="1" ht="45">
      <c r="A12" s="84">
        <v>46180</v>
      </c>
      <c r="B12" s="89" t="s">
        <v>60</v>
      </c>
      <c r="C12" s="93" t="s">
        <v>171</v>
      </c>
      <c r="D12" s="34" t="s">
        <v>68</v>
      </c>
      <c r="E1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12" s="35" t="s">
        <v>62</v>
      </c>
      <c r="G12" s="45" t="b">
        <v>1</v>
      </c>
      <c r="H12" s="45" t="b">
        <v>1</v>
      </c>
      <c r="I12" s="45" t="b">
        <v>1</v>
      </c>
      <c r="J12" s="45" t="b">
        <v>1</v>
      </c>
      <c r="K12" s="45" t="b">
        <v>1</v>
      </c>
      <c r="L12" s="45" t="b">
        <v>1</v>
      </c>
      <c r="M12" s="45" t="b">
        <v>1</v>
      </c>
      <c r="N12" s="45" t="b">
        <v>1</v>
      </c>
      <c r="O12" s="45" t="b">
        <v>1</v>
      </c>
      <c r="P12" s="37" t="str">
        <f ca="1">HYPERLINK("https://jira.adorama.com/browse/MKT-103104",IF(AND(ISNUMBER(EmailCampaignsTable[[#This Row],[Send Date]]),NOW()&gt;=INT(EmailCampaignsTable[[#This Row],[Send Date]])+IF(ISNUMBER(EmailCampaignsTable[[#This Row],[Send Time]]),MOD(EmailCampaignsTable[[#This Row],[Send Time]],1),0)+7),"JIRA","https://jira.adorama.com/browse/MKT-103104"))</f>
        <v>JIRA</v>
      </c>
      <c r="Q12" s="37" t="str">
        <f ca="1">HYPERLINK("https://app.clickup.com/t/9010122869/86ahv69f4",IF(AND(ISNUMBER(EmailCampaignsTable[[#This Row],[Send Date]]),NOW()&gt;=INT(EmailCampaignsTable[[#This Row],[Send Date]])+IF(ISNUMBER(EmailCampaignsTable[[#This Row],[Send Time]]),MOD(EmailCampaignsTable[[#This Row],[Send Time]],1),0)+7),"ClickUp","https://app.clickup.com/t/9010122869/86ahv69f4"))</f>
        <v>ClickUp</v>
      </c>
      <c r="R12" s="37" t="str">
        <f ca="1">HYPERLINK("https://app.bluecore.com/admin/campaigns/adorama/5531449167831040",IF(AND(ISNUMBER(EmailCampaignsTable[[#This Row],[Send Date]]),NOW()&gt;=INT(EmailCampaignsTable[[#This Row],[Send Date]])+IF(ISNUMBER(EmailCampaignsTable[[#This Row],[Send Time]]),MOD(EmailCampaignsTable[[#This Row],[Send Time]],1),0)+7),"Bluecore/Attentive","https://app.bluecore.com/admin/campaigns/adorama/5531449167831040"))</f>
        <v>Bluecore/Attentive</v>
      </c>
      <c r="S12" s="39">
        <v>24502</v>
      </c>
      <c r="T12" s="39">
        <v>22703</v>
      </c>
      <c r="U12" s="52">
        <v>46188.902650462966</v>
      </c>
      <c r="V12" s="35" t="s">
        <v>63</v>
      </c>
      <c r="W12" s="95"/>
      <c r="X12" s="42"/>
    </row>
    <row r="13" spans="1:24" s="5" customFormat="1" ht="45">
      <c r="A13" s="84">
        <v>46181</v>
      </c>
      <c r="B13" s="89" t="s">
        <v>60</v>
      </c>
      <c r="C13" s="93" t="s">
        <v>172</v>
      </c>
      <c r="D13" s="34" t="s">
        <v>61</v>
      </c>
      <c r="E1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13" s="35" t="s">
        <v>62</v>
      </c>
      <c r="G13" s="45" t="b">
        <v>1</v>
      </c>
      <c r="H13" s="45" t="b">
        <v>1</v>
      </c>
      <c r="I13" s="45" t="b">
        <v>1</v>
      </c>
      <c r="J13" s="45" t="b">
        <v>1</v>
      </c>
      <c r="K13" s="45" t="b">
        <v>1</v>
      </c>
      <c r="L13" s="45" t="b">
        <v>1</v>
      </c>
      <c r="M13" s="45" t="b">
        <v>1</v>
      </c>
      <c r="N13" s="45" t="b">
        <v>1</v>
      </c>
      <c r="O13" s="45" t="b">
        <v>1</v>
      </c>
      <c r="P13" s="37" t="str">
        <f ca="1">HYPERLINK("https://jira.adorama.com/browse/MKT-103105",IF(AND(ISNUMBER(EmailCampaignsTable[[#This Row],[Send Date]]),NOW()&gt;=INT(EmailCampaignsTable[[#This Row],[Send Date]])+IF(ISNUMBER(EmailCampaignsTable[[#This Row],[Send Time]]),MOD(EmailCampaignsTable[[#This Row],[Send Time]],1),0)+7),"JIRA","https://jira.adorama.com/browse/MKT-103105"))</f>
        <v>JIRA</v>
      </c>
      <c r="Q13" s="37" t="str">
        <f ca="1">HYPERLINK("https://app.clickup.com/t/9010122869/86ahv69f9",IF(AND(ISNUMBER(EmailCampaignsTable[[#This Row],[Send Date]]),NOW()&gt;=INT(EmailCampaignsTable[[#This Row],[Send Date]])+IF(ISNUMBER(EmailCampaignsTable[[#This Row],[Send Time]]),MOD(EmailCampaignsTable[[#This Row],[Send Time]],1),0)+7),"ClickUp","https://app.clickup.com/t/9010122869/86ahv69f9"))</f>
        <v>ClickUp</v>
      </c>
      <c r="R13" s="37" t="str">
        <f ca="1">HYPERLINK("https://app.clickup.com/t/9010122869/86ahv69f9",IF(AND(ISNUMBER(EmailCampaignsTable[[#This Row],[Send Date]]),NOW()&gt;=INT(EmailCampaignsTable[[#This Row],[Send Date]])+IF(ISNUMBER(EmailCampaignsTable[[#This Row],[Send Time]]),MOD(EmailCampaignsTable[[#This Row],[Send Time]],1),0)+7),"Bluecore/Attentive","https://app.clickup.com/t/9010122869/86ahv69f9"))</f>
        <v>Bluecore/Attentive</v>
      </c>
      <c r="S13" s="39">
        <v>542442</v>
      </c>
      <c r="T13" s="39">
        <v>449763</v>
      </c>
      <c r="U13" s="52">
        <v>46188.902800925927</v>
      </c>
      <c r="V13" s="35" t="s">
        <v>63</v>
      </c>
      <c r="W13" s="95"/>
      <c r="X13" s="42"/>
    </row>
    <row r="14" spans="1:24" s="5" customFormat="1" ht="45">
      <c r="A14" s="84">
        <v>46181</v>
      </c>
      <c r="B14" s="89" t="s">
        <v>60</v>
      </c>
      <c r="C14" s="93" t="s">
        <v>173</v>
      </c>
      <c r="D14" s="34" t="s">
        <v>61</v>
      </c>
      <c r="E1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14" s="35" t="s">
        <v>62</v>
      </c>
      <c r="G14" s="45" t="b">
        <v>1</v>
      </c>
      <c r="H14" s="45" t="b">
        <v>1</v>
      </c>
      <c r="I14" s="45" t="b">
        <v>1</v>
      </c>
      <c r="J14" s="45" t="b">
        <v>1</v>
      </c>
      <c r="K14" s="45" t="b">
        <v>1</v>
      </c>
      <c r="L14" s="45" t="b">
        <v>1</v>
      </c>
      <c r="M14" s="45" t="b">
        <v>1</v>
      </c>
      <c r="N14" s="45" t="b">
        <v>1</v>
      </c>
      <c r="O14" s="45" t="b">
        <v>1</v>
      </c>
      <c r="P14" s="37" t="str">
        <f ca="1">HYPERLINK("https://jira.adorama.com/browse/MKT-103301",IF(AND(ISNUMBER(EmailCampaignsTable[[#This Row],[Send Date]]),NOW()&gt;=INT(EmailCampaignsTable[[#This Row],[Send Date]])+IF(ISNUMBER(EmailCampaignsTable[[#This Row],[Send Time]]),MOD(EmailCampaignsTable[[#This Row],[Send Time]],1),0)+7),"JIRA","https://jira.adorama.com/browse/MKT-103301"))</f>
        <v>JIRA</v>
      </c>
      <c r="Q14" s="37" t="str">
        <f ca="1">HYPERLINK("https://app.clickup.com/t/9010122869/86ahx8ewb",IF(AND(ISNUMBER(EmailCampaignsTable[[#This Row],[Send Date]]),NOW()&gt;=INT(EmailCampaignsTable[[#This Row],[Send Date]])+IF(ISNUMBER(EmailCampaignsTable[[#This Row],[Send Time]]),MOD(EmailCampaignsTable[[#This Row],[Send Time]],1),0)+7),"ClickUp","https://app.clickup.com/t/9010122869/86ahx8ewb"))</f>
        <v>ClickUp</v>
      </c>
      <c r="R14" s="37" t="str">
        <f ca="1">HYPERLINK("https://app.bluecore.com/admin/campaigns/adorama/4926905073393664",IF(AND(ISNUMBER(EmailCampaignsTable[[#This Row],[Send Date]]),NOW()&gt;=INT(EmailCampaignsTable[[#This Row],[Send Date]])+IF(ISNUMBER(EmailCampaignsTable[[#This Row],[Send Time]]),MOD(EmailCampaignsTable[[#This Row],[Send Time]],1),0)+7),"Bluecore/Attentive","https://app.bluecore.com/admin/campaigns/adorama/4926905073393664"))</f>
        <v>Bluecore/Attentive</v>
      </c>
      <c r="S14" s="39">
        <v>1134157</v>
      </c>
      <c r="T14" s="39">
        <v>1091151</v>
      </c>
      <c r="U14" s="52">
        <v>46188.903090277781</v>
      </c>
      <c r="V14" s="35" t="s">
        <v>63</v>
      </c>
      <c r="W14" s="95"/>
      <c r="X14" s="42"/>
    </row>
    <row r="15" spans="1:24" s="5" customFormat="1" ht="45">
      <c r="A15" s="84">
        <v>46182</v>
      </c>
      <c r="B15" s="89" t="s">
        <v>60</v>
      </c>
      <c r="C15" s="93" t="s">
        <v>174</v>
      </c>
      <c r="D15" s="34" t="s">
        <v>67</v>
      </c>
      <c r="E1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15" s="35" t="s">
        <v>65</v>
      </c>
      <c r="G15" s="45" t="b">
        <v>1</v>
      </c>
      <c r="H15" s="45" t="b">
        <v>1</v>
      </c>
      <c r="I15" s="45" t="b">
        <v>1</v>
      </c>
      <c r="J15" s="45" t="b">
        <v>1</v>
      </c>
      <c r="K15" s="45" t="b">
        <v>1</v>
      </c>
      <c r="L15" s="45" t="b">
        <v>1</v>
      </c>
      <c r="M15" s="45" t="b">
        <v>1</v>
      </c>
      <c r="N15" s="45" t="b">
        <v>1</v>
      </c>
      <c r="O15" s="45" t="b">
        <v>1</v>
      </c>
      <c r="P15" s="37" t="str">
        <f ca="1">HYPERLINK("https://jira.adorama.com/browse/MKT-103103",IF(AND(ISNUMBER(EmailCampaignsTable[[#This Row],[Send Date]]),NOW()&gt;=INT(EmailCampaignsTable[[#This Row],[Send Date]])+IF(ISNUMBER(EmailCampaignsTable[[#This Row],[Send Time]]),MOD(EmailCampaignsTable[[#This Row],[Send Time]],1),0)+7),"JIRA","https://jira.adorama.com/browse/MKT-103103"))</f>
        <v>JIRA</v>
      </c>
      <c r="Q15" s="37" t="str">
        <f ca="1">HYPERLINK("https://app.clickup.com/t/9010122869/86ahv69fe",IF(AND(ISNUMBER(EmailCampaignsTable[[#This Row],[Send Date]]),NOW()&gt;=INT(EmailCampaignsTable[[#This Row],[Send Date]])+IF(ISNUMBER(EmailCampaignsTable[[#This Row],[Send Time]]),MOD(EmailCampaignsTable[[#This Row],[Send Time]],1),0)+7),"ClickUp","https://app.clickup.com/t/9010122869/86ahv69fe"))</f>
        <v>ClickUp</v>
      </c>
      <c r="R15" s="37" t="str">
        <f ca="1">HYPERLINK("https://app.bluecore.com/admin/campaigns/adorama/6635126578339840",IF(AND(ISNUMBER(EmailCampaignsTable[[#This Row],[Send Date]]),NOW()&gt;=INT(EmailCampaignsTable[[#This Row],[Send Date]])+IF(ISNUMBER(EmailCampaignsTable[[#This Row],[Send Time]]),MOD(EmailCampaignsTable[[#This Row],[Send Time]],1),0)+7),"Bluecore/Attentive","https://app.bluecore.com/admin/campaigns/adorama/6635126578339840"))</f>
        <v>Bluecore/Attentive</v>
      </c>
      <c r="S15" s="39">
        <v>45047</v>
      </c>
      <c r="T15" s="39">
        <v>46149</v>
      </c>
      <c r="U15" s="52">
        <v>46188.903252314813</v>
      </c>
      <c r="V15" s="35" t="s">
        <v>63</v>
      </c>
      <c r="W15" s="95"/>
      <c r="X15" s="42"/>
    </row>
    <row r="16" spans="1:24" s="5" customFormat="1" ht="71.25">
      <c r="A16" s="84">
        <v>46182</v>
      </c>
      <c r="B16" s="89">
        <v>0.78125</v>
      </c>
      <c r="C16" s="93" t="s">
        <v>175</v>
      </c>
      <c r="D16" s="34" t="s">
        <v>69</v>
      </c>
      <c r="E1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16" s="35" t="s">
        <v>62</v>
      </c>
      <c r="G16" s="45" t="b">
        <v>1</v>
      </c>
      <c r="H16" s="45" t="b">
        <v>1</v>
      </c>
      <c r="I16" s="45" t="b">
        <v>1</v>
      </c>
      <c r="J16" s="45" t="b">
        <v>1</v>
      </c>
      <c r="K16" s="45" t="b">
        <v>1</v>
      </c>
      <c r="L16" s="45" t="b">
        <v>1</v>
      </c>
      <c r="M16" s="45" t="b">
        <v>1</v>
      </c>
      <c r="N16" s="45" t="b">
        <v>1</v>
      </c>
      <c r="O16" s="45" t="b">
        <v>1</v>
      </c>
      <c r="P16" s="37" t="str">
        <f ca="1">HYPERLINK("https://jira.adorama.com/browse/MKT-103371",IF(AND(ISNUMBER(EmailCampaignsTable[[#This Row],[Send Date]]),NOW()&gt;=INT(EmailCampaignsTable[[#This Row],[Send Date]])+IF(ISNUMBER(EmailCampaignsTable[[#This Row],[Send Time]]),MOD(EmailCampaignsTable[[#This Row],[Send Time]],1),0)+7),"JIRA","https://jira.adorama.com/browse/MKT-103371"))</f>
        <v>https://jira.adorama.com/browse/MKT-103371</v>
      </c>
      <c r="Q16" s="34" t="s">
        <v>70</v>
      </c>
      <c r="R16" s="37" t="str">
        <f ca="1">HYPERLINK("https://app.bluecore.com/admin/campaigns/adorama/6087564217671680",IF(AND(ISNUMBER(EmailCampaignsTable[[#This Row],[Send Date]]),NOW()&gt;=INT(EmailCampaignsTable[[#This Row],[Send Date]])+IF(ISNUMBER(EmailCampaignsTable[[#This Row],[Send Time]]),MOD(EmailCampaignsTable[[#This Row],[Send Time]],1),0)+7),"Bluecore/Attentive","https://app.bluecore.com/admin/campaigns/adorama/6087564217671680"))</f>
        <v>https://app.bluecore.com/admin/campaigns/adorama/6087564217671680</v>
      </c>
      <c r="S16" s="39">
        <v>273019</v>
      </c>
      <c r="T16" s="39">
        <v>271680</v>
      </c>
      <c r="U16" s="52">
        <v>46188.90351851852</v>
      </c>
      <c r="V16" s="35" t="s">
        <v>63</v>
      </c>
      <c r="W16" s="95"/>
      <c r="X16" s="42"/>
    </row>
    <row r="17" spans="1:24" s="5" customFormat="1" ht="71.25">
      <c r="A17" s="84">
        <v>46183</v>
      </c>
      <c r="B17" s="89" t="s">
        <v>60</v>
      </c>
      <c r="C17" s="93" t="s">
        <v>176</v>
      </c>
      <c r="D17" s="34" t="s">
        <v>64</v>
      </c>
      <c r="E1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17" s="35" t="s">
        <v>62</v>
      </c>
      <c r="G17" s="45" t="b">
        <v>1</v>
      </c>
      <c r="H17" s="45" t="b">
        <v>1</v>
      </c>
      <c r="I17" s="45" t="b">
        <v>1</v>
      </c>
      <c r="J17" s="45" t="b">
        <v>1</v>
      </c>
      <c r="K17" s="45" t="b">
        <v>1</v>
      </c>
      <c r="L17" s="45" t="b">
        <v>1</v>
      </c>
      <c r="M17" s="45" t="b">
        <v>1</v>
      </c>
      <c r="N17" s="45" t="b">
        <v>1</v>
      </c>
      <c r="O17" s="45" t="b">
        <v>1</v>
      </c>
      <c r="P17" s="37" t="str">
        <f ca="1">HYPERLINK("https://jira.adorama.com/browse/MKT-103106",IF(AND(ISNUMBER(EmailCampaignsTable[[#This Row],[Send Date]]),NOW()&gt;=INT(EmailCampaignsTable[[#This Row],[Send Date]])+IF(ISNUMBER(EmailCampaignsTable[[#This Row],[Send Time]]),MOD(EmailCampaignsTable[[#This Row],[Send Time]],1),0)+7),"JIRA","https://jira.adorama.com/browse/MKT-103106"))</f>
        <v>https://jira.adorama.com/browse/MKT-103106</v>
      </c>
      <c r="Q17" s="37" t="str">
        <f ca="1">HYPERLINK("https://app.clickup.com/t/9010122869/86ahv69fj",IF(AND(ISNUMBER(EmailCampaignsTable[[#This Row],[Send Date]]),NOW()&gt;=INT(EmailCampaignsTable[[#This Row],[Send Date]])+IF(ISNUMBER(EmailCampaignsTable[[#This Row],[Send Time]]),MOD(EmailCampaignsTable[[#This Row],[Send Time]],1),0)+7),"ClickUp","https://app.clickup.com/t/9010122869/86ahv69fj"))</f>
        <v>https://app.clickup.com/t/9010122869/86ahv69fj</v>
      </c>
      <c r="R17" s="37" t="str">
        <f ca="1">HYPERLINK("https://app.bluecore.com/admin/campaigns/adorama/5289607948001280",IF(AND(ISNUMBER(EmailCampaignsTable[[#This Row],[Send Date]]),NOW()&gt;=INT(EmailCampaignsTable[[#This Row],[Send Date]])+IF(ISNUMBER(EmailCampaignsTable[[#This Row],[Send Time]]),MOD(EmailCampaignsTable[[#This Row],[Send Time]],1),0)+7),"Bluecore/Attentive","https://app.bluecore.com/admin/campaigns/adorama/5289607948001280"))</f>
        <v>https://app.bluecore.com/admin/campaigns/adorama/5289607948001280</v>
      </c>
      <c r="S17" s="39">
        <v>397290</v>
      </c>
      <c r="T17" s="39">
        <v>374775</v>
      </c>
      <c r="U17" s="52">
        <v>46188.90388888889</v>
      </c>
      <c r="V17" s="35" t="s">
        <v>63</v>
      </c>
      <c r="W17" s="95"/>
      <c r="X17" s="42"/>
    </row>
    <row r="18" spans="1:24" s="5" customFormat="1" ht="71.25">
      <c r="A18" s="84">
        <v>46184</v>
      </c>
      <c r="B18" s="89" t="s">
        <v>60</v>
      </c>
      <c r="C18" s="93" t="s">
        <v>177</v>
      </c>
      <c r="D18" s="34" t="s">
        <v>158</v>
      </c>
      <c r="E1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18" s="35" t="s">
        <v>62</v>
      </c>
      <c r="G18" s="45" t="b">
        <v>1</v>
      </c>
      <c r="H18" s="45" t="b">
        <v>1</v>
      </c>
      <c r="I18" s="45" t="b">
        <v>1</v>
      </c>
      <c r="J18" s="45" t="b">
        <v>1</v>
      </c>
      <c r="K18" s="45" t="b">
        <v>1</v>
      </c>
      <c r="L18" s="45" t="b">
        <v>1</v>
      </c>
      <c r="M18" s="45" t="b">
        <v>1</v>
      </c>
      <c r="N18" s="45" t="b">
        <v>1</v>
      </c>
      <c r="O18" s="45" t="b">
        <v>1</v>
      </c>
      <c r="P18" s="37" t="str">
        <f ca="1">HYPERLINK("https://jira.adorama.com/browse/MKT-103185",IF(AND(ISNUMBER(EmailCampaignsTable[[#This Row],[Send Date]]),NOW()&gt;=INT(EmailCampaignsTable[[#This Row],[Send Date]])+IF(ISNUMBER(EmailCampaignsTable[[#This Row],[Send Time]]),MOD(EmailCampaignsTable[[#This Row],[Send Time]],1),0)+7),"JIRA","https://jira.adorama.com/browse/MKT-103185"))</f>
        <v>https://jira.adorama.com/browse/MKT-103185</v>
      </c>
      <c r="Q18" s="37" t="str">
        <f ca="1">HYPERLINK("https://app.clickup.com/t/9010122869/86ahwyey7",IF(AND(ISNUMBER(EmailCampaignsTable[[#This Row],[Send Date]]),NOW()&gt;=INT(EmailCampaignsTable[[#This Row],[Send Date]])+IF(ISNUMBER(EmailCampaignsTable[[#This Row],[Send Time]]),MOD(EmailCampaignsTable[[#This Row],[Send Time]],1),0)+7),"ClickUp","https://app.clickup.com/t/9010122869/86ahwyey7"))</f>
        <v>https://app.clickup.com/t/9010122869/86ahwyey7</v>
      </c>
      <c r="R18" s="37" t="str">
        <f ca="1">HYPERLINK("https://app.bluecore.com/admin/campaigns/adorama/5285349538258944",IF(AND(ISNUMBER(EmailCampaignsTable[[#This Row],[Send Date]]),NOW()&gt;=INT(EmailCampaignsTable[[#This Row],[Send Date]])+IF(ISNUMBER(EmailCampaignsTable[[#This Row],[Send Time]]),MOD(EmailCampaignsTable[[#This Row],[Send Time]],1),0)+7),"Bluecore/Attentive","https://app.bluecore.com/admin/campaigns/adorama/5285349538258944"))</f>
        <v>https://app.bluecore.com/admin/campaigns/adorama/5285349538258944</v>
      </c>
      <c r="S18" s="39">
        <v>6210</v>
      </c>
      <c r="T18" s="39">
        <v>6193</v>
      </c>
      <c r="U18" s="52">
        <v>46188.904872685183</v>
      </c>
      <c r="V18" s="35" t="s">
        <v>63</v>
      </c>
      <c r="W18" s="95"/>
      <c r="X18" s="42"/>
    </row>
    <row r="19" spans="1:24" s="5" customFormat="1" ht="85.5">
      <c r="A19" s="84">
        <v>46184</v>
      </c>
      <c r="B19" s="89" t="s">
        <v>60</v>
      </c>
      <c r="C19" s="93" t="s">
        <v>178</v>
      </c>
      <c r="D19" s="34" t="s">
        <v>158</v>
      </c>
      <c r="E1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19" s="35" t="s">
        <v>62</v>
      </c>
      <c r="G19" s="45" t="b">
        <v>1</v>
      </c>
      <c r="H19" s="45" t="b">
        <v>1</v>
      </c>
      <c r="I19" s="45" t="b">
        <v>1</v>
      </c>
      <c r="J19" s="45" t="b">
        <v>1</v>
      </c>
      <c r="K19" s="45" t="b">
        <v>1</v>
      </c>
      <c r="L19" s="45" t="b">
        <v>1</v>
      </c>
      <c r="M19" s="45" t="b">
        <v>1</v>
      </c>
      <c r="N19" s="45" t="b">
        <v>1</v>
      </c>
      <c r="O19" s="45" t="b">
        <v>1</v>
      </c>
      <c r="P19" s="37" t="str">
        <f ca="1">HYPERLINK("https://jira.adorama.com/browse/MKT-102097",IF(AND(ISNUMBER(EmailCampaignsTable[[#This Row],[Send Date]]),NOW()&gt;=INT(EmailCampaignsTable[[#This Row],[Send Date]])+IF(ISNUMBER(EmailCampaignsTable[[#This Row],[Send Time]]),MOD(EmailCampaignsTable[[#This Row],[Send Time]],1),0)+7),"JIRA","https://jira.adorama.com/browse/MKT-102097"))</f>
        <v>https://jira.adorama.com/browse/MKT-102097</v>
      </c>
      <c r="Q19" s="37" t="str">
        <f ca="1">HYPERLINK("https://app.clickup.com/t/9010122869/86ahwyeyb",IF(AND(ISNUMBER(EmailCampaignsTable[[#This Row],[Send Date]]),NOW()&gt;=INT(EmailCampaignsTable[[#This Row],[Send Date]])+IF(ISNUMBER(EmailCampaignsTable[[#This Row],[Send Time]]),MOD(EmailCampaignsTable[[#This Row],[Send Time]],1),0)+7),"ClickUp","https://app.clickup.com/t/9010122869/86ahwyeyb"))</f>
        <v>https://app.clickup.com/t/9010122869/86ahwyeyb</v>
      </c>
      <c r="R19" s="37" t="str">
        <f ca="1">HYPERLINK("https://app.bluecore.com/admin/campaigns/adorama/5642474475085824?viewTab=summary",IF(AND(ISNUMBER(EmailCampaignsTable[[#This Row],[Send Date]]),NOW()&gt;=INT(EmailCampaignsTable[[#This Row],[Send Date]])+IF(ISNUMBER(EmailCampaignsTable[[#This Row],[Send Time]]),MOD(EmailCampaignsTable[[#This Row],[Send Time]],1),0)+7),"Bluecore/Attentive","https://app.bluecore.com/admin/campaigns/adorama/5642474475085824?viewTab=summary"))</f>
        <v>https://app.bluecore.com/admin/campaigns/adorama/5642474475085824?viewTab=summary</v>
      </c>
      <c r="S19" s="39">
        <v>303</v>
      </c>
      <c r="T19" s="39">
        <v>314</v>
      </c>
      <c r="U19" s="52">
        <v>46188.904930555553</v>
      </c>
      <c r="V19" s="35" t="s">
        <v>63</v>
      </c>
      <c r="W19" s="95"/>
      <c r="X19" s="42"/>
    </row>
    <row r="20" spans="1:24" s="5" customFormat="1" ht="71.25">
      <c r="A20" s="84">
        <v>46185</v>
      </c>
      <c r="B20" s="89">
        <v>0.33333333333333331</v>
      </c>
      <c r="C20" s="93" t="s">
        <v>179</v>
      </c>
      <c r="D20" s="34" t="s">
        <v>61</v>
      </c>
      <c r="E2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20" s="35" t="s">
        <v>65</v>
      </c>
      <c r="G20" s="45" t="b">
        <v>1</v>
      </c>
      <c r="H20" s="45" t="b">
        <v>1</v>
      </c>
      <c r="I20" s="45" t="b">
        <v>1</v>
      </c>
      <c r="J20" s="45" t="b">
        <v>1</v>
      </c>
      <c r="K20" s="45" t="b">
        <v>1</v>
      </c>
      <c r="L20" s="45" t="b">
        <v>1</v>
      </c>
      <c r="M20" s="45" t="b">
        <v>1</v>
      </c>
      <c r="N20" s="45" t="b">
        <v>1</v>
      </c>
      <c r="O20" s="45" t="b">
        <v>1</v>
      </c>
      <c r="P20" s="37" t="str">
        <f ca="1">HYPERLINK("https://jira.adorama.com/browse/MKT-103155",IF(AND(ISNUMBER(EmailCampaignsTable[[#This Row],[Send Date]]),NOW()&gt;=INT(EmailCampaignsTable[[#This Row],[Send Date]])+IF(ISNUMBER(EmailCampaignsTable[[#This Row],[Send Time]]),MOD(EmailCampaignsTable[[#This Row],[Send Time]],1),0)+7),"JIRA","https://jira.adorama.com/browse/MKT-103155"))</f>
        <v>https://jira.adorama.com/browse/MKT-103155</v>
      </c>
      <c r="Q20" s="37" t="str">
        <f ca="1">HYPERLINK("https://app.clickup.com/t/9010122869/86ahv69fr",IF(AND(ISNUMBER(EmailCampaignsTable[[#This Row],[Send Date]]),NOW()&gt;=INT(EmailCampaignsTable[[#This Row],[Send Date]])+IF(ISNUMBER(EmailCampaignsTable[[#This Row],[Send Time]]),MOD(EmailCampaignsTable[[#This Row],[Send Time]],1),0)+7),"ClickUp","https://app.clickup.com/t/9010122869/86ahv69fr"))</f>
        <v>https://app.clickup.com/t/9010122869/86ahv69fr</v>
      </c>
      <c r="R20" s="37" t="str">
        <f ca="1">HYPERLINK("https://app.bluecore.com/admin/campaigns/adorama/5227436333457408",IF(AND(ISNUMBER(EmailCampaignsTable[[#This Row],[Send Date]]),NOW()&gt;=INT(EmailCampaignsTable[[#This Row],[Send Date]])+IF(ISNUMBER(EmailCampaignsTable[[#This Row],[Send Time]]),MOD(EmailCampaignsTable[[#This Row],[Send Time]],1),0)+7),"Bluecore/Attentive","https://app.bluecore.com/admin/campaigns/adorama/5227436333457408"))</f>
        <v>https://app.bluecore.com/admin/campaigns/adorama/5227436333457408</v>
      </c>
      <c r="S20" s="39" t="s">
        <v>71</v>
      </c>
      <c r="T20" s="39">
        <v>503795</v>
      </c>
      <c r="U20" s="52">
        <v>46188.905173611114</v>
      </c>
      <c r="V20" s="35" t="s">
        <v>63</v>
      </c>
      <c r="W20" s="95"/>
      <c r="X20" s="42"/>
    </row>
    <row r="21" spans="1:24" s="5" customFormat="1" ht="71.25">
      <c r="A21" s="84">
        <v>46185</v>
      </c>
      <c r="B21" s="89">
        <v>0.625</v>
      </c>
      <c r="C21" s="15" t="s">
        <v>180</v>
      </c>
      <c r="D21" s="34" t="s">
        <v>61</v>
      </c>
      <c r="E2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21" s="35" t="s">
        <v>62</v>
      </c>
      <c r="G21" s="45" t="b">
        <v>1</v>
      </c>
      <c r="H21" s="45" t="b">
        <v>1</v>
      </c>
      <c r="I21" s="45" t="b">
        <v>1</v>
      </c>
      <c r="J21" s="45" t="b">
        <v>1</v>
      </c>
      <c r="K21" s="45" t="b">
        <v>1</v>
      </c>
      <c r="L21" s="45" t="b">
        <v>1</v>
      </c>
      <c r="M21" s="45" t="b">
        <v>1</v>
      </c>
      <c r="N21" s="45" t="b">
        <v>1</v>
      </c>
      <c r="O21" s="45" t="b">
        <v>1</v>
      </c>
      <c r="P21" s="34" t="s">
        <v>70</v>
      </c>
      <c r="Q21" s="37" t="str">
        <f ca="1">HYPERLINK("https://app.clickup.com/t/9010122869/86aj0k0dv",IF(AND(ISNUMBER(EmailCampaignsTable[[#This Row],[Send Date]]),NOW()&gt;=INT(EmailCampaignsTable[[#This Row],[Send Date]])+IF(ISNUMBER(EmailCampaignsTable[[#This Row],[Send Time]]),MOD(EmailCampaignsTable[[#This Row],[Send Time]],1),0)+7),"ClickUp","https://app.clickup.com/t/9010122869/86aj0k0dv"))</f>
        <v>https://app.clickup.com/t/9010122869/86aj0k0dv</v>
      </c>
      <c r="R21" s="37" t="str">
        <f ca="1">HYPERLINK("https://app.bluecore.com/admin/campaigns/adorama/6438219826454528",IF(AND(ISNUMBER(EmailCampaignsTable[[#This Row],[Send Date]]),NOW()&gt;=INT(EmailCampaignsTable[[#This Row],[Send Date]])+IF(ISNUMBER(EmailCampaignsTable[[#This Row],[Send Time]]),MOD(EmailCampaignsTable[[#This Row],[Send Time]],1),0)+7),"Bluecore/Attentive","https://app.bluecore.com/admin/campaigns/adorama/6438219826454528"))</f>
        <v>https://app.bluecore.com/admin/campaigns/adorama/6438219826454528</v>
      </c>
      <c r="S21" s="39">
        <v>183263</v>
      </c>
      <c r="T21" s="39">
        <v>179052</v>
      </c>
      <c r="U21" s="52">
        <v>46188.905277777776</v>
      </c>
      <c r="V21" s="35" t="s">
        <v>63</v>
      </c>
      <c r="W21" s="95"/>
      <c r="X21" s="42"/>
    </row>
    <row r="22" spans="1:24" s="5" customFormat="1" ht="85.5">
      <c r="A22" s="84">
        <v>46186</v>
      </c>
      <c r="B22" s="89">
        <v>0.91666666666666663</v>
      </c>
      <c r="C22" s="93" t="s">
        <v>181</v>
      </c>
      <c r="D22" s="34" t="s">
        <v>67</v>
      </c>
      <c r="E2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22" s="35" t="s">
        <v>62</v>
      </c>
      <c r="G22" s="45" t="b">
        <v>1</v>
      </c>
      <c r="H22" s="45" t="b">
        <v>1</v>
      </c>
      <c r="I22" s="45" t="b">
        <v>1</v>
      </c>
      <c r="J22" s="45" t="b">
        <v>1</v>
      </c>
      <c r="K22" s="45" t="b">
        <v>1</v>
      </c>
      <c r="L22" s="45" t="b">
        <v>1</v>
      </c>
      <c r="M22" s="45" t="b">
        <v>1</v>
      </c>
      <c r="N22" s="45" t="b">
        <v>1</v>
      </c>
      <c r="O22" s="45" t="b">
        <v>1</v>
      </c>
      <c r="P22" s="37" t="str">
        <f ca="1">HYPERLINK("https://jira.adorama.com/browse/MKT-103292",IF(AND(ISNUMBER(EmailCampaignsTable[[#This Row],[Send Date]]),NOW()&gt;=INT(EmailCampaignsTable[[#This Row],[Send Date]])+IF(ISNUMBER(EmailCampaignsTable[[#This Row],[Send Time]]),MOD(EmailCampaignsTable[[#This Row],[Send Time]],1),0)+7),"JIRA","https://jira.adorama.com/browse/MKT-103292"))</f>
        <v>https://jira.adorama.com/browse/MKT-103292</v>
      </c>
      <c r="Q22" s="37" t="str">
        <f ca="1">HYPERLINK("https://app.clickup.com/t/9010122869/86ahv69g0",IF(AND(ISNUMBER(EmailCampaignsTable[[#This Row],[Send Date]]),NOW()&gt;=INT(EmailCampaignsTable[[#This Row],[Send Date]])+IF(ISNUMBER(EmailCampaignsTable[[#This Row],[Send Time]]),MOD(EmailCampaignsTable[[#This Row],[Send Time]],1),0)+7),"ClickUp","https://app.clickup.com/t/9010122869/86ahv69g0"))</f>
        <v>https://app.clickup.com/t/9010122869/86ahv69g0</v>
      </c>
      <c r="R22" s="37" t="str">
        <f ca="1">HYPERLINK("https://app.bluecore.com/admin/campaigns/adorama/6684665553215488?viewTab=summary",IF(AND(ISNUMBER(EmailCampaignsTable[[#This Row],[Send Date]]),NOW()&gt;=INT(EmailCampaignsTable[[#This Row],[Send Date]])+IF(ISNUMBER(EmailCampaignsTable[[#This Row],[Send Time]]),MOD(EmailCampaignsTable[[#This Row],[Send Time]],1),0)+7),"Bluecore/Attentive","https://app.bluecore.com/admin/campaigns/adorama/6684665553215488?viewTab=summary"))</f>
        <v>https://app.bluecore.com/admin/campaigns/adorama/6684665553215488?viewTab=summary</v>
      </c>
      <c r="S22" s="39">
        <v>289363</v>
      </c>
      <c r="T22" s="39">
        <v>256988</v>
      </c>
      <c r="U22" s="52">
        <v>46188.905509259261</v>
      </c>
      <c r="V22" s="35" t="s">
        <v>63</v>
      </c>
      <c r="W22" s="95"/>
      <c r="X22" s="42"/>
    </row>
    <row r="23" spans="1:24" s="5" customFormat="1" ht="71.25">
      <c r="A23" s="84">
        <v>46187</v>
      </c>
      <c r="B23" s="89">
        <v>0.375</v>
      </c>
      <c r="C23" s="93" t="s">
        <v>183</v>
      </c>
      <c r="D23" s="34" t="s">
        <v>68</v>
      </c>
      <c r="E2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23" s="35" t="s">
        <v>62</v>
      </c>
      <c r="G23" s="45" t="b">
        <v>1</v>
      </c>
      <c r="H23" s="45" t="b">
        <v>1</v>
      </c>
      <c r="I23" s="45" t="b">
        <v>1</v>
      </c>
      <c r="J23" s="45" t="b">
        <v>1</v>
      </c>
      <c r="K23" s="45" t="b">
        <v>1</v>
      </c>
      <c r="L23" s="45" t="b">
        <v>1</v>
      </c>
      <c r="M23" s="45" t="b">
        <v>1</v>
      </c>
      <c r="N23" s="45" t="b">
        <v>1</v>
      </c>
      <c r="O23" s="45" t="b">
        <v>1</v>
      </c>
      <c r="P23" s="37" t="str">
        <f ca="1">HYPERLINK("https://jira.adorama.com/browse/MKT-103306",IF(AND(ISNUMBER(EmailCampaignsTable[[#This Row],[Send Date]]),NOW()&gt;=INT(EmailCampaignsTable[[#This Row],[Send Date]])+IF(ISNUMBER(EmailCampaignsTable[[#This Row],[Send Time]]),MOD(EmailCampaignsTable[[#This Row],[Send Time]],1),0)+7),"JIRA","https://jira.adorama.com/browse/MKT-103306"))</f>
        <v>https://jira.adorama.com/browse/MKT-103306</v>
      </c>
      <c r="Q23" s="37" t="str">
        <f ca="1">HYPERLINK("https://app.clickup.com/t/9010122869/86ahv69g7",IF(AND(ISNUMBER(EmailCampaignsTable[[#This Row],[Send Date]]),NOW()&gt;=INT(EmailCampaignsTable[[#This Row],[Send Date]])+IF(ISNUMBER(EmailCampaignsTable[[#This Row],[Send Time]]),MOD(EmailCampaignsTable[[#This Row],[Send Time]],1),0)+7),"ClickUp","https://app.clickup.com/t/9010122869/86ahv69g7"))</f>
        <v>https://app.clickup.com/t/9010122869/86ahv69g7</v>
      </c>
      <c r="R23" s="37" t="str">
        <f ca="1">HYPERLINK("https://app.bluecore.com/admin/campaigns/adorama/4713774384537600",IF(AND(ISNUMBER(EmailCampaignsTable[[#This Row],[Send Date]]),NOW()&gt;=INT(EmailCampaignsTable[[#This Row],[Send Date]])+IF(ISNUMBER(EmailCampaignsTable[[#This Row],[Send Time]]),MOD(EmailCampaignsTable[[#This Row],[Send Time]],1),0)+7),"Bluecore/Attentive","https://app.bluecore.com/admin/campaigns/adorama/4713774384537600"))</f>
        <v>https://app.bluecore.com/admin/campaigns/adorama/4713774384537600</v>
      </c>
      <c r="S23" s="39">
        <v>115062</v>
      </c>
      <c r="T23" s="39">
        <v>115305</v>
      </c>
      <c r="U23" s="52">
        <v>46188.907268518517</v>
      </c>
      <c r="V23" s="35" t="s">
        <v>63</v>
      </c>
      <c r="W23" s="95"/>
      <c r="X23" s="42"/>
    </row>
    <row r="24" spans="1:24" s="5" customFormat="1" ht="85.5">
      <c r="A24" s="84">
        <v>46187</v>
      </c>
      <c r="B24" s="89">
        <v>0.41666666666666669</v>
      </c>
      <c r="C24" s="93" t="s">
        <v>182</v>
      </c>
      <c r="D24" s="34" t="s">
        <v>68</v>
      </c>
      <c r="E2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24" s="35" t="s">
        <v>65</v>
      </c>
      <c r="G24" s="45" t="b">
        <v>1</v>
      </c>
      <c r="H24" s="45" t="b">
        <v>1</v>
      </c>
      <c r="I24" s="45" t="b">
        <v>1</v>
      </c>
      <c r="J24" s="45" t="b">
        <v>1</v>
      </c>
      <c r="K24" s="45" t="b">
        <v>1</v>
      </c>
      <c r="L24" s="45" t="b">
        <v>1</v>
      </c>
      <c r="M24" s="45" t="b">
        <v>1</v>
      </c>
      <c r="N24" s="45" t="b">
        <v>1</v>
      </c>
      <c r="O24" s="45" t="b">
        <v>1</v>
      </c>
      <c r="P24" s="37" t="str">
        <f ca="1">HYPERLINK("https://jira.adorama.com/browse/MKT-103361",IF(AND(ISNUMBER(EmailCampaignsTable[[#This Row],[Send Date]]),NOW()&gt;=INT(EmailCampaignsTable[[#This Row],[Send Date]])+IF(ISNUMBER(EmailCampaignsTable[[#This Row],[Send Time]]),MOD(EmailCampaignsTable[[#This Row],[Send Time]],1),0)+7),"JIRA","https://jira.adorama.com/browse/MKT-103361"))</f>
        <v>https://jira.adorama.com/browse/MKT-103361</v>
      </c>
      <c r="Q24" s="37" t="str">
        <f ca="1">HYPERLINK("https://app.clickup.com/t/9010122869/86aj0erre",IF(AND(ISNUMBER(EmailCampaignsTable[[#This Row],[Send Date]]),NOW()&gt;=INT(EmailCampaignsTable[[#This Row],[Send Date]])+IF(ISNUMBER(EmailCampaignsTable[[#This Row],[Send Time]]),MOD(EmailCampaignsTable[[#This Row],[Send Time]],1),0)+7),"ClickUp","https://app.clickup.com/t/9010122869/86aj0erre"))</f>
        <v>https://app.clickup.com/t/9010122869/86aj0erre</v>
      </c>
      <c r="R24" s="37" t="str">
        <f ca="1">HYPERLINK("https://app.bluecore.com/admin/campaigns/adorama/5363057140031488?viewTab=summary",IF(AND(ISNUMBER(EmailCampaignsTable[[#This Row],[Send Date]]),NOW()&gt;=INT(EmailCampaignsTable[[#This Row],[Send Date]])+IF(ISNUMBER(EmailCampaignsTable[[#This Row],[Send Time]]),MOD(EmailCampaignsTable[[#This Row],[Send Time]],1),0)+7),"Bluecore/Attentive","https://app.bluecore.com/admin/campaigns/adorama/5363057140031488?viewTab=summary"))</f>
        <v>https://app.bluecore.com/admin/campaigns/adorama/5363057140031488?viewTab=summary</v>
      </c>
      <c r="S24" s="39">
        <v>117291</v>
      </c>
      <c r="T24" s="39">
        <v>105495</v>
      </c>
      <c r="U24" s="52">
        <v>46188.907187500001</v>
      </c>
      <c r="V24" s="35" t="s">
        <v>63</v>
      </c>
      <c r="W24" s="95"/>
      <c r="X24" s="42"/>
    </row>
    <row r="25" spans="1:24" s="5" customFormat="1" ht="71.25">
      <c r="A25" s="84">
        <v>46188</v>
      </c>
      <c r="B25" s="89">
        <v>0.29166666666666669</v>
      </c>
      <c r="C25" s="93" t="s">
        <v>184</v>
      </c>
      <c r="D25" s="34" t="s">
        <v>61</v>
      </c>
      <c r="E2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25" s="35" t="s">
        <v>62</v>
      </c>
      <c r="G25" s="45" t="b">
        <v>1</v>
      </c>
      <c r="H25" s="45" t="b">
        <v>1</v>
      </c>
      <c r="I25" s="45" t="b">
        <v>1</v>
      </c>
      <c r="J25" s="45" t="b">
        <v>1</v>
      </c>
      <c r="K25" s="45" t="b">
        <v>1</v>
      </c>
      <c r="L25" s="45" t="b">
        <v>1</v>
      </c>
      <c r="M25" s="45" t="b">
        <v>1</v>
      </c>
      <c r="N25" s="45" t="b">
        <v>1</v>
      </c>
      <c r="O25" s="45" t="b">
        <v>1</v>
      </c>
      <c r="P25" s="37" t="str">
        <f ca="1">HYPERLINK("https://jira.adorama.com/browse/MKT-103362",IF(AND(ISNUMBER(EmailCampaignsTable[[#This Row],[Send Date]]),NOW()&gt;=INT(EmailCampaignsTable[[#This Row],[Send Date]])+IF(ISNUMBER(EmailCampaignsTable[[#This Row],[Send Time]]),MOD(EmailCampaignsTable[[#This Row],[Send Time]],1),0)+7),"JIRA","https://jira.adorama.com/browse/MKT-103362"))</f>
        <v>https://jira.adorama.com/browse/MKT-103362</v>
      </c>
      <c r="Q25" s="37" t="str">
        <f ca="1">HYPERLINK("https://app.clickup.com/t/9010122869/86ahv69gh",IF(AND(ISNUMBER(EmailCampaignsTable[[#This Row],[Send Date]]),NOW()&gt;=INT(EmailCampaignsTable[[#This Row],[Send Date]])+IF(ISNUMBER(EmailCampaignsTable[[#This Row],[Send Time]]),MOD(EmailCampaignsTable[[#This Row],[Send Time]],1),0)+7),"ClickUp","https://app.clickup.com/t/9010122869/86ahv69gh"))</f>
        <v>https://app.clickup.com/t/9010122869/86ahv69gh</v>
      </c>
      <c r="R25" s="37" t="str">
        <f ca="1">HYPERLINK("https://app.bluecore.com/admin/campaigns/adorama/4706919281188864",IF(AND(ISNUMBER(EmailCampaignsTable[[#This Row],[Send Date]]),NOW()&gt;=INT(EmailCampaignsTable[[#This Row],[Send Date]])+IF(ISNUMBER(EmailCampaignsTable[[#This Row],[Send Time]]),MOD(EmailCampaignsTable[[#This Row],[Send Time]],1),0)+7),"Bluecore/Attentive","https://app.bluecore.com/admin/campaigns/adorama/4706919281188864"))</f>
        <v>https://app.bluecore.com/admin/campaigns/adorama/4706919281188864</v>
      </c>
      <c r="S25" s="39">
        <v>473869</v>
      </c>
      <c r="T25" s="39"/>
      <c r="U25" s="52">
        <v>46188.909699074073</v>
      </c>
      <c r="V25" s="35" t="s">
        <v>63</v>
      </c>
      <c r="W25" s="95"/>
      <c r="X25" s="42"/>
    </row>
    <row r="26" spans="1:24" s="5" customFormat="1" ht="45">
      <c r="A26" s="84">
        <v>46190</v>
      </c>
      <c r="B26" s="89" t="s">
        <v>60</v>
      </c>
      <c r="C26" s="93" t="s">
        <v>185</v>
      </c>
      <c r="D26" s="34" t="s">
        <v>64</v>
      </c>
      <c r="E2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Segments</v>
      </c>
      <c r="F26" s="35" t="s">
        <v>62</v>
      </c>
      <c r="G26" s="45" t="b">
        <v>1</v>
      </c>
      <c r="H26" s="45" t="b">
        <v>1</v>
      </c>
      <c r="I26" s="45" t="b">
        <v>1</v>
      </c>
      <c r="J26" s="45" t="b">
        <v>1</v>
      </c>
      <c r="K26" s="45" t="b">
        <v>1</v>
      </c>
      <c r="L26" s="45" t="b">
        <v>0</v>
      </c>
      <c r="M26" s="45" t="b">
        <v>0</v>
      </c>
      <c r="N26" s="45" t="b">
        <v>1</v>
      </c>
      <c r="O26" s="45" t="b">
        <v>0</v>
      </c>
      <c r="P26" s="37" t="str">
        <f ca="1">HYPERLINK("https://jira.adorama.com/browse/MKT-103394",IF(AND(ISNUMBER(EmailCampaignsTable[[#This Row],[Send Date]]),NOW()&gt;=INT(EmailCampaignsTable[[#This Row],[Send Date]])+IF(ISNUMBER(EmailCampaignsTable[[#This Row],[Send Time]]),MOD(EmailCampaignsTable[[#This Row],[Send Time]],1),0)+7),"JIRA","https://jira.adorama.com/browse/MKT-103394"))</f>
        <v>https://jira.adorama.com/browse/MKT-103394</v>
      </c>
      <c r="Q26" s="37" t="str">
        <f ca="1">HYPERLINK("https://app.clickup.com/t/9010122869/86ahyhque",IF(AND(ISNUMBER(EmailCampaignsTable[[#This Row],[Send Date]]),NOW()&gt;=INT(EmailCampaignsTable[[#This Row],[Send Date]])+IF(ISNUMBER(EmailCampaignsTable[[#This Row],[Send Time]]),MOD(EmailCampaignsTable[[#This Row],[Send Time]],1),0)+7),"ClickUp","https://app.clickup.com/t/9010122869/86ahyhque"))</f>
        <v>https://app.clickup.com/t/9010122869/86ahyhque</v>
      </c>
      <c r="R26" s="34"/>
      <c r="S26" s="39"/>
      <c r="T26" s="39"/>
      <c r="U26" s="52">
        <v>46188.913622685184</v>
      </c>
      <c r="V26" s="35" t="s">
        <v>63</v>
      </c>
      <c r="W26" s="95"/>
      <c r="X26" s="42"/>
    </row>
    <row r="27" spans="1:24" s="5" customFormat="1" ht="45">
      <c r="A27" s="86">
        <v>46191</v>
      </c>
      <c r="B27" s="89" t="s">
        <v>60</v>
      </c>
      <c r="C27" s="93" t="s">
        <v>186</v>
      </c>
      <c r="D27" s="34" t="s">
        <v>159</v>
      </c>
      <c r="E2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v>
      </c>
      <c r="F27" s="35" t="s">
        <v>62</v>
      </c>
      <c r="G27" s="45" t="b">
        <v>1</v>
      </c>
      <c r="H27" s="45" t="b">
        <v>1</v>
      </c>
      <c r="I27" s="45" t="b">
        <v>1</v>
      </c>
      <c r="J27" s="45" t="b">
        <v>1</v>
      </c>
      <c r="K27" s="45" t="b">
        <v>0</v>
      </c>
      <c r="L27" s="45" t="b">
        <v>0</v>
      </c>
      <c r="M27" s="45" t="b">
        <v>0</v>
      </c>
      <c r="N27" s="45" t="b">
        <v>0</v>
      </c>
      <c r="O27" s="45" t="b">
        <v>0</v>
      </c>
      <c r="P27" s="58"/>
      <c r="Q27" s="37" t="str">
        <f ca="1">HYPERLINK("https://app.clickup.com/t/9010122869/86ahyhquj",IF(AND(ISNUMBER(EmailCampaignsTable[[#This Row],[Send Date]]),NOW()&gt;=INT(EmailCampaignsTable[[#This Row],[Send Date]])+IF(ISNUMBER(EmailCampaignsTable[[#This Row],[Send Time]]),MOD(EmailCampaignsTable[[#This Row],[Send Time]],1),0)+7),"ClickUp","https://app.clickup.com/t/9010122869/86ahyhquj"))</f>
        <v>https://app.clickup.com/t/9010122869/86ahyhquj</v>
      </c>
      <c r="R27" s="34"/>
      <c r="S27" s="39"/>
      <c r="T27" s="39"/>
      <c r="U27" s="52">
        <v>46188.910671296297</v>
      </c>
      <c r="V27" s="35" t="s">
        <v>63</v>
      </c>
      <c r="W27" s="97"/>
      <c r="X27" s="42"/>
    </row>
    <row r="28" spans="1:24" s="5" customFormat="1" ht="45">
      <c r="A28" s="86">
        <v>46192</v>
      </c>
      <c r="B28" s="89">
        <v>0.33333333333333331</v>
      </c>
      <c r="C28" s="93" t="s">
        <v>187</v>
      </c>
      <c r="D28" s="34" t="s">
        <v>61</v>
      </c>
      <c r="E2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Segments</v>
      </c>
      <c r="F28" s="35" t="s">
        <v>62</v>
      </c>
      <c r="G28" s="45" t="b">
        <v>1</v>
      </c>
      <c r="H28" s="45" t="b">
        <v>1</v>
      </c>
      <c r="I28" s="45" t="b">
        <v>1</v>
      </c>
      <c r="J28" s="45" t="b">
        <v>0</v>
      </c>
      <c r="K28" s="45" t="b">
        <v>0</v>
      </c>
      <c r="L28" s="45" t="b">
        <v>0</v>
      </c>
      <c r="M28" s="45" t="b">
        <v>0</v>
      </c>
      <c r="N28" s="45" t="b">
        <v>1</v>
      </c>
      <c r="O28" s="45" t="b">
        <v>0</v>
      </c>
      <c r="P28" s="58"/>
      <c r="Q28" s="37" t="str">
        <f ca="1">HYPERLINK("https://app.clickup.com/t/9010122869/86ahyhqum",IF(AND(ISNUMBER(EmailCampaignsTable[[#This Row],[Send Date]]),NOW()&gt;=INT(EmailCampaignsTable[[#This Row],[Send Date]])+IF(ISNUMBER(EmailCampaignsTable[[#This Row],[Send Time]]),MOD(EmailCampaignsTable[[#This Row],[Send Time]],1),0)+7),"ClickUp","https://app.clickup.com/t/9010122869/86ahyhqum"))</f>
        <v>https://app.clickup.com/t/9010122869/86ahyhqum</v>
      </c>
      <c r="R28" s="34"/>
      <c r="S28" s="39"/>
      <c r="T28" s="39"/>
      <c r="U28" s="52">
        <v>46188.910810185182</v>
      </c>
      <c r="V28" s="35" t="s">
        <v>63</v>
      </c>
      <c r="W28" s="97"/>
      <c r="X28" s="42"/>
    </row>
    <row r="29" spans="1:24" s="5" customFormat="1" ht="45">
      <c r="A29" s="84">
        <v>46193</v>
      </c>
      <c r="B29" s="89">
        <v>0.91666666666666663</v>
      </c>
      <c r="C29" s="93" t="s">
        <v>188</v>
      </c>
      <c r="D29" s="34" t="s">
        <v>67</v>
      </c>
      <c r="E2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Segments</v>
      </c>
      <c r="F29" s="35" t="s">
        <v>62</v>
      </c>
      <c r="G29" s="45" t="b">
        <v>1</v>
      </c>
      <c r="H29" s="45" t="b">
        <v>1</v>
      </c>
      <c r="I29" s="45" t="b">
        <v>1</v>
      </c>
      <c r="J29" s="45" t="b">
        <v>0</v>
      </c>
      <c r="K29" s="45" t="b">
        <v>0</v>
      </c>
      <c r="L29" s="45" t="b">
        <v>0</v>
      </c>
      <c r="M29" s="45" t="b">
        <v>0</v>
      </c>
      <c r="N29" s="45" t="b">
        <v>1</v>
      </c>
      <c r="O29" s="45" t="b">
        <v>0</v>
      </c>
      <c r="P29" s="34"/>
      <c r="Q29" s="37" t="str">
        <f ca="1">HYPERLINK("https://app.clickup.com/t/9010122869/86ahyhqup",IF(AND(ISNUMBER(EmailCampaignsTable[[#This Row],[Send Date]]),NOW()&gt;=INT(EmailCampaignsTable[[#This Row],[Send Date]])+IF(ISNUMBER(EmailCampaignsTable[[#This Row],[Send Time]]),MOD(EmailCampaignsTable[[#This Row],[Send Time]],1),0)+7),"ClickUp","https://app.clickup.com/t/9010122869/86ahyhqup"))</f>
        <v>https://app.clickup.com/t/9010122869/86ahyhqup</v>
      </c>
      <c r="R29" s="34"/>
      <c r="S29" s="39"/>
      <c r="T29" s="39"/>
      <c r="U29" s="52">
        <v>46188.980925925927</v>
      </c>
      <c r="V29" s="35" t="s">
        <v>63</v>
      </c>
      <c r="W29" s="95"/>
      <c r="X29" s="42"/>
    </row>
    <row r="30" spans="1:24" s="5" customFormat="1" ht="15.75">
      <c r="A30" s="84"/>
      <c r="B30" s="89"/>
      <c r="C30" s="93"/>
      <c r="D30" s="34"/>
      <c r="E3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30" s="35"/>
      <c r="G30" s="45" t="b">
        <v>0</v>
      </c>
      <c r="H30" s="45" t="b">
        <v>0</v>
      </c>
      <c r="I30" s="45" t="b">
        <v>0</v>
      </c>
      <c r="J30" s="45" t="b">
        <v>0</v>
      </c>
      <c r="K30" s="45" t="b">
        <v>0</v>
      </c>
      <c r="L30" s="45" t="b">
        <v>0</v>
      </c>
      <c r="M30" s="45" t="b">
        <v>0</v>
      </c>
      <c r="N30" s="45" t="b">
        <v>0</v>
      </c>
      <c r="O30" s="45" t="b">
        <v>0</v>
      </c>
      <c r="P30" s="34"/>
      <c r="Q30" s="34"/>
      <c r="R30" s="34"/>
      <c r="S30" s="39"/>
      <c r="T30" s="39"/>
      <c r="U30" s="52">
        <v>46181.841331018521</v>
      </c>
      <c r="V30" s="35" t="s">
        <v>63</v>
      </c>
      <c r="W30" s="95"/>
      <c r="X30" s="42"/>
    </row>
    <row r="31" spans="1:24" s="5" customFormat="1" ht="15.75">
      <c r="A31" s="84"/>
      <c r="B31" s="89"/>
      <c r="C31" s="93"/>
      <c r="D31" s="34"/>
      <c r="E3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31" s="35"/>
      <c r="G31" s="45" t="b">
        <v>0</v>
      </c>
      <c r="H31" s="45" t="b">
        <v>0</v>
      </c>
      <c r="I31" s="45" t="b">
        <v>0</v>
      </c>
      <c r="J31" s="45" t="b">
        <v>0</v>
      </c>
      <c r="K31" s="45" t="b">
        <v>0</v>
      </c>
      <c r="L31" s="45" t="b">
        <v>0</v>
      </c>
      <c r="M31" s="45" t="b">
        <v>0</v>
      </c>
      <c r="N31" s="45" t="b">
        <v>0</v>
      </c>
      <c r="O31" s="45" t="b">
        <v>0</v>
      </c>
      <c r="P31" s="34"/>
      <c r="Q31" s="34"/>
      <c r="R31" s="34"/>
      <c r="S31" s="39"/>
      <c r="T31" s="39"/>
      <c r="U31" s="52">
        <v>46181.841331018521</v>
      </c>
      <c r="V31" s="35" t="s">
        <v>63</v>
      </c>
      <c r="W31" s="95"/>
      <c r="X31" s="42"/>
    </row>
    <row r="32" spans="1:24" s="5" customFormat="1" ht="15.75">
      <c r="A32" s="84"/>
      <c r="B32" s="89"/>
      <c r="C32" s="93"/>
      <c r="D32" s="34"/>
      <c r="E3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32" s="35"/>
      <c r="G32" s="45" t="b">
        <v>0</v>
      </c>
      <c r="H32" s="45" t="b">
        <v>0</v>
      </c>
      <c r="I32" s="45" t="b">
        <v>0</v>
      </c>
      <c r="J32" s="45" t="b">
        <v>0</v>
      </c>
      <c r="K32" s="45" t="b">
        <v>0</v>
      </c>
      <c r="L32" s="45" t="b">
        <v>0</v>
      </c>
      <c r="M32" s="45" t="b">
        <v>0</v>
      </c>
      <c r="N32" s="45" t="b">
        <v>0</v>
      </c>
      <c r="O32" s="45" t="b">
        <v>0</v>
      </c>
      <c r="P32" s="34"/>
      <c r="Q32" s="34"/>
      <c r="R32" s="34"/>
      <c r="S32" s="39"/>
      <c r="T32" s="39"/>
      <c r="U32" s="52">
        <v>46181.841331018521</v>
      </c>
      <c r="V32" s="35" t="s">
        <v>63</v>
      </c>
      <c r="W32" s="95"/>
      <c r="X32" s="42"/>
    </row>
    <row r="33" spans="1:24" s="5" customFormat="1" ht="15.75">
      <c r="A33" s="84"/>
      <c r="B33" s="89"/>
      <c r="C33" s="93"/>
      <c r="D33" s="34"/>
      <c r="E3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33" s="35"/>
      <c r="G33" s="45" t="b">
        <v>0</v>
      </c>
      <c r="H33" s="45" t="b">
        <v>0</v>
      </c>
      <c r="I33" s="45" t="b">
        <v>0</v>
      </c>
      <c r="J33" s="45" t="b">
        <v>0</v>
      </c>
      <c r="K33" s="45" t="b">
        <v>0</v>
      </c>
      <c r="L33" s="45" t="b">
        <v>0</v>
      </c>
      <c r="M33" s="45" t="b">
        <v>0</v>
      </c>
      <c r="N33" s="45" t="b">
        <v>0</v>
      </c>
      <c r="O33" s="45" t="b">
        <v>0</v>
      </c>
      <c r="P33" s="34"/>
      <c r="Q33" s="34"/>
      <c r="R33" s="34"/>
      <c r="S33" s="39"/>
      <c r="T33" s="39"/>
      <c r="U33" s="52">
        <v>46181.841331018521</v>
      </c>
      <c r="V33" s="35" t="s">
        <v>63</v>
      </c>
      <c r="W33" s="95"/>
      <c r="X33" s="42"/>
    </row>
    <row r="34" spans="1:24" s="5" customFormat="1" ht="15.75">
      <c r="A34" s="84"/>
      <c r="B34" s="89"/>
      <c r="C34" s="93"/>
      <c r="D34" s="34"/>
      <c r="E3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34" s="35"/>
      <c r="G34" s="45" t="b">
        <v>0</v>
      </c>
      <c r="H34" s="45" t="b">
        <v>0</v>
      </c>
      <c r="I34" s="45" t="b">
        <v>0</v>
      </c>
      <c r="J34" s="45" t="b">
        <v>0</v>
      </c>
      <c r="K34" s="45" t="b">
        <v>0</v>
      </c>
      <c r="L34" s="45" t="b">
        <v>0</v>
      </c>
      <c r="M34" s="45" t="b">
        <v>0</v>
      </c>
      <c r="N34" s="45" t="b">
        <v>0</v>
      </c>
      <c r="O34" s="45" t="b">
        <v>0</v>
      </c>
      <c r="P34" s="34"/>
      <c r="Q34" s="34"/>
      <c r="R34" s="34"/>
      <c r="S34" s="39"/>
      <c r="T34" s="39"/>
      <c r="U34" s="52">
        <v>46181.841331018521</v>
      </c>
      <c r="V34" s="35" t="s">
        <v>63</v>
      </c>
      <c r="W34" s="95"/>
      <c r="X34" s="42"/>
    </row>
    <row r="35" spans="1:24" s="5" customFormat="1" ht="15.75">
      <c r="A35" s="84"/>
      <c r="B35" s="89"/>
      <c r="C35" s="93"/>
      <c r="D35" s="34"/>
      <c r="E3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35" s="35"/>
      <c r="G35" s="45" t="b">
        <v>0</v>
      </c>
      <c r="H35" s="45" t="b">
        <v>0</v>
      </c>
      <c r="I35" s="45" t="b">
        <v>0</v>
      </c>
      <c r="J35" s="45" t="b">
        <v>0</v>
      </c>
      <c r="K35" s="45" t="b">
        <v>0</v>
      </c>
      <c r="L35" s="45" t="b">
        <v>0</v>
      </c>
      <c r="M35" s="45" t="b">
        <v>0</v>
      </c>
      <c r="N35" s="45" t="b">
        <v>0</v>
      </c>
      <c r="O35" s="45" t="b">
        <v>0</v>
      </c>
      <c r="P35" s="34"/>
      <c r="Q35" s="34"/>
      <c r="R35" s="34"/>
      <c r="S35" s="39"/>
      <c r="T35" s="39"/>
      <c r="U35" s="52">
        <v>46181.84134259259</v>
      </c>
      <c r="V35" s="35" t="s">
        <v>63</v>
      </c>
      <c r="W35" s="95"/>
      <c r="X35" s="42"/>
    </row>
    <row r="36" spans="1:24" s="5" customFormat="1" ht="15.75">
      <c r="A36" s="84"/>
      <c r="B36" s="89"/>
      <c r="C36" s="93"/>
      <c r="D36" s="34"/>
      <c r="E3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36" s="35"/>
      <c r="G36" s="45" t="b">
        <v>0</v>
      </c>
      <c r="H36" s="45" t="b">
        <v>0</v>
      </c>
      <c r="I36" s="45" t="b">
        <v>0</v>
      </c>
      <c r="J36" s="45" t="b">
        <v>0</v>
      </c>
      <c r="K36" s="45" t="b">
        <v>0</v>
      </c>
      <c r="L36" s="45" t="b">
        <v>0</v>
      </c>
      <c r="M36" s="45" t="b">
        <v>0</v>
      </c>
      <c r="N36" s="45" t="b">
        <v>0</v>
      </c>
      <c r="O36" s="45" t="b">
        <v>0</v>
      </c>
      <c r="P36" s="34"/>
      <c r="Q36" s="34"/>
      <c r="R36" s="34"/>
      <c r="S36" s="39"/>
      <c r="T36" s="39"/>
      <c r="U36" s="52">
        <v>46181.84134259259</v>
      </c>
      <c r="V36" s="35" t="s">
        <v>63</v>
      </c>
      <c r="W36" s="95"/>
      <c r="X36" s="42"/>
    </row>
    <row r="37" spans="1:24" s="5" customFormat="1" ht="15.75">
      <c r="A37" s="84"/>
      <c r="B37" s="89"/>
      <c r="C37" s="93"/>
      <c r="D37" s="34"/>
      <c r="E3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37" s="35"/>
      <c r="G37" s="45" t="b">
        <v>0</v>
      </c>
      <c r="H37" s="45" t="b">
        <v>0</v>
      </c>
      <c r="I37" s="45" t="b">
        <v>0</v>
      </c>
      <c r="J37" s="45" t="b">
        <v>0</v>
      </c>
      <c r="K37" s="45" t="b">
        <v>0</v>
      </c>
      <c r="L37" s="45" t="b">
        <v>0</v>
      </c>
      <c r="M37" s="45" t="b">
        <v>0</v>
      </c>
      <c r="N37" s="45" t="b">
        <v>0</v>
      </c>
      <c r="O37" s="45" t="b">
        <v>0</v>
      </c>
      <c r="P37" s="34"/>
      <c r="Q37" s="34"/>
      <c r="R37" s="34"/>
      <c r="S37" s="39"/>
      <c r="T37" s="39"/>
      <c r="U37" s="52">
        <v>46181.84134259259</v>
      </c>
      <c r="V37" s="35" t="s">
        <v>63</v>
      </c>
      <c r="W37" s="95"/>
      <c r="X37" s="42"/>
    </row>
    <row r="38" spans="1:24" s="5" customFormat="1" ht="15.75">
      <c r="A38" s="84"/>
      <c r="B38" s="89"/>
      <c r="C38" s="93"/>
      <c r="D38" s="34"/>
      <c r="E3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38" s="35"/>
      <c r="G38" s="45" t="b">
        <v>0</v>
      </c>
      <c r="H38" s="45" t="b">
        <v>0</v>
      </c>
      <c r="I38" s="45" t="b">
        <v>0</v>
      </c>
      <c r="J38" s="45" t="b">
        <v>0</v>
      </c>
      <c r="K38" s="45" t="b">
        <v>0</v>
      </c>
      <c r="L38" s="45" t="b">
        <v>0</v>
      </c>
      <c r="M38" s="45" t="b">
        <v>0</v>
      </c>
      <c r="N38" s="45" t="b">
        <v>0</v>
      </c>
      <c r="O38" s="45" t="b">
        <v>0</v>
      </c>
      <c r="P38" s="34"/>
      <c r="Q38" s="34"/>
      <c r="R38" s="34"/>
      <c r="S38" s="39"/>
      <c r="T38" s="39"/>
      <c r="U38" s="52">
        <v>46181.84134259259</v>
      </c>
      <c r="V38" s="35" t="s">
        <v>63</v>
      </c>
      <c r="W38" s="95"/>
      <c r="X38" s="42"/>
    </row>
    <row r="39" spans="1:24" s="5" customFormat="1" ht="15.75">
      <c r="A39" s="84"/>
      <c r="B39" s="89"/>
      <c r="C39" s="93"/>
      <c r="D39" s="34"/>
      <c r="E3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39" s="35"/>
      <c r="G39" s="45" t="b">
        <v>0</v>
      </c>
      <c r="H39" s="45" t="b">
        <v>0</v>
      </c>
      <c r="I39" s="45" t="b">
        <v>0</v>
      </c>
      <c r="J39" s="45" t="b">
        <v>0</v>
      </c>
      <c r="K39" s="45" t="b">
        <v>0</v>
      </c>
      <c r="L39" s="45" t="b">
        <v>0</v>
      </c>
      <c r="M39" s="45" t="b">
        <v>0</v>
      </c>
      <c r="N39" s="45" t="b">
        <v>0</v>
      </c>
      <c r="O39" s="45" t="b">
        <v>0</v>
      </c>
      <c r="P39" s="34"/>
      <c r="Q39" s="34"/>
      <c r="R39" s="34"/>
      <c r="S39" s="39"/>
      <c r="T39" s="39"/>
      <c r="U39" s="52">
        <v>46181.84134259259</v>
      </c>
      <c r="V39" s="35" t="s">
        <v>63</v>
      </c>
      <c r="W39" s="95"/>
      <c r="X39" s="42"/>
    </row>
    <row r="40" spans="1:24" s="5" customFormat="1" ht="15.75">
      <c r="A40" s="84"/>
      <c r="B40" s="89"/>
      <c r="C40" s="93"/>
      <c r="D40" s="34"/>
      <c r="E4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40" s="35"/>
      <c r="G40" s="45" t="b">
        <v>0</v>
      </c>
      <c r="H40" s="45" t="b">
        <v>0</v>
      </c>
      <c r="I40" s="45" t="b">
        <v>0</v>
      </c>
      <c r="J40" s="45" t="b">
        <v>0</v>
      </c>
      <c r="K40" s="45" t="b">
        <v>0</v>
      </c>
      <c r="L40" s="45" t="b">
        <v>0</v>
      </c>
      <c r="M40" s="45" t="b">
        <v>0</v>
      </c>
      <c r="N40" s="45" t="b">
        <v>0</v>
      </c>
      <c r="O40" s="45" t="b">
        <v>0</v>
      </c>
      <c r="P40" s="34"/>
      <c r="Q40" s="34"/>
      <c r="R40" s="34"/>
      <c r="S40" s="39"/>
      <c r="T40" s="39"/>
      <c r="U40" s="52">
        <v>46181.84134259259</v>
      </c>
      <c r="V40" s="35" t="s">
        <v>63</v>
      </c>
      <c r="W40" s="95"/>
      <c r="X40" s="42"/>
    </row>
    <row r="41" spans="1:24" s="5" customFormat="1" ht="15.75">
      <c r="A41" s="84"/>
      <c r="B41" s="89"/>
      <c r="C41" s="93"/>
      <c r="D41" s="34"/>
      <c r="E4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41" s="35"/>
      <c r="G41" s="45" t="b">
        <v>0</v>
      </c>
      <c r="H41" s="45" t="b">
        <v>0</v>
      </c>
      <c r="I41" s="45" t="b">
        <v>0</v>
      </c>
      <c r="J41" s="45" t="b">
        <v>0</v>
      </c>
      <c r="K41" s="45" t="b">
        <v>0</v>
      </c>
      <c r="L41" s="45" t="b">
        <v>0</v>
      </c>
      <c r="M41" s="45" t="b">
        <v>0</v>
      </c>
      <c r="N41" s="45" t="b">
        <v>0</v>
      </c>
      <c r="O41" s="45" t="b">
        <v>0</v>
      </c>
      <c r="P41" s="34"/>
      <c r="Q41" s="34"/>
      <c r="R41" s="34"/>
      <c r="S41" s="39"/>
      <c r="T41" s="39"/>
      <c r="U41" s="52">
        <v>46181.84134259259</v>
      </c>
      <c r="V41" s="35" t="s">
        <v>63</v>
      </c>
      <c r="W41" s="95"/>
      <c r="X41" s="42"/>
    </row>
    <row r="42" spans="1:24" s="5" customFormat="1" ht="15.75">
      <c r="A42" s="84"/>
      <c r="B42" s="89"/>
      <c r="C42" s="93"/>
      <c r="D42" s="34"/>
      <c r="E4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42" s="35"/>
      <c r="G42" s="45" t="b">
        <v>0</v>
      </c>
      <c r="H42" s="45" t="b">
        <v>0</v>
      </c>
      <c r="I42" s="45" t="b">
        <v>0</v>
      </c>
      <c r="J42" s="45" t="b">
        <v>0</v>
      </c>
      <c r="K42" s="45" t="b">
        <v>0</v>
      </c>
      <c r="L42" s="45" t="b">
        <v>0</v>
      </c>
      <c r="M42" s="45" t="b">
        <v>0</v>
      </c>
      <c r="N42" s="45" t="b">
        <v>0</v>
      </c>
      <c r="O42" s="45" t="b">
        <v>0</v>
      </c>
      <c r="P42" s="34"/>
      <c r="Q42" s="34"/>
      <c r="R42" s="34"/>
      <c r="S42" s="39"/>
      <c r="T42" s="39"/>
      <c r="U42" s="52">
        <v>46181.84134259259</v>
      </c>
      <c r="V42" s="35" t="s">
        <v>63</v>
      </c>
      <c r="W42" s="95"/>
      <c r="X42" s="42"/>
    </row>
    <row r="43" spans="1:24" s="5" customFormat="1" ht="15.75">
      <c r="A43" s="84"/>
      <c r="B43" s="89"/>
      <c r="C43" s="93"/>
      <c r="D43" s="34"/>
      <c r="E4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43" s="35"/>
      <c r="G43" s="45" t="b">
        <v>0</v>
      </c>
      <c r="H43" s="45" t="b">
        <v>0</v>
      </c>
      <c r="I43" s="45" t="b">
        <v>0</v>
      </c>
      <c r="J43" s="45" t="b">
        <v>0</v>
      </c>
      <c r="K43" s="45" t="b">
        <v>0</v>
      </c>
      <c r="L43" s="45" t="b">
        <v>0</v>
      </c>
      <c r="M43" s="45" t="b">
        <v>0</v>
      </c>
      <c r="N43" s="45" t="b">
        <v>0</v>
      </c>
      <c r="O43" s="45" t="b">
        <v>0</v>
      </c>
      <c r="P43" s="34"/>
      <c r="Q43" s="34"/>
      <c r="R43" s="34"/>
      <c r="S43" s="39"/>
      <c r="T43" s="39"/>
      <c r="U43" s="52">
        <v>46181.84134259259</v>
      </c>
      <c r="V43" s="35" t="s">
        <v>63</v>
      </c>
      <c r="W43" s="95"/>
      <c r="X43" s="42"/>
    </row>
    <row r="44" spans="1:24" s="5" customFormat="1" ht="15.75">
      <c r="A44" s="84"/>
      <c r="B44" s="89"/>
      <c r="C44" s="93"/>
      <c r="D44" s="34"/>
      <c r="E4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44" s="35"/>
      <c r="G44" s="45" t="b">
        <v>0</v>
      </c>
      <c r="H44" s="45" t="b">
        <v>0</v>
      </c>
      <c r="I44" s="45" t="b">
        <v>0</v>
      </c>
      <c r="J44" s="45" t="b">
        <v>0</v>
      </c>
      <c r="K44" s="45" t="b">
        <v>0</v>
      </c>
      <c r="L44" s="45" t="b">
        <v>0</v>
      </c>
      <c r="M44" s="45" t="b">
        <v>0</v>
      </c>
      <c r="N44" s="45" t="b">
        <v>0</v>
      </c>
      <c r="O44" s="45" t="b">
        <v>0</v>
      </c>
      <c r="P44" s="34"/>
      <c r="Q44" s="34"/>
      <c r="R44" s="34"/>
      <c r="S44" s="39"/>
      <c r="T44" s="39"/>
      <c r="U44" s="52">
        <v>46181.84134259259</v>
      </c>
      <c r="V44" s="35" t="s">
        <v>63</v>
      </c>
      <c r="W44" s="95"/>
      <c r="X44" s="42"/>
    </row>
    <row r="45" spans="1:24" s="5" customFormat="1" ht="15.75">
      <c r="A45" s="84"/>
      <c r="B45" s="89"/>
      <c r="C45" s="93"/>
      <c r="D45" s="34"/>
      <c r="E4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45" s="35"/>
      <c r="G45" s="45" t="b">
        <v>0</v>
      </c>
      <c r="H45" s="45" t="b">
        <v>0</v>
      </c>
      <c r="I45" s="45" t="b">
        <v>0</v>
      </c>
      <c r="J45" s="45" t="b">
        <v>0</v>
      </c>
      <c r="K45" s="45" t="b">
        <v>0</v>
      </c>
      <c r="L45" s="45" t="b">
        <v>0</v>
      </c>
      <c r="M45" s="45" t="b">
        <v>0</v>
      </c>
      <c r="N45" s="45" t="b">
        <v>0</v>
      </c>
      <c r="O45" s="45" t="b">
        <v>0</v>
      </c>
      <c r="P45" s="34"/>
      <c r="Q45" s="34"/>
      <c r="R45" s="34"/>
      <c r="S45" s="39"/>
      <c r="T45" s="39"/>
      <c r="U45" s="52">
        <v>46181.84134259259</v>
      </c>
      <c r="V45" s="35" t="s">
        <v>63</v>
      </c>
      <c r="W45" s="95"/>
      <c r="X45" s="42"/>
    </row>
    <row r="46" spans="1:24" s="5" customFormat="1" ht="15.75">
      <c r="A46" s="84"/>
      <c r="B46" s="89"/>
      <c r="C46" s="93"/>
      <c r="D46" s="34"/>
      <c r="E4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46" s="35"/>
      <c r="G46" s="45" t="b">
        <v>0</v>
      </c>
      <c r="H46" s="45" t="b">
        <v>0</v>
      </c>
      <c r="I46" s="45" t="b">
        <v>0</v>
      </c>
      <c r="J46" s="45" t="b">
        <v>0</v>
      </c>
      <c r="K46" s="45" t="b">
        <v>0</v>
      </c>
      <c r="L46" s="45" t="b">
        <v>0</v>
      </c>
      <c r="M46" s="45" t="b">
        <v>0</v>
      </c>
      <c r="N46" s="45" t="b">
        <v>0</v>
      </c>
      <c r="O46" s="45" t="b">
        <v>0</v>
      </c>
      <c r="P46" s="34"/>
      <c r="Q46" s="34"/>
      <c r="R46" s="34"/>
      <c r="S46" s="39"/>
      <c r="T46" s="39"/>
      <c r="U46" s="52">
        <v>46181.84134259259</v>
      </c>
      <c r="V46" s="35" t="s">
        <v>63</v>
      </c>
      <c r="W46" s="95"/>
      <c r="X46" s="42"/>
    </row>
    <row r="47" spans="1:24" s="5" customFormat="1" ht="15.75">
      <c r="A47" s="84"/>
      <c r="B47" s="89"/>
      <c r="C47" s="93"/>
      <c r="D47" s="34"/>
      <c r="E4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47" s="35"/>
      <c r="G47" s="45" t="b">
        <v>0</v>
      </c>
      <c r="H47" s="45" t="b">
        <v>0</v>
      </c>
      <c r="I47" s="45" t="b">
        <v>0</v>
      </c>
      <c r="J47" s="45" t="b">
        <v>0</v>
      </c>
      <c r="K47" s="45" t="b">
        <v>0</v>
      </c>
      <c r="L47" s="45" t="b">
        <v>0</v>
      </c>
      <c r="M47" s="45" t="b">
        <v>0</v>
      </c>
      <c r="N47" s="45" t="b">
        <v>0</v>
      </c>
      <c r="O47" s="45" t="b">
        <v>0</v>
      </c>
      <c r="P47" s="34"/>
      <c r="Q47" s="34"/>
      <c r="R47" s="34"/>
      <c r="S47" s="39"/>
      <c r="T47" s="39"/>
      <c r="U47" s="52">
        <v>46181.841365740744</v>
      </c>
      <c r="V47" s="35" t="s">
        <v>63</v>
      </c>
      <c r="W47" s="95"/>
      <c r="X47" s="42"/>
    </row>
    <row r="48" spans="1:24" s="5" customFormat="1" ht="15.75">
      <c r="A48" s="84"/>
      <c r="B48" s="89"/>
      <c r="C48" s="93"/>
      <c r="D48" s="34"/>
      <c r="E4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48" s="35"/>
      <c r="G48" s="45" t="b">
        <v>0</v>
      </c>
      <c r="H48" s="45" t="b">
        <v>0</v>
      </c>
      <c r="I48" s="45" t="b">
        <v>0</v>
      </c>
      <c r="J48" s="45" t="b">
        <v>0</v>
      </c>
      <c r="K48" s="45" t="b">
        <v>0</v>
      </c>
      <c r="L48" s="45" t="b">
        <v>0</v>
      </c>
      <c r="M48" s="45" t="b">
        <v>0</v>
      </c>
      <c r="N48" s="45" t="b">
        <v>0</v>
      </c>
      <c r="O48" s="45" t="b">
        <v>0</v>
      </c>
      <c r="P48" s="34"/>
      <c r="Q48" s="34"/>
      <c r="R48" s="34"/>
      <c r="S48" s="39"/>
      <c r="T48" s="39"/>
      <c r="U48" s="52">
        <v>46181.841365740744</v>
      </c>
      <c r="V48" s="35" t="s">
        <v>63</v>
      </c>
      <c r="W48" s="95"/>
      <c r="X48" s="42"/>
    </row>
    <row r="49" spans="1:24" s="5" customFormat="1" ht="15.75">
      <c r="A49" s="84"/>
      <c r="B49" s="89"/>
      <c r="C49" s="93"/>
      <c r="D49" s="34"/>
      <c r="E4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49" s="35"/>
      <c r="G49" s="45" t="b">
        <v>0</v>
      </c>
      <c r="H49" s="45" t="b">
        <v>0</v>
      </c>
      <c r="I49" s="45" t="b">
        <v>0</v>
      </c>
      <c r="J49" s="45" t="b">
        <v>0</v>
      </c>
      <c r="K49" s="45" t="b">
        <v>0</v>
      </c>
      <c r="L49" s="45" t="b">
        <v>0</v>
      </c>
      <c r="M49" s="45" t="b">
        <v>0</v>
      </c>
      <c r="N49" s="45" t="b">
        <v>0</v>
      </c>
      <c r="O49" s="45" t="b">
        <v>0</v>
      </c>
      <c r="P49" s="34"/>
      <c r="Q49" s="34"/>
      <c r="R49" s="34"/>
      <c r="S49" s="39"/>
      <c r="T49" s="39"/>
      <c r="U49" s="52">
        <v>46181.841365740744</v>
      </c>
      <c r="V49" s="35" t="s">
        <v>63</v>
      </c>
      <c r="W49" s="95"/>
      <c r="X49" s="42"/>
    </row>
    <row r="50" spans="1:24" s="5" customFormat="1" ht="15.75">
      <c r="A50" s="84"/>
      <c r="B50" s="89"/>
      <c r="C50" s="93"/>
      <c r="D50" s="34"/>
      <c r="E5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50" s="35"/>
      <c r="G50" s="45" t="b">
        <v>0</v>
      </c>
      <c r="H50" s="45" t="b">
        <v>0</v>
      </c>
      <c r="I50" s="45" t="b">
        <v>0</v>
      </c>
      <c r="J50" s="45" t="b">
        <v>0</v>
      </c>
      <c r="K50" s="45" t="b">
        <v>0</v>
      </c>
      <c r="L50" s="45" t="b">
        <v>0</v>
      </c>
      <c r="M50" s="45" t="b">
        <v>0</v>
      </c>
      <c r="N50" s="45" t="b">
        <v>0</v>
      </c>
      <c r="O50" s="45" t="b">
        <v>0</v>
      </c>
      <c r="P50" s="34"/>
      <c r="Q50" s="34"/>
      <c r="R50" s="34"/>
      <c r="S50" s="39"/>
      <c r="T50" s="39"/>
      <c r="U50" s="52">
        <v>46181.841365740744</v>
      </c>
      <c r="V50" s="35" t="s">
        <v>63</v>
      </c>
      <c r="W50" s="95"/>
      <c r="X50" s="42"/>
    </row>
    <row r="51" spans="1:24" s="5" customFormat="1" ht="15.75">
      <c r="A51" s="84"/>
      <c r="B51" s="89"/>
      <c r="C51" s="93"/>
      <c r="D51" s="34"/>
      <c r="E5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51" s="35"/>
      <c r="G51" s="45" t="b">
        <v>0</v>
      </c>
      <c r="H51" s="45" t="b">
        <v>0</v>
      </c>
      <c r="I51" s="45" t="b">
        <v>0</v>
      </c>
      <c r="J51" s="45" t="b">
        <v>0</v>
      </c>
      <c r="K51" s="45" t="b">
        <v>0</v>
      </c>
      <c r="L51" s="45" t="b">
        <v>0</v>
      </c>
      <c r="M51" s="45" t="b">
        <v>0</v>
      </c>
      <c r="N51" s="45" t="b">
        <v>0</v>
      </c>
      <c r="O51" s="45" t="b">
        <v>0</v>
      </c>
      <c r="P51" s="34"/>
      <c r="Q51" s="34"/>
      <c r="R51" s="34"/>
      <c r="S51" s="39"/>
      <c r="T51" s="39"/>
      <c r="U51" s="52">
        <v>46181.841377314813</v>
      </c>
      <c r="V51" s="35" t="s">
        <v>63</v>
      </c>
      <c r="W51" s="95"/>
      <c r="X51" s="42"/>
    </row>
    <row r="52" spans="1:24" s="5" customFormat="1" ht="15.75">
      <c r="A52" s="84"/>
      <c r="B52" s="89"/>
      <c r="C52" s="93"/>
      <c r="D52" s="34"/>
      <c r="E5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52" s="35"/>
      <c r="G52" s="45" t="b">
        <v>0</v>
      </c>
      <c r="H52" s="45" t="b">
        <v>0</v>
      </c>
      <c r="I52" s="45" t="b">
        <v>0</v>
      </c>
      <c r="J52" s="45" t="b">
        <v>0</v>
      </c>
      <c r="K52" s="45" t="b">
        <v>0</v>
      </c>
      <c r="L52" s="45" t="b">
        <v>0</v>
      </c>
      <c r="M52" s="45" t="b">
        <v>0</v>
      </c>
      <c r="N52" s="45" t="b">
        <v>0</v>
      </c>
      <c r="O52" s="45" t="b">
        <v>0</v>
      </c>
      <c r="P52" s="34"/>
      <c r="Q52" s="34"/>
      <c r="R52" s="34"/>
      <c r="S52" s="39"/>
      <c r="T52" s="39"/>
      <c r="U52" s="52">
        <v>46181.841377314813</v>
      </c>
      <c r="V52" s="35" t="s">
        <v>63</v>
      </c>
      <c r="W52" s="95"/>
      <c r="X52" s="42"/>
    </row>
    <row r="53" spans="1:24" s="5" customFormat="1" ht="15.75">
      <c r="A53" s="84"/>
      <c r="B53" s="89"/>
      <c r="C53" s="93"/>
      <c r="D53" s="34"/>
      <c r="E5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53" s="35"/>
      <c r="G53" s="45" t="b">
        <v>0</v>
      </c>
      <c r="H53" s="45" t="b">
        <v>0</v>
      </c>
      <c r="I53" s="45" t="b">
        <v>0</v>
      </c>
      <c r="J53" s="45" t="b">
        <v>0</v>
      </c>
      <c r="K53" s="45" t="b">
        <v>0</v>
      </c>
      <c r="L53" s="45" t="b">
        <v>0</v>
      </c>
      <c r="M53" s="45" t="b">
        <v>0</v>
      </c>
      <c r="N53" s="45" t="b">
        <v>0</v>
      </c>
      <c r="O53" s="45" t="b">
        <v>0</v>
      </c>
      <c r="P53" s="34"/>
      <c r="Q53" s="34"/>
      <c r="R53" s="34"/>
      <c r="S53" s="39"/>
      <c r="T53" s="39"/>
      <c r="U53" s="52">
        <v>46181.841377314813</v>
      </c>
      <c r="V53" s="35" t="s">
        <v>63</v>
      </c>
      <c r="W53" s="95"/>
      <c r="X53" s="42"/>
    </row>
    <row r="54" spans="1:24" s="5" customFormat="1" ht="15.75">
      <c r="A54" s="84"/>
      <c r="B54" s="89"/>
      <c r="C54" s="93"/>
      <c r="D54" s="34"/>
      <c r="E5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54" s="35"/>
      <c r="G54" s="45" t="b">
        <v>0</v>
      </c>
      <c r="H54" s="45" t="b">
        <v>0</v>
      </c>
      <c r="I54" s="45" t="b">
        <v>0</v>
      </c>
      <c r="J54" s="45" t="b">
        <v>0</v>
      </c>
      <c r="K54" s="45" t="b">
        <v>0</v>
      </c>
      <c r="L54" s="45" t="b">
        <v>0</v>
      </c>
      <c r="M54" s="45" t="b">
        <v>0</v>
      </c>
      <c r="N54" s="45" t="b">
        <v>0</v>
      </c>
      <c r="O54" s="45" t="b">
        <v>0</v>
      </c>
      <c r="P54" s="34"/>
      <c r="Q54" s="34"/>
      <c r="R54" s="34"/>
      <c r="S54" s="39"/>
      <c r="T54" s="39"/>
      <c r="U54" s="52">
        <v>46181.841377314813</v>
      </c>
      <c r="V54" s="35" t="s">
        <v>63</v>
      </c>
      <c r="W54" s="95"/>
      <c r="X54" s="42"/>
    </row>
    <row r="55" spans="1:24" s="5" customFormat="1" ht="15.75">
      <c r="A55" s="84"/>
      <c r="B55" s="89"/>
      <c r="C55" s="93"/>
      <c r="D55" s="34"/>
      <c r="E5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55" s="35"/>
      <c r="G55" s="45" t="b">
        <v>0</v>
      </c>
      <c r="H55" s="45" t="b">
        <v>0</v>
      </c>
      <c r="I55" s="45" t="b">
        <v>0</v>
      </c>
      <c r="J55" s="45" t="b">
        <v>0</v>
      </c>
      <c r="K55" s="45" t="b">
        <v>0</v>
      </c>
      <c r="L55" s="45" t="b">
        <v>0</v>
      </c>
      <c r="M55" s="45" t="b">
        <v>0</v>
      </c>
      <c r="N55" s="45" t="b">
        <v>0</v>
      </c>
      <c r="O55" s="45" t="b">
        <v>0</v>
      </c>
      <c r="P55" s="34"/>
      <c r="Q55" s="34"/>
      <c r="R55" s="34"/>
      <c r="S55" s="39"/>
      <c r="T55" s="39"/>
      <c r="U55" s="52">
        <v>46181.841377314813</v>
      </c>
      <c r="V55" s="35" t="s">
        <v>63</v>
      </c>
      <c r="W55" s="95"/>
      <c r="X55" s="42"/>
    </row>
    <row r="56" spans="1:24" s="5" customFormat="1" ht="15.75">
      <c r="A56" s="84"/>
      <c r="B56" s="89"/>
      <c r="C56" s="93"/>
      <c r="D56" s="34"/>
      <c r="E5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56" s="35"/>
      <c r="G56" s="45" t="b">
        <v>0</v>
      </c>
      <c r="H56" s="45" t="b">
        <v>0</v>
      </c>
      <c r="I56" s="45" t="b">
        <v>0</v>
      </c>
      <c r="J56" s="45" t="b">
        <v>0</v>
      </c>
      <c r="K56" s="45" t="b">
        <v>0</v>
      </c>
      <c r="L56" s="45" t="b">
        <v>0</v>
      </c>
      <c r="M56" s="45" t="b">
        <v>0</v>
      </c>
      <c r="N56" s="45" t="b">
        <v>0</v>
      </c>
      <c r="O56" s="45" t="b">
        <v>0</v>
      </c>
      <c r="P56" s="34"/>
      <c r="Q56" s="34"/>
      <c r="R56" s="34"/>
      <c r="S56" s="39"/>
      <c r="T56" s="39"/>
      <c r="U56" s="52">
        <v>46181.841377314813</v>
      </c>
      <c r="V56" s="35" t="s">
        <v>63</v>
      </c>
      <c r="W56" s="95"/>
      <c r="X56" s="42"/>
    </row>
    <row r="57" spans="1:24" s="5" customFormat="1" ht="15.75">
      <c r="A57" s="84"/>
      <c r="B57" s="89"/>
      <c r="C57" s="93"/>
      <c r="D57" s="34"/>
      <c r="E5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57" s="35"/>
      <c r="G57" s="45" t="b">
        <v>0</v>
      </c>
      <c r="H57" s="45" t="b">
        <v>0</v>
      </c>
      <c r="I57" s="45" t="b">
        <v>0</v>
      </c>
      <c r="J57" s="45" t="b">
        <v>0</v>
      </c>
      <c r="K57" s="45" t="b">
        <v>0</v>
      </c>
      <c r="L57" s="45" t="b">
        <v>0</v>
      </c>
      <c r="M57" s="45" t="b">
        <v>0</v>
      </c>
      <c r="N57" s="45" t="b">
        <v>0</v>
      </c>
      <c r="O57" s="45" t="b">
        <v>0</v>
      </c>
      <c r="P57" s="34"/>
      <c r="Q57" s="34"/>
      <c r="R57" s="34"/>
      <c r="S57" s="39"/>
      <c r="T57" s="39"/>
      <c r="U57" s="52">
        <v>46181.841377314813</v>
      </c>
      <c r="V57" s="35" t="s">
        <v>63</v>
      </c>
      <c r="W57" s="95"/>
      <c r="X57" s="42"/>
    </row>
    <row r="58" spans="1:24" s="5" customFormat="1" ht="15.75">
      <c r="A58" s="84"/>
      <c r="B58" s="89"/>
      <c r="C58" s="93"/>
      <c r="D58" s="34"/>
      <c r="E5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58" s="35"/>
      <c r="G58" s="45" t="b">
        <v>0</v>
      </c>
      <c r="H58" s="45" t="b">
        <v>0</v>
      </c>
      <c r="I58" s="45" t="b">
        <v>0</v>
      </c>
      <c r="J58" s="45" t="b">
        <v>0</v>
      </c>
      <c r="K58" s="45" t="b">
        <v>0</v>
      </c>
      <c r="L58" s="45" t="b">
        <v>0</v>
      </c>
      <c r="M58" s="45" t="b">
        <v>0</v>
      </c>
      <c r="N58" s="45" t="b">
        <v>0</v>
      </c>
      <c r="O58" s="45" t="b">
        <v>0</v>
      </c>
      <c r="P58" s="34"/>
      <c r="Q58" s="34"/>
      <c r="R58" s="34"/>
      <c r="S58" s="39"/>
      <c r="T58" s="39"/>
      <c r="U58" s="52">
        <v>46181.841377314813</v>
      </c>
      <c r="V58" s="35" t="s">
        <v>63</v>
      </c>
      <c r="W58" s="95"/>
      <c r="X58" s="42"/>
    </row>
    <row r="59" spans="1:24" s="5" customFormat="1" ht="15.75">
      <c r="A59" s="84"/>
      <c r="B59" s="89"/>
      <c r="C59" s="93"/>
      <c r="D59" s="34"/>
      <c r="E5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59" s="35"/>
      <c r="G59" s="45" t="b">
        <v>0</v>
      </c>
      <c r="H59" s="45" t="b">
        <v>0</v>
      </c>
      <c r="I59" s="45" t="b">
        <v>0</v>
      </c>
      <c r="J59" s="45" t="b">
        <v>0</v>
      </c>
      <c r="K59" s="45" t="b">
        <v>0</v>
      </c>
      <c r="L59" s="45" t="b">
        <v>0</v>
      </c>
      <c r="M59" s="45" t="b">
        <v>0</v>
      </c>
      <c r="N59" s="45" t="b">
        <v>0</v>
      </c>
      <c r="O59" s="45" t="b">
        <v>0</v>
      </c>
      <c r="P59" s="34"/>
      <c r="Q59" s="34"/>
      <c r="R59" s="34"/>
      <c r="S59" s="39"/>
      <c r="T59" s="39"/>
      <c r="U59" s="52">
        <v>46181.841377314813</v>
      </c>
      <c r="V59" s="35" t="s">
        <v>63</v>
      </c>
      <c r="W59" s="95"/>
      <c r="X59" s="42"/>
    </row>
    <row r="60" spans="1:24" s="5" customFormat="1" ht="15.75">
      <c r="A60" s="84"/>
      <c r="B60" s="89"/>
      <c r="C60" s="93"/>
      <c r="D60" s="34"/>
      <c r="E6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60" s="35"/>
      <c r="G60" s="45" t="b">
        <v>0</v>
      </c>
      <c r="H60" s="45" t="b">
        <v>0</v>
      </c>
      <c r="I60" s="45" t="b">
        <v>0</v>
      </c>
      <c r="J60" s="45" t="b">
        <v>0</v>
      </c>
      <c r="K60" s="45" t="b">
        <v>0</v>
      </c>
      <c r="L60" s="45" t="b">
        <v>0</v>
      </c>
      <c r="M60" s="45" t="b">
        <v>0</v>
      </c>
      <c r="N60" s="45" t="b">
        <v>0</v>
      </c>
      <c r="O60" s="45" t="b">
        <v>0</v>
      </c>
      <c r="P60" s="34"/>
      <c r="Q60" s="34"/>
      <c r="R60" s="34"/>
      <c r="S60" s="39"/>
      <c r="T60" s="39"/>
      <c r="U60" s="52">
        <v>46181.841377314813</v>
      </c>
      <c r="V60" s="35" t="s">
        <v>63</v>
      </c>
      <c r="W60" s="95"/>
      <c r="X60" s="42"/>
    </row>
    <row r="61" spans="1:24" s="5" customFormat="1" ht="15.75">
      <c r="A61" s="84"/>
      <c r="B61" s="89"/>
      <c r="C61" s="93"/>
      <c r="D61" s="34"/>
      <c r="E6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61" s="35"/>
      <c r="G61" s="45" t="b">
        <v>0</v>
      </c>
      <c r="H61" s="45" t="b">
        <v>0</v>
      </c>
      <c r="I61" s="45" t="b">
        <v>0</v>
      </c>
      <c r="J61" s="45" t="b">
        <v>0</v>
      </c>
      <c r="K61" s="45" t="b">
        <v>0</v>
      </c>
      <c r="L61" s="45" t="b">
        <v>0</v>
      </c>
      <c r="M61" s="45" t="b">
        <v>0</v>
      </c>
      <c r="N61" s="45" t="b">
        <v>0</v>
      </c>
      <c r="O61" s="45" t="b">
        <v>0</v>
      </c>
      <c r="P61" s="34"/>
      <c r="Q61" s="34"/>
      <c r="R61" s="34"/>
      <c r="S61" s="39"/>
      <c r="T61" s="39"/>
      <c r="U61" s="52">
        <v>46181.841377314813</v>
      </c>
      <c r="V61" s="35" t="s">
        <v>63</v>
      </c>
      <c r="W61" s="95"/>
      <c r="X61" s="42"/>
    </row>
    <row r="62" spans="1:24" s="5" customFormat="1" ht="15.75">
      <c r="A62" s="84"/>
      <c r="B62" s="89"/>
      <c r="C62" s="93"/>
      <c r="D62" s="34"/>
      <c r="E6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62" s="35"/>
      <c r="G62" s="45" t="b">
        <v>0</v>
      </c>
      <c r="H62" s="45" t="b">
        <v>0</v>
      </c>
      <c r="I62" s="45" t="b">
        <v>0</v>
      </c>
      <c r="J62" s="45" t="b">
        <v>0</v>
      </c>
      <c r="K62" s="45" t="b">
        <v>0</v>
      </c>
      <c r="L62" s="45" t="b">
        <v>0</v>
      </c>
      <c r="M62" s="45" t="b">
        <v>0</v>
      </c>
      <c r="N62" s="45" t="b">
        <v>0</v>
      </c>
      <c r="O62" s="45" t="b">
        <v>0</v>
      </c>
      <c r="P62" s="34"/>
      <c r="Q62" s="34"/>
      <c r="R62" s="34"/>
      <c r="S62" s="39"/>
      <c r="T62" s="39"/>
      <c r="U62" s="52">
        <v>46181.841377314813</v>
      </c>
      <c r="V62" s="35" t="s">
        <v>63</v>
      </c>
      <c r="W62" s="95"/>
      <c r="X62" s="42"/>
    </row>
    <row r="63" spans="1:24" s="5" customFormat="1" ht="15.75">
      <c r="A63" s="84"/>
      <c r="B63" s="89"/>
      <c r="C63" s="93"/>
      <c r="D63" s="34"/>
      <c r="E6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63" s="35"/>
      <c r="G63" s="45" t="b">
        <v>0</v>
      </c>
      <c r="H63" s="45" t="b">
        <v>0</v>
      </c>
      <c r="I63" s="45" t="b">
        <v>0</v>
      </c>
      <c r="J63" s="45" t="b">
        <v>0</v>
      </c>
      <c r="K63" s="45" t="b">
        <v>0</v>
      </c>
      <c r="L63" s="45" t="b">
        <v>0</v>
      </c>
      <c r="M63" s="45" t="b">
        <v>0</v>
      </c>
      <c r="N63" s="45" t="b">
        <v>0</v>
      </c>
      <c r="O63" s="45" t="b">
        <v>0</v>
      </c>
      <c r="P63" s="34"/>
      <c r="Q63" s="34"/>
      <c r="R63" s="34"/>
      <c r="S63" s="39"/>
      <c r="T63" s="39"/>
      <c r="U63" s="52">
        <v>46181.841377314813</v>
      </c>
      <c r="V63" s="35" t="s">
        <v>63</v>
      </c>
      <c r="W63" s="95"/>
      <c r="X63" s="42"/>
    </row>
    <row r="64" spans="1:24" s="5" customFormat="1" ht="15.75">
      <c r="A64" s="84"/>
      <c r="B64" s="89"/>
      <c r="C64" s="93"/>
      <c r="D64" s="34"/>
      <c r="E6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64" s="35"/>
      <c r="G64" s="45" t="b">
        <v>0</v>
      </c>
      <c r="H64" s="45" t="b">
        <v>0</v>
      </c>
      <c r="I64" s="45" t="b">
        <v>0</v>
      </c>
      <c r="J64" s="45" t="b">
        <v>0</v>
      </c>
      <c r="K64" s="45" t="b">
        <v>0</v>
      </c>
      <c r="L64" s="45" t="b">
        <v>0</v>
      </c>
      <c r="M64" s="45" t="b">
        <v>0</v>
      </c>
      <c r="N64" s="45" t="b">
        <v>0</v>
      </c>
      <c r="O64" s="45" t="b">
        <v>0</v>
      </c>
      <c r="P64" s="34"/>
      <c r="Q64" s="34"/>
      <c r="R64" s="34"/>
      <c r="S64" s="39"/>
      <c r="T64" s="39"/>
      <c r="U64" s="52">
        <v>46181.841377314813</v>
      </c>
      <c r="V64" s="35" t="s">
        <v>63</v>
      </c>
      <c r="W64" s="95"/>
      <c r="X64" s="42"/>
    </row>
    <row r="65" spans="1:24" s="5" customFormat="1" ht="15.75">
      <c r="A65" s="84"/>
      <c r="B65" s="89"/>
      <c r="C65" s="93"/>
      <c r="D65" s="34"/>
      <c r="E6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65" s="35"/>
      <c r="G65" s="45" t="b">
        <v>0</v>
      </c>
      <c r="H65" s="45" t="b">
        <v>0</v>
      </c>
      <c r="I65" s="45" t="b">
        <v>0</v>
      </c>
      <c r="J65" s="45" t="b">
        <v>0</v>
      </c>
      <c r="K65" s="45" t="b">
        <v>0</v>
      </c>
      <c r="L65" s="45" t="b">
        <v>0</v>
      </c>
      <c r="M65" s="45" t="b">
        <v>0</v>
      </c>
      <c r="N65" s="45" t="b">
        <v>0</v>
      </c>
      <c r="O65" s="45" t="b">
        <v>0</v>
      </c>
      <c r="P65" s="34"/>
      <c r="Q65" s="34"/>
      <c r="R65" s="34"/>
      <c r="S65" s="39"/>
      <c r="T65" s="39"/>
      <c r="U65" s="52">
        <v>46181.841377314813</v>
      </c>
      <c r="V65" s="35" t="s">
        <v>63</v>
      </c>
      <c r="W65" s="95"/>
      <c r="X65" s="42"/>
    </row>
    <row r="66" spans="1:24" s="5" customFormat="1" ht="15.75">
      <c r="A66" s="84"/>
      <c r="B66" s="89"/>
      <c r="C66" s="93"/>
      <c r="D66" s="34"/>
      <c r="E6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66" s="35"/>
      <c r="G66" s="45" t="b">
        <v>0</v>
      </c>
      <c r="H66" s="45" t="b">
        <v>0</v>
      </c>
      <c r="I66" s="45" t="b">
        <v>0</v>
      </c>
      <c r="J66" s="45" t="b">
        <v>0</v>
      </c>
      <c r="K66" s="45" t="b">
        <v>0</v>
      </c>
      <c r="L66" s="45" t="b">
        <v>0</v>
      </c>
      <c r="M66" s="45" t="b">
        <v>0</v>
      </c>
      <c r="N66" s="45" t="b">
        <v>0</v>
      </c>
      <c r="O66" s="45" t="b">
        <v>0</v>
      </c>
      <c r="P66" s="34"/>
      <c r="Q66" s="34"/>
      <c r="R66" s="34"/>
      <c r="S66" s="39"/>
      <c r="T66" s="39"/>
      <c r="U66" s="52">
        <v>46181.841377314813</v>
      </c>
      <c r="V66" s="35" t="s">
        <v>63</v>
      </c>
      <c r="W66" s="95"/>
      <c r="X66" s="42"/>
    </row>
    <row r="67" spans="1:24" s="5" customFormat="1" ht="15.75">
      <c r="A67" s="84"/>
      <c r="B67" s="89"/>
      <c r="C67" s="93"/>
      <c r="D67" s="34"/>
      <c r="E6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67" s="35"/>
      <c r="G67" s="45" t="b">
        <v>0</v>
      </c>
      <c r="H67" s="45" t="b">
        <v>0</v>
      </c>
      <c r="I67" s="45" t="b">
        <v>0</v>
      </c>
      <c r="J67" s="45" t="b">
        <v>0</v>
      </c>
      <c r="K67" s="45" t="b">
        <v>0</v>
      </c>
      <c r="L67" s="45" t="b">
        <v>0</v>
      </c>
      <c r="M67" s="45" t="b">
        <v>0</v>
      </c>
      <c r="N67" s="45" t="b">
        <v>0</v>
      </c>
      <c r="O67" s="45" t="b">
        <v>0</v>
      </c>
      <c r="P67" s="34"/>
      <c r="Q67" s="34"/>
      <c r="R67" s="34"/>
      <c r="S67" s="39"/>
      <c r="T67" s="39"/>
      <c r="U67" s="52">
        <v>46181.84138888889</v>
      </c>
      <c r="V67" s="35" t="s">
        <v>63</v>
      </c>
      <c r="W67" s="95"/>
      <c r="X67" s="42"/>
    </row>
    <row r="68" spans="1:24" s="5" customFormat="1" ht="15.75">
      <c r="A68" s="84"/>
      <c r="B68" s="89"/>
      <c r="C68" s="93"/>
      <c r="D68" s="34"/>
      <c r="E6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68" s="35"/>
      <c r="G68" s="45" t="b">
        <v>0</v>
      </c>
      <c r="H68" s="45" t="b">
        <v>0</v>
      </c>
      <c r="I68" s="45" t="b">
        <v>0</v>
      </c>
      <c r="J68" s="45" t="b">
        <v>0</v>
      </c>
      <c r="K68" s="45" t="b">
        <v>0</v>
      </c>
      <c r="L68" s="45" t="b">
        <v>0</v>
      </c>
      <c r="M68" s="45" t="b">
        <v>0</v>
      </c>
      <c r="N68" s="45" t="b">
        <v>0</v>
      </c>
      <c r="O68" s="45" t="b">
        <v>0</v>
      </c>
      <c r="P68" s="34"/>
      <c r="Q68" s="34"/>
      <c r="R68" s="34"/>
      <c r="S68" s="39"/>
      <c r="T68" s="39"/>
      <c r="U68" s="52">
        <v>46181.84138888889</v>
      </c>
      <c r="V68" s="35" t="s">
        <v>63</v>
      </c>
      <c r="W68" s="95"/>
      <c r="X68" s="42"/>
    </row>
    <row r="69" spans="1:24" s="5" customFormat="1" ht="15.75">
      <c r="A69" s="84"/>
      <c r="B69" s="89"/>
      <c r="C69" s="93"/>
      <c r="D69" s="34"/>
      <c r="E6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69" s="35"/>
      <c r="G69" s="45" t="b">
        <v>0</v>
      </c>
      <c r="H69" s="45" t="b">
        <v>0</v>
      </c>
      <c r="I69" s="45" t="b">
        <v>0</v>
      </c>
      <c r="J69" s="45" t="b">
        <v>0</v>
      </c>
      <c r="K69" s="45" t="b">
        <v>0</v>
      </c>
      <c r="L69" s="45" t="b">
        <v>0</v>
      </c>
      <c r="M69" s="45" t="b">
        <v>0</v>
      </c>
      <c r="N69" s="45" t="b">
        <v>0</v>
      </c>
      <c r="O69" s="45" t="b">
        <v>0</v>
      </c>
      <c r="P69" s="34"/>
      <c r="Q69" s="34"/>
      <c r="R69" s="34"/>
      <c r="S69" s="39"/>
      <c r="T69" s="39"/>
      <c r="U69" s="52">
        <v>46181.84138888889</v>
      </c>
      <c r="V69" s="35" t="s">
        <v>63</v>
      </c>
      <c r="W69" s="95"/>
      <c r="X69" s="42"/>
    </row>
    <row r="70" spans="1:24" s="5" customFormat="1" ht="15.75">
      <c r="A70" s="84"/>
      <c r="B70" s="89"/>
      <c r="C70" s="93"/>
      <c r="D70" s="34"/>
      <c r="E7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70" s="35"/>
      <c r="G70" s="45" t="b">
        <v>0</v>
      </c>
      <c r="H70" s="45" t="b">
        <v>0</v>
      </c>
      <c r="I70" s="45" t="b">
        <v>0</v>
      </c>
      <c r="J70" s="45" t="b">
        <v>0</v>
      </c>
      <c r="K70" s="45" t="b">
        <v>0</v>
      </c>
      <c r="L70" s="45" t="b">
        <v>0</v>
      </c>
      <c r="M70" s="45" t="b">
        <v>0</v>
      </c>
      <c r="N70" s="45" t="b">
        <v>0</v>
      </c>
      <c r="O70" s="45" t="b">
        <v>0</v>
      </c>
      <c r="P70" s="34"/>
      <c r="Q70" s="34"/>
      <c r="R70" s="34"/>
      <c r="S70" s="39"/>
      <c r="T70" s="39"/>
      <c r="U70" s="52">
        <v>46181.84138888889</v>
      </c>
      <c r="V70" s="35" t="s">
        <v>63</v>
      </c>
      <c r="W70" s="95"/>
      <c r="X70" s="42"/>
    </row>
    <row r="71" spans="1:24" s="5" customFormat="1" ht="15.75">
      <c r="A71" s="84"/>
      <c r="B71" s="89"/>
      <c r="C71" s="93"/>
      <c r="D71" s="34"/>
      <c r="E7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71" s="35"/>
      <c r="G71" s="45" t="b">
        <v>0</v>
      </c>
      <c r="H71" s="45" t="b">
        <v>0</v>
      </c>
      <c r="I71" s="45" t="b">
        <v>0</v>
      </c>
      <c r="J71" s="45" t="b">
        <v>0</v>
      </c>
      <c r="K71" s="45" t="b">
        <v>0</v>
      </c>
      <c r="L71" s="45" t="b">
        <v>0</v>
      </c>
      <c r="M71" s="45" t="b">
        <v>0</v>
      </c>
      <c r="N71" s="45" t="b">
        <v>0</v>
      </c>
      <c r="O71" s="45" t="b">
        <v>0</v>
      </c>
      <c r="P71" s="34"/>
      <c r="Q71" s="34"/>
      <c r="R71" s="34"/>
      <c r="S71" s="39"/>
      <c r="T71" s="39"/>
      <c r="U71" s="52">
        <v>46181.84138888889</v>
      </c>
      <c r="V71" s="35" t="s">
        <v>63</v>
      </c>
      <c r="W71" s="95"/>
      <c r="X71" s="42"/>
    </row>
    <row r="72" spans="1:24" s="5" customFormat="1" ht="15.75">
      <c r="A72" s="84"/>
      <c r="B72" s="89"/>
      <c r="C72" s="93"/>
      <c r="D72" s="34"/>
      <c r="E7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72" s="35"/>
      <c r="G72" s="45" t="b">
        <v>0</v>
      </c>
      <c r="H72" s="45" t="b">
        <v>0</v>
      </c>
      <c r="I72" s="45" t="b">
        <v>0</v>
      </c>
      <c r="J72" s="45" t="b">
        <v>0</v>
      </c>
      <c r="K72" s="45" t="b">
        <v>0</v>
      </c>
      <c r="L72" s="45" t="b">
        <v>0</v>
      </c>
      <c r="M72" s="45" t="b">
        <v>0</v>
      </c>
      <c r="N72" s="45" t="b">
        <v>0</v>
      </c>
      <c r="O72" s="45" t="b">
        <v>0</v>
      </c>
      <c r="P72" s="34"/>
      <c r="Q72" s="34"/>
      <c r="R72" s="34"/>
      <c r="S72" s="39"/>
      <c r="T72" s="39"/>
      <c r="U72" s="52">
        <v>46181.84138888889</v>
      </c>
      <c r="V72" s="35" t="s">
        <v>63</v>
      </c>
      <c r="W72" s="95"/>
      <c r="X72" s="42"/>
    </row>
    <row r="73" spans="1:24" s="5" customFormat="1" ht="15.75">
      <c r="A73" s="84"/>
      <c r="B73" s="89"/>
      <c r="C73" s="93"/>
      <c r="D73" s="34"/>
      <c r="E7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73" s="35"/>
      <c r="G73" s="45" t="b">
        <v>0</v>
      </c>
      <c r="H73" s="45" t="b">
        <v>0</v>
      </c>
      <c r="I73" s="45" t="b">
        <v>0</v>
      </c>
      <c r="J73" s="45" t="b">
        <v>0</v>
      </c>
      <c r="K73" s="45" t="b">
        <v>0</v>
      </c>
      <c r="L73" s="45" t="b">
        <v>0</v>
      </c>
      <c r="M73" s="45" t="b">
        <v>0</v>
      </c>
      <c r="N73" s="45" t="b">
        <v>0</v>
      </c>
      <c r="O73" s="45" t="b">
        <v>0</v>
      </c>
      <c r="P73" s="34"/>
      <c r="Q73" s="34"/>
      <c r="R73" s="34"/>
      <c r="S73" s="39"/>
      <c r="T73" s="39"/>
      <c r="U73" s="52">
        <v>46181.84138888889</v>
      </c>
      <c r="V73" s="35" t="s">
        <v>63</v>
      </c>
      <c r="W73" s="95"/>
      <c r="X73" s="42"/>
    </row>
    <row r="74" spans="1:24" s="5" customFormat="1" ht="15.75">
      <c r="A74" s="84"/>
      <c r="B74" s="89"/>
      <c r="C74" s="93"/>
      <c r="D74" s="34"/>
      <c r="E7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74" s="35"/>
      <c r="G74" s="45" t="b">
        <v>0</v>
      </c>
      <c r="H74" s="45" t="b">
        <v>0</v>
      </c>
      <c r="I74" s="45" t="b">
        <v>0</v>
      </c>
      <c r="J74" s="45" t="b">
        <v>0</v>
      </c>
      <c r="K74" s="45" t="b">
        <v>0</v>
      </c>
      <c r="L74" s="45" t="b">
        <v>0</v>
      </c>
      <c r="M74" s="45" t="b">
        <v>0</v>
      </c>
      <c r="N74" s="45" t="b">
        <v>0</v>
      </c>
      <c r="O74" s="45" t="b">
        <v>0</v>
      </c>
      <c r="P74" s="34"/>
      <c r="Q74" s="34"/>
      <c r="R74" s="34"/>
      <c r="S74" s="39"/>
      <c r="T74" s="39"/>
      <c r="U74" s="52">
        <v>46181.84138888889</v>
      </c>
      <c r="V74" s="35" t="s">
        <v>63</v>
      </c>
      <c r="W74" s="95"/>
      <c r="X74" s="42"/>
    </row>
    <row r="75" spans="1:24" s="5" customFormat="1" ht="15.75">
      <c r="A75" s="84"/>
      <c r="B75" s="89"/>
      <c r="C75" s="93"/>
      <c r="D75" s="34"/>
      <c r="E7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75" s="35"/>
      <c r="G75" s="45" t="b">
        <v>0</v>
      </c>
      <c r="H75" s="45" t="b">
        <v>0</v>
      </c>
      <c r="I75" s="45" t="b">
        <v>0</v>
      </c>
      <c r="J75" s="45" t="b">
        <v>0</v>
      </c>
      <c r="K75" s="45" t="b">
        <v>0</v>
      </c>
      <c r="L75" s="45" t="b">
        <v>0</v>
      </c>
      <c r="M75" s="45" t="b">
        <v>0</v>
      </c>
      <c r="N75" s="45" t="b">
        <v>0</v>
      </c>
      <c r="O75" s="45" t="b">
        <v>0</v>
      </c>
      <c r="P75" s="34"/>
      <c r="Q75" s="34"/>
      <c r="R75" s="34"/>
      <c r="S75" s="39"/>
      <c r="T75" s="39"/>
      <c r="U75" s="52">
        <v>46181.84138888889</v>
      </c>
      <c r="V75" s="35" t="s">
        <v>63</v>
      </c>
      <c r="W75" s="95"/>
      <c r="X75" s="42"/>
    </row>
    <row r="76" spans="1:24" s="5" customFormat="1" ht="15.75">
      <c r="A76" s="84"/>
      <c r="B76" s="89"/>
      <c r="C76" s="93"/>
      <c r="D76" s="34"/>
      <c r="E7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76" s="35"/>
      <c r="G76" s="45" t="b">
        <v>0</v>
      </c>
      <c r="H76" s="45" t="b">
        <v>0</v>
      </c>
      <c r="I76" s="45" t="b">
        <v>0</v>
      </c>
      <c r="J76" s="45" t="b">
        <v>0</v>
      </c>
      <c r="K76" s="45" t="b">
        <v>0</v>
      </c>
      <c r="L76" s="45" t="b">
        <v>0</v>
      </c>
      <c r="M76" s="45" t="b">
        <v>0</v>
      </c>
      <c r="N76" s="45" t="b">
        <v>0</v>
      </c>
      <c r="O76" s="45" t="b">
        <v>0</v>
      </c>
      <c r="P76" s="34"/>
      <c r="Q76" s="34"/>
      <c r="R76" s="34"/>
      <c r="S76" s="39"/>
      <c r="T76" s="39"/>
      <c r="U76" s="52">
        <v>46181.84138888889</v>
      </c>
      <c r="V76" s="35" t="s">
        <v>63</v>
      </c>
      <c r="W76" s="95"/>
      <c r="X76" s="42"/>
    </row>
    <row r="77" spans="1:24" s="5" customFormat="1" ht="15.75">
      <c r="A77" s="84"/>
      <c r="B77" s="89"/>
      <c r="C77" s="93"/>
      <c r="D77" s="34"/>
      <c r="E7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77" s="35"/>
      <c r="G77" s="45" t="b">
        <v>0</v>
      </c>
      <c r="H77" s="45" t="b">
        <v>0</v>
      </c>
      <c r="I77" s="45" t="b">
        <v>0</v>
      </c>
      <c r="J77" s="45" t="b">
        <v>0</v>
      </c>
      <c r="K77" s="45" t="b">
        <v>0</v>
      </c>
      <c r="L77" s="45" t="b">
        <v>0</v>
      </c>
      <c r="M77" s="45" t="b">
        <v>0</v>
      </c>
      <c r="N77" s="45" t="b">
        <v>0</v>
      </c>
      <c r="O77" s="45" t="b">
        <v>0</v>
      </c>
      <c r="P77" s="34"/>
      <c r="Q77" s="34"/>
      <c r="R77" s="34"/>
      <c r="S77" s="39"/>
      <c r="T77" s="39"/>
      <c r="U77" s="52">
        <v>46181.84138888889</v>
      </c>
      <c r="V77" s="35" t="s">
        <v>63</v>
      </c>
      <c r="W77" s="95"/>
      <c r="X77" s="42"/>
    </row>
    <row r="78" spans="1:24" s="5" customFormat="1" ht="15.75">
      <c r="A78" s="84"/>
      <c r="B78" s="89"/>
      <c r="C78" s="93"/>
      <c r="D78" s="34"/>
      <c r="E7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78" s="35"/>
      <c r="G78" s="45" t="b">
        <v>0</v>
      </c>
      <c r="H78" s="45" t="b">
        <v>0</v>
      </c>
      <c r="I78" s="45" t="b">
        <v>0</v>
      </c>
      <c r="J78" s="45" t="b">
        <v>0</v>
      </c>
      <c r="K78" s="45" t="b">
        <v>0</v>
      </c>
      <c r="L78" s="45" t="b">
        <v>0</v>
      </c>
      <c r="M78" s="45" t="b">
        <v>0</v>
      </c>
      <c r="N78" s="45" t="b">
        <v>0</v>
      </c>
      <c r="O78" s="45" t="b">
        <v>0</v>
      </c>
      <c r="P78" s="34"/>
      <c r="Q78" s="34"/>
      <c r="R78" s="34"/>
      <c r="S78" s="39"/>
      <c r="T78" s="39"/>
      <c r="U78" s="52">
        <v>46181.84138888889</v>
      </c>
      <c r="V78" s="35" t="s">
        <v>63</v>
      </c>
      <c r="W78" s="95"/>
      <c r="X78" s="42"/>
    </row>
    <row r="79" spans="1:24" s="5" customFormat="1" ht="15.75">
      <c r="A79" s="84"/>
      <c r="B79" s="89"/>
      <c r="C79" s="93"/>
      <c r="D79" s="34"/>
      <c r="E7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79" s="35"/>
      <c r="G79" s="45" t="b">
        <v>0</v>
      </c>
      <c r="H79" s="45" t="b">
        <v>0</v>
      </c>
      <c r="I79" s="45" t="b">
        <v>0</v>
      </c>
      <c r="J79" s="45" t="b">
        <v>0</v>
      </c>
      <c r="K79" s="45" t="b">
        <v>0</v>
      </c>
      <c r="L79" s="45" t="b">
        <v>0</v>
      </c>
      <c r="M79" s="45" t="b">
        <v>0</v>
      </c>
      <c r="N79" s="45" t="b">
        <v>0</v>
      </c>
      <c r="O79" s="45" t="b">
        <v>0</v>
      </c>
      <c r="P79" s="34"/>
      <c r="Q79" s="34"/>
      <c r="R79" s="34"/>
      <c r="S79" s="39"/>
      <c r="T79" s="39"/>
      <c r="U79" s="52">
        <v>46181.84138888889</v>
      </c>
      <c r="V79" s="35" t="s">
        <v>63</v>
      </c>
      <c r="W79" s="95"/>
      <c r="X79" s="42"/>
    </row>
    <row r="80" spans="1:24" s="5" customFormat="1" ht="15.75">
      <c r="A80" s="84"/>
      <c r="B80" s="89"/>
      <c r="C80" s="93"/>
      <c r="D80" s="34"/>
      <c r="E8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80" s="35"/>
      <c r="G80" s="45" t="b">
        <v>0</v>
      </c>
      <c r="H80" s="45" t="b">
        <v>0</v>
      </c>
      <c r="I80" s="45" t="b">
        <v>0</v>
      </c>
      <c r="J80" s="45" t="b">
        <v>0</v>
      </c>
      <c r="K80" s="45" t="b">
        <v>0</v>
      </c>
      <c r="L80" s="45" t="b">
        <v>0</v>
      </c>
      <c r="M80" s="45" t="b">
        <v>0</v>
      </c>
      <c r="N80" s="45" t="b">
        <v>0</v>
      </c>
      <c r="O80" s="45" t="b">
        <v>0</v>
      </c>
      <c r="P80" s="34"/>
      <c r="Q80" s="34"/>
      <c r="R80" s="34"/>
      <c r="S80" s="39"/>
      <c r="T80" s="39"/>
      <c r="U80" s="52">
        <v>46181.84138888889</v>
      </c>
      <c r="V80" s="35" t="s">
        <v>63</v>
      </c>
      <c r="W80" s="95"/>
      <c r="X80" s="42"/>
    </row>
    <row r="81" spans="1:24" s="5" customFormat="1" ht="15.75">
      <c r="A81" s="84"/>
      <c r="B81" s="89"/>
      <c r="C81" s="93"/>
      <c r="D81" s="34"/>
      <c r="E8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81" s="35"/>
      <c r="G81" s="45" t="b">
        <v>0</v>
      </c>
      <c r="H81" s="45" t="b">
        <v>0</v>
      </c>
      <c r="I81" s="45" t="b">
        <v>0</v>
      </c>
      <c r="J81" s="45" t="b">
        <v>0</v>
      </c>
      <c r="K81" s="45" t="b">
        <v>0</v>
      </c>
      <c r="L81" s="45" t="b">
        <v>0</v>
      </c>
      <c r="M81" s="45" t="b">
        <v>0</v>
      </c>
      <c r="N81" s="45" t="b">
        <v>0</v>
      </c>
      <c r="O81" s="45" t="b">
        <v>0</v>
      </c>
      <c r="P81" s="34"/>
      <c r="Q81" s="34"/>
      <c r="R81" s="34"/>
      <c r="S81" s="39"/>
      <c r="T81" s="39"/>
      <c r="U81" s="52">
        <v>46181.84138888889</v>
      </c>
      <c r="V81" s="35" t="s">
        <v>63</v>
      </c>
      <c r="W81" s="95"/>
      <c r="X81" s="42"/>
    </row>
    <row r="82" spans="1:24" s="5" customFormat="1" ht="15.75">
      <c r="A82" s="84"/>
      <c r="B82" s="89"/>
      <c r="C82" s="93"/>
      <c r="D82" s="34"/>
      <c r="E8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82" s="35"/>
      <c r="G82" s="45" t="b">
        <v>0</v>
      </c>
      <c r="H82" s="45" t="b">
        <v>0</v>
      </c>
      <c r="I82" s="45" t="b">
        <v>0</v>
      </c>
      <c r="J82" s="45" t="b">
        <v>0</v>
      </c>
      <c r="K82" s="45" t="b">
        <v>0</v>
      </c>
      <c r="L82" s="45" t="b">
        <v>0</v>
      </c>
      <c r="M82" s="45" t="b">
        <v>0</v>
      </c>
      <c r="N82" s="45" t="b">
        <v>0</v>
      </c>
      <c r="O82" s="45" t="b">
        <v>0</v>
      </c>
      <c r="P82" s="34"/>
      <c r="Q82" s="34"/>
      <c r="R82" s="34"/>
      <c r="S82" s="39"/>
      <c r="T82" s="39"/>
      <c r="U82" s="52">
        <v>46181.84138888889</v>
      </c>
      <c r="V82" s="35" t="s">
        <v>63</v>
      </c>
      <c r="W82" s="95"/>
      <c r="X82" s="42"/>
    </row>
    <row r="83" spans="1:24" s="5" customFormat="1" ht="15.75">
      <c r="A83" s="84"/>
      <c r="B83" s="89"/>
      <c r="C83" s="93"/>
      <c r="D83" s="34"/>
      <c r="E8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83" s="35"/>
      <c r="G83" s="45" t="b">
        <v>0</v>
      </c>
      <c r="H83" s="45" t="b">
        <v>0</v>
      </c>
      <c r="I83" s="45" t="b">
        <v>0</v>
      </c>
      <c r="J83" s="45" t="b">
        <v>0</v>
      </c>
      <c r="K83" s="45" t="b">
        <v>0</v>
      </c>
      <c r="L83" s="45" t="b">
        <v>0</v>
      </c>
      <c r="M83" s="45" t="b">
        <v>0</v>
      </c>
      <c r="N83" s="45" t="b">
        <v>0</v>
      </c>
      <c r="O83" s="45" t="b">
        <v>0</v>
      </c>
      <c r="P83" s="34"/>
      <c r="Q83" s="34"/>
      <c r="R83" s="34"/>
      <c r="S83" s="39"/>
      <c r="T83" s="39"/>
      <c r="U83" s="52">
        <v>46181.841400462959</v>
      </c>
      <c r="V83" s="35" t="s">
        <v>63</v>
      </c>
      <c r="W83" s="95"/>
      <c r="X83" s="42"/>
    </row>
    <row r="84" spans="1:24" s="5" customFormat="1" ht="15.75">
      <c r="A84" s="84"/>
      <c r="B84" s="89"/>
      <c r="C84" s="93"/>
      <c r="D84" s="34"/>
      <c r="E8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84" s="35"/>
      <c r="G84" s="45" t="b">
        <v>0</v>
      </c>
      <c r="H84" s="45" t="b">
        <v>0</v>
      </c>
      <c r="I84" s="45" t="b">
        <v>0</v>
      </c>
      <c r="J84" s="45" t="b">
        <v>0</v>
      </c>
      <c r="K84" s="45" t="b">
        <v>0</v>
      </c>
      <c r="L84" s="45" t="b">
        <v>0</v>
      </c>
      <c r="M84" s="45" t="b">
        <v>0</v>
      </c>
      <c r="N84" s="45" t="b">
        <v>0</v>
      </c>
      <c r="O84" s="45" t="b">
        <v>0</v>
      </c>
      <c r="P84" s="34"/>
      <c r="Q84" s="34"/>
      <c r="R84" s="34"/>
      <c r="S84" s="39"/>
      <c r="T84" s="39"/>
      <c r="U84" s="52">
        <v>46181.841400462959</v>
      </c>
      <c r="V84" s="35" t="s">
        <v>63</v>
      </c>
      <c r="W84" s="95"/>
      <c r="X84" s="42"/>
    </row>
    <row r="85" spans="1:24" s="5" customFormat="1" ht="15.75">
      <c r="A85" s="84"/>
      <c r="B85" s="89"/>
      <c r="C85" s="93"/>
      <c r="D85" s="34"/>
      <c r="E8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85" s="35"/>
      <c r="G85" s="45" t="b">
        <v>0</v>
      </c>
      <c r="H85" s="45" t="b">
        <v>0</v>
      </c>
      <c r="I85" s="45" t="b">
        <v>0</v>
      </c>
      <c r="J85" s="45" t="b">
        <v>0</v>
      </c>
      <c r="K85" s="45" t="b">
        <v>0</v>
      </c>
      <c r="L85" s="45" t="b">
        <v>0</v>
      </c>
      <c r="M85" s="45" t="b">
        <v>0</v>
      </c>
      <c r="N85" s="45" t="b">
        <v>0</v>
      </c>
      <c r="O85" s="45" t="b">
        <v>0</v>
      </c>
      <c r="P85" s="34"/>
      <c r="Q85" s="34"/>
      <c r="R85" s="34"/>
      <c r="S85" s="39"/>
      <c r="T85" s="39"/>
      <c r="U85" s="52">
        <v>46181.841400462959</v>
      </c>
      <c r="V85" s="35" t="s">
        <v>63</v>
      </c>
      <c r="W85" s="95"/>
      <c r="X85" s="42"/>
    </row>
    <row r="86" spans="1:24" s="5" customFormat="1" ht="15.75">
      <c r="A86" s="84"/>
      <c r="B86" s="89"/>
      <c r="C86" s="93"/>
      <c r="D86" s="34"/>
      <c r="E8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86" s="35"/>
      <c r="G86" s="45" t="b">
        <v>0</v>
      </c>
      <c r="H86" s="45" t="b">
        <v>0</v>
      </c>
      <c r="I86" s="45" t="b">
        <v>0</v>
      </c>
      <c r="J86" s="45" t="b">
        <v>0</v>
      </c>
      <c r="K86" s="45" t="b">
        <v>0</v>
      </c>
      <c r="L86" s="45" t="b">
        <v>0</v>
      </c>
      <c r="M86" s="45" t="b">
        <v>0</v>
      </c>
      <c r="N86" s="45" t="b">
        <v>0</v>
      </c>
      <c r="O86" s="45" t="b">
        <v>0</v>
      </c>
      <c r="P86" s="34"/>
      <c r="Q86" s="34"/>
      <c r="R86" s="34"/>
      <c r="S86" s="39"/>
      <c r="T86" s="39"/>
      <c r="U86" s="52">
        <v>46181.841400462959</v>
      </c>
      <c r="V86" s="35" t="s">
        <v>63</v>
      </c>
      <c r="W86" s="95"/>
      <c r="X86" s="42"/>
    </row>
    <row r="87" spans="1:24" s="5" customFormat="1" ht="15.75">
      <c r="A87" s="84"/>
      <c r="B87" s="89"/>
      <c r="C87" s="93"/>
      <c r="D87" s="34"/>
      <c r="E8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87" s="35"/>
      <c r="G87" s="45" t="b">
        <v>0</v>
      </c>
      <c r="H87" s="45" t="b">
        <v>0</v>
      </c>
      <c r="I87" s="45" t="b">
        <v>0</v>
      </c>
      <c r="J87" s="45" t="b">
        <v>0</v>
      </c>
      <c r="K87" s="45" t="b">
        <v>0</v>
      </c>
      <c r="L87" s="45" t="b">
        <v>0</v>
      </c>
      <c r="M87" s="45" t="b">
        <v>0</v>
      </c>
      <c r="N87" s="45" t="b">
        <v>0</v>
      </c>
      <c r="O87" s="45" t="b">
        <v>0</v>
      </c>
      <c r="P87" s="34"/>
      <c r="Q87" s="34"/>
      <c r="R87" s="34"/>
      <c r="S87" s="39"/>
      <c r="T87" s="39"/>
      <c r="U87" s="52">
        <v>46181.841400462959</v>
      </c>
      <c r="V87" s="35" t="s">
        <v>63</v>
      </c>
      <c r="W87" s="95"/>
      <c r="X87" s="42"/>
    </row>
    <row r="88" spans="1:24" s="5" customFormat="1" ht="15.75">
      <c r="A88" s="84"/>
      <c r="B88" s="89"/>
      <c r="C88" s="93"/>
      <c r="D88" s="34"/>
      <c r="E8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88" s="35"/>
      <c r="G88" s="45" t="b">
        <v>0</v>
      </c>
      <c r="H88" s="45" t="b">
        <v>0</v>
      </c>
      <c r="I88" s="45" t="b">
        <v>0</v>
      </c>
      <c r="J88" s="45" t="b">
        <v>0</v>
      </c>
      <c r="K88" s="45" t="b">
        <v>0</v>
      </c>
      <c r="L88" s="45" t="b">
        <v>0</v>
      </c>
      <c r="M88" s="45" t="b">
        <v>0</v>
      </c>
      <c r="N88" s="45" t="b">
        <v>0</v>
      </c>
      <c r="O88" s="45" t="b">
        <v>0</v>
      </c>
      <c r="P88" s="34"/>
      <c r="Q88" s="34"/>
      <c r="R88" s="34"/>
      <c r="S88" s="39"/>
      <c r="T88" s="39"/>
      <c r="U88" s="52">
        <v>46181.841400462959</v>
      </c>
      <c r="V88" s="35" t="s">
        <v>63</v>
      </c>
      <c r="W88" s="95"/>
      <c r="X88" s="42"/>
    </row>
    <row r="89" spans="1:24" s="5" customFormat="1" ht="15.75">
      <c r="A89" s="84"/>
      <c r="B89" s="89"/>
      <c r="C89" s="93"/>
      <c r="D89" s="34"/>
      <c r="E8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89" s="35"/>
      <c r="G89" s="45" t="b">
        <v>0</v>
      </c>
      <c r="H89" s="45" t="b">
        <v>0</v>
      </c>
      <c r="I89" s="45" t="b">
        <v>0</v>
      </c>
      <c r="J89" s="45" t="b">
        <v>0</v>
      </c>
      <c r="K89" s="45" t="b">
        <v>0</v>
      </c>
      <c r="L89" s="45" t="b">
        <v>0</v>
      </c>
      <c r="M89" s="45" t="b">
        <v>0</v>
      </c>
      <c r="N89" s="45" t="b">
        <v>0</v>
      </c>
      <c r="O89" s="45" t="b">
        <v>0</v>
      </c>
      <c r="P89" s="34"/>
      <c r="Q89" s="34"/>
      <c r="R89" s="34"/>
      <c r="S89" s="39"/>
      <c r="T89" s="39"/>
      <c r="U89" s="52">
        <v>46181.841400462959</v>
      </c>
      <c r="V89" s="35" t="s">
        <v>63</v>
      </c>
      <c r="W89" s="95"/>
      <c r="X89" s="42"/>
    </row>
    <row r="90" spans="1:24" s="5" customFormat="1" ht="15.75">
      <c r="A90" s="84"/>
      <c r="B90" s="89"/>
      <c r="C90" s="93"/>
      <c r="D90" s="34"/>
      <c r="E9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90" s="35"/>
      <c r="G90" s="45" t="b">
        <v>0</v>
      </c>
      <c r="H90" s="45" t="b">
        <v>0</v>
      </c>
      <c r="I90" s="45" t="b">
        <v>0</v>
      </c>
      <c r="J90" s="45" t="b">
        <v>0</v>
      </c>
      <c r="K90" s="45" t="b">
        <v>0</v>
      </c>
      <c r="L90" s="45" t="b">
        <v>0</v>
      </c>
      <c r="M90" s="45" t="b">
        <v>0</v>
      </c>
      <c r="N90" s="45" t="b">
        <v>0</v>
      </c>
      <c r="O90" s="45" t="b">
        <v>0</v>
      </c>
      <c r="P90" s="34"/>
      <c r="Q90" s="34"/>
      <c r="R90" s="34"/>
      <c r="S90" s="39"/>
      <c r="T90" s="39"/>
      <c r="U90" s="52">
        <v>46181.841400462959</v>
      </c>
      <c r="V90" s="35" t="s">
        <v>63</v>
      </c>
      <c r="W90" s="95"/>
      <c r="X90" s="42"/>
    </row>
    <row r="91" spans="1:24" s="5" customFormat="1" ht="15.75">
      <c r="A91" s="84"/>
      <c r="B91" s="89"/>
      <c r="C91" s="93"/>
      <c r="D91" s="34"/>
      <c r="E9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91" s="35"/>
      <c r="G91" s="45" t="b">
        <v>0</v>
      </c>
      <c r="H91" s="45" t="b">
        <v>0</v>
      </c>
      <c r="I91" s="45" t="b">
        <v>0</v>
      </c>
      <c r="J91" s="45" t="b">
        <v>0</v>
      </c>
      <c r="K91" s="45" t="b">
        <v>0</v>
      </c>
      <c r="L91" s="45" t="b">
        <v>0</v>
      </c>
      <c r="M91" s="45" t="b">
        <v>0</v>
      </c>
      <c r="N91" s="45" t="b">
        <v>0</v>
      </c>
      <c r="O91" s="45" t="b">
        <v>0</v>
      </c>
      <c r="P91" s="34"/>
      <c r="Q91" s="34"/>
      <c r="R91" s="34"/>
      <c r="S91" s="39"/>
      <c r="T91" s="39"/>
      <c r="U91" s="52">
        <v>46181.841400462959</v>
      </c>
      <c r="V91" s="35" t="s">
        <v>63</v>
      </c>
      <c r="W91" s="95"/>
      <c r="X91" s="42"/>
    </row>
    <row r="92" spans="1:24" s="5" customFormat="1" ht="15.75">
      <c r="A92" s="84"/>
      <c r="B92" s="89"/>
      <c r="C92" s="93"/>
      <c r="D92" s="34"/>
      <c r="E9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92" s="35"/>
      <c r="G92" s="45" t="b">
        <v>0</v>
      </c>
      <c r="H92" s="45" t="b">
        <v>0</v>
      </c>
      <c r="I92" s="45" t="b">
        <v>0</v>
      </c>
      <c r="J92" s="45" t="b">
        <v>0</v>
      </c>
      <c r="K92" s="45" t="b">
        <v>0</v>
      </c>
      <c r="L92" s="45" t="b">
        <v>0</v>
      </c>
      <c r="M92" s="45" t="b">
        <v>0</v>
      </c>
      <c r="N92" s="45" t="b">
        <v>0</v>
      </c>
      <c r="O92" s="45" t="b">
        <v>0</v>
      </c>
      <c r="P92" s="34"/>
      <c r="Q92" s="34"/>
      <c r="R92" s="34"/>
      <c r="S92" s="39"/>
      <c r="T92" s="39"/>
      <c r="U92" s="52">
        <v>46181.841400462959</v>
      </c>
      <c r="V92" s="35" t="s">
        <v>63</v>
      </c>
      <c r="W92" s="95"/>
      <c r="X92" s="42"/>
    </row>
    <row r="93" spans="1:24" s="5" customFormat="1" ht="15.75">
      <c r="A93" s="84"/>
      <c r="B93" s="89"/>
      <c r="C93" s="93"/>
      <c r="D93" s="34"/>
      <c r="E9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93" s="35"/>
      <c r="G93" s="45" t="b">
        <v>0</v>
      </c>
      <c r="H93" s="45" t="b">
        <v>0</v>
      </c>
      <c r="I93" s="45" t="b">
        <v>0</v>
      </c>
      <c r="J93" s="45" t="b">
        <v>0</v>
      </c>
      <c r="K93" s="45" t="b">
        <v>0</v>
      </c>
      <c r="L93" s="45" t="b">
        <v>0</v>
      </c>
      <c r="M93" s="45" t="b">
        <v>0</v>
      </c>
      <c r="N93" s="45" t="b">
        <v>0</v>
      </c>
      <c r="O93" s="45" t="b">
        <v>0</v>
      </c>
      <c r="P93" s="34"/>
      <c r="Q93" s="34"/>
      <c r="R93" s="34"/>
      <c r="S93" s="39"/>
      <c r="T93" s="39"/>
      <c r="U93" s="52">
        <v>46181.841400462959</v>
      </c>
      <c r="V93" s="35" t="s">
        <v>63</v>
      </c>
      <c r="W93" s="95"/>
      <c r="X93" s="42"/>
    </row>
    <row r="94" spans="1:24" s="5" customFormat="1" ht="15.75">
      <c r="A94" s="84"/>
      <c r="B94" s="89"/>
      <c r="C94" s="93"/>
      <c r="D94" s="34"/>
      <c r="E9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94" s="35"/>
      <c r="G94" s="45" t="b">
        <v>0</v>
      </c>
      <c r="H94" s="45" t="b">
        <v>0</v>
      </c>
      <c r="I94" s="45" t="b">
        <v>0</v>
      </c>
      <c r="J94" s="45" t="b">
        <v>0</v>
      </c>
      <c r="K94" s="45" t="b">
        <v>0</v>
      </c>
      <c r="L94" s="45" t="b">
        <v>0</v>
      </c>
      <c r="M94" s="45" t="b">
        <v>0</v>
      </c>
      <c r="N94" s="45" t="b">
        <v>0</v>
      </c>
      <c r="O94" s="45" t="b">
        <v>0</v>
      </c>
      <c r="P94" s="34"/>
      <c r="Q94" s="34"/>
      <c r="R94" s="34"/>
      <c r="S94" s="39"/>
      <c r="T94" s="39"/>
      <c r="U94" s="52">
        <v>46181.841400462959</v>
      </c>
      <c r="V94" s="35" t="s">
        <v>63</v>
      </c>
      <c r="W94" s="95"/>
      <c r="X94" s="42"/>
    </row>
    <row r="95" spans="1:24" s="5" customFormat="1" ht="15.75">
      <c r="A95" s="84"/>
      <c r="B95" s="89"/>
      <c r="C95" s="93"/>
      <c r="D95" s="34"/>
      <c r="E9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95" s="35"/>
      <c r="G95" s="45" t="b">
        <v>0</v>
      </c>
      <c r="H95" s="45" t="b">
        <v>0</v>
      </c>
      <c r="I95" s="45" t="b">
        <v>0</v>
      </c>
      <c r="J95" s="45" t="b">
        <v>0</v>
      </c>
      <c r="K95" s="45" t="b">
        <v>0</v>
      </c>
      <c r="L95" s="45" t="b">
        <v>0</v>
      </c>
      <c r="M95" s="45" t="b">
        <v>0</v>
      </c>
      <c r="N95" s="45" t="b">
        <v>0</v>
      </c>
      <c r="O95" s="45" t="b">
        <v>0</v>
      </c>
      <c r="P95" s="34"/>
      <c r="Q95" s="34"/>
      <c r="R95" s="34"/>
      <c r="S95" s="39"/>
      <c r="T95" s="39"/>
      <c r="U95" s="52">
        <v>46181.841400462959</v>
      </c>
      <c r="V95" s="35" t="s">
        <v>63</v>
      </c>
      <c r="W95" s="95"/>
      <c r="X95" s="42"/>
    </row>
    <row r="96" spans="1:24" s="5" customFormat="1" ht="15.75">
      <c r="A96" s="84"/>
      <c r="B96" s="89"/>
      <c r="C96" s="93"/>
      <c r="D96" s="34"/>
      <c r="E9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96" s="35"/>
      <c r="G96" s="45" t="b">
        <v>0</v>
      </c>
      <c r="H96" s="45" t="b">
        <v>0</v>
      </c>
      <c r="I96" s="45" t="b">
        <v>0</v>
      </c>
      <c r="J96" s="45" t="b">
        <v>0</v>
      </c>
      <c r="K96" s="45" t="b">
        <v>0</v>
      </c>
      <c r="L96" s="45" t="b">
        <v>0</v>
      </c>
      <c r="M96" s="45" t="b">
        <v>0</v>
      </c>
      <c r="N96" s="45" t="b">
        <v>0</v>
      </c>
      <c r="O96" s="45" t="b">
        <v>0</v>
      </c>
      <c r="P96" s="34"/>
      <c r="Q96" s="34"/>
      <c r="R96" s="34"/>
      <c r="S96" s="39"/>
      <c r="T96" s="39"/>
      <c r="U96" s="52">
        <v>46181.841400462959</v>
      </c>
      <c r="V96" s="35" t="s">
        <v>63</v>
      </c>
      <c r="W96" s="95"/>
      <c r="X96" s="42"/>
    </row>
    <row r="97" spans="1:24" s="5" customFormat="1" ht="15.75">
      <c r="A97" s="84"/>
      <c r="B97" s="89"/>
      <c r="C97" s="93"/>
      <c r="D97" s="34"/>
      <c r="E9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97" s="35"/>
      <c r="G97" s="45" t="b">
        <v>0</v>
      </c>
      <c r="H97" s="45" t="b">
        <v>0</v>
      </c>
      <c r="I97" s="45" t="b">
        <v>0</v>
      </c>
      <c r="J97" s="45" t="b">
        <v>0</v>
      </c>
      <c r="K97" s="45" t="b">
        <v>0</v>
      </c>
      <c r="L97" s="45" t="b">
        <v>0</v>
      </c>
      <c r="M97" s="45" t="b">
        <v>0</v>
      </c>
      <c r="N97" s="45" t="b">
        <v>0</v>
      </c>
      <c r="O97" s="45" t="b">
        <v>0</v>
      </c>
      <c r="P97" s="34"/>
      <c r="Q97" s="34"/>
      <c r="R97" s="34"/>
      <c r="S97" s="39"/>
      <c r="T97" s="39"/>
      <c r="U97" s="52">
        <v>46181.841400462959</v>
      </c>
      <c r="V97" s="35" t="s">
        <v>63</v>
      </c>
      <c r="W97" s="95"/>
      <c r="X97" s="42"/>
    </row>
    <row r="98" spans="1:24" s="5" customFormat="1" ht="15.75">
      <c r="A98" s="84"/>
      <c r="B98" s="89"/>
      <c r="C98" s="93"/>
      <c r="D98" s="34"/>
      <c r="E9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98" s="35"/>
      <c r="G98" s="45" t="b">
        <v>0</v>
      </c>
      <c r="H98" s="45" t="b">
        <v>0</v>
      </c>
      <c r="I98" s="45" t="b">
        <v>0</v>
      </c>
      <c r="J98" s="45" t="b">
        <v>0</v>
      </c>
      <c r="K98" s="45" t="b">
        <v>0</v>
      </c>
      <c r="L98" s="45" t="b">
        <v>0</v>
      </c>
      <c r="M98" s="45" t="b">
        <v>0</v>
      </c>
      <c r="N98" s="45" t="b">
        <v>0</v>
      </c>
      <c r="O98" s="45" t="b">
        <v>0</v>
      </c>
      <c r="P98" s="34"/>
      <c r="Q98" s="34"/>
      <c r="R98" s="34"/>
      <c r="S98" s="39"/>
      <c r="T98" s="39"/>
      <c r="U98" s="52">
        <v>46181.841400462959</v>
      </c>
      <c r="V98" s="35" t="s">
        <v>63</v>
      </c>
      <c r="W98" s="95"/>
      <c r="X98" s="42"/>
    </row>
    <row r="99" spans="1:24" s="5" customFormat="1" ht="15.75">
      <c r="A99" s="84"/>
      <c r="B99" s="89"/>
      <c r="C99" s="93"/>
      <c r="D99" s="34"/>
      <c r="E9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99" s="35"/>
      <c r="G99" s="45" t="b">
        <v>0</v>
      </c>
      <c r="H99" s="45" t="b">
        <v>0</v>
      </c>
      <c r="I99" s="45" t="b">
        <v>0</v>
      </c>
      <c r="J99" s="45" t="b">
        <v>0</v>
      </c>
      <c r="K99" s="45" t="b">
        <v>0</v>
      </c>
      <c r="L99" s="45" t="b">
        <v>0</v>
      </c>
      <c r="M99" s="45" t="b">
        <v>0</v>
      </c>
      <c r="N99" s="45" t="b">
        <v>0</v>
      </c>
      <c r="O99" s="45" t="b">
        <v>0</v>
      </c>
      <c r="P99" s="34"/>
      <c r="Q99" s="34"/>
      <c r="R99" s="34"/>
      <c r="S99" s="39"/>
      <c r="T99" s="39"/>
      <c r="U99" s="52">
        <v>46181.841412037036</v>
      </c>
      <c r="V99" s="35" t="s">
        <v>63</v>
      </c>
      <c r="W99" s="95"/>
      <c r="X99" s="42"/>
    </row>
    <row r="100" spans="1:24" s="5" customFormat="1" ht="15.75">
      <c r="A100" s="84"/>
      <c r="B100" s="89"/>
      <c r="C100" s="93"/>
      <c r="D100" s="34"/>
      <c r="E10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00" s="35"/>
      <c r="G100" s="45" t="b">
        <v>0</v>
      </c>
      <c r="H100" s="45" t="b">
        <v>0</v>
      </c>
      <c r="I100" s="45" t="b">
        <v>0</v>
      </c>
      <c r="J100" s="45" t="b">
        <v>0</v>
      </c>
      <c r="K100" s="45" t="b">
        <v>0</v>
      </c>
      <c r="L100" s="45" t="b">
        <v>0</v>
      </c>
      <c r="M100" s="45" t="b">
        <v>0</v>
      </c>
      <c r="N100" s="45" t="b">
        <v>0</v>
      </c>
      <c r="O100" s="45" t="b">
        <v>0</v>
      </c>
      <c r="P100" s="34"/>
      <c r="Q100" s="34"/>
      <c r="R100" s="34"/>
      <c r="S100" s="39"/>
      <c r="T100" s="39"/>
      <c r="U100" s="52">
        <v>46181.841412037036</v>
      </c>
      <c r="V100" s="35" t="s">
        <v>63</v>
      </c>
      <c r="W100" s="95"/>
      <c r="X100" s="42"/>
    </row>
    <row r="101" spans="1:24" s="5" customFormat="1" ht="15.75">
      <c r="A101" s="84"/>
      <c r="B101" s="89"/>
      <c r="C101" s="93"/>
      <c r="D101" s="34"/>
      <c r="E10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01" s="35"/>
      <c r="G101" s="45" t="b">
        <v>0</v>
      </c>
      <c r="H101" s="45" t="b">
        <v>0</v>
      </c>
      <c r="I101" s="45" t="b">
        <v>0</v>
      </c>
      <c r="J101" s="45" t="b">
        <v>0</v>
      </c>
      <c r="K101" s="45" t="b">
        <v>0</v>
      </c>
      <c r="L101" s="45" t="b">
        <v>0</v>
      </c>
      <c r="M101" s="45" t="b">
        <v>0</v>
      </c>
      <c r="N101" s="45" t="b">
        <v>0</v>
      </c>
      <c r="O101" s="45" t="b">
        <v>0</v>
      </c>
      <c r="P101" s="34"/>
      <c r="Q101" s="34"/>
      <c r="R101" s="34"/>
      <c r="S101" s="39"/>
      <c r="T101" s="39"/>
      <c r="U101" s="52">
        <v>46181.841412037036</v>
      </c>
      <c r="V101" s="35" t="s">
        <v>63</v>
      </c>
      <c r="W101" s="95"/>
      <c r="X101" s="42"/>
    </row>
    <row r="102" spans="1:24" s="5" customFormat="1" ht="15.75">
      <c r="A102" s="84"/>
      <c r="B102" s="89"/>
      <c r="C102" s="93"/>
      <c r="D102" s="34"/>
      <c r="E10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02" s="35"/>
      <c r="G102" s="45" t="b">
        <v>0</v>
      </c>
      <c r="H102" s="45" t="b">
        <v>0</v>
      </c>
      <c r="I102" s="45" t="b">
        <v>0</v>
      </c>
      <c r="J102" s="45" t="b">
        <v>0</v>
      </c>
      <c r="K102" s="45" t="b">
        <v>0</v>
      </c>
      <c r="L102" s="45" t="b">
        <v>0</v>
      </c>
      <c r="M102" s="45" t="b">
        <v>0</v>
      </c>
      <c r="N102" s="45" t="b">
        <v>0</v>
      </c>
      <c r="O102" s="45" t="b">
        <v>0</v>
      </c>
      <c r="P102" s="34"/>
      <c r="Q102" s="34"/>
      <c r="R102" s="34"/>
      <c r="S102" s="39"/>
      <c r="T102" s="39"/>
      <c r="U102" s="52">
        <v>46181.841412037036</v>
      </c>
      <c r="V102" s="35" t="s">
        <v>63</v>
      </c>
      <c r="W102" s="95"/>
      <c r="X102" s="42"/>
    </row>
    <row r="103" spans="1:24" s="5" customFormat="1" ht="15.75">
      <c r="A103" s="84"/>
      <c r="B103" s="89"/>
      <c r="C103" s="93"/>
      <c r="D103" s="34"/>
      <c r="E10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03" s="35"/>
      <c r="G103" s="45" t="b">
        <v>0</v>
      </c>
      <c r="H103" s="45" t="b">
        <v>0</v>
      </c>
      <c r="I103" s="45" t="b">
        <v>0</v>
      </c>
      <c r="J103" s="45" t="b">
        <v>0</v>
      </c>
      <c r="K103" s="45" t="b">
        <v>0</v>
      </c>
      <c r="L103" s="45" t="b">
        <v>0</v>
      </c>
      <c r="M103" s="45" t="b">
        <v>0</v>
      </c>
      <c r="N103" s="45" t="b">
        <v>0</v>
      </c>
      <c r="O103" s="45" t="b">
        <v>0</v>
      </c>
      <c r="P103" s="34"/>
      <c r="Q103" s="34"/>
      <c r="R103" s="34"/>
      <c r="S103" s="39"/>
      <c r="T103" s="39"/>
      <c r="U103" s="52">
        <v>46181.841412037036</v>
      </c>
      <c r="V103" s="35" t="s">
        <v>63</v>
      </c>
      <c r="W103" s="95"/>
      <c r="X103" s="42"/>
    </row>
    <row r="104" spans="1:24" s="5" customFormat="1" ht="15.75">
      <c r="A104" s="84"/>
      <c r="B104" s="89"/>
      <c r="C104" s="93"/>
      <c r="D104" s="34"/>
      <c r="E10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04" s="35"/>
      <c r="G104" s="45" t="b">
        <v>0</v>
      </c>
      <c r="H104" s="45" t="b">
        <v>0</v>
      </c>
      <c r="I104" s="45" t="b">
        <v>0</v>
      </c>
      <c r="J104" s="45" t="b">
        <v>0</v>
      </c>
      <c r="K104" s="45" t="b">
        <v>0</v>
      </c>
      <c r="L104" s="45" t="b">
        <v>0</v>
      </c>
      <c r="M104" s="45" t="b">
        <v>0</v>
      </c>
      <c r="N104" s="45" t="b">
        <v>0</v>
      </c>
      <c r="O104" s="45" t="b">
        <v>0</v>
      </c>
      <c r="P104" s="34"/>
      <c r="Q104" s="34"/>
      <c r="R104" s="34"/>
      <c r="S104" s="39"/>
      <c r="T104" s="39"/>
      <c r="U104" s="52">
        <v>46181.841412037036</v>
      </c>
      <c r="V104" s="35" t="s">
        <v>63</v>
      </c>
      <c r="W104" s="95"/>
      <c r="X104" s="42"/>
    </row>
    <row r="105" spans="1:24" s="5" customFormat="1" ht="15.75">
      <c r="A105" s="84"/>
      <c r="B105" s="89"/>
      <c r="C105" s="93"/>
      <c r="D105" s="34"/>
      <c r="E10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05" s="35"/>
      <c r="G105" s="45" t="b">
        <v>0</v>
      </c>
      <c r="H105" s="45" t="b">
        <v>0</v>
      </c>
      <c r="I105" s="45" t="b">
        <v>0</v>
      </c>
      <c r="J105" s="45" t="b">
        <v>0</v>
      </c>
      <c r="K105" s="45" t="b">
        <v>0</v>
      </c>
      <c r="L105" s="45" t="b">
        <v>0</v>
      </c>
      <c r="M105" s="45" t="b">
        <v>0</v>
      </c>
      <c r="N105" s="45" t="b">
        <v>0</v>
      </c>
      <c r="O105" s="45" t="b">
        <v>0</v>
      </c>
      <c r="P105" s="34"/>
      <c r="Q105" s="34"/>
      <c r="R105" s="34"/>
      <c r="S105" s="39"/>
      <c r="T105" s="39"/>
      <c r="U105" s="52">
        <v>46181.841412037036</v>
      </c>
      <c r="V105" s="35" t="s">
        <v>63</v>
      </c>
      <c r="W105" s="95"/>
      <c r="X105" s="42"/>
    </row>
    <row r="106" spans="1:24" s="5" customFormat="1" ht="15.75">
      <c r="A106" s="84"/>
      <c r="B106" s="89"/>
      <c r="C106" s="93"/>
      <c r="D106" s="34"/>
      <c r="E10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06" s="35"/>
      <c r="G106" s="45" t="b">
        <v>0</v>
      </c>
      <c r="H106" s="45" t="b">
        <v>0</v>
      </c>
      <c r="I106" s="45" t="b">
        <v>0</v>
      </c>
      <c r="J106" s="45" t="b">
        <v>0</v>
      </c>
      <c r="K106" s="45" t="b">
        <v>0</v>
      </c>
      <c r="L106" s="45" t="b">
        <v>0</v>
      </c>
      <c r="M106" s="45" t="b">
        <v>0</v>
      </c>
      <c r="N106" s="45" t="b">
        <v>0</v>
      </c>
      <c r="O106" s="45" t="b">
        <v>0</v>
      </c>
      <c r="P106" s="34"/>
      <c r="Q106" s="34"/>
      <c r="R106" s="34"/>
      <c r="S106" s="39"/>
      <c r="T106" s="39"/>
      <c r="U106" s="52">
        <v>46181.841412037036</v>
      </c>
      <c r="V106" s="35" t="s">
        <v>63</v>
      </c>
      <c r="W106" s="95"/>
      <c r="X106" s="42"/>
    </row>
    <row r="107" spans="1:24" s="5" customFormat="1" ht="15.75">
      <c r="A107" s="84"/>
      <c r="B107" s="89"/>
      <c r="C107" s="93"/>
      <c r="D107" s="34"/>
      <c r="E10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07" s="35"/>
      <c r="G107" s="45" t="b">
        <v>0</v>
      </c>
      <c r="H107" s="45" t="b">
        <v>0</v>
      </c>
      <c r="I107" s="45" t="b">
        <v>0</v>
      </c>
      <c r="J107" s="45" t="b">
        <v>0</v>
      </c>
      <c r="K107" s="45" t="b">
        <v>0</v>
      </c>
      <c r="L107" s="45" t="b">
        <v>0</v>
      </c>
      <c r="M107" s="45" t="b">
        <v>0</v>
      </c>
      <c r="N107" s="45" t="b">
        <v>0</v>
      </c>
      <c r="O107" s="45" t="b">
        <v>0</v>
      </c>
      <c r="P107" s="34"/>
      <c r="Q107" s="34"/>
      <c r="R107" s="34"/>
      <c r="S107" s="39"/>
      <c r="T107" s="39"/>
      <c r="U107" s="52">
        <v>46181.841412037036</v>
      </c>
      <c r="V107" s="35" t="s">
        <v>63</v>
      </c>
      <c r="W107" s="95"/>
      <c r="X107" s="42"/>
    </row>
    <row r="108" spans="1:24" s="5" customFormat="1" ht="15.75">
      <c r="A108" s="84"/>
      <c r="B108" s="89"/>
      <c r="C108" s="93"/>
      <c r="D108" s="34"/>
      <c r="E10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08" s="35"/>
      <c r="G108" s="45" t="b">
        <v>0</v>
      </c>
      <c r="H108" s="45" t="b">
        <v>0</v>
      </c>
      <c r="I108" s="45" t="b">
        <v>0</v>
      </c>
      <c r="J108" s="45" t="b">
        <v>0</v>
      </c>
      <c r="K108" s="45" t="b">
        <v>0</v>
      </c>
      <c r="L108" s="45" t="b">
        <v>0</v>
      </c>
      <c r="M108" s="45" t="b">
        <v>0</v>
      </c>
      <c r="N108" s="45" t="b">
        <v>0</v>
      </c>
      <c r="O108" s="45" t="b">
        <v>0</v>
      </c>
      <c r="P108" s="34"/>
      <c r="Q108" s="34"/>
      <c r="R108" s="34"/>
      <c r="S108" s="39"/>
      <c r="T108" s="39"/>
      <c r="U108" s="52">
        <v>46181.841412037036</v>
      </c>
      <c r="V108" s="35" t="s">
        <v>63</v>
      </c>
      <c r="W108" s="95"/>
      <c r="X108" s="42"/>
    </row>
    <row r="109" spans="1:24" s="5" customFormat="1" ht="15.75">
      <c r="A109" s="84"/>
      <c r="B109" s="89"/>
      <c r="C109" s="93"/>
      <c r="D109" s="34"/>
      <c r="E10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09" s="35"/>
      <c r="G109" s="45" t="b">
        <v>0</v>
      </c>
      <c r="H109" s="45" t="b">
        <v>0</v>
      </c>
      <c r="I109" s="45" t="b">
        <v>0</v>
      </c>
      <c r="J109" s="45" t="b">
        <v>0</v>
      </c>
      <c r="K109" s="45" t="b">
        <v>0</v>
      </c>
      <c r="L109" s="45" t="b">
        <v>0</v>
      </c>
      <c r="M109" s="45" t="b">
        <v>0</v>
      </c>
      <c r="N109" s="45" t="b">
        <v>0</v>
      </c>
      <c r="O109" s="45" t="b">
        <v>0</v>
      </c>
      <c r="P109" s="34"/>
      <c r="Q109" s="34"/>
      <c r="R109" s="34"/>
      <c r="S109" s="39"/>
      <c r="T109" s="39"/>
      <c r="U109" s="52">
        <v>46181.841412037036</v>
      </c>
      <c r="V109" s="35" t="s">
        <v>63</v>
      </c>
      <c r="W109" s="95"/>
      <c r="X109" s="42"/>
    </row>
    <row r="110" spans="1:24" s="5" customFormat="1" ht="15.75">
      <c r="A110" s="84"/>
      <c r="B110" s="89"/>
      <c r="C110" s="93"/>
      <c r="D110" s="34"/>
      <c r="E11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10" s="35"/>
      <c r="G110" s="45" t="b">
        <v>0</v>
      </c>
      <c r="H110" s="45" t="b">
        <v>0</v>
      </c>
      <c r="I110" s="45" t="b">
        <v>0</v>
      </c>
      <c r="J110" s="45" t="b">
        <v>0</v>
      </c>
      <c r="K110" s="45" t="b">
        <v>0</v>
      </c>
      <c r="L110" s="45" t="b">
        <v>0</v>
      </c>
      <c r="M110" s="45" t="b">
        <v>0</v>
      </c>
      <c r="N110" s="45" t="b">
        <v>0</v>
      </c>
      <c r="O110" s="45" t="b">
        <v>0</v>
      </c>
      <c r="P110" s="34"/>
      <c r="Q110" s="34"/>
      <c r="R110" s="34"/>
      <c r="S110" s="39"/>
      <c r="T110" s="39"/>
      <c r="U110" s="52">
        <v>46181.841412037036</v>
      </c>
      <c r="V110" s="35" t="s">
        <v>63</v>
      </c>
      <c r="W110" s="95"/>
      <c r="X110" s="42"/>
    </row>
    <row r="111" spans="1:24" s="5" customFormat="1" ht="15.75">
      <c r="A111" s="84"/>
      <c r="B111" s="89"/>
      <c r="C111" s="93"/>
      <c r="D111" s="34"/>
      <c r="E11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11" s="35"/>
      <c r="G111" s="45" t="b">
        <v>0</v>
      </c>
      <c r="H111" s="45" t="b">
        <v>0</v>
      </c>
      <c r="I111" s="45" t="b">
        <v>0</v>
      </c>
      <c r="J111" s="45" t="b">
        <v>0</v>
      </c>
      <c r="K111" s="45" t="b">
        <v>0</v>
      </c>
      <c r="L111" s="45" t="b">
        <v>0</v>
      </c>
      <c r="M111" s="45" t="b">
        <v>0</v>
      </c>
      <c r="N111" s="45" t="b">
        <v>0</v>
      </c>
      <c r="O111" s="45" t="b">
        <v>0</v>
      </c>
      <c r="P111" s="34"/>
      <c r="Q111" s="34"/>
      <c r="R111" s="34"/>
      <c r="S111" s="39"/>
      <c r="T111" s="39"/>
      <c r="U111" s="52">
        <v>46181.841412037036</v>
      </c>
      <c r="V111" s="35" t="s">
        <v>63</v>
      </c>
      <c r="W111" s="95"/>
      <c r="X111" s="42"/>
    </row>
    <row r="112" spans="1:24" s="5" customFormat="1" ht="15.75">
      <c r="A112" s="84"/>
      <c r="B112" s="89"/>
      <c r="C112" s="93"/>
      <c r="D112" s="34"/>
      <c r="E11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12" s="35"/>
      <c r="G112" s="45" t="b">
        <v>0</v>
      </c>
      <c r="H112" s="45" t="b">
        <v>0</v>
      </c>
      <c r="I112" s="45" t="b">
        <v>0</v>
      </c>
      <c r="J112" s="45" t="b">
        <v>0</v>
      </c>
      <c r="K112" s="45" t="b">
        <v>0</v>
      </c>
      <c r="L112" s="45" t="b">
        <v>0</v>
      </c>
      <c r="M112" s="45" t="b">
        <v>0</v>
      </c>
      <c r="N112" s="45" t="b">
        <v>0</v>
      </c>
      <c r="O112" s="45" t="b">
        <v>0</v>
      </c>
      <c r="P112" s="34"/>
      <c r="Q112" s="34"/>
      <c r="R112" s="34"/>
      <c r="S112" s="39"/>
      <c r="T112" s="39"/>
      <c r="U112" s="52">
        <v>46181.841412037036</v>
      </c>
      <c r="V112" s="35" t="s">
        <v>63</v>
      </c>
      <c r="W112" s="95"/>
      <c r="X112" s="42"/>
    </row>
    <row r="113" spans="1:24" s="5" customFormat="1" ht="15.75">
      <c r="A113" s="84"/>
      <c r="B113" s="89"/>
      <c r="C113" s="93"/>
      <c r="D113" s="34"/>
      <c r="E11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13" s="35"/>
      <c r="G113" s="45" t="b">
        <v>0</v>
      </c>
      <c r="H113" s="45" t="b">
        <v>0</v>
      </c>
      <c r="I113" s="45" t="b">
        <v>0</v>
      </c>
      <c r="J113" s="45" t="b">
        <v>0</v>
      </c>
      <c r="K113" s="45" t="b">
        <v>0</v>
      </c>
      <c r="L113" s="45" t="b">
        <v>0</v>
      </c>
      <c r="M113" s="45" t="b">
        <v>0</v>
      </c>
      <c r="N113" s="45" t="b">
        <v>0</v>
      </c>
      <c r="O113" s="45" t="b">
        <v>0</v>
      </c>
      <c r="P113" s="34"/>
      <c r="Q113" s="34"/>
      <c r="R113" s="34"/>
      <c r="S113" s="39"/>
      <c r="T113" s="39"/>
      <c r="U113" s="52">
        <v>46181.841412037036</v>
      </c>
      <c r="V113" s="35" t="s">
        <v>63</v>
      </c>
      <c r="W113" s="95"/>
      <c r="X113" s="42"/>
    </row>
    <row r="114" spans="1:24" s="5" customFormat="1" ht="15.75">
      <c r="A114" s="84"/>
      <c r="B114" s="89"/>
      <c r="C114" s="93"/>
      <c r="D114" s="34"/>
      <c r="E11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14" s="35"/>
      <c r="G114" s="45" t="b">
        <v>0</v>
      </c>
      <c r="H114" s="45" t="b">
        <v>0</v>
      </c>
      <c r="I114" s="45" t="b">
        <v>0</v>
      </c>
      <c r="J114" s="45" t="b">
        <v>0</v>
      </c>
      <c r="K114" s="45" t="b">
        <v>0</v>
      </c>
      <c r="L114" s="45" t="b">
        <v>0</v>
      </c>
      <c r="M114" s="45" t="b">
        <v>0</v>
      </c>
      <c r="N114" s="45" t="b">
        <v>0</v>
      </c>
      <c r="O114" s="45" t="b">
        <v>0</v>
      </c>
      <c r="P114" s="34"/>
      <c r="Q114" s="34"/>
      <c r="R114" s="34"/>
      <c r="S114" s="39"/>
      <c r="T114" s="39"/>
      <c r="U114" s="52">
        <v>46181.841412037036</v>
      </c>
      <c r="V114" s="35" t="s">
        <v>63</v>
      </c>
      <c r="W114" s="95"/>
      <c r="X114" s="42"/>
    </row>
    <row r="115" spans="1:24" s="5" customFormat="1" ht="15.75">
      <c r="A115" s="84"/>
      <c r="B115" s="89"/>
      <c r="C115" s="93"/>
      <c r="D115" s="34"/>
      <c r="E11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15" s="35"/>
      <c r="G115" s="45" t="b">
        <v>0</v>
      </c>
      <c r="H115" s="45" t="b">
        <v>0</v>
      </c>
      <c r="I115" s="45" t="b">
        <v>0</v>
      </c>
      <c r="J115" s="45" t="b">
        <v>0</v>
      </c>
      <c r="K115" s="45" t="b">
        <v>0</v>
      </c>
      <c r="L115" s="45" t="b">
        <v>0</v>
      </c>
      <c r="M115" s="45" t="b">
        <v>0</v>
      </c>
      <c r="N115" s="45" t="b">
        <v>0</v>
      </c>
      <c r="O115" s="45" t="b">
        <v>0</v>
      </c>
      <c r="P115" s="34"/>
      <c r="Q115" s="34"/>
      <c r="R115" s="34"/>
      <c r="S115" s="39"/>
      <c r="T115" s="39"/>
      <c r="U115" s="52">
        <v>46181.841412037036</v>
      </c>
      <c r="V115" s="35" t="s">
        <v>63</v>
      </c>
      <c r="W115" s="95"/>
      <c r="X115" s="42"/>
    </row>
    <row r="116" spans="1:24" s="5" customFormat="1" ht="15.75">
      <c r="A116" s="84"/>
      <c r="B116" s="89"/>
      <c r="C116" s="93"/>
      <c r="D116" s="34"/>
      <c r="E11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16" s="35"/>
      <c r="G116" s="45" t="b">
        <v>0</v>
      </c>
      <c r="H116" s="45" t="b">
        <v>0</v>
      </c>
      <c r="I116" s="45" t="b">
        <v>0</v>
      </c>
      <c r="J116" s="45" t="b">
        <v>0</v>
      </c>
      <c r="K116" s="45" t="b">
        <v>0</v>
      </c>
      <c r="L116" s="45" t="b">
        <v>0</v>
      </c>
      <c r="M116" s="45" t="b">
        <v>0</v>
      </c>
      <c r="N116" s="45" t="b">
        <v>0</v>
      </c>
      <c r="O116" s="45" t="b">
        <v>0</v>
      </c>
      <c r="P116" s="34"/>
      <c r="Q116" s="34"/>
      <c r="R116" s="34"/>
      <c r="S116" s="39"/>
      <c r="T116" s="39"/>
      <c r="U116" s="52">
        <v>46181.841423611113</v>
      </c>
      <c r="V116" s="35" t="s">
        <v>63</v>
      </c>
      <c r="W116" s="95"/>
      <c r="X116" s="42"/>
    </row>
    <row r="117" spans="1:24" s="5" customFormat="1" ht="15.75">
      <c r="A117" s="84"/>
      <c r="B117" s="89"/>
      <c r="C117" s="93"/>
      <c r="D117" s="34"/>
      <c r="E11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17" s="35"/>
      <c r="G117" s="45" t="b">
        <v>0</v>
      </c>
      <c r="H117" s="45" t="b">
        <v>0</v>
      </c>
      <c r="I117" s="45" t="b">
        <v>0</v>
      </c>
      <c r="J117" s="45" t="b">
        <v>0</v>
      </c>
      <c r="K117" s="45" t="b">
        <v>0</v>
      </c>
      <c r="L117" s="45" t="b">
        <v>0</v>
      </c>
      <c r="M117" s="45" t="b">
        <v>0</v>
      </c>
      <c r="N117" s="45" t="b">
        <v>0</v>
      </c>
      <c r="O117" s="45" t="b">
        <v>0</v>
      </c>
      <c r="P117" s="34"/>
      <c r="Q117" s="34"/>
      <c r="R117" s="34"/>
      <c r="S117" s="39"/>
      <c r="T117" s="39"/>
      <c r="U117" s="52">
        <v>46181.841423611113</v>
      </c>
      <c r="V117" s="35" t="s">
        <v>63</v>
      </c>
      <c r="W117" s="95"/>
      <c r="X117" s="42"/>
    </row>
    <row r="118" spans="1:24" s="5" customFormat="1" ht="15.75">
      <c r="A118" s="84"/>
      <c r="B118" s="89"/>
      <c r="C118" s="93"/>
      <c r="D118" s="34"/>
      <c r="E11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18" s="35"/>
      <c r="G118" s="45" t="b">
        <v>0</v>
      </c>
      <c r="H118" s="45" t="b">
        <v>0</v>
      </c>
      <c r="I118" s="45" t="b">
        <v>0</v>
      </c>
      <c r="J118" s="45" t="b">
        <v>0</v>
      </c>
      <c r="K118" s="45" t="b">
        <v>0</v>
      </c>
      <c r="L118" s="45" t="b">
        <v>0</v>
      </c>
      <c r="M118" s="45" t="b">
        <v>0</v>
      </c>
      <c r="N118" s="45" t="b">
        <v>0</v>
      </c>
      <c r="O118" s="45" t="b">
        <v>0</v>
      </c>
      <c r="P118" s="34"/>
      <c r="Q118" s="34"/>
      <c r="R118" s="34"/>
      <c r="S118" s="39"/>
      <c r="T118" s="39"/>
      <c r="U118" s="52">
        <v>46181.841423611113</v>
      </c>
      <c r="V118" s="35" t="s">
        <v>63</v>
      </c>
      <c r="W118" s="95"/>
      <c r="X118" s="42"/>
    </row>
    <row r="119" spans="1:24" s="5" customFormat="1" ht="15.75">
      <c r="A119" s="84"/>
      <c r="B119" s="89"/>
      <c r="C119" s="93"/>
      <c r="D119" s="34"/>
      <c r="E11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19" s="35"/>
      <c r="G119" s="45" t="b">
        <v>0</v>
      </c>
      <c r="H119" s="45" t="b">
        <v>0</v>
      </c>
      <c r="I119" s="45" t="b">
        <v>0</v>
      </c>
      <c r="J119" s="45" t="b">
        <v>0</v>
      </c>
      <c r="K119" s="45" t="b">
        <v>0</v>
      </c>
      <c r="L119" s="45" t="b">
        <v>0</v>
      </c>
      <c r="M119" s="45" t="b">
        <v>0</v>
      </c>
      <c r="N119" s="45" t="b">
        <v>0</v>
      </c>
      <c r="O119" s="45" t="b">
        <v>0</v>
      </c>
      <c r="P119" s="34"/>
      <c r="Q119" s="34"/>
      <c r="R119" s="34"/>
      <c r="S119" s="39"/>
      <c r="T119" s="39"/>
      <c r="U119" s="52">
        <v>46181.841423611113</v>
      </c>
      <c r="V119" s="35" t="s">
        <v>63</v>
      </c>
      <c r="W119" s="95"/>
      <c r="X119" s="42"/>
    </row>
    <row r="120" spans="1:24" s="5" customFormat="1" ht="15.75">
      <c r="A120" s="84"/>
      <c r="B120" s="89"/>
      <c r="C120" s="93"/>
      <c r="D120" s="34"/>
      <c r="E12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20" s="35"/>
      <c r="G120" s="45" t="b">
        <v>0</v>
      </c>
      <c r="H120" s="45" t="b">
        <v>0</v>
      </c>
      <c r="I120" s="45" t="b">
        <v>0</v>
      </c>
      <c r="J120" s="45" t="b">
        <v>0</v>
      </c>
      <c r="K120" s="45" t="b">
        <v>0</v>
      </c>
      <c r="L120" s="45" t="b">
        <v>0</v>
      </c>
      <c r="M120" s="45" t="b">
        <v>0</v>
      </c>
      <c r="N120" s="45" t="b">
        <v>0</v>
      </c>
      <c r="O120" s="45" t="b">
        <v>0</v>
      </c>
      <c r="P120" s="34"/>
      <c r="Q120" s="34"/>
      <c r="R120" s="34"/>
      <c r="S120" s="39"/>
      <c r="T120" s="39"/>
      <c r="U120" s="52">
        <v>46181.841423611113</v>
      </c>
      <c r="V120" s="35" t="s">
        <v>63</v>
      </c>
      <c r="W120" s="95"/>
      <c r="X120" s="42"/>
    </row>
    <row r="121" spans="1:24" s="5" customFormat="1" ht="15.75">
      <c r="A121" s="84"/>
      <c r="B121" s="89"/>
      <c r="C121" s="93"/>
      <c r="D121" s="34"/>
      <c r="E12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21" s="35"/>
      <c r="G121" s="45" t="b">
        <v>0</v>
      </c>
      <c r="H121" s="45" t="b">
        <v>0</v>
      </c>
      <c r="I121" s="45" t="b">
        <v>0</v>
      </c>
      <c r="J121" s="45" t="b">
        <v>0</v>
      </c>
      <c r="K121" s="45" t="b">
        <v>0</v>
      </c>
      <c r="L121" s="45" t="b">
        <v>0</v>
      </c>
      <c r="M121" s="45" t="b">
        <v>0</v>
      </c>
      <c r="N121" s="45" t="b">
        <v>0</v>
      </c>
      <c r="O121" s="45" t="b">
        <v>0</v>
      </c>
      <c r="P121" s="34"/>
      <c r="Q121" s="34"/>
      <c r="R121" s="34"/>
      <c r="S121" s="39"/>
      <c r="T121" s="39"/>
      <c r="U121" s="52">
        <v>46181.841423611113</v>
      </c>
      <c r="V121" s="35" t="s">
        <v>63</v>
      </c>
      <c r="W121" s="95"/>
      <c r="X121" s="42"/>
    </row>
    <row r="122" spans="1:24" s="5" customFormat="1" ht="15.75">
      <c r="A122" s="84"/>
      <c r="B122" s="89"/>
      <c r="C122" s="93"/>
      <c r="D122" s="34"/>
      <c r="E12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22" s="35"/>
      <c r="G122" s="45" t="b">
        <v>0</v>
      </c>
      <c r="H122" s="45" t="b">
        <v>0</v>
      </c>
      <c r="I122" s="45" t="b">
        <v>0</v>
      </c>
      <c r="J122" s="45" t="b">
        <v>0</v>
      </c>
      <c r="K122" s="45" t="b">
        <v>0</v>
      </c>
      <c r="L122" s="45" t="b">
        <v>0</v>
      </c>
      <c r="M122" s="45" t="b">
        <v>0</v>
      </c>
      <c r="N122" s="45" t="b">
        <v>0</v>
      </c>
      <c r="O122" s="45" t="b">
        <v>0</v>
      </c>
      <c r="P122" s="34"/>
      <c r="Q122" s="34"/>
      <c r="R122" s="34"/>
      <c r="S122" s="39"/>
      <c r="T122" s="39"/>
      <c r="U122" s="52">
        <v>46181.841423611113</v>
      </c>
      <c r="V122" s="35" t="s">
        <v>63</v>
      </c>
      <c r="W122" s="95"/>
      <c r="X122" s="42"/>
    </row>
    <row r="123" spans="1:24" s="5" customFormat="1" ht="15.75">
      <c r="A123" s="84"/>
      <c r="B123" s="89"/>
      <c r="C123" s="93"/>
      <c r="D123" s="34"/>
      <c r="E12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23" s="35"/>
      <c r="G123" s="45" t="b">
        <v>0</v>
      </c>
      <c r="H123" s="45" t="b">
        <v>0</v>
      </c>
      <c r="I123" s="45" t="b">
        <v>0</v>
      </c>
      <c r="J123" s="45" t="b">
        <v>0</v>
      </c>
      <c r="K123" s="45" t="b">
        <v>0</v>
      </c>
      <c r="L123" s="45" t="b">
        <v>0</v>
      </c>
      <c r="M123" s="45" t="b">
        <v>0</v>
      </c>
      <c r="N123" s="45" t="b">
        <v>0</v>
      </c>
      <c r="O123" s="45" t="b">
        <v>0</v>
      </c>
      <c r="P123" s="34"/>
      <c r="Q123" s="34"/>
      <c r="R123" s="34"/>
      <c r="S123" s="39"/>
      <c r="T123" s="39"/>
      <c r="U123" s="52">
        <v>46181.841423611113</v>
      </c>
      <c r="V123" s="35" t="s">
        <v>63</v>
      </c>
      <c r="W123" s="95"/>
      <c r="X123" s="42"/>
    </row>
    <row r="124" spans="1:24" s="5" customFormat="1" ht="15.75">
      <c r="A124" s="84"/>
      <c r="B124" s="89"/>
      <c r="C124" s="93"/>
      <c r="D124" s="34"/>
      <c r="E12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24" s="35"/>
      <c r="G124" s="45" t="b">
        <v>0</v>
      </c>
      <c r="H124" s="45" t="b">
        <v>0</v>
      </c>
      <c r="I124" s="45" t="b">
        <v>0</v>
      </c>
      <c r="J124" s="45" t="b">
        <v>0</v>
      </c>
      <c r="K124" s="45" t="b">
        <v>0</v>
      </c>
      <c r="L124" s="45" t="b">
        <v>0</v>
      </c>
      <c r="M124" s="45" t="b">
        <v>0</v>
      </c>
      <c r="N124" s="45" t="b">
        <v>0</v>
      </c>
      <c r="O124" s="45" t="b">
        <v>0</v>
      </c>
      <c r="P124" s="34"/>
      <c r="Q124" s="34"/>
      <c r="R124" s="34"/>
      <c r="S124" s="39"/>
      <c r="T124" s="39"/>
      <c r="U124" s="52">
        <v>46181.841423611113</v>
      </c>
      <c r="V124" s="35" t="s">
        <v>63</v>
      </c>
      <c r="W124" s="95"/>
      <c r="X124" s="42"/>
    </row>
    <row r="125" spans="1:24" s="5" customFormat="1" ht="15.75">
      <c r="A125" s="84"/>
      <c r="B125" s="89"/>
      <c r="C125" s="93"/>
      <c r="D125" s="34"/>
      <c r="E12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25" s="35"/>
      <c r="G125" s="45" t="b">
        <v>0</v>
      </c>
      <c r="H125" s="45" t="b">
        <v>0</v>
      </c>
      <c r="I125" s="45" t="b">
        <v>0</v>
      </c>
      <c r="J125" s="45" t="b">
        <v>0</v>
      </c>
      <c r="K125" s="45" t="b">
        <v>0</v>
      </c>
      <c r="L125" s="45" t="b">
        <v>0</v>
      </c>
      <c r="M125" s="45" t="b">
        <v>0</v>
      </c>
      <c r="N125" s="45" t="b">
        <v>0</v>
      </c>
      <c r="O125" s="45" t="b">
        <v>0</v>
      </c>
      <c r="P125" s="34"/>
      <c r="Q125" s="34"/>
      <c r="R125" s="34"/>
      <c r="S125" s="39"/>
      <c r="T125" s="39"/>
      <c r="U125" s="52">
        <v>46181.841423611113</v>
      </c>
      <c r="V125" s="35" t="s">
        <v>63</v>
      </c>
      <c r="W125" s="95"/>
      <c r="X125" s="42"/>
    </row>
    <row r="126" spans="1:24" s="5" customFormat="1" ht="15.75">
      <c r="A126" s="84"/>
      <c r="B126" s="89"/>
      <c r="C126" s="93"/>
      <c r="D126" s="34"/>
      <c r="E12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26" s="35"/>
      <c r="G126" s="45" t="b">
        <v>0</v>
      </c>
      <c r="H126" s="45" t="b">
        <v>0</v>
      </c>
      <c r="I126" s="45" t="b">
        <v>0</v>
      </c>
      <c r="J126" s="45" t="b">
        <v>0</v>
      </c>
      <c r="K126" s="45" t="b">
        <v>0</v>
      </c>
      <c r="L126" s="45" t="b">
        <v>0</v>
      </c>
      <c r="M126" s="45" t="b">
        <v>0</v>
      </c>
      <c r="N126" s="45" t="b">
        <v>0</v>
      </c>
      <c r="O126" s="45" t="b">
        <v>0</v>
      </c>
      <c r="P126" s="34"/>
      <c r="Q126" s="34"/>
      <c r="R126" s="34"/>
      <c r="S126" s="39"/>
      <c r="T126" s="39"/>
      <c r="U126" s="52">
        <v>46181.841423611113</v>
      </c>
      <c r="V126" s="35" t="s">
        <v>63</v>
      </c>
      <c r="W126" s="95"/>
      <c r="X126" s="42"/>
    </row>
    <row r="127" spans="1:24" s="5" customFormat="1" ht="15.75">
      <c r="A127" s="84"/>
      <c r="B127" s="89"/>
      <c r="C127" s="93"/>
      <c r="D127" s="34"/>
      <c r="E12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27" s="35"/>
      <c r="G127" s="45" t="b">
        <v>0</v>
      </c>
      <c r="H127" s="45" t="b">
        <v>0</v>
      </c>
      <c r="I127" s="45" t="b">
        <v>0</v>
      </c>
      <c r="J127" s="45" t="b">
        <v>0</v>
      </c>
      <c r="K127" s="45" t="b">
        <v>0</v>
      </c>
      <c r="L127" s="45" t="b">
        <v>0</v>
      </c>
      <c r="M127" s="45" t="b">
        <v>0</v>
      </c>
      <c r="N127" s="45" t="b">
        <v>0</v>
      </c>
      <c r="O127" s="45" t="b">
        <v>0</v>
      </c>
      <c r="P127" s="34"/>
      <c r="Q127" s="34"/>
      <c r="R127" s="34"/>
      <c r="S127" s="39"/>
      <c r="T127" s="39"/>
      <c r="U127" s="52">
        <v>46181.841423611113</v>
      </c>
      <c r="V127" s="35" t="s">
        <v>63</v>
      </c>
      <c r="W127" s="95"/>
      <c r="X127" s="42"/>
    </row>
    <row r="128" spans="1:24" s="5" customFormat="1" ht="15.75">
      <c r="A128" s="84"/>
      <c r="B128" s="89"/>
      <c r="C128" s="93"/>
      <c r="D128" s="34"/>
      <c r="E12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28" s="35"/>
      <c r="G128" s="45" t="b">
        <v>0</v>
      </c>
      <c r="H128" s="45" t="b">
        <v>0</v>
      </c>
      <c r="I128" s="45" t="b">
        <v>0</v>
      </c>
      <c r="J128" s="45" t="b">
        <v>0</v>
      </c>
      <c r="K128" s="45" t="b">
        <v>0</v>
      </c>
      <c r="L128" s="45" t="b">
        <v>0</v>
      </c>
      <c r="M128" s="45" t="b">
        <v>0</v>
      </c>
      <c r="N128" s="45" t="b">
        <v>0</v>
      </c>
      <c r="O128" s="45" t="b">
        <v>0</v>
      </c>
      <c r="P128" s="34"/>
      <c r="Q128" s="34"/>
      <c r="R128" s="34"/>
      <c r="S128" s="39"/>
      <c r="T128" s="39"/>
      <c r="U128" s="52">
        <v>46181.841423611113</v>
      </c>
      <c r="V128" s="35" t="s">
        <v>63</v>
      </c>
      <c r="W128" s="95"/>
      <c r="X128" s="42"/>
    </row>
    <row r="129" spans="1:24" s="5" customFormat="1" ht="15.75">
      <c r="A129" s="84"/>
      <c r="B129" s="89"/>
      <c r="C129" s="93"/>
      <c r="D129" s="34"/>
      <c r="E12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29" s="35"/>
      <c r="G129" s="45" t="b">
        <v>0</v>
      </c>
      <c r="H129" s="45" t="b">
        <v>0</v>
      </c>
      <c r="I129" s="45" t="b">
        <v>0</v>
      </c>
      <c r="J129" s="45" t="b">
        <v>0</v>
      </c>
      <c r="K129" s="45" t="b">
        <v>0</v>
      </c>
      <c r="L129" s="45" t="b">
        <v>0</v>
      </c>
      <c r="M129" s="45" t="b">
        <v>0</v>
      </c>
      <c r="N129" s="45" t="b">
        <v>0</v>
      </c>
      <c r="O129" s="45" t="b">
        <v>0</v>
      </c>
      <c r="P129" s="34"/>
      <c r="Q129" s="34"/>
      <c r="R129" s="34"/>
      <c r="S129" s="39"/>
      <c r="T129" s="39"/>
      <c r="U129" s="52">
        <v>46181.841423611113</v>
      </c>
      <c r="V129" s="35" t="s">
        <v>63</v>
      </c>
      <c r="W129" s="95"/>
      <c r="X129" s="42"/>
    </row>
    <row r="130" spans="1:24" s="5" customFormat="1" ht="15.75">
      <c r="A130" s="84"/>
      <c r="B130" s="89"/>
      <c r="C130" s="93"/>
      <c r="D130" s="34"/>
      <c r="E13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30" s="35"/>
      <c r="G130" s="45" t="b">
        <v>0</v>
      </c>
      <c r="H130" s="45" t="b">
        <v>0</v>
      </c>
      <c r="I130" s="45" t="b">
        <v>0</v>
      </c>
      <c r="J130" s="45" t="b">
        <v>0</v>
      </c>
      <c r="K130" s="45" t="b">
        <v>0</v>
      </c>
      <c r="L130" s="45" t="b">
        <v>0</v>
      </c>
      <c r="M130" s="45" t="b">
        <v>0</v>
      </c>
      <c r="N130" s="45" t="b">
        <v>0</v>
      </c>
      <c r="O130" s="45" t="b">
        <v>0</v>
      </c>
      <c r="P130" s="34"/>
      <c r="Q130" s="34"/>
      <c r="R130" s="34"/>
      <c r="S130" s="39"/>
      <c r="T130" s="39"/>
      <c r="U130" s="52">
        <v>46181.841423611113</v>
      </c>
      <c r="V130" s="35" t="s">
        <v>63</v>
      </c>
      <c r="W130" s="95"/>
      <c r="X130" s="42"/>
    </row>
    <row r="131" spans="1:24" s="5" customFormat="1" ht="15.75">
      <c r="A131" s="84"/>
      <c r="B131" s="89"/>
      <c r="C131" s="93"/>
      <c r="D131" s="34"/>
      <c r="E13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31" s="35"/>
      <c r="G131" s="45" t="b">
        <v>0</v>
      </c>
      <c r="H131" s="45" t="b">
        <v>0</v>
      </c>
      <c r="I131" s="45" t="b">
        <v>0</v>
      </c>
      <c r="J131" s="45" t="b">
        <v>0</v>
      </c>
      <c r="K131" s="45" t="b">
        <v>0</v>
      </c>
      <c r="L131" s="45" t="b">
        <v>0</v>
      </c>
      <c r="M131" s="45" t="b">
        <v>0</v>
      </c>
      <c r="N131" s="45" t="b">
        <v>0</v>
      </c>
      <c r="O131" s="45" t="b">
        <v>0</v>
      </c>
      <c r="P131" s="34"/>
      <c r="Q131" s="34"/>
      <c r="R131" s="34"/>
      <c r="S131" s="39"/>
      <c r="T131" s="39"/>
      <c r="U131" s="52">
        <v>46181.841423611113</v>
      </c>
      <c r="V131" s="35" t="s">
        <v>63</v>
      </c>
      <c r="W131" s="95"/>
      <c r="X131" s="42"/>
    </row>
    <row r="132" spans="1:24" s="5" customFormat="1" ht="15.75">
      <c r="A132" s="84"/>
      <c r="B132" s="89"/>
      <c r="C132" s="93"/>
      <c r="D132" s="34"/>
      <c r="E13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32" s="35"/>
      <c r="G132" s="45" t="b">
        <v>0</v>
      </c>
      <c r="H132" s="45" t="b">
        <v>0</v>
      </c>
      <c r="I132" s="45" t="b">
        <v>0</v>
      </c>
      <c r="J132" s="45" t="b">
        <v>0</v>
      </c>
      <c r="K132" s="45" t="b">
        <v>0</v>
      </c>
      <c r="L132" s="45" t="b">
        <v>0</v>
      </c>
      <c r="M132" s="45" t="b">
        <v>0</v>
      </c>
      <c r="N132" s="45" t="b">
        <v>0</v>
      </c>
      <c r="O132" s="45" t="b">
        <v>0</v>
      </c>
      <c r="P132" s="34"/>
      <c r="Q132" s="34"/>
      <c r="R132" s="34"/>
      <c r="S132" s="39"/>
      <c r="T132" s="39"/>
      <c r="U132" s="52">
        <v>46181.841435185182</v>
      </c>
      <c r="V132" s="35" t="s">
        <v>63</v>
      </c>
      <c r="W132" s="95"/>
      <c r="X132" s="42"/>
    </row>
    <row r="133" spans="1:24" s="5" customFormat="1" ht="15.75">
      <c r="A133" s="84"/>
      <c r="B133" s="89"/>
      <c r="C133" s="93"/>
      <c r="D133" s="34"/>
      <c r="E13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33" s="35"/>
      <c r="G133" s="45" t="b">
        <v>0</v>
      </c>
      <c r="H133" s="45" t="b">
        <v>0</v>
      </c>
      <c r="I133" s="45" t="b">
        <v>0</v>
      </c>
      <c r="J133" s="45" t="b">
        <v>0</v>
      </c>
      <c r="K133" s="45" t="b">
        <v>0</v>
      </c>
      <c r="L133" s="45" t="b">
        <v>0</v>
      </c>
      <c r="M133" s="45" t="b">
        <v>0</v>
      </c>
      <c r="N133" s="45" t="b">
        <v>0</v>
      </c>
      <c r="O133" s="45" t="b">
        <v>0</v>
      </c>
      <c r="P133" s="34"/>
      <c r="Q133" s="34"/>
      <c r="R133" s="34"/>
      <c r="S133" s="39"/>
      <c r="T133" s="39"/>
      <c r="U133" s="52">
        <v>46181.841435185182</v>
      </c>
      <c r="V133" s="35" t="s">
        <v>63</v>
      </c>
      <c r="W133" s="95"/>
      <c r="X133" s="42"/>
    </row>
    <row r="134" spans="1:24" s="5" customFormat="1" ht="15.75">
      <c r="A134" s="84"/>
      <c r="B134" s="89"/>
      <c r="C134" s="93"/>
      <c r="D134" s="34"/>
      <c r="E13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34" s="35"/>
      <c r="G134" s="45" t="b">
        <v>0</v>
      </c>
      <c r="H134" s="45" t="b">
        <v>0</v>
      </c>
      <c r="I134" s="45" t="b">
        <v>0</v>
      </c>
      <c r="J134" s="45" t="b">
        <v>0</v>
      </c>
      <c r="K134" s="45" t="b">
        <v>0</v>
      </c>
      <c r="L134" s="45" t="b">
        <v>0</v>
      </c>
      <c r="M134" s="45" t="b">
        <v>0</v>
      </c>
      <c r="N134" s="45" t="b">
        <v>0</v>
      </c>
      <c r="O134" s="45" t="b">
        <v>0</v>
      </c>
      <c r="P134" s="34"/>
      <c r="Q134" s="34"/>
      <c r="R134" s="34"/>
      <c r="S134" s="39"/>
      <c r="T134" s="39"/>
      <c r="U134" s="52">
        <v>46181.841435185182</v>
      </c>
      <c r="V134" s="35" t="s">
        <v>63</v>
      </c>
      <c r="W134" s="95"/>
      <c r="X134" s="42"/>
    </row>
    <row r="135" spans="1:24" s="5" customFormat="1" ht="15.75">
      <c r="A135" s="84"/>
      <c r="B135" s="89"/>
      <c r="C135" s="93"/>
      <c r="D135" s="34"/>
      <c r="E13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35" s="35"/>
      <c r="G135" s="45" t="b">
        <v>0</v>
      </c>
      <c r="H135" s="45" t="b">
        <v>0</v>
      </c>
      <c r="I135" s="45" t="b">
        <v>0</v>
      </c>
      <c r="J135" s="45" t="b">
        <v>0</v>
      </c>
      <c r="K135" s="45" t="b">
        <v>0</v>
      </c>
      <c r="L135" s="45" t="b">
        <v>0</v>
      </c>
      <c r="M135" s="45" t="b">
        <v>0</v>
      </c>
      <c r="N135" s="45" t="b">
        <v>0</v>
      </c>
      <c r="O135" s="45" t="b">
        <v>0</v>
      </c>
      <c r="P135" s="34"/>
      <c r="Q135" s="34"/>
      <c r="R135" s="34"/>
      <c r="S135" s="39"/>
      <c r="T135" s="39"/>
      <c r="U135" s="52">
        <v>46181.841435185182</v>
      </c>
      <c r="V135" s="35" t="s">
        <v>63</v>
      </c>
      <c r="W135" s="95"/>
      <c r="X135" s="42"/>
    </row>
    <row r="136" spans="1:24" s="5" customFormat="1" ht="15.75">
      <c r="A136" s="84"/>
      <c r="B136" s="89"/>
      <c r="C136" s="93"/>
      <c r="D136" s="34"/>
      <c r="E13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36" s="35"/>
      <c r="G136" s="45" t="b">
        <v>0</v>
      </c>
      <c r="H136" s="45" t="b">
        <v>0</v>
      </c>
      <c r="I136" s="45" t="b">
        <v>0</v>
      </c>
      <c r="J136" s="45" t="b">
        <v>0</v>
      </c>
      <c r="K136" s="45" t="b">
        <v>0</v>
      </c>
      <c r="L136" s="45" t="b">
        <v>0</v>
      </c>
      <c r="M136" s="45" t="b">
        <v>0</v>
      </c>
      <c r="N136" s="45" t="b">
        <v>0</v>
      </c>
      <c r="O136" s="45" t="b">
        <v>0</v>
      </c>
      <c r="P136" s="34"/>
      <c r="Q136" s="34"/>
      <c r="R136" s="34"/>
      <c r="S136" s="39"/>
      <c r="T136" s="39"/>
      <c r="U136" s="52">
        <v>46181.841435185182</v>
      </c>
      <c r="V136" s="35" t="s">
        <v>63</v>
      </c>
      <c r="W136" s="95"/>
      <c r="X136" s="42"/>
    </row>
    <row r="137" spans="1:24" s="5" customFormat="1" ht="15.75">
      <c r="A137" s="84"/>
      <c r="B137" s="89"/>
      <c r="C137" s="93"/>
      <c r="D137" s="34"/>
      <c r="E13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37" s="35"/>
      <c r="G137" s="45" t="b">
        <v>0</v>
      </c>
      <c r="H137" s="45" t="b">
        <v>0</v>
      </c>
      <c r="I137" s="45" t="b">
        <v>0</v>
      </c>
      <c r="J137" s="45" t="b">
        <v>0</v>
      </c>
      <c r="K137" s="45" t="b">
        <v>0</v>
      </c>
      <c r="L137" s="45" t="b">
        <v>0</v>
      </c>
      <c r="M137" s="45" t="b">
        <v>0</v>
      </c>
      <c r="N137" s="45" t="b">
        <v>0</v>
      </c>
      <c r="O137" s="45" t="b">
        <v>0</v>
      </c>
      <c r="P137" s="34"/>
      <c r="Q137" s="34"/>
      <c r="R137" s="34"/>
      <c r="S137" s="39"/>
      <c r="T137" s="39"/>
      <c r="U137" s="52">
        <v>46181.841435185182</v>
      </c>
      <c r="V137" s="35" t="s">
        <v>63</v>
      </c>
      <c r="W137" s="95"/>
      <c r="X137" s="42"/>
    </row>
    <row r="138" spans="1:24" s="5" customFormat="1" ht="15.75">
      <c r="A138" s="84"/>
      <c r="B138" s="89"/>
      <c r="C138" s="93"/>
      <c r="D138" s="34"/>
      <c r="E13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38" s="35"/>
      <c r="G138" s="45" t="b">
        <v>0</v>
      </c>
      <c r="H138" s="45" t="b">
        <v>0</v>
      </c>
      <c r="I138" s="45" t="b">
        <v>0</v>
      </c>
      <c r="J138" s="45" t="b">
        <v>0</v>
      </c>
      <c r="K138" s="45" t="b">
        <v>0</v>
      </c>
      <c r="L138" s="45" t="b">
        <v>0</v>
      </c>
      <c r="M138" s="45" t="b">
        <v>0</v>
      </c>
      <c r="N138" s="45" t="b">
        <v>0</v>
      </c>
      <c r="O138" s="45" t="b">
        <v>0</v>
      </c>
      <c r="P138" s="34"/>
      <c r="Q138" s="34"/>
      <c r="R138" s="34"/>
      <c r="S138" s="39"/>
      <c r="T138" s="39"/>
      <c r="U138" s="52">
        <v>46181.841435185182</v>
      </c>
      <c r="V138" s="35" t="s">
        <v>63</v>
      </c>
      <c r="W138" s="95"/>
      <c r="X138" s="42"/>
    </row>
    <row r="139" spans="1:24" s="5" customFormat="1" ht="15.75">
      <c r="A139" s="84"/>
      <c r="B139" s="89"/>
      <c r="C139" s="93"/>
      <c r="D139" s="34"/>
      <c r="E13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39" s="35"/>
      <c r="G139" s="45" t="b">
        <v>0</v>
      </c>
      <c r="H139" s="45" t="b">
        <v>0</v>
      </c>
      <c r="I139" s="45" t="b">
        <v>0</v>
      </c>
      <c r="J139" s="45" t="b">
        <v>0</v>
      </c>
      <c r="K139" s="45" t="b">
        <v>0</v>
      </c>
      <c r="L139" s="45" t="b">
        <v>0</v>
      </c>
      <c r="M139" s="45" t="b">
        <v>0</v>
      </c>
      <c r="N139" s="45" t="b">
        <v>0</v>
      </c>
      <c r="O139" s="45" t="b">
        <v>0</v>
      </c>
      <c r="P139" s="34"/>
      <c r="Q139" s="34"/>
      <c r="R139" s="34"/>
      <c r="S139" s="39"/>
      <c r="T139" s="39"/>
      <c r="U139" s="52">
        <v>46181.841435185182</v>
      </c>
      <c r="V139" s="35" t="s">
        <v>63</v>
      </c>
      <c r="W139" s="95"/>
      <c r="X139" s="42"/>
    </row>
    <row r="140" spans="1:24" s="5" customFormat="1" ht="15.75">
      <c r="A140" s="84"/>
      <c r="B140" s="89"/>
      <c r="C140" s="93"/>
      <c r="D140" s="34"/>
      <c r="E14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40" s="35"/>
      <c r="G140" s="45" t="b">
        <v>0</v>
      </c>
      <c r="H140" s="45" t="b">
        <v>0</v>
      </c>
      <c r="I140" s="45" t="b">
        <v>0</v>
      </c>
      <c r="J140" s="45" t="b">
        <v>0</v>
      </c>
      <c r="K140" s="45" t="b">
        <v>0</v>
      </c>
      <c r="L140" s="45" t="b">
        <v>0</v>
      </c>
      <c r="M140" s="45" t="b">
        <v>0</v>
      </c>
      <c r="N140" s="45" t="b">
        <v>0</v>
      </c>
      <c r="O140" s="45" t="b">
        <v>0</v>
      </c>
      <c r="P140" s="34"/>
      <c r="Q140" s="34"/>
      <c r="R140" s="34"/>
      <c r="S140" s="39"/>
      <c r="T140" s="39"/>
      <c r="U140" s="52">
        <v>46181.841435185182</v>
      </c>
      <c r="V140" s="35" t="s">
        <v>63</v>
      </c>
      <c r="W140" s="95"/>
      <c r="X140" s="42"/>
    </row>
    <row r="141" spans="1:24" s="5" customFormat="1" ht="15.75">
      <c r="A141" s="84"/>
      <c r="B141" s="89"/>
      <c r="C141" s="93"/>
      <c r="D141" s="34"/>
      <c r="E14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41" s="35"/>
      <c r="G141" s="45" t="b">
        <v>0</v>
      </c>
      <c r="H141" s="45" t="b">
        <v>0</v>
      </c>
      <c r="I141" s="45" t="b">
        <v>0</v>
      </c>
      <c r="J141" s="45" t="b">
        <v>0</v>
      </c>
      <c r="K141" s="45" t="b">
        <v>0</v>
      </c>
      <c r="L141" s="45" t="b">
        <v>0</v>
      </c>
      <c r="M141" s="45" t="b">
        <v>0</v>
      </c>
      <c r="N141" s="45" t="b">
        <v>0</v>
      </c>
      <c r="O141" s="45" t="b">
        <v>0</v>
      </c>
      <c r="P141" s="34"/>
      <c r="Q141" s="34"/>
      <c r="R141" s="34"/>
      <c r="S141" s="39"/>
      <c r="T141" s="39"/>
      <c r="U141" s="52">
        <v>46181.841435185182</v>
      </c>
      <c r="V141" s="35" t="s">
        <v>63</v>
      </c>
      <c r="W141" s="95"/>
      <c r="X141" s="42"/>
    </row>
    <row r="142" spans="1:24" s="5" customFormat="1" ht="15.75">
      <c r="A142" s="84"/>
      <c r="B142" s="89"/>
      <c r="C142" s="93"/>
      <c r="D142" s="34"/>
      <c r="E14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42" s="35"/>
      <c r="G142" s="45" t="b">
        <v>0</v>
      </c>
      <c r="H142" s="45" t="b">
        <v>0</v>
      </c>
      <c r="I142" s="45" t="b">
        <v>0</v>
      </c>
      <c r="J142" s="45" t="b">
        <v>0</v>
      </c>
      <c r="K142" s="45" t="b">
        <v>0</v>
      </c>
      <c r="L142" s="45" t="b">
        <v>0</v>
      </c>
      <c r="M142" s="45" t="b">
        <v>0</v>
      </c>
      <c r="N142" s="45" t="b">
        <v>0</v>
      </c>
      <c r="O142" s="45" t="b">
        <v>0</v>
      </c>
      <c r="P142" s="34"/>
      <c r="Q142" s="34"/>
      <c r="R142" s="34"/>
      <c r="S142" s="39"/>
      <c r="T142" s="39"/>
      <c r="U142" s="52">
        <v>46181.841435185182</v>
      </c>
      <c r="V142" s="35" t="s">
        <v>63</v>
      </c>
      <c r="W142" s="95"/>
      <c r="X142" s="42"/>
    </row>
    <row r="143" spans="1:24" s="5" customFormat="1" ht="15.75">
      <c r="A143" s="84"/>
      <c r="B143" s="89"/>
      <c r="C143" s="93"/>
      <c r="D143" s="34"/>
      <c r="E14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43" s="35"/>
      <c r="G143" s="45" t="b">
        <v>0</v>
      </c>
      <c r="H143" s="45" t="b">
        <v>0</v>
      </c>
      <c r="I143" s="45" t="b">
        <v>0</v>
      </c>
      <c r="J143" s="45" t="b">
        <v>0</v>
      </c>
      <c r="K143" s="45" t="b">
        <v>0</v>
      </c>
      <c r="L143" s="45" t="b">
        <v>0</v>
      </c>
      <c r="M143" s="45" t="b">
        <v>0</v>
      </c>
      <c r="N143" s="45" t="b">
        <v>0</v>
      </c>
      <c r="O143" s="45" t="b">
        <v>0</v>
      </c>
      <c r="P143" s="34"/>
      <c r="Q143" s="34"/>
      <c r="R143" s="34"/>
      <c r="S143" s="39"/>
      <c r="T143" s="39"/>
      <c r="U143" s="52">
        <v>46181.841435185182</v>
      </c>
      <c r="V143" s="35" t="s">
        <v>63</v>
      </c>
      <c r="W143" s="95"/>
      <c r="X143" s="42"/>
    </row>
    <row r="144" spans="1:24" s="5" customFormat="1" ht="15.75">
      <c r="A144" s="84"/>
      <c r="B144" s="89"/>
      <c r="C144" s="93"/>
      <c r="D144" s="34"/>
      <c r="E14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44" s="35"/>
      <c r="G144" s="45" t="b">
        <v>0</v>
      </c>
      <c r="H144" s="45" t="b">
        <v>0</v>
      </c>
      <c r="I144" s="45" t="b">
        <v>0</v>
      </c>
      <c r="J144" s="45" t="b">
        <v>0</v>
      </c>
      <c r="K144" s="45" t="b">
        <v>0</v>
      </c>
      <c r="L144" s="45" t="b">
        <v>0</v>
      </c>
      <c r="M144" s="45" t="b">
        <v>0</v>
      </c>
      <c r="N144" s="45" t="b">
        <v>0</v>
      </c>
      <c r="O144" s="45" t="b">
        <v>0</v>
      </c>
      <c r="P144" s="34"/>
      <c r="Q144" s="34"/>
      <c r="R144" s="34"/>
      <c r="S144" s="39"/>
      <c r="T144" s="39"/>
      <c r="U144" s="52">
        <v>46181.841435185182</v>
      </c>
      <c r="V144" s="35" t="s">
        <v>63</v>
      </c>
      <c r="W144" s="95"/>
      <c r="X144" s="42"/>
    </row>
    <row r="145" spans="1:24" s="5" customFormat="1" ht="15.75">
      <c r="A145" s="84"/>
      <c r="B145" s="89"/>
      <c r="C145" s="93"/>
      <c r="D145" s="34"/>
      <c r="E14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45" s="35"/>
      <c r="G145" s="45" t="b">
        <v>0</v>
      </c>
      <c r="H145" s="45" t="b">
        <v>0</v>
      </c>
      <c r="I145" s="45" t="b">
        <v>0</v>
      </c>
      <c r="J145" s="45" t="b">
        <v>0</v>
      </c>
      <c r="K145" s="45" t="b">
        <v>0</v>
      </c>
      <c r="L145" s="45" t="b">
        <v>0</v>
      </c>
      <c r="M145" s="45" t="b">
        <v>0</v>
      </c>
      <c r="N145" s="45" t="b">
        <v>0</v>
      </c>
      <c r="O145" s="45" t="b">
        <v>0</v>
      </c>
      <c r="P145" s="34"/>
      <c r="Q145" s="34"/>
      <c r="R145" s="34"/>
      <c r="S145" s="39"/>
      <c r="T145" s="39"/>
      <c r="U145" s="52">
        <v>46181.841435185182</v>
      </c>
      <c r="V145" s="35" t="s">
        <v>63</v>
      </c>
      <c r="W145" s="95"/>
      <c r="X145" s="42"/>
    </row>
    <row r="146" spans="1:24" s="5" customFormat="1" ht="15.75">
      <c r="A146" s="84"/>
      <c r="B146" s="89"/>
      <c r="C146" s="93"/>
      <c r="D146" s="34"/>
      <c r="E14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46" s="35"/>
      <c r="G146" s="45" t="b">
        <v>0</v>
      </c>
      <c r="H146" s="45" t="b">
        <v>0</v>
      </c>
      <c r="I146" s="45" t="b">
        <v>0</v>
      </c>
      <c r="J146" s="45" t="b">
        <v>0</v>
      </c>
      <c r="K146" s="45" t="b">
        <v>0</v>
      </c>
      <c r="L146" s="45" t="b">
        <v>0</v>
      </c>
      <c r="M146" s="45" t="b">
        <v>0</v>
      </c>
      <c r="N146" s="45" t="b">
        <v>0</v>
      </c>
      <c r="O146" s="45" t="b">
        <v>0</v>
      </c>
      <c r="P146" s="34"/>
      <c r="Q146" s="34"/>
      <c r="R146" s="34"/>
      <c r="S146" s="39"/>
      <c r="T146" s="39"/>
      <c r="U146" s="52">
        <v>46181.841435185182</v>
      </c>
      <c r="V146" s="35" t="s">
        <v>63</v>
      </c>
      <c r="W146" s="95"/>
      <c r="X146" s="42"/>
    </row>
    <row r="147" spans="1:24" s="5" customFormat="1" ht="15.75">
      <c r="A147" s="84"/>
      <c r="B147" s="89"/>
      <c r="C147" s="93"/>
      <c r="D147" s="34"/>
      <c r="E14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47" s="35"/>
      <c r="G147" s="45" t="b">
        <v>0</v>
      </c>
      <c r="H147" s="45" t="b">
        <v>0</v>
      </c>
      <c r="I147" s="45" t="b">
        <v>0</v>
      </c>
      <c r="J147" s="45" t="b">
        <v>0</v>
      </c>
      <c r="K147" s="45" t="b">
        <v>0</v>
      </c>
      <c r="L147" s="45" t="b">
        <v>0</v>
      </c>
      <c r="M147" s="45" t="b">
        <v>0</v>
      </c>
      <c r="N147" s="45" t="b">
        <v>0</v>
      </c>
      <c r="O147" s="45" t="b">
        <v>0</v>
      </c>
      <c r="P147" s="34"/>
      <c r="Q147" s="34"/>
      <c r="R147" s="34"/>
      <c r="S147" s="39"/>
      <c r="T147" s="39"/>
      <c r="U147" s="52">
        <v>46181.841435185182</v>
      </c>
      <c r="V147" s="35" t="s">
        <v>63</v>
      </c>
      <c r="W147" s="95"/>
      <c r="X147" s="42"/>
    </row>
    <row r="148" spans="1:24" s="5" customFormat="1" ht="15.75">
      <c r="A148" s="84"/>
      <c r="B148" s="89"/>
      <c r="C148" s="93"/>
      <c r="D148" s="34"/>
      <c r="E14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48" s="35"/>
      <c r="G148" s="45" t="b">
        <v>0</v>
      </c>
      <c r="H148" s="45" t="b">
        <v>0</v>
      </c>
      <c r="I148" s="45" t="b">
        <v>0</v>
      </c>
      <c r="J148" s="45" t="b">
        <v>0</v>
      </c>
      <c r="K148" s="45" t="b">
        <v>0</v>
      </c>
      <c r="L148" s="45" t="b">
        <v>0</v>
      </c>
      <c r="M148" s="45" t="b">
        <v>0</v>
      </c>
      <c r="N148" s="45" t="b">
        <v>0</v>
      </c>
      <c r="O148" s="45" t="b">
        <v>0</v>
      </c>
      <c r="P148" s="34"/>
      <c r="Q148" s="34"/>
      <c r="R148" s="34"/>
      <c r="S148" s="39"/>
      <c r="T148" s="39"/>
      <c r="U148" s="52">
        <v>46181.841446759259</v>
      </c>
      <c r="V148" s="35" t="s">
        <v>63</v>
      </c>
      <c r="W148" s="95"/>
      <c r="X148" s="42"/>
    </row>
    <row r="149" spans="1:24" s="5" customFormat="1" ht="15.75">
      <c r="A149" s="84"/>
      <c r="B149" s="89"/>
      <c r="C149" s="93"/>
      <c r="D149" s="34"/>
      <c r="E14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49" s="35"/>
      <c r="G149" s="45" t="b">
        <v>0</v>
      </c>
      <c r="H149" s="45" t="b">
        <v>0</v>
      </c>
      <c r="I149" s="45" t="b">
        <v>0</v>
      </c>
      <c r="J149" s="45" t="b">
        <v>0</v>
      </c>
      <c r="K149" s="45" t="b">
        <v>0</v>
      </c>
      <c r="L149" s="45" t="b">
        <v>0</v>
      </c>
      <c r="M149" s="45" t="b">
        <v>0</v>
      </c>
      <c r="N149" s="45" t="b">
        <v>0</v>
      </c>
      <c r="O149" s="45" t="b">
        <v>0</v>
      </c>
      <c r="P149" s="34"/>
      <c r="Q149" s="34"/>
      <c r="R149" s="34"/>
      <c r="S149" s="39"/>
      <c r="T149" s="39"/>
      <c r="U149" s="52">
        <v>46181.841446759259</v>
      </c>
      <c r="V149" s="35" t="s">
        <v>63</v>
      </c>
      <c r="W149" s="95"/>
      <c r="X149" s="42"/>
    </row>
    <row r="150" spans="1:24" s="5" customFormat="1" ht="15.75">
      <c r="A150" s="84"/>
      <c r="B150" s="89"/>
      <c r="C150" s="93"/>
      <c r="D150" s="34"/>
      <c r="E15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50" s="35"/>
      <c r="G150" s="45" t="b">
        <v>0</v>
      </c>
      <c r="H150" s="45" t="b">
        <v>0</v>
      </c>
      <c r="I150" s="45" t="b">
        <v>0</v>
      </c>
      <c r="J150" s="45" t="b">
        <v>0</v>
      </c>
      <c r="K150" s="45" t="b">
        <v>0</v>
      </c>
      <c r="L150" s="45" t="b">
        <v>0</v>
      </c>
      <c r="M150" s="45" t="b">
        <v>0</v>
      </c>
      <c r="N150" s="45" t="b">
        <v>0</v>
      </c>
      <c r="O150" s="45" t="b">
        <v>0</v>
      </c>
      <c r="P150" s="34"/>
      <c r="Q150" s="34"/>
      <c r="R150" s="34"/>
      <c r="S150" s="39"/>
      <c r="T150" s="39"/>
      <c r="U150" s="52">
        <v>46181.841446759259</v>
      </c>
      <c r="V150" s="35" t="s">
        <v>63</v>
      </c>
      <c r="W150" s="95"/>
      <c r="X150" s="42"/>
    </row>
    <row r="151" spans="1:24" s="5" customFormat="1" ht="15.75">
      <c r="A151" s="84"/>
      <c r="B151" s="89"/>
      <c r="C151" s="93"/>
      <c r="D151" s="34"/>
      <c r="E15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51" s="35"/>
      <c r="G151" s="45" t="b">
        <v>0</v>
      </c>
      <c r="H151" s="45" t="b">
        <v>0</v>
      </c>
      <c r="I151" s="45" t="b">
        <v>0</v>
      </c>
      <c r="J151" s="45" t="b">
        <v>0</v>
      </c>
      <c r="K151" s="45" t="b">
        <v>0</v>
      </c>
      <c r="L151" s="45" t="b">
        <v>0</v>
      </c>
      <c r="M151" s="45" t="b">
        <v>0</v>
      </c>
      <c r="N151" s="45" t="b">
        <v>0</v>
      </c>
      <c r="O151" s="45" t="b">
        <v>0</v>
      </c>
      <c r="P151" s="34"/>
      <c r="Q151" s="34"/>
      <c r="R151" s="34"/>
      <c r="S151" s="39"/>
      <c r="T151" s="39"/>
      <c r="U151" s="52">
        <v>46181.841446759259</v>
      </c>
      <c r="V151" s="35" t="s">
        <v>63</v>
      </c>
      <c r="W151" s="95"/>
      <c r="X151" s="42"/>
    </row>
    <row r="152" spans="1:24" s="5" customFormat="1" ht="15.75">
      <c r="A152" s="84"/>
      <c r="B152" s="89"/>
      <c r="C152" s="93"/>
      <c r="D152" s="34"/>
      <c r="E15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52" s="35"/>
      <c r="G152" s="45" t="b">
        <v>0</v>
      </c>
      <c r="H152" s="45" t="b">
        <v>0</v>
      </c>
      <c r="I152" s="45" t="b">
        <v>0</v>
      </c>
      <c r="J152" s="45" t="b">
        <v>0</v>
      </c>
      <c r="K152" s="45" t="b">
        <v>0</v>
      </c>
      <c r="L152" s="45" t="b">
        <v>0</v>
      </c>
      <c r="M152" s="45" t="b">
        <v>0</v>
      </c>
      <c r="N152" s="45" t="b">
        <v>0</v>
      </c>
      <c r="O152" s="45" t="b">
        <v>0</v>
      </c>
      <c r="P152" s="34"/>
      <c r="Q152" s="34"/>
      <c r="R152" s="34"/>
      <c r="S152" s="39"/>
      <c r="T152" s="39"/>
      <c r="U152" s="52">
        <v>46181.841446759259</v>
      </c>
      <c r="V152" s="35" t="s">
        <v>63</v>
      </c>
      <c r="W152" s="95"/>
      <c r="X152" s="42"/>
    </row>
    <row r="153" spans="1:24" s="5" customFormat="1" ht="15.75">
      <c r="A153" s="84"/>
      <c r="B153" s="89"/>
      <c r="C153" s="93"/>
      <c r="D153" s="34"/>
      <c r="E15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53" s="35"/>
      <c r="G153" s="45" t="b">
        <v>0</v>
      </c>
      <c r="H153" s="45" t="b">
        <v>0</v>
      </c>
      <c r="I153" s="45" t="b">
        <v>0</v>
      </c>
      <c r="J153" s="45" t="b">
        <v>0</v>
      </c>
      <c r="K153" s="45" t="b">
        <v>0</v>
      </c>
      <c r="L153" s="45" t="b">
        <v>0</v>
      </c>
      <c r="M153" s="45" t="b">
        <v>0</v>
      </c>
      <c r="N153" s="45" t="b">
        <v>0</v>
      </c>
      <c r="O153" s="45" t="b">
        <v>0</v>
      </c>
      <c r="P153" s="34"/>
      <c r="Q153" s="34"/>
      <c r="R153" s="34"/>
      <c r="S153" s="39"/>
      <c r="T153" s="39"/>
      <c r="U153" s="52">
        <v>46181.841446759259</v>
      </c>
      <c r="V153" s="35" t="s">
        <v>63</v>
      </c>
      <c r="W153" s="95"/>
      <c r="X153" s="42"/>
    </row>
    <row r="154" spans="1:24" s="5" customFormat="1" ht="15.75">
      <c r="A154" s="84"/>
      <c r="B154" s="89"/>
      <c r="C154" s="93"/>
      <c r="D154" s="34"/>
      <c r="E15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54" s="35"/>
      <c r="G154" s="45" t="b">
        <v>0</v>
      </c>
      <c r="H154" s="45" t="b">
        <v>0</v>
      </c>
      <c r="I154" s="45" t="b">
        <v>0</v>
      </c>
      <c r="J154" s="45" t="b">
        <v>0</v>
      </c>
      <c r="K154" s="45" t="b">
        <v>0</v>
      </c>
      <c r="L154" s="45" t="b">
        <v>0</v>
      </c>
      <c r="M154" s="45" t="b">
        <v>0</v>
      </c>
      <c r="N154" s="45" t="b">
        <v>0</v>
      </c>
      <c r="O154" s="45" t="b">
        <v>0</v>
      </c>
      <c r="P154" s="34"/>
      <c r="Q154" s="34"/>
      <c r="R154" s="34"/>
      <c r="S154" s="39"/>
      <c r="T154" s="39"/>
      <c r="U154" s="52">
        <v>46181.841446759259</v>
      </c>
      <c r="V154" s="35" t="s">
        <v>63</v>
      </c>
      <c r="W154" s="95"/>
      <c r="X154" s="42"/>
    </row>
    <row r="155" spans="1:24" s="5" customFormat="1" ht="15.75">
      <c r="A155" s="84"/>
      <c r="B155" s="89"/>
      <c r="C155" s="93"/>
      <c r="D155" s="34"/>
      <c r="E15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55" s="35"/>
      <c r="G155" s="45" t="b">
        <v>0</v>
      </c>
      <c r="H155" s="45" t="b">
        <v>0</v>
      </c>
      <c r="I155" s="45" t="b">
        <v>0</v>
      </c>
      <c r="J155" s="45" t="b">
        <v>0</v>
      </c>
      <c r="K155" s="45" t="b">
        <v>0</v>
      </c>
      <c r="L155" s="45" t="b">
        <v>0</v>
      </c>
      <c r="M155" s="45" t="b">
        <v>0</v>
      </c>
      <c r="N155" s="45" t="b">
        <v>0</v>
      </c>
      <c r="O155" s="45" t="b">
        <v>0</v>
      </c>
      <c r="P155" s="34"/>
      <c r="Q155" s="34"/>
      <c r="R155" s="34"/>
      <c r="S155" s="39"/>
      <c r="T155" s="39"/>
      <c r="U155" s="52">
        <v>46181.841446759259</v>
      </c>
      <c r="V155" s="35" t="s">
        <v>63</v>
      </c>
      <c r="W155" s="95"/>
      <c r="X155" s="42"/>
    </row>
    <row r="156" spans="1:24" s="5" customFormat="1" ht="15.75">
      <c r="A156" s="84"/>
      <c r="B156" s="89"/>
      <c r="C156" s="93"/>
      <c r="D156" s="34"/>
      <c r="E15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56" s="35"/>
      <c r="G156" s="45" t="b">
        <v>0</v>
      </c>
      <c r="H156" s="45" t="b">
        <v>0</v>
      </c>
      <c r="I156" s="45" t="b">
        <v>0</v>
      </c>
      <c r="J156" s="45" t="b">
        <v>0</v>
      </c>
      <c r="K156" s="45" t="b">
        <v>0</v>
      </c>
      <c r="L156" s="45" t="b">
        <v>0</v>
      </c>
      <c r="M156" s="45" t="b">
        <v>0</v>
      </c>
      <c r="N156" s="45" t="b">
        <v>0</v>
      </c>
      <c r="O156" s="45" t="b">
        <v>0</v>
      </c>
      <c r="P156" s="34"/>
      <c r="Q156" s="34"/>
      <c r="R156" s="34"/>
      <c r="S156" s="39"/>
      <c r="T156" s="39"/>
      <c r="U156" s="52">
        <v>46181.841446759259</v>
      </c>
      <c r="V156" s="35" t="s">
        <v>63</v>
      </c>
      <c r="W156" s="95"/>
      <c r="X156" s="42"/>
    </row>
    <row r="157" spans="1:24" s="5" customFormat="1" ht="15.75">
      <c r="A157" s="84"/>
      <c r="B157" s="89"/>
      <c r="C157" s="93"/>
      <c r="D157" s="34"/>
      <c r="E15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57" s="35"/>
      <c r="G157" s="45" t="b">
        <v>0</v>
      </c>
      <c r="H157" s="45" t="b">
        <v>0</v>
      </c>
      <c r="I157" s="45" t="b">
        <v>0</v>
      </c>
      <c r="J157" s="45" t="b">
        <v>0</v>
      </c>
      <c r="K157" s="45" t="b">
        <v>0</v>
      </c>
      <c r="L157" s="45" t="b">
        <v>0</v>
      </c>
      <c r="M157" s="45" t="b">
        <v>0</v>
      </c>
      <c r="N157" s="45" t="b">
        <v>0</v>
      </c>
      <c r="O157" s="45" t="b">
        <v>0</v>
      </c>
      <c r="P157" s="34"/>
      <c r="Q157" s="34"/>
      <c r="R157" s="34"/>
      <c r="S157" s="39"/>
      <c r="T157" s="39"/>
      <c r="U157" s="52">
        <v>46181.841446759259</v>
      </c>
      <c r="V157" s="35" t="s">
        <v>63</v>
      </c>
      <c r="W157" s="95"/>
      <c r="X157" s="42"/>
    </row>
    <row r="158" spans="1:24" s="5" customFormat="1" ht="15.75">
      <c r="A158" s="84"/>
      <c r="B158" s="89"/>
      <c r="C158" s="93"/>
      <c r="D158" s="34"/>
      <c r="E15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58" s="35"/>
      <c r="G158" s="45" t="b">
        <v>0</v>
      </c>
      <c r="H158" s="45" t="b">
        <v>0</v>
      </c>
      <c r="I158" s="45" t="b">
        <v>0</v>
      </c>
      <c r="J158" s="45" t="b">
        <v>0</v>
      </c>
      <c r="K158" s="45" t="b">
        <v>0</v>
      </c>
      <c r="L158" s="45" t="b">
        <v>0</v>
      </c>
      <c r="M158" s="45" t="b">
        <v>0</v>
      </c>
      <c r="N158" s="45" t="b">
        <v>0</v>
      </c>
      <c r="O158" s="45" t="b">
        <v>0</v>
      </c>
      <c r="P158" s="34"/>
      <c r="Q158" s="34"/>
      <c r="R158" s="34"/>
      <c r="S158" s="39"/>
      <c r="T158" s="39"/>
      <c r="U158" s="52">
        <v>46181.841446759259</v>
      </c>
      <c r="V158" s="35" t="s">
        <v>63</v>
      </c>
      <c r="W158" s="95"/>
      <c r="X158" s="42"/>
    </row>
    <row r="159" spans="1:24" s="5" customFormat="1" ht="15.75">
      <c r="A159" s="84"/>
      <c r="B159" s="89"/>
      <c r="C159" s="93"/>
      <c r="D159" s="34"/>
      <c r="E15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59" s="35"/>
      <c r="G159" s="45" t="b">
        <v>0</v>
      </c>
      <c r="H159" s="45" t="b">
        <v>0</v>
      </c>
      <c r="I159" s="45" t="b">
        <v>0</v>
      </c>
      <c r="J159" s="45" t="b">
        <v>0</v>
      </c>
      <c r="K159" s="45" t="b">
        <v>0</v>
      </c>
      <c r="L159" s="45" t="b">
        <v>0</v>
      </c>
      <c r="M159" s="45" t="b">
        <v>0</v>
      </c>
      <c r="N159" s="45" t="b">
        <v>0</v>
      </c>
      <c r="O159" s="45" t="b">
        <v>0</v>
      </c>
      <c r="P159" s="34"/>
      <c r="Q159" s="34"/>
      <c r="R159" s="34"/>
      <c r="S159" s="39"/>
      <c r="T159" s="39"/>
      <c r="U159" s="52">
        <v>46181.841446759259</v>
      </c>
      <c r="V159" s="35" t="s">
        <v>63</v>
      </c>
      <c r="W159" s="95"/>
      <c r="X159" s="42"/>
    </row>
    <row r="160" spans="1:24" s="5" customFormat="1" ht="15.75">
      <c r="A160" s="84"/>
      <c r="B160" s="89"/>
      <c r="C160" s="93"/>
      <c r="D160" s="34"/>
      <c r="E16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60" s="35"/>
      <c r="G160" s="45" t="b">
        <v>0</v>
      </c>
      <c r="H160" s="45" t="b">
        <v>0</v>
      </c>
      <c r="I160" s="45" t="b">
        <v>0</v>
      </c>
      <c r="J160" s="45" t="b">
        <v>0</v>
      </c>
      <c r="K160" s="45" t="b">
        <v>0</v>
      </c>
      <c r="L160" s="45" t="b">
        <v>0</v>
      </c>
      <c r="M160" s="45" t="b">
        <v>0</v>
      </c>
      <c r="N160" s="45" t="b">
        <v>0</v>
      </c>
      <c r="O160" s="45" t="b">
        <v>0</v>
      </c>
      <c r="P160" s="34"/>
      <c r="Q160" s="34"/>
      <c r="R160" s="34"/>
      <c r="S160" s="39"/>
      <c r="T160" s="39"/>
      <c r="U160" s="52">
        <v>46181.841446759259</v>
      </c>
      <c r="V160" s="35" t="s">
        <v>63</v>
      </c>
      <c r="W160" s="95"/>
      <c r="X160" s="42"/>
    </row>
    <row r="161" spans="1:24" s="5" customFormat="1" ht="15.75">
      <c r="A161" s="84"/>
      <c r="B161" s="89"/>
      <c r="C161" s="93"/>
      <c r="D161" s="34"/>
      <c r="E16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61" s="35"/>
      <c r="G161" s="45" t="b">
        <v>0</v>
      </c>
      <c r="H161" s="45" t="b">
        <v>0</v>
      </c>
      <c r="I161" s="45" t="b">
        <v>0</v>
      </c>
      <c r="J161" s="45" t="b">
        <v>0</v>
      </c>
      <c r="K161" s="45" t="b">
        <v>0</v>
      </c>
      <c r="L161" s="45" t="b">
        <v>0</v>
      </c>
      <c r="M161" s="45" t="b">
        <v>0</v>
      </c>
      <c r="N161" s="45" t="b">
        <v>0</v>
      </c>
      <c r="O161" s="45" t="b">
        <v>0</v>
      </c>
      <c r="P161" s="34"/>
      <c r="Q161" s="34"/>
      <c r="R161" s="34"/>
      <c r="S161" s="39"/>
      <c r="T161" s="39"/>
      <c r="U161" s="52">
        <v>46181.841446759259</v>
      </c>
      <c r="V161" s="35" t="s">
        <v>63</v>
      </c>
      <c r="W161" s="95"/>
      <c r="X161" s="42"/>
    </row>
    <row r="162" spans="1:24" s="5" customFormat="1" ht="15.75">
      <c r="A162" s="84"/>
      <c r="B162" s="89"/>
      <c r="C162" s="93"/>
      <c r="D162" s="34"/>
      <c r="E16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62" s="35"/>
      <c r="G162" s="45" t="b">
        <v>0</v>
      </c>
      <c r="H162" s="45" t="b">
        <v>0</v>
      </c>
      <c r="I162" s="45" t="b">
        <v>0</v>
      </c>
      <c r="J162" s="45" t="b">
        <v>0</v>
      </c>
      <c r="K162" s="45" t="b">
        <v>0</v>
      </c>
      <c r="L162" s="45" t="b">
        <v>0</v>
      </c>
      <c r="M162" s="45" t="b">
        <v>0</v>
      </c>
      <c r="N162" s="45" t="b">
        <v>0</v>
      </c>
      <c r="O162" s="45" t="b">
        <v>0</v>
      </c>
      <c r="P162" s="34"/>
      <c r="Q162" s="34"/>
      <c r="R162" s="34"/>
      <c r="S162" s="39"/>
      <c r="T162" s="39"/>
      <c r="U162" s="52">
        <v>46181.841446759259</v>
      </c>
      <c r="V162" s="35" t="s">
        <v>63</v>
      </c>
      <c r="W162" s="95"/>
      <c r="X162" s="42"/>
    </row>
    <row r="163" spans="1:24" s="5" customFormat="1" ht="15.75">
      <c r="A163" s="84"/>
      <c r="B163" s="89"/>
      <c r="C163" s="93"/>
      <c r="D163" s="34"/>
      <c r="E16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63" s="35"/>
      <c r="G163" s="45" t="b">
        <v>0</v>
      </c>
      <c r="H163" s="45" t="b">
        <v>0</v>
      </c>
      <c r="I163" s="45" t="b">
        <v>0</v>
      </c>
      <c r="J163" s="45" t="b">
        <v>0</v>
      </c>
      <c r="K163" s="45" t="b">
        <v>0</v>
      </c>
      <c r="L163" s="45" t="b">
        <v>0</v>
      </c>
      <c r="M163" s="45" t="b">
        <v>0</v>
      </c>
      <c r="N163" s="45" t="b">
        <v>0</v>
      </c>
      <c r="O163" s="45" t="b">
        <v>0</v>
      </c>
      <c r="P163" s="34"/>
      <c r="Q163" s="34"/>
      <c r="R163" s="34"/>
      <c r="S163" s="39"/>
      <c r="T163" s="39"/>
      <c r="U163" s="52">
        <v>46181.841446759259</v>
      </c>
      <c r="V163" s="35" t="s">
        <v>63</v>
      </c>
      <c r="W163" s="95"/>
      <c r="X163" s="42"/>
    </row>
    <row r="164" spans="1:24" s="5" customFormat="1" ht="15.75">
      <c r="A164" s="84"/>
      <c r="B164" s="89"/>
      <c r="C164" s="93"/>
      <c r="D164" s="34"/>
      <c r="E16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64" s="35"/>
      <c r="G164" s="45" t="b">
        <v>0</v>
      </c>
      <c r="H164" s="45" t="b">
        <v>0</v>
      </c>
      <c r="I164" s="45" t="b">
        <v>0</v>
      </c>
      <c r="J164" s="45" t="b">
        <v>0</v>
      </c>
      <c r="K164" s="45" t="b">
        <v>0</v>
      </c>
      <c r="L164" s="45" t="b">
        <v>0</v>
      </c>
      <c r="M164" s="45" t="b">
        <v>0</v>
      </c>
      <c r="N164" s="45" t="b">
        <v>0</v>
      </c>
      <c r="O164" s="45" t="b">
        <v>0</v>
      </c>
      <c r="P164" s="34"/>
      <c r="Q164" s="34"/>
      <c r="R164" s="34"/>
      <c r="S164" s="39"/>
      <c r="T164" s="39"/>
      <c r="U164" s="52">
        <v>46181.841446759259</v>
      </c>
      <c r="V164" s="35" t="s">
        <v>63</v>
      </c>
      <c r="W164" s="95"/>
      <c r="X164" s="42"/>
    </row>
    <row r="165" spans="1:24" s="5" customFormat="1" ht="15.75">
      <c r="A165" s="84"/>
      <c r="B165" s="89"/>
      <c r="C165" s="93"/>
      <c r="D165" s="34"/>
      <c r="E16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65" s="35"/>
      <c r="G165" s="45" t="b">
        <v>0</v>
      </c>
      <c r="H165" s="45" t="b">
        <v>0</v>
      </c>
      <c r="I165" s="45" t="b">
        <v>0</v>
      </c>
      <c r="J165" s="45" t="b">
        <v>0</v>
      </c>
      <c r="K165" s="45" t="b">
        <v>0</v>
      </c>
      <c r="L165" s="45" t="b">
        <v>0</v>
      </c>
      <c r="M165" s="45" t="b">
        <v>0</v>
      </c>
      <c r="N165" s="45" t="b">
        <v>0</v>
      </c>
      <c r="O165" s="45" t="b">
        <v>0</v>
      </c>
      <c r="P165" s="34"/>
      <c r="Q165" s="34"/>
      <c r="R165" s="34"/>
      <c r="S165" s="39"/>
      <c r="T165" s="39"/>
      <c r="U165" s="52">
        <v>46181.841458333336</v>
      </c>
      <c r="V165" s="35" t="s">
        <v>63</v>
      </c>
      <c r="W165" s="95"/>
      <c r="X165" s="42"/>
    </row>
    <row r="166" spans="1:24" s="5" customFormat="1" ht="15.75">
      <c r="A166" s="84"/>
      <c r="B166" s="89"/>
      <c r="C166" s="93"/>
      <c r="D166" s="34"/>
      <c r="E16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66" s="35"/>
      <c r="G166" s="45" t="b">
        <v>0</v>
      </c>
      <c r="H166" s="45" t="b">
        <v>0</v>
      </c>
      <c r="I166" s="45" t="b">
        <v>0</v>
      </c>
      <c r="J166" s="45" t="b">
        <v>0</v>
      </c>
      <c r="K166" s="45" t="b">
        <v>0</v>
      </c>
      <c r="L166" s="45" t="b">
        <v>0</v>
      </c>
      <c r="M166" s="45" t="b">
        <v>0</v>
      </c>
      <c r="N166" s="45" t="b">
        <v>0</v>
      </c>
      <c r="O166" s="45" t="b">
        <v>0</v>
      </c>
      <c r="P166" s="34"/>
      <c r="Q166" s="34"/>
      <c r="R166" s="34"/>
      <c r="S166" s="39"/>
      <c r="T166" s="39"/>
      <c r="U166" s="52">
        <v>46181.841458333336</v>
      </c>
      <c r="V166" s="35" t="s">
        <v>63</v>
      </c>
      <c r="W166" s="95"/>
      <c r="X166" s="42"/>
    </row>
    <row r="167" spans="1:24" s="5" customFormat="1" ht="15.75">
      <c r="A167" s="84"/>
      <c r="B167" s="89"/>
      <c r="C167" s="93"/>
      <c r="D167" s="34"/>
      <c r="E16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67" s="35"/>
      <c r="G167" s="45" t="b">
        <v>0</v>
      </c>
      <c r="H167" s="45" t="b">
        <v>0</v>
      </c>
      <c r="I167" s="45" t="b">
        <v>0</v>
      </c>
      <c r="J167" s="45" t="b">
        <v>0</v>
      </c>
      <c r="K167" s="45" t="b">
        <v>0</v>
      </c>
      <c r="L167" s="45" t="b">
        <v>0</v>
      </c>
      <c r="M167" s="45" t="b">
        <v>0</v>
      </c>
      <c r="N167" s="45" t="b">
        <v>0</v>
      </c>
      <c r="O167" s="45" t="b">
        <v>0</v>
      </c>
      <c r="P167" s="34"/>
      <c r="Q167" s="34"/>
      <c r="R167" s="34"/>
      <c r="S167" s="39"/>
      <c r="T167" s="39"/>
      <c r="U167" s="52">
        <v>46181.841458333336</v>
      </c>
      <c r="V167" s="35" t="s">
        <v>63</v>
      </c>
      <c r="W167" s="95"/>
      <c r="X167" s="42"/>
    </row>
    <row r="168" spans="1:24" s="5" customFormat="1" ht="15.75">
      <c r="A168" s="84"/>
      <c r="B168" s="89"/>
      <c r="C168" s="93"/>
      <c r="D168" s="34"/>
      <c r="E16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68" s="35"/>
      <c r="G168" s="45" t="b">
        <v>0</v>
      </c>
      <c r="H168" s="45" t="b">
        <v>0</v>
      </c>
      <c r="I168" s="45" t="b">
        <v>0</v>
      </c>
      <c r="J168" s="45" t="b">
        <v>0</v>
      </c>
      <c r="K168" s="45" t="b">
        <v>0</v>
      </c>
      <c r="L168" s="45" t="b">
        <v>0</v>
      </c>
      <c r="M168" s="45" t="b">
        <v>0</v>
      </c>
      <c r="N168" s="45" t="b">
        <v>0</v>
      </c>
      <c r="O168" s="45" t="b">
        <v>0</v>
      </c>
      <c r="P168" s="34"/>
      <c r="Q168" s="34"/>
      <c r="R168" s="34"/>
      <c r="S168" s="39"/>
      <c r="T168" s="39"/>
      <c r="U168" s="52">
        <v>46181.841458333336</v>
      </c>
      <c r="V168" s="35" t="s">
        <v>63</v>
      </c>
      <c r="W168" s="95"/>
      <c r="X168" s="42"/>
    </row>
    <row r="169" spans="1:24" s="5" customFormat="1" ht="15.75">
      <c r="A169" s="84"/>
      <c r="B169" s="89"/>
      <c r="C169" s="93"/>
      <c r="D169" s="34"/>
      <c r="E16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69" s="35"/>
      <c r="G169" s="45" t="b">
        <v>0</v>
      </c>
      <c r="H169" s="45" t="b">
        <v>0</v>
      </c>
      <c r="I169" s="45" t="b">
        <v>0</v>
      </c>
      <c r="J169" s="45" t="b">
        <v>0</v>
      </c>
      <c r="K169" s="45" t="b">
        <v>0</v>
      </c>
      <c r="L169" s="45" t="b">
        <v>0</v>
      </c>
      <c r="M169" s="45" t="b">
        <v>0</v>
      </c>
      <c r="N169" s="45" t="b">
        <v>0</v>
      </c>
      <c r="O169" s="45" t="b">
        <v>0</v>
      </c>
      <c r="P169" s="34"/>
      <c r="Q169" s="34"/>
      <c r="R169" s="34"/>
      <c r="S169" s="39"/>
      <c r="T169" s="39"/>
      <c r="U169" s="52">
        <v>46181.841458333336</v>
      </c>
      <c r="V169" s="35" t="s">
        <v>63</v>
      </c>
      <c r="W169" s="95"/>
      <c r="X169" s="42"/>
    </row>
    <row r="170" spans="1:24" s="5" customFormat="1" ht="15.75">
      <c r="A170" s="84"/>
      <c r="B170" s="89"/>
      <c r="C170" s="93"/>
      <c r="D170" s="34"/>
      <c r="E17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70" s="35"/>
      <c r="G170" s="45" t="b">
        <v>0</v>
      </c>
      <c r="H170" s="45" t="b">
        <v>0</v>
      </c>
      <c r="I170" s="45" t="b">
        <v>0</v>
      </c>
      <c r="J170" s="45" t="b">
        <v>0</v>
      </c>
      <c r="K170" s="45" t="b">
        <v>0</v>
      </c>
      <c r="L170" s="45" t="b">
        <v>0</v>
      </c>
      <c r="M170" s="45" t="b">
        <v>0</v>
      </c>
      <c r="N170" s="45" t="b">
        <v>0</v>
      </c>
      <c r="O170" s="45" t="b">
        <v>0</v>
      </c>
      <c r="P170" s="34"/>
      <c r="Q170" s="34"/>
      <c r="R170" s="34"/>
      <c r="S170" s="39"/>
      <c r="T170" s="39"/>
      <c r="U170" s="52">
        <v>46181.841458333336</v>
      </c>
      <c r="V170" s="35" t="s">
        <v>63</v>
      </c>
      <c r="W170" s="95"/>
      <c r="X170" s="42"/>
    </row>
    <row r="171" spans="1:24" s="5" customFormat="1" ht="15.75">
      <c r="A171" s="84"/>
      <c r="B171" s="89"/>
      <c r="C171" s="93"/>
      <c r="D171" s="34"/>
      <c r="E17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71" s="35"/>
      <c r="G171" s="45" t="b">
        <v>0</v>
      </c>
      <c r="H171" s="45" t="b">
        <v>0</v>
      </c>
      <c r="I171" s="45" t="b">
        <v>0</v>
      </c>
      <c r="J171" s="45" t="b">
        <v>0</v>
      </c>
      <c r="K171" s="45" t="b">
        <v>0</v>
      </c>
      <c r="L171" s="45" t="b">
        <v>0</v>
      </c>
      <c r="M171" s="45" t="b">
        <v>0</v>
      </c>
      <c r="N171" s="45" t="b">
        <v>0</v>
      </c>
      <c r="O171" s="45" t="b">
        <v>0</v>
      </c>
      <c r="P171" s="34"/>
      <c r="Q171" s="34"/>
      <c r="R171" s="34"/>
      <c r="S171" s="39"/>
      <c r="T171" s="39"/>
      <c r="U171" s="52">
        <v>46181.841458333336</v>
      </c>
      <c r="V171" s="35" t="s">
        <v>63</v>
      </c>
      <c r="W171" s="95"/>
      <c r="X171" s="42"/>
    </row>
    <row r="172" spans="1:24" s="5" customFormat="1" ht="15.75">
      <c r="A172" s="84"/>
      <c r="B172" s="89"/>
      <c r="C172" s="93"/>
      <c r="D172" s="34"/>
      <c r="E17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72" s="35"/>
      <c r="G172" s="45" t="b">
        <v>0</v>
      </c>
      <c r="H172" s="45" t="b">
        <v>0</v>
      </c>
      <c r="I172" s="45" t="b">
        <v>0</v>
      </c>
      <c r="J172" s="45" t="b">
        <v>0</v>
      </c>
      <c r="K172" s="45" t="b">
        <v>0</v>
      </c>
      <c r="L172" s="45" t="b">
        <v>0</v>
      </c>
      <c r="M172" s="45" t="b">
        <v>0</v>
      </c>
      <c r="N172" s="45" t="b">
        <v>0</v>
      </c>
      <c r="O172" s="45" t="b">
        <v>0</v>
      </c>
      <c r="P172" s="34"/>
      <c r="Q172" s="34"/>
      <c r="R172" s="34"/>
      <c r="S172" s="39"/>
      <c r="T172" s="39"/>
      <c r="U172" s="52">
        <v>46181.841458333336</v>
      </c>
      <c r="V172" s="35" t="s">
        <v>63</v>
      </c>
      <c r="W172" s="95"/>
      <c r="X172" s="42"/>
    </row>
    <row r="173" spans="1:24" s="5" customFormat="1" ht="15.75">
      <c r="A173" s="84"/>
      <c r="B173" s="89"/>
      <c r="C173" s="93"/>
      <c r="D173" s="34"/>
      <c r="E17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73" s="35"/>
      <c r="G173" s="45" t="b">
        <v>0</v>
      </c>
      <c r="H173" s="45" t="b">
        <v>0</v>
      </c>
      <c r="I173" s="45" t="b">
        <v>0</v>
      </c>
      <c r="J173" s="45" t="b">
        <v>0</v>
      </c>
      <c r="K173" s="45" t="b">
        <v>0</v>
      </c>
      <c r="L173" s="45" t="b">
        <v>0</v>
      </c>
      <c r="M173" s="45" t="b">
        <v>0</v>
      </c>
      <c r="N173" s="45" t="b">
        <v>0</v>
      </c>
      <c r="O173" s="45" t="b">
        <v>0</v>
      </c>
      <c r="P173" s="34"/>
      <c r="Q173" s="34"/>
      <c r="R173" s="34"/>
      <c r="S173" s="39"/>
      <c r="T173" s="39"/>
      <c r="U173" s="52">
        <v>46181.841458333336</v>
      </c>
      <c r="V173" s="35" t="s">
        <v>63</v>
      </c>
      <c r="W173" s="95"/>
      <c r="X173" s="42"/>
    </row>
    <row r="174" spans="1:24" s="5" customFormat="1" ht="15.75">
      <c r="A174" s="84"/>
      <c r="B174" s="89"/>
      <c r="C174" s="93"/>
      <c r="D174" s="34"/>
      <c r="E17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74" s="35"/>
      <c r="G174" s="45" t="b">
        <v>0</v>
      </c>
      <c r="H174" s="45" t="b">
        <v>0</v>
      </c>
      <c r="I174" s="45" t="b">
        <v>0</v>
      </c>
      <c r="J174" s="45" t="b">
        <v>0</v>
      </c>
      <c r="K174" s="45" t="b">
        <v>0</v>
      </c>
      <c r="L174" s="45" t="b">
        <v>0</v>
      </c>
      <c r="M174" s="45" t="b">
        <v>0</v>
      </c>
      <c r="N174" s="45" t="b">
        <v>0</v>
      </c>
      <c r="O174" s="45" t="b">
        <v>0</v>
      </c>
      <c r="P174" s="34"/>
      <c r="Q174" s="34"/>
      <c r="R174" s="34"/>
      <c r="S174" s="39"/>
      <c r="T174" s="39"/>
      <c r="U174" s="52">
        <v>46181.841458333336</v>
      </c>
      <c r="V174" s="35" t="s">
        <v>63</v>
      </c>
      <c r="W174" s="95"/>
      <c r="X174" s="42"/>
    </row>
    <row r="175" spans="1:24" s="5" customFormat="1" ht="15.75">
      <c r="A175" s="84"/>
      <c r="B175" s="89"/>
      <c r="C175" s="93"/>
      <c r="D175" s="34"/>
      <c r="E17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75" s="35"/>
      <c r="G175" s="45" t="b">
        <v>0</v>
      </c>
      <c r="H175" s="45" t="b">
        <v>0</v>
      </c>
      <c r="I175" s="45" t="b">
        <v>0</v>
      </c>
      <c r="J175" s="45" t="b">
        <v>0</v>
      </c>
      <c r="K175" s="45" t="b">
        <v>0</v>
      </c>
      <c r="L175" s="45" t="b">
        <v>0</v>
      </c>
      <c r="M175" s="45" t="b">
        <v>0</v>
      </c>
      <c r="N175" s="45" t="b">
        <v>0</v>
      </c>
      <c r="O175" s="45" t="b">
        <v>0</v>
      </c>
      <c r="P175" s="34"/>
      <c r="Q175" s="34"/>
      <c r="R175" s="34"/>
      <c r="S175" s="39"/>
      <c r="T175" s="39"/>
      <c r="U175" s="52">
        <v>46181.841458333336</v>
      </c>
      <c r="V175" s="35" t="s">
        <v>63</v>
      </c>
      <c r="W175" s="95"/>
      <c r="X175" s="42"/>
    </row>
    <row r="176" spans="1:24" s="5" customFormat="1" ht="15.75">
      <c r="A176" s="84"/>
      <c r="B176" s="89"/>
      <c r="C176" s="93"/>
      <c r="D176" s="34"/>
      <c r="E17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76" s="35"/>
      <c r="G176" s="45" t="b">
        <v>0</v>
      </c>
      <c r="H176" s="45" t="b">
        <v>0</v>
      </c>
      <c r="I176" s="45" t="b">
        <v>0</v>
      </c>
      <c r="J176" s="45" t="b">
        <v>0</v>
      </c>
      <c r="K176" s="45" t="b">
        <v>0</v>
      </c>
      <c r="L176" s="45" t="b">
        <v>0</v>
      </c>
      <c r="M176" s="45" t="b">
        <v>0</v>
      </c>
      <c r="N176" s="45" t="b">
        <v>0</v>
      </c>
      <c r="O176" s="45" t="b">
        <v>0</v>
      </c>
      <c r="P176" s="34"/>
      <c r="Q176" s="34"/>
      <c r="R176" s="34"/>
      <c r="S176" s="39"/>
      <c r="T176" s="39"/>
      <c r="U176" s="52">
        <v>46181.841458333336</v>
      </c>
      <c r="V176" s="35" t="s">
        <v>63</v>
      </c>
      <c r="W176" s="95"/>
      <c r="X176" s="42"/>
    </row>
    <row r="177" spans="1:24" s="5" customFormat="1" ht="15.75">
      <c r="A177" s="84"/>
      <c r="B177" s="89"/>
      <c r="C177" s="93"/>
      <c r="D177" s="34"/>
      <c r="E17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77" s="35"/>
      <c r="G177" s="45" t="b">
        <v>0</v>
      </c>
      <c r="H177" s="45" t="b">
        <v>0</v>
      </c>
      <c r="I177" s="45" t="b">
        <v>0</v>
      </c>
      <c r="J177" s="45" t="b">
        <v>0</v>
      </c>
      <c r="K177" s="45" t="b">
        <v>0</v>
      </c>
      <c r="L177" s="45" t="b">
        <v>0</v>
      </c>
      <c r="M177" s="45" t="b">
        <v>0</v>
      </c>
      <c r="N177" s="45" t="b">
        <v>0</v>
      </c>
      <c r="O177" s="45" t="b">
        <v>0</v>
      </c>
      <c r="P177" s="34"/>
      <c r="Q177" s="34"/>
      <c r="R177" s="34"/>
      <c r="S177" s="39"/>
      <c r="T177" s="39"/>
      <c r="U177" s="52">
        <v>46181.841458333336</v>
      </c>
      <c r="V177" s="35" t="s">
        <v>63</v>
      </c>
      <c r="W177" s="95"/>
      <c r="X177" s="42"/>
    </row>
    <row r="178" spans="1:24" s="5" customFormat="1" ht="15.75">
      <c r="A178" s="84"/>
      <c r="B178" s="89"/>
      <c r="C178" s="93"/>
      <c r="D178" s="34"/>
      <c r="E17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78" s="35"/>
      <c r="G178" s="45" t="b">
        <v>0</v>
      </c>
      <c r="H178" s="45" t="b">
        <v>0</v>
      </c>
      <c r="I178" s="45" t="b">
        <v>0</v>
      </c>
      <c r="J178" s="45" t="b">
        <v>0</v>
      </c>
      <c r="K178" s="45" t="b">
        <v>0</v>
      </c>
      <c r="L178" s="45" t="b">
        <v>0</v>
      </c>
      <c r="M178" s="45" t="b">
        <v>0</v>
      </c>
      <c r="N178" s="45" t="b">
        <v>0</v>
      </c>
      <c r="O178" s="45" t="b">
        <v>0</v>
      </c>
      <c r="P178" s="34"/>
      <c r="Q178" s="34"/>
      <c r="R178" s="34"/>
      <c r="S178" s="39"/>
      <c r="T178" s="39"/>
      <c r="U178" s="52">
        <v>46181.841458333336</v>
      </c>
      <c r="V178" s="35" t="s">
        <v>63</v>
      </c>
      <c r="W178" s="95"/>
      <c r="X178" s="42"/>
    </row>
    <row r="179" spans="1:24" s="5" customFormat="1" ht="15.75">
      <c r="A179" s="84"/>
      <c r="B179" s="89"/>
      <c r="C179" s="93"/>
      <c r="D179" s="34"/>
      <c r="E17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79" s="35"/>
      <c r="G179" s="45" t="b">
        <v>0</v>
      </c>
      <c r="H179" s="45" t="b">
        <v>0</v>
      </c>
      <c r="I179" s="45" t="b">
        <v>0</v>
      </c>
      <c r="J179" s="45" t="b">
        <v>0</v>
      </c>
      <c r="K179" s="45" t="b">
        <v>0</v>
      </c>
      <c r="L179" s="45" t="b">
        <v>0</v>
      </c>
      <c r="M179" s="45" t="b">
        <v>0</v>
      </c>
      <c r="N179" s="45" t="b">
        <v>0</v>
      </c>
      <c r="O179" s="45" t="b">
        <v>0</v>
      </c>
      <c r="P179" s="34"/>
      <c r="Q179" s="34"/>
      <c r="R179" s="34"/>
      <c r="S179" s="39"/>
      <c r="T179" s="39"/>
      <c r="U179" s="52">
        <v>46181.841458333336</v>
      </c>
      <c r="V179" s="35" t="s">
        <v>63</v>
      </c>
      <c r="W179" s="95"/>
      <c r="X179" s="42"/>
    </row>
    <row r="180" spans="1:24" s="5" customFormat="1" ht="15.75">
      <c r="A180" s="84"/>
      <c r="B180" s="89"/>
      <c r="C180" s="93"/>
      <c r="D180" s="34"/>
      <c r="E18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80" s="35"/>
      <c r="G180" s="45" t="b">
        <v>0</v>
      </c>
      <c r="H180" s="45" t="b">
        <v>0</v>
      </c>
      <c r="I180" s="45" t="b">
        <v>0</v>
      </c>
      <c r="J180" s="45" t="b">
        <v>0</v>
      </c>
      <c r="K180" s="45" t="b">
        <v>0</v>
      </c>
      <c r="L180" s="45" t="b">
        <v>0</v>
      </c>
      <c r="M180" s="45" t="b">
        <v>0</v>
      </c>
      <c r="N180" s="45" t="b">
        <v>0</v>
      </c>
      <c r="O180" s="45" t="b">
        <v>0</v>
      </c>
      <c r="P180" s="34"/>
      <c r="Q180" s="34"/>
      <c r="R180" s="34"/>
      <c r="S180" s="39"/>
      <c r="T180" s="39"/>
      <c r="U180" s="52">
        <v>46181.841458333336</v>
      </c>
      <c r="V180" s="35" t="s">
        <v>63</v>
      </c>
      <c r="W180" s="95"/>
      <c r="X180" s="42"/>
    </row>
    <row r="181" spans="1:24" s="5" customFormat="1" ht="15.75">
      <c r="A181" s="84"/>
      <c r="B181" s="89"/>
      <c r="C181" s="93"/>
      <c r="D181" s="34"/>
      <c r="E18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81" s="35"/>
      <c r="G181" s="45" t="b">
        <v>0</v>
      </c>
      <c r="H181" s="45" t="b">
        <v>0</v>
      </c>
      <c r="I181" s="45" t="b">
        <v>0</v>
      </c>
      <c r="J181" s="45" t="b">
        <v>0</v>
      </c>
      <c r="K181" s="45" t="b">
        <v>0</v>
      </c>
      <c r="L181" s="45" t="b">
        <v>0</v>
      </c>
      <c r="M181" s="45" t="b">
        <v>0</v>
      </c>
      <c r="N181" s="45" t="b">
        <v>0</v>
      </c>
      <c r="O181" s="45" t="b">
        <v>0</v>
      </c>
      <c r="P181" s="34"/>
      <c r="Q181" s="34"/>
      <c r="R181" s="34"/>
      <c r="S181" s="39"/>
      <c r="T181" s="39"/>
      <c r="U181" s="52">
        <v>46181.841469907406</v>
      </c>
      <c r="V181" s="35" t="s">
        <v>63</v>
      </c>
      <c r="W181" s="95"/>
      <c r="X181" s="42"/>
    </row>
    <row r="182" spans="1:24" s="5" customFormat="1" ht="15.75">
      <c r="A182" s="84"/>
      <c r="B182" s="89"/>
      <c r="C182" s="93"/>
      <c r="D182" s="34"/>
      <c r="E18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82" s="35"/>
      <c r="G182" s="45" t="b">
        <v>0</v>
      </c>
      <c r="H182" s="45" t="b">
        <v>0</v>
      </c>
      <c r="I182" s="45" t="b">
        <v>0</v>
      </c>
      <c r="J182" s="45" t="b">
        <v>0</v>
      </c>
      <c r="K182" s="45" t="b">
        <v>0</v>
      </c>
      <c r="L182" s="45" t="b">
        <v>0</v>
      </c>
      <c r="M182" s="45" t="b">
        <v>0</v>
      </c>
      <c r="N182" s="45" t="b">
        <v>0</v>
      </c>
      <c r="O182" s="45" t="b">
        <v>0</v>
      </c>
      <c r="P182" s="34"/>
      <c r="Q182" s="34"/>
      <c r="R182" s="34"/>
      <c r="S182" s="39"/>
      <c r="T182" s="39"/>
      <c r="U182" s="52">
        <v>46181.841469907406</v>
      </c>
      <c r="V182" s="35" t="s">
        <v>63</v>
      </c>
      <c r="W182" s="95"/>
      <c r="X182" s="42"/>
    </row>
    <row r="183" spans="1:24" s="5" customFormat="1" ht="15.75">
      <c r="A183" s="84"/>
      <c r="B183" s="89"/>
      <c r="C183" s="93"/>
      <c r="D183" s="34"/>
      <c r="E18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83" s="35"/>
      <c r="G183" s="45" t="b">
        <v>0</v>
      </c>
      <c r="H183" s="45" t="b">
        <v>0</v>
      </c>
      <c r="I183" s="45" t="b">
        <v>0</v>
      </c>
      <c r="J183" s="45" t="b">
        <v>0</v>
      </c>
      <c r="K183" s="45" t="b">
        <v>0</v>
      </c>
      <c r="L183" s="45" t="b">
        <v>0</v>
      </c>
      <c r="M183" s="45" t="b">
        <v>0</v>
      </c>
      <c r="N183" s="45" t="b">
        <v>0</v>
      </c>
      <c r="O183" s="45" t="b">
        <v>0</v>
      </c>
      <c r="P183" s="34"/>
      <c r="Q183" s="34"/>
      <c r="R183" s="34"/>
      <c r="S183" s="39"/>
      <c r="T183" s="39"/>
      <c r="U183" s="52">
        <v>46181.841469907406</v>
      </c>
      <c r="V183" s="35" t="s">
        <v>63</v>
      </c>
      <c r="W183" s="95"/>
      <c r="X183" s="42"/>
    </row>
    <row r="184" spans="1:24" s="5" customFormat="1" ht="15.75">
      <c r="A184" s="84"/>
      <c r="B184" s="89"/>
      <c r="C184" s="93"/>
      <c r="D184" s="34"/>
      <c r="E18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84" s="35"/>
      <c r="G184" s="45" t="b">
        <v>0</v>
      </c>
      <c r="H184" s="45" t="b">
        <v>0</v>
      </c>
      <c r="I184" s="45" t="b">
        <v>0</v>
      </c>
      <c r="J184" s="45" t="b">
        <v>0</v>
      </c>
      <c r="K184" s="45" t="b">
        <v>0</v>
      </c>
      <c r="L184" s="45" t="b">
        <v>0</v>
      </c>
      <c r="M184" s="45" t="b">
        <v>0</v>
      </c>
      <c r="N184" s="45" t="b">
        <v>0</v>
      </c>
      <c r="O184" s="45" t="b">
        <v>0</v>
      </c>
      <c r="P184" s="34"/>
      <c r="Q184" s="34"/>
      <c r="R184" s="34"/>
      <c r="S184" s="39"/>
      <c r="T184" s="39"/>
      <c r="U184" s="52">
        <v>46181.841469907406</v>
      </c>
      <c r="V184" s="35" t="s">
        <v>63</v>
      </c>
      <c r="W184" s="95"/>
      <c r="X184" s="42"/>
    </row>
    <row r="185" spans="1:24" s="5" customFormat="1" ht="15.75">
      <c r="A185" s="84"/>
      <c r="B185" s="89"/>
      <c r="C185" s="93"/>
      <c r="D185" s="34"/>
      <c r="E18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85" s="35"/>
      <c r="G185" s="45" t="b">
        <v>0</v>
      </c>
      <c r="H185" s="45" t="b">
        <v>0</v>
      </c>
      <c r="I185" s="45" t="b">
        <v>0</v>
      </c>
      <c r="J185" s="45" t="b">
        <v>0</v>
      </c>
      <c r="K185" s="45" t="b">
        <v>0</v>
      </c>
      <c r="L185" s="45" t="b">
        <v>0</v>
      </c>
      <c r="M185" s="45" t="b">
        <v>0</v>
      </c>
      <c r="N185" s="45" t="b">
        <v>0</v>
      </c>
      <c r="O185" s="45" t="b">
        <v>0</v>
      </c>
      <c r="P185" s="34"/>
      <c r="Q185" s="34"/>
      <c r="R185" s="34"/>
      <c r="S185" s="39"/>
      <c r="T185" s="39"/>
      <c r="U185" s="52">
        <v>46181.841469907406</v>
      </c>
      <c r="V185" s="35" t="s">
        <v>63</v>
      </c>
      <c r="W185" s="95"/>
      <c r="X185" s="42"/>
    </row>
    <row r="186" spans="1:24" s="5" customFormat="1" ht="15.75">
      <c r="A186" s="84"/>
      <c r="B186" s="89"/>
      <c r="C186" s="93"/>
      <c r="D186" s="34"/>
      <c r="E18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86" s="35"/>
      <c r="G186" s="45" t="b">
        <v>0</v>
      </c>
      <c r="H186" s="45" t="b">
        <v>0</v>
      </c>
      <c r="I186" s="45" t="b">
        <v>0</v>
      </c>
      <c r="J186" s="45" t="b">
        <v>0</v>
      </c>
      <c r="K186" s="45" t="b">
        <v>0</v>
      </c>
      <c r="L186" s="45" t="b">
        <v>0</v>
      </c>
      <c r="M186" s="45" t="b">
        <v>0</v>
      </c>
      <c r="N186" s="45" t="b">
        <v>0</v>
      </c>
      <c r="O186" s="45" t="b">
        <v>0</v>
      </c>
      <c r="P186" s="34"/>
      <c r="Q186" s="34"/>
      <c r="R186" s="34"/>
      <c r="S186" s="39"/>
      <c r="T186" s="39"/>
      <c r="U186" s="52">
        <v>46181.841469907406</v>
      </c>
      <c r="V186" s="35" t="s">
        <v>63</v>
      </c>
      <c r="W186" s="95"/>
      <c r="X186" s="42"/>
    </row>
    <row r="187" spans="1:24" s="5" customFormat="1" ht="15.75">
      <c r="A187" s="84"/>
      <c r="B187" s="89"/>
      <c r="C187" s="93"/>
      <c r="D187" s="34"/>
      <c r="E18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87" s="35"/>
      <c r="G187" s="45" t="b">
        <v>0</v>
      </c>
      <c r="H187" s="45" t="b">
        <v>0</v>
      </c>
      <c r="I187" s="45" t="b">
        <v>0</v>
      </c>
      <c r="J187" s="45" t="b">
        <v>0</v>
      </c>
      <c r="K187" s="45" t="b">
        <v>0</v>
      </c>
      <c r="L187" s="45" t="b">
        <v>0</v>
      </c>
      <c r="M187" s="45" t="b">
        <v>0</v>
      </c>
      <c r="N187" s="45" t="b">
        <v>0</v>
      </c>
      <c r="O187" s="45" t="b">
        <v>0</v>
      </c>
      <c r="P187" s="34"/>
      <c r="Q187" s="34"/>
      <c r="R187" s="34"/>
      <c r="S187" s="39"/>
      <c r="T187" s="39"/>
      <c r="U187" s="52">
        <v>46181.841469907406</v>
      </c>
      <c r="V187" s="35" t="s">
        <v>63</v>
      </c>
      <c r="W187" s="95"/>
      <c r="X187" s="42"/>
    </row>
    <row r="188" spans="1:24" s="5" customFormat="1" ht="15.75">
      <c r="A188" s="84"/>
      <c r="B188" s="89"/>
      <c r="C188" s="93"/>
      <c r="D188" s="34"/>
      <c r="E18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88" s="35"/>
      <c r="G188" s="45" t="b">
        <v>0</v>
      </c>
      <c r="H188" s="45" t="b">
        <v>0</v>
      </c>
      <c r="I188" s="45" t="b">
        <v>0</v>
      </c>
      <c r="J188" s="45" t="b">
        <v>0</v>
      </c>
      <c r="K188" s="45" t="b">
        <v>0</v>
      </c>
      <c r="L188" s="45" t="b">
        <v>0</v>
      </c>
      <c r="M188" s="45" t="b">
        <v>0</v>
      </c>
      <c r="N188" s="45" t="b">
        <v>0</v>
      </c>
      <c r="O188" s="45" t="b">
        <v>0</v>
      </c>
      <c r="P188" s="34"/>
      <c r="Q188" s="34"/>
      <c r="R188" s="34"/>
      <c r="S188" s="39"/>
      <c r="T188" s="39"/>
      <c r="U188" s="52">
        <v>46181.841469907406</v>
      </c>
      <c r="V188" s="35" t="s">
        <v>63</v>
      </c>
      <c r="W188" s="95"/>
      <c r="X188" s="42"/>
    </row>
    <row r="189" spans="1:24" s="5" customFormat="1" ht="15.75">
      <c r="A189" s="84"/>
      <c r="B189" s="89"/>
      <c r="C189" s="93"/>
      <c r="D189" s="34"/>
      <c r="E18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89" s="35"/>
      <c r="G189" s="45" t="b">
        <v>0</v>
      </c>
      <c r="H189" s="45" t="b">
        <v>0</v>
      </c>
      <c r="I189" s="45" t="b">
        <v>0</v>
      </c>
      <c r="J189" s="45" t="b">
        <v>0</v>
      </c>
      <c r="K189" s="45" t="b">
        <v>0</v>
      </c>
      <c r="L189" s="45" t="b">
        <v>0</v>
      </c>
      <c r="M189" s="45" t="b">
        <v>0</v>
      </c>
      <c r="N189" s="45" t="b">
        <v>0</v>
      </c>
      <c r="O189" s="45" t="b">
        <v>0</v>
      </c>
      <c r="P189" s="34"/>
      <c r="Q189" s="34"/>
      <c r="R189" s="34"/>
      <c r="S189" s="39"/>
      <c r="T189" s="39"/>
      <c r="U189" s="52">
        <v>46181.841469907406</v>
      </c>
      <c r="V189" s="35" t="s">
        <v>63</v>
      </c>
      <c r="W189" s="95"/>
      <c r="X189" s="42"/>
    </row>
    <row r="190" spans="1:24" s="5" customFormat="1" ht="15.75">
      <c r="A190" s="84"/>
      <c r="B190" s="89"/>
      <c r="C190" s="93"/>
      <c r="D190" s="34"/>
      <c r="E19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90" s="35"/>
      <c r="G190" s="45" t="b">
        <v>0</v>
      </c>
      <c r="H190" s="45" t="b">
        <v>0</v>
      </c>
      <c r="I190" s="45" t="b">
        <v>0</v>
      </c>
      <c r="J190" s="45" t="b">
        <v>0</v>
      </c>
      <c r="K190" s="45" t="b">
        <v>0</v>
      </c>
      <c r="L190" s="45" t="b">
        <v>0</v>
      </c>
      <c r="M190" s="45" t="b">
        <v>0</v>
      </c>
      <c r="N190" s="45" t="b">
        <v>0</v>
      </c>
      <c r="O190" s="45" t="b">
        <v>0</v>
      </c>
      <c r="P190" s="34"/>
      <c r="Q190" s="34"/>
      <c r="R190" s="34"/>
      <c r="S190" s="39"/>
      <c r="T190" s="39"/>
      <c r="U190" s="52">
        <v>46181.841469907406</v>
      </c>
      <c r="V190" s="35" t="s">
        <v>63</v>
      </c>
      <c r="W190" s="95"/>
      <c r="X190" s="42"/>
    </row>
    <row r="191" spans="1:24" s="5" customFormat="1" ht="15.75">
      <c r="A191" s="84"/>
      <c r="B191" s="89"/>
      <c r="C191" s="93"/>
      <c r="D191" s="34"/>
      <c r="E19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91" s="35"/>
      <c r="G191" s="45" t="b">
        <v>0</v>
      </c>
      <c r="H191" s="45" t="b">
        <v>0</v>
      </c>
      <c r="I191" s="45" t="b">
        <v>0</v>
      </c>
      <c r="J191" s="45" t="b">
        <v>0</v>
      </c>
      <c r="K191" s="45" t="b">
        <v>0</v>
      </c>
      <c r="L191" s="45" t="b">
        <v>0</v>
      </c>
      <c r="M191" s="45" t="b">
        <v>0</v>
      </c>
      <c r="N191" s="45" t="b">
        <v>0</v>
      </c>
      <c r="O191" s="45" t="b">
        <v>0</v>
      </c>
      <c r="P191" s="34"/>
      <c r="Q191" s="34"/>
      <c r="R191" s="34"/>
      <c r="S191" s="39"/>
      <c r="T191" s="39"/>
      <c r="U191" s="52">
        <v>46181.841469907406</v>
      </c>
      <c r="V191" s="35" t="s">
        <v>63</v>
      </c>
      <c r="W191" s="95"/>
      <c r="X191" s="42"/>
    </row>
    <row r="192" spans="1:24" s="5" customFormat="1" ht="15.75">
      <c r="A192" s="84"/>
      <c r="B192" s="89"/>
      <c r="C192" s="93"/>
      <c r="D192" s="34"/>
      <c r="E19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92" s="35"/>
      <c r="G192" s="45" t="b">
        <v>0</v>
      </c>
      <c r="H192" s="45" t="b">
        <v>0</v>
      </c>
      <c r="I192" s="45" t="b">
        <v>0</v>
      </c>
      <c r="J192" s="45" t="b">
        <v>0</v>
      </c>
      <c r="K192" s="45" t="b">
        <v>0</v>
      </c>
      <c r="L192" s="45" t="b">
        <v>0</v>
      </c>
      <c r="M192" s="45" t="b">
        <v>0</v>
      </c>
      <c r="N192" s="45" t="b">
        <v>0</v>
      </c>
      <c r="O192" s="45" t="b">
        <v>0</v>
      </c>
      <c r="P192" s="34"/>
      <c r="Q192" s="34"/>
      <c r="R192" s="34"/>
      <c r="S192" s="39"/>
      <c r="T192" s="39"/>
      <c r="U192" s="52">
        <v>46181.841469907406</v>
      </c>
      <c r="V192" s="35" t="s">
        <v>63</v>
      </c>
      <c r="W192" s="95"/>
      <c r="X192" s="42"/>
    </row>
    <row r="193" spans="1:24" s="5" customFormat="1" ht="15.75">
      <c r="A193" s="84"/>
      <c r="B193" s="89"/>
      <c r="C193" s="93"/>
      <c r="D193" s="34"/>
      <c r="E19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93" s="35"/>
      <c r="G193" s="45" t="b">
        <v>0</v>
      </c>
      <c r="H193" s="45" t="b">
        <v>0</v>
      </c>
      <c r="I193" s="45" t="b">
        <v>0</v>
      </c>
      <c r="J193" s="45" t="b">
        <v>0</v>
      </c>
      <c r="K193" s="45" t="b">
        <v>0</v>
      </c>
      <c r="L193" s="45" t="b">
        <v>0</v>
      </c>
      <c r="M193" s="45" t="b">
        <v>0</v>
      </c>
      <c r="N193" s="45" t="b">
        <v>0</v>
      </c>
      <c r="O193" s="45" t="b">
        <v>0</v>
      </c>
      <c r="P193" s="34"/>
      <c r="Q193" s="34"/>
      <c r="R193" s="34"/>
      <c r="S193" s="39"/>
      <c r="T193" s="39"/>
      <c r="U193" s="52">
        <v>46181.841469907406</v>
      </c>
      <c r="V193" s="35" t="s">
        <v>63</v>
      </c>
      <c r="W193" s="95"/>
      <c r="X193" s="42"/>
    </row>
    <row r="194" spans="1:24" s="5" customFormat="1" ht="15.75">
      <c r="A194" s="84"/>
      <c r="B194" s="89"/>
      <c r="C194" s="93"/>
      <c r="D194" s="34"/>
      <c r="E19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94" s="35"/>
      <c r="G194" s="45" t="b">
        <v>0</v>
      </c>
      <c r="H194" s="45" t="b">
        <v>0</v>
      </c>
      <c r="I194" s="45" t="b">
        <v>0</v>
      </c>
      <c r="J194" s="45" t="b">
        <v>0</v>
      </c>
      <c r="K194" s="45" t="b">
        <v>0</v>
      </c>
      <c r="L194" s="45" t="b">
        <v>0</v>
      </c>
      <c r="M194" s="45" t="b">
        <v>0</v>
      </c>
      <c r="N194" s="45" t="b">
        <v>0</v>
      </c>
      <c r="O194" s="45" t="b">
        <v>0</v>
      </c>
      <c r="P194" s="34"/>
      <c r="Q194" s="34"/>
      <c r="R194" s="34"/>
      <c r="S194" s="39"/>
      <c r="T194" s="39"/>
      <c r="U194" s="52">
        <v>46181.841469907406</v>
      </c>
      <c r="V194" s="35" t="s">
        <v>63</v>
      </c>
      <c r="W194" s="95"/>
      <c r="X194" s="42"/>
    </row>
    <row r="195" spans="1:24" s="5" customFormat="1" ht="15.75">
      <c r="A195" s="84"/>
      <c r="B195" s="89"/>
      <c r="C195" s="93"/>
      <c r="D195" s="34"/>
      <c r="E19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95" s="35"/>
      <c r="G195" s="45" t="b">
        <v>0</v>
      </c>
      <c r="H195" s="45" t="b">
        <v>0</v>
      </c>
      <c r="I195" s="45" t="b">
        <v>0</v>
      </c>
      <c r="J195" s="45" t="b">
        <v>0</v>
      </c>
      <c r="K195" s="45" t="b">
        <v>0</v>
      </c>
      <c r="L195" s="45" t="b">
        <v>0</v>
      </c>
      <c r="M195" s="45" t="b">
        <v>0</v>
      </c>
      <c r="N195" s="45" t="b">
        <v>0</v>
      </c>
      <c r="O195" s="45" t="b">
        <v>0</v>
      </c>
      <c r="P195" s="34"/>
      <c r="Q195" s="34"/>
      <c r="R195" s="34"/>
      <c r="S195" s="39"/>
      <c r="T195" s="39"/>
      <c r="U195" s="52">
        <v>46181.841469907406</v>
      </c>
      <c r="V195" s="35" t="s">
        <v>63</v>
      </c>
      <c r="W195" s="95"/>
      <c r="X195" s="42"/>
    </row>
    <row r="196" spans="1:24" s="5" customFormat="1" ht="15.75">
      <c r="A196" s="84"/>
      <c r="B196" s="89"/>
      <c r="C196" s="93"/>
      <c r="D196" s="34"/>
      <c r="E19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96" s="35"/>
      <c r="G196" s="45" t="b">
        <v>0</v>
      </c>
      <c r="H196" s="45" t="b">
        <v>0</v>
      </c>
      <c r="I196" s="45" t="b">
        <v>0</v>
      </c>
      <c r="J196" s="45" t="b">
        <v>0</v>
      </c>
      <c r="K196" s="45" t="b">
        <v>0</v>
      </c>
      <c r="L196" s="45" t="b">
        <v>0</v>
      </c>
      <c r="M196" s="45" t="b">
        <v>0</v>
      </c>
      <c r="N196" s="45" t="b">
        <v>0</v>
      </c>
      <c r="O196" s="45" t="b">
        <v>0</v>
      </c>
      <c r="P196" s="34"/>
      <c r="Q196" s="34"/>
      <c r="R196" s="34"/>
      <c r="S196" s="39"/>
      <c r="T196" s="39"/>
      <c r="U196" s="52">
        <v>46181.841469907406</v>
      </c>
      <c r="V196" s="35" t="s">
        <v>63</v>
      </c>
      <c r="W196" s="95"/>
      <c r="X196" s="42"/>
    </row>
    <row r="197" spans="1:24" s="5" customFormat="1" ht="15.75">
      <c r="A197" s="84"/>
      <c r="B197" s="89"/>
      <c r="C197" s="93"/>
      <c r="D197" s="34"/>
      <c r="E19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97" s="35"/>
      <c r="G197" s="45" t="b">
        <v>0</v>
      </c>
      <c r="H197" s="45" t="b">
        <v>0</v>
      </c>
      <c r="I197" s="45" t="b">
        <v>0</v>
      </c>
      <c r="J197" s="45" t="b">
        <v>0</v>
      </c>
      <c r="K197" s="45" t="b">
        <v>0</v>
      </c>
      <c r="L197" s="45" t="b">
        <v>0</v>
      </c>
      <c r="M197" s="45" t="b">
        <v>0</v>
      </c>
      <c r="N197" s="45" t="b">
        <v>0</v>
      </c>
      <c r="O197" s="45" t="b">
        <v>0</v>
      </c>
      <c r="P197" s="34"/>
      <c r="Q197" s="34"/>
      <c r="R197" s="34"/>
      <c r="S197" s="39"/>
      <c r="T197" s="39"/>
      <c r="U197" s="52">
        <v>46181.841469907406</v>
      </c>
      <c r="V197" s="35" t="s">
        <v>63</v>
      </c>
      <c r="W197" s="95"/>
      <c r="X197" s="42"/>
    </row>
    <row r="198" spans="1:24" s="5" customFormat="1" ht="15.75">
      <c r="A198" s="84"/>
      <c r="B198" s="89"/>
      <c r="C198" s="93"/>
      <c r="D198" s="34"/>
      <c r="E198"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98" s="35"/>
      <c r="G198" s="45" t="b">
        <v>0</v>
      </c>
      <c r="H198" s="45" t="b">
        <v>0</v>
      </c>
      <c r="I198" s="45" t="b">
        <v>0</v>
      </c>
      <c r="J198" s="45" t="b">
        <v>0</v>
      </c>
      <c r="K198" s="45" t="b">
        <v>0</v>
      </c>
      <c r="L198" s="45" t="b">
        <v>0</v>
      </c>
      <c r="M198" s="45" t="b">
        <v>0</v>
      </c>
      <c r="N198" s="45" t="b">
        <v>0</v>
      </c>
      <c r="O198" s="45" t="b">
        <v>0</v>
      </c>
      <c r="P198" s="34"/>
      <c r="Q198" s="34"/>
      <c r="R198" s="34"/>
      <c r="S198" s="39"/>
      <c r="T198" s="39"/>
      <c r="U198" s="52">
        <v>46181.841481481482</v>
      </c>
      <c r="V198" s="35" t="s">
        <v>63</v>
      </c>
      <c r="W198" s="95"/>
      <c r="X198" s="42"/>
    </row>
    <row r="199" spans="1:24" s="5" customFormat="1" ht="15.75">
      <c r="A199" s="84"/>
      <c r="B199" s="89"/>
      <c r="C199" s="93"/>
      <c r="D199" s="34"/>
      <c r="E199"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99" s="35"/>
      <c r="G199" s="45" t="b">
        <v>0</v>
      </c>
      <c r="H199" s="45" t="b">
        <v>0</v>
      </c>
      <c r="I199" s="45" t="b">
        <v>0</v>
      </c>
      <c r="J199" s="45" t="b">
        <v>0</v>
      </c>
      <c r="K199" s="45" t="b">
        <v>0</v>
      </c>
      <c r="L199" s="45" t="b">
        <v>0</v>
      </c>
      <c r="M199" s="45" t="b">
        <v>0</v>
      </c>
      <c r="N199" s="45" t="b">
        <v>0</v>
      </c>
      <c r="O199" s="45" t="b">
        <v>0</v>
      </c>
      <c r="P199" s="34"/>
      <c r="Q199" s="34"/>
      <c r="R199" s="34"/>
      <c r="S199" s="39"/>
      <c r="T199" s="39"/>
      <c r="U199" s="52">
        <v>46181.841481481482</v>
      </c>
      <c r="V199" s="35" t="s">
        <v>63</v>
      </c>
      <c r="W199" s="95"/>
      <c r="X199" s="42"/>
    </row>
    <row r="200" spans="1:24" s="5" customFormat="1" ht="15.75">
      <c r="A200" s="84"/>
      <c r="B200" s="89"/>
      <c r="C200" s="93"/>
      <c r="D200" s="34"/>
      <c r="E200"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200" s="35"/>
      <c r="G200" s="45" t="b">
        <v>0</v>
      </c>
      <c r="H200" s="45" t="b">
        <v>0</v>
      </c>
      <c r="I200" s="45" t="b">
        <v>0</v>
      </c>
      <c r="J200" s="45" t="b">
        <v>0</v>
      </c>
      <c r="K200" s="45" t="b">
        <v>0</v>
      </c>
      <c r="L200" s="45" t="b">
        <v>0</v>
      </c>
      <c r="M200" s="45" t="b">
        <v>0</v>
      </c>
      <c r="N200" s="45" t="b">
        <v>0</v>
      </c>
      <c r="O200" s="45" t="b">
        <v>0</v>
      </c>
      <c r="P200" s="34"/>
      <c r="Q200" s="34"/>
      <c r="R200" s="34"/>
      <c r="S200" s="39"/>
      <c r="T200" s="39"/>
      <c r="U200" s="52">
        <v>46181.841481481482</v>
      </c>
      <c r="V200" s="35" t="s">
        <v>63</v>
      </c>
      <c r="W200" s="95"/>
      <c r="X200" s="42"/>
    </row>
    <row r="201" spans="1:24" s="5" customFormat="1" ht="15.75">
      <c r="A201" s="84"/>
      <c r="B201" s="89"/>
      <c r="C201" s="93"/>
      <c r="D201" s="34"/>
      <c r="E201"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201" s="35"/>
      <c r="G201" s="45" t="b">
        <v>0</v>
      </c>
      <c r="H201" s="45" t="b">
        <v>0</v>
      </c>
      <c r="I201" s="45" t="b">
        <v>0</v>
      </c>
      <c r="J201" s="45" t="b">
        <v>0</v>
      </c>
      <c r="K201" s="45" t="b">
        <v>0</v>
      </c>
      <c r="L201" s="45" t="b">
        <v>0</v>
      </c>
      <c r="M201" s="45" t="b">
        <v>0</v>
      </c>
      <c r="N201" s="45" t="b">
        <v>0</v>
      </c>
      <c r="O201" s="45" t="b">
        <v>0</v>
      </c>
      <c r="P201" s="34"/>
      <c r="Q201" s="34"/>
      <c r="R201" s="34"/>
      <c r="S201" s="39"/>
      <c r="T201" s="39"/>
      <c r="U201" s="52">
        <v>46181.841481481482</v>
      </c>
      <c r="V201" s="35" t="s">
        <v>63</v>
      </c>
      <c r="W201" s="95"/>
      <c r="X201" s="42"/>
    </row>
    <row r="202" spans="1:24" s="5" customFormat="1" ht="15.75">
      <c r="A202" s="84"/>
      <c r="B202" s="89"/>
      <c r="C202" s="93"/>
      <c r="D202" s="34"/>
      <c r="E202"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202" s="35"/>
      <c r="G202" s="45" t="b">
        <v>0</v>
      </c>
      <c r="H202" s="45" t="b">
        <v>0</v>
      </c>
      <c r="I202" s="45" t="b">
        <v>0</v>
      </c>
      <c r="J202" s="45" t="b">
        <v>0</v>
      </c>
      <c r="K202" s="45" t="b">
        <v>0</v>
      </c>
      <c r="L202" s="45" t="b">
        <v>0</v>
      </c>
      <c r="M202" s="45" t="b">
        <v>0</v>
      </c>
      <c r="N202" s="45" t="b">
        <v>0</v>
      </c>
      <c r="O202" s="45" t="b">
        <v>0</v>
      </c>
      <c r="P202" s="34"/>
      <c r="Q202" s="34"/>
      <c r="R202" s="34"/>
      <c r="S202" s="39"/>
      <c r="T202" s="39"/>
      <c r="U202" s="52">
        <v>46181.841481481482</v>
      </c>
      <c r="V202" s="35" t="s">
        <v>63</v>
      </c>
      <c r="W202" s="95"/>
      <c r="X202" s="42"/>
    </row>
    <row r="203" spans="1:24" s="5" customFormat="1" ht="15.75">
      <c r="A203" s="84"/>
      <c r="B203" s="89"/>
      <c r="C203" s="93"/>
      <c r="D203" s="34"/>
      <c r="E203"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203" s="35"/>
      <c r="G203" s="45" t="b">
        <v>0</v>
      </c>
      <c r="H203" s="45" t="b">
        <v>0</v>
      </c>
      <c r="I203" s="45" t="b">
        <v>0</v>
      </c>
      <c r="J203" s="45" t="b">
        <v>0</v>
      </c>
      <c r="K203" s="45" t="b">
        <v>0</v>
      </c>
      <c r="L203" s="45" t="b">
        <v>0</v>
      </c>
      <c r="M203" s="45" t="b">
        <v>0</v>
      </c>
      <c r="N203" s="45" t="b">
        <v>0</v>
      </c>
      <c r="O203" s="45" t="b">
        <v>0</v>
      </c>
      <c r="P203" s="34"/>
      <c r="Q203" s="34"/>
      <c r="R203" s="34"/>
      <c r="S203" s="39"/>
      <c r="T203" s="39"/>
      <c r="U203" s="52">
        <v>46181.841481481482</v>
      </c>
      <c r="V203" s="35" t="s">
        <v>63</v>
      </c>
      <c r="W203" s="95"/>
      <c r="X203" s="42"/>
    </row>
    <row r="204" spans="1:24" s="5" customFormat="1" ht="15.75">
      <c r="A204" s="84"/>
      <c r="B204" s="89"/>
      <c r="C204" s="93"/>
      <c r="D204" s="34"/>
      <c r="E204"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204" s="35"/>
      <c r="G204" s="45" t="b">
        <v>0</v>
      </c>
      <c r="H204" s="45" t="b">
        <v>0</v>
      </c>
      <c r="I204" s="45" t="b">
        <v>0</v>
      </c>
      <c r="J204" s="45" t="b">
        <v>0</v>
      </c>
      <c r="K204" s="45" t="b">
        <v>0</v>
      </c>
      <c r="L204" s="45" t="b">
        <v>0</v>
      </c>
      <c r="M204" s="45" t="b">
        <v>0</v>
      </c>
      <c r="N204" s="45" t="b">
        <v>0</v>
      </c>
      <c r="O204" s="45" t="b">
        <v>0</v>
      </c>
      <c r="P204" s="34"/>
      <c r="Q204" s="34"/>
      <c r="R204" s="34"/>
      <c r="S204" s="39"/>
      <c r="T204" s="39"/>
      <c r="U204" s="52">
        <v>46181.841481481482</v>
      </c>
      <c r="V204" s="35" t="s">
        <v>63</v>
      </c>
      <c r="W204" s="95"/>
      <c r="X204" s="42"/>
    </row>
    <row r="205" spans="1:24" s="5" customFormat="1" ht="15.75">
      <c r="A205" s="84"/>
      <c r="B205" s="89"/>
      <c r="C205" s="93"/>
      <c r="D205" s="34"/>
      <c r="E205"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205" s="35"/>
      <c r="G205" s="45" t="b">
        <v>0</v>
      </c>
      <c r="H205" s="45" t="b">
        <v>0</v>
      </c>
      <c r="I205" s="45" t="b">
        <v>0</v>
      </c>
      <c r="J205" s="45" t="b">
        <v>0</v>
      </c>
      <c r="K205" s="45" t="b">
        <v>0</v>
      </c>
      <c r="L205" s="45" t="b">
        <v>0</v>
      </c>
      <c r="M205" s="45" t="b">
        <v>0</v>
      </c>
      <c r="N205" s="45" t="b">
        <v>0</v>
      </c>
      <c r="O205" s="45" t="b">
        <v>0</v>
      </c>
      <c r="P205" s="34"/>
      <c r="Q205" s="34"/>
      <c r="R205" s="34"/>
      <c r="S205" s="39"/>
      <c r="T205" s="39"/>
      <c r="U205" s="52">
        <v>46181.841481481482</v>
      </c>
      <c r="V205" s="35" t="s">
        <v>63</v>
      </c>
      <c r="W205" s="95"/>
      <c r="X205" s="42"/>
    </row>
    <row r="206" spans="1:24" s="5" customFormat="1" ht="15.75">
      <c r="A206" s="84"/>
      <c r="B206" s="89"/>
      <c r="C206" s="93"/>
      <c r="D206" s="34"/>
      <c r="E206"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206" s="35"/>
      <c r="G206" s="45" t="b">
        <v>0</v>
      </c>
      <c r="H206" s="45" t="b">
        <v>0</v>
      </c>
      <c r="I206" s="45" t="b">
        <v>0</v>
      </c>
      <c r="J206" s="45" t="b">
        <v>0</v>
      </c>
      <c r="K206" s="45" t="b">
        <v>0</v>
      </c>
      <c r="L206" s="45" t="b">
        <v>0</v>
      </c>
      <c r="M206" s="45" t="b">
        <v>0</v>
      </c>
      <c r="N206" s="45" t="b">
        <v>0</v>
      </c>
      <c r="O206" s="45" t="b">
        <v>0</v>
      </c>
      <c r="P206" s="34"/>
      <c r="Q206" s="34"/>
      <c r="R206" s="34"/>
      <c r="S206" s="39"/>
      <c r="T206" s="39"/>
      <c r="U206" s="52">
        <v>46181.841481481482</v>
      </c>
      <c r="V206" s="35" t="s">
        <v>63</v>
      </c>
      <c r="W206" s="95"/>
      <c r="X206" s="42"/>
    </row>
    <row r="207" spans="1:24" s="5" customFormat="1" ht="15.75">
      <c r="A207" s="84"/>
      <c r="B207" s="89"/>
      <c r="C207" s="93"/>
      <c r="D207" s="34"/>
      <c r="E207" s="3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207" s="35"/>
      <c r="G207" s="45" t="b">
        <v>0</v>
      </c>
      <c r="H207" s="45" t="b">
        <v>0</v>
      </c>
      <c r="I207" s="45" t="b">
        <v>0</v>
      </c>
      <c r="J207" s="45" t="b">
        <v>0</v>
      </c>
      <c r="K207" s="45" t="b">
        <v>0</v>
      </c>
      <c r="L207" s="45" t="b">
        <v>0</v>
      </c>
      <c r="M207" s="45" t="b">
        <v>0</v>
      </c>
      <c r="N207" s="45" t="b">
        <v>0</v>
      </c>
      <c r="O207" s="45" t="b">
        <v>0</v>
      </c>
      <c r="P207" s="34"/>
      <c r="Q207" s="34"/>
      <c r="R207" s="34"/>
      <c r="S207" s="39"/>
      <c r="T207" s="39"/>
      <c r="U207" s="52">
        <v>46181.841481481482</v>
      </c>
      <c r="V207" s="35" t="s">
        <v>63</v>
      </c>
      <c r="W207" s="95"/>
      <c r="X207" s="42"/>
    </row>
    <row r="208" spans="1:24">
      <c r="A208" s="87"/>
      <c r="B208" s="87"/>
      <c r="C208" s="87"/>
      <c r="D208"/>
      <c r="E208"/>
      <c r="F208"/>
      <c r="G208"/>
      <c r="H208"/>
      <c r="I208"/>
      <c r="J208"/>
      <c r="K208"/>
      <c r="L208"/>
      <c r="M208"/>
      <c r="N208"/>
      <c r="O208"/>
      <c r="P208"/>
      <c r="Q208"/>
      <c r="R208"/>
      <c r="S208"/>
      <c r="T208"/>
      <c r="U208"/>
      <c r="V208"/>
      <c r="W208" s="87"/>
      <c r="X208"/>
    </row>
    <row r="209" spans="1:24">
      <c r="A209" s="87"/>
      <c r="B209" s="87"/>
      <c r="C209" s="87"/>
      <c r="D209"/>
      <c r="E209"/>
      <c r="F209"/>
      <c r="G209"/>
      <c r="H209"/>
      <c r="I209"/>
      <c r="J209"/>
      <c r="K209"/>
      <c r="L209"/>
      <c r="M209"/>
      <c r="N209"/>
      <c r="O209"/>
      <c r="P209"/>
      <c r="Q209"/>
      <c r="R209"/>
      <c r="S209"/>
      <c r="T209"/>
      <c r="U209"/>
      <c r="V209"/>
      <c r="W209" s="87"/>
      <c r="X209"/>
    </row>
    <row r="210" spans="1:24">
      <c r="A210" s="87"/>
      <c r="B210" s="87"/>
      <c r="C210" s="87"/>
      <c r="D210"/>
      <c r="E210"/>
      <c r="F210"/>
      <c r="G210"/>
      <c r="H210"/>
      <c r="I210"/>
      <c r="J210"/>
      <c r="K210"/>
      <c r="L210"/>
      <c r="M210"/>
      <c r="N210"/>
      <c r="O210"/>
      <c r="P210"/>
      <c r="Q210"/>
      <c r="R210"/>
      <c r="S210"/>
      <c r="T210"/>
      <c r="U210"/>
      <c r="V210"/>
      <c r="W210" s="87"/>
      <c r="X210"/>
    </row>
    <row r="211" spans="1:24">
      <c r="A211" s="87"/>
      <c r="B211" s="87"/>
      <c r="C211" s="87"/>
      <c r="D211"/>
      <c r="E211"/>
      <c r="F211"/>
      <c r="G211"/>
      <c r="H211"/>
      <c r="I211"/>
      <c r="J211"/>
      <c r="K211"/>
      <c r="L211"/>
      <c r="M211"/>
      <c r="N211"/>
      <c r="O211"/>
      <c r="P211"/>
      <c r="Q211"/>
      <c r="R211"/>
      <c r="S211"/>
      <c r="T211"/>
      <c r="U211"/>
      <c r="V211"/>
      <c r="W211" s="87"/>
      <c r="X211"/>
    </row>
    <row r="212" spans="1:24">
      <c r="A212" s="87"/>
      <c r="B212" s="87"/>
      <c r="C212" s="87"/>
      <c r="D212"/>
      <c r="E212"/>
      <c r="F212"/>
      <c r="G212"/>
      <c r="H212"/>
      <c r="I212"/>
      <c r="J212"/>
      <c r="K212"/>
      <c r="L212"/>
      <c r="M212"/>
      <c r="N212"/>
      <c r="O212"/>
      <c r="P212"/>
      <c r="Q212"/>
      <c r="R212"/>
      <c r="S212"/>
      <c r="T212"/>
      <c r="U212"/>
      <c r="V212"/>
      <c r="W212" s="87"/>
      <c r="X212"/>
    </row>
    <row r="213" spans="1:24">
      <c r="A213" s="87"/>
      <c r="B213" s="87"/>
      <c r="C213" s="87"/>
      <c r="D213"/>
      <c r="E213"/>
      <c r="F213"/>
      <c r="G213"/>
      <c r="H213"/>
      <c r="I213"/>
      <c r="J213"/>
      <c r="K213"/>
      <c r="L213"/>
      <c r="M213"/>
      <c r="N213"/>
      <c r="O213"/>
      <c r="P213"/>
      <c r="Q213"/>
      <c r="R213"/>
      <c r="S213"/>
      <c r="T213"/>
      <c r="U213"/>
      <c r="V213"/>
      <c r="W213" s="87"/>
      <c r="X213"/>
    </row>
    <row r="214" spans="1:24">
      <c r="A214" s="87"/>
      <c r="B214" s="87"/>
      <c r="C214" s="87"/>
      <c r="D214"/>
      <c r="E214"/>
      <c r="F214"/>
      <c r="G214"/>
      <c r="H214"/>
      <c r="I214"/>
      <c r="J214"/>
      <c r="K214"/>
      <c r="L214"/>
      <c r="M214"/>
      <c r="N214"/>
      <c r="O214"/>
      <c r="P214"/>
      <c r="Q214"/>
      <c r="R214"/>
      <c r="S214"/>
      <c r="T214"/>
      <c r="U214"/>
      <c r="V214"/>
      <c r="W214" s="87"/>
      <c r="X214"/>
    </row>
    <row r="215" spans="1:24">
      <c r="A215" s="87"/>
      <c r="B215" s="87"/>
      <c r="C215" s="87"/>
      <c r="D215"/>
      <c r="E215"/>
      <c r="F215"/>
      <c r="G215"/>
      <c r="H215"/>
      <c r="I215"/>
      <c r="J215"/>
      <c r="K215"/>
      <c r="L215"/>
      <c r="M215"/>
      <c r="N215"/>
      <c r="O215"/>
      <c r="P215"/>
      <c r="Q215"/>
      <c r="R215"/>
      <c r="S215"/>
      <c r="T215"/>
      <c r="U215"/>
      <c r="V215"/>
      <c r="W215" s="87"/>
      <c r="X215"/>
    </row>
    <row r="216" spans="1:24">
      <c r="A216" s="87"/>
      <c r="B216" s="87"/>
      <c r="C216" s="87"/>
      <c r="D216"/>
      <c r="E216"/>
      <c r="F216"/>
      <c r="G216"/>
      <c r="H216"/>
      <c r="I216"/>
      <c r="J216"/>
      <c r="K216"/>
      <c r="L216"/>
      <c r="M216"/>
      <c r="N216"/>
      <c r="O216"/>
      <c r="P216"/>
      <c r="Q216"/>
      <c r="R216"/>
      <c r="S216"/>
      <c r="T216"/>
      <c r="U216"/>
      <c r="V216"/>
      <c r="W216" s="87"/>
      <c r="X216"/>
    </row>
    <row r="217" spans="1:24">
      <c r="A217" s="87"/>
      <c r="B217" s="87"/>
      <c r="C217" s="87"/>
      <c r="D217"/>
      <c r="E217"/>
      <c r="F217"/>
      <c r="G217"/>
      <c r="H217"/>
      <c r="I217"/>
      <c r="J217"/>
      <c r="K217"/>
      <c r="L217"/>
      <c r="M217"/>
      <c r="N217"/>
      <c r="O217"/>
      <c r="P217"/>
      <c r="Q217"/>
      <c r="R217"/>
      <c r="S217"/>
      <c r="T217"/>
      <c r="U217"/>
      <c r="V217"/>
      <c r="W217" s="87"/>
      <c r="X217"/>
    </row>
    <row r="218" spans="1:24">
      <c r="A218" s="87"/>
      <c r="B218" s="87"/>
      <c r="C218" s="87"/>
      <c r="D218"/>
      <c r="E218"/>
      <c r="F218"/>
      <c r="G218"/>
      <c r="H218"/>
      <c r="I218"/>
      <c r="J218"/>
      <c r="K218"/>
      <c r="L218"/>
      <c r="M218"/>
      <c r="N218"/>
      <c r="O218"/>
      <c r="P218"/>
      <c r="Q218"/>
      <c r="R218"/>
      <c r="S218"/>
      <c r="T218"/>
      <c r="U218"/>
      <c r="V218"/>
      <c r="W218" s="87"/>
      <c r="X218"/>
    </row>
    <row r="219" spans="1:24">
      <c r="A219" s="87"/>
      <c r="B219" s="87"/>
      <c r="C219" s="87"/>
      <c r="D219"/>
      <c r="E219"/>
      <c r="F219"/>
      <c r="G219"/>
      <c r="H219"/>
      <c r="I219"/>
      <c r="J219"/>
      <c r="K219"/>
      <c r="L219"/>
      <c r="M219"/>
      <c r="N219"/>
      <c r="O219"/>
      <c r="P219"/>
      <c r="Q219"/>
      <c r="R219"/>
      <c r="S219"/>
      <c r="T219"/>
      <c r="U219"/>
      <c r="V219"/>
      <c r="W219" s="87"/>
      <c r="X219"/>
    </row>
    <row r="220" spans="1:24">
      <c r="A220" s="87"/>
      <c r="B220" s="87"/>
      <c r="C220" s="87"/>
      <c r="D220"/>
      <c r="E220"/>
      <c r="F220"/>
      <c r="G220"/>
      <c r="H220"/>
      <c r="I220"/>
      <c r="J220"/>
      <c r="K220"/>
      <c r="L220"/>
      <c r="M220"/>
      <c r="N220"/>
      <c r="O220"/>
      <c r="P220"/>
      <c r="Q220"/>
      <c r="R220"/>
      <c r="S220"/>
      <c r="T220"/>
      <c r="U220"/>
      <c r="V220"/>
      <c r="W220" s="87"/>
      <c r="X220"/>
    </row>
    <row r="221" spans="1:24">
      <c r="A221" s="87"/>
      <c r="B221" s="87"/>
      <c r="C221" s="87"/>
      <c r="D221"/>
      <c r="E221"/>
      <c r="F221"/>
      <c r="G221"/>
      <c r="H221"/>
      <c r="I221"/>
      <c r="J221"/>
      <c r="K221"/>
      <c r="L221"/>
      <c r="M221"/>
      <c r="N221"/>
      <c r="O221"/>
      <c r="P221"/>
      <c r="Q221"/>
      <c r="R221"/>
      <c r="S221"/>
      <c r="T221"/>
      <c r="U221"/>
      <c r="V221"/>
      <c r="W221" s="87"/>
      <c r="X221"/>
    </row>
    <row r="222" spans="1:24">
      <c r="A222" s="87"/>
      <c r="B222" s="87"/>
      <c r="C222" s="87"/>
      <c r="D222"/>
      <c r="E222"/>
      <c r="F222"/>
      <c r="G222"/>
      <c r="H222"/>
      <c r="I222"/>
      <c r="J222"/>
      <c r="K222"/>
      <c r="L222"/>
      <c r="M222"/>
      <c r="N222"/>
      <c r="O222"/>
      <c r="P222"/>
      <c r="Q222"/>
      <c r="R222"/>
      <c r="S222"/>
      <c r="T222"/>
      <c r="U222"/>
      <c r="V222"/>
      <c r="W222" s="87"/>
      <c r="X222"/>
    </row>
    <row r="223" spans="1:24">
      <c r="A223" s="87"/>
      <c r="B223" s="87"/>
      <c r="C223" s="87"/>
      <c r="D223"/>
      <c r="E223"/>
      <c r="F223"/>
      <c r="G223"/>
      <c r="H223"/>
      <c r="I223"/>
      <c r="J223"/>
      <c r="K223"/>
      <c r="L223"/>
      <c r="M223"/>
      <c r="N223"/>
      <c r="O223"/>
      <c r="P223"/>
      <c r="Q223"/>
      <c r="R223"/>
      <c r="S223"/>
      <c r="T223"/>
      <c r="U223"/>
      <c r="V223"/>
      <c r="W223" s="87"/>
      <c r="X223"/>
    </row>
    <row r="224" spans="1:24">
      <c r="A224" s="87"/>
      <c r="B224" s="87"/>
      <c r="C224" s="87"/>
      <c r="D224"/>
      <c r="E224"/>
      <c r="F224"/>
      <c r="G224"/>
      <c r="H224"/>
      <c r="I224"/>
      <c r="J224"/>
      <c r="K224"/>
      <c r="L224"/>
      <c r="M224"/>
      <c r="N224"/>
      <c r="O224"/>
      <c r="P224"/>
      <c r="Q224"/>
      <c r="R224"/>
      <c r="S224"/>
      <c r="T224"/>
      <c r="U224"/>
      <c r="V224"/>
      <c r="W224" s="87"/>
      <c r="X224"/>
    </row>
    <row r="225" spans="1:24">
      <c r="A225" s="87"/>
      <c r="B225" s="87"/>
      <c r="C225" s="87"/>
      <c r="D225"/>
      <c r="E225"/>
      <c r="F225"/>
      <c r="G225"/>
      <c r="H225"/>
      <c r="I225"/>
      <c r="J225"/>
      <c r="K225"/>
      <c r="L225"/>
      <c r="M225"/>
      <c r="N225"/>
      <c r="O225"/>
      <c r="P225"/>
      <c r="Q225"/>
      <c r="R225"/>
      <c r="S225"/>
      <c r="T225"/>
      <c r="U225"/>
      <c r="V225"/>
      <c r="W225" s="87"/>
      <c r="X225"/>
    </row>
    <row r="226" spans="1:24">
      <c r="A226" s="87"/>
      <c r="B226" s="87"/>
      <c r="C226" s="87"/>
      <c r="D226"/>
      <c r="E226"/>
      <c r="F226"/>
      <c r="G226"/>
      <c r="H226"/>
      <c r="I226"/>
      <c r="J226"/>
      <c r="K226"/>
      <c r="L226"/>
      <c r="M226"/>
      <c r="N226"/>
      <c r="O226"/>
      <c r="P226"/>
      <c r="Q226"/>
      <c r="R226"/>
      <c r="S226"/>
      <c r="T226"/>
      <c r="U226"/>
      <c r="V226"/>
      <c r="W226" s="87"/>
      <c r="X226"/>
    </row>
    <row r="227" spans="1:24">
      <c r="A227" s="87"/>
      <c r="B227" s="87"/>
      <c r="C227" s="87"/>
      <c r="D227"/>
      <c r="E227"/>
      <c r="F227"/>
      <c r="G227"/>
      <c r="H227"/>
      <c r="I227"/>
      <c r="J227"/>
      <c r="K227"/>
      <c r="L227"/>
      <c r="M227"/>
      <c r="N227"/>
      <c r="O227"/>
      <c r="P227"/>
      <c r="Q227"/>
      <c r="R227"/>
      <c r="S227"/>
      <c r="T227"/>
      <c r="U227"/>
      <c r="V227"/>
      <c r="W227" s="87"/>
      <c r="X227"/>
    </row>
    <row r="228" spans="1:24">
      <c r="A228" s="87"/>
      <c r="B228" s="87"/>
      <c r="C228" s="87"/>
      <c r="D228"/>
      <c r="E228"/>
      <c r="F228"/>
      <c r="G228"/>
      <c r="H228"/>
      <c r="I228"/>
      <c r="J228"/>
      <c r="K228"/>
      <c r="L228"/>
      <c r="M228"/>
      <c r="N228"/>
      <c r="O228"/>
      <c r="P228"/>
      <c r="Q228"/>
      <c r="R228"/>
      <c r="S228"/>
      <c r="T228"/>
      <c r="U228"/>
      <c r="V228"/>
      <c r="W228" s="87"/>
      <c r="X228"/>
    </row>
    <row r="229" spans="1:24">
      <c r="A229" s="87"/>
      <c r="B229" s="87"/>
      <c r="C229" s="87"/>
      <c r="D229"/>
      <c r="E229"/>
      <c r="F229"/>
      <c r="G229"/>
      <c r="H229"/>
      <c r="I229"/>
      <c r="J229"/>
      <c r="K229"/>
      <c r="L229"/>
      <c r="M229"/>
      <c r="N229"/>
      <c r="O229"/>
      <c r="P229"/>
      <c r="Q229"/>
      <c r="R229"/>
      <c r="S229"/>
      <c r="T229"/>
      <c r="U229"/>
      <c r="V229"/>
      <c r="W229" s="87"/>
      <c r="X229"/>
    </row>
    <row r="230" spans="1:24">
      <c r="A230" s="87"/>
      <c r="B230" s="87"/>
      <c r="C230" s="87"/>
      <c r="D230"/>
      <c r="E230"/>
      <c r="F230"/>
      <c r="G230"/>
      <c r="H230"/>
      <c r="I230"/>
      <c r="J230"/>
      <c r="K230"/>
      <c r="L230"/>
      <c r="M230"/>
      <c r="N230"/>
      <c r="O230"/>
      <c r="P230"/>
      <c r="Q230"/>
      <c r="R230"/>
      <c r="S230"/>
      <c r="T230"/>
      <c r="U230"/>
      <c r="V230"/>
      <c r="W230" s="87"/>
      <c r="X230"/>
    </row>
    <row r="231" spans="1:24">
      <c r="A231" s="87"/>
      <c r="B231" s="87"/>
      <c r="C231" s="87"/>
      <c r="D231"/>
      <c r="E231"/>
      <c r="F231"/>
      <c r="G231"/>
      <c r="H231"/>
      <c r="I231"/>
      <c r="J231"/>
      <c r="K231"/>
      <c r="L231"/>
      <c r="M231"/>
      <c r="N231"/>
      <c r="O231"/>
      <c r="P231"/>
      <c r="Q231"/>
      <c r="R231"/>
      <c r="S231"/>
      <c r="T231"/>
      <c r="U231"/>
      <c r="V231"/>
      <c r="W231" s="87"/>
      <c r="X231"/>
    </row>
    <row r="232" spans="1:24">
      <c r="A232" s="87"/>
      <c r="B232" s="87"/>
      <c r="C232" s="87"/>
      <c r="D232"/>
      <c r="E232"/>
      <c r="F232"/>
      <c r="G232"/>
      <c r="H232"/>
      <c r="I232"/>
      <c r="J232"/>
      <c r="K232"/>
      <c r="L232"/>
      <c r="M232"/>
      <c r="N232"/>
      <c r="O232"/>
      <c r="P232"/>
      <c r="Q232"/>
      <c r="R232"/>
      <c r="S232"/>
      <c r="T232"/>
      <c r="U232"/>
      <c r="V232"/>
      <c r="W232" s="87"/>
      <c r="X232"/>
    </row>
    <row r="233" spans="1:24">
      <c r="A233" s="87"/>
      <c r="B233" s="87"/>
      <c r="C233" s="87"/>
      <c r="D233"/>
      <c r="E233"/>
      <c r="F233"/>
      <c r="G233"/>
      <c r="H233"/>
      <c r="I233"/>
      <c r="J233"/>
      <c r="K233"/>
      <c r="L233"/>
      <c r="M233"/>
      <c r="N233"/>
      <c r="O233"/>
      <c r="P233"/>
      <c r="Q233"/>
      <c r="R233"/>
      <c r="S233"/>
      <c r="T233"/>
      <c r="U233"/>
      <c r="V233"/>
      <c r="W233" s="87"/>
      <c r="X233"/>
    </row>
    <row r="234" spans="1:24">
      <c r="A234" s="87"/>
      <c r="B234" s="87"/>
      <c r="C234" s="87"/>
      <c r="D234"/>
      <c r="E234"/>
      <c r="F234"/>
      <c r="G234"/>
      <c r="H234"/>
      <c r="I234"/>
      <c r="J234"/>
      <c r="K234"/>
      <c r="L234"/>
      <c r="M234"/>
      <c r="N234"/>
      <c r="O234"/>
      <c r="P234"/>
      <c r="Q234"/>
      <c r="R234"/>
      <c r="S234"/>
      <c r="T234"/>
      <c r="U234"/>
      <c r="V234"/>
      <c r="W234" s="87"/>
      <c r="X234"/>
    </row>
    <row r="235" spans="1:24">
      <c r="A235" s="87"/>
      <c r="B235" s="87"/>
      <c r="C235" s="87"/>
      <c r="D235"/>
      <c r="E235"/>
      <c r="F235"/>
      <c r="G235"/>
      <c r="H235"/>
      <c r="I235"/>
      <c r="J235"/>
      <c r="K235"/>
      <c r="L235"/>
      <c r="M235"/>
      <c r="N235"/>
      <c r="O235"/>
      <c r="P235"/>
      <c r="Q235"/>
      <c r="R235"/>
      <c r="S235"/>
      <c r="T235"/>
      <c r="U235"/>
      <c r="V235"/>
      <c r="W235" s="87"/>
      <c r="X235"/>
    </row>
    <row r="236" spans="1:24">
      <c r="A236" s="87"/>
      <c r="B236" s="87"/>
      <c r="C236" s="87"/>
      <c r="D236"/>
      <c r="E236"/>
      <c r="F236"/>
      <c r="G236"/>
      <c r="H236"/>
      <c r="I236"/>
      <c r="J236"/>
      <c r="K236"/>
      <c r="L236"/>
      <c r="M236"/>
      <c r="N236"/>
      <c r="O236"/>
      <c r="P236"/>
      <c r="Q236"/>
      <c r="R236"/>
      <c r="S236"/>
      <c r="T236"/>
      <c r="U236"/>
      <c r="V236"/>
      <c r="W236" s="87"/>
      <c r="X236"/>
    </row>
    <row r="237" spans="1:24">
      <c r="A237" s="87"/>
      <c r="B237" s="87"/>
      <c r="C237" s="87"/>
      <c r="D237"/>
      <c r="E237"/>
      <c r="F237"/>
      <c r="G237"/>
      <c r="H237"/>
      <c r="I237"/>
      <c r="J237"/>
      <c r="K237"/>
      <c r="L237"/>
      <c r="M237"/>
      <c r="N237"/>
      <c r="O237"/>
      <c r="P237"/>
      <c r="Q237"/>
      <c r="R237"/>
      <c r="S237"/>
      <c r="T237"/>
      <c r="U237"/>
      <c r="V237"/>
      <c r="W237" s="87"/>
      <c r="X237"/>
    </row>
    <row r="238" spans="1:24">
      <c r="A238" s="87"/>
      <c r="B238" s="87"/>
      <c r="C238" s="87"/>
      <c r="D238"/>
      <c r="E238"/>
      <c r="F238"/>
      <c r="G238"/>
      <c r="H238"/>
      <c r="I238"/>
      <c r="J238"/>
      <c r="K238"/>
      <c r="L238"/>
      <c r="M238"/>
      <c r="N238"/>
      <c r="O238"/>
      <c r="P238"/>
      <c r="Q238"/>
      <c r="R238"/>
      <c r="S238"/>
      <c r="T238"/>
      <c r="U238"/>
      <c r="V238"/>
      <c r="W238" s="87"/>
      <c r="X238"/>
    </row>
    <row r="239" spans="1:24">
      <c r="A239" s="87"/>
      <c r="B239" s="87"/>
      <c r="C239" s="87"/>
      <c r="D239"/>
      <c r="E239"/>
      <c r="F239"/>
      <c r="G239"/>
      <c r="H239"/>
      <c r="I239"/>
      <c r="J239"/>
      <c r="K239"/>
      <c r="L239"/>
      <c r="M239"/>
      <c r="N239"/>
      <c r="O239"/>
      <c r="P239"/>
      <c r="Q239"/>
      <c r="R239"/>
      <c r="S239"/>
      <c r="T239"/>
      <c r="U239"/>
      <c r="V239"/>
      <c r="W239" s="87"/>
      <c r="X239"/>
    </row>
    <row r="240" spans="1:24">
      <c r="A240" s="87"/>
      <c r="B240" s="87"/>
      <c r="C240" s="87"/>
      <c r="D240"/>
      <c r="E240"/>
      <c r="F240"/>
      <c r="G240"/>
      <c r="H240"/>
      <c r="I240"/>
      <c r="J240"/>
      <c r="K240"/>
      <c r="L240"/>
      <c r="M240"/>
      <c r="N240"/>
      <c r="O240"/>
      <c r="P240"/>
      <c r="Q240"/>
      <c r="R240"/>
      <c r="S240"/>
      <c r="T240"/>
      <c r="U240"/>
      <c r="V240"/>
      <c r="W240" s="87"/>
      <c r="X240"/>
    </row>
    <row r="241" spans="1:24">
      <c r="A241" s="87"/>
      <c r="B241" s="87"/>
      <c r="C241" s="87"/>
      <c r="D241"/>
      <c r="E241"/>
      <c r="F241"/>
      <c r="G241"/>
      <c r="H241"/>
      <c r="I241"/>
      <c r="J241"/>
      <c r="K241"/>
      <c r="L241"/>
      <c r="M241"/>
      <c r="N241"/>
      <c r="O241"/>
      <c r="P241"/>
      <c r="Q241"/>
      <c r="R241"/>
      <c r="S241"/>
      <c r="T241"/>
      <c r="U241"/>
      <c r="V241"/>
      <c r="W241" s="87"/>
      <c r="X241"/>
    </row>
    <row r="242" spans="1:24">
      <c r="A242" s="87"/>
      <c r="B242" s="87"/>
      <c r="C242" s="87"/>
      <c r="D242"/>
      <c r="E242"/>
      <c r="F242"/>
      <c r="G242"/>
      <c r="H242"/>
      <c r="I242"/>
      <c r="J242"/>
      <c r="K242"/>
      <c r="L242"/>
      <c r="M242"/>
      <c r="N242"/>
      <c r="O242"/>
      <c r="P242"/>
      <c r="Q242"/>
      <c r="R242"/>
      <c r="S242"/>
      <c r="T242"/>
      <c r="U242"/>
      <c r="V242"/>
      <c r="W242" s="87"/>
      <c r="X242"/>
    </row>
    <row r="243" spans="1:24">
      <c r="A243" s="87"/>
      <c r="B243" s="87"/>
      <c r="C243" s="87"/>
      <c r="D243"/>
      <c r="E243"/>
      <c r="F243"/>
      <c r="G243"/>
      <c r="H243"/>
      <c r="I243"/>
      <c r="J243"/>
      <c r="K243"/>
      <c r="L243"/>
      <c r="M243"/>
      <c r="N243"/>
      <c r="O243"/>
      <c r="P243"/>
      <c r="Q243"/>
      <c r="R243"/>
      <c r="S243"/>
      <c r="T243"/>
      <c r="U243"/>
      <c r="V243"/>
      <c r="W243" s="87"/>
      <c r="X243"/>
    </row>
    <row r="244" spans="1:24">
      <c r="A244" s="87"/>
      <c r="B244" s="87"/>
      <c r="C244" s="87"/>
      <c r="D244"/>
      <c r="E244"/>
      <c r="F244"/>
      <c r="G244"/>
      <c r="H244"/>
      <c r="I244"/>
      <c r="J244"/>
      <c r="K244"/>
      <c r="L244"/>
      <c r="M244"/>
      <c r="N244"/>
      <c r="O244"/>
      <c r="P244"/>
      <c r="Q244"/>
      <c r="R244"/>
      <c r="S244"/>
      <c r="T244"/>
      <c r="U244"/>
      <c r="V244"/>
      <c r="W244" s="87"/>
      <c r="X244"/>
    </row>
    <row r="245" spans="1:24">
      <c r="A245" s="87"/>
      <c r="B245" s="87"/>
      <c r="C245" s="87"/>
      <c r="D245"/>
      <c r="E245"/>
      <c r="F245"/>
      <c r="G245"/>
      <c r="H245"/>
      <c r="I245"/>
      <c r="J245"/>
      <c r="K245"/>
      <c r="L245"/>
      <c r="M245"/>
      <c r="N245"/>
      <c r="O245"/>
      <c r="P245"/>
      <c r="Q245"/>
      <c r="R245"/>
      <c r="S245"/>
      <c r="T245"/>
      <c r="U245"/>
      <c r="V245"/>
      <c r="W245" s="87"/>
      <c r="X245"/>
    </row>
    <row r="246" spans="1:24">
      <c r="A246" s="87"/>
      <c r="B246" s="87"/>
      <c r="C246" s="87"/>
      <c r="D246"/>
      <c r="E246"/>
      <c r="F246"/>
      <c r="G246"/>
      <c r="H246"/>
      <c r="I246"/>
      <c r="J246"/>
      <c r="K246"/>
      <c r="L246"/>
      <c r="M246"/>
      <c r="N246"/>
      <c r="O246"/>
      <c r="P246"/>
      <c r="Q246"/>
      <c r="R246"/>
      <c r="S246"/>
      <c r="T246"/>
      <c r="U246"/>
      <c r="V246"/>
      <c r="W246" s="87"/>
      <c r="X246"/>
    </row>
    <row r="247" spans="1:24">
      <c r="A247" s="87"/>
      <c r="B247" s="87"/>
      <c r="C247" s="87"/>
      <c r="D247"/>
      <c r="E247"/>
      <c r="F247"/>
      <c r="G247"/>
      <c r="H247"/>
      <c r="I247"/>
      <c r="J247"/>
      <c r="K247"/>
      <c r="L247"/>
      <c r="M247"/>
      <c r="N247"/>
      <c r="O247"/>
      <c r="P247"/>
      <c r="Q247"/>
      <c r="R247"/>
      <c r="S247"/>
      <c r="T247"/>
      <c r="U247"/>
      <c r="V247"/>
      <c r="W247" s="87"/>
      <c r="X247"/>
    </row>
    <row r="248" spans="1:24">
      <c r="A248" s="87"/>
      <c r="B248" s="87"/>
      <c r="C248" s="87"/>
      <c r="D248"/>
      <c r="E248"/>
      <c r="F248"/>
      <c r="G248"/>
      <c r="H248"/>
      <c r="I248"/>
      <c r="J248"/>
      <c r="K248"/>
      <c r="L248"/>
      <c r="M248"/>
      <c r="N248"/>
      <c r="O248"/>
      <c r="P248"/>
      <c r="Q248"/>
      <c r="R248"/>
      <c r="S248"/>
      <c r="T248"/>
      <c r="U248"/>
      <c r="V248"/>
      <c r="W248" s="87"/>
      <c r="X248"/>
    </row>
    <row r="249" spans="1:24">
      <c r="A249" s="87"/>
      <c r="B249" s="87"/>
      <c r="C249" s="87"/>
      <c r="D249"/>
      <c r="E249"/>
      <c r="F249"/>
      <c r="G249"/>
      <c r="H249"/>
      <c r="I249"/>
      <c r="J249"/>
      <c r="K249"/>
      <c r="L249"/>
      <c r="M249"/>
      <c r="N249"/>
      <c r="O249"/>
      <c r="P249"/>
      <c r="Q249"/>
      <c r="R249"/>
      <c r="S249"/>
      <c r="T249"/>
      <c r="U249"/>
      <c r="V249"/>
      <c r="W249" s="87"/>
      <c r="X249"/>
    </row>
    <row r="250" spans="1:24">
      <c r="A250" s="87"/>
      <c r="B250" s="87"/>
      <c r="C250" s="87"/>
      <c r="D250"/>
      <c r="E250"/>
      <c r="F250"/>
      <c r="G250"/>
      <c r="H250"/>
      <c r="I250"/>
      <c r="J250"/>
      <c r="K250"/>
      <c r="L250"/>
      <c r="M250"/>
      <c r="N250"/>
      <c r="O250"/>
      <c r="P250"/>
      <c r="Q250"/>
      <c r="R250"/>
      <c r="S250"/>
      <c r="T250"/>
      <c r="U250"/>
      <c r="V250"/>
      <c r="W250" s="87"/>
      <c r="X250"/>
    </row>
    <row r="251" spans="1:24">
      <c r="A251" s="87"/>
      <c r="B251" s="87"/>
      <c r="C251" s="87"/>
      <c r="D251"/>
      <c r="E251"/>
      <c r="F251"/>
      <c r="G251"/>
      <c r="H251"/>
      <c r="I251"/>
      <c r="J251"/>
      <c r="K251"/>
      <c r="L251"/>
      <c r="M251"/>
      <c r="N251"/>
      <c r="O251"/>
      <c r="P251"/>
      <c r="Q251"/>
      <c r="R251"/>
      <c r="S251"/>
      <c r="T251"/>
      <c r="U251"/>
      <c r="V251"/>
      <c r="W251" s="87"/>
      <c r="X251"/>
    </row>
    <row r="252" spans="1:24">
      <c r="A252" s="87"/>
      <c r="B252" s="87"/>
      <c r="C252" s="87"/>
      <c r="D252"/>
      <c r="E252"/>
      <c r="F252"/>
      <c r="G252"/>
      <c r="H252"/>
      <c r="I252"/>
      <c r="J252"/>
      <c r="K252"/>
      <c r="L252"/>
      <c r="M252"/>
      <c r="N252"/>
      <c r="O252"/>
      <c r="P252"/>
      <c r="Q252"/>
      <c r="R252"/>
      <c r="S252"/>
      <c r="T252"/>
      <c r="U252"/>
      <c r="V252"/>
      <c r="W252" s="87"/>
      <c r="X252"/>
    </row>
    <row r="253" spans="1:24">
      <c r="A253" s="87"/>
      <c r="B253" s="87"/>
      <c r="C253" s="87"/>
      <c r="D253"/>
      <c r="E253"/>
      <c r="F253"/>
      <c r="G253"/>
      <c r="H253"/>
      <c r="I253"/>
      <c r="J253"/>
      <c r="K253"/>
      <c r="L253"/>
      <c r="M253"/>
      <c r="N253"/>
      <c r="O253"/>
      <c r="P253"/>
      <c r="Q253"/>
      <c r="R253"/>
      <c r="S253"/>
      <c r="T253"/>
      <c r="U253"/>
      <c r="V253"/>
      <c r="W253" s="87"/>
      <c r="X253"/>
    </row>
    <row r="254" spans="1:24">
      <c r="A254" s="87"/>
      <c r="B254" s="87"/>
      <c r="C254" s="87"/>
      <c r="D254"/>
      <c r="E254"/>
      <c r="F254"/>
      <c r="G254"/>
      <c r="H254"/>
      <c r="I254"/>
      <c r="J254"/>
      <c r="K254"/>
      <c r="L254"/>
      <c r="M254"/>
      <c r="N254"/>
      <c r="O254"/>
      <c r="P254"/>
      <c r="Q254"/>
      <c r="R254"/>
      <c r="S254"/>
      <c r="T254"/>
      <c r="U254"/>
      <c r="V254"/>
      <c r="W254" s="87"/>
      <c r="X254"/>
    </row>
    <row r="255" spans="1:24">
      <c r="A255" s="87"/>
      <c r="B255" s="87"/>
      <c r="C255" s="87"/>
      <c r="D255"/>
      <c r="E255"/>
      <c r="F255"/>
      <c r="G255"/>
      <c r="H255"/>
      <c r="I255"/>
      <c r="J255"/>
      <c r="K255"/>
      <c r="L255"/>
      <c r="M255"/>
      <c r="N255"/>
      <c r="O255"/>
      <c r="P255"/>
      <c r="Q255"/>
      <c r="R255"/>
      <c r="S255"/>
      <c r="T255"/>
      <c r="U255"/>
      <c r="V255"/>
      <c r="W255" s="87"/>
      <c r="X255"/>
    </row>
    <row r="256" spans="1:24">
      <c r="A256" s="87"/>
      <c r="B256" s="87"/>
      <c r="C256" s="87"/>
      <c r="D256"/>
      <c r="E256"/>
      <c r="F256"/>
      <c r="G256"/>
      <c r="H256"/>
      <c r="I256"/>
      <c r="J256"/>
      <c r="K256"/>
      <c r="L256"/>
      <c r="M256"/>
      <c r="N256"/>
      <c r="O256"/>
      <c r="P256"/>
      <c r="Q256"/>
      <c r="R256"/>
      <c r="S256"/>
      <c r="T256"/>
      <c r="U256"/>
      <c r="V256"/>
      <c r="W256" s="87"/>
      <c r="X256"/>
    </row>
    <row r="257" spans="1:24">
      <c r="A257" s="87"/>
      <c r="B257" s="87"/>
      <c r="C257" s="87"/>
      <c r="D257"/>
      <c r="E257"/>
      <c r="F257"/>
      <c r="G257"/>
      <c r="H257"/>
      <c r="I257"/>
      <c r="J257"/>
      <c r="K257"/>
      <c r="L257"/>
      <c r="M257"/>
      <c r="N257"/>
      <c r="O257"/>
      <c r="P257"/>
      <c r="Q257"/>
      <c r="R257"/>
      <c r="S257"/>
      <c r="T257"/>
      <c r="U257"/>
      <c r="V257"/>
      <c r="W257" s="87"/>
      <c r="X257"/>
    </row>
    <row r="258" spans="1:24">
      <c r="A258" s="87"/>
      <c r="B258" s="87"/>
      <c r="C258" s="87"/>
      <c r="D258"/>
      <c r="E258"/>
      <c r="F258"/>
      <c r="G258"/>
      <c r="H258"/>
      <c r="I258"/>
      <c r="J258"/>
      <c r="K258"/>
      <c r="L258"/>
      <c r="M258"/>
      <c r="N258"/>
      <c r="O258"/>
      <c r="P258"/>
      <c r="Q258"/>
      <c r="R258"/>
      <c r="S258"/>
      <c r="T258"/>
      <c r="U258"/>
      <c r="V258"/>
      <c r="W258" s="87"/>
      <c r="X258"/>
    </row>
    <row r="259" spans="1:24">
      <c r="A259" s="87"/>
      <c r="B259" s="87"/>
      <c r="C259" s="87"/>
      <c r="D259"/>
      <c r="E259"/>
      <c r="F259"/>
      <c r="G259"/>
      <c r="H259"/>
      <c r="I259"/>
      <c r="J259"/>
      <c r="K259"/>
      <c r="L259"/>
      <c r="M259"/>
      <c r="N259"/>
      <c r="O259"/>
      <c r="P259"/>
      <c r="Q259"/>
      <c r="R259"/>
      <c r="S259"/>
      <c r="T259"/>
      <c r="U259"/>
      <c r="V259"/>
      <c r="W259" s="87"/>
      <c r="X259"/>
    </row>
    <row r="260" spans="1:24">
      <c r="A260" s="87"/>
      <c r="B260" s="87"/>
      <c r="C260" s="87"/>
      <c r="D260"/>
      <c r="E260"/>
      <c r="F260"/>
      <c r="G260"/>
      <c r="H260"/>
      <c r="I260"/>
      <c r="J260"/>
      <c r="K260"/>
      <c r="L260"/>
      <c r="M260"/>
      <c r="N260"/>
      <c r="O260"/>
      <c r="P260"/>
      <c r="Q260"/>
      <c r="R260"/>
      <c r="S260"/>
      <c r="T260"/>
      <c r="U260"/>
      <c r="V260"/>
      <c r="W260" s="87"/>
      <c r="X260"/>
    </row>
    <row r="261" spans="1:24">
      <c r="A261" s="87"/>
      <c r="B261" s="87"/>
      <c r="C261" s="87"/>
      <c r="D261"/>
      <c r="E261"/>
      <c r="F261"/>
      <c r="G261"/>
      <c r="H261"/>
      <c r="I261"/>
      <c r="J261"/>
      <c r="K261"/>
      <c r="L261"/>
      <c r="M261"/>
      <c r="N261"/>
      <c r="O261"/>
      <c r="P261"/>
      <c r="Q261"/>
      <c r="R261"/>
      <c r="S261"/>
      <c r="T261"/>
      <c r="U261"/>
      <c r="V261"/>
      <c r="W261" s="87"/>
      <c r="X261"/>
    </row>
    <row r="262" spans="1:24">
      <c r="A262" s="87"/>
      <c r="B262" s="87"/>
      <c r="C262" s="87"/>
      <c r="D262"/>
      <c r="E262"/>
      <c r="F262"/>
      <c r="G262"/>
      <c r="H262"/>
      <c r="I262"/>
      <c r="J262"/>
      <c r="K262"/>
      <c r="L262"/>
      <c r="M262"/>
      <c r="N262"/>
      <c r="O262"/>
      <c r="P262"/>
      <c r="Q262"/>
      <c r="R262"/>
      <c r="S262"/>
      <c r="T262"/>
      <c r="U262"/>
      <c r="V262"/>
      <c r="W262" s="87"/>
      <c r="X262"/>
    </row>
    <row r="263" spans="1:24">
      <c r="A263" s="87"/>
      <c r="B263" s="87"/>
      <c r="C263" s="87"/>
      <c r="D263"/>
      <c r="E263"/>
      <c r="F263"/>
      <c r="G263"/>
      <c r="H263"/>
      <c r="I263"/>
      <c r="J263"/>
      <c r="K263"/>
      <c r="L263"/>
      <c r="M263"/>
      <c r="N263"/>
      <c r="O263"/>
      <c r="P263"/>
      <c r="Q263"/>
      <c r="R263"/>
      <c r="S263"/>
      <c r="T263"/>
      <c r="U263"/>
      <c r="V263"/>
      <c r="W263" s="87"/>
      <c r="X263"/>
    </row>
    <row r="264" spans="1:24">
      <c r="A264" s="87"/>
      <c r="B264" s="87"/>
      <c r="C264" s="87"/>
      <c r="D264"/>
      <c r="E264"/>
      <c r="F264"/>
      <c r="G264"/>
      <c r="H264"/>
      <c r="I264"/>
      <c r="J264"/>
      <c r="K264"/>
      <c r="L264"/>
      <c r="M264"/>
      <c r="N264"/>
      <c r="O264"/>
      <c r="P264"/>
      <c r="Q264"/>
      <c r="R264"/>
      <c r="S264"/>
      <c r="T264"/>
      <c r="U264"/>
      <c r="V264"/>
      <c r="W264" s="87"/>
      <c r="X264"/>
    </row>
    <row r="265" spans="1:24">
      <c r="A265" s="87"/>
      <c r="B265" s="87"/>
      <c r="C265" s="87"/>
      <c r="D265"/>
      <c r="E265"/>
      <c r="F265"/>
      <c r="G265"/>
      <c r="H265"/>
      <c r="I265"/>
      <c r="J265"/>
      <c r="K265"/>
      <c r="L265"/>
      <c r="M265"/>
      <c r="N265"/>
      <c r="O265"/>
      <c r="P265"/>
      <c r="Q265"/>
      <c r="R265"/>
      <c r="S265"/>
      <c r="T265"/>
      <c r="U265"/>
      <c r="V265"/>
      <c r="W265" s="87"/>
      <c r="X265"/>
    </row>
    <row r="266" spans="1:24">
      <c r="A266" s="87"/>
      <c r="B266" s="87"/>
      <c r="C266" s="87"/>
      <c r="D266"/>
      <c r="E266"/>
      <c r="F266"/>
      <c r="G266"/>
      <c r="H266"/>
      <c r="I266"/>
      <c r="J266"/>
      <c r="K266"/>
      <c r="L266"/>
      <c r="M266"/>
      <c r="N266"/>
      <c r="O266"/>
      <c r="P266"/>
      <c r="Q266"/>
      <c r="R266"/>
      <c r="S266"/>
      <c r="T266"/>
      <c r="U266"/>
      <c r="V266"/>
      <c r="W266" s="87"/>
      <c r="X266"/>
    </row>
    <row r="267" spans="1:24">
      <c r="A267" s="87"/>
      <c r="B267" s="87"/>
      <c r="C267" s="87"/>
      <c r="D267"/>
      <c r="E267"/>
      <c r="F267"/>
      <c r="G267"/>
      <c r="H267"/>
      <c r="I267"/>
      <c r="J267"/>
      <c r="K267"/>
      <c r="L267"/>
      <c r="M267"/>
      <c r="N267"/>
      <c r="O267"/>
      <c r="P267"/>
      <c r="Q267"/>
      <c r="R267"/>
      <c r="S267"/>
      <c r="T267"/>
      <c r="U267"/>
      <c r="V267"/>
      <c r="W267" s="87"/>
      <c r="X267"/>
    </row>
    <row r="268" spans="1:24">
      <c r="A268" s="87"/>
      <c r="B268" s="87"/>
      <c r="C268" s="87"/>
      <c r="D268"/>
      <c r="E268"/>
      <c r="F268"/>
      <c r="G268"/>
      <c r="H268"/>
      <c r="I268"/>
      <c r="J268"/>
      <c r="K268"/>
      <c r="L268"/>
      <c r="M268"/>
      <c r="N268"/>
      <c r="O268"/>
      <c r="P268"/>
      <c r="Q268"/>
      <c r="R268"/>
      <c r="S268"/>
      <c r="T268"/>
      <c r="U268"/>
      <c r="V268"/>
      <c r="W268" s="87"/>
      <c r="X268"/>
    </row>
    <row r="269" spans="1:24">
      <c r="A269" s="87"/>
      <c r="B269" s="87"/>
      <c r="C269" s="87"/>
      <c r="D269"/>
      <c r="E269"/>
      <c r="F269"/>
      <c r="G269"/>
      <c r="H269"/>
      <c r="I269"/>
      <c r="J269"/>
      <c r="K269"/>
      <c r="L269"/>
      <c r="M269"/>
      <c r="N269"/>
      <c r="O269"/>
      <c r="P269"/>
      <c r="Q269"/>
      <c r="R269"/>
      <c r="S269"/>
      <c r="T269"/>
      <c r="U269"/>
      <c r="V269"/>
      <c r="W269" s="87"/>
      <c r="X269"/>
    </row>
    <row r="270" spans="1:24">
      <c r="A270" s="87"/>
      <c r="B270" s="87"/>
      <c r="C270" s="87"/>
      <c r="D270"/>
      <c r="E270"/>
      <c r="F270"/>
      <c r="G270"/>
      <c r="H270"/>
      <c r="I270"/>
      <c r="J270"/>
      <c r="K270"/>
      <c r="L270"/>
      <c r="M270"/>
      <c r="N270"/>
      <c r="O270"/>
      <c r="P270"/>
      <c r="Q270"/>
      <c r="R270"/>
      <c r="S270"/>
      <c r="T270"/>
      <c r="U270"/>
      <c r="V270"/>
      <c r="W270" s="87"/>
      <c r="X270"/>
    </row>
    <row r="271" spans="1:24">
      <c r="A271" s="87"/>
      <c r="B271" s="87"/>
      <c r="C271" s="87"/>
      <c r="D271"/>
      <c r="E271"/>
      <c r="F271"/>
      <c r="G271"/>
      <c r="H271"/>
      <c r="I271"/>
      <c r="J271"/>
      <c r="K271"/>
      <c r="L271"/>
      <c r="M271"/>
      <c r="N271"/>
      <c r="O271"/>
      <c r="P271"/>
      <c r="Q271"/>
      <c r="R271"/>
      <c r="S271"/>
      <c r="T271"/>
      <c r="U271"/>
      <c r="V271"/>
      <c r="W271" s="87"/>
      <c r="X271"/>
    </row>
    <row r="272" spans="1:24">
      <c r="A272" s="87"/>
      <c r="B272" s="87"/>
      <c r="C272" s="87"/>
      <c r="D272"/>
      <c r="E272"/>
      <c r="F272"/>
      <c r="G272"/>
      <c r="H272"/>
      <c r="I272"/>
      <c r="J272"/>
      <c r="K272"/>
      <c r="L272"/>
      <c r="M272"/>
      <c r="N272"/>
      <c r="O272"/>
      <c r="P272"/>
      <c r="Q272"/>
      <c r="R272"/>
      <c r="S272"/>
      <c r="T272"/>
      <c r="U272"/>
      <c r="V272"/>
      <c r="W272" s="87"/>
      <c r="X272"/>
    </row>
    <row r="273" spans="1:24">
      <c r="A273" s="87"/>
      <c r="B273" s="87"/>
      <c r="C273" s="87"/>
      <c r="D273"/>
      <c r="E273"/>
      <c r="F273"/>
      <c r="G273"/>
      <c r="H273"/>
      <c r="I273"/>
      <c r="J273"/>
      <c r="K273"/>
      <c r="L273"/>
      <c r="M273"/>
      <c r="N273"/>
      <c r="O273"/>
      <c r="P273"/>
      <c r="Q273"/>
      <c r="R273"/>
      <c r="S273"/>
      <c r="T273"/>
      <c r="U273"/>
      <c r="V273"/>
      <c r="W273" s="87"/>
      <c r="X273"/>
    </row>
    <row r="274" spans="1:24">
      <c r="A274" s="87"/>
      <c r="B274" s="87"/>
      <c r="C274" s="87"/>
      <c r="D274"/>
      <c r="E274"/>
      <c r="F274"/>
      <c r="G274"/>
      <c r="H274"/>
      <c r="I274"/>
      <c r="J274"/>
      <c r="K274"/>
      <c r="L274"/>
      <c r="M274"/>
      <c r="N274"/>
      <c r="O274"/>
      <c r="P274"/>
      <c r="Q274"/>
      <c r="R274"/>
      <c r="S274"/>
      <c r="T274"/>
      <c r="U274"/>
      <c r="V274"/>
      <c r="W274" s="87"/>
      <c r="X274"/>
    </row>
    <row r="275" spans="1:24">
      <c r="A275" s="87"/>
      <c r="B275" s="87"/>
      <c r="C275" s="87"/>
      <c r="D275"/>
      <c r="E275"/>
      <c r="F275"/>
      <c r="G275"/>
      <c r="H275"/>
      <c r="I275"/>
      <c r="J275"/>
      <c r="K275"/>
      <c r="L275"/>
      <c r="M275"/>
      <c r="N275"/>
      <c r="O275"/>
      <c r="P275"/>
      <c r="Q275"/>
      <c r="R275"/>
      <c r="S275"/>
      <c r="T275"/>
      <c r="U275"/>
      <c r="V275"/>
      <c r="W275" s="87"/>
      <c r="X275"/>
    </row>
    <row r="276" spans="1:24">
      <c r="A276" s="87"/>
      <c r="B276" s="87"/>
      <c r="C276" s="87"/>
      <c r="D276"/>
      <c r="E276"/>
      <c r="F276"/>
      <c r="G276"/>
      <c r="H276"/>
      <c r="I276"/>
      <c r="J276"/>
      <c r="K276"/>
      <c r="L276"/>
      <c r="M276"/>
      <c r="N276"/>
      <c r="O276"/>
      <c r="P276"/>
      <c r="Q276"/>
      <c r="R276"/>
      <c r="S276"/>
      <c r="T276"/>
      <c r="U276"/>
      <c r="V276"/>
      <c r="W276" s="87"/>
      <c r="X276"/>
    </row>
    <row r="277" spans="1:24">
      <c r="A277" s="87"/>
      <c r="B277" s="87"/>
      <c r="C277" s="87"/>
      <c r="D277"/>
      <c r="E277"/>
      <c r="F277"/>
      <c r="G277"/>
      <c r="H277"/>
      <c r="I277"/>
      <c r="J277"/>
      <c r="K277"/>
      <c r="L277"/>
      <c r="M277"/>
      <c r="N277"/>
      <c r="O277"/>
      <c r="P277"/>
      <c r="Q277"/>
      <c r="R277"/>
      <c r="S277"/>
      <c r="T277"/>
      <c r="U277"/>
      <c r="V277"/>
      <c r="W277" s="87"/>
      <c r="X277"/>
    </row>
    <row r="278" spans="1:24">
      <c r="A278" s="87"/>
      <c r="B278" s="87"/>
      <c r="C278" s="87"/>
      <c r="D278"/>
      <c r="E278"/>
      <c r="F278"/>
      <c r="G278"/>
      <c r="H278"/>
      <c r="I278"/>
      <c r="J278"/>
      <c r="K278"/>
      <c r="L278"/>
      <c r="M278"/>
      <c r="N278"/>
      <c r="O278"/>
      <c r="P278"/>
      <c r="Q278"/>
      <c r="R278"/>
      <c r="S278"/>
      <c r="T278"/>
      <c r="U278"/>
      <c r="V278"/>
      <c r="W278" s="87"/>
      <c r="X278"/>
    </row>
    <row r="279" spans="1:24">
      <c r="A279" s="87"/>
      <c r="B279" s="87"/>
      <c r="C279" s="87"/>
      <c r="D279"/>
      <c r="E279"/>
      <c r="F279"/>
      <c r="G279"/>
      <c r="H279"/>
      <c r="I279"/>
      <c r="J279"/>
      <c r="K279"/>
      <c r="L279"/>
      <c r="M279"/>
      <c r="N279"/>
      <c r="O279"/>
      <c r="P279"/>
      <c r="Q279"/>
      <c r="R279"/>
      <c r="S279"/>
      <c r="T279"/>
      <c r="U279"/>
      <c r="V279"/>
      <c r="W279" s="87"/>
      <c r="X279"/>
    </row>
    <row r="280" spans="1:24">
      <c r="A280" s="87"/>
      <c r="B280" s="87"/>
      <c r="C280" s="87"/>
      <c r="D280"/>
      <c r="E280"/>
      <c r="F280"/>
      <c r="G280"/>
      <c r="H280"/>
      <c r="I280"/>
      <c r="J280"/>
      <c r="K280"/>
      <c r="L280"/>
      <c r="M280"/>
      <c r="N280"/>
      <c r="O280"/>
      <c r="P280"/>
      <c r="Q280"/>
      <c r="R280"/>
      <c r="S280"/>
      <c r="T280"/>
      <c r="U280"/>
      <c r="V280"/>
      <c r="W280" s="87"/>
      <c r="X280"/>
    </row>
    <row r="281" spans="1:24">
      <c r="A281" s="87"/>
      <c r="B281" s="87"/>
      <c r="C281" s="87"/>
      <c r="D281"/>
      <c r="E281"/>
      <c r="F281"/>
      <c r="G281"/>
      <c r="H281"/>
      <c r="I281"/>
      <c r="J281"/>
      <c r="K281"/>
      <c r="L281"/>
      <c r="M281"/>
      <c r="N281"/>
      <c r="O281"/>
      <c r="P281"/>
      <c r="Q281"/>
      <c r="R281"/>
      <c r="S281"/>
      <c r="T281"/>
      <c r="U281"/>
      <c r="V281"/>
      <c r="W281" s="87"/>
      <c r="X281"/>
    </row>
    <row r="282" spans="1:24">
      <c r="A282" s="87"/>
      <c r="B282" s="87"/>
      <c r="C282" s="87"/>
      <c r="D282"/>
      <c r="E282"/>
      <c r="F282"/>
      <c r="G282"/>
      <c r="H282"/>
      <c r="I282"/>
      <c r="J282"/>
      <c r="K282"/>
      <c r="L282"/>
      <c r="M282"/>
      <c r="N282"/>
      <c r="O282"/>
      <c r="P282"/>
      <c r="Q282"/>
      <c r="R282"/>
      <c r="S282"/>
      <c r="T282"/>
      <c r="U282"/>
      <c r="V282"/>
      <c r="W282" s="87"/>
      <c r="X282"/>
    </row>
    <row r="283" spans="1:24">
      <c r="A283" s="87"/>
      <c r="B283" s="87"/>
      <c r="C283" s="87"/>
      <c r="D283"/>
      <c r="E283"/>
      <c r="F283"/>
      <c r="G283"/>
      <c r="H283"/>
      <c r="I283"/>
      <c r="J283"/>
      <c r="K283"/>
      <c r="L283"/>
      <c r="M283"/>
      <c r="N283"/>
      <c r="O283"/>
      <c r="P283"/>
      <c r="Q283"/>
      <c r="R283"/>
      <c r="S283"/>
      <c r="T283"/>
      <c r="U283"/>
      <c r="V283"/>
      <c r="W283" s="87"/>
      <c r="X283"/>
    </row>
    <row r="284" spans="1:24">
      <c r="A284" s="87"/>
      <c r="B284" s="87"/>
      <c r="C284" s="87"/>
      <c r="D284"/>
      <c r="E284"/>
      <c r="F284"/>
      <c r="G284"/>
      <c r="H284"/>
      <c r="I284"/>
      <c r="J284"/>
      <c r="K284"/>
      <c r="L284"/>
      <c r="M284"/>
      <c r="N284"/>
      <c r="O284"/>
      <c r="P284"/>
      <c r="Q284"/>
      <c r="R284"/>
      <c r="S284"/>
      <c r="T284"/>
      <c r="U284"/>
      <c r="V284"/>
      <c r="W284" s="87"/>
      <c r="X284"/>
    </row>
    <row r="285" spans="1:24">
      <c r="A285" s="87"/>
      <c r="B285" s="87"/>
      <c r="C285" s="87"/>
      <c r="D285"/>
      <c r="E285"/>
      <c r="F285"/>
      <c r="G285"/>
      <c r="H285"/>
      <c r="I285"/>
      <c r="J285"/>
      <c r="K285"/>
      <c r="L285"/>
      <c r="M285"/>
      <c r="N285"/>
      <c r="O285"/>
      <c r="P285"/>
      <c r="Q285"/>
      <c r="R285"/>
      <c r="S285"/>
      <c r="T285"/>
      <c r="U285"/>
      <c r="V285"/>
      <c r="W285" s="87"/>
      <c r="X285"/>
    </row>
    <row r="286" spans="1:24">
      <c r="A286" s="87"/>
      <c r="B286" s="87"/>
      <c r="C286" s="87"/>
      <c r="D286"/>
      <c r="E286"/>
      <c r="F286"/>
      <c r="G286"/>
      <c r="H286"/>
      <c r="I286"/>
      <c r="J286"/>
      <c r="K286"/>
      <c r="L286"/>
      <c r="M286"/>
      <c r="N286"/>
      <c r="O286"/>
      <c r="P286"/>
      <c r="Q286"/>
      <c r="R286"/>
      <c r="S286"/>
      <c r="T286"/>
      <c r="U286"/>
      <c r="V286"/>
      <c r="W286" s="87"/>
      <c r="X286"/>
    </row>
    <row r="287" spans="1:24">
      <c r="A287" s="87"/>
      <c r="B287" s="87"/>
      <c r="C287" s="87"/>
      <c r="D287"/>
      <c r="E287"/>
      <c r="F287"/>
      <c r="G287"/>
      <c r="H287"/>
      <c r="I287"/>
      <c r="J287"/>
      <c r="K287"/>
      <c r="L287"/>
      <c r="M287"/>
      <c r="N287"/>
      <c r="O287"/>
      <c r="P287"/>
      <c r="Q287"/>
      <c r="R287"/>
      <c r="S287"/>
      <c r="T287"/>
      <c r="U287"/>
      <c r="V287"/>
      <c r="W287" s="87"/>
      <c r="X287"/>
    </row>
    <row r="288" spans="1:24">
      <c r="A288" s="87"/>
      <c r="B288" s="87"/>
      <c r="C288" s="87"/>
      <c r="D288"/>
      <c r="E288"/>
      <c r="F288"/>
      <c r="G288"/>
      <c r="H288"/>
      <c r="I288"/>
      <c r="J288"/>
      <c r="K288"/>
      <c r="L288"/>
      <c r="M288"/>
      <c r="N288"/>
      <c r="O288"/>
      <c r="P288"/>
      <c r="Q288"/>
      <c r="R288"/>
      <c r="S288"/>
      <c r="T288"/>
      <c r="U288"/>
      <c r="V288"/>
      <c r="W288" s="87"/>
      <c r="X288"/>
    </row>
    <row r="289" spans="1:24">
      <c r="A289" s="87"/>
      <c r="B289" s="87"/>
      <c r="C289" s="87"/>
      <c r="D289"/>
      <c r="E289"/>
      <c r="F289"/>
      <c r="G289"/>
      <c r="H289"/>
      <c r="I289"/>
      <c r="J289"/>
      <c r="K289"/>
      <c r="L289"/>
      <c r="M289"/>
      <c r="N289"/>
      <c r="O289"/>
      <c r="P289"/>
      <c r="Q289"/>
      <c r="R289"/>
      <c r="S289"/>
      <c r="T289"/>
      <c r="U289"/>
      <c r="V289"/>
      <c r="W289" s="87"/>
      <c r="X289"/>
    </row>
    <row r="290" spans="1:24">
      <c r="A290" s="87"/>
      <c r="B290" s="87"/>
      <c r="C290" s="87"/>
      <c r="D290"/>
      <c r="E290"/>
      <c r="F290"/>
      <c r="G290"/>
      <c r="H290"/>
      <c r="I290"/>
      <c r="J290"/>
      <c r="K290"/>
      <c r="L290"/>
      <c r="M290"/>
      <c r="N290"/>
      <c r="O290"/>
      <c r="P290"/>
      <c r="Q290"/>
      <c r="R290"/>
      <c r="S290"/>
      <c r="T290"/>
      <c r="U290"/>
      <c r="V290"/>
      <c r="W290" s="87"/>
      <c r="X290"/>
    </row>
    <row r="291" spans="1:24">
      <c r="A291" s="87"/>
      <c r="B291" s="87"/>
      <c r="C291" s="87"/>
      <c r="D291"/>
      <c r="E291"/>
      <c r="F291"/>
      <c r="G291"/>
      <c r="H291"/>
      <c r="I291"/>
      <c r="J291"/>
      <c r="K291"/>
      <c r="L291"/>
      <c r="M291"/>
      <c r="N291"/>
      <c r="O291"/>
      <c r="P291"/>
      <c r="Q291"/>
      <c r="R291"/>
      <c r="S291"/>
      <c r="T291"/>
      <c r="U291"/>
      <c r="V291"/>
      <c r="W291" s="87"/>
      <c r="X291"/>
    </row>
    <row r="292" spans="1:24">
      <c r="A292" s="87"/>
      <c r="B292" s="87"/>
      <c r="C292" s="87"/>
      <c r="D292"/>
      <c r="E292"/>
      <c r="F292"/>
      <c r="G292"/>
      <c r="H292"/>
      <c r="I292"/>
      <c r="J292"/>
      <c r="K292"/>
      <c r="L292"/>
      <c r="M292"/>
      <c r="N292"/>
      <c r="O292"/>
      <c r="P292"/>
      <c r="Q292"/>
      <c r="R292"/>
      <c r="S292"/>
      <c r="T292"/>
      <c r="U292"/>
      <c r="V292"/>
      <c r="W292" s="87"/>
      <c r="X292"/>
    </row>
    <row r="293" spans="1:24">
      <c r="A293" s="87"/>
      <c r="B293" s="87"/>
      <c r="C293" s="87"/>
      <c r="D293"/>
      <c r="E293"/>
      <c r="F293"/>
      <c r="G293"/>
      <c r="H293"/>
      <c r="I293"/>
      <c r="J293"/>
      <c r="K293"/>
      <c r="L293"/>
      <c r="M293"/>
      <c r="N293"/>
      <c r="O293"/>
      <c r="P293"/>
      <c r="Q293"/>
      <c r="R293"/>
      <c r="S293"/>
      <c r="T293"/>
      <c r="U293"/>
      <c r="V293"/>
      <c r="W293" s="87"/>
      <c r="X293"/>
    </row>
    <row r="294" spans="1:24">
      <c r="A294" s="87"/>
      <c r="B294" s="87"/>
      <c r="C294" s="87"/>
      <c r="D294"/>
      <c r="E294"/>
      <c r="F294"/>
      <c r="G294"/>
      <c r="H294"/>
      <c r="I294"/>
      <c r="J294"/>
      <c r="K294"/>
      <c r="L294"/>
      <c r="M294"/>
      <c r="N294"/>
      <c r="O294"/>
      <c r="P294"/>
      <c r="Q294"/>
      <c r="R294"/>
      <c r="S294"/>
      <c r="T294"/>
      <c r="U294"/>
      <c r="V294"/>
      <c r="W294" s="87"/>
      <c r="X294"/>
    </row>
    <row r="295" spans="1:24">
      <c r="A295" s="87"/>
      <c r="B295" s="87"/>
      <c r="C295" s="87"/>
      <c r="D295"/>
      <c r="E295"/>
      <c r="F295"/>
      <c r="G295"/>
      <c r="H295"/>
      <c r="I295"/>
      <c r="J295"/>
      <c r="K295"/>
      <c r="L295"/>
      <c r="M295"/>
      <c r="N295"/>
      <c r="O295"/>
      <c r="P295"/>
      <c r="Q295"/>
      <c r="R295"/>
      <c r="S295"/>
      <c r="T295"/>
      <c r="U295"/>
      <c r="V295"/>
      <c r="W295" s="87"/>
      <c r="X295"/>
    </row>
    <row r="296" spans="1:24">
      <c r="A296" s="87"/>
      <c r="B296" s="87"/>
      <c r="C296" s="87"/>
      <c r="D296"/>
      <c r="E296"/>
      <c r="F296"/>
      <c r="G296"/>
      <c r="H296"/>
      <c r="I296"/>
      <c r="J296"/>
      <c r="K296"/>
      <c r="L296"/>
      <c r="M296"/>
      <c r="N296"/>
      <c r="O296"/>
      <c r="P296"/>
      <c r="Q296"/>
      <c r="R296"/>
      <c r="S296"/>
      <c r="T296"/>
      <c r="U296"/>
      <c r="V296"/>
      <c r="W296" s="87"/>
      <c r="X296"/>
    </row>
    <row r="297" spans="1:24">
      <c r="A297" s="87"/>
      <c r="B297" s="87"/>
      <c r="C297" s="87"/>
      <c r="D297"/>
      <c r="E297"/>
      <c r="F297"/>
      <c r="G297"/>
      <c r="H297"/>
      <c r="I297"/>
      <c r="J297"/>
      <c r="K297"/>
      <c r="L297"/>
      <c r="M297"/>
      <c r="N297"/>
      <c r="O297"/>
      <c r="P297"/>
      <c r="Q297"/>
      <c r="R297"/>
      <c r="S297"/>
      <c r="T297"/>
      <c r="U297"/>
      <c r="V297"/>
      <c r="W297" s="87"/>
      <c r="X297"/>
    </row>
    <row r="298" spans="1:24">
      <c r="A298" s="87"/>
      <c r="B298" s="87"/>
      <c r="C298" s="87"/>
      <c r="D298"/>
      <c r="E298"/>
      <c r="F298"/>
      <c r="G298"/>
      <c r="H298"/>
      <c r="I298"/>
      <c r="J298"/>
      <c r="K298"/>
      <c r="L298"/>
      <c r="M298"/>
      <c r="N298"/>
      <c r="O298"/>
      <c r="P298"/>
      <c r="Q298"/>
      <c r="R298"/>
      <c r="S298"/>
      <c r="T298"/>
      <c r="U298"/>
      <c r="V298"/>
      <c r="W298" s="87"/>
      <c r="X298"/>
    </row>
    <row r="299" spans="1:24">
      <c r="A299" s="87"/>
      <c r="B299" s="87"/>
      <c r="C299" s="87"/>
      <c r="D299"/>
      <c r="E299"/>
      <c r="F299"/>
      <c r="G299"/>
      <c r="H299"/>
      <c r="I299"/>
      <c r="J299"/>
      <c r="K299"/>
      <c r="L299"/>
      <c r="M299"/>
      <c r="N299"/>
      <c r="O299"/>
      <c r="P299"/>
      <c r="Q299"/>
      <c r="R299"/>
      <c r="S299"/>
      <c r="T299"/>
      <c r="U299"/>
      <c r="V299"/>
      <c r="W299" s="87"/>
      <c r="X299"/>
    </row>
    <row r="300" spans="1:24">
      <c r="A300" s="87"/>
      <c r="B300" s="87"/>
      <c r="C300" s="87"/>
      <c r="D300"/>
      <c r="E300"/>
      <c r="F300"/>
      <c r="G300"/>
      <c r="H300"/>
      <c r="I300"/>
      <c r="J300"/>
      <c r="K300"/>
      <c r="L300"/>
      <c r="M300"/>
      <c r="N300"/>
      <c r="O300"/>
      <c r="P300"/>
      <c r="Q300"/>
      <c r="R300"/>
      <c r="S300"/>
      <c r="T300"/>
      <c r="U300"/>
      <c r="V300"/>
      <c r="W300" s="87"/>
      <c r="X300"/>
    </row>
    <row r="301" spans="1:24">
      <c r="A301" s="87"/>
      <c r="B301" s="87"/>
      <c r="C301" s="87"/>
      <c r="D301"/>
      <c r="E301"/>
      <c r="F301"/>
      <c r="G301"/>
      <c r="H301"/>
      <c r="I301"/>
      <c r="J301"/>
      <c r="K301"/>
      <c r="L301"/>
      <c r="M301"/>
      <c r="N301"/>
      <c r="O301"/>
      <c r="P301"/>
      <c r="Q301"/>
      <c r="R301"/>
      <c r="S301"/>
      <c r="T301"/>
      <c r="U301"/>
      <c r="V301"/>
      <c r="W301" s="87"/>
      <c r="X301"/>
    </row>
    <row r="302" spans="1:24">
      <c r="A302" s="87"/>
      <c r="B302" s="87"/>
      <c r="C302" s="87"/>
      <c r="D302"/>
      <c r="E302"/>
      <c r="F302"/>
      <c r="G302"/>
      <c r="H302"/>
      <c r="I302"/>
      <c r="J302"/>
      <c r="K302"/>
      <c r="L302"/>
      <c r="M302"/>
      <c r="N302"/>
      <c r="O302"/>
      <c r="P302"/>
      <c r="Q302"/>
      <c r="R302"/>
      <c r="S302"/>
      <c r="T302"/>
      <c r="U302"/>
      <c r="V302"/>
      <c r="W302" s="87"/>
      <c r="X302"/>
    </row>
    <row r="303" spans="1:24">
      <c r="A303" s="87"/>
      <c r="B303" s="87"/>
      <c r="C303" s="87"/>
      <c r="D303"/>
      <c r="E303"/>
      <c r="F303"/>
      <c r="G303"/>
      <c r="H303"/>
      <c r="I303"/>
      <c r="J303"/>
      <c r="K303"/>
      <c r="L303"/>
      <c r="M303"/>
      <c r="N303"/>
      <c r="O303"/>
      <c r="P303"/>
      <c r="Q303"/>
      <c r="R303"/>
      <c r="S303"/>
      <c r="T303"/>
      <c r="U303"/>
      <c r="V303"/>
      <c r="W303" s="87"/>
      <c r="X303"/>
    </row>
    <row r="304" spans="1:24">
      <c r="A304" s="87"/>
      <c r="B304" s="87"/>
      <c r="C304" s="87"/>
      <c r="D304"/>
      <c r="E304"/>
      <c r="F304"/>
      <c r="G304"/>
      <c r="H304"/>
      <c r="I304"/>
      <c r="J304"/>
      <c r="K304"/>
      <c r="L304"/>
      <c r="M304"/>
      <c r="N304"/>
      <c r="O304"/>
      <c r="P304"/>
      <c r="Q304"/>
      <c r="R304"/>
      <c r="S304"/>
      <c r="T304"/>
      <c r="U304"/>
      <c r="V304"/>
      <c r="W304" s="87"/>
      <c r="X304"/>
    </row>
    <row r="305" spans="1:24">
      <c r="A305" s="87"/>
      <c r="B305" s="87"/>
      <c r="C305" s="87"/>
      <c r="D305"/>
      <c r="E305"/>
      <c r="F305"/>
      <c r="G305"/>
      <c r="H305"/>
      <c r="I305"/>
      <c r="J305"/>
      <c r="K305"/>
      <c r="L305"/>
      <c r="M305"/>
      <c r="N305"/>
      <c r="O305"/>
      <c r="P305"/>
      <c r="Q305"/>
      <c r="R305"/>
      <c r="S305"/>
      <c r="T305"/>
      <c r="U305"/>
      <c r="V305"/>
      <c r="W305" s="87"/>
      <c r="X305"/>
    </row>
    <row r="306" spans="1:24">
      <c r="A306" s="87"/>
      <c r="B306" s="87"/>
      <c r="C306" s="87"/>
      <c r="D306"/>
      <c r="E306"/>
      <c r="F306"/>
      <c r="G306"/>
      <c r="H306"/>
      <c r="I306"/>
      <c r="J306"/>
      <c r="K306"/>
      <c r="L306"/>
      <c r="M306"/>
      <c r="N306"/>
      <c r="O306"/>
      <c r="P306"/>
      <c r="Q306"/>
      <c r="R306"/>
      <c r="S306"/>
      <c r="T306"/>
      <c r="U306"/>
      <c r="V306"/>
      <c r="W306" s="87"/>
      <c r="X306"/>
    </row>
    <row r="307" spans="1:24">
      <c r="A307" s="87"/>
      <c r="B307" s="87"/>
      <c r="C307" s="87"/>
      <c r="D307"/>
      <c r="E307"/>
      <c r="F307"/>
      <c r="G307"/>
      <c r="H307"/>
      <c r="I307"/>
      <c r="J307"/>
      <c r="K307"/>
      <c r="L307"/>
      <c r="M307"/>
      <c r="N307"/>
      <c r="O307"/>
      <c r="P307"/>
      <c r="Q307"/>
      <c r="R307"/>
      <c r="S307"/>
      <c r="T307"/>
      <c r="U307"/>
      <c r="V307"/>
      <c r="W307" s="87"/>
      <c r="X307"/>
    </row>
    <row r="308" spans="1:24">
      <c r="A308" s="87"/>
      <c r="B308" s="87"/>
      <c r="C308" s="87"/>
      <c r="D308"/>
      <c r="E308"/>
      <c r="F308"/>
      <c r="G308"/>
      <c r="H308"/>
      <c r="I308"/>
      <c r="J308"/>
      <c r="K308"/>
      <c r="L308"/>
      <c r="M308"/>
      <c r="N308"/>
      <c r="O308"/>
      <c r="P308"/>
      <c r="Q308"/>
      <c r="R308"/>
      <c r="S308"/>
      <c r="T308"/>
      <c r="U308"/>
      <c r="V308"/>
      <c r="W308" s="87"/>
      <c r="X308"/>
    </row>
    <row r="309" spans="1:24">
      <c r="A309" s="87"/>
      <c r="B309" s="87"/>
      <c r="C309" s="87"/>
      <c r="D309"/>
      <c r="E309"/>
      <c r="F309"/>
      <c r="G309"/>
      <c r="H309"/>
      <c r="I309"/>
      <c r="J309"/>
      <c r="K309"/>
      <c r="L309"/>
      <c r="M309"/>
      <c r="N309"/>
      <c r="O309"/>
      <c r="P309"/>
      <c r="Q309"/>
      <c r="R309"/>
      <c r="S309"/>
      <c r="T309"/>
      <c r="U309"/>
      <c r="V309"/>
      <c r="W309" s="87"/>
      <c r="X309"/>
    </row>
    <row r="310" spans="1:24">
      <c r="A310" s="87"/>
      <c r="B310" s="87"/>
      <c r="C310" s="87"/>
      <c r="D310"/>
      <c r="E310"/>
      <c r="F310"/>
      <c r="G310"/>
      <c r="H310"/>
      <c r="I310"/>
      <c r="J310"/>
      <c r="K310"/>
      <c r="L310"/>
      <c r="M310"/>
      <c r="N310"/>
      <c r="O310"/>
      <c r="P310"/>
      <c r="Q310"/>
      <c r="R310"/>
      <c r="S310"/>
      <c r="T310"/>
      <c r="U310"/>
      <c r="V310"/>
      <c r="W310" s="87"/>
      <c r="X310"/>
    </row>
    <row r="311" spans="1:24">
      <c r="A311" s="87"/>
      <c r="B311" s="87"/>
      <c r="C311" s="87"/>
      <c r="D311"/>
      <c r="E311"/>
      <c r="F311"/>
      <c r="G311"/>
      <c r="H311"/>
      <c r="I311"/>
      <c r="J311"/>
      <c r="K311"/>
      <c r="L311"/>
      <c r="M311"/>
      <c r="N311"/>
      <c r="O311"/>
      <c r="P311"/>
      <c r="Q311"/>
      <c r="R311"/>
      <c r="S311"/>
      <c r="T311"/>
      <c r="U311"/>
      <c r="V311"/>
      <c r="W311" s="87"/>
      <c r="X311"/>
    </row>
    <row r="312" spans="1:24">
      <c r="A312" s="87"/>
      <c r="B312" s="87"/>
      <c r="C312" s="87"/>
      <c r="D312"/>
      <c r="E312"/>
      <c r="F312"/>
      <c r="G312"/>
      <c r="H312"/>
      <c r="I312"/>
      <c r="J312"/>
      <c r="K312"/>
      <c r="L312"/>
      <c r="M312"/>
      <c r="N312"/>
      <c r="O312"/>
      <c r="P312"/>
      <c r="Q312"/>
      <c r="R312"/>
      <c r="S312"/>
      <c r="T312"/>
      <c r="U312"/>
      <c r="V312"/>
      <c r="W312" s="87"/>
      <c r="X312"/>
    </row>
    <row r="313" spans="1:24">
      <c r="A313" s="87"/>
      <c r="B313" s="87"/>
      <c r="C313" s="87"/>
      <c r="D313"/>
      <c r="E313"/>
      <c r="F313"/>
      <c r="G313"/>
      <c r="H313"/>
      <c r="I313"/>
      <c r="J313"/>
      <c r="K313"/>
      <c r="L313"/>
      <c r="M313"/>
      <c r="N313"/>
      <c r="O313"/>
      <c r="P313"/>
      <c r="Q313"/>
      <c r="R313"/>
      <c r="S313"/>
      <c r="T313"/>
      <c r="U313"/>
      <c r="V313"/>
      <c r="W313" s="87"/>
      <c r="X313"/>
    </row>
    <row r="314" spans="1:24">
      <c r="A314" s="87"/>
      <c r="B314" s="87"/>
      <c r="C314" s="87"/>
      <c r="D314"/>
      <c r="E314"/>
      <c r="F314"/>
      <c r="G314"/>
      <c r="H314"/>
      <c r="I314"/>
      <c r="J314"/>
      <c r="K314"/>
      <c r="L314"/>
      <c r="M314"/>
      <c r="N314"/>
      <c r="O314"/>
      <c r="P314"/>
      <c r="Q314"/>
      <c r="R314"/>
      <c r="S314"/>
      <c r="T314"/>
      <c r="U314"/>
      <c r="V314"/>
      <c r="W314" s="87"/>
      <c r="X314"/>
    </row>
    <row r="315" spans="1:24">
      <c r="A315" s="87"/>
      <c r="B315" s="87"/>
      <c r="C315" s="87"/>
      <c r="D315"/>
      <c r="E315"/>
      <c r="F315"/>
      <c r="G315"/>
      <c r="H315"/>
      <c r="I315"/>
      <c r="J315"/>
      <c r="K315"/>
      <c r="L315"/>
      <c r="M315"/>
      <c r="N315"/>
      <c r="O315"/>
      <c r="P315"/>
      <c r="Q315"/>
      <c r="R315"/>
      <c r="S315"/>
      <c r="T315"/>
      <c r="U315"/>
      <c r="V315"/>
      <c r="W315" s="87"/>
      <c r="X315"/>
    </row>
    <row r="316" spans="1:24">
      <c r="A316" s="87"/>
      <c r="B316" s="87"/>
      <c r="C316" s="87"/>
      <c r="D316"/>
      <c r="E316"/>
      <c r="F316"/>
      <c r="G316"/>
      <c r="H316"/>
      <c r="I316"/>
      <c r="J316"/>
      <c r="K316"/>
      <c r="L316"/>
      <c r="M316"/>
      <c r="N316"/>
      <c r="O316"/>
      <c r="P316"/>
      <c r="Q316"/>
      <c r="R316"/>
      <c r="S316"/>
      <c r="T316"/>
      <c r="U316"/>
      <c r="V316"/>
      <c r="W316" s="87"/>
      <c r="X316"/>
    </row>
    <row r="317" spans="1:24">
      <c r="A317" s="87"/>
      <c r="B317" s="87"/>
      <c r="C317" s="87"/>
      <c r="D317"/>
      <c r="E317"/>
      <c r="F317"/>
      <c r="G317"/>
      <c r="H317"/>
      <c r="I317"/>
      <c r="J317"/>
      <c r="K317"/>
      <c r="L317"/>
      <c r="M317"/>
      <c r="N317"/>
      <c r="O317"/>
      <c r="P317"/>
      <c r="Q317"/>
      <c r="R317"/>
      <c r="S317"/>
      <c r="T317"/>
      <c r="U317"/>
      <c r="V317"/>
      <c r="W317" s="87"/>
      <c r="X317"/>
    </row>
    <row r="318" spans="1:24">
      <c r="A318" s="87"/>
      <c r="B318" s="87"/>
      <c r="C318" s="87"/>
      <c r="D318"/>
      <c r="E318"/>
      <c r="F318"/>
      <c r="G318"/>
      <c r="H318"/>
      <c r="I318"/>
      <c r="J318"/>
      <c r="K318"/>
      <c r="L318"/>
      <c r="M318"/>
      <c r="N318"/>
      <c r="O318"/>
      <c r="P318"/>
      <c r="Q318"/>
      <c r="R318"/>
      <c r="S318"/>
      <c r="T318"/>
      <c r="U318"/>
      <c r="V318"/>
      <c r="W318" s="87"/>
      <c r="X318"/>
    </row>
    <row r="319" spans="1:24">
      <c r="A319" s="87"/>
      <c r="B319" s="87"/>
      <c r="C319" s="87"/>
      <c r="D319"/>
      <c r="E319"/>
      <c r="F319"/>
      <c r="G319"/>
      <c r="H319"/>
      <c r="I319"/>
      <c r="J319"/>
      <c r="K319"/>
      <c r="L319"/>
      <c r="M319"/>
      <c r="N319"/>
      <c r="O319"/>
      <c r="P319"/>
      <c r="Q319"/>
      <c r="R319"/>
      <c r="S319"/>
      <c r="T319"/>
      <c r="U319"/>
      <c r="V319"/>
      <c r="W319" s="87"/>
      <c r="X319"/>
    </row>
    <row r="320" spans="1:24">
      <c r="A320" s="87"/>
      <c r="B320" s="87"/>
      <c r="C320" s="87"/>
      <c r="D320"/>
      <c r="E320"/>
      <c r="F320"/>
      <c r="G320"/>
      <c r="H320"/>
      <c r="I320"/>
      <c r="J320"/>
      <c r="K320"/>
      <c r="L320"/>
      <c r="M320"/>
      <c r="N320"/>
      <c r="O320"/>
      <c r="P320"/>
      <c r="Q320"/>
      <c r="R320"/>
      <c r="S320"/>
      <c r="T320"/>
      <c r="U320"/>
      <c r="V320"/>
      <c r="W320" s="87"/>
      <c r="X320"/>
    </row>
    <row r="321" spans="1:24">
      <c r="A321" s="87"/>
      <c r="B321" s="87"/>
      <c r="C321" s="87"/>
      <c r="D321"/>
      <c r="E321"/>
      <c r="F321"/>
      <c r="G321"/>
      <c r="H321"/>
      <c r="I321"/>
      <c r="J321"/>
      <c r="K321"/>
      <c r="L321"/>
      <c r="M321"/>
      <c r="N321"/>
      <c r="O321"/>
      <c r="P321"/>
      <c r="Q321"/>
      <c r="R321"/>
      <c r="S321"/>
      <c r="T321"/>
      <c r="U321"/>
      <c r="V321"/>
      <c r="W321" s="87"/>
      <c r="X321"/>
    </row>
    <row r="322" spans="1:24">
      <c r="A322" s="87"/>
      <c r="B322" s="87"/>
      <c r="C322" s="87"/>
      <c r="D322"/>
      <c r="E322"/>
      <c r="F322"/>
      <c r="G322"/>
      <c r="H322"/>
      <c r="I322"/>
      <c r="J322"/>
      <c r="K322"/>
      <c r="L322"/>
      <c r="M322"/>
      <c r="N322"/>
      <c r="O322"/>
      <c r="P322"/>
      <c r="Q322"/>
      <c r="R322"/>
      <c r="S322"/>
      <c r="T322"/>
      <c r="U322"/>
      <c r="V322"/>
      <c r="W322" s="87"/>
      <c r="X322"/>
    </row>
    <row r="323" spans="1:24">
      <c r="A323" s="87"/>
      <c r="B323" s="87"/>
      <c r="C323" s="87"/>
      <c r="D323"/>
      <c r="E323"/>
      <c r="F323"/>
      <c r="G323"/>
      <c r="H323"/>
      <c r="I323"/>
      <c r="J323"/>
      <c r="K323"/>
      <c r="L323"/>
      <c r="M323"/>
      <c r="N323"/>
      <c r="O323"/>
      <c r="P323"/>
      <c r="Q323"/>
      <c r="R323"/>
      <c r="S323"/>
      <c r="T323"/>
      <c r="U323"/>
      <c r="V323"/>
      <c r="W323" s="87"/>
      <c r="X323"/>
    </row>
    <row r="324" spans="1:24">
      <c r="A324" s="87"/>
      <c r="B324" s="87"/>
      <c r="C324" s="87"/>
      <c r="D324"/>
      <c r="E324"/>
      <c r="F324"/>
      <c r="G324"/>
      <c r="H324"/>
      <c r="I324"/>
      <c r="J324"/>
      <c r="K324"/>
      <c r="L324"/>
      <c r="M324"/>
      <c r="N324"/>
      <c r="O324"/>
      <c r="P324"/>
      <c r="Q324"/>
      <c r="R324"/>
      <c r="S324"/>
      <c r="T324"/>
      <c r="U324"/>
      <c r="V324"/>
      <c r="W324" s="87"/>
      <c r="X324"/>
    </row>
    <row r="325" spans="1:24">
      <c r="A325" s="87"/>
      <c r="B325" s="87"/>
      <c r="C325" s="87"/>
      <c r="D325"/>
      <c r="E325"/>
      <c r="F325"/>
      <c r="G325"/>
      <c r="H325"/>
      <c r="I325"/>
      <c r="J325"/>
      <c r="K325"/>
      <c r="L325"/>
      <c r="M325"/>
      <c r="N325"/>
      <c r="O325"/>
      <c r="P325"/>
      <c r="Q325"/>
      <c r="R325"/>
      <c r="S325"/>
      <c r="T325"/>
      <c r="U325"/>
      <c r="V325"/>
      <c r="W325" s="87"/>
      <c r="X325"/>
    </row>
    <row r="326" spans="1:24">
      <c r="A326" s="87"/>
      <c r="B326" s="87"/>
      <c r="C326" s="87"/>
      <c r="D326"/>
      <c r="E326"/>
      <c r="F326"/>
      <c r="G326"/>
      <c r="H326"/>
      <c r="I326"/>
      <c r="J326"/>
      <c r="K326"/>
      <c r="L326"/>
      <c r="M326"/>
      <c r="N326"/>
      <c r="O326"/>
      <c r="P326"/>
      <c r="Q326"/>
      <c r="R326"/>
      <c r="S326"/>
      <c r="T326"/>
      <c r="U326"/>
      <c r="V326"/>
      <c r="W326" s="87"/>
      <c r="X326"/>
    </row>
    <row r="327" spans="1:24">
      <c r="A327" s="87"/>
      <c r="B327" s="87"/>
      <c r="C327" s="87"/>
      <c r="D327"/>
      <c r="E327"/>
      <c r="F327"/>
      <c r="G327"/>
      <c r="H327"/>
      <c r="I327"/>
      <c r="J327"/>
      <c r="K327"/>
      <c r="L327"/>
      <c r="M327"/>
      <c r="N327"/>
      <c r="O327"/>
      <c r="P327"/>
      <c r="Q327"/>
      <c r="R327"/>
      <c r="S327"/>
      <c r="T327"/>
      <c r="U327"/>
      <c r="V327"/>
      <c r="W327" s="87"/>
      <c r="X327"/>
    </row>
    <row r="328" spans="1:24">
      <c r="A328" s="87"/>
      <c r="B328" s="87"/>
      <c r="C328" s="87"/>
      <c r="D328"/>
      <c r="E328"/>
      <c r="F328"/>
      <c r="G328"/>
      <c r="H328"/>
      <c r="I328"/>
      <c r="J328"/>
      <c r="K328"/>
      <c r="L328"/>
      <c r="M328"/>
      <c r="N328"/>
      <c r="O328"/>
      <c r="P328"/>
      <c r="Q328"/>
      <c r="R328"/>
      <c r="S328"/>
      <c r="T328"/>
      <c r="U328"/>
      <c r="V328"/>
      <c r="W328" s="87"/>
      <c r="X328"/>
    </row>
    <row r="329" spans="1:24">
      <c r="A329" s="87"/>
      <c r="B329" s="87"/>
      <c r="C329" s="87"/>
      <c r="D329"/>
      <c r="E329"/>
      <c r="F329"/>
      <c r="G329"/>
      <c r="H329"/>
      <c r="I329"/>
      <c r="J329"/>
      <c r="K329"/>
      <c r="L329"/>
      <c r="M329"/>
      <c r="N329"/>
      <c r="O329"/>
      <c r="P329"/>
      <c r="Q329"/>
      <c r="R329"/>
      <c r="S329"/>
      <c r="T329"/>
      <c r="U329"/>
      <c r="V329"/>
      <c r="W329" s="87"/>
      <c r="X329"/>
    </row>
    <row r="330" spans="1:24">
      <c r="A330" s="87"/>
      <c r="B330" s="87"/>
      <c r="C330" s="87"/>
      <c r="D330"/>
      <c r="E330"/>
      <c r="F330"/>
      <c r="G330"/>
      <c r="H330"/>
      <c r="I330"/>
      <c r="J330"/>
      <c r="K330"/>
      <c r="L330"/>
      <c r="M330"/>
      <c r="N330"/>
      <c r="O330"/>
      <c r="P330"/>
      <c r="Q330"/>
      <c r="R330"/>
      <c r="S330"/>
      <c r="T330"/>
      <c r="U330"/>
      <c r="V330"/>
      <c r="W330" s="87"/>
      <c r="X330"/>
    </row>
    <row r="331" spans="1:24">
      <c r="A331" s="87"/>
      <c r="B331" s="87"/>
      <c r="C331" s="87"/>
      <c r="D331"/>
      <c r="E331"/>
      <c r="F331"/>
      <c r="G331"/>
      <c r="H331"/>
      <c r="I331"/>
      <c r="J331"/>
      <c r="K331"/>
      <c r="L331"/>
      <c r="M331"/>
      <c r="N331"/>
      <c r="O331"/>
      <c r="P331"/>
      <c r="Q331"/>
      <c r="R331"/>
      <c r="S331"/>
      <c r="T331"/>
      <c r="U331"/>
      <c r="V331"/>
      <c r="W331" s="87"/>
      <c r="X331"/>
    </row>
    <row r="332" spans="1:24">
      <c r="A332" s="87"/>
      <c r="B332" s="87"/>
      <c r="C332" s="87"/>
      <c r="D332"/>
      <c r="E332"/>
      <c r="F332"/>
      <c r="G332"/>
      <c r="H332"/>
      <c r="I332"/>
      <c r="J332"/>
      <c r="K332"/>
      <c r="L332"/>
      <c r="M332"/>
      <c r="N332"/>
      <c r="O332"/>
      <c r="P332"/>
      <c r="Q332"/>
      <c r="R332"/>
      <c r="S332"/>
      <c r="T332"/>
      <c r="U332"/>
      <c r="V332"/>
      <c r="W332" s="87"/>
      <c r="X332"/>
    </row>
    <row r="333" spans="1:24">
      <c r="A333" s="87"/>
      <c r="B333" s="87"/>
      <c r="C333" s="87"/>
      <c r="D333"/>
      <c r="E333"/>
      <c r="F333"/>
      <c r="G333"/>
      <c r="H333"/>
      <c r="I333"/>
      <c r="J333"/>
      <c r="K333"/>
      <c r="L333"/>
      <c r="M333"/>
      <c r="N333"/>
      <c r="O333"/>
      <c r="P333"/>
      <c r="Q333"/>
      <c r="R333"/>
      <c r="S333"/>
      <c r="T333"/>
      <c r="U333"/>
      <c r="V333"/>
      <c r="W333" s="87"/>
      <c r="X333"/>
    </row>
    <row r="334" spans="1:24">
      <c r="A334" s="87"/>
      <c r="B334" s="87"/>
      <c r="C334" s="87"/>
      <c r="D334"/>
      <c r="E334"/>
      <c r="F334"/>
      <c r="G334"/>
      <c r="H334"/>
      <c r="I334"/>
      <c r="J334"/>
      <c r="K334"/>
      <c r="L334"/>
      <c r="M334"/>
      <c r="N334"/>
      <c r="O334"/>
      <c r="P334"/>
      <c r="Q334"/>
      <c r="R334"/>
      <c r="S334"/>
      <c r="T334"/>
      <c r="U334"/>
      <c r="V334"/>
      <c r="W334" s="87"/>
      <c r="X334"/>
    </row>
    <row r="335" spans="1:24">
      <c r="A335" s="87"/>
      <c r="B335" s="87"/>
      <c r="C335" s="87"/>
      <c r="D335"/>
      <c r="E335"/>
      <c r="F335"/>
      <c r="G335"/>
      <c r="H335"/>
      <c r="I335"/>
      <c r="J335"/>
      <c r="K335"/>
      <c r="L335"/>
      <c r="M335"/>
      <c r="N335"/>
      <c r="O335"/>
      <c r="P335"/>
      <c r="Q335"/>
      <c r="R335"/>
      <c r="S335"/>
      <c r="T335"/>
      <c r="U335"/>
      <c r="V335"/>
      <c r="W335" s="87"/>
      <c r="X335"/>
    </row>
    <row r="336" spans="1:24">
      <c r="A336" s="87"/>
      <c r="B336" s="87"/>
      <c r="C336" s="87"/>
      <c r="D336"/>
      <c r="E336"/>
      <c r="F336"/>
      <c r="G336"/>
      <c r="H336"/>
      <c r="I336"/>
      <c r="J336"/>
      <c r="K336"/>
      <c r="L336"/>
      <c r="M336"/>
      <c r="N336"/>
      <c r="O336"/>
      <c r="P336"/>
      <c r="Q336"/>
      <c r="R336"/>
      <c r="S336"/>
      <c r="T336"/>
      <c r="U336"/>
      <c r="V336"/>
      <c r="W336" s="87"/>
      <c r="X336"/>
    </row>
    <row r="337" spans="1:24">
      <c r="A337" s="87"/>
      <c r="B337" s="87"/>
      <c r="C337" s="87"/>
      <c r="D337"/>
      <c r="E337"/>
      <c r="F337"/>
      <c r="G337"/>
      <c r="H337"/>
      <c r="I337"/>
      <c r="J337"/>
      <c r="K337"/>
      <c r="L337"/>
      <c r="M337"/>
      <c r="N337"/>
      <c r="O337"/>
      <c r="P337"/>
      <c r="Q337"/>
      <c r="R337"/>
      <c r="S337"/>
      <c r="T337"/>
      <c r="U337"/>
      <c r="V337"/>
      <c r="W337" s="87"/>
      <c r="X337"/>
    </row>
    <row r="338" spans="1:24">
      <c r="A338" s="87"/>
      <c r="B338" s="87"/>
      <c r="C338" s="87"/>
      <c r="D338"/>
      <c r="E338"/>
      <c r="F338"/>
      <c r="G338"/>
      <c r="H338"/>
      <c r="I338"/>
      <c r="J338"/>
      <c r="K338"/>
      <c r="L338"/>
      <c r="M338"/>
      <c r="N338"/>
      <c r="O338"/>
      <c r="P338"/>
      <c r="Q338"/>
      <c r="R338"/>
      <c r="S338"/>
      <c r="T338"/>
      <c r="U338"/>
      <c r="V338"/>
      <c r="W338" s="87"/>
      <c r="X338"/>
    </row>
    <row r="339" spans="1:24">
      <c r="A339" s="87"/>
      <c r="B339" s="87"/>
      <c r="C339" s="87"/>
      <c r="D339"/>
      <c r="E339"/>
      <c r="F339"/>
      <c r="G339"/>
      <c r="H339"/>
      <c r="I339"/>
      <c r="J339"/>
      <c r="K339"/>
      <c r="L339"/>
      <c r="M339"/>
      <c r="N339"/>
      <c r="O339"/>
      <c r="P339"/>
      <c r="Q339"/>
      <c r="R339"/>
      <c r="S339"/>
      <c r="T339"/>
      <c r="U339"/>
      <c r="V339"/>
      <c r="W339" s="87"/>
      <c r="X339"/>
    </row>
    <row r="340" spans="1:24">
      <c r="A340" s="87"/>
      <c r="B340" s="87"/>
      <c r="C340" s="87"/>
      <c r="D340"/>
      <c r="E340"/>
      <c r="F340"/>
      <c r="G340"/>
      <c r="H340"/>
      <c r="I340"/>
      <c r="J340"/>
      <c r="K340"/>
      <c r="L340"/>
      <c r="M340"/>
      <c r="N340"/>
      <c r="O340"/>
      <c r="P340"/>
      <c r="Q340"/>
      <c r="R340"/>
      <c r="S340"/>
      <c r="T340"/>
      <c r="U340"/>
      <c r="V340"/>
      <c r="W340" s="87"/>
      <c r="X340"/>
    </row>
    <row r="341" spans="1:24">
      <c r="A341" s="87"/>
      <c r="B341" s="87"/>
      <c r="C341" s="87"/>
      <c r="D341"/>
      <c r="E341"/>
      <c r="F341"/>
      <c r="G341"/>
      <c r="H341"/>
      <c r="I341"/>
      <c r="J341"/>
      <c r="K341"/>
      <c r="L341"/>
      <c r="M341"/>
      <c r="N341"/>
      <c r="O341"/>
      <c r="P341"/>
      <c r="Q341"/>
      <c r="R341"/>
      <c r="S341"/>
      <c r="T341"/>
      <c r="U341"/>
      <c r="V341"/>
      <c r="W341" s="87"/>
      <c r="X341"/>
    </row>
    <row r="342" spans="1:24">
      <c r="A342" s="87"/>
      <c r="B342" s="87"/>
      <c r="C342" s="87"/>
      <c r="D342"/>
      <c r="E342"/>
      <c r="F342"/>
      <c r="G342"/>
      <c r="H342"/>
      <c r="I342"/>
      <c r="J342"/>
      <c r="K342"/>
      <c r="L342"/>
      <c r="M342"/>
      <c r="N342"/>
      <c r="O342"/>
      <c r="P342"/>
      <c r="Q342"/>
      <c r="R342"/>
      <c r="S342"/>
      <c r="T342"/>
      <c r="U342"/>
      <c r="V342"/>
      <c r="W342" s="87"/>
      <c r="X342"/>
    </row>
    <row r="343" spans="1:24">
      <c r="A343" s="87"/>
      <c r="B343" s="87"/>
      <c r="C343" s="87"/>
      <c r="D343"/>
      <c r="E343"/>
      <c r="F343"/>
      <c r="G343"/>
      <c r="H343"/>
      <c r="I343"/>
      <c r="J343"/>
      <c r="K343"/>
      <c r="L343"/>
      <c r="M343"/>
      <c r="N343"/>
      <c r="O343"/>
      <c r="P343"/>
      <c r="Q343"/>
      <c r="R343"/>
      <c r="S343"/>
      <c r="T343"/>
      <c r="U343"/>
      <c r="V343"/>
      <c r="W343" s="87"/>
      <c r="X343"/>
    </row>
    <row r="344" spans="1:24">
      <c r="A344" s="87"/>
      <c r="B344" s="87"/>
      <c r="C344" s="87"/>
      <c r="D344"/>
      <c r="E344"/>
      <c r="F344"/>
      <c r="G344"/>
      <c r="H344"/>
      <c r="I344"/>
      <c r="J344"/>
      <c r="K344"/>
      <c r="L344"/>
      <c r="M344"/>
      <c r="N344"/>
      <c r="O344"/>
      <c r="P344"/>
      <c r="Q344"/>
      <c r="R344"/>
      <c r="S344"/>
      <c r="T344"/>
      <c r="U344"/>
      <c r="V344"/>
      <c r="W344" s="87"/>
      <c r="X344"/>
    </row>
    <row r="345" spans="1:24">
      <c r="A345" s="87"/>
      <c r="B345" s="87"/>
      <c r="C345" s="87"/>
      <c r="D345"/>
      <c r="E345"/>
      <c r="F345"/>
      <c r="G345"/>
      <c r="H345"/>
      <c r="I345"/>
      <c r="J345"/>
      <c r="K345"/>
      <c r="L345"/>
      <c r="M345"/>
      <c r="N345"/>
      <c r="O345"/>
      <c r="P345"/>
      <c r="Q345"/>
      <c r="R345"/>
      <c r="S345"/>
      <c r="T345"/>
      <c r="U345"/>
      <c r="V345"/>
      <c r="W345" s="87"/>
      <c r="X345"/>
    </row>
    <row r="346" spans="1:24">
      <c r="A346" s="87"/>
      <c r="B346" s="87"/>
      <c r="C346" s="87"/>
      <c r="D346"/>
      <c r="E346"/>
      <c r="F346"/>
      <c r="G346"/>
      <c r="H346"/>
      <c r="I346"/>
      <c r="J346"/>
      <c r="K346"/>
      <c r="L346"/>
      <c r="M346"/>
      <c r="N346"/>
      <c r="O346"/>
      <c r="P346"/>
      <c r="Q346"/>
      <c r="R346"/>
      <c r="S346"/>
      <c r="T346"/>
      <c r="U346"/>
      <c r="V346"/>
      <c r="W346" s="87"/>
      <c r="X346"/>
    </row>
    <row r="347" spans="1:24">
      <c r="A347" s="87"/>
      <c r="B347" s="87"/>
      <c r="C347" s="87"/>
      <c r="D347"/>
      <c r="E347"/>
      <c r="F347"/>
      <c r="G347"/>
      <c r="H347"/>
      <c r="I347"/>
      <c r="J347"/>
      <c r="K347"/>
      <c r="L347"/>
      <c r="M347"/>
      <c r="N347"/>
      <c r="O347"/>
      <c r="P347"/>
      <c r="Q347"/>
      <c r="R347"/>
      <c r="S347"/>
      <c r="T347"/>
      <c r="U347"/>
      <c r="V347"/>
      <c r="W347" s="87"/>
      <c r="X347"/>
    </row>
    <row r="348" spans="1:24">
      <c r="A348" s="87"/>
      <c r="B348" s="87"/>
      <c r="C348" s="87"/>
      <c r="D348"/>
      <c r="E348"/>
      <c r="F348"/>
      <c r="G348"/>
      <c r="H348"/>
      <c r="I348"/>
      <c r="J348"/>
      <c r="K348"/>
      <c r="L348"/>
      <c r="M348"/>
      <c r="N348"/>
      <c r="O348"/>
      <c r="P348"/>
      <c r="Q348"/>
      <c r="R348"/>
      <c r="S348"/>
      <c r="T348"/>
      <c r="U348"/>
      <c r="V348"/>
      <c r="W348" s="87"/>
      <c r="X348"/>
    </row>
    <row r="349" spans="1:24">
      <c r="A349" s="87"/>
      <c r="B349" s="87"/>
      <c r="C349" s="87"/>
      <c r="D349"/>
      <c r="E349"/>
      <c r="F349"/>
      <c r="G349"/>
      <c r="H349"/>
      <c r="I349"/>
      <c r="J349"/>
      <c r="K349"/>
      <c r="L349"/>
      <c r="M349"/>
      <c r="N349"/>
      <c r="O349"/>
      <c r="P349"/>
      <c r="Q349"/>
      <c r="R349"/>
      <c r="S349"/>
      <c r="T349"/>
      <c r="U349"/>
      <c r="V349"/>
      <c r="W349" s="87"/>
      <c r="X349"/>
    </row>
    <row r="350" spans="1:24">
      <c r="A350" s="87"/>
      <c r="B350" s="87"/>
      <c r="C350" s="87"/>
      <c r="D350"/>
      <c r="E350"/>
      <c r="F350"/>
      <c r="G350"/>
      <c r="H350"/>
      <c r="I350"/>
      <c r="J350"/>
      <c r="K350"/>
      <c r="L350"/>
      <c r="M350"/>
      <c r="N350"/>
      <c r="O350"/>
      <c r="P350"/>
      <c r="Q350"/>
      <c r="R350"/>
      <c r="S350"/>
      <c r="T350"/>
      <c r="U350"/>
      <c r="V350"/>
      <c r="W350" s="87"/>
      <c r="X350"/>
    </row>
    <row r="351" spans="1:24">
      <c r="A351" s="87"/>
      <c r="B351" s="87"/>
      <c r="C351" s="87"/>
      <c r="D351"/>
      <c r="E351"/>
      <c r="F351"/>
      <c r="G351"/>
      <c r="H351"/>
      <c r="I351"/>
      <c r="J351"/>
      <c r="K351"/>
      <c r="L351"/>
      <c r="M351"/>
      <c r="N351"/>
      <c r="O351"/>
      <c r="P351"/>
      <c r="Q351"/>
      <c r="R351"/>
      <c r="S351"/>
      <c r="T351"/>
      <c r="U351"/>
      <c r="V351"/>
      <c r="W351" s="87"/>
      <c r="X351"/>
    </row>
    <row r="352" spans="1:24">
      <c r="A352" s="87"/>
      <c r="B352" s="87"/>
      <c r="C352" s="87"/>
      <c r="D352"/>
      <c r="E352"/>
      <c r="F352"/>
      <c r="G352"/>
      <c r="H352"/>
      <c r="I352"/>
      <c r="J352"/>
      <c r="K352"/>
      <c r="L352"/>
      <c r="M352"/>
      <c r="N352"/>
      <c r="O352"/>
      <c r="P352"/>
      <c r="Q352"/>
      <c r="R352"/>
      <c r="S352"/>
      <c r="T352"/>
      <c r="U352"/>
      <c r="V352"/>
      <c r="W352" s="87"/>
      <c r="X352"/>
    </row>
    <row r="353" spans="1:24">
      <c r="A353" s="87"/>
      <c r="B353" s="87"/>
      <c r="C353" s="87"/>
      <c r="D353"/>
      <c r="E353"/>
      <c r="F353"/>
      <c r="G353"/>
      <c r="H353"/>
      <c r="I353"/>
      <c r="J353"/>
      <c r="K353"/>
      <c r="L353"/>
      <c r="M353"/>
      <c r="N353"/>
      <c r="O353"/>
      <c r="P353"/>
      <c r="Q353"/>
      <c r="R353"/>
      <c r="S353"/>
      <c r="T353"/>
      <c r="U353"/>
      <c r="V353"/>
      <c r="W353" s="87"/>
      <c r="X353"/>
    </row>
    <row r="354" spans="1:24">
      <c r="A354" s="87"/>
      <c r="B354" s="87"/>
      <c r="C354" s="87"/>
      <c r="D354"/>
      <c r="E354"/>
      <c r="F354"/>
      <c r="G354"/>
      <c r="H354"/>
      <c r="I354"/>
      <c r="J354"/>
      <c r="K354"/>
      <c r="L354"/>
      <c r="M354"/>
      <c r="N354"/>
      <c r="O354"/>
      <c r="P354"/>
      <c r="Q354"/>
      <c r="R354"/>
      <c r="S354"/>
      <c r="T354"/>
      <c r="U354"/>
      <c r="V354"/>
      <c r="W354" s="87"/>
      <c r="X354"/>
    </row>
    <row r="355" spans="1:24">
      <c r="A355" s="87"/>
      <c r="B355" s="87"/>
      <c r="C355" s="87"/>
      <c r="D355"/>
      <c r="E355"/>
      <c r="F355"/>
      <c r="G355"/>
      <c r="H355"/>
      <c r="I355"/>
      <c r="J355"/>
      <c r="K355"/>
      <c r="L355"/>
      <c r="M355"/>
      <c r="N355"/>
      <c r="O355"/>
      <c r="P355"/>
      <c r="Q355"/>
      <c r="R355"/>
      <c r="S355"/>
      <c r="T355"/>
      <c r="U355"/>
      <c r="V355"/>
      <c r="W355" s="87"/>
      <c r="X355"/>
    </row>
    <row r="356" spans="1:24">
      <c r="A356" s="87"/>
      <c r="B356" s="87"/>
      <c r="C356" s="87"/>
      <c r="D356"/>
      <c r="E356"/>
      <c r="F356"/>
      <c r="G356"/>
      <c r="H356"/>
      <c r="I356"/>
      <c r="J356"/>
      <c r="K356"/>
      <c r="L356"/>
      <c r="M356"/>
      <c r="N356"/>
      <c r="O356"/>
      <c r="P356"/>
      <c r="Q356"/>
      <c r="R356"/>
      <c r="S356"/>
      <c r="T356"/>
      <c r="U356"/>
      <c r="V356"/>
      <c r="W356" s="87"/>
      <c r="X356"/>
    </row>
    <row r="357" spans="1:24">
      <c r="A357" s="87"/>
      <c r="B357" s="87"/>
      <c r="C357" s="87"/>
      <c r="D357"/>
      <c r="E357"/>
      <c r="F357"/>
      <c r="G357"/>
      <c r="H357"/>
      <c r="I357"/>
      <c r="J357"/>
      <c r="K357"/>
      <c r="L357"/>
      <c r="M357"/>
      <c r="N357"/>
      <c r="O357"/>
      <c r="P357"/>
      <c r="Q357"/>
      <c r="R357"/>
      <c r="S357"/>
      <c r="T357"/>
      <c r="U357"/>
      <c r="V357"/>
      <c r="W357" s="87"/>
      <c r="X357"/>
    </row>
    <row r="358" spans="1:24">
      <c r="A358" s="87"/>
      <c r="B358" s="87"/>
      <c r="C358" s="87"/>
      <c r="D358"/>
      <c r="E358"/>
      <c r="F358"/>
      <c r="G358"/>
      <c r="H358"/>
      <c r="I358"/>
      <c r="J358"/>
      <c r="K358"/>
      <c r="L358"/>
      <c r="M358"/>
      <c r="N358"/>
      <c r="O358"/>
      <c r="P358"/>
      <c r="Q358"/>
      <c r="R358"/>
      <c r="S358"/>
      <c r="T358"/>
      <c r="U358"/>
      <c r="V358"/>
      <c r="W358" s="87"/>
      <c r="X358"/>
    </row>
    <row r="359" spans="1:24">
      <c r="A359" s="87"/>
      <c r="B359" s="87"/>
      <c r="C359" s="87"/>
      <c r="D359"/>
      <c r="E359"/>
      <c r="F359"/>
      <c r="G359"/>
      <c r="H359"/>
      <c r="I359"/>
      <c r="J359"/>
      <c r="K359"/>
      <c r="L359"/>
      <c r="M359"/>
      <c r="N359"/>
      <c r="O359"/>
      <c r="P359"/>
      <c r="Q359"/>
      <c r="R359"/>
      <c r="S359"/>
      <c r="T359"/>
      <c r="U359"/>
      <c r="V359"/>
      <c r="W359" s="87"/>
      <c r="X359"/>
    </row>
    <row r="360" spans="1:24">
      <c r="A360" s="87"/>
      <c r="B360" s="87"/>
      <c r="C360" s="87"/>
      <c r="D360"/>
      <c r="E360"/>
      <c r="F360"/>
      <c r="G360"/>
      <c r="H360"/>
      <c r="I360"/>
      <c r="J360"/>
      <c r="K360"/>
      <c r="L360"/>
      <c r="M360"/>
      <c r="N360"/>
      <c r="O360"/>
      <c r="P360"/>
      <c r="Q360"/>
      <c r="R360"/>
      <c r="S360"/>
      <c r="T360"/>
      <c r="U360"/>
      <c r="V360"/>
      <c r="W360" s="87"/>
      <c r="X360"/>
    </row>
    <row r="361" spans="1:24">
      <c r="A361" s="87"/>
      <c r="B361" s="87"/>
      <c r="C361" s="87"/>
      <c r="D361"/>
      <c r="E361"/>
      <c r="F361"/>
      <c r="G361"/>
      <c r="H361"/>
      <c r="I361"/>
      <c r="J361"/>
      <c r="K361"/>
      <c r="L361"/>
      <c r="M361"/>
      <c r="N361"/>
      <c r="O361"/>
      <c r="P361"/>
      <c r="Q361"/>
      <c r="R361"/>
      <c r="S361"/>
      <c r="T361"/>
      <c r="U361"/>
      <c r="V361"/>
      <c r="W361" s="87"/>
      <c r="X361"/>
    </row>
    <row r="362" spans="1:24">
      <c r="A362" s="87"/>
      <c r="B362" s="87"/>
      <c r="C362" s="87"/>
      <c r="D362"/>
      <c r="E362"/>
      <c r="F362"/>
      <c r="G362"/>
      <c r="H362"/>
      <c r="I362"/>
      <c r="J362"/>
      <c r="K362"/>
      <c r="L362"/>
      <c r="M362"/>
      <c r="N362"/>
      <c r="O362"/>
      <c r="P362"/>
      <c r="Q362"/>
      <c r="R362"/>
      <c r="S362"/>
      <c r="T362"/>
      <c r="U362"/>
      <c r="V362"/>
      <c r="W362" s="87"/>
      <c r="X362"/>
    </row>
    <row r="363" spans="1:24">
      <c r="A363" s="87"/>
      <c r="B363" s="87"/>
      <c r="C363" s="87"/>
      <c r="D363"/>
      <c r="E363"/>
      <c r="F363"/>
      <c r="G363"/>
      <c r="H363"/>
      <c r="I363"/>
      <c r="J363"/>
      <c r="K363"/>
      <c r="L363"/>
      <c r="M363"/>
      <c r="N363"/>
      <c r="O363"/>
      <c r="P363"/>
      <c r="Q363"/>
      <c r="R363"/>
      <c r="S363"/>
      <c r="T363"/>
      <c r="U363"/>
      <c r="V363"/>
      <c r="W363" s="87"/>
      <c r="X363"/>
    </row>
    <row r="364" spans="1:24">
      <c r="A364" s="87"/>
      <c r="B364" s="87"/>
      <c r="C364" s="87"/>
      <c r="D364"/>
      <c r="E364"/>
      <c r="F364"/>
      <c r="G364"/>
      <c r="H364"/>
      <c r="I364"/>
      <c r="J364"/>
      <c r="K364"/>
      <c r="L364"/>
      <c r="M364"/>
      <c r="N364"/>
      <c r="O364"/>
      <c r="P364"/>
      <c r="Q364"/>
      <c r="R364"/>
      <c r="S364"/>
      <c r="T364"/>
      <c r="U364"/>
      <c r="V364"/>
      <c r="W364" s="87"/>
      <c r="X364"/>
    </row>
    <row r="365" spans="1:24">
      <c r="A365" s="87"/>
      <c r="B365" s="87"/>
      <c r="C365" s="87"/>
      <c r="D365"/>
      <c r="E365"/>
      <c r="F365"/>
      <c r="G365"/>
      <c r="H365"/>
      <c r="I365"/>
      <c r="J365"/>
      <c r="K365"/>
      <c r="L365"/>
      <c r="M365"/>
      <c r="N365"/>
      <c r="O365"/>
      <c r="P365"/>
      <c r="Q365"/>
      <c r="R365"/>
      <c r="S365"/>
      <c r="T365"/>
      <c r="U365"/>
      <c r="V365"/>
      <c r="W365" s="87"/>
      <c r="X365"/>
    </row>
    <row r="366" spans="1:24">
      <c r="A366" s="87"/>
      <c r="B366" s="87"/>
      <c r="C366" s="87"/>
      <c r="D366"/>
      <c r="E366"/>
      <c r="F366"/>
      <c r="G366"/>
      <c r="H366"/>
      <c r="I366"/>
      <c r="J366"/>
      <c r="K366"/>
      <c r="L366"/>
      <c r="M366"/>
      <c r="N366"/>
      <c r="O366"/>
      <c r="P366"/>
      <c r="Q366"/>
      <c r="R366"/>
      <c r="S366"/>
      <c r="T366"/>
      <c r="U366"/>
      <c r="V366"/>
      <c r="W366" s="87"/>
      <c r="X366"/>
    </row>
    <row r="367" spans="1:24">
      <c r="A367" s="87"/>
      <c r="B367" s="87"/>
      <c r="C367" s="87"/>
      <c r="D367"/>
      <c r="E367"/>
      <c r="F367"/>
      <c r="G367"/>
      <c r="H367"/>
      <c r="I367"/>
      <c r="J367"/>
      <c r="K367"/>
      <c r="L367"/>
      <c r="M367"/>
      <c r="N367"/>
      <c r="O367"/>
      <c r="P367"/>
      <c r="Q367"/>
      <c r="R367"/>
      <c r="S367"/>
      <c r="T367"/>
      <c r="U367"/>
      <c r="V367"/>
      <c r="W367" s="87"/>
      <c r="X367"/>
    </row>
    <row r="368" spans="1:24">
      <c r="A368" s="87"/>
      <c r="B368" s="87"/>
      <c r="C368" s="87"/>
      <c r="D368"/>
      <c r="E368"/>
      <c r="F368"/>
      <c r="G368"/>
      <c r="H368"/>
      <c r="I368"/>
      <c r="J368"/>
      <c r="K368"/>
      <c r="L368"/>
      <c r="M368"/>
      <c r="N368"/>
      <c r="O368"/>
      <c r="P368"/>
      <c r="Q368"/>
      <c r="R368"/>
      <c r="S368"/>
      <c r="T368"/>
      <c r="U368"/>
      <c r="V368"/>
      <c r="W368" s="87"/>
      <c r="X368"/>
    </row>
    <row r="369" spans="1:24">
      <c r="A369" s="87"/>
      <c r="B369" s="87"/>
      <c r="C369" s="87"/>
      <c r="D369"/>
      <c r="E369"/>
      <c r="F369"/>
      <c r="G369"/>
      <c r="H369"/>
      <c r="I369"/>
      <c r="J369"/>
      <c r="K369"/>
      <c r="L369"/>
      <c r="M369"/>
      <c r="N369"/>
      <c r="O369"/>
      <c r="P369"/>
      <c r="Q369"/>
      <c r="R369"/>
      <c r="S369"/>
      <c r="T369"/>
      <c r="U369"/>
      <c r="V369"/>
      <c r="W369" s="87"/>
      <c r="X369"/>
    </row>
    <row r="370" spans="1:24">
      <c r="A370" s="87"/>
      <c r="B370" s="87"/>
      <c r="C370" s="87"/>
      <c r="D370"/>
      <c r="E370"/>
      <c r="F370"/>
      <c r="G370"/>
      <c r="H370"/>
      <c r="I370"/>
      <c r="J370"/>
      <c r="K370"/>
      <c r="L370"/>
      <c r="M370"/>
      <c r="N370"/>
      <c r="O370"/>
      <c r="P370"/>
      <c r="Q370"/>
      <c r="R370"/>
      <c r="S370"/>
      <c r="T370"/>
      <c r="U370"/>
      <c r="V370"/>
      <c r="W370" s="87"/>
      <c r="X370"/>
    </row>
    <row r="371" spans="1:24">
      <c r="A371" s="87"/>
      <c r="B371" s="87"/>
      <c r="C371" s="87"/>
      <c r="D371"/>
      <c r="E371"/>
      <c r="F371"/>
      <c r="G371"/>
      <c r="H371"/>
      <c r="I371"/>
      <c r="J371"/>
      <c r="K371"/>
      <c r="L371"/>
      <c r="M371"/>
      <c r="N371"/>
      <c r="O371"/>
      <c r="P371"/>
      <c r="Q371"/>
      <c r="R371"/>
      <c r="S371"/>
      <c r="T371"/>
      <c r="U371"/>
      <c r="V371"/>
      <c r="W371" s="87"/>
      <c r="X371"/>
    </row>
    <row r="372" spans="1:24">
      <c r="A372" s="87"/>
      <c r="B372" s="87"/>
      <c r="C372" s="87"/>
      <c r="D372"/>
      <c r="E372"/>
      <c r="F372"/>
      <c r="G372"/>
      <c r="H372"/>
      <c r="I372"/>
      <c r="J372"/>
      <c r="K372"/>
      <c r="L372"/>
      <c r="M372"/>
      <c r="N372"/>
      <c r="O372"/>
      <c r="P372"/>
      <c r="Q372"/>
      <c r="R372"/>
      <c r="S372"/>
      <c r="T372"/>
      <c r="U372"/>
      <c r="V372"/>
      <c r="W372" s="87"/>
      <c r="X372"/>
    </row>
    <row r="373" spans="1:24">
      <c r="A373" s="87"/>
      <c r="B373" s="87"/>
      <c r="C373" s="87"/>
      <c r="D373"/>
      <c r="E373"/>
      <c r="F373"/>
      <c r="G373"/>
      <c r="H373"/>
      <c r="I373"/>
      <c r="J373"/>
      <c r="K373"/>
      <c r="L373"/>
      <c r="M373"/>
      <c r="N373"/>
      <c r="O373"/>
      <c r="P373"/>
      <c r="Q373"/>
      <c r="R373"/>
      <c r="S373"/>
      <c r="T373"/>
      <c r="U373"/>
      <c r="V373"/>
      <c r="W373" s="87"/>
      <c r="X373"/>
    </row>
    <row r="374" spans="1:24">
      <c r="A374" s="87"/>
      <c r="B374" s="87"/>
      <c r="C374" s="87"/>
      <c r="D374"/>
      <c r="E374"/>
      <c r="F374"/>
      <c r="G374"/>
      <c r="H374"/>
      <c r="I374"/>
      <c r="J374"/>
      <c r="K374"/>
      <c r="L374"/>
      <c r="M374"/>
      <c r="N374"/>
      <c r="O374"/>
      <c r="P374"/>
      <c r="Q374"/>
      <c r="R374"/>
      <c r="S374"/>
      <c r="T374"/>
      <c r="U374"/>
      <c r="V374"/>
      <c r="W374" s="87"/>
      <c r="X374"/>
    </row>
    <row r="375" spans="1:24">
      <c r="A375" s="87"/>
      <c r="B375" s="87"/>
      <c r="C375" s="87"/>
      <c r="D375"/>
      <c r="E375"/>
      <c r="F375"/>
      <c r="G375"/>
      <c r="H375"/>
      <c r="I375"/>
      <c r="J375"/>
      <c r="K375"/>
      <c r="L375"/>
      <c r="M375"/>
      <c r="N375"/>
      <c r="O375"/>
      <c r="P375"/>
      <c r="Q375"/>
      <c r="R375"/>
      <c r="S375"/>
      <c r="T375"/>
      <c r="U375"/>
      <c r="V375"/>
      <c r="W375" s="87"/>
      <c r="X375"/>
    </row>
    <row r="376" spans="1:24">
      <c r="A376" s="87"/>
      <c r="B376" s="87"/>
      <c r="C376" s="87"/>
      <c r="D376"/>
      <c r="E376"/>
      <c r="F376"/>
      <c r="G376"/>
      <c r="H376"/>
      <c r="I376"/>
      <c r="J376"/>
      <c r="K376"/>
      <c r="L376"/>
      <c r="M376"/>
      <c r="N376"/>
      <c r="O376"/>
      <c r="P376"/>
      <c r="Q376"/>
      <c r="R376"/>
      <c r="S376"/>
      <c r="T376"/>
      <c r="U376"/>
      <c r="V376"/>
      <c r="W376" s="87"/>
      <c r="X376"/>
    </row>
    <row r="377" spans="1:24">
      <c r="A377" s="87"/>
      <c r="B377" s="87"/>
      <c r="C377" s="87"/>
      <c r="D377"/>
      <c r="E377"/>
      <c r="F377"/>
      <c r="G377"/>
      <c r="H377"/>
      <c r="I377"/>
      <c r="J377"/>
      <c r="K377"/>
      <c r="L377"/>
      <c r="M377"/>
      <c r="N377"/>
      <c r="O377"/>
      <c r="P377"/>
      <c r="Q377"/>
      <c r="R377"/>
      <c r="S377"/>
      <c r="T377"/>
      <c r="U377"/>
      <c r="V377"/>
      <c r="W377" s="87"/>
      <c r="X377"/>
    </row>
    <row r="378" spans="1:24">
      <c r="A378" s="87"/>
      <c r="B378" s="87"/>
      <c r="C378" s="87"/>
      <c r="D378"/>
      <c r="E378"/>
      <c r="F378"/>
      <c r="G378"/>
      <c r="H378"/>
      <c r="I378"/>
      <c r="J378"/>
      <c r="K378"/>
      <c r="L378"/>
      <c r="M378"/>
      <c r="N378"/>
      <c r="O378"/>
      <c r="P378"/>
      <c r="Q378"/>
      <c r="R378"/>
      <c r="S378"/>
      <c r="T378"/>
      <c r="U378"/>
      <c r="V378"/>
      <c r="W378" s="87"/>
      <c r="X378"/>
    </row>
    <row r="379" spans="1:24">
      <c r="A379" s="87"/>
      <c r="B379" s="87"/>
      <c r="C379" s="87"/>
      <c r="D379"/>
      <c r="E379"/>
      <c r="F379"/>
      <c r="G379"/>
      <c r="H379"/>
      <c r="I379"/>
      <c r="J379"/>
      <c r="K379"/>
      <c r="L379"/>
      <c r="M379"/>
      <c r="N379"/>
      <c r="O379"/>
      <c r="P379"/>
      <c r="Q379"/>
      <c r="R379"/>
      <c r="S379"/>
      <c r="T379"/>
      <c r="U379"/>
      <c r="V379"/>
      <c r="W379" s="87"/>
      <c r="X379"/>
    </row>
    <row r="380" spans="1:24">
      <c r="A380" s="87"/>
      <c r="B380" s="87"/>
      <c r="C380" s="87"/>
      <c r="D380"/>
      <c r="E380"/>
      <c r="F380"/>
      <c r="G380"/>
      <c r="H380"/>
      <c r="I380"/>
      <c r="J380"/>
      <c r="K380"/>
      <c r="L380"/>
      <c r="M380"/>
      <c r="N380"/>
      <c r="O380"/>
      <c r="P380"/>
      <c r="Q380"/>
      <c r="R380"/>
      <c r="S380"/>
      <c r="T380"/>
      <c r="U380"/>
      <c r="V380"/>
      <c r="W380" s="87"/>
      <c r="X380"/>
    </row>
    <row r="381" spans="1:24">
      <c r="A381" s="87"/>
      <c r="B381" s="87"/>
      <c r="C381" s="87"/>
      <c r="D381"/>
      <c r="E381"/>
      <c r="F381"/>
      <c r="G381"/>
      <c r="H381"/>
      <c r="I381"/>
      <c r="J381"/>
      <c r="K381"/>
      <c r="L381"/>
      <c r="M381"/>
      <c r="N381"/>
      <c r="O381"/>
      <c r="P381"/>
      <c r="Q381"/>
      <c r="R381"/>
      <c r="S381"/>
      <c r="T381"/>
      <c r="U381"/>
      <c r="V381"/>
      <c r="W381" s="87"/>
      <c r="X381"/>
    </row>
    <row r="382" spans="1:24">
      <c r="A382" s="87"/>
      <c r="B382" s="87"/>
      <c r="C382" s="87"/>
      <c r="D382"/>
      <c r="E382"/>
      <c r="F382"/>
      <c r="G382"/>
      <c r="H382"/>
      <c r="I382"/>
      <c r="J382"/>
      <c r="K382"/>
      <c r="L382"/>
      <c r="M382"/>
      <c r="N382"/>
      <c r="O382"/>
      <c r="P382"/>
      <c r="Q382"/>
      <c r="R382"/>
      <c r="S382"/>
      <c r="T382"/>
      <c r="U382"/>
      <c r="V382"/>
      <c r="W382" s="87"/>
      <c r="X382"/>
    </row>
    <row r="383" spans="1:24">
      <c r="A383" s="87"/>
      <c r="B383" s="87"/>
      <c r="C383" s="87"/>
      <c r="D383"/>
      <c r="E383"/>
      <c r="F383"/>
      <c r="G383"/>
      <c r="H383"/>
      <c r="I383"/>
      <c r="J383"/>
      <c r="K383"/>
      <c r="L383"/>
      <c r="M383"/>
      <c r="N383"/>
      <c r="O383"/>
      <c r="P383"/>
      <c r="Q383"/>
      <c r="R383"/>
      <c r="S383"/>
      <c r="T383"/>
      <c r="U383"/>
      <c r="V383"/>
      <c r="W383" s="87"/>
      <c r="X383"/>
    </row>
    <row r="384" spans="1:24">
      <c r="A384" s="87"/>
      <c r="B384" s="87"/>
      <c r="C384" s="87"/>
      <c r="D384"/>
      <c r="E384"/>
      <c r="F384"/>
      <c r="G384"/>
      <c r="H384"/>
      <c r="I384"/>
      <c r="J384"/>
      <c r="K384"/>
      <c r="L384"/>
      <c r="M384"/>
      <c r="N384"/>
      <c r="O384"/>
      <c r="P384"/>
      <c r="Q384"/>
      <c r="R384"/>
      <c r="S384"/>
      <c r="T384"/>
      <c r="U384"/>
      <c r="V384"/>
      <c r="W384" s="87"/>
      <c r="X384"/>
    </row>
    <row r="385" spans="1:24">
      <c r="A385" s="87"/>
      <c r="B385" s="87"/>
      <c r="C385" s="87"/>
      <c r="D385"/>
      <c r="E385"/>
      <c r="F385"/>
      <c r="G385"/>
      <c r="H385"/>
      <c r="I385"/>
      <c r="J385"/>
      <c r="K385"/>
      <c r="L385"/>
      <c r="M385"/>
      <c r="N385"/>
      <c r="O385"/>
      <c r="P385"/>
      <c r="Q385"/>
      <c r="R385"/>
      <c r="S385"/>
      <c r="T385"/>
      <c r="U385"/>
      <c r="V385"/>
      <c r="W385" s="87"/>
      <c r="X385"/>
    </row>
    <row r="386" spans="1:24">
      <c r="A386" s="87"/>
      <c r="B386" s="87"/>
      <c r="C386" s="87"/>
      <c r="D386"/>
      <c r="E386"/>
      <c r="F386"/>
      <c r="G386"/>
      <c r="H386"/>
      <c r="I386"/>
      <c r="J386"/>
      <c r="K386"/>
      <c r="L386"/>
      <c r="M386"/>
      <c r="N386"/>
      <c r="O386"/>
      <c r="P386"/>
      <c r="Q386"/>
      <c r="R386"/>
      <c r="S386"/>
      <c r="T386"/>
      <c r="U386"/>
      <c r="V386"/>
      <c r="W386" s="87"/>
      <c r="X386"/>
    </row>
    <row r="387" spans="1:24">
      <c r="A387" s="87"/>
      <c r="B387" s="87"/>
      <c r="C387" s="87"/>
      <c r="D387"/>
      <c r="E387"/>
      <c r="F387"/>
      <c r="G387"/>
      <c r="H387"/>
      <c r="I387"/>
      <c r="J387"/>
      <c r="K387"/>
      <c r="L387"/>
      <c r="M387"/>
      <c r="N387"/>
      <c r="O387"/>
      <c r="P387"/>
      <c r="Q387"/>
      <c r="R387"/>
      <c r="S387"/>
      <c r="T387"/>
      <c r="U387"/>
      <c r="V387"/>
      <c r="W387" s="87"/>
      <c r="X387"/>
    </row>
    <row r="388" spans="1:24">
      <c r="A388" s="87"/>
      <c r="B388" s="87"/>
      <c r="C388" s="87"/>
      <c r="D388"/>
      <c r="E388"/>
      <c r="F388"/>
      <c r="G388"/>
      <c r="H388"/>
      <c r="I388"/>
      <c r="J388"/>
      <c r="K388"/>
      <c r="L388"/>
      <c r="M388"/>
      <c r="N388"/>
      <c r="O388"/>
      <c r="P388"/>
      <c r="Q388"/>
      <c r="R388"/>
      <c r="S388"/>
      <c r="T388"/>
      <c r="U388"/>
      <c r="V388"/>
      <c r="W388" s="87"/>
      <c r="X388"/>
    </row>
    <row r="389" spans="1:24">
      <c r="A389" s="87"/>
      <c r="B389" s="87"/>
      <c r="C389" s="87"/>
      <c r="D389"/>
      <c r="E389"/>
      <c r="F389"/>
      <c r="G389"/>
      <c r="H389"/>
      <c r="I389"/>
      <c r="J389"/>
      <c r="K389"/>
      <c r="L389"/>
      <c r="M389"/>
      <c r="N389"/>
      <c r="O389"/>
      <c r="P389"/>
      <c r="Q389"/>
      <c r="R389"/>
      <c r="S389"/>
      <c r="T389"/>
      <c r="U389"/>
      <c r="V389"/>
      <c r="W389" s="87"/>
      <c r="X389"/>
    </row>
    <row r="390" spans="1:24">
      <c r="A390" s="87"/>
      <c r="B390" s="87"/>
      <c r="C390" s="87"/>
      <c r="D390"/>
      <c r="E390"/>
      <c r="F390"/>
      <c r="G390"/>
      <c r="H390"/>
      <c r="I390"/>
      <c r="J390"/>
      <c r="K390"/>
      <c r="L390"/>
      <c r="M390"/>
      <c r="N390"/>
      <c r="O390"/>
      <c r="P390"/>
      <c r="Q390"/>
      <c r="R390"/>
      <c r="S390"/>
      <c r="T390"/>
      <c r="U390"/>
      <c r="V390"/>
      <c r="W390" s="87"/>
      <c r="X390"/>
    </row>
    <row r="391" spans="1:24">
      <c r="A391" s="87"/>
      <c r="B391" s="87"/>
      <c r="C391" s="87"/>
      <c r="D391"/>
      <c r="E391"/>
      <c r="F391"/>
      <c r="G391"/>
      <c r="H391"/>
      <c r="I391"/>
      <c r="J391"/>
      <c r="K391"/>
      <c r="L391"/>
      <c r="M391"/>
      <c r="N391"/>
      <c r="O391"/>
      <c r="P391"/>
      <c r="Q391"/>
      <c r="R391"/>
      <c r="S391"/>
      <c r="T391"/>
      <c r="U391"/>
      <c r="V391"/>
      <c r="W391" s="87"/>
      <c r="X391"/>
    </row>
    <row r="392" spans="1:24">
      <c r="A392" s="87"/>
      <c r="B392" s="87"/>
      <c r="C392" s="87"/>
      <c r="D392"/>
      <c r="E392"/>
      <c r="F392"/>
      <c r="G392"/>
      <c r="H392"/>
      <c r="I392"/>
      <c r="J392"/>
      <c r="K392"/>
      <c r="L392"/>
      <c r="M392"/>
      <c r="N392"/>
      <c r="O392"/>
      <c r="P392"/>
      <c r="Q392"/>
      <c r="R392"/>
      <c r="S392"/>
      <c r="T392"/>
      <c r="U392"/>
      <c r="V392"/>
      <c r="W392" s="87"/>
      <c r="X392"/>
    </row>
    <row r="393" spans="1:24">
      <c r="A393" s="87"/>
      <c r="B393" s="87"/>
      <c r="C393" s="87"/>
      <c r="D393"/>
      <c r="E393"/>
      <c r="F393"/>
      <c r="G393"/>
      <c r="H393"/>
      <c r="I393"/>
      <c r="J393"/>
      <c r="K393"/>
      <c r="L393"/>
      <c r="M393"/>
      <c r="N393"/>
      <c r="O393"/>
      <c r="P393"/>
      <c r="Q393"/>
      <c r="R393"/>
      <c r="S393"/>
      <c r="T393"/>
      <c r="U393"/>
      <c r="V393"/>
      <c r="W393" s="87"/>
      <c r="X393"/>
    </row>
    <row r="394" spans="1:24">
      <c r="A394" s="87"/>
      <c r="B394" s="87"/>
      <c r="C394" s="87"/>
      <c r="D394"/>
      <c r="E394"/>
      <c r="F394"/>
      <c r="G394"/>
      <c r="H394"/>
      <c r="I394"/>
      <c r="J394"/>
      <c r="K394"/>
      <c r="L394"/>
      <c r="M394"/>
      <c r="N394"/>
      <c r="O394"/>
      <c r="P394"/>
      <c r="Q394"/>
      <c r="R394"/>
      <c r="S394"/>
      <c r="T394"/>
      <c r="U394"/>
      <c r="V394"/>
      <c r="W394" s="87"/>
      <c r="X394"/>
    </row>
    <row r="395" spans="1:24">
      <c r="A395" s="87"/>
      <c r="B395" s="87"/>
      <c r="C395" s="87"/>
      <c r="D395"/>
      <c r="E395"/>
      <c r="F395"/>
      <c r="G395"/>
      <c r="H395"/>
      <c r="I395"/>
      <c r="J395"/>
      <c r="K395"/>
      <c r="L395"/>
      <c r="M395"/>
      <c r="N395"/>
      <c r="O395"/>
      <c r="P395"/>
      <c r="Q395"/>
      <c r="R395"/>
      <c r="S395"/>
      <c r="T395"/>
      <c r="U395"/>
      <c r="V395"/>
      <c r="W395" s="87"/>
      <c r="X395"/>
    </row>
    <row r="396" spans="1:24">
      <c r="A396" s="87"/>
      <c r="B396" s="87"/>
      <c r="C396" s="87"/>
      <c r="D396"/>
      <c r="E396"/>
      <c r="F396"/>
      <c r="G396"/>
      <c r="H396"/>
      <c r="I396"/>
      <c r="J396"/>
      <c r="K396"/>
      <c r="L396"/>
      <c r="M396"/>
      <c r="N396"/>
      <c r="O396"/>
      <c r="P396"/>
      <c r="Q396"/>
      <c r="R396"/>
      <c r="S396"/>
      <c r="T396"/>
      <c r="U396"/>
      <c r="V396"/>
      <c r="W396" s="87"/>
      <c r="X396"/>
    </row>
    <row r="397" spans="1:24">
      <c r="A397" s="87"/>
      <c r="B397" s="87"/>
      <c r="C397" s="87"/>
      <c r="D397"/>
      <c r="E397"/>
      <c r="F397"/>
      <c r="G397"/>
      <c r="H397"/>
      <c r="I397"/>
      <c r="J397"/>
      <c r="K397"/>
      <c r="L397"/>
      <c r="M397"/>
      <c r="N397"/>
      <c r="O397"/>
      <c r="P397"/>
      <c r="Q397"/>
      <c r="R397"/>
      <c r="S397"/>
      <c r="T397"/>
      <c r="U397"/>
      <c r="V397"/>
      <c r="W397" s="87"/>
      <c r="X397"/>
    </row>
    <row r="398" spans="1:24">
      <c r="A398" s="87"/>
      <c r="B398" s="87"/>
      <c r="C398" s="87"/>
      <c r="D398"/>
      <c r="E398"/>
      <c r="F398"/>
      <c r="G398"/>
      <c r="H398"/>
      <c r="I398"/>
      <c r="J398"/>
      <c r="K398"/>
      <c r="L398"/>
      <c r="M398"/>
      <c r="N398"/>
      <c r="O398"/>
      <c r="P398"/>
      <c r="Q398"/>
      <c r="R398"/>
      <c r="S398"/>
      <c r="T398"/>
      <c r="U398"/>
      <c r="V398"/>
      <c r="W398" s="87"/>
      <c r="X398"/>
    </row>
    <row r="399" spans="1:24">
      <c r="A399" s="87"/>
      <c r="B399" s="87"/>
      <c r="C399" s="87"/>
      <c r="D399"/>
      <c r="E399"/>
      <c r="F399"/>
      <c r="G399"/>
      <c r="H399"/>
      <c r="I399"/>
      <c r="J399"/>
      <c r="K399"/>
      <c r="L399"/>
      <c r="M399"/>
      <c r="N399"/>
      <c r="O399"/>
      <c r="P399"/>
      <c r="Q399"/>
      <c r="R399"/>
      <c r="S399"/>
      <c r="T399"/>
      <c r="U399"/>
      <c r="V399"/>
      <c r="W399" s="87"/>
      <c r="X399"/>
    </row>
    <row r="400" spans="1:24">
      <c r="A400" s="87"/>
      <c r="B400" s="87"/>
      <c r="C400" s="87"/>
      <c r="D400"/>
      <c r="E400"/>
      <c r="F400"/>
      <c r="G400"/>
      <c r="H400"/>
      <c r="I400"/>
      <c r="J400"/>
      <c r="K400"/>
      <c r="L400"/>
      <c r="M400"/>
      <c r="N400"/>
      <c r="O400"/>
      <c r="P400"/>
      <c r="Q400"/>
      <c r="R400"/>
      <c r="S400"/>
      <c r="T400"/>
      <c r="U400"/>
      <c r="V400"/>
      <c r="W400" s="87"/>
      <c r="X400"/>
    </row>
    <row r="401" spans="1:24">
      <c r="A401" s="87"/>
      <c r="B401" s="87"/>
      <c r="C401" s="87"/>
      <c r="D401"/>
      <c r="E401"/>
      <c r="F401"/>
      <c r="G401"/>
      <c r="H401"/>
      <c r="I401"/>
      <c r="J401"/>
      <c r="K401"/>
      <c r="L401"/>
      <c r="M401"/>
      <c r="N401"/>
      <c r="O401"/>
      <c r="P401"/>
      <c r="Q401"/>
      <c r="R401"/>
      <c r="S401"/>
      <c r="T401"/>
      <c r="U401"/>
      <c r="V401"/>
      <c r="W401" s="87"/>
      <c r="X401"/>
    </row>
    <row r="402" spans="1:24">
      <c r="A402" s="87"/>
      <c r="B402" s="87"/>
      <c r="C402" s="87"/>
      <c r="D402"/>
      <c r="E402"/>
      <c r="F402"/>
      <c r="G402"/>
      <c r="H402"/>
      <c r="I402"/>
      <c r="J402"/>
      <c r="K402"/>
      <c r="L402"/>
      <c r="M402"/>
      <c r="N402"/>
      <c r="O402"/>
      <c r="P402"/>
      <c r="Q402"/>
      <c r="R402"/>
      <c r="S402"/>
      <c r="T402"/>
      <c r="U402"/>
      <c r="V402"/>
      <c r="W402" s="87"/>
      <c r="X402"/>
    </row>
    <row r="403" spans="1:24">
      <c r="A403" s="87"/>
      <c r="B403" s="87"/>
      <c r="C403" s="87"/>
      <c r="D403"/>
      <c r="E403"/>
      <c r="F403"/>
      <c r="G403"/>
      <c r="H403"/>
      <c r="I403"/>
      <c r="J403"/>
      <c r="K403"/>
      <c r="L403"/>
      <c r="M403"/>
      <c r="N403"/>
      <c r="O403"/>
      <c r="P403"/>
      <c r="Q403"/>
      <c r="R403"/>
      <c r="S403"/>
      <c r="T403"/>
      <c r="U403"/>
      <c r="V403"/>
      <c r="W403" s="87"/>
      <c r="X403"/>
    </row>
    <row r="404" spans="1:24">
      <c r="A404" s="87"/>
      <c r="B404" s="87"/>
      <c r="C404" s="87"/>
      <c r="D404"/>
      <c r="E404"/>
      <c r="F404"/>
      <c r="G404"/>
      <c r="H404"/>
      <c r="I404"/>
      <c r="J404"/>
      <c r="K404"/>
      <c r="L404"/>
      <c r="M404"/>
      <c r="N404"/>
      <c r="O404"/>
      <c r="P404"/>
      <c r="Q404"/>
      <c r="R404"/>
      <c r="S404"/>
      <c r="T404"/>
      <c r="U404"/>
      <c r="V404"/>
      <c r="W404" s="87"/>
      <c r="X404"/>
    </row>
    <row r="405" spans="1:24">
      <c r="A405" s="87"/>
      <c r="B405" s="87"/>
      <c r="C405" s="87"/>
      <c r="D405"/>
      <c r="E405"/>
      <c r="F405"/>
      <c r="G405"/>
      <c r="H405"/>
      <c r="I405"/>
      <c r="J405"/>
      <c r="K405"/>
      <c r="L405"/>
      <c r="M405"/>
      <c r="N405"/>
      <c r="O405"/>
      <c r="P405"/>
      <c r="Q405"/>
      <c r="R405"/>
      <c r="S405"/>
      <c r="T405"/>
      <c r="U405"/>
      <c r="V405"/>
      <c r="W405" s="87"/>
      <c r="X405"/>
    </row>
    <row r="406" spans="1:24">
      <c r="A406" s="87"/>
      <c r="B406" s="87"/>
      <c r="C406" s="87"/>
      <c r="D406"/>
      <c r="E406"/>
      <c r="F406"/>
      <c r="G406"/>
      <c r="H406"/>
      <c r="I406"/>
      <c r="J406"/>
      <c r="K406"/>
      <c r="L406"/>
      <c r="M406"/>
      <c r="N406"/>
      <c r="O406"/>
      <c r="P406"/>
      <c r="Q406"/>
      <c r="R406"/>
      <c r="S406"/>
      <c r="T406"/>
      <c r="U406"/>
      <c r="V406"/>
      <c r="W406" s="87"/>
      <c r="X406"/>
    </row>
    <row r="407" spans="1:24">
      <c r="A407" s="87"/>
      <c r="B407" s="87"/>
      <c r="C407" s="87"/>
      <c r="D407"/>
      <c r="E407"/>
      <c r="F407"/>
      <c r="G407"/>
      <c r="H407"/>
      <c r="I407"/>
      <c r="J407"/>
      <c r="K407"/>
      <c r="L407"/>
      <c r="M407"/>
      <c r="N407"/>
      <c r="O407"/>
      <c r="P407"/>
      <c r="Q407"/>
      <c r="R407"/>
      <c r="S407"/>
      <c r="T407"/>
      <c r="U407"/>
      <c r="V407"/>
      <c r="W407" s="87"/>
      <c r="X407"/>
    </row>
    <row r="408" spans="1:24">
      <c r="A408" s="87"/>
      <c r="B408" s="87"/>
      <c r="C408" s="87"/>
      <c r="D408"/>
      <c r="E408"/>
      <c r="F408"/>
      <c r="G408"/>
      <c r="H408"/>
      <c r="I408"/>
      <c r="J408"/>
      <c r="K408"/>
      <c r="L408"/>
      <c r="M408"/>
      <c r="N408"/>
      <c r="O408"/>
      <c r="P408"/>
      <c r="Q408"/>
      <c r="R408"/>
      <c r="S408"/>
      <c r="T408"/>
      <c r="U408"/>
      <c r="V408"/>
      <c r="W408" s="87"/>
      <c r="X408"/>
    </row>
    <row r="409" spans="1:24">
      <c r="A409" s="87"/>
      <c r="B409" s="87"/>
      <c r="C409" s="87"/>
      <c r="D409"/>
      <c r="E409"/>
      <c r="F409"/>
      <c r="G409"/>
      <c r="H409"/>
      <c r="I409"/>
      <c r="J409"/>
      <c r="K409"/>
      <c r="L409"/>
      <c r="M409"/>
      <c r="N409"/>
      <c r="O409"/>
      <c r="P409"/>
      <c r="Q409"/>
      <c r="R409"/>
      <c r="S409"/>
      <c r="T409"/>
      <c r="U409"/>
      <c r="V409"/>
      <c r="W409" s="87"/>
      <c r="X409"/>
    </row>
    <row r="410" spans="1:24">
      <c r="A410" s="87"/>
      <c r="B410" s="87"/>
      <c r="C410" s="87"/>
      <c r="D410"/>
      <c r="E410"/>
      <c r="F410"/>
      <c r="G410"/>
      <c r="H410"/>
      <c r="I410"/>
      <c r="J410"/>
      <c r="K410"/>
      <c r="L410"/>
      <c r="M410"/>
      <c r="N410"/>
      <c r="O410"/>
      <c r="P410"/>
      <c r="Q410"/>
      <c r="R410"/>
      <c r="S410"/>
      <c r="T410"/>
      <c r="U410"/>
      <c r="V410"/>
      <c r="W410" s="87"/>
      <c r="X410"/>
    </row>
    <row r="411" spans="1:24">
      <c r="A411" s="87"/>
      <c r="B411" s="87"/>
      <c r="C411" s="87"/>
      <c r="D411"/>
      <c r="E411"/>
      <c r="F411"/>
      <c r="G411"/>
      <c r="H411"/>
      <c r="I411"/>
      <c r="J411"/>
      <c r="K411"/>
      <c r="L411"/>
      <c r="M411"/>
      <c r="N411"/>
      <c r="O411"/>
      <c r="P411"/>
      <c r="Q411"/>
      <c r="R411"/>
      <c r="S411"/>
      <c r="T411"/>
      <c r="U411"/>
      <c r="V411"/>
      <c r="W411" s="87"/>
      <c r="X411"/>
    </row>
    <row r="412" spans="1:24">
      <c r="A412" s="87"/>
      <c r="B412" s="87"/>
      <c r="C412" s="87"/>
      <c r="D412"/>
      <c r="E412"/>
      <c r="F412"/>
      <c r="G412"/>
      <c r="H412"/>
      <c r="I412"/>
      <c r="J412"/>
      <c r="K412"/>
      <c r="L412"/>
      <c r="M412"/>
      <c r="N412"/>
      <c r="O412"/>
      <c r="P412"/>
      <c r="Q412"/>
      <c r="R412"/>
      <c r="S412"/>
      <c r="T412"/>
      <c r="U412"/>
      <c r="V412"/>
      <c r="W412" s="87"/>
      <c r="X412"/>
    </row>
    <row r="413" spans="1:24">
      <c r="A413" s="87"/>
      <c r="B413" s="87"/>
      <c r="C413" s="87"/>
      <c r="D413"/>
      <c r="E413"/>
      <c r="F413"/>
      <c r="G413"/>
      <c r="H413"/>
      <c r="I413"/>
      <c r="J413"/>
      <c r="K413"/>
      <c r="L413"/>
      <c r="M413"/>
      <c r="N413"/>
      <c r="O413"/>
      <c r="P413"/>
      <c r="Q413"/>
      <c r="R413"/>
      <c r="S413"/>
      <c r="T413"/>
      <c r="U413"/>
      <c r="V413"/>
      <c r="W413" s="87"/>
      <c r="X413"/>
    </row>
    <row r="414" spans="1:24">
      <c r="A414" s="87"/>
      <c r="B414" s="87"/>
      <c r="C414" s="87"/>
      <c r="D414"/>
      <c r="E414"/>
      <c r="F414"/>
      <c r="G414"/>
      <c r="H414"/>
      <c r="I414"/>
      <c r="J414"/>
      <c r="K414"/>
      <c r="L414"/>
      <c r="M414"/>
      <c r="N414"/>
      <c r="O414"/>
      <c r="P414"/>
      <c r="Q414"/>
      <c r="R414"/>
      <c r="S414"/>
      <c r="T414"/>
      <c r="U414"/>
      <c r="V414"/>
      <c r="W414" s="87"/>
      <c r="X414"/>
    </row>
    <row r="415" spans="1:24">
      <c r="A415" s="87"/>
      <c r="B415" s="87"/>
      <c r="C415" s="87"/>
      <c r="D415"/>
      <c r="E415"/>
      <c r="F415"/>
      <c r="G415"/>
      <c r="H415"/>
      <c r="I415"/>
      <c r="J415"/>
      <c r="K415"/>
      <c r="L415"/>
      <c r="M415"/>
      <c r="N415"/>
      <c r="O415"/>
      <c r="P415"/>
      <c r="Q415"/>
      <c r="R415"/>
      <c r="S415"/>
      <c r="T415"/>
      <c r="U415"/>
      <c r="V415"/>
      <c r="W415" s="87"/>
      <c r="X415"/>
    </row>
    <row r="416" spans="1:24">
      <c r="A416" s="87"/>
      <c r="B416" s="87"/>
      <c r="C416" s="87"/>
      <c r="D416"/>
      <c r="E416"/>
      <c r="F416"/>
      <c r="G416"/>
      <c r="H416"/>
      <c r="I416"/>
      <c r="J416"/>
      <c r="K416"/>
      <c r="L416"/>
      <c r="M416"/>
      <c r="N416"/>
      <c r="O416"/>
      <c r="P416"/>
      <c r="Q416"/>
      <c r="R416"/>
      <c r="S416"/>
      <c r="T416"/>
      <c r="U416"/>
      <c r="V416"/>
      <c r="W416" s="87"/>
      <c r="X416"/>
    </row>
    <row r="417" spans="1:24">
      <c r="A417" s="87"/>
      <c r="B417" s="87"/>
      <c r="C417" s="87"/>
      <c r="D417"/>
      <c r="E417"/>
      <c r="F417"/>
      <c r="G417"/>
      <c r="H417"/>
      <c r="I417"/>
      <c r="J417"/>
      <c r="K417"/>
      <c r="L417"/>
      <c r="M417"/>
      <c r="N417"/>
      <c r="O417"/>
      <c r="P417"/>
      <c r="Q417"/>
      <c r="R417"/>
      <c r="S417"/>
      <c r="T417"/>
      <c r="U417"/>
      <c r="V417"/>
      <c r="W417" s="87"/>
      <c r="X417"/>
    </row>
    <row r="418" spans="1:24">
      <c r="A418" s="87"/>
      <c r="B418" s="87"/>
      <c r="C418" s="87"/>
      <c r="D418"/>
      <c r="E418"/>
      <c r="F418"/>
      <c r="G418"/>
      <c r="H418"/>
      <c r="I418"/>
      <c r="J418"/>
      <c r="K418"/>
      <c r="L418"/>
      <c r="M418"/>
      <c r="N418"/>
      <c r="O418"/>
      <c r="P418"/>
      <c r="Q418"/>
      <c r="R418"/>
      <c r="S418"/>
      <c r="T418"/>
      <c r="U418"/>
      <c r="V418"/>
      <c r="W418" s="87"/>
      <c r="X418"/>
    </row>
    <row r="419" spans="1:24">
      <c r="A419" s="87"/>
      <c r="B419" s="87"/>
      <c r="C419" s="87"/>
      <c r="D419"/>
      <c r="E419"/>
      <c r="F419"/>
      <c r="G419"/>
      <c r="H419"/>
      <c r="I419"/>
      <c r="J419"/>
      <c r="K419"/>
      <c r="L419"/>
      <c r="M419"/>
      <c r="N419"/>
      <c r="O419"/>
      <c r="P419"/>
      <c r="Q419"/>
      <c r="R419"/>
      <c r="S419"/>
      <c r="T419"/>
      <c r="U419"/>
      <c r="V419"/>
      <c r="W419" s="87"/>
      <c r="X419"/>
    </row>
    <row r="420" spans="1:24">
      <c r="A420" s="87"/>
      <c r="B420" s="87"/>
      <c r="C420" s="87"/>
      <c r="D420"/>
      <c r="E420"/>
      <c r="F420"/>
      <c r="G420"/>
      <c r="H420"/>
      <c r="I420"/>
      <c r="J420"/>
      <c r="K420"/>
      <c r="L420"/>
      <c r="M420"/>
      <c r="N420"/>
      <c r="O420"/>
      <c r="P420"/>
      <c r="Q420"/>
      <c r="R420"/>
      <c r="S420"/>
      <c r="T420"/>
      <c r="U420"/>
      <c r="V420"/>
      <c r="W420" s="87"/>
      <c r="X420"/>
    </row>
    <row r="421" spans="1:24">
      <c r="A421" s="87"/>
      <c r="B421" s="87"/>
      <c r="C421" s="87"/>
      <c r="D421"/>
      <c r="E421"/>
      <c r="F421"/>
      <c r="G421"/>
      <c r="H421"/>
      <c r="I421"/>
      <c r="J421"/>
      <c r="K421"/>
      <c r="L421"/>
      <c r="M421"/>
      <c r="N421"/>
      <c r="O421"/>
      <c r="P421"/>
      <c r="Q421"/>
      <c r="R421"/>
      <c r="S421"/>
      <c r="T421"/>
      <c r="U421"/>
      <c r="V421"/>
      <c r="W421" s="87"/>
      <c r="X421"/>
    </row>
    <row r="422" spans="1:24">
      <c r="A422" s="87"/>
      <c r="B422" s="87"/>
      <c r="C422" s="87"/>
      <c r="D422"/>
      <c r="E422"/>
      <c r="F422"/>
      <c r="G422"/>
      <c r="H422"/>
      <c r="I422"/>
      <c r="J422"/>
      <c r="K422"/>
      <c r="L422"/>
      <c r="M422"/>
      <c r="N422"/>
      <c r="O422"/>
      <c r="P422"/>
      <c r="Q422"/>
      <c r="R422"/>
      <c r="S422"/>
      <c r="T422"/>
      <c r="U422"/>
      <c r="V422"/>
      <c r="W422" s="87"/>
      <c r="X422"/>
    </row>
    <row r="423" spans="1:24">
      <c r="A423" s="87"/>
      <c r="B423" s="87"/>
      <c r="C423" s="87"/>
      <c r="D423"/>
      <c r="E423"/>
      <c r="F423"/>
      <c r="G423"/>
      <c r="H423"/>
      <c r="I423"/>
      <c r="J423"/>
      <c r="K423"/>
      <c r="L423"/>
      <c r="M423"/>
      <c r="N423"/>
      <c r="O423"/>
      <c r="P423"/>
      <c r="Q423"/>
      <c r="R423"/>
      <c r="S423"/>
      <c r="T423"/>
      <c r="U423"/>
      <c r="V423"/>
      <c r="W423" s="87"/>
      <c r="X423"/>
    </row>
    <row r="424" spans="1:24">
      <c r="A424" s="87"/>
      <c r="B424" s="87"/>
      <c r="C424" s="87"/>
      <c r="D424"/>
      <c r="E424"/>
      <c r="F424"/>
      <c r="G424"/>
      <c r="H424"/>
      <c r="I424"/>
      <c r="J424"/>
      <c r="K424"/>
      <c r="L424"/>
      <c r="M424"/>
      <c r="N424"/>
      <c r="O424"/>
      <c r="P424"/>
      <c r="Q424"/>
      <c r="R424"/>
      <c r="S424"/>
      <c r="T424"/>
      <c r="U424"/>
      <c r="V424"/>
      <c r="W424" s="87"/>
      <c r="X424"/>
    </row>
    <row r="425" spans="1:24">
      <c r="A425" s="87"/>
      <c r="B425" s="87"/>
      <c r="C425" s="87"/>
      <c r="D425"/>
      <c r="E425"/>
      <c r="F425"/>
      <c r="G425"/>
      <c r="H425"/>
      <c r="I425"/>
      <c r="J425"/>
      <c r="K425"/>
      <c r="L425"/>
      <c r="M425"/>
      <c r="N425"/>
      <c r="O425"/>
      <c r="P425"/>
      <c r="Q425"/>
      <c r="R425"/>
      <c r="S425"/>
      <c r="T425"/>
      <c r="U425"/>
      <c r="V425"/>
      <c r="W425" s="87"/>
      <c r="X425"/>
    </row>
    <row r="426" spans="1:24">
      <c r="A426" s="87"/>
      <c r="B426" s="87"/>
      <c r="C426" s="87"/>
      <c r="D426"/>
      <c r="E426"/>
      <c r="F426"/>
      <c r="G426"/>
      <c r="H426"/>
      <c r="I426"/>
      <c r="J426"/>
      <c r="K426"/>
      <c r="L426"/>
      <c r="M426"/>
      <c r="N426"/>
      <c r="O426"/>
      <c r="P426"/>
      <c r="Q426"/>
      <c r="R426"/>
      <c r="S426"/>
      <c r="T426"/>
      <c r="U426"/>
      <c r="V426"/>
      <c r="W426" s="87"/>
      <c r="X426"/>
    </row>
    <row r="427" spans="1:24">
      <c r="A427" s="87"/>
      <c r="B427" s="87"/>
      <c r="C427" s="87"/>
      <c r="D427"/>
      <c r="E427"/>
      <c r="F427"/>
      <c r="G427"/>
      <c r="H427"/>
      <c r="I427"/>
      <c r="J427"/>
      <c r="K427"/>
      <c r="L427"/>
      <c r="M427"/>
      <c r="N427"/>
      <c r="O427"/>
      <c r="P427"/>
      <c r="Q427"/>
      <c r="R427"/>
      <c r="S427"/>
      <c r="T427"/>
      <c r="U427"/>
      <c r="V427"/>
      <c r="W427" s="87"/>
      <c r="X427"/>
    </row>
    <row r="428" spans="1:24">
      <c r="A428" s="87"/>
      <c r="B428" s="87"/>
      <c r="C428" s="87"/>
      <c r="D428"/>
      <c r="E428"/>
      <c r="F428"/>
      <c r="G428"/>
      <c r="H428"/>
      <c r="I428"/>
      <c r="J428"/>
      <c r="K428"/>
      <c r="L428"/>
      <c r="M428"/>
      <c r="N428"/>
      <c r="O428"/>
      <c r="P428"/>
      <c r="Q428"/>
      <c r="R428"/>
      <c r="S428"/>
      <c r="T428"/>
      <c r="U428"/>
      <c r="V428"/>
      <c r="W428" s="87"/>
      <c r="X428"/>
    </row>
    <row r="429" spans="1:24">
      <c r="A429" s="87"/>
      <c r="B429" s="87"/>
      <c r="C429" s="87"/>
      <c r="D429"/>
      <c r="E429"/>
      <c r="F429"/>
      <c r="G429"/>
      <c r="H429"/>
      <c r="I429"/>
      <c r="J429"/>
      <c r="K429"/>
      <c r="L429"/>
      <c r="M429"/>
      <c r="N429"/>
      <c r="O429"/>
      <c r="P429"/>
      <c r="Q429"/>
      <c r="R429"/>
      <c r="S429"/>
      <c r="T429"/>
      <c r="U429"/>
      <c r="V429"/>
      <c r="W429" s="87"/>
      <c r="X429"/>
    </row>
    <row r="430" spans="1:24">
      <c r="A430" s="87"/>
      <c r="B430" s="87"/>
      <c r="C430" s="87"/>
      <c r="D430"/>
      <c r="E430"/>
      <c r="F430"/>
      <c r="G430"/>
      <c r="H430"/>
      <c r="I430"/>
      <c r="J430"/>
      <c r="K430"/>
      <c r="L430"/>
      <c r="M430"/>
      <c r="N430"/>
      <c r="O430"/>
      <c r="P430"/>
      <c r="Q430"/>
      <c r="R430"/>
      <c r="S430"/>
      <c r="T430"/>
      <c r="U430"/>
      <c r="V430"/>
      <c r="W430" s="87"/>
      <c r="X430"/>
    </row>
    <row r="431" spans="1:24">
      <c r="A431" s="87"/>
      <c r="B431" s="87"/>
      <c r="C431" s="87"/>
      <c r="D431"/>
      <c r="E431"/>
      <c r="F431"/>
      <c r="G431"/>
      <c r="H431"/>
      <c r="I431"/>
      <c r="J431"/>
      <c r="K431"/>
      <c r="L431"/>
      <c r="M431"/>
      <c r="N431"/>
      <c r="O431"/>
      <c r="P431"/>
      <c r="Q431"/>
      <c r="R431"/>
      <c r="S431"/>
      <c r="T431"/>
      <c r="U431"/>
      <c r="V431"/>
      <c r="W431" s="87"/>
      <c r="X431"/>
    </row>
    <row r="432" spans="1:24">
      <c r="A432" s="87"/>
      <c r="B432" s="87"/>
      <c r="C432" s="87"/>
      <c r="D432"/>
      <c r="E432"/>
      <c r="F432"/>
      <c r="G432"/>
      <c r="H432"/>
      <c r="I432"/>
      <c r="J432"/>
      <c r="K432"/>
      <c r="L432"/>
      <c r="M432"/>
      <c r="N432"/>
      <c r="O432"/>
      <c r="P432"/>
      <c r="Q432"/>
      <c r="R432"/>
      <c r="S432"/>
      <c r="T432"/>
      <c r="U432"/>
      <c r="V432"/>
      <c r="W432" s="87"/>
      <c r="X432"/>
    </row>
    <row r="433" spans="1:24">
      <c r="A433" s="87"/>
      <c r="B433" s="87"/>
      <c r="C433" s="87"/>
      <c r="D433"/>
      <c r="E433"/>
      <c r="F433"/>
      <c r="G433"/>
      <c r="H433"/>
      <c r="I433"/>
      <c r="J433"/>
      <c r="K433"/>
      <c r="L433"/>
      <c r="M433"/>
      <c r="N433"/>
      <c r="O433"/>
      <c r="P433"/>
      <c r="Q433"/>
      <c r="R433"/>
      <c r="S433"/>
      <c r="T433"/>
      <c r="U433"/>
      <c r="V433"/>
      <c r="W433" s="87"/>
      <c r="X433"/>
    </row>
    <row r="434" spans="1:24">
      <c r="A434" s="87"/>
      <c r="B434" s="87"/>
      <c r="C434" s="87"/>
      <c r="D434"/>
      <c r="E434"/>
      <c r="F434"/>
      <c r="G434"/>
      <c r="H434"/>
      <c r="I434"/>
      <c r="J434"/>
      <c r="K434"/>
      <c r="L434"/>
      <c r="M434"/>
      <c r="N434"/>
      <c r="O434"/>
      <c r="P434"/>
      <c r="Q434"/>
      <c r="R434"/>
      <c r="S434"/>
      <c r="T434"/>
      <c r="U434"/>
      <c r="V434"/>
      <c r="W434" s="87"/>
      <c r="X434"/>
    </row>
    <row r="435" spans="1:24">
      <c r="A435" s="87"/>
      <c r="B435" s="87"/>
      <c r="C435" s="87"/>
      <c r="D435"/>
      <c r="E435"/>
      <c r="F435"/>
      <c r="G435"/>
      <c r="H435"/>
      <c r="I435"/>
      <c r="J435"/>
      <c r="K435"/>
      <c r="L435"/>
      <c r="M435"/>
      <c r="N435"/>
      <c r="O435"/>
      <c r="P435"/>
      <c r="Q435"/>
      <c r="R435"/>
      <c r="S435"/>
      <c r="T435"/>
      <c r="U435"/>
      <c r="V435"/>
      <c r="W435" s="87"/>
      <c r="X435"/>
    </row>
    <row r="436" spans="1:24">
      <c r="A436" s="87"/>
      <c r="B436" s="87"/>
      <c r="C436" s="87"/>
      <c r="D436"/>
      <c r="E436"/>
      <c r="F436"/>
      <c r="G436"/>
      <c r="H436"/>
      <c r="I436"/>
      <c r="J436"/>
      <c r="K436"/>
      <c r="L436"/>
      <c r="M436"/>
      <c r="N436"/>
      <c r="O436"/>
      <c r="P436"/>
      <c r="Q436"/>
      <c r="R436"/>
      <c r="S436"/>
      <c r="T436"/>
      <c r="U436"/>
      <c r="V436"/>
      <c r="W436" s="87"/>
      <c r="X436"/>
    </row>
    <row r="437" spans="1:24">
      <c r="A437" s="87"/>
      <c r="B437" s="87"/>
      <c r="C437" s="87"/>
      <c r="D437"/>
      <c r="E437"/>
      <c r="F437"/>
      <c r="G437"/>
      <c r="H437"/>
      <c r="I437"/>
      <c r="J437"/>
      <c r="K437"/>
      <c r="L437"/>
      <c r="M437"/>
      <c r="N437"/>
      <c r="O437"/>
      <c r="P437"/>
      <c r="Q437"/>
      <c r="R437"/>
      <c r="S437"/>
      <c r="T437"/>
      <c r="U437"/>
      <c r="V437"/>
      <c r="W437" s="87"/>
      <c r="X437"/>
    </row>
    <row r="438" spans="1:24">
      <c r="A438" s="87"/>
      <c r="B438" s="87"/>
      <c r="C438" s="87"/>
      <c r="D438"/>
      <c r="E438"/>
      <c r="F438"/>
      <c r="G438"/>
      <c r="H438"/>
      <c r="I438"/>
      <c r="J438"/>
      <c r="K438"/>
      <c r="L438"/>
      <c r="M438"/>
      <c r="N438"/>
      <c r="O438"/>
      <c r="P438"/>
      <c r="Q438"/>
      <c r="R438"/>
      <c r="S438"/>
      <c r="T438"/>
      <c r="U438"/>
      <c r="V438"/>
      <c r="W438" s="87"/>
      <c r="X438"/>
    </row>
    <row r="439" spans="1:24">
      <c r="A439" s="87"/>
      <c r="B439" s="87"/>
      <c r="C439" s="87"/>
      <c r="D439"/>
      <c r="E439"/>
      <c r="F439"/>
      <c r="G439"/>
      <c r="H439"/>
      <c r="I439"/>
      <c r="J439"/>
      <c r="K439"/>
      <c r="L439"/>
      <c r="M439"/>
      <c r="N439"/>
      <c r="O439"/>
      <c r="P439"/>
      <c r="Q439"/>
      <c r="R439"/>
      <c r="S439"/>
      <c r="T439"/>
      <c r="U439"/>
      <c r="V439"/>
      <c r="W439" s="87"/>
      <c r="X439"/>
    </row>
    <row r="440" spans="1:24">
      <c r="A440" s="87"/>
      <c r="B440" s="87"/>
      <c r="C440" s="87"/>
      <c r="D440"/>
      <c r="E440"/>
      <c r="F440"/>
      <c r="G440"/>
      <c r="H440"/>
      <c r="I440"/>
      <c r="J440"/>
      <c r="K440"/>
      <c r="L440"/>
      <c r="M440"/>
      <c r="N440"/>
      <c r="O440"/>
      <c r="P440"/>
      <c r="Q440"/>
      <c r="R440"/>
      <c r="S440"/>
      <c r="T440"/>
      <c r="U440"/>
      <c r="V440"/>
      <c r="W440" s="87"/>
      <c r="X440"/>
    </row>
    <row r="441" spans="1:24">
      <c r="A441" s="87"/>
      <c r="B441" s="87"/>
      <c r="C441" s="87"/>
      <c r="D441"/>
      <c r="E441"/>
      <c r="F441"/>
      <c r="G441"/>
      <c r="H441"/>
      <c r="I441"/>
      <c r="J441"/>
      <c r="K441"/>
      <c r="L441"/>
      <c r="M441"/>
      <c r="N441"/>
      <c r="O441"/>
      <c r="P441"/>
      <c r="Q441"/>
      <c r="R441"/>
      <c r="S441"/>
      <c r="T441"/>
      <c r="U441"/>
      <c r="V441"/>
      <c r="W441" s="87"/>
      <c r="X441"/>
    </row>
    <row r="442" spans="1:24">
      <c r="A442" s="87"/>
      <c r="B442" s="87"/>
      <c r="C442" s="87"/>
      <c r="D442"/>
      <c r="E442"/>
      <c r="F442"/>
      <c r="G442"/>
      <c r="H442"/>
      <c r="I442"/>
      <c r="J442"/>
      <c r="K442"/>
      <c r="L442"/>
      <c r="M442"/>
      <c r="N442"/>
      <c r="O442"/>
      <c r="P442"/>
      <c r="Q442"/>
      <c r="R442"/>
      <c r="S442"/>
      <c r="T442"/>
      <c r="U442"/>
      <c r="V442"/>
      <c r="W442" s="87"/>
      <c r="X442"/>
    </row>
    <row r="443" spans="1:24">
      <c r="A443" s="87"/>
      <c r="B443" s="87"/>
      <c r="C443" s="87"/>
      <c r="D443"/>
      <c r="E443"/>
      <c r="F443"/>
      <c r="G443"/>
      <c r="H443"/>
      <c r="I443"/>
      <c r="J443"/>
      <c r="K443"/>
      <c r="L443"/>
      <c r="M443"/>
      <c r="N443"/>
      <c r="O443"/>
      <c r="P443"/>
      <c r="Q443"/>
      <c r="R443"/>
      <c r="S443"/>
      <c r="T443"/>
      <c r="U443"/>
      <c r="V443"/>
      <c r="W443" s="87"/>
      <c r="X443"/>
    </row>
    <row r="444" spans="1:24">
      <c r="A444" s="87"/>
      <c r="B444" s="87"/>
      <c r="C444" s="87"/>
      <c r="D444"/>
      <c r="E444"/>
      <c r="F444"/>
      <c r="G444"/>
      <c r="H444"/>
      <c r="I444"/>
      <c r="J444"/>
      <c r="K444"/>
      <c r="L444"/>
      <c r="M444"/>
      <c r="N444"/>
      <c r="O444"/>
      <c r="P444"/>
      <c r="Q444"/>
      <c r="R444"/>
      <c r="S444"/>
      <c r="T444"/>
      <c r="U444"/>
      <c r="V444"/>
      <c r="W444" s="87"/>
      <c r="X444"/>
    </row>
    <row r="445" spans="1:24">
      <c r="A445" s="87"/>
      <c r="B445" s="87"/>
      <c r="C445" s="87"/>
      <c r="D445"/>
      <c r="E445"/>
      <c r="F445"/>
      <c r="G445"/>
      <c r="H445"/>
      <c r="I445"/>
      <c r="J445"/>
      <c r="K445"/>
      <c r="L445"/>
      <c r="M445"/>
      <c r="N445"/>
      <c r="O445"/>
      <c r="P445"/>
      <c r="Q445"/>
      <c r="R445"/>
      <c r="S445"/>
      <c r="T445"/>
      <c r="U445"/>
      <c r="V445"/>
      <c r="W445" s="87"/>
      <c r="X445"/>
    </row>
    <row r="446" spans="1:24">
      <c r="A446" s="87"/>
      <c r="B446" s="87"/>
      <c r="C446" s="87"/>
      <c r="D446"/>
      <c r="E446"/>
      <c r="F446"/>
      <c r="G446"/>
      <c r="H446"/>
      <c r="I446"/>
      <c r="J446"/>
      <c r="K446"/>
      <c r="L446"/>
      <c r="M446"/>
      <c r="N446"/>
      <c r="O446"/>
      <c r="P446"/>
      <c r="Q446"/>
      <c r="R446"/>
      <c r="S446"/>
      <c r="T446"/>
      <c r="U446"/>
      <c r="V446"/>
      <c r="W446" s="87"/>
      <c r="X446"/>
    </row>
    <row r="447" spans="1:24">
      <c r="A447" s="87"/>
      <c r="B447" s="87"/>
      <c r="C447" s="87"/>
      <c r="D447"/>
      <c r="E447"/>
      <c r="F447"/>
      <c r="G447"/>
      <c r="H447"/>
      <c r="I447"/>
      <c r="J447"/>
      <c r="K447"/>
      <c r="L447"/>
      <c r="M447"/>
      <c r="N447"/>
      <c r="O447"/>
      <c r="P447"/>
      <c r="Q447"/>
      <c r="R447"/>
      <c r="S447"/>
      <c r="T447"/>
      <c r="U447"/>
      <c r="V447"/>
      <c r="W447" s="87"/>
      <c r="X447"/>
    </row>
    <row r="448" spans="1:24">
      <c r="A448" s="87"/>
      <c r="B448" s="87"/>
      <c r="C448" s="87"/>
      <c r="D448"/>
      <c r="E448"/>
      <c r="F448"/>
      <c r="G448"/>
      <c r="H448"/>
      <c r="I448"/>
      <c r="J448"/>
      <c r="K448"/>
      <c r="L448"/>
      <c r="M448"/>
      <c r="N448"/>
      <c r="O448"/>
      <c r="P448"/>
      <c r="Q448"/>
      <c r="R448"/>
      <c r="S448"/>
      <c r="T448"/>
      <c r="U448"/>
      <c r="V448"/>
      <c r="W448" s="87"/>
      <c r="X448"/>
    </row>
    <row r="449" spans="1:24">
      <c r="A449" s="87"/>
      <c r="B449" s="87"/>
      <c r="C449" s="87"/>
      <c r="D449"/>
      <c r="E449"/>
      <c r="F449"/>
      <c r="G449"/>
      <c r="H449"/>
      <c r="I449"/>
      <c r="J449"/>
      <c r="K449"/>
      <c r="L449"/>
      <c r="M449"/>
      <c r="N449"/>
      <c r="O449"/>
      <c r="P449"/>
      <c r="Q449"/>
      <c r="R449"/>
      <c r="S449"/>
      <c r="T449"/>
      <c r="U449"/>
      <c r="V449"/>
      <c r="W449" s="87"/>
      <c r="X449"/>
    </row>
    <row r="450" spans="1:24">
      <c r="A450" s="87"/>
      <c r="B450" s="87"/>
      <c r="C450" s="87"/>
      <c r="D450"/>
      <c r="E450"/>
      <c r="F450"/>
      <c r="G450"/>
      <c r="H450"/>
      <c r="I450"/>
      <c r="J450"/>
      <c r="K450"/>
      <c r="L450"/>
      <c r="M450"/>
      <c r="N450"/>
      <c r="O450"/>
      <c r="P450"/>
      <c r="Q450"/>
      <c r="R450"/>
      <c r="S450"/>
      <c r="T450"/>
      <c r="U450"/>
      <c r="V450"/>
      <c r="W450" s="87"/>
      <c r="X450"/>
    </row>
    <row r="451" spans="1:24">
      <c r="A451" s="87"/>
      <c r="B451" s="87"/>
      <c r="C451" s="87"/>
      <c r="D451"/>
      <c r="E451"/>
      <c r="F451"/>
      <c r="G451"/>
      <c r="H451"/>
      <c r="I451"/>
      <c r="J451"/>
      <c r="K451"/>
      <c r="L451"/>
      <c r="M451"/>
      <c r="N451"/>
      <c r="O451"/>
      <c r="P451"/>
      <c r="Q451"/>
      <c r="R451"/>
      <c r="S451"/>
      <c r="T451"/>
      <c r="U451"/>
      <c r="V451"/>
      <c r="W451" s="87"/>
      <c r="X451"/>
    </row>
    <row r="452" spans="1:24">
      <c r="A452" s="87"/>
      <c r="B452" s="87"/>
      <c r="C452" s="87"/>
      <c r="D452"/>
      <c r="E452"/>
      <c r="F452"/>
      <c r="G452"/>
      <c r="H452"/>
      <c r="I452"/>
      <c r="J452"/>
      <c r="K452"/>
      <c r="L452"/>
      <c r="M452"/>
      <c r="N452"/>
      <c r="O452"/>
      <c r="P452"/>
      <c r="Q452"/>
      <c r="R452"/>
      <c r="S452"/>
      <c r="T452"/>
      <c r="U452"/>
      <c r="V452"/>
      <c r="W452" s="87"/>
      <c r="X452"/>
    </row>
    <row r="453" spans="1:24">
      <c r="A453" s="87"/>
      <c r="B453" s="87"/>
      <c r="C453" s="87"/>
      <c r="D453"/>
      <c r="E453"/>
      <c r="F453"/>
      <c r="G453"/>
      <c r="H453"/>
      <c r="I453"/>
      <c r="J453"/>
      <c r="K453"/>
      <c r="L453"/>
      <c r="M453"/>
      <c r="N453"/>
      <c r="O453"/>
      <c r="P453"/>
      <c r="Q453"/>
      <c r="R453"/>
      <c r="S453"/>
      <c r="T453"/>
      <c r="U453"/>
      <c r="V453"/>
      <c r="W453" s="87"/>
      <c r="X453"/>
    </row>
    <row r="454" spans="1:24">
      <c r="A454" s="87"/>
      <c r="B454" s="87"/>
      <c r="C454" s="87"/>
      <c r="D454"/>
      <c r="E454"/>
      <c r="F454"/>
      <c r="G454"/>
      <c r="H454"/>
      <c r="I454"/>
      <c r="J454"/>
      <c r="K454"/>
      <c r="L454"/>
      <c r="M454"/>
      <c r="N454"/>
      <c r="O454"/>
      <c r="P454"/>
      <c r="Q454"/>
      <c r="R454"/>
      <c r="S454"/>
      <c r="T454"/>
      <c r="U454"/>
      <c r="V454"/>
      <c r="W454" s="87"/>
      <c r="X454"/>
    </row>
    <row r="455" spans="1:24">
      <c r="A455" s="87"/>
      <c r="B455" s="87"/>
      <c r="C455" s="87"/>
      <c r="D455"/>
      <c r="E455"/>
      <c r="F455"/>
      <c r="G455"/>
      <c r="H455"/>
      <c r="I455"/>
      <c r="J455"/>
      <c r="K455"/>
      <c r="L455"/>
      <c r="M455"/>
      <c r="N455"/>
      <c r="O455"/>
      <c r="P455"/>
      <c r="Q455"/>
      <c r="R455"/>
      <c r="S455"/>
      <c r="T455"/>
      <c r="U455"/>
      <c r="V455"/>
      <c r="W455" s="87"/>
      <c r="X455"/>
    </row>
    <row r="456" spans="1:24">
      <c r="A456" s="87"/>
      <c r="B456" s="87"/>
      <c r="C456" s="87"/>
      <c r="D456"/>
      <c r="E456"/>
      <c r="F456"/>
      <c r="G456"/>
      <c r="H456"/>
      <c r="I456"/>
      <c r="J456"/>
      <c r="K456"/>
      <c r="L456"/>
      <c r="M456"/>
      <c r="N456"/>
      <c r="O456"/>
      <c r="P456"/>
      <c r="Q456"/>
      <c r="R456"/>
      <c r="S456"/>
      <c r="T456"/>
      <c r="U456"/>
      <c r="V456"/>
      <c r="W456" s="87"/>
      <c r="X456"/>
    </row>
    <row r="457" spans="1:24">
      <c r="A457" s="87"/>
      <c r="B457" s="87"/>
      <c r="C457" s="87"/>
      <c r="D457"/>
      <c r="E457"/>
      <c r="F457"/>
      <c r="G457"/>
      <c r="H457"/>
      <c r="I457"/>
      <c r="J457"/>
      <c r="K457"/>
      <c r="L457"/>
      <c r="M457"/>
      <c r="N457"/>
      <c r="O457"/>
      <c r="P457"/>
      <c r="Q457"/>
      <c r="R457"/>
      <c r="S457"/>
      <c r="T457"/>
      <c r="U457"/>
      <c r="V457"/>
      <c r="W457" s="87"/>
      <c r="X457"/>
    </row>
    <row r="458" spans="1:24">
      <c r="A458" s="87"/>
      <c r="B458" s="87"/>
      <c r="C458" s="87"/>
      <c r="D458"/>
      <c r="E458"/>
      <c r="F458"/>
      <c r="G458"/>
      <c r="H458"/>
      <c r="I458"/>
      <c r="J458"/>
      <c r="K458"/>
      <c r="L458"/>
      <c r="M458"/>
      <c r="N458"/>
      <c r="O458"/>
      <c r="P458"/>
      <c r="Q458"/>
      <c r="R458"/>
      <c r="S458"/>
      <c r="T458"/>
      <c r="U458"/>
      <c r="V458"/>
      <c r="W458" s="87"/>
      <c r="X458"/>
    </row>
    <row r="459" spans="1:24">
      <c r="A459" s="87"/>
      <c r="B459" s="87"/>
      <c r="C459" s="87"/>
      <c r="D459"/>
      <c r="E459"/>
      <c r="F459"/>
      <c r="G459"/>
      <c r="H459"/>
      <c r="I459"/>
      <c r="J459"/>
      <c r="K459"/>
      <c r="L459"/>
      <c r="M459"/>
      <c r="N459"/>
      <c r="O459"/>
      <c r="P459"/>
      <c r="Q459"/>
      <c r="R459"/>
      <c r="S459"/>
      <c r="T459"/>
      <c r="U459"/>
      <c r="V459"/>
      <c r="W459" s="87"/>
      <c r="X459"/>
    </row>
    <row r="460" spans="1:24">
      <c r="A460" s="87"/>
      <c r="B460" s="87"/>
      <c r="C460" s="87"/>
      <c r="D460"/>
      <c r="E460"/>
      <c r="F460"/>
      <c r="G460"/>
      <c r="H460"/>
      <c r="I460"/>
      <c r="J460"/>
      <c r="K460"/>
      <c r="L460"/>
      <c r="M460"/>
      <c r="N460"/>
      <c r="O460"/>
      <c r="P460"/>
      <c r="Q460"/>
      <c r="R460"/>
      <c r="S460"/>
      <c r="T460"/>
      <c r="U460"/>
      <c r="V460"/>
      <c r="W460" s="87"/>
      <c r="X460"/>
    </row>
    <row r="461" spans="1:24">
      <c r="A461" s="87"/>
      <c r="B461" s="87"/>
      <c r="C461" s="87"/>
      <c r="D461"/>
      <c r="E461"/>
      <c r="F461"/>
      <c r="G461"/>
      <c r="H461"/>
      <c r="I461"/>
      <c r="J461"/>
      <c r="K461"/>
      <c r="L461"/>
      <c r="M461"/>
      <c r="N461"/>
      <c r="O461"/>
      <c r="P461"/>
      <c r="Q461"/>
      <c r="R461"/>
      <c r="S461"/>
      <c r="T461"/>
      <c r="U461"/>
      <c r="V461"/>
      <c r="W461" s="87"/>
      <c r="X461"/>
    </row>
    <row r="462" spans="1:24">
      <c r="A462" s="87"/>
      <c r="B462" s="87"/>
      <c r="C462" s="87"/>
      <c r="D462"/>
      <c r="E462"/>
      <c r="F462"/>
      <c r="G462"/>
      <c r="H462"/>
      <c r="I462"/>
      <c r="J462"/>
      <c r="K462"/>
      <c r="L462"/>
      <c r="M462"/>
      <c r="N462"/>
      <c r="O462"/>
      <c r="P462"/>
      <c r="Q462"/>
      <c r="R462"/>
      <c r="S462"/>
      <c r="T462"/>
      <c r="U462"/>
      <c r="V462"/>
      <c r="W462" s="87"/>
      <c r="X462"/>
    </row>
    <row r="463" spans="1:24">
      <c r="A463" s="87"/>
      <c r="B463" s="87"/>
      <c r="C463" s="87"/>
      <c r="D463"/>
      <c r="E463"/>
      <c r="F463"/>
      <c r="G463"/>
      <c r="H463"/>
      <c r="I463"/>
      <c r="J463"/>
      <c r="K463"/>
      <c r="L463"/>
      <c r="M463"/>
      <c r="N463"/>
      <c r="O463"/>
      <c r="P463"/>
      <c r="Q463"/>
      <c r="R463"/>
      <c r="S463"/>
      <c r="T463"/>
      <c r="U463"/>
      <c r="V463"/>
      <c r="W463" s="87"/>
      <c r="X463"/>
    </row>
    <row r="464" spans="1:24">
      <c r="A464" s="87"/>
      <c r="B464" s="87"/>
      <c r="C464" s="87"/>
      <c r="D464"/>
      <c r="E464"/>
      <c r="F464"/>
      <c r="G464"/>
      <c r="H464"/>
      <c r="I464"/>
      <c r="J464"/>
      <c r="K464"/>
      <c r="L464"/>
      <c r="M464"/>
      <c r="N464"/>
      <c r="O464"/>
      <c r="P464"/>
      <c r="Q464"/>
      <c r="R464"/>
      <c r="S464"/>
      <c r="T464"/>
      <c r="U464"/>
      <c r="V464"/>
      <c r="W464" s="87"/>
      <c r="X464"/>
    </row>
    <row r="465" spans="1:24">
      <c r="A465" s="87"/>
      <c r="B465" s="87"/>
      <c r="C465" s="87"/>
      <c r="D465"/>
      <c r="E465"/>
      <c r="F465"/>
      <c r="G465"/>
      <c r="H465"/>
      <c r="I465"/>
      <c r="J465"/>
      <c r="K465"/>
      <c r="L465"/>
      <c r="M465"/>
      <c r="N465"/>
      <c r="O465"/>
      <c r="P465"/>
      <c r="Q465"/>
      <c r="R465"/>
      <c r="S465"/>
      <c r="T465"/>
      <c r="U465"/>
      <c r="V465"/>
      <c r="W465" s="87"/>
      <c r="X465"/>
    </row>
    <row r="466" spans="1:24">
      <c r="A466" s="87"/>
      <c r="B466" s="87"/>
      <c r="C466" s="87"/>
      <c r="D466"/>
      <c r="E466"/>
      <c r="F466"/>
      <c r="G466"/>
      <c r="H466"/>
      <c r="I466"/>
      <c r="J466"/>
      <c r="K466"/>
      <c r="L466"/>
      <c r="M466"/>
      <c r="N466"/>
      <c r="O466"/>
      <c r="P466"/>
      <c r="Q466"/>
      <c r="R466"/>
      <c r="S466"/>
      <c r="T466"/>
      <c r="U466"/>
      <c r="V466"/>
      <c r="W466" s="87"/>
      <c r="X466"/>
    </row>
    <row r="467" spans="1:24">
      <c r="A467" s="87"/>
      <c r="B467" s="87"/>
      <c r="C467" s="87"/>
      <c r="D467"/>
      <c r="E467"/>
      <c r="F467"/>
      <c r="G467"/>
      <c r="H467"/>
      <c r="I467"/>
      <c r="J467"/>
      <c r="K467"/>
      <c r="L467"/>
      <c r="M467"/>
      <c r="N467"/>
      <c r="O467"/>
      <c r="P467"/>
      <c r="Q467"/>
      <c r="R467"/>
      <c r="S467"/>
      <c r="T467"/>
      <c r="U467"/>
      <c r="V467"/>
      <c r="W467" s="87"/>
      <c r="X467"/>
    </row>
    <row r="468" spans="1:24">
      <c r="A468" s="87"/>
      <c r="B468" s="87"/>
      <c r="C468" s="87"/>
      <c r="D468"/>
      <c r="E468"/>
      <c r="F468"/>
      <c r="G468"/>
      <c r="H468"/>
      <c r="I468"/>
      <c r="J468"/>
      <c r="K468"/>
      <c r="L468"/>
      <c r="M468"/>
      <c r="N468"/>
      <c r="O468"/>
      <c r="P468"/>
      <c r="Q468"/>
      <c r="R468"/>
      <c r="S468"/>
      <c r="T468"/>
      <c r="U468"/>
      <c r="V468"/>
      <c r="W468" s="87"/>
      <c r="X468"/>
    </row>
    <row r="469" spans="1:24">
      <c r="A469" s="87"/>
      <c r="B469" s="87"/>
      <c r="C469" s="87"/>
      <c r="D469"/>
      <c r="E469"/>
      <c r="F469"/>
      <c r="G469"/>
      <c r="H469"/>
      <c r="I469"/>
      <c r="J469"/>
      <c r="K469"/>
      <c r="L469"/>
      <c r="M469"/>
      <c r="N469"/>
      <c r="O469"/>
      <c r="P469"/>
      <c r="Q469"/>
      <c r="R469"/>
      <c r="S469"/>
      <c r="T469"/>
      <c r="U469"/>
      <c r="V469"/>
      <c r="W469" s="87"/>
      <c r="X469"/>
    </row>
    <row r="470" spans="1:24">
      <c r="A470" s="87"/>
      <c r="B470" s="87"/>
      <c r="C470" s="87"/>
      <c r="D470"/>
      <c r="E470"/>
      <c r="F470"/>
      <c r="G470"/>
      <c r="H470"/>
      <c r="I470"/>
      <c r="J470"/>
      <c r="K470"/>
      <c r="L470"/>
      <c r="M470"/>
      <c r="N470"/>
      <c r="O470"/>
      <c r="P470"/>
      <c r="Q470"/>
      <c r="R470"/>
      <c r="S470"/>
      <c r="T470"/>
      <c r="U470"/>
      <c r="V470"/>
      <c r="W470" s="87"/>
      <c r="X470"/>
    </row>
    <row r="471" spans="1:24">
      <c r="A471" s="87"/>
      <c r="B471" s="87"/>
      <c r="C471" s="87"/>
      <c r="D471"/>
      <c r="E471"/>
      <c r="F471"/>
      <c r="G471"/>
      <c r="H471"/>
      <c r="I471"/>
      <c r="J471"/>
      <c r="K471"/>
      <c r="L471"/>
      <c r="M471"/>
      <c r="N471"/>
      <c r="O471"/>
      <c r="P471"/>
      <c r="Q471"/>
      <c r="R471"/>
      <c r="S471"/>
      <c r="T471"/>
      <c r="U471"/>
      <c r="V471"/>
      <c r="W471" s="87"/>
      <c r="X471"/>
    </row>
    <row r="472" spans="1:24">
      <c r="A472" s="87"/>
      <c r="B472" s="87"/>
      <c r="C472" s="87"/>
      <c r="D472"/>
      <c r="E472"/>
      <c r="F472"/>
      <c r="G472"/>
      <c r="H472"/>
      <c r="I472"/>
      <c r="J472"/>
      <c r="K472"/>
      <c r="L472"/>
      <c r="M472"/>
      <c r="N472"/>
      <c r="O472"/>
      <c r="P472"/>
      <c r="Q472"/>
      <c r="R472"/>
      <c r="S472"/>
      <c r="T472"/>
      <c r="U472"/>
      <c r="V472"/>
      <c r="W472" s="87"/>
      <c r="X472"/>
    </row>
    <row r="473" spans="1:24">
      <c r="A473" s="87"/>
      <c r="B473" s="87"/>
      <c r="C473" s="87"/>
      <c r="D473"/>
      <c r="E473"/>
      <c r="F473"/>
      <c r="G473"/>
      <c r="H473"/>
      <c r="I473"/>
      <c r="J473"/>
      <c r="K473"/>
      <c r="L473"/>
      <c r="M473"/>
      <c r="N473"/>
      <c r="O473"/>
      <c r="P473"/>
      <c r="Q473"/>
      <c r="R473"/>
      <c r="S473"/>
      <c r="T473"/>
      <c r="U473"/>
      <c r="V473"/>
      <c r="W473" s="87"/>
      <c r="X473"/>
    </row>
    <row r="474" spans="1:24">
      <c r="A474" s="87"/>
      <c r="B474" s="87"/>
      <c r="C474" s="87"/>
      <c r="D474"/>
      <c r="E474"/>
      <c r="F474"/>
      <c r="G474"/>
      <c r="H474"/>
      <c r="I474"/>
      <c r="J474"/>
      <c r="K474"/>
      <c r="L474"/>
      <c r="M474"/>
      <c r="N474"/>
      <c r="O474"/>
      <c r="P474"/>
      <c r="Q474"/>
      <c r="R474"/>
      <c r="S474"/>
      <c r="T474"/>
      <c r="U474"/>
      <c r="V474"/>
      <c r="W474" s="87"/>
      <c r="X474"/>
    </row>
    <row r="475" spans="1:24">
      <c r="A475" s="87"/>
      <c r="B475" s="87"/>
      <c r="C475" s="87"/>
      <c r="D475"/>
      <c r="E475"/>
      <c r="F475"/>
      <c r="G475"/>
      <c r="H475"/>
      <c r="I475"/>
      <c r="J475"/>
      <c r="K475"/>
      <c r="L475"/>
      <c r="M475"/>
      <c r="N475"/>
      <c r="O475"/>
      <c r="P475"/>
      <c r="Q475"/>
      <c r="R475"/>
      <c r="S475"/>
      <c r="T475"/>
      <c r="U475"/>
      <c r="V475"/>
      <c r="W475" s="87"/>
      <c r="X475"/>
    </row>
    <row r="476" spans="1:24">
      <c r="A476" s="87"/>
      <c r="B476" s="87"/>
      <c r="C476" s="87"/>
      <c r="D476"/>
      <c r="E476"/>
      <c r="F476"/>
      <c r="G476"/>
      <c r="H476"/>
      <c r="I476"/>
      <c r="J476"/>
      <c r="K476"/>
      <c r="L476"/>
      <c r="M476"/>
      <c r="N476"/>
      <c r="O476"/>
      <c r="P476"/>
      <c r="Q476"/>
      <c r="R476"/>
      <c r="S476"/>
      <c r="T476"/>
      <c r="U476"/>
      <c r="V476"/>
      <c r="W476" s="87"/>
      <c r="X476"/>
    </row>
    <row r="477" spans="1:24">
      <c r="A477" s="87"/>
      <c r="B477" s="87"/>
      <c r="C477" s="87"/>
      <c r="D477"/>
      <c r="E477"/>
      <c r="F477"/>
      <c r="G477"/>
      <c r="H477"/>
      <c r="I477"/>
      <c r="J477"/>
      <c r="K477"/>
      <c r="L477"/>
      <c r="M477"/>
      <c r="N477"/>
      <c r="O477"/>
      <c r="P477"/>
      <c r="Q477"/>
      <c r="R477"/>
      <c r="S477"/>
      <c r="T477"/>
      <c r="U477"/>
      <c r="V477"/>
      <c r="W477" s="87"/>
      <c r="X477"/>
    </row>
    <row r="478" spans="1:24">
      <c r="A478" s="87"/>
      <c r="B478" s="87"/>
      <c r="C478" s="87"/>
      <c r="D478"/>
      <c r="E478"/>
      <c r="F478"/>
      <c r="G478"/>
      <c r="H478"/>
      <c r="I478"/>
      <c r="J478"/>
      <c r="K478"/>
      <c r="L478"/>
      <c r="M478"/>
      <c r="N478"/>
      <c r="O478"/>
      <c r="P478"/>
      <c r="Q478"/>
      <c r="R478"/>
      <c r="S478"/>
      <c r="T478"/>
      <c r="U478"/>
      <c r="V478"/>
      <c r="W478" s="87"/>
      <c r="X478"/>
    </row>
    <row r="479" spans="1:24">
      <c r="A479" s="87"/>
      <c r="B479" s="87"/>
      <c r="C479" s="87"/>
      <c r="D479"/>
      <c r="E479"/>
      <c r="F479"/>
      <c r="G479"/>
      <c r="H479"/>
      <c r="I479"/>
      <c r="J479"/>
      <c r="K479"/>
      <c r="L479"/>
      <c r="M479"/>
      <c r="N479"/>
      <c r="O479"/>
      <c r="P479"/>
      <c r="Q479"/>
      <c r="R479"/>
      <c r="S479"/>
      <c r="T479"/>
      <c r="U479"/>
      <c r="V479"/>
      <c r="W479" s="87"/>
      <c r="X479"/>
    </row>
    <row r="480" spans="1:24">
      <c r="A480" s="87"/>
      <c r="B480" s="87"/>
      <c r="C480" s="87"/>
      <c r="D480"/>
      <c r="E480"/>
      <c r="F480"/>
      <c r="G480"/>
      <c r="H480"/>
      <c r="I480"/>
      <c r="J480"/>
      <c r="K480"/>
      <c r="L480"/>
      <c r="M480"/>
      <c r="N480"/>
      <c r="O480"/>
      <c r="P480"/>
      <c r="Q480"/>
      <c r="R480"/>
      <c r="S480"/>
      <c r="T480"/>
      <c r="U480"/>
      <c r="V480"/>
      <c r="W480" s="87"/>
      <c r="X480"/>
    </row>
    <row r="481" spans="1:24">
      <c r="A481" s="87"/>
      <c r="B481" s="87"/>
      <c r="C481" s="87"/>
      <c r="D481"/>
      <c r="E481"/>
      <c r="F481"/>
      <c r="G481"/>
      <c r="H481"/>
      <c r="I481"/>
      <c r="J481"/>
      <c r="K481"/>
      <c r="L481"/>
      <c r="M481"/>
      <c r="N481"/>
      <c r="O481"/>
      <c r="P481"/>
      <c r="Q481"/>
      <c r="R481"/>
      <c r="S481"/>
      <c r="T481"/>
      <c r="U481"/>
      <c r="V481"/>
      <c r="W481" s="87"/>
      <c r="X481"/>
    </row>
    <row r="482" spans="1:24">
      <c r="A482" s="87"/>
      <c r="B482" s="87"/>
      <c r="C482" s="87"/>
      <c r="D482"/>
      <c r="E482"/>
      <c r="F482"/>
      <c r="G482"/>
      <c r="H482"/>
      <c r="I482"/>
      <c r="J482"/>
      <c r="K482"/>
      <c r="L482"/>
      <c r="M482"/>
      <c r="N482"/>
      <c r="O482"/>
      <c r="P482"/>
      <c r="Q482"/>
      <c r="R482"/>
      <c r="S482"/>
      <c r="T482"/>
      <c r="U482"/>
      <c r="V482"/>
      <c r="W482" s="87"/>
      <c r="X482"/>
    </row>
    <row r="483" spans="1:24">
      <c r="A483" s="87"/>
      <c r="B483" s="87"/>
      <c r="C483" s="87"/>
      <c r="D483"/>
      <c r="E483"/>
      <c r="F483"/>
      <c r="G483"/>
      <c r="H483"/>
      <c r="I483"/>
      <c r="J483"/>
      <c r="K483"/>
      <c r="L483"/>
      <c r="M483"/>
      <c r="N483"/>
      <c r="O483"/>
      <c r="P483"/>
      <c r="Q483"/>
      <c r="R483"/>
      <c r="S483"/>
      <c r="T483"/>
      <c r="U483"/>
      <c r="V483"/>
      <c r="W483" s="87"/>
      <c r="X483"/>
    </row>
    <row r="484" spans="1:24">
      <c r="A484" s="87"/>
      <c r="B484" s="87"/>
      <c r="C484" s="87"/>
      <c r="D484"/>
      <c r="E484"/>
      <c r="F484"/>
      <c r="G484"/>
      <c r="H484"/>
      <c r="I484"/>
      <c r="J484"/>
      <c r="K484"/>
      <c r="L484"/>
      <c r="M484"/>
      <c r="N484"/>
      <c r="O484"/>
      <c r="P484"/>
      <c r="Q484"/>
      <c r="R484"/>
      <c r="S484"/>
      <c r="T484"/>
      <c r="U484"/>
      <c r="V484"/>
      <c r="W484" s="87"/>
      <c r="X484"/>
    </row>
    <row r="485" spans="1:24">
      <c r="A485" s="87"/>
      <c r="B485" s="87"/>
      <c r="C485" s="87"/>
      <c r="D485"/>
      <c r="E485"/>
      <c r="F485"/>
      <c r="G485"/>
      <c r="H485"/>
      <c r="I485"/>
      <c r="J485"/>
      <c r="K485"/>
      <c r="L485"/>
      <c r="M485"/>
      <c r="N485"/>
      <c r="O485"/>
      <c r="P485"/>
      <c r="Q485"/>
      <c r="R485"/>
      <c r="S485"/>
      <c r="T485"/>
      <c r="U485"/>
      <c r="V485"/>
      <c r="W485" s="87"/>
      <c r="X485"/>
    </row>
    <row r="486" spans="1:24">
      <c r="A486" s="87"/>
      <c r="B486" s="87"/>
      <c r="C486" s="87"/>
      <c r="D486"/>
      <c r="E486"/>
      <c r="F486"/>
      <c r="G486"/>
      <c r="H486"/>
      <c r="I486"/>
      <c r="J486"/>
      <c r="K486"/>
      <c r="L486"/>
      <c r="M486"/>
      <c r="N486"/>
      <c r="O486"/>
      <c r="P486"/>
      <c r="Q486"/>
      <c r="R486"/>
      <c r="S486"/>
      <c r="T486"/>
      <c r="U486"/>
      <c r="V486"/>
      <c r="W486" s="87"/>
      <c r="X486"/>
    </row>
    <row r="487" spans="1:24">
      <c r="A487" s="87"/>
      <c r="B487" s="87"/>
      <c r="C487" s="87"/>
      <c r="D487"/>
      <c r="E487"/>
      <c r="F487"/>
      <c r="G487"/>
      <c r="H487"/>
      <c r="I487"/>
      <c r="J487"/>
      <c r="K487"/>
      <c r="L487"/>
      <c r="M487"/>
      <c r="N487"/>
      <c r="O487"/>
      <c r="P487"/>
      <c r="Q487"/>
      <c r="R487"/>
      <c r="S487"/>
      <c r="T487"/>
      <c r="U487"/>
      <c r="V487"/>
      <c r="W487" s="87"/>
      <c r="X487"/>
    </row>
    <row r="488" spans="1:24">
      <c r="A488" s="87"/>
      <c r="B488" s="87"/>
      <c r="C488" s="87"/>
      <c r="D488"/>
      <c r="E488"/>
      <c r="F488"/>
      <c r="G488"/>
      <c r="H488"/>
      <c r="I488"/>
      <c r="J488"/>
      <c r="K488"/>
      <c r="L488"/>
      <c r="M488"/>
      <c r="N488"/>
      <c r="O488"/>
      <c r="P488"/>
      <c r="Q488"/>
      <c r="R488"/>
      <c r="S488"/>
      <c r="T488"/>
      <c r="U488"/>
      <c r="V488"/>
      <c r="W488" s="87"/>
      <c r="X488"/>
    </row>
    <row r="489" spans="1:24">
      <c r="A489" s="87"/>
      <c r="B489" s="87"/>
      <c r="C489" s="87"/>
      <c r="D489"/>
      <c r="E489"/>
      <c r="F489"/>
      <c r="G489"/>
      <c r="H489"/>
      <c r="I489"/>
      <c r="J489"/>
      <c r="K489"/>
      <c r="L489"/>
      <c r="M489"/>
      <c r="N489"/>
      <c r="O489"/>
      <c r="P489"/>
      <c r="Q489"/>
      <c r="R489"/>
      <c r="S489"/>
      <c r="T489"/>
      <c r="U489"/>
      <c r="V489"/>
      <c r="W489" s="87"/>
      <c r="X489"/>
    </row>
    <row r="490" spans="1:24">
      <c r="A490" s="87"/>
      <c r="B490" s="87"/>
      <c r="C490" s="87"/>
      <c r="D490"/>
      <c r="E490"/>
      <c r="F490"/>
      <c r="G490"/>
      <c r="H490"/>
      <c r="I490"/>
      <c r="J490"/>
      <c r="K490"/>
      <c r="L490"/>
      <c r="M490"/>
      <c r="N490"/>
      <c r="O490"/>
      <c r="P490"/>
      <c r="Q490"/>
      <c r="R490"/>
      <c r="S490"/>
      <c r="T490"/>
      <c r="U490"/>
      <c r="V490"/>
      <c r="W490" s="87"/>
      <c r="X490"/>
    </row>
    <row r="491" spans="1:24">
      <c r="A491" s="87"/>
      <c r="B491" s="87"/>
      <c r="C491" s="87"/>
      <c r="D491"/>
      <c r="E491"/>
      <c r="F491"/>
      <c r="G491"/>
      <c r="H491"/>
      <c r="I491"/>
      <c r="J491"/>
      <c r="K491"/>
      <c r="L491"/>
      <c r="M491"/>
      <c r="N491"/>
      <c r="O491"/>
      <c r="P491"/>
      <c r="Q491"/>
      <c r="R491"/>
      <c r="S491"/>
      <c r="T491"/>
      <c r="U491"/>
      <c r="V491"/>
      <c r="W491" s="87"/>
      <c r="X491"/>
    </row>
    <row r="492" spans="1:24">
      <c r="A492" s="87"/>
      <c r="B492" s="87"/>
      <c r="C492" s="87"/>
      <c r="D492"/>
      <c r="E492"/>
      <c r="F492"/>
      <c r="G492"/>
      <c r="H492"/>
      <c r="I492"/>
      <c r="J492"/>
      <c r="K492"/>
      <c r="L492"/>
      <c r="M492"/>
      <c r="N492"/>
      <c r="O492"/>
      <c r="P492"/>
      <c r="Q492"/>
      <c r="R492"/>
      <c r="S492"/>
      <c r="T492"/>
      <c r="U492"/>
      <c r="V492"/>
      <c r="W492" s="87"/>
      <c r="X492"/>
    </row>
    <row r="493" spans="1:24">
      <c r="A493" s="87"/>
      <c r="B493" s="87"/>
      <c r="C493" s="87"/>
      <c r="D493"/>
      <c r="E493"/>
      <c r="F493"/>
      <c r="G493"/>
      <c r="H493"/>
      <c r="I493"/>
      <c r="J493"/>
      <c r="K493"/>
      <c r="L493"/>
      <c r="M493"/>
      <c r="N493"/>
      <c r="O493"/>
      <c r="P493"/>
      <c r="Q493"/>
      <c r="R493"/>
      <c r="S493"/>
      <c r="T493"/>
      <c r="U493"/>
      <c r="V493"/>
      <c r="W493" s="87"/>
      <c r="X493"/>
    </row>
    <row r="494" spans="1:24">
      <c r="A494" s="87"/>
      <c r="B494" s="87"/>
      <c r="C494" s="87"/>
      <c r="D494"/>
      <c r="E494"/>
      <c r="F494"/>
      <c r="G494"/>
      <c r="H494"/>
      <c r="I494"/>
      <c r="J494"/>
      <c r="K494"/>
      <c r="L494"/>
      <c r="M494"/>
      <c r="N494"/>
      <c r="O494"/>
      <c r="P494"/>
      <c r="Q494"/>
      <c r="R494"/>
      <c r="S494"/>
      <c r="T494"/>
      <c r="U494"/>
      <c r="V494"/>
      <c r="W494" s="87"/>
      <c r="X494"/>
    </row>
    <row r="495" spans="1:24">
      <c r="A495" s="87"/>
      <c r="B495" s="87"/>
      <c r="C495" s="87"/>
      <c r="D495"/>
      <c r="E495"/>
      <c r="F495"/>
      <c r="G495"/>
      <c r="H495"/>
      <c r="I495"/>
      <c r="J495"/>
      <c r="K495"/>
      <c r="L495"/>
      <c r="M495"/>
      <c r="N495"/>
      <c r="O495"/>
      <c r="P495"/>
      <c r="Q495"/>
      <c r="R495"/>
      <c r="S495"/>
      <c r="T495"/>
      <c r="U495"/>
      <c r="V495"/>
      <c r="W495" s="87"/>
      <c r="X495"/>
    </row>
    <row r="496" spans="1:24">
      <c r="A496" s="87"/>
      <c r="B496" s="87"/>
      <c r="C496" s="87"/>
      <c r="D496"/>
      <c r="E496"/>
      <c r="F496"/>
      <c r="G496"/>
      <c r="H496"/>
      <c r="I496"/>
      <c r="J496"/>
      <c r="K496"/>
      <c r="L496"/>
      <c r="M496"/>
      <c r="N496"/>
      <c r="O496"/>
      <c r="P496"/>
      <c r="Q496"/>
      <c r="R496"/>
      <c r="S496"/>
      <c r="T496"/>
      <c r="U496"/>
      <c r="V496"/>
      <c r="W496" s="87"/>
      <c r="X496"/>
    </row>
    <row r="497" spans="1:24">
      <c r="A497" s="87"/>
      <c r="B497" s="87"/>
      <c r="C497" s="87"/>
      <c r="D497"/>
      <c r="E497"/>
      <c r="F497"/>
      <c r="G497"/>
      <c r="H497"/>
      <c r="I497"/>
      <c r="J497"/>
      <c r="K497"/>
      <c r="L497"/>
      <c r="M497"/>
      <c r="N497"/>
      <c r="O497"/>
      <c r="P497"/>
      <c r="Q497"/>
      <c r="R497"/>
      <c r="S497"/>
      <c r="T497"/>
      <c r="U497"/>
      <c r="V497"/>
      <c r="W497" s="87"/>
      <c r="X497"/>
    </row>
    <row r="498" spans="1:24">
      <c r="A498" s="87"/>
      <c r="B498" s="87"/>
      <c r="C498" s="87"/>
      <c r="D498"/>
      <c r="E498"/>
      <c r="F498"/>
      <c r="G498"/>
      <c r="H498"/>
      <c r="I498"/>
      <c r="J498"/>
      <c r="K498"/>
      <c r="L498"/>
      <c r="M498"/>
      <c r="N498"/>
      <c r="O498"/>
      <c r="P498"/>
      <c r="Q498"/>
      <c r="R498"/>
      <c r="S498"/>
      <c r="T498"/>
      <c r="U498"/>
      <c r="V498"/>
      <c r="W498" s="87"/>
      <c r="X498"/>
    </row>
    <row r="499" spans="1:24">
      <c r="A499" s="87"/>
      <c r="B499" s="87"/>
      <c r="C499" s="87"/>
      <c r="D499"/>
      <c r="E499"/>
      <c r="F499"/>
      <c r="G499"/>
      <c r="H499"/>
      <c r="I499"/>
      <c r="J499"/>
      <c r="K499"/>
      <c r="L499"/>
      <c r="M499"/>
      <c r="N499"/>
      <c r="O499"/>
      <c r="P499"/>
      <c r="Q499"/>
      <c r="R499"/>
      <c r="S499"/>
      <c r="T499"/>
      <c r="U499"/>
      <c r="V499"/>
      <c r="W499" s="87"/>
      <c r="X499"/>
    </row>
    <row r="500" spans="1:24">
      <c r="A500" s="87"/>
      <c r="B500" s="87"/>
      <c r="C500" s="87"/>
      <c r="D500"/>
      <c r="E500"/>
      <c r="F500"/>
      <c r="G500"/>
      <c r="H500"/>
      <c r="I500"/>
      <c r="J500"/>
      <c r="K500"/>
      <c r="L500"/>
      <c r="M500"/>
      <c r="N500"/>
      <c r="O500"/>
      <c r="P500"/>
      <c r="Q500"/>
      <c r="R500"/>
      <c r="S500"/>
      <c r="T500"/>
      <c r="U500"/>
      <c r="V500"/>
      <c r="W500" s="87"/>
      <c r="X500"/>
    </row>
    <row r="501" spans="1:24">
      <c r="A501" s="87"/>
      <c r="B501" s="87"/>
      <c r="C501" s="87"/>
      <c r="D501"/>
      <c r="E501"/>
      <c r="F501"/>
      <c r="G501"/>
      <c r="H501"/>
      <c r="I501"/>
      <c r="J501"/>
      <c r="K501"/>
      <c r="L501"/>
      <c r="M501"/>
      <c r="N501"/>
      <c r="O501"/>
      <c r="P501"/>
      <c r="Q501"/>
      <c r="R501"/>
      <c r="S501"/>
      <c r="T501"/>
      <c r="U501"/>
      <c r="V501"/>
      <c r="W501" s="87"/>
      <c r="X501"/>
    </row>
    <row r="502" spans="1:24">
      <c r="A502" s="87"/>
      <c r="B502" s="87"/>
      <c r="C502" s="87"/>
      <c r="D502"/>
      <c r="E502"/>
      <c r="F502"/>
      <c r="G502"/>
      <c r="H502"/>
      <c r="I502"/>
      <c r="J502"/>
      <c r="K502"/>
      <c r="L502"/>
      <c r="M502"/>
      <c r="N502"/>
      <c r="O502"/>
      <c r="P502"/>
      <c r="Q502"/>
      <c r="R502"/>
      <c r="S502"/>
      <c r="T502"/>
      <c r="U502"/>
      <c r="V502"/>
      <c r="W502" s="87"/>
      <c r="X502"/>
    </row>
    <row r="503" spans="1:24">
      <c r="A503" s="87"/>
      <c r="B503" s="87"/>
      <c r="C503" s="87"/>
      <c r="D503"/>
      <c r="E503"/>
      <c r="F503"/>
      <c r="G503"/>
      <c r="H503"/>
      <c r="I503"/>
      <c r="J503"/>
      <c r="K503"/>
      <c r="L503"/>
      <c r="M503"/>
      <c r="N503"/>
      <c r="O503"/>
      <c r="P503"/>
      <c r="Q503"/>
      <c r="R503"/>
      <c r="S503"/>
      <c r="T503"/>
      <c r="U503"/>
      <c r="V503"/>
      <c r="W503" s="87"/>
      <c r="X503"/>
    </row>
    <row r="504" spans="1:24">
      <c r="A504" s="87"/>
      <c r="B504" s="87"/>
      <c r="C504" s="87"/>
      <c r="D504"/>
      <c r="E504"/>
      <c r="F504"/>
      <c r="G504"/>
      <c r="H504"/>
      <c r="I504"/>
      <c r="J504"/>
      <c r="K504"/>
      <c r="L504"/>
      <c r="M504"/>
      <c r="N504"/>
      <c r="O504"/>
      <c r="P504"/>
      <c r="Q504"/>
      <c r="R504"/>
      <c r="S504"/>
      <c r="T504"/>
      <c r="U504"/>
      <c r="V504"/>
      <c r="W504" s="87"/>
      <c r="X504"/>
    </row>
    <row r="505" spans="1:24">
      <c r="A505" s="87"/>
      <c r="B505" s="87"/>
      <c r="C505" s="87"/>
      <c r="D505"/>
      <c r="E505"/>
      <c r="F505"/>
      <c r="G505"/>
      <c r="H505"/>
      <c r="I505"/>
      <c r="J505"/>
      <c r="K505"/>
      <c r="L505"/>
      <c r="M505"/>
      <c r="N505"/>
      <c r="O505"/>
      <c r="P505"/>
      <c r="Q505"/>
      <c r="R505"/>
      <c r="S505"/>
      <c r="T505"/>
      <c r="U505"/>
      <c r="V505"/>
      <c r="W505" s="87"/>
      <c r="X505"/>
    </row>
    <row r="506" spans="1:24">
      <c r="A506" s="87"/>
      <c r="B506" s="87"/>
      <c r="C506" s="87"/>
      <c r="D506"/>
      <c r="E506"/>
      <c r="F506"/>
      <c r="G506"/>
      <c r="H506"/>
      <c r="I506"/>
      <c r="J506"/>
      <c r="K506"/>
      <c r="L506"/>
      <c r="M506"/>
      <c r="N506"/>
      <c r="O506"/>
      <c r="P506"/>
      <c r="Q506"/>
      <c r="R506"/>
      <c r="S506"/>
      <c r="T506"/>
      <c r="U506"/>
      <c r="V506"/>
      <c r="W506" s="87"/>
      <c r="X506"/>
    </row>
    <row r="507" spans="1:24">
      <c r="A507" s="87"/>
      <c r="B507" s="87"/>
      <c r="C507" s="87"/>
      <c r="D507"/>
      <c r="E507"/>
      <c r="F507"/>
      <c r="G507"/>
      <c r="H507"/>
      <c r="I507"/>
      <c r="J507"/>
      <c r="K507"/>
      <c r="L507"/>
      <c r="M507"/>
      <c r="N507"/>
      <c r="O507"/>
      <c r="P507"/>
      <c r="Q507"/>
      <c r="R507"/>
      <c r="S507"/>
      <c r="T507"/>
      <c r="U507"/>
      <c r="V507"/>
      <c r="W507" s="87"/>
      <c r="X507"/>
    </row>
    <row r="508" spans="1:24">
      <c r="A508" s="87"/>
      <c r="B508" s="87"/>
      <c r="C508" s="87"/>
      <c r="D508"/>
      <c r="E508"/>
      <c r="F508"/>
      <c r="G508"/>
      <c r="H508"/>
      <c r="I508"/>
      <c r="J508"/>
      <c r="K508"/>
      <c r="L508"/>
      <c r="M508"/>
      <c r="N508"/>
      <c r="O508"/>
      <c r="P508"/>
      <c r="Q508"/>
      <c r="R508"/>
      <c r="S508"/>
      <c r="T508"/>
      <c r="U508"/>
      <c r="V508"/>
      <c r="W508" s="87"/>
      <c r="X508"/>
    </row>
    <row r="509" spans="1:24">
      <c r="A509" s="87"/>
      <c r="B509" s="87"/>
      <c r="C509" s="87"/>
      <c r="D509"/>
      <c r="E509"/>
      <c r="F509"/>
      <c r="G509"/>
      <c r="H509"/>
      <c r="I509"/>
      <c r="J509"/>
      <c r="K509"/>
      <c r="L509"/>
      <c r="M509"/>
      <c r="N509"/>
      <c r="O509"/>
      <c r="P509"/>
      <c r="Q509"/>
      <c r="R509"/>
      <c r="S509"/>
      <c r="T509"/>
      <c r="U509"/>
      <c r="V509"/>
      <c r="W509" s="87"/>
      <c r="X509"/>
    </row>
    <row r="510" spans="1:24">
      <c r="A510" s="87"/>
      <c r="B510" s="87"/>
      <c r="C510" s="87"/>
      <c r="D510"/>
      <c r="E510"/>
      <c r="F510"/>
      <c r="G510"/>
      <c r="H510"/>
      <c r="I510"/>
      <c r="J510"/>
      <c r="K510"/>
      <c r="L510"/>
      <c r="M510"/>
      <c r="N510"/>
      <c r="O510"/>
      <c r="P510"/>
      <c r="Q510"/>
      <c r="R510"/>
      <c r="S510"/>
      <c r="T510"/>
      <c r="U510"/>
      <c r="V510"/>
      <c r="W510" s="87"/>
      <c r="X510"/>
    </row>
    <row r="511" spans="1:24">
      <c r="A511" s="87"/>
      <c r="B511" s="87"/>
      <c r="C511" s="87"/>
      <c r="D511"/>
      <c r="E511"/>
      <c r="F511"/>
      <c r="G511"/>
      <c r="H511"/>
      <c r="I511"/>
      <c r="J511"/>
      <c r="K511"/>
      <c r="L511"/>
      <c r="M511"/>
      <c r="N511"/>
      <c r="O511"/>
      <c r="P511"/>
      <c r="Q511"/>
      <c r="R511"/>
      <c r="S511"/>
      <c r="T511"/>
      <c r="U511"/>
      <c r="V511"/>
      <c r="W511" s="87"/>
      <c r="X511"/>
    </row>
    <row r="512" spans="1:24">
      <c r="A512" s="87"/>
      <c r="B512" s="87"/>
      <c r="C512" s="87"/>
      <c r="D512"/>
      <c r="E512"/>
      <c r="F512"/>
      <c r="G512"/>
      <c r="H512"/>
      <c r="I512"/>
      <c r="J512"/>
      <c r="K512"/>
      <c r="L512"/>
      <c r="M512"/>
      <c r="N512"/>
      <c r="O512"/>
      <c r="P512"/>
      <c r="Q512"/>
      <c r="R512"/>
      <c r="S512"/>
      <c r="T512"/>
      <c r="U512"/>
      <c r="V512"/>
      <c r="W512" s="87"/>
      <c r="X512"/>
    </row>
    <row r="513" spans="1:24">
      <c r="A513" s="87"/>
      <c r="B513" s="87"/>
      <c r="C513" s="87"/>
      <c r="D513"/>
      <c r="E513"/>
      <c r="F513"/>
      <c r="G513"/>
      <c r="H513"/>
      <c r="I513"/>
      <c r="J513"/>
      <c r="K513"/>
      <c r="L513"/>
      <c r="M513"/>
      <c r="N513"/>
      <c r="O513"/>
      <c r="P513"/>
      <c r="Q513"/>
      <c r="R513"/>
      <c r="S513"/>
      <c r="T513"/>
      <c r="U513"/>
      <c r="V513"/>
      <c r="W513" s="87"/>
      <c r="X513"/>
    </row>
    <row r="514" spans="1:24">
      <c r="A514" s="87"/>
      <c r="B514" s="87"/>
      <c r="C514" s="87"/>
      <c r="D514"/>
      <c r="E514"/>
      <c r="F514"/>
      <c r="G514"/>
      <c r="H514"/>
      <c r="I514"/>
      <c r="J514"/>
      <c r="K514"/>
      <c r="L514"/>
      <c r="M514"/>
      <c r="N514"/>
      <c r="O514"/>
      <c r="P514"/>
      <c r="Q514"/>
      <c r="R514"/>
      <c r="S514"/>
      <c r="T514"/>
      <c r="U514"/>
      <c r="V514"/>
      <c r="W514" s="87"/>
      <c r="X514"/>
    </row>
    <row r="515" spans="1:24">
      <c r="A515" s="87"/>
      <c r="B515" s="87"/>
      <c r="C515" s="87"/>
      <c r="D515"/>
      <c r="E515"/>
      <c r="F515"/>
      <c r="G515"/>
      <c r="H515"/>
      <c r="I515"/>
      <c r="J515"/>
      <c r="K515"/>
      <c r="L515"/>
      <c r="M515"/>
      <c r="N515"/>
      <c r="O515"/>
      <c r="P515"/>
      <c r="Q515"/>
      <c r="R515"/>
      <c r="S515"/>
      <c r="T515"/>
      <c r="U515"/>
      <c r="V515"/>
      <c r="W515" s="87"/>
      <c r="X515"/>
    </row>
    <row r="516" spans="1:24">
      <c r="A516" s="87"/>
      <c r="B516" s="87"/>
      <c r="C516" s="87"/>
      <c r="D516"/>
      <c r="E516"/>
      <c r="F516"/>
      <c r="G516"/>
      <c r="H516"/>
      <c r="I516"/>
      <c r="J516"/>
      <c r="K516"/>
      <c r="L516"/>
      <c r="M516"/>
      <c r="N516"/>
      <c r="O516"/>
      <c r="P516"/>
      <c r="Q516"/>
      <c r="R516"/>
      <c r="S516"/>
      <c r="T516"/>
      <c r="U516"/>
      <c r="V516"/>
      <c r="W516" s="87"/>
      <c r="X516"/>
    </row>
    <row r="517" spans="1:24">
      <c r="A517" s="87"/>
      <c r="B517" s="87"/>
      <c r="C517" s="87"/>
      <c r="D517"/>
      <c r="E517"/>
      <c r="F517"/>
      <c r="G517"/>
      <c r="H517"/>
      <c r="I517"/>
      <c r="J517"/>
      <c r="K517"/>
      <c r="L517"/>
      <c r="M517"/>
      <c r="N517"/>
      <c r="O517"/>
      <c r="P517"/>
      <c r="Q517"/>
      <c r="R517"/>
      <c r="S517"/>
      <c r="T517"/>
      <c r="U517"/>
      <c r="V517"/>
      <c r="W517" s="87"/>
      <c r="X517"/>
    </row>
    <row r="518" spans="1:24">
      <c r="A518" s="87"/>
      <c r="B518" s="87"/>
      <c r="C518" s="87"/>
      <c r="D518"/>
      <c r="E518"/>
      <c r="F518"/>
      <c r="G518"/>
      <c r="H518"/>
      <c r="I518"/>
      <c r="J518"/>
      <c r="K518"/>
      <c r="L518"/>
      <c r="M518"/>
      <c r="N518"/>
      <c r="O518"/>
      <c r="P518"/>
      <c r="Q518"/>
      <c r="R518"/>
      <c r="S518"/>
      <c r="T518"/>
      <c r="U518"/>
      <c r="V518"/>
      <c r="W518" s="87"/>
      <c r="X518"/>
    </row>
    <row r="519" spans="1:24">
      <c r="A519" s="87"/>
      <c r="B519" s="87"/>
      <c r="C519" s="87"/>
      <c r="D519"/>
      <c r="E519"/>
      <c r="F519"/>
      <c r="G519"/>
      <c r="H519"/>
      <c r="I519"/>
      <c r="J519"/>
      <c r="K519"/>
      <c r="L519"/>
      <c r="M519"/>
      <c r="N519"/>
      <c r="O519"/>
      <c r="P519"/>
      <c r="Q519"/>
      <c r="R519"/>
      <c r="S519"/>
      <c r="T519"/>
      <c r="U519"/>
      <c r="V519"/>
      <c r="W519" s="87"/>
      <c r="X519"/>
    </row>
    <row r="520" spans="1:24">
      <c r="A520" s="87"/>
      <c r="B520" s="87"/>
      <c r="C520" s="87"/>
      <c r="D520"/>
      <c r="E520"/>
      <c r="F520"/>
      <c r="G520"/>
      <c r="H520"/>
      <c r="I520"/>
      <c r="J520"/>
      <c r="K520"/>
      <c r="L520"/>
      <c r="M520"/>
      <c r="N520"/>
      <c r="O520"/>
      <c r="P520"/>
      <c r="Q520"/>
      <c r="R520"/>
      <c r="S520"/>
      <c r="T520"/>
      <c r="U520"/>
      <c r="V520"/>
      <c r="W520" s="87"/>
      <c r="X520"/>
    </row>
    <row r="521" spans="1:24">
      <c r="A521" s="87"/>
      <c r="B521" s="87"/>
      <c r="C521" s="87"/>
      <c r="D521"/>
      <c r="E521"/>
      <c r="F521"/>
      <c r="G521"/>
      <c r="H521"/>
      <c r="I521"/>
      <c r="J521"/>
      <c r="K521"/>
      <c r="L521"/>
      <c r="M521"/>
      <c r="N521"/>
      <c r="O521"/>
      <c r="P521"/>
      <c r="Q521"/>
      <c r="R521"/>
      <c r="S521"/>
      <c r="T521"/>
      <c r="U521"/>
      <c r="V521"/>
      <c r="W521" s="87"/>
      <c r="X521"/>
    </row>
    <row r="522" spans="1:24">
      <c r="A522" s="87"/>
      <c r="B522" s="87"/>
      <c r="C522" s="87"/>
      <c r="D522"/>
      <c r="E522"/>
      <c r="F522"/>
      <c r="G522"/>
      <c r="H522"/>
      <c r="I522"/>
      <c r="J522"/>
      <c r="K522"/>
      <c r="L522"/>
      <c r="M522"/>
      <c r="N522"/>
      <c r="O522"/>
      <c r="P522"/>
      <c r="Q522"/>
      <c r="R522"/>
      <c r="S522"/>
      <c r="T522"/>
      <c r="U522"/>
      <c r="V522"/>
      <c r="W522" s="87"/>
      <c r="X522"/>
    </row>
    <row r="523" spans="1:24">
      <c r="A523" s="87"/>
      <c r="B523" s="87"/>
      <c r="C523" s="87"/>
      <c r="D523"/>
      <c r="E523"/>
      <c r="F523"/>
      <c r="G523"/>
      <c r="H523"/>
      <c r="I523"/>
      <c r="J523"/>
      <c r="K523"/>
      <c r="L523"/>
      <c r="M523"/>
      <c r="N523"/>
      <c r="O523"/>
      <c r="P523"/>
      <c r="Q523"/>
      <c r="R523"/>
      <c r="S523"/>
      <c r="T523"/>
      <c r="U523"/>
      <c r="V523"/>
      <c r="W523" s="87"/>
      <c r="X523"/>
    </row>
    <row r="524" spans="1:24">
      <c r="A524" s="87"/>
      <c r="B524" s="87"/>
      <c r="C524" s="87"/>
      <c r="D524"/>
      <c r="E524"/>
      <c r="F524"/>
      <c r="G524"/>
      <c r="H524"/>
      <c r="I524"/>
      <c r="J524"/>
      <c r="K524"/>
      <c r="L524"/>
      <c r="M524"/>
      <c r="N524"/>
      <c r="O524"/>
      <c r="P524"/>
      <c r="Q524"/>
      <c r="R524"/>
      <c r="S524"/>
      <c r="T524"/>
      <c r="U524"/>
      <c r="V524"/>
      <c r="W524" s="87"/>
      <c r="X524"/>
    </row>
    <row r="525" spans="1:24">
      <c r="A525" s="87"/>
      <c r="B525" s="87"/>
      <c r="C525" s="87"/>
      <c r="D525"/>
      <c r="E525"/>
      <c r="F525"/>
      <c r="G525"/>
      <c r="H525"/>
      <c r="I525"/>
      <c r="J525"/>
      <c r="K525"/>
      <c r="L525"/>
      <c r="M525"/>
      <c r="N525"/>
      <c r="O525"/>
      <c r="P525"/>
      <c r="Q525"/>
      <c r="R525"/>
      <c r="S525"/>
      <c r="T525"/>
      <c r="U525"/>
      <c r="V525"/>
      <c r="W525" s="87"/>
      <c r="X525"/>
    </row>
    <row r="526" spans="1:24">
      <c r="A526" s="87"/>
      <c r="B526" s="87"/>
      <c r="C526" s="87"/>
      <c r="D526"/>
      <c r="E526"/>
      <c r="F526"/>
      <c r="G526"/>
      <c r="H526"/>
      <c r="I526"/>
      <c r="J526"/>
      <c r="K526"/>
      <c r="L526"/>
      <c r="M526"/>
      <c r="N526"/>
      <c r="O526"/>
      <c r="P526"/>
      <c r="Q526"/>
      <c r="R526"/>
      <c r="S526"/>
      <c r="T526"/>
      <c r="U526"/>
      <c r="V526"/>
      <c r="W526" s="87"/>
      <c r="X526"/>
    </row>
    <row r="527" spans="1:24">
      <c r="A527" s="87"/>
      <c r="B527" s="87"/>
      <c r="C527" s="87"/>
      <c r="D527"/>
      <c r="E527"/>
      <c r="F527"/>
      <c r="G527"/>
      <c r="H527"/>
      <c r="I527"/>
      <c r="J527"/>
      <c r="K527"/>
      <c r="L527"/>
      <c r="M527"/>
      <c r="N527"/>
      <c r="O527"/>
      <c r="P527"/>
      <c r="Q527"/>
      <c r="R527"/>
      <c r="S527"/>
      <c r="T527"/>
      <c r="U527"/>
      <c r="V527"/>
      <c r="W527" s="87"/>
      <c r="X527"/>
    </row>
    <row r="528" spans="1:24">
      <c r="A528" s="87"/>
      <c r="B528" s="87"/>
      <c r="C528" s="87"/>
      <c r="D528"/>
      <c r="E528"/>
      <c r="F528"/>
      <c r="G528"/>
      <c r="H528"/>
      <c r="I528"/>
      <c r="J528"/>
      <c r="K528"/>
      <c r="L528"/>
      <c r="M528"/>
      <c r="N528"/>
      <c r="O528"/>
      <c r="P528"/>
      <c r="Q528"/>
      <c r="R528"/>
      <c r="S528"/>
      <c r="T528"/>
      <c r="U528"/>
      <c r="V528"/>
      <c r="W528" s="87"/>
      <c r="X528"/>
    </row>
    <row r="529" spans="1:24">
      <c r="A529" s="87"/>
      <c r="B529" s="87"/>
      <c r="C529" s="87"/>
      <c r="D529"/>
      <c r="E529"/>
      <c r="F529"/>
      <c r="G529"/>
      <c r="H529"/>
      <c r="I529"/>
      <c r="J529"/>
      <c r="K529"/>
      <c r="L529"/>
      <c r="M529"/>
      <c r="N529"/>
      <c r="O529"/>
      <c r="P529"/>
      <c r="Q529"/>
      <c r="R529"/>
      <c r="S529"/>
      <c r="T529"/>
      <c r="U529"/>
      <c r="V529"/>
      <c r="W529" s="87"/>
      <c r="X529"/>
    </row>
    <row r="530" spans="1:24">
      <c r="A530" s="87"/>
      <c r="B530" s="87"/>
      <c r="C530" s="87"/>
      <c r="D530"/>
      <c r="E530"/>
      <c r="F530"/>
      <c r="G530"/>
      <c r="H530"/>
      <c r="I530"/>
      <c r="J530"/>
      <c r="K530"/>
      <c r="L530"/>
      <c r="M530"/>
      <c r="N530"/>
      <c r="O530"/>
      <c r="P530"/>
      <c r="Q530"/>
      <c r="R530"/>
      <c r="S530"/>
      <c r="T530"/>
      <c r="U530"/>
      <c r="V530"/>
      <c r="W530" s="87"/>
      <c r="X530"/>
    </row>
    <row r="531" spans="1:24">
      <c r="A531" s="87"/>
      <c r="B531" s="87"/>
      <c r="C531" s="87"/>
      <c r="D531"/>
      <c r="E531"/>
      <c r="F531"/>
      <c r="G531"/>
      <c r="H531"/>
      <c r="I531"/>
      <c r="J531"/>
      <c r="K531"/>
      <c r="L531"/>
      <c r="M531"/>
      <c r="N531"/>
      <c r="O531"/>
      <c r="P531"/>
      <c r="Q531"/>
      <c r="R531"/>
      <c r="S531"/>
      <c r="T531"/>
      <c r="U531"/>
      <c r="V531"/>
      <c r="W531" s="87"/>
      <c r="X531"/>
    </row>
    <row r="532" spans="1:24">
      <c r="A532" s="87"/>
      <c r="B532" s="87"/>
      <c r="C532" s="87"/>
      <c r="D532"/>
      <c r="E532"/>
      <c r="F532"/>
      <c r="G532"/>
      <c r="H532"/>
      <c r="I532"/>
      <c r="J532"/>
      <c r="K532"/>
      <c r="L532"/>
      <c r="M532"/>
      <c r="N532"/>
      <c r="O532"/>
      <c r="P532"/>
      <c r="Q532"/>
      <c r="R532"/>
      <c r="S532"/>
      <c r="T532"/>
      <c r="U532"/>
      <c r="V532"/>
      <c r="W532" s="87"/>
      <c r="X532"/>
    </row>
    <row r="533" spans="1:24">
      <c r="A533" s="87"/>
      <c r="B533" s="87"/>
      <c r="C533" s="87"/>
      <c r="D533"/>
      <c r="E533"/>
      <c r="F533"/>
      <c r="G533"/>
      <c r="H533"/>
      <c r="I533"/>
      <c r="J533"/>
      <c r="K533"/>
      <c r="L533"/>
      <c r="M533"/>
      <c r="N533"/>
      <c r="O533"/>
      <c r="P533"/>
      <c r="Q533"/>
      <c r="R533"/>
      <c r="S533"/>
      <c r="T533"/>
      <c r="U533"/>
      <c r="V533"/>
      <c r="W533" s="87"/>
      <c r="X533"/>
    </row>
    <row r="534" spans="1:24">
      <c r="A534" s="87"/>
      <c r="B534" s="87"/>
      <c r="C534" s="87"/>
      <c r="D534"/>
      <c r="E534"/>
      <c r="F534"/>
      <c r="G534"/>
      <c r="H534"/>
      <c r="I534"/>
      <c r="J534"/>
      <c r="K534"/>
      <c r="L534"/>
      <c r="M534"/>
      <c r="N534"/>
      <c r="O534"/>
      <c r="P534"/>
      <c r="Q534"/>
      <c r="R534"/>
      <c r="S534"/>
      <c r="T534"/>
      <c r="U534"/>
      <c r="V534"/>
      <c r="W534" s="87"/>
      <c r="X534"/>
    </row>
    <row r="535" spans="1:24">
      <c r="A535" s="87"/>
      <c r="B535" s="87"/>
      <c r="C535" s="87"/>
      <c r="D535"/>
      <c r="E535"/>
      <c r="F535"/>
      <c r="G535"/>
      <c r="H535"/>
      <c r="I535"/>
      <c r="J535"/>
      <c r="K535"/>
      <c r="L535"/>
      <c r="M535"/>
      <c r="N535"/>
      <c r="O535"/>
      <c r="P535"/>
      <c r="Q535"/>
      <c r="R535"/>
      <c r="S535"/>
      <c r="T535"/>
      <c r="U535"/>
      <c r="V535"/>
      <c r="W535" s="87"/>
      <c r="X535"/>
    </row>
    <row r="536" spans="1:24">
      <c r="A536" s="87"/>
      <c r="B536" s="87"/>
      <c r="C536" s="87"/>
      <c r="D536"/>
      <c r="E536"/>
      <c r="F536"/>
      <c r="G536"/>
      <c r="H536"/>
      <c r="I536"/>
      <c r="J536"/>
      <c r="K536"/>
      <c r="L536"/>
      <c r="M536"/>
      <c r="N536"/>
      <c r="O536"/>
      <c r="P536"/>
      <c r="Q536"/>
      <c r="R536"/>
      <c r="S536"/>
      <c r="T536"/>
      <c r="U536"/>
      <c r="V536"/>
      <c r="W536" s="87"/>
      <c r="X536"/>
    </row>
    <row r="537" spans="1:24">
      <c r="A537" s="87"/>
      <c r="B537" s="87"/>
      <c r="C537" s="87"/>
      <c r="D537"/>
      <c r="E537"/>
      <c r="F537"/>
      <c r="G537"/>
      <c r="H537"/>
      <c r="I537"/>
      <c r="J537"/>
      <c r="K537"/>
      <c r="L537"/>
      <c r="M537"/>
      <c r="N537"/>
      <c r="O537"/>
      <c r="P537"/>
      <c r="Q537"/>
      <c r="R537"/>
      <c r="S537"/>
      <c r="T537"/>
      <c r="U537"/>
      <c r="V537"/>
      <c r="W537" s="87"/>
      <c r="X537"/>
    </row>
    <row r="538" spans="1:24">
      <c r="A538" s="87"/>
      <c r="B538" s="87"/>
      <c r="C538" s="87"/>
      <c r="D538"/>
      <c r="E538"/>
      <c r="F538"/>
      <c r="G538"/>
      <c r="H538"/>
      <c r="I538"/>
      <c r="J538"/>
      <c r="K538"/>
      <c r="L538"/>
      <c r="M538"/>
      <c r="N538"/>
      <c r="O538"/>
      <c r="P538"/>
      <c r="Q538"/>
      <c r="R538"/>
      <c r="S538"/>
      <c r="T538"/>
      <c r="U538"/>
      <c r="V538"/>
      <c r="W538" s="87"/>
      <c r="X538"/>
    </row>
    <row r="539" spans="1:24">
      <c r="A539" s="87"/>
      <c r="B539" s="87"/>
      <c r="C539" s="87"/>
      <c r="D539"/>
      <c r="E539"/>
      <c r="F539"/>
      <c r="G539"/>
      <c r="H539"/>
      <c r="I539"/>
      <c r="J539"/>
      <c r="K539"/>
      <c r="L539"/>
      <c r="M539"/>
      <c r="N539"/>
      <c r="O539"/>
      <c r="P539"/>
      <c r="Q539"/>
      <c r="R539"/>
      <c r="S539"/>
      <c r="T539"/>
      <c r="U539"/>
      <c r="V539"/>
      <c r="W539" s="87"/>
      <c r="X539"/>
    </row>
    <row r="540" spans="1:24">
      <c r="A540" s="87"/>
      <c r="B540" s="87"/>
      <c r="C540" s="87"/>
      <c r="D540"/>
      <c r="E540"/>
      <c r="F540"/>
      <c r="G540"/>
      <c r="H540"/>
      <c r="I540"/>
      <c r="J540"/>
      <c r="K540"/>
      <c r="L540"/>
      <c r="M540"/>
      <c r="N540"/>
      <c r="O540"/>
      <c r="P540"/>
      <c r="Q540"/>
      <c r="R540"/>
      <c r="S540"/>
      <c r="T540"/>
      <c r="U540"/>
      <c r="V540"/>
      <c r="W540" s="87"/>
      <c r="X540"/>
    </row>
    <row r="541" spans="1:24">
      <c r="A541" s="87"/>
      <c r="B541" s="87"/>
      <c r="C541" s="87"/>
      <c r="D541"/>
      <c r="E541"/>
      <c r="F541"/>
      <c r="G541"/>
      <c r="H541"/>
      <c r="I541"/>
      <c r="J541"/>
      <c r="K541"/>
      <c r="L541"/>
      <c r="M541"/>
      <c r="N541"/>
      <c r="O541"/>
      <c r="P541"/>
      <c r="Q541"/>
      <c r="R541"/>
      <c r="S541"/>
      <c r="T541"/>
      <c r="U541"/>
      <c r="V541"/>
      <c r="W541" s="87"/>
      <c r="X541"/>
    </row>
    <row r="542" spans="1:24">
      <c r="A542" s="87"/>
      <c r="B542" s="87"/>
      <c r="C542" s="87"/>
      <c r="D542"/>
      <c r="E542"/>
      <c r="F542"/>
      <c r="G542"/>
      <c r="H542"/>
      <c r="I542"/>
      <c r="J542"/>
      <c r="K542"/>
      <c r="L542"/>
      <c r="M542"/>
      <c r="N542"/>
      <c r="O542"/>
      <c r="P542"/>
      <c r="Q542"/>
      <c r="R542"/>
      <c r="S542"/>
      <c r="T542"/>
      <c r="U542"/>
      <c r="V542"/>
      <c r="W542" s="87"/>
      <c r="X542"/>
    </row>
    <row r="543" spans="1:24">
      <c r="A543" s="87"/>
      <c r="B543" s="87"/>
      <c r="C543" s="87"/>
      <c r="D543"/>
      <c r="E543"/>
      <c r="F543"/>
      <c r="G543"/>
      <c r="H543"/>
      <c r="I543"/>
      <c r="J543"/>
      <c r="K543"/>
      <c r="L543"/>
      <c r="M543"/>
      <c r="N543"/>
      <c r="O543"/>
      <c r="P543"/>
      <c r="Q543"/>
      <c r="R543"/>
      <c r="S543"/>
      <c r="T543"/>
      <c r="U543"/>
      <c r="V543"/>
      <c r="W543" s="87"/>
      <c r="X543"/>
    </row>
    <row r="544" spans="1:24">
      <c r="A544" s="87"/>
      <c r="B544" s="87"/>
      <c r="C544" s="87"/>
      <c r="D544"/>
      <c r="E544"/>
      <c r="F544"/>
      <c r="G544"/>
      <c r="H544"/>
      <c r="I544"/>
      <c r="J544"/>
      <c r="K544"/>
      <c r="L544"/>
      <c r="M544"/>
      <c r="N544"/>
      <c r="O544"/>
      <c r="P544"/>
      <c r="Q544"/>
      <c r="R544"/>
      <c r="S544"/>
      <c r="T544"/>
      <c r="U544"/>
      <c r="V544"/>
      <c r="W544" s="87"/>
      <c r="X544"/>
    </row>
    <row r="545" spans="1:24">
      <c r="A545" s="87"/>
      <c r="B545" s="87"/>
      <c r="C545" s="87"/>
      <c r="D545"/>
      <c r="E545"/>
      <c r="F545"/>
      <c r="G545"/>
      <c r="H545"/>
      <c r="I545"/>
      <c r="J545"/>
      <c r="K545"/>
      <c r="L545"/>
      <c r="M545"/>
      <c r="N545"/>
      <c r="O545"/>
      <c r="P545"/>
      <c r="Q545"/>
      <c r="R545"/>
      <c r="S545"/>
      <c r="T545"/>
      <c r="U545"/>
      <c r="V545"/>
      <c r="W545" s="87"/>
      <c r="X545"/>
    </row>
    <row r="546" spans="1:24">
      <c r="A546" s="87"/>
      <c r="B546" s="87"/>
      <c r="C546" s="87"/>
      <c r="D546"/>
      <c r="E546"/>
      <c r="F546"/>
      <c r="G546"/>
      <c r="H546"/>
      <c r="I546"/>
      <c r="J546"/>
      <c r="K546"/>
      <c r="L546"/>
      <c r="M546"/>
      <c r="N546"/>
      <c r="O546"/>
      <c r="P546"/>
      <c r="Q546"/>
      <c r="R546"/>
      <c r="S546"/>
      <c r="T546"/>
      <c r="U546"/>
      <c r="V546"/>
      <c r="W546" s="87"/>
      <c r="X546"/>
    </row>
    <row r="547" spans="1:24">
      <c r="A547" s="87"/>
      <c r="B547" s="87"/>
      <c r="C547" s="87"/>
      <c r="D547"/>
      <c r="E547"/>
      <c r="F547"/>
      <c r="G547"/>
      <c r="H547"/>
      <c r="I547"/>
      <c r="J547"/>
      <c r="K547"/>
      <c r="L547"/>
      <c r="M547"/>
      <c r="N547"/>
      <c r="O547"/>
      <c r="P547"/>
      <c r="Q547"/>
      <c r="R547"/>
      <c r="S547"/>
      <c r="T547"/>
      <c r="U547"/>
      <c r="V547"/>
      <c r="W547" s="87"/>
      <c r="X547"/>
    </row>
    <row r="548" spans="1:24">
      <c r="A548" s="87"/>
      <c r="B548" s="87"/>
      <c r="C548" s="87"/>
      <c r="D548"/>
      <c r="E548"/>
      <c r="F548"/>
      <c r="G548"/>
      <c r="H548"/>
      <c r="I548"/>
      <c r="J548"/>
      <c r="K548"/>
      <c r="L548"/>
      <c r="M548"/>
      <c r="N548"/>
      <c r="O548"/>
      <c r="P548"/>
      <c r="Q548"/>
      <c r="R548"/>
      <c r="S548"/>
      <c r="T548"/>
      <c r="U548"/>
      <c r="V548"/>
      <c r="W548" s="87"/>
      <c r="X548"/>
    </row>
    <row r="549" spans="1:24">
      <c r="A549" s="87"/>
      <c r="B549" s="87"/>
      <c r="C549" s="87"/>
      <c r="D549"/>
      <c r="E549"/>
      <c r="F549"/>
      <c r="G549"/>
      <c r="H549"/>
      <c r="I549"/>
      <c r="J549"/>
      <c r="K549"/>
      <c r="L549"/>
      <c r="M549"/>
      <c r="N549"/>
      <c r="O549"/>
      <c r="P549"/>
      <c r="Q549"/>
      <c r="R549"/>
      <c r="S549"/>
      <c r="T549"/>
      <c r="U549"/>
      <c r="V549"/>
      <c r="W549" s="87"/>
      <c r="X549"/>
    </row>
    <row r="550" spans="1:24">
      <c r="A550" s="87"/>
      <c r="B550" s="87"/>
      <c r="C550" s="87"/>
      <c r="D550"/>
      <c r="E550"/>
      <c r="F550"/>
      <c r="G550"/>
      <c r="H550"/>
      <c r="I550"/>
      <c r="J550"/>
      <c r="K550"/>
      <c r="L550"/>
      <c r="M550"/>
      <c r="N550"/>
      <c r="O550"/>
      <c r="P550"/>
      <c r="Q550"/>
      <c r="R550"/>
      <c r="S550"/>
      <c r="T550"/>
      <c r="U550"/>
      <c r="V550"/>
      <c r="W550" s="87"/>
      <c r="X550"/>
    </row>
    <row r="551" spans="1:24">
      <c r="A551" s="87"/>
      <c r="B551" s="87"/>
      <c r="C551" s="87"/>
      <c r="D551"/>
      <c r="E551"/>
      <c r="F551"/>
      <c r="G551"/>
      <c r="H551"/>
      <c r="I551"/>
      <c r="J551"/>
      <c r="K551"/>
      <c r="L551"/>
      <c r="M551"/>
      <c r="N551"/>
      <c r="O551"/>
      <c r="P551"/>
      <c r="Q551"/>
      <c r="R551"/>
      <c r="S551"/>
      <c r="T551"/>
      <c r="U551"/>
      <c r="V551"/>
      <c r="W551" s="87"/>
      <c r="X551"/>
    </row>
    <row r="552" spans="1:24">
      <c r="A552" s="87"/>
      <c r="B552" s="87"/>
      <c r="C552" s="87"/>
      <c r="D552"/>
      <c r="E552"/>
      <c r="F552"/>
      <c r="G552"/>
      <c r="H552"/>
      <c r="I552"/>
      <c r="J552"/>
      <c r="K552"/>
      <c r="L552"/>
      <c r="M552"/>
      <c r="N552"/>
      <c r="O552"/>
      <c r="P552"/>
      <c r="Q552"/>
      <c r="R552"/>
      <c r="S552"/>
      <c r="T552"/>
      <c r="U552"/>
      <c r="V552"/>
      <c r="W552" s="87"/>
      <c r="X552"/>
    </row>
    <row r="553" spans="1:24">
      <c r="A553" s="87"/>
      <c r="B553" s="87"/>
      <c r="C553" s="87"/>
      <c r="D553"/>
      <c r="E553"/>
      <c r="F553"/>
      <c r="G553"/>
      <c r="H553"/>
      <c r="I553"/>
      <c r="J553"/>
      <c r="K553"/>
      <c r="L553"/>
      <c r="M553"/>
      <c r="N553"/>
      <c r="O553"/>
      <c r="P553"/>
      <c r="Q553"/>
      <c r="R553"/>
      <c r="S553"/>
      <c r="T553"/>
      <c r="U553"/>
      <c r="V553"/>
      <c r="W553" s="87"/>
      <c r="X553"/>
    </row>
    <row r="554" spans="1:24">
      <c r="A554" s="87"/>
      <c r="B554" s="87"/>
      <c r="C554" s="87"/>
      <c r="D554"/>
      <c r="E554"/>
      <c r="F554"/>
      <c r="G554"/>
      <c r="H554"/>
      <c r="I554"/>
      <c r="J554"/>
      <c r="K554"/>
      <c r="L554"/>
      <c r="M554"/>
      <c r="N554"/>
      <c r="O554"/>
      <c r="P554"/>
      <c r="Q554"/>
      <c r="R554"/>
      <c r="S554"/>
      <c r="T554"/>
      <c r="U554"/>
      <c r="V554"/>
      <c r="W554" s="87"/>
      <c r="X554"/>
    </row>
    <row r="555" spans="1:24">
      <c r="A555" s="87"/>
      <c r="B555" s="87"/>
      <c r="C555" s="87"/>
      <c r="D555"/>
      <c r="E555"/>
      <c r="F555"/>
      <c r="G555"/>
      <c r="H555"/>
      <c r="I555"/>
      <c r="J555"/>
      <c r="K555"/>
      <c r="L555"/>
      <c r="M555"/>
      <c r="N555"/>
      <c r="O555"/>
      <c r="P555"/>
      <c r="Q555"/>
      <c r="R555"/>
      <c r="S555"/>
      <c r="T555"/>
      <c r="U555"/>
      <c r="V555"/>
      <c r="W555" s="87"/>
      <c r="X555"/>
    </row>
    <row r="556" spans="1:24">
      <c r="A556" s="87"/>
      <c r="B556" s="87"/>
      <c r="C556" s="87"/>
      <c r="D556"/>
      <c r="E556"/>
      <c r="F556"/>
      <c r="G556"/>
      <c r="H556"/>
      <c r="I556"/>
      <c r="J556"/>
      <c r="K556"/>
      <c r="L556"/>
      <c r="M556"/>
      <c r="N556"/>
      <c r="O556"/>
      <c r="P556"/>
      <c r="Q556"/>
      <c r="R556"/>
      <c r="S556"/>
      <c r="T556"/>
      <c r="U556"/>
      <c r="V556"/>
      <c r="W556" s="87"/>
      <c r="X556"/>
    </row>
    <row r="557" spans="1:24">
      <c r="A557" s="87"/>
      <c r="B557" s="87"/>
      <c r="C557" s="87"/>
      <c r="D557"/>
      <c r="E557"/>
      <c r="F557"/>
      <c r="G557"/>
      <c r="H557"/>
      <c r="I557"/>
      <c r="J557"/>
      <c r="K557"/>
      <c r="L557"/>
      <c r="M557"/>
      <c r="N557"/>
      <c r="O557"/>
      <c r="P557"/>
      <c r="Q557"/>
      <c r="R557"/>
      <c r="S557"/>
      <c r="T557"/>
      <c r="U557"/>
      <c r="V557"/>
      <c r="W557" s="87"/>
      <c r="X557"/>
    </row>
    <row r="558" spans="1:24">
      <c r="A558" s="87"/>
      <c r="B558" s="87"/>
      <c r="C558" s="87"/>
      <c r="D558"/>
      <c r="E558"/>
      <c r="F558"/>
      <c r="G558"/>
      <c r="H558"/>
      <c r="I558"/>
      <c r="J558"/>
      <c r="K558"/>
      <c r="L558"/>
      <c r="M558"/>
      <c r="N558"/>
      <c r="O558"/>
      <c r="P558"/>
      <c r="Q558"/>
      <c r="R558"/>
      <c r="S558"/>
      <c r="T558"/>
      <c r="U558"/>
      <c r="V558"/>
      <c r="W558" s="87"/>
      <c r="X558"/>
    </row>
    <row r="559" spans="1:24">
      <c r="A559" s="87"/>
      <c r="B559" s="87"/>
      <c r="C559" s="87"/>
      <c r="D559"/>
      <c r="E559"/>
      <c r="F559"/>
      <c r="G559"/>
      <c r="H559"/>
      <c r="I559"/>
      <c r="J559"/>
      <c r="K559"/>
      <c r="L559"/>
      <c r="M559"/>
      <c r="N559"/>
      <c r="O559"/>
      <c r="P559"/>
      <c r="Q559"/>
      <c r="R559"/>
      <c r="S559"/>
      <c r="T559"/>
      <c r="U559"/>
      <c r="V559"/>
      <c r="W559" s="87"/>
      <c r="X559"/>
    </row>
    <row r="560" spans="1:24">
      <c r="A560" s="87"/>
      <c r="B560" s="87"/>
      <c r="C560" s="87"/>
      <c r="D560"/>
      <c r="E560"/>
      <c r="F560"/>
      <c r="G560"/>
      <c r="H560"/>
      <c r="I560"/>
      <c r="J560"/>
      <c r="K560"/>
      <c r="L560"/>
      <c r="M560"/>
      <c r="N560"/>
      <c r="O560"/>
      <c r="P560"/>
      <c r="Q560"/>
      <c r="R560"/>
      <c r="S560"/>
      <c r="T560"/>
      <c r="U560"/>
      <c r="V560"/>
      <c r="W560" s="87"/>
      <c r="X560"/>
    </row>
    <row r="561" spans="1:24">
      <c r="A561" s="87"/>
      <c r="B561" s="87"/>
      <c r="C561" s="87"/>
      <c r="D561"/>
      <c r="E561"/>
      <c r="F561"/>
      <c r="G561"/>
      <c r="H561"/>
      <c r="I561"/>
      <c r="J561"/>
      <c r="K561"/>
      <c r="L561"/>
      <c r="M561"/>
      <c r="N561"/>
      <c r="O561"/>
      <c r="P561"/>
      <c r="Q561"/>
      <c r="R561"/>
      <c r="S561"/>
      <c r="T561"/>
      <c r="U561"/>
      <c r="V561"/>
      <c r="W561" s="87"/>
      <c r="X561"/>
    </row>
    <row r="562" spans="1:24">
      <c r="A562" s="87"/>
      <c r="B562" s="87"/>
      <c r="C562" s="87"/>
      <c r="D562"/>
      <c r="E562"/>
      <c r="F562"/>
      <c r="G562"/>
      <c r="H562"/>
      <c r="I562"/>
      <c r="J562"/>
      <c r="K562"/>
      <c r="L562"/>
      <c r="M562"/>
      <c r="N562"/>
      <c r="O562"/>
      <c r="P562"/>
      <c r="Q562"/>
      <c r="R562"/>
      <c r="S562"/>
      <c r="T562"/>
      <c r="U562"/>
      <c r="V562"/>
      <c r="W562" s="87"/>
      <c r="X562"/>
    </row>
    <row r="563" spans="1:24">
      <c r="A563" s="87"/>
      <c r="B563" s="87"/>
      <c r="C563" s="87"/>
      <c r="D563"/>
      <c r="E563"/>
      <c r="F563"/>
      <c r="G563"/>
      <c r="H563"/>
      <c r="I563"/>
      <c r="J563"/>
      <c r="K563"/>
      <c r="L563"/>
      <c r="M563"/>
      <c r="N563"/>
      <c r="O563"/>
      <c r="P563"/>
      <c r="Q563"/>
      <c r="R563"/>
      <c r="S563"/>
      <c r="T563"/>
      <c r="U563"/>
      <c r="V563"/>
      <c r="W563" s="87"/>
      <c r="X563"/>
    </row>
    <row r="564" spans="1:24">
      <c r="A564" s="87"/>
      <c r="B564" s="87"/>
      <c r="C564" s="87"/>
      <c r="D564"/>
      <c r="E564"/>
      <c r="F564"/>
      <c r="G564"/>
      <c r="H564"/>
      <c r="I564"/>
      <c r="J564"/>
      <c r="K564"/>
      <c r="L564"/>
      <c r="M564"/>
      <c r="N564"/>
      <c r="O564"/>
      <c r="P564"/>
      <c r="Q564"/>
      <c r="R564"/>
      <c r="S564"/>
      <c r="T564"/>
      <c r="U564"/>
      <c r="V564"/>
      <c r="W564" s="87"/>
      <c r="X564"/>
    </row>
    <row r="565" spans="1:24">
      <c r="A565" s="87"/>
      <c r="B565" s="87"/>
      <c r="C565" s="87"/>
      <c r="D565"/>
      <c r="E565"/>
      <c r="F565"/>
      <c r="G565"/>
      <c r="H565"/>
      <c r="I565"/>
      <c r="J565"/>
      <c r="K565"/>
      <c r="L565"/>
      <c r="M565"/>
      <c r="N565"/>
      <c r="O565"/>
      <c r="P565"/>
      <c r="Q565"/>
      <c r="R565"/>
      <c r="S565"/>
      <c r="T565"/>
      <c r="U565"/>
      <c r="V565"/>
      <c r="W565" s="87"/>
      <c r="X565"/>
    </row>
    <row r="566" spans="1:24">
      <c r="A566" s="87"/>
      <c r="B566" s="87"/>
      <c r="C566" s="87"/>
      <c r="D566"/>
      <c r="E566"/>
      <c r="F566"/>
      <c r="G566"/>
      <c r="H566"/>
      <c r="I566"/>
      <c r="J566"/>
      <c r="K566"/>
      <c r="L566"/>
      <c r="M566"/>
      <c r="N566"/>
      <c r="O566"/>
      <c r="P566"/>
      <c r="Q566"/>
      <c r="R566"/>
      <c r="S566"/>
      <c r="T566"/>
      <c r="U566"/>
      <c r="V566"/>
      <c r="W566" s="87"/>
      <c r="X566"/>
    </row>
    <row r="567" spans="1:24">
      <c r="A567" s="87"/>
      <c r="B567" s="87"/>
      <c r="C567" s="87"/>
      <c r="D567"/>
      <c r="E567"/>
      <c r="F567"/>
      <c r="G567"/>
      <c r="H567"/>
      <c r="I567"/>
      <c r="J567"/>
      <c r="K567"/>
      <c r="L567"/>
      <c r="M567"/>
      <c r="N567"/>
      <c r="O567"/>
      <c r="P567"/>
      <c r="Q567"/>
      <c r="R567"/>
      <c r="S567"/>
      <c r="T567"/>
      <c r="U567"/>
      <c r="V567"/>
      <c r="W567" s="87"/>
      <c r="X567"/>
    </row>
    <row r="568" spans="1:24">
      <c r="A568" s="87"/>
      <c r="B568" s="87"/>
      <c r="C568" s="87"/>
      <c r="D568"/>
      <c r="E568"/>
      <c r="F568"/>
      <c r="G568"/>
      <c r="H568"/>
      <c r="I568"/>
      <c r="J568"/>
      <c r="K568"/>
      <c r="L568"/>
      <c r="M568"/>
      <c r="N568"/>
      <c r="O568"/>
      <c r="P568"/>
      <c r="Q568"/>
      <c r="R568"/>
      <c r="S568"/>
      <c r="T568"/>
      <c r="U568"/>
      <c r="V568"/>
      <c r="W568" s="87"/>
      <c r="X568"/>
    </row>
    <row r="569" spans="1:24">
      <c r="A569" s="87"/>
      <c r="B569" s="87"/>
      <c r="C569" s="87"/>
      <c r="D569"/>
      <c r="E569"/>
      <c r="F569"/>
      <c r="G569"/>
      <c r="H569"/>
      <c r="I569"/>
      <c r="J569"/>
      <c r="K569"/>
      <c r="L569"/>
      <c r="M569"/>
      <c r="N569"/>
      <c r="O569"/>
      <c r="P569"/>
      <c r="Q569"/>
      <c r="R569"/>
      <c r="S569"/>
      <c r="T569"/>
      <c r="U569"/>
      <c r="V569"/>
      <c r="W569" s="87"/>
      <c r="X569"/>
    </row>
    <row r="570" spans="1:24">
      <c r="A570" s="87"/>
      <c r="B570" s="87"/>
      <c r="C570" s="87"/>
      <c r="D570"/>
      <c r="E570"/>
      <c r="F570"/>
      <c r="G570"/>
      <c r="H570"/>
      <c r="I570"/>
      <c r="J570"/>
      <c r="K570"/>
      <c r="L570"/>
      <c r="M570"/>
      <c r="N570"/>
      <c r="O570"/>
      <c r="P570"/>
      <c r="Q570"/>
      <c r="R570"/>
      <c r="S570"/>
      <c r="T570"/>
      <c r="U570"/>
      <c r="V570"/>
      <c r="W570" s="87"/>
      <c r="X570"/>
    </row>
    <row r="571" spans="1:24">
      <c r="A571" s="87"/>
      <c r="B571" s="87"/>
      <c r="C571" s="87"/>
      <c r="D571"/>
      <c r="E571"/>
      <c r="F571"/>
      <c r="G571"/>
      <c r="H571"/>
      <c r="I571"/>
      <c r="J571"/>
      <c r="K571"/>
      <c r="L571"/>
      <c r="M571"/>
      <c r="N571"/>
      <c r="O571"/>
      <c r="P571"/>
      <c r="Q571"/>
      <c r="R571"/>
      <c r="S571"/>
      <c r="T571"/>
      <c r="U571"/>
      <c r="V571"/>
      <c r="W571" s="87"/>
      <c r="X571"/>
    </row>
    <row r="572" spans="1:24">
      <c r="A572" s="87"/>
      <c r="B572" s="87"/>
      <c r="C572" s="87"/>
      <c r="D572"/>
      <c r="E572"/>
      <c r="F572"/>
      <c r="G572"/>
      <c r="H572"/>
      <c r="I572"/>
      <c r="J572"/>
      <c r="K572"/>
      <c r="L572"/>
      <c r="M572"/>
      <c r="N572"/>
      <c r="O572"/>
      <c r="P572"/>
      <c r="Q572"/>
      <c r="R572"/>
      <c r="S572"/>
      <c r="T572"/>
      <c r="U572"/>
      <c r="V572"/>
      <c r="W572" s="87"/>
      <c r="X572"/>
    </row>
    <row r="573" spans="1:24">
      <c r="A573" s="87"/>
      <c r="B573" s="87"/>
      <c r="C573" s="87"/>
      <c r="D573"/>
      <c r="E573"/>
      <c r="F573"/>
      <c r="G573"/>
      <c r="H573"/>
      <c r="I573"/>
      <c r="J573"/>
      <c r="K573"/>
      <c r="L573"/>
      <c r="M573"/>
      <c r="N573"/>
      <c r="O573"/>
      <c r="P573"/>
      <c r="Q573"/>
      <c r="R573"/>
      <c r="S573"/>
      <c r="T573"/>
      <c r="U573"/>
      <c r="V573"/>
      <c r="W573" s="87"/>
      <c r="X573"/>
    </row>
    <row r="574" spans="1:24">
      <c r="A574" s="87"/>
      <c r="B574" s="87"/>
      <c r="C574" s="87"/>
      <c r="D574"/>
      <c r="E574"/>
      <c r="F574"/>
      <c r="G574"/>
      <c r="H574"/>
      <c r="I574"/>
      <c r="J574"/>
      <c r="K574"/>
      <c r="L574"/>
      <c r="M574"/>
      <c r="N574"/>
      <c r="O574"/>
      <c r="P574"/>
      <c r="Q574"/>
      <c r="R574"/>
      <c r="S574"/>
      <c r="T574"/>
      <c r="U574"/>
      <c r="V574"/>
      <c r="W574" s="87"/>
      <c r="X574"/>
    </row>
    <row r="575" spans="1:24">
      <c r="A575" s="87"/>
      <c r="B575" s="87"/>
      <c r="C575" s="87"/>
      <c r="D575"/>
      <c r="E575"/>
      <c r="F575"/>
      <c r="G575"/>
      <c r="H575"/>
      <c r="I575"/>
      <c r="J575"/>
      <c r="K575"/>
      <c r="L575"/>
      <c r="M575"/>
      <c r="N575"/>
      <c r="O575"/>
      <c r="P575"/>
      <c r="Q575"/>
      <c r="R575"/>
      <c r="S575"/>
      <c r="T575"/>
      <c r="U575"/>
      <c r="V575"/>
      <c r="W575" s="87"/>
      <c r="X575"/>
    </row>
    <row r="576" spans="1:24">
      <c r="A576" s="87"/>
      <c r="B576" s="87"/>
      <c r="C576" s="87"/>
      <c r="D576"/>
      <c r="E576"/>
      <c r="F576"/>
      <c r="G576"/>
      <c r="H576"/>
      <c r="I576"/>
      <c r="J576"/>
      <c r="K576"/>
      <c r="L576"/>
      <c r="M576"/>
      <c r="N576"/>
      <c r="O576"/>
      <c r="P576"/>
      <c r="Q576"/>
      <c r="R576"/>
      <c r="S576"/>
      <c r="T576"/>
      <c r="U576"/>
      <c r="V576"/>
      <c r="W576" s="87"/>
      <c r="X576"/>
    </row>
    <row r="577" spans="1:24">
      <c r="A577" s="87"/>
      <c r="B577" s="87"/>
      <c r="C577" s="87"/>
      <c r="D577"/>
      <c r="E577"/>
      <c r="F577"/>
      <c r="G577"/>
      <c r="H577"/>
      <c r="I577"/>
      <c r="J577"/>
      <c r="K577"/>
      <c r="L577"/>
      <c r="M577"/>
      <c r="N577"/>
      <c r="O577"/>
      <c r="P577"/>
      <c r="Q577"/>
      <c r="R577"/>
      <c r="S577"/>
      <c r="T577"/>
      <c r="U577"/>
      <c r="V577"/>
      <c r="W577" s="87"/>
      <c r="X577"/>
    </row>
    <row r="578" spans="1:24">
      <c r="A578" s="87"/>
      <c r="B578" s="87"/>
      <c r="C578" s="87"/>
      <c r="D578"/>
      <c r="E578"/>
      <c r="F578"/>
      <c r="G578"/>
      <c r="H578"/>
      <c r="I578"/>
      <c r="J578"/>
      <c r="K578"/>
      <c r="L578"/>
      <c r="M578"/>
      <c r="N578"/>
      <c r="O578"/>
      <c r="P578"/>
      <c r="Q578"/>
      <c r="R578"/>
      <c r="S578"/>
      <c r="T578"/>
      <c r="U578"/>
      <c r="V578"/>
      <c r="W578" s="87"/>
      <c r="X578"/>
    </row>
    <row r="579" spans="1:24">
      <c r="A579" s="87"/>
      <c r="B579" s="87"/>
      <c r="C579" s="87"/>
      <c r="D579"/>
      <c r="E579"/>
      <c r="F579"/>
      <c r="G579"/>
      <c r="H579"/>
      <c r="I579"/>
      <c r="J579"/>
      <c r="K579"/>
      <c r="L579"/>
      <c r="M579"/>
      <c r="N579"/>
      <c r="O579"/>
      <c r="P579"/>
      <c r="Q579"/>
      <c r="R579"/>
      <c r="S579"/>
      <c r="T579"/>
      <c r="U579"/>
      <c r="V579"/>
      <c r="W579" s="87"/>
      <c r="X579"/>
    </row>
    <row r="580" spans="1:24">
      <c r="A580" s="87"/>
      <c r="B580" s="87"/>
      <c r="C580" s="87"/>
      <c r="D580"/>
      <c r="E580"/>
      <c r="F580"/>
      <c r="G580"/>
      <c r="H580"/>
      <c r="I580"/>
      <c r="J580"/>
      <c r="K580"/>
      <c r="L580"/>
      <c r="M580"/>
      <c r="N580"/>
      <c r="O580"/>
      <c r="P580"/>
      <c r="Q580"/>
      <c r="R580"/>
      <c r="S580"/>
      <c r="T580"/>
      <c r="U580"/>
      <c r="V580"/>
      <c r="W580" s="87"/>
      <c r="X580"/>
    </row>
    <row r="581" spans="1:24">
      <c r="A581" s="87"/>
      <c r="B581" s="87"/>
      <c r="C581" s="87"/>
      <c r="D581"/>
      <c r="E581"/>
      <c r="F581"/>
      <c r="G581"/>
      <c r="H581"/>
      <c r="I581"/>
      <c r="J581"/>
      <c r="K581"/>
      <c r="L581"/>
      <c r="M581"/>
      <c r="N581"/>
      <c r="O581"/>
      <c r="P581"/>
      <c r="Q581"/>
      <c r="R581"/>
      <c r="S581"/>
      <c r="T581"/>
      <c r="U581"/>
      <c r="V581"/>
      <c r="W581" s="87"/>
      <c r="X581"/>
    </row>
    <row r="582" spans="1:24">
      <c r="A582" s="87"/>
      <c r="B582" s="87"/>
      <c r="C582" s="87"/>
      <c r="D582"/>
      <c r="E582"/>
      <c r="F582"/>
      <c r="G582"/>
      <c r="H582"/>
      <c r="I582"/>
      <c r="J582"/>
      <c r="K582"/>
      <c r="L582"/>
      <c r="M582"/>
      <c r="N582"/>
      <c r="O582"/>
      <c r="P582"/>
      <c r="Q582"/>
      <c r="R582"/>
      <c r="S582"/>
      <c r="T582"/>
      <c r="U582"/>
      <c r="V582"/>
      <c r="W582" s="87"/>
      <c r="X582"/>
    </row>
    <row r="583" spans="1:24">
      <c r="A583" s="87"/>
      <c r="B583" s="87"/>
      <c r="C583" s="87"/>
      <c r="D583"/>
      <c r="E583"/>
      <c r="F583"/>
      <c r="G583"/>
      <c r="H583"/>
      <c r="I583"/>
      <c r="J583"/>
      <c r="K583"/>
      <c r="L583"/>
      <c r="M583"/>
      <c r="N583"/>
      <c r="O583"/>
      <c r="P583"/>
      <c r="Q583"/>
      <c r="R583"/>
      <c r="S583"/>
      <c r="T583"/>
      <c r="U583"/>
      <c r="V583"/>
      <c r="W583" s="87"/>
      <c r="X583"/>
    </row>
    <row r="584" spans="1:24">
      <c r="A584" s="87"/>
      <c r="B584" s="87"/>
      <c r="C584" s="87"/>
      <c r="D584"/>
      <c r="E584"/>
      <c r="F584"/>
      <c r="G584"/>
      <c r="H584"/>
      <c r="I584"/>
      <c r="J584"/>
      <c r="K584"/>
      <c r="L584"/>
      <c r="M584"/>
      <c r="N584"/>
      <c r="O584"/>
      <c r="P584"/>
      <c r="Q584"/>
      <c r="R584"/>
      <c r="S584"/>
      <c r="T584"/>
      <c r="U584"/>
      <c r="V584"/>
      <c r="W584" s="87"/>
      <c r="X584"/>
    </row>
    <row r="585" spans="1:24">
      <c r="A585" s="87"/>
      <c r="B585" s="87"/>
      <c r="C585" s="87"/>
      <c r="D585"/>
      <c r="E585"/>
      <c r="F585"/>
      <c r="G585"/>
      <c r="H585"/>
      <c r="I585"/>
      <c r="J585"/>
      <c r="K585"/>
      <c r="L585"/>
      <c r="M585"/>
      <c r="N585"/>
      <c r="O585"/>
      <c r="P585"/>
      <c r="Q585"/>
      <c r="R585"/>
      <c r="S585"/>
      <c r="T585"/>
      <c r="U585"/>
      <c r="V585"/>
      <c r="W585" s="87"/>
      <c r="X585"/>
    </row>
    <row r="586" spans="1:24">
      <c r="A586" s="87"/>
      <c r="B586" s="87"/>
      <c r="C586" s="87"/>
      <c r="D586"/>
      <c r="E586"/>
      <c r="F586"/>
      <c r="G586"/>
      <c r="H586"/>
      <c r="I586"/>
      <c r="J586"/>
      <c r="K586"/>
      <c r="L586"/>
      <c r="M586"/>
      <c r="N586"/>
      <c r="O586"/>
      <c r="P586"/>
      <c r="Q586"/>
      <c r="R586"/>
      <c r="S586"/>
      <c r="T586"/>
      <c r="U586"/>
      <c r="V586"/>
      <c r="W586" s="87"/>
      <c r="X586"/>
    </row>
    <row r="587" spans="1:24">
      <c r="A587" s="87"/>
      <c r="B587" s="87"/>
      <c r="C587" s="87"/>
      <c r="D587"/>
      <c r="E587"/>
      <c r="F587"/>
      <c r="G587"/>
      <c r="H587"/>
      <c r="I587"/>
      <c r="J587"/>
      <c r="K587"/>
      <c r="L587"/>
      <c r="M587"/>
      <c r="N587"/>
      <c r="O587"/>
      <c r="P587"/>
      <c r="Q587"/>
      <c r="R587"/>
      <c r="S587"/>
      <c r="T587"/>
      <c r="U587"/>
      <c r="V587"/>
      <c r="W587" s="87"/>
      <c r="X587"/>
    </row>
    <row r="588" spans="1:24">
      <c r="A588" s="87"/>
      <c r="B588" s="87"/>
      <c r="C588" s="87"/>
      <c r="D588"/>
      <c r="E588"/>
      <c r="F588"/>
      <c r="G588"/>
      <c r="H588"/>
      <c r="I588"/>
      <c r="J588"/>
      <c r="K588"/>
      <c r="L588"/>
      <c r="M588"/>
      <c r="N588"/>
      <c r="O588"/>
      <c r="P588"/>
      <c r="Q588"/>
      <c r="R588"/>
      <c r="S588"/>
      <c r="T588"/>
      <c r="U588"/>
      <c r="V588"/>
      <c r="W588" s="87"/>
      <c r="X588"/>
    </row>
    <row r="589" spans="1:24">
      <c r="A589" s="87"/>
      <c r="B589" s="87"/>
      <c r="C589" s="87"/>
      <c r="D589"/>
      <c r="E589"/>
      <c r="F589"/>
      <c r="G589"/>
      <c r="H589"/>
      <c r="I589"/>
      <c r="J589"/>
      <c r="K589"/>
      <c r="L589"/>
      <c r="M589"/>
      <c r="N589"/>
      <c r="O589"/>
      <c r="P589"/>
      <c r="Q589"/>
      <c r="R589"/>
      <c r="S589"/>
      <c r="T589"/>
      <c r="U589"/>
      <c r="V589"/>
      <c r="W589" s="87"/>
      <c r="X589"/>
    </row>
    <row r="590" spans="1:24">
      <c r="A590" s="87"/>
      <c r="B590" s="87"/>
      <c r="C590" s="87"/>
      <c r="D590"/>
      <c r="E590"/>
      <c r="F590"/>
      <c r="G590"/>
      <c r="H590"/>
      <c r="I590"/>
      <c r="J590"/>
      <c r="K590"/>
      <c r="L590"/>
      <c r="M590"/>
      <c r="N590"/>
      <c r="O590"/>
      <c r="P590"/>
      <c r="Q590"/>
      <c r="R590"/>
      <c r="S590"/>
      <c r="T590"/>
      <c r="U590"/>
      <c r="V590"/>
      <c r="W590" s="87"/>
      <c r="X590"/>
    </row>
    <row r="591" spans="1:24">
      <c r="A591" s="87"/>
      <c r="B591" s="87"/>
      <c r="C591" s="87"/>
      <c r="D591"/>
      <c r="E591"/>
      <c r="F591"/>
      <c r="G591"/>
      <c r="H591"/>
      <c r="I591"/>
      <c r="J591"/>
      <c r="K591"/>
      <c r="L591"/>
      <c r="M591"/>
      <c r="N591"/>
      <c r="O591"/>
      <c r="P591"/>
      <c r="Q591"/>
      <c r="R591"/>
      <c r="S591"/>
      <c r="T591"/>
      <c r="U591"/>
      <c r="V591"/>
      <c r="W591" s="87"/>
      <c r="X591"/>
    </row>
    <row r="592" spans="1:24">
      <c r="A592" s="87"/>
      <c r="B592" s="87"/>
      <c r="C592" s="87"/>
      <c r="D592"/>
      <c r="E592"/>
      <c r="F592"/>
      <c r="G592"/>
      <c r="H592"/>
      <c r="I592"/>
      <c r="J592"/>
      <c r="K592"/>
      <c r="L592"/>
      <c r="M592"/>
      <c r="N592"/>
      <c r="O592"/>
      <c r="P592"/>
      <c r="Q592"/>
      <c r="R592"/>
      <c r="S592"/>
      <c r="T592"/>
      <c r="U592"/>
      <c r="V592"/>
      <c r="W592" s="87"/>
      <c r="X592"/>
    </row>
    <row r="593" spans="1:24">
      <c r="A593" s="87"/>
      <c r="B593" s="87"/>
      <c r="C593" s="87"/>
      <c r="D593"/>
      <c r="E593"/>
      <c r="F593"/>
      <c r="G593"/>
      <c r="H593"/>
      <c r="I593"/>
      <c r="J593"/>
      <c r="K593"/>
      <c r="L593"/>
      <c r="M593"/>
      <c r="N593"/>
      <c r="O593"/>
      <c r="P593"/>
      <c r="Q593"/>
      <c r="R593"/>
      <c r="S593"/>
      <c r="T593"/>
      <c r="U593"/>
      <c r="V593"/>
      <c r="W593" s="87"/>
      <c r="X593"/>
    </row>
    <row r="594" spans="1:24">
      <c r="A594" s="87"/>
      <c r="B594" s="87"/>
      <c r="C594" s="87"/>
      <c r="D594"/>
      <c r="E594"/>
      <c r="F594"/>
      <c r="G594"/>
      <c r="H594"/>
      <c r="I594"/>
      <c r="J594"/>
      <c r="K594"/>
      <c r="L594"/>
      <c r="M594"/>
      <c r="N594"/>
      <c r="O594"/>
      <c r="P594"/>
      <c r="Q594"/>
      <c r="R594"/>
      <c r="S594"/>
      <c r="T594"/>
      <c r="U594"/>
      <c r="V594"/>
      <c r="W594" s="87"/>
      <c r="X594"/>
    </row>
    <row r="595" spans="1:24">
      <c r="A595" s="87"/>
      <c r="B595" s="87"/>
      <c r="C595" s="87"/>
      <c r="D595"/>
      <c r="E595"/>
      <c r="F595"/>
      <c r="G595"/>
      <c r="H595"/>
      <c r="I595"/>
      <c r="J595"/>
      <c r="K595"/>
      <c r="L595"/>
      <c r="M595"/>
      <c r="N595"/>
      <c r="O595"/>
      <c r="P595"/>
      <c r="Q595"/>
      <c r="R595"/>
      <c r="S595"/>
      <c r="T595"/>
      <c r="U595"/>
      <c r="V595"/>
      <c r="W595" s="87"/>
      <c r="X595"/>
    </row>
    <row r="596" spans="1:24">
      <c r="A596" s="87"/>
      <c r="B596" s="87"/>
      <c r="C596" s="87"/>
      <c r="D596"/>
      <c r="E596"/>
      <c r="F596"/>
      <c r="G596"/>
      <c r="H596"/>
      <c r="I596"/>
      <c r="J596"/>
      <c r="K596"/>
      <c r="L596"/>
      <c r="M596"/>
      <c r="N596"/>
      <c r="O596"/>
      <c r="P596"/>
      <c r="Q596"/>
      <c r="R596"/>
      <c r="S596"/>
      <c r="T596"/>
      <c r="U596"/>
      <c r="V596"/>
      <c r="W596" s="87"/>
      <c r="X596"/>
    </row>
    <row r="597" spans="1:24">
      <c r="A597" s="87"/>
      <c r="B597" s="87"/>
      <c r="C597" s="87"/>
      <c r="D597"/>
      <c r="E597"/>
      <c r="F597"/>
      <c r="G597"/>
      <c r="H597"/>
      <c r="I597"/>
      <c r="J597"/>
      <c r="K597"/>
      <c r="L597"/>
      <c r="M597"/>
      <c r="N597"/>
      <c r="O597"/>
      <c r="P597"/>
      <c r="Q597"/>
      <c r="R597"/>
      <c r="S597"/>
      <c r="T597"/>
      <c r="U597"/>
      <c r="V597"/>
      <c r="W597" s="87"/>
      <c r="X597"/>
    </row>
    <row r="598" spans="1:24">
      <c r="A598" s="87"/>
      <c r="B598" s="87"/>
      <c r="C598" s="87"/>
      <c r="D598"/>
      <c r="E598"/>
      <c r="F598"/>
      <c r="G598"/>
      <c r="H598"/>
      <c r="I598"/>
      <c r="J598"/>
      <c r="K598"/>
      <c r="L598"/>
      <c r="M598"/>
      <c r="N598"/>
      <c r="O598"/>
      <c r="P598"/>
      <c r="Q598"/>
      <c r="R598"/>
      <c r="S598"/>
      <c r="T598"/>
      <c r="U598"/>
      <c r="V598"/>
      <c r="W598" s="87"/>
      <c r="X598"/>
    </row>
    <row r="599" spans="1:24">
      <c r="A599" s="87"/>
      <c r="B599" s="87"/>
      <c r="C599" s="87"/>
      <c r="D599"/>
      <c r="E599"/>
      <c r="F599"/>
      <c r="G599"/>
      <c r="H599"/>
      <c r="I599"/>
      <c r="J599"/>
      <c r="K599"/>
      <c r="L599"/>
      <c r="M599"/>
      <c r="N599"/>
      <c r="O599"/>
      <c r="P599"/>
      <c r="Q599"/>
      <c r="R599"/>
      <c r="S599"/>
      <c r="T599"/>
      <c r="U599"/>
      <c r="V599"/>
      <c r="W599" s="87"/>
      <c r="X599"/>
    </row>
    <row r="600" spans="1:24">
      <c r="A600" s="87"/>
      <c r="B600" s="87"/>
      <c r="C600" s="87"/>
      <c r="D600"/>
      <c r="E600"/>
      <c r="F600"/>
      <c r="G600"/>
      <c r="H600"/>
      <c r="I600"/>
      <c r="J600"/>
      <c r="K600"/>
      <c r="L600"/>
      <c r="M600"/>
      <c r="N600"/>
      <c r="O600"/>
      <c r="P600"/>
      <c r="Q600"/>
      <c r="R600"/>
      <c r="S600"/>
      <c r="T600"/>
      <c r="U600"/>
      <c r="V600"/>
      <c r="W600" s="87"/>
      <c r="X600"/>
    </row>
    <row r="601" spans="1:24">
      <c r="A601" s="87"/>
      <c r="B601" s="87"/>
      <c r="C601" s="87"/>
      <c r="D601"/>
      <c r="E601"/>
      <c r="F601"/>
      <c r="G601"/>
      <c r="H601"/>
      <c r="I601"/>
      <c r="J601"/>
      <c r="K601"/>
      <c r="L601"/>
      <c r="M601"/>
      <c r="N601"/>
      <c r="O601"/>
      <c r="P601"/>
      <c r="Q601"/>
      <c r="R601"/>
      <c r="S601"/>
      <c r="T601"/>
      <c r="U601"/>
      <c r="V601"/>
      <c r="W601" s="87"/>
      <c r="X601"/>
    </row>
    <row r="602" spans="1:24">
      <c r="A602" s="87"/>
      <c r="B602" s="87"/>
      <c r="C602" s="87"/>
      <c r="D602"/>
      <c r="E602"/>
      <c r="F602"/>
      <c r="G602"/>
      <c r="H602"/>
      <c r="I602"/>
      <c r="J602"/>
      <c r="K602"/>
      <c r="L602"/>
      <c r="M602"/>
      <c r="N602"/>
      <c r="O602"/>
      <c r="P602"/>
      <c r="Q602"/>
      <c r="R602"/>
      <c r="S602"/>
      <c r="T602"/>
      <c r="U602"/>
      <c r="V602"/>
      <c r="W602" s="87"/>
      <c r="X602"/>
    </row>
    <row r="603" spans="1:24">
      <c r="A603" s="87"/>
      <c r="B603" s="87"/>
      <c r="C603" s="87"/>
      <c r="D603"/>
      <c r="E603"/>
      <c r="F603"/>
      <c r="G603"/>
      <c r="H603"/>
      <c r="I603"/>
      <c r="J603"/>
      <c r="K603"/>
      <c r="L603"/>
      <c r="M603"/>
      <c r="N603"/>
      <c r="O603"/>
      <c r="P603"/>
      <c r="Q603"/>
      <c r="R603"/>
      <c r="S603"/>
      <c r="T603"/>
      <c r="U603"/>
      <c r="V603"/>
      <c r="W603" s="87"/>
      <c r="X603"/>
    </row>
    <row r="604" spans="1:24">
      <c r="A604" s="87"/>
      <c r="B604" s="87"/>
      <c r="C604" s="87"/>
      <c r="D604"/>
      <c r="E604"/>
      <c r="F604"/>
      <c r="G604"/>
      <c r="H604"/>
      <c r="I604"/>
      <c r="J604"/>
      <c r="K604"/>
      <c r="L604"/>
      <c r="M604"/>
      <c r="N604"/>
      <c r="O604"/>
      <c r="P604"/>
      <c r="Q604"/>
      <c r="R604"/>
      <c r="S604"/>
      <c r="T604"/>
      <c r="U604"/>
      <c r="V604"/>
      <c r="W604" s="87"/>
      <c r="X604"/>
    </row>
    <row r="605" spans="1:24">
      <c r="A605" s="87"/>
      <c r="B605" s="87"/>
      <c r="C605" s="87"/>
      <c r="D605"/>
      <c r="E605"/>
      <c r="F605"/>
      <c r="G605"/>
      <c r="H605"/>
      <c r="I605"/>
      <c r="J605"/>
      <c r="K605"/>
      <c r="L605"/>
      <c r="M605"/>
      <c r="N605"/>
      <c r="O605"/>
      <c r="P605"/>
      <c r="Q605"/>
      <c r="R605"/>
      <c r="S605"/>
      <c r="T605"/>
      <c r="U605"/>
      <c r="V605"/>
      <c r="W605" s="87"/>
      <c r="X605"/>
    </row>
    <row r="606" spans="1:24">
      <c r="A606" s="87"/>
      <c r="B606" s="87"/>
      <c r="C606" s="87"/>
      <c r="D606"/>
      <c r="E606"/>
      <c r="F606"/>
      <c r="G606"/>
      <c r="H606"/>
      <c r="I606"/>
      <c r="J606"/>
      <c r="K606"/>
      <c r="L606"/>
      <c r="M606"/>
      <c r="N606"/>
      <c r="O606"/>
      <c r="P606"/>
      <c r="Q606"/>
      <c r="R606"/>
      <c r="S606"/>
      <c r="T606"/>
      <c r="U606"/>
      <c r="V606"/>
      <c r="W606" s="87"/>
      <c r="X606"/>
    </row>
    <row r="607" spans="1:24">
      <c r="A607" s="87"/>
      <c r="B607" s="87"/>
      <c r="C607" s="87"/>
      <c r="D607"/>
      <c r="E607"/>
      <c r="F607"/>
      <c r="G607"/>
      <c r="H607"/>
      <c r="I607"/>
      <c r="J607"/>
      <c r="K607"/>
      <c r="L607"/>
      <c r="M607"/>
      <c r="N607"/>
      <c r="O607"/>
      <c r="P607"/>
      <c r="Q607"/>
      <c r="R607"/>
      <c r="S607"/>
      <c r="T607"/>
      <c r="U607"/>
      <c r="V607"/>
      <c r="W607" s="87"/>
      <c r="X607"/>
    </row>
    <row r="608" spans="1:24">
      <c r="A608" s="87"/>
      <c r="B608" s="87"/>
      <c r="C608" s="87"/>
      <c r="D608"/>
      <c r="E608"/>
      <c r="F608"/>
      <c r="G608"/>
      <c r="H608"/>
      <c r="I608"/>
      <c r="J608"/>
      <c r="K608"/>
      <c r="L608"/>
      <c r="M608"/>
      <c r="N608"/>
      <c r="O608"/>
      <c r="P608"/>
      <c r="Q608"/>
      <c r="R608"/>
      <c r="S608"/>
      <c r="T608"/>
      <c r="U608"/>
      <c r="V608"/>
      <c r="W608" s="87"/>
      <c r="X608"/>
    </row>
    <row r="609" spans="1:24">
      <c r="A609" s="87"/>
      <c r="B609" s="87"/>
      <c r="C609" s="87"/>
      <c r="D609"/>
      <c r="E609"/>
      <c r="F609"/>
      <c r="G609"/>
      <c r="H609"/>
      <c r="I609"/>
      <c r="J609"/>
      <c r="K609"/>
      <c r="L609"/>
      <c r="M609"/>
      <c r="N609"/>
      <c r="O609"/>
      <c r="P609"/>
      <c r="Q609"/>
      <c r="R609"/>
      <c r="S609"/>
      <c r="T609"/>
      <c r="U609"/>
      <c r="V609"/>
      <c r="W609" s="87"/>
      <c r="X609"/>
    </row>
    <row r="610" spans="1:24">
      <c r="A610" s="87"/>
      <c r="B610" s="87"/>
      <c r="C610" s="87"/>
      <c r="D610"/>
      <c r="E610"/>
      <c r="F610"/>
      <c r="G610"/>
      <c r="H610"/>
      <c r="I610"/>
      <c r="J610"/>
      <c r="K610"/>
      <c r="L610"/>
      <c r="M610"/>
      <c r="N610"/>
      <c r="O610"/>
      <c r="P610"/>
      <c r="Q610"/>
      <c r="R610"/>
      <c r="S610"/>
      <c r="T610"/>
      <c r="U610"/>
      <c r="V610"/>
      <c r="W610" s="87"/>
      <c r="X610"/>
    </row>
    <row r="611" spans="1:24">
      <c r="A611" s="87"/>
      <c r="B611" s="87"/>
      <c r="C611" s="87"/>
      <c r="D611"/>
      <c r="E611"/>
      <c r="F611"/>
      <c r="G611"/>
      <c r="H611"/>
      <c r="I611"/>
      <c r="J611"/>
      <c r="K611"/>
      <c r="L611"/>
      <c r="M611"/>
      <c r="N611"/>
      <c r="O611"/>
      <c r="P611"/>
      <c r="Q611"/>
      <c r="R611"/>
      <c r="S611"/>
      <c r="T611"/>
      <c r="U611"/>
      <c r="V611"/>
      <c r="W611" s="87"/>
      <c r="X611"/>
    </row>
    <row r="612" spans="1:24">
      <c r="A612" s="87"/>
      <c r="B612" s="87"/>
      <c r="C612" s="87"/>
      <c r="D612"/>
      <c r="E612"/>
      <c r="F612"/>
      <c r="G612"/>
      <c r="H612"/>
      <c r="I612"/>
      <c r="J612"/>
      <c r="K612"/>
      <c r="L612"/>
      <c r="M612"/>
      <c r="N612"/>
      <c r="O612"/>
      <c r="P612"/>
      <c r="Q612"/>
      <c r="R612"/>
      <c r="S612"/>
      <c r="T612"/>
      <c r="U612"/>
      <c r="V612"/>
      <c r="W612" s="87"/>
      <c r="X612"/>
    </row>
    <row r="613" spans="1:24">
      <c r="A613" s="87"/>
      <c r="B613" s="87"/>
      <c r="C613" s="87"/>
      <c r="D613"/>
      <c r="E613"/>
      <c r="F613"/>
      <c r="G613"/>
      <c r="H613"/>
      <c r="I613"/>
      <c r="J613"/>
      <c r="K613"/>
      <c r="L613"/>
      <c r="M613"/>
      <c r="N613"/>
      <c r="O613"/>
      <c r="P613"/>
      <c r="Q613"/>
      <c r="R613"/>
      <c r="S613"/>
      <c r="T613"/>
      <c r="U613"/>
      <c r="V613"/>
      <c r="W613" s="87"/>
      <c r="X613"/>
    </row>
    <row r="614" spans="1:24">
      <c r="A614" s="87"/>
      <c r="B614" s="87"/>
      <c r="C614" s="87"/>
      <c r="D614"/>
      <c r="E614"/>
      <c r="F614"/>
      <c r="G614"/>
      <c r="H614"/>
      <c r="I614"/>
      <c r="J614"/>
      <c r="K614"/>
      <c r="L614"/>
      <c r="M614"/>
      <c r="N614"/>
      <c r="O614"/>
      <c r="P614"/>
      <c r="Q614"/>
      <c r="R614"/>
      <c r="S614"/>
      <c r="T614"/>
      <c r="U614"/>
      <c r="V614"/>
      <c r="W614" s="87"/>
      <c r="X614"/>
    </row>
    <row r="615" spans="1:24">
      <c r="A615" s="87"/>
      <c r="B615" s="87"/>
      <c r="C615" s="87"/>
      <c r="D615"/>
      <c r="E615"/>
      <c r="F615"/>
      <c r="G615"/>
      <c r="H615"/>
      <c r="I615"/>
      <c r="J615"/>
      <c r="K615"/>
      <c r="L615"/>
      <c r="M615"/>
      <c r="N615"/>
      <c r="O615"/>
      <c r="P615"/>
      <c r="Q615"/>
      <c r="R615"/>
      <c r="S615"/>
      <c r="T615"/>
      <c r="U615"/>
      <c r="V615"/>
      <c r="W615" s="87"/>
      <c r="X615"/>
    </row>
    <row r="616" spans="1:24">
      <c r="A616" s="87"/>
      <c r="B616" s="87"/>
      <c r="C616" s="87"/>
      <c r="D616"/>
      <c r="E616"/>
      <c r="F616"/>
      <c r="G616"/>
      <c r="H616"/>
      <c r="I616"/>
      <c r="J616"/>
      <c r="K616"/>
      <c r="L616"/>
      <c r="M616"/>
      <c r="N616"/>
      <c r="O616"/>
      <c r="P616"/>
      <c r="Q616"/>
      <c r="R616"/>
      <c r="S616"/>
      <c r="T616"/>
      <c r="U616"/>
      <c r="V616"/>
      <c r="W616" s="87"/>
      <c r="X616"/>
    </row>
    <row r="617" spans="1:24">
      <c r="A617" s="87"/>
      <c r="B617" s="87"/>
      <c r="C617" s="87"/>
      <c r="D617"/>
      <c r="E617"/>
      <c r="F617"/>
      <c r="G617"/>
      <c r="H617"/>
      <c r="I617"/>
      <c r="J617"/>
      <c r="K617"/>
      <c r="L617"/>
      <c r="M617"/>
      <c r="N617"/>
      <c r="O617"/>
      <c r="P617"/>
      <c r="Q617"/>
      <c r="R617"/>
      <c r="S617"/>
      <c r="T617"/>
      <c r="U617"/>
      <c r="V617"/>
      <c r="W617" s="87"/>
      <c r="X617"/>
    </row>
    <row r="618" spans="1:24">
      <c r="A618" s="87"/>
      <c r="B618" s="87"/>
      <c r="C618" s="87"/>
      <c r="D618"/>
      <c r="E618"/>
      <c r="F618"/>
      <c r="G618"/>
      <c r="H618"/>
      <c r="I618"/>
      <c r="J618"/>
      <c r="K618"/>
      <c r="L618"/>
      <c r="M618"/>
      <c r="N618"/>
      <c r="O618"/>
      <c r="P618"/>
      <c r="Q618"/>
      <c r="R618"/>
      <c r="S618"/>
      <c r="T618"/>
      <c r="U618"/>
      <c r="V618"/>
      <c r="W618" s="87"/>
      <c r="X618"/>
    </row>
    <row r="619" spans="1:24">
      <c r="A619" s="87"/>
      <c r="B619" s="87"/>
      <c r="C619" s="87"/>
      <c r="D619"/>
      <c r="E619"/>
      <c r="F619"/>
      <c r="G619"/>
      <c r="H619"/>
      <c r="I619"/>
      <c r="J619"/>
      <c r="K619"/>
      <c r="L619"/>
      <c r="M619"/>
      <c r="N619"/>
      <c r="O619"/>
      <c r="P619"/>
      <c r="Q619"/>
      <c r="R619"/>
      <c r="S619"/>
      <c r="T619"/>
      <c r="U619"/>
      <c r="V619"/>
      <c r="W619" s="87"/>
      <c r="X619"/>
    </row>
    <row r="620" spans="1:24">
      <c r="A620" s="87"/>
      <c r="B620" s="87"/>
      <c r="C620" s="87"/>
      <c r="D620"/>
      <c r="E620"/>
      <c r="F620"/>
      <c r="G620"/>
      <c r="H620"/>
      <c r="I620"/>
      <c r="J620"/>
      <c r="K620"/>
      <c r="L620"/>
      <c r="M620"/>
      <c r="N620"/>
      <c r="O620"/>
      <c r="P620"/>
      <c r="Q620"/>
      <c r="R620"/>
      <c r="S620"/>
      <c r="T620"/>
      <c r="U620"/>
      <c r="V620"/>
      <c r="W620" s="87"/>
      <c r="X620"/>
    </row>
    <row r="621" spans="1:24">
      <c r="A621" s="87"/>
      <c r="B621" s="87"/>
      <c r="C621" s="87"/>
      <c r="D621"/>
      <c r="E621"/>
      <c r="F621"/>
      <c r="G621"/>
      <c r="H621"/>
      <c r="I621"/>
      <c r="J621"/>
      <c r="K621"/>
      <c r="L621"/>
      <c r="M621"/>
      <c r="N621"/>
      <c r="O621"/>
      <c r="P621"/>
      <c r="Q621"/>
      <c r="R621"/>
      <c r="S621"/>
      <c r="T621"/>
      <c r="U621"/>
      <c r="V621"/>
      <c r="W621" s="87"/>
      <c r="X621"/>
    </row>
    <row r="622" spans="1:24">
      <c r="A622" s="87"/>
      <c r="B622" s="87"/>
      <c r="C622" s="87"/>
      <c r="D622"/>
      <c r="E622"/>
      <c r="F622"/>
      <c r="G622"/>
      <c r="H622"/>
      <c r="I622"/>
      <c r="J622"/>
      <c r="K622"/>
      <c r="L622"/>
      <c r="M622"/>
      <c r="N622"/>
      <c r="O622"/>
      <c r="P622"/>
      <c r="Q622"/>
      <c r="R622"/>
      <c r="S622"/>
      <c r="T622"/>
      <c r="U622"/>
      <c r="V622"/>
      <c r="W622" s="87"/>
      <c r="X622"/>
    </row>
    <row r="623" spans="1:24">
      <c r="A623" s="87"/>
      <c r="B623" s="87"/>
      <c r="C623" s="87"/>
      <c r="D623"/>
      <c r="E623"/>
      <c r="F623"/>
      <c r="G623"/>
      <c r="H623"/>
      <c r="I623"/>
      <c r="J623"/>
      <c r="K623"/>
      <c r="L623"/>
      <c r="M623"/>
      <c r="N623"/>
      <c r="O623"/>
      <c r="P623"/>
      <c r="Q623"/>
      <c r="R623"/>
      <c r="S623"/>
      <c r="T623"/>
      <c r="U623"/>
      <c r="V623"/>
      <c r="W623" s="87"/>
      <c r="X623"/>
    </row>
    <row r="624" spans="1:24">
      <c r="A624" s="87"/>
      <c r="B624" s="87"/>
      <c r="C624" s="87"/>
      <c r="D624"/>
      <c r="E624"/>
      <c r="F624"/>
      <c r="G624"/>
      <c r="H624"/>
      <c r="I624"/>
      <c r="J624"/>
      <c r="K624"/>
      <c r="L624"/>
      <c r="M624"/>
      <c r="N624"/>
      <c r="O624"/>
      <c r="P624"/>
      <c r="Q624"/>
      <c r="R624"/>
      <c r="S624"/>
      <c r="T624"/>
      <c r="U624"/>
      <c r="V624"/>
      <c r="W624" s="87"/>
      <c r="X624"/>
    </row>
    <row r="625" spans="1:24">
      <c r="A625" s="87"/>
      <c r="B625" s="87"/>
      <c r="C625" s="87"/>
      <c r="D625"/>
      <c r="E625"/>
      <c r="F625"/>
      <c r="G625"/>
      <c r="H625"/>
      <c r="I625"/>
      <c r="J625"/>
      <c r="K625"/>
      <c r="L625"/>
      <c r="M625"/>
      <c r="N625"/>
      <c r="O625"/>
      <c r="P625"/>
      <c r="Q625"/>
      <c r="R625"/>
      <c r="S625"/>
      <c r="T625"/>
      <c r="U625"/>
      <c r="V625"/>
      <c r="W625" s="87"/>
      <c r="X625"/>
    </row>
    <row r="626" spans="1:24">
      <c r="A626" s="87"/>
      <c r="B626" s="87"/>
      <c r="C626" s="87"/>
      <c r="D626"/>
      <c r="E626"/>
      <c r="F626"/>
      <c r="G626"/>
      <c r="H626"/>
      <c r="I626"/>
      <c r="J626"/>
      <c r="K626"/>
      <c r="L626"/>
      <c r="M626"/>
      <c r="N626"/>
      <c r="O626"/>
      <c r="P626"/>
      <c r="Q626"/>
      <c r="R626"/>
      <c r="S626"/>
      <c r="T626"/>
      <c r="U626"/>
      <c r="V626"/>
      <c r="W626" s="87"/>
      <c r="X626"/>
    </row>
    <row r="627" spans="1:24">
      <c r="A627" s="87"/>
      <c r="B627" s="87"/>
      <c r="C627" s="87"/>
      <c r="D627"/>
      <c r="E627"/>
      <c r="F627"/>
      <c r="G627"/>
      <c r="H627"/>
      <c r="I627"/>
      <c r="J627"/>
      <c r="K627"/>
      <c r="L627"/>
      <c r="M627"/>
      <c r="N627"/>
      <c r="O627"/>
      <c r="P627"/>
      <c r="Q627"/>
      <c r="R627"/>
      <c r="S627"/>
      <c r="T627"/>
      <c r="U627"/>
      <c r="V627"/>
      <c r="W627" s="87"/>
      <c r="X627"/>
    </row>
    <row r="628" spans="1:24">
      <c r="A628" s="87"/>
      <c r="B628" s="87"/>
      <c r="C628" s="87"/>
      <c r="D628"/>
      <c r="E628"/>
      <c r="F628"/>
      <c r="G628"/>
      <c r="H628"/>
      <c r="I628"/>
      <c r="J628"/>
      <c r="K628"/>
      <c r="L628"/>
      <c r="M628"/>
      <c r="N628"/>
      <c r="O628"/>
      <c r="P628"/>
      <c r="Q628"/>
      <c r="R628"/>
      <c r="S628"/>
      <c r="T628"/>
      <c r="U628"/>
      <c r="V628"/>
      <c r="W628" s="87"/>
      <c r="X628"/>
    </row>
    <row r="629" spans="1:24">
      <c r="A629" s="87"/>
      <c r="B629" s="87"/>
      <c r="C629" s="87"/>
      <c r="D629"/>
      <c r="E629"/>
      <c r="F629"/>
      <c r="G629"/>
      <c r="H629"/>
      <c r="I629"/>
      <c r="J629"/>
      <c r="K629"/>
      <c r="L629"/>
      <c r="M629"/>
      <c r="N629"/>
      <c r="O629"/>
      <c r="P629"/>
      <c r="Q629"/>
      <c r="R629"/>
      <c r="S629"/>
      <c r="T629"/>
      <c r="U629"/>
      <c r="V629"/>
      <c r="W629" s="87"/>
      <c r="X629"/>
    </row>
    <row r="630" spans="1:24">
      <c r="A630" s="87"/>
      <c r="B630" s="87"/>
      <c r="C630" s="87"/>
      <c r="D630"/>
      <c r="E630"/>
      <c r="F630"/>
      <c r="G630"/>
      <c r="H630"/>
      <c r="I630"/>
      <c r="J630"/>
      <c r="K630"/>
      <c r="L630"/>
      <c r="M630"/>
      <c r="N630"/>
      <c r="O630"/>
      <c r="P630"/>
      <c r="Q630"/>
      <c r="R630"/>
      <c r="S630"/>
      <c r="T630"/>
      <c r="U630"/>
      <c r="V630"/>
      <c r="W630" s="87"/>
      <c r="X630"/>
    </row>
    <row r="631" spans="1:24">
      <c r="A631" s="87"/>
      <c r="B631" s="87"/>
      <c r="C631" s="87"/>
      <c r="D631"/>
      <c r="E631"/>
      <c r="F631"/>
      <c r="G631"/>
      <c r="H631"/>
      <c r="I631"/>
      <c r="J631"/>
      <c r="K631"/>
      <c r="L631"/>
      <c r="M631"/>
      <c r="N631"/>
      <c r="O631"/>
      <c r="P631"/>
      <c r="Q631"/>
      <c r="R631"/>
      <c r="S631"/>
      <c r="T631"/>
      <c r="U631"/>
      <c r="V631"/>
      <c r="W631" s="87"/>
      <c r="X631"/>
    </row>
    <row r="632" spans="1:24">
      <c r="A632" s="87"/>
      <c r="B632" s="87"/>
      <c r="C632" s="87"/>
      <c r="D632"/>
      <c r="E632"/>
      <c r="F632"/>
      <c r="G632"/>
      <c r="H632"/>
      <c r="I632"/>
      <c r="J632"/>
      <c r="K632"/>
      <c r="L632"/>
      <c r="M632"/>
      <c r="N632"/>
      <c r="O632"/>
      <c r="P632"/>
      <c r="Q632"/>
      <c r="R632"/>
      <c r="S632"/>
      <c r="T632"/>
      <c r="U632"/>
      <c r="V632"/>
      <c r="W632" s="87"/>
      <c r="X632"/>
    </row>
    <row r="633" spans="1:24">
      <c r="A633" s="87"/>
      <c r="B633" s="87"/>
      <c r="C633" s="87"/>
      <c r="D633"/>
      <c r="E633"/>
      <c r="F633"/>
      <c r="G633"/>
      <c r="H633"/>
      <c r="I633"/>
      <c r="J633"/>
      <c r="K633"/>
      <c r="L633"/>
      <c r="M633"/>
      <c r="N633"/>
      <c r="O633"/>
      <c r="P633"/>
      <c r="Q633"/>
      <c r="R633"/>
      <c r="S633"/>
      <c r="T633"/>
      <c r="U633"/>
      <c r="V633"/>
      <c r="W633" s="87"/>
      <c r="X633"/>
    </row>
    <row r="634" spans="1:24">
      <c r="A634" s="87"/>
      <c r="B634" s="87"/>
      <c r="C634" s="87"/>
      <c r="D634"/>
      <c r="E634"/>
      <c r="F634"/>
      <c r="G634"/>
      <c r="H634"/>
      <c r="I634"/>
      <c r="J634"/>
      <c r="K634"/>
      <c r="L634"/>
      <c r="M634"/>
      <c r="N634"/>
      <c r="O634"/>
      <c r="P634"/>
      <c r="Q634"/>
      <c r="R634"/>
      <c r="S634"/>
      <c r="T634"/>
      <c r="U634"/>
      <c r="V634"/>
      <c r="W634" s="87"/>
      <c r="X634"/>
    </row>
    <row r="635" spans="1:24">
      <c r="A635" s="87"/>
      <c r="B635" s="87"/>
      <c r="C635" s="87"/>
      <c r="D635"/>
      <c r="E635"/>
      <c r="F635"/>
      <c r="G635"/>
      <c r="H635"/>
      <c r="I635"/>
      <c r="J635"/>
      <c r="K635"/>
      <c r="L635"/>
      <c r="M635"/>
      <c r="N635"/>
      <c r="O635"/>
      <c r="P635"/>
      <c r="Q635"/>
      <c r="R635"/>
      <c r="S635"/>
      <c r="T635"/>
      <c r="U635"/>
      <c r="V635"/>
      <c r="W635" s="87"/>
      <c r="X635"/>
    </row>
    <row r="636" spans="1:24">
      <c r="A636" s="87"/>
      <c r="B636" s="87"/>
      <c r="C636" s="87"/>
      <c r="D636"/>
      <c r="E636"/>
      <c r="F636"/>
      <c r="G636"/>
      <c r="H636"/>
      <c r="I636"/>
      <c r="J636"/>
      <c r="K636"/>
      <c r="L636"/>
      <c r="M636"/>
      <c r="N636"/>
      <c r="O636"/>
      <c r="P636"/>
      <c r="Q636"/>
      <c r="R636"/>
      <c r="S636"/>
      <c r="T636"/>
      <c r="U636"/>
      <c r="V636"/>
      <c r="W636" s="87"/>
      <c r="X636"/>
    </row>
    <row r="637" spans="1:24">
      <c r="A637" s="87"/>
      <c r="B637" s="87"/>
      <c r="C637" s="87"/>
      <c r="D637"/>
      <c r="E637"/>
      <c r="F637"/>
      <c r="G637"/>
      <c r="H637"/>
      <c r="I637"/>
      <c r="J637"/>
      <c r="K637"/>
      <c r="L637"/>
      <c r="M637"/>
      <c r="N637"/>
      <c r="O637"/>
      <c r="P637"/>
      <c r="Q637"/>
      <c r="R637"/>
      <c r="S637"/>
      <c r="T637"/>
      <c r="U637"/>
      <c r="V637"/>
      <c r="W637" s="87"/>
      <c r="X637"/>
    </row>
    <row r="638" spans="1:24">
      <c r="A638" s="87"/>
      <c r="B638" s="87"/>
      <c r="C638" s="87"/>
      <c r="D638"/>
      <c r="E638"/>
      <c r="F638"/>
      <c r="G638"/>
      <c r="H638"/>
      <c r="I638"/>
      <c r="J638"/>
      <c r="K638"/>
      <c r="L638"/>
      <c r="M638"/>
      <c r="N638"/>
      <c r="O638"/>
      <c r="P638"/>
      <c r="Q638"/>
      <c r="R638"/>
      <c r="S638"/>
      <c r="T638"/>
      <c r="U638"/>
      <c r="V638"/>
      <c r="W638" s="87"/>
      <c r="X638"/>
    </row>
    <row r="639" spans="1:24">
      <c r="A639" s="87"/>
      <c r="B639" s="87"/>
      <c r="C639" s="87"/>
      <c r="D639"/>
      <c r="E639"/>
      <c r="F639"/>
      <c r="G639"/>
      <c r="H639"/>
      <c r="I639"/>
      <c r="J639"/>
      <c r="K639"/>
      <c r="L639"/>
      <c r="M639"/>
      <c r="N639"/>
      <c r="O639"/>
      <c r="P639"/>
      <c r="Q639"/>
      <c r="R639"/>
      <c r="S639"/>
      <c r="T639"/>
      <c r="U639"/>
      <c r="V639"/>
      <c r="W639" s="87"/>
      <c r="X639"/>
    </row>
    <row r="640" spans="1:24">
      <c r="A640" s="87"/>
      <c r="B640" s="87"/>
      <c r="C640" s="87"/>
      <c r="D640"/>
      <c r="E640"/>
      <c r="F640"/>
      <c r="G640"/>
      <c r="H640"/>
      <c r="I640"/>
      <c r="J640"/>
      <c r="K640"/>
      <c r="L640"/>
      <c r="M640"/>
      <c r="N640"/>
      <c r="O640"/>
      <c r="P640"/>
      <c r="Q640"/>
      <c r="R640"/>
      <c r="S640"/>
      <c r="T640"/>
      <c r="U640"/>
      <c r="V640"/>
      <c r="W640" s="87"/>
      <c r="X640"/>
    </row>
    <row r="641" spans="1:24">
      <c r="A641" s="87"/>
      <c r="B641" s="87"/>
      <c r="C641" s="87"/>
      <c r="D641"/>
      <c r="E641"/>
      <c r="F641"/>
      <c r="G641"/>
      <c r="H641"/>
      <c r="I641"/>
      <c r="J641"/>
      <c r="K641"/>
      <c r="L641"/>
      <c r="M641"/>
      <c r="N641"/>
      <c r="O641"/>
      <c r="P641"/>
      <c r="Q641"/>
      <c r="R641"/>
      <c r="S641"/>
      <c r="T641"/>
      <c r="U641"/>
      <c r="V641"/>
      <c r="W641" s="87"/>
      <c r="X641"/>
    </row>
    <row r="642" spans="1:24">
      <c r="A642" s="87"/>
      <c r="B642" s="87"/>
      <c r="C642" s="87"/>
      <c r="D642"/>
      <c r="E642"/>
      <c r="F642"/>
      <c r="G642"/>
      <c r="H642"/>
      <c r="I642"/>
      <c r="J642"/>
      <c r="K642"/>
      <c r="L642"/>
      <c r="M642"/>
      <c r="N642"/>
      <c r="O642"/>
      <c r="P642"/>
      <c r="Q642"/>
      <c r="R642"/>
      <c r="S642"/>
      <c r="T642"/>
      <c r="U642"/>
      <c r="V642"/>
      <c r="W642" s="87"/>
      <c r="X642"/>
    </row>
    <row r="643" spans="1:24">
      <c r="A643" s="87"/>
      <c r="B643" s="87"/>
      <c r="C643" s="87"/>
      <c r="D643"/>
      <c r="E643"/>
      <c r="F643"/>
      <c r="G643"/>
      <c r="H643"/>
      <c r="I643"/>
      <c r="J643"/>
      <c r="K643"/>
      <c r="L643"/>
      <c r="M643"/>
      <c r="N643"/>
      <c r="O643"/>
      <c r="P643"/>
      <c r="Q643"/>
      <c r="R643"/>
      <c r="S643"/>
      <c r="T643"/>
      <c r="U643"/>
      <c r="V643"/>
      <c r="W643" s="87"/>
      <c r="X643"/>
    </row>
    <row r="644" spans="1:24">
      <c r="A644" s="87"/>
      <c r="B644" s="87"/>
      <c r="C644" s="87"/>
      <c r="D644"/>
      <c r="E644"/>
      <c r="F644"/>
      <c r="G644"/>
      <c r="H644"/>
      <c r="I644"/>
      <c r="J644"/>
      <c r="K644"/>
      <c r="L644"/>
      <c r="M644"/>
      <c r="N644"/>
      <c r="O644"/>
      <c r="P644"/>
      <c r="Q644"/>
      <c r="R644"/>
      <c r="S644"/>
      <c r="T644"/>
      <c r="U644"/>
      <c r="V644"/>
      <c r="W644" s="87"/>
      <c r="X644"/>
    </row>
    <row r="645" spans="1:24">
      <c r="A645" s="87"/>
      <c r="B645" s="87"/>
      <c r="C645" s="87"/>
      <c r="D645"/>
      <c r="E645"/>
      <c r="F645"/>
      <c r="G645"/>
      <c r="H645"/>
      <c r="I645"/>
      <c r="J645"/>
      <c r="K645"/>
      <c r="L645"/>
      <c r="M645"/>
      <c r="N645"/>
      <c r="O645"/>
      <c r="P645"/>
      <c r="Q645"/>
      <c r="R645"/>
      <c r="S645"/>
      <c r="T645"/>
      <c r="U645"/>
      <c r="V645"/>
      <c r="W645" s="87"/>
      <c r="X645"/>
    </row>
    <row r="646" spans="1:24">
      <c r="A646" s="87"/>
      <c r="B646" s="87"/>
      <c r="C646" s="87"/>
      <c r="D646"/>
      <c r="E646"/>
      <c r="F646"/>
      <c r="G646"/>
      <c r="H646"/>
      <c r="I646"/>
      <c r="J646"/>
      <c r="K646"/>
      <c r="L646"/>
      <c r="M646"/>
      <c r="N646"/>
      <c r="O646"/>
      <c r="P646"/>
      <c r="Q646"/>
      <c r="R646"/>
      <c r="S646"/>
      <c r="T646"/>
      <c r="U646"/>
      <c r="V646"/>
      <c r="W646" s="87"/>
      <c r="X646"/>
    </row>
    <row r="647" spans="1:24">
      <c r="A647" s="87"/>
      <c r="B647" s="87"/>
      <c r="C647" s="87"/>
      <c r="D647"/>
      <c r="E647"/>
      <c r="F647"/>
      <c r="G647"/>
      <c r="H647"/>
      <c r="I647"/>
      <c r="J647"/>
      <c r="K647"/>
      <c r="L647"/>
      <c r="M647"/>
      <c r="N647"/>
      <c r="O647"/>
      <c r="P647"/>
      <c r="Q647"/>
      <c r="R647"/>
      <c r="S647"/>
      <c r="T647"/>
      <c r="U647"/>
      <c r="V647"/>
      <c r="W647" s="87"/>
      <c r="X647"/>
    </row>
    <row r="648" spans="1:24">
      <c r="A648" s="87"/>
      <c r="B648" s="87"/>
      <c r="C648" s="87"/>
      <c r="D648"/>
      <c r="E648"/>
      <c r="F648"/>
      <c r="G648"/>
      <c r="H648"/>
      <c r="I648"/>
      <c r="J648"/>
      <c r="K648"/>
      <c r="L648"/>
      <c r="M648"/>
      <c r="N648"/>
      <c r="O648"/>
      <c r="P648"/>
      <c r="Q648"/>
      <c r="R648"/>
      <c r="S648"/>
      <c r="T648"/>
      <c r="U648"/>
      <c r="V648"/>
      <c r="W648" s="87"/>
      <c r="X648"/>
    </row>
    <row r="649" spans="1:24">
      <c r="A649" s="87"/>
      <c r="B649" s="87"/>
      <c r="C649" s="87"/>
      <c r="D649"/>
      <c r="E649"/>
      <c r="F649"/>
      <c r="G649"/>
      <c r="H649"/>
      <c r="I649"/>
      <c r="J649"/>
      <c r="K649"/>
      <c r="L649"/>
      <c r="M649"/>
      <c r="N649"/>
      <c r="O649"/>
      <c r="P649"/>
      <c r="Q649"/>
      <c r="R649"/>
      <c r="S649"/>
      <c r="T649"/>
      <c r="U649"/>
      <c r="V649"/>
      <c r="W649" s="87"/>
      <c r="X649"/>
    </row>
    <row r="650" spans="1:24">
      <c r="A650" s="87"/>
      <c r="B650" s="87"/>
      <c r="C650" s="87"/>
      <c r="D650"/>
      <c r="E650"/>
      <c r="F650"/>
      <c r="G650"/>
      <c r="H650"/>
      <c r="I650"/>
      <c r="J650"/>
      <c r="K650"/>
      <c r="L650"/>
      <c r="M650"/>
      <c r="N650"/>
      <c r="O650"/>
      <c r="P650"/>
      <c r="Q650"/>
      <c r="R650"/>
      <c r="S650"/>
      <c r="T650"/>
      <c r="U650"/>
      <c r="V650"/>
      <c r="W650" s="87"/>
      <c r="X650"/>
    </row>
    <row r="651" spans="1:24">
      <c r="A651" s="87"/>
      <c r="B651" s="87"/>
      <c r="C651" s="87"/>
      <c r="D651"/>
      <c r="E651"/>
      <c r="F651"/>
      <c r="G651"/>
      <c r="H651"/>
      <c r="I651"/>
      <c r="J651"/>
      <c r="K651"/>
      <c r="L651"/>
      <c r="M651"/>
      <c r="N651"/>
      <c r="O651"/>
      <c r="P651"/>
      <c r="Q651"/>
      <c r="R651"/>
      <c r="S651"/>
      <c r="T651"/>
      <c r="U651"/>
      <c r="V651"/>
      <c r="W651" s="87"/>
      <c r="X651"/>
    </row>
    <row r="652" spans="1:24">
      <c r="A652" s="87"/>
      <c r="B652" s="87"/>
      <c r="C652" s="87"/>
      <c r="D652"/>
      <c r="E652"/>
      <c r="F652"/>
      <c r="G652"/>
      <c r="H652"/>
      <c r="I652"/>
      <c r="J652"/>
      <c r="K652"/>
      <c r="L652"/>
      <c r="M652"/>
      <c r="N652"/>
      <c r="O652"/>
      <c r="P652"/>
      <c r="Q652"/>
      <c r="R652"/>
      <c r="S652"/>
      <c r="T652"/>
      <c r="U652"/>
      <c r="V652"/>
      <c r="W652" s="87"/>
      <c r="X652"/>
    </row>
    <row r="653" spans="1:24">
      <c r="A653" s="87"/>
      <c r="B653" s="87"/>
      <c r="C653" s="87"/>
      <c r="D653"/>
      <c r="E653"/>
      <c r="F653"/>
      <c r="G653"/>
      <c r="H653"/>
      <c r="I653"/>
      <c r="J653"/>
      <c r="K653"/>
      <c r="L653"/>
      <c r="M653"/>
      <c r="N653"/>
      <c r="O653"/>
      <c r="P653"/>
      <c r="Q653"/>
      <c r="R653"/>
      <c r="S653"/>
      <c r="T653"/>
      <c r="U653"/>
      <c r="V653"/>
      <c r="W653" s="87"/>
      <c r="X653"/>
    </row>
    <row r="654" spans="1:24">
      <c r="A654" s="87"/>
      <c r="B654" s="87"/>
      <c r="C654" s="87"/>
      <c r="D654"/>
      <c r="E654"/>
      <c r="F654"/>
      <c r="G654"/>
      <c r="H654"/>
      <c r="I654"/>
      <c r="J654"/>
      <c r="K654"/>
      <c r="L654"/>
      <c r="M654"/>
      <c r="N654"/>
      <c r="O654"/>
      <c r="P654"/>
      <c r="Q654"/>
      <c r="R654"/>
      <c r="S654"/>
      <c r="T654"/>
      <c r="U654"/>
      <c r="V654"/>
      <c r="W654" s="87"/>
      <c r="X654"/>
    </row>
    <row r="655" spans="1:24">
      <c r="A655" s="87"/>
      <c r="B655" s="87"/>
      <c r="C655" s="87"/>
      <c r="D655"/>
      <c r="E655"/>
      <c r="F655"/>
      <c r="G655"/>
      <c r="H655"/>
      <c r="I655"/>
      <c r="J655"/>
      <c r="K655"/>
      <c r="L655"/>
      <c r="M655"/>
      <c r="N655"/>
      <c r="O655"/>
      <c r="P655"/>
      <c r="Q655"/>
      <c r="R655"/>
      <c r="S655"/>
      <c r="T655"/>
      <c r="U655"/>
      <c r="V655"/>
      <c r="W655" s="87"/>
      <c r="X655"/>
    </row>
    <row r="656" spans="1:24">
      <c r="A656" s="87"/>
      <c r="B656" s="87"/>
      <c r="C656" s="87"/>
      <c r="D656"/>
      <c r="E656"/>
      <c r="F656"/>
      <c r="G656"/>
      <c r="H656"/>
      <c r="I656"/>
      <c r="J656"/>
      <c r="K656"/>
      <c r="L656"/>
      <c r="M656"/>
      <c r="N656"/>
      <c r="O656"/>
      <c r="P656"/>
      <c r="Q656"/>
      <c r="R656"/>
      <c r="S656"/>
      <c r="T656"/>
      <c r="U656"/>
      <c r="V656"/>
      <c r="W656" s="87"/>
      <c r="X656"/>
    </row>
    <row r="657" spans="1:24">
      <c r="A657" s="87"/>
      <c r="B657" s="87"/>
      <c r="C657" s="87"/>
      <c r="D657"/>
      <c r="E657"/>
      <c r="F657"/>
      <c r="G657"/>
      <c r="H657"/>
      <c r="I657"/>
      <c r="J657"/>
      <c r="K657"/>
      <c r="L657"/>
      <c r="M657"/>
      <c r="N657"/>
      <c r="O657"/>
      <c r="P657"/>
      <c r="Q657"/>
      <c r="R657"/>
      <c r="S657"/>
      <c r="T657"/>
      <c r="U657"/>
      <c r="V657"/>
      <c r="W657" s="87"/>
      <c r="X657"/>
    </row>
    <row r="658" spans="1:24">
      <c r="A658" s="87"/>
      <c r="B658" s="87"/>
      <c r="C658" s="87"/>
      <c r="D658"/>
      <c r="E658"/>
      <c r="F658"/>
      <c r="G658"/>
      <c r="H658"/>
      <c r="I658"/>
      <c r="J658"/>
      <c r="K658"/>
      <c r="L658"/>
      <c r="M658"/>
      <c r="N658"/>
      <c r="O658"/>
      <c r="P658"/>
      <c r="Q658"/>
      <c r="R658"/>
      <c r="S658"/>
      <c r="T658"/>
      <c r="U658"/>
      <c r="V658"/>
      <c r="W658" s="87"/>
      <c r="X658"/>
    </row>
    <row r="659" spans="1:24">
      <c r="A659" s="87"/>
      <c r="B659" s="87"/>
      <c r="C659" s="87"/>
      <c r="D659"/>
      <c r="E659"/>
      <c r="F659"/>
      <c r="G659"/>
      <c r="H659"/>
      <c r="I659"/>
      <c r="J659"/>
      <c r="K659"/>
      <c r="L659"/>
      <c r="M659"/>
      <c r="N659"/>
      <c r="O659"/>
      <c r="P659"/>
      <c r="Q659"/>
      <c r="R659"/>
      <c r="S659"/>
      <c r="T659"/>
      <c r="U659"/>
      <c r="V659"/>
      <c r="W659" s="87"/>
      <c r="X659"/>
    </row>
    <row r="660" spans="1:24">
      <c r="A660" s="87"/>
      <c r="B660" s="87"/>
      <c r="C660" s="87"/>
      <c r="D660"/>
      <c r="E660"/>
      <c r="F660"/>
      <c r="G660"/>
      <c r="H660"/>
      <c r="I660"/>
      <c r="J660"/>
      <c r="K660"/>
      <c r="L660"/>
      <c r="M660"/>
      <c r="N660"/>
      <c r="O660"/>
      <c r="P660"/>
      <c r="Q660"/>
      <c r="R660"/>
      <c r="S660"/>
      <c r="T660"/>
      <c r="U660"/>
      <c r="V660"/>
      <c r="W660" s="87"/>
      <c r="X660"/>
    </row>
    <row r="661" spans="1:24">
      <c r="A661" s="87"/>
      <c r="B661" s="87"/>
      <c r="C661" s="87"/>
      <c r="D661"/>
      <c r="E661"/>
      <c r="F661"/>
      <c r="G661"/>
      <c r="H661"/>
      <c r="I661"/>
      <c r="J661"/>
      <c r="K661"/>
      <c r="L661"/>
      <c r="M661"/>
      <c r="N661"/>
      <c r="O661"/>
      <c r="P661"/>
      <c r="Q661"/>
      <c r="R661"/>
      <c r="S661"/>
      <c r="T661"/>
      <c r="U661"/>
      <c r="V661"/>
      <c r="W661" s="87"/>
      <c r="X661"/>
    </row>
    <row r="662" spans="1:24">
      <c r="A662" s="87"/>
      <c r="B662" s="87"/>
      <c r="C662" s="87"/>
      <c r="D662"/>
      <c r="E662"/>
      <c r="F662"/>
      <c r="G662"/>
      <c r="H662"/>
      <c r="I662"/>
      <c r="J662"/>
      <c r="K662"/>
      <c r="L662"/>
      <c r="M662"/>
      <c r="N662"/>
      <c r="O662"/>
      <c r="P662"/>
      <c r="Q662"/>
      <c r="R662"/>
      <c r="S662"/>
      <c r="T662"/>
      <c r="U662"/>
      <c r="V662"/>
      <c r="W662" s="87"/>
      <c r="X662"/>
    </row>
    <row r="663" spans="1:24">
      <c r="A663" s="87"/>
      <c r="B663" s="87"/>
      <c r="C663" s="87"/>
      <c r="D663"/>
      <c r="E663"/>
      <c r="F663"/>
      <c r="G663"/>
      <c r="H663"/>
      <c r="I663"/>
      <c r="J663"/>
      <c r="K663"/>
      <c r="L663"/>
      <c r="M663"/>
      <c r="N663"/>
      <c r="O663"/>
      <c r="P663"/>
      <c r="Q663"/>
      <c r="R663"/>
      <c r="S663"/>
      <c r="T663"/>
      <c r="U663"/>
      <c r="V663"/>
      <c r="W663" s="87"/>
      <c r="X663"/>
    </row>
    <row r="664" spans="1:24">
      <c r="A664" s="87"/>
      <c r="B664" s="87"/>
      <c r="C664" s="87"/>
      <c r="D664"/>
      <c r="E664"/>
      <c r="F664"/>
      <c r="G664"/>
      <c r="H664"/>
      <c r="I664"/>
      <c r="J664"/>
      <c r="K664"/>
      <c r="L664"/>
      <c r="M664"/>
      <c r="N664"/>
      <c r="O664"/>
      <c r="P664"/>
      <c r="Q664"/>
      <c r="R664"/>
      <c r="S664"/>
      <c r="T664"/>
      <c r="U664"/>
      <c r="V664"/>
      <c r="W664" s="87"/>
      <c r="X664"/>
    </row>
    <row r="665" spans="1:24">
      <c r="A665" s="87"/>
      <c r="B665" s="87"/>
      <c r="C665" s="87"/>
      <c r="D665"/>
      <c r="E665"/>
      <c r="F665"/>
      <c r="G665"/>
      <c r="H665"/>
      <c r="I665"/>
      <c r="J665"/>
      <c r="K665"/>
      <c r="L665"/>
      <c r="M665"/>
      <c r="N665"/>
      <c r="O665"/>
      <c r="P665"/>
      <c r="Q665"/>
      <c r="R665"/>
      <c r="S665"/>
      <c r="T665"/>
      <c r="U665"/>
      <c r="V665"/>
      <c r="W665" s="87"/>
      <c r="X665"/>
    </row>
    <row r="666" spans="1:24">
      <c r="A666" s="87"/>
      <c r="B666" s="87"/>
      <c r="C666" s="87"/>
      <c r="D666"/>
      <c r="E666"/>
      <c r="F666"/>
      <c r="G666"/>
      <c r="H666"/>
      <c r="I666"/>
      <c r="J666"/>
      <c r="K666"/>
      <c r="L666"/>
      <c r="M666"/>
      <c r="N666"/>
      <c r="O666"/>
      <c r="P666"/>
      <c r="Q666"/>
      <c r="R666"/>
      <c r="S666"/>
      <c r="T666"/>
      <c r="U666"/>
      <c r="V666"/>
      <c r="W666" s="87"/>
      <c r="X666"/>
    </row>
    <row r="667" spans="1:24">
      <c r="A667" s="87"/>
      <c r="B667" s="87"/>
      <c r="C667" s="87"/>
      <c r="D667"/>
      <c r="E667"/>
      <c r="F667"/>
      <c r="G667"/>
      <c r="H667"/>
      <c r="I667"/>
      <c r="J667"/>
      <c r="K667"/>
      <c r="L667"/>
      <c r="M667"/>
      <c r="N667"/>
      <c r="O667"/>
      <c r="P667"/>
      <c r="Q667"/>
      <c r="R667"/>
      <c r="S667"/>
      <c r="T667"/>
      <c r="U667"/>
      <c r="V667"/>
      <c r="W667" s="87"/>
      <c r="X667"/>
    </row>
    <row r="668" spans="1:24">
      <c r="A668" s="87"/>
      <c r="B668" s="87"/>
      <c r="C668" s="87"/>
      <c r="D668"/>
      <c r="E668"/>
      <c r="F668"/>
      <c r="G668"/>
      <c r="H668"/>
      <c r="I668"/>
      <c r="J668"/>
      <c r="K668"/>
      <c r="L668"/>
      <c r="M668"/>
      <c r="N668"/>
      <c r="O668"/>
      <c r="P668"/>
      <c r="Q668"/>
      <c r="R668"/>
      <c r="S668"/>
      <c r="T668"/>
      <c r="U668"/>
      <c r="V668"/>
      <c r="W668" s="87"/>
      <c r="X668"/>
    </row>
    <row r="669" spans="1:24">
      <c r="A669" s="87"/>
      <c r="B669" s="87"/>
      <c r="C669" s="87"/>
      <c r="D669"/>
      <c r="E669"/>
      <c r="F669"/>
      <c r="G669"/>
      <c r="H669"/>
      <c r="I669"/>
      <c r="J669"/>
      <c r="K669"/>
      <c r="L669"/>
      <c r="M669"/>
      <c r="N669"/>
      <c r="O669"/>
      <c r="P669"/>
      <c r="Q669"/>
      <c r="R669"/>
      <c r="S669"/>
      <c r="T669"/>
      <c r="U669"/>
      <c r="V669"/>
      <c r="W669" s="87"/>
      <c r="X669"/>
    </row>
    <row r="670" spans="1:24">
      <c r="A670" s="87"/>
      <c r="B670" s="87"/>
      <c r="C670" s="87"/>
      <c r="D670"/>
      <c r="E670"/>
      <c r="F670"/>
      <c r="G670"/>
      <c r="H670"/>
      <c r="I670"/>
      <c r="J670"/>
      <c r="K670"/>
      <c r="L670"/>
      <c r="M670"/>
      <c r="N670"/>
      <c r="O670"/>
      <c r="P670"/>
      <c r="Q670"/>
      <c r="R670"/>
      <c r="S670"/>
      <c r="T670"/>
      <c r="U670"/>
      <c r="V670"/>
      <c r="W670" s="87"/>
      <c r="X670"/>
    </row>
    <row r="671" spans="1:24">
      <c r="A671" s="87"/>
      <c r="B671" s="87"/>
      <c r="C671" s="87"/>
      <c r="D671"/>
      <c r="E671"/>
      <c r="F671"/>
      <c r="G671"/>
      <c r="H671"/>
      <c r="I671"/>
      <c r="J671"/>
      <c r="K671"/>
      <c r="L671"/>
      <c r="M671"/>
      <c r="N671"/>
      <c r="O671"/>
      <c r="P671"/>
      <c r="Q671"/>
      <c r="R671"/>
      <c r="S671"/>
      <c r="T671"/>
      <c r="U671"/>
      <c r="V671"/>
      <c r="W671" s="87"/>
      <c r="X671"/>
    </row>
    <row r="672" spans="1:24">
      <c r="A672" s="87"/>
      <c r="B672" s="87"/>
      <c r="C672" s="87"/>
      <c r="D672"/>
      <c r="E672"/>
      <c r="F672"/>
      <c r="G672"/>
      <c r="H672"/>
      <c r="I672"/>
      <c r="J672"/>
      <c r="K672"/>
      <c r="L672"/>
      <c r="M672"/>
      <c r="N672"/>
      <c r="O672"/>
      <c r="P672"/>
      <c r="Q672"/>
      <c r="R672"/>
      <c r="S672"/>
      <c r="T672"/>
      <c r="U672"/>
      <c r="V672"/>
      <c r="W672" s="87"/>
      <c r="X672"/>
    </row>
    <row r="673" spans="1:24">
      <c r="A673" s="87"/>
      <c r="B673" s="87"/>
      <c r="C673" s="87"/>
      <c r="D673"/>
      <c r="E673"/>
      <c r="F673"/>
      <c r="G673"/>
      <c r="H673"/>
      <c r="I673"/>
      <c r="J673"/>
      <c r="K673"/>
      <c r="L673"/>
      <c r="M673"/>
      <c r="N673"/>
      <c r="O673"/>
      <c r="P673"/>
      <c r="Q673"/>
      <c r="R673"/>
      <c r="S673"/>
      <c r="T673"/>
      <c r="U673"/>
      <c r="V673"/>
      <c r="W673" s="87"/>
      <c r="X673"/>
    </row>
    <row r="674" spans="1:24">
      <c r="A674" s="87"/>
      <c r="B674" s="87"/>
      <c r="C674" s="87"/>
      <c r="D674"/>
      <c r="E674"/>
      <c r="F674"/>
      <c r="G674"/>
      <c r="H674"/>
      <c r="I674"/>
      <c r="J674"/>
      <c r="K674"/>
      <c r="L674"/>
      <c r="M674"/>
      <c r="N674"/>
      <c r="O674"/>
      <c r="P674"/>
      <c r="Q674"/>
      <c r="R674"/>
      <c r="S674"/>
      <c r="T674"/>
      <c r="U674"/>
      <c r="V674"/>
      <c r="W674" s="87"/>
      <c r="X674"/>
    </row>
    <row r="675" spans="1:24">
      <c r="A675" s="87"/>
      <c r="B675" s="87"/>
      <c r="C675" s="87"/>
      <c r="D675"/>
      <c r="E675"/>
      <c r="F675"/>
      <c r="G675"/>
      <c r="H675"/>
      <c r="I675"/>
      <c r="J675"/>
      <c r="K675"/>
      <c r="L675"/>
      <c r="M675"/>
      <c r="N675"/>
      <c r="O675"/>
      <c r="P675"/>
      <c r="Q675"/>
      <c r="R675"/>
      <c r="S675"/>
      <c r="T675"/>
      <c r="U675"/>
      <c r="V675"/>
      <c r="W675" s="87"/>
      <c r="X675"/>
    </row>
    <row r="676" spans="1:24">
      <c r="A676" s="87"/>
      <c r="B676" s="87"/>
      <c r="C676" s="87"/>
      <c r="D676"/>
      <c r="E676"/>
      <c r="F676"/>
      <c r="G676"/>
      <c r="H676"/>
      <c r="I676"/>
      <c r="J676"/>
      <c r="K676"/>
      <c r="L676"/>
      <c r="M676"/>
      <c r="N676"/>
      <c r="O676"/>
      <c r="P676"/>
      <c r="Q676"/>
      <c r="R676"/>
      <c r="S676"/>
      <c r="T676"/>
      <c r="U676"/>
      <c r="V676"/>
      <c r="W676" s="87"/>
      <c r="X676"/>
    </row>
    <row r="677" spans="1:24">
      <c r="A677" s="87"/>
      <c r="B677" s="87"/>
      <c r="C677" s="87"/>
      <c r="D677"/>
      <c r="E677"/>
      <c r="F677"/>
      <c r="G677"/>
      <c r="H677"/>
      <c r="I677"/>
      <c r="J677"/>
      <c r="K677"/>
      <c r="L677"/>
      <c r="M677"/>
      <c r="N677"/>
      <c r="O677"/>
      <c r="P677"/>
      <c r="Q677"/>
      <c r="R677"/>
      <c r="S677"/>
      <c r="T677"/>
      <c r="U677"/>
      <c r="V677"/>
      <c r="W677" s="87"/>
      <c r="X677"/>
    </row>
    <row r="678" spans="1:24">
      <c r="A678" s="87"/>
      <c r="B678" s="87"/>
      <c r="C678" s="87"/>
      <c r="D678"/>
      <c r="E678"/>
      <c r="F678"/>
      <c r="G678"/>
      <c r="H678"/>
      <c r="I678"/>
      <c r="J678"/>
      <c r="K678"/>
      <c r="L678"/>
      <c r="M678"/>
      <c r="N678"/>
      <c r="O678"/>
      <c r="P678"/>
      <c r="Q678"/>
      <c r="R678"/>
      <c r="S678"/>
      <c r="T678"/>
      <c r="U678"/>
      <c r="V678"/>
      <c r="W678" s="87"/>
      <c r="X678"/>
    </row>
    <row r="679" spans="1:24">
      <c r="A679" s="87"/>
      <c r="B679" s="87"/>
      <c r="C679" s="87"/>
      <c r="D679"/>
      <c r="E679"/>
      <c r="F679"/>
      <c r="G679"/>
      <c r="H679"/>
      <c r="I679"/>
      <c r="J679"/>
      <c r="K679"/>
      <c r="L679"/>
      <c r="M679"/>
      <c r="N679"/>
      <c r="O679"/>
      <c r="P679"/>
      <c r="Q679"/>
      <c r="R679"/>
      <c r="S679"/>
      <c r="T679"/>
      <c r="U679"/>
      <c r="V679"/>
      <c r="W679" s="87"/>
      <c r="X679"/>
    </row>
    <row r="680" spans="1:24">
      <c r="A680" s="87"/>
      <c r="B680" s="87"/>
      <c r="C680" s="87"/>
      <c r="D680"/>
      <c r="E680"/>
      <c r="F680"/>
      <c r="G680"/>
      <c r="H680"/>
      <c r="I680"/>
      <c r="J680"/>
      <c r="K680"/>
      <c r="L680"/>
      <c r="M680"/>
      <c r="N680"/>
      <c r="O680"/>
      <c r="P680"/>
      <c r="Q680"/>
      <c r="R680"/>
      <c r="S680"/>
      <c r="T680"/>
      <c r="U680"/>
      <c r="V680"/>
      <c r="W680" s="87"/>
      <c r="X680"/>
    </row>
    <row r="681" spans="1:24">
      <c r="A681" s="87"/>
      <c r="B681" s="87"/>
      <c r="C681" s="87"/>
      <c r="D681"/>
      <c r="E681"/>
      <c r="F681"/>
      <c r="G681"/>
      <c r="H681"/>
      <c r="I681"/>
      <c r="J681"/>
      <c r="K681"/>
      <c r="L681"/>
      <c r="M681"/>
      <c r="N681"/>
      <c r="O681"/>
      <c r="P681"/>
      <c r="Q681"/>
      <c r="R681"/>
      <c r="S681"/>
      <c r="T681"/>
      <c r="U681"/>
      <c r="V681"/>
      <c r="W681" s="87"/>
      <c r="X681"/>
    </row>
    <row r="682" spans="1:24">
      <c r="A682" s="87"/>
      <c r="B682" s="87"/>
      <c r="C682" s="87"/>
      <c r="D682"/>
      <c r="E682"/>
      <c r="F682"/>
      <c r="G682"/>
      <c r="H682"/>
      <c r="I682"/>
      <c r="J682"/>
      <c r="K682"/>
      <c r="L682"/>
      <c r="M682"/>
      <c r="N682"/>
      <c r="O682"/>
      <c r="P682"/>
      <c r="Q682"/>
      <c r="R682"/>
      <c r="S682"/>
      <c r="T682"/>
      <c r="U682"/>
      <c r="V682"/>
      <c r="W682" s="87"/>
      <c r="X682"/>
    </row>
    <row r="683" spans="1:24">
      <c r="A683" s="87"/>
      <c r="B683" s="87"/>
      <c r="C683" s="87"/>
      <c r="D683"/>
      <c r="E683"/>
      <c r="F683"/>
      <c r="G683"/>
      <c r="H683"/>
      <c r="I683"/>
      <c r="J683"/>
      <c r="K683"/>
      <c r="L683"/>
      <c r="M683"/>
      <c r="N683"/>
      <c r="O683"/>
      <c r="P683"/>
      <c r="Q683"/>
      <c r="R683"/>
      <c r="S683"/>
      <c r="T683"/>
      <c r="U683"/>
      <c r="V683"/>
      <c r="W683" s="87"/>
      <c r="X683"/>
    </row>
    <row r="684" spans="1:24">
      <c r="A684" s="87"/>
      <c r="B684" s="87"/>
      <c r="C684" s="87"/>
      <c r="D684"/>
      <c r="E684"/>
      <c r="F684"/>
      <c r="G684"/>
      <c r="H684"/>
      <c r="I684"/>
      <c r="J684"/>
      <c r="K684"/>
      <c r="L684"/>
      <c r="M684"/>
      <c r="N684"/>
      <c r="O684"/>
      <c r="P684"/>
      <c r="Q684"/>
      <c r="R684"/>
      <c r="S684"/>
      <c r="T684"/>
      <c r="U684"/>
      <c r="V684"/>
      <c r="W684" s="87"/>
      <c r="X684"/>
    </row>
    <row r="685" spans="1:24">
      <c r="A685" s="87"/>
      <c r="B685" s="87"/>
      <c r="C685" s="87"/>
      <c r="D685"/>
      <c r="E685"/>
      <c r="F685"/>
      <c r="G685"/>
      <c r="H685"/>
      <c r="I685"/>
      <c r="J685"/>
      <c r="K685"/>
      <c r="L685"/>
      <c r="M685"/>
      <c r="N685"/>
      <c r="O685"/>
      <c r="P685"/>
      <c r="Q685"/>
      <c r="R685"/>
      <c r="S685"/>
      <c r="T685"/>
      <c r="U685"/>
      <c r="V685"/>
      <c r="W685" s="87"/>
      <c r="X685"/>
    </row>
    <row r="686" spans="1:24">
      <c r="A686" s="87"/>
      <c r="B686" s="87"/>
      <c r="C686" s="87"/>
      <c r="D686"/>
      <c r="E686"/>
      <c r="F686"/>
      <c r="G686"/>
      <c r="H686"/>
      <c r="I686"/>
      <c r="J686"/>
      <c r="K686"/>
      <c r="L686"/>
      <c r="M686"/>
      <c r="N686"/>
      <c r="O686"/>
      <c r="P686"/>
      <c r="Q686"/>
      <c r="R686"/>
      <c r="S686"/>
      <c r="T686"/>
      <c r="U686"/>
      <c r="V686"/>
      <c r="W686" s="87"/>
      <c r="X686"/>
    </row>
    <row r="687" spans="1:24">
      <c r="A687" s="87"/>
      <c r="B687" s="87"/>
      <c r="C687" s="87"/>
      <c r="D687"/>
      <c r="E687"/>
      <c r="F687"/>
      <c r="G687"/>
      <c r="H687"/>
      <c r="I687"/>
      <c r="J687"/>
      <c r="K687"/>
      <c r="L687"/>
      <c r="M687"/>
      <c r="N687"/>
      <c r="O687"/>
      <c r="P687"/>
      <c r="Q687"/>
      <c r="R687"/>
      <c r="S687"/>
      <c r="T687"/>
      <c r="U687"/>
      <c r="V687"/>
      <c r="W687" s="87"/>
      <c r="X687"/>
    </row>
    <row r="688" spans="1:24">
      <c r="A688" s="87"/>
      <c r="B688" s="87"/>
      <c r="C688" s="87"/>
      <c r="D688"/>
      <c r="E688"/>
      <c r="F688"/>
      <c r="G688"/>
      <c r="H688"/>
      <c r="I688"/>
      <c r="J688"/>
      <c r="K688"/>
      <c r="L688"/>
      <c r="M688"/>
      <c r="N688"/>
      <c r="O688"/>
      <c r="P688"/>
      <c r="Q688"/>
      <c r="R688"/>
      <c r="S688"/>
      <c r="T688"/>
      <c r="U688"/>
      <c r="V688"/>
      <c r="W688" s="87"/>
      <c r="X688"/>
    </row>
    <row r="689" spans="1:24">
      <c r="A689" s="87"/>
      <c r="B689" s="87"/>
      <c r="C689" s="87"/>
      <c r="D689"/>
      <c r="E689"/>
      <c r="F689"/>
      <c r="G689"/>
      <c r="H689"/>
      <c r="I689"/>
      <c r="J689"/>
      <c r="K689"/>
      <c r="L689"/>
      <c r="M689"/>
      <c r="N689"/>
      <c r="O689"/>
      <c r="P689"/>
      <c r="Q689"/>
      <c r="R689"/>
      <c r="S689"/>
      <c r="T689"/>
      <c r="U689"/>
      <c r="V689"/>
      <c r="W689" s="87"/>
      <c r="X689"/>
    </row>
    <row r="690" spans="1:24">
      <c r="A690" s="87"/>
      <c r="B690" s="87"/>
      <c r="C690" s="87"/>
      <c r="D690"/>
      <c r="E690"/>
      <c r="F690"/>
      <c r="G690"/>
      <c r="H690"/>
      <c r="I690"/>
      <c r="J690"/>
      <c r="K690"/>
      <c r="L690"/>
      <c r="M690"/>
      <c r="N690"/>
      <c r="O690"/>
      <c r="P690"/>
      <c r="Q690"/>
      <c r="R690"/>
      <c r="S690"/>
      <c r="T690"/>
      <c r="U690"/>
      <c r="V690"/>
      <c r="W690" s="87"/>
      <c r="X690"/>
    </row>
    <row r="691" spans="1:24">
      <c r="A691" s="87"/>
      <c r="B691" s="87"/>
      <c r="C691" s="87"/>
      <c r="D691"/>
      <c r="E691"/>
      <c r="F691"/>
      <c r="G691"/>
      <c r="H691"/>
      <c r="I691"/>
      <c r="J691"/>
      <c r="K691"/>
      <c r="L691"/>
      <c r="M691"/>
      <c r="N691"/>
      <c r="O691"/>
      <c r="P691"/>
      <c r="Q691"/>
      <c r="R691"/>
      <c r="S691"/>
      <c r="T691"/>
      <c r="U691"/>
      <c r="V691"/>
      <c r="W691" s="87"/>
      <c r="X691"/>
    </row>
    <row r="692" spans="1:24">
      <c r="A692" s="87"/>
      <c r="B692" s="87"/>
      <c r="C692" s="87"/>
      <c r="D692"/>
      <c r="E692"/>
      <c r="F692"/>
      <c r="G692"/>
      <c r="H692"/>
      <c r="I692"/>
      <c r="J692"/>
      <c r="K692"/>
      <c r="L692"/>
      <c r="M692"/>
      <c r="N692"/>
      <c r="O692"/>
      <c r="P692"/>
      <c r="Q692"/>
      <c r="R692"/>
      <c r="S692"/>
      <c r="T692"/>
      <c r="U692"/>
      <c r="V692"/>
      <c r="W692" s="87"/>
      <c r="X692"/>
    </row>
    <row r="693" spans="1:24">
      <c r="A693" s="87"/>
      <c r="B693" s="87"/>
      <c r="C693" s="87"/>
      <c r="D693"/>
      <c r="E693"/>
      <c r="F693"/>
      <c r="G693"/>
      <c r="H693"/>
      <c r="I693"/>
      <c r="J693"/>
      <c r="K693"/>
      <c r="L693"/>
      <c r="M693"/>
      <c r="N693"/>
      <c r="O693"/>
      <c r="P693"/>
      <c r="Q693"/>
      <c r="R693"/>
      <c r="S693"/>
      <c r="T693"/>
      <c r="U693"/>
      <c r="V693"/>
      <c r="W693" s="87"/>
      <c r="X693"/>
    </row>
    <row r="694" spans="1:24">
      <c r="A694" s="87"/>
      <c r="B694" s="87"/>
      <c r="C694" s="87"/>
      <c r="D694"/>
      <c r="E694"/>
      <c r="F694"/>
      <c r="G694"/>
      <c r="H694"/>
      <c r="I694"/>
      <c r="J694"/>
      <c r="K694"/>
      <c r="L694"/>
      <c r="M694"/>
      <c r="N694"/>
      <c r="O694"/>
      <c r="P694"/>
      <c r="Q694"/>
      <c r="R694"/>
      <c r="S694"/>
      <c r="T694"/>
      <c r="U694"/>
      <c r="V694"/>
      <c r="W694" s="87"/>
      <c r="X694"/>
    </row>
    <row r="695" spans="1:24">
      <c r="A695" s="87"/>
      <c r="B695" s="87"/>
      <c r="C695" s="87"/>
      <c r="D695"/>
      <c r="E695"/>
      <c r="F695"/>
      <c r="G695"/>
      <c r="H695"/>
      <c r="I695"/>
      <c r="J695"/>
      <c r="K695"/>
      <c r="L695"/>
      <c r="M695"/>
      <c r="N695"/>
      <c r="O695"/>
      <c r="P695"/>
      <c r="Q695"/>
      <c r="R695"/>
      <c r="S695"/>
      <c r="T695"/>
      <c r="U695"/>
      <c r="V695"/>
      <c r="W695" s="87"/>
      <c r="X695"/>
    </row>
    <row r="696" spans="1:24">
      <c r="A696" s="87"/>
      <c r="B696" s="87"/>
      <c r="C696" s="87"/>
      <c r="D696"/>
      <c r="E696"/>
      <c r="F696"/>
      <c r="G696"/>
      <c r="H696"/>
      <c r="I696"/>
      <c r="J696"/>
      <c r="K696"/>
      <c r="L696"/>
      <c r="M696"/>
      <c r="N696"/>
      <c r="O696"/>
      <c r="P696"/>
      <c r="Q696"/>
      <c r="R696"/>
      <c r="S696"/>
      <c r="T696"/>
      <c r="U696"/>
      <c r="V696"/>
      <c r="W696" s="87"/>
      <c r="X696"/>
    </row>
    <row r="697" spans="1:24">
      <c r="A697" s="87"/>
      <c r="B697" s="87"/>
      <c r="C697" s="87"/>
      <c r="D697"/>
      <c r="E697"/>
      <c r="F697"/>
      <c r="G697"/>
      <c r="H697"/>
      <c r="I697"/>
      <c r="J697"/>
      <c r="K697"/>
      <c r="L697"/>
      <c r="M697"/>
      <c r="N697"/>
      <c r="O697"/>
      <c r="P697"/>
      <c r="Q697"/>
      <c r="R697"/>
      <c r="S697"/>
      <c r="T697"/>
      <c r="U697"/>
      <c r="V697"/>
      <c r="W697" s="87"/>
      <c r="X697"/>
    </row>
    <row r="698" spans="1:24">
      <c r="A698" s="87"/>
      <c r="B698" s="87"/>
      <c r="C698" s="87"/>
      <c r="D698"/>
      <c r="E698"/>
      <c r="F698"/>
      <c r="G698"/>
      <c r="H698"/>
      <c r="I698"/>
      <c r="J698"/>
      <c r="K698"/>
      <c r="L698"/>
      <c r="M698"/>
      <c r="N698"/>
      <c r="O698"/>
      <c r="P698"/>
      <c r="Q698"/>
      <c r="R698"/>
      <c r="S698"/>
      <c r="T698"/>
      <c r="U698"/>
      <c r="V698"/>
      <c r="W698" s="87"/>
      <c r="X698"/>
    </row>
    <row r="699" spans="1:24">
      <c r="A699" s="87"/>
      <c r="B699" s="87"/>
      <c r="C699" s="87"/>
      <c r="D699"/>
      <c r="E699"/>
      <c r="F699"/>
      <c r="G699"/>
      <c r="H699"/>
      <c r="I699"/>
      <c r="J699"/>
      <c r="K699"/>
      <c r="L699"/>
      <c r="M699"/>
      <c r="N699"/>
      <c r="O699"/>
      <c r="P699"/>
      <c r="Q699"/>
      <c r="R699"/>
      <c r="S699"/>
      <c r="T699"/>
      <c r="U699"/>
      <c r="V699"/>
      <c r="W699" s="87"/>
      <c r="X699"/>
    </row>
    <row r="700" spans="1:24">
      <c r="A700" s="87"/>
      <c r="B700" s="87"/>
      <c r="C700" s="87"/>
      <c r="D700"/>
      <c r="E700"/>
      <c r="F700"/>
      <c r="G700"/>
      <c r="H700"/>
      <c r="I700"/>
      <c r="J700"/>
      <c r="K700"/>
      <c r="L700"/>
      <c r="M700"/>
      <c r="N700"/>
      <c r="O700"/>
      <c r="P700"/>
      <c r="Q700"/>
      <c r="R700"/>
      <c r="S700"/>
      <c r="T700"/>
      <c r="U700"/>
      <c r="V700"/>
      <c r="W700" s="87"/>
      <c r="X700"/>
    </row>
    <row r="701" spans="1:24">
      <c r="A701" s="87"/>
      <c r="B701" s="87"/>
      <c r="C701" s="87"/>
      <c r="D701"/>
      <c r="E701"/>
      <c r="F701"/>
      <c r="G701"/>
      <c r="H701"/>
      <c r="I701"/>
      <c r="J701"/>
      <c r="K701"/>
      <c r="L701"/>
      <c r="M701"/>
      <c r="N701"/>
      <c r="O701"/>
      <c r="P701"/>
      <c r="Q701"/>
      <c r="R701"/>
      <c r="S701"/>
      <c r="T701"/>
      <c r="U701"/>
      <c r="V701"/>
      <c r="W701" s="87"/>
      <c r="X701"/>
    </row>
    <row r="702" spans="1:24">
      <c r="A702" s="87"/>
      <c r="B702" s="87"/>
      <c r="C702" s="87"/>
      <c r="D702"/>
      <c r="E702"/>
      <c r="F702"/>
      <c r="G702"/>
      <c r="H702"/>
      <c r="I702"/>
      <c r="J702"/>
      <c r="K702"/>
      <c r="L702"/>
      <c r="M702"/>
      <c r="N702"/>
      <c r="O702"/>
      <c r="P702"/>
      <c r="Q702"/>
      <c r="R702"/>
      <c r="S702"/>
      <c r="T702"/>
      <c r="U702"/>
      <c r="V702"/>
      <c r="W702" s="87"/>
      <c r="X702"/>
    </row>
    <row r="703" spans="1:24">
      <c r="A703" s="87"/>
      <c r="B703" s="87"/>
      <c r="C703" s="87"/>
      <c r="D703"/>
      <c r="E703"/>
      <c r="F703"/>
      <c r="G703"/>
      <c r="H703"/>
      <c r="I703"/>
      <c r="J703"/>
      <c r="K703"/>
      <c r="L703"/>
      <c r="M703"/>
      <c r="N703"/>
      <c r="O703"/>
      <c r="P703"/>
      <c r="Q703"/>
      <c r="R703"/>
      <c r="S703"/>
      <c r="T703"/>
      <c r="U703"/>
      <c r="V703"/>
      <c r="W703" s="87"/>
      <c r="X703"/>
    </row>
    <row r="704" spans="1:24">
      <c r="A704" s="87"/>
      <c r="B704" s="87"/>
      <c r="C704" s="87"/>
      <c r="D704"/>
      <c r="E704"/>
      <c r="F704"/>
      <c r="G704"/>
      <c r="H704"/>
      <c r="I704"/>
      <c r="J704"/>
      <c r="K704"/>
      <c r="L704"/>
      <c r="M704"/>
      <c r="N704"/>
      <c r="O704"/>
      <c r="P704"/>
      <c r="Q704"/>
      <c r="R704"/>
      <c r="S704"/>
      <c r="T704"/>
      <c r="U704"/>
      <c r="V704"/>
      <c r="W704" s="87"/>
      <c r="X704"/>
    </row>
    <row r="705" spans="1:24">
      <c r="A705" s="87"/>
      <c r="B705" s="87"/>
      <c r="C705" s="87"/>
      <c r="D705"/>
      <c r="E705"/>
      <c r="F705"/>
      <c r="G705"/>
      <c r="H705"/>
      <c r="I705"/>
      <c r="J705"/>
      <c r="K705"/>
      <c r="L705"/>
      <c r="M705"/>
      <c r="N705"/>
      <c r="O705"/>
      <c r="P705"/>
      <c r="Q705"/>
      <c r="R705"/>
      <c r="S705"/>
      <c r="T705"/>
      <c r="U705"/>
      <c r="V705"/>
      <c r="W705" s="87"/>
      <c r="X705"/>
    </row>
    <row r="706" spans="1:24">
      <c r="A706" s="87"/>
      <c r="B706" s="87"/>
      <c r="C706" s="87"/>
      <c r="D706"/>
      <c r="E706"/>
      <c r="F706"/>
      <c r="G706"/>
      <c r="H706"/>
      <c r="I706"/>
      <c r="J706"/>
      <c r="K706"/>
      <c r="L706"/>
      <c r="M706"/>
      <c r="N706"/>
      <c r="O706"/>
      <c r="P706"/>
      <c r="Q706"/>
      <c r="R706"/>
      <c r="S706"/>
      <c r="T706"/>
      <c r="U706"/>
      <c r="V706"/>
      <c r="W706" s="87"/>
      <c r="X706"/>
    </row>
    <row r="707" spans="1:24">
      <c r="A707" s="87"/>
      <c r="B707" s="87"/>
      <c r="C707" s="87"/>
      <c r="D707"/>
      <c r="E707"/>
      <c r="F707"/>
      <c r="G707"/>
      <c r="H707"/>
      <c r="I707"/>
      <c r="J707"/>
      <c r="K707"/>
      <c r="L707"/>
      <c r="M707"/>
      <c r="N707"/>
      <c r="O707"/>
      <c r="P707"/>
      <c r="Q707"/>
      <c r="R707"/>
      <c r="S707"/>
      <c r="T707"/>
      <c r="U707"/>
      <c r="V707"/>
      <c r="W707" s="87"/>
      <c r="X707"/>
    </row>
    <row r="708" spans="1:24">
      <c r="A708" s="87"/>
      <c r="B708" s="87"/>
      <c r="C708" s="87"/>
      <c r="D708"/>
      <c r="E708"/>
      <c r="F708"/>
      <c r="G708"/>
      <c r="H708"/>
      <c r="I708"/>
      <c r="J708"/>
      <c r="K708"/>
      <c r="L708"/>
      <c r="M708"/>
      <c r="N708"/>
      <c r="O708"/>
      <c r="P708"/>
      <c r="Q708"/>
      <c r="R708"/>
      <c r="S708"/>
      <c r="T708"/>
      <c r="U708"/>
      <c r="V708"/>
      <c r="W708" s="87"/>
      <c r="X708"/>
    </row>
    <row r="709" spans="1:24">
      <c r="A709" s="87"/>
      <c r="B709" s="87"/>
      <c r="C709" s="87"/>
      <c r="D709"/>
      <c r="E709"/>
      <c r="F709"/>
      <c r="G709"/>
      <c r="H709"/>
      <c r="I709"/>
      <c r="J709"/>
      <c r="K709"/>
      <c r="L709"/>
      <c r="M709"/>
      <c r="N709"/>
      <c r="O709"/>
      <c r="P709"/>
      <c r="Q709"/>
      <c r="R709"/>
      <c r="S709"/>
      <c r="T709"/>
      <c r="U709"/>
      <c r="V709"/>
      <c r="W709" s="87"/>
      <c r="X709"/>
    </row>
    <row r="710" spans="1:24">
      <c r="A710" s="87"/>
      <c r="B710" s="87"/>
      <c r="C710" s="87"/>
      <c r="D710"/>
      <c r="E710"/>
      <c r="F710"/>
      <c r="G710"/>
      <c r="H710"/>
      <c r="I710"/>
      <c r="J710"/>
      <c r="K710"/>
      <c r="L710"/>
      <c r="M710"/>
      <c r="N710"/>
      <c r="O710"/>
      <c r="P710"/>
      <c r="Q710"/>
      <c r="R710"/>
      <c r="S710"/>
      <c r="T710"/>
      <c r="U710"/>
      <c r="V710"/>
      <c r="W710" s="87"/>
      <c r="X710"/>
    </row>
    <row r="711" spans="1:24">
      <c r="A711" s="87"/>
      <c r="B711" s="87"/>
      <c r="C711" s="87"/>
      <c r="D711"/>
      <c r="E711"/>
      <c r="F711"/>
      <c r="G711"/>
      <c r="H711"/>
      <c r="I711"/>
      <c r="J711"/>
      <c r="K711"/>
      <c r="L711"/>
      <c r="M711"/>
      <c r="N711"/>
      <c r="O711"/>
      <c r="P711"/>
      <c r="Q711"/>
      <c r="R711"/>
      <c r="S711"/>
      <c r="T711"/>
      <c r="U711"/>
      <c r="V711"/>
      <c r="W711" s="87"/>
      <c r="X711"/>
    </row>
    <row r="712" spans="1:24">
      <c r="A712" s="87"/>
      <c r="B712" s="87"/>
      <c r="C712" s="87"/>
      <c r="D712"/>
      <c r="E712"/>
      <c r="F712"/>
      <c r="G712"/>
      <c r="H712"/>
      <c r="I712"/>
      <c r="J712"/>
      <c r="K712"/>
      <c r="L712"/>
      <c r="M712"/>
      <c r="N712"/>
      <c r="O712"/>
      <c r="P712"/>
      <c r="Q712"/>
      <c r="R712"/>
      <c r="S712"/>
      <c r="T712"/>
      <c r="U712"/>
      <c r="V712"/>
      <c r="W712" s="87"/>
      <c r="X712"/>
    </row>
    <row r="713" spans="1:24">
      <c r="A713" s="87"/>
      <c r="B713" s="87"/>
      <c r="C713" s="87"/>
      <c r="D713"/>
      <c r="E713"/>
      <c r="F713"/>
      <c r="G713"/>
      <c r="H713"/>
      <c r="I713"/>
      <c r="J713"/>
      <c r="K713"/>
      <c r="L713"/>
      <c r="M713"/>
      <c r="N713"/>
      <c r="O713"/>
      <c r="P713"/>
      <c r="Q713"/>
      <c r="R713"/>
      <c r="S713"/>
      <c r="T713"/>
      <c r="U713"/>
      <c r="V713"/>
      <c r="W713" s="87"/>
      <c r="X713"/>
    </row>
    <row r="714" spans="1:24">
      <c r="A714" s="87"/>
      <c r="B714" s="87"/>
      <c r="C714" s="87"/>
      <c r="D714"/>
      <c r="E714"/>
      <c r="F714"/>
      <c r="G714"/>
      <c r="H714"/>
      <c r="I714"/>
      <c r="J714"/>
      <c r="K714"/>
      <c r="L714"/>
      <c r="M714"/>
      <c r="N714"/>
      <c r="O714"/>
      <c r="P714"/>
      <c r="Q714"/>
      <c r="R714"/>
      <c r="S714"/>
      <c r="T714"/>
      <c r="U714"/>
      <c r="V714"/>
      <c r="W714" s="87"/>
      <c r="X714"/>
    </row>
    <row r="715" spans="1:24">
      <c r="A715" s="87"/>
      <c r="B715" s="87"/>
      <c r="C715" s="87"/>
      <c r="D715"/>
      <c r="E715"/>
      <c r="F715"/>
      <c r="G715"/>
      <c r="H715"/>
      <c r="I715"/>
      <c r="J715"/>
      <c r="K715"/>
      <c r="L715"/>
      <c r="M715"/>
      <c r="N715"/>
      <c r="O715"/>
      <c r="P715"/>
      <c r="Q715"/>
      <c r="R715"/>
      <c r="S715"/>
      <c r="T715"/>
      <c r="U715"/>
      <c r="V715"/>
      <c r="W715" s="87"/>
      <c r="X715"/>
    </row>
    <row r="716" spans="1:24">
      <c r="A716" s="87"/>
      <c r="B716" s="87"/>
      <c r="C716" s="87"/>
      <c r="D716"/>
      <c r="E716"/>
      <c r="F716"/>
      <c r="G716"/>
      <c r="H716"/>
      <c r="I716"/>
      <c r="J716"/>
      <c r="K716"/>
      <c r="L716"/>
      <c r="M716"/>
      <c r="N716"/>
      <c r="O716"/>
      <c r="P716"/>
      <c r="Q716"/>
      <c r="R716"/>
      <c r="S716"/>
      <c r="T716"/>
      <c r="U716"/>
      <c r="V716"/>
      <c r="W716" s="87"/>
      <c r="X716"/>
    </row>
    <row r="717" spans="1:24">
      <c r="A717" s="87"/>
      <c r="B717" s="87"/>
      <c r="C717" s="87"/>
      <c r="D717"/>
      <c r="E717"/>
      <c r="F717"/>
      <c r="G717"/>
      <c r="H717"/>
      <c r="I717"/>
      <c r="J717"/>
      <c r="K717"/>
      <c r="L717"/>
      <c r="M717"/>
      <c r="N717"/>
      <c r="O717"/>
      <c r="P717"/>
      <c r="Q717"/>
      <c r="R717"/>
      <c r="S717"/>
      <c r="T717"/>
      <c r="U717"/>
      <c r="V717"/>
      <c r="W717" s="87"/>
      <c r="X717"/>
    </row>
    <row r="718" spans="1:24">
      <c r="A718" s="87"/>
      <c r="B718" s="87"/>
      <c r="C718" s="87"/>
      <c r="D718"/>
      <c r="E718"/>
      <c r="F718"/>
      <c r="G718"/>
      <c r="H718"/>
      <c r="I718"/>
      <c r="J718"/>
      <c r="K718"/>
      <c r="L718"/>
      <c r="M718"/>
      <c r="N718"/>
      <c r="O718"/>
      <c r="P718"/>
      <c r="Q718"/>
      <c r="R718"/>
      <c r="S718"/>
      <c r="T718"/>
      <c r="U718"/>
      <c r="V718"/>
      <c r="W718" s="87"/>
      <c r="X718"/>
    </row>
    <row r="719" spans="1:24">
      <c r="A719" s="87"/>
      <c r="B719" s="87"/>
      <c r="C719" s="87"/>
      <c r="D719"/>
      <c r="E719"/>
      <c r="F719"/>
      <c r="G719"/>
      <c r="H719"/>
      <c r="I719"/>
      <c r="J719"/>
      <c r="K719"/>
      <c r="L719"/>
      <c r="M719"/>
      <c r="N719"/>
      <c r="O719"/>
      <c r="P719"/>
      <c r="Q719"/>
      <c r="R719"/>
      <c r="S719"/>
      <c r="T719"/>
      <c r="U719"/>
      <c r="V719"/>
      <c r="W719" s="87"/>
      <c r="X719"/>
    </row>
    <row r="720" spans="1:24">
      <c r="A720" s="87"/>
      <c r="B720" s="87"/>
      <c r="C720" s="87"/>
      <c r="D720"/>
      <c r="E720"/>
      <c r="F720"/>
      <c r="G720"/>
      <c r="H720"/>
      <c r="I720"/>
      <c r="J720"/>
      <c r="K720"/>
      <c r="L720"/>
      <c r="M720"/>
      <c r="N720"/>
      <c r="O720"/>
      <c r="P720"/>
      <c r="Q720"/>
      <c r="R720"/>
      <c r="S720"/>
      <c r="T720"/>
      <c r="U720"/>
      <c r="V720"/>
      <c r="W720" s="87"/>
      <c r="X720"/>
    </row>
    <row r="721" spans="1:24">
      <c r="A721" s="87"/>
      <c r="B721" s="87"/>
      <c r="C721" s="87"/>
      <c r="D721"/>
      <c r="E721"/>
      <c r="F721"/>
      <c r="G721"/>
      <c r="H721"/>
      <c r="I721"/>
      <c r="J721"/>
      <c r="K721"/>
      <c r="L721"/>
      <c r="M721"/>
      <c r="N721"/>
      <c r="O721"/>
      <c r="P721"/>
      <c r="Q721"/>
      <c r="R721"/>
      <c r="S721"/>
      <c r="T721"/>
      <c r="U721"/>
      <c r="V721"/>
      <c r="W721" s="87"/>
      <c r="X721"/>
    </row>
    <row r="722" spans="1:24">
      <c r="A722" s="87"/>
      <c r="B722" s="87"/>
      <c r="C722" s="87"/>
      <c r="D722"/>
      <c r="E722"/>
      <c r="F722"/>
      <c r="G722"/>
      <c r="H722"/>
      <c r="I722"/>
      <c r="J722"/>
      <c r="K722"/>
      <c r="L722"/>
      <c r="M722"/>
      <c r="N722"/>
      <c r="O722"/>
      <c r="P722"/>
      <c r="Q722"/>
      <c r="R722"/>
      <c r="S722"/>
      <c r="T722"/>
      <c r="U722"/>
      <c r="V722"/>
      <c r="W722" s="87"/>
      <c r="X722"/>
    </row>
    <row r="723" spans="1:24">
      <c r="A723" s="87"/>
      <c r="B723" s="87"/>
      <c r="C723" s="87"/>
      <c r="D723"/>
      <c r="E723"/>
      <c r="F723"/>
      <c r="G723"/>
      <c r="H723"/>
      <c r="I723"/>
      <c r="J723"/>
      <c r="K723"/>
      <c r="L723"/>
      <c r="M723"/>
      <c r="N723"/>
      <c r="O723"/>
      <c r="P723"/>
      <c r="Q723"/>
      <c r="R723"/>
      <c r="S723"/>
      <c r="T723"/>
      <c r="U723"/>
      <c r="V723"/>
      <c r="W723" s="87"/>
      <c r="X723"/>
    </row>
    <row r="724" spans="1:24">
      <c r="A724" s="87"/>
      <c r="B724" s="87"/>
      <c r="C724" s="87"/>
      <c r="D724"/>
      <c r="E724"/>
      <c r="F724"/>
      <c r="G724"/>
      <c r="H724"/>
      <c r="I724"/>
      <c r="J724"/>
      <c r="K724"/>
      <c r="L724"/>
      <c r="M724"/>
      <c r="N724"/>
      <c r="O724"/>
      <c r="P724"/>
      <c r="Q724"/>
      <c r="R724"/>
      <c r="S724"/>
      <c r="T724"/>
      <c r="U724"/>
      <c r="V724"/>
      <c r="W724" s="87"/>
      <c r="X724"/>
    </row>
    <row r="725" spans="1:24">
      <c r="A725" s="87"/>
      <c r="B725" s="87"/>
      <c r="C725" s="87"/>
      <c r="D725"/>
      <c r="E725"/>
      <c r="F725"/>
      <c r="G725"/>
      <c r="H725"/>
      <c r="I725"/>
      <c r="J725"/>
      <c r="K725"/>
      <c r="L725"/>
      <c r="M725"/>
      <c r="N725"/>
      <c r="O725"/>
      <c r="P725"/>
      <c r="Q725"/>
      <c r="R725"/>
      <c r="S725"/>
      <c r="T725"/>
      <c r="U725"/>
      <c r="V725"/>
      <c r="W725" s="87"/>
      <c r="X725"/>
    </row>
    <row r="726" spans="1:24">
      <c r="A726" s="87"/>
      <c r="B726" s="87"/>
      <c r="C726" s="87"/>
      <c r="D726"/>
      <c r="E726"/>
      <c r="F726"/>
      <c r="G726"/>
      <c r="H726"/>
      <c r="I726"/>
      <c r="J726"/>
      <c r="K726"/>
      <c r="L726"/>
      <c r="M726"/>
      <c r="N726"/>
      <c r="O726"/>
      <c r="P726"/>
      <c r="Q726"/>
      <c r="R726"/>
      <c r="S726"/>
      <c r="T726"/>
      <c r="U726"/>
      <c r="V726"/>
      <c r="W726" s="87"/>
      <c r="X726"/>
    </row>
    <row r="727" spans="1:24">
      <c r="A727" s="87"/>
      <c r="B727" s="87"/>
      <c r="C727" s="87"/>
      <c r="D727"/>
      <c r="E727"/>
      <c r="F727"/>
      <c r="G727"/>
      <c r="H727"/>
      <c r="I727"/>
      <c r="J727"/>
      <c r="K727"/>
      <c r="L727"/>
      <c r="M727"/>
      <c r="N727"/>
      <c r="O727"/>
      <c r="P727"/>
      <c r="Q727"/>
      <c r="R727"/>
      <c r="S727"/>
      <c r="T727"/>
      <c r="U727"/>
      <c r="V727"/>
      <c r="W727" s="87"/>
      <c r="X727"/>
    </row>
    <row r="728" spans="1:24">
      <c r="A728" s="87"/>
      <c r="B728" s="87"/>
      <c r="C728" s="87"/>
      <c r="D728"/>
      <c r="E728"/>
      <c r="F728"/>
      <c r="G728"/>
      <c r="H728"/>
      <c r="I728"/>
      <c r="J728"/>
      <c r="K728"/>
      <c r="L728"/>
      <c r="M728"/>
      <c r="N728"/>
      <c r="O728"/>
      <c r="P728"/>
      <c r="Q728"/>
      <c r="R728"/>
      <c r="S728"/>
      <c r="T728"/>
      <c r="U728"/>
      <c r="V728"/>
      <c r="W728" s="87"/>
      <c r="X728"/>
    </row>
    <row r="729" spans="1:24">
      <c r="A729" s="87"/>
      <c r="B729" s="87"/>
      <c r="C729" s="87"/>
      <c r="D729"/>
      <c r="E729"/>
      <c r="F729"/>
      <c r="G729"/>
      <c r="H729"/>
      <c r="I729"/>
      <c r="J729"/>
      <c r="K729"/>
      <c r="L729"/>
      <c r="M729"/>
      <c r="N729"/>
      <c r="O729"/>
      <c r="P729"/>
      <c r="Q729"/>
      <c r="R729"/>
      <c r="S729"/>
      <c r="T729"/>
      <c r="U729"/>
      <c r="V729"/>
      <c r="W729" s="87"/>
      <c r="X729"/>
    </row>
    <row r="730" spans="1:24">
      <c r="A730" s="87"/>
      <c r="B730" s="87"/>
      <c r="C730" s="87"/>
      <c r="D730"/>
      <c r="E730"/>
      <c r="F730"/>
      <c r="G730"/>
      <c r="H730"/>
      <c r="I730"/>
      <c r="J730"/>
      <c r="K730"/>
      <c r="L730"/>
      <c r="M730"/>
      <c r="N730"/>
      <c r="O730"/>
      <c r="P730"/>
      <c r="Q730"/>
      <c r="R730"/>
      <c r="S730"/>
      <c r="T730"/>
      <c r="U730"/>
      <c r="V730"/>
      <c r="W730" s="87"/>
      <c r="X730"/>
    </row>
    <row r="731" spans="1:24">
      <c r="A731" s="87"/>
      <c r="B731" s="87"/>
      <c r="C731" s="87"/>
      <c r="D731"/>
      <c r="E731"/>
      <c r="F731"/>
      <c r="G731"/>
      <c r="H731"/>
      <c r="I731"/>
      <c r="J731"/>
      <c r="K731"/>
      <c r="L731"/>
      <c r="M731"/>
      <c r="N731"/>
      <c r="O731"/>
      <c r="P731"/>
      <c r="Q731"/>
      <c r="R731"/>
      <c r="S731"/>
      <c r="T731"/>
      <c r="U731"/>
      <c r="V731"/>
      <c r="W731" s="87"/>
      <c r="X731"/>
    </row>
    <row r="732" spans="1:24">
      <c r="A732" s="87"/>
      <c r="B732" s="87"/>
      <c r="C732" s="87"/>
      <c r="D732"/>
      <c r="E732"/>
      <c r="F732"/>
      <c r="G732"/>
      <c r="H732"/>
      <c r="I732"/>
      <c r="J732"/>
      <c r="K732"/>
      <c r="L732"/>
      <c r="M732"/>
      <c r="N732"/>
      <c r="O732"/>
      <c r="P732"/>
      <c r="Q732"/>
      <c r="R732"/>
      <c r="S732"/>
      <c r="T732"/>
      <c r="U732"/>
      <c r="V732"/>
      <c r="W732" s="87"/>
      <c r="X732"/>
    </row>
    <row r="733" spans="1:24">
      <c r="A733" s="87"/>
      <c r="B733" s="87"/>
      <c r="C733" s="87"/>
      <c r="D733"/>
      <c r="E733"/>
      <c r="F733"/>
      <c r="G733"/>
      <c r="H733"/>
      <c r="I733"/>
      <c r="J733"/>
      <c r="K733"/>
      <c r="L733"/>
      <c r="M733"/>
      <c r="N733"/>
      <c r="O733"/>
      <c r="P733"/>
      <c r="Q733"/>
      <c r="R733"/>
      <c r="S733"/>
      <c r="T733"/>
      <c r="U733"/>
      <c r="V733"/>
      <c r="W733" s="87"/>
      <c r="X733"/>
    </row>
    <row r="734" spans="1:24">
      <c r="A734" s="87"/>
      <c r="B734" s="87"/>
      <c r="C734" s="87"/>
      <c r="D734"/>
      <c r="E734"/>
      <c r="F734"/>
      <c r="G734"/>
      <c r="H734"/>
      <c r="I734"/>
      <c r="J734"/>
      <c r="K734"/>
      <c r="L734"/>
      <c r="M734"/>
      <c r="N734"/>
      <c r="O734"/>
      <c r="P734"/>
      <c r="Q734"/>
      <c r="R734"/>
      <c r="S734"/>
      <c r="T734"/>
      <c r="U734"/>
      <c r="V734"/>
      <c r="W734" s="87"/>
      <c r="X734"/>
    </row>
    <row r="735" spans="1:24">
      <c r="A735" s="87"/>
      <c r="B735" s="87"/>
      <c r="C735" s="87"/>
      <c r="D735"/>
      <c r="E735"/>
      <c r="F735"/>
      <c r="G735"/>
      <c r="H735"/>
      <c r="I735"/>
      <c r="J735"/>
      <c r="K735"/>
      <c r="L735"/>
      <c r="M735"/>
      <c r="N735"/>
      <c r="O735"/>
      <c r="P735"/>
      <c r="Q735"/>
      <c r="R735"/>
      <c r="S735"/>
      <c r="T735"/>
      <c r="U735"/>
      <c r="V735"/>
      <c r="W735" s="87"/>
      <c r="X735"/>
    </row>
    <row r="736" spans="1:24">
      <c r="A736" s="87"/>
      <c r="B736" s="87"/>
      <c r="C736" s="87"/>
      <c r="D736"/>
      <c r="E736"/>
      <c r="F736"/>
      <c r="G736"/>
      <c r="H736"/>
      <c r="I736"/>
      <c r="J736"/>
      <c r="K736"/>
      <c r="L736"/>
      <c r="M736"/>
      <c r="N736"/>
      <c r="O736"/>
      <c r="P736"/>
      <c r="Q736"/>
      <c r="R736"/>
      <c r="S736"/>
      <c r="T736"/>
      <c r="U736"/>
      <c r="V736"/>
      <c r="W736" s="87"/>
      <c r="X736"/>
    </row>
    <row r="737" spans="1:24">
      <c r="A737" s="87"/>
      <c r="B737" s="87"/>
      <c r="C737" s="87"/>
      <c r="D737"/>
      <c r="E737"/>
      <c r="F737"/>
      <c r="G737"/>
      <c r="H737"/>
      <c r="I737"/>
      <c r="J737"/>
      <c r="K737"/>
      <c r="L737"/>
      <c r="M737"/>
      <c r="N737"/>
      <c r="O737"/>
      <c r="P737"/>
      <c r="Q737"/>
      <c r="R737"/>
      <c r="S737"/>
      <c r="T737"/>
      <c r="U737"/>
      <c r="V737"/>
      <c r="W737" s="87"/>
      <c r="X737"/>
    </row>
    <row r="738" spans="1:24">
      <c r="A738" s="87"/>
      <c r="B738" s="87"/>
      <c r="C738" s="87"/>
      <c r="D738"/>
      <c r="E738"/>
      <c r="F738"/>
      <c r="G738"/>
      <c r="H738"/>
      <c r="I738"/>
      <c r="J738"/>
      <c r="K738"/>
      <c r="L738"/>
      <c r="M738"/>
      <c r="N738"/>
      <c r="O738"/>
      <c r="P738"/>
      <c r="Q738"/>
      <c r="R738"/>
      <c r="S738"/>
      <c r="T738"/>
      <c r="U738"/>
      <c r="V738"/>
      <c r="W738" s="87"/>
      <c r="X738"/>
    </row>
    <row r="739" spans="1:24">
      <c r="A739" s="87"/>
      <c r="B739" s="87"/>
      <c r="C739" s="87"/>
      <c r="D739"/>
      <c r="E739"/>
      <c r="F739"/>
      <c r="G739"/>
      <c r="H739"/>
      <c r="I739"/>
      <c r="J739"/>
      <c r="K739"/>
      <c r="L739"/>
      <c r="M739"/>
      <c r="N739"/>
      <c r="O739"/>
      <c r="P739"/>
      <c r="Q739"/>
      <c r="R739"/>
      <c r="S739"/>
      <c r="T739"/>
      <c r="U739"/>
      <c r="V739"/>
      <c r="W739" s="87"/>
      <c r="X739"/>
    </row>
    <row r="740" spans="1:24">
      <c r="A740" s="87"/>
      <c r="B740" s="87"/>
      <c r="C740" s="87"/>
      <c r="D740"/>
      <c r="E740"/>
      <c r="F740"/>
      <c r="G740"/>
      <c r="H740"/>
      <c r="I740"/>
      <c r="J740"/>
      <c r="K740"/>
      <c r="L740"/>
      <c r="M740"/>
      <c r="N740"/>
      <c r="O740"/>
      <c r="P740"/>
      <c r="Q740"/>
      <c r="R740"/>
      <c r="S740"/>
      <c r="T740"/>
      <c r="U740"/>
      <c r="V740"/>
      <c r="W740" s="87"/>
      <c r="X740"/>
    </row>
    <row r="741" spans="1:24">
      <c r="A741" s="87"/>
      <c r="B741" s="87"/>
      <c r="C741" s="87"/>
      <c r="D741"/>
      <c r="E741"/>
      <c r="F741"/>
      <c r="G741"/>
      <c r="H741"/>
      <c r="I741"/>
      <c r="J741"/>
      <c r="K741"/>
      <c r="L741"/>
      <c r="M741"/>
      <c r="N741"/>
      <c r="O741"/>
      <c r="P741"/>
      <c r="Q741"/>
      <c r="R741"/>
      <c r="S741"/>
      <c r="T741"/>
      <c r="U741"/>
      <c r="V741"/>
      <c r="W741" s="87"/>
      <c r="X741"/>
    </row>
    <row r="742" spans="1:24">
      <c r="A742" s="87"/>
      <c r="B742" s="87"/>
      <c r="C742" s="87"/>
      <c r="D742"/>
      <c r="E742"/>
      <c r="F742"/>
      <c r="G742"/>
      <c r="H742"/>
      <c r="I742"/>
      <c r="J742"/>
      <c r="K742"/>
      <c r="L742"/>
      <c r="M742"/>
      <c r="N742"/>
      <c r="O742"/>
      <c r="P742"/>
      <c r="Q742"/>
      <c r="R742"/>
      <c r="S742"/>
      <c r="T742"/>
      <c r="U742"/>
      <c r="V742"/>
      <c r="W742" s="87"/>
      <c r="X742"/>
    </row>
    <row r="743" spans="1:24">
      <c r="A743" s="87"/>
      <c r="B743" s="87"/>
      <c r="C743" s="87"/>
      <c r="D743"/>
      <c r="E743"/>
      <c r="F743"/>
      <c r="G743"/>
      <c r="H743"/>
      <c r="I743"/>
      <c r="J743"/>
      <c r="K743"/>
      <c r="L743"/>
      <c r="M743"/>
      <c r="N743"/>
      <c r="O743"/>
      <c r="P743"/>
      <c r="Q743"/>
      <c r="R743"/>
      <c r="S743"/>
      <c r="T743"/>
      <c r="U743"/>
      <c r="V743"/>
      <c r="W743" s="87"/>
      <c r="X743"/>
    </row>
    <row r="744" spans="1:24">
      <c r="A744" s="87"/>
      <c r="B744" s="87"/>
      <c r="C744" s="87"/>
      <c r="D744"/>
      <c r="E744"/>
      <c r="F744"/>
      <c r="G744"/>
      <c r="H744"/>
      <c r="I744"/>
      <c r="J744"/>
      <c r="K744"/>
      <c r="L744"/>
      <c r="M744"/>
      <c r="N744"/>
      <c r="O744"/>
      <c r="P744"/>
      <c r="Q744"/>
      <c r="R744"/>
      <c r="S744"/>
      <c r="T744"/>
      <c r="U744"/>
      <c r="V744"/>
      <c r="W744" s="87"/>
      <c r="X744"/>
    </row>
    <row r="745" spans="1:24">
      <c r="A745" s="87"/>
      <c r="B745" s="87"/>
      <c r="C745" s="87"/>
      <c r="D745"/>
      <c r="E745"/>
      <c r="F745"/>
      <c r="G745"/>
      <c r="H745"/>
      <c r="I745"/>
      <c r="J745"/>
      <c r="K745"/>
      <c r="L745"/>
      <c r="M745"/>
      <c r="N745"/>
      <c r="O745"/>
      <c r="P745"/>
      <c r="Q745"/>
      <c r="R745"/>
      <c r="S745"/>
      <c r="T745"/>
      <c r="U745"/>
      <c r="V745"/>
      <c r="W745" s="87"/>
      <c r="X745"/>
    </row>
    <row r="746" spans="1:24">
      <c r="A746" s="87"/>
      <c r="B746" s="87"/>
      <c r="C746" s="87"/>
      <c r="D746"/>
      <c r="E746"/>
      <c r="F746"/>
      <c r="G746"/>
      <c r="H746"/>
      <c r="I746"/>
      <c r="J746"/>
      <c r="K746"/>
      <c r="L746"/>
      <c r="M746"/>
      <c r="N746"/>
      <c r="O746"/>
      <c r="P746"/>
      <c r="Q746"/>
      <c r="R746"/>
      <c r="S746"/>
      <c r="T746"/>
      <c r="U746"/>
      <c r="V746"/>
      <c r="W746" s="87"/>
      <c r="X746"/>
    </row>
    <row r="747" spans="1:24">
      <c r="A747" s="87"/>
      <c r="B747" s="87"/>
      <c r="C747" s="87"/>
      <c r="D747"/>
      <c r="E747"/>
      <c r="F747"/>
      <c r="G747"/>
      <c r="H747"/>
      <c r="I747"/>
      <c r="J747"/>
      <c r="K747"/>
      <c r="L747"/>
      <c r="M747"/>
      <c r="N747"/>
      <c r="O747"/>
      <c r="P747"/>
      <c r="Q747"/>
      <c r="R747"/>
      <c r="S747"/>
      <c r="T747"/>
      <c r="U747"/>
      <c r="V747"/>
      <c r="W747" s="87"/>
      <c r="X747"/>
    </row>
    <row r="748" spans="1:24">
      <c r="A748" s="87"/>
      <c r="B748" s="87"/>
      <c r="C748" s="87"/>
      <c r="D748"/>
      <c r="E748"/>
      <c r="F748"/>
      <c r="G748"/>
      <c r="H748"/>
      <c r="I748"/>
      <c r="J748"/>
      <c r="K748"/>
      <c r="L748"/>
      <c r="M748"/>
      <c r="N748"/>
      <c r="O748"/>
      <c r="P748"/>
      <c r="Q748"/>
      <c r="R748"/>
      <c r="S748"/>
      <c r="T748"/>
      <c r="U748"/>
      <c r="V748"/>
      <c r="W748" s="87"/>
      <c r="X748"/>
    </row>
    <row r="749" spans="1:24">
      <c r="A749" s="87"/>
      <c r="B749" s="87"/>
      <c r="C749" s="87"/>
      <c r="D749"/>
      <c r="E749"/>
      <c r="F749"/>
      <c r="G749"/>
      <c r="H749"/>
      <c r="I749"/>
      <c r="J749"/>
      <c r="K749"/>
      <c r="L749"/>
      <c r="M749"/>
      <c r="N749"/>
      <c r="O749"/>
      <c r="P749"/>
      <c r="Q749"/>
      <c r="R749"/>
      <c r="S749"/>
      <c r="T749"/>
      <c r="U749"/>
      <c r="V749"/>
      <c r="W749" s="87"/>
      <c r="X749"/>
    </row>
    <row r="750" spans="1:24">
      <c r="A750" s="87"/>
      <c r="B750" s="87"/>
      <c r="C750" s="87"/>
      <c r="D750"/>
      <c r="E750"/>
      <c r="F750"/>
      <c r="G750"/>
      <c r="H750"/>
      <c r="I750"/>
      <c r="J750"/>
      <c r="K750"/>
      <c r="L750"/>
      <c r="M750"/>
      <c r="N750"/>
      <c r="O750"/>
      <c r="P750"/>
      <c r="Q750"/>
      <c r="R750"/>
      <c r="S750"/>
      <c r="T750"/>
      <c r="U750"/>
      <c r="V750"/>
      <c r="W750" s="87"/>
      <c r="X750"/>
    </row>
    <row r="751" spans="1:24">
      <c r="A751" s="87"/>
      <c r="B751" s="87"/>
      <c r="C751" s="87"/>
      <c r="D751"/>
      <c r="E751"/>
      <c r="F751"/>
      <c r="G751"/>
      <c r="H751"/>
      <c r="I751"/>
      <c r="J751"/>
      <c r="K751"/>
      <c r="L751"/>
      <c r="M751"/>
      <c r="N751"/>
      <c r="O751"/>
      <c r="P751"/>
      <c r="Q751"/>
      <c r="R751"/>
      <c r="S751"/>
      <c r="T751"/>
      <c r="U751"/>
      <c r="V751"/>
      <c r="W751" s="87"/>
      <c r="X751"/>
    </row>
    <row r="752" spans="1:24">
      <c r="A752" s="87"/>
      <c r="B752" s="87"/>
      <c r="C752" s="87"/>
      <c r="D752"/>
      <c r="E752"/>
      <c r="F752"/>
      <c r="G752"/>
      <c r="H752"/>
      <c r="I752"/>
      <c r="J752"/>
      <c r="K752"/>
      <c r="L752"/>
      <c r="M752"/>
      <c r="N752"/>
      <c r="O752"/>
      <c r="P752"/>
      <c r="Q752"/>
      <c r="R752"/>
      <c r="S752"/>
      <c r="T752"/>
      <c r="U752"/>
      <c r="V752"/>
      <c r="W752" s="87"/>
      <c r="X752"/>
    </row>
    <row r="753" spans="1:24">
      <c r="A753" s="87"/>
      <c r="B753" s="87"/>
      <c r="C753" s="87"/>
      <c r="D753"/>
      <c r="E753"/>
      <c r="F753"/>
      <c r="G753"/>
      <c r="H753"/>
      <c r="I753"/>
      <c r="J753"/>
      <c r="K753"/>
      <c r="L753"/>
      <c r="M753"/>
      <c r="N753"/>
      <c r="O753"/>
      <c r="P753"/>
      <c r="Q753"/>
      <c r="R753"/>
      <c r="S753"/>
      <c r="T753"/>
      <c r="U753"/>
      <c r="V753"/>
      <c r="W753" s="87"/>
      <c r="X753"/>
    </row>
    <row r="754" spans="1:24">
      <c r="A754" s="87"/>
      <c r="B754" s="87"/>
      <c r="C754" s="87"/>
      <c r="D754"/>
      <c r="E754"/>
      <c r="F754"/>
      <c r="G754"/>
      <c r="H754"/>
      <c r="I754"/>
      <c r="J754"/>
      <c r="K754"/>
      <c r="L754"/>
      <c r="M754"/>
      <c r="N754"/>
      <c r="O754"/>
      <c r="P754"/>
      <c r="Q754"/>
      <c r="R754"/>
      <c r="S754"/>
      <c r="T754"/>
      <c r="U754"/>
      <c r="V754"/>
      <c r="W754" s="87"/>
      <c r="X754"/>
    </row>
    <row r="755" spans="1:24">
      <c r="A755" s="87"/>
      <c r="B755" s="87"/>
      <c r="C755" s="87"/>
      <c r="D755"/>
      <c r="E755"/>
      <c r="F755"/>
      <c r="G755"/>
      <c r="H755"/>
      <c r="I755"/>
      <c r="J755"/>
      <c r="K755"/>
      <c r="L755"/>
      <c r="M755"/>
      <c r="N755"/>
      <c r="O755"/>
      <c r="P755"/>
      <c r="Q755"/>
      <c r="R755"/>
      <c r="S755"/>
      <c r="T755"/>
      <c r="U755"/>
      <c r="V755"/>
      <c r="W755" s="87"/>
      <c r="X755"/>
    </row>
    <row r="756" spans="1:24">
      <c r="A756" s="87"/>
      <c r="B756" s="87"/>
      <c r="C756" s="87"/>
      <c r="D756"/>
      <c r="E756"/>
      <c r="F756"/>
      <c r="G756"/>
      <c r="H756"/>
      <c r="I756"/>
      <c r="J756"/>
      <c r="K756"/>
      <c r="L756"/>
      <c r="M756"/>
      <c r="N756"/>
      <c r="O756"/>
      <c r="P756"/>
      <c r="Q756"/>
      <c r="R756"/>
      <c r="S756"/>
      <c r="T756"/>
      <c r="U756"/>
      <c r="V756"/>
      <c r="W756" s="87"/>
      <c r="X756"/>
    </row>
    <row r="757" spans="1:24">
      <c r="A757" s="87"/>
      <c r="B757" s="87"/>
      <c r="C757" s="87"/>
      <c r="D757"/>
      <c r="E757"/>
      <c r="F757"/>
      <c r="G757"/>
      <c r="H757"/>
      <c r="I757"/>
      <c r="J757"/>
      <c r="K757"/>
      <c r="L757"/>
      <c r="M757"/>
      <c r="N757"/>
      <c r="O757"/>
      <c r="P757"/>
      <c r="Q757"/>
      <c r="R757"/>
      <c r="S757"/>
      <c r="T757"/>
      <c r="U757"/>
      <c r="V757"/>
      <c r="W757" s="87"/>
      <c r="X757"/>
    </row>
    <row r="758" spans="1:24">
      <c r="A758" s="87"/>
      <c r="B758" s="87"/>
      <c r="C758" s="87"/>
      <c r="D758"/>
      <c r="E758"/>
      <c r="F758"/>
      <c r="G758"/>
      <c r="H758"/>
      <c r="I758"/>
      <c r="J758"/>
      <c r="K758"/>
      <c r="L758"/>
      <c r="M758"/>
      <c r="N758"/>
      <c r="O758"/>
      <c r="P758"/>
      <c r="Q758"/>
      <c r="R758"/>
      <c r="S758"/>
      <c r="T758"/>
      <c r="U758"/>
      <c r="V758"/>
      <c r="W758" s="87"/>
      <c r="X758"/>
    </row>
    <row r="759" spans="1:24">
      <c r="A759" s="87"/>
      <c r="B759" s="87"/>
      <c r="C759" s="87"/>
      <c r="D759"/>
      <c r="E759"/>
      <c r="F759"/>
      <c r="G759"/>
      <c r="H759"/>
      <c r="I759"/>
      <c r="J759"/>
      <c r="K759"/>
      <c r="L759"/>
      <c r="M759"/>
      <c r="N759"/>
      <c r="O759"/>
      <c r="P759"/>
      <c r="Q759"/>
      <c r="R759"/>
      <c r="S759"/>
      <c r="T759"/>
      <c r="U759"/>
      <c r="V759"/>
      <c r="W759" s="87"/>
      <c r="X759"/>
    </row>
    <row r="760" spans="1:24">
      <c r="A760" s="87"/>
      <c r="B760" s="87"/>
      <c r="C760" s="87"/>
      <c r="D760"/>
      <c r="E760"/>
      <c r="F760"/>
      <c r="G760"/>
      <c r="H760"/>
      <c r="I760"/>
      <c r="J760"/>
      <c r="K760"/>
      <c r="L760"/>
      <c r="M760"/>
      <c r="N760"/>
      <c r="O760"/>
      <c r="P760"/>
      <c r="Q760"/>
      <c r="R760"/>
      <c r="S760"/>
      <c r="T760"/>
      <c r="U760"/>
      <c r="V760"/>
      <c r="W760" s="87"/>
      <c r="X760"/>
    </row>
    <row r="761" spans="1:24">
      <c r="A761" s="87"/>
      <c r="B761" s="87"/>
      <c r="C761" s="87"/>
      <c r="D761"/>
      <c r="E761"/>
      <c r="F761"/>
      <c r="G761"/>
      <c r="H761"/>
      <c r="I761"/>
      <c r="J761"/>
      <c r="K761"/>
      <c r="L761"/>
      <c r="M761"/>
      <c r="N761"/>
      <c r="O761"/>
      <c r="P761"/>
      <c r="Q761"/>
      <c r="R761"/>
      <c r="S761"/>
      <c r="T761"/>
      <c r="U761"/>
      <c r="V761"/>
      <c r="W761" s="87"/>
      <c r="X761"/>
    </row>
    <row r="762" spans="1:24">
      <c r="A762" s="87"/>
      <c r="B762" s="87"/>
      <c r="C762" s="87"/>
      <c r="D762"/>
      <c r="E762"/>
      <c r="F762"/>
      <c r="G762"/>
      <c r="H762"/>
      <c r="I762"/>
      <c r="J762"/>
      <c r="K762"/>
      <c r="L762"/>
      <c r="M762"/>
      <c r="N762"/>
      <c r="O762"/>
      <c r="P762"/>
      <c r="Q762"/>
      <c r="R762"/>
      <c r="S762"/>
      <c r="T762"/>
      <c r="U762"/>
      <c r="V762"/>
      <c r="W762" s="87"/>
      <c r="X762"/>
    </row>
    <row r="763" spans="1:24">
      <c r="A763" s="87"/>
      <c r="B763" s="87"/>
      <c r="C763" s="87"/>
      <c r="D763"/>
      <c r="E763"/>
      <c r="F763"/>
      <c r="G763"/>
      <c r="H763"/>
      <c r="I763"/>
      <c r="J763"/>
      <c r="K763"/>
      <c r="L763"/>
      <c r="M763"/>
      <c r="N763"/>
      <c r="O763"/>
      <c r="P763"/>
      <c r="Q763"/>
      <c r="R763"/>
      <c r="S763"/>
      <c r="T763"/>
      <c r="U763"/>
      <c r="V763"/>
      <c r="W763" s="87"/>
      <c r="X763"/>
    </row>
    <row r="764" spans="1:24">
      <c r="A764" s="87"/>
      <c r="B764" s="87"/>
      <c r="C764" s="87"/>
      <c r="D764"/>
      <c r="E764"/>
      <c r="F764"/>
      <c r="G764"/>
      <c r="H764"/>
      <c r="I764"/>
      <c r="J764"/>
      <c r="K764"/>
      <c r="L764"/>
      <c r="M764"/>
      <c r="N764"/>
      <c r="O764"/>
      <c r="P764"/>
      <c r="Q764"/>
      <c r="R764"/>
      <c r="S764"/>
      <c r="T764"/>
      <c r="U764"/>
      <c r="V764"/>
      <c r="W764" s="87"/>
      <c r="X764"/>
    </row>
    <row r="765" spans="1:24">
      <c r="A765" s="87"/>
      <c r="B765" s="87"/>
      <c r="C765" s="87"/>
      <c r="D765"/>
      <c r="E765"/>
      <c r="F765"/>
      <c r="G765"/>
      <c r="H765"/>
      <c r="I765"/>
      <c r="J765"/>
      <c r="K765"/>
      <c r="L765"/>
      <c r="M765"/>
      <c r="N765"/>
      <c r="O765"/>
      <c r="P765"/>
      <c r="Q765"/>
      <c r="R765"/>
      <c r="S765"/>
      <c r="T765"/>
      <c r="U765"/>
      <c r="V765"/>
      <c r="W765" s="87"/>
      <c r="X765"/>
    </row>
    <row r="766" spans="1:24">
      <c r="A766" s="87"/>
      <c r="B766" s="87"/>
      <c r="C766" s="87"/>
      <c r="D766"/>
      <c r="E766"/>
      <c r="F766"/>
      <c r="G766"/>
      <c r="H766"/>
      <c r="I766"/>
      <c r="J766"/>
      <c r="K766"/>
      <c r="L766"/>
      <c r="M766"/>
      <c r="N766"/>
      <c r="O766"/>
      <c r="P766"/>
      <c r="Q766"/>
      <c r="R766"/>
      <c r="S766"/>
      <c r="T766"/>
      <c r="U766"/>
      <c r="V766"/>
      <c r="W766" s="87"/>
      <c r="X766"/>
    </row>
    <row r="767" spans="1:24">
      <c r="A767" s="87"/>
      <c r="B767" s="87"/>
      <c r="C767" s="87"/>
      <c r="D767"/>
      <c r="E767"/>
      <c r="F767"/>
      <c r="G767"/>
      <c r="H767"/>
      <c r="I767"/>
      <c r="J767"/>
      <c r="K767"/>
      <c r="L767"/>
      <c r="M767"/>
      <c r="N767"/>
      <c r="O767"/>
      <c r="P767"/>
      <c r="Q767"/>
      <c r="R767"/>
      <c r="S767"/>
      <c r="T767"/>
      <c r="U767"/>
      <c r="V767"/>
      <c r="W767" s="87"/>
      <c r="X767"/>
    </row>
    <row r="768" spans="1:24">
      <c r="A768" s="87"/>
      <c r="B768" s="87"/>
      <c r="C768" s="87"/>
      <c r="D768"/>
      <c r="E768"/>
      <c r="F768"/>
      <c r="G768"/>
      <c r="H768"/>
      <c r="I768"/>
      <c r="J768"/>
      <c r="K768"/>
      <c r="L768"/>
      <c r="M768"/>
      <c r="N768"/>
      <c r="O768"/>
      <c r="P768"/>
      <c r="Q768"/>
      <c r="R768"/>
      <c r="S768"/>
      <c r="T768"/>
      <c r="U768"/>
      <c r="V768"/>
      <c r="W768" s="87"/>
      <c r="X768"/>
    </row>
    <row r="769" spans="1:24">
      <c r="A769" s="87"/>
      <c r="B769" s="87"/>
      <c r="C769" s="87"/>
      <c r="D769"/>
      <c r="E769"/>
      <c r="F769"/>
      <c r="G769"/>
      <c r="H769"/>
      <c r="I769"/>
      <c r="J769"/>
      <c r="K769"/>
      <c r="L769"/>
      <c r="M769"/>
      <c r="N769"/>
      <c r="O769"/>
      <c r="P769"/>
      <c r="Q769"/>
      <c r="R769"/>
      <c r="S769"/>
      <c r="T769"/>
      <c r="U769"/>
      <c r="V769"/>
      <c r="W769" s="87"/>
      <c r="X769"/>
    </row>
    <row r="770" spans="1:24">
      <c r="A770" s="87"/>
      <c r="B770" s="87"/>
      <c r="C770" s="87"/>
      <c r="D770"/>
      <c r="E770"/>
      <c r="F770"/>
      <c r="G770"/>
      <c r="H770"/>
      <c r="I770"/>
      <c r="J770"/>
      <c r="K770"/>
      <c r="L770"/>
      <c r="M770"/>
      <c r="N770"/>
      <c r="O770"/>
      <c r="P770"/>
      <c r="Q770"/>
      <c r="R770"/>
      <c r="S770"/>
      <c r="T770"/>
      <c r="U770"/>
      <c r="V770"/>
      <c r="W770" s="87"/>
      <c r="X770"/>
    </row>
    <row r="771" spans="1:24">
      <c r="A771" s="87"/>
      <c r="B771" s="87"/>
      <c r="C771" s="87"/>
      <c r="D771"/>
      <c r="E771"/>
      <c r="F771"/>
      <c r="G771"/>
      <c r="H771"/>
      <c r="I771"/>
      <c r="J771"/>
      <c r="K771"/>
      <c r="L771"/>
      <c r="M771"/>
      <c r="N771"/>
      <c r="O771"/>
      <c r="P771"/>
      <c r="Q771"/>
      <c r="R771"/>
      <c r="S771"/>
      <c r="T771"/>
      <c r="U771"/>
      <c r="V771"/>
      <c r="W771" s="87"/>
      <c r="X771"/>
    </row>
    <row r="772" spans="1:24">
      <c r="A772" s="87"/>
      <c r="B772" s="87"/>
      <c r="C772" s="87"/>
      <c r="D772"/>
      <c r="E772"/>
      <c r="F772"/>
      <c r="G772"/>
      <c r="H772"/>
      <c r="I772"/>
      <c r="J772"/>
      <c r="K772"/>
      <c r="L772"/>
      <c r="M772"/>
      <c r="N772"/>
      <c r="O772"/>
      <c r="P772"/>
      <c r="Q772"/>
      <c r="R772"/>
      <c r="S772"/>
      <c r="T772"/>
      <c r="U772"/>
      <c r="V772"/>
      <c r="W772" s="87"/>
      <c r="X772"/>
    </row>
    <row r="773" spans="1:24">
      <c r="A773" s="87"/>
      <c r="B773" s="87"/>
      <c r="C773" s="87"/>
      <c r="D773"/>
      <c r="E773"/>
      <c r="F773"/>
      <c r="G773"/>
      <c r="H773"/>
      <c r="I773"/>
      <c r="J773"/>
      <c r="K773"/>
      <c r="L773"/>
      <c r="M773"/>
      <c r="N773"/>
      <c r="O773"/>
      <c r="P773"/>
      <c r="Q773"/>
      <c r="R773"/>
      <c r="S773"/>
      <c r="T773"/>
      <c r="U773"/>
      <c r="V773"/>
      <c r="W773" s="87"/>
      <c r="X773"/>
    </row>
    <row r="774" spans="1:24">
      <c r="A774" s="87"/>
      <c r="B774" s="87"/>
      <c r="C774" s="87"/>
      <c r="D774"/>
      <c r="E774"/>
      <c r="F774"/>
      <c r="G774"/>
      <c r="H774"/>
      <c r="I774"/>
      <c r="J774"/>
      <c r="K774"/>
      <c r="L774"/>
      <c r="M774"/>
      <c r="N774"/>
      <c r="O774"/>
      <c r="P774"/>
      <c r="Q774"/>
      <c r="R774"/>
      <c r="S774"/>
      <c r="T774"/>
      <c r="U774"/>
      <c r="V774"/>
      <c r="W774" s="87"/>
      <c r="X774"/>
    </row>
    <row r="775" spans="1:24">
      <c r="A775" s="87"/>
      <c r="B775" s="87"/>
      <c r="C775" s="87"/>
      <c r="D775"/>
      <c r="E775"/>
      <c r="F775"/>
      <c r="G775"/>
      <c r="H775"/>
      <c r="I775"/>
      <c r="J775"/>
      <c r="K775"/>
      <c r="L775"/>
      <c r="M775"/>
      <c r="N775"/>
      <c r="O775"/>
      <c r="P775"/>
      <c r="Q775"/>
      <c r="R775"/>
      <c r="S775"/>
      <c r="T775"/>
      <c r="U775"/>
      <c r="V775"/>
      <c r="W775" s="87"/>
      <c r="X775"/>
    </row>
    <row r="776" spans="1:24">
      <c r="A776" s="87"/>
      <c r="B776" s="87"/>
      <c r="C776" s="87"/>
      <c r="D776"/>
      <c r="E776"/>
      <c r="F776"/>
      <c r="G776"/>
      <c r="H776"/>
      <c r="I776"/>
      <c r="J776"/>
      <c r="K776"/>
      <c r="L776"/>
      <c r="M776"/>
      <c r="N776"/>
      <c r="O776"/>
      <c r="P776"/>
      <c r="Q776"/>
      <c r="R776"/>
      <c r="S776"/>
      <c r="T776"/>
      <c r="U776"/>
      <c r="V776"/>
      <c r="W776" s="87"/>
      <c r="X776"/>
    </row>
    <row r="777" spans="1:24">
      <c r="A777" s="87"/>
      <c r="B777" s="87"/>
      <c r="C777" s="87"/>
      <c r="D777"/>
      <c r="E777"/>
      <c r="F777"/>
      <c r="G777"/>
      <c r="H777"/>
      <c r="I777"/>
      <c r="J777"/>
      <c r="K777"/>
      <c r="L777"/>
      <c r="M777"/>
      <c r="N777"/>
      <c r="O777"/>
      <c r="P777"/>
      <c r="Q777"/>
      <c r="R777"/>
      <c r="S777"/>
      <c r="T777"/>
      <c r="U777"/>
      <c r="V777"/>
      <c r="W777" s="87"/>
      <c r="X777"/>
    </row>
    <row r="778" spans="1:24">
      <c r="A778" s="87"/>
      <c r="B778" s="87"/>
      <c r="C778" s="87"/>
      <c r="D778"/>
      <c r="E778"/>
      <c r="F778"/>
      <c r="G778"/>
      <c r="H778"/>
      <c r="I778"/>
      <c r="J778"/>
      <c r="K778"/>
      <c r="L778"/>
      <c r="M778"/>
      <c r="N778"/>
      <c r="O778"/>
      <c r="P778"/>
      <c r="Q778"/>
      <c r="R778"/>
      <c r="S778"/>
      <c r="T778"/>
      <c r="U778"/>
      <c r="V778"/>
      <c r="W778" s="87"/>
      <c r="X778"/>
    </row>
    <row r="779" spans="1:24">
      <c r="A779" s="87"/>
      <c r="B779" s="87"/>
      <c r="C779" s="87"/>
      <c r="D779"/>
      <c r="E779"/>
      <c r="F779"/>
      <c r="G779"/>
      <c r="H779"/>
      <c r="I779"/>
      <c r="J779"/>
      <c r="K779"/>
      <c r="L779"/>
      <c r="M779"/>
      <c r="N779"/>
      <c r="O779"/>
      <c r="P779"/>
      <c r="Q779"/>
      <c r="R779"/>
      <c r="S779"/>
      <c r="T779"/>
      <c r="U779"/>
      <c r="V779"/>
      <c r="W779" s="87"/>
      <c r="X779"/>
    </row>
    <row r="780" spans="1:24">
      <c r="A780" s="87"/>
      <c r="B780" s="87"/>
      <c r="C780" s="87"/>
      <c r="D780"/>
      <c r="E780"/>
      <c r="F780"/>
      <c r="G780"/>
      <c r="H780"/>
      <c r="I780"/>
      <c r="J780"/>
      <c r="K780"/>
      <c r="L780"/>
      <c r="M780"/>
      <c r="N780"/>
      <c r="O780"/>
      <c r="P780"/>
      <c r="Q780"/>
      <c r="R780"/>
      <c r="S780"/>
      <c r="T780"/>
      <c r="U780"/>
      <c r="V780"/>
      <c r="W780" s="87"/>
      <c r="X780"/>
    </row>
    <row r="781" spans="1:24">
      <c r="A781" s="87"/>
      <c r="B781" s="87"/>
      <c r="C781" s="87"/>
      <c r="D781"/>
      <c r="E781"/>
      <c r="F781"/>
      <c r="G781"/>
      <c r="H781"/>
      <c r="I781"/>
      <c r="J781"/>
      <c r="K781"/>
      <c r="L781"/>
      <c r="M781"/>
      <c r="N781"/>
      <c r="O781"/>
      <c r="P781"/>
      <c r="Q781"/>
      <c r="R781"/>
      <c r="S781"/>
      <c r="T781"/>
      <c r="U781"/>
      <c r="V781"/>
      <c r="W781" s="87"/>
      <c r="X781"/>
    </row>
    <row r="782" spans="1:24">
      <c r="A782" s="87"/>
      <c r="B782" s="87"/>
      <c r="C782" s="87"/>
      <c r="D782"/>
      <c r="E782"/>
      <c r="F782"/>
      <c r="G782"/>
      <c r="H782"/>
      <c r="I782"/>
      <c r="J782"/>
      <c r="K782"/>
      <c r="L782"/>
      <c r="M782"/>
      <c r="N782"/>
      <c r="O782"/>
      <c r="P782"/>
      <c r="Q782"/>
      <c r="R782"/>
      <c r="S782"/>
      <c r="T782"/>
      <c r="U782"/>
      <c r="V782"/>
      <c r="W782" s="87"/>
      <c r="X782"/>
    </row>
    <row r="783" spans="1:24">
      <c r="A783" s="87"/>
      <c r="B783" s="87"/>
      <c r="C783" s="87"/>
      <c r="D783"/>
      <c r="E783"/>
      <c r="F783"/>
      <c r="G783"/>
      <c r="H783"/>
      <c r="I783"/>
      <c r="J783"/>
      <c r="K783"/>
      <c r="L783"/>
      <c r="M783"/>
      <c r="N783"/>
      <c r="O783"/>
      <c r="P783"/>
      <c r="Q783"/>
      <c r="R783"/>
      <c r="S783"/>
      <c r="T783"/>
      <c r="U783"/>
      <c r="V783"/>
      <c r="W783" s="87"/>
      <c r="X783"/>
    </row>
    <row r="784" spans="1:24">
      <c r="A784" s="87"/>
      <c r="B784" s="87"/>
      <c r="C784" s="87"/>
      <c r="D784"/>
      <c r="E784"/>
      <c r="F784"/>
      <c r="G784"/>
      <c r="H784"/>
      <c r="I784"/>
      <c r="J784"/>
      <c r="K784"/>
      <c r="L784"/>
      <c r="M784"/>
      <c r="N784"/>
      <c r="O784"/>
      <c r="P784"/>
      <c r="Q784"/>
      <c r="R784"/>
      <c r="S784"/>
      <c r="T784"/>
      <c r="U784"/>
      <c r="V784"/>
      <c r="W784" s="87"/>
      <c r="X784"/>
    </row>
    <row r="785" spans="1:24">
      <c r="A785" s="87"/>
      <c r="B785" s="87"/>
      <c r="C785" s="87"/>
      <c r="D785"/>
      <c r="E785"/>
      <c r="F785"/>
      <c r="G785"/>
      <c r="H785"/>
      <c r="I785"/>
      <c r="J785"/>
      <c r="K785"/>
      <c r="L785"/>
      <c r="M785"/>
      <c r="N785"/>
      <c r="O785"/>
      <c r="P785"/>
      <c r="Q785"/>
      <c r="R785"/>
      <c r="S785"/>
      <c r="T785"/>
      <c r="U785"/>
      <c r="V785"/>
      <c r="W785" s="87"/>
      <c r="X785"/>
    </row>
    <row r="786" spans="1:24">
      <c r="A786" s="87"/>
      <c r="B786" s="87"/>
      <c r="C786" s="87"/>
      <c r="D786"/>
      <c r="E786"/>
      <c r="F786"/>
      <c r="G786"/>
      <c r="H786"/>
      <c r="I786"/>
      <c r="J786"/>
      <c r="K786"/>
      <c r="L786"/>
      <c r="M786"/>
      <c r="N786"/>
      <c r="O786"/>
      <c r="P786"/>
      <c r="Q786"/>
      <c r="R786"/>
      <c r="S786"/>
      <c r="T786"/>
      <c r="U786"/>
      <c r="V786"/>
      <c r="W786" s="87"/>
      <c r="X786"/>
    </row>
    <row r="787" spans="1:24">
      <c r="A787" s="87"/>
      <c r="B787" s="87"/>
      <c r="C787" s="87"/>
      <c r="D787"/>
      <c r="E787"/>
      <c r="F787"/>
      <c r="G787"/>
      <c r="H787"/>
      <c r="I787"/>
      <c r="J787"/>
      <c r="K787"/>
      <c r="L787"/>
      <c r="M787"/>
      <c r="N787"/>
      <c r="O787"/>
      <c r="P787"/>
      <c r="Q787"/>
      <c r="R787"/>
      <c r="S787"/>
      <c r="T787"/>
      <c r="U787"/>
      <c r="V787"/>
      <c r="W787" s="87"/>
      <c r="X787"/>
    </row>
    <row r="788" spans="1:24">
      <c r="A788" s="87"/>
      <c r="B788" s="87"/>
      <c r="C788" s="87"/>
      <c r="D788"/>
      <c r="E788"/>
      <c r="F788"/>
      <c r="G788"/>
      <c r="H788"/>
      <c r="I788"/>
      <c r="J788"/>
      <c r="K788"/>
      <c r="L788"/>
      <c r="M788"/>
      <c r="N788"/>
      <c r="O788"/>
      <c r="P788"/>
      <c r="Q788"/>
      <c r="R788"/>
      <c r="S788"/>
      <c r="T788"/>
      <c r="U788"/>
      <c r="V788"/>
      <c r="W788" s="87"/>
      <c r="X788"/>
    </row>
    <row r="789" spans="1:24">
      <c r="A789" s="87"/>
      <c r="B789" s="87"/>
      <c r="C789" s="87"/>
      <c r="D789"/>
      <c r="E789"/>
      <c r="F789"/>
      <c r="G789"/>
      <c r="H789"/>
      <c r="I789"/>
      <c r="J789"/>
      <c r="K789"/>
      <c r="L789"/>
      <c r="M789"/>
      <c r="N789"/>
      <c r="O789"/>
      <c r="P789"/>
      <c r="Q789"/>
      <c r="R789"/>
      <c r="S789"/>
      <c r="T789"/>
      <c r="U789"/>
      <c r="V789"/>
      <c r="W789" s="87"/>
      <c r="X789"/>
    </row>
    <row r="790" spans="1:24">
      <c r="A790" s="87"/>
      <c r="B790" s="87"/>
      <c r="C790" s="87"/>
      <c r="D790"/>
      <c r="E790"/>
      <c r="F790"/>
      <c r="G790"/>
      <c r="H790"/>
      <c r="I790"/>
      <c r="J790"/>
      <c r="K790"/>
      <c r="L790"/>
      <c r="M790"/>
      <c r="N790"/>
      <c r="O790"/>
      <c r="P790"/>
      <c r="Q790"/>
      <c r="R790"/>
      <c r="S790"/>
      <c r="T790"/>
      <c r="U790"/>
      <c r="V790"/>
      <c r="W790" s="87"/>
      <c r="X790"/>
    </row>
    <row r="791" spans="1:24">
      <c r="A791" s="87"/>
      <c r="B791" s="87"/>
      <c r="C791" s="87"/>
      <c r="D791"/>
      <c r="E791"/>
      <c r="F791"/>
      <c r="G791"/>
      <c r="H791"/>
      <c r="I791"/>
      <c r="J791"/>
      <c r="K791"/>
      <c r="L791"/>
      <c r="M791"/>
      <c r="N791"/>
      <c r="O791"/>
      <c r="P791"/>
      <c r="Q791"/>
      <c r="R791"/>
      <c r="S791"/>
      <c r="T791"/>
      <c r="U791"/>
      <c r="V791"/>
      <c r="W791" s="87"/>
      <c r="X791"/>
    </row>
    <row r="792" spans="1:24">
      <c r="A792" s="87"/>
      <c r="B792" s="87"/>
      <c r="C792" s="87"/>
      <c r="D792"/>
      <c r="E792"/>
      <c r="F792"/>
      <c r="G792"/>
      <c r="H792"/>
      <c r="I792"/>
      <c r="J792"/>
      <c r="K792"/>
      <c r="L792"/>
      <c r="M792"/>
      <c r="N792"/>
      <c r="O792"/>
      <c r="P792"/>
      <c r="Q792"/>
      <c r="R792"/>
      <c r="S792"/>
      <c r="T792"/>
      <c r="U792"/>
      <c r="V792"/>
      <c r="W792" s="87"/>
      <c r="X792"/>
    </row>
    <row r="793" spans="1:24">
      <c r="A793" s="87"/>
      <c r="B793" s="87"/>
      <c r="C793" s="87"/>
      <c r="D793"/>
      <c r="E793"/>
      <c r="F793"/>
      <c r="G793"/>
      <c r="H793"/>
      <c r="I793"/>
      <c r="J793"/>
      <c r="K793"/>
      <c r="L793"/>
      <c r="M793"/>
      <c r="N793"/>
      <c r="O793"/>
      <c r="P793"/>
      <c r="Q793"/>
      <c r="R793"/>
      <c r="S793"/>
      <c r="T793"/>
      <c r="U793"/>
      <c r="V793"/>
      <c r="W793" s="87"/>
      <c r="X793"/>
    </row>
    <row r="794" spans="1:24">
      <c r="A794" s="87"/>
      <c r="B794" s="87"/>
      <c r="C794" s="87"/>
      <c r="D794"/>
      <c r="E794"/>
      <c r="F794"/>
      <c r="G794"/>
      <c r="H794"/>
      <c r="I794"/>
      <c r="J794"/>
      <c r="K794"/>
      <c r="L794"/>
      <c r="M794"/>
      <c r="N794"/>
      <c r="O794"/>
      <c r="P794"/>
      <c r="Q794"/>
      <c r="R794"/>
      <c r="S794"/>
      <c r="T794"/>
      <c r="U794"/>
      <c r="V794"/>
      <c r="W794" s="87"/>
      <c r="X794"/>
    </row>
    <row r="795" spans="1:24">
      <c r="A795" s="87"/>
      <c r="B795" s="87"/>
      <c r="C795" s="87"/>
      <c r="D795"/>
      <c r="E795"/>
      <c r="F795"/>
      <c r="G795"/>
      <c r="H795"/>
      <c r="I795"/>
      <c r="J795"/>
      <c r="K795"/>
      <c r="L795"/>
      <c r="M795"/>
      <c r="N795"/>
      <c r="O795"/>
      <c r="P795"/>
      <c r="Q795"/>
      <c r="R795"/>
      <c r="S795"/>
      <c r="T795"/>
      <c r="U795"/>
      <c r="V795"/>
      <c r="W795" s="87"/>
      <c r="X795"/>
    </row>
    <row r="796" spans="1:24">
      <c r="A796" s="87"/>
      <c r="B796" s="87"/>
      <c r="C796" s="87"/>
      <c r="D796"/>
      <c r="E796"/>
      <c r="F796"/>
      <c r="G796"/>
      <c r="H796"/>
      <c r="I796"/>
      <c r="J796"/>
      <c r="K796"/>
      <c r="L796"/>
      <c r="M796"/>
      <c r="N796"/>
      <c r="O796"/>
      <c r="P796"/>
      <c r="Q796"/>
      <c r="R796"/>
      <c r="S796"/>
      <c r="T796"/>
      <c r="U796"/>
      <c r="V796"/>
      <c r="W796" s="87"/>
      <c r="X796"/>
    </row>
    <row r="797" spans="1:24">
      <c r="A797" s="87"/>
      <c r="B797" s="87"/>
      <c r="C797" s="87"/>
      <c r="D797"/>
      <c r="E797"/>
      <c r="F797"/>
      <c r="G797"/>
      <c r="H797"/>
      <c r="I797"/>
      <c r="J797"/>
      <c r="K797"/>
      <c r="L797"/>
      <c r="M797"/>
      <c r="N797"/>
      <c r="O797"/>
      <c r="P797"/>
      <c r="Q797"/>
      <c r="R797"/>
      <c r="S797"/>
      <c r="T797"/>
      <c r="U797"/>
      <c r="V797"/>
      <c r="W797" s="87"/>
      <c r="X797"/>
    </row>
    <row r="798" spans="1:24">
      <c r="A798" s="87"/>
      <c r="B798" s="87"/>
      <c r="C798" s="87"/>
      <c r="D798"/>
      <c r="E798"/>
      <c r="F798"/>
      <c r="G798"/>
      <c r="H798"/>
      <c r="I798"/>
      <c r="J798"/>
      <c r="K798"/>
      <c r="L798"/>
      <c r="M798"/>
      <c r="N798"/>
      <c r="O798"/>
      <c r="P798"/>
      <c r="Q798"/>
      <c r="R798"/>
      <c r="S798"/>
      <c r="T798"/>
      <c r="U798"/>
      <c r="V798"/>
      <c r="W798" s="87"/>
      <c r="X798"/>
    </row>
    <row r="799" spans="1:24">
      <c r="A799" s="87"/>
      <c r="B799" s="87"/>
      <c r="C799" s="87"/>
      <c r="D799"/>
      <c r="E799"/>
      <c r="F799"/>
      <c r="G799"/>
      <c r="H799"/>
      <c r="I799"/>
      <c r="J799"/>
      <c r="K799"/>
      <c r="L799"/>
      <c r="M799"/>
      <c r="N799"/>
      <c r="O799"/>
      <c r="P799"/>
      <c r="Q799"/>
      <c r="R799"/>
      <c r="S799"/>
      <c r="T799"/>
      <c r="U799"/>
      <c r="V799"/>
      <c r="W799" s="87"/>
      <c r="X799"/>
    </row>
    <row r="800" spans="1:24">
      <c r="A800" s="87"/>
      <c r="B800" s="87"/>
      <c r="C800" s="87"/>
      <c r="D800"/>
      <c r="E800"/>
      <c r="F800"/>
      <c r="G800"/>
      <c r="H800"/>
      <c r="I800"/>
      <c r="J800"/>
      <c r="K800"/>
      <c r="L800"/>
      <c r="M800"/>
      <c r="N800"/>
      <c r="O800"/>
      <c r="P800"/>
      <c r="Q800"/>
      <c r="R800"/>
      <c r="S800"/>
      <c r="T800"/>
      <c r="U800"/>
      <c r="V800"/>
      <c r="W800" s="87"/>
      <c r="X800"/>
    </row>
    <row r="801" spans="1:24">
      <c r="A801" s="87"/>
      <c r="B801" s="87"/>
      <c r="C801" s="87"/>
      <c r="D801"/>
      <c r="E801"/>
      <c r="F801"/>
      <c r="G801"/>
      <c r="H801"/>
      <c r="I801"/>
      <c r="J801"/>
      <c r="K801"/>
      <c r="L801"/>
      <c r="M801"/>
      <c r="N801"/>
      <c r="O801"/>
      <c r="P801"/>
      <c r="Q801"/>
      <c r="R801"/>
      <c r="S801"/>
      <c r="T801"/>
      <c r="U801"/>
      <c r="V801"/>
      <c r="W801" s="87"/>
      <c r="X801"/>
    </row>
    <row r="802" spans="1:24">
      <c r="A802" s="87"/>
      <c r="B802" s="87"/>
      <c r="C802" s="87"/>
      <c r="D802"/>
      <c r="E802"/>
      <c r="F802"/>
      <c r="G802"/>
      <c r="H802"/>
      <c r="I802"/>
      <c r="J802"/>
      <c r="K802"/>
      <c r="L802"/>
      <c r="M802"/>
      <c r="N802"/>
      <c r="O802"/>
      <c r="P802"/>
      <c r="Q802"/>
      <c r="R802"/>
      <c r="S802"/>
      <c r="T802"/>
      <c r="U802"/>
      <c r="V802"/>
      <c r="W802" s="87"/>
      <c r="X802"/>
    </row>
    <row r="803" spans="1:24">
      <c r="A803" s="87"/>
      <c r="B803" s="87"/>
      <c r="C803" s="87"/>
      <c r="D803"/>
      <c r="E803"/>
      <c r="F803"/>
      <c r="G803"/>
      <c r="H803"/>
      <c r="I803"/>
      <c r="J803"/>
      <c r="K803"/>
      <c r="L803"/>
      <c r="M803"/>
      <c r="N803"/>
      <c r="O803"/>
      <c r="P803"/>
      <c r="Q803"/>
      <c r="R803"/>
      <c r="S803"/>
      <c r="T803"/>
      <c r="U803"/>
      <c r="V803"/>
      <c r="W803" s="87"/>
      <c r="X803"/>
    </row>
    <row r="804" spans="1:24">
      <c r="A804" s="87"/>
      <c r="B804" s="87"/>
      <c r="C804" s="87"/>
      <c r="D804"/>
      <c r="E804"/>
      <c r="F804"/>
      <c r="G804"/>
      <c r="H804"/>
      <c r="I804"/>
      <c r="J804"/>
      <c r="K804"/>
      <c r="L804"/>
      <c r="M804"/>
      <c r="N804"/>
      <c r="O804"/>
      <c r="P804"/>
      <c r="Q804"/>
      <c r="R804"/>
      <c r="S804"/>
      <c r="T804"/>
      <c r="U804"/>
      <c r="V804"/>
      <c r="W804" s="87"/>
      <c r="X804"/>
    </row>
    <row r="805" spans="1:24">
      <c r="A805" s="87"/>
      <c r="B805" s="87"/>
      <c r="C805" s="87"/>
      <c r="D805"/>
      <c r="E805"/>
      <c r="F805"/>
      <c r="G805"/>
      <c r="H805"/>
      <c r="I805"/>
      <c r="J805"/>
      <c r="K805"/>
      <c r="L805"/>
      <c r="M805"/>
      <c r="N805"/>
      <c r="O805"/>
      <c r="P805"/>
      <c r="Q805"/>
      <c r="R805"/>
      <c r="S805"/>
      <c r="T805"/>
      <c r="U805"/>
      <c r="V805"/>
      <c r="W805" s="87"/>
      <c r="X805"/>
    </row>
    <row r="806" spans="1:24">
      <c r="A806" s="87"/>
      <c r="B806" s="87"/>
      <c r="C806" s="87"/>
      <c r="D806"/>
      <c r="E806"/>
      <c r="F806"/>
      <c r="G806"/>
      <c r="H806"/>
      <c r="I806"/>
      <c r="J806"/>
      <c r="K806"/>
      <c r="L806"/>
      <c r="M806"/>
      <c r="N806"/>
      <c r="O806"/>
      <c r="P806"/>
      <c r="Q806"/>
      <c r="R806"/>
      <c r="S806"/>
      <c r="T806"/>
      <c r="U806"/>
      <c r="V806"/>
      <c r="W806" s="87"/>
      <c r="X806"/>
    </row>
    <row r="807" spans="1:24">
      <c r="A807" s="87"/>
      <c r="B807" s="87"/>
      <c r="C807" s="87"/>
      <c r="D807"/>
      <c r="E807"/>
      <c r="F807"/>
      <c r="G807"/>
      <c r="H807"/>
      <c r="I807"/>
      <c r="J807"/>
      <c r="K807"/>
      <c r="L807"/>
      <c r="M807"/>
      <c r="N807"/>
      <c r="O807"/>
      <c r="P807"/>
      <c r="Q807"/>
      <c r="R807"/>
      <c r="S807"/>
      <c r="T807"/>
      <c r="U807"/>
      <c r="V807"/>
      <c r="W807" s="87"/>
      <c r="X807"/>
    </row>
    <row r="808" spans="1:24">
      <c r="A808" s="87"/>
      <c r="B808" s="87"/>
      <c r="C808" s="87"/>
      <c r="D808"/>
      <c r="E808"/>
      <c r="F808"/>
      <c r="G808"/>
      <c r="H808"/>
      <c r="I808"/>
      <c r="J808"/>
      <c r="K808"/>
      <c r="L808"/>
      <c r="M808"/>
      <c r="N808"/>
      <c r="O808"/>
      <c r="P808"/>
      <c r="Q808"/>
      <c r="R808"/>
      <c r="S808"/>
      <c r="T808"/>
      <c r="U808"/>
      <c r="V808"/>
      <c r="W808" s="87"/>
      <c r="X808"/>
    </row>
    <row r="809" spans="1:24">
      <c r="A809" s="87"/>
      <c r="B809" s="87"/>
      <c r="C809" s="87"/>
      <c r="D809"/>
      <c r="E809"/>
      <c r="F809"/>
      <c r="G809"/>
      <c r="H809"/>
      <c r="I809"/>
      <c r="J809"/>
      <c r="K809"/>
      <c r="L809"/>
      <c r="M809"/>
      <c r="N809"/>
      <c r="O809"/>
      <c r="P809"/>
      <c r="Q809"/>
      <c r="R809"/>
      <c r="S809"/>
      <c r="T809"/>
      <c r="U809"/>
      <c r="V809"/>
      <c r="W809" s="87"/>
      <c r="X809"/>
    </row>
    <row r="810" spans="1:24">
      <c r="A810" s="87"/>
      <c r="B810" s="87"/>
      <c r="C810" s="87"/>
      <c r="D810"/>
      <c r="E810"/>
      <c r="F810"/>
      <c r="G810"/>
      <c r="H810"/>
      <c r="I810"/>
      <c r="J810"/>
      <c r="K810"/>
      <c r="L810"/>
      <c r="M810"/>
      <c r="N810"/>
      <c r="O810"/>
      <c r="P810"/>
      <c r="Q810"/>
      <c r="R810"/>
      <c r="S810"/>
      <c r="T810"/>
      <c r="U810"/>
      <c r="V810"/>
      <c r="W810" s="87"/>
      <c r="X810"/>
    </row>
    <row r="811" spans="1:24">
      <c r="A811" s="87"/>
      <c r="B811" s="87"/>
      <c r="C811" s="87"/>
      <c r="D811"/>
      <c r="E811"/>
      <c r="F811"/>
      <c r="G811"/>
      <c r="H811"/>
      <c r="I811"/>
      <c r="J811"/>
      <c r="K811"/>
      <c r="L811"/>
      <c r="M811"/>
      <c r="N811"/>
      <c r="O811"/>
      <c r="P811"/>
      <c r="Q811"/>
      <c r="R811"/>
      <c r="S811"/>
      <c r="T811"/>
      <c r="U811"/>
      <c r="V811"/>
      <c r="W811" s="87"/>
      <c r="X811"/>
    </row>
    <row r="812" spans="1:24">
      <c r="A812" s="87"/>
      <c r="B812" s="87"/>
      <c r="C812" s="87"/>
      <c r="D812"/>
      <c r="E812"/>
      <c r="F812"/>
      <c r="G812"/>
      <c r="H812"/>
      <c r="I812"/>
      <c r="J812"/>
      <c r="K812"/>
      <c r="L812"/>
      <c r="M812"/>
      <c r="N812"/>
      <c r="O812"/>
      <c r="P812"/>
      <c r="Q812"/>
      <c r="R812"/>
      <c r="S812"/>
      <c r="T812"/>
      <c r="U812"/>
      <c r="V812"/>
      <c r="W812" s="87"/>
      <c r="X812"/>
    </row>
    <row r="813" spans="1:24">
      <c r="A813" s="87"/>
      <c r="B813" s="87"/>
      <c r="C813" s="87"/>
      <c r="D813"/>
      <c r="E813"/>
      <c r="F813"/>
      <c r="G813"/>
      <c r="H813"/>
      <c r="I813"/>
      <c r="J813"/>
      <c r="K813"/>
      <c r="L813"/>
      <c r="M813"/>
      <c r="N813"/>
      <c r="O813"/>
      <c r="P813"/>
      <c r="Q813"/>
      <c r="R813"/>
      <c r="S813"/>
      <c r="T813"/>
      <c r="U813"/>
      <c r="V813"/>
      <c r="W813" s="87"/>
      <c r="X813"/>
    </row>
    <row r="814" spans="1:24">
      <c r="A814" s="87"/>
      <c r="B814" s="87"/>
      <c r="C814" s="87"/>
      <c r="D814"/>
      <c r="E814"/>
      <c r="F814"/>
      <c r="G814"/>
      <c r="H814"/>
      <c r="I814"/>
      <c r="J814"/>
      <c r="K814"/>
      <c r="L814"/>
      <c r="M814"/>
      <c r="N814"/>
      <c r="O814"/>
      <c r="P814"/>
      <c r="Q814"/>
      <c r="R814"/>
      <c r="S814"/>
      <c r="T814"/>
      <c r="U814"/>
      <c r="V814"/>
      <c r="W814" s="87"/>
      <c r="X814"/>
    </row>
    <row r="815" spans="1:24">
      <c r="A815" s="87"/>
      <c r="B815" s="87"/>
      <c r="C815" s="87"/>
      <c r="D815"/>
      <c r="E815"/>
      <c r="F815"/>
      <c r="G815"/>
      <c r="H815"/>
      <c r="I815"/>
      <c r="J815"/>
      <c r="K815"/>
      <c r="L815"/>
      <c r="M815"/>
      <c r="N815"/>
      <c r="O815"/>
      <c r="P815"/>
      <c r="Q815"/>
      <c r="R815"/>
      <c r="S815"/>
      <c r="T815"/>
      <c r="U815"/>
      <c r="V815"/>
      <c r="W815" s="87"/>
      <c r="X815"/>
    </row>
    <row r="816" spans="1:24">
      <c r="A816" s="87"/>
      <c r="B816" s="87"/>
      <c r="C816" s="87"/>
      <c r="D816"/>
      <c r="E816"/>
      <c r="F816"/>
      <c r="G816"/>
      <c r="H816"/>
      <c r="I816"/>
      <c r="J816"/>
      <c r="K816"/>
      <c r="L816"/>
      <c r="M816"/>
      <c r="N816"/>
      <c r="O816"/>
      <c r="P816"/>
      <c r="Q816"/>
      <c r="R816"/>
      <c r="S816"/>
      <c r="T816"/>
      <c r="U816"/>
      <c r="V816"/>
      <c r="W816" s="87"/>
      <c r="X816"/>
    </row>
    <row r="817" spans="1:24">
      <c r="A817" s="87"/>
      <c r="B817" s="87"/>
      <c r="C817" s="87"/>
      <c r="D817"/>
      <c r="E817"/>
      <c r="F817"/>
      <c r="G817"/>
      <c r="H817"/>
      <c r="I817"/>
      <c r="J817"/>
      <c r="K817"/>
      <c r="L817"/>
      <c r="M817"/>
      <c r="N817"/>
      <c r="O817"/>
      <c r="P817"/>
      <c r="Q817"/>
      <c r="R817"/>
      <c r="S817"/>
      <c r="T817"/>
      <c r="U817"/>
      <c r="V817"/>
      <c r="W817" s="87"/>
      <c r="X817"/>
    </row>
    <row r="818" spans="1:24">
      <c r="A818" s="87"/>
      <c r="B818" s="87"/>
      <c r="C818" s="87"/>
      <c r="D818"/>
      <c r="E818"/>
      <c r="F818"/>
      <c r="G818"/>
      <c r="H818"/>
      <c r="I818"/>
      <c r="J818"/>
      <c r="K818"/>
      <c r="L818"/>
      <c r="M818"/>
      <c r="N818"/>
      <c r="O818"/>
      <c r="P818"/>
      <c r="Q818"/>
      <c r="R818"/>
      <c r="S818"/>
      <c r="T818"/>
      <c r="U818"/>
      <c r="V818"/>
      <c r="W818" s="87"/>
      <c r="X818"/>
    </row>
    <row r="819" spans="1:24">
      <c r="A819" s="87"/>
      <c r="B819" s="87"/>
      <c r="C819" s="87"/>
      <c r="D819"/>
      <c r="E819"/>
      <c r="F819"/>
      <c r="G819"/>
      <c r="H819"/>
      <c r="I819"/>
      <c r="J819"/>
      <c r="K819"/>
      <c r="L819"/>
      <c r="M819"/>
      <c r="N819"/>
      <c r="O819"/>
      <c r="P819"/>
      <c r="Q819"/>
      <c r="R819"/>
      <c r="S819"/>
      <c r="T819"/>
      <c r="U819"/>
      <c r="V819"/>
      <c r="W819" s="87"/>
      <c r="X819"/>
    </row>
    <row r="820" spans="1:24">
      <c r="A820" s="87"/>
      <c r="B820" s="87"/>
      <c r="C820" s="87"/>
      <c r="D820"/>
      <c r="E820"/>
      <c r="F820"/>
      <c r="G820"/>
      <c r="H820"/>
      <c r="I820"/>
      <c r="J820"/>
      <c r="K820"/>
      <c r="L820"/>
      <c r="M820"/>
      <c r="N820"/>
      <c r="O820"/>
      <c r="P820"/>
      <c r="Q820"/>
      <c r="R820"/>
      <c r="S820"/>
      <c r="T820"/>
      <c r="U820"/>
      <c r="V820"/>
      <c r="W820" s="87"/>
      <c r="X820"/>
    </row>
    <row r="821" spans="1:24">
      <c r="A821" s="87"/>
      <c r="B821" s="87"/>
      <c r="C821" s="87"/>
      <c r="D821"/>
      <c r="E821"/>
      <c r="F821"/>
      <c r="G821"/>
      <c r="H821"/>
      <c r="I821"/>
      <c r="J821"/>
      <c r="K821"/>
      <c r="L821"/>
      <c r="M821"/>
      <c r="N821"/>
      <c r="O821"/>
      <c r="P821"/>
      <c r="Q821"/>
      <c r="R821"/>
      <c r="S821"/>
      <c r="T821"/>
      <c r="U821"/>
      <c r="V821"/>
      <c r="W821" s="87"/>
      <c r="X821"/>
    </row>
    <row r="822" spans="1:24">
      <c r="A822" s="87"/>
      <c r="B822" s="87"/>
      <c r="C822" s="87"/>
      <c r="D822"/>
      <c r="E822"/>
      <c r="F822"/>
      <c r="G822"/>
      <c r="H822"/>
      <c r="I822"/>
      <c r="J822"/>
      <c r="K822"/>
      <c r="L822"/>
      <c r="M822"/>
      <c r="N822"/>
      <c r="O822"/>
      <c r="P822"/>
      <c r="Q822"/>
      <c r="R822"/>
      <c r="S822"/>
      <c r="T822"/>
      <c r="U822"/>
      <c r="V822"/>
      <c r="W822" s="87"/>
      <c r="X822"/>
    </row>
    <row r="823" spans="1:24">
      <c r="A823" s="87"/>
      <c r="B823" s="87"/>
      <c r="C823" s="87"/>
      <c r="D823"/>
      <c r="E823"/>
      <c r="F823"/>
      <c r="G823"/>
      <c r="H823"/>
      <c r="I823"/>
      <c r="J823"/>
      <c r="K823"/>
      <c r="L823"/>
      <c r="M823"/>
      <c r="N823"/>
      <c r="O823"/>
      <c r="P823"/>
      <c r="Q823"/>
      <c r="R823"/>
      <c r="S823"/>
      <c r="T823"/>
      <c r="U823"/>
      <c r="V823"/>
      <c r="W823" s="87"/>
      <c r="X823"/>
    </row>
    <row r="824" spans="1:24">
      <c r="A824" s="87"/>
      <c r="B824" s="87"/>
      <c r="C824" s="87"/>
      <c r="D824"/>
      <c r="E824"/>
      <c r="F824"/>
      <c r="G824"/>
      <c r="H824"/>
      <c r="I824"/>
      <c r="J824"/>
      <c r="K824"/>
      <c r="L824"/>
      <c r="M824"/>
      <c r="N824"/>
      <c r="O824"/>
      <c r="P824"/>
      <c r="Q824"/>
      <c r="R824"/>
      <c r="S824"/>
      <c r="T824"/>
      <c r="U824"/>
      <c r="V824"/>
      <c r="W824" s="87"/>
      <c r="X824"/>
    </row>
    <row r="825" spans="1:24">
      <c r="A825" s="87"/>
      <c r="B825" s="87"/>
      <c r="C825" s="87"/>
      <c r="D825"/>
      <c r="E825"/>
      <c r="F825"/>
      <c r="G825"/>
      <c r="H825"/>
      <c r="I825"/>
      <c r="J825"/>
      <c r="K825"/>
      <c r="L825"/>
      <c r="M825"/>
      <c r="N825"/>
      <c r="O825"/>
      <c r="P825"/>
      <c r="Q825"/>
      <c r="R825"/>
      <c r="S825"/>
      <c r="T825"/>
      <c r="U825"/>
      <c r="V825"/>
      <c r="W825" s="87"/>
      <c r="X825"/>
    </row>
    <row r="826" spans="1:24">
      <c r="A826" s="87"/>
      <c r="B826" s="87"/>
      <c r="C826" s="87"/>
      <c r="D826"/>
      <c r="E826"/>
      <c r="F826"/>
      <c r="G826"/>
      <c r="H826"/>
      <c r="I826"/>
      <c r="J826"/>
      <c r="K826"/>
      <c r="L826"/>
      <c r="M826"/>
      <c r="N826"/>
      <c r="O826"/>
      <c r="P826"/>
      <c r="Q826"/>
      <c r="R826"/>
      <c r="S826"/>
      <c r="T826"/>
      <c r="U826"/>
      <c r="V826"/>
      <c r="W826" s="87"/>
      <c r="X826"/>
    </row>
    <row r="827" spans="1:24">
      <c r="A827" s="87"/>
      <c r="B827" s="87"/>
      <c r="C827" s="87"/>
      <c r="D827"/>
      <c r="E827"/>
      <c r="F827"/>
      <c r="G827"/>
      <c r="H827"/>
      <c r="I827"/>
      <c r="J827"/>
      <c r="K827"/>
      <c r="L827"/>
      <c r="M827"/>
      <c r="N827"/>
      <c r="O827"/>
      <c r="P827"/>
      <c r="Q827"/>
      <c r="R827"/>
      <c r="S827"/>
      <c r="T827"/>
      <c r="U827"/>
      <c r="V827"/>
      <c r="W827" s="87"/>
      <c r="X827"/>
    </row>
    <row r="828" spans="1:24">
      <c r="A828" s="87"/>
      <c r="B828" s="87"/>
      <c r="C828" s="87"/>
      <c r="D828"/>
      <c r="E828"/>
      <c r="F828"/>
      <c r="G828"/>
      <c r="H828"/>
      <c r="I828"/>
      <c r="J828"/>
      <c r="K828"/>
      <c r="L828"/>
      <c r="M828"/>
      <c r="N828"/>
      <c r="O828"/>
      <c r="P828"/>
      <c r="Q828"/>
      <c r="R828"/>
      <c r="S828"/>
      <c r="T828"/>
      <c r="U828"/>
      <c r="V828"/>
      <c r="W828" s="87"/>
      <c r="X828"/>
    </row>
    <row r="829" spans="1:24">
      <c r="A829" s="87"/>
      <c r="B829" s="87"/>
      <c r="C829" s="87"/>
      <c r="D829"/>
      <c r="E829"/>
      <c r="F829"/>
      <c r="G829"/>
      <c r="H829"/>
      <c r="I829"/>
      <c r="J829"/>
      <c r="K829"/>
      <c r="L829"/>
      <c r="M829"/>
      <c r="N829"/>
      <c r="O829"/>
      <c r="P829"/>
      <c r="Q829"/>
      <c r="R829"/>
      <c r="S829"/>
      <c r="T829"/>
      <c r="U829"/>
      <c r="V829"/>
      <c r="W829" s="87"/>
      <c r="X829"/>
    </row>
    <row r="830" spans="1:24">
      <c r="A830" s="87"/>
      <c r="B830" s="87"/>
      <c r="C830" s="87"/>
      <c r="D830"/>
      <c r="E830"/>
      <c r="F830"/>
      <c r="G830"/>
      <c r="H830"/>
      <c r="I830"/>
      <c r="J830"/>
      <c r="K830"/>
      <c r="L830"/>
      <c r="M830"/>
      <c r="N830"/>
      <c r="O830"/>
      <c r="P830"/>
      <c r="Q830"/>
      <c r="R830"/>
      <c r="S830"/>
      <c r="T830"/>
      <c r="U830"/>
      <c r="V830"/>
      <c r="W830" s="87"/>
      <c r="X830"/>
    </row>
    <row r="831" spans="1:24">
      <c r="A831" s="87"/>
      <c r="B831" s="87"/>
      <c r="C831" s="87"/>
      <c r="D831"/>
      <c r="E831"/>
      <c r="F831"/>
      <c r="G831"/>
      <c r="H831"/>
      <c r="I831"/>
      <c r="J831"/>
      <c r="K831"/>
      <c r="L831"/>
      <c r="M831"/>
      <c r="N831"/>
      <c r="O831"/>
      <c r="P831"/>
      <c r="Q831"/>
      <c r="R831"/>
      <c r="S831"/>
      <c r="T831"/>
      <c r="U831"/>
      <c r="V831"/>
      <c r="W831" s="87"/>
      <c r="X831"/>
    </row>
    <row r="832" spans="1:24">
      <c r="A832" s="87"/>
      <c r="B832" s="87"/>
      <c r="C832" s="87"/>
      <c r="D832"/>
      <c r="E832"/>
      <c r="F832"/>
      <c r="G832"/>
      <c r="H832"/>
      <c r="I832"/>
      <c r="J832"/>
      <c r="K832"/>
      <c r="L832"/>
      <c r="M832"/>
      <c r="N832"/>
      <c r="O832"/>
      <c r="P832"/>
      <c r="Q832"/>
      <c r="R832"/>
      <c r="S832"/>
      <c r="T832"/>
      <c r="U832"/>
      <c r="V832"/>
      <c r="W832" s="87"/>
      <c r="X832"/>
    </row>
    <row r="833" spans="1:24">
      <c r="A833" s="87"/>
      <c r="B833" s="87"/>
      <c r="C833" s="87"/>
      <c r="D833"/>
      <c r="E833"/>
      <c r="F833"/>
      <c r="G833"/>
      <c r="H833"/>
      <c r="I833"/>
      <c r="J833"/>
      <c r="K833"/>
      <c r="L833"/>
      <c r="M833"/>
      <c r="N833"/>
      <c r="O833"/>
      <c r="P833"/>
      <c r="Q833"/>
      <c r="R833"/>
      <c r="S833"/>
      <c r="T833"/>
      <c r="U833"/>
      <c r="V833"/>
      <c r="W833" s="87"/>
      <c r="X833"/>
    </row>
    <row r="834" spans="1:24">
      <c r="A834" s="87"/>
      <c r="B834" s="87"/>
      <c r="C834" s="87"/>
      <c r="D834"/>
      <c r="E834"/>
      <c r="F834"/>
      <c r="G834"/>
      <c r="H834"/>
      <c r="I834"/>
      <c r="J834"/>
      <c r="K834"/>
      <c r="L834"/>
      <c r="M834"/>
      <c r="N834"/>
      <c r="O834"/>
      <c r="P834"/>
      <c r="Q834"/>
      <c r="R834"/>
      <c r="S834"/>
      <c r="T834"/>
      <c r="U834"/>
      <c r="V834"/>
      <c r="W834" s="87"/>
      <c r="X834"/>
    </row>
    <row r="835" spans="1:24">
      <c r="A835" s="87"/>
      <c r="B835" s="87"/>
      <c r="C835" s="87"/>
      <c r="D835"/>
      <c r="E835"/>
      <c r="F835"/>
      <c r="G835"/>
      <c r="H835"/>
      <c r="I835"/>
      <c r="J835"/>
      <c r="K835"/>
      <c r="L835"/>
      <c r="M835"/>
      <c r="N835"/>
      <c r="O835"/>
      <c r="P835"/>
      <c r="Q835"/>
      <c r="R835"/>
      <c r="S835"/>
      <c r="T835"/>
      <c r="U835"/>
      <c r="V835"/>
      <c r="W835" s="87"/>
      <c r="X835"/>
    </row>
    <row r="836" spans="1:24">
      <c r="A836" s="87"/>
      <c r="B836" s="87"/>
      <c r="C836" s="87"/>
      <c r="D836"/>
      <c r="E836"/>
      <c r="F836"/>
      <c r="G836"/>
      <c r="H836"/>
      <c r="I836"/>
      <c r="J836"/>
      <c r="K836"/>
      <c r="L836"/>
      <c r="M836"/>
      <c r="N836"/>
      <c r="O836"/>
      <c r="P836"/>
      <c r="Q836"/>
      <c r="R836"/>
      <c r="S836"/>
      <c r="T836"/>
      <c r="U836"/>
      <c r="V836"/>
      <c r="W836" s="87"/>
      <c r="X836"/>
    </row>
    <row r="837" spans="1:24">
      <c r="A837" s="87"/>
      <c r="B837" s="87"/>
      <c r="C837" s="87"/>
      <c r="D837"/>
      <c r="E837"/>
      <c r="F837"/>
      <c r="G837"/>
      <c r="H837"/>
      <c r="I837"/>
      <c r="J837"/>
      <c r="K837"/>
      <c r="L837"/>
      <c r="M837"/>
      <c r="N837"/>
      <c r="O837"/>
      <c r="P837"/>
      <c r="Q837"/>
      <c r="R837"/>
      <c r="S837"/>
      <c r="T837"/>
      <c r="U837"/>
      <c r="V837"/>
      <c r="W837" s="87"/>
      <c r="X837"/>
    </row>
    <row r="838" spans="1:24">
      <c r="A838" s="87"/>
      <c r="B838" s="87"/>
      <c r="C838" s="87"/>
      <c r="D838"/>
      <c r="E838"/>
      <c r="F838"/>
      <c r="G838"/>
      <c r="H838"/>
      <c r="I838"/>
      <c r="J838"/>
      <c r="K838"/>
      <c r="L838"/>
      <c r="M838"/>
      <c r="N838"/>
      <c r="O838"/>
      <c r="P838"/>
      <c r="Q838"/>
      <c r="R838"/>
      <c r="S838"/>
      <c r="T838"/>
      <c r="U838"/>
      <c r="V838"/>
      <c r="W838" s="87"/>
      <c r="X838"/>
    </row>
    <row r="839" spans="1:24">
      <c r="A839" s="87"/>
      <c r="B839" s="87"/>
      <c r="C839" s="87"/>
      <c r="D839"/>
      <c r="E839"/>
      <c r="F839"/>
      <c r="G839"/>
      <c r="H839"/>
      <c r="I839"/>
      <c r="J839"/>
      <c r="K839"/>
      <c r="L839"/>
      <c r="M839"/>
      <c r="N839"/>
      <c r="O839"/>
      <c r="P839"/>
      <c r="Q839"/>
      <c r="R839"/>
      <c r="S839"/>
      <c r="T839"/>
      <c r="U839"/>
      <c r="V839"/>
      <c r="W839" s="87"/>
      <c r="X839"/>
    </row>
    <row r="840" spans="1:24">
      <c r="A840" s="87"/>
      <c r="B840" s="87"/>
      <c r="C840" s="87"/>
      <c r="D840"/>
      <c r="E840"/>
      <c r="F840"/>
      <c r="G840"/>
      <c r="H840"/>
      <c r="I840"/>
      <c r="J840"/>
      <c r="K840"/>
      <c r="L840"/>
      <c r="M840"/>
      <c r="N840"/>
      <c r="O840"/>
      <c r="P840"/>
      <c r="Q840"/>
      <c r="R840"/>
      <c r="S840"/>
      <c r="T840"/>
      <c r="U840"/>
      <c r="V840"/>
      <c r="W840" s="87"/>
      <c r="X840"/>
    </row>
    <row r="841" spans="1:24">
      <c r="A841" s="87"/>
      <c r="B841" s="87"/>
      <c r="C841" s="87"/>
      <c r="D841"/>
      <c r="E841"/>
      <c r="F841"/>
      <c r="G841"/>
      <c r="H841"/>
      <c r="I841"/>
      <c r="J841"/>
      <c r="K841"/>
      <c r="L841"/>
      <c r="M841"/>
      <c r="N841"/>
      <c r="O841"/>
      <c r="P841"/>
      <c r="Q841"/>
      <c r="R841"/>
      <c r="S841"/>
      <c r="T841"/>
      <c r="U841"/>
      <c r="V841"/>
      <c r="W841" s="87"/>
      <c r="X841"/>
    </row>
    <row r="842" spans="1:24">
      <c r="A842" s="87"/>
      <c r="B842" s="87"/>
      <c r="C842" s="87"/>
      <c r="D842"/>
      <c r="E842"/>
      <c r="F842"/>
      <c r="G842"/>
      <c r="H842"/>
      <c r="I842"/>
      <c r="J842"/>
      <c r="K842"/>
      <c r="L842"/>
      <c r="M842"/>
      <c r="N842"/>
      <c r="O842"/>
      <c r="P842"/>
      <c r="Q842"/>
      <c r="R842"/>
      <c r="S842"/>
      <c r="T842"/>
      <c r="U842"/>
      <c r="V842"/>
      <c r="W842" s="87"/>
      <c r="X842"/>
    </row>
    <row r="843" spans="1:24">
      <c r="A843" s="87"/>
      <c r="B843" s="87"/>
      <c r="C843" s="87"/>
      <c r="D843"/>
      <c r="E843"/>
      <c r="F843"/>
      <c r="G843"/>
      <c r="H843"/>
      <c r="I843"/>
      <c r="J843"/>
      <c r="K843"/>
      <c r="L843"/>
      <c r="M843"/>
      <c r="N843"/>
      <c r="O843"/>
      <c r="P843"/>
      <c r="Q843"/>
      <c r="R843"/>
      <c r="S843"/>
      <c r="T843"/>
      <c r="U843"/>
      <c r="V843"/>
      <c r="W843" s="87"/>
      <c r="X843"/>
    </row>
    <row r="844" spans="1:24">
      <c r="A844" s="87"/>
      <c r="B844" s="87"/>
      <c r="C844" s="87"/>
      <c r="D844"/>
      <c r="E844"/>
      <c r="F844"/>
      <c r="G844"/>
      <c r="H844"/>
      <c r="I844"/>
      <c r="J844"/>
      <c r="K844"/>
      <c r="L844"/>
      <c r="M844"/>
      <c r="N844"/>
      <c r="O844"/>
      <c r="P844"/>
      <c r="Q844"/>
      <c r="R844"/>
      <c r="S844"/>
      <c r="T844"/>
      <c r="U844"/>
      <c r="V844"/>
      <c r="W844" s="87"/>
      <c r="X844"/>
    </row>
    <row r="845" spans="1:24">
      <c r="A845" s="87"/>
      <c r="B845" s="87"/>
      <c r="C845" s="87"/>
      <c r="D845"/>
      <c r="E845"/>
      <c r="F845"/>
      <c r="G845"/>
      <c r="H845"/>
      <c r="I845"/>
      <c r="J845"/>
      <c r="K845"/>
      <c r="L845"/>
      <c r="M845"/>
      <c r="N845"/>
      <c r="O845"/>
      <c r="P845"/>
      <c r="Q845"/>
      <c r="R845"/>
      <c r="S845"/>
      <c r="T845"/>
      <c r="U845"/>
      <c r="V845"/>
      <c r="W845" s="87"/>
      <c r="X845"/>
    </row>
    <row r="846" spans="1:24">
      <c r="A846" s="87"/>
      <c r="B846" s="87"/>
      <c r="C846" s="87"/>
      <c r="D846"/>
      <c r="E846"/>
      <c r="F846"/>
      <c r="G846"/>
      <c r="H846"/>
      <c r="I846"/>
      <c r="J846"/>
      <c r="K846"/>
      <c r="L846"/>
      <c r="M846"/>
      <c r="N846"/>
      <c r="O846"/>
      <c r="P846"/>
      <c r="Q846"/>
      <c r="R846"/>
      <c r="S846"/>
      <c r="T846"/>
      <c r="U846"/>
      <c r="V846"/>
      <c r="W846" s="87"/>
      <c r="X846"/>
    </row>
    <row r="847" spans="1:24">
      <c r="A847" s="87"/>
      <c r="B847" s="87"/>
      <c r="C847" s="87"/>
      <c r="D847"/>
      <c r="E847"/>
      <c r="F847"/>
      <c r="G847"/>
      <c r="H847"/>
      <c r="I847"/>
      <c r="J847"/>
      <c r="K847"/>
      <c r="L847"/>
      <c r="M847"/>
      <c r="N847"/>
      <c r="O847"/>
      <c r="P847"/>
      <c r="Q847"/>
      <c r="R847"/>
      <c r="S847"/>
      <c r="T847"/>
      <c r="U847"/>
      <c r="V847"/>
      <c r="W847" s="87"/>
      <c r="X847"/>
    </row>
    <row r="848" spans="1:24">
      <c r="A848" s="87"/>
      <c r="B848" s="87"/>
      <c r="C848" s="87"/>
      <c r="D848"/>
      <c r="E848"/>
      <c r="F848"/>
      <c r="G848"/>
      <c r="H848"/>
      <c r="I848"/>
      <c r="J848"/>
      <c r="K848"/>
      <c r="L848"/>
      <c r="M848"/>
      <c r="N848"/>
      <c r="O848"/>
      <c r="P848"/>
      <c r="Q848"/>
      <c r="R848"/>
      <c r="S848"/>
      <c r="T848"/>
      <c r="U848"/>
      <c r="V848"/>
      <c r="W848" s="87"/>
      <c r="X848"/>
    </row>
    <row r="849" spans="1:24">
      <c r="A849" s="87"/>
      <c r="B849" s="87"/>
      <c r="C849" s="87"/>
      <c r="D849"/>
      <c r="E849"/>
      <c r="F849"/>
      <c r="G849"/>
      <c r="H849"/>
      <c r="I849"/>
      <c r="J849"/>
      <c r="K849"/>
      <c r="L849"/>
      <c r="M849"/>
      <c r="N849"/>
      <c r="O849"/>
      <c r="P849"/>
      <c r="Q849"/>
      <c r="R849"/>
      <c r="S849"/>
      <c r="T849"/>
      <c r="U849"/>
      <c r="V849"/>
      <c r="W849" s="87"/>
      <c r="X849"/>
    </row>
    <row r="850" spans="1:24">
      <c r="A850" s="87"/>
      <c r="B850" s="87"/>
      <c r="C850" s="87"/>
      <c r="D850"/>
      <c r="E850"/>
      <c r="F850"/>
      <c r="G850"/>
      <c r="H850"/>
      <c r="I850"/>
      <c r="J850"/>
      <c r="K850"/>
      <c r="L850"/>
      <c r="M850"/>
      <c r="N850"/>
      <c r="O850"/>
      <c r="P850"/>
      <c r="Q850"/>
      <c r="R850"/>
      <c r="S850"/>
      <c r="T850"/>
      <c r="U850"/>
      <c r="V850"/>
      <c r="W850" s="87"/>
      <c r="X850"/>
    </row>
    <row r="851" spans="1:24">
      <c r="A851" s="87"/>
      <c r="B851" s="87"/>
      <c r="C851" s="87"/>
      <c r="D851"/>
      <c r="E851"/>
      <c r="F851"/>
      <c r="G851"/>
      <c r="H851"/>
      <c r="I851"/>
      <c r="J851"/>
      <c r="K851"/>
      <c r="L851"/>
      <c r="M851"/>
      <c r="N851"/>
      <c r="O851"/>
      <c r="P851"/>
      <c r="Q851"/>
      <c r="R851"/>
      <c r="S851"/>
      <c r="T851"/>
      <c r="U851"/>
      <c r="V851"/>
      <c r="W851" s="87"/>
      <c r="X851"/>
    </row>
    <row r="852" spans="1:24">
      <c r="A852" s="87"/>
      <c r="B852" s="87"/>
      <c r="C852" s="87"/>
      <c r="D852"/>
      <c r="E852"/>
      <c r="F852"/>
      <c r="G852"/>
      <c r="H852"/>
      <c r="I852"/>
      <c r="J852"/>
      <c r="K852"/>
      <c r="L852"/>
      <c r="M852"/>
      <c r="N852"/>
      <c r="O852"/>
      <c r="P852"/>
      <c r="Q852"/>
      <c r="R852"/>
      <c r="S852"/>
      <c r="T852"/>
      <c r="U852"/>
      <c r="V852"/>
      <c r="W852" s="87"/>
      <c r="X852"/>
    </row>
    <row r="853" spans="1:24">
      <c r="A853" s="87"/>
      <c r="B853" s="87"/>
      <c r="C853" s="87"/>
      <c r="D853"/>
      <c r="E853"/>
      <c r="F853"/>
      <c r="G853"/>
      <c r="H853"/>
      <c r="I853"/>
      <c r="J853"/>
      <c r="K853"/>
      <c r="L853"/>
      <c r="M853"/>
      <c r="N853"/>
      <c r="O853"/>
      <c r="P853"/>
      <c r="Q853"/>
      <c r="R853"/>
      <c r="S853"/>
      <c r="T853"/>
      <c r="U853"/>
      <c r="V853"/>
      <c r="W853" s="87"/>
      <c r="X853"/>
    </row>
    <row r="854" spans="1:24">
      <c r="A854" s="87"/>
      <c r="B854" s="87"/>
      <c r="C854" s="87"/>
      <c r="D854"/>
      <c r="E854"/>
      <c r="F854"/>
      <c r="G854"/>
      <c r="H854"/>
      <c r="I854"/>
      <c r="J854"/>
      <c r="K854"/>
      <c r="L854"/>
      <c r="M854"/>
      <c r="N854"/>
      <c r="O854"/>
      <c r="P854"/>
      <c r="Q854"/>
      <c r="R854"/>
      <c r="S854"/>
      <c r="T854"/>
      <c r="U854"/>
      <c r="V854"/>
      <c r="W854" s="87"/>
      <c r="X854"/>
    </row>
    <row r="855" spans="1:24">
      <c r="A855" s="87"/>
      <c r="B855" s="87"/>
      <c r="C855" s="87"/>
      <c r="D855"/>
      <c r="E855"/>
      <c r="F855"/>
      <c r="G855"/>
      <c r="H855"/>
      <c r="I855"/>
      <c r="J855"/>
      <c r="K855"/>
      <c r="L855"/>
      <c r="M855"/>
      <c r="N855"/>
      <c r="O855"/>
      <c r="P855"/>
      <c r="Q855"/>
      <c r="R855"/>
      <c r="S855"/>
      <c r="T855"/>
      <c r="U855"/>
      <c r="V855"/>
      <c r="W855" s="87"/>
      <c r="X855"/>
    </row>
    <row r="856" spans="1:24">
      <c r="A856" s="87"/>
      <c r="B856" s="87"/>
      <c r="C856" s="87"/>
      <c r="D856"/>
      <c r="E856"/>
      <c r="F856"/>
      <c r="G856"/>
      <c r="H856"/>
      <c r="I856"/>
      <c r="J856"/>
      <c r="K856"/>
      <c r="L856"/>
      <c r="M856"/>
      <c r="N856"/>
      <c r="O856"/>
      <c r="P856"/>
      <c r="Q856"/>
      <c r="R856"/>
      <c r="S856"/>
      <c r="T856"/>
      <c r="U856"/>
      <c r="V856"/>
      <c r="W856" s="87"/>
      <c r="X856"/>
    </row>
    <row r="857" spans="1:24">
      <c r="A857" s="87"/>
      <c r="B857" s="87"/>
      <c r="C857" s="87"/>
      <c r="D857"/>
      <c r="E857"/>
      <c r="F857"/>
      <c r="G857"/>
      <c r="H857"/>
      <c r="I857"/>
      <c r="J857"/>
      <c r="K857"/>
      <c r="L857"/>
      <c r="M857"/>
      <c r="N857"/>
      <c r="O857"/>
      <c r="P857"/>
      <c r="Q857"/>
      <c r="R857"/>
      <c r="S857"/>
      <c r="T857"/>
      <c r="U857"/>
      <c r="V857"/>
      <c r="W857" s="87"/>
      <c r="X857"/>
    </row>
    <row r="858" spans="1:24">
      <c r="A858" s="87"/>
      <c r="B858" s="87"/>
      <c r="C858" s="87"/>
      <c r="D858"/>
      <c r="E858"/>
      <c r="F858"/>
      <c r="G858"/>
      <c r="H858"/>
      <c r="I858"/>
      <c r="J858"/>
      <c r="K858"/>
      <c r="L858"/>
      <c r="M858"/>
      <c r="N858"/>
      <c r="O858"/>
      <c r="P858"/>
      <c r="Q858"/>
      <c r="R858"/>
      <c r="S858"/>
      <c r="T858"/>
      <c r="U858"/>
      <c r="V858"/>
      <c r="W858" s="87"/>
      <c r="X858"/>
    </row>
    <row r="859" spans="1:24">
      <c r="A859" s="87"/>
      <c r="B859" s="87"/>
      <c r="C859" s="87"/>
      <c r="D859"/>
      <c r="E859"/>
      <c r="F859"/>
      <c r="G859"/>
      <c r="H859"/>
      <c r="I859"/>
      <c r="J859"/>
      <c r="K859"/>
      <c r="L859"/>
      <c r="M859"/>
      <c r="N859"/>
      <c r="O859"/>
      <c r="P859"/>
      <c r="Q859"/>
      <c r="R859"/>
      <c r="S859"/>
      <c r="T859"/>
      <c r="U859"/>
      <c r="V859"/>
      <c r="W859" s="87"/>
      <c r="X859"/>
    </row>
    <row r="860" spans="1:24">
      <c r="A860" s="87"/>
      <c r="B860" s="87"/>
      <c r="C860" s="87"/>
      <c r="D860"/>
      <c r="E860"/>
      <c r="F860"/>
      <c r="G860"/>
      <c r="H860"/>
      <c r="I860"/>
      <c r="J860"/>
      <c r="K860"/>
      <c r="L860"/>
      <c r="M860"/>
      <c r="N860"/>
      <c r="O860"/>
      <c r="P860"/>
      <c r="Q860"/>
      <c r="R860"/>
      <c r="S860"/>
      <c r="T860"/>
      <c r="U860"/>
      <c r="V860"/>
      <c r="W860" s="87"/>
      <c r="X860"/>
    </row>
    <row r="861" spans="1:24">
      <c r="A861" s="87"/>
      <c r="B861" s="87"/>
      <c r="C861" s="87"/>
      <c r="D861"/>
      <c r="E861"/>
      <c r="F861"/>
      <c r="G861"/>
      <c r="H861"/>
      <c r="I861"/>
      <c r="J861"/>
      <c r="K861"/>
      <c r="L861"/>
      <c r="M861"/>
      <c r="N861"/>
      <c r="O861"/>
      <c r="P861"/>
      <c r="Q861"/>
      <c r="R861"/>
      <c r="S861"/>
      <c r="T861"/>
      <c r="U861"/>
      <c r="V861"/>
      <c r="W861" s="87"/>
      <c r="X861"/>
    </row>
    <row r="862" spans="1:24">
      <c r="A862" s="87"/>
      <c r="B862" s="87"/>
      <c r="C862" s="87"/>
      <c r="D862"/>
      <c r="E862"/>
      <c r="F862"/>
      <c r="G862"/>
      <c r="H862"/>
      <c r="I862"/>
      <c r="J862"/>
      <c r="K862"/>
      <c r="L862"/>
      <c r="M862"/>
      <c r="N862"/>
      <c r="O862"/>
      <c r="P862"/>
      <c r="Q862"/>
      <c r="R862"/>
      <c r="S862"/>
      <c r="T862"/>
      <c r="U862"/>
      <c r="V862"/>
      <c r="W862" s="87"/>
      <c r="X862"/>
    </row>
    <row r="863" spans="1:24">
      <c r="A863" s="87"/>
      <c r="B863" s="87"/>
      <c r="C863" s="87"/>
      <c r="D863"/>
      <c r="E863"/>
      <c r="F863"/>
      <c r="G863"/>
      <c r="H863"/>
      <c r="I863"/>
      <c r="J863"/>
      <c r="K863"/>
      <c r="L863"/>
      <c r="M863"/>
      <c r="N863"/>
      <c r="O863"/>
      <c r="P863"/>
      <c r="Q863"/>
      <c r="R863"/>
      <c r="S863"/>
      <c r="T863"/>
      <c r="U863"/>
      <c r="V863"/>
      <c r="W863" s="87"/>
      <c r="X863"/>
    </row>
    <row r="864" spans="1:24">
      <c r="A864" s="87"/>
      <c r="B864" s="87"/>
      <c r="C864" s="87"/>
      <c r="D864"/>
      <c r="E864"/>
      <c r="F864"/>
      <c r="G864"/>
      <c r="H864"/>
      <c r="I864"/>
      <c r="J864"/>
      <c r="K864"/>
      <c r="L864"/>
      <c r="M864"/>
      <c r="N864"/>
      <c r="O864"/>
      <c r="P864"/>
      <c r="Q864"/>
      <c r="R864"/>
      <c r="S864"/>
      <c r="T864"/>
      <c r="U864"/>
      <c r="V864"/>
      <c r="W864" s="87"/>
      <c r="X864"/>
    </row>
    <row r="865" spans="1:24">
      <c r="A865" s="87"/>
      <c r="B865" s="87"/>
      <c r="C865" s="87"/>
      <c r="D865"/>
      <c r="E865"/>
      <c r="F865"/>
      <c r="G865"/>
      <c r="H865"/>
      <c r="I865"/>
      <c r="J865"/>
      <c r="K865"/>
      <c r="L865"/>
      <c r="M865"/>
      <c r="N865"/>
      <c r="O865"/>
      <c r="P865"/>
      <c r="Q865"/>
      <c r="R865"/>
      <c r="S865"/>
      <c r="T865"/>
      <c r="U865"/>
      <c r="V865"/>
      <c r="W865" s="87"/>
      <c r="X865"/>
    </row>
    <row r="866" spans="1:24">
      <c r="A866" s="87"/>
      <c r="B866" s="87"/>
      <c r="C866" s="87"/>
      <c r="D866"/>
      <c r="E866"/>
      <c r="F866"/>
      <c r="G866"/>
      <c r="H866"/>
      <c r="I866"/>
      <c r="J866"/>
      <c r="K866"/>
      <c r="L866"/>
      <c r="M866"/>
      <c r="N866"/>
      <c r="O866"/>
      <c r="P866"/>
      <c r="Q866"/>
      <c r="R866"/>
      <c r="S866"/>
      <c r="T866"/>
      <c r="U866"/>
      <c r="V866"/>
      <c r="W866" s="87"/>
      <c r="X866"/>
    </row>
    <row r="867" spans="1:24">
      <c r="A867" s="87"/>
      <c r="B867" s="87"/>
      <c r="C867" s="87"/>
      <c r="D867"/>
      <c r="E867"/>
      <c r="F867"/>
      <c r="G867"/>
      <c r="H867"/>
      <c r="I867"/>
      <c r="J867"/>
      <c r="K867"/>
      <c r="L867"/>
      <c r="M867"/>
      <c r="N867"/>
      <c r="O867"/>
      <c r="P867"/>
      <c r="Q867"/>
      <c r="R867"/>
      <c r="S867"/>
      <c r="T867"/>
      <c r="U867"/>
      <c r="V867"/>
      <c r="W867" s="87"/>
      <c r="X867"/>
    </row>
    <row r="868" spans="1:24">
      <c r="A868" s="87"/>
      <c r="B868" s="87"/>
      <c r="C868" s="87"/>
      <c r="D868"/>
      <c r="E868"/>
      <c r="F868"/>
      <c r="G868"/>
      <c r="H868"/>
      <c r="I868"/>
      <c r="J868"/>
      <c r="K868"/>
      <c r="L868"/>
      <c r="M868"/>
      <c r="N868"/>
      <c r="O868"/>
      <c r="P868"/>
      <c r="Q868"/>
      <c r="R868"/>
      <c r="S868"/>
      <c r="T868"/>
      <c r="U868"/>
      <c r="V868"/>
      <c r="W868" s="87"/>
      <c r="X868"/>
    </row>
    <row r="869" spans="1:24">
      <c r="A869" s="87"/>
      <c r="B869" s="87"/>
      <c r="C869" s="87"/>
      <c r="D869"/>
      <c r="E869"/>
      <c r="F869"/>
      <c r="G869"/>
      <c r="H869"/>
      <c r="I869"/>
      <c r="J869"/>
      <c r="K869"/>
      <c r="L869"/>
      <c r="M869"/>
      <c r="N869"/>
      <c r="O869"/>
      <c r="P869"/>
      <c r="Q869"/>
      <c r="R869"/>
      <c r="S869"/>
      <c r="T869"/>
      <c r="U869"/>
      <c r="V869"/>
      <c r="W869" s="87"/>
      <c r="X869"/>
    </row>
    <row r="870" spans="1:24">
      <c r="A870" s="87"/>
      <c r="B870" s="87"/>
      <c r="C870" s="87"/>
      <c r="D870"/>
      <c r="E870"/>
      <c r="F870"/>
      <c r="G870"/>
      <c r="H870"/>
      <c r="I870"/>
      <c r="J870"/>
      <c r="K870"/>
      <c r="L870"/>
      <c r="M870"/>
      <c r="N870"/>
      <c r="O870"/>
      <c r="P870"/>
      <c r="Q870"/>
      <c r="R870"/>
      <c r="S870"/>
      <c r="T870"/>
      <c r="U870"/>
      <c r="V870"/>
      <c r="W870" s="87"/>
      <c r="X870"/>
    </row>
    <row r="871" spans="1:24">
      <c r="A871" s="87"/>
      <c r="B871" s="87"/>
      <c r="C871" s="87"/>
      <c r="D871"/>
      <c r="E871"/>
      <c r="F871"/>
      <c r="G871"/>
      <c r="H871"/>
      <c r="I871"/>
      <c r="J871"/>
      <c r="K871"/>
      <c r="L871"/>
      <c r="M871"/>
      <c r="N871"/>
      <c r="O871"/>
      <c r="P871"/>
      <c r="Q871"/>
      <c r="R871"/>
      <c r="S871"/>
      <c r="T871"/>
      <c r="U871"/>
      <c r="V871"/>
      <c r="W871" s="87"/>
      <c r="X871"/>
    </row>
    <row r="872" spans="1:24">
      <c r="A872" s="87"/>
      <c r="B872" s="87"/>
      <c r="C872" s="87"/>
      <c r="D872"/>
      <c r="E872"/>
      <c r="F872"/>
      <c r="G872"/>
      <c r="H872"/>
      <c r="I872"/>
      <c r="J872"/>
      <c r="K872"/>
      <c r="L872"/>
      <c r="M872"/>
      <c r="N872"/>
      <c r="O872"/>
      <c r="P872"/>
      <c r="Q872"/>
      <c r="R872"/>
      <c r="S872"/>
      <c r="T872"/>
      <c r="U872"/>
      <c r="V872"/>
      <c r="W872" s="87"/>
      <c r="X872"/>
    </row>
    <row r="873" spans="1:24">
      <c r="A873" s="87"/>
      <c r="B873" s="87"/>
      <c r="C873" s="87"/>
      <c r="D873"/>
      <c r="E873"/>
      <c r="F873"/>
      <c r="G873"/>
      <c r="H873"/>
      <c r="I873"/>
      <c r="J873"/>
      <c r="K873"/>
      <c r="L873"/>
      <c r="M873"/>
      <c r="N873"/>
      <c r="O873"/>
      <c r="P873"/>
      <c r="Q873"/>
      <c r="R873"/>
      <c r="S873"/>
      <c r="T873"/>
      <c r="U873"/>
      <c r="V873"/>
      <c r="W873" s="87"/>
      <c r="X873"/>
    </row>
    <row r="874" spans="1:24">
      <c r="A874" s="87"/>
      <c r="B874" s="87"/>
      <c r="C874" s="87"/>
      <c r="D874"/>
      <c r="E874"/>
      <c r="F874"/>
      <c r="G874"/>
      <c r="H874"/>
      <c r="I874"/>
      <c r="J874"/>
      <c r="K874"/>
      <c r="L874"/>
      <c r="M874"/>
      <c r="N874"/>
      <c r="O874"/>
      <c r="P874"/>
      <c r="Q874"/>
      <c r="R874"/>
      <c r="S874"/>
      <c r="T874"/>
      <c r="U874"/>
      <c r="V874"/>
      <c r="W874" s="87"/>
      <c r="X874"/>
    </row>
    <row r="875" spans="1:24">
      <c r="A875" s="87"/>
      <c r="B875" s="87"/>
      <c r="C875" s="87"/>
      <c r="D875"/>
      <c r="E875"/>
      <c r="F875"/>
      <c r="G875"/>
      <c r="H875"/>
      <c r="I875"/>
      <c r="J875"/>
      <c r="K875"/>
      <c r="L875"/>
      <c r="M875"/>
      <c r="N875"/>
      <c r="O875"/>
      <c r="P875"/>
      <c r="Q875"/>
      <c r="R875"/>
      <c r="S875"/>
      <c r="T875"/>
      <c r="U875"/>
      <c r="V875"/>
      <c r="W875" s="87"/>
      <c r="X875"/>
    </row>
    <row r="876" spans="1:24">
      <c r="A876" s="87"/>
      <c r="B876" s="87"/>
      <c r="C876" s="87"/>
      <c r="D876"/>
      <c r="E876"/>
      <c r="F876"/>
      <c r="G876"/>
      <c r="H876"/>
      <c r="I876"/>
      <c r="J876"/>
      <c r="K876"/>
      <c r="L876"/>
      <c r="M876"/>
      <c r="N876"/>
      <c r="O876"/>
      <c r="P876"/>
      <c r="Q876"/>
      <c r="R876"/>
      <c r="S876"/>
      <c r="T876"/>
      <c r="U876"/>
      <c r="V876"/>
      <c r="W876" s="87"/>
      <c r="X876"/>
    </row>
    <row r="877" spans="1:24">
      <c r="A877" s="87"/>
      <c r="B877" s="87"/>
      <c r="C877" s="87"/>
      <c r="D877"/>
      <c r="E877"/>
      <c r="F877"/>
      <c r="G877"/>
      <c r="H877"/>
      <c r="I877"/>
      <c r="J877"/>
      <c r="K877"/>
      <c r="L877"/>
      <c r="M877"/>
      <c r="N877"/>
      <c r="O877"/>
      <c r="P877"/>
      <c r="Q877"/>
      <c r="R877"/>
      <c r="S877"/>
      <c r="T877"/>
      <c r="U877"/>
      <c r="V877"/>
      <c r="W877" s="87"/>
      <c r="X877"/>
    </row>
    <row r="878" spans="1:24">
      <c r="A878" s="87"/>
      <c r="B878" s="87"/>
      <c r="C878" s="87"/>
      <c r="D878"/>
      <c r="E878"/>
      <c r="F878"/>
      <c r="G878"/>
      <c r="H878"/>
      <c r="I878"/>
      <c r="J878"/>
      <c r="K878"/>
      <c r="L878"/>
      <c r="M878"/>
      <c r="N878"/>
      <c r="O878"/>
      <c r="P878"/>
      <c r="Q878"/>
      <c r="R878"/>
      <c r="S878"/>
      <c r="T878"/>
      <c r="U878"/>
      <c r="V878"/>
      <c r="W878" s="87"/>
      <c r="X878"/>
    </row>
    <row r="879" spans="1:24">
      <c r="A879" s="87"/>
      <c r="B879" s="87"/>
      <c r="C879" s="87"/>
      <c r="D879"/>
      <c r="E879"/>
      <c r="F879"/>
      <c r="G879"/>
      <c r="H879"/>
      <c r="I879"/>
      <c r="J879"/>
      <c r="K879"/>
      <c r="L879"/>
      <c r="M879"/>
      <c r="N879"/>
      <c r="O879"/>
      <c r="P879"/>
      <c r="Q879"/>
      <c r="R879"/>
      <c r="S879"/>
      <c r="T879"/>
      <c r="U879"/>
      <c r="V879"/>
      <c r="W879" s="87"/>
      <c r="X879"/>
    </row>
    <row r="880" spans="1:24">
      <c r="A880" s="87"/>
      <c r="B880" s="87"/>
      <c r="C880" s="87"/>
      <c r="D880"/>
      <c r="E880"/>
      <c r="F880"/>
      <c r="G880"/>
      <c r="H880"/>
      <c r="I880"/>
      <c r="J880"/>
      <c r="K880"/>
      <c r="L880"/>
      <c r="M880"/>
      <c r="N880"/>
      <c r="O880"/>
      <c r="P880"/>
      <c r="Q880"/>
      <c r="R880"/>
      <c r="S880"/>
      <c r="T880"/>
      <c r="U880"/>
      <c r="V880"/>
      <c r="W880" s="87"/>
      <c r="X880"/>
    </row>
    <row r="881" spans="1:24">
      <c r="A881" s="87"/>
      <c r="B881" s="87"/>
      <c r="C881" s="87"/>
      <c r="D881"/>
      <c r="E881"/>
      <c r="F881"/>
      <c r="G881"/>
      <c r="H881"/>
      <c r="I881"/>
      <c r="J881"/>
      <c r="K881"/>
      <c r="L881"/>
      <c r="M881"/>
      <c r="N881"/>
      <c r="O881"/>
      <c r="P881"/>
      <c r="Q881"/>
      <c r="R881"/>
      <c r="S881"/>
      <c r="T881"/>
      <c r="U881"/>
      <c r="V881"/>
      <c r="W881" s="87"/>
      <c r="X881"/>
    </row>
    <row r="882" spans="1:24">
      <c r="A882" s="87"/>
      <c r="B882" s="87"/>
      <c r="C882" s="87"/>
      <c r="D882"/>
      <c r="E882"/>
      <c r="F882"/>
      <c r="G882"/>
      <c r="H882"/>
      <c r="I882"/>
      <c r="J882"/>
      <c r="K882"/>
      <c r="L882"/>
      <c r="M882"/>
      <c r="N882"/>
      <c r="O882"/>
      <c r="P882"/>
      <c r="Q882"/>
      <c r="R882"/>
      <c r="S882"/>
      <c r="T882"/>
      <c r="U882"/>
      <c r="V882"/>
      <c r="W882" s="87"/>
      <c r="X882"/>
    </row>
    <row r="883" spans="1:24">
      <c r="A883" s="87"/>
      <c r="B883" s="87"/>
      <c r="C883" s="87"/>
      <c r="D883"/>
      <c r="E883"/>
      <c r="F883"/>
      <c r="G883"/>
      <c r="H883"/>
      <c r="I883"/>
      <c r="J883"/>
      <c r="K883"/>
      <c r="L883"/>
      <c r="M883"/>
      <c r="N883"/>
      <c r="O883"/>
      <c r="P883"/>
      <c r="Q883"/>
      <c r="R883"/>
      <c r="S883"/>
      <c r="T883"/>
      <c r="U883"/>
      <c r="V883"/>
      <c r="W883" s="87"/>
      <c r="X883"/>
    </row>
    <row r="884" spans="1:24">
      <c r="A884" s="87"/>
      <c r="B884" s="87"/>
      <c r="C884" s="87"/>
      <c r="D884"/>
      <c r="E884"/>
      <c r="F884"/>
      <c r="G884"/>
      <c r="H884"/>
      <c r="I884"/>
      <c r="J884"/>
      <c r="K884"/>
      <c r="L884"/>
      <c r="M884"/>
      <c r="N884"/>
      <c r="O884"/>
      <c r="P884"/>
      <c r="Q884"/>
      <c r="R884"/>
      <c r="S884"/>
      <c r="T884"/>
      <c r="U884"/>
      <c r="V884"/>
      <c r="W884" s="87"/>
      <c r="X884"/>
    </row>
    <row r="885" spans="1:24">
      <c r="A885" s="87"/>
      <c r="B885" s="87"/>
      <c r="C885" s="87"/>
      <c r="D885"/>
      <c r="E885"/>
      <c r="F885"/>
      <c r="G885"/>
      <c r="H885"/>
      <c r="I885"/>
      <c r="J885"/>
      <c r="K885"/>
      <c r="L885"/>
      <c r="M885"/>
      <c r="N885"/>
      <c r="O885"/>
      <c r="P885"/>
      <c r="Q885"/>
      <c r="R885"/>
      <c r="S885"/>
      <c r="T885"/>
      <c r="U885"/>
      <c r="V885"/>
      <c r="W885" s="87"/>
      <c r="X885"/>
    </row>
    <row r="886" spans="1:24">
      <c r="A886" s="87"/>
      <c r="B886" s="87"/>
      <c r="C886" s="87"/>
      <c r="D886"/>
      <c r="E886"/>
      <c r="F886"/>
      <c r="G886"/>
      <c r="H886"/>
      <c r="I886"/>
      <c r="J886"/>
      <c r="K886"/>
      <c r="L886"/>
      <c r="M886"/>
      <c r="N886"/>
      <c r="O886"/>
      <c r="P886"/>
      <c r="Q886"/>
      <c r="R886"/>
      <c r="S886"/>
      <c r="T886"/>
      <c r="U886"/>
      <c r="V886"/>
      <c r="W886" s="87"/>
      <c r="X886"/>
    </row>
    <row r="887" spans="1:24">
      <c r="A887" s="87"/>
      <c r="B887" s="87"/>
      <c r="C887" s="87"/>
      <c r="D887"/>
      <c r="E887"/>
      <c r="F887"/>
      <c r="G887"/>
      <c r="H887"/>
      <c r="I887"/>
      <c r="J887"/>
      <c r="K887"/>
      <c r="L887"/>
      <c r="M887"/>
      <c r="N887"/>
      <c r="O887"/>
      <c r="P887"/>
      <c r="Q887"/>
      <c r="R887"/>
      <c r="S887"/>
      <c r="T887"/>
      <c r="U887"/>
      <c r="V887"/>
      <c r="W887" s="87"/>
      <c r="X887"/>
    </row>
    <row r="888" spans="1:24">
      <c r="A888" s="87"/>
      <c r="B888" s="87"/>
      <c r="C888" s="87"/>
      <c r="D888"/>
      <c r="E888"/>
      <c r="F888"/>
      <c r="G888"/>
      <c r="H888"/>
      <c r="I888"/>
      <c r="J888"/>
      <c r="K888"/>
      <c r="L888"/>
      <c r="M888"/>
      <c r="N888"/>
      <c r="O888"/>
      <c r="P888"/>
      <c r="Q888"/>
      <c r="R888"/>
      <c r="S888"/>
      <c r="T888"/>
      <c r="U888"/>
      <c r="V888"/>
      <c r="W888" s="87"/>
      <c r="X888"/>
    </row>
    <row r="889" spans="1:24">
      <c r="A889" s="87"/>
      <c r="B889" s="87"/>
      <c r="C889" s="87"/>
      <c r="D889"/>
      <c r="E889"/>
      <c r="F889"/>
      <c r="G889"/>
      <c r="H889"/>
      <c r="I889"/>
      <c r="J889"/>
      <c r="K889"/>
      <c r="L889"/>
      <c r="M889"/>
      <c r="N889"/>
      <c r="O889"/>
      <c r="P889"/>
      <c r="Q889"/>
      <c r="R889"/>
      <c r="S889"/>
      <c r="T889"/>
      <c r="U889"/>
      <c r="V889"/>
      <c r="W889" s="87"/>
      <c r="X889"/>
    </row>
    <row r="890" spans="1:24">
      <c r="A890" s="87"/>
      <c r="B890" s="87"/>
      <c r="C890" s="87"/>
      <c r="D890"/>
      <c r="E890"/>
      <c r="F890"/>
      <c r="G890"/>
      <c r="H890"/>
      <c r="I890"/>
      <c r="J890"/>
      <c r="K890"/>
      <c r="L890"/>
      <c r="M890"/>
      <c r="N890"/>
      <c r="O890"/>
      <c r="P890"/>
      <c r="Q890"/>
      <c r="R890"/>
      <c r="S890"/>
      <c r="T890"/>
      <c r="U890"/>
      <c r="V890"/>
      <c r="W890" s="87"/>
      <c r="X890"/>
    </row>
    <row r="891" spans="1:24">
      <c r="A891" s="87"/>
      <c r="B891" s="87"/>
      <c r="C891" s="87"/>
      <c r="D891"/>
      <c r="E891"/>
      <c r="F891"/>
      <c r="G891"/>
      <c r="H891"/>
      <c r="I891"/>
      <c r="J891"/>
      <c r="K891"/>
      <c r="L891"/>
      <c r="M891"/>
      <c r="N891"/>
      <c r="O891"/>
      <c r="P891"/>
      <c r="Q891"/>
      <c r="R891"/>
      <c r="S891"/>
      <c r="T891"/>
      <c r="U891"/>
      <c r="V891"/>
      <c r="W891" s="87"/>
      <c r="X891"/>
    </row>
    <row r="892" spans="1:24">
      <c r="A892" s="87"/>
      <c r="B892" s="87"/>
      <c r="C892" s="87"/>
      <c r="D892"/>
      <c r="E892"/>
      <c r="F892"/>
      <c r="G892"/>
      <c r="H892"/>
      <c r="I892"/>
      <c r="J892"/>
      <c r="K892"/>
      <c r="L892"/>
      <c r="M892"/>
      <c r="N892"/>
      <c r="O892"/>
      <c r="P892"/>
      <c r="Q892"/>
      <c r="R892"/>
      <c r="S892"/>
      <c r="T892"/>
      <c r="U892"/>
      <c r="V892"/>
      <c r="W892" s="87"/>
      <c r="X892"/>
    </row>
    <row r="893" spans="1:24">
      <c r="A893" s="87"/>
      <c r="B893" s="87"/>
      <c r="C893" s="87"/>
      <c r="D893"/>
      <c r="E893"/>
      <c r="F893"/>
      <c r="G893"/>
      <c r="H893"/>
      <c r="I893"/>
      <c r="J893"/>
      <c r="K893"/>
      <c r="L893"/>
      <c r="M893"/>
      <c r="N893"/>
      <c r="O893"/>
      <c r="P893"/>
      <c r="Q893"/>
      <c r="R893"/>
      <c r="S893"/>
      <c r="T893"/>
      <c r="U893"/>
      <c r="V893"/>
      <c r="W893" s="87"/>
      <c r="X893"/>
    </row>
    <row r="894" spans="1:24">
      <c r="A894" s="87"/>
      <c r="B894" s="87"/>
      <c r="C894" s="87"/>
      <c r="D894"/>
      <c r="E894"/>
      <c r="F894"/>
      <c r="G894"/>
      <c r="H894"/>
      <c r="I894"/>
      <c r="J894"/>
      <c r="K894"/>
      <c r="L894"/>
      <c r="M894"/>
      <c r="N894"/>
      <c r="O894"/>
      <c r="P894"/>
      <c r="Q894"/>
      <c r="R894"/>
      <c r="S894"/>
      <c r="T894"/>
      <c r="U894"/>
      <c r="V894"/>
      <c r="W894" s="87"/>
      <c r="X894"/>
    </row>
    <row r="895" spans="1:24">
      <c r="A895" s="87"/>
      <c r="B895" s="87"/>
      <c r="C895" s="87"/>
      <c r="D895"/>
      <c r="E895"/>
      <c r="F895"/>
      <c r="G895"/>
      <c r="H895"/>
      <c r="I895"/>
      <c r="J895"/>
      <c r="K895"/>
      <c r="L895"/>
      <c r="M895"/>
      <c r="N895"/>
      <c r="O895"/>
      <c r="P895"/>
      <c r="Q895"/>
      <c r="R895"/>
      <c r="S895"/>
      <c r="T895"/>
      <c r="U895"/>
      <c r="V895"/>
      <c r="W895" s="87"/>
      <c r="X895"/>
    </row>
    <row r="896" spans="1:24">
      <c r="A896" s="87"/>
      <c r="B896" s="87"/>
      <c r="C896" s="87"/>
      <c r="D896"/>
      <c r="E896"/>
      <c r="F896"/>
      <c r="G896"/>
      <c r="H896"/>
      <c r="I896"/>
      <c r="J896"/>
      <c r="K896"/>
      <c r="L896"/>
      <c r="M896"/>
      <c r="N896"/>
      <c r="O896"/>
      <c r="P896"/>
      <c r="Q896"/>
      <c r="R896"/>
      <c r="S896"/>
      <c r="T896"/>
      <c r="U896"/>
      <c r="V896"/>
      <c r="W896" s="87"/>
      <c r="X896"/>
    </row>
    <row r="897" spans="1:24">
      <c r="A897" s="87"/>
      <c r="B897" s="87"/>
      <c r="C897" s="87"/>
      <c r="D897"/>
      <c r="E897"/>
      <c r="F897"/>
      <c r="G897"/>
      <c r="H897"/>
      <c r="I897"/>
      <c r="J897"/>
      <c r="K897"/>
      <c r="L897"/>
      <c r="M897"/>
      <c r="N897"/>
      <c r="O897"/>
      <c r="P897"/>
      <c r="Q897"/>
      <c r="R897"/>
      <c r="S897"/>
      <c r="T897"/>
      <c r="U897"/>
      <c r="V897"/>
      <c r="W897" s="87"/>
      <c r="X897"/>
    </row>
    <row r="898" spans="1:24">
      <c r="A898" s="87"/>
      <c r="B898" s="87"/>
      <c r="C898" s="87"/>
      <c r="D898"/>
      <c r="E898"/>
      <c r="F898"/>
      <c r="G898"/>
      <c r="H898"/>
      <c r="I898"/>
      <c r="J898"/>
      <c r="K898"/>
      <c r="L898"/>
      <c r="M898"/>
      <c r="N898"/>
      <c r="O898"/>
      <c r="P898"/>
      <c r="Q898"/>
      <c r="R898"/>
      <c r="S898"/>
      <c r="T898"/>
      <c r="U898"/>
      <c r="V898"/>
      <c r="W898" s="87"/>
      <c r="X898"/>
    </row>
    <row r="899" spans="1:24">
      <c r="A899" s="87"/>
      <c r="B899" s="87"/>
      <c r="C899" s="87"/>
      <c r="D899"/>
      <c r="E899"/>
      <c r="F899"/>
      <c r="G899"/>
      <c r="H899"/>
      <c r="I899"/>
      <c r="J899"/>
      <c r="K899"/>
      <c r="L899"/>
      <c r="M899"/>
      <c r="N899"/>
      <c r="O899"/>
      <c r="P899"/>
      <c r="Q899"/>
      <c r="R899"/>
      <c r="S899"/>
      <c r="T899"/>
      <c r="U899"/>
      <c r="V899"/>
      <c r="W899" s="87"/>
      <c r="X899"/>
    </row>
    <row r="900" spans="1:24">
      <c r="A900" s="87"/>
      <c r="B900" s="87"/>
      <c r="C900" s="87"/>
      <c r="D900"/>
      <c r="E900"/>
      <c r="F900"/>
      <c r="G900"/>
      <c r="H900"/>
      <c r="I900"/>
      <c r="J900"/>
      <c r="K900"/>
      <c r="L900"/>
      <c r="M900"/>
      <c r="N900"/>
      <c r="O900"/>
      <c r="P900"/>
      <c r="Q900"/>
      <c r="R900"/>
      <c r="S900"/>
      <c r="T900"/>
      <c r="U900"/>
      <c r="V900"/>
      <c r="W900" s="87"/>
      <c r="X900"/>
    </row>
    <row r="901" spans="1:24">
      <c r="A901" s="87"/>
      <c r="B901" s="87"/>
      <c r="C901" s="87"/>
      <c r="D901"/>
      <c r="E901"/>
      <c r="F901"/>
      <c r="G901"/>
      <c r="H901"/>
      <c r="I901"/>
      <c r="J901"/>
      <c r="K901"/>
      <c r="L901"/>
      <c r="M901"/>
      <c r="N901"/>
      <c r="O901"/>
      <c r="P901"/>
      <c r="Q901"/>
      <c r="R901"/>
      <c r="S901"/>
      <c r="T901"/>
      <c r="U901"/>
      <c r="V901"/>
      <c r="W901" s="87"/>
      <c r="X901"/>
    </row>
    <row r="902" spans="1:24">
      <c r="A902" s="87"/>
      <c r="B902" s="87"/>
      <c r="C902" s="87"/>
      <c r="D902"/>
      <c r="E902"/>
      <c r="F902"/>
      <c r="G902"/>
      <c r="H902"/>
      <c r="I902"/>
      <c r="J902"/>
      <c r="K902"/>
      <c r="L902"/>
      <c r="M902"/>
      <c r="N902"/>
      <c r="O902"/>
      <c r="P902"/>
      <c r="Q902"/>
      <c r="R902"/>
      <c r="S902"/>
      <c r="T902"/>
      <c r="U902"/>
      <c r="V902"/>
      <c r="W902" s="87"/>
      <c r="X902"/>
    </row>
    <row r="903" spans="1:24">
      <c r="A903" s="87"/>
      <c r="B903" s="87"/>
      <c r="C903" s="87"/>
      <c r="D903"/>
      <c r="E903"/>
      <c r="F903"/>
      <c r="G903"/>
      <c r="H903"/>
      <c r="I903"/>
      <c r="J903"/>
      <c r="K903"/>
      <c r="L903"/>
      <c r="M903"/>
      <c r="N903"/>
      <c r="O903"/>
      <c r="P903"/>
      <c r="Q903"/>
      <c r="R903"/>
      <c r="S903"/>
      <c r="T903"/>
      <c r="U903"/>
      <c r="V903"/>
      <c r="W903" s="87"/>
      <c r="X903"/>
    </row>
    <row r="904" spans="1:24">
      <c r="A904" s="87"/>
      <c r="B904" s="87"/>
      <c r="C904" s="87"/>
      <c r="D904"/>
      <c r="E904"/>
      <c r="F904"/>
      <c r="G904"/>
      <c r="H904"/>
      <c r="I904"/>
      <c r="J904"/>
      <c r="K904"/>
      <c r="L904"/>
      <c r="M904"/>
      <c r="N904"/>
      <c r="O904"/>
      <c r="P904"/>
      <c r="Q904"/>
      <c r="R904"/>
      <c r="S904"/>
      <c r="T904"/>
      <c r="U904"/>
      <c r="V904"/>
      <c r="W904" s="87"/>
      <c r="X904"/>
    </row>
    <row r="905" spans="1:24">
      <c r="A905" s="87"/>
      <c r="B905" s="87"/>
      <c r="C905" s="87"/>
      <c r="D905"/>
      <c r="E905"/>
      <c r="F905"/>
      <c r="G905"/>
      <c r="H905"/>
      <c r="I905"/>
      <c r="J905"/>
      <c r="K905"/>
      <c r="L905"/>
      <c r="M905"/>
      <c r="N905"/>
      <c r="O905"/>
      <c r="P905"/>
      <c r="Q905"/>
      <c r="R905"/>
      <c r="S905"/>
      <c r="T905"/>
      <c r="U905"/>
      <c r="V905"/>
      <c r="W905" s="87"/>
      <c r="X905"/>
    </row>
    <row r="906" spans="1:24">
      <c r="A906" s="87"/>
      <c r="B906" s="87"/>
      <c r="C906" s="87"/>
      <c r="D906"/>
      <c r="E906"/>
      <c r="F906"/>
      <c r="G906"/>
      <c r="H906"/>
      <c r="I906"/>
      <c r="J906"/>
      <c r="K906"/>
      <c r="L906"/>
      <c r="M906"/>
      <c r="N906"/>
      <c r="O906"/>
      <c r="P906"/>
      <c r="Q906"/>
      <c r="R906"/>
      <c r="S906"/>
      <c r="T906"/>
      <c r="U906"/>
      <c r="V906"/>
      <c r="W906" s="87"/>
      <c r="X906"/>
    </row>
    <row r="907" spans="1:24">
      <c r="A907" s="87"/>
      <c r="B907" s="87"/>
      <c r="C907" s="87"/>
      <c r="D907"/>
      <c r="E907"/>
      <c r="F907"/>
      <c r="G907"/>
      <c r="H907"/>
      <c r="I907"/>
      <c r="J907"/>
      <c r="K907"/>
      <c r="L907"/>
      <c r="M907"/>
      <c r="N907"/>
      <c r="O907"/>
      <c r="P907"/>
      <c r="Q907"/>
      <c r="R907"/>
      <c r="S907"/>
      <c r="T907"/>
      <c r="U907"/>
      <c r="V907"/>
      <c r="W907" s="87"/>
      <c r="X907"/>
    </row>
    <row r="908" spans="1:24">
      <c r="A908" s="87"/>
      <c r="B908" s="87"/>
      <c r="C908" s="87"/>
      <c r="D908"/>
      <c r="E908"/>
      <c r="F908"/>
      <c r="G908"/>
      <c r="H908"/>
      <c r="I908"/>
      <c r="J908"/>
      <c r="K908"/>
      <c r="L908"/>
      <c r="M908"/>
      <c r="N908"/>
      <c r="O908"/>
      <c r="P908"/>
      <c r="Q908"/>
      <c r="R908"/>
      <c r="S908"/>
      <c r="T908"/>
      <c r="U908"/>
      <c r="V908"/>
      <c r="W908" s="87"/>
      <c r="X908"/>
    </row>
    <row r="909" spans="1:24">
      <c r="A909" s="87"/>
      <c r="B909" s="87"/>
      <c r="C909" s="87"/>
      <c r="D909"/>
      <c r="E909"/>
      <c r="F909"/>
      <c r="G909"/>
      <c r="H909"/>
      <c r="I909"/>
      <c r="J909"/>
      <c r="K909"/>
      <c r="L909"/>
      <c r="M909"/>
      <c r="N909"/>
      <c r="O909"/>
      <c r="P909"/>
      <c r="Q909"/>
      <c r="R909"/>
      <c r="S909"/>
      <c r="T909"/>
      <c r="U909"/>
      <c r="V909"/>
      <c r="W909" s="87"/>
      <c r="X909"/>
    </row>
    <row r="910" spans="1:24">
      <c r="A910" s="87"/>
      <c r="B910" s="87"/>
      <c r="C910" s="87"/>
      <c r="D910"/>
      <c r="E910"/>
      <c r="F910"/>
      <c r="G910"/>
      <c r="H910"/>
      <c r="I910"/>
      <c r="J910"/>
      <c r="K910"/>
      <c r="L910"/>
      <c r="M910"/>
      <c r="N910"/>
      <c r="O910"/>
      <c r="P910"/>
      <c r="Q910"/>
      <c r="R910"/>
      <c r="S910"/>
      <c r="T910"/>
      <c r="U910"/>
      <c r="V910"/>
      <c r="W910" s="87"/>
      <c r="X910"/>
    </row>
    <row r="911" spans="1:24">
      <c r="A911" s="87"/>
      <c r="B911" s="87"/>
      <c r="C911" s="87"/>
      <c r="D911"/>
      <c r="E911"/>
      <c r="F911"/>
      <c r="G911"/>
      <c r="H911"/>
      <c r="I911"/>
      <c r="J911"/>
      <c r="K911"/>
      <c r="L911"/>
      <c r="M911"/>
      <c r="N911"/>
      <c r="O911"/>
      <c r="P911"/>
      <c r="Q911"/>
      <c r="R911"/>
      <c r="S911"/>
      <c r="T911"/>
      <c r="U911"/>
      <c r="V911"/>
      <c r="W911" s="87"/>
      <c r="X911"/>
    </row>
    <row r="912" spans="1:24">
      <c r="A912" s="87"/>
      <c r="B912" s="87"/>
      <c r="C912" s="87"/>
      <c r="D912"/>
      <c r="E912"/>
      <c r="F912"/>
      <c r="G912"/>
      <c r="H912"/>
      <c r="I912"/>
      <c r="J912"/>
      <c r="K912"/>
      <c r="L912"/>
      <c r="M912"/>
      <c r="N912"/>
      <c r="O912"/>
      <c r="P912"/>
      <c r="Q912"/>
      <c r="R912"/>
      <c r="S912"/>
      <c r="T912"/>
      <c r="U912"/>
      <c r="V912"/>
      <c r="W912" s="87"/>
      <c r="X912"/>
    </row>
    <row r="913" spans="1:24">
      <c r="A913" s="87"/>
      <c r="B913" s="87"/>
      <c r="C913" s="87"/>
      <c r="D913"/>
      <c r="E913"/>
      <c r="F913"/>
      <c r="G913"/>
      <c r="H913"/>
      <c r="I913"/>
      <c r="J913"/>
      <c r="K913"/>
      <c r="L913"/>
      <c r="M913"/>
      <c r="N913"/>
      <c r="O913"/>
      <c r="P913"/>
      <c r="Q913"/>
      <c r="R913"/>
      <c r="S913"/>
      <c r="T913"/>
      <c r="U913"/>
      <c r="V913"/>
      <c r="W913" s="87"/>
      <c r="X913"/>
    </row>
    <row r="914" spans="1:24">
      <c r="A914" s="87"/>
      <c r="B914" s="87"/>
      <c r="C914" s="87"/>
      <c r="D914"/>
      <c r="E914"/>
      <c r="F914"/>
      <c r="G914"/>
      <c r="H914"/>
      <c r="I914"/>
      <c r="J914"/>
      <c r="K914"/>
      <c r="L914"/>
      <c r="M914"/>
      <c r="N914"/>
      <c r="O914"/>
      <c r="P914"/>
      <c r="Q914"/>
      <c r="R914"/>
      <c r="S914"/>
      <c r="T914"/>
      <c r="U914"/>
      <c r="V914"/>
      <c r="W914" s="87"/>
      <c r="X914"/>
    </row>
    <row r="915" spans="1:24">
      <c r="A915" s="87"/>
      <c r="B915" s="87"/>
      <c r="C915" s="87"/>
      <c r="D915"/>
      <c r="E915"/>
      <c r="F915"/>
      <c r="G915"/>
      <c r="H915"/>
      <c r="I915"/>
      <c r="J915"/>
      <c r="K915"/>
      <c r="L915"/>
      <c r="M915"/>
      <c r="N915"/>
      <c r="O915"/>
      <c r="P915"/>
      <c r="Q915"/>
      <c r="R915"/>
      <c r="S915"/>
      <c r="T915"/>
      <c r="U915"/>
      <c r="V915"/>
      <c r="W915" s="87"/>
      <c r="X915"/>
    </row>
    <row r="916" spans="1:24">
      <c r="A916" s="87"/>
      <c r="B916" s="87"/>
      <c r="C916" s="87"/>
      <c r="D916"/>
      <c r="E916"/>
      <c r="F916"/>
      <c r="G916"/>
      <c r="H916"/>
      <c r="I916"/>
      <c r="J916"/>
      <c r="K916"/>
      <c r="L916"/>
      <c r="M916"/>
      <c r="N916"/>
      <c r="O916"/>
      <c r="P916"/>
      <c r="Q916"/>
      <c r="R916"/>
      <c r="S916"/>
      <c r="T916"/>
      <c r="U916"/>
      <c r="V916"/>
      <c r="W916" s="87"/>
      <c r="X916"/>
    </row>
    <row r="917" spans="1:24">
      <c r="A917" s="87"/>
      <c r="B917" s="87"/>
      <c r="C917" s="87"/>
      <c r="D917"/>
      <c r="E917"/>
      <c r="F917"/>
      <c r="G917"/>
      <c r="H917"/>
      <c r="I917"/>
      <c r="J917"/>
      <c r="K917"/>
      <c r="L917"/>
      <c r="M917"/>
      <c r="N917"/>
      <c r="O917"/>
      <c r="P917"/>
      <c r="Q917"/>
      <c r="R917"/>
      <c r="S917"/>
      <c r="T917"/>
      <c r="U917"/>
      <c r="V917"/>
      <c r="W917" s="87"/>
      <c r="X917"/>
    </row>
    <row r="918" spans="1:24">
      <c r="A918" s="87"/>
      <c r="B918" s="87"/>
      <c r="C918" s="87"/>
      <c r="D918"/>
      <c r="E918"/>
      <c r="F918"/>
      <c r="G918"/>
      <c r="H918"/>
      <c r="I918"/>
      <c r="J918"/>
      <c r="K918"/>
      <c r="L918"/>
      <c r="M918"/>
      <c r="N918"/>
      <c r="O918"/>
      <c r="P918"/>
      <c r="Q918"/>
      <c r="R918"/>
      <c r="S918"/>
      <c r="T918"/>
      <c r="U918"/>
      <c r="V918"/>
      <c r="W918" s="87"/>
      <c r="X918"/>
    </row>
    <row r="919" spans="1:24">
      <c r="A919" s="87"/>
      <c r="B919" s="87"/>
      <c r="C919" s="87"/>
      <c r="D919"/>
      <c r="E919"/>
      <c r="F919"/>
      <c r="G919"/>
      <c r="H919"/>
      <c r="I919"/>
      <c r="J919"/>
      <c r="K919"/>
      <c r="L919"/>
      <c r="M919"/>
      <c r="N919"/>
      <c r="O919"/>
      <c r="P919"/>
      <c r="Q919"/>
      <c r="R919"/>
      <c r="S919"/>
      <c r="T919"/>
      <c r="U919"/>
      <c r="V919"/>
      <c r="W919" s="87"/>
      <c r="X919"/>
    </row>
    <row r="920" spans="1:24">
      <c r="A920" s="87"/>
      <c r="B920" s="87"/>
      <c r="C920" s="87"/>
      <c r="D920"/>
      <c r="E920"/>
      <c r="F920"/>
      <c r="G920"/>
      <c r="H920"/>
      <c r="I920"/>
      <c r="J920"/>
      <c r="K920"/>
      <c r="L920"/>
      <c r="M920"/>
      <c r="N920"/>
      <c r="O920"/>
      <c r="P920"/>
      <c r="Q920"/>
      <c r="R920"/>
      <c r="S920"/>
      <c r="T920"/>
      <c r="U920"/>
      <c r="V920"/>
      <c r="W920" s="87"/>
      <c r="X920"/>
    </row>
    <row r="921" spans="1:24">
      <c r="A921" s="87"/>
      <c r="B921" s="87"/>
      <c r="C921" s="87"/>
      <c r="D921"/>
      <c r="E921"/>
      <c r="F921"/>
      <c r="G921"/>
      <c r="H921"/>
      <c r="I921"/>
      <c r="J921"/>
      <c r="K921"/>
      <c r="L921"/>
      <c r="M921"/>
      <c r="N921"/>
      <c r="O921"/>
      <c r="P921"/>
      <c r="Q921"/>
      <c r="R921"/>
      <c r="S921"/>
      <c r="T921"/>
      <c r="U921"/>
      <c r="V921"/>
      <c r="W921" s="87"/>
      <c r="X921"/>
    </row>
    <row r="922" spans="1:24">
      <c r="A922" s="87"/>
      <c r="B922" s="87"/>
      <c r="C922" s="87"/>
      <c r="D922"/>
      <c r="E922"/>
      <c r="F922"/>
      <c r="G922"/>
      <c r="H922"/>
      <c r="I922"/>
      <c r="J922"/>
      <c r="K922"/>
      <c r="L922"/>
      <c r="M922"/>
      <c r="N922"/>
      <c r="O922"/>
      <c r="P922"/>
      <c r="Q922"/>
      <c r="R922"/>
      <c r="S922"/>
      <c r="T922"/>
      <c r="U922"/>
      <c r="V922"/>
      <c r="W922" s="87"/>
      <c r="X922"/>
    </row>
    <row r="923" spans="1:24">
      <c r="A923" s="87"/>
      <c r="B923" s="87"/>
      <c r="C923" s="87"/>
      <c r="D923"/>
      <c r="E923"/>
      <c r="F923"/>
      <c r="G923"/>
      <c r="H923"/>
      <c r="I923"/>
      <c r="J923"/>
      <c r="K923"/>
      <c r="L923"/>
      <c r="M923"/>
      <c r="N923"/>
      <c r="O923"/>
      <c r="P923"/>
      <c r="Q923"/>
      <c r="R923"/>
      <c r="S923"/>
      <c r="T923"/>
      <c r="U923"/>
      <c r="V923"/>
      <c r="W923" s="87"/>
      <c r="X923"/>
    </row>
    <row r="924" spans="1:24">
      <c r="A924" s="87"/>
      <c r="B924" s="87"/>
      <c r="C924" s="87"/>
      <c r="D924"/>
      <c r="E924"/>
      <c r="F924"/>
      <c r="G924"/>
      <c r="H924"/>
      <c r="I924"/>
      <c r="J924"/>
      <c r="K924"/>
      <c r="L924"/>
      <c r="M924"/>
      <c r="N924"/>
      <c r="O924"/>
      <c r="P924"/>
      <c r="Q924"/>
      <c r="R924"/>
      <c r="S924"/>
      <c r="T924"/>
      <c r="U924"/>
      <c r="V924"/>
      <c r="W924" s="87"/>
      <c r="X924"/>
    </row>
    <row r="925" spans="1:24">
      <c r="A925" s="87"/>
      <c r="B925" s="87"/>
      <c r="C925" s="87"/>
      <c r="D925"/>
      <c r="E925"/>
      <c r="F925"/>
      <c r="G925"/>
      <c r="H925"/>
      <c r="I925"/>
      <c r="J925"/>
      <c r="K925"/>
      <c r="L925"/>
      <c r="M925"/>
      <c r="N925"/>
      <c r="O925"/>
      <c r="P925"/>
      <c r="Q925"/>
      <c r="R925"/>
      <c r="S925"/>
      <c r="T925"/>
      <c r="U925"/>
      <c r="V925"/>
      <c r="W925" s="87"/>
      <c r="X925"/>
    </row>
    <row r="926" spans="1:24">
      <c r="A926" s="87"/>
      <c r="B926" s="87"/>
      <c r="C926" s="87"/>
      <c r="D926"/>
      <c r="E926"/>
      <c r="F926"/>
      <c r="G926"/>
      <c r="H926"/>
      <c r="I926"/>
      <c r="J926"/>
      <c r="K926"/>
      <c r="L926"/>
      <c r="M926"/>
      <c r="N926"/>
      <c r="O926"/>
      <c r="P926"/>
      <c r="Q926"/>
      <c r="R926"/>
      <c r="S926"/>
      <c r="T926"/>
      <c r="U926"/>
      <c r="V926"/>
      <c r="W926" s="87"/>
      <c r="X926"/>
    </row>
    <row r="927" spans="1:24">
      <c r="A927" s="87"/>
      <c r="B927" s="87"/>
      <c r="C927" s="87"/>
      <c r="D927"/>
      <c r="E927"/>
      <c r="F927"/>
      <c r="G927"/>
      <c r="H927"/>
      <c r="I927"/>
      <c r="J927"/>
      <c r="K927"/>
      <c r="L927"/>
      <c r="M927"/>
      <c r="N927"/>
      <c r="O927"/>
      <c r="P927"/>
      <c r="Q927"/>
      <c r="R927"/>
      <c r="S927"/>
      <c r="T927"/>
      <c r="U927"/>
      <c r="V927"/>
      <c r="W927" s="87"/>
      <c r="X927"/>
    </row>
    <row r="928" spans="1:24">
      <c r="A928" s="87"/>
      <c r="B928" s="87"/>
      <c r="C928" s="87"/>
      <c r="D928"/>
      <c r="E928"/>
      <c r="F928"/>
      <c r="G928"/>
      <c r="H928"/>
      <c r="I928"/>
      <c r="J928"/>
      <c r="K928"/>
      <c r="L928"/>
      <c r="M928"/>
      <c r="N928"/>
      <c r="O928"/>
      <c r="P928"/>
      <c r="Q928"/>
      <c r="R928"/>
      <c r="S928"/>
      <c r="T928"/>
      <c r="U928"/>
      <c r="V928"/>
      <c r="W928" s="87"/>
      <c r="X928"/>
    </row>
    <row r="929" spans="1:24">
      <c r="A929" s="87"/>
      <c r="B929" s="87"/>
      <c r="C929" s="87"/>
      <c r="D929"/>
      <c r="E929"/>
      <c r="F929"/>
      <c r="G929"/>
      <c r="H929"/>
      <c r="I929"/>
      <c r="J929"/>
      <c r="K929"/>
      <c r="L929"/>
      <c r="M929"/>
      <c r="N929"/>
      <c r="O929"/>
      <c r="P929"/>
      <c r="Q929"/>
      <c r="R929"/>
      <c r="S929"/>
      <c r="T929"/>
      <c r="U929"/>
      <c r="V929"/>
      <c r="W929" s="87"/>
      <c r="X929"/>
    </row>
    <row r="930" spans="1:24">
      <c r="A930" s="87"/>
      <c r="B930" s="87"/>
      <c r="C930" s="87"/>
      <c r="D930"/>
      <c r="E930"/>
      <c r="F930"/>
      <c r="G930"/>
      <c r="H930"/>
      <c r="I930"/>
      <c r="J930"/>
      <c r="K930"/>
      <c r="L930"/>
      <c r="M930"/>
      <c r="N930"/>
      <c r="O930"/>
      <c r="P930"/>
      <c r="Q930"/>
      <c r="R930"/>
      <c r="S930"/>
      <c r="T930"/>
      <c r="U930"/>
      <c r="V930"/>
      <c r="W930" s="87"/>
      <c r="X930"/>
    </row>
    <row r="931" spans="1:24">
      <c r="A931" s="87"/>
      <c r="B931" s="87"/>
      <c r="C931" s="87"/>
      <c r="D931"/>
      <c r="E931"/>
      <c r="F931"/>
      <c r="G931"/>
      <c r="H931"/>
      <c r="I931"/>
      <c r="J931"/>
      <c r="K931"/>
      <c r="L931"/>
      <c r="M931"/>
      <c r="N931"/>
      <c r="O931"/>
      <c r="P931"/>
      <c r="Q931"/>
      <c r="R931"/>
      <c r="S931"/>
      <c r="T931"/>
      <c r="U931"/>
      <c r="V931"/>
      <c r="W931" s="87"/>
      <c r="X931"/>
    </row>
    <row r="932" spans="1:24">
      <c r="A932" s="87"/>
      <c r="B932" s="87"/>
      <c r="C932" s="87"/>
      <c r="D932"/>
      <c r="E932"/>
      <c r="F932"/>
      <c r="G932"/>
      <c r="H932"/>
      <c r="I932"/>
      <c r="J932"/>
      <c r="K932"/>
      <c r="L932"/>
      <c r="M932"/>
      <c r="N932"/>
      <c r="O932"/>
      <c r="P932"/>
      <c r="Q932"/>
      <c r="R932"/>
      <c r="S932"/>
      <c r="T932"/>
      <c r="U932"/>
      <c r="V932"/>
      <c r="W932" s="87"/>
      <c r="X932"/>
    </row>
    <row r="933" spans="1:24">
      <c r="A933" s="87"/>
      <c r="B933" s="87"/>
      <c r="C933" s="87"/>
      <c r="D933"/>
      <c r="E933"/>
      <c r="F933"/>
      <c r="G933"/>
      <c r="H933"/>
      <c r="I933"/>
      <c r="J933"/>
      <c r="K933"/>
      <c r="L933"/>
      <c r="M933"/>
      <c r="N933"/>
      <c r="O933"/>
      <c r="P933"/>
      <c r="Q933"/>
      <c r="R933"/>
      <c r="S933"/>
      <c r="T933"/>
      <c r="U933"/>
      <c r="V933"/>
      <c r="W933" s="87"/>
      <c r="X933"/>
    </row>
    <row r="934" spans="1:24">
      <c r="A934" s="87"/>
      <c r="B934" s="87"/>
      <c r="C934" s="87"/>
      <c r="D934"/>
      <c r="E934"/>
      <c r="F934"/>
      <c r="G934"/>
      <c r="H934"/>
      <c r="I934"/>
      <c r="J934"/>
      <c r="K934"/>
      <c r="L934"/>
      <c r="M934"/>
      <c r="N934"/>
      <c r="O934"/>
      <c r="P934"/>
      <c r="Q934"/>
      <c r="R934"/>
      <c r="S934"/>
      <c r="T934"/>
      <c r="U934"/>
      <c r="V934"/>
      <c r="W934" s="87"/>
      <c r="X934"/>
    </row>
    <row r="935" spans="1:24">
      <c r="A935" s="87"/>
      <c r="B935" s="87"/>
      <c r="C935" s="87"/>
      <c r="D935"/>
      <c r="E935"/>
      <c r="F935"/>
      <c r="G935"/>
      <c r="H935"/>
      <c r="I935"/>
      <c r="J935"/>
      <c r="K935"/>
      <c r="L935"/>
      <c r="M935"/>
      <c r="N935"/>
      <c r="O935"/>
      <c r="P935"/>
      <c r="Q935"/>
      <c r="R935"/>
      <c r="S935"/>
      <c r="T935"/>
      <c r="U935"/>
      <c r="V935"/>
      <c r="W935" s="87"/>
      <c r="X935"/>
    </row>
    <row r="936" spans="1:24">
      <c r="A936" s="87"/>
      <c r="B936" s="87"/>
      <c r="C936" s="87"/>
      <c r="D936"/>
      <c r="E936"/>
      <c r="F936"/>
      <c r="G936"/>
      <c r="H936"/>
      <c r="I936"/>
      <c r="J936"/>
      <c r="K936"/>
      <c r="L936"/>
      <c r="M936"/>
      <c r="N936"/>
      <c r="O936"/>
      <c r="P936"/>
      <c r="Q936"/>
      <c r="R936"/>
      <c r="S936"/>
      <c r="T936"/>
      <c r="U936"/>
      <c r="V936"/>
      <c r="W936" s="87"/>
      <c r="X936"/>
    </row>
    <row r="937" spans="1:24">
      <c r="A937" s="87"/>
      <c r="B937" s="87"/>
      <c r="C937" s="87"/>
      <c r="D937"/>
      <c r="E937"/>
      <c r="F937"/>
      <c r="G937"/>
      <c r="H937"/>
      <c r="I937"/>
      <c r="J937"/>
      <c r="K937"/>
      <c r="L937"/>
      <c r="M937"/>
      <c r="N937"/>
      <c r="O937"/>
      <c r="P937"/>
      <c r="Q937"/>
      <c r="R937"/>
      <c r="S937"/>
      <c r="T937"/>
      <c r="U937"/>
      <c r="V937"/>
      <c r="W937" s="87"/>
      <c r="X937"/>
    </row>
    <row r="938" spans="1:24">
      <c r="A938" s="87"/>
      <c r="B938" s="87"/>
      <c r="C938" s="87"/>
      <c r="D938"/>
      <c r="E938"/>
      <c r="F938"/>
      <c r="G938"/>
      <c r="H938"/>
      <c r="I938"/>
      <c r="J938"/>
      <c r="K938"/>
      <c r="L938"/>
      <c r="M938"/>
      <c r="N938"/>
      <c r="O938"/>
      <c r="P938"/>
      <c r="Q938"/>
      <c r="R938"/>
      <c r="S938"/>
      <c r="T938"/>
      <c r="U938"/>
      <c r="V938"/>
      <c r="W938" s="87"/>
      <c r="X938"/>
    </row>
    <row r="939" spans="1:24">
      <c r="A939" s="87"/>
      <c r="B939" s="87"/>
      <c r="C939" s="87"/>
      <c r="D939"/>
      <c r="E939"/>
      <c r="F939"/>
      <c r="G939"/>
      <c r="H939"/>
      <c r="I939"/>
      <c r="J939"/>
      <c r="K939"/>
      <c r="L939"/>
      <c r="M939"/>
      <c r="N939"/>
      <c r="O939"/>
      <c r="P939"/>
      <c r="Q939"/>
      <c r="R939"/>
      <c r="S939"/>
      <c r="T939"/>
      <c r="U939"/>
      <c r="V939"/>
      <c r="W939" s="87"/>
      <c r="X939"/>
    </row>
    <row r="940" spans="1:24">
      <c r="A940" s="87"/>
      <c r="B940" s="87"/>
      <c r="C940" s="87"/>
      <c r="D940"/>
      <c r="E940"/>
      <c r="F940"/>
      <c r="G940"/>
      <c r="H940"/>
      <c r="I940"/>
      <c r="J940"/>
      <c r="K940"/>
      <c r="L940"/>
      <c r="M940"/>
      <c r="N940"/>
      <c r="O940"/>
      <c r="P940"/>
      <c r="Q940"/>
      <c r="R940"/>
      <c r="S940"/>
      <c r="T940"/>
      <c r="U940"/>
      <c r="V940"/>
      <c r="W940" s="87"/>
      <c r="X940"/>
    </row>
    <row r="941" spans="1:24">
      <c r="A941" s="87"/>
      <c r="B941" s="87"/>
      <c r="C941" s="87"/>
      <c r="D941"/>
      <c r="E941"/>
      <c r="F941"/>
      <c r="G941"/>
      <c r="H941"/>
      <c r="I941"/>
      <c r="J941"/>
      <c r="K941"/>
      <c r="L941"/>
      <c r="M941"/>
      <c r="N941"/>
      <c r="O941"/>
      <c r="P941"/>
      <c r="Q941"/>
      <c r="R941"/>
      <c r="S941"/>
      <c r="T941"/>
      <c r="U941"/>
      <c r="V941"/>
      <c r="W941" s="87"/>
      <c r="X941"/>
    </row>
    <row r="942" spans="1:24">
      <c r="A942" s="87"/>
      <c r="B942" s="87"/>
      <c r="C942" s="87"/>
      <c r="D942"/>
      <c r="E942"/>
      <c r="F942"/>
      <c r="G942"/>
      <c r="H942"/>
      <c r="I942"/>
      <c r="J942"/>
      <c r="K942"/>
      <c r="L942"/>
      <c r="M942"/>
      <c r="N942"/>
      <c r="O942"/>
      <c r="P942"/>
      <c r="Q942"/>
      <c r="R942"/>
      <c r="S942"/>
      <c r="T942"/>
      <c r="U942"/>
      <c r="V942"/>
      <c r="W942" s="87"/>
      <c r="X942"/>
    </row>
    <row r="943" spans="1:24">
      <c r="A943" s="87"/>
      <c r="B943" s="87"/>
      <c r="C943" s="87"/>
      <c r="D943"/>
      <c r="E943"/>
      <c r="F943"/>
      <c r="G943"/>
      <c r="H943"/>
      <c r="I943"/>
      <c r="J943"/>
      <c r="K943"/>
      <c r="L943"/>
      <c r="M943"/>
      <c r="N943"/>
      <c r="O943"/>
      <c r="P943"/>
      <c r="Q943"/>
      <c r="R943"/>
      <c r="S943"/>
      <c r="T943"/>
      <c r="U943"/>
      <c r="V943"/>
      <c r="W943" s="87"/>
      <c r="X943"/>
    </row>
    <row r="944" spans="1:24">
      <c r="A944" s="87"/>
      <c r="B944" s="87"/>
      <c r="C944" s="87"/>
      <c r="D944"/>
      <c r="E944"/>
      <c r="F944"/>
      <c r="G944"/>
      <c r="H944"/>
      <c r="I944"/>
      <c r="J944"/>
      <c r="K944"/>
      <c r="L944"/>
      <c r="M944"/>
      <c r="N944"/>
      <c r="O944"/>
      <c r="P944"/>
      <c r="Q944"/>
      <c r="R944"/>
      <c r="S944"/>
      <c r="T944"/>
      <c r="U944"/>
      <c r="V944"/>
      <c r="W944" s="87"/>
      <c r="X944"/>
    </row>
    <row r="945" spans="1:24">
      <c r="A945" s="87"/>
      <c r="B945" s="87"/>
      <c r="C945" s="87"/>
      <c r="D945"/>
      <c r="E945"/>
      <c r="F945"/>
      <c r="G945"/>
      <c r="H945"/>
      <c r="I945"/>
      <c r="J945"/>
      <c r="K945"/>
      <c r="L945"/>
      <c r="M945"/>
      <c r="N945"/>
      <c r="O945"/>
      <c r="P945"/>
      <c r="Q945"/>
      <c r="R945"/>
      <c r="S945"/>
      <c r="T945"/>
      <c r="U945"/>
      <c r="V945"/>
      <c r="W945" s="87"/>
      <c r="X945"/>
    </row>
    <row r="946" spans="1:24">
      <c r="A946" s="87"/>
      <c r="B946" s="87"/>
      <c r="C946" s="87"/>
      <c r="D946"/>
      <c r="E946"/>
      <c r="F946"/>
      <c r="G946"/>
      <c r="H946"/>
      <c r="I946"/>
      <c r="J946"/>
      <c r="K946"/>
      <c r="L946"/>
      <c r="M946"/>
      <c r="N946"/>
      <c r="O946"/>
      <c r="P946"/>
      <c r="Q946"/>
      <c r="R946"/>
      <c r="S946"/>
      <c r="T946"/>
      <c r="U946"/>
      <c r="V946"/>
      <c r="W946" s="87"/>
      <c r="X946"/>
    </row>
    <row r="947" spans="1:24">
      <c r="A947" s="87"/>
      <c r="B947" s="87"/>
      <c r="C947" s="87"/>
      <c r="D947"/>
      <c r="E947"/>
      <c r="F947"/>
      <c r="G947"/>
      <c r="H947"/>
      <c r="I947"/>
      <c r="J947"/>
      <c r="K947"/>
      <c r="L947"/>
      <c r="M947"/>
      <c r="N947"/>
      <c r="O947"/>
      <c r="P947"/>
      <c r="Q947"/>
      <c r="R947"/>
      <c r="S947"/>
      <c r="T947"/>
      <c r="U947"/>
      <c r="V947"/>
      <c r="W947" s="87"/>
      <c r="X947"/>
    </row>
    <row r="948" spans="1:24">
      <c r="A948" s="87"/>
      <c r="B948" s="87"/>
      <c r="C948" s="87"/>
      <c r="D948"/>
      <c r="E948"/>
      <c r="F948"/>
      <c r="G948"/>
      <c r="H948"/>
      <c r="I948"/>
      <c r="J948"/>
      <c r="K948"/>
      <c r="L948"/>
      <c r="M948"/>
      <c r="N948"/>
      <c r="O948"/>
      <c r="P948"/>
      <c r="Q948"/>
      <c r="R948"/>
      <c r="S948"/>
      <c r="T948"/>
      <c r="U948"/>
      <c r="V948"/>
      <c r="W948" s="87"/>
      <c r="X948"/>
    </row>
    <row r="949" spans="1:24">
      <c r="A949" s="87"/>
      <c r="B949" s="87"/>
      <c r="C949" s="87"/>
      <c r="D949"/>
      <c r="E949"/>
      <c r="F949"/>
      <c r="G949"/>
      <c r="H949"/>
      <c r="I949"/>
      <c r="J949"/>
      <c r="K949"/>
      <c r="L949"/>
      <c r="M949"/>
      <c r="N949"/>
      <c r="O949"/>
      <c r="P949"/>
      <c r="Q949"/>
      <c r="R949"/>
      <c r="S949"/>
      <c r="T949"/>
      <c r="U949"/>
      <c r="V949"/>
      <c r="W949" s="87"/>
      <c r="X949"/>
    </row>
    <row r="950" spans="1:24">
      <c r="A950" s="87"/>
      <c r="B950" s="87"/>
      <c r="C950" s="87"/>
      <c r="D950"/>
      <c r="E950"/>
      <c r="F950"/>
      <c r="G950"/>
      <c r="H950"/>
      <c r="I950"/>
      <c r="J950"/>
      <c r="K950"/>
      <c r="L950"/>
      <c r="M950"/>
      <c r="N950"/>
      <c r="O950"/>
      <c r="P950"/>
      <c r="Q950"/>
      <c r="R950"/>
      <c r="S950"/>
      <c r="T950"/>
      <c r="U950"/>
      <c r="V950"/>
      <c r="W950" s="87"/>
      <c r="X950"/>
    </row>
    <row r="951" spans="1:24">
      <c r="A951" s="87"/>
      <c r="B951" s="87"/>
      <c r="C951" s="87"/>
      <c r="D951"/>
      <c r="E951"/>
      <c r="F951"/>
      <c r="G951"/>
      <c r="H951"/>
      <c r="I951"/>
      <c r="J951"/>
      <c r="K951"/>
      <c r="L951"/>
      <c r="M951"/>
      <c r="N951"/>
      <c r="O951"/>
      <c r="P951"/>
      <c r="Q951"/>
      <c r="R951"/>
      <c r="S951"/>
      <c r="T951"/>
      <c r="U951"/>
      <c r="V951"/>
      <c r="W951" s="87"/>
      <c r="X951"/>
    </row>
    <row r="952" spans="1:24">
      <c r="A952" s="87"/>
      <c r="B952" s="87"/>
      <c r="C952" s="87"/>
      <c r="D952"/>
      <c r="E952"/>
      <c r="F952"/>
      <c r="G952"/>
      <c r="H952"/>
      <c r="I952"/>
      <c r="J952"/>
      <c r="K952"/>
      <c r="L952"/>
      <c r="M952"/>
      <c r="N952"/>
      <c r="O952"/>
      <c r="P952"/>
      <c r="Q952"/>
      <c r="R952"/>
      <c r="S952"/>
      <c r="T952"/>
      <c r="U952"/>
      <c r="V952"/>
      <c r="W952" s="87"/>
      <c r="X952"/>
    </row>
    <row r="953" spans="1:24">
      <c r="A953" s="87"/>
      <c r="B953" s="87"/>
      <c r="C953" s="87"/>
      <c r="D953"/>
      <c r="E953"/>
      <c r="F953"/>
      <c r="G953"/>
      <c r="H953"/>
      <c r="I953"/>
      <c r="J953"/>
      <c r="K953"/>
      <c r="L953"/>
      <c r="M953"/>
      <c r="N953"/>
      <c r="O953"/>
      <c r="P953"/>
      <c r="Q953"/>
      <c r="R953"/>
      <c r="S953"/>
      <c r="T953"/>
      <c r="U953"/>
      <c r="V953"/>
      <c r="W953" s="87"/>
      <c r="X953"/>
    </row>
    <row r="954" spans="1:24">
      <c r="A954" s="87"/>
      <c r="B954" s="87"/>
      <c r="C954" s="87"/>
      <c r="D954"/>
      <c r="E954"/>
      <c r="F954"/>
      <c r="G954"/>
      <c r="H954"/>
      <c r="I954"/>
      <c r="J954"/>
      <c r="K954"/>
      <c r="L954"/>
      <c r="M954"/>
      <c r="N954"/>
      <c r="O954"/>
      <c r="P954"/>
      <c r="Q954"/>
      <c r="R954"/>
      <c r="S954"/>
      <c r="T954"/>
      <c r="U954"/>
      <c r="V954"/>
      <c r="W954" s="87"/>
      <c r="X954"/>
    </row>
    <row r="955" spans="1:24">
      <c r="A955" s="87"/>
      <c r="B955" s="87"/>
      <c r="C955" s="87"/>
      <c r="D955"/>
      <c r="E955"/>
      <c r="F955"/>
      <c r="G955"/>
      <c r="H955"/>
      <c r="I955"/>
      <c r="J955"/>
      <c r="K955"/>
      <c r="L955"/>
      <c r="M955"/>
      <c r="N955"/>
      <c r="O955"/>
      <c r="P955"/>
      <c r="Q955"/>
      <c r="R955"/>
      <c r="S955"/>
      <c r="T955"/>
      <c r="U955"/>
      <c r="V955"/>
      <c r="W955" s="87"/>
      <c r="X955"/>
    </row>
    <row r="956" spans="1:24">
      <c r="A956" s="87"/>
      <c r="B956" s="87"/>
      <c r="C956" s="87"/>
      <c r="D956"/>
      <c r="E956"/>
      <c r="F956"/>
      <c r="G956"/>
      <c r="H956"/>
      <c r="I956"/>
      <c r="J956"/>
      <c r="K956"/>
      <c r="L956"/>
      <c r="M956"/>
      <c r="N956"/>
      <c r="O956"/>
      <c r="P956"/>
      <c r="Q956"/>
      <c r="R956"/>
      <c r="S956"/>
      <c r="T956"/>
      <c r="U956"/>
      <c r="V956"/>
      <c r="W956" s="87"/>
      <c r="X956"/>
    </row>
    <row r="957" spans="1:24">
      <c r="A957" s="87"/>
      <c r="B957" s="87"/>
      <c r="C957" s="87"/>
      <c r="D957"/>
      <c r="E957"/>
      <c r="F957"/>
      <c r="G957"/>
      <c r="H957"/>
      <c r="I957"/>
      <c r="J957"/>
      <c r="K957"/>
      <c r="L957"/>
      <c r="M957"/>
      <c r="N957"/>
      <c r="O957"/>
      <c r="P957"/>
      <c r="Q957"/>
      <c r="R957"/>
      <c r="S957"/>
      <c r="T957"/>
      <c r="U957"/>
      <c r="V957"/>
      <c r="W957" s="87"/>
      <c r="X957"/>
    </row>
    <row r="958" spans="1:24">
      <c r="A958" s="87"/>
      <c r="B958" s="87"/>
      <c r="C958" s="87"/>
      <c r="D958"/>
      <c r="E958"/>
      <c r="F958"/>
      <c r="G958"/>
      <c r="H958"/>
      <c r="I958"/>
      <c r="J958"/>
      <c r="K958"/>
      <c r="L958"/>
      <c r="M958"/>
      <c r="N958"/>
      <c r="O958"/>
      <c r="P958"/>
      <c r="Q958"/>
      <c r="R958"/>
      <c r="S958"/>
      <c r="T958"/>
      <c r="U958"/>
      <c r="V958"/>
      <c r="W958" s="87"/>
      <c r="X958"/>
    </row>
    <row r="959" spans="1:24">
      <c r="A959" s="87"/>
      <c r="B959" s="87"/>
      <c r="C959" s="87"/>
      <c r="D959"/>
      <c r="E959"/>
      <c r="F959"/>
      <c r="G959"/>
      <c r="H959"/>
      <c r="I959"/>
      <c r="J959"/>
      <c r="K959"/>
      <c r="L959"/>
      <c r="M959"/>
      <c r="N959"/>
      <c r="O959"/>
      <c r="P959"/>
      <c r="Q959"/>
      <c r="R959"/>
      <c r="S959"/>
      <c r="T959"/>
      <c r="U959"/>
      <c r="V959"/>
      <c r="W959" s="87"/>
      <c r="X959"/>
    </row>
    <row r="960" spans="1:24">
      <c r="A960" s="87"/>
      <c r="B960" s="87"/>
      <c r="C960" s="87"/>
      <c r="D960"/>
      <c r="E960"/>
      <c r="F960"/>
      <c r="G960"/>
      <c r="H960"/>
      <c r="I960"/>
      <c r="J960"/>
      <c r="K960"/>
      <c r="L960"/>
      <c r="M960"/>
      <c r="N960"/>
      <c r="O960"/>
      <c r="P960"/>
      <c r="Q960"/>
      <c r="R960"/>
      <c r="S960"/>
      <c r="T960"/>
      <c r="U960"/>
      <c r="V960"/>
      <c r="W960" s="87"/>
      <c r="X960"/>
    </row>
    <row r="961" spans="1:24">
      <c r="A961" s="87"/>
      <c r="B961" s="87"/>
      <c r="C961" s="87"/>
      <c r="D961"/>
      <c r="E961"/>
      <c r="F961"/>
      <c r="G961"/>
      <c r="H961"/>
      <c r="I961"/>
      <c r="J961"/>
      <c r="K961"/>
      <c r="L961"/>
      <c r="M961"/>
      <c r="N961"/>
      <c r="O961"/>
      <c r="P961"/>
      <c r="Q961"/>
      <c r="R961"/>
      <c r="S961"/>
      <c r="T961"/>
      <c r="U961"/>
      <c r="V961"/>
      <c r="W961" s="87"/>
      <c r="X961"/>
    </row>
    <row r="962" spans="1:24">
      <c r="A962" s="87"/>
      <c r="B962" s="87"/>
      <c r="C962" s="87"/>
      <c r="D962"/>
      <c r="E962"/>
      <c r="F962"/>
      <c r="G962"/>
      <c r="H962"/>
      <c r="I962"/>
      <c r="J962"/>
      <c r="K962"/>
      <c r="L962"/>
      <c r="M962"/>
      <c r="N962"/>
      <c r="O962"/>
      <c r="P962"/>
      <c r="Q962"/>
      <c r="R962"/>
      <c r="S962"/>
      <c r="T962"/>
      <c r="U962"/>
      <c r="V962"/>
      <c r="W962" s="87"/>
      <c r="X962"/>
    </row>
    <row r="963" spans="1:24">
      <c r="A963" s="87"/>
      <c r="B963" s="87"/>
      <c r="C963" s="87"/>
      <c r="D963"/>
      <c r="E963"/>
      <c r="F963"/>
      <c r="G963"/>
      <c r="H963"/>
      <c r="I963"/>
      <c r="J963"/>
      <c r="K963"/>
      <c r="L963"/>
      <c r="M963"/>
      <c r="N963"/>
      <c r="O963"/>
      <c r="P963"/>
      <c r="Q963"/>
      <c r="R963"/>
      <c r="S963"/>
      <c r="T963"/>
      <c r="U963"/>
      <c r="V963"/>
      <c r="W963" s="87"/>
      <c r="X963"/>
    </row>
    <row r="964" spans="1:24">
      <c r="A964" s="87"/>
      <c r="B964" s="87"/>
      <c r="C964" s="87"/>
      <c r="D964"/>
      <c r="E964"/>
      <c r="F964"/>
      <c r="G964"/>
      <c r="H964"/>
      <c r="I964"/>
      <c r="J964"/>
      <c r="K964"/>
      <c r="L964"/>
      <c r="M964"/>
      <c r="N964"/>
      <c r="O964"/>
      <c r="P964"/>
      <c r="Q964"/>
      <c r="R964"/>
      <c r="S964"/>
      <c r="T964"/>
      <c r="U964"/>
      <c r="V964"/>
      <c r="W964" s="87"/>
      <c r="X964"/>
    </row>
    <row r="965" spans="1:24">
      <c r="A965" s="87"/>
      <c r="B965" s="87"/>
      <c r="C965" s="87"/>
      <c r="D965"/>
      <c r="E965"/>
      <c r="F965"/>
      <c r="G965"/>
      <c r="H965"/>
      <c r="I965"/>
      <c r="J965"/>
      <c r="K965"/>
      <c r="L965"/>
      <c r="M965"/>
      <c r="N965"/>
      <c r="O965"/>
      <c r="P965"/>
      <c r="Q965"/>
      <c r="R965"/>
      <c r="S965"/>
      <c r="T965"/>
      <c r="U965"/>
      <c r="V965"/>
      <c r="W965" s="87"/>
      <c r="X965"/>
    </row>
    <row r="966" spans="1:24">
      <c r="A966" s="87"/>
      <c r="B966" s="87"/>
      <c r="C966" s="87"/>
      <c r="D966"/>
      <c r="E966"/>
      <c r="F966"/>
      <c r="G966"/>
      <c r="H966"/>
      <c r="I966"/>
      <c r="J966"/>
      <c r="K966"/>
      <c r="L966"/>
      <c r="M966"/>
      <c r="N966"/>
      <c r="O966"/>
      <c r="P966"/>
      <c r="Q966"/>
      <c r="R966"/>
      <c r="S966"/>
      <c r="T966"/>
      <c r="U966"/>
      <c r="V966"/>
      <c r="W966" s="87"/>
      <c r="X966"/>
    </row>
    <row r="967" spans="1:24">
      <c r="A967" s="87"/>
      <c r="B967" s="87"/>
      <c r="C967" s="87"/>
      <c r="D967"/>
      <c r="E967"/>
      <c r="F967"/>
      <c r="G967"/>
      <c r="H967"/>
      <c r="I967"/>
      <c r="J967"/>
      <c r="K967"/>
      <c r="L967"/>
      <c r="M967"/>
      <c r="N967"/>
      <c r="O967"/>
      <c r="P967"/>
      <c r="Q967"/>
      <c r="R967"/>
      <c r="S967"/>
      <c r="T967"/>
      <c r="U967"/>
      <c r="V967"/>
      <c r="W967" s="87"/>
      <c r="X967"/>
    </row>
    <row r="968" spans="1:24">
      <c r="A968" s="87"/>
      <c r="B968" s="87"/>
      <c r="C968" s="87"/>
      <c r="D968"/>
      <c r="E968"/>
      <c r="F968"/>
      <c r="G968"/>
      <c r="H968"/>
      <c r="I968"/>
      <c r="J968"/>
      <c r="K968"/>
      <c r="L968"/>
      <c r="M968"/>
      <c r="N968"/>
      <c r="O968"/>
      <c r="P968"/>
      <c r="Q968"/>
      <c r="R968"/>
      <c r="S968"/>
      <c r="T968"/>
      <c r="U968"/>
      <c r="V968"/>
      <c r="W968" s="87"/>
      <c r="X968"/>
    </row>
    <row r="969" spans="1:24">
      <c r="A969" s="87"/>
      <c r="B969" s="87"/>
      <c r="C969" s="87"/>
      <c r="D969"/>
      <c r="E969"/>
      <c r="F969"/>
      <c r="G969"/>
      <c r="H969"/>
      <c r="I969"/>
      <c r="J969"/>
      <c r="K969"/>
      <c r="L969"/>
      <c r="M969"/>
      <c r="N969"/>
      <c r="O969"/>
      <c r="P969"/>
      <c r="Q969"/>
      <c r="R969"/>
      <c r="S969"/>
      <c r="T969"/>
      <c r="U969"/>
      <c r="V969"/>
      <c r="W969" s="87"/>
      <c r="X969"/>
    </row>
    <row r="970" spans="1:24">
      <c r="A970" s="87"/>
      <c r="B970" s="87"/>
      <c r="C970" s="87"/>
      <c r="D970"/>
      <c r="E970"/>
      <c r="F970"/>
      <c r="G970"/>
      <c r="H970"/>
      <c r="I970"/>
      <c r="J970"/>
      <c r="K970"/>
      <c r="L970"/>
      <c r="M970"/>
      <c r="N970"/>
      <c r="O970"/>
      <c r="P970"/>
      <c r="Q970"/>
      <c r="R970"/>
      <c r="S970"/>
      <c r="T970"/>
      <c r="U970"/>
      <c r="V970"/>
      <c r="W970" s="87"/>
      <c r="X970"/>
    </row>
    <row r="971" spans="1:24">
      <c r="A971" s="87"/>
      <c r="B971" s="87"/>
      <c r="C971" s="87"/>
      <c r="D971"/>
      <c r="E971"/>
      <c r="F971"/>
      <c r="G971"/>
      <c r="H971"/>
      <c r="I971"/>
      <c r="J971"/>
      <c r="K971"/>
      <c r="L971"/>
      <c r="M971"/>
      <c r="N971"/>
      <c r="O971"/>
      <c r="P971"/>
      <c r="Q971"/>
      <c r="R971"/>
      <c r="S971"/>
      <c r="T971"/>
      <c r="U971"/>
      <c r="V971"/>
      <c r="W971" s="87"/>
      <c r="X971"/>
    </row>
    <row r="972" spans="1:24">
      <c r="A972" s="87"/>
      <c r="B972" s="87"/>
      <c r="C972" s="87"/>
      <c r="D972"/>
      <c r="E972"/>
      <c r="F972"/>
      <c r="G972"/>
      <c r="H972"/>
      <c r="I972"/>
      <c r="J972"/>
      <c r="K972"/>
      <c r="L972"/>
      <c r="M972"/>
      <c r="N972"/>
      <c r="O972"/>
      <c r="P972"/>
      <c r="Q972"/>
      <c r="R972"/>
      <c r="S972"/>
      <c r="T972"/>
      <c r="U972"/>
      <c r="V972"/>
      <c r="W972" s="87"/>
      <c r="X972"/>
    </row>
    <row r="973" spans="1:24">
      <c r="A973" s="87"/>
      <c r="B973" s="87"/>
      <c r="C973" s="87"/>
      <c r="D973"/>
      <c r="E973"/>
      <c r="F973"/>
      <c r="G973"/>
      <c r="H973"/>
      <c r="I973"/>
      <c r="J973"/>
      <c r="K973"/>
      <c r="L973"/>
      <c r="M973"/>
      <c r="N973"/>
      <c r="O973"/>
      <c r="P973"/>
      <c r="Q973"/>
      <c r="R973"/>
      <c r="S973"/>
      <c r="T973"/>
      <c r="U973"/>
      <c r="V973"/>
      <c r="W973" s="87"/>
      <c r="X973"/>
    </row>
    <row r="974" spans="1:24">
      <c r="A974" s="87"/>
      <c r="B974" s="87"/>
      <c r="C974" s="87"/>
      <c r="D974"/>
      <c r="E974"/>
      <c r="F974"/>
      <c r="G974"/>
      <c r="H974"/>
      <c r="I974"/>
      <c r="J974"/>
      <c r="K974"/>
      <c r="L974"/>
      <c r="M974"/>
      <c r="N974"/>
      <c r="O974"/>
      <c r="P974"/>
      <c r="Q974"/>
      <c r="R974"/>
      <c r="S974"/>
      <c r="T974"/>
      <c r="U974"/>
      <c r="V974"/>
      <c r="W974" s="87"/>
      <c r="X974"/>
    </row>
    <row r="975" spans="1:24">
      <c r="A975" s="87"/>
      <c r="B975" s="87"/>
      <c r="C975" s="87"/>
      <c r="D975"/>
      <c r="E975"/>
      <c r="F975"/>
      <c r="G975"/>
      <c r="H975"/>
      <c r="I975"/>
      <c r="J975"/>
      <c r="K975"/>
      <c r="L975"/>
      <c r="M975"/>
      <c r="N975"/>
      <c r="O975"/>
      <c r="P975"/>
      <c r="Q975"/>
      <c r="R975"/>
      <c r="S975"/>
      <c r="T975"/>
      <c r="U975"/>
      <c r="V975"/>
      <c r="W975" s="87"/>
      <c r="X975"/>
    </row>
    <row r="976" spans="1:24">
      <c r="A976" s="87"/>
      <c r="B976" s="87"/>
      <c r="C976" s="87"/>
      <c r="D976"/>
      <c r="E976"/>
      <c r="F976"/>
      <c r="G976"/>
      <c r="H976"/>
      <c r="I976"/>
      <c r="J976"/>
      <c r="K976"/>
      <c r="L976"/>
      <c r="M976"/>
      <c r="N976"/>
      <c r="O976"/>
      <c r="P976"/>
      <c r="Q976"/>
      <c r="R976"/>
      <c r="S976"/>
      <c r="T976"/>
      <c r="U976"/>
      <c r="V976"/>
      <c r="W976" s="87"/>
      <c r="X976"/>
    </row>
    <row r="977" spans="1:24">
      <c r="A977" s="87"/>
      <c r="B977" s="87"/>
      <c r="C977" s="87"/>
      <c r="D977"/>
      <c r="E977"/>
      <c r="F977"/>
      <c r="G977"/>
      <c r="H977"/>
      <c r="I977"/>
      <c r="J977"/>
      <c r="K977"/>
      <c r="L977"/>
      <c r="M977"/>
      <c r="N977"/>
      <c r="O977"/>
      <c r="P977"/>
      <c r="Q977"/>
      <c r="R977"/>
      <c r="S977"/>
      <c r="T977"/>
      <c r="U977"/>
      <c r="V977"/>
      <c r="W977" s="87"/>
      <c r="X977"/>
    </row>
    <row r="978" spans="1:24">
      <c r="A978" s="87"/>
      <c r="B978" s="87"/>
      <c r="C978" s="87"/>
      <c r="D978"/>
      <c r="E978"/>
      <c r="F978"/>
      <c r="G978"/>
      <c r="H978"/>
      <c r="I978"/>
      <c r="J978"/>
      <c r="K978"/>
      <c r="L978"/>
      <c r="M978"/>
      <c r="N978"/>
      <c r="O978"/>
      <c r="P978"/>
      <c r="Q978"/>
      <c r="R978"/>
      <c r="S978"/>
      <c r="T978"/>
      <c r="U978"/>
      <c r="V978"/>
      <c r="W978" s="87"/>
      <c r="X978"/>
    </row>
    <row r="979" spans="1:24">
      <c r="A979" s="87"/>
      <c r="B979" s="87"/>
      <c r="C979" s="87"/>
      <c r="D979"/>
      <c r="E979"/>
      <c r="F979"/>
      <c r="G979"/>
      <c r="H979"/>
      <c r="I979"/>
      <c r="J979"/>
      <c r="K979"/>
      <c r="L979"/>
      <c r="M979"/>
      <c r="N979"/>
      <c r="O979"/>
      <c r="P979"/>
      <c r="Q979"/>
      <c r="R979"/>
      <c r="S979"/>
      <c r="T979"/>
      <c r="U979"/>
      <c r="V979"/>
      <c r="W979" s="87"/>
      <c r="X979"/>
    </row>
    <row r="980" spans="1:24">
      <c r="A980" s="87"/>
      <c r="B980" s="87"/>
      <c r="C980" s="87"/>
      <c r="D980"/>
      <c r="E980"/>
      <c r="F980"/>
      <c r="G980"/>
      <c r="H980"/>
      <c r="I980"/>
      <c r="J980"/>
      <c r="K980"/>
      <c r="L980"/>
      <c r="M980"/>
      <c r="N980"/>
      <c r="O980"/>
      <c r="P980"/>
      <c r="Q980"/>
      <c r="R980"/>
      <c r="S980"/>
      <c r="T980"/>
      <c r="U980"/>
      <c r="V980"/>
      <c r="W980" s="87"/>
      <c r="X980"/>
    </row>
    <row r="981" spans="1:24">
      <c r="A981" s="87"/>
      <c r="B981" s="87"/>
      <c r="C981" s="87"/>
      <c r="D981"/>
      <c r="E981"/>
      <c r="F981"/>
      <c r="G981"/>
      <c r="H981"/>
      <c r="I981"/>
      <c r="J981"/>
      <c r="K981"/>
      <c r="L981"/>
      <c r="M981"/>
      <c r="N981"/>
      <c r="O981"/>
      <c r="P981"/>
      <c r="Q981"/>
      <c r="R981"/>
      <c r="S981"/>
      <c r="T981"/>
      <c r="U981"/>
      <c r="V981"/>
      <c r="W981" s="87"/>
      <c r="X981"/>
    </row>
    <row r="982" spans="1:24">
      <c r="A982" s="87"/>
      <c r="B982" s="87"/>
      <c r="C982" s="87"/>
      <c r="D982"/>
      <c r="E982"/>
      <c r="F982"/>
      <c r="G982"/>
      <c r="H982"/>
      <c r="I982"/>
      <c r="J982"/>
      <c r="K982"/>
      <c r="L982"/>
      <c r="M982"/>
      <c r="N982"/>
      <c r="O982"/>
      <c r="P982"/>
      <c r="Q982"/>
      <c r="R982"/>
      <c r="S982"/>
      <c r="T982"/>
      <c r="U982"/>
      <c r="V982"/>
      <c r="W982" s="87"/>
      <c r="X982"/>
    </row>
    <row r="983" spans="1:24">
      <c r="A983" s="87"/>
      <c r="B983" s="87"/>
      <c r="C983" s="87"/>
      <c r="D983"/>
      <c r="E983"/>
      <c r="F983"/>
      <c r="G983"/>
      <c r="H983"/>
      <c r="I983"/>
      <c r="J983"/>
      <c r="K983"/>
      <c r="L983"/>
      <c r="M983"/>
      <c r="N983"/>
      <c r="O983"/>
      <c r="P983"/>
      <c r="Q983"/>
      <c r="R983"/>
      <c r="S983"/>
      <c r="T983"/>
      <c r="U983"/>
      <c r="V983"/>
      <c r="W983" s="87"/>
      <c r="X983"/>
    </row>
    <row r="984" spans="1:24">
      <c r="A984" s="87"/>
      <c r="B984" s="87"/>
      <c r="C984" s="87"/>
      <c r="D984"/>
      <c r="E984"/>
      <c r="F984"/>
      <c r="G984"/>
      <c r="H984"/>
      <c r="I984"/>
      <c r="J984"/>
      <c r="K984"/>
      <c r="L984"/>
      <c r="M984"/>
      <c r="N984"/>
      <c r="O984"/>
      <c r="P984"/>
      <c r="Q984"/>
      <c r="R984"/>
      <c r="S984"/>
      <c r="T984"/>
      <c r="U984"/>
      <c r="V984"/>
      <c r="W984" s="87"/>
      <c r="X984"/>
    </row>
    <row r="985" spans="1:24">
      <c r="A985" s="87"/>
      <c r="B985" s="87"/>
      <c r="C985" s="87"/>
      <c r="D985"/>
      <c r="E985"/>
      <c r="F985"/>
      <c r="G985"/>
      <c r="H985"/>
      <c r="I985"/>
      <c r="J985"/>
      <c r="K985"/>
      <c r="L985"/>
      <c r="M985"/>
      <c r="N985"/>
      <c r="O985"/>
      <c r="P985"/>
      <c r="Q985"/>
      <c r="R985"/>
      <c r="S985"/>
      <c r="T985"/>
      <c r="U985"/>
      <c r="V985"/>
      <c r="W985" s="87"/>
      <c r="X985"/>
    </row>
    <row r="986" spans="1:24">
      <c r="A986" s="87"/>
      <c r="B986" s="87"/>
      <c r="C986" s="87"/>
      <c r="D986"/>
      <c r="E986"/>
      <c r="F986"/>
      <c r="G986"/>
      <c r="H986"/>
      <c r="I986"/>
      <c r="J986"/>
      <c r="K986"/>
      <c r="L986"/>
      <c r="M986"/>
      <c r="N986"/>
      <c r="O986"/>
      <c r="P986"/>
      <c r="Q986"/>
      <c r="R986"/>
      <c r="S986"/>
      <c r="T986"/>
      <c r="U986"/>
      <c r="V986"/>
      <c r="W986" s="87"/>
      <c r="X986"/>
    </row>
    <row r="987" spans="1:24">
      <c r="A987" s="87"/>
      <c r="B987" s="87"/>
      <c r="C987" s="87"/>
      <c r="D987"/>
      <c r="E987"/>
      <c r="F987"/>
      <c r="G987"/>
      <c r="H987"/>
      <c r="I987"/>
      <c r="J987"/>
      <c r="K987"/>
      <c r="L987"/>
      <c r="M987"/>
      <c r="N987"/>
      <c r="O987"/>
      <c r="P987"/>
      <c r="Q987"/>
      <c r="R987"/>
      <c r="S987"/>
      <c r="T987"/>
      <c r="U987"/>
      <c r="V987"/>
      <c r="W987" s="87"/>
      <c r="X987"/>
    </row>
    <row r="988" spans="1:24">
      <c r="A988" s="87"/>
      <c r="B988" s="87"/>
      <c r="C988" s="87"/>
      <c r="D988"/>
      <c r="E988"/>
      <c r="F988"/>
      <c r="G988"/>
      <c r="H988"/>
      <c r="I988"/>
      <c r="J988"/>
      <c r="K988"/>
      <c r="L988"/>
      <c r="M988"/>
      <c r="N988"/>
      <c r="O988"/>
      <c r="P988"/>
      <c r="Q988"/>
      <c r="R988"/>
      <c r="S988"/>
      <c r="T988"/>
      <c r="U988"/>
      <c r="V988"/>
      <c r="W988" s="87"/>
      <c r="X988"/>
    </row>
    <row r="989" spans="1:24">
      <c r="A989" s="87"/>
      <c r="B989" s="87"/>
      <c r="C989" s="87"/>
      <c r="D989"/>
      <c r="E989"/>
      <c r="F989"/>
      <c r="G989"/>
      <c r="H989"/>
      <c r="I989"/>
      <c r="J989"/>
      <c r="K989"/>
      <c r="L989"/>
      <c r="M989"/>
      <c r="N989"/>
      <c r="O989"/>
      <c r="P989"/>
      <c r="Q989"/>
      <c r="R989"/>
      <c r="S989"/>
      <c r="T989"/>
      <c r="U989"/>
      <c r="V989"/>
      <c r="W989" s="87"/>
      <c r="X989"/>
    </row>
    <row r="990" spans="1:24">
      <c r="A990" s="87"/>
      <c r="B990" s="87"/>
      <c r="C990" s="87"/>
      <c r="D990"/>
      <c r="E990"/>
      <c r="F990"/>
      <c r="G990"/>
      <c r="H990"/>
      <c r="I990"/>
      <c r="J990"/>
      <c r="K990"/>
      <c r="L990"/>
      <c r="M990"/>
      <c r="N990"/>
      <c r="O990"/>
      <c r="P990"/>
      <c r="Q990"/>
      <c r="R990"/>
      <c r="S990"/>
      <c r="T990"/>
      <c r="U990"/>
      <c r="V990"/>
      <c r="W990" s="87"/>
      <c r="X990"/>
    </row>
    <row r="991" spans="1:24">
      <c r="A991" s="87"/>
      <c r="B991" s="87"/>
      <c r="C991" s="87"/>
      <c r="D991"/>
      <c r="E991"/>
      <c r="F991"/>
      <c r="G991"/>
      <c r="H991"/>
      <c r="I991"/>
      <c r="J991"/>
      <c r="K991"/>
      <c r="L991"/>
      <c r="M991"/>
      <c r="N991"/>
      <c r="O991"/>
      <c r="P991"/>
      <c r="Q991"/>
      <c r="R991"/>
      <c r="S991"/>
      <c r="T991"/>
      <c r="U991"/>
      <c r="V991"/>
      <c r="W991" s="87"/>
      <c r="X991"/>
    </row>
    <row r="992" spans="1:24">
      <c r="A992" s="87"/>
      <c r="B992" s="87"/>
      <c r="C992" s="87"/>
      <c r="D992"/>
      <c r="E992"/>
      <c r="F992"/>
      <c r="G992"/>
      <c r="H992"/>
      <c r="I992"/>
      <c r="J992"/>
      <c r="K992"/>
      <c r="L992"/>
      <c r="M992"/>
      <c r="N992"/>
      <c r="O992"/>
      <c r="P992"/>
      <c r="Q992"/>
      <c r="R992"/>
      <c r="S992"/>
      <c r="T992"/>
      <c r="U992"/>
      <c r="V992"/>
      <c r="W992" s="87"/>
      <c r="X992"/>
    </row>
    <row r="993" spans="1:24">
      <c r="A993" s="87"/>
      <c r="B993" s="87"/>
      <c r="C993" s="87"/>
      <c r="D993"/>
      <c r="E993"/>
      <c r="F993"/>
      <c r="G993"/>
      <c r="H993"/>
      <c r="I993"/>
      <c r="J993"/>
      <c r="K993"/>
      <c r="L993"/>
      <c r="M993"/>
      <c r="N993"/>
      <c r="O993"/>
      <c r="P993"/>
      <c r="Q993"/>
      <c r="R993"/>
      <c r="S993"/>
      <c r="T993"/>
      <c r="U993"/>
      <c r="V993"/>
      <c r="W993" s="87"/>
      <c r="X993"/>
    </row>
    <row r="994" spans="1:24">
      <c r="A994" s="87"/>
      <c r="B994" s="87"/>
      <c r="C994" s="87"/>
      <c r="D994"/>
      <c r="E994"/>
      <c r="F994"/>
      <c r="G994"/>
      <c r="H994"/>
      <c r="I994"/>
      <c r="J994"/>
      <c r="K994"/>
      <c r="L994"/>
      <c r="M994"/>
      <c r="N994"/>
      <c r="O994"/>
      <c r="P994"/>
      <c r="Q994"/>
      <c r="R994"/>
      <c r="S994"/>
      <c r="T994"/>
      <c r="U994"/>
      <c r="V994"/>
      <c r="W994" s="87"/>
      <c r="X994"/>
    </row>
    <row r="995" spans="1:24">
      <c r="A995" s="87"/>
      <c r="B995" s="87"/>
      <c r="C995" s="87"/>
      <c r="D995"/>
      <c r="E995"/>
      <c r="F995"/>
      <c r="G995"/>
      <c r="H995"/>
      <c r="I995"/>
      <c r="J995"/>
      <c r="K995"/>
      <c r="L995"/>
      <c r="M995"/>
      <c r="N995"/>
      <c r="O995"/>
      <c r="P995"/>
      <c r="Q995"/>
      <c r="R995"/>
      <c r="S995"/>
      <c r="T995"/>
      <c r="U995"/>
      <c r="V995"/>
      <c r="W995" s="87"/>
      <c r="X995"/>
    </row>
    <row r="996" spans="1:24">
      <c r="A996" s="87"/>
      <c r="B996" s="87"/>
      <c r="C996" s="87"/>
      <c r="D996"/>
      <c r="E996"/>
      <c r="F996"/>
      <c r="G996"/>
      <c r="H996"/>
      <c r="I996"/>
      <c r="J996"/>
      <c r="K996"/>
      <c r="L996"/>
      <c r="M996"/>
      <c r="N996"/>
      <c r="O996"/>
      <c r="P996"/>
      <c r="Q996"/>
      <c r="R996"/>
      <c r="S996"/>
      <c r="T996"/>
      <c r="U996"/>
      <c r="V996"/>
      <c r="W996" s="87"/>
      <c r="X996"/>
    </row>
    <row r="997" spans="1:24">
      <c r="A997" s="87"/>
      <c r="B997" s="87"/>
      <c r="C997" s="87"/>
      <c r="D997"/>
      <c r="E997"/>
      <c r="F997"/>
      <c r="G997"/>
      <c r="H997"/>
      <c r="I997"/>
      <c r="J997"/>
      <c r="K997"/>
      <c r="L997"/>
      <c r="M997"/>
      <c r="N997"/>
      <c r="O997"/>
      <c r="P997"/>
      <c r="Q997"/>
      <c r="R997"/>
      <c r="S997"/>
      <c r="T997"/>
      <c r="U997"/>
      <c r="V997"/>
      <c r="W997" s="87"/>
      <c r="X997"/>
    </row>
    <row r="998" spans="1:24">
      <c r="A998" s="87"/>
      <c r="B998" s="87"/>
      <c r="C998" s="87"/>
      <c r="D998"/>
      <c r="E998"/>
      <c r="F998"/>
      <c r="G998"/>
      <c r="H998"/>
      <c r="I998"/>
      <c r="J998"/>
      <c r="K998"/>
      <c r="L998"/>
      <c r="M998"/>
      <c r="N998"/>
      <c r="O998"/>
      <c r="P998"/>
      <c r="Q998"/>
      <c r="R998"/>
      <c r="S998"/>
      <c r="T998"/>
      <c r="U998"/>
      <c r="V998"/>
      <c r="W998" s="87"/>
      <c r="X998"/>
    </row>
    <row r="999" spans="1:24">
      <c r="A999" s="87"/>
      <c r="B999" s="87"/>
      <c r="C999" s="87"/>
      <c r="D999"/>
      <c r="E999"/>
      <c r="F999"/>
      <c r="G999"/>
      <c r="H999"/>
      <c r="I999"/>
      <c r="J999"/>
      <c r="K999"/>
      <c r="L999"/>
      <c r="M999"/>
      <c r="N999"/>
      <c r="O999"/>
      <c r="P999"/>
      <c r="Q999"/>
      <c r="R999"/>
      <c r="S999"/>
      <c r="T999"/>
      <c r="U999"/>
      <c r="V999"/>
      <c r="W999" s="87"/>
      <c r="X999"/>
    </row>
    <row r="1000" spans="1:24">
      <c r="A1000" s="87"/>
      <c r="B1000" s="87"/>
      <c r="C1000" s="87"/>
      <c r="D1000"/>
      <c r="E1000"/>
      <c r="F1000"/>
      <c r="G1000"/>
      <c r="H1000"/>
      <c r="I1000"/>
      <c r="J1000"/>
      <c r="K1000"/>
      <c r="L1000"/>
      <c r="M1000"/>
      <c r="N1000"/>
      <c r="O1000"/>
      <c r="P1000"/>
      <c r="Q1000"/>
      <c r="R1000"/>
      <c r="S1000"/>
      <c r="T1000"/>
      <c r="U1000"/>
      <c r="V1000"/>
      <c r="W1000" s="87"/>
      <c r="X1000"/>
    </row>
    <row r="1001" spans="1:24">
      <c r="A1001" s="87"/>
      <c r="B1001" s="87"/>
      <c r="C1001" s="87"/>
      <c r="D1001"/>
      <c r="E1001"/>
      <c r="F1001"/>
      <c r="G1001"/>
      <c r="H1001"/>
      <c r="I1001"/>
      <c r="J1001"/>
      <c r="K1001"/>
      <c r="L1001"/>
      <c r="M1001"/>
      <c r="N1001"/>
      <c r="O1001"/>
      <c r="P1001"/>
      <c r="Q1001"/>
      <c r="R1001"/>
      <c r="S1001"/>
      <c r="T1001"/>
      <c r="U1001"/>
      <c r="V1001"/>
      <c r="W1001" s="87"/>
      <c r="X1001"/>
    </row>
    <row r="1002" spans="1:24">
      <c r="A1002" s="87"/>
      <c r="B1002" s="87"/>
      <c r="C1002" s="87"/>
      <c r="D1002"/>
      <c r="E1002"/>
      <c r="F1002"/>
      <c r="G1002"/>
      <c r="H1002"/>
      <c r="I1002"/>
      <c r="J1002"/>
      <c r="K1002"/>
      <c r="L1002"/>
      <c r="M1002"/>
      <c r="N1002"/>
      <c r="O1002"/>
      <c r="P1002"/>
      <c r="Q1002"/>
      <c r="R1002"/>
      <c r="S1002"/>
      <c r="T1002"/>
      <c r="U1002"/>
      <c r="V1002"/>
      <c r="W1002" s="87"/>
      <c r="X1002"/>
    </row>
  </sheetData>
  <conditionalFormatting sqref="E2:E207">
    <cfRule type="containsText" dxfId="78" priority="74" stopIfTrue="1" operator="containsText" text="Checked:">
      <formula>NOT(ISERROR(SEARCH("Checked:",E2)))</formula>
    </cfRule>
    <cfRule type="cellIs" dxfId="77" priority="75" stopIfTrue="1" operator="equal">
      <formula>"No checklist items checked"</formula>
    </cfRule>
    <cfRule type="cellIs" dxfId="76" priority="76" stopIfTrue="1" operator="equal">
      <formula>"Sent"</formula>
    </cfRule>
    <cfRule type="cellIs" dxfId="75" priority="77" stopIfTrue="1" operator="equal">
      <formula>"Scheduled"</formula>
    </cfRule>
    <cfRule type="cellIs" dxfId="74" priority="78" stopIfTrue="1" operator="equal">
      <formula>"Ready to Schedule"</formula>
    </cfRule>
  </conditionalFormatting>
  <conditionalFormatting sqref="A2:W19 A22:W207 B20:W21">
    <cfRule type="expression" dxfId="73" priority="79">
      <formula>OR(LOWER(TRIM($W2))="cancelled",LOWER(TRIM($W2))="canceled")</formula>
    </cfRule>
    <cfRule type="expression" dxfId="72" priority="80">
      <formula>OR(LOWER(TRIM($W2))="cancelled",LOWER(TRIM($W2))="canceled")</formula>
    </cfRule>
  </conditionalFormatting>
  <conditionalFormatting sqref="A20:A21">
    <cfRule type="expression" dxfId="71" priority="138">
      <formula>OR(LOWER(TRIM($W19))="cancelled",LOWER(TRIM($W19))="canceled")</formula>
    </cfRule>
    <cfRule type="expression" dxfId="70" priority="139">
      <formula>OR(LOWER(TRIM($W19))="cancelled",LOWER(TRIM($W19))="canceled")</formula>
    </cfRule>
  </conditionalFormatting>
  <conditionalFormatting sqref="A2:W207">
    <cfRule type="expression" dxfId="69" priority="1">
      <formula>AND($C2&lt;&gt;"",$O2&lt;&gt;TRUE,IFERROR(INT($A2),0)&gt;=TODAY()+1,IFERROR(INT($A2),0)&lt;=TODAY()+IF(WEEKDAY(TODAY(),1)=6,3,1),NOT(OR(LOWER(TRIM($W2))="cancelled",LOWER(TRIM($W2))="canceled")))</formula>
    </cfRule>
  </conditionalFormatting>
  <hyperlinks>
    <hyperlink ref="R2" r:id="rId1" display="https://app.bluecore.com/admin/campaigns/adorama/4944513273290752/edit" xr:uid="{C5DF3CD9-356F-4F67-BCB5-9075C8876417}"/>
    <hyperlink ref="Q2" r:id="rId2" display="https://app.clickup.com/t/86ahrpf3e" xr:uid="{B1EF741D-FA6B-469E-A107-001E60AF842B}"/>
    <hyperlink ref="P2" r:id="rId3" display="https://jira.adorama.com/browse/MKT-102959" xr:uid="{63D10160-7DBC-4480-94A9-9BCCE1521E32}"/>
    <hyperlink ref="R3" r:id="rId4" display="https://app.bluecore.com/admin/campaigns/adorama/6259984043991040" xr:uid="{2A4D7B20-798C-4036-B23C-C569FDC01C40}"/>
    <hyperlink ref="P3" r:id="rId5" display="https://jira.adorama.com/browse/MKT-102651" xr:uid="{4F340113-BAB1-4DD2-B68B-7C6424233332}"/>
    <hyperlink ref="Q3" r:id="rId6" display="https://app.clickup.com/t/86ahjqzqj" xr:uid="{9539E592-B14A-4E82-BEAE-7C799482AF2D}"/>
    <hyperlink ref="R4" r:id="rId7" display="https://app.bluecore.com/admin/campaigns/adorama/4905183754444800" xr:uid="{8064FD5E-EB6D-4EB8-8AC3-06061A90AEF7}"/>
    <hyperlink ref="Q4" r:id="rId8" display="https://app.clickup.com/t/86ahjqzr0" xr:uid="{38A4E510-C938-41AD-8656-7B53DBB7BB85}"/>
    <hyperlink ref="P4" r:id="rId9" display="https://jira.adorama.com/browse/MKT-102790" xr:uid="{C8AA0763-87FD-444C-ABFF-95F236FF7C64}"/>
    <hyperlink ref="R5" r:id="rId10" display="https://app.bluecore.com/admin/campaigns/adorama/5627261038223360" xr:uid="{1CB85F16-BF36-45F9-9095-A3FCCD87B68B}"/>
    <hyperlink ref="P5" r:id="rId11" display="https://jira.adorama.com/browse/MKT-102791" xr:uid="{153F4F96-47F6-4CF4-B545-A2B0AB8654A6}"/>
    <hyperlink ref="Q5" r:id="rId12" display="https://app.clickup.com/t/86ahjqzra" xr:uid="{41648654-B226-48C6-A696-1E77F15E636A}"/>
    <hyperlink ref="P6" r:id="rId13" display="https://jira.adorama.com/browse/MKT-103036" xr:uid="{B0AA15BA-DFC8-4665-B493-962462B47CFB}"/>
    <hyperlink ref="Q6" r:id="rId14" display="https://app.clickup.com/t/86ahrpf3t" xr:uid="{5B3DB452-49BC-46F0-B74A-FB3766A847FA}"/>
    <hyperlink ref="R6" r:id="rId15" display="https://app.bluecore.com/admin/campaigns/adorama/6601684654350336v" xr:uid="{AF0DE29B-80C2-4569-80B1-E9ECBFB56639}"/>
    <hyperlink ref="R7" r:id="rId16" display="https://app.bluecore.com/admin/campaigns/adorama/5230301059866624/edit" xr:uid="{84026660-6DCC-4007-97AC-BB4B1B932ED1}"/>
    <hyperlink ref="Q7" r:id="rId17" display="https://app.clickup.com/t/9010122869/86ahrpf44" xr:uid="{1FFA060D-9CFA-49E8-AC98-CB536EBE22A1}"/>
    <hyperlink ref="P7" r:id="rId18" display="https://jira.adorama.com/browse/MKT-102007" xr:uid="{D760E562-5AC1-45AA-93D7-2629329C4F9A}"/>
    <hyperlink ref="R8" r:id="rId19" display="https://app.bluecore.com/admin/campaigns/adorama/4956572627099648" xr:uid="{D4112957-6000-4F0C-8CB9-7ED4B826A770}"/>
    <hyperlink ref="P8" r:id="rId20" display="https://jira.adorama.com/browse/MKT-103040" xr:uid="{9941AB6F-6696-4C72-B32A-A2DCC36BC1B9}"/>
    <hyperlink ref="Q8" r:id="rId21" display="https://app.clickup.com/t/9010122869/86ahrpf48" xr:uid="{C968AD82-E1BB-4704-9605-704690756FB7}"/>
    <hyperlink ref="P9" r:id="rId22" display="https://jira.adorama.com/browse/MKT-103041" xr:uid="{2EAAC10A-BADA-49AA-A92E-06C35B2D5657}"/>
    <hyperlink ref="Q9" r:id="rId23" display="https://app.clickup.com/t/9010122869/86ahrpf4c" xr:uid="{BBD00424-AF59-4F1C-90E6-E2F66E750CC0}"/>
    <hyperlink ref="R9" r:id="rId24" display="https://app.bluecore.com/admin/campaigns/adorama/6658156696297472" xr:uid="{9DC1FBA9-0C09-4ADD-8582-878945AEE195}"/>
    <hyperlink ref="R11" r:id="rId25" display="https://app.bluecore.com/admin/campaigns/adorama/4539315346333696" xr:uid="{9169CA49-8AE7-4207-92BA-22C3996630C5}"/>
    <hyperlink ref="P11" r:id="rId26" display="https://jira.adorama.com/browse/MKT-102434" xr:uid="{F00572BE-49EE-47FD-90CD-EDE0ADD450EF}"/>
    <hyperlink ref="Q11" r:id="rId27" display="https://app.clickup.com/t/9010122869/86ahrpf4z" xr:uid="{62C54C11-0082-459C-91C0-610365CF8B3B}"/>
    <hyperlink ref="R10" r:id="rId28" display="https://app.bluecore.com/admin/campaigns/adorama/6125956057915392/edit" xr:uid="{161D3DCB-0DB5-4B36-8A9F-C0D17042621C}"/>
    <hyperlink ref="P10" r:id="rId29" display="https://app.clickup.com/t/9010122869/86ahrpf4k" xr:uid="{D73D7744-FA91-4BE5-9C7D-AD2A673AD192}"/>
    <hyperlink ref="Q10" r:id="rId30" display="https://jira.adorama.com/browse/MKT-103042" xr:uid="{88D2ED1A-4B36-4810-B23B-72353C3059A8}"/>
    <hyperlink ref="R12" r:id="rId31" display="https://app.bluecore.com/admin/campaigns/adorama/5531449167831040" xr:uid="{B0CA81DE-255E-4D5E-A412-0853F00DA487}"/>
    <hyperlink ref="P12" r:id="rId32" display="https://jira.adorama.com/browse/MKT-103104" xr:uid="{CBACD36F-A730-41D2-B747-C0A2E632862D}"/>
    <hyperlink ref="Q12" r:id="rId33" display="https://app.clickup.com/t/9010122869/86ahv69f4" xr:uid="{04ACD081-C446-424C-BD5E-C8BB98E4D877}"/>
    <hyperlink ref="P13" r:id="rId34" display="https://jira.adorama.com/browse/MKT-103105" xr:uid="{BF774AA1-C19B-4F47-B7C9-74C5460116B2}"/>
    <hyperlink ref="Q13" r:id="rId35" display="https://app.clickup.com/t/9010122869/86ahv69f9" xr:uid="{8429646C-88BA-4AF7-A8CA-5AD32DBD07D5}"/>
    <hyperlink ref="R13" r:id="rId36" display="https://app.clickup.com/t/9010122869/86ahv69f9" xr:uid="{62DC6C4F-7571-4FD3-9A87-23A083099745}"/>
    <hyperlink ref="R14" r:id="rId37" display="https://app.bluecore.com/admin/campaigns/adorama/4926905073393664" xr:uid="{5C4CCFF9-9EE1-4EC4-B743-FAC3CC9801F7}"/>
    <hyperlink ref="Q14" r:id="rId38" display="https://app.clickup.com/t/9010122869/86ahx8ewb" xr:uid="{5EC8DD5F-371A-4924-BB26-0E3218177AB4}"/>
    <hyperlink ref="P14" r:id="rId39" display="https://jira.adorama.com/browse/MKT-103301" xr:uid="{7E2629B7-2721-43C1-8C58-EA2394F3E4D6}"/>
    <hyperlink ref="R15" r:id="rId40" display="https://app.bluecore.com/admin/campaigns/adorama/6635126578339840" xr:uid="{D3B622EF-55B2-455A-8030-724BDEA1DA3B}"/>
    <hyperlink ref="Q15" r:id="rId41" display="https://app.clickup.com/t/9010122869/86ahv69fe" xr:uid="{BD327861-15DA-4191-A52D-ADBF41EEECE7}"/>
    <hyperlink ref="P15" r:id="rId42" display="https://jira.adorama.com/browse/MKT-103103" xr:uid="{C187386B-E0AB-4C15-B86F-61062DBC11CD}"/>
    <hyperlink ref="P16" r:id="rId43" display="https://jira.adorama.com/browse/MKT-103371" xr:uid="{8BDD0214-D2E8-4A15-A780-9234A187BBAB}"/>
    <hyperlink ref="R16" r:id="rId44" display="https://app.bluecore.com/admin/campaigns/adorama/6087564217671680" xr:uid="{F014F2FE-FA6F-4114-809F-1A56E12B743A}"/>
    <hyperlink ref="R17" r:id="rId45" display="https://app.bluecore.com/admin/campaigns/adorama/5289607948001280" xr:uid="{911F529C-588C-4535-95BC-209DDADDF348}"/>
    <hyperlink ref="Q17" r:id="rId46" display="https://app.clickup.com/t/9010122869/86ahv69fj" xr:uid="{A8545CD8-1AFE-4EFF-AA2A-93B8BE7D4FE1}"/>
    <hyperlink ref="P17" r:id="rId47" display="https://jira.adorama.com/browse/MKT-103106" xr:uid="{E6C97B7A-AA21-4FF6-AD5E-FDCB5D997DAF}"/>
    <hyperlink ref="R18" r:id="rId48" display="https://app.bluecore.com/admin/campaigns/adorama/5285349538258944" xr:uid="{66F3F9ED-42A7-47A7-BEF6-1B17E7CF04C8}"/>
    <hyperlink ref="R19" r:id="rId49" display="https://app.bluecore.com/admin/campaigns/adorama/5642474475085824?viewTab=summary" xr:uid="{81C33880-F82D-4A2C-87F5-68DF1A457515}"/>
    <hyperlink ref="Q18" r:id="rId50" display="https://app.clickup.com/t/9010122869/86ahwyey7" xr:uid="{45948D01-5E47-4060-AEE1-355036AC74E9}"/>
    <hyperlink ref="P18" r:id="rId51" display="https://jira.adorama.com/browse/MKT-103185" xr:uid="{1E5904FF-5E1B-4F9B-AA53-21900AC2C3FE}"/>
    <hyperlink ref="Q19" r:id="rId52" display="https://app.clickup.com/t/9010122869/86ahwyeyb" xr:uid="{EADF5AF7-4BE5-4431-8353-829F3A24619D}"/>
    <hyperlink ref="P19" r:id="rId53" display="https://jira.adorama.com/browse/MKT-102097" xr:uid="{F8F3970A-6EED-4CA7-B564-AD59F606CDA2}"/>
    <hyperlink ref="R20" r:id="rId54" display="https://app.bluecore.com/admin/campaigns/adorama/5227436333457408" xr:uid="{FA398FF8-D723-4AA4-AEF4-3140E8D90FB1}"/>
    <hyperlink ref="Q20" r:id="rId55" display="https://app.clickup.com/t/9010122869/86ahv69fr" xr:uid="{DD046A5E-0F61-4FD9-A44F-4ECBE439327C}"/>
    <hyperlink ref="P20" r:id="rId56" display="https://jira.adorama.com/browse/MKT-103155" xr:uid="{7EA50765-703E-4E6E-8732-5F55AB15109C}"/>
    <hyperlink ref="R21" r:id="rId57" display="https://app.bluecore.com/admin/campaigns/adorama/6438219826454528" xr:uid="{0C2BD7D8-626A-4597-B0ED-5BCF41D762BB}"/>
    <hyperlink ref="Q21" r:id="rId58" display="https://app.clickup.com/t/9010122869/86aj0k0dv" xr:uid="{DD33882D-1309-4717-AB56-E66C7A9B68BF}"/>
    <hyperlink ref="Q22" r:id="rId59" display="https://app.clickup.com/t/9010122869/86ahv69g0" xr:uid="{C518278D-20F3-4219-904B-03C1F30C7BC6}"/>
    <hyperlink ref="P22" r:id="rId60" display="https://jira.adorama.com/browse/MKT-103292" xr:uid="{A7EBAA4E-B7B7-41F2-B3B8-D540A7F7A7C4}"/>
    <hyperlink ref="R22" r:id="rId61" display="https://app.bluecore.com/admin/campaigns/adorama/6684665553215488?viewTab=summary" xr:uid="{0BC266B8-2E1A-4D03-94BD-21DFE98AD480}"/>
    <hyperlink ref="R23" r:id="rId62" display="https://app.bluecore.com/admin/campaigns/adorama/4713774384537600" xr:uid="{A574CC2E-2E60-449D-9491-3C78268CBFD9}"/>
    <hyperlink ref="Q23" r:id="rId63" display="https://app.clickup.com/t/9010122869/86ahv69g7" xr:uid="{BD3B55E0-4751-4B3B-AF6D-C912F5C31362}"/>
    <hyperlink ref="P23" r:id="rId64" display="https://jira.adorama.com/browse/MKT-103306" xr:uid="{25969955-8F26-41BD-9E7F-ECDE5882860A}"/>
    <hyperlink ref="R24" r:id="rId65" display="https://app.bluecore.com/admin/campaigns/adorama/5363057140031488?viewTab=summary" xr:uid="{CE967F0D-1181-49FC-9C42-AA8578CF99DE}"/>
    <hyperlink ref="Q24" r:id="rId66" display="https://app.clickup.com/t/9010122869/86aj0erre_x0009_" xr:uid="{2E0E02F4-9FB1-4BD7-9DF9-605BA653A174}"/>
    <hyperlink ref="P24" r:id="rId67" display="https://jira.adorama.com/browse/MKT-103361" xr:uid="{56E430D1-C73F-4809-91D9-B0DC8059D585}"/>
    <hyperlink ref="P25" r:id="rId68" display="https://jira.adorama.com/browse/MKT-103362" xr:uid="{2D6E3108-8B95-4A82-94F9-FB9313E0BD17}"/>
    <hyperlink ref="Q25" r:id="rId69" display="https://app.clickup.com/t/9010122869/86ahv69gh" xr:uid="{3D8EB18E-ABD9-44BC-9648-3DF98B69B252}"/>
    <hyperlink ref="R25" r:id="rId70" display="https://app.bluecore.com/admin/campaigns/adorama/4706919281188864" xr:uid="{1BC80BC1-4285-4B22-826D-1BC745F5F139}"/>
    <hyperlink ref="Q26" r:id="rId71" display="https://app.clickup.com/t/9010122869/86ahyhque" xr:uid="{FA0C52A5-2F1E-4E99-B3BE-83A65A52A17A}"/>
    <hyperlink ref="P26" r:id="rId72" display="https://jira.adorama.com/browse/MKT-103394" xr:uid="{9FFFDA08-17BA-44B5-A95C-4A89E8C12F25}"/>
    <hyperlink ref="Q27" r:id="rId73" display="https://app.clickup.com/t/9010122869/86ahyhquj" xr:uid="{0B9B3EB7-0B9E-422F-AE26-190C38647FB5}"/>
    <hyperlink ref="Q28" r:id="rId74" display="https://app.clickup.com/t/9010122869/86ahyhqum" xr:uid="{0216EF4F-6475-4473-878D-299177B68413}"/>
    <hyperlink ref="Q29" r:id="rId75" display="https://app.clickup.com/t/9010122869/86ahyhqup" xr:uid="{A5582D4D-D1DD-47CB-A51B-A5586A9CC794}"/>
  </hyperlinks>
  <pageMargins left="0.7" right="0.7" top="0.75" bottom="0.75" header="0.3" footer="0.3"/>
  <tableParts count="1">
    <tablePart r:id="rId76"/>
  </tableParts>
  <extLst>
    <ext xmlns:x14="http://schemas.microsoft.com/office/spreadsheetml/2009/9/main" uri="{CCE6A557-97BC-4b89-ADB6-D9C93CAAB3DF}">
      <x14:dataValidations xmlns:xm="http://schemas.microsoft.com/office/excel/2006/main" count="1">
        <x14:dataValidation type="list" errorStyle="information" allowBlank="1" showInputMessage="1" errorTitle="Campaign type" error="Custom values are allowed for this row, but they are not saved as dropdown options." promptTitle="Campaign type" prompt="Choose a type. To use a type that is not listed, choose Others and enter the custom value when prompted. Custom values apply to that row only and are not added to the list." xr:uid="{04C80999-ECC5-41E1-9D64-BFFE023AC926}">
          <x14:formula1>
            <xm:f>Dropdowns!$A$2:$A$10</xm:f>
          </x14:formula1>
          <xm:sqref>D2:D207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F80CB-63D2-4B30-827A-8099E2CD173C}">
  <sheetPr codeName="Sheet17">
    <tabColor rgb="FF7030A0"/>
  </sheetPr>
  <dimension ref="A1:S201"/>
  <sheetViews>
    <sheetView showGridLines="0" zoomScale="85" zoomScaleNormal="85" workbookViewId="0">
      <selection activeCell="R9" sqref="R9"/>
    </sheetView>
  </sheetViews>
  <sheetFormatPr defaultRowHeight="15"/>
  <cols>
    <col min="1" max="1" width="28.625" style="92" customWidth="1"/>
    <col min="2" max="2" width="20.625" style="88" customWidth="1"/>
    <col min="3" max="3" width="34.625" style="88" customWidth="1"/>
    <col min="4" max="4" width="16.625" style="40" customWidth="1"/>
    <col min="5" max="5" width="42.625" style="40" hidden="1" customWidth="1"/>
    <col min="6" max="6" width="16.625" style="40" customWidth="1"/>
    <col min="7" max="7" width="13.625" style="40" customWidth="1"/>
    <col min="8" max="8" width="12.625" style="40" customWidth="1"/>
    <col min="9" max="9" width="13.625" style="40" customWidth="1"/>
    <col min="10" max="10" width="13.75" style="40" bestFit="1" customWidth="1"/>
    <col min="11" max="11" width="13.75" style="40" customWidth="1"/>
    <col min="12" max="12" width="13.5" style="40" bestFit="1" customWidth="1"/>
    <col min="13" max="13" width="19.25" style="40" bestFit="1" customWidth="1"/>
    <col min="14" max="15" width="14.625" style="40" customWidth="1"/>
    <col min="16" max="16" width="18.25" style="40" hidden="1" customWidth="1"/>
    <col min="17" max="17" width="18.625" style="40" hidden="1" customWidth="1"/>
    <col min="18" max="18" width="50.625" style="88" customWidth="1"/>
    <col min="19" max="19" width="36.625" style="43" customWidth="1"/>
    <col min="20" max="16384" width="9" style="1"/>
  </cols>
  <sheetData>
    <row r="1" spans="1:19" s="2" customFormat="1" ht="30">
      <c r="A1" s="91" t="s">
        <v>20</v>
      </c>
      <c r="B1" s="93" t="s">
        <v>41</v>
      </c>
      <c r="C1" s="93" t="s">
        <v>42</v>
      </c>
      <c r="D1" s="34" t="s">
        <v>43</v>
      </c>
      <c r="E1" s="34" t="s">
        <v>44</v>
      </c>
      <c r="F1" s="34" t="s">
        <v>26</v>
      </c>
      <c r="G1" s="34" t="s">
        <v>73</v>
      </c>
      <c r="H1" s="34" t="s">
        <v>74</v>
      </c>
      <c r="I1" s="34" t="s">
        <v>27</v>
      </c>
      <c r="J1" s="34" t="s">
        <v>28</v>
      </c>
      <c r="K1" s="34" t="s">
        <v>51</v>
      </c>
      <c r="L1" s="34" t="s">
        <v>75</v>
      </c>
      <c r="M1" s="34" t="s">
        <v>54</v>
      </c>
      <c r="N1" s="34" t="s">
        <v>55</v>
      </c>
      <c r="O1" s="34" t="s">
        <v>56</v>
      </c>
      <c r="P1" s="34" t="s">
        <v>57</v>
      </c>
      <c r="Q1" s="34" t="s">
        <v>58</v>
      </c>
      <c r="R1" s="34" t="s">
        <v>59</v>
      </c>
      <c r="S1" s="41"/>
    </row>
    <row r="2" spans="1:19" s="5" customFormat="1" ht="30">
      <c r="A2" s="84">
        <v>46174</v>
      </c>
      <c r="B2" s="89" t="s">
        <v>76</v>
      </c>
      <c r="C2" s="93" t="s">
        <v>162</v>
      </c>
      <c r="D2" s="34" t="s">
        <v>64</v>
      </c>
      <c r="E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F2" s="35" t="s">
        <v>62</v>
      </c>
      <c r="G2" s="36" t="b">
        <v>1</v>
      </c>
      <c r="H2" s="36" t="b">
        <v>1</v>
      </c>
      <c r="I2" s="36" t="b">
        <v>1</v>
      </c>
      <c r="J2" s="36" t="b">
        <v>1</v>
      </c>
      <c r="K2" s="36" t="b">
        <v>1</v>
      </c>
      <c r="L2" s="37" t="str">
        <f ca="1">HYPERLINK("https://teams.microsoft.com/l/message/19:e8e45d54914640ea878fe0171aa48fdc@thread.v2/1780080460120?context=%7B%22contextType%22%3A%22chat%22%7D",IF(AND(ISNUMBER(SMSCampaignsTable[[#This Row],[Send Date]]),NOW()&gt;=INT(SMSCampaignsTable[[#This Row],[Send Date]])+IF(ISNUMBER(SMSCampaignsTable[[#This Row],[Send Time]]),MOD(SMSCampaignsTable[[#This Row],[Send Time]],1),0)+7),"Proof of Schedule","https://teams.microsoft.com/l/message/19:e8e45d54914640ea878fe0171aa48fdc@thread.v2/1780080460120?context=%7B%22contextType%22%3A%22chat%22%7D"))</f>
        <v>Proof of Schedule</v>
      </c>
      <c r="M2" s="38" t="str">
        <f ca="1">HYPERLINK("https://ui.attentivemobile.com/campaigns/messages/MTQ6Q29tcG9zZU1lc3NhZ2UxMTE1MDg4NQ/overview",IF(AND(ISNUMBER(SMSCampaignsTable[[#This Row],[Send Date]]),NOW()&gt;=INT(SMSCampaignsTable[[#This Row],[Send Date]])+IF(ISNUMBER(SMSCampaignsTable[[#This Row],[Send Time]]),MOD(SMSCampaignsTable[[#This Row],[Send Time]],1),0)+7),"Bluecore/Attentive","https://ui.attentivemobile.com/campaigns/messages/MTQ6Q29tcG9zZU1lc3NhZ2UxMTE1MDg4NQ/overview"))</f>
        <v>Bluecore/Attentive</v>
      </c>
      <c r="N2" s="39">
        <v>64277</v>
      </c>
      <c r="O2" s="39">
        <v>63900</v>
      </c>
      <c r="P2" s="54">
        <v>46188.911516203705</v>
      </c>
      <c r="Q2" s="35" t="s">
        <v>63</v>
      </c>
      <c r="R2" s="95"/>
      <c r="S2" s="42"/>
    </row>
    <row r="3" spans="1:19" s="5" customFormat="1" ht="30">
      <c r="A3" s="84">
        <v>46178</v>
      </c>
      <c r="B3" s="89" t="s">
        <v>76</v>
      </c>
      <c r="C3" s="93" t="s">
        <v>189</v>
      </c>
      <c r="D3" s="34" t="s">
        <v>61</v>
      </c>
      <c r="E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F3" s="35" t="s">
        <v>62</v>
      </c>
      <c r="G3" s="36" t="b">
        <v>1</v>
      </c>
      <c r="H3" s="36" t="b">
        <v>1</v>
      </c>
      <c r="I3" s="36" t="b">
        <v>1</v>
      </c>
      <c r="J3" s="36" t="b">
        <v>1</v>
      </c>
      <c r="K3" s="36" t="b">
        <v>1</v>
      </c>
      <c r="L3" s="37" t="str">
        <f ca="1">HYPERLINK("https://teams.microsoft.com/l/message/19:e8e45d54914640ea878fe0171aa48fdc@thread.v2/1780585124630?context=%7B%22contextType%22%3A%22chat%22%7D",IF(AND(ISNUMBER(SMSCampaignsTable[[#This Row],[Send Date]]),NOW()&gt;=INT(SMSCampaignsTable[[#This Row],[Send Date]])+IF(ISNUMBER(SMSCampaignsTable[[#This Row],[Send Time]]),MOD(SMSCampaignsTable[[#This Row],[Send Time]],1),0)+7),"Proof of Schedule","https://teams.microsoft.com/l/message/19:e8e45d54914640ea878fe0171aa48fdc@thread.v2/1780585124630?context=%7B%22contextType%22%3A%22chat%22%7D"))</f>
        <v>Proof of Schedule</v>
      </c>
      <c r="M3" s="37" t="str">
        <f ca="1">HYPERLINK("https://ui.attentivemobile.com/campaigns/messages/MTQ6Q29tcG9zZU1lc3NhZ2UxMTE3MzA5Mw/overview",IF(AND(ISNUMBER(SMSCampaignsTable[[#This Row],[Send Date]]),NOW()&gt;=INT(SMSCampaignsTable[[#This Row],[Send Date]])+IF(ISNUMBER(SMSCampaignsTable[[#This Row],[Send Time]]),MOD(SMSCampaignsTable[[#This Row],[Send Time]],1),0)+7),"Bluecore/Attentive","https://ui.attentivemobile.com/campaigns/messages/MTQ6Q29tcG9zZU1lc3NhZ2UxMTE3MzA5Mw/overview"))</f>
        <v>Bluecore/Attentive</v>
      </c>
      <c r="N3" s="39">
        <v>56545</v>
      </c>
      <c r="O3" s="39">
        <v>56423</v>
      </c>
      <c r="P3" s="54">
        <v>46188.911597222221</v>
      </c>
      <c r="Q3" s="35" t="s">
        <v>63</v>
      </c>
      <c r="R3" s="95"/>
      <c r="S3" s="42"/>
    </row>
    <row r="4" spans="1:19" s="5" customFormat="1" ht="30">
      <c r="A4" s="84">
        <v>46178</v>
      </c>
      <c r="B4" s="89" t="s">
        <v>77</v>
      </c>
      <c r="C4" s="93" t="s">
        <v>173</v>
      </c>
      <c r="D4" s="34" t="s">
        <v>61</v>
      </c>
      <c r="E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F4" s="35" t="s">
        <v>65</v>
      </c>
      <c r="G4" s="36" t="b">
        <v>1</v>
      </c>
      <c r="H4" s="36" t="b">
        <v>1</v>
      </c>
      <c r="I4" s="36" t="b">
        <v>1</v>
      </c>
      <c r="J4" s="36" t="b">
        <v>1</v>
      </c>
      <c r="K4" s="36" t="b">
        <v>1</v>
      </c>
      <c r="L4" s="34"/>
      <c r="M4" s="37" t="str">
        <f ca="1">HYPERLINK("https://ui.attentivemobile.com/campaigns/messages/MTQ6Q29tcG9zZU1lc3NhZ2UxMTIxNDU2OA/overview",IF(AND(ISNUMBER(SMSCampaignsTable[[#This Row],[Send Date]]),NOW()&gt;=INT(SMSCampaignsTable[[#This Row],[Send Date]])+IF(ISNUMBER(SMSCampaignsTable[[#This Row],[Send Time]]),MOD(SMSCampaignsTable[[#This Row],[Send Time]],1),0)+7),"Bluecore/Attentive","https://ui.attentivemobile.com/campaigns/messages/MTQ6Q29tcG9zZU1lc3NhZ2UxMTIxNDU2OA/overview"))</f>
        <v>Bluecore/Attentive</v>
      </c>
      <c r="N4" s="34"/>
      <c r="O4" s="39">
        <v>101474</v>
      </c>
      <c r="P4" s="54">
        <v>46188.911759259259</v>
      </c>
      <c r="Q4" s="35" t="s">
        <v>63</v>
      </c>
      <c r="R4" s="95"/>
      <c r="S4" s="42"/>
    </row>
    <row r="5" spans="1:19" s="5" customFormat="1" ht="30">
      <c r="A5" s="84">
        <v>46180</v>
      </c>
      <c r="B5" s="89" t="s">
        <v>76</v>
      </c>
      <c r="C5" s="93" t="s">
        <v>190</v>
      </c>
      <c r="D5" s="34" t="s">
        <v>68</v>
      </c>
      <c r="E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F5" s="35" t="s">
        <v>62</v>
      </c>
      <c r="G5" s="36" t="b">
        <v>1</v>
      </c>
      <c r="H5" s="36" t="b">
        <v>1</v>
      </c>
      <c r="I5" s="36" t="b">
        <v>1</v>
      </c>
      <c r="J5" s="36" t="b">
        <v>1</v>
      </c>
      <c r="K5" s="36" t="b">
        <v>1</v>
      </c>
      <c r="L5" s="37" t="str">
        <f ca="1">HYPERLINK("https://teams.microsoft.com/l/message/19:e8e45d54914640ea878fe0171aa48fdc@thread.v2/1780504108170?context=%7B%22contextType%22%3A%22chat%22%7D",IF(AND(ISNUMBER(SMSCampaignsTable[[#This Row],[Send Date]]),NOW()&gt;=INT(SMSCampaignsTable[[#This Row],[Send Date]])+IF(ISNUMBER(SMSCampaignsTable[[#This Row],[Send Time]]),MOD(SMSCampaignsTable[[#This Row],[Send Time]],1),0)+7),"Proof of Schedule","https://teams.microsoft.com/l/message/19:e8e45d54914640ea878fe0171aa48fdc@thread.v2/1780504108170?context=%7B%22contextType%22%3A%22chat%22%7D"))</f>
        <v>Proof of Schedule</v>
      </c>
      <c r="M5" s="37" t="str">
        <f ca="1">HYPERLINK("https://ui.attentivemobile.com/campaigns/messages/MTQ6Q29tcG9zZU1lc3NhZ2UxMTE4NTU0NQ/overview",IF(AND(ISNUMBER(SMSCampaignsTable[[#This Row],[Send Date]]),NOW()&gt;=INT(SMSCampaignsTable[[#This Row],[Send Date]])+IF(ISNUMBER(SMSCampaignsTable[[#This Row],[Send Time]]),MOD(SMSCampaignsTable[[#This Row],[Send Time]],1),0)+7),"Bluecore/Attentive","https://ui.attentivemobile.com/campaigns/messages/MTQ6Q29tcG9zZU1lc3NhZ2UxMTE4NTU0NQ/overview"))</f>
        <v>Bluecore/Attentive</v>
      </c>
      <c r="N5" s="39">
        <v>20163</v>
      </c>
      <c r="O5" s="39">
        <v>9980</v>
      </c>
      <c r="P5" s="54">
        <v>46188.911886574075</v>
      </c>
      <c r="Q5" s="35" t="s">
        <v>63</v>
      </c>
      <c r="R5" s="95"/>
      <c r="S5" s="42"/>
    </row>
    <row r="6" spans="1:19" s="5" customFormat="1" ht="30">
      <c r="A6" s="84">
        <v>46180</v>
      </c>
      <c r="B6" s="89" t="s">
        <v>78</v>
      </c>
      <c r="C6" s="93" t="s">
        <v>173</v>
      </c>
      <c r="D6" s="34" t="s">
        <v>61</v>
      </c>
      <c r="E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F6" s="35" t="s">
        <v>79</v>
      </c>
      <c r="G6" s="36" t="b">
        <v>1</v>
      </c>
      <c r="H6" s="36" t="b">
        <v>1</v>
      </c>
      <c r="I6" s="36" t="b">
        <v>1</v>
      </c>
      <c r="J6" s="36" t="b">
        <v>1</v>
      </c>
      <c r="K6" s="36" t="b">
        <v>1</v>
      </c>
      <c r="L6" s="34"/>
      <c r="M6" s="37" t="str">
        <f ca="1">HYPERLINK("https://ui.attentivemobile.com/campaigns/messages/MTQ6Q29tcG9zZU1lc3NhZ2UxMTIxMTM3Nw/overview",IF(AND(ISNUMBER(SMSCampaignsTable[[#This Row],[Send Date]]),NOW()&gt;=INT(SMSCampaignsTable[[#This Row],[Send Date]])+IF(ISNUMBER(SMSCampaignsTable[[#This Row],[Send Time]]),MOD(SMSCampaignsTable[[#This Row],[Send Time]],1),0)+7),"Bluecore/Attentive","https://ui.attentivemobile.com/campaigns/messages/MTQ6Q29tcG9zZU1lc3NhZ2UxMTIxMTM3Nw/overview"))</f>
        <v>Bluecore/Attentive</v>
      </c>
      <c r="N6" s="39">
        <v>28616</v>
      </c>
      <c r="O6" s="39">
        <v>20362</v>
      </c>
      <c r="P6" s="54">
        <v>46188.91201388889</v>
      </c>
      <c r="Q6" s="35" t="s">
        <v>63</v>
      </c>
      <c r="R6" s="95"/>
      <c r="S6" s="42"/>
    </row>
    <row r="7" spans="1:19" s="5" customFormat="1" ht="30">
      <c r="A7" s="84">
        <v>46181</v>
      </c>
      <c r="B7" s="89" t="s">
        <v>76</v>
      </c>
      <c r="C7" s="93" t="s">
        <v>172</v>
      </c>
      <c r="D7" s="34" t="s">
        <v>61</v>
      </c>
      <c r="E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F7" s="35" t="s">
        <v>62</v>
      </c>
      <c r="G7" s="36" t="b">
        <v>1</v>
      </c>
      <c r="H7" s="36" t="b">
        <v>1</v>
      </c>
      <c r="I7" s="36" t="b">
        <v>1</v>
      </c>
      <c r="J7" s="36" t="b">
        <v>1</v>
      </c>
      <c r="K7" s="36" t="b">
        <v>1</v>
      </c>
      <c r="L7" s="37" t="str">
        <f ca="1">HYPERLINK("https://teams.microsoft.com/l/message/19:e8e45d54914640ea878fe0171aa48fdc@thread.v2/1780676675054?context=%7B%22contextType%22%3A%22chat%22%7D",IF(AND(ISNUMBER(SMSCampaignsTable[[#This Row],[Send Date]]),NOW()&gt;=INT(SMSCampaignsTable[[#This Row],[Send Date]])+IF(ISNUMBER(SMSCampaignsTable[[#This Row],[Send Time]]),MOD(SMSCampaignsTable[[#This Row],[Send Time]],1),0)+7),"Proof of Schedule","https://teams.microsoft.com/l/message/19:e8e45d54914640ea878fe0171aa48fdc@thread.v2/1780676675054?context=%7B%22contextType%22%3A%22chat%22%7D"))</f>
        <v>Proof of Schedule</v>
      </c>
      <c r="M7" s="37" t="str">
        <f ca="1">HYPERLINK("https://ui.attentivemobile.com/campaigns/messages/MTQ6Q29tcG9zZU1lc3NhZ2UxMTE5NzU2MA/overview",IF(AND(ISNUMBER(SMSCampaignsTable[[#This Row],[Send Date]]),NOW()&gt;=INT(SMSCampaignsTable[[#This Row],[Send Date]])+IF(ISNUMBER(SMSCampaignsTable[[#This Row],[Send Time]]),MOD(SMSCampaignsTable[[#This Row],[Send Time]],1),0)+7),"Bluecore/Attentive","https://ui.attentivemobile.com/campaigns/messages/MTQ6Q29tcG9zZU1lc3NhZ2UxMTE5NzU2MA/overview"))</f>
        <v>Bluecore/Attentive</v>
      </c>
      <c r="N7" s="39">
        <v>28612</v>
      </c>
      <c r="O7" s="39">
        <v>55545</v>
      </c>
      <c r="P7" s="54">
        <v>46188.912106481483</v>
      </c>
      <c r="Q7" s="35" t="s">
        <v>63</v>
      </c>
      <c r="R7" s="95"/>
      <c r="S7" s="42"/>
    </row>
    <row r="8" spans="1:19" s="5" customFormat="1" ht="30">
      <c r="A8" s="84">
        <v>46183</v>
      </c>
      <c r="B8" s="89" t="s">
        <v>76</v>
      </c>
      <c r="C8" s="93" t="s">
        <v>191</v>
      </c>
      <c r="D8" s="34" t="s">
        <v>69</v>
      </c>
      <c r="E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F8" s="35" t="s">
        <v>62</v>
      </c>
      <c r="G8" s="36" t="b">
        <v>1</v>
      </c>
      <c r="H8" s="36" t="b">
        <v>1</v>
      </c>
      <c r="I8" s="36" t="b">
        <v>1</v>
      </c>
      <c r="J8" s="36" t="b">
        <v>1</v>
      </c>
      <c r="K8" s="36" t="b">
        <v>1</v>
      </c>
      <c r="L8" s="37" t="s">
        <v>70</v>
      </c>
      <c r="M8" s="37" t="e">
        <f ca="1">HYPERLINK(_xlfn._LONGTEXT("https://ui.attentivemobile.com/campaigns/compose/design?campaignId=MTU6Q29tcG9zZUNhbXBhaWduMGY3ZGY2OWYtNmE1ZC00Zjc3LThjN2UtODk5MzNjODA5ZDE1&amp;messageGroupId=MjA6Q2FtcGFpZ25NZXNzYWdlR3JvdXAKJDk0NDQ2MmEzLThiODItNDE5Ni1hYjE3LWMzMDFmYzNlMGFlOA&amp;channel=COMPOSE_M","ESSAGE_CHANNEL_TEXT"),IF(AND(ISNUMBER(SMSCampaignsTable[[#This Row],[Send Date]]),NOW()&gt;=INT(SMSCampaignsTable[[#This Row],[Send Date]])+IF(ISNUMBER(SMSCampaignsTable[[#This Row],[Send Time]]),MOD(SMSCampaignsTable[[#This Row],[Send Time]],1),0)+7),"Bluecore/Attentive",_xlfn._LONGTEXT("https://ui.attentivemobile.com/campaigns/compose/design?campaignId=MTU6Q29tcG9zZUNhbXBhaWduMGY3ZGY2OWYtNmE1ZC00Zjc3LThjN2UtODk5MzNjODA5ZDE1&amp;messageGroupId=MjA6Q2FtcGFpZ25NZXNzYWdlR3JvdXAKJDk0NDQ2MmEzLThiODItNDE5Ni1hYjE3LWMzMDFmYzNlMGFlOA&amp;channel=COMPOSE_M","ESSAGE_CHANNEL_TEXT")))</f>
        <v>#VALUE!</v>
      </c>
      <c r="N8" s="39">
        <v>3330</v>
      </c>
      <c r="O8" s="39">
        <v>3190</v>
      </c>
      <c r="P8" s="54">
        <v>46188.912314814814</v>
      </c>
      <c r="Q8" s="35" t="s">
        <v>63</v>
      </c>
      <c r="R8" s="95"/>
      <c r="S8" s="42"/>
    </row>
    <row r="9" spans="1:19" s="5" customFormat="1" ht="171">
      <c r="A9" s="84">
        <v>46185</v>
      </c>
      <c r="B9" s="89" t="s">
        <v>76</v>
      </c>
      <c r="C9" s="93" t="s">
        <v>179</v>
      </c>
      <c r="D9" s="34" t="s">
        <v>61</v>
      </c>
      <c r="E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F9" s="35" t="s">
        <v>62</v>
      </c>
      <c r="G9" s="36" t="b">
        <v>1</v>
      </c>
      <c r="H9" s="36" t="b">
        <v>1</v>
      </c>
      <c r="I9" s="36" t="b">
        <v>1</v>
      </c>
      <c r="J9" s="36" t="b">
        <v>1</v>
      </c>
      <c r="K9" s="36" t="b">
        <v>1</v>
      </c>
      <c r="L9" s="37" t="str">
        <f ca="1">HYPERLINK("https://teams.microsoft.com/l/message/19:e8e45d54914640ea878fe0171aa48fdc@thread.v2/1781212008047?context=%7B%22contextType%22%3A%22chat%22%7D",IF(AND(ISNUMBER(SMSCampaignsTable[[#This Row],[Send Date]]),NOW()&gt;=INT(SMSCampaignsTable[[#This Row],[Send Date]])+IF(ISNUMBER(SMSCampaignsTable[[#This Row],[Send Time]]),MOD(SMSCampaignsTable[[#This Row],[Send Time]],1),0)+7),"Proof of Schedule","https://teams.microsoft.com/l/message/19:e8e45d54914640ea878fe0171aa48fdc@thread.v2/1781212008047?context=%7B%22contextType%22%3A%22chat%22%7D"))</f>
        <v>https://teams.microsoft.com/l/message/19:e8e45d54914640ea878fe0171aa48fdc@thread.v2/1781212008047?context=%7B%22contextType%22%3A%22chat%22%7D</v>
      </c>
      <c r="M9" s="37" t="str">
        <f ca="1">HYPERLINK("https://ui.attentivemobile.com/campaigns/messages/MTQ6Q29tcG9zZU1lc3NhZ2UxMTI4ODMyNQ/overview",IF(AND(ISNUMBER(SMSCampaignsTable[[#This Row],[Send Date]]),NOW()&gt;=INT(SMSCampaignsTable[[#This Row],[Send Date]])+IF(ISNUMBER(SMSCampaignsTable[[#This Row],[Send Time]]),MOD(SMSCampaignsTable[[#This Row],[Send Time]],1),0)+7),"Bluecore/Attentive","https://ui.attentivemobile.com/campaigns/messages/MTQ6Q29tcG9zZU1lc3NhZ2UxMTI4ODMyNQ/overview"))</f>
        <v>https://ui.attentivemobile.com/campaigns/messages/MTQ6Q29tcG9zZU1lc3NhZ2UxMTI4ODMyNQ/overview</v>
      </c>
      <c r="N9" s="39">
        <v>41959</v>
      </c>
      <c r="O9" s="39">
        <v>42700</v>
      </c>
      <c r="P9" s="54">
        <v>46188.912442129629</v>
      </c>
      <c r="Q9" s="35" t="s">
        <v>63</v>
      </c>
      <c r="R9" s="95"/>
      <c r="S9" s="42"/>
    </row>
    <row r="10" spans="1:19" s="5" customFormat="1" ht="30">
      <c r="A10" s="84">
        <v>46189</v>
      </c>
      <c r="B10" s="89" t="s">
        <v>76</v>
      </c>
      <c r="C10" s="93" t="s">
        <v>185</v>
      </c>
      <c r="D10" s="34" t="s">
        <v>64</v>
      </c>
      <c r="E1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No checklist items checked</v>
      </c>
      <c r="F10" s="35" t="s">
        <v>62</v>
      </c>
      <c r="G10" s="36" t="b">
        <v>0</v>
      </c>
      <c r="H10" s="36" t="b">
        <v>0</v>
      </c>
      <c r="I10" s="36" t="b">
        <v>0</v>
      </c>
      <c r="J10" s="36" t="b">
        <v>0</v>
      </c>
      <c r="K10" s="36" t="b">
        <v>0</v>
      </c>
      <c r="L10" s="34"/>
      <c r="M10" s="34"/>
      <c r="N10" s="34"/>
      <c r="O10" s="34"/>
      <c r="P10" s="54">
        <v>46188.98101851852</v>
      </c>
      <c r="Q10" s="35" t="s">
        <v>63</v>
      </c>
      <c r="R10" s="95"/>
      <c r="S10" s="42"/>
    </row>
    <row r="11" spans="1:19" s="5" customFormat="1">
      <c r="A11" s="84"/>
      <c r="B11" s="89"/>
      <c r="C11" s="93"/>
      <c r="D11" s="34"/>
      <c r="E1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1" s="35"/>
      <c r="G11" s="36" t="b">
        <v>0</v>
      </c>
      <c r="H11" s="36" t="b">
        <v>0</v>
      </c>
      <c r="I11" s="36" t="b">
        <v>0</v>
      </c>
      <c r="J11" s="36" t="b">
        <v>0</v>
      </c>
      <c r="K11" s="36" t="b">
        <v>0</v>
      </c>
      <c r="L11" s="34"/>
      <c r="M11" s="34"/>
      <c r="N11" s="34"/>
      <c r="O11" s="34"/>
      <c r="P11" s="54">
        <v>46181.841516203705</v>
      </c>
      <c r="Q11" s="35" t="s">
        <v>63</v>
      </c>
      <c r="R11" s="95"/>
      <c r="S11" s="42"/>
    </row>
    <row r="12" spans="1:19" s="5" customFormat="1">
      <c r="A12" s="84"/>
      <c r="B12" s="89"/>
      <c r="C12" s="93"/>
      <c r="D12" s="34"/>
      <c r="E1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2" s="35"/>
      <c r="G12" s="36" t="b">
        <v>0</v>
      </c>
      <c r="H12" s="36" t="b">
        <v>0</v>
      </c>
      <c r="I12" s="36" t="b">
        <v>0</v>
      </c>
      <c r="J12" s="36" t="b">
        <v>0</v>
      </c>
      <c r="K12" s="36" t="b">
        <v>0</v>
      </c>
      <c r="L12" s="34"/>
      <c r="M12" s="34"/>
      <c r="N12" s="34"/>
      <c r="O12" s="34"/>
      <c r="P12" s="54">
        <v>46181.841516203705</v>
      </c>
      <c r="Q12" s="35" t="s">
        <v>63</v>
      </c>
      <c r="R12" s="95"/>
      <c r="S12" s="42"/>
    </row>
    <row r="13" spans="1:19" s="5" customFormat="1">
      <c r="A13" s="84"/>
      <c r="B13" s="89"/>
      <c r="C13" s="93"/>
      <c r="D13" s="34"/>
      <c r="E1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3" s="35"/>
      <c r="G13" s="36" t="b">
        <v>0</v>
      </c>
      <c r="H13" s="36" t="b">
        <v>0</v>
      </c>
      <c r="I13" s="36" t="b">
        <v>0</v>
      </c>
      <c r="J13" s="36" t="b">
        <v>0</v>
      </c>
      <c r="K13" s="36" t="b">
        <v>0</v>
      </c>
      <c r="L13" s="34"/>
      <c r="M13" s="34"/>
      <c r="N13" s="34"/>
      <c r="O13" s="34"/>
      <c r="P13" s="54">
        <v>46181.841516203705</v>
      </c>
      <c r="Q13" s="35" t="s">
        <v>63</v>
      </c>
      <c r="R13" s="95"/>
      <c r="S13" s="42"/>
    </row>
    <row r="14" spans="1:19" s="5" customFormat="1">
      <c r="A14" s="84"/>
      <c r="B14" s="89"/>
      <c r="C14" s="93"/>
      <c r="D14" s="34"/>
      <c r="E1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4" s="35"/>
      <c r="G14" s="36" t="b">
        <v>0</v>
      </c>
      <c r="H14" s="36" t="b">
        <v>0</v>
      </c>
      <c r="I14" s="36" t="b">
        <v>0</v>
      </c>
      <c r="J14" s="36" t="b">
        <v>0</v>
      </c>
      <c r="K14" s="36" t="b">
        <v>0</v>
      </c>
      <c r="L14" s="34"/>
      <c r="M14" s="34"/>
      <c r="N14" s="34"/>
      <c r="O14" s="34"/>
      <c r="P14" s="54">
        <v>46181.841516203705</v>
      </c>
      <c r="Q14" s="35" t="s">
        <v>63</v>
      </c>
      <c r="R14" s="95"/>
      <c r="S14" s="42"/>
    </row>
    <row r="15" spans="1:19" s="5" customFormat="1">
      <c r="A15" s="84"/>
      <c r="B15" s="89"/>
      <c r="C15" s="93"/>
      <c r="D15" s="34"/>
      <c r="E1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5" s="35"/>
      <c r="G15" s="36" t="b">
        <v>0</v>
      </c>
      <c r="H15" s="36" t="b">
        <v>0</v>
      </c>
      <c r="I15" s="36" t="b">
        <v>0</v>
      </c>
      <c r="J15" s="36" t="b">
        <v>0</v>
      </c>
      <c r="K15" s="36" t="b">
        <v>0</v>
      </c>
      <c r="L15" s="34"/>
      <c r="M15" s="34"/>
      <c r="N15" s="34"/>
      <c r="O15" s="34"/>
      <c r="P15" s="54">
        <v>46181.841516203705</v>
      </c>
      <c r="Q15" s="35" t="s">
        <v>63</v>
      </c>
      <c r="R15" s="95"/>
      <c r="S15" s="42"/>
    </row>
    <row r="16" spans="1:19" s="5" customFormat="1">
      <c r="A16" s="84"/>
      <c r="B16" s="89"/>
      <c r="C16" s="93"/>
      <c r="D16" s="34"/>
      <c r="E1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6" s="35"/>
      <c r="G16" s="36" t="b">
        <v>0</v>
      </c>
      <c r="H16" s="36" t="b">
        <v>0</v>
      </c>
      <c r="I16" s="36" t="b">
        <v>0</v>
      </c>
      <c r="J16" s="36" t="b">
        <v>0</v>
      </c>
      <c r="K16" s="36" t="b">
        <v>0</v>
      </c>
      <c r="L16" s="34"/>
      <c r="M16" s="34"/>
      <c r="N16" s="34"/>
      <c r="O16" s="34"/>
      <c r="P16" s="54">
        <v>46181.841516203705</v>
      </c>
      <c r="Q16" s="35" t="s">
        <v>63</v>
      </c>
      <c r="R16" s="95"/>
      <c r="S16" s="42"/>
    </row>
    <row r="17" spans="1:19" s="5" customFormat="1">
      <c r="A17" s="84"/>
      <c r="B17" s="89"/>
      <c r="C17" s="93"/>
      <c r="D17" s="34"/>
      <c r="E1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7" s="35"/>
      <c r="G17" s="36" t="b">
        <v>0</v>
      </c>
      <c r="H17" s="36" t="b">
        <v>0</v>
      </c>
      <c r="I17" s="36" t="b">
        <v>0</v>
      </c>
      <c r="J17" s="36" t="b">
        <v>0</v>
      </c>
      <c r="K17" s="36" t="b">
        <v>0</v>
      </c>
      <c r="L17" s="34"/>
      <c r="M17" s="34"/>
      <c r="N17" s="34"/>
      <c r="O17" s="34"/>
      <c r="P17" s="54">
        <v>46181.841516203705</v>
      </c>
      <c r="Q17" s="35" t="s">
        <v>63</v>
      </c>
      <c r="R17" s="95"/>
      <c r="S17" s="42"/>
    </row>
    <row r="18" spans="1:19" s="5" customFormat="1">
      <c r="A18" s="84"/>
      <c r="B18" s="89"/>
      <c r="C18" s="93"/>
      <c r="D18" s="34"/>
      <c r="E1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8" s="35"/>
      <c r="G18" s="36" t="b">
        <v>0</v>
      </c>
      <c r="H18" s="36" t="b">
        <v>0</v>
      </c>
      <c r="I18" s="36" t="b">
        <v>0</v>
      </c>
      <c r="J18" s="36" t="b">
        <v>0</v>
      </c>
      <c r="K18" s="36" t="b">
        <v>0</v>
      </c>
      <c r="L18" s="34"/>
      <c r="M18" s="34"/>
      <c r="N18" s="34"/>
      <c r="O18" s="34"/>
      <c r="P18" s="54">
        <v>46181.841516203705</v>
      </c>
      <c r="Q18" s="35" t="s">
        <v>63</v>
      </c>
      <c r="R18" s="95"/>
      <c r="S18" s="42"/>
    </row>
    <row r="19" spans="1:19" s="5" customFormat="1">
      <c r="A19" s="84"/>
      <c r="B19" s="89"/>
      <c r="C19" s="93"/>
      <c r="D19" s="34"/>
      <c r="E1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9" s="35"/>
      <c r="G19" s="36" t="b">
        <v>0</v>
      </c>
      <c r="H19" s="36" t="b">
        <v>0</v>
      </c>
      <c r="I19" s="36" t="b">
        <v>0</v>
      </c>
      <c r="J19" s="36" t="b">
        <v>0</v>
      </c>
      <c r="K19" s="36" t="b">
        <v>0</v>
      </c>
      <c r="L19" s="34"/>
      <c r="M19" s="34"/>
      <c r="N19" s="34"/>
      <c r="O19" s="34"/>
      <c r="P19" s="54">
        <v>46181.841516203705</v>
      </c>
      <c r="Q19" s="35" t="s">
        <v>63</v>
      </c>
      <c r="R19" s="95"/>
      <c r="S19" s="42"/>
    </row>
    <row r="20" spans="1:19" s="5" customFormat="1">
      <c r="A20" s="84"/>
      <c r="B20" s="89"/>
      <c r="C20" s="93"/>
      <c r="D20" s="34"/>
      <c r="E2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20" s="35"/>
      <c r="G20" s="36" t="b">
        <v>0</v>
      </c>
      <c r="H20" s="36" t="b">
        <v>0</v>
      </c>
      <c r="I20" s="36" t="b">
        <v>0</v>
      </c>
      <c r="J20" s="36" t="b">
        <v>0</v>
      </c>
      <c r="K20" s="36" t="b">
        <v>0</v>
      </c>
      <c r="L20" s="34"/>
      <c r="M20" s="34"/>
      <c r="N20" s="34"/>
      <c r="O20" s="34"/>
      <c r="P20" s="54">
        <v>46181.841516203705</v>
      </c>
      <c r="Q20" s="35" t="s">
        <v>63</v>
      </c>
      <c r="R20" s="95"/>
      <c r="S20" s="42"/>
    </row>
    <row r="21" spans="1:19" s="5" customFormat="1">
      <c r="A21" s="84"/>
      <c r="B21" s="89"/>
      <c r="C21" s="93"/>
      <c r="D21" s="34"/>
      <c r="E2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21" s="35"/>
      <c r="G21" s="36" t="b">
        <v>0</v>
      </c>
      <c r="H21" s="36" t="b">
        <v>0</v>
      </c>
      <c r="I21" s="36" t="b">
        <v>0</v>
      </c>
      <c r="J21" s="36" t="b">
        <v>0</v>
      </c>
      <c r="K21" s="36" t="b">
        <v>0</v>
      </c>
      <c r="L21" s="34"/>
      <c r="M21" s="34"/>
      <c r="N21" s="34"/>
      <c r="O21" s="34"/>
      <c r="P21" s="54">
        <v>46181.841516203705</v>
      </c>
      <c r="Q21" s="35" t="s">
        <v>63</v>
      </c>
      <c r="R21" s="95"/>
      <c r="S21" s="42"/>
    </row>
    <row r="22" spans="1:19" s="5" customFormat="1">
      <c r="A22" s="84"/>
      <c r="B22" s="89"/>
      <c r="C22" s="93"/>
      <c r="D22" s="34"/>
      <c r="E2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22" s="35"/>
      <c r="G22" s="36" t="b">
        <v>0</v>
      </c>
      <c r="H22" s="36" t="b">
        <v>0</v>
      </c>
      <c r="I22" s="36" t="b">
        <v>0</v>
      </c>
      <c r="J22" s="36" t="b">
        <v>0</v>
      </c>
      <c r="K22" s="36" t="b">
        <v>0</v>
      </c>
      <c r="L22" s="34"/>
      <c r="M22" s="34"/>
      <c r="N22" s="34"/>
      <c r="O22" s="34"/>
      <c r="P22" s="54">
        <v>46181.841516203705</v>
      </c>
      <c r="Q22" s="35" t="s">
        <v>63</v>
      </c>
      <c r="R22" s="95"/>
      <c r="S22" s="42"/>
    </row>
    <row r="23" spans="1:19" s="5" customFormat="1">
      <c r="A23" s="84"/>
      <c r="B23" s="89"/>
      <c r="C23" s="93"/>
      <c r="D23" s="34"/>
      <c r="E2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23" s="35"/>
      <c r="G23" s="36" t="b">
        <v>0</v>
      </c>
      <c r="H23" s="36" t="b">
        <v>0</v>
      </c>
      <c r="I23" s="36" t="b">
        <v>0</v>
      </c>
      <c r="J23" s="36" t="b">
        <v>0</v>
      </c>
      <c r="K23" s="36" t="b">
        <v>0</v>
      </c>
      <c r="L23" s="34"/>
      <c r="M23" s="34"/>
      <c r="N23" s="34"/>
      <c r="O23" s="34"/>
      <c r="P23" s="54">
        <v>46181.841516203705</v>
      </c>
      <c r="Q23" s="35" t="s">
        <v>63</v>
      </c>
      <c r="R23" s="95"/>
      <c r="S23" s="42"/>
    </row>
    <row r="24" spans="1:19" s="5" customFormat="1">
      <c r="A24" s="84"/>
      <c r="B24" s="89"/>
      <c r="C24" s="93"/>
      <c r="D24" s="34"/>
      <c r="E2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24" s="35"/>
      <c r="G24" s="36" t="b">
        <v>0</v>
      </c>
      <c r="H24" s="36" t="b">
        <v>0</v>
      </c>
      <c r="I24" s="36" t="b">
        <v>0</v>
      </c>
      <c r="J24" s="36" t="b">
        <v>0</v>
      </c>
      <c r="K24" s="36" t="b">
        <v>0</v>
      </c>
      <c r="L24" s="34"/>
      <c r="M24" s="34"/>
      <c r="N24" s="34"/>
      <c r="O24" s="34"/>
      <c r="P24" s="54">
        <v>46181.841516203705</v>
      </c>
      <c r="Q24" s="35" t="s">
        <v>63</v>
      </c>
      <c r="R24" s="95"/>
      <c r="S24" s="42"/>
    </row>
    <row r="25" spans="1:19" s="5" customFormat="1">
      <c r="A25" s="84"/>
      <c r="B25" s="89"/>
      <c r="C25" s="93"/>
      <c r="D25" s="34"/>
      <c r="E2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25" s="35"/>
      <c r="G25" s="36" t="b">
        <v>0</v>
      </c>
      <c r="H25" s="36" t="b">
        <v>0</v>
      </c>
      <c r="I25" s="36" t="b">
        <v>0</v>
      </c>
      <c r="J25" s="36" t="b">
        <v>0</v>
      </c>
      <c r="K25" s="36" t="b">
        <v>0</v>
      </c>
      <c r="L25" s="34"/>
      <c r="M25" s="34"/>
      <c r="N25" s="34"/>
      <c r="O25" s="34"/>
      <c r="P25" s="54">
        <v>46181.841527777775</v>
      </c>
      <c r="Q25" s="35" t="s">
        <v>63</v>
      </c>
      <c r="R25" s="95"/>
      <c r="S25" s="42"/>
    </row>
    <row r="26" spans="1:19" s="5" customFormat="1">
      <c r="A26" s="84"/>
      <c r="B26" s="89"/>
      <c r="C26" s="93"/>
      <c r="D26" s="34"/>
      <c r="E2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26" s="35"/>
      <c r="G26" s="36" t="b">
        <v>0</v>
      </c>
      <c r="H26" s="36" t="b">
        <v>0</v>
      </c>
      <c r="I26" s="36" t="b">
        <v>0</v>
      </c>
      <c r="J26" s="36" t="b">
        <v>0</v>
      </c>
      <c r="K26" s="36" t="b">
        <v>0</v>
      </c>
      <c r="L26" s="34"/>
      <c r="M26" s="34"/>
      <c r="N26" s="34"/>
      <c r="O26" s="34"/>
      <c r="P26" s="54">
        <v>46181.841527777775</v>
      </c>
      <c r="Q26" s="35" t="s">
        <v>63</v>
      </c>
      <c r="R26" s="95"/>
      <c r="S26" s="42"/>
    </row>
    <row r="27" spans="1:19" s="5" customFormat="1">
      <c r="A27" s="84"/>
      <c r="B27" s="89"/>
      <c r="C27" s="93"/>
      <c r="D27" s="34"/>
      <c r="E2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27" s="35"/>
      <c r="G27" s="36" t="b">
        <v>0</v>
      </c>
      <c r="H27" s="36" t="b">
        <v>0</v>
      </c>
      <c r="I27" s="36" t="b">
        <v>0</v>
      </c>
      <c r="J27" s="36" t="b">
        <v>0</v>
      </c>
      <c r="K27" s="36" t="b">
        <v>0</v>
      </c>
      <c r="L27" s="34"/>
      <c r="M27" s="34"/>
      <c r="N27" s="34"/>
      <c r="O27" s="34"/>
      <c r="P27" s="54">
        <v>46181.841527777775</v>
      </c>
      <c r="Q27" s="35" t="s">
        <v>63</v>
      </c>
      <c r="R27" s="95"/>
      <c r="S27" s="42"/>
    </row>
    <row r="28" spans="1:19" s="5" customFormat="1">
      <c r="A28" s="84"/>
      <c r="B28" s="89"/>
      <c r="C28" s="93"/>
      <c r="D28" s="34"/>
      <c r="E2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28" s="35"/>
      <c r="G28" s="36" t="b">
        <v>0</v>
      </c>
      <c r="H28" s="36" t="b">
        <v>0</v>
      </c>
      <c r="I28" s="36" t="b">
        <v>0</v>
      </c>
      <c r="J28" s="36" t="b">
        <v>0</v>
      </c>
      <c r="K28" s="36" t="b">
        <v>0</v>
      </c>
      <c r="L28" s="34"/>
      <c r="M28" s="34"/>
      <c r="N28" s="34"/>
      <c r="O28" s="34"/>
      <c r="P28" s="54">
        <v>46181.841527777775</v>
      </c>
      <c r="Q28" s="35" t="s">
        <v>63</v>
      </c>
      <c r="R28" s="95"/>
      <c r="S28" s="42"/>
    </row>
    <row r="29" spans="1:19" s="5" customFormat="1">
      <c r="A29" s="84"/>
      <c r="B29" s="89"/>
      <c r="C29" s="93"/>
      <c r="D29" s="34"/>
      <c r="E2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29" s="35"/>
      <c r="G29" s="36" t="b">
        <v>0</v>
      </c>
      <c r="H29" s="36" t="b">
        <v>0</v>
      </c>
      <c r="I29" s="36" t="b">
        <v>0</v>
      </c>
      <c r="J29" s="36" t="b">
        <v>0</v>
      </c>
      <c r="K29" s="36" t="b">
        <v>0</v>
      </c>
      <c r="L29" s="34"/>
      <c r="M29" s="34"/>
      <c r="N29" s="34"/>
      <c r="O29" s="34"/>
      <c r="P29" s="54">
        <v>46181.841527777775</v>
      </c>
      <c r="Q29" s="35" t="s">
        <v>63</v>
      </c>
      <c r="R29" s="95"/>
      <c r="S29" s="42"/>
    </row>
    <row r="30" spans="1:19" s="5" customFormat="1">
      <c r="A30" s="84"/>
      <c r="B30" s="89"/>
      <c r="C30" s="93"/>
      <c r="D30" s="34"/>
      <c r="E3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30" s="35"/>
      <c r="G30" s="36" t="b">
        <v>0</v>
      </c>
      <c r="H30" s="36" t="b">
        <v>0</v>
      </c>
      <c r="I30" s="36" t="b">
        <v>0</v>
      </c>
      <c r="J30" s="36" t="b">
        <v>0</v>
      </c>
      <c r="K30" s="36" t="b">
        <v>0</v>
      </c>
      <c r="L30" s="34"/>
      <c r="M30" s="34"/>
      <c r="N30" s="34"/>
      <c r="O30" s="34"/>
      <c r="P30" s="54">
        <v>46181.841527777775</v>
      </c>
      <c r="Q30" s="35" t="s">
        <v>63</v>
      </c>
      <c r="R30" s="95"/>
      <c r="S30" s="42"/>
    </row>
    <row r="31" spans="1:19" s="5" customFormat="1">
      <c r="A31" s="84"/>
      <c r="B31" s="89"/>
      <c r="C31" s="93"/>
      <c r="D31" s="34"/>
      <c r="E3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31" s="35"/>
      <c r="G31" s="36" t="b">
        <v>0</v>
      </c>
      <c r="H31" s="36" t="b">
        <v>0</v>
      </c>
      <c r="I31" s="36" t="b">
        <v>0</v>
      </c>
      <c r="J31" s="36" t="b">
        <v>0</v>
      </c>
      <c r="K31" s="36" t="b">
        <v>0</v>
      </c>
      <c r="L31" s="34"/>
      <c r="M31" s="34"/>
      <c r="N31" s="34"/>
      <c r="O31" s="34"/>
      <c r="P31" s="54">
        <v>46181.841527777775</v>
      </c>
      <c r="Q31" s="35" t="s">
        <v>63</v>
      </c>
      <c r="R31" s="95"/>
      <c r="S31" s="42"/>
    </row>
    <row r="32" spans="1:19" s="5" customFormat="1">
      <c r="A32" s="84"/>
      <c r="B32" s="89"/>
      <c r="C32" s="93"/>
      <c r="D32" s="34"/>
      <c r="E3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32" s="35"/>
      <c r="G32" s="36" t="b">
        <v>0</v>
      </c>
      <c r="H32" s="36" t="b">
        <v>0</v>
      </c>
      <c r="I32" s="36" t="b">
        <v>0</v>
      </c>
      <c r="J32" s="36" t="b">
        <v>0</v>
      </c>
      <c r="K32" s="36" t="b">
        <v>0</v>
      </c>
      <c r="L32" s="34"/>
      <c r="M32" s="34"/>
      <c r="N32" s="34"/>
      <c r="O32" s="34"/>
      <c r="P32" s="54">
        <v>46181.841527777775</v>
      </c>
      <c r="Q32" s="35" t="s">
        <v>63</v>
      </c>
      <c r="R32" s="95"/>
      <c r="S32" s="42"/>
    </row>
    <row r="33" spans="1:19" s="5" customFormat="1">
      <c r="A33" s="84"/>
      <c r="B33" s="89"/>
      <c r="C33" s="93"/>
      <c r="D33" s="34"/>
      <c r="E3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33" s="35"/>
      <c r="G33" s="36" t="b">
        <v>0</v>
      </c>
      <c r="H33" s="36" t="b">
        <v>0</v>
      </c>
      <c r="I33" s="36" t="b">
        <v>0</v>
      </c>
      <c r="J33" s="36" t="b">
        <v>0</v>
      </c>
      <c r="K33" s="36" t="b">
        <v>0</v>
      </c>
      <c r="L33" s="34"/>
      <c r="M33" s="34"/>
      <c r="N33" s="34"/>
      <c r="O33" s="34"/>
      <c r="P33" s="54">
        <v>46181.841527777775</v>
      </c>
      <c r="Q33" s="35" t="s">
        <v>63</v>
      </c>
      <c r="R33" s="95"/>
      <c r="S33" s="42"/>
    </row>
    <row r="34" spans="1:19" s="5" customFormat="1">
      <c r="A34" s="84"/>
      <c r="B34" s="89"/>
      <c r="C34" s="93"/>
      <c r="D34" s="34"/>
      <c r="E3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34" s="35"/>
      <c r="G34" s="36" t="b">
        <v>0</v>
      </c>
      <c r="H34" s="36" t="b">
        <v>0</v>
      </c>
      <c r="I34" s="36" t="b">
        <v>0</v>
      </c>
      <c r="J34" s="36" t="b">
        <v>0</v>
      </c>
      <c r="K34" s="36" t="b">
        <v>0</v>
      </c>
      <c r="L34" s="34"/>
      <c r="M34" s="34"/>
      <c r="N34" s="34"/>
      <c r="O34" s="34"/>
      <c r="P34" s="54">
        <v>46181.841527777775</v>
      </c>
      <c r="Q34" s="35" t="s">
        <v>63</v>
      </c>
      <c r="R34" s="95"/>
      <c r="S34" s="42"/>
    </row>
    <row r="35" spans="1:19" s="5" customFormat="1">
      <c r="A35" s="84"/>
      <c r="B35" s="89"/>
      <c r="C35" s="93"/>
      <c r="D35" s="34"/>
      <c r="E3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35" s="35"/>
      <c r="G35" s="36" t="b">
        <v>0</v>
      </c>
      <c r="H35" s="36" t="b">
        <v>0</v>
      </c>
      <c r="I35" s="36" t="b">
        <v>0</v>
      </c>
      <c r="J35" s="36" t="b">
        <v>0</v>
      </c>
      <c r="K35" s="36" t="b">
        <v>0</v>
      </c>
      <c r="L35" s="34"/>
      <c r="M35" s="34"/>
      <c r="N35" s="34"/>
      <c r="O35" s="34"/>
      <c r="P35" s="54">
        <v>46181.841527777775</v>
      </c>
      <c r="Q35" s="35" t="s">
        <v>63</v>
      </c>
      <c r="R35" s="95"/>
      <c r="S35" s="42"/>
    </row>
    <row r="36" spans="1:19" s="5" customFormat="1">
      <c r="A36" s="84"/>
      <c r="B36" s="89"/>
      <c r="C36" s="93"/>
      <c r="D36" s="34"/>
      <c r="E3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36" s="35"/>
      <c r="G36" s="36" t="b">
        <v>0</v>
      </c>
      <c r="H36" s="36" t="b">
        <v>0</v>
      </c>
      <c r="I36" s="36" t="b">
        <v>0</v>
      </c>
      <c r="J36" s="36" t="b">
        <v>0</v>
      </c>
      <c r="K36" s="36" t="b">
        <v>0</v>
      </c>
      <c r="L36" s="34"/>
      <c r="M36" s="34"/>
      <c r="N36" s="34"/>
      <c r="O36" s="34"/>
      <c r="P36" s="54">
        <v>46181.841527777775</v>
      </c>
      <c r="Q36" s="35" t="s">
        <v>63</v>
      </c>
      <c r="R36" s="95"/>
      <c r="S36" s="42"/>
    </row>
    <row r="37" spans="1:19" s="5" customFormat="1">
      <c r="A37" s="84"/>
      <c r="B37" s="89"/>
      <c r="C37" s="93"/>
      <c r="D37" s="34"/>
      <c r="E3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37" s="35"/>
      <c r="G37" s="36" t="b">
        <v>0</v>
      </c>
      <c r="H37" s="36" t="b">
        <v>0</v>
      </c>
      <c r="I37" s="36" t="b">
        <v>0</v>
      </c>
      <c r="J37" s="36" t="b">
        <v>0</v>
      </c>
      <c r="K37" s="36" t="b">
        <v>0</v>
      </c>
      <c r="L37" s="34"/>
      <c r="M37" s="34"/>
      <c r="N37" s="34"/>
      <c r="O37" s="34"/>
      <c r="P37" s="54">
        <v>46181.841527777775</v>
      </c>
      <c r="Q37" s="35" t="s">
        <v>63</v>
      </c>
      <c r="R37" s="95"/>
      <c r="S37" s="42"/>
    </row>
    <row r="38" spans="1:19" s="5" customFormat="1">
      <c r="A38" s="84"/>
      <c r="B38" s="89"/>
      <c r="C38" s="93"/>
      <c r="D38" s="34"/>
      <c r="E3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38" s="35"/>
      <c r="G38" s="36" t="b">
        <v>0</v>
      </c>
      <c r="H38" s="36" t="b">
        <v>0</v>
      </c>
      <c r="I38" s="36" t="b">
        <v>0</v>
      </c>
      <c r="J38" s="36" t="b">
        <v>0</v>
      </c>
      <c r="K38" s="36" t="b">
        <v>0</v>
      </c>
      <c r="L38" s="34"/>
      <c r="M38" s="34"/>
      <c r="N38" s="34"/>
      <c r="O38" s="34"/>
      <c r="P38" s="54">
        <v>46181.841527777775</v>
      </c>
      <c r="Q38" s="35" t="s">
        <v>63</v>
      </c>
      <c r="R38" s="95"/>
      <c r="S38" s="42"/>
    </row>
    <row r="39" spans="1:19" s="5" customFormat="1">
      <c r="A39" s="84"/>
      <c r="B39" s="89"/>
      <c r="C39" s="93"/>
      <c r="D39" s="34"/>
      <c r="E3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39" s="35"/>
      <c r="G39" s="36" t="b">
        <v>0</v>
      </c>
      <c r="H39" s="36" t="b">
        <v>0</v>
      </c>
      <c r="I39" s="36" t="b">
        <v>0</v>
      </c>
      <c r="J39" s="36" t="b">
        <v>0</v>
      </c>
      <c r="K39" s="36" t="b">
        <v>0</v>
      </c>
      <c r="L39" s="34"/>
      <c r="M39" s="34"/>
      <c r="N39" s="34"/>
      <c r="O39" s="34"/>
      <c r="P39" s="54">
        <v>46181.841527777775</v>
      </c>
      <c r="Q39" s="35" t="s">
        <v>63</v>
      </c>
      <c r="R39" s="95"/>
      <c r="S39" s="42"/>
    </row>
    <row r="40" spans="1:19" s="5" customFormat="1">
      <c r="A40" s="84"/>
      <c r="B40" s="89"/>
      <c r="C40" s="93"/>
      <c r="D40" s="34"/>
      <c r="E4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40" s="35"/>
      <c r="G40" s="36" t="b">
        <v>0</v>
      </c>
      <c r="H40" s="36" t="b">
        <v>0</v>
      </c>
      <c r="I40" s="36" t="b">
        <v>0</v>
      </c>
      <c r="J40" s="36" t="b">
        <v>0</v>
      </c>
      <c r="K40" s="36" t="b">
        <v>0</v>
      </c>
      <c r="L40" s="34"/>
      <c r="M40" s="34"/>
      <c r="N40" s="34"/>
      <c r="O40" s="34"/>
      <c r="P40" s="54">
        <v>46181.841527777775</v>
      </c>
      <c r="Q40" s="35" t="s">
        <v>63</v>
      </c>
      <c r="R40" s="95"/>
      <c r="S40" s="42"/>
    </row>
    <row r="41" spans="1:19" s="5" customFormat="1">
      <c r="A41" s="84"/>
      <c r="B41" s="89"/>
      <c r="C41" s="93"/>
      <c r="D41" s="34"/>
      <c r="E4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41" s="35"/>
      <c r="G41" s="36" t="b">
        <v>0</v>
      </c>
      <c r="H41" s="36" t="b">
        <v>0</v>
      </c>
      <c r="I41" s="36" t="b">
        <v>0</v>
      </c>
      <c r="J41" s="36" t="b">
        <v>0</v>
      </c>
      <c r="K41" s="36" t="b">
        <v>0</v>
      </c>
      <c r="L41" s="34"/>
      <c r="M41" s="34"/>
      <c r="N41" s="34"/>
      <c r="O41" s="34"/>
      <c r="P41" s="54">
        <v>46181.841527777775</v>
      </c>
      <c r="Q41" s="35" t="s">
        <v>63</v>
      </c>
      <c r="R41" s="95"/>
      <c r="S41" s="42"/>
    </row>
    <row r="42" spans="1:19" s="5" customFormat="1">
      <c r="A42" s="84"/>
      <c r="B42" s="89"/>
      <c r="C42" s="93"/>
      <c r="D42" s="34"/>
      <c r="E4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42" s="35"/>
      <c r="G42" s="36" t="b">
        <v>0</v>
      </c>
      <c r="H42" s="36" t="b">
        <v>0</v>
      </c>
      <c r="I42" s="36" t="b">
        <v>0</v>
      </c>
      <c r="J42" s="36" t="b">
        <v>0</v>
      </c>
      <c r="K42" s="36" t="b">
        <v>0</v>
      </c>
      <c r="L42" s="34"/>
      <c r="M42" s="34"/>
      <c r="N42" s="34"/>
      <c r="O42" s="34"/>
      <c r="P42" s="54">
        <v>46181.841539351852</v>
      </c>
      <c r="Q42" s="35" t="s">
        <v>63</v>
      </c>
      <c r="R42" s="95"/>
      <c r="S42" s="42"/>
    </row>
    <row r="43" spans="1:19" s="5" customFormat="1">
      <c r="A43" s="84"/>
      <c r="B43" s="89"/>
      <c r="C43" s="93"/>
      <c r="D43" s="34"/>
      <c r="E4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43" s="35"/>
      <c r="G43" s="36" t="b">
        <v>0</v>
      </c>
      <c r="H43" s="36" t="b">
        <v>0</v>
      </c>
      <c r="I43" s="36" t="b">
        <v>0</v>
      </c>
      <c r="J43" s="36" t="b">
        <v>0</v>
      </c>
      <c r="K43" s="36" t="b">
        <v>0</v>
      </c>
      <c r="L43" s="34"/>
      <c r="M43" s="34"/>
      <c r="N43" s="34"/>
      <c r="O43" s="34"/>
      <c r="P43" s="54">
        <v>46181.841539351852</v>
      </c>
      <c r="Q43" s="35" t="s">
        <v>63</v>
      </c>
      <c r="R43" s="95"/>
      <c r="S43" s="42"/>
    </row>
    <row r="44" spans="1:19" s="5" customFormat="1">
      <c r="A44" s="84"/>
      <c r="B44" s="89"/>
      <c r="C44" s="93"/>
      <c r="D44" s="34"/>
      <c r="E4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44" s="35"/>
      <c r="G44" s="36" t="b">
        <v>0</v>
      </c>
      <c r="H44" s="36" t="b">
        <v>0</v>
      </c>
      <c r="I44" s="36" t="b">
        <v>0</v>
      </c>
      <c r="J44" s="36" t="b">
        <v>0</v>
      </c>
      <c r="K44" s="36" t="b">
        <v>0</v>
      </c>
      <c r="L44" s="34"/>
      <c r="M44" s="34"/>
      <c r="N44" s="34"/>
      <c r="O44" s="34"/>
      <c r="P44" s="54">
        <v>46181.841539351852</v>
      </c>
      <c r="Q44" s="35" t="s">
        <v>63</v>
      </c>
      <c r="R44" s="95"/>
      <c r="S44" s="42"/>
    </row>
    <row r="45" spans="1:19" s="5" customFormat="1">
      <c r="A45" s="84"/>
      <c r="B45" s="89"/>
      <c r="C45" s="93"/>
      <c r="D45" s="34"/>
      <c r="E4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45" s="35"/>
      <c r="G45" s="36" t="b">
        <v>0</v>
      </c>
      <c r="H45" s="36" t="b">
        <v>0</v>
      </c>
      <c r="I45" s="36" t="b">
        <v>0</v>
      </c>
      <c r="J45" s="36" t="b">
        <v>0</v>
      </c>
      <c r="K45" s="36" t="b">
        <v>0</v>
      </c>
      <c r="L45" s="34"/>
      <c r="M45" s="34"/>
      <c r="N45" s="34"/>
      <c r="O45" s="34"/>
      <c r="P45" s="54">
        <v>46181.841539351852</v>
      </c>
      <c r="Q45" s="35" t="s">
        <v>63</v>
      </c>
      <c r="R45" s="95"/>
      <c r="S45" s="42"/>
    </row>
    <row r="46" spans="1:19" s="5" customFormat="1">
      <c r="A46" s="84"/>
      <c r="B46" s="89"/>
      <c r="C46" s="93"/>
      <c r="D46" s="34"/>
      <c r="E4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46" s="35"/>
      <c r="G46" s="36" t="b">
        <v>0</v>
      </c>
      <c r="H46" s="36" t="b">
        <v>0</v>
      </c>
      <c r="I46" s="36" t="b">
        <v>0</v>
      </c>
      <c r="J46" s="36" t="b">
        <v>0</v>
      </c>
      <c r="K46" s="36" t="b">
        <v>0</v>
      </c>
      <c r="L46" s="34"/>
      <c r="M46" s="34"/>
      <c r="N46" s="34"/>
      <c r="O46" s="34"/>
      <c r="P46" s="54">
        <v>46181.841539351852</v>
      </c>
      <c r="Q46" s="35" t="s">
        <v>63</v>
      </c>
      <c r="R46" s="95"/>
      <c r="S46" s="42"/>
    </row>
    <row r="47" spans="1:19" s="5" customFormat="1">
      <c r="A47" s="84"/>
      <c r="B47" s="89"/>
      <c r="C47" s="93"/>
      <c r="D47" s="34"/>
      <c r="E4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47" s="35"/>
      <c r="G47" s="36" t="b">
        <v>0</v>
      </c>
      <c r="H47" s="36" t="b">
        <v>0</v>
      </c>
      <c r="I47" s="36" t="b">
        <v>0</v>
      </c>
      <c r="J47" s="36" t="b">
        <v>0</v>
      </c>
      <c r="K47" s="36" t="b">
        <v>0</v>
      </c>
      <c r="L47" s="34"/>
      <c r="M47" s="34"/>
      <c r="N47" s="34"/>
      <c r="O47" s="34"/>
      <c r="P47" s="54">
        <v>46181.841539351852</v>
      </c>
      <c r="Q47" s="35" t="s">
        <v>63</v>
      </c>
      <c r="R47" s="95"/>
      <c r="S47" s="42"/>
    </row>
    <row r="48" spans="1:19" s="5" customFormat="1">
      <c r="A48" s="84"/>
      <c r="B48" s="89"/>
      <c r="C48" s="93"/>
      <c r="D48" s="34"/>
      <c r="E4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48" s="35"/>
      <c r="G48" s="36" t="b">
        <v>0</v>
      </c>
      <c r="H48" s="36" t="b">
        <v>0</v>
      </c>
      <c r="I48" s="36" t="b">
        <v>0</v>
      </c>
      <c r="J48" s="36" t="b">
        <v>0</v>
      </c>
      <c r="K48" s="36" t="b">
        <v>0</v>
      </c>
      <c r="L48" s="34"/>
      <c r="M48" s="34"/>
      <c r="N48" s="34"/>
      <c r="O48" s="34"/>
      <c r="P48" s="54">
        <v>46181.841539351852</v>
      </c>
      <c r="Q48" s="35" t="s">
        <v>63</v>
      </c>
      <c r="R48" s="95"/>
      <c r="S48" s="42"/>
    </row>
    <row r="49" spans="1:19" s="5" customFormat="1">
      <c r="A49" s="84"/>
      <c r="B49" s="89"/>
      <c r="C49" s="93"/>
      <c r="D49" s="34"/>
      <c r="E4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49" s="35"/>
      <c r="G49" s="36" t="b">
        <v>0</v>
      </c>
      <c r="H49" s="36" t="b">
        <v>0</v>
      </c>
      <c r="I49" s="36" t="b">
        <v>0</v>
      </c>
      <c r="J49" s="36" t="b">
        <v>0</v>
      </c>
      <c r="K49" s="36" t="b">
        <v>0</v>
      </c>
      <c r="L49" s="34"/>
      <c r="M49" s="34"/>
      <c r="N49" s="34"/>
      <c r="O49" s="34"/>
      <c r="P49" s="54">
        <v>46181.841539351852</v>
      </c>
      <c r="Q49" s="35" t="s">
        <v>63</v>
      </c>
      <c r="R49" s="95"/>
      <c r="S49" s="42"/>
    </row>
    <row r="50" spans="1:19" s="5" customFormat="1">
      <c r="A50" s="84"/>
      <c r="B50" s="89"/>
      <c r="C50" s="93"/>
      <c r="D50" s="34"/>
      <c r="E5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50" s="35"/>
      <c r="G50" s="36" t="b">
        <v>0</v>
      </c>
      <c r="H50" s="36" t="b">
        <v>0</v>
      </c>
      <c r="I50" s="36" t="b">
        <v>0</v>
      </c>
      <c r="J50" s="36" t="b">
        <v>0</v>
      </c>
      <c r="K50" s="36" t="b">
        <v>0</v>
      </c>
      <c r="L50" s="34"/>
      <c r="M50" s="34"/>
      <c r="N50" s="34"/>
      <c r="O50" s="34"/>
      <c r="P50" s="54">
        <v>46181.841539351852</v>
      </c>
      <c r="Q50" s="35" t="s">
        <v>63</v>
      </c>
      <c r="R50" s="95"/>
      <c r="S50" s="42"/>
    </row>
    <row r="51" spans="1:19" s="5" customFormat="1">
      <c r="A51" s="84"/>
      <c r="B51" s="89"/>
      <c r="C51" s="93"/>
      <c r="D51" s="34"/>
      <c r="E5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51" s="35"/>
      <c r="G51" s="36" t="b">
        <v>0</v>
      </c>
      <c r="H51" s="36" t="b">
        <v>0</v>
      </c>
      <c r="I51" s="36" t="b">
        <v>0</v>
      </c>
      <c r="J51" s="36" t="b">
        <v>0</v>
      </c>
      <c r="K51" s="36" t="b">
        <v>0</v>
      </c>
      <c r="L51" s="34"/>
      <c r="M51" s="34"/>
      <c r="N51" s="34"/>
      <c r="O51" s="34"/>
      <c r="P51" s="54">
        <v>46181.841539351852</v>
      </c>
      <c r="Q51" s="35" t="s">
        <v>63</v>
      </c>
      <c r="R51" s="95"/>
      <c r="S51" s="42"/>
    </row>
    <row r="52" spans="1:19" s="5" customFormat="1">
      <c r="A52" s="84"/>
      <c r="B52" s="89"/>
      <c r="C52" s="93"/>
      <c r="D52" s="34"/>
      <c r="E5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52" s="35"/>
      <c r="G52" s="36" t="b">
        <v>0</v>
      </c>
      <c r="H52" s="36" t="b">
        <v>0</v>
      </c>
      <c r="I52" s="36" t="b">
        <v>0</v>
      </c>
      <c r="J52" s="36" t="b">
        <v>0</v>
      </c>
      <c r="K52" s="36" t="b">
        <v>0</v>
      </c>
      <c r="L52" s="34"/>
      <c r="M52" s="34"/>
      <c r="N52" s="34"/>
      <c r="O52" s="34"/>
      <c r="P52" s="54">
        <v>46181.841539351852</v>
      </c>
      <c r="Q52" s="35" t="s">
        <v>63</v>
      </c>
      <c r="R52" s="95"/>
      <c r="S52" s="42"/>
    </row>
    <row r="53" spans="1:19" s="5" customFormat="1">
      <c r="A53" s="84"/>
      <c r="B53" s="89"/>
      <c r="C53" s="93"/>
      <c r="D53" s="34"/>
      <c r="E5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53" s="35"/>
      <c r="G53" s="36" t="b">
        <v>0</v>
      </c>
      <c r="H53" s="36" t="b">
        <v>0</v>
      </c>
      <c r="I53" s="36" t="b">
        <v>0</v>
      </c>
      <c r="J53" s="36" t="b">
        <v>0</v>
      </c>
      <c r="K53" s="36" t="b">
        <v>0</v>
      </c>
      <c r="L53" s="34"/>
      <c r="M53" s="34"/>
      <c r="N53" s="34"/>
      <c r="O53" s="34"/>
      <c r="P53" s="54">
        <v>46181.841539351852</v>
      </c>
      <c r="Q53" s="35" t="s">
        <v>63</v>
      </c>
      <c r="R53" s="95"/>
      <c r="S53" s="42"/>
    </row>
    <row r="54" spans="1:19" s="5" customFormat="1">
      <c r="A54" s="84"/>
      <c r="B54" s="89"/>
      <c r="C54" s="93"/>
      <c r="D54" s="34"/>
      <c r="E5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54" s="35"/>
      <c r="G54" s="36" t="b">
        <v>0</v>
      </c>
      <c r="H54" s="36" t="b">
        <v>0</v>
      </c>
      <c r="I54" s="36" t="b">
        <v>0</v>
      </c>
      <c r="J54" s="36" t="b">
        <v>0</v>
      </c>
      <c r="K54" s="36" t="b">
        <v>0</v>
      </c>
      <c r="L54" s="34"/>
      <c r="M54" s="34"/>
      <c r="N54" s="34"/>
      <c r="O54" s="34"/>
      <c r="P54" s="54">
        <v>46181.841539351852</v>
      </c>
      <c r="Q54" s="35" t="s">
        <v>63</v>
      </c>
      <c r="R54" s="95"/>
      <c r="S54" s="42"/>
    </row>
    <row r="55" spans="1:19" s="5" customFormat="1">
      <c r="A55" s="84"/>
      <c r="B55" s="89"/>
      <c r="C55" s="93"/>
      <c r="D55" s="34"/>
      <c r="E5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55" s="35"/>
      <c r="G55" s="36" t="b">
        <v>0</v>
      </c>
      <c r="H55" s="36" t="b">
        <v>0</v>
      </c>
      <c r="I55" s="36" t="b">
        <v>0</v>
      </c>
      <c r="J55" s="36" t="b">
        <v>0</v>
      </c>
      <c r="K55" s="36" t="b">
        <v>0</v>
      </c>
      <c r="L55" s="34"/>
      <c r="M55" s="34"/>
      <c r="N55" s="34"/>
      <c r="O55" s="34"/>
      <c r="P55" s="54">
        <v>46181.841539351852</v>
      </c>
      <c r="Q55" s="35" t="s">
        <v>63</v>
      </c>
      <c r="R55" s="95"/>
      <c r="S55" s="42"/>
    </row>
    <row r="56" spans="1:19" s="5" customFormat="1">
      <c r="A56" s="84"/>
      <c r="B56" s="89"/>
      <c r="C56" s="93"/>
      <c r="D56" s="34"/>
      <c r="E5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56" s="35"/>
      <c r="G56" s="36" t="b">
        <v>0</v>
      </c>
      <c r="H56" s="36" t="b">
        <v>0</v>
      </c>
      <c r="I56" s="36" t="b">
        <v>0</v>
      </c>
      <c r="J56" s="36" t="b">
        <v>0</v>
      </c>
      <c r="K56" s="36" t="b">
        <v>0</v>
      </c>
      <c r="L56" s="34"/>
      <c r="M56" s="34"/>
      <c r="N56" s="34"/>
      <c r="O56" s="34"/>
      <c r="P56" s="54">
        <v>46181.841539351852</v>
      </c>
      <c r="Q56" s="35" t="s">
        <v>63</v>
      </c>
      <c r="R56" s="95"/>
      <c r="S56" s="42"/>
    </row>
    <row r="57" spans="1:19" s="5" customFormat="1">
      <c r="A57" s="84"/>
      <c r="B57" s="89"/>
      <c r="C57" s="93"/>
      <c r="D57" s="34"/>
      <c r="E5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57" s="35"/>
      <c r="G57" s="36" t="b">
        <v>0</v>
      </c>
      <c r="H57" s="36" t="b">
        <v>0</v>
      </c>
      <c r="I57" s="36" t="b">
        <v>0</v>
      </c>
      <c r="J57" s="36" t="b">
        <v>0</v>
      </c>
      <c r="K57" s="36" t="b">
        <v>0</v>
      </c>
      <c r="L57" s="34"/>
      <c r="M57" s="34"/>
      <c r="N57" s="34"/>
      <c r="O57" s="34"/>
      <c r="P57" s="54">
        <v>46181.841539351852</v>
      </c>
      <c r="Q57" s="35" t="s">
        <v>63</v>
      </c>
      <c r="R57" s="95"/>
      <c r="S57" s="42"/>
    </row>
    <row r="58" spans="1:19" s="5" customFormat="1">
      <c r="A58" s="84"/>
      <c r="B58" s="89"/>
      <c r="C58" s="93"/>
      <c r="D58" s="34"/>
      <c r="E5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58" s="35"/>
      <c r="G58" s="36" t="b">
        <v>0</v>
      </c>
      <c r="H58" s="36" t="b">
        <v>0</v>
      </c>
      <c r="I58" s="36" t="b">
        <v>0</v>
      </c>
      <c r="J58" s="36" t="b">
        <v>0</v>
      </c>
      <c r="K58" s="36" t="b">
        <v>0</v>
      </c>
      <c r="L58" s="34"/>
      <c r="M58" s="34"/>
      <c r="N58" s="34"/>
      <c r="O58" s="34"/>
      <c r="P58" s="54">
        <v>46181.841550925928</v>
      </c>
      <c r="Q58" s="35" t="s">
        <v>63</v>
      </c>
      <c r="R58" s="95"/>
      <c r="S58" s="42"/>
    </row>
    <row r="59" spans="1:19" s="5" customFormat="1">
      <c r="A59" s="84"/>
      <c r="B59" s="89"/>
      <c r="C59" s="93"/>
      <c r="D59" s="34"/>
      <c r="E5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59" s="35"/>
      <c r="G59" s="36" t="b">
        <v>0</v>
      </c>
      <c r="H59" s="36" t="b">
        <v>0</v>
      </c>
      <c r="I59" s="36" t="b">
        <v>0</v>
      </c>
      <c r="J59" s="36" t="b">
        <v>0</v>
      </c>
      <c r="K59" s="36" t="b">
        <v>0</v>
      </c>
      <c r="L59" s="34"/>
      <c r="M59" s="34"/>
      <c r="N59" s="34"/>
      <c r="O59" s="34"/>
      <c r="P59" s="54">
        <v>46181.841550925928</v>
      </c>
      <c r="Q59" s="35" t="s">
        <v>63</v>
      </c>
      <c r="R59" s="95"/>
      <c r="S59" s="42"/>
    </row>
    <row r="60" spans="1:19" s="5" customFormat="1">
      <c r="A60" s="84"/>
      <c r="B60" s="89"/>
      <c r="C60" s="93"/>
      <c r="D60" s="34"/>
      <c r="E6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60" s="35"/>
      <c r="G60" s="36" t="b">
        <v>0</v>
      </c>
      <c r="H60" s="36" t="b">
        <v>0</v>
      </c>
      <c r="I60" s="36" t="b">
        <v>0</v>
      </c>
      <c r="J60" s="36" t="b">
        <v>0</v>
      </c>
      <c r="K60" s="36" t="b">
        <v>0</v>
      </c>
      <c r="L60" s="34"/>
      <c r="M60" s="34"/>
      <c r="N60" s="34"/>
      <c r="O60" s="34"/>
      <c r="P60" s="54">
        <v>46181.841550925928</v>
      </c>
      <c r="Q60" s="35" t="s">
        <v>63</v>
      </c>
      <c r="R60" s="95"/>
      <c r="S60" s="42"/>
    </row>
    <row r="61" spans="1:19" s="5" customFormat="1">
      <c r="A61" s="84"/>
      <c r="B61" s="89"/>
      <c r="C61" s="93"/>
      <c r="D61" s="34"/>
      <c r="E6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61" s="35"/>
      <c r="G61" s="36" t="b">
        <v>0</v>
      </c>
      <c r="H61" s="36" t="b">
        <v>0</v>
      </c>
      <c r="I61" s="36" t="b">
        <v>0</v>
      </c>
      <c r="J61" s="36" t="b">
        <v>0</v>
      </c>
      <c r="K61" s="36" t="b">
        <v>0</v>
      </c>
      <c r="L61" s="34"/>
      <c r="M61" s="34"/>
      <c r="N61" s="34"/>
      <c r="O61" s="34"/>
      <c r="P61" s="54">
        <v>46181.841550925928</v>
      </c>
      <c r="Q61" s="35" t="s">
        <v>63</v>
      </c>
      <c r="R61" s="95"/>
      <c r="S61" s="42"/>
    </row>
    <row r="62" spans="1:19" s="5" customFormat="1">
      <c r="A62" s="84"/>
      <c r="B62" s="89"/>
      <c r="C62" s="93"/>
      <c r="D62" s="34"/>
      <c r="E6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62" s="35"/>
      <c r="G62" s="36" t="b">
        <v>0</v>
      </c>
      <c r="H62" s="36" t="b">
        <v>0</v>
      </c>
      <c r="I62" s="36" t="b">
        <v>0</v>
      </c>
      <c r="J62" s="36" t="b">
        <v>0</v>
      </c>
      <c r="K62" s="36" t="b">
        <v>0</v>
      </c>
      <c r="L62" s="34"/>
      <c r="M62" s="34"/>
      <c r="N62" s="34"/>
      <c r="O62" s="34"/>
      <c r="P62" s="54">
        <v>46181.841550925928</v>
      </c>
      <c r="Q62" s="35" t="s">
        <v>63</v>
      </c>
      <c r="R62" s="95"/>
      <c r="S62" s="42"/>
    </row>
    <row r="63" spans="1:19" s="5" customFormat="1">
      <c r="A63" s="84"/>
      <c r="B63" s="89"/>
      <c r="C63" s="93"/>
      <c r="D63" s="34"/>
      <c r="E6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63" s="35"/>
      <c r="G63" s="36" t="b">
        <v>0</v>
      </c>
      <c r="H63" s="36" t="b">
        <v>0</v>
      </c>
      <c r="I63" s="36" t="b">
        <v>0</v>
      </c>
      <c r="J63" s="36" t="b">
        <v>0</v>
      </c>
      <c r="K63" s="36" t="b">
        <v>0</v>
      </c>
      <c r="L63" s="34"/>
      <c r="M63" s="34"/>
      <c r="N63" s="34"/>
      <c r="O63" s="34"/>
      <c r="P63" s="54">
        <v>46181.841550925928</v>
      </c>
      <c r="Q63" s="35" t="s">
        <v>63</v>
      </c>
      <c r="R63" s="95"/>
      <c r="S63" s="42"/>
    </row>
    <row r="64" spans="1:19" s="5" customFormat="1">
      <c r="A64" s="84"/>
      <c r="B64" s="89"/>
      <c r="C64" s="93"/>
      <c r="D64" s="34"/>
      <c r="E6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64" s="35"/>
      <c r="G64" s="36" t="b">
        <v>0</v>
      </c>
      <c r="H64" s="36" t="b">
        <v>0</v>
      </c>
      <c r="I64" s="36" t="b">
        <v>0</v>
      </c>
      <c r="J64" s="36" t="b">
        <v>0</v>
      </c>
      <c r="K64" s="36" t="b">
        <v>0</v>
      </c>
      <c r="L64" s="34"/>
      <c r="M64" s="34"/>
      <c r="N64" s="34"/>
      <c r="O64" s="34"/>
      <c r="P64" s="54">
        <v>46181.841550925928</v>
      </c>
      <c r="Q64" s="35" t="s">
        <v>63</v>
      </c>
      <c r="R64" s="95"/>
      <c r="S64" s="42"/>
    </row>
    <row r="65" spans="1:19" s="5" customFormat="1">
      <c r="A65" s="84"/>
      <c r="B65" s="89"/>
      <c r="C65" s="93"/>
      <c r="D65" s="34"/>
      <c r="E6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65" s="35"/>
      <c r="G65" s="36" t="b">
        <v>0</v>
      </c>
      <c r="H65" s="36" t="b">
        <v>0</v>
      </c>
      <c r="I65" s="36" t="b">
        <v>0</v>
      </c>
      <c r="J65" s="36" t="b">
        <v>0</v>
      </c>
      <c r="K65" s="36" t="b">
        <v>0</v>
      </c>
      <c r="L65" s="34"/>
      <c r="M65" s="34"/>
      <c r="N65" s="34"/>
      <c r="O65" s="34"/>
      <c r="P65" s="54">
        <v>46181.841550925928</v>
      </c>
      <c r="Q65" s="35" t="s">
        <v>63</v>
      </c>
      <c r="R65" s="95"/>
      <c r="S65" s="42"/>
    </row>
    <row r="66" spans="1:19" s="5" customFormat="1">
      <c r="A66" s="84"/>
      <c r="B66" s="89"/>
      <c r="C66" s="93"/>
      <c r="D66" s="34"/>
      <c r="E6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66" s="35"/>
      <c r="G66" s="36" t="b">
        <v>0</v>
      </c>
      <c r="H66" s="36" t="b">
        <v>0</v>
      </c>
      <c r="I66" s="36" t="b">
        <v>0</v>
      </c>
      <c r="J66" s="36" t="b">
        <v>0</v>
      </c>
      <c r="K66" s="36" t="b">
        <v>0</v>
      </c>
      <c r="L66" s="34"/>
      <c r="M66" s="34"/>
      <c r="N66" s="34"/>
      <c r="O66" s="34"/>
      <c r="P66" s="54">
        <v>46181.841550925928</v>
      </c>
      <c r="Q66" s="35" t="s">
        <v>63</v>
      </c>
      <c r="R66" s="95"/>
      <c r="S66" s="42"/>
    </row>
    <row r="67" spans="1:19" s="5" customFormat="1">
      <c r="A67" s="84"/>
      <c r="B67" s="89"/>
      <c r="C67" s="93"/>
      <c r="D67" s="34"/>
      <c r="E6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67" s="35"/>
      <c r="G67" s="36" t="b">
        <v>0</v>
      </c>
      <c r="H67" s="36" t="b">
        <v>0</v>
      </c>
      <c r="I67" s="36" t="b">
        <v>0</v>
      </c>
      <c r="J67" s="36" t="b">
        <v>0</v>
      </c>
      <c r="K67" s="36" t="b">
        <v>0</v>
      </c>
      <c r="L67" s="34"/>
      <c r="M67" s="34"/>
      <c r="N67" s="34"/>
      <c r="O67" s="34"/>
      <c r="P67" s="54">
        <v>46181.841550925928</v>
      </c>
      <c r="Q67" s="35" t="s">
        <v>63</v>
      </c>
      <c r="R67" s="95"/>
      <c r="S67" s="42"/>
    </row>
    <row r="68" spans="1:19" s="5" customFormat="1">
      <c r="A68" s="84"/>
      <c r="B68" s="89"/>
      <c r="C68" s="93"/>
      <c r="D68" s="34"/>
      <c r="E6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68" s="35"/>
      <c r="G68" s="36" t="b">
        <v>0</v>
      </c>
      <c r="H68" s="36" t="b">
        <v>0</v>
      </c>
      <c r="I68" s="36" t="b">
        <v>0</v>
      </c>
      <c r="J68" s="36" t="b">
        <v>0</v>
      </c>
      <c r="K68" s="36" t="b">
        <v>0</v>
      </c>
      <c r="L68" s="34"/>
      <c r="M68" s="34"/>
      <c r="N68" s="34"/>
      <c r="O68" s="34"/>
      <c r="P68" s="54">
        <v>46181.841550925928</v>
      </c>
      <c r="Q68" s="35" t="s">
        <v>63</v>
      </c>
      <c r="R68" s="95"/>
      <c r="S68" s="42"/>
    </row>
    <row r="69" spans="1:19" s="5" customFormat="1">
      <c r="A69" s="84"/>
      <c r="B69" s="89"/>
      <c r="C69" s="93"/>
      <c r="D69" s="34"/>
      <c r="E6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69" s="35"/>
      <c r="G69" s="36" t="b">
        <v>0</v>
      </c>
      <c r="H69" s="36" t="b">
        <v>0</v>
      </c>
      <c r="I69" s="36" t="b">
        <v>0</v>
      </c>
      <c r="J69" s="36" t="b">
        <v>0</v>
      </c>
      <c r="K69" s="36" t="b">
        <v>0</v>
      </c>
      <c r="L69" s="34"/>
      <c r="M69" s="34"/>
      <c r="N69" s="34"/>
      <c r="O69" s="34"/>
      <c r="P69" s="54">
        <v>46181.841550925928</v>
      </c>
      <c r="Q69" s="35" t="s">
        <v>63</v>
      </c>
      <c r="R69" s="95"/>
      <c r="S69" s="42"/>
    </row>
    <row r="70" spans="1:19" s="5" customFormat="1">
      <c r="A70" s="84"/>
      <c r="B70" s="89"/>
      <c r="C70" s="93"/>
      <c r="D70" s="34"/>
      <c r="E7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70" s="35"/>
      <c r="G70" s="36" t="b">
        <v>0</v>
      </c>
      <c r="H70" s="36" t="b">
        <v>0</v>
      </c>
      <c r="I70" s="36" t="b">
        <v>0</v>
      </c>
      <c r="J70" s="36" t="b">
        <v>0</v>
      </c>
      <c r="K70" s="36" t="b">
        <v>0</v>
      </c>
      <c r="L70" s="34"/>
      <c r="M70" s="34"/>
      <c r="N70" s="34"/>
      <c r="O70" s="34"/>
      <c r="P70" s="54">
        <v>46181.841550925928</v>
      </c>
      <c r="Q70" s="35" t="s">
        <v>63</v>
      </c>
      <c r="R70" s="95"/>
      <c r="S70" s="42"/>
    </row>
    <row r="71" spans="1:19" s="5" customFormat="1">
      <c r="A71" s="84"/>
      <c r="B71" s="89"/>
      <c r="C71" s="93"/>
      <c r="D71" s="34"/>
      <c r="E7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71" s="35"/>
      <c r="G71" s="36" t="b">
        <v>0</v>
      </c>
      <c r="H71" s="36" t="b">
        <v>0</v>
      </c>
      <c r="I71" s="36" t="b">
        <v>0</v>
      </c>
      <c r="J71" s="36" t="b">
        <v>0</v>
      </c>
      <c r="K71" s="36" t="b">
        <v>0</v>
      </c>
      <c r="L71" s="34"/>
      <c r="M71" s="34"/>
      <c r="N71" s="34"/>
      <c r="O71" s="34"/>
      <c r="P71" s="54">
        <v>46181.841550925928</v>
      </c>
      <c r="Q71" s="35" t="s">
        <v>63</v>
      </c>
      <c r="R71" s="95"/>
      <c r="S71" s="42"/>
    </row>
    <row r="72" spans="1:19" s="5" customFormat="1">
      <c r="A72" s="84"/>
      <c r="B72" s="89"/>
      <c r="C72" s="93"/>
      <c r="D72" s="34"/>
      <c r="E7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72" s="35"/>
      <c r="G72" s="36" t="b">
        <v>0</v>
      </c>
      <c r="H72" s="36" t="b">
        <v>0</v>
      </c>
      <c r="I72" s="36" t="b">
        <v>0</v>
      </c>
      <c r="J72" s="36" t="b">
        <v>0</v>
      </c>
      <c r="K72" s="36" t="b">
        <v>0</v>
      </c>
      <c r="L72" s="34"/>
      <c r="M72" s="34"/>
      <c r="N72" s="34"/>
      <c r="O72" s="34"/>
      <c r="P72" s="54">
        <v>46181.841550925928</v>
      </c>
      <c r="Q72" s="35" t="s">
        <v>63</v>
      </c>
      <c r="R72" s="95"/>
      <c r="S72" s="42"/>
    </row>
    <row r="73" spans="1:19" s="5" customFormat="1">
      <c r="A73" s="84"/>
      <c r="B73" s="89"/>
      <c r="C73" s="93"/>
      <c r="D73" s="34"/>
      <c r="E7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73" s="35"/>
      <c r="G73" s="36" t="b">
        <v>0</v>
      </c>
      <c r="H73" s="36" t="b">
        <v>0</v>
      </c>
      <c r="I73" s="36" t="b">
        <v>0</v>
      </c>
      <c r="J73" s="36" t="b">
        <v>0</v>
      </c>
      <c r="K73" s="36" t="b">
        <v>0</v>
      </c>
      <c r="L73" s="34"/>
      <c r="M73" s="34"/>
      <c r="N73" s="34"/>
      <c r="O73" s="34"/>
      <c r="P73" s="54">
        <v>46181.841550925928</v>
      </c>
      <c r="Q73" s="35" t="s">
        <v>63</v>
      </c>
      <c r="R73" s="95"/>
      <c r="S73" s="42"/>
    </row>
    <row r="74" spans="1:19" s="5" customFormat="1">
      <c r="A74" s="84"/>
      <c r="B74" s="89"/>
      <c r="C74" s="93"/>
      <c r="D74" s="34"/>
      <c r="E7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74" s="35"/>
      <c r="G74" s="36" t="b">
        <v>0</v>
      </c>
      <c r="H74" s="36" t="b">
        <v>0</v>
      </c>
      <c r="I74" s="36" t="b">
        <v>0</v>
      </c>
      <c r="J74" s="36" t="b">
        <v>0</v>
      </c>
      <c r="K74" s="36" t="b">
        <v>0</v>
      </c>
      <c r="L74" s="34"/>
      <c r="M74" s="34"/>
      <c r="N74" s="34"/>
      <c r="O74" s="34"/>
      <c r="P74" s="54">
        <v>46181.841550925928</v>
      </c>
      <c r="Q74" s="35" t="s">
        <v>63</v>
      </c>
      <c r="R74" s="95"/>
      <c r="S74" s="42"/>
    </row>
    <row r="75" spans="1:19" s="5" customFormat="1">
      <c r="A75" s="84"/>
      <c r="B75" s="89"/>
      <c r="C75" s="93"/>
      <c r="D75" s="34"/>
      <c r="E7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75" s="35"/>
      <c r="G75" s="36" t="b">
        <v>0</v>
      </c>
      <c r="H75" s="36" t="b">
        <v>0</v>
      </c>
      <c r="I75" s="36" t="b">
        <v>0</v>
      </c>
      <c r="J75" s="36" t="b">
        <v>0</v>
      </c>
      <c r="K75" s="36" t="b">
        <v>0</v>
      </c>
      <c r="L75" s="34"/>
      <c r="M75" s="34"/>
      <c r="N75" s="34"/>
      <c r="O75" s="34"/>
      <c r="P75" s="54">
        <v>46181.841562499998</v>
      </c>
      <c r="Q75" s="35" t="s">
        <v>63</v>
      </c>
      <c r="R75" s="95"/>
      <c r="S75" s="42"/>
    </row>
    <row r="76" spans="1:19" s="5" customFormat="1">
      <c r="A76" s="84"/>
      <c r="B76" s="89"/>
      <c r="C76" s="93"/>
      <c r="D76" s="34"/>
      <c r="E7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76" s="35"/>
      <c r="G76" s="36" t="b">
        <v>0</v>
      </c>
      <c r="H76" s="36" t="b">
        <v>0</v>
      </c>
      <c r="I76" s="36" t="b">
        <v>0</v>
      </c>
      <c r="J76" s="36" t="b">
        <v>0</v>
      </c>
      <c r="K76" s="36" t="b">
        <v>0</v>
      </c>
      <c r="L76" s="34"/>
      <c r="M76" s="34"/>
      <c r="N76" s="34"/>
      <c r="O76" s="34"/>
      <c r="P76" s="54">
        <v>46181.841562499998</v>
      </c>
      <c r="Q76" s="35" t="s">
        <v>63</v>
      </c>
      <c r="R76" s="95"/>
      <c r="S76" s="42"/>
    </row>
    <row r="77" spans="1:19" s="5" customFormat="1">
      <c r="A77" s="84"/>
      <c r="B77" s="89"/>
      <c r="C77" s="93"/>
      <c r="D77" s="34"/>
      <c r="E7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77" s="35"/>
      <c r="G77" s="36" t="b">
        <v>0</v>
      </c>
      <c r="H77" s="36" t="b">
        <v>0</v>
      </c>
      <c r="I77" s="36" t="b">
        <v>0</v>
      </c>
      <c r="J77" s="36" t="b">
        <v>0</v>
      </c>
      <c r="K77" s="36" t="b">
        <v>0</v>
      </c>
      <c r="L77" s="34"/>
      <c r="M77" s="34"/>
      <c r="N77" s="34"/>
      <c r="O77" s="34"/>
      <c r="P77" s="54">
        <v>46181.841562499998</v>
      </c>
      <c r="Q77" s="35" t="s">
        <v>63</v>
      </c>
      <c r="R77" s="95"/>
      <c r="S77" s="42"/>
    </row>
    <row r="78" spans="1:19" s="5" customFormat="1">
      <c r="A78" s="84"/>
      <c r="B78" s="89"/>
      <c r="C78" s="93"/>
      <c r="D78" s="34"/>
      <c r="E7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78" s="35"/>
      <c r="G78" s="36" t="b">
        <v>0</v>
      </c>
      <c r="H78" s="36" t="b">
        <v>0</v>
      </c>
      <c r="I78" s="36" t="b">
        <v>0</v>
      </c>
      <c r="J78" s="36" t="b">
        <v>0</v>
      </c>
      <c r="K78" s="36" t="b">
        <v>0</v>
      </c>
      <c r="L78" s="34"/>
      <c r="M78" s="34"/>
      <c r="N78" s="34"/>
      <c r="O78" s="34"/>
      <c r="P78" s="54">
        <v>46181.841562499998</v>
      </c>
      <c r="Q78" s="35" t="s">
        <v>63</v>
      </c>
      <c r="R78" s="95"/>
      <c r="S78" s="42"/>
    </row>
    <row r="79" spans="1:19" s="5" customFormat="1">
      <c r="A79" s="84"/>
      <c r="B79" s="89"/>
      <c r="C79" s="93"/>
      <c r="D79" s="34"/>
      <c r="E7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79" s="35"/>
      <c r="G79" s="36" t="b">
        <v>0</v>
      </c>
      <c r="H79" s="36" t="b">
        <v>0</v>
      </c>
      <c r="I79" s="36" t="b">
        <v>0</v>
      </c>
      <c r="J79" s="36" t="b">
        <v>0</v>
      </c>
      <c r="K79" s="36" t="b">
        <v>0</v>
      </c>
      <c r="L79" s="34"/>
      <c r="M79" s="34"/>
      <c r="N79" s="34"/>
      <c r="O79" s="34"/>
      <c r="P79" s="54">
        <v>46181.841562499998</v>
      </c>
      <c r="Q79" s="35" t="s">
        <v>63</v>
      </c>
      <c r="R79" s="95"/>
      <c r="S79" s="42"/>
    </row>
    <row r="80" spans="1:19" s="5" customFormat="1">
      <c r="A80" s="84"/>
      <c r="B80" s="89"/>
      <c r="C80" s="93"/>
      <c r="D80" s="34"/>
      <c r="E8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80" s="35"/>
      <c r="G80" s="36" t="b">
        <v>0</v>
      </c>
      <c r="H80" s="36" t="b">
        <v>0</v>
      </c>
      <c r="I80" s="36" t="b">
        <v>0</v>
      </c>
      <c r="J80" s="36" t="b">
        <v>0</v>
      </c>
      <c r="K80" s="36" t="b">
        <v>0</v>
      </c>
      <c r="L80" s="34"/>
      <c r="M80" s="34"/>
      <c r="N80" s="34"/>
      <c r="O80" s="34"/>
      <c r="P80" s="54">
        <v>46181.841562499998</v>
      </c>
      <c r="Q80" s="35" t="s">
        <v>63</v>
      </c>
      <c r="R80" s="95"/>
      <c r="S80" s="42"/>
    </row>
    <row r="81" spans="1:19" s="5" customFormat="1">
      <c r="A81" s="84"/>
      <c r="B81" s="89"/>
      <c r="C81" s="93"/>
      <c r="D81" s="34"/>
      <c r="E8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81" s="35"/>
      <c r="G81" s="36" t="b">
        <v>0</v>
      </c>
      <c r="H81" s="36" t="b">
        <v>0</v>
      </c>
      <c r="I81" s="36" t="b">
        <v>0</v>
      </c>
      <c r="J81" s="36" t="b">
        <v>0</v>
      </c>
      <c r="K81" s="36" t="b">
        <v>0</v>
      </c>
      <c r="L81" s="34"/>
      <c r="M81" s="34"/>
      <c r="N81" s="34"/>
      <c r="O81" s="34"/>
      <c r="P81" s="54">
        <v>46181.841562499998</v>
      </c>
      <c r="Q81" s="35" t="s">
        <v>63</v>
      </c>
      <c r="R81" s="95"/>
      <c r="S81" s="42"/>
    </row>
    <row r="82" spans="1:19" s="5" customFormat="1">
      <c r="A82" s="84"/>
      <c r="B82" s="89"/>
      <c r="C82" s="93"/>
      <c r="D82" s="34"/>
      <c r="E8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82" s="35"/>
      <c r="G82" s="36" t="b">
        <v>0</v>
      </c>
      <c r="H82" s="36" t="b">
        <v>0</v>
      </c>
      <c r="I82" s="36" t="b">
        <v>0</v>
      </c>
      <c r="J82" s="36" t="b">
        <v>0</v>
      </c>
      <c r="K82" s="36" t="b">
        <v>0</v>
      </c>
      <c r="L82" s="34"/>
      <c r="M82" s="34"/>
      <c r="N82" s="34"/>
      <c r="O82" s="34"/>
      <c r="P82" s="54">
        <v>46181.841562499998</v>
      </c>
      <c r="Q82" s="35" t="s">
        <v>63</v>
      </c>
      <c r="R82" s="95"/>
      <c r="S82" s="42"/>
    </row>
    <row r="83" spans="1:19" s="5" customFormat="1">
      <c r="A83" s="84"/>
      <c r="B83" s="89"/>
      <c r="C83" s="93"/>
      <c r="D83" s="34"/>
      <c r="E8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83" s="35"/>
      <c r="G83" s="36" t="b">
        <v>0</v>
      </c>
      <c r="H83" s="36" t="b">
        <v>0</v>
      </c>
      <c r="I83" s="36" t="b">
        <v>0</v>
      </c>
      <c r="J83" s="36" t="b">
        <v>0</v>
      </c>
      <c r="K83" s="36" t="b">
        <v>0</v>
      </c>
      <c r="L83" s="34"/>
      <c r="M83" s="34"/>
      <c r="N83" s="34"/>
      <c r="O83" s="34"/>
      <c r="P83" s="54">
        <v>46181.841562499998</v>
      </c>
      <c r="Q83" s="35" t="s">
        <v>63</v>
      </c>
      <c r="R83" s="95"/>
      <c r="S83" s="42"/>
    </row>
    <row r="84" spans="1:19" s="5" customFormat="1">
      <c r="A84" s="84"/>
      <c r="B84" s="89"/>
      <c r="C84" s="93"/>
      <c r="D84" s="34"/>
      <c r="E8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84" s="35"/>
      <c r="G84" s="36" t="b">
        <v>0</v>
      </c>
      <c r="H84" s="36" t="b">
        <v>0</v>
      </c>
      <c r="I84" s="36" t="b">
        <v>0</v>
      </c>
      <c r="J84" s="36" t="b">
        <v>0</v>
      </c>
      <c r="K84" s="36" t="b">
        <v>0</v>
      </c>
      <c r="L84" s="34"/>
      <c r="M84" s="34"/>
      <c r="N84" s="34"/>
      <c r="O84" s="34"/>
      <c r="P84" s="54">
        <v>46181.841562499998</v>
      </c>
      <c r="Q84" s="35" t="s">
        <v>63</v>
      </c>
      <c r="R84" s="95"/>
      <c r="S84" s="42"/>
    </row>
    <row r="85" spans="1:19" s="5" customFormat="1">
      <c r="A85" s="84"/>
      <c r="B85" s="89"/>
      <c r="C85" s="93"/>
      <c r="D85" s="34"/>
      <c r="E8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85" s="35"/>
      <c r="G85" s="36" t="b">
        <v>0</v>
      </c>
      <c r="H85" s="36" t="b">
        <v>0</v>
      </c>
      <c r="I85" s="36" t="b">
        <v>0</v>
      </c>
      <c r="J85" s="36" t="b">
        <v>0</v>
      </c>
      <c r="K85" s="36" t="b">
        <v>0</v>
      </c>
      <c r="L85" s="34"/>
      <c r="M85" s="34"/>
      <c r="N85" s="34"/>
      <c r="O85" s="34"/>
      <c r="P85" s="54">
        <v>46181.841562499998</v>
      </c>
      <c r="Q85" s="35" t="s">
        <v>63</v>
      </c>
      <c r="R85" s="95"/>
      <c r="S85" s="42"/>
    </row>
    <row r="86" spans="1:19" s="5" customFormat="1">
      <c r="A86" s="84"/>
      <c r="B86" s="89"/>
      <c r="C86" s="93"/>
      <c r="D86" s="34"/>
      <c r="E8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86" s="35"/>
      <c r="G86" s="36" t="b">
        <v>0</v>
      </c>
      <c r="H86" s="36" t="b">
        <v>0</v>
      </c>
      <c r="I86" s="36" t="b">
        <v>0</v>
      </c>
      <c r="J86" s="36" t="b">
        <v>0</v>
      </c>
      <c r="K86" s="36" t="b">
        <v>0</v>
      </c>
      <c r="L86" s="34"/>
      <c r="M86" s="34"/>
      <c r="N86" s="34"/>
      <c r="O86" s="34"/>
      <c r="P86" s="54">
        <v>46181.841562499998</v>
      </c>
      <c r="Q86" s="35" t="s">
        <v>63</v>
      </c>
      <c r="R86" s="95"/>
      <c r="S86" s="42"/>
    </row>
    <row r="87" spans="1:19" s="5" customFormat="1">
      <c r="A87" s="84"/>
      <c r="B87" s="89"/>
      <c r="C87" s="93"/>
      <c r="D87" s="34"/>
      <c r="E8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87" s="35"/>
      <c r="G87" s="36" t="b">
        <v>0</v>
      </c>
      <c r="H87" s="36" t="b">
        <v>0</v>
      </c>
      <c r="I87" s="36" t="b">
        <v>0</v>
      </c>
      <c r="J87" s="36" t="b">
        <v>0</v>
      </c>
      <c r="K87" s="36" t="b">
        <v>0</v>
      </c>
      <c r="L87" s="34"/>
      <c r="M87" s="34"/>
      <c r="N87" s="34"/>
      <c r="O87" s="34"/>
      <c r="P87" s="54">
        <v>46181.841562499998</v>
      </c>
      <c r="Q87" s="35" t="s">
        <v>63</v>
      </c>
      <c r="R87" s="95"/>
      <c r="S87" s="42"/>
    </row>
    <row r="88" spans="1:19" s="5" customFormat="1">
      <c r="A88" s="84"/>
      <c r="B88" s="89"/>
      <c r="C88" s="93"/>
      <c r="D88" s="34"/>
      <c r="E8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88" s="35"/>
      <c r="G88" s="36" t="b">
        <v>0</v>
      </c>
      <c r="H88" s="36" t="b">
        <v>0</v>
      </c>
      <c r="I88" s="36" t="b">
        <v>0</v>
      </c>
      <c r="J88" s="36" t="b">
        <v>0</v>
      </c>
      <c r="K88" s="36" t="b">
        <v>0</v>
      </c>
      <c r="L88" s="34"/>
      <c r="M88" s="34"/>
      <c r="N88" s="34"/>
      <c r="O88" s="34"/>
      <c r="P88" s="54">
        <v>46181.841562499998</v>
      </c>
      <c r="Q88" s="35" t="s">
        <v>63</v>
      </c>
      <c r="R88" s="95"/>
      <c r="S88" s="42"/>
    </row>
    <row r="89" spans="1:19" s="5" customFormat="1">
      <c r="A89" s="84"/>
      <c r="B89" s="89"/>
      <c r="C89" s="93"/>
      <c r="D89" s="34"/>
      <c r="E8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89" s="35"/>
      <c r="G89" s="36" t="b">
        <v>0</v>
      </c>
      <c r="H89" s="36" t="b">
        <v>0</v>
      </c>
      <c r="I89" s="36" t="b">
        <v>0</v>
      </c>
      <c r="J89" s="36" t="b">
        <v>0</v>
      </c>
      <c r="K89" s="36" t="b">
        <v>0</v>
      </c>
      <c r="L89" s="34"/>
      <c r="M89" s="34"/>
      <c r="N89" s="34"/>
      <c r="O89" s="34"/>
      <c r="P89" s="54">
        <v>46181.841562499998</v>
      </c>
      <c r="Q89" s="35" t="s">
        <v>63</v>
      </c>
      <c r="R89" s="95"/>
      <c r="S89" s="42"/>
    </row>
    <row r="90" spans="1:19" s="5" customFormat="1">
      <c r="A90" s="84"/>
      <c r="B90" s="89"/>
      <c r="C90" s="93"/>
      <c r="D90" s="34"/>
      <c r="E9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90" s="35"/>
      <c r="G90" s="36" t="b">
        <v>0</v>
      </c>
      <c r="H90" s="36" t="b">
        <v>0</v>
      </c>
      <c r="I90" s="36" t="b">
        <v>0</v>
      </c>
      <c r="J90" s="36" t="b">
        <v>0</v>
      </c>
      <c r="K90" s="36" t="b">
        <v>0</v>
      </c>
      <c r="L90" s="34"/>
      <c r="M90" s="34"/>
      <c r="N90" s="34"/>
      <c r="O90" s="34"/>
      <c r="P90" s="54">
        <v>46181.841562499998</v>
      </c>
      <c r="Q90" s="35" t="s">
        <v>63</v>
      </c>
      <c r="R90" s="95"/>
      <c r="S90" s="42"/>
    </row>
    <row r="91" spans="1:19" s="5" customFormat="1">
      <c r="A91" s="84"/>
      <c r="B91" s="89"/>
      <c r="C91" s="93"/>
      <c r="D91" s="34"/>
      <c r="E9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91" s="35"/>
      <c r="G91" s="36" t="b">
        <v>0</v>
      </c>
      <c r="H91" s="36" t="b">
        <v>0</v>
      </c>
      <c r="I91" s="36" t="b">
        <v>0</v>
      </c>
      <c r="J91" s="36" t="b">
        <v>0</v>
      </c>
      <c r="K91" s="36" t="b">
        <v>0</v>
      </c>
      <c r="L91" s="34"/>
      <c r="M91" s="34"/>
      <c r="N91" s="34"/>
      <c r="O91" s="34"/>
      <c r="P91" s="54">
        <v>46181.841562499998</v>
      </c>
      <c r="Q91" s="35" t="s">
        <v>63</v>
      </c>
      <c r="R91" s="95"/>
      <c r="S91" s="42"/>
    </row>
    <row r="92" spans="1:19" s="5" customFormat="1">
      <c r="A92" s="84"/>
      <c r="B92" s="89"/>
      <c r="C92" s="93"/>
      <c r="D92" s="34"/>
      <c r="E9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92" s="35"/>
      <c r="G92" s="36" t="b">
        <v>0</v>
      </c>
      <c r="H92" s="36" t="b">
        <v>0</v>
      </c>
      <c r="I92" s="36" t="b">
        <v>0</v>
      </c>
      <c r="J92" s="36" t="b">
        <v>0</v>
      </c>
      <c r="K92" s="36" t="b">
        <v>0</v>
      </c>
      <c r="L92" s="34"/>
      <c r="M92" s="34"/>
      <c r="N92" s="34"/>
      <c r="O92" s="34"/>
      <c r="P92" s="54">
        <v>46181.841574074075</v>
      </c>
      <c r="Q92" s="35" t="s">
        <v>63</v>
      </c>
      <c r="R92" s="95"/>
      <c r="S92" s="42"/>
    </row>
    <row r="93" spans="1:19" s="5" customFormat="1">
      <c r="A93" s="84"/>
      <c r="B93" s="89"/>
      <c r="C93" s="93"/>
      <c r="D93" s="34"/>
      <c r="E9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93" s="35"/>
      <c r="G93" s="36" t="b">
        <v>0</v>
      </c>
      <c r="H93" s="36" t="b">
        <v>0</v>
      </c>
      <c r="I93" s="36" t="b">
        <v>0</v>
      </c>
      <c r="J93" s="36" t="b">
        <v>0</v>
      </c>
      <c r="K93" s="36" t="b">
        <v>0</v>
      </c>
      <c r="L93" s="34"/>
      <c r="M93" s="34"/>
      <c r="N93" s="34"/>
      <c r="O93" s="34"/>
      <c r="P93" s="54">
        <v>46181.841574074075</v>
      </c>
      <c r="Q93" s="35" t="s">
        <v>63</v>
      </c>
      <c r="R93" s="95"/>
      <c r="S93" s="42"/>
    </row>
    <row r="94" spans="1:19" s="5" customFormat="1">
      <c r="A94" s="84"/>
      <c r="B94" s="89"/>
      <c r="C94" s="93"/>
      <c r="D94" s="34"/>
      <c r="E9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94" s="35"/>
      <c r="G94" s="36" t="b">
        <v>0</v>
      </c>
      <c r="H94" s="36" t="b">
        <v>0</v>
      </c>
      <c r="I94" s="36" t="b">
        <v>0</v>
      </c>
      <c r="J94" s="36" t="b">
        <v>0</v>
      </c>
      <c r="K94" s="36" t="b">
        <v>0</v>
      </c>
      <c r="L94" s="34"/>
      <c r="M94" s="34"/>
      <c r="N94" s="34"/>
      <c r="O94" s="34"/>
      <c r="P94" s="54">
        <v>46181.841574074075</v>
      </c>
      <c r="Q94" s="35" t="s">
        <v>63</v>
      </c>
      <c r="R94" s="95"/>
      <c r="S94" s="42"/>
    </row>
    <row r="95" spans="1:19" s="5" customFormat="1">
      <c r="A95" s="84"/>
      <c r="B95" s="89"/>
      <c r="C95" s="93"/>
      <c r="D95" s="34"/>
      <c r="E9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95" s="35"/>
      <c r="G95" s="36" t="b">
        <v>0</v>
      </c>
      <c r="H95" s="36" t="b">
        <v>0</v>
      </c>
      <c r="I95" s="36" t="b">
        <v>0</v>
      </c>
      <c r="J95" s="36" t="b">
        <v>0</v>
      </c>
      <c r="K95" s="36" t="b">
        <v>0</v>
      </c>
      <c r="L95" s="34"/>
      <c r="M95" s="34"/>
      <c r="N95" s="34"/>
      <c r="O95" s="34"/>
      <c r="P95" s="54">
        <v>46181.841574074075</v>
      </c>
      <c r="Q95" s="35" t="s">
        <v>63</v>
      </c>
      <c r="R95" s="95"/>
      <c r="S95" s="42"/>
    </row>
    <row r="96" spans="1:19" s="5" customFormat="1">
      <c r="A96" s="84"/>
      <c r="B96" s="89"/>
      <c r="C96" s="93"/>
      <c r="D96" s="34"/>
      <c r="E9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96" s="35"/>
      <c r="G96" s="36" t="b">
        <v>0</v>
      </c>
      <c r="H96" s="36" t="b">
        <v>0</v>
      </c>
      <c r="I96" s="36" t="b">
        <v>0</v>
      </c>
      <c r="J96" s="36" t="b">
        <v>0</v>
      </c>
      <c r="K96" s="36" t="b">
        <v>0</v>
      </c>
      <c r="L96" s="34"/>
      <c r="M96" s="34"/>
      <c r="N96" s="34"/>
      <c r="O96" s="34"/>
      <c r="P96" s="54">
        <v>46181.841574074075</v>
      </c>
      <c r="Q96" s="35" t="s">
        <v>63</v>
      </c>
      <c r="R96" s="95"/>
      <c r="S96" s="42"/>
    </row>
    <row r="97" spans="1:19" s="5" customFormat="1">
      <c r="A97" s="84"/>
      <c r="B97" s="89"/>
      <c r="C97" s="93"/>
      <c r="D97" s="34"/>
      <c r="E9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97" s="35"/>
      <c r="G97" s="36" t="b">
        <v>0</v>
      </c>
      <c r="H97" s="36" t="b">
        <v>0</v>
      </c>
      <c r="I97" s="36" t="b">
        <v>0</v>
      </c>
      <c r="J97" s="36" t="b">
        <v>0</v>
      </c>
      <c r="K97" s="36" t="b">
        <v>0</v>
      </c>
      <c r="L97" s="34"/>
      <c r="M97" s="34"/>
      <c r="N97" s="34"/>
      <c r="O97" s="34"/>
      <c r="P97" s="54">
        <v>46181.841574074075</v>
      </c>
      <c r="Q97" s="35" t="s">
        <v>63</v>
      </c>
      <c r="R97" s="95"/>
      <c r="S97" s="42"/>
    </row>
    <row r="98" spans="1:19" s="5" customFormat="1">
      <c r="A98" s="84"/>
      <c r="B98" s="89"/>
      <c r="C98" s="93"/>
      <c r="D98" s="34"/>
      <c r="E9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98" s="35"/>
      <c r="G98" s="36" t="b">
        <v>0</v>
      </c>
      <c r="H98" s="36" t="b">
        <v>0</v>
      </c>
      <c r="I98" s="36" t="b">
        <v>0</v>
      </c>
      <c r="J98" s="36" t="b">
        <v>0</v>
      </c>
      <c r="K98" s="36" t="b">
        <v>0</v>
      </c>
      <c r="L98" s="34"/>
      <c r="M98" s="34"/>
      <c r="N98" s="34"/>
      <c r="O98" s="34"/>
      <c r="P98" s="54">
        <v>46181.841574074075</v>
      </c>
      <c r="Q98" s="35" t="s">
        <v>63</v>
      </c>
      <c r="R98" s="95"/>
      <c r="S98" s="42"/>
    </row>
    <row r="99" spans="1:19" s="5" customFormat="1">
      <c r="A99" s="84"/>
      <c r="B99" s="89"/>
      <c r="C99" s="93"/>
      <c r="D99" s="34"/>
      <c r="E9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99" s="35"/>
      <c r="G99" s="36" t="b">
        <v>0</v>
      </c>
      <c r="H99" s="36" t="b">
        <v>0</v>
      </c>
      <c r="I99" s="36" t="b">
        <v>0</v>
      </c>
      <c r="J99" s="36" t="b">
        <v>0</v>
      </c>
      <c r="K99" s="36" t="b">
        <v>0</v>
      </c>
      <c r="L99" s="34"/>
      <c r="M99" s="34"/>
      <c r="N99" s="34"/>
      <c r="O99" s="34"/>
      <c r="P99" s="54">
        <v>46181.841574074075</v>
      </c>
      <c r="Q99" s="35" t="s">
        <v>63</v>
      </c>
      <c r="R99" s="95"/>
      <c r="S99" s="42"/>
    </row>
    <row r="100" spans="1:19" s="5" customFormat="1">
      <c r="A100" s="84"/>
      <c r="B100" s="89"/>
      <c r="C100" s="93"/>
      <c r="D100" s="34"/>
      <c r="E10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00" s="35"/>
      <c r="G100" s="36" t="b">
        <v>0</v>
      </c>
      <c r="H100" s="36" t="b">
        <v>0</v>
      </c>
      <c r="I100" s="36" t="b">
        <v>0</v>
      </c>
      <c r="J100" s="36" t="b">
        <v>0</v>
      </c>
      <c r="K100" s="36" t="b">
        <v>0</v>
      </c>
      <c r="L100" s="34"/>
      <c r="M100" s="34"/>
      <c r="N100" s="34"/>
      <c r="O100" s="34"/>
      <c r="P100" s="54">
        <v>46181.841574074075</v>
      </c>
      <c r="Q100" s="35" t="s">
        <v>63</v>
      </c>
      <c r="R100" s="95"/>
      <c r="S100" s="42"/>
    </row>
    <row r="101" spans="1:19" s="5" customFormat="1">
      <c r="A101" s="84"/>
      <c r="B101" s="89"/>
      <c r="C101" s="93"/>
      <c r="D101" s="34"/>
      <c r="E10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01" s="35"/>
      <c r="G101" s="36" t="b">
        <v>0</v>
      </c>
      <c r="H101" s="36" t="b">
        <v>0</v>
      </c>
      <c r="I101" s="36" t="b">
        <v>0</v>
      </c>
      <c r="J101" s="36" t="b">
        <v>0</v>
      </c>
      <c r="K101" s="36" t="b">
        <v>0</v>
      </c>
      <c r="L101" s="34"/>
      <c r="M101" s="34"/>
      <c r="N101" s="34"/>
      <c r="O101" s="34"/>
      <c r="P101" s="54">
        <v>46181.841574074075</v>
      </c>
      <c r="Q101" s="35" t="s">
        <v>63</v>
      </c>
      <c r="R101" s="95"/>
      <c r="S101" s="42"/>
    </row>
    <row r="102" spans="1:19" s="5" customFormat="1">
      <c r="A102" s="84"/>
      <c r="B102" s="89"/>
      <c r="C102" s="93"/>
      <c r="D102" s="34"/>
      <c r="E10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02" s="35"/>
      <c r="G102" s="36" t="b">
        <v>0</v>
      </c>
      <c r="H102" s="36" t="b">
        <v>0</v>
      </c>
      <c r="I102" s="36" t="b">
        <v>0</v>
      </c>
      <c r="J102" s="36" t="b">
        <v>0</v>
      </c>
      <c r="K102" s="36" t="b">
        <v>0</v>
      </c>
      <c r="L102" s="34"/>
      <c r="M102" s="34"/>
      <c r="N102" s="34"/>
      <c r="O102" s="34"/>
      <c r="P102" s="54">
        <v>46181.841574074075</v>
      </c>
      <c r="Q102" s="35" t="s">
        <v>63</v>
      </c>
      <c r="R102" s="95"/>
      <c r="S102" s="42"/>
    </row>
    <row r="103" spans="1:19" s="5" customFormat="1">
      <c r="A103" s="84"/>
      <c r="B103" s="89"/>
      <c r="C103" s="93"/>
      <c r="D103" s="34"/>
      <c r="E10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03" s="35"/>
      <c r="G103" s="36" t="b">
        <v>0</v>
      </c>
      <c r="H103" s="36" t="b">
        <v>0</v>
      </c>
      <c r="I103" s="36" t="b">
        <v>0</v>
      </c>
      <c r="J103" s="36" t="b">
        <v>0</v>
      </c>
      <c r="K103" s="36" t="b">
        <v>0</v>
      </c>
      <c r="L103" s="34"/>
      <c r="M103" s="34"/>
      <c r="N103" s="34"/>
      <c r="O103" s="34"/>
      <c r="P103" s="54">
        <v>46181.841574074075</v>
      </c>
      <c r="Q103" s="35" t="s">
        <v>63</v>
      </c>
      <c r="R103" s="95"/>
      <c r="S103" s="42"/>
    </row>
    <row r="104" spans="1:19" s="5" customFormat="1">
      <c r="A104" s="84"/>
      <c r="B104" s="89"/>
      <c r="C104" s="93"/>
      <c r="D104" s="34"/>
      <c r="E10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04" s="35"/>
      <c r="G104" s="36" t="b">
        <v>0</v>
      </c>
      <c r="H104" s="36" t="b">
        <v>0</v>
      </c>
      <c r="I104" s="36" t="b">
        <v>0</v>
      </c>
      <c r="J104" s="36" t="b">
        <v>0</v>
      </c>
      <c r="K104" s="36" t="b">
        <v>0</v>
      </c>
      <c r="L104" s="34"/>
      <c r="M104" s="34"/>
      <c r="N104" s="34"/>
      <c r="O104" s="34"/>
      <c r="P104" s="54">
        <v>46181.841574074075</v>
      </c>
      <c r="Q104" s="35" t="s">
        <v>63</v>
      </c>
      <c r="R104" s="95"/>
      <c r="S104" s="42"/>
    </row>
    <row r="105" spans="1:19" s="5" customFormat="1">
      <c r="A105" s="84"/>
      <c r="B105" s="89"/>
      <c r="C105" s="93"/>
      <c r="D105" s="34"/>
      <c r="E10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05" s="35"/>
      <c r="G105" s="36" t="b">
        <v>0</v>
      </c>
      <c r="H105" s="36" t="b">
        <v>0</v>
      </c>
      <c r="I105" s="36" t="b">
        <v>0</v>
      </c>
      <c r="J105" s="36" t="b">
        <v>0</v>
      </c>
      <c r="K105" s="36" t="b">
        <v>0</v>
      </c>
      <c r="L105" s="34"/>
      <c r="M105" s="34"/>
      <c r="N105" s="34"/>
      <c r="O105" s="34"/>
      <c r="P105" s="54">
        <v>46181.841574074075</v>
      </c>
      <c r="Q105" s="35" t="s">
        <v>63</v>
      </c>
      <c r="R105" s="95"/>
      <c r="S105" s="42"/>
    </row>
    <row r="106" spans="1:19" s="5" customFormat="1">
      <c r="A106" s="84"/>
      <c r="B106" s="89"/>
      <c r="C106" s="93"/>
      <c r="D106" s="34"/>
      <c r="E10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06" s="35"/>
      <c r="G106" s="36" t="b">
        <v>0</v>
      </c>
      <c r="H106" s="36" t="b">
        <v>0</v>
      </c>
      <c r="I106" s="36" t="b">
        <v>0</v>
      </c>
      <c r="J106" s="36" t="b">
        <v>0</v>
      </c>
      <c r="K106" s="36" t="b">
        <v>0</v>
      </c>
      <c r="L106" s="34"/>
      <c r="M106" s="34"/>
      <c r="N106" s="34"/>
      <c r="O106" s="34"/>
      <c r="P106" s="54">
        <v>46181.841574074075</v>
      </c>
      <c r="Q106" s="35" t="s">
        <v>63</v>
      </c>
      <c r="R106" s="95"/>
      <c r="S106" s="42"/>
    </row>
    <row r="107" spans="1:19" s="5" customFormat="1">
      <c r="A107" s="84"/>
      <c r="B107" s="89"/>
      <c r="C107" s="93"/>
      <c r="D107" s="34"/>
      <c r="E10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07" s="35"/>
      <c r="G107" s="36" t="b">
        <v>0</v>
      </c>
      <c r="H107" s="36" t="b">
        <v>0</v>
      </c>
      <c r="I107" s="36" t="b">
        <v>0</v>
      </c>
      <c r="J107" s="36" t="b">
        <v>0</v>
      </c>
      <c r="K107" s="36" t="b">
        <v>0</v>
      </c>
      <c r="L107" s="34"/>
      <c r="M107" s="34"/>
      <c r="N107" s="34"/>
      <c r="O107" s="34"/>
      <c r="P107" s="54">
        <v>46181.841574074075</v>
      </c>
      <c r="Q107" s="35" t="s">
        <v>63</v>
      </c>
      <c r="R107" s="95"/>
      <c r="S107" s="42"/>
    </row>
    <row r="108" spans="1:19" s="5" customFormat="1">
      <c r="A108" s="84"/>
      <c r="B108" s="89"/>
      <c r="C108" s="93"/>
      <c r="D108" s="34"/>
      <c r="E10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08" s="35"/>
      <c r="G108" s="36" t="b">
        <v>0</v>
      </c>
      <c r="H108" s="36" t="b">
        <v>0</v>
      </c>
      <c r="I108" s="36" t="b">
        <v>0</v>
      </c>
      <c r="J108" s="36" t="b">
        <v>0</v>
      </c>
      <c r="K108" s="36" t="b">
        <v>0</v>
      </c>
      <c r="L108" s="34"/>
      <c r="M108" s="34"/>
      <c r="N108" s="34"/>
      <c r="O108" s="34"/>
      <c r="P108" s="54">
        <v>46181.841574074075</v>
      </c>
      <c r="Q108" s="35" t="s">
        <v>63</v>
      </c>
      <c r="R108" s="95"/>
      <c r="S108" s="42"/>
    </row>
    <row r="109" spans="1:19" s="5" customFormat="1">
      <c r="A109" s="84"/>
      <c r="B109" s="89"/>
      <c r="C109" s="93"/>
      <c r="D109" s="34"/>
      <c r="E10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09" s="35"/>
      <c r="G109" s="36" t="b">
        <v>0</v>
      </c>
      <c r="H109" s="36" t="b">
        <v>0</v>
      </c>
      <c r="I109" s="36" t="b">
        <v>0</v>
      </c>
      <c r="J109" s="36" t="b">
        <v>0</v>
      </c>
      <c r="K109" s="36" t="b">
        <v>0</v>
      </c>
      <c r="L109" s="34"/>
      <c r="M109" s="34"/>
      <c r="N109" s="34"/>
      <c r="O109" s="34"/>
      <c r="P109" s="54">
        <v>46181.841585648152</v>
      </c>
      <c r="Q109" s="35" t="s">
        <v>63</v>
      </c>
      <c r="R109" s="95"/>
      <c r="S109" s="42"/>
    </row>
    <row r="110" spans="1:19" s="5" customFormat="1">
      <c r="A110" s="84"/>
      <c r="B110" s="89"/>
      <c r="C110" s="93"/>
      <c r="D110" s="34"/>
      <c r="E11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10" s="35"/>
      <c r="G110" s="36" t="b">
        <v>0</v>
      </c>
      <c r="H110" s="36" t="b">
        <v>0</v>
      </c>
      <c r="I110" s="36" t="b">
        <v>0</v>
      </c>
      <c r="J110" s="36" t="b">
        <v>0</v>
      </c>
      <c r="K110" s="36" t="b">
        <v>0</v>
      </c>
      <c r="L110" s="34"/>
      <c r="M110" s="34"/>
      <c r="N110" s="34"/>
      <c r="O110" s="34"/>
      <c r="P110" s="54">
        <v>46181.841585648152</v>
      </c>
      <c r="Q110" s="35" t="s">
        <v>63</v>
      </c>
      <c r="R110" s="95"/>
      <c r="S110" s="42"/>
    </row>
    <row r="111" spans="1:19" s="5" customFormat="1">
      <c r="A111" s="84"/>
      <c r="B111" s="89"/>
      <c r="C111" s="93"/>
      <c r="D111" s="34"/>
      <c r="E11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11" s="35"/>
      <c r="G111" s="36" t="b">
        <v>0</v>
      </c>
      <c r="H111" s="36" t="b">
        <v>0</v>
      </c>
      <c r="I111" s="36" t="b">
        <v>0</v>
      </c>
      <c r="J111" s="36" t="b">
        <v>0</v>
      </c>
      <c r="K111" s="36" t="b">
        <v>0</v>
      </c>
      <c r="L111" s="34"/>
      <c r="M111" s="34"/>
      <c r="N111" s="34"/>
      <c r="O111" s="34"/>
      <c r="P111" s="54">
        <v>46181.841585648152</v>
      </c>
      <c r="Q111" s="35" t="s">
        <v>63</v>
      </c>
      <c r="R111" s="95"/>
      <c r="S111" s="42"/>
    </row>
    <row r="112" spans="1:19" s="5" customFormat="1">
      <c r="A112" s="84"/>
      <c r="B112" s="89"/>
      <c r="C112" s="93"/>
      <c r="D112" s="34"/>
      <c r="E11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12" s="35"/>
      <c r="G112" s="36" t="b">
        <v>0</v>
      </c>
      <c r="H112" s="36" t="b">
        <v>0</v>
      </c>
      <c r="I112" s="36" t="b">
        <v>0</v>
      </c>
      <c r="J112" s="36" t="b">
        <v>0</v>
      </c>
      <c r="K112" s="36" t="b">
        <v>0</v>
      </c>
      <c r="L112" s="34"/>
      <c r="M112" s="34"/>
      <c r="N112" s="34"/>
      <c r="O112" s="34"/>
      <c r="P112" s="54">
        <v>46181.841585648152</v>
      </c>
      <c r="Q112" s="35" t="s">
        <v>63</v>
      </c>
      <c r="R112" s="95"/>
      <c r="S112" s="42"/>
    </row>
    <row r="113" spans="1:19" s="5" customFormat="1">
      <c r="A113" s="84"/>
      <c r="B113" s="89"/>
      <c r="C113" s="93"/>
      <c r="D113" s="34"/>
      <c r="E11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13" s="35"/>
      <c r="G113" s="36" t="b">
        <v>0</v>
      </c>
      <c r="H113" s="36" t="b">
        <v>0</v>
      </c>
      <c r="I113" s="36" t="b">
        <v>0</v>
      </c>
      <c r="J113" s="36" t="b">
        <v>0</v>
      </c>
      <c r="K113" s="36" t="b">
        <v>0</v>
      </c>
      <c r="L113" s="34"/>
      <c r="M113" s="34"/>
      <c r="N113" s="34"/>
      <c r="O113" s="34"/>
      <c r="P113" s="54">
        <v>46181.841585648152</v>
      </c>
      <c r="Q113" s="35" t="s">
        <v>63</v>
      </c>
      <c r="R113" s="95"/>
      <c r="S113" s="42"/>
    </row>
    <row r="114" spans="1:19" s="5" customFormat="1">
      <c r="A114" s="84"/>
      <c r="B114" s="89"/>
      <c r="C114" s="93"/>
      <c r="D114" s="34"/>
      <c r="E11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14" s="35"/>
      <c r="G114" s="36" t="b">
        <v>0</v>
      </c>
      <c r="H114" s="36" t="b">
        <v>0</v>
      </c>
      <c r="I114" s="36" t="b">
        <v>0</v>
      </c>
      <c r="J114" s="36" t="b">
        <v>0</v>
      </c>
      <c r="K114" s="36" t="b">
        <v>0</v>
      </c>
      <c r="L114" s="34"/>
      <c r="M114" s="34"/>
      <c r="N114" s="34"/>
      <c r="O114" s="34"/>
      <c r="P114" s="54">
        <v>46181.841585648152</v>
      </c>
      <c r="Q114" s="35" t="s">
        <v>63</v>
      </c>
      <c r="R114" s="95"/>
      <c r="S114" s="42"/>
    </row>
    <row r="115" spans="1:19" s="5" customFormat="1">
      <c r="A115" s="84"/>
      <c r="B115" s="89"/>
      <c r="C115" s="93"/>
      <c r="D115" s="34"/>
      <c r="E11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15" s="35"/>
      <c r="G115" s="36" t="b">
        <v>0</v>
      </c>
      <c r="H115" s="36" t="b">
        <v>0</v>
      </c>
      <c r="I115" s="36" t="b">
        <v>0</v>
      </c>
      <c r="J115" s="36" t="b">
        <v>0</v>
      </c>
      <c r="K115" s="36" t="b">
        <v>0</v>
      </c>
      <c r="L115" s="34"/>
      <c r="M115" s="34"/>
      <c r="N115" s="34"/>
      <c r="O115" s="34"/>
      <c r="P115" s="54">
        <v>46181.841585648152</v>
      </c>
      <c r="Q115" s="35" t="s">
        <v>63</v>
      </c>
      <c r="R115" s="95"/>
      <c r="S115" s="42"/>
    </row>
    <row r="116" spans="1:19" s="5" customFormat="1">
      <c r="A116" s="84"/>
      <c r="B116" s="89"/>
      <c r="C116" s="93"/>
      <c r="D116" s="34"/>
      <c r="E11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16" s="35"/>
      <c r="G116" s="36" t="b">
        <v>0</v>
      </c>
      <c r="H116" s="36" t="b">
        <v>0</v>
      </c>
      <c r="I116" s="36" t="b">
        <v>0</v>
      </c>
      <c r="J116" s="36" t="b">
        <v>0</v>
      </c>
      <c r="K116" s="36" t="b">
        <v>0</v>
      </c>
      <c r="L116" s="34"/>
      <c r="M116" s="34"/>
      <c r="N116" s="34"/>
      <c r="O116" s="34"/>
      <c r="P116" s="54">
        <v>46181.841585648152</v>
      </c>
      <c r="Q116" s="35" t="s">
        <v>63</v>
      </c>
      <c r="R116" s="95"/>
      <c r="S116" s="42"/>
    </row>
    <row r="117" spans="1:19" s="5" customFormat="1">
      <c r="A117" s="84"/>
      <c r="B117" s="89"/>
      <c r="C117" s="93"/>
      <c r="D117" s="34"/>
      <c r="E11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17" s="35"/>
      <c r="G117" s="36" t="b">
        <v>0</v>
      </c>
      <c r="H117" s="36" t="b">
        <v>0</v>
      </c>
      <c r="I117" s="36" t="b">
        <v>0</v>
      </c>
      <c r="J117" s="36" t="b">
        <v>0</v>
      </c>
      <c r="K117" s="36" t="b">
        <v>0</v>
      </c>
      <c r="L117" s="34"/>
      <c r="M117" s="34"/>
      <c r="N117" s="34"/>
      <c r="O117" s="34"/>
      <c r="P117" s="54">
        <v>46181.841585648152</v>
      </c>
      <c r="Q117" s="35" t="s">
        <v>63</v>
      </c>
      <c r="R117" s="95"/>
      <c r="S117" s="42"/>
    </row>
    <row r="118" spans="1:19" s="5" customFormat="1">
      <c r="A118" s="84"/>
      <c r="B118" s="89"/>
      <c r="C118" s="93"/>
      <c r="D118" s="34"/>
      <c r="E11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18" s="35"/>
      <c r="G118" s="36" t="b">
        <v>0</v>
      </c>
      <c r="H118" s="36" t="b">
        <v>0</v>
      </c>
      <c r="I118" s="36" t="b">
        <v>0</v>
      </c>
      <c r="J118" s="36" t="b">
        <v>0</v>
      </c>
      <c r="K118" s="36" t="b">
        <v>0</v>
      </c>
      <c r="L118" s="34"/>
      <c r="M118" s="34"/>
      <c r="N118" s="34"/>
      <c r="O118" s="34"/>
      <c r="P118" s="54">
        <v>46181.841585648152</v>
      </c>
      <c r="Q118" s="35" t="s">
        <v>63</v>
      </c>
      <c r="R118" s="95"/>
      <c r="S118" s="42"/>
    </row>
    <row r="119" spans="1:19" s="5" customFormat="1">
      <c r="A119" s="84"/>
      <c r="B119" s="89"/>
      <c r="C119" s="93"/>
      <c r="D119" s="34"/>
      <c r="E11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19" s="35"/>
      <c r="G119" s="36" t="b">
        <v>0</v>
      </c>
      <c r="H119" s="36" t="b">
        <v>0</v>
      </c>
      <c r="I119" s="36" t="b">
        <v>0</v>
      </c>
      <c r="J119" s="36" t="b">
        <v>0</v>
      </c>
      <c r="K119" s="36" t="b">
        <v>0</v>
      </c>
      <c r="L119" s="34"/>
      <c r="M119" s="34"/>
      <c r="N119" s="34"/>
      <c r="O119" s="34"/>
      <c r="P119" s="54">
        <v>46181.841585648152</v>
      </c>
      <c r="Q119" s="35" t="s">
        <v>63</v>
      </c>
      <c r="R119" s="95"/>
      <c r="S119" s="42"/>
    </row>
    <row r="120" spans="1:19" s="5" customFormat="1">
      <c r="A120" s="84"/>
      <c r="B120" s="89"/>
      <c r="C120" s="93"/>
      <c r="D120" s="34"/>
      <c r="E12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20" s="35"/>
      <c r="G120" s="36" t="b">
        <v>0</v>
      </c>
      <c r="H120" s="36" t="b">
        <v>0</v>
      </c>
      <c r="I120" s="36" t="b">
        <v>0</v>
      </c>
      <c r="J120" s="36" t="b">
        <v>0</v>
      </c>
      <c r="K120" s="36" t="b">
        <v>0</v>
      </c>
      <c r="L120" s="34"/>
      <c r="M120" s="34"/>
      <c r="N120" s="34"/>
      <c r="O120" s="34"/>
      <c r="P120" s="54">
        <v>46181.841585648152</v>
      </c>
      <c r="Q120" s="35" t="s">
        <v>63</v>
      </c>
      <c r="R120" s="95"/>
      <c r="S120" s="42"/>
    </row>
    <row r="121" spans="1:19" s="5" customFormat="1">
      <c r="A121" s="84"/>
      <c r="B121" s="89"/>
      <c r="C121" s="93"/>
      <c r="D121" s="34"/>
      <c r="E12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21" s="35"/>
      <c r="G121" s="36" t="b">
        <v>0</v>
      </c>
      <c r="H121" s="36" t="b">
        <v>0</v>
      </c>
      <c r="I121" s="36" t="b">
        <v>0</v>
      </c>
      <c r="J121" s="36" t="b">
        <v>0</v>
      </c>
      <c r="K121" s="36" t="b">
        <v>0</v>
      </c>
      <c r="L121" s="34"/>
      <c r="M121" s="34"/>
      <c r="N121" s="34"/>
      <c r="O121" s="34"/>
      <c r="P121" s="54">
        <v>46181.841585648152</v>
      </c>
      <c r="Q121" s="35" t="s">
        <v>63</v>
      </c>
      <c r="R121" s="95"/>
      <c r="S121" s="42"/>
    </row>
    <row r="122" spans="1:19" s="5" customFormat="1">
      <c r="A122" s="84"/>
      <c r="B122" s="89"/>
      <c r="C122" s="93"/>
      <c r="D122" s="34"/>
      <c r="E12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22" s="35"/>
      <c r="G122" s="36" t="b">
        <v>0</v>
      </c>
      <c r="H122" s="36" t="b">
        <v>0</v>
      </c>
      <c r="I122" s="36" t="b">
        <v>0</v>
      </c>
      <c r="J122" s="36" t="b">
        <v>0</v>
      </c>
      <c r="K122" s="36" t="b">
        <v>0</v>
      </c>
      <c r="L122" s="34"/>
      <c r="M122" s="34"/>
      <c r="N122" s="34"/>
      <c r="O122" s="34"/>
      <c r="P122" s="54">
        <v>46181.841585648152</v>
      </c>
      <c r="Q122" s="35" t="s">
        <v>63</v>
      </c>
      <c r="R122" s="95"/>
      <c r="S122" s="42"/>
    </row>
    <row r="123" spans="1:19" s="5" customFormat="1">
      <c r="A123" s="84"/>
      <c r="B123" s="89"/>
      <c r="C123" s="93"/>
      <c r="D123" s="34"/>
      <c r="E12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23" s="35"/>
      <c r="G123" s="36" t="b">
        <v>0</v>
      </c>
      <c r="H123" s="36" t="b">
        <v>0</v>
      </c>
      <c r="I123" s="36" t="b">
        <v>0</v>
      </c>
      <c r="J123" s="36" t="b">
        <v>0</v>
      </c>
      <c r="K123" s="36" t="b">
        <v>0</v>
      </c>
      <c r="L123" s="34"/>
      <c r="M123" s="34"/>
      <c r="N123" s="34"/>
      <c r="O123" s="34"/>
      <c r="P123" s="54">
        <v>46181.841585648152</v>
      </c>
      <c r="Q123" s="35" t="s">
        <v>63</v>
      </c>
      <c r="R123" s="95"/>
      <c r="S123" s="42"/>
    </row>
    <row r="124" spans="1:19" s="5" customFormat="1">
      <c r="A124" s="84"/>
      <c r="B124" s="89"/>
      <c r="C124" s="93"/>
      <c r="D124" s="34"/>
      <c r="E12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24" s="35"/>
      <c r="G124" s="36" t="b">
        <v>0</v>
      </c>
      <c r="H124" s="36" t="b">
        <v>0</v>
      </c>
      <c r="I124" s="36" t="b">
        <v>0</v>
      </c>
      <c r="J124" s="36" t="b">
        <v>0</v>
      </c>
      <c r="K124" s="36" t="b">
        <v>0</v>
      </c>
      <c r="L124" s="34"/>
      <c r="M124" s="34"/>
      <c r="N124" s="34"/>
      <c r="O124" s="34"/>
      <c r="P124" s="54">
        <v>46181.841585648152</v>
      </c>
      <c r="Q124" s="35" t="s">
        <v>63</v>
      </c>
      <c r="R124" s="95"/>
      <c r="S124" s="42"/>
    </row>
    <row r="125" spans="1:19" s="5" customFormat="1">
      <c r="A125" s="84"/>
      <c r="B125" s="89"/>
      <c r="C125" s="93"/>
      <c r="D125" s="34"/>
      <c r="E12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25" s="35"/>
      <c r="G125" s="36" t="b">
        <v>0</v>
      </c>
      <c r="H125" s="36" t="b">
        <v>0</v>
      </c>
      <c r="I125" s="36" t="b">
        <v>0</v>
      </c>
      <c r="J125" s="36" t="b">
        <v>0</v>
      </c>
      <c r="K125" s="36" t="b">
        <v>0</v>
      </c>
      <c r="L125" s="34"/>
      <c r="M125" s="34"/>
      <c r="N125" s="34"/>
      <c r="O125" s="34"/>
      <c r="P125" s="54">
        <v>46181.841597222221</v>
      </c>
      <c r="Q125" s="35" t="s">
        <v>63</v>
      </c>
      <c r="R125" s="95"/>
      <c r="S125" s="42"/>
    </row>
    <row r="126" spans="1:19" s="5" customFormat="1">
      <c r="A126" s="84"/>
      <c r="B126" s="89"/>
      <c r="C126" s="93"/>
      <c r="D126" s="34"/>
      <c r="E12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26" s="35"/>
      <c r="G126" s="36" t="b">
        <v>0</v>
      </c>
      <c r="H126" s="36" t="b">
        <v>0</v>
      </c>
      <c r="I126" s="36" t="b">
        <v>0</v>
      </c>
      <c r="J126" s="36" t="b">
        <v>0</v>
      </c>
      <c r="K126" s="36" t="b">
        <v>0</v>
      </c>
      <c r="L126" s="34"/>
      <c r="M126" s="34"/>
      <c r="N126" s="34"/>
      <c r="O126" s="34"/>
      <c r="P126" s="54">
        <v>46181.841597222221</v>
      </c>
      <c r="Q126" s="35" t="s">
        <v>63</v>
      </c>
      <c r="R126" s="95"/>
      <c r="S126" s="42"/>
    </row>
    <row r="127" spans="1:19" s="5" customFormat="1">
      <c r="A127" s="84"/>
      <c r="B127" s="89"/>
      <c r="C127" s="93"/>
      <c r="D127" s="34"/>
      <c r="E12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27" s="35"/>
      <c r="G127" s="36" t="b">
        <v>0</v>
      </c>
      <c r="H127" s="36" t="b">
        <v>0</v>
      </c>
      <c r="I127" s="36" t="b">
        <v>0</v>
      </c>
      <c r="J127" s="36" t="b">
        <v>0</v>
      </c>
      <c r="K127" s="36" t="b">
        <v>0</v>
      </c>
      <c r="L127" s="34"/>
      <c r="M127" s="34"/>
      <c r="N127" s="34"/>
      <c r="O127" s="34"/>
      <c r="P127" s="54">
        <v>46181.841597222221</v>
      </c>
      <c r="Q127" s="35" t="s">
        <v>63</v>
      </c>
      <c r="R127" s="95"/>
      <c r="S127" s="42"/>
    </row>
    <row r="128" spans="1:19" s="5" customFormat="1">
      <c r="A128" s="84"/>
      <c r="B128" s="89"/>
      <c r="C128" s="93"/>
      <c r="D128" s="34"/>
      <c r="E12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28" s="35"/>
      <c r="G128" s="36" t="b">
        <v>0</v>
      </c>
      <c r="H128" s="36" t="b">
        <v>0</v>
      </c>
      <c r="I128" s="36" t="b">
        <v>0</v>
      </c>
      <c r="J128" s="36" t="b">
        <v>0</v>
      </c>
      <c r="K128" s="36" t="b">
        <v>0</v>
      </c>
      <c r="L128" s="34"/>
      <c r="M128" s="34"/>
      <c r="N128" s="34"/>
      <c r="O128" s="34"/>
      <c r="P128" s="54">
        <v>46181.841597222221</v>
      </c>
      <c r="Q128" s="35" t="s">
        <v>63</v>
      </c>
      <c r="R128" s="95"/>
      <c r="S128" s="42"/>
    </row>
    <row r="129" spans="1:19" s="5" customFormat="1">
      <c r="A129" s="84"/>
      <c r="B129" s="89"/>
      <c r="C129" s="93"/>
      <c r="D129" s="34"/>
      <c r="E12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29" s="35"/>
      <c r="G129" s="36" t="b">
        <v>0</v>
      </c>
      <c r="H129" s="36" t="b">
        <v>0</v>
      </c>
      <c r="I129" s="36" t="b">
        <v>0</v>
      </c>
      <c r="J129" s="36" t="b">
        <v>0</v>
      </c>
      <c r="K129" s="36" t="b">
        <v>0</v>
      </c>
      <c r="L129" s="34"/>
      <c r="M129" s="34"/>
      <c r="N129" s="34"/>
      <c r="O129" s="34"/>
      <c r="P129" s="54">
        <v>46181.841597222221</v>
      </c>
      <c r="Q129" s="35" t="s">
        <v>63</v>
      </c>
      <c r="R129" s="95"/>
      <c r="S129" s="42"/>
    </row>
    <row r="130" spans="1:19" s="5" customFormat="1">
      <c r="A130" s="84"/>
      <c r="B130" s="89"/>
      <c r="C130" s="93"/>
      <c r="D130" s="34"/>
      <c r="E13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30" s="35"/>
      <c r="G130" s="36" t="b">
        <v>0</v>
      </c>
      <c r="H130" s="36" t="b">
        <v>0</v>
      </c>
      <c r="I130" s="36" t="b">
        <v>0</v>
      </c>
      <c r="J130" s="36" t="b">
        <v>0</v>
      </c>
      <c r="K130" s="36" t="b">
        <v>0</v>
      </c>
      <c r="L130" s="34"/>
      <c r="M130" s="34"/>
      <c r="N130" s="34"/>
      <c r="O130" s="34"/>
      <c r="P130" s="54">
        <v>46181.841597222221</v>
      </c>
      <c r="Q130" s="35" t="s">
        <v>63</v>
      </c>
      <c r="R130" s="95"/>
      <c r="S130" s="42"/>
    </row>
    <row r="131" spans="1:19" s="5" customFormat="1">
      <c r="A131" s="84"/>
      <c r="B131" s="89"/>
      <c r="C131" s="93"/>
      <c r="D131" s="34"/>
      <c r="E13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31" s="35"/>
      <c r="G131" s="36" t="b">
        <v>0</v>
      </c>
      <c r="H131" s="36" t="b">
        <v>0</v>
      </c>
      <c r="I131" s="36" t="b">
        <v>0</v>
      </c>
      <c r="J131" s="36" t="b">
        <v>0</v>
      </c>
      <c r="K131" s="36" t="b">
        <v>0</v>
      </c>
      <c r="L131" s="34"/>
      <c r="M131" s="34"/>
      <c r="N131" s="34"/>
      <c r="O131" s="34"/>
      <c r="P131" s="54">
        <v>46181.841597222221</v>
      </c>
      <c r="Q131" s="35" t="s">
        <v>63</v>
      </c>
      <c r="R131" s="95"/>
      <c r="S131" s="42"/>
    </row>
    <row r="132" spans="1:19" s="5" customFormat="1">
      <c r="A132" s="84"/>
      <c r="B132" s="89"/>
      <c r="C132" s="93"/>
      <c r="D132" s="34"/>
      <c r="E13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32" s="35"/>
      <c r="G132" s="36" t="b">
        <v>0</v>
      </c>
      <c r="H132" s="36" t="b">
        <v>0</v>
      </c>
      <c r="I132" s="36" t="b">
        <v>0</v>
      </c>
      <c r="J132" s="36" t="b">
        <v>0</v>
      </c>
      <c r="K132" s="36" t="b">
        <v>0</v>
      </c>
      <c r="L132" s="34"/>
      <c r="M132" s="34"/>
      <c r="N132" s="34"/>
      <c r="O132" s="34"/>
      <c r="P132" s="54">
        <v>46181.841597222221</v>
      </c>
      <c r="Q132" s="35" t="s">
        <v>63</v>
      </c>
      <c r="R132" s="95"/>
      <c r="S132" s="42"/>
    </row>
    <row r="133" spans="1:19" s="5" customFormat="1">
      <c r="A133" s="84"/>
      <c r="B133" s="89"/>
      <c r="C133" s="93"/>
      <c r="D133" s="34"/>
      <c r="E13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33" s="35"/>
      <c r="G133" s="36" t="b">
        <v>0</v>
      </c>
      <c r="H133" s="36" t="b">
        <v>0</v>
      </c>
      <c r="I133" s="36" t="b">
        <v>0</v>
      </c>
      <c r="J133" s="36" t="b">
        <v>0</v>
      </c>
      <c r="K133" s="36" t="b">
        <v>0</v>
      </c>
      <c r="L133" s="34"/>
      <c r="M133" s="34"/>
      <c r="N133" s="34"/>
      <c r="O133" s="34"/>
      <c r="P133" s="54">
        <v>46181.841597222221</v>
      </c>
      <c r="Q133" s="35" t="s">
        <v>63</v>
      </c>
      <c r="R133" s="95"/>
      <c r="S133" s="42"/>
    </row>
    <row r="134" spans="1:19" s="5" customFormat="1">
      <c r="A134" s="84"/>
      <c r="B134" s="89"/>
      <c r="C134" s="93"/>
      <c r="D134" s="34"/>
      <c r="E13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34" s="35"/>
      <c r="G134" s="36" t="b">
        <v>0</v>
      </c>
      <c r="H134" s="36" t="b">
        <v>0</v>
      </c>
      <c r="I134" s="36" t="b">
        <v>0</v>
      </c>
      <c r="J134" s="36" t="b">
        <v>0</v>
      </c>
      <c r="K134" s="36" t="b">
        <v>0</v>
      </c>
      <c r="L134" s="34"/>
      <c r="M134" s="34"/>
      <c r="N134" s="34"/>
      <c r="O134" s="34"/>
      <c r="P134" s="54">
        <v>46181.841597222221</v>
      </c>
      <c r="Q134" s="35" t="s">
        <v>63</v>
      </c>
      <c r="R134" s="95"/>
      <c r="S134" s="42"/>
    </row>
    <row r="135" spans="1:19" s="5" customFormat="1">
      <c r="A135" s="84"/>
      <c r="B135" s="89"/>
      <c r="C135" s="93"/>
      <c r="D135" s="34"/>
      <c r="E13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35" s="35"/>
      <c r="G135" s="36" t="b">
        <v>0</v>
      </c>
      <c r="H135" s="36" t="b">
        <v>0</v>
      </c>
      <c r="I135" s="36" t="b">
        <v>0</v>
      </c>
      <c r="J135" s="36" t="b">
        <v>0</v>
      </c>
      <c r="K135" s="36" t="b">
        <v>0</v>
      </c>
      <c r="L135" s="34"/>
      <c r="M135" s="34"/>
      <c r="N135" s="34"/>
      <c r="O135" s="34"/>
      <c r="P135" s="54">
        <v>46181.841597222221</v>
      </c>
      <c r="Q135" s="35" t="s">
        <v>63</v>
      </c>
      <c r="R135" s="95"/>
      <c r="S135" s="42"/>
    </row>
    <row r="136" spans="1:19" s="5" customFormat="1">
      <c r="A136" s="84"/>
      <c r="B136" s="89"/>
      <c r="C136" s="93"/>
      <c r="D136" s="34"/>
      <c r="E13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36" s="35"/>
      <c r="G136" s="36" t="b">
        <v>0</v>
      </c>
      <c r="H136" s="36" t="b">
        <v>0</v>
      </c>
      <c r="I136" s="36" t="b">
        <v>0</v>
      </c>
      <c r="J136" s="36" t="b">
        <v>0</v>
      </c>
      <c r="K136" s="36" t="b">
        <v>0</v>
      </c>
      <c r="L136" s="34"/>
      <c r="M136" s="34"/>
      <c r="N136" s="34"/>
      <c r="O136" s="34"/>
      <c r="P136" s="54">
        <v>46181.841597222221</v>
      </c>
      <c r="Q136" s="35" t="s">
        <v>63</v>
      </c>
      <c r="R136" s="95"/>
      <c r="S136" s="42"/>
    </row>
    <row r="137" spans="1:19" s="5" customFormat="1">
      <c r="A137" s="84"/>
      <c r="B137" s="89"/>
      <c r="C137" s="93"/>
      <c r="D137" s="34"/>
      <c r="E13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37" s="35"/>
      <c r="G137" s="36" t="b">
        <v>0</v>
      </c>
      <c r="H137" s="36" t="b">
        <v>0</v>
      </c>
      <c r="I137" s="36" t="b">
        <v>0</v>
      </c>
      <c r="J137" s="36" t="b">
        <v>0</v>
      </c>
      <c r="K137" s="36" t="b">
        <v>0</v>
      </c>
      <c r="L137" s="34"/>
      <c r="M137" s="34"/>
      <c r="N137" s="34"/>
      <c r="O137" s="34"/>
      <c r="P137" s="54">
        <v>46181.841597222221</v>
      </c>
      <c r="Q137" s="35" t="s">
        <v>63</v>
      </c>
      <c r="R137" s="95"/>
      <c r="S137" s="42"/>
    </row>
    <row r="138" spans="1:19" s="5" customFormat="1">
      <c r="A138" s="84"/>
      <c r="B138" s="89"/>
      <c r="C138" s="93"/>
      <c r="D138" s="34"/>
      <c r="E13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38" s="35"/>
      <c r="G138" s="36" t="b">
        <v>0</v>
      </c>
      <c r="H138" s="36" t="b">
        <v>0</v>
      </c>
      <c r="I138" s="36" t="b">
        <v>0</v>
      </c>
      <c r="J138" s="36" t="b">
        <v>0</v>
      </c>
      <c r="K138" s="36" t="b">
        <v>0</v>
      </c>
      <c r="L138" s="34"/>
      <c r="M138" s="34"/>
      <c r="N138" s="34"/>
      <c r="O138" s="34"/>
      <c r="P138" s="54">
        <v>46181.841597222221</v>
      </c>
      <c r="Q138" s="35" t="s">
        <v>63</v>
      </c>
      <c r="R138" s="95"/>
      <c r="S138" s="42"/>
    </row>
    <row r="139" spans="1:19" s="5" customFormat="1">
      <c r="A139" s="84"/>
      <c r="B139" s="89"/>
      <c r="C139" s="93"/>
      <c r="D139" s="34"/>
      <c r="E13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39" s="35"/>
      <c r="G139" s="36" t="b">
        <v>0</v>
      </c>
      <c r="H139" s="36" t="b">
        <v>0</v>
      </c>
      <c r="I139" s="36" t="b">
        <v>0</v>
      </c>
      <c r="J139" s="36" t="b">
        <v>0</v>
      </c>
      <c r="K139" s="36" t="b">
        <v>0</v>
      </c>
      <c r="L139" s="34"/>
      <c r="M139" s="34"/>
      <c r="N139" s="34"/>
      <c r="O139" s="34"/>
      <c r="P139" s="54">
        <v>46181.841597222221</v>
      </c>
      <c r="Q139" s="35" t="s">
        <v>63</v>
      </c>
      <c r="R139" s="95"/>
      <c r="S139" s="42"/>
    </row>
    <row r="140" spans="1:19" s="5" customFormat="1">
      <c r="A140" s="84"/>
      <c r="B140" s="89"/>
      <c r="C140" s="93"/>
      <c r="D140" s="34"/>
      <c r="E14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40" s="35"/>
      <c r="G140" s="36" t="b">
        <v>0</v>
      </c>
      <c r="H140" s="36" t="b">
        <v>0</v>
      </c>
      <c r="I140" s="36" t="b">
        <v>0</v>
      </c>
      <c r="J140" s="36" t="b">
        <v>0</v>
      </c>
      <c r="K140" s="36" t="b">
        <v>0</v>
      </c>
      <c r="L140" s="34"/>
      <c r="M140" s="34"/>
      <c r="N140" s="34"/>
      <c r="O140" s="34"/>
      <c r="P140" s="54">
        <v>46181.841597222221</v>
      </c>
      <c r="Q140" s="35" t="s">
        <v>63</v>
      </c>
      <c r="R140" s="95"/>
      <c r="S140" s="42"/>
    </row>
    <row r="141" spans="1:19" s="5" customFormat="1">
      <c r="A141" s="84"/>
      <c r="B141" s="89"/>
      <c r="C141" s="93"/>
      <c r="D141" s="34"/>
      <c r="E14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41" s="35"/>
      <c r="G141" s="36" t="b">
        <v>0</v>
      </c>
      <c r="H141" s="36" t="b">
        <v>0</v>
      </c>
      <c r="I141" s="36" t="b">
        <v>0</v>
      </c>
      <c r="J141" s="36" t="b">
        <v>0</v>
      </c>
      <c r="K141" s="36" t="b">
        <v>0</v>
      </c>
      <c r="L141" s="34"/>
      <c r="M141" s="34"/>
      <c r="N141" s="34"/>
      <c r="O141" s="34"/>
      <c r="P141" s="54">
        <v>46181.841597222221</v>
      </c>
      <c r="Q141" s="35" t="s">
        <v>63</v>
      </c>
      <c r="R141" s="95"/>
      <c r="S141" s="42"/>
    </row>
    <row r="142" spans="1:19" s="5" customFormat="1">
      <c r="A142" s="84"/>
      <c r="B142" s="89"/>
      <c r="C142" s="93"/>
      <c r="D142" s="34"/>
      <c r="E14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42" s="35"/>
      <c r="G142" s="36" t="b">
        <v>0</v>
      </c>
      <c r="H142" s="36" t="b">
        <v>0</v>
      </c>
      <c r="I142" s="36" t="b">
        <v>0</v>
      </c>
      <c r="J142" s="36" t="b">
        <v>0</v>
      </c>
      <c r="K142" s="36" t="b">
        <v>0</v>
      </c>
      <c r="L142" s="34"/>
      <c r="M142" s="34"/>
      <c r="N142" s="34"/>
      <c r="O142" s="34"/>
      <c r="P142" s="54">
        <v>46181.841608796298</v>
      </c>
      <c r="Q142" s="35" t="s">
        <v>63</v>
      </c>
      <c r="R142" s="95"/>
      <c r="S142" s="42"/>
    </row>
    <row r="143" spans="1:19" s="5" customFormat="1">
      <c r="A143" s="84"/>
      <c r="B143" s="89"/>
      <c r="C143" s="93"/>
      <c r="D143" s="34"/>
      <c r="E14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43" s="35"/>
      <c r="G143" s="36" t="b">
        <v>0</v>
      </c>
      <c r="H143" s="36" t="b">
        <v>0</v>
      </c>
      <c r="I143" s="36" t="b">
        <v>0</v>
      </c>
      <c r="J143" s="36" t="b">
        <v>0</v>
      </c>
      <c r="K143" s="36" t="b">
        <v>0</v>
      </c>
      <c r="L143" s="34"/>
      <c r="M143" s="34"/>
      <c r="N143" s="34"/>
      <c r="O143" s="34"/>
      <c r="P143" s="54">
        <v>46181.841608796298</v>
      </c>
      <c r="Q143" s="35" t="s">
        <v>63</v>
      </c>
      <c r="R143" s="95"/>
      <c r="S143" s="42"/>
    </row>
    <row r="144" spans="1:19" s="5" customFormat="1">
      <c r="A144" s="84"/>
      <c r="B144" s="89"/>
      <c r="C144" s="93"/>
      <c r="D144" s="34"/>
      <c r="E14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44" s="35"/>
      <c r="G144" s="36" t="b">
        <v>0</v>
      </c>
      <c r="H144" s="36" t="b">
        <v>0</v>
      </c>
      <c r="I144" s="36" t="b">
        <v>0</v>
      </c>
      <c r="J144" s="36" t="b">
        <v>0</v>
      </c>
      <c r="K144" s="36" t="b">
        <v>0</v>
      </c>
      <c r="L144" s="34"/>
      <c r="M144" s="34"/>
      <c r="N144" s="34"/>
      <c r="O144" s="34"/>
      <c r="P144" s="54">
        <v>46181.841608796298</v>
      </c>
      <c r="Q144" s="35" t="s">
        <v>63</v>
      </c>
      <c r="R144" s="95"/>
      <c r="S144" s="42"/>
    </row>
    <row r="145" spans="1:19" s="5" customFormat="1">
      <c r="A145" s="84"/>
      <c r="B145" s="89"/>
      <c r="C145" s="93"/>
      <c r="D145" s="34"/>
      <c r="E14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45" s="35"/>
      <c r="G145" s="36" t="b">
        <v>0</v>
      </c>
      <c r="H145" s="36" t="b">
        <v>0</v>
      </c>
      <c r="I145" s="36" t="b">
        <v>0</v>
      </c>
      <c r="J145" s="36" t="b">
        <v>0</v>
      </c>
      <c r="K145" s="36" t="b">
        <v>0</v>
      </c>
      <c r="L145" s="34"/>
      <c r="M145" s="34"/>
      <c r="N145" s="34"/>
      <c r="O145" s="34"/>
      <c r="P145" s="54">
        <v>46181.841608796298</v>
      </c>
      <c r="Q145" s="35" t="s">
        <v>63</v>
      </c>
      <c r="R145" s="95"/>
      <c r="S145" s="42"/>
    </row>
    <row r="146" spans="1:19" s="5" customFormat="1">
      <c r="A146" s="84"/>
      <c r="B146" s="89"/>
      <c r="C146" s="93"/>
      <c r="D146" s="34"/>
      <c r="E14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46" s="35"/>
      <c r="G146" s="36" t="b">
        <v>0</v>
      </c>
      <c r="H146" s="36" t="b">
        <v>0</v>
      </c>
      <c r="I146" s="36" t="b">
        <v>0</v>
      </c>
      <c r="J146" s="36" t="b">
        <v>0</v>
      </c>
      <c r="K146" s="36" t="b">
        <v>0</v>
      </c>
      <c r="L146" s="34"/>
      <c r="M146" s="34"/>
      <c r="N146" s="34"/>
      <c r="O146" s="34"/>
      <c r="P146" s="54">
        <v>46181.841608796298</v>
      </c>
      <c r="Q146" s="35" t="s">
        <v>63</v>
      </c>
      <c r="R146" s="95"/>
      <c r="S146" s="42"/>
    </row>
    <row r="147" spans="1:19" s="5" customFormat="1">
      <c r="A147" s="84"/>
      <c r="B147" s="89"/>
      <c r="C147" s="93"/>
      <c r="D147" s="34"/>
      <c r="E14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47" s="35"/>
      <c r="G147" s="36" t="b">
        <v>0</v>
      </c>
      <c r="H147" s="36" t="b">
        <v>0</v>
      </c>
      <c r="I147" s="36" t="b">
        <v>0</v>
      </c>
      <c r="J147" s="36" t="b">
        <v>0</v>
      </c>
      <c r="K147" s="36" t="b">
        <v>0</v>
      </c>
      <c r="L147" s="34"/>
      <c r="M147" s="34"/>
      <c r="N147" s="34"/>
      <c r="O147" s="34"/>
      <c r="P147" s="54">
        <v>46181.841608796298</v>
      </c>
      <c r="Q147" s="35" t="s">
        <v>63</v>
      </c>
      <c r="R147" s="95"/>
      <c r="S147" s="42"/>
    </row>
    <row r="148" spans="1:19" s="5" customFormat="1">
      <c r="A148" s="84"/>
      <c r="B148" s="89"/>
      <c r="C148" s="93"/>
      <c r="D148" s="34"/>
      <c r="E14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48" s="35"/>
      <c r="G148" s="36" t="b">
        <v>0</v>
      </c>
      <c r="H148" s="36" t="b">
        <v>0</v>
      </c>
      <c r="I148" s="36" t="b">
        <v>0</v>
      </c>
      <c r="J148" s="36" t="b">
        <v>0</v>
      </c>
      <c r="K148" s="36" t="b">
        <v>0</v>
      </c>
      <c r="L148" s="34"/>
      <c r="M148" s="34"/>
      <c r="N148" s="34"/>
      <c r="O148" s="34"/>
      <c r="P148" s="54">
        <v>46181.841608796298</v>
      </c>
      <c r="Q148" s="35" t="s">
        <v>63</v>
      </c>
      <c r="R148" s="95"/>
      <c r="S148" s="42"/>
    </row>
    <row r="149" spans="1:19" s="5" customFormat="1">
      <c r="A149" s="84"/>
      <c r="B149" s="89"/>
      <c r="C149" s="93"/>
      <c r="D149" s="34"/>
      <c r="E14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49" s="35"/>
      <c r="G149" s="36" t="b">
        <v>0</v>
      </c>
      <c r="H149" s="36" t="b">
        <v>0</v>
      </c>
      <c r="I149" s="36" t="b">
        <v>0</v>
      </c>
      <c r="J149" s="36" t="b">
        <v>0</v>
      </c>
      <c r="K149" s="36" t="b">
        <v>0</v>
      </c>
      <c r="L149" s="34"/>
      <c r="M149" s="34"/>
      <c r="N149" s="34"/>
      <c r="O149" s="34"/>
      <c r="P149" s="54">
        <v>46181.841608796298</v>
      </c>
      <c r="Q149" s="35" t="s">
        <v>63</v>
      </c>
      <c r="R149" s="95"/>
      <c r="S149" s="42"/>
    </row>
    <row r="150" spans="1:19" s="5" customFormat="1">
      <c r="A150" s="84"/>
      <c r="B150" s="89"/>
      <c r="C150" s="93"/>
      <c r="D150" s="34"/>
      <c r="E15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50" s="35"/>
      <c r="G150" s="36" t="b">
        <v>0</v>
      </c>
      <c r="H150" s="36" t="b">
        <v>0</v>
      </c>
      <c r="I150" s="36" t="b">
        <v>0</v>
      </c>
      <c r="J150" s="36" t="b">
        <v>0</v>
      </c>
      <c r="K150" s="36" t="b">
        <v>0</v>
      </c>
      <c r="L150" s="34"/>
      <c r="M150" s="34"/>
      <c r="N150" s="34"/>
      <c r="O150" s="34"/>
      <c r="P150" s="54">
        <v>46181.841608796298</v>
      </c>
      <c r="Q150" s="35" t="s">
        <v>63</v>
      </c>
      <c r="R150" s="95"/>
      <c r="S150" s="42"/>
    </row>
    <row r="151" spans="1:19" s="5" customFormat="1">
      <c r="A151" s="84"/>
      <c r="B151" s="89"/>
      <c r="C151" s="93"/>
      <c r="D151" s="34"/>
      <c r="E15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51" s="35"/>
      <c r="G151" s="36" t="b">
        <v>0</v>
      </c>
      <c r="H151" s="36" t="b">
        <v>0</v>
      </c>
      <c r="I151" s="36" t="b">
        <v>0</v>
      </c>
      <c r="J151" s="36" t="b">
        <v>0</v>
      </c>
      <c r="K151" s="36" t="b">
        <v>0</v>
      </c>
      <c r="L151" s="34"/>
      <c r="M151" s="34"/>
      <c r="N151" s="34"/>
      <c r="O151" s="34"/>
      <c r="P151" s="54">
        <v>46181.841608796298</v>
      </c>
      <c r="Q151" s="35" t="s">
        <v>63</v>
      </c>
      <c r="R151" s="95"/>
      <c r="S151" s="42"/>
    </row>
    <row r="152" spans="1:19" s="5" customFormat="1">
      <c r="A152" s="84"/>
      <c r="B152" s="89"/>
      <c r="C152" s="93"/>
      <c r="D152" s="34"/>
      <c r="E15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52" s="35"/>
      <c r="G152" s="36" t="b">
        <v>0</v>
      </c>
      <c r="H152" s="36" t="b">
        <v>0</v>
      </c>
      <c r="I152" s="36" t="b">
        <v>0</v>
      </c>
      <c r="J152" s="36" t="b">
        <v>0</v>
      </c>
      <c r="K152" s="36" t="b">
        <v>0</v>
      </c>
      <c r="L152" s="34"/>
      <c r="M152" s="34"/>
      <c r="N152" s="34"/>
      <c r="O152" s="34"/>
      <c r="P152" s="54">
        <v>46181.841608796298</v>
      </c>
      <c r="Q152" s="35" t="s">
        <v>63</v>
      </c>
      <c r="R152" s="95"/>
      <c r="S152" s="42"/>
    </row>
    <row r="153" spans="1:19" s="5" customFormat="1">
      <c r="A153" s="84"/>
      <c r="B153" s="89"/>
      <c r="C153" s="93"/>
      <c r="D153" s="34"/>
      <c r="E15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53" s="35"/>
      <c r="G153" s="36" t="b">
        <v>0</v>
      </c>
      <c r="H153" s="36" t="b">
        <v>0</v>
      </c>
      <c r="I153" s="36" t="b">
        <v>0</v>
      </c>
      <c r="J153" s="36" t="b">
        <v>0</v>
      </c>
      <c r="K153" s="36" t="b">
        <v>0</v>
      </c>
      <c r="L153" s="34"/>
      <c r="M153" s="34"/>
      <c r="N153" s="34"/>
      <c r="O153" s="34"/>
      <c r="P153" s="54">
        <v>46181.841608796298</v>
      </c>
      <c r="Q153" s="35" t="s">
        <v>63</v>
      </c>
      <c r="R153" s="95"/>
      <c r="S153" s="42"/>
    </row>
    <row r="154" spans="1:19" s="5" customFormat="1">
      <c r="A154" s="84"/>
      <c r="B154" s="89"/>
      <c r="C154" s="93"/>
      <c r="D154" s="34"/>
      <c r="E15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54" s="35"/>
      <c r="G154" s="36" t="b">
        <v>0</v>
      </c>
      <c r="H154" s="36" t="b">
        <v>0</v>
      </c>
      <c r="I154" s="36" t="b">
        <v>0</v>
      </c>
      <c r="J154" s="36" t="b">
        <v>0</v>
      </c>
      <c r="K154" s="36" t="b">
        <v>0</v>
      </c>
      <c r="L154" s="34"/>
      <c r="M154" s="34"/>
      <c r="N154" s="34"/>
      <c r="O154" s="34"/>
      <c r="P154" s="54">
        <v>46181.841608796298</v>
      </c>
      <c r="Q154" s="35" t="s">
        <v>63</v>
      </c>
      <c r="R154" s="95"/>
      <c r="S154" s="42"/>
    </row>
    <row r="155" spans="1:19" s="5" customFormat="1">
      <c r="A155" s="84"/>
      <c r="B155" s="89"/>
      <c r="C155" s="93"/>
      <c r="D155" s="34"/>
      <c r="E15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55" s="35"/>
      <c r="G155" s="36" t="b">
        <v>0</v>
      </c>
      <c r="H155" s="36" t="b">
        <v>0</v>
      </c>
      <c r="I155" s="36" t="b">
        <v>0</v>
      </c>
      <c r="J155" s="36" t="b">
        <v>0</v>
      </c>
      <c r="K155" s="36" t="b">
        <v>0</v>
      </c>
      <c r="L155" s="34"/>
      <c r="M155" s="34"/>
      <c r="N155" s="34"/>
      <c r="O155" s="34"/>
      <c r="P155" s="54">
        <v>46181.841608796298</v>
      </c>
      <c r="Q155" s="35" t="s">
        <v>63</v>
      </c>
      <c r="R155" s="95"/>
      <c r="S155" s="42"/>
    </row>
    <row r="156" spans="1:19" s="5" customFormat="1">
      <c r="A156" s="84"/>
      <c r="B156" s="89"/>
      <c r="C156" s="93"/>
      <c r="D156" s="34"/>
      <c r="E15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56" s="35"/>
      <c r="G156" s="36" t="b">
        <v>0</v>
      </c>
      <c r="H156" s="36" t="b">
        <v>0</v>
      </c>
      <c r="I156" s="36" t="b">
        <v>0</v>
      </c>
      <c r="J156" s="36" t="b">
        <v>0</v>
      </c>
      <c r="K156" s="36" t="b">
        <v>0</v>
      </c>
      <c r="L156" s="34"/>
      <c r="M156" s="34"/>
      <c r="N156" s="34"/>
      <c r="O156" s="34"/>
      <c r="P156" s="54">
        <v>46181.841608796298</v>
      </c>
      <c r="Q156" s="35" t="s">
        <v>63</v>
      </c>
      <c r="R156" s="95"/>
      <c r="S156" s="42"/>
    </row>
    <row r="157" spans="1:19" s="5" customFormat="1">
      <c r="A157" s="84"/>
      <c r="B157" s="89"/>
      <c r="C157" s="93"/>
      <c r="D157" s="34"/>
      <c r="E15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57" s="35"/>
      <c r="G157" s="36" t="b">
        <v>0</v>
      </c>
      <c r="H157" s="36" t="b">
        <v>0</v>
      </c>
      <c r="I157" s="36" t="b">
        <v>0</v>
      </c>
      <c r="J157" s="36" t="b">
        <v>0</v>
      </c>
      <c r="K157" s="36" t="b">
        <v>0</v>
      </c>
      <c r="L157" s="34"/>
      <c r="M157" s="34"/>
      <c r="N157" s="34"/>
      <c r="O157" s="34"/>
      <c r="P157" s="54">
        <v>46181.841608796298</v>
      </c>
      <c r="Q157" s="35" t="s">
        <v>63</v>
      </c>
      <c r="R157" s="95"/>
      <c r="S157" s="42"/>
    </row>
    <row r="158" spans="1:19" s="5" customFormat="1">
      <c r="A158" s="84"/>
      <c r="B158" s="89"/>
      <c r="C158" s="93"/>
      <c r="D158" s="34"/>
      <c r="E15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58" s="35"/>
      <c r="G158" s="36" t="b">
        <v>0</v>
      </c>
      <c r="H158" s="36" t="b">
        <v>0</v>
      </c>
      <c r="I158" s="36" t="b">
        <v>0</v>
      </c>
      <c r="J158" s="36" t="b">
        <v>0</v>
      </c>
      <c r="K158" s="36" t="b">
        <v>0</v>
      </c>
      <c r="L158" s="34"/>
      <c r="M158" s="34"/>
      <c r="N158" s="34"/>
      <c r="O158" s="34"/>
      <c r="P158" s="54">
        <v>46181.841608796298</v>
      </c>
      <c r="Q158" s="35" t="s">
        <v>63</v>
      </c>
      <c r="R158" s="95"/>
      <c r="S158" s="42"/>
    </row>
    <row r="159" spans="1:19" s="5" customFormat="1">
      <c r="A159" s="84"/>
      <c r="B159" s="89"/>
      <c r="C159" s="93"/>
      <c r="D159" s="34"/>
      <c r="E15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59" s="35"/>
      <c r="G159" s="36" t="b">
        <v>0</v>
      </c>
      <c r="H159" s="36" t="b">
        <v>0</v>
      </c>
      <c r="I159" s="36" t="b">
        <v>0</v>
      </c>
      <c r="J159" s="36" t="b">
        <v>0</v>
      </c>
      <c r="K159" s="36" t="b">
        <v>0</v>
      </c>
      <c r="L159" s="34"/>
      <c r="M159" s="34"/>
      <c r="N159" s="34"/>
      <c r="O159" s="34"/>
      <c r="P159" s="54">
        <v>46181.841620370367</v>
      </c>
      <c r="Q159" s="35" t="s">
        <v>63</v>
      </c>
      <c r="R159" s="95"/>
      <c r="S159" s="42"/>
    </row>
    <row r="160" spans="1:19" s="5" customFormat="1">
      <c r="A160" s="84"/>
      <c r="B160" s="89"/>
      <c r="C160" s="93"/>
      <c r="D160" s="34"/>
      <c r="E16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60" s="35"/>
      <c r="G160" s="36" t="b">
        <v>0</v>
      </c>
      <c r="H160" s="36" t="b">
        <v>0</v>
      </c>
      <c r="I160" s="36" t="b">
        <v>0</v>
      </c>
      <c r="J160" s="36" t="b">
        <v>0</v>
      </c>
      <c r="K160" s="36" t="b">
        <v>0</v>
      </c>
      <c r="L160" s="34"/>
      <c r="M160" s="34"/>
      <c r="N160" s="34"/>
      <c r="O160" s="34"/>
      <c r="P160" s="54">
        <v>46181.841620370367</v>
      </c>
      <c r="Q160" s="35" t="s">
        <v>63</v>
      </c>
      <c r="R160" s="95"/>
      <c r="S160" s="42"/>
    </row>
    <row r="161" spans="1:19" s="5" customFormat="1">
      <c r="A161" s="84"/>
      <c r="B161" s="89"/>
      <c r="C161" s="93"/>
      <c r="D161" s="34"/>
      <c r="E16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61" s="35"/>
      <c r="G161" s="36" t="b">
        <v>0</v>
      </c>
      <c r="H161" s="36" t="b">
        <v>0</v>
      </c>
      <c r="I161" s="36" t="b">
        <v>0</v>
      </c>
      <c r="J161" s="36" t="b">
        <v>0</v>
      </c>
      <c r="K161" s="36" t="b">
        <v>0</v>
      </c>
      <c r="L161" s="34"/>
      <c r="M161" s="34"/>
      <c r="N161" s="34"/>
      <c r="O161" s="34"/>
      <c r="P161" s="54">
        <v>46181.841620370367</v>
      </c>
      <c r="Q161" s="35" t="s">
        <v>63</v>
      </c>
      <c r="R161" s="95"/>
      <c r="S161" s="42"/>
    </row>
    <row r="162" spans="1:19" s="5" customFormat="1">
      <c r="A162" s="84"/>
      <c r="B162" s="89"/>
      <c r="C162" s="93"/>
      <c r="D162" s="34"/>
      <c r="E16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62" s="35"/>
      <c r="G162" s="36" t="b">
        <v>0</v>
      </c>
      <c r="H162" s="36" t="b">
        <v>0</v>
      </c>
      <c r="I162" s="36" t="b">
        <v>0</v>
      </c>
      <c r="J162" s="36" t="b">
        <v>0</v>
      </c>
      <c r="K162" s="36" t="b">
        <v>0</v>
      </c>
      <c r="L162" s="34"/>
      <c r="M162" s="34"/>
      <c r="N162" s="34"/>
      <c r="O162" s="34"/>
      <c r="P162" s="54">
        <v>46181.841620370367</v>
      </c>
      <c r="Q162" s="35" t="s">
        <v>63</v>
      </c>
      <c r="R162" s="95"/>
      <c r="S162" s="42"/>
    </row>
    <row r="163" spans="1:19" s="5" customFormat="1">
      <c r="A163" s="84"/>
      <c r="B163" s="89"/>
      <c r="C163" s="93"/>
      <c r="D163" s="34"/>
      <c r="E16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63" s="35"/>
      <c r="G163" s="36" t="b">
        <v>0</v>
      </c>
      <c r="H163" s="36" t="b">
        <v>0</v>
      </c>
      <c r="I163" s="36" t="b">
        <v>0</v>
      </c>
      <c r="J163" s="36" t="b">
        <v>0</v>
      </c>
      <c r="K163" s="36" t="b">
        <v>0</v>
      </c>
      <c r="L163" s="34"/>
      <c r="M163" s="34"/>
      <c r="N163" s="34"/>
      <c r="O163" s="34"/>
      <c r="P163" s="54">
        <v>46181.841620370367</v>
      </c>
      <c r="Q163" s="35" t="s">
        <v>63</v>
      </c>
      <c r="R163" s="95"/>
      <c r="S163" s="42"/>
    </row>
    <row r="164" spans="1:19" s="5" customFormat="1">
      <c r="A164" s="84"/>
      <c r="B164" s="89"/>
      <c r="C164" s="93"/>
      <c r="D164" s="34"/>
      <c r="E16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64" s="35"/>
      <c r="G164" s="36" t="b">
        <v>0</v>
      </c>
      <c r="H164" s="36" t="b">
        <v>0</v>
      </c>
      <c r="I164" s="36" t="b">
        <v>0</v>
      </c>
      <c r="J164" s="36" t="b">
        <v>0</v>
      </c>
      <c r="K164" s="36" t="b">
        <v>0</v>
      </c>
      <c r="L164" s="34"/>
      <c r="M164" s="34"/>
      <c r="N164" s="34"/>
      <c r="O164" s="34"/>
      <c r="P164" s="54">
        <v>46181.841620370367</v>
      </c>
      <c r="Q164" s="35" t="s">
        <v>63</v>
      </c>
      <c r="R164" s="95"/>
      <c r="S164" s="42"/>
    </row>
    <row r="165" spans="1:19" s="5" customFormat="1">
      <c r="A165" s="84"/>
      <c r="B165" s="89"/>
      <c r="C165" s="93"/>
      <c r="D165" s="34"/>
      <c r="E16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65" s="35"/>
      <c r="G165" s="36" t="b">
        <v>0</v>
      </c>
      <c r="H165" s="36" t="b">
        <v>0</v>
      </c>
      <c r="I165" s="36" t="b">
        <v>0</v>
      </c>
      <c r="J165" s="36" t="b">
        <v>0</v>
      </c>
      <c r="K165" s="36" t="b">
        <v>0</v>
      </c>
      <c r="L165" s="34"/>
      <c r="M165" s="34"/>
      <c r="N165" s="34"/>
      <c r="O165" s="34"/>
      <c r="P165" s="54">
        <v>46181.841620370367</v>
      </c>
      <c r="Q165" s="35" t="s">
        <v>63</v>
      </c>
      <c r="R165" s="95"/>
      <c r="S165" s="42"/>
    </row>
    <row r="166" spans="1:19" s="5" customFormat="1">
      <c r="A166" s="84"/>
      <c r="B166" s="89"/>
      <c r="C166" s="93"/>
      <c r="D166" s="34"/>
      <c r="E16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66" s="35"/>
      <c r="G166" s="36" t="b">
        <v>0</v>
      </c>
      <c r="H166" s="36" t="b">
        <v>0</v>
      </c>
      <c r="I166" s="36" t="b">
        <v>0</v>
      </c>
      <c r="J166" s="36" t="b">
        <v>0</v>
      </c>
      <c r="K166" s="36" t="b">
        <v>0</v>
      </c>
      <c r="L166" s="34"/>
      <c r="M166" s="34"/>
      <c r="N166" s="34"/>
      <c r="O166" s="34"/>
      <c r="P166" s="54">
        <v>46181.841620370367</v>
      </c>
      <c r="Q166" s="35" t="s">
        <v>63</v>
      </c>
      <c r="R166" s="95"/>
      <c r="S166" s="42"/>
    </row>
    <row r="167" spans="1:19" s="5" customFormat="1">
      <c r="A167" s="84"/>
      <c r="B167" s="89"/>
      <c r="C167" s="93"/>
      <c r="D167" s="34"/>
      <c r="E16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67" s="35"/>
      <c r="G167" s="36" t="b">
        <v>0</v>
      </c>
      <c r="H167" s="36" t="b">
        <v>0</v>
      </c>
      <c r="I167" s="36" t="b">
        <v>0</v>
      </c>
      <c r="J167" s="36" t="b">
        <v>0</v>
      </c>
      <c r="K167" s="36" t="b">
        <v>0</v>
      </c>
      <c r="L167" s="34"/>
      <c r="M167" s="34"/>
      <c r="N167" s="34"/>
      <c r="O167" s="34"/>
      <c r="P167" s="54">
        <v>46181.841620370367</v>
      </c>
      <c r="Q167" s="35" t="s">
        <v>63</v>
      </c>
      <c r="R167" s="95"/>
      <c r="S167" s="42"/>
    </row>
    <row r="168" spans="1:19" s="5" customFormat="1">
      <c r="A168" s="84"/>
      <c r="B168" s="89"/>
      <c r="C168" s="93"/>
      <c r="D168" s="34"/>
      <c r="E16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68" s="35"/>
      <c r="G168" s="36" t="b">
        <v>0</v>
      </c>
      <c r="H168" s="36" t="b">
        <v>0</v>
      </c>
      <c r="I168" s="36" t="b">
        <v>0</v>
      </c>
      <c r="J168" s="36" t="b">
        <v>0</v>
      </c>
      <c r="K168" s="36" t="b">
        <v>0</v>
      </c>
      <c r="L168" s="34"/>
      <c r="M168" s="34"/>
      <c r="N168" s="34"/>
      <c r="O168" s="34"/>
      <c r="P168" s="54">
        <v>46181.841620370367</v>
      </c>
      <c r="Q168" s="35" t="s">
        <v>63</v>
      </c>
      <c r="R168" s="95"/>
      <c r="S168" s="42"/>
    </row>
    <row r="169" spans="1:19" s="5" customFormat="1">
      <c r="A169" s="84"/>
      <c r="B169" s="89"/>
      <c r="C169" s="93"/>
      <c r="D169" s="34"/>
      <c r="E16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69" s="35"/>
      <c r="G169" s="36" t="b">
        <v>0</v>
      </c>
      <c r="H169" s="36" t="b">
        <v>0</v>
      </c>
      <c r="I169" s="36" t="b">
        <v>0</v>
      </c>
      <c r="J169" s="36" t="b">
        <v>0</v>
      </c>
      <c r="K169" s="36" t="b">
        <v>0</v>
      </c>
      <c r="L169" s="34"/>
      <c r="M169" s="34"/>
      <c r="N169" s="34"/>
      <c r="O169" s="34"/>
      <c r="P169" s="54">
        <v>46181.841620370367</v>
      </c>
      <c r="Q169" s="35" t="s">
        <v>63</v>
      </c>
      <c r="R169" s="95"/>
      <c r="S169" s="42"/>
    </row>
    <row r="170" spans="1:19" s="5" customFormat="1">
      <c r="A170" s="84"/>
      <c r="B170" s="89"/>
      <c r="C170" s="93"/>
      <c r="D170" s="34"/>
      <c r="E17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70" s="35"/>
      <c r="G170" s="36" t="b">
        <v>0</v>
      </c>
      <c r="H170" s="36" t="b">
        <v>0</v>
      </c>
      <c r="I170" s="36" t="b">
        <v>0</v>
      </c>
      <c r="J170" s="36" t="b">
        <v>0</v>
      </c>
      <c r="K170" s="36" t="b">
        <v>0</v>
      </c>
      <c r="L170" s="34"/>
      <c r="M170" s="34"/>
      <c r="N170" s="34"/>
      <c r="O170" s="34"/>
      <c r="P170" s="54">
        <v>46181.841620370367</v>
      </c>
      <c r="Q170" s="35" t="s">
        <v>63</v>
      </c>
      <c r="R170" s="95"/>
      <c r="S170" s="42"/>
    </row>
    <row r="171" spans="1:19" s="5" customFormat="1">
      <c r="A171" s="84"/>
      <c r="B171" s="89"/>
      <c r="C171" s="93"/>
      <c r="D171" s="34"/>
      <c r="E17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71" s="35"/>
      <c r="G171" s="36" t="b">
        <v>0</v>
      </c>
      <c r="H171" s="36" t="b">
        <v>0</v>
      </c>
      <c r="I171" s="36" t="b">
        <v>0</v>
      </c>
      <c r="J171" s="36" t="b">
        <v>0</v>
      </c>
      <c r="K171" s="36" t="b">
        <v>0</v>
      </c>
      <c r="L171" s="34"/>
      <c r="M171" s="34"/>
      <c r="N171" s="34"/>
      <c r="O171" s="34"/>
      <c r="P171" s="54">
        <v>46181.841620370367</v>
      </c>
      <c r="Q171" s="35" t="s">
        <v>63</v>
      </c>
      <c r="R171" s="95"/>
      <c r="S171" s="42"/>
    </row>
    <row r="172" spans="1:19" s="5" customFormat="1">
      <c r="A172" s="84"/>
      <c r="B172" s="89"/>
      <c r="C172" s="93"/>
      <c r="D172" s="34"/>
      <c r="E17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72" s="35"/>
      <c r="G172" s="36" t="b">
        <v>0</v>
      </c>
      <c r="H172" s="36" t="b">
        <v>0</v>
      </c>
      <c r="I172" s="36" t="b">
        <v>0</v>
      </c>
      <c r="J172" s="36" t="b">
        <v>0</v>
      </c>
      <c r="K172" s="36" t="b">
        <v>0</v>
      </c>
      <c r="L172" s="34"/>
      <c r="M172" s="34"/>
      <c r="N172" s="34"/>
      <c r="O172" s="34"/>
      <c r="P172" s="54">
        <v>46181.841620370367</v>
      </c>
      <c r="Q172" s="35" t="s">
        <v>63</v>
      </c>
      <c r="R172" s="95"/>
      <c r="S172" s="42"/>
    </row>
    <row r="173" spans="1:19" s="5" customFormat="1">
      <c r="A173" s="84"/>
      <c r="B173" s="89"/>
      <c r="C173" s="93"/>
      <c r="D173" s="34"/>
      <c r="E17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73" s="35"/>
      <c r="G173" s="36" t="b">
        <v>0</v>
      </c>
      <c r="H173" s="36" t="b">
        <v>0</v>
      </c>
      <c r="I173" s="36" t="b">
        <v>0</v>
      </c>
      <c r="J173" s="36" t="b">
        <v>0</v>
      </c>
      <c r="K173" s="36" t="b">
        <v>0</v>
      </c>
      <c r="L173" s="34"/>
      <c r="M173" s="34"/>
      <c r="N173" s="34"/>
      <c r="O173" s="34"/>
      <c r="P173" s="54">
        <v>46181.841620370367</v>
      </c>
      <c r="Q173" s="35" t="s">
        <v>63</v>
      </c>
      <c r="R173" s="95"/>
      <c r="S173" s="42"/>
    </row>
    <row r="174" spans="1:19" s="5" customFormat="1">
      <c r="A174" s="84"/>
      <c r="B174" s="89"/>
      <c r="C174" s="93"/>
      <c r="D174" s="34"/>
      <c r="E17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74" s="35"/>
      <c r="G174" s="36" t="b">
        <v>0</v>
      </c>
      <c r="H174" s="36" t="b">
        <v>0</v>
      </c>
      <c r="I174" s="36" t="b">
        <v>0</v>
      </c>
      <c r="J174" s="36" t="b">
        <v>0</v>
      </c>
      <c r="K174" s="36" t="b">
        <v>0</v>
      </c>
      <c r="L174" s="34"/>
      <c r="M174" s="34"/>
      <c r="N174" s="34"/>
      <c r="O174" s="34"/>
      <c r="P174" s="54">
        <v>46181.841620370367</v>
      </c>
      <c r="Q174" s="35" t="s">
        <v>63</v>
      </c>
      <c r="R174" s="95"/>
      <c r="S174" s="42"/>
    </row>
    <row r="175" spans="1:19" s="5" customFormat="1">
      <c r="A175" s="84"/>
      <c r="B175" s="89"/>
      <c r="C175" s="93"/>
      <c r="D175" s="34"/>
      <c r="E17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75" s="35"/>
      <c r="G175" s="36" t="b">
        <v>0</v>
      </c>
      <c r="H175" s="36" t="b">
        <v>0</v>
      </c>
      <c r="I175" s="36" t="b">
        <v>0</v>
      </c>
      <c r="J175" s="36" t="b">
        <v>0</v>
      </c>
      <c r="K175" s="36" t="b">
        <v>0</v>
      </c>
      <c r="L175" s="34"/>
      <c r="M175" s="34"/>
      <c r="N175" s="34"/>
      <c r="O175" s="34"/>
      <c r="P175" s="54">
        <v>46181.841620370367</v>
      </c>
      <c r="Q175" s="35" t="s">
        <v>63</v>
      </c>
      <c r="R175" s="95"/>
      <c r="S175" s="42"/>
    </row>
    <row r="176" spans="1:19" s="5" customFormat="1">
      <c r="A176" s="84"/>
      <c r="B176" s="89"/>
      <c r="C176" s="93"/>
      <c r="D176" s="34"/>
      <c r="E17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76" s="35"/>
      <c r="G176" s="36" t="b">
        <v>0</v>
      </c>
      <c r="H176" s="36" t="b">
        <v>0</v>
      </c>
      <c r="I176" s="36" t="b">
        <v>0</v>
      </c>
      <c r="J176" s="36" t="b">
        <v>0</v>
      </c>
      <c r="K176" s="36" t="b">
        <v>0</v>
      </c>
      <c r="L176" s="34"/>
      <c r="M176" s="34"/>
      <c r="N176" s="34"/>
      <c r="O176" s="34"/>
      <c r="P176" s="54">
        <v>46181.841631944444</v>
      </c>
      <c r="Q176" s="35" t="s">
        <v>63</v>
      </c>
      <c r="R176" s="95"/>
      <c r="S176" s="42"/>
    </row>
    <row r="177" spans="1:19" s="5" customFormat="1">
      <c r="A177" s="84"/>
      <c r="B177" s="89"/>
      <c r="C177" s="93"/>
      <c r="D177" s="34"/>
      <c r="E17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77" s="35"/>
      <c r="G177" s="36" t="b">
        <v>0</v>
      </c>
      <c r="H177" s="36" t="b">
        <v>0</v>
      </c>
      <c r="I177" s="36" t="b">
        <v>0</v>
      </c>
      <c r="J177" s="36" t="b">
        <v>0</v>
      </c>
      <c r="K177" s="36" t="b">
        <v>0</v>
      </c>
      <c r="L177" s="34"/>
      <c r="M177" s="34"/>
      <c r="N177" s="34"/>
      <c r="O177" s="34"/>
      <c r="P177" s="54">
        <v>46181.841631944444</v>
      </c>
      <c r="Q177" s="35" t="s">
        <v>63</v>
      </c>
      <c r="R177" s="95"/>
      <c r="S177" s="42"/>
    </row>
    <row r="178" spans="1:19" s="5" customFormat="1">
      <c r="A178" s="84"/>
      <c r="B178" s="89"/>
      <c r="C178" s="93"/>
      <c r="D178" s="34"/>
      <c r="E17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78" s="35"/>
      <c r="G178" s="36" t="b">
        <v>0</v>
      </c>
      <c r="H178" s="36" t="b">
        <v>0</v>
      </c>
      <c r="I178" s="36" t="b">
        <v>0</v>
      </c>
      <c r="J178" s="36" t="b">
        <v>0</v>
      </c>
      <c r="K178" s="36" t="b">
        <v>0</v>
      </c>
      <c r="L178" s="34"/>
      <c r="M178" s="34"/>
      <c r="N178" s="34"/>
      <c r="O178" s="34"/>
      <c r="P178" s="54">
        <v>46181.841631944444</v>
      </c>
      <c r="Q178" s="35" t="s">
        <v>63</v>
      </c>
      <c r="R178" s="95"/>
      <c r="S178" s="42"/>
    </row>
    <row r="179" spans="1:19" s="5" customFormat="1">
      <c r="A179" s="84"/>
      <c r="B179" s="89"/>
      <c r="C179" s="93"/>
      <c r="D179" s="34"/>
      <c r="E17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79" s="35"/>
      <c r="G179" s="36" t="b">
        <v>0</v>
      </c>
      <c r="H179" s="36" t="b">
        <v>0</v>
      </c>
      <c r="I179" s="36" t="b">
        <v>0</v>
      </c>
      <c r="J179" s="36" t="b">
        <v>0</v>
      </c>
      <c r="K179" s="36" t="b">
        <v>0</v>
      </c>
      <c r="L179" s="34"/>
      <c r="M179" s="34"/>
      <c r="N179" s="34"/>
      <c r="O179" s="34"/>
      <c r="P179" s="54">
        <v>46181.841631944444</v>
      </c>
      <c r="Q179" s="35" t="s">
        <v>63</v>
      </c>
      <c r="R179" s="95"/>
      <c r="S179" s="42"/>
    </row>
    <row r="180" spans="1:19" s="5" customFormat="1">
      <c r="A180" s="84"/>
      <c r="B180" s="89"/>
      <c r="C180" s="93"/>
      <c r="D180" s="34"/>
      <c r="E18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80" s="35"/>
      <c r="G180" s="36" t="b">
        <v>0</v>
      </c>
      <c r="H180" s="36" t="b">
        <v>0</v>
      </c>
      <c r="I180" s="36" t="b">
        <v>0</v>
      </c>
      <c r="J180" s="36" t="b">
        <v>0</v>
      </c>
      <c r="K180" s="36" t="b">
        <v>0</v>
      </c>
      <c r="L180" s="34"/>
      <c r="M180" s="34"/>
      <c r="N180" s="34"/>
      <c r="O180" s="34"/>
      <c r="P180" s="54">
        <v>46181.841631944444</v>
      </c>
      <c r="Q180" s="35" t="s">
        <v>63</v>
      </c>
      <c r="R180" s="95"/>
      <c r="S180" s="42"/>
    </row>
    <row r="181" spans="1:19" s="5" customFormat="1">
      <c r="A181" s="84"/>
      <c r="B181" s="89"/>
      <c r="C181" s="93"/>
      <c r="D181" s="34"/>
      <c r="E18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81" s="35"/>
      <c r="G181" s="36" t="b">
        <v>0</v>
      </c>
      <c r="H181" s="36" t="b">
        <v>0</v>
      </c>
      <c r="I181" s="36" t="b">
        <v>0</v>
      </c>
      <c r="J181" s="36" t="b">
        <v>0</v>
      </c>
      <c r="K181" s="36" t="b">
        <v>0</v>
      </c>
      <c r="L181" s="34"/>
      <c r="M181" s="34"/>
      <c r="N181" s="34"/>
      <c r="O181" s="34"/>
      <c r="P181" s="54">
        <v>46181.841631944444</v>
      </c>
      <c r="Q181" s="35" t="s">
        <v>63</v>
      </c>
      <c r="R181" s="95"/>
      <c r="S181" s="42"/>
    </row>
    <row r="182" spans="1:19" s="5" customFormat="1">
      <c r="A182" s="84"/>
      <c r="B182" s="89"/>
      <c r="C182" s="93"/>
      <c r="D182" s="34"/>
      <c r="E18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82" s="35"/>
      <c r="G182" s="36" t="b">
        <v>0</v>
      </c>
      <c r="H182" s="36" t="b">
        <v>0</v>
      </c>
      <c r="I182" s="36" t="b">
        <v>0</v>
      </c>
      <c r="J182" s="36" t="b">
        <v>0</v>
      </c>
      <c r="K182" s="36" t="b">
        <v>0</v>
      </c>
      <c r="L182" s="34"/>
      <c r="M182" s="34"/>
      <c r="N182" s="34"/>
      <c r="O182" s="34"/>
      <c r="P182" s="54">
        <v>46181.841631944444</v>
      </c>
      <c r="Q182" s="35" t="s">
        <v>63</v>
      </c>
      <c r="R182" s="95"/>
      <c r="S182" s="42"/>
    </row>
    <row r="183" spans="1:19" s="5" customFormat="1">
      <c r="A183" s="84"/>
      <c r="B183" s="89"/>
      <c r="C183" s="93"/>
      <c r="D183" s="34"/>
      <c r="E18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83" s="35"/>
      <c r="G183" s="36" t="b">
        <v>0</v>
      </c>
      <c r="H183" s="36" t="b">
        <v>0</v>
      </c>
      <c r="I183" s="36" t="b">
        <v>0</v>
      </c>
      <c r="J183" s="36" t="b">
        <v>0</v>
      </c>
      <c r="K183" s="36" t="b">
        <v>0</v>
      </c>
      <c r="L183" s="34"/>
      <c r="M183" s="34"/>
      <c r="N183" s="34"/>
      <c r="O183" s="34"/>
      <c r="P183" s="54">
        <v>46181.841631944444</v>
      </c>
      <c r="Q183" s="35" t="s">
        <v>63</v>
      </c>
      <c r="R183" s="95"/>
      <c r="S183" s="42"/>
    </row>
    <row r="184" spans="1:19" s="5" customFormat="1">
      <c r="A184" s="84"/>
      <c r="B184" s="89"/>
      <c r="C184" s="93"/>
      <c r="D184" s="34"/>
      <c r="E18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84" s="35"/>
      <c r="G184" s="36" t="b">
        <v>0</v>
      </c>
      <c r="H184" s="36" t="b">
        <v>0</v>
      </c>
      <c r="I184" s="36" t="b">
        <v>0</v>
      </c>
      <c r="J184" s="36" t="b">
        <v>0</v>
      </c>
      <c r="K184" s="36" t="b">
        <v>0</v>
      </c>
      <c r="L184" s="34"/>
      <c r="M184" s="34"/>
      <c r="N184" s="34"/>
      <c r="O184" s="34"/>
      <c r="P184" s="54">
        <v>46181.841631944444</v>
      </c>
      <c r="Q184" s="35" t="s">
        <v>63</v>
      </c>
      <c r="R184" s="95"/>
      <c r="S184" s="42"/>
    </row>
    <row r="185" spans="1:19" s="5" customFormat="1">
      <c r="A185" s="84"/>
      <c r="B185" s="89"/>
      <c r="C185" s="93"/>
      <c r="D185" s="34"/>
      <c r="E18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85" s="35"/>
      <c r="G185" s="36" t="b">
        <v>0</v>
      </c>
      <c r="H185" s="36" t="b">
        <v>0</v>
      </c>
      <c r="I185" s="36" t="b">
        <v>0</v>
      </c>
      <c r="J185" s="36" t="b">
        <v>0</v>
      </c>
      <c r="K185" s="36" t="b">
        <v>0</v>
      </c>
      <c r="L185" s="34"/>
      <c r="M185" s="34"/>
      <c r="N185" s="34"/>
      <c r="O185" s="34"/>
      <c r="P185" s="54">
        <v>46181.841631944444</v>
      </c>
      <c r="Q185" s="35" t="s">
        <v>63</v>
      </c>
      <c r="R185" s="95"/>
      <c r="S185" s="42"/>
    </row>
    <row r="186" spans="1:19" s="5" customFormat="1">
      <c r="A186" s="84"/>
      <c r="B186" s="89"/>
      <c r="C186" s="93"/>
      <c r="D186" s="34"/>
      <c r="E18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86" s="35"/>
      <c r="G186" s="36" t="b">
        <v>0</v>
      </c>
      <c r="H186" s="36" t="b">
        <v>0</v>
      </c>
      <c r="I186" s="36" t="b">
        <v>0</v>
      </c>
      <c r="J186" s="36" t="b">
        <v>0</v>
      </c>
      <c r="K186" s="36" t="b">
        <v>0</v>
      </c>
      <c r="L186" s="34"/>
      <c r="M186" s="34"/>
      <c r="N186" s="34"/>
      <c r="O186" s="34"/>
      <c r="P186" s="54">
        <v>46181.841631944444</v>
      </c>
      <c r="Q186" s="35" t="s">
        <v>63</v>
      </c>
      <c r="R186" s="95"/>
      <c r="S186" s="42"/>
    </row>
    <row r="187" spans="1:19" s="5" customFormat="1">
      <c r="A187" s="84"/>
      <c r="B187" s="89"/>
      <c r="C187" s="93"/>
      <c r="D187" s="34"/>
      <c r="E18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87" s="35"/>
      <c r="G187" s="36" t="b">
        <v>0</v>
      </c>
      <c r="H187" s="36" t="b">
        <v>0</v>
      </c>
      <c r="I187" s="36" t="b">
        <v>0</v>
      </c>
      <c r="J187" s="36" t="b">
        <v>0</v>
      </c>
      <c r="K187" s="36" t="b">
        <v>0</v>
      </c>
      <c r="L187" s="34"/>
      <c r="M187" s="34"/>
      <c r="N187" s="34"/>
      <c r="O187" s="34"/>
      <c r="P187" s="54">
        <v>46181.841631944444</v>
      </c>
      <c r="Q187" s="35" t="s">
        <v>63</v>
      </c>
      <c r="R187" s="95"/>
      <c r="S187" s="42"/>
    </row>
    <row r="188" spans="1:19" s="5" customFormat="1">
      <c r="A188" s="84"/>
      <c r="B188" s="89"/>
      <c r="C188" s="93"/>
      <c r="D188" s="34"/>
      <c r="E18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88" s="35"/>
      <c r="G188" s="36" t="b">
        <v>0</v>
      </c>
      <c r="H188" s="36" t="b">
        <v>0</v>
      </c>
      <c r="I188" s="36" t="b">
        <v>0</v>
      </c>
      <c r="J188" s="36" t="b">
        <v>0</v>
      </c>
      <c r="K188" s="36" t="b">
        <v>0</v>
      </c>
      <c r="L188" s="34"/>
      <c r="M188" s="34"/>
      <c r="N188" s="34"/>
      <c r="O188" s="34"/>
      <c r="P188" s="54">
        <v>46181.841631944444</v>
      </c>
      <c r="Q188" s="35" t="s">
        <v>63</v>
      </c>
      <c r="R188" s="95"/>
      <c r="S188" s="42"/>
    </row>
    <row r="189" spans="1:19" s="5" customFormat="1">
      <c r="A189" s="84"/>
      <c r="B189" s="89"/>
      <c r="C189" s="93"/>
      <c r="D189" s="34"/>
      <c r="E18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89" s="35"/>
      <c r="G189" s="36" t="b">
        <v>0</v>
      </c>
      <c r="H189" s="36" t="b">
        <v>0</v>
      </c>
      <c r="I189" s="36" t="b">
        <v>0</v>
      </c>
      <c r="J189" s="36" t="b">
        <v>0</v>
      </c>
      <c r="K189" s="36" t="b">
        <v>0</v>
      </c>
      <c r="L189" s="34"/>
      <c r="M189" s="34"/>
      <c r="N189" s="34"/>
      <c r="O189" s="34"/>
      <c r="P189" s="54">
        <v>46181.841631944444</v>
      </c>
      <c r="Q189" s="35" t="s">
        <v>63</v>
      </c>
      <c r="R189" s="95"/>
      <c r="S189" s="42"/>
    </row>
    <row r="190" spans="1:19" s="5" customFormat="1">
      <c r="A190" s="84"/>
      <c r="B190" s="89"/>
      <c r="C190" s="93"/>
      <c r="D190" s="34"/>
      <c r="E19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90" s="35"/>
      <c r="G190" s="36" t="b">
        <v>0</v>
      </c>
      <c r="H190" s="36" t="b">
        <v>0</v>
      </c>
      <c r="I190" s="36" t="b">
        <v>0</v>
      </c>
      <c r="J190" s="36" t="b">
        <v>0</v>
      </c>
      <c r="K190" s="36" t="b">
        <v>0</v>
      </c>
      <c r="L190" s="34"/>
      <c r="M190" s="34"/>
      <c r="N190" s="34"/>
      <c r="O190" s="34"/>
      <c r="P190" s="54">
        <v>46181.841631944444</v>
      </c>
      <c r="Q190" s="35" t="s">
        <v>63</v>
      </c>
      <c r="R190" s="95"/>
      <c r="S190" s="42"/>
    </row>
    <row r="191" spans="1:19" s="5" customFormat="1">
      <c r="A191" s="84"/>
      <c r="B191" s="89"/>
      <c r="C191" s="93"/>
      <c r="D191" s="34"/>
      <c r="E19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91" s="35"/>
      <c r="G191" s="36" t="b">
        <v>0</v>
      </c>
      <c r="H191" s="36" t="b">
        <v>0</v>
      </c>
      <c r="I191" s="36" t="b">
        <v>0</v>
      </c>
      <c r="J191" s="36" t="b">
        <v>0</v>
      </c>
      <c r="K191" s="36" t="b">
        <v>0</v>
      </c>
      <c r="L191" s="34"/>
      <c r="M191" s="34"/>
      <c r="N191" s="34"/>
      <c r="O191" s="34"/>
      <c r="P191" s="54">
        <v>46181.841631944444</v>
      </c>
      <c r="Q191" s="35" t="s">
        <v>63</v>
      </c>
      <c r="R191" s="95"/>
      <c r="S191" s="42"/>
    </row>
    <row r="192" spans="1:19" s="5" customFormat="1">
      <c r="A192" s="84"/>
      <c r="B192" s="89"/>
      <c r="C192" s="93"/>
      <c r="D192" s="34"/>
      <c r="E192"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92" s="35"/>
      <c r="G192" s="36" t="b">
        <v>0</v>
      </c>
      <c r="H192" s="36" t="b">
        <v>0</v>
      </c>
      <c r="I192" s="36" t="b">
        <v>0</v>
      </c>
      <c r="J192" s="36" t="b">
        <v>0</v>
      </c>
      <c r="K192" s="36" t="b">
        <v>0</v>
      </c>
      <c r="L192" s="34"/>
      <c r="M192" s="34"/>
      <c r="N192" s="34"/>
      <c r="O192" s="34"/>
      <c r="P192" s="54">
        <v>46181.841643518521</v>
      </c>
      <c r="Q192" s="35" t="s">
        <v>63</v>
      </c>
      <c r="R192" s="95"/>
      <c r="S192" s="42"/>
    </row>
    <row r="193" spans="1:19" s="5" customFormat="1">
      <c r="A193" s="84"/>
      <c r="B193" s="89"/>
      <c r="C193" s="93"/>
      <c r="D193" s="34"/>
      <c r="E193"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93" s="35"/>
      <c r="G193" s="36" t="b">
        <v>0</v>
      </c>
      <c r="H193" s="36" t="b">
        <v>0</v>
      </c>
      <c r="I193" s="36" t="b">
        <v>0</v>
      </c>
      <c r="J193" s="36" t="b">
        <v>0</v>
      </c>
      <c r="K193" s="36" t="b">
        <v>0</v>
      </c>
      <c r="L193" s="34"/>
      <c r="M193" s="34"/>
      <c r="N193" s="34"/>
      <c r="O193" s="34"/>
      <c r="P193" s="54">
        <v>46181.841643518521</v>
      </c>
      <c r="Q193" s="35" t="s">
        <v>63</v>
      </c>
      <c r="R193" s="95"/>
      <c r="S193" s="42"/>
    </row>
    <row r="194" spans="1:19" s="5" customFormat="1">
      <c r="A194" s="84"/>
      <c r="B194" s="89"/>
      <c r="C194" s="93"/>
      <c r="D194" s="34"/>
      <c r="E194"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94" s="35"/>
      <c r="G194" s="36" t="b">
        <v>0</v>
      </c>
      <c r="H194" s="36" t="b">
        <v>0</v>
      </c>
      <c r="I194" s="36" t="b">
        <v>0</v>
      </c>
      <c r="J194" s="36" t="b">
        <v>0</v>
      </c>
      <c r="K194" s="36" t="b">
        <v>0</v>
      </c>
      <c r="L194" s="34"/>
      <c r="M194" s="34"/>
      <c r="N194" s="34"/>
      <c r="O194" s="34"/>
      <c r="P194" s="54">
        <v>46181.841643518521</v>
      </c>
      <c r="Q194" s="35" t="s">
        <v>63</v>
      </c>
      <c r="R194" s="95"/>
      <c r="S194" s="42"/>
    </row>
    <row r="195" spans="1:19" s="5" customFormat="1">
      <c r="A195" s="84"/>
      <c r="B195" s="89"/>
      <c r="C195" s="93"/>
      <c r="D195" s="34"/>
      <c r="E195"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95" s="35"/>
      <c r="G195" s="36" t="b">
        <v>0</v>
      </c>
      <c r="H195" s="36" t="b">
        <v>0</v>
      </c>
      <c r="I195" s="36" t="b">
        <v>0</v>
      </c>
      <c r="J195" s="36" t="b">
        <v>0</v>
      </c>
      <c r="K195" s="36" t="b">
        <v>0</v>
      </c>
      <c r="L195" s="34"/>
      <c r="M195" s="34"/>
      <c r="N195" s="34"/>
      <c r="O195" s="34"/>
      <c r="P195" s="54">
        <v>46181.841643518521</v>
      </c>
      <c r="Q195" s="35" t="s">
        <v>63</v>
      </c>
      <c r="R195" s="95"/>
      <c r="S195" s="42"/>
    </row>
    <row r="196" spans="1:19" s="5" customFormat="1">
      <c r="A196" s="84"/>
      <c r="B196" s="89"/>
      <c r="C196" s="93"/>
      <c r="D196" s="34"/>
      <c r="E196"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96" s="35"/>
      <c r="G196" s="36" t="b">
        <v>0</v>
      </c>
      <c r="H196" s="36" t="b">
        <v>0</v>
      </c>
      <c r="I196" s="36" t="b">
        <v>0</v>
      </c>
      <c r="J196" s="36" t="b">
        <v>0</v>
      </c>
      <c r="K196" s="36" t="b">
        <v>0</v>
      </c>
      <c r="L196" s="34"/>
      <c r="M196" s="34"/>
      <c r="N196" s="34"/>
      <c r="O196" s="34"/>
      <c r="P196" s="54">
        <v>46181.841643518521</v>
      </c>
      <c r="Q196" s="35" t="s">
        <v>63</v>
      </c>
      <c r="R196" s="95"/>
      <c r="S196" s="42"/>
    </row>
    <row r="197" spans="1:19" s="5" customFormat="1">
      <c r="A197" s="84"/>
      <c r="B197" s="89"/>
      <c r="C197" s="93"/>
      <c r="D197" s="34"/>
      <c r="E197"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97" s="35"/>
      <c r="G197" s="36" t="b">
        <v>0</v>
      </c>
      <c r="H197" s="36" t="b">
        <v>0</v>
      </c>
      <c r="I197" s="36" t="b">
        <v>0</v>
      </c>
      <c r="J197" s="36" t="b">
        <v>0</v>
      </c>
      <c r="K197" s="36" t="b">
        <v>0</v>
      </c>
      <c r="L197" s="34"/>
      <c r="M197" s="34"/>
      <c r="N197" s="34"/>
      <c r="O197" s="34"/>
      <c r="P197" s="54">
        <v>46181.841643518521</v>
      </c>
      <c r="Q197" s="35" t="s">
        <v>63</v>
      </c>
      <c r="R197" s="95"/>
      <c r="S197" s="42"/>
    </row>
    <row r="198" spans="1:19" s="5" customFormat="1">
      <c r="A198" s="84"/>
      <c r="B198" s="89"/>
      <c r="C198" s="93"/>
      <c r="D198" s="34"/>
      <c r="E198"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98" s="35"/>
      <c r="G198" s="36" t="b">
        <v>0</v>
      </c>
      <c r="H198" s="36" t="b">
        <v>0</v>
      </c>
      <c r="I198" s="36" t="b">
        <v>0</v>
      </c>
      <c r="J198" s="36" t="b">
        <v>0</v>
      </c>
      <c r="K198" s="36" t="b">
        <v>0</v>
      </c>
      <c r="L198" s="34"/>
      <c r="M198" s="34"/>
      <c r="N198" s="34"/>
      <c r="O198" s="34"/>
      <c r="P198" s="54">
        <v>46181.841643518521</v>
      </c>
      <c r="Q198" s="35" t="s">
        <v>63</v>
      </c>
      <c r="R198" s="95"/>
      <c r="S198" s="42"/>
    </row>
    <row r="199" spans="1:19" s="5" customFormat="1">
      <c r="A199" s="84"/>
      <c r="B199" s="89"/>
      <c r="C199" s="93"/>
      <c r="D199" s="34"/>
      <c r="E199"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99" s="35"/>
      <c r="G199" s="36" t="b">
        <v>0</v>
      </c>
      <c r="H199" s="36" t="b">
        <v>0</v>
      </c>
      <c r="I199" s="36" t="b">
        <v>0</v>
      </c>
      <c r="J199" s="36" t="b">
        <v>0</v>
      </c>
      <c r="K199" s="36" t="b">
        <v>0</v>
      </c>
      <c r="L199" s="34"/>
      <c r="M199" s="34"/>
      <c r="N199" s="34"/>
      <c r="O199" s="34"/>
      <c r="P199" s="54">
        <v>46181.841643518521</v>
      </c>
      <c r="Q199" s="35" t="s">
        <v>63</v>
      </c>
      <c r="R199" s="95"/>
      <c r="S199" s="42"/>
    </row>
    <row r="200" spans="1:19" s="5" customFormat="1">
      <c r="A200" s="84"/>
      <c r="B200" s="89"/>
      <c r="C200" s="93"/>
      <c r="D200" s="34"/>
      <c r="E200"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200" s="35"/>
      <c r="G200" s="36" t="b">
        <v>0</v>
      </c>
      <c r="H200" s="36" t="b">
        <v>0</v>
      </c>
      <c r="I200" s="36" t="b">
        <v>0</v>
      </c>
      <c r="J200" s="36" t="b">
        <v>0</v>
      </c>
      <c r="K200" s="36" t="b">
        <v>0</v>
      </c>
      <c r="L200" s="34"/>
      <c r="M200" s="34"/>
      <c r="N200" s="34"/>
      <c r="O200" s="34"/>
      <c r="P200" s="54">
        <v>46181.841643518521</v>
      </c>
      <c r="Q200" s="35" t="s">
        <v>63</v>
      </c>
      <c r="R200" s="95"/>
      <c r="S200" s="42"/>
    </row>
    <row r="201" spans="1:19" s="5" customFormat="1">
      <c r="A201" s="84"/>
      <c r="B201" s="89"/>
      <c r="C201" s="93"/>
      <c r="D201" s="34"/>
      <c r="E201" s="3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201" s="35"/>
      <c r="G201" s="36" t="b">
        <v>0</v>
      </c>
      <c r="H201" s="36" t="b">
        <v>0</v>
      </c>
      <c r="I201" s="36" t="b">
        <v>0</v>
      </c>
      <c r="J201" s="36" t="b">
        <v>0</v>
      </c>
      <c r="K201" s="36" t="b">
        <v>0</v>
      </c>
      <c r="L201" s="34"/>
      <c r="M201" s="34"/>
      <c r="N201" s="34"/>
      <c r="O201" s="34"/>
      <c r="P201" s="54">
        <v>46181.841643518521</v>
      </c>
      <c r="Q201" s="35" t="s">
        <v>63</v>
      </c>
      <c r="R201" s="95"/>
      <c r="S201" s="42"/>
    </row>
  </sheetData>
  <conditionalFormatting sqref="E2:E201">
    <cfRule type="containsText" dxfId="41" priority="20" stopIfTrue="1" operator="containsText" text="Checked:">
      <formula>NOT(ISERROR(SEARCH("Checked:",E2)))</formula>
    </cfRule>
    <cfRule type="cellIs" dxfId="40" priority="21" stopIfTrue="1" operator="equal">
      <formula>"No checklist items checked"</formula>
    </cfRule>
    <cfRule type="cellIs" dxfId="39" priority="22" stopIfTrue="1" operator="equal">
      <formula>"Sent"</formula>
    </cfRule>
    <cfRule type="cellIs" dxfId="38" priority="23" stopIfTrue="1" operator="equal">
      <formula>"Scheduled"</formula>
    </cfRule>
    <cfRule type="cellIs" dxfId="37" priority="24" stopIfTrue="1" operator="equal">
      <formula>"Ready to Schedule"</formula>
    </cfRule>
  </conditionalFormatting>
  <conditionalFormatting sqref="A2:R201">
    <cfRule type="expression" dxfId="36" priority="1">
      <formula>AND($C2&lt;&gt;"",$K2&lt;&gt;TRUE,IFERROR(INT($A2),0)&gt;=TODAY()+1,IFERROR(INT($A2),0)&lt;=TODAY()+IF(WEEKDAY(TODAY(),1)=6,3,1),NOT(OR(LOWER(TRIM($R2))="cancelled",LOWER(TRIM($R2))="canceled")))</formula>
    </cfRule>
    <cfRule type="expression" dxfId="35" priority="25">
      <formula>OR(LOWER(TRIM($R2))="cancelled",LOWER(TRIM($R2))="canceled")</formula>
    </cfRule>
    <cfRule type="expression" dxfId="34" priority="26">
      <formula>OR(LOWER(TRIM($R2))="cancelled",LOWER(TRIM($R2))="canceled")</formula>
    </cfRule>
  </conditionalFormatting>
  <hyperlinks>
    <hyperlink ref="M2" r:id="rId1" display="https://ui.attentivemobile.com/campaigns/messages/MTQ6Q29tcG9zZU1lc3NhZ2UxMTE1MDg4NQ/overview" xr:uid="{1F207CA6-50DE-4740-AA24-6B24F23A3253}"/>
    <hyperlink ref="L2" r:id="rId2" display="https://teams.microsoft.com/l/message/19:e8e45d54914640ea878fe0171aa48fdc@thread.v2/1780080460120?context=%7B%22contextType%22%3A%22chat%22%7D" xr:uid="{82397C6C-D119-4ACF-A92F-FC209CBA521F}"/>
    <hyperlink ref="M3" r:id="rId3" display="https://ui.attentivemobile.com/campaigns/messages/MTQ6Q29tcG9zZU1lc3NhZ2UxMTE3MzA5Mw/overview" xr:uid="{264A0BD8-011A-466D-B6BB-D3413CCCAD6E}"/>
    <hyperlink ref="L3" r:id="rId4" display="https://teams.microsoft.com/l/message/19:e8e45d54914640ea878fe0171aa48fdc@thread.v2/1780585124630?context=%7B%22contextType%22%3A%22chat%22%7D" xr:uid="{A0A4AFA5-2E96-4854-B2C4-E7EA7DB9FCD7}"/>
    <hyperlink ref="M4" r:id="rId5" display="https://ui.attentivemobile.com/campaigns/messages/MTQ6Q29tcG9zZU1lc3NhZ2UxMTIxNDU2OA/overview" xr:uid="{9A8CD086-5C1E-4482-93DB-36C360C0C8F8}"/>
    <hyperlink ref="M5" r:id="rId6" display="https://ui.attentivemobile.com/campaigns/messages/MTQ6Q29tcG9zZU1lc3NhZ2UxMTE4NTU0NQ/overview" xr:uid="{947C0771-439B-422F-86B8-2C0C39A18FD5}"/>
    <hyperlink ref="L5" r:id="rId7" display="https://teams.microsoft.com/l/message/19:e8e45d54914640ea878fe0171aa48fdc@thread.v2/1780504108170?context=%7B%22contextType%22%3A%22chat%22%7D" xr:uid="{8131D788-B790-42C0-8601-DDB3B480D850}"/>
    <hyperlink ref="M6" r:id="rId8" display="https://ui.attentivemobile.com/campaigns/messages/MTQ6Q29tcG9zZU1lc3NhZ2UxMTIxMTM3Nw/overview" xr:uid="{44FED7EE-C93E-405C-A074-E3AEAFB383DF}"/>
    <hyperlink ref="L7" r:id="rId9" display="https://teams.microsoft.com/l/message/19:e8e45d54914640ea878fe0171aa48fdc@thread.v2/1780676675054?context=%7B%22contextType%22%3A%22chat%22%7D" xr:uid="{23BD9E44-7798-4C84-BAB2-72137872919F}"/>
    <hyperlink ref="M7" r:id="rId10" display="https://ui.attentivemobile.com/campaigns/messages/MTQ6Q29tcG9zZU1lc3NhZ2UxMTE5NzU2MA/overview" xr:uid="{1B7C7EF8-4CF3-450B-866C-A7F3EBD9FB19}"/>
    <hyperlink ref="M9" r:id="rId11" display="https://ui.attentivemobile.com/campaigns/messages/MTQ6Q29tcG9zZU1lc3NhZ2UxMTI4ODMyNQ/overview" xr:uid="{5FE6028F-A998-4396-8F2A-510DF09A73EB}"/>
    <hyperlink ref="M8" r:id="rId12" display="https://ui.attentivemobile.com/campaigns/compose/design?campaignId=MTU6Q29tcG9zZUNhbXBhaWduMGY3ZGY2OWYtNmE1ZC00Zjc3LThjN2UtODk5MzNjODA5ZDE1&amp;messageGroupId=MjA6Q2FtcGFpZ25NZXNzYWdlR3JvdXAKJDk0NDQ2MmEzLThiODItNDE5Ni1hYjE3LWMzMDFmYzNlMGFlOA&amp;channel=COMPOSE_MESSAGE_CHANNEL_TEXT" xr:uid="{A80D923D-1671-408E-A74F-6AB3F8E841AF}"/>
    <hyperlink ref="L9" r:id="rId13" display="https://teams.microsoft.com/l/message/19:e8e45d54914640ea878fe0171aa48fdc@thread.v2/1781212008047?context=%7B%22contextType%22%3A%22chat%22%7D" xr:uid="{DE778B48-A35C-414B-9F3D-DC558BFCA213}"/>
  </hyperlinks>
  <pageMargins left="0.7" right="0.7" top="0.75" bottom="0.75" header="0.3" footer="0.3"/>
  <tableParts count="1">
    <tablePart r:id="rId14"/>
  </tableParts>
  <extLst>
    <ext xmlns:x14="http://schemas.microsoft.com/office/spreadsheetml/2009/9/main" uri="{CCE6A557-97BC-4b89-ADB6-D9C93CAAB3DF}">
      <x14:dataValidations xmlns:xm="http://schemas.microsoft.com/office/excel/2006/main" count="3">
        <x14:dataValidation type="list" allowBlank="1" showErrorMessage="1" xr:uid="{00000000-0002-0000-0300-000000000000}">
          <x14:formula1>
            <xm:f>Dropdowns!$A$2:$A$8</xm:f>
          </x14:formula1>
          <xm:sqref>D202:D1000</xm:sqref>
        </x14:dataValidation>
        <x14:dataValidation type="list" errorStyle="information" allowBlank="1" showInputMessage="1" errorTitle="Campaign type" error="Custom values are allowed for this row, but they are not saved as dropdown options." promptTitle="Campaign type" prompt="Choose a type. If the type is not listed, choose Others, then type the custom value in this cell. Custom values are not added to the dropdown list." xr:uid="{0362B5C3-5BDB-4426-B9D9-2B2A1BB34D2D}">
          <x14:formula1>
            <xm:f>Dropdowns!$A$2:$A$8</xm:f>
          </x14:formula1>
          <xm:sqref>D202:D1000</xm:sqref>
        </x14:dataValidation>
        <x14:dataValidation type="list" errorStyle="information" allowBlank="1" showInputMessage="1" errorTitle="Campaign type" error="Custom values are allowed for this row, but they are not saved as dropdown options." promptTitle="Campaign type" prompt="Choose a type. To use a type that is not listed, choose Others and enter the custom value when prompted. Custom values apply to that row only and are not added to the list." xr:uid="{F4F4380C-02FE-43B6-B87C-55DEEF765445}">
          <x14:formula1>
            <xm:f>Dropdowns!$A$2:$A$10</xm:f>
          </x14:formula1>
          <xm:sqref>D2:D201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0239-ABC9-40E4-BE16-1750D6791704}">
  <sheetPr codeName="Sheet3">
    <tabColor rgb="FF002060"/>
  </sheetPr>
  <dimension ref="A1:E23"/>
  <sheetViews>
    <sheetView topLeftCell="A17" workbookViewId="0">
      <selection activeCell="C13" sqref="C13"/>
    </sheetView>
  </sheetViews>
  <sheetFormatPr defaultRowHeight="15"/>
  <cols>
    <col min="1" max="1" width="22.625" style="6" customWidth="1"/>
    <col min="2" max="2" width="25.625" style="6" customWidth="1"/>
    <col min="3" max="3" width="48.625" style="6" customWidth="1"/>
    <col min="4" max="4" width="45.625" style="6" customWidth="1"/>
    <col min="5" max="5" width="42.625" style="6" customWidth="1"/>
  </cols>
  <sheetData>
    <row r="1" spans="1:5" ht="14.25">
      <c r="A1" s="132" t="s">
        <v>80</v>
      </c>
      <c r="B1" s="132"/>
      <c r="C1" s="132"/>
      <c r="D1" s="132"/>
      <c r="E1" s="132"/>
    </row>
    <row r="2" spans="1:5" ht="14.25">
      <c r="A2" s="132"/>
      <c r="B2" s="132"/>
      <c r="C2" s="132"/>
      <c r="D2" s="132"/>
      <c r="E2" s="132"/>
    </row>
    <row r="3" spans="1:5">
      <c r="A3" s="6" t="s">
        <v>200</v>
      </c>
      <c r="B3" s="6" t="s">
        <v>201</v>
      </c>
      <c r="C3" s="6" t="s">
        <v>202</v>
      </c>
      <c r="D3" s="6" t="s">
        <v>203</v>
      </c>
      <c r="E3" s="6" t="s">
        <v>204</v>
      </c>
    </row>
    <row r="4" spans="1:5" ht="60">
      <c r="A4" s="6" t="s">
        <v>82</v>
      </c>
      <c r="B4" s="6" t="s">
        <v>205</v>
      </c>
      <c r="C4" s="6" t="s">
        <v>206</v>
      </c>
      <c r="D4" s="6" t="s">
        <v>207</v>
      </c>
      <c r="E4" s="6" t="s">
        <v>208</v>
      </c>
    </row>
    <row r="5" spans="1:5" ht="60">
      <c r="A5" s="6" t="s">
        <v>82</v>
      </c>
      <c r="B5" s="6" t="s">
        <v>209</v>
      </c>
      <c r="C5" s="6" t="s">
        <v>210</v>
      </c>
      <c r="D5" s="6" t="s">
        <v>211</v>
      </c>
      <c r="E5" s="6" t="s">
        <v>212</v>
      </c>
    </row>
    <row r="6" spans="1:5" ht="45">
      <c r="A6" s="6" t="s">
        <v>83</v>
      </c>
      <c r="B6" s="6" t="s">
        <v>213</v>
      </c>
      <c r="C6" s="6" t="s">
        <v>214</v>
      </c>
      <c r="D6" s="6" t="s">
        <v>215</v>
      </c>
      <c r="E6" s="6" t="s">
        <v>216</v>
      </c>
    </row>
    <row r="7" spans="1:5" ht="90">
      <c r="A7" s="6" t="s">
        <v>43</v>
      </c>
      <c r="B7" s="6" t="s">
        <v>217</v>
      </c>
      <c r="C7" s="6" t="s">
        <v>218</v>
      </c>
      <c r="D7" s="6" t="s">
        <v>219</v>
      </c>
      <c r="E7" s="6" t="s">
        <v>220</v>
      </c>
    </row>
    <row r="8" spans="1:5" ht="45">
      <c r="A8" s="6" t="s">
        <v>84</v>
      </c>
      <c r="B8" s="6" t="s">
        <v>221</v>
      </c>
      <c r="C8" s="6" t="s">
        <v>222</v>
      </c>
      <c r="D8" s="6" t="s">
        <v>223</v>
      </c>
      <c r="E8" s="6" t="s">
        <v>208</v>
      </c>
    </row>
    <row r="9" spans="1:5" ht="60">
      <c r="A9" s="6" t="s">
        <v>85</v>
      </c>
      <c r="B9" s="6" t="s">
        <v>224</v>
      </c>
      <c r="C9" s="6" t="s">
        <v>225</v>
      </c>
      <c r="D9" s="6" t="s">
        <v>226</v>
      </c>
      <c r="E9" s="6" t="s">
        <v>227</v>
      </c>
    </row>
    <row r="10" spans="1:5" ht="60">
      <c r="A10" s="6" t="s">
        <v>85</v>
      </c>
      <c r="B10" s="6" t="s">
        <v>228</v>
      </c>
      <c r="C10" s="6" t="s">
        <v>229</v>
      </c>
      <c r="D10" s="6" t="s">
        <v>230</v>
      </c>
      <c r="E10" s="6" t="s">
        <v>231</v>
      </c>
    </row>
    <row r="11" spans="1:5" ht="90">
      <c r="A11" s="6" t="s">
        <v>199</v>
      </c>
      <c r="B11" s="6" t="s">
        <v>232</v>
      </c>
      <c r="C11" s="6" t="s">
        <v>233</v>
      </c>
      <c r="D11" s="6" t="s">
        <v>234</v>
      </c>
      <c r="E11" s="6" t="s">
        <v>235</v>
      </c>
    </row>
    <row r="12" spans="1:5" ht="60">
      <c r="A12" s="6" t="s">
        <v>86</v>
      </c>
      <c r="B12" s="6" t="s">
        <v>236</v>
      </c>
      <c r="C12" s="6" t="s">
        <v>237</v>
      </c>
      <c r="D12" s="6" t="s">
        <v>238</v>
      </c>
      <c r="E12" s="6" t="s">
        <v>239</v>
      </c>
    </row>
    <row r="13" spans="1:5" ht="45">
      <c r="A13" s="6" t="s">
        <v>87</v>
      </c>
      <c r="B13" s="6" t="s">
        <v>240</v>
      </c>
      <c r="C13" s="6" t="s">
        <v>241</v>
      </c>
      <c r="D13" s="6" t="s">
        <v>242</v>
      </c>
      <c r="E13" s="6" t="s">
        <v>243</v>
      </c>
    </row>
    <row r="14" spans="1:5" ht="45">
      <c r="A14" s="6" t="s">
        <v>88</v>
      </c>
      <c r="B14" s="6" t="s">
        <v>244</v>
      </c>
      <c r="C14" s="6" t="s">
        <v>245</v>
      </c>
      <c r="D14" s="6" t="s">
        <v>246</v>
      </c>
      <c r="E14" s="6" t="s">
        <v>247</v>
      </c>
    </row>
    <row r="15" spans="1:5" ht="45">
      <c r="A15" s="6" t="s">
        <v>20</v>
      </c>
      <c r="B15" s="6" t="s">
        <v>248</v>
      </c>
      <c r="C15" s="6" t="s">
        <v>249</v>
      </c>
      <c r="D15" s="6" t="s">
        <v>250</v>
      </c>
      <c r="E15" s="6" t="s">
        <v>251</v>
      </c>
    </row>
    <row r="16" spans="1:5" ht="45">
      <c r="A16" s="6" t="s">
        <v>41</v>
      </c>
      <c r="B16" s="6" t="s">
        <v>252</v>
      </c>
      <c r="C16" s="6" t="s">
        <v>253</v>
      </c>
      <c r="D16" s="6" t="s">
        <v>254</v>
      </c>
      <c r="E16" s="6" t="s">
        <v>255</v>
      </c>
    </row>
    <row r="17" spans="1:5" ht="45">
      <c r="A17" s="6" t="s">
        <v>89</v>
      </c>
      <c r="B17" s="6" t="s">
        <v>256</v>
      </c>
      <c r="C17" s="6" t="s">
        <v>257</v>
      </c>
      <c r="D17" s="6" t="s">
        <v>258</v>
      </c>
      <c r="E17" s="6" t="s">
        <v>259</v>
      </c>
    </row>
    <row r="18" spans="1:5" ht="75">
      <c r="A18" s="6" t="s">
        <v>90</v>
      </c>
      <c r="B18" s="6" t="s">
        <v>260</v>
      </c>
      <c r="C18" s="6" t="s">
        <v>261</v>
      </c>
      <c r="D18" s="6" t="s">
        <v>262</v>
      </c>
      <c r="E18" s="6" t="s">
        <v>263</v>
      </c>
    </row>
    <row r="19" spans="1:5" ht="60">
      <c r="A19" s="6" t="s">
        <v>91</v>
      </c>
      <c r="B19" s="6" t="s">
        <v>264</v>
      </c>
      <c r="C19" s="6" t="s">
        <v>265</v>
      </c>
      <c r="D19" s="6" t="s">
        <v>266</v>
      </c>
      <c r="E19" s="6" t="s">
        <v>267</v>
      </c>
    </row>
    <row r="20" spans="1:5" ht="45">
      <c r="A20" s="6" t="s">
        <v>92</v>
      </c>
      <c r="B20" s="6" t="s">
        <v>268</v>
      </c>
      <c r="C20" s="6" t="s">
        <v>269</v>
      </c>
      <c r="D20" s="6" t="s">
        <v>270</v>
      </c>
      <c r="E20" s="6" t="s">
        <v>271</v>
      </c>
    </row>
    <row r="21" spans="1:5" ht="45">
      <c r="A21" s="6" t="s">
        <v>93</v>
      </c>
      <c r="B21" s="6" t="s">
        <v>272</v>
      </c>
      <c r="C21" s="6" t="s">
        <v>273</v>
      </c>
      <c r="D21" s="6" t="s">
        <v>274</v>
      </c>
      <c r="E21" s="6" t="s">
        <v>275</v>
      </c>
    </row>
    <row r="22" spans="1:5" ht="75">
      <c r="A22" s="6" t="s">
        <v>94</v>
      </c>
      <c r="B22" s="6" t="s">
        <v>276</v>
      </c>
      <c r="C22" s="6" t="s">
        <v>277</v>
      </c>
      <c r="D22" s="6" t="s">
        <v>278</v>
      </c>
      <c r="E22" s="6" t="s">
        <v>279</v>
      </c>
    </row>
    <row r="23" spans="1:5" ht="90">
      <c r="A23" s="6" t="s">
        <v>95</v>
      </c>
      <c r="B23" s="6" t="s">
        <v>280</v>
      </c>
      <c r="C23" s="6" t="s">
        <v>281</v>
      </c>
      <c r="D23" s="6" t="s">
        <v>282</v>
      </c>
      <c r="E23" s="6" t="s">
        <v>283</v>
      </c>
    </row>
  </sheetData>
  <sheetProtection algorithmName="SHA-512" hashValue="q5eV3OOwUwkRQnjXGolzjryxusOztesTn1i5PAklyFjsoMCjw/fJAKRnVezBePXmxeeuWFINOnSaEuAPnevKrA==" saltValue="AzXVchNR89isvN1vVOi1/A==" spinCount="100000" sheet="1" objects="1" scenarios="1"/>
  <mergeCells count="1">
    <mergeCell ref="A1:E2"/>
  </mergeCell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90B0C2-2663-45C7-B059-C33B2187A078}">
  <sheetPr codeName="Sheet6"/>
  <dimension ref="A1:Q32"/>
  <sheetViews>
    <sheetView topLeftCell="A25" workbookViewId="0">
      <selection activeCell="D29" sqref="D29"/>
    </sheetView>
  </sheetViews>
  <sheetFormatPr defaultRowHeight="15"/>
  <cols>
    <col min="1" max="8" width="26.875" style="63" customWidth="1"/>
    <col min="9" max="16384" width="9" style="62"/>
  </cols>
  <sheetData>
    <row r="1" spans="1:17" ht="26.25">
      <c r="A1" s="133" t="s">
        <v>192</v>
      </c>
      <c r="B1" s="133"/>
      <c r="C1" s="133"/>
      <c r="D1" s="133"/>
      <c r="E1" s="133"/>
      <c r="F1" s="133"/>
      <c r="G1" s="133"/>
      <c r="H1" s="133"/>
      <c r="I1" s="135" t="s">
        <v>196</v>
      </c>
      <c r="J1" s="135"/>
      <c r="K1" s="135"/>
      <c r="L1" s="135" t="s">
        <v>195</v>
      </c>
      <c r="M1" s="135"/>
      <c r="N1" s="135"/>
      <c r="O1" s="135" t="s">
        <v>194</v>
      </c>
      <c r="P1" s="135"/>
      <c r="Q1" s="135"/>
    </row>
    <row r="2" spans="1:17" ht="21">
      <c r="A2" s="71"/>
      <c r="B2" s="71" t="str" cm="1">
        <f t="array" ref="B2:H2">'[1]2026 May Email Calendar'!$B$16:$H$16 &amp; ""</f>
        <v>Events</v>
      </c>
      <c r="C2" s="71" t="str">
        <v>Promo</v>
      </c>
      <c r="D2" s="71" t="str">
        <v/>
      </c>
      <c r="E2" s="71" t="str">
        <v>Services</v>
      </c>
      <c r="F2" s="71" t="str">
        <v>PLCC &amp; Loyalty</v>
      </c>
      <c r="G2" s="71" t="str">
        <v>Promo</v>
      </c>
      <c r="H2" s="71" t="str">
        <v>Newsletters</v>
      </c>
    </row>
    <row r="3" spans="1:17" ht="21">
      <c r="A3" s="70"/>
      <c r="B3" s="70" t="str">
        <f>'[1]2026 May Email Calendar'!$B$2 &amp; ""</f>
        <v>Sunday</v>
      </c>
      <c r="C3" s="70" t="str">
        <f>'[1]2026 May Email Calendar'!$C$2 &amp; ""</f>
        <v>Monday</v>
      </c>
      <c r="D3" s="70" t="str">
        <f>'[1]2026 May Email Calendar'!$D$2 &amp; ""</f>
        <v>Tuesday</v>
      </c>
      <c r="E3" s="70" t="str">
        <f>'[1]2026 May Email Calendar'!$E$2 &amp; ""</f>
        <v>Wednesday</v>
      </c>
      <c r="F3" s="70" t="str">
        <f>'[1]2026 May Email Calendar'!$F$2 &amp; ""</f>
        <v>Thursday</v>
      </c>
      <c r="G3" s="70" t="str">
        <f>'[1]2026 May Email Calendar'!$G$2 &amp; ""</f>
        <v>Friday</v>
      </c>
      <c r="H3" s="70" t="str">
        <f>'[1]2026 May Email Calendar'!$H$2 &amp; ""</f>
        <v>Saturday</v>
      </c>
    </row>
    <row r="4" spans="1:17">
      <c r="A4" s="65" t="str">
        <f>'[1]2026 May Email Calendar'!$A$3</f>
        <v>Wk. 18: April 26 – May 02</v>
      </c>
      <c r="B4" s="65">
        <f>'[1]2026 May Email Calendar'!$B$3</f>
        <v>46138</v>
      </c>
      <c r="C4" s="65">
        <f>'[1]2026 May Email Calendar'!$C$3</f>
        <v>46139</v>
      </c>
      <c r="D4" s="65">
        <f>'[1]2026 May Email Calendar'!$D$3</f>
        <v>46140</v>
      </c>
      <c r="E4" s="65">
        <f>'[1]2026 May Email Calendar'!$E$3</f>
        <v>46141</v>
      </c>
      <c r="F4" s="65">
        <f>'[1]2026 May Email Calendar'!$F$3</f>
        <v>46142</v>
      </c>
      <c r="G4" s="66" cm="1">
        <f t="array" ref="G4:H4">'[1]2026 May Email Calendar'!$G$3:$H$3</f>
        <v>46143</v>
      </c>
      <c r="H4" s="66">
        <v>46144</v>
      </c>
    </row>
    <row r="5" spans="1:17" ht="90">
      <c r="A5" s="65"/>
      <c r="B5" s="74"/>
      <c r="C5" s="74"/>
      <c r="D5" s="74"/>
      <c r="E5" s="74"/>
      <c r="F5" s="74"/>
      <c r="G5" s="63" t="str" cm="1">
        <f t="array" ref="G5:H5">'[1]2026 May Email Calendar'!$G$4:$H$4 &amp; ""</f>
        <v>Promo: 
Warehouse Sale Reminder
8AM
With Dynamic Products
NO EMAILS AFTER 7:25PM</v>
      </c>
      <c r="H5" s="63" t="str">
        <v>Newsletters:
Creators Huddle 
9:30PM
NO EMAILS BEFORE 9:10PM</v>
      </c>
    </row>
    <row r="6" spans="1:17">
      <c r="A6" s="65" t="str" cm="1">
        <f t="array" ref="A6:H6">'[1]2026 May Email Calendar'!$A$5:$H$5</f>
        <v>Wk. 19: May 03 – May 09</v>
      </c>
      <c r="B6" s="66">
        <v>46145</v>
      </c>
      <c r="C6" s="66">
        <v>46146</v>
      </c>
      <c r="D6" s="66">
        <v>46147</v>
      </c>
      <c r="E6" s="66">
        <v>46148</v>
      </c>
      <c r="F6" s="66">
        <v>46149</v>
      </c>
      <c r="G6" s="66">
        <v>46150</v>
      </c>
      <c r="H6" s="66">
        <v>46151</v>
      </c>
    </row>
    <row r="7" spans="1:17" ht="210">
      <c r="A7" s="65"/>
      <c r="B7" s="63" t="str" cm="1">
        <f t="array" ref="B7:H7">'[1]2026 May Email Calendar'!$B$6:$H$6 &amp; ""</f>
        <v>EVENTS: 5/3 Karen Haberberg | Coffee with Creators 
8AM</v>
      </c>
      <c r="C7" s="63" t="str">
        <v>Promo: 
Photo Rebates 
With Static Products
2x7
8AM</v>
      </c>
      <c r="D7" s="67" t="str">
        <v/>
      </c>
      <c r="E7" s="63" t="str">
        <v>Services: 
Open Box 
With Photo L2 + L1 Categories
2x3
STO</v>
      </c>
      <c r="F7" s="63" t="str">
        <v xml:space="preserve">Loyalty:
EM1: Engagement: Ways to earn with new actions 
STO
EM2: VIP Acquisition
STO
</v>
      </c>
      <c r="G7" s="63" t="str">
        <v>EM1: Badge Scan Leads Post Show
8AM
EM2: Promo:
Graduation Sale + Bundle &amp; Save 
With Dynamic Products
2x6 for both Bundle &amp; Save and Graduation Gift Sale
9AM
NO EMAILS AFTER 7:35PM</v>
      </c>
      <c r="H7" s="63" t="str">
        <v>Newsletters:
Photo (include bundle and save)
With Dynamic Products
2x6
These value SKUs mainly cover photo products, with some video SKUs included. All feature free items.
9:30PM
NO EMAILS BEFORE 9:20PM</v>
      </c>
    </row>
    <row r="8" spans="1:17">
      <c r="A8" s="63" t="str" cm="1">
        <f t="array" ref="A8:H8">'[1]2026 May Email Calendar'!$A$7:$H$7</f>
        <v>Wk. 20: May 10 – May 16</v>
      </c>
      <c r="B8" s="66">
        <v>46152</v>
      </c>
      <c r="C8" s="66">
        <v>46153</v>
      </c>
      <c r="D8" s="66">
        <v>46154</v>
      </c>
      <c r="E8" s="66">
        <v>46155</v>
      </c>
      <c r="F8" s="66">
        <v>46156</v>
      </c>
      <c r="G8" s="66">
        <v>46157</v>
      </c>
      <c r="H8" s="66">
        <v>46158</v>
      </c>
    </row>
    <row r="9" spans="1:17" ht="210">
      <c r="B9" s="63" t="str" cm="1">
        <f t="array" ref="B9:H9">'[1]2026 May Email Calendar'!$B$8:$H$8 &amp; ""</f>
        <v>EVENTS: EM1: 5/10 Neil Leifer | Coffee with Creators https://www.youtube.com/live/elf3MrhR5aM
STO</v>
      </c>
      <c r="C9" s="63" t="str">
        <v>Promo: 
Wedding Season 
With Dynamic Products
STO</v>
      </c>
      <c r="D9" s="63" t="str">
        <v xml:space="preserve">NPA:
Panasonic
12PM
</v>
      </c>
      <c r="E9" s="65" t="str">
        <v>NPA:
EM1: Canon Camera &amp; Lenses
9AM
EM2: Sony New Camera, Lens and 5 Accessories
After 12:16PM</v>
      </c>
      <c r="F9" s="65" t="str">
        <v>Loyalty: 
Redemption: Spend $1k get back 500pts
8AM</v>
      </c>
      <c r="G9" s="63" t="str">
        <v>Promo: 
EM1. Sony Lens Retargeting 
(8AM)
EM2. 3-Day Sale: Lexar Memory Cards 
With L1. Category (Computers)
(9AM) 
EM3. Weekend Deals 
(10AM)
NO EMAILS AFTER 7:40PM</v>
      </c>
      <c r="H9" s="63" t="str">
        <v>Newsletters:
Private Brands (Flashpoint/Glow)
10PM
NO EMAILS BEFORE 9:25PM</v>
      </c>
    </row>
    <row r="10" spans="1:17">
      <c r="A10" s="63" t="str" cm="1">
        <f t="array" ref="A10:H10">'[1]2026 May Email Calendar'!$A$9:$H$9</f>
        <v>Wk. 21: May 17 – May 23</v>
      </c>
      <c r="B10" s="73">
        <v>46159</v>
      </c>
      <c r="C10" s="73">
        <v>46160</v>
      </c>
      <c r="D10" s="73">
        <v>46161</v>
      </c>
      <c r="E10" s="73">
        <v>46162</v>
      </c>
      <c r="F10" s="73">
        <v>46163</v>
      </c>
      <c r="G10" s="73">
        <v>46164</v>
      </c>
      <c r="H10" s="73">
        <v>46165</v>
      </c>
    </row>
    <row r="11" spans="1:17" ht="210">
      <c r="B11" s="63" t="str" cm="1">
        <f t="array" ref="B11:H11">'[1]2026 May Email Calendar'!$B$10:$H$10 &amp; ""</f>
        <v>Events: 5/17 All Access: Creating Iconic Band Portraits with Photographer Jeremy Saffer
https://www.eventbrite.com/e/all-access-creating-iconic-band-portraits-with-photographer-jeremy-saffer-tickets-1988403215544?aff=oddtdtcreator&amp;keep_tld=true
https://www.youtube.com/live/IaserPm4bJ4
STO</v>
      </c>
      <c r="C11" s="63" t="str">
        <v>Promo: 
Memorial Day Sale 
With Brands + Categories
STO</v>
      </c>
      <c r="D11" s="67" t="str">
        <v/>
      </c>
      <c r="E11" s="63" t="str">
        <v>Services: 
EM1: Private Brands Best Sellers + Social Proof (theme: Memorial Day) 
8AM
EM2: Used (wedding season theme)
9AM</v>
      </c>
      <c r="F11" s="63" t="str">
        <v>Promo: 
Memorial Day (v1. Video &amp; v2. everyone else)
With Categories and Products
8AM
NO EMAILS AFTER 7:45PM</v>
      </c>
      <c r="G11" s="67" t="str">
        <v>NO EMAIL: Shavuot</v>
      </c>
      <c r="H11" s="63" t="str">
        <v>Newsletters:
Photo (theme: Memorial Day Sale)
10PM
NO EMAILS BEFORE 9:30PM</v>
      </c>
    </row>
    <row r="12" spans="1:17">
      <c r="A12" s="65" t="str" cm="1">
        <f t="array" ref="A12:H12">'[1]2026 May Email Calendar'!$A$11:$H$11</f>
        <v>Wk. 22: May 24 – May 30</v>
      </c>
      <c r="B12" s="66">
        <v>46166</v>
      </c>
      <c r="C12" s="66">
        <v>46167</v>
      </c>
      <c r="D12" s="66">
        <v>46168</v>
      </c>
      <c r="E12" s="66">
        <v>46169</v>
      </c>
      <c r="F12" s="66">
        <v>46170</v>
      </c>
      <c r="G12" s="66">
        <v>46171</v>
      </c>
      <c r="H12" s="66">
        <v>46172</v>
      </c>
    </row>
    <row r="13" spans="1:17" ht="165">
      <c r="A13" s="65"/>
      <c r="B13" s="65" t="str" cm="1">
        <f t="array" ref="B13:H13">'[1]2026 May Email Calendar'!$B$12:$H$12 &amp; ""</f>
        <v>Events: 
EM2: PLCC
Statement Credit + NPA Recap</v>
      </c>
      <c r="C13" s="65" t="str">
        <v>Promo: 
Memorial Day Sale 
With Brands + Categories
STO</v>
      </c>
      <c r="D13" s="65" t="str">
        <v>Promo: 
EM1: Memorial Day Final Day With Products (8AM)
EM2: Memorial Day Final Hours Categories Only (3PM)</v>
      </c>
      <c r="E13" s="65" t="str">
        <v>Services:  
EM1: EDU (8AM)
EM2: Trade (9AM)</v>
      </c>
      <c r="F13" s="65" t="str">
        <v xml:space="preserve">Loyalty: 
EM1: VIP Summary (Adorama - existing VIPs)
V1: VIP Rewards
V2: VIP Perks
V3: VIP PRO
8AM
PLCC:
EM2: Statement Credit
</v>
      </c>
      <c r="G13" s="65" t="str">
        <v>Promo: 
V1: Live Sound/DJ campaign
11AM
V2: Weekend Deals
12PM
NO EMAILS AFTER 7:55PM</v>
      </c>
      <c r="H13" s="65" t="str">
        <v>Newsletters:
Video
10PM
NO EMAILS BEFORE 9:35PM</v>
      </c>
    </row>
    <row r="14" spans="1:17">
      <c r="A14" s="65" t="str" cm="1">
        <f t="array" ref="A14:B14">'[1]2026 May Email Calendar'!$A$13:$B$13</f>
        <v>Wk. 23: May 31 – June 06</v>
      </c>
      <c r="B14" s="66">
        <v>46173</v>
      </c>
      <c r="C14" s="65"/>
      <c r="D14" s="65"/>
      <c r="E14" s="65"/>
      <c r="F14" s="65"/>
      <c r="G14" s="65"/>
      <c r="H14" s="65"/>
    </row>
    <row r="15" spans="1:17" ht="45">
      <c r="A15" s="65"/>
      <c r="B15" s="65" t="str">
        <f>'[1]2026 May Email Calendar'!$B$14 &amp; ""</f>
        <v>Events: 
NPA Recap</v>
      </c>
      <c r="C15" s="72"/>
      <c r="D15" s="72"/>
      <c r="E15" s="72"/>
      <c r="F15" s="72"/>
      <c r="G15" s="72"/>
      <c r="H15" s="72"/>
    </row>
    <row r="16" spans="1:17">
      <c r="A16" s="65"/>
      <c r="B16" s="65"/>
      <c r="C16" s="65"/>
      <c r="D16" s="65"/>
      <c r="E16" s="65"/>
      <c r="F16" s="65"/>
      <c r="G16" s="65"/>
      <c r="H16" s="65"/>
    </row>
    <row r="17" spans="1:8" ht="26.25">
      <c r="A17" s="134" t="s">
        <v>193</v>
      </c>
      <c r="B17" s="134"/>
      <c r="C17" s="134"/>
      <c r="D17" s="134"/>
      <c r="E17" s="134"/>
      <c r="F17" s="134"/>
      <c r="G17" s="134"/>
      <c r="H17" s="134"/>
    </row>
    <row r="18" spans="1:8" ht="21">
      <c r="A18" s="71"/>
      <c r="B18" s="71" t="str" cm="1">
        <f t="array" ref="B18:H18">'[1]2026 May Email Calendar'!$B$16:$H$16 &amp; ""</f>
        <v>Events</v>
      </c>
      <c r="C18" s="71" t="str">
        <v>Promo</v>
      </c>
      <c r="D18" s="71" t="str">
        <v/>
      </c>
      <c r="E18" s="71" t="str">
        <v>Services</v>
      </c>
      <c r="F18" s="71" t="str">
        <v>PLCC &amp; Loyalty</v>
      </c>
      <c r="G18" s="71" t="str">
        <v>Promo</v>
      </c>
      <c r="H18" s="71" t="str">
        <v>Newsletters</v>
      </c>
    </row>
    <row r="19" spans="1:8" ht="21">
      <c r="A19" s="70"/>
      <c r="B19" s="70" t="str" cm="1">
        <f t="array" ref="B19:H19">'[2]2026 May SMS Calendar'!$B$2:$H$2 &amp; ""</f>
        <v>Sunday</v>
      </c>
      <c r="C19" s="70" t="str">
        <v>Monday</v>
      </c>
      <c r="D19" s="70" t="str">
        <v>Tuesday</v>
      </c>
      <c r="E19" s="70" t="str">
        <v>Wednesday</v>
      </c>
      <c r="F19" s="70" t="str">
        <v>Thursday</v>
      </c>
      <c r="G19" s="70" t="str">
        <v>Friday</v>
      </c>
      <c r="H19" s="70" t="str">
        <v>Saturday</v>
      </c>
    </row>
    <row r="20" spans="1:8">
      <c r="A20" s="63" t="str">
        <f>'[2]2026 May SMS Calendar'!$A$3</f>
        <v>Wk. 18: April 26 – May 02</v>
      </c>
      <c r="B20" s="65">
        <f>'[2]2026 May SMS Calendar'!$B$3</f>
        <v>46138</v>
      </c>
      <c r="C20" s="65">
        <f>'[2]2026 May SMS Calendar'!$C$3</f>
        <v>46139</v>
      </c>
      <c r="D20" s="65">
        <f>'[2]2026 May SMS Calendar'!$D$3</f>
        <v>46140</v>
      </c>
      <c r="E20" s="65">
        <f>'[2]2026 May SMS Calendar'!$E$3</f>
        <v>46141</v>
      </c>
      <c r="F20" s="65">
        <f>'[2]2026 May SMS Calendar'!$F$3</f>
        <v>46142</v>
      </c>
      <c r="G20" s="66" cm="1">
        <f t="array" ref="G20:H20">'[2]2026 May SMS Calendar'!$G$3:$H$3</f>
        <v>46143</v>
      </c>
      <c r="H20" s="66">
        <v>46144</v>
      </c>
    </row>
    <row r="21" spans="1:8" ht="45">
      <c r="B21" s="64"/>
      <c r="C21" s="64"/>
      <c r="D21" s="64"/>
      <c r="E21" s="64"/>
      <c r="F21" s="64"/>
      <c r="G21" s="65" t="str" cm="1">
        <f t="array" ref="G21:H21">'[2]2026 May SMS Calendar'!$G$4:$H$4 &amp; ""</f>
        <v>Promo: 
Warehouse Sale Reminder
11AM Local</v>
      </c>
      <c r="H21" s="67" t="str">
        <v/>
      </c>
    </row>
    <row r="22" spans="1:8">
      <c r="A22" s="63" t="str" cm="1">
        <f t="array" ref="A22:H22">'[2]2026 May SMS Calendar'!$A$5:$H$5</f>
        <v>Wk. 19: May 03 – May 09</v>
      </c>
      <c r="B22" s="66">
        <v>46145</v>
      </c>
      <c r="C22" s="66">
        <v>46146</v>
      </c>
      <c r="D22" s="66">
        <v>46147</v>
      </c>
      <c r="E22" s="66">
        <v>46148</v>
      </c>
      <c r="F22" s="66">
        <v>46149</v>
      </c>
      <c r="G22" s="66">
        <v>46150</v>
      </c>
      <c r="H22" s="66">
        <v>46151</v>
      </c>
    </row>
    <row r="23" spans="1:8" ht="45">
      <c r="B23" s="68" t="str" cm="1">
        <f t="array" ref="B23:H23">'[2]2026 May SMS Calendar'!$B$6:$H$6 &amp; ""</f>
        <v/>
      </c>
      <c r="C23" s="63" t="str">
        <v>Promo: 
Photo Rebates
11AM Local</v>
      </c>
      <c r="D23" s="67" t="str">
        <v/>
      </c>
      <c r="E23" s="63" t="str">
        <v>Services: 
Open Box
11AM Local</v>
      </c>
      <c r="F23" s="67" t="str">
        <v/>
      </c>
      <c r="G23" s="63" t="str">
        <v>Promo:
Graduation Sale + Bundle &amp; Save
11AM Local</v>
      </c>
      <c r="H23" s="67" t="str">
        <v/>
      </c>
    </row>
    <row r="24" spans="1:8">
      <c r="A24" s="63" t="str" cm="1">
        <f t="array" ref="A24:H24">'[2]2026 May SMS Calendar'!$A$7:$H$7</f>
        <v>Wk. 20: May 10 – May 16</v>
      </c>
      <c r="B24" s="66">
        <v>46152</v>
      </c>
      <c r="C24" s="66">
        <v>46153</v>
      </c>
      <c r="D24" s="66">
        <v>46154</v>
      </c>
      <c r="E24" s="66">
        <v>46155</v>
      </c>
      <c r="F24" s="66">
        <v>46156</v>
      </c>
      <c r="G24" s="66">
        <v>46157</v>
      </c>
      <c r="H24" s="66">
        <v>46158</v>
      </c>
    </row>
    <row r="25" spans="1:8" ht="120">
      <c r="B25" s="68" t="str" cm="1">
        <f t="array" ref="B25:H25">'[2]2026 May SMS Calendar'!$B$8:$H$8 &amp; ""</f>
        <v/>
      </c>
      <c r="C25" s="63" t="str">
        <v>Promo: 
Wedding Season
11AM Local</v>
      </c>
      <c r="D25" s="63" t="str">
        <v xml:space="preserve">NPA:
Panasonic
1PM
</v>
      </c>
      <c r="E25" s="63" t="str">
        <v>NPA:
EM1: Canon Camera &amp; Lenses
10AM
EM2: Sony New Camera, Lens and 5 Accessories
11:35AM</v>
      </c>
      <c r="F25" s="67" t="str">
        <v/>
      </c>
      <c r="G25" s="69" t="str">
        <v>Promo: 
Live Sound/DJ campaign
11AM Local</v>
      </c>
      <c r="H25" s="67" t="str">
        <v/>
      </c>
    </row>
    <row r="26" spans="1:8">
      <c r="A26" s="63" t="str" cm="1">
        <f t="array" ref="A26:H26">'[2]2026 May SMS Calendar'!$A$9:$H$9</f>
        <v>Wk. 21: May 17 – May 23</v>
      </c>
      <c r="B26" s="66">
        <v>46159</v>
      </c>
      <c r="C26" s="66">
        <v>46160</v>
      </c>
      <c r="D26" s="66">
        <v>46161</v>
      </c>
      <c r="E26" s="66">
        <v>46162</v>
      </c>
      <c r="F26" s="66">
        <v>46163</v>
      </c>
      <c r="G26" s="66">
        <v>46164</v>
      </c>
      <c r="H26" s="66">
        <v>46165</v>
      </c>
    </row>
    <row r="27" spans="1:8" ht="75">
      <c r="B27" s="68" t="str" cm="1">
        <f t="array" ref="B27:H27">'[2]2026 May SMS Calendar'!$B$10:$H$10 &amp; ""</f>
        <v/>
      </c>
      <c r="C27" s="63" t="str">
        <v>Promo: 
Memorial Day 
11AM Local</v>
      </c>
      <c r="D27" s="67" t="str">
        <v/>
      </c>
      <c r="E27" s="63" t="str">
        <v>Services: 
EM1: Private Brands Best Sellers + Social Proof (theme: Memorial Day)
11AM Local</v>
      </c>
      <c r="F27" s="63" t="str">
        <v>Promo: 
Memorial Day  (photo)
11AM Local</v>
      </c>
      <c r="G27" s="67" t="str">
        <v>NO SMS: Shavuot</v>
      </c>
      <c r="H27" s="67" t="str">
        <v/>
      </c>
    </row>
    <row r="28" spans="1:8">
      <c r="A28" s="63" t="str" cm="1">
        <f t="array" ref="A28:H28">'[2]2026 May SMS Calendar'!$A$11:$H$11</f>
        <v>Wk. 22: May 24 – May 30</v>
      </c>
      <c r="B28" s="66">
        <v>46166</v>
      </c>
      <c r="C28" s="66">
        <v>46167</v>
      </c>
      <c r="D28" s="66">
        <v>46168</v>
      </c>
      <c r="E28" s="66">
        <v>46169</v>
      </c>
      <c r="F28" s="66">
        <v>46170</v>
      </c>
      <c r="G28" s="66">
        <v>46171</v>
      </c>
      <c r="H28" s="66">
        <v>46172</v>
      </c>
    </row>
    <row r="29" spans="1:8" ht="60">
      <c r="B29" s="65" t="str" cm="1">
        <f t="array" ref="B29:H29">'[2]2026 May SMS Calendar'!$B$12:$H$12 &amp; ""</f>
        <v/>
      </c>
      <c r="C29" s="63" t="str">
        <v>Promo: 
Memorial Day (broad)
11AM Local</v>
      </c>
      <c r="D29" s="63" t="str">
        <v>Promo: 
EM1: Memorial Day Final Day (broad)
11AM Local</v>
      </c>
      <c r="E29" s="67" t="str">
        <v/>
      </c>
      <c r="F29" s="67" t="str">
        <v/>
      </c>
      <c r="G29" s="63" t="str">
        <v>Promo: 
Bundle &amp; Save
11AM Local</v>
      </c>
      <c r="H29" s="67" t="str">
        <v/>
      </c>
    </row>
    <row r="30" spans="1:8">
      <c r="B30" s="68"/>
      <c r="E30" s="67"/>
      <c r="F30" s="67"/>
      <c r="H30" s="67"/>
    </row>
    <row r="31" spans="1:8">
      <c r="A31" s="63" t="str" cm="1">
        <f t="array" ref="A31:B31">'[2]2026 May SMS Calendar'!$A$13:$B$13</f>
        <v>Wk. 23: May 31 – June 06</v>
      </c>
      <c r="B31" s="66">
        <v>46173</v>
      </c>
      <c r="C31" s="65">
        <f>'[3]2026 June Email Calendar'!$C$3</f>
        <v>46174</v>
      </c>
      <c r="D31" s="65">
        <f>'[3]2026 June Email Calendar'!$D$3</f>
        <v>46175</v>
      </c>
      <c r="E31" s="65">
        <f>'[3]2026 June Email Calendar'!$E$3</f>
        <v>46176</v>
      </c>
      <c r="F31" s="65">
        <f>'[3]2026 June Email Calendar'!$F$3</f>
        <v>46177</v>
      </c>
      <c r="G31" s="65">
        <f>'[3]2026 June Email Calendar'!$G$3</f>
        <v>46178</v>
      </c>
      <c r="H31" s="65">
        <f>'[3]2026 June Email Calendar'!$H$3</f>
        <v>46179</v>
      </c>
    </row>
    <row r="32" spans="1:8">
      <c r="B32" s="65" t="str">
        <f>'[2]2026 May SMS Calendar'!$B$14 &amp; ""</f>
        <v/>
      </c>
      <c r="C32" s="64"/>
      <c r="D32" s="64"/>
      <c r="E32" s="64"/>
      <c r="F32" s="64"/>
      <c r="G32" s="64"/>
      <c r="H32" s="64"/>
    </row>
  </sheetData>
  <sheetProtection sheet="1" objects="1" scenarios="1"/>
  <mergeCells count="5">
    <mergeCell ref="A1:H1"/>
    <mergeCell ref="A17:H17"/>
    <mergeCell ref="I1:K1"/>
    <mergeCell ref="L1:N1"/>
    <mergeCell ref="O1:Q1"/>
  </mergeCells>
  <hyperlinks>
    <hyperlink ref="I1:K1" r:id="rId1" display="May Tracker" xr:uid="{26C9F1E2-74B3-4891-83EE-90B62542DA7B}"/>
    <hyperlink ref="L1:N1" r:id="rId2" display="May Email Framework" xr:uid="{A2E179AF-9795-45D4-B5F1-A8BA1C4B397E}"/>
    <hyperlink ref="O1:Q1" r:id="rId3" display="May SMS Framework" xr:uid="{8318DD6A-FC72-4AC1-9F1E-9E96A1DA6167}"/>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095B1C-97DF-4542-858B-C12F0AA2E4F8}">
  <sheetPr codeName="Sheet7">
    <tabColor rgb="FF92D050"/>
  </sheetPr>
  <dimension ref="A1:N29"/>
  <sheetViews>
    <sheetView workbookViewId="0">
      <selection activeCell="B13" sqref="B13"/>
    </sheetView>
  </sheetViews>
  <sheetFormatPr defaultRowHeight="15"/>
  <cols>
    <col min="1" max="8" width="26.875" style="63" customWidth="1"/>
    <col min="9" max="16384" width="9" style="62"/>
  </cols>
  <sheetData>
    <row r="1" spans="1:14" ht="26.25">
      <c r="A1" s="133" t="s">
        <v>192</v>
      </c>
      <c r="B1" s="133"/>
      <c r="C1" s="133"/>
      <c r="D1" s="133"/>
      <c r="E1" s="133"/>
      <c r="F1" s="133"/>
      <c r="G1" s="133"/>
      <c r="H1" s="133"/>
      <c r="I1" s="136" t="s">
        <v>197</v>
      </c>
      <c r="J1" s="136"/>
      <c r="K1" s="136"/>
      <c r="L1" s="136" t="s">
        <v>198</v>
      </c>
      <c r="M1" s="136"/>
      <c r="N1" s="136"/>
    </row>
    <row r="2" spans="1:14" ht="21">
      <c r="A2" s="71"/>
      <c r="B2" s="71" t="str">
        <f>'[3]2026 June Email Calendar'!$B$15 &amp; ""</f>
        <v>Events</v>
      </c>
      <c r="C2" s="71" t="str">
        <f>'[3]2026 June Email Calendar'!$C$15 &amp; ""</f>
        <v>Promo</v>
      </c>
      <c r="D2" s="71" t="str">
        <f>'[3]2026 June Email Calendar'!$D$15 &amp; ""</f>
        <v/>
      </c>
      <c r="E2" s="71" t="str">
        <f>'[3]2026 June Email Calendar'!$E$15 &amp; ""</f>
        <v>Services</v>
      </c>
      <c r="F2" s="71" t="str">
        <f>'[3]2026 June Email Calendar'!$F$15 &amp; ""</f>
        <v>PLCC &amp; Loyalty</v>
      </c>
      <c r="G2" s="71" t="str">
        <f>'[3]2026 June Email Calendar'!$G$15 &amp; ""</f>
        <v>Promo</v>
      </c>
      <c r="H2" s="71" t="str">
        <f>'[3]2026 June Email Calendar'!$H$15 &amp; ""</f>
        <v>Newsletters</v>
      </c>
    </row>
    <row r="3" spans="1:14" ht="21">
      <c r="A3" s="70"/>
      <c r="B3" s="70" t="str">
        <f>'[3]2026 June Email Calendar'!$B$2 &amp; ""</f>
        <v>Sunday</v>
      </c>
      <c r="C3" s="70" t="str">
        <f>'[3]2026 June Email Calendar'!$C$2 &amp; ""</f>
        <v>Monday</v>
      </c>
      <c r="D3" s="70" t="str">
        <f>'[3]2026 June Email Calendar'!$D$2 &amp; ""</f>
        <v>Tuesday</v>
      </c>
      <c r="E3" s="70" t="str">
        <f>'[3]2026 June Email Calendar'!$E$2 &amp; ""</f>
        <v>Wednesday</v>
      </c>
      <c r="F3" s="70" t="str">
        <f>'[3]2026 June Email Calendar'!$F$2 &amp; ""</f>
        <v>Thursday</v>
      </c>
      <c r="G3" s="70" t="str">
        <f>'[3]2026 June Email Calendar'!$G$2 &amp; ""</f>
        <v>Friday</v>
      </c>
      <c r="H3" s="70" t="str">
        <f>'[3]2026 June Email Calendar'!$H$2 &amp; ""</f>
        <v>Saturday</v>
      </c>
    </row>
    <row r="4" spans="1:14">
      <c r="A4" s="65" t="str">
        <f>'[3]2026 June Email Calendar'!$A$3</f>
        <v>Wk. 23: May 31 – June 06</v>
      </c>
      <c r="B4" s="65">
        <f>'[3]2026 June Email Calendar'!$B$3</f>
        <v>46173</v>
      </c>
      <c r="C4" s="65">
        <f>'[3]2026 June Email Calendar'!$C$3</f>
        <v>46174</v>
      </c>
      <c r="D4" s="65">
        <f>'[3]2026 June Email Calendar'!$D$3</f>
        <v>46175</v>
      </c>
      <c r="E4" s="65">
        <f>'[3]2026 June Email Calendar'!$E$3</f>
        <v>46176</v>
      </c>
      <c r="F4" s="65">
        <f>'[3]2026 June Email Calendar'!$F$3</f>
        <v>46177</v>
      </c>
      <c r="G4" s="66">
        <f>'[3]2026 June Email Calendar'!$G$3</f>
        <v>46178</v>
      </c>
      <c r="H4" s="66">
        <f>'[3]2026 June Email Calendar'!$H$3</f>
        <v>46179</v>
      </c>
    </row>
    <row r="5" spans="1:14" ht="210">
      <c r="A5" s="65"/>
      <c r="B5" s="74"/>
      <c r="C5" s="76" t="str">
        <f>'[3]2026 June Email Calendar'!$C$4 &amp; ""</f>
        <v>Promo: 
Bundle &amp; Save
STO</v>
      </c>
      <c r="D5" s="76" t="str">
        <f>'[3]2026 June Email Calendar'!$D$4 &amp; ""</f>
        <v>Loyalty: 
VIP Summary (Adorama - existing VIPs)
V1: VIP Rewards
V2: VIP Perks
V3: VIP PRO
STO</v>
      </c>
      <c r="E5" s="76" t="str">
        <f>'[3]2026 June Email Calendar'!$E$4 &amp; ""</f>
        <v xml:space="preserve">Services: 
Open Box
STO
</v>
      </c>
      <c r="F5" s="76" t="str">
        <f>'[3]2026 June Email Calendar'!$F$4 &amp; ""</f>
        <v>PLCC:
Open To Buy (targeted)
STO</v>
      </c>
      <c r="G5" s="75" t="str">
        <f>'[3]2026 June Email Calendar'!$G$4 &amp; ""</f>
        <v>Promo: 
EM1: Gaming with Products
8AM
EM2: Weekend Deals with Products (video)
9AM
EM3: Weekend Deals with Products (photo + other categories)
10AM
NO EMAILS AFTER 8:00PM</v>
      </c>
      <c r="H5" s="65" t="str">
        <f>'[3]2026 June Email Calendar'!$H$4 &amp; ""</f>
        <v>Newsletters:
Creators Huddle 
10PM
NO EMAILS BEFORE 9:40PM</v>
      </c>
    </row>
    <row r="6" spans="1:14">
      <c r="A6" s="65" t="str">
        <f>'[3]2026 June Email Calendar'!$A$5</f>
        <v>Wk. 24: June 07 - June 13</v>
      </c>
      <c r="B6" s="66">
        <f>'[3]2026 June Email Calendar'!$B$5</f>
        <v>45815</v>
      </c>
      <c r="C6" s="66">
        <f>'[3]2026 June Email Calendar'!$C$5</f>
        <v>45816</v>
      </c>
      <c r="D6" s="66">
        <f>'[3]2026 June Email Calendar'!$D$5</f>
        <v>45817</v>
      </c>
      <c r="E6" s="66">
        <f>'[3]2026 June Email Calendar'!$E$5</f>
        <v>45818</v>
      </c>
      <c r="F6" s="66">
        <f>'[3]2026 June Email Calendar'!$F$5</f>
        <v>45819</v>
      </c>
      <c r="G6" s="66">
        <f>'[3]2026 June Email Calendar'!$G$5</f>
        <v>45820</v>
      </c>
      <c r="H6" s="66">
        <f>'[3]2026 June Email Calendar'!$H$5</f>
        <v>45821</v>
      </c>
    </row>
    <row r="7" spans="1:14" ht="180">
      <c r="A7" s="65"/>
      <c r="B7" s="65" t="str">
        <f>'[3]2026 June Email Calendar'!$B$6 &amp; ""</f>
        <v>Event: 
JK x ADORAMA NYC WORKSHOP
Targeted to New York metropolitan area (tri-state area)
STO
In-Stock:
Sony ISOA7R6
STO</v>
      </c>
      <c r="C7" s="65" t="str">
        <f>'[3]2026 June Email Calendar'!$C$6 &amp; ""</f>
        <v>Promo: 
Photo Rebates with Products
STO</v>
      </c>
      <c r="D7" s="63" t="str">
        <f>'[3]2026 June Email Calendar'!$D$6 &amp; ""</f>
        <v>Newsletter:
Store (include Sunday's event)
STO
NPA:
Insta360 Luna Ultra Gimbal Camera</v>
      </c>
      <c r="E7" s="65" t="str">
        <f>'[3]2026 June Email Calendar'!$E$6 &amp; ""</f>
        <v xml:space="preserve">Services:
Private Brands (include Sunday's event)
STO
</v>
      </c>
      <c r="F7" s="65" t="str">
        <f>'[3]2026 June Email Calendar'!$F$6 &amp; ""</f>
        <v>Loyalty: 
EM1: Non Member Acquisition
STO
EM2: 1,000 Points Card Member Reminder
STO</v>
      </c>
      <c r="G7" s="65" t="str">
        <f>'[3]2026 June Email Calendar'!$G$6 &amp; ""</f>
        <v>Promo: 
EM1: Father's Day
8AM
EM2: Photo Rebates Resend
(targeting: people who received 6/8/26 Photo Rebates, opened them, but did not buy)
3PM
NO EMAILS AFTER 8:05PM</v>
      </c>
      <c r="H7" s="65" t="str">
        <f>'[3]2026 June Email Calendar'!$H$6 &amp; ""</f>
        <v>Newsletter: 
Photo (supporting FIFA World Cup 2026)
10PM
NO EMAILS BEFORE 9:45PM</v>
      </c>
    </row>
    <row r="8" spans="1:14">
      <c r="A8" s="63" t="str">
        <f>'[3]2026 June Email Calendar'!$A$7</f>
        <v>Wk. 25: June 14 - June 20</v>
      </c>
      <c r="B8" s="66">
        <f>'[3]2026 June Email Calendar'!$B$7</f>
        <v>45822</v>
      </c>
      <c r="C8" s="66">
        <f>'[3]2026 June Email Calendar'!$C$7</f>
        <v>45823</v>
      </c>
      <c r="D8" s="66">
        <f>'[3]2026 June Email Calendar'!$D$7</f>
        <v>45824</v>
      </c>
      <c r="E8" s="66">
        <f>'[3]2026 June Email Calendar'!$E$7</f>
        <v>45825</v>
      </c>
      <c r="F8" s="66">
        <f>'[3]2026 June Email Calendar'!$F$7</f>
        <v>45826</v>
      </c>
      <c r="G8" s="66">
        <f>'[3]2026 June Email Calendar'!$G$7</f>
        <v>45827</v>
      </c>
      <c r="H8" s="66">
        <f>'[3]2026 June Email Calendar'!$H$7</f>
        <v>45828</v>
      </c>
    </row>
    <row r="9" spans="1:14" ht="90">
      <c r="A9" s="62"/>
      <c r="B9" s="65" t="str">
        <f>'[3]2026 June Email Calendar'!$B$8 &amp; ""</f>
        <v>Event:
EM1: FIFA World Cup 2026
9AM
EM2: ABS Giveaway
10AM</v>
      </c>
      <c r="C9" s="65" t="str">
        <f>'[3]2026 June Email Calendar'!$C$8 &amp; ""</f>
        <v>EM1: NPA:
Leica 
9AM
EM1: 24-Hour Sale
7AM</v>
      </c>
      <c r="D9" s="67" t="str">
        <f>'[3]2026 June Email Calendar'!$D$8 &amp; ""</f>
        <v/>
      </c>
      <c r="E9" s="65" t="str">
        <f>'[3]2026 June Email Calendar'!$E$8 &amp; ""</f>
        <v>Services:
Trade
STO</v>
      </c>
      <c r="F9" s="65" t="str">
        <f>'[3]2026 June Email Calendar'!$F$8 &amp; ""</f>
        <v>PLCC: 
Adorama Brands (Coupon email for cardmembers - targeted)
STO</v>
      </c>
      <c r="G9" s="65" t="str">
        <f>'[3]2026 June Email Calendar'!$G$8 &amp; ""</f>
        <v>Promo: 
Warehouse Sale
8AM
NO EMAILS AFTER 8:07PM</v>
      </c>
      <c r="H9" s="65" t="str">
        <f>'[3]2026 June Email Calendar'!$H$8 &amp; ""</f>
        <v>Newsletter:
Video
10PM
NO EMAILS BEFORE 9:50PM</v>
      </c>
    </row>
    <row r="10" spans="1:14">
      <c r="A10" s="63" t="str">
        <f>'[3]2026 June Email Calendar'!$A$9</f>
        <v>Wk. 26: June 21 - June 27</v>
      </c>
      <c r="B10" s="73">
        <f>'[3]2026 June Email Calendar'!$B$9</f>
        <v>45829</v>
      </c>
      <c r="C10" s="73">
        <f>'[3]2026 June Email Calendar'!$C$9</f>
        <v>45830</v>
      </c>
      <c r="D10" s="73">
        <f>'[3]2026 June Email Calendar'!$D$9</f>
        <v>45831</v>
      </c>
      <c r="E10" s="73">
        <f>'[3]2026 June Email Calendar'!$E$9</f>
        <v>45832</v>
      </c>
      <c r="F10" s="73">
        <f>'[3]2026 June Email Calendar'!$F$9</f>
        <v>45833</v>
      </c>
      <c r="G10" s="73">
        <f>'[3]2026 June Email Calendar'!$G$9</f>
        <v>45834</v>
      </c>
      <c r="H10" s="73">
        <f>'[3]2026 June Email Calendar'!$H$9</f>
        <v>45835</v>
      </c>
    </row>
    <row r="11" spans="1:14" ht="150">
      <c r="A11" s="62"/>
      <c r="B11" s="65" t="str">
        <f>'[3]2026 June Email Calendar'!$B$10 &amp; ""</f>
        <v>Events: 
Lighting for Narrative Cinematography
Date: Wednesday, June 24th · 5pm - 6pm ET
OnSet with Daniel Norton: Portraits with a Point and Shoot
Date: Thursday, June 25th · 5 - 6pm ET</v>
      </c>
      <c r="C11" s="63" t="str">
        <f>'[3]2026 June Email Calendar'!$C$10 &amp; ""</f>
        <v>Promo: 
EM1. Top Deals (Photo) with Products
EM2. Top Deals (cross category) with Products
EM3: Top Deals (Lighting &amp; Studio) with Products</v>
      </c>
      <c r="D11" s="63" t="str">
        <f>'[3]2026 June Email Calendar'!$D$10 &amp; ""</f>
        <v>Promo: 
Summer Cyber Sale
STO</v>
      </c>
      <c r="E11" s="63" t="str">
        <f>'[3]2026 June Email Calendar'!$E$10 &amp; ""</f>
        <v xml:space="preserve">Services: 
EM1: EDU with products (8AM)
EM2: Used with products (9AM)
</v>
      </c>
      <c r="F11" s="63" t="str">
        <f>'[3]2026 June Email Calendar'!$F$10 &amp; ""</f>
        <v>EM1: PLCC: 
1,000 points new cardmember reminder - 30 15 days out (targeted)
STO
EM2: Summer Save w/ Products (Lighting &amp; Studio)</v>
      </c>
      <c r="G11" s="63" t="str">
        <f>'[3]2026 June Email Calendar'!$G$10 &amp; ""</f>
        <v>Promo: 
Weekend Deals (cross category)
Summer Cyber Sale LC
9AM
NO EMAILS AFTER 8:10PM</v>
      </c>
      <c r="H11" s="63" t="str">
        <f>'[3]2026 June Email Calendar'!$H$10 &amp; ""</f>
        <v>Newsletter: 
Creators Huddle
10PM
NO EMAILS BEFORE 9:50PM</v>
      </c>
    </row>
    <row r="12" spans="1:14">
      <c r="A12" s="65" t="str">
        <f>'[3]2026 June Email Calendar'!$A$11</f>
        <v>Wk. 27: June 28 - July 04</v>
      </c>
      <c r="B12" s="66">
        <f>'[3]2026 June Email Calendar'!$B$11</f>
        <v>45836</v>
      </c>
      <c r="C12" s="66">
        <f>'[3]2026 June Email Calendar'!$C$11</f>
        <v>45837</v>
      </c>
      <c r="D12" s="66">
        <f>'[3]2026 June Email Calendar'!$D$11</f>
        <v>45838</v>
      </c>
      <c r="E12" s="66">
        <f>'[3]2026 June Email Calendar'!$E$11</f>
        <v>45839</v>
      </c>
      <c r="F12" s="66">
        <f>'[3]2026 June Email Calendar'!$F$11</f>
        <v>45840</v>
      </c>
      <c r="G12" s="66">
        <f>'[3]2026 June Email Calendar'!$G$11</f>
        <v>45841</v>
      </c>
      <c r="H12" s="66">
        <f>'[3]2026 June Email Calendar'!$H$11</f>
        <v>45842</v>
      </c>
    </row>
    <row r="13" spans="1:14" ht="195">
      <c r="A13" s="65"/>
      <c r="B13" s="65" t="str">
        <f>'[3]2026 June Email Calendar'!$B$12 &amp; ""</f>
        <v xml:space="preserve">Events:
Agreeable Strangers: From Passion Project to Published Book with Charles Chessler
Date: Wednesday, July 1st · 5pm - 6pm ET
Agreeable Strangers: From Passion Project to Published Book with Charles Chessler
Date: Wednesday, July 1st · 5pm - 6pm ET
</v>
      </c>
      <c r="C13" s="65" t="str">
        <f>'[3]2026 June Email Calendar'!$C$12 &amp; ""</f>
        <v>July 4th Sale Launch (products + Categories)
STO</v>
      </c>
      <c r="D13" s="65" t="str">
        <f>'[3]2026 June Email Calendar'!$D$12 &amp; ""</f>
        <v/>
      </c>
      <c r="E13" s="72" t="str">
        <f>'[3]2026 June Email Calendar'!$E$12 &amp; ""</f>
        <v>EM1: July 4th Sale Going on Now (Brands and categories)
STO
EM2: 4th of July w/ Products - lightning &amp; studio</v>
      </c>
      <c r="F13" s="72" t="str">
        <f>'[3]2026 June Email Calendar'!$F$12 &amp; ""</f>
        <v/>
      </c>
      <c r="G13" s="72" t="str">
        <f>'[3]2026 June Email Calendar'!$G$12 &amp; ""</f>
        <v>July 4th Sale Ends Tomorrow (with Products and categories + countdown timer)
8AM
NO EMAILS AFTER 8:10PM</v>
      </c>
      <c r="H13" s="72" t="str">
        <f>'[3]2026 June Email Calendar'!$H$12 &amp; ""</f>
        <v>July 4th Sale (Products and Brands)
10PM
NO EMAILS BEFORE 9:50PM</v>
      </c>
    </row>
    <row r="14" spans="1:14">
      <c r="A14" s="65"/>
      <c r="B14" s="66"/>
      <c r="C14" s="65"/>
      <c r="D14" s="65"/>
      <c r="E14" s="65"/>
      <c r="F14" s="65"/>
      <c r="G14" s="65"/>
      <c r="H14" s="65"/>
    </row>
    <row r="15" spans="1:14">
      <c r="A15" s="65"/>
      <c r="B15" s="65"/>
      <c r="C15" s="72"/>
      <c r="D15" s="72"/>
      <c r="E15" s="72"/>
      <c r="F15" s="72"/>
      <c r="G15" s="72"/>
      <c r="H15" s="72"/>
    </row>
    <row r="16" spans="1:14">
      <c r="A16" s="65"/>
      <c r="B16" s="65"/>
      <c r="C16" s="65"/>
      <c r="D16" s="65"/>
      <c r="E16" s="65"/>
      <c r="F16" s="65"/>
      <c r="G16" s="65"/>
      <c r="H16" s="65"/>
    </row>
    <row r="17" spans="1:8" ht="26.25">
      <c r="A17" s="134" t="s">
        <v>193</v>
      </c>
      <c r="B17" s="134"/>
      <c r="C17" s="134"/>
      <c r="D17" s="134"/>
      <c r="E17" s="134"/>
      <c r="F17" s="134"/>
      <c r="G17" s="134"/>
      <c r="H17" s="134"/>
    </row>
    <row r="18" spans="1:8" ht="21">
      <c r="A18" s="71"/>
      <c r="B18" s="71" t="str">
        <f>'[4]2026 June SMS Calendar'!$B$15 &amp; ""</f>
        <v>Events</v>
      </c>
      <c r="C18" s="71" t="str">
        <f>'[4]2026 June SMS Calendar'!$C$15 &amp; ""</f>
        <v>Promo</v>
      </c>
      <c r="D18" s="71" t="str">
        <f>'[4]2026 June SMS Calendar'!$D$15 &amp; ""</f>
        <v/>
      </c>
      <c r="E18" s="71" t="str">
        <f>'[4]2026 June SMS Calendar'!$E$15 &amp; ""</f>
        <v>Services</v>
      </c>
      <c r="F18" s="71" t="str">
        <f>'[4]2026 June SMS Calendar'!$F$15 &amp; ""</f>
        <v>PLCC &amp; Loyalty</v>
      </c>
      <c r="G18" s="71" t="str">
        <f>'[4]2026 June SMS Calendar'!$G$15 &amp; ""</f>
        <v>Promo</v>
      </c>
      <c r="H18" s="71" t="str">
        <f>'[4]2026 June SMS Calendar'!$H$15 &amp; ""</f>
        <v>Newsletters</v>
      </c>
    </row>
    <row r="19" spans="1:8" ht="21">
      <c r="A19" s="70"/>
      <c r="B19" s="70" t="str">
        <f>'[4]2026 June SMS Calendar'!$B$2 &amp; ""</f>
        <v>Sunday</v>
      </c>
      <c r="C19" s="70" t="str">
        <f>'[4]2026 June SMS Calendar'!$C$2 &amp; ""</f>
        <v>Monday</v>
      </c>
      <c r="D19" s="70" t="str">
        <f>'[4]2026 June SMS Calendar'!$D$2 &amp; ""</f>
        <v>Tuesday</v>
      </c>
      <c r="E19" s="70" t="str">
        <f>'[4]2026 June SMS Calendar'!$E$2 &amp; ""</f>
        <v>Wednesday</v>
      </c>
      <c r="F19" s="70" t="str">
        <f>'[4]2026 June SMS Calendar'!$F$2 &amp; ""</f>
        <v>Thursday</v>
      </c>
      <c r="G19" s="70" t="str">
        <f>'[4]2026 June SMS Calendar'!$G$2 &amp; ""</f>
        <v>Friday</v>
      </c>
      <c r="H19" s="70" t="str">
        <f>'[4]2026 June SMS Calendar'!$H$2 &amp; ""</f>
        <v>Saturday</v>
      </c>
    </row>
    <row r="20" spans="1:8">
      <c r="A20" s="63" t="str">
        <f>'[4]2026 June SMS Calendar'!$A$3</f>
        <v>Wk. 23: May 31 – June 06</v>
      </c>
      <c r="B20" s="65">
        <f>'[4]2026 June SMS Calendar'!$B$3</f>
        <v>46173</v>
      </c>
      <c r="C20" s="66">
        <f>'[4]2026 June SMS Calendar'!$C$3</f>
        <v>46174</v>
      </c>
      <c r="D20" s="66">
        <f>'[4]2026 June SMS Calendar'!$D$3</f>
        <v>46175</v>
      </c>
      <c r="E20" s="66">
        <f>'[4]2026 June SMS Calendar'!$E$3</f>
        <v>46176</v>
      </c>
      <c r="F20" s="66">
        <f>'[4]2026 June SMS Calendar'!$F$3</f>
        <v>46177</v>
      </c>
      <c r="G20" s="66">
        <f>'[4]2026 June SMS Calendar'!$G$3</f>
        <v>46178</v>
      </c>
      <c r="H20" s="66">
        <f>'[4]2026 June SMS Calendar'!$H$3</f>
        <v>46179</v>
      </c>
    </row>
    <row r="21" spans="1:8" ht="120">
      <c r="A21" s="62"/>
      <c r="B21" s="64" t="str">
        <f>'[4]2026 June SMS Calendar'!$B$4 &amp; ""</f>
        <v xml:space="preserve">Event: 
JK x ADORAMA NYC WORKSHOP
Targeted to New York metropolitan area (tri-state area)
11AM Local
</v>
      </c>
      <c r="C21" s="63" t="str">
        <f>'[4]2026 June SMS Calendar'!$C$4 &amp; ""</f>
        <v>Services: 
Open Box
11AM Local</v>
      </c>
      <c r="D21" s="67" t="str">
        <f>'[4]2026 June SMS Calendar'!$D$4 &amp; ""</f>
        <v/>
      </c>
      <c r="E21" s="63" t="str">
        <f>'[4]2026 June SMS Calendar'!$E$4 &amp; ""</f>
        <v/>
      </c>
      <c r="F21" s="67" t="str">
        <f>'[4]2026 June SMS Calendar'!$F$4 &amp; ""</f>
        <v/>
      </c>
      <c r="G21" s="65" t="str">
        <f>'[4]2026 June SMS Calendar'!$G$4 &amp; ""</f>
        <v>SMS1: Top Deals
11AM Local
SMS : In-Stock: Sony ISOA746
3:45PM Local
NO EMAILS AFTER 8:00PM</v>
      </c>
      <c r="H21" s="67" t="str">
        <f>'[4]2026 June SMS Calendar'!$H$4 &amp; ""</f>
        <v xml:space="preserve">
NO EMAILS BEFORE 9:40PM</v>
      </c>
    </row>
    <row r="22" spans="1:8">
      <c r="A22" s="63" t="str">
        <f>'[4]2026 June SMS Calendar'!$A$5</f>
        <v>Wk. 24: June 07 - June 13</v>
      </c>
      <c r="B22" s="66">
        <f>'[4]2026 June SMS Calendar'!$B$5</f>
        <v>45815</v>
      </c>
      <c r="C22" s="66">
        <f>'[4]2026 June SMS Calendar'!$C$5</f>
        <v>45816</v>
      </c>
      <c r="D22" s="66">
        <f>'[4]2026 June SMS Calendar'!$D$5</f>
        <v>45817</v>
      </c>
      <c r="E22" s="66">
        <f>'[4]2026 June SMS Calendar'!$E$5</f>
        <v>45818</v>
      </c>
      <c r="F22" s="66">
        <f>'[4]2026 June SMS Calendar'!$F$5</f>
        <v>45819</v>
      </c>
      <c r="G22" s="66">
        <f>'[4]2026 June SMS Calendar'!$G$5</f>
        <v>45820</v>
      </c>
      <c r="H22" s="66">
        <f>'[4]2026 June SMS Calendar'!$H$5</f>
        <v>45821</v>
      </c>
    </row>
    <row r="23" spans="1:8" ht="150">
      <c r="A23" s="62"/>
      <c r="B23" s="65" t="str">
        <f>'[4]2026 June SMS Calendar'!$B$6 &amp; ""</f>
        <v>Event: 
JK x ADORAMA NYC WORKSHOP
Targeted to New York metropolitan area (tri-state area)
11AM Local
In-Stock:
Sony ISOA746
11:30AM Local</v>
      </c>
      <c r="C23" s="63" t="str">
        <f>'[4]2026 June SMS Calendar'!$C$6 &amp; ""</f>
        <v>Promo: 
Photo Rebates with Products
11AM Local</v>
      </c>
      <c r="D23" s="67" t="str">
        <f>'[4]2026 June SMS Calendar'!$D$6 &amp; ""</f>
        <v/>
      </c>
      <c r="E23" s="63" t="str">
        <f>'[4]2026 June SMS Calendar'!$E$6 &amp; ""</f>
        <v>NPA:
Skyrover Drone with smart remotes
In Stock
11AM</v>
      </c>
      <c r="F23" s="63" t="str">
        <f>'[4]2026 June SMS Calendar'!$F$6 &amp; ""</f>
        <v/>
      </c>
      <c r="G23" s="63" t="str">
        <f>'[4]2026 June SMS Calendar'!$G$6 &amp; ""</f>
        <v>Promo: 
Father's Day
11AM Local
NO EMAILS AFTER 8:05PM</v>
      </c>
      <c r="H23" s="67" t="str">
        <f>'[4]2026 June SMS Calendar'!$H$6 &amp; ""</f>
        <v>NO EMAILS BEFORE 9:45PM</v>
      </c>
    </row>
    <row r="24" spans="1:8">
      <c r="A24" s="63" t="str">
        <f>'[4]2026 June SMS Calendar'!$A$7</f>
        <v>Wk. 25: June 14 - June 20</v>
      </c>
      <c r="B24" s="66">
        <f>'[4]2026 June SMS Calendar'!$B$7</f>
        <v>45822</v>
      </c>
      <c r="C24" s="66">
        <f>'[4]2026 June SMS Calendar'!$C$7</f>
        <v>45823</v>
      </c>
      <c r="D24" s="66">
        <f>'[4]2026 June SMS Calendar'!$D$7</f>
        <v>45824</v>
      </c>
      <c r="E24" s="66">
        <f>'[4]2026 June SMS Calendar'!$E$7</f>
        <v>45825</v>
      </c>
      <c r="F24" s="66">
        <f>'[4]2026 June SMS Calendar'!$F$7</f>
        <v>45826</v>
      </c>
      <c r="G24" s="66">
        <f>'[4]2026 June SMS Calendar'!$G$7</f>
        <v>45827</v>
      </c>
      <c r="H24" s="66">
        <f>'[4]2026 June SMS Calendar'!$H$7</f>
        <v>45828</v>
      </c>
    </row>
    <row r="25" spans="1:8" ht="75">
      <c r="A25" s="62"/>
      <c r="B25" s="68" t="str">
        <f>'[4]2026 June SMS Calendar'!$B$8 &amp; ""</f>
        <v/>
      </c>
      <c r="C25" s="63" t="str">
        <f>'[4]2026 June SMS Calendar'!$C$8 &amp; ""</f>
        <v xml:space="preserve">EM1: NPA:
Leica 
9AM
</v>
      </c>
      <c r="D25" s="67" t="str">
        <f>'[4]2026 June SMS Calendar'!$D$8 &amp; ""</f>
        <v/>
      </c>
      <c r="E25" s="63" t="str">
        <f>'[4]2026 June SMS Calendar'!$E$8 &amp; ""</f>
        <v>Services:
Trade
STO</v>
      </c>
      <c r="F25" s="67" t="str">
        <f>'[4]2026 June SMS Calendar'!$F$8 &amp; ""</f>
        <v/>
      </c>
      <c r="G25" s="63" t="str">
        <f>'[4]2026 June SMS Calendar'!$G$8 &amp; ""</f>
        <v>Promo: 
Warehouse Sale
11AM Local
NO EMAILS AFTER 8:07PM</v>
      </c>
      <c r="H25" s="67" t="str">
        <f>'[4]2026 June SMS Calendar'!$H$8 &amp; ""</f>
        <v xml:space="preserve">
NO EMAILS BEFORE 9:50PM</v>
      </c>
    </row>
    <row r="26" spans="1:8">
      <c r="A26" s="63" t="str">
        <f>'[4]2026 June SMS Calendar'!$A$9</f>
        <v>Wk. 26: June 21 - June 27</v>
      </c>
      <c r="B26" s="66">
        <f>'[4]2026 June SMS Calendar'!$B$9</f>
        <v>45829</v>
      </c>
      <c r="C26" s="66">
        <f>'[4]2026 June SMS Calendar'!$C$9</f>
        <v>45830</v>
      </c>
      <c r="D26" s="66">
        <f>'[4]2026 June SMS Calendar'!$D$9</f>
        <v>45831</v>
      </c>
      <c r="E26" s="66">
        <f>'[4]2026 June SMS Calendar'!$E$9</f>
        <v>45832</v>
      </c>
      <c r="F26" s="66">
        <f>'[4]2026 June SMS Calendar'!$F$9</f>
        <v>45833</v>
      </c>
      <c r="G26" s="66">
        <f>'[4]2026 June SMS Calendar'!$G$9</f>
        <v>45834</v>
      </c>
      <c r="H26" s="66">
        <f>'[4]2026 June SMS Calendar'!$H$9</f>
        <v>45835</v>
      </c>
    </row>
    <row r="27" spans="1:8" ht="180">
      <c r="A27" s="62"/>
      <c r="B27" s="65" t="str">
        <f>'[4]2026 June SMS Calendar'!$B$10 &amp; ""</f>
        <v>Events: 
Lighting for Narrative Cinematography
Date: Wednesday, June 24th · 5pm - 6pm ET
OnSet with Daniel Norton: Portraits with a Point and Shoot
Date: Thursday, June 25th · 5 - 6pm ET
11AM Local</v>
      </c>
      <c r="C27" s="63" t="str">
        <f>'[4]2026 June SMS Calendar'!$C$10 &amp; ""</f>
        <v xml:space="preserve">Promo: 
Photo Top Deals with Products
11AM Local
</v>
      </c>
      <c r="D27" s="67" t="str">
        <f>'[4]2026 June SMS Calendar'!$D$10 &amp; ""</f>
        <v/>
      </c>
      <c r="E27" s="63" t="str">
        <f>'[4]2026 June SMS Calendar'!$E$10 &amp; ""</f>
        <v xml:space="preserve">Services: 
Used with products
11AM Local
</v>
      </c>
      <c r="F27" s="67" t="str">
        <f>'[4]2026 June SMS Calendar'!$F$10 &amp; ""</f>
        <v/>
      </c>
      <c r="G27" s="63" t="str">
        <f>'[4]2026 June SMS Calendar'!$G$10 &amp; ""</f>
        <v>Promo: 
Weekend Deals (cross category)
11AM Local
NO EMAILS AFTER 8:10PM</v>
      </c>
      <c r="H27" s="67" t="str">
        <f>'[4]2026 June SMS Calendar'!$H$10 &amp; ""</f>
        <v>NO EMAILS BEFORE 9:50PM</v>
      </c>
    </row>
    <row r="28" spans="1:8">
      <c r="A28" s="63" t="str">
        <f>'[4]2026 June SMS Calendar'!$A$11</f>
        <v>Wk. 27: June 28 - July 04</v>
      </c>
      <c r="B28" s="66">
        <f>'[4]2026 June SMS Calendar'!$B$11</f>
        <v>11</v>
      </c>
      <c r="C28" s="66">
        <f>'[4]2026 June SMS Calendar'!$C$11</f>
        <v>45837</v>
      </c>
      <c r="D28" s="66">
        <f>'[4]2026 June SMS Calendar'!$D$11</f>
        <v>45838</v>
      </c>
      <c r="E28" s="66">
        <f>'[4]2026 June SMS Calendar'!$E$11</f>
        <v>45839</v>
      </c>
      <c r="F28" s="66">
        <f>'[4]2026 June SMS Calendar'!$F$11</f>
        <v>45840</v>
      </c>
      <c r="G28" s="66">
        <f>'[4]2026 June SMS Calendar'!$G$11</f>
        <v>45841</v>
      </c>
      <c r="H28" s="66">
        <f>'[4]2026 June SMS Calendar'!$H$11</f>
        <v>45842</v>
      </c>
    </row>
    <row r="29" spans="1:8" ht="210">
      <c r="A29" s="62"/>
      <c r="B29" s="65" t="str">
        <f>'[4]2026 June SMS Calendar'!$B$12 &amp; ""</f>
        <v>Events:
Agreeable Strangers: From Passion Project to Published Book with Charles Chessler
Date: Wednesday, July 1st · 5pm - 6pm ET
Agreeable Strangers: From Passion Project to Published Book with Charles Chessler
Date: Wednesday, July 1st · 5pm - 6pm ET
11AM Local</v>
      </c>
      <c r="C29" s="63" t="str">
        <f>'[4]2026 June SMS Calendar'!$C$12 &amp; ""</f>
        <v>July 4th Sale Launch (products + Categories)
11AM Local</v>
      </c>
      <c r="D29" s="67" t="str">
        <f>'[4]2026 June SMS Calendar'!$D$12 &amp; ""</f>
        <v/>
      </c>
      <c r="E29" s="64" t="str">
        <f>'[4]2026 June SMS Calendar'!$E$12 &amp; ""</f>
        <v/>
      </c>
      <c r="F29" s="64" t="str">
        <f>'[4]2026 June SMS Calendar'!$F$12 &amp; ""</f>
        <v/>
      </c>
      <c r="G29" s="64" t="str">
        <f>'[4]2026 June SMS Calendar'!$G$12 &amp; ""</f>
        <v>July 4th Sale 
11AM Local
NO EMAILS AFTER 8:10PM</v>
      </c>
      <c r="H29" s="64" t="str">
        <f>'[4]2026 June SMS Calendar'!$H$12 &amp; ""</f>
        <v>NO EMAILS BEFORE 9:50PM</v>
      </c>
    </row>
  </sheetData>
  <sheetProtection sheet="1" objects="1" scenarios="1"/>
  <mergeCells count="4">
    <mergeCell ref="A1:H1"/>
    <mergeCell ref="I1:K1"/>
    <mergeCell ref="A17:H17"/>
    <mergeCell ref="L1:N1"/>
  </mergeCells>
  <hyperlinks>
    <hyperlink ref="I1:K1" r:id="rId1" display="June Email Framework" xr:uid="{72D01CD5-0C2E-4FDC-8756-695A8FB7995C}"/>
    <hyperlink ref="L1:N1" r:id="rId2" display="June SMS Framework" xr:uid="{D64C6267-BF80-4607-8D4C-D19E3F44C9DD}"/>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DCF8A8-D9F2-4522-AED9-22BBE7C45E0A}">
  <sheetPr codeName="Sheet8">
    <tabColor rgb="FF92D050"/>
  </sheetPr>
  <dimension ref="A1:N32"/>
  <sheetViews>
    <sheetView workbookViewId="0">
      <selection activeCell="C12" sqref="C12"/>
    </sheetView>
  </sheetViews>
  <sheetFormatPr defaultRowHeight="15"/>
  <cols>
    <col min="1" max="8" width="26.875" style="63" customWidth="1"/>
    <col min="9" max="16384" width="9" style="62"/>
  </cols>
  <sheetData>
    <row r="1" spans="1:14" ht="26.25">
      <c r="A1" s="133" t="s">
        <v>192</v>
      </c>
      <c r="B1" s="133"/>
      <c r="C1" s="133"/>
      <c r="D1" s="133"/>
      <c r="E1" s="133"/>
      <c r="F1" s="133"/>
      <c r="G1" s="133"/>
      <c r="H1" s="133"/>
      <c r="I1" s="137"/>
      <c r="J1" s="137"/>
      <c r="K1" s="137"/>
      <c r="L1" s="138"/>
      <c r="M1" s="138"/>
      <c r="N1" s="138"/>
    </row>
    <row r="2" spans="1:14" ht="21">
      <c r="A2" s="71"/>
      <c r="B2" s="71" t="str" cm="1">
        <f t="array" ref="B2:H2">'[1]2026 May Email Calendar'!$B$16:$H$16 &amp; ""</f>
        <v>Events</v>
      </c>
      <c r="C2" s="71" t="str">
        <v>Promo</v>
      </c>
      <c r="D2" s="71" t="str">
        <v/>
      </c>
      <c r="E2" s="71" t="str">
        <v>Services</v>
      </c>
      <c r="F2" s="71" t="str">
        <v>PLCC &amp; Loyalty</v>
      </c>
      <c r="G2" s="71" t="str">
        <v>Promo</v>
      </c>
      <c r="H2" s="71" t="str">
        <v>Newsletters</v>
      </c>
    </row>
    <row r="3" spans="1:14" ht="21">
      <c r="A3" s="70"/>
      <c r="B3" s="70" t="str">
        <f>'[1]2026 May Email Calendar'!$B$2 &amp; ""</f>
        <v>Sunday</v>
      </c>
      <c r="C3" s="70" t="str">
        <f>'[1]2026 May Email Calendar'!$C$2 &amp; ""</f>
        <v>Monday</v>
      </c>
      <c r="D3" s="70" t="str">
        <f>'[1]2026 May Email Calendar'!$D$2 &amp; ""</f>
        <v>Tuesday</v>
      </c>
      <c r="E3" s="70" t="str">
        <f>'[1]2026 May Email Calendar'!$E$2 &amp; ""</f>
        <v>Wednesday</v>
      </c>
      <c r="F3" s="70" t="str">
        <f>'[1]2026 May Email Calendar'!$F$2 &amp; ""</f>
        <v>Thursday</v>
      </c>
      <c r="G3" s="70" t="str">
        <f>'[1]2026 May Email Calendar'!$G$2 &amp; ""</f>
        <v>Friday</v>
      </c>
      <c r="H3" s="70" t="str">
        <f>'[1]2026 May Email Calendar'!$H$2 &amp; ""</f>
        <v>Saturday</v>
      </c>
    </row>
    <row r="4" spans="1:14">
      <c r="A4" s="65" t="str">
        <f>'[1]2026 May Email Calendar'!$A$3</f>
        <v>Wk. 18: April 26 – May 02</v>
      </c>
      <c r="G4" s="66" cm="1">
        <f t="array" ref="G4:H4">'[1]2026 May Email Calendar'!$G$3:$H$3</f>
        <v>46143</v>
      </c>
      <c r="H4" s="66">
        <v>46144</v>
      </c>
    </row>
    <row r="5" spans="1:14">
      <c r="A5" s="65"/>
      <c r="B5" s="76"/>
      <c r="C5" s="76"/>
      <c r="D5" s="76"/>
      <c r="E5" s="76"/>
      <c r="F5" s="76"/>
      <c r="G5" s="77"/>
      <c r="H5" s="65"/>
    </row>
    <row r="6" spans="1:14">
      <c r="A6" s="65" t="str" cm="1">
        <f t="array" ref="A6:H6">'[1]2026 May Email Calendar'!$A$5:$H$5</f>
        <v>Wk. 19: May 03 – May 09</v>
      </c>
      <c r="B6" s="66">
        <v>46145</v>
      </c>
      <c r="C6" s="66">
        <v>46146</v>
      </c>
      <c r="D6" s="66">
        <v>46147</v>
      </c>
      <c r="E6" s="66">
        <v>46148</v>
      </c>
      <c r="F6" s="66">
        <v>46149</v>
      </c>
      <c r="G6" s="66">
        <v>46150</v>
      </c>
      <c r="H6" s="66">
        <v>46151</v>
      </c>
    </row>
    <row r="7" spans="1:14">
      <c r="A7" s="65"/>
      <c r="B7" s="65"/>
      <c r="C7" s="65"/>
      <c r="E7" s="65"/>
      <c r="F7" s="65"/>
      <c r="G7" s="65"/>
      <c r="H7" s="65"/>
    </row>
    <row r="8" spans="1:14">
      <c r="A8" s="63" t="str" cm="1">
        <f t="array" ref="A8:H8">'[1]2026 May Email Calendar'!$A$7:$H$7</f>
        <v>Wk. 20: May 10 – May 16</v>
      </c>
      <c r="B8" s="66">
        <v>46152</v>
      </c>
      <c r="C8" s="66">
        <v>46153</v>
      </c>
      <c r="D8" s="66">
        <v>46154</v>
      </c>
      <c r="E8" s="66">
        <v>46155</v>
      </c>
      <c r="F8" s="66">
        <v>46156</v>
      </c>
      <c r="G8" s="66">
        <v>46157</v>
      </c>
      <c r="H8" s="66">
        <v>46158</v>
      </c>
    </row>
    <row r="9" spans="1:14">
      <c r="B9" s="65"/>
      <c r="C9" s="65"/>
      <c r="E9" s="65"/>
      <c r="F9" s="65"/>
      <c r="G9" s="65"/>
      <c r="H9" s="65"/>
    </row>
    <row r="10" spans="1:14">
      <c r="A10" s="63" t="str" cm="1">
        <f t="array" ref="A10:H10">'[1]2026 May Email Calendar'!$A$9:$H$9</f>
        <v>Wk. 21: May 17 – May 23</v>
      </c>
      <c r="B10" s="73">
        <v>46159</v>
      </c>
      <c r="C10" s="73">
        <v>46160</v>
      </c>
      <c r="D10" s="73">
        <v>46161</v>
      </c>
      <c r="E10" s="73">
        <v>46162</v>
      </c>
      <c r="F10" s="73">
        <v>46163</v>
      </c>
      <c r="G10" s="73">
        <v>46164</v>
      </c>
      <c r="H10" s="73">
        <v>46165</v>
      </c>
    </row>
    <row r="11" spans="1:14">
      <c r="B11" s="65"/>
    </row>
    <row r="12" spans="1:14">
      <c r="A12" s="65" t="str" cm="1">
        <f t="array" ref="A12:H12">'[1]2026 May Email Calendar'!$A$11:$H$11</f>
        <v>Wk. 22: May 24 – May 30</v>
      </c>
      <c r="B12" s="66">
        <v>46166</v>
      </c>
      <c r="C12" s="66">
        <v>46167</v>
      </c>
      <c r="D12" s="66">
        <v>46168</v>
      </c>
      <c r="E12" s="66">
        <v>46169</v>
      </c>
      <c r="F12" s="66">
        <v>46170</v>
      </c>
      <c r="G12" s="66">
        <v>46171</v>
      </c>
      <c r="H12" s="66">
        <v>46172</v>
      </c>
    </row>
    <row r="13" spans="1:14">
      <c r="A13" s="65"/>
      <c r="B13" s="65"/>
      <c r="C13" s="65"/>
      <c r="D13" s="65"/>
      <c r="E13" s="65"/>
      <c r="F13" s="65"/>
      <c r="G13" s="65"/>
      <c r="H13" s="65"/>
    </row>
    <row r="14" spans="1:14">
      <c r="A14" s="65" t="str" cm="1">
        <f t="array" ref="A14:B14">'[1]2026 May Email Calendar'!$A$13:$B$13</f>
        <v>Wk. 23: May 31 – June 06</v>
      </c>
      <c r="B14" s="66">
        <v>46173</v>
      </c>
      <c r="C14" s="65"/>
      <c r="D14" s="65"/>
      <c r="E14" s="65"/>
      <c r="F14" s="65"/>
      <c r="G14" s="65"/>
      <c r="H14" s="65"/>
    </row>
    <row r="15" spans="1:14">
      <c r="A15" s="65"/>
      <c r="B15" s="65"/>
      <c r="C15" s="65"/>
      <c r="D15" s="65"/>
      <c r="E15" s="65"/>
      <c r="F15" s="65"/>
      <c r="G15" s="65"/>
      <c r="H15" s="65"/>
    </row>
    <row r="16" spans="1:14">
      <c r="A16" s="65"/>
      <c r="B16" s="65"/>
      <c r="C16" s="65"/>
      <c r="D16" s="65"/>
      <c r="E16" s="65"/>
      <c r="F16" s="65"/>
      <c r="G16" s="65"/>
      <c r="H16" s="65"/>
    </row>
    <row r="17" spans="1:8" ht="26.25">
      <c r="A17" s="134" t="s">
        <v>193</v>
      </c>
      <c r="B17" s="134"/>
      <c r="C17" s="134"/>
      <c r="D17" s="134"/>
      <c r="E17" s="134"/>
      <c r="F17" s="134"/>
      <c r="G17" s="134"/>
      <c r="H17" s="134"/>
    </row>
    <row r="18" spans="1:8" ht="21">
      <c r="A18" s="71"/>
      <c r="B18" s="71" t="str" cm="1">
        <f t="array" ref="B18:H18">'[1]2026 May Email Calendar'!$B$16:$H$16 &amp; ""</f>
        <v>Events</v>
      </c>
      <c r="C18" s="71" t="str">
        <v>Promo</v>
      </c>
      <c r="D18" s="71" t="str">
        <v/>
      </c>
      <c r="E18" s="71" t="str">
        <v>Services</v>
      </c>
      <c r="F18" s="71" t="str">
        <v>PLCC &amp; Loyalty</v>
      </c>
      <c r="G18" s="71" t="str">
        <v>Promo</v>
      </c>
      <c r="H18" s="71" t="str">
        <v>Newsletters</v>
      </c>
    </row>
    <row r="19" spans="1:8" ht="21">
      <c r="A19" s="70"/>
      <c r="B19" s="70" t="str" cm="1">
        <f t="array" ref="B19:H19">'[2]2026 May SMS Calendar'!$B$2:$H$2 &amp; ""</f>
        <v>Sunday</v>
      </c>
      <c r="C19" s="70" t="str">
        <v>Monday</v>
      </c>
      <c r="D19" s="70" t="str">
        <v>Tuesday</v>
      </c>
      <c r="E19" s="70" t="str">
        <v>Wednesday</v>
      </c>
      <c r="F19" s="70" t="str">
        <v>Thursday</v>
      </c>
      <c r="G19" s="70" t="str">
        <v>Friday</v>
      </c>
      <c r="H19" s="70" t="str">
        <v>Saturday</v>
      </c>
    </row>
    <row r="20" spans="1:8">
      <c r="A20" s="63" t="str">
        <f>'[2]2026 May SMS Calendar'!$A$3</f>
        <v>Wk. 18: April 26 – May 02</v>
      </c>
      <c r="B20" s="65"/>
      <c r="C20" s="65"/>
      <c r="D20" s="65"/>
      <c r="E20" s="65"/>
      <c r="F20" s="65"/>
      <c r="G20" s="66" cm="1">
        <f t="array" ref="G20:H20">'[2]2026 May SMS Calendar'!$G$3:$H$3</f>
        <v>46143</v>
      </c>
      <c r="H20" s="66">
        <v>46144</v>
      </c>
    </row>
    <row r="21" spans="1:8">
      <c r="G21" s="65"/>
    </row>
    <row r="22" spans="1:8">
      <c r="A22" s="63" t="str" cm="1">
        <f t="array" ref="A22:H22">'[2]2026 May SMS Calendar'!$A$5:$H$5</f>
        <v>Wk. 19: May 03 – May 09</v>
      </c>
      <c r="B22" s="66">
        <v>46145</v>
      </c>
      <c r="C22" s="66">
        <v>46146</v>
      </c>
      <c r="D22" s="66">
        <v>46147</v>
      </c>
      <c r="E22" s="66">
        <v>46148</v>
      </c>
      <c r="F22" s="66">
        <v>46149</v>
      </c>
      <c r="G22" s="66">
        <v>46150</v>
      </c>
      <c r="H22" s="66">
        <v>46151</v>
      </c>
    </row>
    <row r="23" spans="1:8">
      <c r="B23" s="65"/>
    </row>
    <row r="24" spans="1:8">
      <c r="A24" s="63" t="str" cm="1">
        <f t="array" ref="A24:H24">'[2]2026 May SMS Calendar'!$A$7:$H$7</f>
        <v>Wk. 20: May 10 – May 16</v>
      </c>
      <c r="B24" s="66">
        <v>46152</v>
      </c>
      <c r="C24" s="66">
        <v>46153</v>
      </c>
      <c r="D24" s="66">
        <v>46154</v>
      </c>
      <c r="E24" s="66">
        <v>46155</v>
      </c>
      <c r="F24" s="66">
        <v>46156</v>
      </c>
      <c r="G24" s="66">
        <v>46157</v>
      </c>
      <c r="H24" s="66">
        <v>46158</v>
      </c>
    </row>
    <row r="25" spans="1:8">
      <c r="B25" s="65"/>
    </row>
    <row r="26" spans="1:8">
      <c r="A26" s="63" t="str" cm="1">
        <f t="array" ref="A26:H26">'[2]2026 May SMS Calendar'!$A$9:$H$9</f>
        <v>Wk. 21: May 17 – May 23</v>
      </c>
      <c r="B26" s="66">
        <v>46159</v>
      </c>
      <c r="C26" s="66">
        <v>46160</v>
      </c>
      <c r="D26" s="66">
        <v>46161</v>
      </c>
      <c r="E26" s="66">
        <v>46162</v>
      </c>
      <c r="F26" s="66">
        <v>46163</v>
      </c>
      <c r="G26" s="66">
        <v>46164</v>
      </c>
      <c r="H26" s="66">
        <v>46165</v>
      </c>
    </row>
    <row r="27" spans="1:8">
      <c r="B27" s="65"/>
    </row>
    <row r="28" spans="1:8">
      <c r="A28" s="63" t="str" cm="1">
        <f t="array" ref="A28:H28">'[2]2026 May SMS Calendar'!$A$11:$H$11</f>
        <v>Wk. 22: May 24 – May 30</v>
      </c>
      <c r="B28" s="66">
        <v>46166</v>
      </c>
      <c r="C28" s="66">
        <v>46167</v>
      </c>
      <c r="D28" s="66">
        <v>46168</v>
      </c>
      <c r="E28" s="66">
        <v>46169</v>
      </c>
      <c r="F28" s="66">
        <v>46170</v>
      </c>
      <c r="G28" s="66">
        <v>46171</v>
      </c>
      <c r="H28" s="66">
        <v>46172</v>
      </c>
    </row>
    <row r="29" spans="1:8">
      <c r="B29" s="65"/>
    </row>
    <row r="30" spans="1:8">
      <c r="A30" s="63" t="str" cm="1">
        <f t="array" ref="A30:B30">'[2]2026 May SMS Calendar'!$A$13:$B$13</f>
        <v>Wk. 23: May 31 – June 06</v>
      </c>
      <c r="B30" s="66">
        <v>46173</v>
      </c>
    </row>
    <row r="31" spans="1:8">
      <c r="B31" s="65" t="str">
        <f>'[2]2026 May SMS Calendar'!$B$14 &amp; ""</f>
        <v/>
      </c>
    </row>
    <row r="32" spans="1:8">
      <c r="B32" s="65"/>
    </row>
  </sheetData>
  <sheetProtection sheet="1" objects="1" scenarios="1"/>
  <mergeCells count="4">
    <mergeCell ref="A1:H1"/>
    <mergeCell ref="A17:H17"/>
    <mergeCell ref="I1:K1"/>
    <mergeCell ref="L1:N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17"/>
  <sheetViews>
    <sheetView workbookViewId="0">
      <selection activeCell="B5" sqref="B5"/>
    </sheetView>
  </sheetViews>
  <sheetFormatPr defaultRowHeight="14.25"/>
  <cols>
    <col min="1" max="5" width="20" customWidth="1"/>
  </cols>
  <sheetData>
    <row r="1" spans="1:5" ht="15">
      <c r="A1" s="10" t="s">
        <v>43</v>
      </c>
      <c r="B1" s="10" t="s">
        <v>44</v>
      </c>
      <c r="C1" s="10" t="s">
        <v>96</v>
      </c>
      <c r="D1" s="10" t="s">
        <v>97</v>
      </c>
      <c r="E1" s="10" t="s">
        <v>98</v>
      </c>
    </row>
    <row r="2" spans="1:5">
      <c r="A2" s="8" t="s">
        <v>61</v>
      </c>
      <c r="B2" s="8" t="s">
        <v>99</v>
      </c>
      <c r="C2" s="8" t="s">
        <v>70</v>
      </c>
      <c r="D2" s="8" t="s">
        <v>100</v>
      </c>
      <c r="E2" s="8" t="s">
        <v>101</v>
      </c>
    </row>
    <row r="3" spans="1:5">
      <c r="A3" s="8" t="s">
        <v>64</v>
      </c>
      <c r="B3" s="8" t="s">
        <v>102</v>
      </c>
      <c r="C3" s="8" t="s">
        <v>99</v>
      </c>
      <c r="D3" s="8" t="s">
        <v>103</v>
      </c>
      <c r="E3" s="8" t="s">
        <v>104</v>
      </c>
    </row>
    <row r="4" spans="1:5">
      <c r="A4" s="8" t="s">
        <v>158</v>
      </c>
      <c r="B4" s="8" t="s">
        <v>105</v>
      </c>
      <c r="C4" s="8" t="s">
        <v>106</v>
      </c>
      <c r="D4" s="8" t="s">
        <v>107</v>
      </c>
      <c r="E4" s="8" t="s">
        <v>108</v>
      </c>
    </row>
    <row r="5" spans="1:5">
      <c r="A5" s="8" t="s">
        <v>159</v>
      </c>
      <c r="B5" s="8" t="s">
        <v>109</v>
      </c>
      <c r="C5" s="8" t="s">
        <v>110</v>
      </c>
      <c r="D5" s="8" t="s">
        <v>111</v>
      </c>
      <c r="E5" s="8" t="s">
        <v>112</v>
      </c>
    </row>
    <row r="6" spans="1:5">
      <c r="A6" s="8" t="s">
        <v>67</v>
      </c>
      <c r="B6" s="8" t="s">
        <v>113</v>
      </c>
      <c r="C6" s="8" t="s">
        <v>114</v>
      </c>
      <c r="D6" s="8" t="s">
        <v>115</v>
      </c>
      <c r="E6" s="8" t="s">
        <v>116</v>
      </c>
    </row>
    <row r="7" spans="1:5">
      <c r="A7" s="8" t="s">
        <v>68</v>
      </c>
      <c r="B7" s="8" t="s">
        <v>117</v>
      </c>
      <c r="C7" s="8" t="s">
        <v>118</v>
      </c>
      <c r="D7" s="8" t="s">
        <v>119</v>
      </c>
      <c r="E7" s="8" t="s">
        <v>120</v>
      </c>
    </row>
    <row r="8" spans="1:5">
      <c r="A8" s="8" t="s">
        <v>69</v>
      </c>
      <c r="B8" s="8" t="s">
        <v>122</v>
      </c>
      <c r="C8" s="8" t="s">
        <v>123</v>
      </c>
      <c r="D8" s="8" t="s">
        <v>124</v>
      </c>
      <c r="E8" s="8" t="s">
        <v>72</v>
      </c>
    </row>
    <row r="9" spans="1:5">
      <c r="A9" s="8" t="s">
        <v>121</v>
      </c>
      <c r="B9" s="8" t="s">
        <v>125</v>
      </c>
      <c r="C9" s="8" t="s">
        <v>119</v>
      </c>
      <c r="D9" s="8"/>
      <c r="E9" s="8"/>
    </row>
    <row r="10" spans="1:5">
      <c r="A10" s="8"/>
      <c r="B10" s="8" t="s">
        <v>126</v>
      </c>
      <c r="C10" s="8" t="s">
        <v>127</v>
      </c>
      <c r="D10" s="8"/>
      <c r="E10" s="8"/>
    </row>
    <row r="11" spans="1:5">
      <c r="A11" s="8"/>
      <c r="B11" s="8" t="s">
        <v>128</v>
      </c>
      <c r="C11" s="8" t="s">
        <v>129</v>
      </c>
      <c r="D11" s="8"/>
      <c r="E11" s="8"/>
    </row>
    <row r="12" spans="1:5">
      <c r="A12" s="8"/>
      <c r="B12" s="8" t="s">
        <v>130</v>
      </c>
      <c r="C12" s="8" t="s">
        <v>131</v>
      </c>
      <c r="D12" s="8"/>
      <c r="E12" s="8"/>
    </row>
    <row r="13" spans="1:5">
      <c r="A13" s="8"/>
      <c r="B13" s="8" t="s">
        <v>51</v>
      </c>
      <c r="C13" s="8" t="s">
        <v>132</v>
      </c>
      <c r="D13" s="8"/>
      <c r="E13" s="8"/>
    </row>
    <row r="14" spans="1:5">
      <c r="A14" s="8"/>
      <c r="B14" s="8" t="s">
        <v>9</v>
      </c>
      <c r="C14" s="8" t="s">
        <v>9</v>
      </c>
      <c r="D14" s="8"/>
      <c r="E14" s="8"/>
    </row>
    <row r="15" spans="1:5">
      <c r="A15" s="8"/>
      <c r="B15" s="8" t="s">
        <v>115</v>
      </c>
      <c r="C15" s="8" t="s">
        <v>51</v>
      </c>
      <c r="D15" s="8"/>
      <c r="E15" s="8"/>
    </row>
    <row r="16" spans="1:5">
      <c r="A16" s="8"/>
      <c r="B16" s="8" t="s">
        <v>66</v>
      </c>
      <c r="C16" s="8" t="s">
        <v>115</v>
      </c>
      <c r="D16" s="8"/>
      <c r="E16" s="8"/>
    </row>
    <row r="17" spans="1:5">
      <c r="A17" s="8"/>
      <c r="B17" s="8"/>
      <c r="C17" s="8" t="s">
        <v>66</v>
      </c>
      <c r="D17" s="8"/>
      <c r="E17" s="8"/>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270"/>
  <sheetViews>
    <sheetView workbookViewId="0"/>
  </sheetViews>
  <sheetFormatPr defaultRowHeight="14.25"/>
  <cols>
    <col min="1" max="4" width="28" customWidth="1"/>
  </cols>
  <sheetData>
    <row r="1" spans="1:4" ht="15">
      <c r="A1" s="10" t="s">
        <v>133</v>
      </c>
      <c r="B1" s="10" t="s">
        <v>134</v>
      </c>
      <c r="C1" s="10" t="s">
        <v>81</v>
      </c>
      <c r="D1" s="10" t="s">
        <v>135</v>
      </c>
    </row>
    <row r="2" spans="1:4">
      <c r="A2" s="9"/>
      <c r="B2" s="8"/>
      <c r="C2" s="8"/>
      <c r="D2" s="8"/>
    </row>
    <row r="3" spans="1:4">
      <c r="A3" s="9"/>
      <c r="B3" s="8"/>
      <c r="C3" s="8"/>
      <c r="D3" s="8"/>
    </row>
    <row r="4" spans="1:4">
      <c r="A4" s="9"/>
      <c r="B4" s="8"/>
      <c r="C4" s="8"/>
      <c r="D4" s="8"/>
    </row>
    <row r="5" spans="1:4">
      <c r="A5" s="9"/>
      <c r="B5" s="8"/>
      <c r="C5" s="8"/>
      <c r="D5" s="8"/>
    </row>
    <row r="6" spans="1:4">
      <c r="A6" s="9"/>
      <c r="B6" s="8"/>
      <c r="C6" s="8"/>
      <c r="D6" s="8"/>
    </row>
    <row r="7" spans="1:4">
      <c r="A7" s="9"/>
      <c r="B7" s="8"/>
      <c r="C7" s="8"/>
      <c r="D7" s="8"/>
    </row>
    <row r="8" spans="1:4">
      <c r="A8" s="9"/>
      <c r="B8" s="8"/>
      <c r="C8" s="8"/>
      <c r="D8" s="8"/>
    </row>
    <row r="9" spans="1:4">
      <c r="A9" s="9"/>
      <c r="B9" s="8"/>
      <c r="C9" s="8"/>
      <c r="D9" s="8"/>
    </row>
    <row r="10" spans="1:4">
      <c r="A10" s="9"/>
      <c r="B10" s="8"/>
      <c r="C10" s="8"/>
      <c r="D10" s="8"/>
    </row>
    <row r="11" spans="1:4">
      <c r="A11" s="9"/>
      <c r="B11" s="8"/>
      <c r="C11" s="8"/>
      <c r="D11" s="8"/>
    </row>
    <row r="12" spans="1:4">
      <c r="A12" s="9"/>
      <c r="B12" s="8"/>
      <c r="C12" s="8"/>
      <c r="D12" s="8"/>
    </row>
    <row r="13" spans="1:4">
      <c r="A13" s="9"/>
      <c r="B13" s="8"/>
      <c r="C13" s="8"/>
      <c r="D13" s="8"/>
    </row>
    <row r="14" spans="1:4">
      <c r="A14" s="9"/>
      <c r="B14" s="8"/>
      <c r="C14" s="8"/>
      <c r="D14" s="8"/>
    </row>
    <row r="15" spans="1:4">
      <c r="A15" s="9"/>
      <c r="B15" s="8"/>
      <c r="C15" s="8"/>
      <c r="D15" s="8"/>
    </row>
    <row r="16" spans="1:4">
      <c r="A16" s="9"/>
      <c r="B16" s="8"/>
      <c r="C16" s="8"/>
      <c r="D16" s="8"/>
    </row>
    <row r="17" spans="1:4">
      <c r="A17" s="9"/>
      <c r="B17" s="8"/>
      <c r="C17" s="8"/>
      <c r="D17" s="8"/>
    </row>
    <row r="18" spans="1:4">
      <c r="A18" s="9"/>
      <c r="B18" s="8"/>
      <c r="C18" s="8"/>
      <c r="D18" s="8"/>
    </row>
    <row r="19" spans="1:4">
      <c r="A19" s="9"/>
      <c r="B19" s="8"/>
      <c r="C19" s="8"/>
      <c r="D19" s="8"/>
    </row>
    <row r="20" spans="1:4">
      <c r="A20" s="9"/>
      <c r="B20" s="8"/>
      <c r="C20" s="8"/>
      <c r="D20" s="8"/>
    </row>
    <row r="21" spans="1:4">
      <c r="A21" s="9"/>
      <c r="B21" s="8"/>
      <c r="C21" s="8"/>
      <c r="D21" s="8"/>
    </row>
    <row r="22" spans="1:4">
      <c r="A22" s="9"/>
      <c r="B22" s="8"/>
      <c r="C22" s="8"/>
      <c r="D22" s="8"/>
    </row>
    <row r="23" spans="1:4">
      <c r="A23" s="9"/>
      <c r="B23" s="8"/>
      <c r="C23" s="8"/>
      <c r="D23" s="8"/>
    </row>
    <row r="24" spans="1:4">
      <c r="A24" s="9"/>
      <c r="B24" s="8"/>
      <c r="C24" s="8"/>
      <c r="D24" s="8"/>
    </row>
    <row r="25" spans="1:4">
      <c r="A25" s="9"/>
      <c r="B25" s="8"/>
      <c r="C25" s="8"/>
      <c r="D25" s="8"/>
    </row>
    <row r="26" spans="1:4">
      <c r="A26" s="9"/>
      <c r="B26" s="8"/>
      <c r="C26" s="8"/>
      <c r="D26" s="8"/>
    </row>
    <row r="27" spans="1:4">
      <c r="A27" s="9"/>
      <c r="B27" s="8"/>
      <c r="C27" s="8"/>
      <c r="D27" s="8"/>
    </row>
    <row r="28" spans="1:4">
      <c r="A28" s="9"/>
      <c r="B28" s="8"/>
      <c r="C28" s="8"/>
      <c r="D28" s="8"/>
    </row>
    <row r="29" spans="1:4">
      <c r="A29" s="9"/>
      <c r="B29" s="8"/>
      <c r="C29" s="8"/>
      <c r="D29" s="8"/>
    </row>
    <row r="30" spans="1:4">
      <c r="A30" s="9"/>
      <c r="B30" s="8"/>
      <c r="C30" s="8"/>
      <c r="D30" s="8"/>
    </row>
    <row r="31" spans="1:4">
      <c r="A31" s="9"/>
      <c r="B31" s="8"/>
      <c r="C31" s="8"/>
      <c r="D31" s="8"/>
    </row>
    <row r="32" spans="1:4">
      <c r="A32" s="9"/>
      <c r="B32" s="8"/>
      <c r="C32" s="8"/>
      <c r="D32" s="8"/>
    </row>
    <row r="33" spans="1:4">
      <c r="A33" s="9"/>
      <c r="B33" s="8"/>
      <c r="C33" s="8"/>
      <c r="D33" s="8"/>
    </row>
    <row r="34" spans="1:4">
      <c r="A34" s="9"/>
      <c r="B34" s="8"/>
      <c r="C34" s="8"/>
      <c r="D34" s="8"/>
    </row>
    <row r="35" spans="1:4">
      <c r="A35" s="9"/>
      <c r="B35" s="8"/>
      <c r="C35" s="8"/>
      <c r="D35" s="8"/>
    </row>
    <row r="36" spans="1:4">
      <c r="A36" s="9"/>
      <c r="B36" s="8"/>
      <c r="C36" s="8"/>
      <c r="D36" s="8"/>
    </row>
    <row r="37" spans="1:4">
      <c r="A37" s="9"/>
      <c r="B37" s="8"/>
      <c r="C37" s="8"/>
      <c r="D37" s="8"/>
    </row>
    <row r="38" spans="1:4">
      <c r="A38" s="9"/>
      <c r="B38" s="8"/>
      <c r="C38" s="8"/>
      <c r="D38" s="8"/>
    </row>
    <row r="39" spans="1:4">
      <c r="A39" s="9"/>
      <c r="B39" s="8"/>
      <c r="C39" s="8"/>
      <c r="D39" s="8"/>
    </row>
    <row r="40" spans="1:4">
      <c r="A40" s="9"/>
      <c r="B40" s="8"/>
      <c r="C40" s="8"/>
      <c r="D40" s="8"/>
    </row>
    <row r="41" spans="1:4">
      <c r="A41" s="9"/>
      <c r="B41" s="8"/>
      <c r="C41" s="8"/>
      <c r="D41" s="8"/>
    </row>
    <row r="42" spans="1:4">
      <c r="A42" s="9"/>
      <c r="B42" s="8"/>
      <c r="C42" s="8"/>
      <c r="D42" s="8"/>
    </row>
    <row r="43" spans="1:4">
      <c r="A43" s="9"/>
      <c r="B43" s="8"/>
      <c r="C43" s="8"/>
      <c r="D43" s="8"/>
    </row>
    <row r="44" spans="1:4">
      <c r="A44" s="9"/>
      <c r="B44" s="8"/>
      <c r="C44" s="8"/>
      <c r="D44" s="8"/>
    </row>
    <row r="45" spans="1:4">
      <c r="A45" s="9"/>
      <c r="B45" s="8"/>
      <c r="C45" s="8"/>
      <c r="D45" s="8"/>
    </row>
    <row r="46" spans="1:4">
      <c r="A46" s="9"/>
      <c r="B46" s="8"/>
      <c r="C46" s="8"/>
      <c r="D46" s="8"/>
    </row>
    <row r="47" spans="1:4">
      <c r="A47" s="9"/>
      <c r="B47" s="8"/>
      <c r="C47" s="8"/>
      <c r="D47" s="8"/>
    </row>
    <row r="48" spans="1:4">
      <c r="A48" s="9"/>
      <c r="B48" s="8"/>
      <c r="C48" s="8"/>
      <c r="D48" s="8"/>
    </row>
    <row r="49" spans="1:4">
      <c r="A49" s="9"/>
      <c r="B49" s="8"/>
      <c r="C49" s="8"/>
      <c r="D49" s="8"/>
    </row>
    <row r="50" spans="1:4">
      <c r="A50" s="9"/>
      <c r="B50" s="8"/>
      <c r="C50" s="8"/>
      <c r="D50" s="8"/>
    </row>
    <row r="51" spans="1:4">
      <c r="A51" s="9"/>
      <c r="B51" s="8"/>
      <c r="C51" s="8"/>
      <c r="D51" s="8"/>
    </row>
    <row r="52" spans="1:4">
      <c r="A52" s="9"/>
      <c r="B52" s="8"/>
      <c r="C52" s="8"/>
      <c r="D52" s="8"/>
    </row>
    <row r="53" spans="1:4">
      <c r="A53" s="9"/>
      <c r="B53" s="8"/>
      <c r="C53" s="8"/>
      <c r="D53" s="8"/>
    </row>
    <row r="54" spans="1:4">
      <c r="A54" s="9"/>
      <c r="B54" s="8"/>
      <c r="C54" s="8"/>
      <c r="D54" s="8"/>
    </row>
    <row r="55" spans="1:4">
      <c r="A55" s="9"/>
      <c r="B55" s="8"/>
      <c r="C55" s="8"/>
      <c r="D55" s="8"/>
    </row>
    <row r="56" spans="1:4">
      <c r="A56" s="9"/>
      <c r="B56" s="8"/>
      <c r="C56" s="8"/>
      <c r="D56" s="8"/>
    </row>
    <row r="57" spans="1:4">
      <c r="A57" s="9"/>
      <c r="B57" s="8"/>
      <c r="C57" s="8"/>
      <c r="D57" s="8"/>
    </row>
    <row r="58" spans="1:4">
      <c r="A58" s="9"/>
      <c r="B58" s="8"/>
      <c r="C58" s="8"/>
      <c r="D58" s="8"/>
    </row>
    <row r="59" spans="1:4">
      <c r="A59" s="9"/>
      <c r="B59" s="8"/>
      <c r="C59" s="8"/>
      <c r="D59" s="8"/>
    </row>
    <row r="60" spans="1:4">
      <c r="A60" s="9"/>
      <c r="B60" s="8"/>
      <c r="C60" s="8"/>
      <c r="D60" s="8"/>
    </row>
    <row r="61" spans="1:4">
      <c r="A61" s="9"/>
      <c r="B61" s="8"/>
      <c r="C61" s="8"/>
      <c r="D61" s="8"/>
    </row>
    <row r="62" spans="1:4">
      <c r="A62" s="9"/>
      <c r="B62" s="8"/>
      <c r="C62" s="8"/>
      <c r="D62" s="8"/>
    </row>
    <row r="63" spans="1:4">
      <c r="A63" s="9"/>
      <c r="B63" s="8"/>
      <c r="C63" s="8"/>
      <c r="D63" s="8"/>
    </row>
    <row r="64" spans="1:4">
      <c r="A64" s="9"/>
      <c r="B64" s="8"/>
      <c r="C64" s="8"/>
      <c r="D64" s="8"/>
    </row>
    <row r="65" spans="1:4">
      <c r="A65" s="9"/>
      <c r="B65" s="8"/>
      <c r="C65" s="8"/>
      <c r="D65" s="8"/>
    </row>
    <row r="66" spans="1:4">
      <c r="A66" s="9"/>
      <c r="B66" s="8"/>
      <c r="C66" s="8"/>
      <c r="D66" s="8"/>
    </row>
    <row r="67" spans="1:4">
      <c r="A67" s="9"/>
      <c r="B67" s="8"/>
      <c r="C67" s="8"/>
      <c r="D67" s="8"/>
    </row>
    <row r="68" spans="1:4">
      <c r="A68" s="9"/>
      <c r="B68" s="8"/>
      <c r="C68" s="8"/>
      <c r="D68" s="8"/>
    </row>
    <row r="69" spans="1:4">
      <c r="A69" s="9"/>
      <c r="B69" s="8"/>
      <c r="C69" s="8"/>
      <c r="D69" s="8"/>
    </row>
    <row r="70" spans="1:4">
      <c r="A70" s="9"/>
      <c r="B70" s="8"/>
      <c r="C70" s="8"/>
      <c r="D70" s="8"/>
    </row>
    <row r="71" spans="1:4">
      <c r="A71" s="9"/>
      <c r="B71" s="8"/>
      <c r="C71" s="8"/>
      <c r="D71" s="8"/>
    </row>
    <row r="72" spans="1:4">
      <c r="A72" s="9"/>
      <c r="B72" s="8"/>
      <c r="C72" s="8"/>
      <c r="D72" s="8"/>
    </row>
    <row r="73" spans="1:4">
      <c r="A73" s="9"/>
      <c r="B73" s="8"/>
      <c r="C73" s="8"/>
      <c r="D73" s="8"/>
    </row>
    <row r="74" spans="1:4">
      <c r="A74" s="9"/>
      <c r="B74" s="8"/>
      <c r="C74" s="8"/>
      <c r="D74" s="8"/>
    </row>
    <row r="75" spans="1:4">
      <c r="A75" s="9"/>
      <c r="B75" s="8"/>
      <c r="C75" s="8"/>
      <c r="D75" s="8"/>
    </row>
    <row r="76" spans="1:4">
      <c r="A76" s="9"/>
      <c r="B76" s="8"/>
      <c r="C76" s="8"/>
      <c r="D76" s="8"/>
    </row>
    <row r="77" spans="1:4">
      <c r="A77" s="9"/>
      <c r="B77" s="8"/>
      <c r="C77" s="8"/>
      <c r="D77" s="8"/>
    </row>
    <row r="78" spans="1:4">
      <c r="A78" s="9"/>
      <c r="B78" s="8"/>
      <c r="C78" s="8"/>
      <c r="D78" s="8"/>
    </row>
    <row r="79" spans="1:4">
      <c r="A79" s="9"/>
      <c r="B79" s="8"/>
      <c r="C79" s="8"/>
      <c r="D79" s="8"/>
    </row>
    <row r="80" spans="1:4">
      <c r="A80" s="9"/>
      <c r="B80" s="8"/>
      <c r="C80" s="8"/>
      <c r="D80" s="8"/>
    </row>
    <row r="81" spans="1:4">
      <c r="A81" s="9"/>
      <c r="B81" s="8"/>
      <c r="C81" s="8"/>
      <c r="D81" s="8"/>
    </row>
    <row r="82" spans="1:4">
      <c r="A82" s="9"/>
      <c r="B82" s="8"/>
      <c r="C82" s="8"/>
      <c r="D82" s="8"/>
    </row>
    <row r="83" spans="1:4">
      <c r="A83" s="9"/>
      <c r="B83" s="8"/>
      <c r="C83" s="8"/>
      <c r="D83" s="8"/>
    </row>
    <row r="84" spans="1:4">
      <c r="A84" s="9"/>
      <c r="B84" s="8"/>
      <c r="C84" s="8"/>
      <c r="D84" s="8"/>
    </row>
    <row r="85" spans="1:4">
      <c r="A85" s="9"/>
      <c r="B85" s="8"/>
      <c r="C85" s="8"/>
      <c r="D85" s="8"/>
    </row>
    <row r="86" spans="1:4">
      <c r="A86" s="9"/>
      <c r="B86" s="8"/>
      <c r="C86" s="8"/>
      <c r="D86" s="8"/>
    </row>
    <row r="87" spans="1:4">
      <c r="A87" s="9"/>
      <c r="B87" s="8"/>
      <c r="C87" s="8"/>
      <c r="D87" s="8"/>
    </row>
    <row r="88" spans="1:4">
      <c r="A88" s="9"/>
      <c r="B88" s="8"/>
      <c r="C88" s="8"/>
      <c r="D88" s="8"/>
    </row>
    <row r="89" spans="1:4">
      <c r="A89" s="9"/>
      <c r="B89" s="8"/>
      <c r="C89" s="8"/>
      <c r="D89" s="8"/>
    </row>
    <row r="90" spans="1:4">
      <c r="A90" s="9"/>
      <c r="B90" s="8"/>
      <c r="C90" s="8"/>
      <c r="D90" s="8"/>
    </row>
    <row r="91" spans="1:4">
      <c r="A91" s="9"/>
      <c r="B91" s="8"/>
      <c r="C91" s="8"/>
      <c r="D91" s="8"/>
    </row>
    <row r="92" spans="1:4">
      <c r="A92" s="9"/>
      <c r="B92" s="8"/>
      <c r="C92" s="8"/>
      <c r="D92" s="8"/>
    </row>
    <row r="93" spans="1:4">
      <c r="A93" s="9"/>
      <c r="B93" s="8"/>
      <c r="C93" s="8"/>
      <c r="D93" s="8"/>
    </row>
    <row r="94" spans="1:4">
      <c r="A94" s="9"/>
      <c r="B94" s="8"/>
      <c r="C94" s="8"/>
      <c r="D94" s="8"/>
    </row>
    <row r="95" spans="1:4">
      <c r="A95" s="9"/>
      <c r="B95" s="8"/>
      <c r="C95" s="8"/>
      <c r="D95" s="8"/>
    </row>
    <row r="96" spans="1:4">
      <c r="A96" s="9"/>
      <c r="B96" s="8"/>
      <c r="C96" s="8"/>
      <c r="D96" s="8"/>
    </row>
    <row r="97" spans="1:4">
      <c r="A97" s="9"/>
      <c r="B97" s="8"/>
      <c r="C97" s="8"/>
      <c r="D97" s="8"/>
    </row>
    <row r="98" spans="1:4">
      <c r="A98" s="9"/>
      <c r="B98" s="8"/>
      <c r="C98" s="8"/>
      <c r="D98" s="8"/>
    </row>
    <row r="99" spans="1:4">
      <c r="A99" s="9"/>
      <c r="B99" s="8"/>
      <c r="C99" s="8"/>
      <c r="D99" s="8"/>
    </row>
    <row r="100" spans="1:4">
      <c r="A100" s="9"/>
      <c r="B100" s="8"/>
      <c r="C100" s="8"/>
      <c r="D100" s="8"/>
    </row>
    <row r="101" spans="1:4">
      <c r="A101" s="9"/>
      <c r="B101" s="8"/>
      <c r="C101" s="8"/>
      <c r="D101" s="8"/>
    </row>
    <row r="102" spans="1:4">
      <c r="A102" s="9"/>
      <c r="B102" s="8"/>
      <c r="C102" s="8"/>
      <c r="D102" s="8"/>
    </row>
    <row r="103" spans="1:4">
      <c r="A103" s="9"/>
      <c r="B103" s="8"/>
      <c r="C103" s="8"/>
      <c r="D103" s="8"/>
    </row>
    <row r="104" spans="1:4">
      <c r="A104" s="9"/>
      <c r="B104" s="8"/>
      <c r="C104" s="8"/>
      <c r="D104" s="8"/>
    </row>
    <row r="105" spans="1:4">
      <c r="A105" s="9"/>
      <c r="B105" s="8"/>
      <c r="C105" s="8"/>
      <c r="D105" s="8"/>
    </row>
    <row r="106" spans="1:4">
      <c r="A106" s="9"/>
      <c r="B106" s="8"/>
      <c r="C106" s="8"/>
      <c r="D106" s="8"/>
    </row>
    <row r="107" spans="1:4">
      <c r="A107" s="9"/>
      <c r="B107" s="8"/>
      <c r="C107" s="8"/>
      <c r="D107" s="8"/>
    </row>
    <row r="108" spans="1:4">
      <c r="A108" s="9"/>
      <c r="B108" s="8"/>
      <c r="C108" s="8"/>
      <c r="D108" s="8"/>
    </row>
    <row r="109" spans="1:4">
      <c r="A109" s="9"/>
      <c r="B109" s="8"/>
      <c r="C109" s="8"/>
      <c r="D109" s="8"/>
    </row>
    <row r="110" spans="1:4">
      <c r="A110" s="9"/>
      <c r="B110" s="8"/>
      <c r="C110" s="8"/>
      <c r="D110" s="8"/>
    </row>
    <row r="111" spans="1:4">
      <c r="A111" s="9"/>
      <c r="B111" s="8"/>
      <c r="C111" s="8"/>
      <c r="D111" s="8"/>
    </row>
    <row r="112" spans="1:4">
      <c r="A112" s="9"/>
      <c r="B112" s="8"/>
      <c r="C112" s="8"/>
      <c r="D112" s="8"/>
    </row>
    <row r="113" spans="1:4">
      <c r="A113" s="9"/>
      <c r="B113" s="8"/>
      <c r="C113" s="8"/>
      <c r="D113" s="8"/>
    </row>
    <row r="114" spans="1:4">
      <c r="A114" s="9"/>
      <c r="B114" s="8"/>
      <c r="C114" s="8"/>
      <c r="D114" s="8"/>
    </row>
    <row r="115" spans="1:4">
      <c r="A115" s="9"/>
      <c r="B115" s="8"/>
      <c r="C115" s="8"/>
      <c r="D115" s="8"/>
    </row>
    <row r="116" spans="1:4">
      <c r="A116" s="9"/>
      <c r="B116" s="8"/>
      <c r="C116" s="8"/>
      <c r="D116" s="8"/>
    </row>
    <row r="117" spans="1:4">
      <c r="A117" s="9"/>
      <c r="B117" s="8"/>
      <c r="C117" s="8"/>
      <c r="D117" s="8"/>
    </row>
    <row r="118" spans="1:4">
      <c r="A118" s="9"/>
      <c r="B118" s="8"/>
      <c r="C118" s="8"/>
      <c r="D118" s="8"/>
    </row>
    <row r="119" spans="1:4">
      <c r="A119" s="9"/>
      <c r="B119" s="8"/>
      <c r="C119" s="8"/>
      <c r="D119" s="8"/>
    </row>
    <row r="120" spans="1:4">
      <c r="A120" s="9"/>
      <c r="B120" s="8"/>
      <c r="C120" s="8"/>
      <c r="D120" s="8"/>
    </row>
    <row r="121" spans="1:4">
      <c r="A121" s="9"/>
      <c r="B121" s="8"/>
      <c r="C121" s="8"/>
      <c r="D121" s="8"/>
    </row>
    <row r="122" spans="1:4">
      <c r="A122" s="9"/>
      <c r="B122" s="8"/>
      <c r="C122" s="8"/>
      <c r="D122" s="8"/>
    </row>
    <row r="123" spans="1:4">
      <c r="A123" s="9"/>
      <c r="B123" s="8"/>
      <c r="C123" s="8"/>
      <c r="D123" s="8"/>
    </row>
    <row r="124" spans="1:4">
      <c r="A124" s="9"/>
      <c r="B124" s="8"/>
      <c r="C124" s="8"/>
      <c r="D124" s="8"/>
    </row>
    <row r="125" spans="1:4">
      <c r="A125" s="9"/>
      <c r="B125" s="8"/>
      <c r="C125" s="8"/>
      <c r="D125" s="8"/>
    </row>
    <row r="126" spans="1:4">
      <c r="A126" s="9"/>
      <c r="B126" s="8"/>
      <c r="C126" s="8"/>
      <c r="D126" s="8"/>
    </row>
    <row r="127" spans="1:4">
      <c r="A127" s="9"/>
      <c r="B127" s="8"/>
      <c r="C127" s="8"/>
      <c r="D127" s="8"/>
    </row>
    <row r="128" spans="1:4">
      <c r="A128" s="9"/>
      <c r="B128" s="8"/>
      <c r="C128" s="8"/>
      <c r="D128" s="8"/>
    </row>
    <row r="129" spans="1:4">
      <c r="A129" s="9"/>
      <c r="B129" s="8"/>
      <c r="C129" s="8"/>
      <c r="D129" s="8"/>
    </row>
    <row r="130" spans="1:4">
      <c r="A130" s="9"/>
      <c r="B130" s="8"/>
      <c r="C130" s="8"/>
      <c r="D130" s="8"/>
    </row>
    <row r="131" spans="1:4">
      <c r="A131" s="9"/>
      <c r="B131" s="8"/>
      <c r="C131" s="8"/>
      <c r="D131" s="8"/>
    </row>
    <row r="132" spans="1:4">
      <c r="A132" s="9"/>
      <c r="B132" s="8"/>
      <c r="C132" s="8"/>
      <c r="D132" s="8"/>
    </row>
    <row r="133" spans="1:4">
      <c r="A133" s="9"/>
      <c r="B133" s="8"/>
      <c r="C133" s="8"/>
      <c r="D133" s="8"/>
    </row>
    <row r="134" spans="1:4">
      <c r="A134" s="9"/>
      <c r="B134" s="8"/>
      <c r="C134" s="8"/>
      <c r="D134" s="8"/>
    </row>
    <row r="135" spans="1:4">
      <c r="A135" s="9"/>
      <c r="B135" s="8"/>
      <c r="C135" s="8"/>
      <c r="D135" s="8"/>
    </row>
    <row r="136" spans="1:4">
      <c r="A136" s="9"/>
      <c r="B136" s="8"/>
      <c r="C136" s="8"/>
      <c r="D136" s="8"/>
    </row>
    <row r="137" spans="1:4">
      <c r="A137" s="9"/>
      <c r="B137" s="8"/>
      <c r="C137" s="8"/>
      <c r="D137" s="8"/>
    </row>
    <row r="138" spans="1:4">
      <c r="A138" s="9"/>
      <c r="B138" s="8"/>
      <c r="C138" s="8"/>
      <c r="D138" s="8"/>
    </row>
    <row r="139" spans="1:4">
      <c r="A139" s="9"/>
      <c r="B139" s="8"/>
      <c r="C139" s="8"/>
      <c r="D139" s="8"/>
    </row>
    <row r="140" spans="1:4">
      <c r="A140" s="9"/>
      <c r="B140" s="8"/>
      <c r="C140" s="8"/>
      <c r="D140" s="8"/>
    </row>
    <row r="141" spans="1:4">
      <c r="A141" s="9"/>
      <c r="B141" s="8"/>
      <c r="C141" s="8"/>
      <c r="D141" s="8"/>
    </row>
    <row r="142" spans="1:4">
      <c r="A142" s="9"/>
      <c r="B142" s="8"/>
      <c r="C142" s="8"/>
      <c r="D142" s="8"/>
    </row>
    <row r="143" spans="1:4">
      <c r="A143" s="9"/>
      <c r="B143" s="8"/>
      <c r="C143" s="8"/>
      <c r="D143" s="8"/>
    </row>
    <row r="144" spans="1:4">
      <c r="A144" s="9"/>
      <c r="B144" s="8"/>
      <c r="C144" s="8"/>
      <c r="D144" s="8"/>
    </row>
    <row r="145" spans="1:4">
      <c r="A145" s="9"/>
      <c r="B145" s="8"/>
      <c r="C145" s="8"/>
      <c r="D145" s="8"/>
    </row>
    <row r="146" spans="1:4">
      <c r="A146" s="9"/>
      <c r="B146" s="8"/>
      <c r="C146" s="8"/>
      <c r="D146" s="8"/>
    </row>
    <row r="147" spans="1:4">
      <c r="A147" s="9"/>
      <c r="B147" s="8"/>
      <c r="C147" s="8"/>
      <c r="D147" s="8"/>
    </row>
    <row r="148" spans="1:4">
      <c r="A148" s="9"/>
      <c r="B148" s="8"/>
      <c r="C148" s="8"/>
      <c r="D148" s="8"/>
    </row>
    <row r="149" spans="1:4">
      <c r="A149" s="9"/>
      <c r="B149" s="8"/>
      <c r="C149" s="8"/>
      <c r="D149" s="8"/>
    </row>
    <row r="150" spans="1:4">
      <c r="A150" s="9"/>
      <c r="B150" s="8"/>
      <c r="C150" s="8"/>
      <c r="D150" s="8"/>
    </row>
    <row r="151" spans="1:4">
      <c r="A151" s="9"/>
      <c r="B151" s="8"/>
      <c r="C151" s="8"/>
      <c r="D151" s="8"/>
    </row>
    <row r="152" spans="1:4">
      <c r="A152" s="9"/>
      <c r="B152" s="8"/>
      <c r="C152" s="8"/>
      <c r="D152" s="8"/>
    </row>
    <row r="153" spans="1:4">
      <c r="A153" s="9"/>
      <c r="B153" s="8"/>
      <c r="C153" s="8"/>
      <c r="D153" s="8"/>
    </row>
    <row r="154" spans="1:4">
      <c r="A154" s="9"/>
      <c r="B154" s="8"/>
      <c r="C154" s="8"/>
      <c r="D154" s="8"/>
    </row>
    <row r="155" spans="1:4">
      <c r="A155" s="9"/>
      <c r="B155" s="8"/>
      <c r="C155" s="8"/>
      <c r="D155" s="8"/>
    </row>
    <row r="156" spans="1:4">
      <c r="A156" s="9"/>
      <c r="B156" s="8"/>
      <c r="C156" s="8"/>
      <c r="D156" s="8"/>
    </row>
    <row r="157" spans="1:4">
      <c r="A157" s="9"/>
      <c r="B157" s="8"/>
      <c r="C157" s="8"/>
      <c r="D157" s="8"/>
    </row>
    <row r="158" spans="1:4">
      <c r="A158" s="9"/>
      <c r="B158" s="8"/>
      <c r="C158" s="8"/>
      <c r="D158" s="8"/>
    </row>
    <row r="159" spans="1:4">
      <c r="A159" s="9"/>
      <c r="B159" s="8"/>
      <c r="C159" s="8"/>
      <c r="D159" s="8"/>
    </row>
    <row r="160" spans="1:4">
      <c r="A160" s="9"/>
      <c r="B160" s="8"/>
      <c r="C160" s="8"/>
      <c r="D160" s="8"/>
    </row>
    <row r="161" spans="1:4">
      <c r="A161" s="9"/>
      <c r="B161" s="8"/>
      <c r="C161" s="8"/>
      <c r="D161" s="8"/>
    </row>
    <row r="162" spans="1:4">
      <c r="A162" s="9"/>
      <c r="B162" s="8"/>
      <c r="C162" s="8"/>
      <c r="D162" s="8"/>
    </row>
    <row r="163" spans="1:4">
      <c r="A163" s="9"/>
      <c r="B163" s="8"/>
      <c r="C163" s="8"/>
      <c r="D163" s="8"/>
    </row>
    <row r="164" spans="1:4">
      <c r="A164" s="9"/>
      <c r="B164" s="8"/>
      <c r="C164" s="8"/>
      <c r="D164" s="8"/>
    </row>
    <row r="165" spans="1:4">
      <c r="A165" s="9"/>
      <c r="B165" s="8"/>
      <c r="C165" s="8"/>
      <c r="D165" s="8"/>
    </row>
    <row r="166" spans="1:4">
      <c r="A166" s="9"/>
      <c r="B166" s="8"/>
      <c r="C166" s="8"/>
      <c r="D166" s="8"/>
    </row>
    <row r="167" spans="1:4">
      <c r="A167" s="9"/>
      <c r="B167" s="8"/>
      <c r="C167" s="8"/>
      <c r="D167" s="8"/>
    </row>
    <row r="168" spans="1:4">
      <c r="A168" s="9"/>
      <c r="B168" s="8"/>
      <c r="C168" s="8"/>
      <c r="D168" s="8"/>
    </row>
    <row r="169" spans="1:4">
      <c r="A169" s="9"/>
      <c r="B169" s="8"/>
      <c r="C169" s="8"/>
      <c r="D169" s="8"/>
    </row>
    <row r="170" spans="1:4">
      <c r="A170" s="9"/>
      <c r="B170" s="8"/>
      <c r="C170" s="8"/>
      <c r="D170" s="8"/>
    </row>
    <row r="171" spans="1:4">
      <c r="A171" s="9"/>
      <c r="B171" s="8"/>
      <c r="C171" s="8"/>
      <c r="D171" s="8"/>
    </row>
    <row r="172" spans="1:4">
      <c r="A172" s="9"/>
      <c r="B172" s="8"/>
      <c r="C172" s="8"/>
      <c r="D172" s="8"/>
    </row>
    <row r="173" spans="1:4">
      <c r="A173" s="9"/>
      <c r="B173" s="8"/>
      <c r="C173" s="8"/>
      <c r="D173" s="8"/>
    </row>
    <row r="174" spans="1:4">
      <c r="A174" s="9"/>
      <c r="B174" s="8"/>
      <c r="C174" s="8"/>
      <c r="D174" s="8"/>
    </row>
    <row r="175" spans="1:4">
      <c r="A175" s="9"/>
      <c r="B175" s="8"/>
      <c r="C175" s="8"/>
      <c r="D175" s="8"/>
    </row>
    <row r="176" spans="1:4">
      <c r="A176" s="9"/>
      <c r="B176" s="8"/>
      <c r="C176" s="8"/>
      <c r="D176" s="8"/>
    </row>
    <row r="177" spans="1:4">
      <c r="A177" s="9"/>
      <c r="B177" s="8"/>
      <c r="C177" s="8"/>
      <c r="D177" s="8"/>
    </row>
    <row r="178" spans="1:4">
      <c r="A178" s="9"/>
      <c r="B178" s="8"/>
      <c r="C178" s="8"/>
      <c r="D178" s="8"/>
    </row>
    <row r="179" spans="1:4">
      <c r="A179" s="9"/>
      <c r="B179" s="8"/>
      <c r="C179" s="8"/>
      <c r="D179" s="8"/>
    </row>
    <row r="180" spans="1:4">
      <c r="A180" s="9"/>
      <c r="B180" s="8"/>
      <c r="C180" s="8"/>
      <c r="D180" s="8"/>
    </row>
    <row r="181" spans="1:4">
      <c r="A181" s="9"/>
      <c r="B181" s="8"/>
      <c r="C181" s="8"/>
      <c r="D181" s="8"/>
    </row>
    <row r="182" spans="1:4">
      <c r="A182" s="9"/>
      <c r="B182" s="8"/>
      <c r="C182" s="8"/>
      <c r="D182" s="8"/>
    </row>
    <row r="183" spans="1:4">
      <c r="A183" s="9"/>
      <c r="B183" s="8"/>
      <c r="C183" s="8"/>
      <c r="D183" s="8"/>
    </row>
    <row r="184" spans="1:4">
      <c r="A184" s="9"/>
      <c r="B184" s="8"/>
      <c r="C184" s="8"/>
      <c r="D184" s="8"/>
    </row>
    <row r="185" spans="1:4">
      <c r="A185" s="9"/>
      <c r="B185" s="8"/>
      <c r="C185" s="8"/>
      <c r="D185" s="8"/>
    </row>
    <row r="186" spans="1:4">
      <c r="A186" s="9"/>
      <c r="B186" s="8"/>
      <c r="C186" s="8"/>
      <c r="D186" s="8"/>
    </row>
    <row r="187" spans="1:4">
      <c r="A187" s="9"/>
      <c r="B187" s="8"/>
      <c r="C187" s="8"/>
      <c r="D187" s="8"/>
    </row>
    <row r="188" spans="1:4">
      <c r="A188" s="9"/>
      <c r="B188" s="8"/>
      <c r="C188" s="8"/>
      <c r="D188" s="8"/>
    </row>
    <row r="189" spans="1:4">
      <c r="A189" s="9"/>
      <c r="B189" s="8"/>
      <c r="C189" s="8"/>
      <c r="D189" s="8"/>
    </row>
    <row r="190" spans="1:4">
      <c r="A190" s="9"/>
      <c r="B190" s="8"/>
      <c r="C190" s="8"/>
      <c r="D190" s="8"/>
    </row>
    <row r="191" spans="1:4">
      <c r="A191" s="9"/>
      <c r="B191" s="8"/>
      <c r="C191" s="8"/>
      <c r="D191" s="8"/>
    </row>
    <row r="192" spans="1:4">
      <c r="A192" s="9"/>
      <c r="B192" s="8"/>
      <c r="C192" s="8"/>
      <c r="D192" s="8"/>
    </row>
    <row r="193" spans="1:4">
      <c r="A193" s="9"/>
      <c r="B193" s="8"/>
      <c r="C193" s="8"/>
      <c r="D193" s="8"/>
    </row>
    <row r="194" spans="1:4">
      <c r="A194" s="9"/>
      <c r="B194" s="8"/>
      <c r="C194" s="8"/>
      <c r="D194" s="8"/>
    </row>
    <row r="195" spans="1:4">
      <c r="A195" s="9"/>
      <c r="B195" s="8"/>
      <c r="C195" s="8"/>
      <c r="D195" s="8"/>
    </row>
    <row r="196" spans="1:4">
      <c r="A196" s="9"/>
      <c r="B196" s="8"/>
      <c r="C196" s="8"/>
      <c r="D196" s="8"/>
    </row>
    <row r="197" spans="1:4">
      <c r="A197" s="9"/>
      <c r="B197" s="8"/>
      <c r="C197" s="8"/>
      <c r="D197" s="8"/>
    </row>
    <row r="198" spans="1:4">
      <c r="A198" s="9"/>
      <c r="B198" s="8"/>
      <c r="C198" s="8"/>
      <c r="D198" s="8"/>
    </row>
    <row r="199" spans="1:4">
      <c r="A199" s="9"/>
      <c r="B199" s="8"/>
      <c r="C199" s="8"/>
      <c r="D199" s="8"/>
    </row>
    <row r="200" spans="1:4">
      <c r="A200" s="9"/>
      <c r="B200" s="8"/>
      <c r="C200" s="8"/>
      <c r="D200" s="8"/>
    </row>
    <row r="201" spans="1:4">
      <c r="A201" s="9">
        <v>46179.29378472222</v>
      </c>
      <c r="B201" s="8" t="s">
        <v>63</v>
      </c>
      <c r="C201" s="8" t="s">
        <v>136</v>
      </c>
      <c r="D201" s="8" t="s">
        <v>137</v>
      </c>
    </row>
    <row r="202" spans="1:4" ht="99.75">
      <c r="A202" s="9">
        <v>46179.29378472222</v>
      </c>
      <c r="B202" s="8" t="s">
        <v>63</v>
      </c>
      <c r="C202" s="8" t="s">
        <v>138</v>
      </c>
      <c r="D202" s="8" t="s">
        <v>139</v>
      </c>
    </row>
    <row r="203" spans="1:4">
      <c r="A203" s="9">
        <v>46179.296273148146</v>
      </c>
      <c r="B203" s="8" t="s">
        <v>63</v>
      </c>
      <c r="C203" s="8" t="s">
        <v>136</v>
      </c>
      <c r="D203" s="8" t="s">
        <v>137</v>
      </c>
    </row>
    <row r="204" spans="1:4">
      <c r="A204" s="9">
        <v>46179.297199074077</v>
      </c>
      <c r="B204" s="8" t="s">
        <v>63</v>
      </c>
      <c r="C204" s="8" t="s">
        <v>136</v>
      </c>
      <c r="D204" s="8" t="s">
        <v>137</v>
      </c>
    </row>
    <row r="205" spans="1:4" ht="99.75">
      <c r="A205" s="9">
        <v>46179.297199074077</v>
      </c>
      <c r="B205" s="8" t="s">
        <v>63</v>
      </c>
      <c r="C205" s="8" t="s">
        <v>138</v>
      </c>
      <c r="D205" s="8" t="s">
        <v>140</v>
      </c>
    </row>
    <row r="206" spans="1:4" ht="57">
      <c r="A206" s="9">
        <v>46179.309106956018</v>
      </c>
      <c r="B206" s="8" t="s">
        <v>63</v>
      </c>
      <c r="C206" s="8" t="s">
        <v>141</v>
      </c>
      <c r="D206" s="8" t="s">
        <v>142</v>
      </c>
    </row>
    <row r="207" spans="1:4" ht="28.5">
      <c r="A207" s="9">
        <v>46180.086365740739</v>
      </c>
      <c r="B207" s="8" t="s">
        <v>63</v>
      </c>
      <c r="C207" s="8" t="s">
        <v>143</v>
      </c>
      <c r="D207" s="8" t="s">
        <v>144</v>
      </c>
    </row>
    <row r="208" spans="1:4" ht="28.5">
      <c r="A208" s="9">
        <v>46180.08730324074</v>
      </c>
      <c r="B208" s="8" t="s">
        <v>63</v>
      </c>
      <c r="C208" s="8" t="s">
        <v>143</v>
      </c>
      <c r="D208" s="8" t="s">
        <v>144</v>
      </c>
    </row>
    <row r="209" spans="1:4" ht="28.5">
      <c r="A209" s="9">
        <v>46180.089432870373</v>
      </c>
      <c r="B209" s="8" t="s">
        <v>63</v>
      </c>
      <c r="C209" s="8" t="s">
        <v>143</v>
      </c>
      <c r="D209" s="8" t="s">
        <v>144</v>
      </c>
    </row>
    <row r="210" spans="1:4" ht="28.5">
      <c r="A210" s="9">
        <v>46180.090289351851</v>
      </c>
      <c r="B210" s="8" t="s">
        <v>63</v>
      </c>
      <c r="C210" s="8" t="s">
        <v>143</v>
      </c>
      <c r="D210" s="8" t="s">
        <v>144</v>
      </c>
    </row>
    <row r="211" spans="1:4" ht="28.5">
      <c r="A211" s="9">
        <v>46180.091238425928</v>
      </c>
      <c r="B211" s="8" t="s">
        <v>63</v>
      </c>
      <c r="C211" s="8" t="s">
        <v>143</v>
      </c>
      <c r="D211" s="8" t="s">
        <v>144</v>
      </c>
    </row>
    <row r="212" spans="1:4" ht="28.5">
      <c r="A212" s="9">
        <v>46180.092314814814</v>
      </c>
      <c r="B212" s="8" t="s">
        <v>63</v>
      </c>
      <c r="C212" s="8" t="s">
        <v>143</v>
      </c>
      <c r="D212" s="8" t="s">
        <v>144</v>
      </c>
    </row>
    <row r="213" spans="1:4" ht="28.5">
      <c r="A213" s="9">
        <v>46180.093182870369</v>
      </c>
      <c r="B213" s="8" t="s">
        <v>63</v>
      </c>
      <c r="C213" s="8" t="s">
        <v>143</v>
      </c>
      <c r="D213" s="8" t="s">
        <v>144</v>
      </c>
    </row>
    <row r="214" spans="1:4" ht="28.5">
      <c r="A214" s="9">
        <v>46180.094050925924</v>
      </c>
      <c r="B214" s="8" t="s">
        <v>63</v>
      </c>
      <c r="C214" s="8" t="s">
        <v>143</v>
      </c>
      <c r="D214" s="8" t="s">
        <v>144</v>
      </c>
    </row>
    <row r="215" spans="1:4" ht="28.5">
      <c r="A215" s="9">
        <v>46180.110868055555</v>
      </c>
      <c r="B215" s="8" t="s">
        <v>63</v>
      </c>
      <c r="C215" s="8" t="s">
        <v>145</v>
      </c>
      <c r="D215" s="8" t="s">
        <v>146</v>
      </c>
    </row>
    <row r="216" spans="1:4" ht="28.5">
      <c r="A216" s="9">
        <v>46180.12090277778</v>
      </c>
      <c r="B216" s="8" t="s">
        <v>63</v>
      </c>
      <c r="C216" s="8" t="s">
        <v>145</v>
      </c>
      <c r="D216" s="8" t="s">
        <v>146</v>
      </c>
    </row>
    <row r="217" spans="1:4" ht="28.5">
      <c r="A217" s="9">
        <v>46180.132349537038</v>
      </c>
      <c r="B217" s="8" t="s">
        <v>63</v>
      </c>
      <c r="C217" s="8" t="s">
        <v>145</v>
      </c>
      <c r="D217" s="8" t="s">
        <v>146</v>
      </c>
    </row>
    <row r="218" spans="1:4" ht="28.5">
      <c r="A218" s="9">
        <v>46180.13616898148</v>
      </c>
      <c r="B218" s="8" t="s">
        <v>63</v>
      </c>
      <c r="C218" s="8" t="s">
        <v>145</v>
      </c>
      <c r="D218" s="8" t="s">
        <v>146</v>
      </c>
    </row>
    <row r="219" spans="1:4" ht="28.5">
      <c r="A219" s="9">
        <v>46180.139490740738</v>
      </c>
      <c r="B219" s="8" t="s">
        <v>63</v>
      </c>
      <c r="C219" s="8" t="s">
        <v>145</v>
      </c>
      <c r="D219" s="8" t="s">
        <v>146</v>
      </c>
    </row>
    <row r="220" spans="1:4" ht="28.5">
      <c r="A220" s="9">
        <v>46180.174479166664</v>
      </c>
      <c r="B220" s="8" t="s">
        <v>63</v>
      </c>
      <c r="C220" s="8" t="s">
        <v>145</v>
      </c>
      <c r="D220" s="8" t="s">
        <v>146</v>
      </c>
    </row>
    <row r="221" spans="1:4" ht="28.5">
      <c r="A221" s="9">
        <v>46180.177430555559</v>
      </c>
      <c r="B221" s="8" t="s">
        <v>63</v>
      </c>
      <c r="C221" s="8" t="s">
        <v>145</v>
      </c>
      <c r="D221" s="8" t="s">
        <v>146</v>
      </c>
    </row>
    <row r="222" spans="1:4" ht="28.5">
      <c r="A222" s="9">
        <v>46180.178344907406</v>
      </c>
      <c r="B222" s="8" t="s">
        <v>63</v>
      </c>
      <c r="C222" s="8" t="s">
        <v>145</v>
      </c>
      <c r="D222" s="8" t="s">
        <v>146</v>
      </c>
    </row>
    <row r="223" spans="1:4" ht="28.5">
      <c r="A223" s="9">
        <v>46180.302488425928</v>
      </c>
      <c r="B223" s="8" t="s">
        <v>63</v>
      </c>
      <c r="C223" s="8" t="s">
        <v>143</v>
      </c>
      <c r="D223" s="8" t="s">
        <v>144</v>
      </c>
    </row>
    <row r="224" spans="1:4" ht="28.5">
      <c r="A224" s="9">
        <v>46180.318576388891</v>
      </c>
      <c r="B224" s="8" t="s">
        <v>63</v>
      </c>
      <c r="C224" s="8" t="s">
        <v>147</v>
      </c>
      <c r="D224" s="8" t="s">
        <v>148</v>
      </c>
    </row>
    <row r="225" spans="1:4" ht="28.5">
      <c r="A225" s="9">
        <v>46180.31858796296</v>
      </c>
      <c r="B225" s="8" t="s">
        <v>63</v>
      </c>
      <c r="C225" s="8" t="s">
        <v>143</v>
      </c>
      <c r="D225" s="8" t="s">
        <v>144</v>
      </c>
    </row>
    <row r="226" spans="1:4" ht="28.5">
      <c r="A226" s="9">
        <v>46180.336423611108</v>
      </c>
      <c r="B226" s="8" t="s">
        <v>63</v>
      </c>
      <c r="C226" s="8" t="s">
        <v>147</v>
      </c>
      <c r="D226" s="8" t="s">
        <v>148</v>
      </c>
    </row>
    <row r="227" spans="1:4" ht="28.5">
      <c r="A227" s="9">
        <v>46180.336423611108</v>
      </c>
      <c r="B227" s="8" t="s">
        <v>63</v>
      </c>
      <c r="C227" s="8" t="s">
        <v>143</v>
      </c>
      <c r="D227" s="8" t="s">
        <v>144</v>
      </c>
    </row>
    <row r="228" spans="1:4" ht="28.5">
      <c r="A228" s="9">
        <v>46180.340729166666</v>
      </c>
      <c r="B228" s="8" t="s">
        <v>63</v>
      </c>
      <c r="C228" s="8" t="s">
        <v>147</v>
      </c>
      <c r="D228" s="8" t="s">
        <v>148</v>
      </c>
    </row>
    <row r="229" spans="1:4" ht="28.5">
      <c r="A229" s="9">
        <v>46180.340729166666</v>
      </c>
      <c r="B229" s="8" t="s">
        <v>63</v>
      </c>
      <c r="C229" s="8" t="s">
        <v>143</v>
      </c>
      <c r="D229" s="8" t="s">
        <v>144</v>
      </c>
    </row>
    <row r="230" spans="1:4" ht="28.5">
      <c r="A230" s="9">
        <v>46180.342013888891</v>
      </c>
      <c r="B230" s="8" t="s">
        <v>63</v>
      </c>
      <c r="C230" s="8" t="s">
        <v>147</v>
      </c>
      <c r="D230" s="8" t="s">
        <v>148</v>
      </c>
    </row>
    <row r="231" spans="1:4" ht="28.5">
      <c r="A231" s="9">
        <v>46180.342013888891</v>
      </c>
      <c r="B231" s="8" t="s">
        <v>63</v>
      </c>
      <c r="C231" s="8" t="s">
        <v>143</v>
      </c>
      <c r="D231" s="8" t="s">
        <v>144</v>
      </c>
    </row>
    <row r="232" spans="1:4" ht="28.5">
      <c r="A232" s="9">
        <v>46180.343206018515</v>
      </c>
      <c r="B232" s="8" t="s">
        <v>63</v>
      </c>
      <c r="C232" s="8" t="s">
        <v>147</v>
      </c>
      <c r="D232" s="8" t="s">
        <v>148</v>
      </c>
    </row>
    <row r="233" spans="1:4" ht="28.5">
      <c r="A233" s="9">
        <v>46180.343206018515</v>
      </c>
      <c r="B233" s="8" t="s">
        <v>63</v>
      </c>
      <c r="C233" s="8" t="s">
        <v>143</v>
      </c>
      <c r="D233" s="8" t="s">
        <v>144</v>
      </c>
    </row>
    <row r="234" spans="1:4" ht="28.5">
      <c r="A234" s="9">
        <v>46180.357268518521</v>
      </c>
      <c r="B234" s="8" t="s">
        <v>63</v>
      </c>
      <c r="C234" s="8" t="s">
        <v>145</v>
      </c>
      <c r="D234" s="8" t="s">
        <v>149</v>
      </c>
    </row>
    <row r="235" spans="1:4" ht="28.5">
      <c r="A235" s="9">
        <v>46180.543217592596</v>
      </c>
      <c r="B235" s="8" t="s">
        <v>63</v>
      </c>
      <c r="C235" s="8" t="s">
        <v>147</v>
      </c>
      <c r="D235" s="8" t="s">
        <v>148</v>
      </c>
    </row>
    <row r="236" spans="1:4" ht="28.5">
      <c r="A236" s="9">
        <v>46180.543217592596</v>
      </c>
      <c r="B236" s="8" t="s">
        <v>63</v>
      </c>
      <c r="C236" s="8" t="s">
        <v>143</v>
      </c>
      <c r="D236" s="8" t="s">
        <v>144</v>
      </c>
    </row>
    <row r="237" spans="1:4" ht="28.5">
      <c r="A237" s="9">
        <v>46180.545231481483</v>
      </c>
      <c r="B237" s="8" t="s">
        <v>63</v>
      </c>
      <c r="C237" s="8" t="s">
        <v>147</v>
      </c>
      <c r="D237" s="8" t="s">
        <v>148</v>
      </c>
    </row>
    <row r="238" spans="1:4" ht="28.5">
      <c r="A238" s="9">
        <v>46180.545243055552</v>
      </c>
      <c r="B238" s="8" t="s">
        <v>63</v>
      </c>
      <c r="C238" s="8" t="s">
        <v>143</v>
      </c>
      <c r="D238" s="8" t="s">
        <v>144</v>
      </c>
    </row>
    <row r="239" spans="1:4" ht="28.5">
      <c r="A239" s="9">
        <v>46180.547777777778</v>
      </c>
      <c r="B239" s="8" t="s">
        <v>63</v>
      </c>
      <c r="C239" s="8" t="s">
        <v>145</v>
      </c>
      <c r="D239" s="8" t="s">
        <v>149</v>
      </c>
    </row>
    <row r="240" spans="1:4" ht="28.5">
      <c r="A240" s="9">
        <v>46180.568738425929</v>
      </c>
      <c r="B240" s="8" t="s">
        <v>63</v>
      </c>
      <c r="C240" s="8" t="s">
        <v>147</v>
      </c>
      <c r="D240" s="8" t="s">
        <v>148</v>
      </c>
    </row>
    <row r="241" spans="1:4" ht="28.5">
      <c r="A241" s="9">
        <v>46180.568749999999</v>
      </c>
      <c r="B241" s="8" t="s">
        <v>63</v>
      </c>
      <c r="C241" s="8" t="s">
        <v>143</v>
      </c>
      <c r="D241" s="8" t="s">
        <v>144</v>
      </c>
    </row>
    <row r="242" spans="1:4" ht="28.5">
      <c r="A242" s="9">
        <v>46180.571203703701</v>
      </c>
      <c r="B242" s="8" t="s">
        <v>63</v>
      </c>
      <c r="C242" s="8" t="s">
        <v>145</v>
      </c>
      <c r="D242" s="8" t="s">
        <v>149</v>
      </c>
    </row>
    <row r="243" spans="1:4" ht="28.5">
      <c r="A243" s="9">
        <v>46180.584131944444</v>
      </c>
      <c r="B243" s="8" t="s">
        <v>63</v>
      </c>
      <c r="C243" s="8" t="s">
        <v>147</v>
      </c>
      <c r="D243" s="8" t="s">
        <v>148</v>
      </c>
    </row>
    <row r="244" spans="1:4" ht="28.5">
      <c r="A244" s="9">
        <v>46180.584131944444</v>
      </c>
      <c r="B244" s="8" t="s">
        <v>63</v>
      </c>
      <c r="C244" s="8" t="s">
        <v>143</v>
      </c>
      <c r="D244" s="8" t="s">
        <v>144</v>
      </c>
    </row>
    <row r="245" spans="1:4" ht="28.5">
      <c r="A245" s="9">
        <v>46180.589571759258</v>
      </c>
      <c r="B245" s="8" t="s">
        <v>63</v>
      </c>
      <c r="C245" s="8" t="s">
        <v>147</v>
      </c>
      <c r="D245" s="8" t="s">
        <v>148</v>
      </c>
    </row>
    <row r="246" spans="1:4" ht="28.5">
      <c r="A246" s="9">
        <v>46180.589583333334</v>
      </c>
      <c r="B246" s="8" t="s">
        <v>63</v>
      </c>
      <c r="C246" s="8" t="s">
        <v>143</v>
      </c>
      <c r="D246" s="8" t="s">
        <v>144</v>
      </c>
    </row>
    <row r="247" spans="1:4" ht="28.5">
      <c r="A247" s="9">
        <v>46180.59103009259</v>
      </c>
      <c r="B247" s="8" t="s">
        <v>63</v>
      </c>
      <c r="C247" s="8" t="s">
        <v>145</v>
      </c>
      <c r="D247" s="8" t="s">
        <v>149</v>
      </c>
    </row>
    <row r="248" spans="1:4" ht="28.5">
      <c r="A248" s="9">
        <v>46180.595023148147</v>
      </c>
      <c r="B248" s="8" t="s">
        <v>63</v>
      </c>
      <c r="C248" s="8" t="s">
        <v>145</v>
      </c>
      <c r="D248" s="8" t="s">
        <v>149</v>
      </c>
    </row>
    <row r="249" spans="1:4" ht="28.5">
      <c r="A249" s="9">
        <v>46180.621550925927</v>
      </c>
      <c r="B249" s="8" t="s">
        <v>63</v>
      </c>
      <c r="C249" s="8" t="s">
        <v>145</v>
      </c>
      <c r="D249" s="8" t="s">
        <v>149</v>
      </c>
    </row>
    <row r="250" spans="1:4" ht="28.5">
      <c r="A250" s="9">
        <v>46180.639062499999</v>
      </c>
      <c r="B250" s="8" t="s">
        <v>63</v>
      </c>
      <c r="C250" s="8" t="s">
        <v>145</v>
      </c>
      <c r="D250" s="8" t="s">
        <v>149</v>
      </c>
    </row>
    <row r="251" spans="1:4" ht="28.5">
      <c r="A251" s="9">
        <v>46180.642175925925</v>
      </c>
      <c r="B251" s="8" t="s">
        <v>63</v>
      </c>
      <c r="C251" s="8" t="s">
        <v>145</v>
      </c>
      <c r="D251" s="8" t="s">
        <v>149</v>
      </c>
    </row>
    <row r="252" spans="1:4">
      <c r="A252" s="9">
        <v>46183.197210648148</v>
      </c>
      <c r="B252" s="8" t="s">
        <v>63</v>
      </c>
      <c r="C252" s="8" t="s">
        <v>150</v>
      </c>
      <c r="D252" s="8" t="s">
        <v>151</v>
      </c>
    </row>
    <row r="253" spans="1:4">
      <c r="A253" s="9">
        <v>46183.197210648148</v>
      </c>
      <c r="B253" s="8" t="s">
        <v>63</v>
      </c>
      <c r="C253" s="8" t="s">
        <v>152</v>
      </c>
      <c r="D253" s="8" t="s">
        <v>153</v>
      </c>
    </row>
    <row r="254" spans="1:4">
      <c r="A254" s="9">
        <v>46183.197222222225</v>
      </c>
      <c r="B254" s="8" t="s">
        <v>63</v>
      </c>
      <c r="C254" s="8" t="s">
        <v>150</v>
      </c>
      <c r="D254" s="8" t="s">
        <v>154</v>
      </c>
    </row>
    <row r="255" spans="1:4">
      <c r="A255" s="9">
        <v>46183.197222222225</v>
      </c>
      <c r="B255" s="8" t="s">
        <v>63</v>
      </c>
      <c r="C255" s="8" t="s">
        <v>152</v>
      </c>
      <c r="D255" s="8" t="s">
        <v>155</v>
      </c>
    </row>
    <row r="256" spans="1:4">
      <c r="A256" s="9">
        <v>46183.197233796294</v>
      </c>
      <c r="B256" s="8" t="s">
        <v>63</v>
      </c>
      <c r="C256" s="8" t="s">
        <v>150</v>
      </c>
      <c r="D256" s="8" t="s">
        <v>151</v>
      </c>
    </row>
    <row r="257" spans="1:4">
      <c r="A257" s="9">
        <v>46183.197233796294</v>
      </c>
      <c r="B257" s="8" t="s">
        <v>63</v>
      </c>
      <c r="C257" s="8" t="s">
        <v>152</v>
      </c>
      <c r="D257" s="8" t="s">
        <v>153</v>
      </c>
    </row>
    <row r="258" spans="1:4">
      <c r="A258" s="9">
        <v>46183.19740740741</v>
      </c>
      <c r="B258" s="8" t="s">
        <v>63</v>
      </c>
      <c r="C258" s="8" t="s">
        <v>150</v>
      </c>
      <c r="D258" s="8" t="s">
        <v>154</v>
      </c>
    </row>
    <row r="259" spans="1:4">
      <c r="A259" s="9">
        <v>46183.19740740741</v>
      </c>
      <c r="B259" s="8" t="s">
        <v>63</v>
      </c>
      <c r="C259" s="8" t="s">
        <v>152</v>
      </c>
      <c r="D259" s="8" t="s">
        <v>155</v>
      </c>
    </row>
    <row r="260" spans="1:4">
      <c r="A260" s="9">
        <v>46183.197465277779</v>
      </c>
      <c r="B260" s="8" t="s">
        <v>63</v>
      </c>
      <c r="C260" s="8" t="s">
        <v>150</v>
      </c>
      <c r="D260" s="8" t="s">
        <v>151</v>
      </c>
    </row>
    <row r="261" spans="1:4">
      <c r="A261" s="9">
        <v>46183.197465277779</v>
      </c>
      <c r="B261" s="8" t="s">
        <v>63</v>
      </c>
      <c r="C261" s="8" t="s">
        <v>152</v>
      </c>
      <c r="D261" s="8" t="s">
        <v>153</v>
      </c>
    </row>
    <row r="262" spans="1:4" ht="42.75">
      <c r="A262" s="9">
        <v>46187.617812500001</v>
      </c>
      <c r="B262" s="8" t="s">
        <v>63</v>
      </c>
      <c r="C262" s="8" t="s">
        <v>156</v>
      </c>
      <c r="D262" s="8" t="s">
        <v>157</v>
      </c>
    </row>
    <row r="263" spans="1:4" ht="42.75">
      <c r="A263" s="9">
        <v>46187.89739583333</v>
      </c>
      <c r="B263" s="8" t="s">
        <v>63</v>
      </c>
      <c r="C263" s="8" t="s">
        <v>156</v>
      </c>
      <c r="D263" s="8" t="s">
        <v>157</v>
      </c>
    </row>
    <row r="264" spans="1:4" ht="42.75">
      <c r="A264" s="9">
        <v>46187.971458333333</v>
      </c>
      <c r="B264" s="8" t="s">
        <v>63</v>
      </c>
      <c r="C264" s="8" t="s">
        <v>156</v>
      </c>
      <c r="D264" s="8" t="s">
        <v>157</v>
      </c>
    </row>
    <row r="265" spans="1:4" ht="42.75">
      <c r="A265" s="9">
        <v>46188.5621875</v>
      </c>
      <c r="B265" s="8" t="s">
        <v>63</v>
      </c>
      <c r="C265" s="8" t="s">
        <v>156</v>
      </c>
      <c r="D265" s="8" t="s">
        <v>157</v>
      </c>
    </row>
    <row r="266" spans="1:4" ht="42.75">
      <c r="A266" s="9">
        <v>46188.611435185187</v>
      </c>
      <c r="B266" s="8" t="s">
        <v>63</v>
      </c>
      <c r="C266" s="8" t="s">
        <v>156</v>
      </c>
      <c r="D266" s="8" t="s">
        <v>157</v>
      </c>
    </row>
    <row r="267" spans="1:4" ht="42.75">
      <c r="A267" s="9">
        <v>46188.897592592592</v>
      </c>
      <c r="B267" s="8" t="s">
        <v>63</v>
      </c>
      <c r="C267" s="8" t="s">
        <v>156</v>
      </c>
      <c r="D267" s="8" t="s">
        <v>157</v>
      </c>
    </row>
    <row r="268" spans="1:4" ht="42.75">
      <c r="A268" s="9">
        <v>46188.945254629631</v>
      </c>
      <c r="B268" s="8" t="s">
        <v>63</v>
      </c>
      <c r="C268" s="8" t="s">
        <v>156</v>
      </c>
      <c r="D268" s="8" t="s">
        <v>157</v>
      </c>
    </row>
    <row r="269" spans="1:4" ht="42.75">
      <c r="A269" s="9">
        <v>46188.945856481485</v>
      </c>
      <c r="B269" s="8" t="s">
        <v>63</v>
      </c>
      <c r="C269" s="8" t="s">
        <v>156</v>
      </c>
      <c r="D269" s="8" t="s">
        <v>157</v>
      </c>
    </row>
    <row r="270" spans="1:4" ht="42.75">
      <c r="A270" s="9">
        <v>46188.980196759258</v>
      </c>
      <c r="B270" s="8" t="s">
        <v>63</v>
      </c>
      <c r="C270" s="8" t="s">
        <v>156</v>
      </c>
      <c r="D270" s="8" t="s">
        <v>157</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890c2d56-a23b-4548-b896-15650a1462e1">
      <Terms xmlns="http://schemas.microsoft.com/office/infopath/2007/PartnerControls"/>
    </lcf76f155ced4ddcb4097134ff3c332f>
    <TaxCatchAll xmlns="6cf38257-c025-46c4-af32-aecd95abb877"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FBE365B77DBF794C958AF93F15F0978A" ma:contentTypeVersion="12" ma:contentTypeDescription="Create a new document." ma:contentTypeScope="" ma:versionID="a63b6b2a6314f29c4f9a8c6fc62bfc44">
  <xsd:schema xmlns:xsd="http://www.w3.org/2001/XMLSchema" xmlns:xs="http://www.w3.org/2001/XMLSchema" xmlns:p="http://schemas.microsoft.com/office/2006/metadata/properties" xmlns:ns2="890c2d56-a23b-4548-b896-15650a1462e1" xmlns:ns3="6cf38257-c025-46c4-af32-aecd95abb877" targetNamespace="http://schemas.microsoft.com/office/2006/metadata/properties" ma:root="true" ma:fieldsID="b299f382b8674c7ef26d986c11d99ade" ns2:_="" ns3:_="">
    <xsd:import namespace="890c2d56-a23b-4548-b896-15650a1462e1"/>
    <xsd:import namespace="6cf38257-c025-46c4-af32-aecd95abb877"/>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90c2d56-a23b-4548-b896-15650a1462e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9aa0afa7-5024-417c-8ef9-c5e81e45e365"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cf38257-c025-46c4-af32-aecd95abb877"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a7f9accf-3836-4d12-8505-3295b7cc4680}" ma:internalName="TaxCatchAll" ma:showField="CatchAllData" ma:web="6cf38257-c025-46c4-af32-aecd95abb87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7C723B4-977E-492D-9B81-874C8C0F0989}">
  <ds:schemaRefs>
    <ds:schemaRef ds:uri="http://schemas.microsoft.com/DataMashup"/>
  </ds:schemaRefs>
</ds:datastoreItem>
</file>

<file path=customXml/itemProps2.xml><?xml version="1.0" encoding="utf-8"?>
<ds:datastoreItem xmlns:ds="http://schemas.openxmlformats.org/officeDocument/2006/customXml" ds:itemID="{268B3C8A-1165-4E37-9741-191B79B043A4}">
  <ds:schemaRefs>
    <ds:schemaRef ds:uri="http://schemas.microsoft.com/office/2006/metadata/properties"/>
    <ds:schemaRef ds:uri="http://schemas.microsoft.com/office/infopath/2007/PartnerControls"/>
    <ds:schemaRef ds:uri="890c2d56-a23b-4548-b896-15650a1462e1"/>
    <ds:schemaRef ds:uri="6cf38257-c025-46c4-af32-aecd95abb877"/>
  </ds:schemaRefs>
</ds:datastoreItem>
</file>

<file path=customXml/itemProps3.xml><?xml version="1.0" encoding="utf-8"?>
<ds:datastoreItem xmlns:ds="http://schemas.openxmlformats.org/officeDocument/2006/customXml" ds:itemID="{7B01A7DB-D63E-4017-ACCB-251B6A7A08C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90c2d56-a23b-4548-b896-15650a1462e1"/>
    <ds:schemaRef ds:uri="6cf38257-c025-46c4-af32-aecd95abb8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F51FB77-09BA-4B3A-93FB-7A56A2EFBED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Dashboard</vt:lpstr>
      <vt:lpstr>Email Campaigns</vt:lpstr>
      <vt:lpstr>SMS Campaigns</vt:lpstr>
      <vt:lpstr>Notes - Instructions</vt:lpstr>
      <vt:lpstr>May 2026 Calendar</vt:lpstr>
      <vt:lpstr>June 2026 Calendar</vt:lpstr>
      <vt:lpstr>Template for Duplicate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Kim Chim</dc:creator>
  <cp:keywords/>
  <dc:description/>
  <cp:lastModifiedBy>Archim Paul Pameroyan</cp:lastModifiedBy>
  <cp:revision/>
  <dcterms:created xsi:type="dcterms:W3CDTF">2026-06-06T02:42:19Z</dcterms:created>
  <dcterms:modified xsi:type="dcterms:W3CDTF">2026-06-16T07:49:10Z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0x010100FBE365B77DBF794C958AF93F15F0978A</vt:lpwstr>
  </property>
</Properties>
</file>