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B7FB8C7F-B951-4B73-B99A-FDBE3124B953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Dashboard" sheetId="2" r:id="rId1"/>
    <sheet name="Email Campaigns" sheetId="1" r:id="rId2"/>
    <sheet name="SMS Campaigns" sheetId="19" r:id="rId3"/>
    <sheet name="January Calendar" sheetId="8" r:id="rId4"/>
    <sheet name="February Calendar" sheetId="9" r:id="rId5"/>
    <sheet name="March Calendar" sheetId="10" r:id="rId6"/>
    <sheet name="April Calendar" sheetId="11" r:id="rId7"/>
    <sheet name="May Calendar" sheetId="12" r:id="rId8"/>
    <sheet name="June Calendar" sheetId="3" r:id="rId9"/>
    <sheet name="July Calendar" sheetId="13" r:id="rId10"/>
    <sheet name="August Calendar" sheetId="14" r:id="rId11"/>
    <sheet name="September Calendar" sheetId="15" r:id="rId12"/>
    <sheet name="October Calendar" sheetId="16" r:id="rId13"/>
    <sheet name="November Calendar" sheetId="17" r:id="rId14"/>
    <sheet name="December Calendar" sheetId="18" r:id="rId15"/>
    <sheet name="Dropdowns" sheetId="4" state="veryHidden" r:id="rId16"/>
    <sheet name="Automation Log" sheetId="5" state="veryHidden" r:id="rId17"/>
  </sheets>
  <functionGroups builtInGroupCount="19"/>
  <definedNames>
    <definedName name="_xlpm.d" hidden="1" xlm="1">#NAME?</definedName>
    <definedName name="_xlpm.first" hidden="1" xlm="1">#NAME?</definedName>
    <definedName name="_xlpm.items" hidden="1" xlm="1">#NAME?</definedName>
    <definedName name="_xlnm.Print_Area" localSheetId="6">'April Calendar'!$A$1:$G$12</definedName>
    <definedName name="_xlnm.Print_Area" localSheetId="10">'August Calendar'!$A$1:$G$12</definedName>
    <definedName name="_xlnm.Print_Area" localSheetId="14">'December Calendar'!$A$1:$G$12</definedName>
    <definedName name="_xlnm.Print_Area" localSheetId="4">'February Calendar'!$A$1:$G$12</definedName>
    <definedName name="_xlnm.Print_Area" localSheetId="3">'January Calendar'!$A$1:$G$12</definedName>
    <definedName name="_xlnm.Print_Area" localSheetId="9">'July Calendar'!$A$1:$G$12</definedName>
    <definedName name="_xlnm.Print_Area" localSheetId="8">'June Calendar'!$A$1:$G$12</definedName>
    <definedName name="_xlnm.Print_Area" localSheetId="5">'March Calendar'!$A$1:$G$12</definedName>
    <definedName name="_xlnm.Print_Area" localSheetId="7">'May Calendar'!$A$1:$G$12</definedName>
    <definedName name="_xlnm.Print_Area" localSheetId="13">'November Calendar'!$A$1:$G$12</definedName>
    <definedName name="_xlnm.Print_Area" localSheetId="12">'October Calendar'!$A$1:$G$12</definedName>
    <definedName name="_xlnm.Print_Area" localSheetId="11">'September Calendar'!$A$1:$G$12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2" l="1"/>
  <c r="O4" i="2"/>
  <c r="C23" i="2"/>
  <c r="C22" i="2"/>
  <c r="C21" i="2"/>
  <c r="C20" i="2"/>
  <c r="C19" i="2"/>
  <c r="K5" i="2"/>
  <c r="I5" i="2"/>
  <c r="G5" i="2"/>
  <c r="E5" i="2"/>
  <c r="C5" i="2"/>
  <c r="A5" i="2"/>
  <c r="B3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Q5" i="2" l="1"/>
  <c r="P5" i="2"/>
  <c r="P4" i="2"/>
  <c r="Q4" i="2" s="1"/>
  <c r="R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<sst xmlns="http://schemas.openxmlformats.org/spreadsheetml/2006/main" count="544" uniqueCount="211">
  <si>
    <t>Send Date</t>
  </si>
  <si>
    <t>Send Time</t>
  </si>
  <si>
    <t>Campaign Name</t>
  </si>
  <si>
    <t>Campaign Type</t>
  </si>
  <si>
    <t>Current Stage</t>
  </si>
  <si>
    <t>Owner</t>
  </si>
  <si>
    <t>Jira Link</t>
  </si>
  <si>
    <t>ClickUp Link</t>
  </si>
  <si>
    <t>Bluecore Link</t>
  </si>
  <si>
    <t>Est. Audience</t>
  </si>
  <si>
    <t>Delivered</t>
  </si>
  <si>
    <t>Risk Level</t>
  </si>
  <si>
    <t>Last Updated</t>
  </si>
  <si>
    <t>08:00 AM</t>
  </si>
  <si>
    <t>Sample | Eco Gear Promo</t>
  </si>
  <si>
    <t>Promo</t>
  </si>
  <si>
    <t>Email Manager</t>
  </si>
  <si>
    <t>Received</t>
  </si>
  <si>
    <t>Approved</t>
  </si>
  <si>
    <t>Ready</t>
  </si>
  <si>
    <t>Sent</t>
  </si>
  <si>
    <t>Passed</t>
  </si>
  <si>
    <t>Scheduled</t>
  </si>
  <si>
    <t>https://jira.example.com/EMAIL-001</t>
  </si>
  <si>
    <t>https://clickup.example.com/task/001</t>
  </si>
  <si>
    <t>https://bluecore.example.com/campaign/001</t>
  </si>
  <si>
    <t>10:00 AM</t>
  </si>
  <si>
    <t>Sample | Weekly Newsletter</t>
  </si>
  <si>
    <t>Newsletter</t>
  </si>
  <si>
    <t>Associate</t>
  </si>
  <si>
    <t>N/A</t>
  </si>
  <si>
    <t>Created</t>
  </si>
  <si>
    <t>In Progress</t>
  </si>
  <si>
    <t>Not Started</t>
  </si>
  <si>
    <t>https://jira.example.com/EMAIL-002</t>
  </si>
  <si>
    <t>https://clickup.example.com/task/002</t>
  </si>
  <si>
    <t>https://bluecore.example.com/campaign/002</t>
  </si>
  <si>
    <t>02:00 PM</t>
  </si>
  <si>
    <t>Sample | Brand Spotlight</t>
  </si>
  <si>
    <t>Brand</t>
  </si>
  <si>
    <t>Requested</t>
  </si>
  <si>
    <t>Draft</t>
  </si>
  <si>
    <t>https://jira.example.com/EMAIL-003</t>
  </si>
  <si>
    <t>09:00 AM</t>
  </si>
  <si>
    <t>Sample | VIP Offer</t>
  </si>
  <si>
    <t>VIP</t>
  </si>
  <si>
    <t>Manager</t>
  </si>
  <si>
    <t>https://jira.example.com/EMAIL-004</t>
  </si>
  <si>
    <t>11:00 AM</t>
  </si>
  <si>
    <t>Sample | Sent Campaign</t>
  </si>
  <si>
    <t>https://jira.example.com/EMAIL-005</t>
  </si>
  <si>
    <t>https://clickup.example.com/task/005</t>
  </si>
  <si>
    <t>https://bluecore.example.com/campaign/005</t>
  </si>
  <si>
    <t>Last Refresh</t>
  </si>
  <si>
    <t>Active Work</t>
  </si>
  <si>
    <t>Sending Today</t>
  </si>
  <si>
    <t>Blocked</t>
  </si>
  <si>
    <t>At Risk</t>
  </si>
  <si>
    <t>Time</t>
  </si>
  <si>
    <t>Campaign</t>
  </si>
  <si>
    <t>Type</t>
  </si>
  <si>
    <t>Stage</t>
  </si>
  <si>
    <t>Jira</t>
  </si>
  <si>
    <t>ClickUp</t>
  </si>
  <si>
    <t>Bluecore</t>
  </si>
  <si>
    <t>Daily Action Lanes</t>
  </si>
  <si>
    <t>Lane</t>
  </si>
  <si>
    <t>Formula / Use</t>
  </si>
  <si>
    <t>Owner Action</t>
  </si>
  <si>
    <t>Count</t>
  </si>
  <si>
    <t>Status Values</t>
  </si>
  <si>
    <t>Owner List</t>
  </si>
  <si>
    <t>On Track</t>
  </si>
  <si>
    <t>Waiting for SKUs</t>
  </si>
  <si>
    <t>Brief in Progress</t>
  </si>
  <si>
    <t>Needed</t>
  </si>
  <si>
    <t>High Risk</t>
  </si>
  <si>
    <t>Brief Ready</t>
  </si>
  <si>
    <t>Critical</t>
  </si>
  <si>
    <t>Designer</t>
  </si>
  <si>
    <t>Resend</t>
  </si>
  <si>
    <t>With Design</t>
  </si>
  <si>
    <t>Builder</t>
  </si>
  <si>
    <t>NPA</t>
  </si>
  <si>
    <t>Design Ready</t>
  </si>
  <si>
    <t>Client</t>
  </si>
  <si>
    <t>Holiday</t>
  </si>
  <si>
    <t>Sent to Builder</t>
  </si>
  <si>
    <t>Complete</t>
  </si>
  <si>
    <t>TBD</t>
  </si>
  <si>
    <t>Lifecycle</t>
  </si>
  <si>
    <t>Built in Bluecore</t>
  </si>
  <si>
    <t>Trigger</t>
  </si>
  <si>
    <t>Segment Ready</t>
  </si>
  <si>
    <t>Other</t>
  </si>
  <si>
    <t>QA in Progress</t>
  </si>
  <si>
    <t>QA Passed</t>
  </si>
  <si>
    <t>Failed</t>
  </si>
  <si>
    <t>Cancelled</t>
  </si>
  <si>
    <t>Timestamp</t>
  </si>
  <si>
    <t>User</t>
  </si>
  <si>
    <t>Action</t>
  </si>
  <si>
    <t>Details</t>
  </si>
  <si>
    <t>https://jira.adorama.com/browse/MKT-103183</t>
  </si>
  <si>
    <t>060926-08AM-Dive Wear Best Sellers Resend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</si>
  <si>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</si>
  <si>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</si>
  <si>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</si>
  <si>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</si>
  <si>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</si>
  <si>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</si>
  <si>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Approval</t>
  </si>
  <si>
    <t>Segments</t>
  </si>
  <si>
    <t>Approval Pending</t>
  </si>
  <si>
    <t>Today's Sends</t>
  </si>
  <si>
    <t>Approval checkbox is open</t>
  </si>
  <si>
    <t>Obtain final approval</t>
  </si>
  <si>
    <t>Kim Chim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</si>
  <si>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</si>
  <si>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</si>
  <si>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</si>
  <si>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</si>
  <si>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</si>
  <si>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Dashboard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</si>
  <si>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</si>
  <si>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</si>
  <si>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</si>
  <si>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</si>
  <si>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</si>
  <si>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</si>
  <si>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</si>
  <si>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</si>
  <si>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</si>
  <si>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</si>
  <si>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</si>
  <si>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</si>
  <si>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</si>
  <si>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</si>
  <si>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</si>
  <si>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</si>
  <si>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</si>
  <si>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</si>
  <si>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</si>
  <si>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</si>
  <si>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</si>
  <si>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</si>
  <si>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</si>
  <si>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</si>
  <si>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</si>
  <si>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</si>
  <si>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</si>
  <si>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</si>
  <si>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</si>
  <si>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</si>
  <si>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</si>
  <si>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</si>
  <si>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</si>
  <si>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</si>
  <si>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</si>
  <si>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</si>
  <si>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</si>
  <si>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</si>
  <si>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</si>
  <si>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</si>
  <si>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</si>
  <si>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</si>
  <si>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</si>
  <si>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</si>
  <si>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Calendar/UI QA Upgrade</t>
  </si>
  <si>
    <t>Created 12 dynamic monthly calendars; removed README and VBA Code; enhanced navigation and workbook UI.</t>
  </si>
  <si>
    <t>Last Updated By</t>
  </si>
  <si>
    <t>Source Code</t>
  </si>
  <si>
    <t>ApplyAllConfigurations</t>
  </si>
  <si>
    <t>All configurations applied successfully</t>
  </si>
  <si>
    <t>RefreshProductionStatus</t>
  </si>
  <si>
    <t>Production Inventory and Dashboard refreshed</t>
  </si>
  <si>
    <t>Send SMS Options</t>
  </si>
  <si>
    <t>Send Test</t>
  </si>
  <si>
    <t>Email and SMS campaigns update automatically from their send dates.</t>
  </si>
  <si>
    <t>Email</t>
  </si>
  <si>
    <t>SMS</t>
  </si>
  <si>
    <t>Update Send Date or Campaign Name in Email Campaigns or SMS Campaigns to refresh this calendar.</t>
  </si>
  <si>
    <t>RebuildMonthlyCalendars</t>
  </si>
  <si>
    <t>Twelve dynamic monthly calendar sheets rebuilt</t>
  </si>
  <si>
    <t>Current-week and next-week Email and SMS campaign command center.</t>
  </si>
  <si>
    <t>Email Active</t>
  </si>
  <si>
    <t>SMS Active</t>
  </si>
  <si>
    <t>Email + SMS not yet sent</t>
  </si>
  <si>
    <t>Email + SMS scheduled today</t>
  </si>
  <si>
    <t>Open email campaigns</t>
  </si>
  <si>
    <t>Open SMS campaigns</t>
  </si>
  <si>
    <t>Campaigns with Delivered &gt; 0</t>
  </si>
  <si>
    <t>Campaigns scheduled from this Monday through next Sunday.</t>
  </si>
  <si>
    <t>Channel</t>
  </si>
  <si>
    <t>Email + SMS</t>
  </si>
  <si>
    <t>Confirm scheduled and send status</t>
  </si>
  <si>
    <t>Current production</t>
  </si>
  <si>
    <t>Complete the email workflow</t>
  </si>
  <si>
    <t>Complete the SMS workflow</t>
  </si>
  <si>
    <t>Delivered &gt; 0</t>
  </si>
  <si>
    <t>Completed campaigns</t>
  </si>
  <si>
    <t>Delivered Email Comparison</t>
  </si>
  <si>
    <t>Period</t>
  </si>
  <si>
    <t>Start Date</t>
  </si>
  <si>
    <t>End Date</t>
  </si>
  <si>
    <t>Delivered Emails</t>
  </si>
  <si>
    <t>Change</t>
  </si>
  <si>
    <t>Last Week</t>
  </si>
  <si>
    <t>Current Week</t>
  </si>
  <si>
    <t>Email &amp; SMS Campaign Command Center</t>
  </si>
  <si>
    <t>Current and Upcoming Campaigns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</si>
</sst>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mm/dd/yyyy\ hh:mm"/>
  </numFmts>
  <fonts count="23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F8FBFD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1">
    <xf numFmtId="0" fontId="0" fillId="0" borderId="0" xfId="0"/>
    <xf numFmtId="0" fontId="1" fillId="2" borderId="0" xfId="0" applyFont="1" applyFill="1" applyAlignment="1">
      <alignment horizontal="center"/>
    </xf>
    <xf numFmtId="22" fontId="0" fillId="0" borderId="0" xfId="0" applyNumberFormat="1"/>
    <xf numFmtId="165" fontId="0" fillId="0" borderId="0" xfId="0" applyNumberFormat="1"/>
    <xf numFmtId="0" fontId="4" fillId="0" borderId="0" xfId="0" applyFont="1"/>
    <xf numFmtId="0" fontId="6" fillId="4" borderId="0" xfId="0" applyFont="1" applyFill="1" applyAlignment="1">
      <alignment horizontal="left" vertical="center"/>
    </xf>
    <xf numFmtId="165" fontId="6" fillId="4" borderId="0" xfId="0" applyNumberFormat="1" applyFont="1" applyFill="1" applyAlignment="1">
      <alignment horizontal="left" vertical="center"/>
    </xf>
    <xf numFmtId="0" fontId="3" fillId="0" borderId="0" xfId="0" applyFont="1"/>
    <xf numFmtId="0" fontId="8" fillId="13" borderId="4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64" fontId="4" fillId="0" borderId="2" xfId="0" applyNumberFormat="1" applyFont="1" applyBorder="1" applyAlignment="1">
      <alignment vertical="top" wrapText="1"/>
    </xf>
    <xf numFmtId="18" fontId="4" fillId="0" borderId="2" xfId="0" applyNumberFormat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horizontal="center" vertical="top" wrapText="1"/>
    </xf>
    <xf numFmtId="0" fontId="11" fillId="0" borderId="3" xfId="1" applyFont="1" applyBorder="1"/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12" fillId="0" borderId="0" xfId="0" applyFont="1" applyAlignment="1">
      <alignment vertical="top" wrapText="1"/>
    </xf>
    <xf numFmtId="164" fontId="4" fillId="0" borderId="3" xfId="0" applyNumberFormat="1" applyFont="1" applyBorder="1" applyAlignment="1">
      <alignment vertical="top" wrapText="1"/>
    </xf>
    <xf numFmtId="18" fontId="4" fillId="0" borderId="3" xfId="0" applyNumberFormat="1" applyFont="1" applyBorder="1" applyAlignment="1">
      <alignment vertical="top" wrapText="1"/>
    </xf>
    <xf numFmtId="164" fontId="4" fillId="0" borderId="0" xfId="0" applyNumberFormat="1" applyFont="1" applyAlignment="1">
      <alignment vertical="top" wrapText="1"/>
    </xf>
    <xf numFmtId="18" fontId="4" fillId="0" borderId="0" xfId="0" applyNumberFormat="1" applyFont="1" applyAlignment="1">
      <alignment vertical="top" wrapText="1"/>
    </xf>
    <xf numFmtId="164" fontId="4" fillId="0" borderId="1" xfId="0" applyNumberFormat="1" applyFont="1" applyBorder="1" applyAlignment="1">
      <alignment vertical="top" wrapText="1"/>
    </xf>
    <xf numFmtId="18" fontId="4" fillId="0" borderId="1" xfId="0" applyNumberFormat="1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" xfId="0" applyFont="1" applyBorder="1" applyAlignment="1">
      <alignment horizontal="center" vertical="top" wrapText="1"/>
    </xf>
    <xf numFmtId="0" fontId="12" fillId="0" borderId="1" xfId="0" applyFont="1" applyBorder="1" applyAlignment="1">
      <alignment vertical="top" wrapText="1"/>
    </xf>
    <xf numFmtId="0" fontId="3" fillId="3" borderId="0" xfId="0" applyFont="1" applyFill="1" applyAlignment="1">
      <alignment horizontal="center"/>
    </xf>
    <xf numFmtId="0" fontId="4" fillId="12" borderId="0" xfId="0" applyFont="1" applyFill="1" applyAlignment="1">
      <alignment wrapText="1"/>
    </xf>
    <xf numFmtId="1" fontId="4" fillId="12" borderId="0" xfId="0" applyNumberFormat="1" applyFont="1" applyFill="1" applyAlignment="1">
      <alignment wrapText="1"/>
    </xf>
    <xf numFmtId="0" fontId="3" fillId="2" borderId="0" xfId="0" applyFont="1" applyFill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49" fontId="4" fillId="0" borderId="0" xfId="0" applyNumberFormat="1" applyFont="1" applyAlignment="1">
      <alignment horizontal="left" vertical="top" wrapText="1"/>
    </xf>
    <xf numFmtId="3" fontId="4" fillId="0" borderId="0" xfId="0" applyNumberFormat="1" applyFont="1" applyAlignment="1">
      <alignment vertical="top" wrapText="1"/>
    </xf>
    <xf numFmtId="165" fontId="4" fillId="0" borderId="0" xfId="0" applyNumberFormat="1" applyFont="1" applyAlignment="1">
      <alignment horizontal="left" vertical="top" wrapText="1"/>
    </xf>
    <xf numFmtId="0" fontId="11" fillId="0" borderId="0" xfId="1" applyFont="1" applyAlignment="1">
      <alignment vertical="top" wrapText="1"/>
    </xf>
    <xf numFmtId="164" fontId="4" fillId="0" borderId="0" xfId="0" applyNumberFormat="1" applyFont="1"/>
    <xf numFmtId="49" fontId="4" fillId="0" borderId="0" xfId="0" applyNumberFormat="1" applyFont="1" applyAlignment="1">
      <alignment horizontal="left"/>
    </xf>
    <xf numFmtId="165" fontId="4" fillId="0" borderId="0" xfId="0" applyNumberFormat="1" applyFont="1" applyAlignment="1">
      <alignment horizontal="left"/>
    </xf>
    <xf numFmtId="49" fontId="4" fillId="0" borderId="0" xfId="0" applyNumberFormat="1" applyFont="1"/>
    <xf numFmtId="3" fontId="4" fillId="0" borderId="0" xfId="0" applyNumberFormat="1" applyFont="1"/>
    <xf numFmtId="164" fontId="4" fillId="0" borderId="6" xfId="0" applyNumberFormat="1" applyFont="1" applyBorder="1" applyAlignment="1">
      <alignment vertical="top" wrapText="1"/>
    </xf>
    <xf numFmtId="18" fontId="4" fillId="0" borderId="6" xfId="0" applyNumberFormat="1" applyFont="1" applyBorder="1" applyAlignment="1">
      <alignment vertical="top" wrapText="1"/>
    </xf>
    <xf numFmtId="0" fontId="4" fillId="0" borderId="6" xfId="0" applyFont="1" applyBorder="1" applyAlignment="1">
      <alignment vertical="top" wrapText="1"/>
    </xf>
    <xf numFmtId="0" fontId="19" fillId="14" borderId="0" xfId="1" applyFont="1" applyFill="1" applyAlignment="1">
      <alignment horizontal="center" vertical="center"/>
    </xf>
    <xf numFmtId="0" fontId="3" fillId="16" borderId="5" xfId="0" applyFont="1" applyFill="1" applyBorder="1" applyAlignment="1">
      <alignment horizontal="center"/>
    </xf>
    <xf numFmtId="0" fontId="21" fillId="17" borderId="5" xfId="0" applyFont="1" applyFill="1" applyBorder="1" applyAlignment="1">
      <alignment horizontal="left" vertical="top" wrapText="1"/>
    </xf>
    <xf numFmtId="0" fontId="21" fillId="18" borderId="5" xfId="0" applyFont="1" applyFill="1" applyBorder="1" applyAlignment="1">
      <alignment horizontal="left" vertical="top" wrapText="1"/>
    </xf>
    <xf numFmtId="164" fontId="4" fillId="0" borderId="6" xfId="0" applyNumberFormat="1" applyFont="1" applyBorder="1" applyAlignment="1">
      <alignment vertical="center" wrapText="1"/>
    </xf>
    <xf numFmtId="18" fontId="4" fillId="0" borderId="6" xfId="0" applyNumberFormat="1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164" fontId="4" fillId="14" borderId="6" xfId="0" applyNumberFormat="1" applyFont="1" applyFill="1" applyBorder="1" applyAlignment="1">
      <alignment vertical="center" wrapText="1"/>
    </xf>
    <xf numFmtId="18" fontId="4" fillId="14" borderId="6" xfId="0" applyNumberFormat="1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164" fontId="4" fillId="15" borderId="6" xfId="0" applyNumberFormat="1" applyFont="1" applyFill="1" applyBorder="1" applyAlignment="1">
      <alignment vertical="center" wrapText="1"/>
    </xf>
    <xf numFmtId="18" fontId="4" fillId="15" borderId="6" xfId="0" applyNumberFormat="1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14" fillId="1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1" fontId="6" fillId="5" borderId="6" xfId="0" applyNumberFormat="1" applyFont="1" applyFill="1" applyBorder="1" applyAlignment="1">
      <alignment horizontal="center" vertical="center"/>
    </xf>
    <xf numFmtId="1" fontId="15" fillId="5" borderId="6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1" fontId="15" fillId="6" borderId="6" xfId="0" applyNumberFormat="1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 wrapText="1"/>
    </xf>
    <xf numFmtId="0" fontId="6" fillId="7" borderId="6" xfId="0" applyFont="1" applyFill="1" applyBorder="1" applyAlignment="1">
      <alignment horizontal="center" vertical="center"/>
    </xf>
    <xf numFmtId="1" fontId="15" fillId="7" borderId="6" xfId="0" applyNumberFormat="1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/>
    </xf>
    <xf numFmtId="1" fontId="15" fillId="8" borderId="6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3" fillId="13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left" vertical="center"/>
    </xf>
    <xf numFmtId="1" fontId="10" fillId="11" borderId="2" xfId="0" applyNumberFormat="1" applyFont="1" applyFill="1" applyBorder="1" applyAlignment="1">
      <alignment horizontal="left" vertical="center"/>
    </xf>
    <xf numFmtId="0" fontId="10" fillId="11" borderId="0" xfId="0" applyFont="1" applyFill="1" applyAlignment="1">
      <alignment horizontal="left" vertical="center"/>
    </xf>
    <xf numFmtId="0" fontId="10" fillId="11" borderId="0" xfId="0" applyFont="1" applyFill="1" applyAlignment="1">
      <alignment horizontal="left" vertical="center" wrapText="1"/>
    </xf>
    <xf numFmtId="0" fontId="3" fillId="10" borderId="0" xfId="0" applyFont="1" applyFill="1" applyAlignment="1">
      <alignment horizontal="left"/>
    </xf>
    <xf numFmtId="0" fontId="6" fillId="9" borderId="6" xfId="0" applyFont="1" applyFill="1" applyBorder="1" applyAlignment="1">
      <alignment horizontal="center" vertical="center"/>
    </xf>
    <xf numFmtId="1" fontId="15" fillId="9" borderId="6" xfId="0" applyNumberFormat="1" applyFont="1" applyFill="1" applyBorder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left" vertical="center"/>
    </xf>
    <xf numFmtId="1" fontId="9" fillId="10" borderId="2" xfId="0" applyNumberFormat="1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 wrapText="1"/>
    </xf>
    <xf numFmtId="0" fontId="16" fillId="13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7" fillId="15" borderId="0" xfId="0" applyFont="1" applyFill="1" applyAlignment="1">
      <alignment horizontal="center" wrapText="1"/>
    </xf>
    <xf numFmtId="0" fontId="22" fillId="13" borderId="0" xfId="0" applyFont="1" applyFill="1" applyAlignment="1">
      <alignment horizontal="center"/>
    </xf>
    <xf numFmtId="0" fontId="20" fillId="15" borderId="0" xfId="0" applyFont="1" applyFill="1" applyAlignment="1">
      <alignment horizontal="center" vertical="center"/>
    </xf>
    <xf numFmtId="0" fontId="13" fillId="0" borderId="0" xfId="0" applyNumberFormat="1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0" xfId="0" applyNumberFormat="1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</cellXfs>
  <cellStyles count="2">
    <cellStyle name="Hyperlink" xfId="1" builtinId="8"/>
    <cellStyle name="Normal" xfId="0" builtinId="0"/>
  </cellStyles>
  <dxfs count="149"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h:mm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h:mm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alignment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7" headerRowDxfId="136" dataDxfId="134" totalsRowDxfId="135">
  <tableColumns count="12">
    <tableColumn id="1" xr3:uid="{00000000-0010-0000-0100-000001000000}" name="Send Date" dataDxfId="148"/>
    <tableColumn id="2" xr3:uid="{00000000-0010-0000-0100-000002000000}" name="Time" dataDxfId="147"/>
    <tableColumn id="3" xr3:uid="{00000000-0010-0000-0100-000003000000}" name="Channel" dataDxfId="146"/>
    <tableColumn id="4" xr3:uid="{00000000-0010-0000-0100-000004000000}" name="Campaign" dataDxfId="145"/>
    <tableColumn id="5" xr3:uid="{00000000-0010-0000-0100-000005000000}" name="Type" dataDxfId="144"/>
    <tableColumn id="6" xr3:uid="{00000000-0010-0000-0100-000006000000}" name="Stage" dataDxfId="143"/>
    <tableColumn id="7" xr3:uid="{00000000-0010-0000-0100-000007000000}" name="Owner" dataDxfId="142"/>
    <tableColumn id="8" xr3:uid="{00000000-0010-0000-0100-000008000000}" name="Approval" dataDxfId="141"/>
    <tableColumn id="9" xr3:uid="{00000000-0010-0000-0100-000009000000}" name="Segments" dataDxfId="140"/>
    <tableColumn id="10" xr3:uid="{00000000-0010-0000-0100-00000A000000}" name="Jira" dataDxfId="139"/>
    <tableColumn id="11" xr3:uid="{00000000-0010-0000-0100-00000B000000}" name="ClickUp" dataDxfId="138"/>
    <tableColumn id="12" xr3:uid="{00000000-0010-0000-0100-00000C000000}" name="Bluecore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85EFE4-ADD9-469F-817B-C7E89EEBB183}" name="DeliveredComparisonTable" displayName="DeliveredComparisonTable" ref="N3:R5" totalsRowShown="0" headerRowDxfId="128" dataDxfId="127">
  <autoFilter ref="N3:R5" xr:uid="{BE85EFE4-ADD9-469F-817B-C7E89EEBB183}"/>
  <tableColumns count="5">
    <tableColumn id="1" xr3:uid="{7D8BAD8E-F04E-43AD-ACF0-5EA74643D321}" name="Period" dataDxfId="133"/>
    <tableColumn id="2" xr3:uid="{B592DFC8-2AE6-4A5B-9681-89C01AE742BF}" name="Start Date" dataDxfId="132">
      <calculatedColumnFormula>TODAY()-WEEKDAY(TODAY(),2)+1</calculatedColumnFormula>
    </tableColumn>
    <tableColumn id="3" xr3:uid="{51940D33-E5D3-49CA-BBB7-458FAE74D1A2}" name="End Date" dataDxfId="131">
      <calculatedColumnFormula>O4+6</calculatedColumnFormula>
    </tableColumn>
    <tableColumn id="4" xr3:uid="{B87683AF-CAA1-423A-828B-8D853F29F298}" name="Delivered Emails" dataDxfId="130">
      <calculatedColumnFormula>SUMIFS(EmailCampaignsTable[Delivered],EmailCampaignsTable[Send Date],"&gt;="&amp;O4,EmailCampaignsTable[Send Date],"&lt;"&amp;P4+1)</calculatedColumnFormula>
    </tableColumn>
    <tableColumn id="5" xr3:uid="{FED377D0-EB7F-42F8-8B2B-2162775FA3EF}" name="Change" dataDxfId="129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U201" headerRowDxfId="108" dataDxfId="109" totalsRowDxfId="110">
  <tableColumns count="21">
    <tableColumn id="2" xr3:uid="{00000000-0010-0000-0000-000002000000}" name="Send Date" dataDxfId="106"/>
    <tableColumn id="3" xr3:uid="{00000000-0010-0000-0000-000003000000}" name="Send Time" dataDxfId="107"/>
    <tableColumn id="4" xr3:uid="{00000000-0010-0000-0000-000004000000}" name="Campaign Name" dataDxfId="126"/>
    <tableColumn id="5" xr3:uid="{00000000-0010-0000-0000-000005000000}" name="Campaign Type" dataDxfId="125"/>
    <tableColumn id="6" xr3:uid="{00000000-0010-0000-0000-000006000000}" name="Current Stage" dataDxfId="124">
      <calculatedColumnFormula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calculatedColumnFormula>
    </tableColumn>
    <tableColumn id="7" xr3:uid="{00000000-0010-0000-0000-000007000000}" name="Owner" dataDxfId="123"/>
    <tableColumn id="1" xr3:uid="{B2077B23-1D1A-459D-9583-F63147D6D936}" name="Campaign Name and UTM Parameter (Source Code)" dataDxfId="122"/>
    <tableColumn id="8" xr3:uid="{63A16BD6-6B10-4AD5-B57D-B92EA2935F36}" name="Creative Brief, SL &amp; PH" dataDxfId="121"/>
    <tableColumn id="9" xr3:uid="{23EAD37F-5B0E-461E-85FF-0AAFD24BAA68}" name="SKUs" dataDxfId="120"/>
    <tableColumn id="10" xr3:uid="{9640EB9F-78BB-44D9-B70D-05FDE06036E4}" name="In-Design" dataDxfId="119"/>
    <tableColumn id="11" xr3:uid="{ADDF4395-0E99-41A9-BED7-3DBCF6006F91}" name="Build, QA" dataDxfId="118"/>
    <tableColumn id="12" xr3:uid="{6DF2B722-97C3-4902-87DE-A2A9727C8024}" name="Route" dataDxfId="117"/>
    <tableColumn id="14" xr3:uid="{2C5B824E-A4DE-4EA9-87E9-7663BB92F9D4}" name="Approval" dataDxfId="116"/>
    <tableColumn id="15" xr3:uid="{4CE14FFB-3FFB-4445-B89C-5D3C3D24D6C0}" name="Segments" dataDxfId="115"/>
    <tableColumn id="17" xr3:uid="{00000000-0010-0000-0000-000011000000}" name="Jira Link" dataDxfId="114"/>
    <tableColumn id="18" xr3:uid="{00000000-0010-0000-0000-000012000000}" name="ClickUp Link" dataDxfId="113"/>
    <tableColumn id="19" xr3:uid="{00000000-0010-0000-0000-000013000000}" name="Bluecore Link" dataDxfId="112"/>
    <tableColumn id="20" xr3:uid="{00000000-0010-0000-0000-000014000000}" name="Est. Audience" dataDxfId="111"/>
    <tableColumn id="21" xr3:uid="{00000000-0010-0000-0000-000015000000}" name="Delivered" dataDxfId="105"/>
    <tableColumn id="23" xr3:uid="{00000000-0010-0000-0000-000017000000}" name="Last Updated" dataDxfId="104"/>
    <tableColumn id="13" xr3:uid="{6717C158-5D55-49BD-B0A1-8EF5E6BE7E59}" name="Last Updated By" dataDxfId="10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89" dataDxfId="90">
  <autoFilter ref="A1:Q201" xr:uid="{5BA5B085-3B5F-4682-B501-752F9044F617}"/>
  <tableColumns count="17">
    <tableColumn id="1" xr3:uid="{A00F9C46-9585-47C9-83D4-D97802A976D5}" name="Send Date" dataDxfId="87"/>
    <tableColumn id="2" xr3:uid="{FA54A5FD-1AB7-4749-AF9C-A820CCD54864}" name="Send Time" dataDxfId="88"/>
    <tableColumn id="3" xr3:uid="{D8232C60-1B45-4E39-B4FB-F7D15854588A}" name="Campaign Name" dataDxfId="102"/>
    <tableColumn id="4" xr3:uid="{488CC129-7AB9-4CDE-A0F4-708CCF476FDC}" name="Campaign Type" dataDxfId="101"/>
    <tableColumn id="5" xr3:uid="{60402621-821D-4B42-BBBF-04ECD600240D}" name="Current Stage" dataDxfId="100">
      <calculatedColumnFormula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calculatedColumnFormula>
    </tableColumn>
    <tableColumn id="6" xr3:uid="{BCB79FBA-6E48-4196-9FCA-87C1D34838D7}" name="Owner" dataDxfId="99"/>
    <tableColumn id="7" xr3:uid="{C602E6A7-154A-4913-82F7-B1297F8FB4AA}" name="Send SMS Options" dataDxfId="98"/>
    <tableColumn id="8" xr3:uid="{050AA88E-4FCE-418E-B3E4-7BADF355F594}" name="Send Test" dataDxfId="97"/>
    <tableColumn id="9" xr3:uid="{CD7DB146-3A9F-407E-8AE2-FB08A35D3255}" name="Approval" dataDxfId="96"/>
    <tableColumn id="10" xr3:uid="{85A3C652-A90B-4131-9C59-60C896B66276}" name="Segments" dataDxfId="95"/>
    <tableColumn id="11" xr3:uid="{E3A201AA-BB4D-46BF-87B3-3EC3AB5D84A8}" name="Jira Link" dataDxfId="94"/>
    <tableColumn id="12" xr3:uid="{03538A90-09A1-47C7-A323-078C9FDC2EEF}" name="ClickUp Link" dataDxfId="93"/>
    <tableColumn id="13" xr3:uid="{F3B86E58-9B1C-4BE7-ACD4-4A17ABF9CF1F}" name="Bluecore Link" dataDxfId="92"/>
    <tableColumn id="14" xr3:uid="{AB05A972-8E88-4F0F-A2C0-E592CA11CF69}" name="Est. Audience" dataDxfId="91"/>
    <tableColumn id="15" xr3:uid="{031FC6D8-9EA2-4822-8ABB-1D691F532C78}" name="Delivered" dataDxfId="86"/>
    <tableColumn id="16" xr3:uid="{677491C6-5902-44D9-B11E-9456715084CA}" name="Last Updated" dataDxfId="85"/>
    <tableColumn id="17" xr3:uid="{D2166D60-5145-4BCB-A4C1-8E83A65F8013}" name="Last Updated By" dataDxfId="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33">
  <tableColumns count="4">
    <tableColumn id="1" xr3:uid="{00000000-0010-0000-0300-000001000000}" name="Timestamp"/>
    <tableColumn id="2" xr3:uid="{00000000-0010-0000-0300-000002000000}" name="User"/>
    <tableColumn id="3" xr3:uid="{00000000-0010-0000-0300-000003000000}" name="Action"/>
    <tableColumn id="4" xr3:uid="{00000000-0010-0000-0300-000004000000}" name="Detail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jira.example.com/EMAIL-004" TargetMode="External"/><Relationship Id="rId13" Type="http://schemas.openxmlformats.org/officeDocument/2006/relationships/hyperlink" Target="https://jira.adorama.com/browse/MKT-103183" TargetMode="External"/><Relationship Id="rId3" Type="http://schemas.openxmlformats.org/officeDocument/2006/relationships/hyperlink" Target="https://bluecore.example.com/campaign/001" TargetMode="External"/><Relationship Id="rId7" Type="http://schemas.openxmlformats.org/officeDocument/2006/relationships/hyperlink" Target="https://jira.example.com/EMAIL-003" TargetMode="External"/><Relationship Id="rId12" Type="http://schemas.openxmlformats.org/officeDocument/2006/relationships/hyperlink" Target="https://jira.example.com/EMAIL-004" TargetMode="External"/><Relationship Id="rId2" Type="http://schemas.openxmlformats.org/officeDocument/2006/relationships/hyperlink" Target="https://clickup.example.com/task/001" TargetMode="External"/><Relationship Id="rId1" Type="http://schemas.openxmlformats.org/officeDocument/2006/relationships/hyperlink" Target="https://jira.example.com/EMAIL-001" TargetMode="External"/><Relationship Id="rId6" Type="http://schemas.openxmlformats.org/officeDocument/2006/relationships/hyperlink" Target="https://bluecore.example.com/campaign/002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clickup.example.com/task/002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clickup.example.com/task/005" TargetMode="External"/><Relationship Id="rId4" Type="http://schemas.openxmlformats.org/officeDocument/2006/relationships/hyperlink" Target="https://jira.example.com/EMAIL-002" TargetMode="External"/><Relationship Id="rId9" Type="http://schemas.openxmlformats.org/officeDocument/2006/relationships/hyperlink" Target="https://jira.example.com/EMAIL-005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jira.adorama.com/browse/MKT-103183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R119"/>
  <sheetViews>
    <sheetView showGridLines="0" tabSelected="1" zoomScale="90" zoomScaleNormal="90" workbookViewId="0">
      <pane activePane="bottomRight" state="frozen"/>
      <selection sqref="A1:L1"/>
    </sheetView>
  </sheetViews>
  <sheetFormatPr defaultRowHeight="15"/>
  <cols>
    <col min="1" max="1" width="12.625" style="4" customWidth="1"/>
    <col min="2" max="2" width="20.625" style="4" customWidth="1"/>
    <col min="3" max="3" width="10.625" style="4" customWidth="1"/>
    <col min="4" max="4" width="34.625" style="4" customWidth="1"/>
    <col min="5" max="5" width="14.625" style="4" customWidth="1"/>
    <col min="6" max="6" width="20.625" style="4" customWidth="1"/>
    <col min="7" max="7" width="16.625" style="4" customWidth="1"/>
    <col min="8" max="9" width="12.625" style="4" customWidth="1"/>
    <col min="10" max="12" width="11.625" style="4" customWidth="1"/>
    <col min="13" max="13" width="9" style="4"/>
    <col min="14" max="14" width="11.875" style="4" bestFit="1" customWidth="1"/>
    <col min="15" max="15" width="11.625" style="4" bestFit="1" customWidth="1"/>
    <col min="16" max="16" width="10.625" style="4" bestFit="1" customWidth="1"/>
    <col min="17" max="17" width="17.25" style="4" bestFit="1" customWidth="1"/>
    <col min="18" max="18" width="9.625" style="4" customWidth="1"/>
    <col min="19" max="16384" width="9" style="4"/>
  </cols>
  <sheetData>
    <row r="1" spans="1:18" ht="27.95" customHeight="1">
      <c r="A1" s="58" t="s">
        <v>209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8" ht="21.95" customHeight="1">
      <c r="A2" s="59" t="s">
        <v>184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N2" s="80" t="s">
        <v>201</v>
      </c>
      <c r="O2" s="80"/>
      <c r="P2" s="80"/>
      <c r="Q2" s="80"/>
      <c r="R2" s="80"/>
    </row>
    <row r="3" spans="1:18">
      <c r="A3" s="5" t="s">
        <v>53</v>
      </c>
      <c r="B3" s="6">
        <f ca="1">NOW()</f>
        <v>46180.343216898145</v>
      </c>
      <c r="D3" s="7"/>
      <c r="N3" s="4" t="s">
        <v>202</v>
      </c>
      <c r="O3" s="4" t="s">
        <v>203</v>
      </c>
      <c r="P3" s="4" t="s">
        <v>204</v>
      </c>
      <c r="Q3" s="4" t="s">
        <v>205</v>
      </c>
      <c r="R3" s="4" t="s">
        <v>206</v>
      </c>
    </row>
    <row r="4" spans="1:18" ht="20.100000000000001" customHeight="1">
      <c r="A4" s="61" t="s">
        <v>54</v>
      </c>
      <c r="B4" s="62"/>
      <c r="C4" s="65" t="s">
        <v>55</v>
      </c>
      <c r="D4" s="66"/>
      <c r="E4" s="70" t="s">
        <v>185</v>
      </c>
      <c r="F4" s="71"/>
      <c r="G4" s="75" t="s">
        <v>186</v>
      </c>
      <c r="H4" s="75"/>
      <c r="I4" s="61" t="s">
        <v>113</v>
      </c>
      <c r="J4" s="61"/>
      <c r="K4" s="86" t="s">
        <v>20</v>
      </c>
      <c r="L4" s="86"/>
      <c r="N4" s="4" t="s">
        <v>207</v>
      </c>
      <c r="O4" s="37">
        <f ca="1">TODAY()-WEEKDAY(TODAY(),2)-6</f>
        <v>46167</v>
      </c>
      <c r="P4" s="37">
        <f ca="1">O4+6</f>
        <v>46173</v>
      </c>
      <c r="Q4" s="41">
        <f ca="1">SUMIFS(EmailCampaignsTable[Delivered],EmailCampaignsTable[Send Date],"&gt;="&amp;O4,EmailCampaignsTable[Send Date],"&lt;"&amp;P4+1)</f>
        <v>0</v>
      </c>
      <c r="R4" s="41"/>
    </row>
    <row r="5" spans="1:18" ht="30" customHeight="1">
      <c r="A5" s="63">
        <f>COUNTIFS('Email Campaigns'!$C$2:$C$201,"&lt;&gt;",'Email Campaigns'!$E$2:$E$201,"&lt;&gt;Sent")+COUNTIFS('SMS Campaigns'!$C$2:$C$201,"&lt;&gt;",'SMS Campaigns'!$E$2:$E$201,"&lt;&gt;Sent")</f>
        <v>6</v>
      </c>
      <c r="B5" s="63"/>
      <c r="C5" s="67">
        <f ca="1">COUNTIFS('Email Campaigns'!$A$2:$A$201,TODAY(),'Email Campaigns'!$C$2:$C$201,"&lt;&gt;")+COUNTIFS('SMS Campaigns'!$A$2:$A$201,TODAY(),'SMS Campaigns'!$C$2:$C$201,"&lt;&gt;")</f>
        <v>1</v>
      </c>
      <c r="D5" s="68"/>
      <c r="E5" s="72">
        <f>COUNTIFS('Email Campaigns'!$C$2:$C$201,"&lt;&gt;",'Email Campaigns'!$E$2:$E$201,"&lt;&gt;Sent")</f>
        <v>6</v>
      </c>
      <c r="F5" s="73"/>
      <c r="G5" s="76">
        <f>COUNTIFS('SMS Campaigns'!$C$2:$C$201,"&lt;&gt;",'SMS Campaigns'!$E$2:$E$201,"&lt;&gt;Sent")</f>
        <v>0</v>
      </c>
      <c r="H5" s="77"/>
      <c r="I5" s="63">
        <f>COUNTIFS('Email Campaigns'!$C$2:$C$201,"&lt;&gt;",'Email Campaigns'!$M$2:$M$201,FALSE)+COUNTIFS('SMS Campaigns'!$C$2:$C$201,"&lt;&gt;",'SMS Campaigns'!$I$2:$I$201,FALSE)</f>
        <v>6</v>
      </c>
      <c r="J5" s="79"/>
      <c r="K5" s="87">
        <f>COUNTIF('Email Campaigns'!$E$2:$E$201,"Sent")+COUNTIF('SMS Campaigns'!$E$2:$E$201,"Sent")</f>
        <v>1</v>
      </c>
      <c r="L5" s="88"/>
      <c r="N5" s="4" t="s">
        <v>208</v>
      </c>
      <c r="O5" s="37">
        <f ca="1">TODAY()-WEEKDAY(TODAY(),2)+1</f>
        <v>46174</v>
      </c>
      <c r="P5" s="37">
        <f ca="1">O5+6</f>
        <v>46180</v>
      </c>
      <c r="Q5" s="41">
        <f ca="1">SUMIFS(EmailCampaignsTable[Delivered],EmailCampaignsTable[Send Date],"&gt;="&amp;O5,EmailCampaignsTable[Send Date],"&lt;"&amp;P5+1)</f>
        <v>78234</v>
      </c>
      <c r="R5" s="41">
        <f ca="1">Q5-Q4</f>
        <v>78234</v>
      </c>
    </row>
    <row r="6" spans="1:18" ht="18" customHeight="1">
      <c r="A6" s="64" t="s">
        <v>187</v>
      </c>
      <c r="B6" s="62"/>
      <c r="C6" s="69" t="s">
        <v>188</v>
      </c>
      <c r="D6" s="66"/>
      <c r="E6" s="74" t="s">
        <v>189</v>
      </c>
      <c r="F6" s="71"/>
      <c r="G6" s="78" t="s">
        <v>190</v>
      </c>
      <c r="H6" s="75"/>
      <c r="I6" s="64" t="s">
        <v>115</v>
      </c>
      <c r="J6" s="61"/>
      <c r="K6" s="89" t="s">
        <v>191</v>
      </c>
      <c r="L6" s="86"/>
    </row>
    <row r="7" spans="1:18" ht="24" customHeight="1">
      <c r="A7" s="8" t="s">
        <v>156</v>
      </c>
      <c r="B7" s="8" t="s">
        <v>157</v>
      </c>
      <c r="C7" s="8" t="s">
        <v>158</v>
      </c>
      <c r="D7" s="8" t="s">
        <v>159</v>
      </c>
      <c r="E7" s="8" t="s">
        <v>160</v>
      </c>
      <c r="F7" s="8" t="s">
        <v>161</v>
      </c>
      <c r="G7" s="8" t="s">
        <v>162</v>
      </c>
      <c r="H7" s="8" t="s">
        <v>163</v>
      </c>
      <c r="I7" s="8" t="s">
        <v>164</v>
      </c>
      <c r="J7" s="8" t="s">
        <v>165</v>
      </c>
      <c r="K7" s="8" t="s">
        <v>166</v>
      </c>
      <c r="L7" s="8" t="s">
        <v>167</v>
      </c>
    </row>
    <row r="8" spans="1:18" ht="24" customHeight="1">
      <c r="A8" s="90" t="s">
        <v>210</v>
      </c>
      <c r="B8" s="91"/>
      <c r="C8" s="92"/>
      <c r="D8" s="93"/>
      <c r="E8" s="93"/>
      <c r="F8" s="92"/>
      <c r="G8" s="92"/>
      <c r="H8" s="92"/>
      <c r="I8" s="92"/>
      <c r="J8" s="92"/>
      <c r="K8" s="92"/>
      <c r="L8" s="92"/>
    </row>
    <row r="9" spans="1:18">
      <c r="A9" s="81" t="s">
        <v>192</v>
      </c>
      <c r="B9" s="82"/>
      <c r="C9" s="83"/>
      <c r="D9" s="84"/>
      <c r="E9" s="84"/>
      <c r="F9" s="83"/>
      <c r="G9" s="83"/>
      <c r="H9" s="83"/>
      <c r="I9" s="83"/>
      <c r="J9" s="83"/>
      <c r="K9" s="83"/>
      <c r="L9" s="83"/>
    </row>
    <row r="10" spans="1:18" ht="24" customHeight="1">
      <c r="A10" s="9" t="s">
        <v>0</v>
      </c>
      <c r="B10" s="10" t="s">
        <v>58</v>
      </c>
      <c r="C10" s="9" t="s">
        <v>193</v>
      </c>
      <c r="D10" s="9" t="s">
        <v>59</v>
      </c>
      <c r="E10" s="9" t="s">
        <v>60</v>
      </c>
      <c r="F10" s="9" t="s">
        <v>61</v>
      </c>
      <c r="G10" s="9" t="s">
        <v>5</v>
      </c>
      <c r="H10" s="9" t="s">
        <v>111</v>
      </c>
      <c r="I10" s="9" t="s">
        <v>112</v>
      </c>
      <c r="J10" s="9" t="s">
        <v>62</v>
      </c>
      <c r="K10" s="9" t="s">
        <v>63</v>
      </c>
      <c r="L10" s="9" t="s">
        <v>64</v>
      </c>
    </row>
    <row r="11" spans="1:18" ht="24" customHeight="1">
      <c r="A11" s="11">
        <v>46179</v>
      </c>
      <c r="B11" s="12">
        <v>0.33333333333333331</v>
      </c>
      <c r="C11" s="13" t="s">
        <v>179</v>
      </c>
      <c r="D11" s="13" t="s">
        <v>14</v>
      </c>
      <c r="E11" s="13" t="s">
        <v>15</v>
      </c>
      <c r="F11" s="13" t="s">
        <v>22</v>
      </c>
      <c r="G11" s="14" t="s">
        <v>16</v>
      </c>
      <c r="H11" s="14" t="b">
        <v>1</v>
      </c>
      <c r="I11" s="14" t="b">
        <v>1</v>
      </c>
      <c r="J11" s="15" t="s">
        <v>62</v>
      </c>
      <c r="K11" s="15" t="s">
        <v>63</v>
      </c>
      <c r="L11" s="15" t="s">
        <v>64</v>
      </c>
    </row>
    <row r="12" spans="1:18" ht="24" customHeight="1">
      <c r="A12" s="11">
        <v>46180</v>
      </c>
      <c r="B12" s="12">
        <v>0.41666666666666669</v>
      </c>
      <c r="C12" s="16" t="s">
        <v>179</v>
      </c>
      <c r="D12" s="16" t="s">
        <v>27</v>
      </c>
      <c r="E12" s="16" t="s">
        <v>28</v>
      </c>
      <c r="F12" s="16" t="s">
        <v>171</v>
      </c>
      <c r="G12" s="17" t="s">
        <v>29</v>
      </c>
      <c r="H12" s="17" t="b">
        <v>0</v>
      </c>
      <c r="I12" s="17" t="b">
        <v>0</v>
      </c>
      <c r="J12" s="15" t="s">
        <v>62</v>
      </c>
      <c r="K12" s="15" t="s">
        <v>63</v>
      </c>
      <c r="L12" s="15" t="s">
        <v>64</v>
      </c>
    </row>
    <row r="13" spans="1:18" ht="24" customHeight="1">
      <c r="A13" s="11">
        <v>46181</v>
      </c>
      <c r="B13" s="12">
        <v>0.58333333333333337</v>
      </c>
      <c r="C13" s="16" t="s">
        <v>179</v>
      </c>
      <c r="D13" s="16" t="s">
        <v>38</v>
      </c>
      <c r="E13" s="16" t="s">
        <v>39</v>
      </c>
      <c r="F13" s="16" t="s">
        <v>171</v>
      </c>
      <c r="G13" s="17" t="s">
        <v>16</v>
      </c>
      <c r="H13" s="17" t="b">
        <v>0</v>
      </c>
      <c r="I13" s="17" t="b">
        <v>0</v>
      </c>
      <c r="J13" s="15" t="s">
        <v>62</v>
      </c>
      <c r="K13" s="18"/>
      <c r="L13" s="18"/>
    </row>
    <row r="14" spans="1:18" ht="24" customHeight="1">
      <c r="A14" s="11">
        <v>46184</v>
      </c>
      <c r="B14" s="12">
        <v>0.375</v>
      </c>
      <c r="C14" s="16" t="s">
        <v>179</v>
      </c>
      <c r="D14" s="16" t="s">
        <v>44</v>
      </c>
      <c r="E14" s="16" t="s">
        <v>45</v>
      </c>
      <c r="F14" s="16" t="s">
        <v>171</v>
      </c>
      <c r="G14" s="17" t="s">
        <v>46</v>
      </c>
      <c r="H14" s="17" t="b">
        <v>0</v>
      </c>
      <c r="I14" s="17" t="b">
        <v>0</v>
      </c>
      <c r="J14" s="15" t="s">
        <v>62</v>
      </c>
      <c r="K14" s="18"/>
      <c r="L14" s="18"/>
    </row>
    <row r="15" spans="1:18" ht="24" customHeight="1">
      <c r="A15" s="19">
        <v>46178</v>
      </c>
      <c r="B15" s="20">
        <v>0.45833333333333331</v>
      </c>
      <c r="C15" s="16" t="s">
        <v>179</v>
      </c>
      <c r="D15" s="16" t="s">
        <v>49</v>
      </c>
      <c r="E15" s="16" t="s">
        <v>15</v>
      </c>
      <c r="F15" s="16" t="s">
        <v>20</v>
      </c>
      <c r="G15" s="17" t="s">
        <v>16</v>
      </c>
      <c r="H15" s="17" t="b">
        <v>0</v>
      </c>
      <c r="I15" s="17" t="b">
        <v>0</v>
      </c>
      <c r="J15" s="15" t="s">
        <v>62</v>
      </c>
      <c r="K15" s="15" t="s">
        <v>63</v>
      </c>
      <c r="L15" s="15" t="s">
        <v>64</v>
      </c>
    </row>
    <row r="16" spans="1:18" ht="24" customHeight="1">
      <c r="A16" s="21">
        <v>46184</v>
      </c>
      <c r="B16" s="22">
        <v>0.375</v>
      </c>
      <c r="C16" s="16" t="s">
        <v>179</v>
      </c>
      <c r="D16" s="16" t="s">
        <v>44</v>
      </c>
      <c r="E16" s="16" t="s">
        <v>45</v>
      </c>
      <c r="F16" s="16" t="s">
        <v>171</v>
      </c>
      <c r="G16" s="17" t="s">
        <v>46</v>
      </c>
      <c r="H16" s="17" t="b">
        <v>0</v>
      </c>
      <c r="I16" s="17" t="b">
        <v>0</v>
      </c>
      <c r="J16" s="15" t="s">
        <v>62</v>
      </c>
      <c r="K16" s="18"/>
      <c r="L16" s="18"/>
    </row>
    <row r="17" spans="1:12" ht="45.75" customHeight="1">
      <c r="A17" s="21">
        <v>46185</v>
      </c>
      <c r="B17" s="22">
        <v>0.375</v>
      </c>
      <c r="C17" s="16" t="s">
        <v>179</v>
      </c>
      <c r="D17" s="16" t="s">
        <v>104</v>
      </c>
      <c r="E17" s="16" t="s">
        <v>39</v>
      </c>
      <c r="F17" s="16" t="s">
        <v>171</v>
      </c>
      <c r="G17" s="17" t="s">
        <v>29</v>
      </c>
      <c r="H17" s="17" t="b">
        <v>0</v>
      </c>
      <c r="I17" s="17" t="b">
        <v>0</v>
      </c>
      <c r="J17" s="15" t="s">
        <v>62</v>
      </c>
      <c r="K17" s="18"/>
      <c r="L17" s="18"/>
    </row>
    <row r="18" spans="1:12" ht="24" customHeight="1">
      <c r="A18" s="21"/>
      <c r="B18" s="22"/>
      <c r="C18" s="16"/>
      <c r="D18" s="16"/>
      <c r="E18" s="16"/>
      <c r="F18" s="16"/>
      <c r="G18" s="17"/>
      <c r="H18" s="17"/>
      <c r="I18" s="17"/>
      <c r="J18" s="18"/>
      <c r="K18" s="18"/>
      <c r="L18" s="18"/>
    </row>
    <row r="19" spans="1:12" ht="24" customHeight="1">
      <c r="A19" s="52" t="s">
        <v>114</v>
      </c>
      <c r="B19" s="53" t="s">
        <v>194</v>
      </c>
      <c r="C19" s="54">
        <f ca="1">COUNTIFS('Email Campaigns'!$A$2:$A$201,TODAY(),'Email Campaigns'!$C$2:$C$201,"&lt;&gt;")+COUNTIFS('SMS Campaigns'!$A$2:$A$201,TODAY(),'SMS Campaigns'!$C$2:$C$201,"&lt;&gt;")</f>
        <v>1</v>
      </c>
      <c r="D19" s="54" t="s">
        <v>195</v>
      </c>
      <c r="E19" s="16"/>
      <c r="F19" s="16"/>
      <c r="G19" s="17"/>
      <c r="H19" s="17"/>
      <c r="I19" s="17"/>
      <c r="J19" s="18"/>
      <c r="K19" s="18"/>
      <c r="L19" s="18"/>
    </row>
    <row r="20" spans="1:12" ht="24" customHeight="1">
      <c r="A20" s="49" t="s">
        <v>185</v>
      </c>
      <c r="B20" s="50" t="s">
        <v>196</v>
      </c>
      <c r="C20" s="51">
        <f>COUNTIFS('Email Campaigns'!$C$2:$C$201,"&lt;&gt;",'Email Campaigns'!$E$2:$E$201,"&lt;&gt;Sent")</f>
        <v>6</v>
      </c>
      <c r="D20" s="51" t="s">
        <v>197</v>
      </c>
      <c r="E20" s="16"/>
      <c r="F20" s="16"/>
      <c r="G20" s="17"/>
      <c r="H20" s="17"/>
      <c r="I20" s="17"/>
      <c r="J20" s="18"/>
      <c r="K20" s="18"/>
      <c r="L20" s="18"/>
    </row>
    <row r="21" spans="1:12" ht="24" customHeight="1">
      <c r="A21" s="55" t="s">
        <v>186</v>
      </c>
      <c r="B21" s="56" t="s">
        <v>196</v>
      </c>
      <c r="C21" s="57">
        <f>COUNTIFS('SMS Campaigns'!$C$2:$C$201,"&lt;&gt;",'SMS Campaigns'!$E$2:$E$201,"&lt;&gt;Sent")</f>
        <v>0</v>
      </c>
      <c r="D21" s="57" t="s">
        <v>198</v>
      </c>
      <c r="E21" s="16"/>
      <c r="F21" s="16"/>
      <c r="G21" s="17"/>
      <c r="H21" s="17"/>
      <c r="I21" s="17"/>
      <c r="J21" s="18"/>
      <c r="K21" s="18"/>
      <c r="L21" s="18"/>
    </row>
    <row r="22" spans="1:12" ht="24" customHeight="1">
      <c r="A22" s="49" t="s">
        <v>113</v>
      </c>
      <c r="B22" s="50" t="s">
        <v>194</v>
      </c>
      <c r="C22" s="51">
        <f>COUNTIFS('Email Campaigns'!$C$2:$C$201,"&lt;&gt;",'Email Campaigns'!$M$2:$M$201,FALSE)+COUNTIFS('SMS Campaigns'!$C$2:$C$201,"&lt;&gt;",'SMS Campaigns'!$I$2:$I$201,FALSE)</f>
        <v>6</v>
      </c>
      <c r="D22" s="51" t="s">
        <v>116</v>
      </c>
      <c r="E22" s="16"/>
      <c r="F22" s="16"/>
      <c r="G22" s="17"/>
      <c r="H22" s="17"/>
      <c r="I22" s="17"/>
      <c r="J22" s="18"/>
      <c r="K22" s="18"/>
      <c r="L22" s="18"/>
    </row>
    <row r="23" spans="1:12" ht="24" customHeight="1">
      <c r="A23" s="55" t="s">
        <v>20</v>
      </c>
      <c r="B23" s="56" t="s">
        <v>199</v>
      </c>
      <c r="C23" s="57">
        <f>COUNTIF('Email Campaigns'!$E$2:$E$201,"Sent")+COUNTIF('SMS Campaigns'!$E$2:$E$201,"Sent")</f>
        <v>1</v>
      </c>
      <c r="D23" s="57" t="s">
        <v>200</v>
      </c>
      <c r="E23" s="16"/>
      <c r="F23" s="16"/>
      <c r="G23" s="17"/>
      <c r="H23" s="17"/>
      <c r="I23" s="17"/>
      <c r="J23" s="18"/>
      <c r="K23" s="18"/>
      <c r="L23" s="18"/>
    </row>
    <row r="24" spans="1:12" ht="24" customHeight="1">
      <c r="A24" s="42"/>
      <c r="B24" s="43"/>
      <c r="C24" s="44"/>
      <c r="D24" s="44"/>
      <c r="E24" s="16"/>
      <c r="F24" s="16"/>
      <c r="G24" s="17"/>
      <c r="H24" s="17"/>
      <c r="I24" s="17"/>
      <c r="J24" s="18"/>
      <c r="K24" s="18"/>
      <c r="L24" s="18"/>
    </row>
    <row r="25" spans="1:12" ht="24" customHeight="1">
      <c r="A25" s="42"/>
      <c r="B25" s="43"/>
      <c r="C25" s="44"/>
      <c r="D25" s="44"/>
      <c r="E25" s="16"/>
      <c r="F25" s="16"/>
      <c r="G25" s="17"/>
      <c r="H25" s="17"/>
      <c r="I25" s="17"/>
      <c r="J25" s="18"/>
      <c r="K25" s="18"/>
      <c r="L25" s="18"/>
    </row>
    <row r="26" spans="1:12" ht="24" customHeight="1">
      <c r="A26" s="42"/>
      <c r="B26" s="43"/>
      <c r="C26" s="44"/>
      <c r="D26" s="44"/>
      <c r="E26" s="16"/>
      <c r="F26" s="16"/>
      <c r="G26" s="17"/>
      <c r="H26" s="17"/>
      <c r="I26" s="17"/>
      <c r="J26" s="18"/>
      <c r="K26" s="18"/>
      <c r="L26" s="18"/>
    </row>
    <row r="27" spans="1:12" ht="24" customHeight="1">
      <c r="A27" s="21"/>
      <c r="B27" s="22"/>
      <c r="C27" s="16"/>
      <c r="D27" s="16"/>
      <c r="E27" s="16"/>
      <c r="F27" s="16"/>
      <c r="G27" s="17"/>
      <c r="H27" s="17"/>
      <c r="I27" s="17"/>
      <c r="J27" s="18"/>
      <c r="K27" s="18"/>
      <c r="L27" s="18"/>
    </row>
    <row r="28" spans="1:12" ht="24" customHeight="1">
      <c r="A28" s="21"/>
      <c r="B28" s="22"/>
      <c r="C28" s="16"/>
      <c r="D28" s="16"/>
      <c r="E28" s="16"/>
      <c r="F28" s="16"/>
      <c r="G28" s="17"/>
      <c r="H28" s="17"/>
      <c r="I28" s="17"/>
      <c r="J28" s="18"/>
      <c r="K28" s="18"/>
      <c r="L28" s="18"/>
    </row>
    <row r="29" spans="1:12" ht="24" customHeight="1">
      <c r="A29" s="21"/>
      <c r="B29" s="22"/>
      <c r="C29" s="16"/>
      <c r="D29" s="16"/>
      <c r="E29" s="16"/>
      <c r="F29" s="16"/>
      <c r="G29" s="17"/>
      <c r="H29" s="17"/>
      <c r="I29" s="17"/>
      <c r="J29" s="18"/>
      <c r="K29" s="18"/>
      <c r="L29" s="18"/>
    </row>
    <row r="30" spans="1:12" ht="24" customHeight="1">
      <c r="A30" s="21"/>
      <c r="B30" s="22"/>
      <c r="C30" s="16"/>
      <c r="D30" s="16"/>
      <c r="E30" s="16"/>
      <c r="F30" s="16"/>
      <c r="G30" s="17"/>
      <c r="H30" s="17"/>
      <c r="I30" s="17"/>
      <c r="J30" s="18"/>
      <c r="K30" s="18"/>
      <c r="L30" s="18"/>
    </row>
    <row r="31" spans="1:12" ht="24" customHeight="1">
      <c r="A31" s="21"/>
      <c r="B31" s="22"/>
      <c r="C31" s="16"/>
      <c r="D31" s="16"/>
      <c r="E31" s="16"/>
      <c r="F31" s="16"/>
      <c r="G31" s="17"/>
      <c r="H31" s="17"/>
      <c r="I31" s="17"/>
      <c r="J31" s="18"/>
      <c r="K31" s="18"/>
      <c r="L31" s="18"/>
    </row>
    <row r="32" spans="1:12" ht="24" customHeight="1">
      <c r="A32" s="21"/>
      <c r="B32" s="22"/>
      <c r="C32" s="16"/>
      <c r="D32" s="16"/>
      <c r="E32" s="16"/>
      <c r="F32" s="16"/>
      <c r="G32" s="17"/>
      <c r="H32" s="17"/>
      <c r="I32" s="17"/>
      <c r="J32" s="18"/>
      <c r="K32" s="18"/>
      <c r="L32" s="18"/>
    </row>
    <row r="33" spans="1:12" ht="24" customHeight="1">
      <c r="A33" s="21"/>
      <c r="B33" s="22"/>
      <c r="C33" s="16"/>
      <c r="D33" s="16"/>
      <c r="E33" s="16"/>
      <c r="F33" s="16"/>
      <c r="G33" s="17"/>
      <c r="H33" s="17"/>
      <c r="I33" s="17"/>
      <c r="J33" s="18"/>
      <c r="K33" s="18"/>
      <c r="L33" s="18"/>
    </row>
    <row r="34" spans="1:12" ht="24" customHeight="1">
      <c r="A34" s="21"/>
      <c r="B34" s="22"/>
      <c r="C34" s="16"/>
      <c r="D34" s="16"/>
      <c r="E34" s="16"/>
      <c r="F34" s="16"/>
      <c r="G34" s="17"/>
      <c r="H34" s="17"/>
      <c r="I34" s="17"/>
      <c r="J34" s="18"/>
      <c r="K34" s="18"/>
      <c r="L34" s="18"/>
    </row>
    <row r="35" spans="1:12" ht="24" customHeight="1">
      <c r="A35" s="21"/>
      <c r="B35" s="22"/>
      <c r="C35" s="16"/>
      <c r="D35" s="16"/>
      <c r="E35" s="16"/>
      <c r="F35" s="16"/>
      <c r="G35" s="17"/>
      <c r="H35" s="17"/>
      <c r="I35" s="17"/>
      <c r="J35" s="18"/>
      <c r="K35" s="18"/>
      <c r="L35" s="18"/>
    </row>
    <row r="36" spans="1:12" ht="24" customHeight="1">
      <c r="A36" s="21"/>
      <c r="B36" s="22"/>
      <c r="C36" s="16"/>
      <c r="D36" s="16"/>
      <c r="E36" s="16"/>
      <c r="F36" s="16"/>
      <c r="G36" s="17"/>
      <c r="H36" s="17"/>
      <c r="I36" s="17"/>
      <c r="J36" s="18"/>
      <c r="K36" s="18"/>
      <c r="L36" s="18"/>
    </row>
    <row r="37" spans="1:12" ht="24" customHeight="1">
      <c r="A37" s="21"/>
      <c r="B37" s="22"/>
      <c r="C37" s="16"/>
      <c r="D37" s="16"/>
      <c r="E37" s="16"/>
      <c r="F37" s="16"/>
      <c r="G37" s="17"/>
      <c r="H37" s="17"/>
      <c r="I37" s="17"/>
      <c r="J37" s="18"/>
      <c r="K37" s="18"/>
      <c r="L37" s="18"/>
    </row>
    <row r="38" spans="1:12" ht="24" customHeight="1">
      <c r="A38" s="21"/>
      <c r="B38" s="22"/>
      <c r="C38" s="16"/>
      <c r="D38" s="16"/>
      <c r="E38" s="16"/>
      <c r="F38" s="16"/>
      <c r="G38" s="17"/>
      <c r="H38" s="17"/>
      <c r="I38" s="17"/>
      <c r="J38" s="18"/>
      <c r="K38" s="18"/>
      <c r="L38" s="18"/>
    </row>
    <row r="39" spans="1:12" ht="24" customHeight="1">
      <c r="A39" s="21"/>
      <c r="B39" s="22"/>
      <c r="C39" s="16"/>
      <c r="D39" s="16"/>
      <c r="E39" s="16"/>
      <c r="F39" s="16"/>
      <c r="G39" s="17"/>
      <c r="H39" s="17"/>
      <c r="I39" s="17"/>
      <c r="J39" s="18"/>
      <c r="K39" s="18"/>
      <c r="L39" s="18"/>
    </row>
    <row r="40" spans="1:12" ht="24" customHeight="1">
      <c r="A40" s="21"/>
      <c r="B40" s="22"/>
      <c r="C40" s="16"/>
      <c r="D40" s="16"/>
      <c r="E40" s="16"/>
      <c r="F40" s="16"/>
      <c r="G40" s="17"/>
      <c r="H40" s="17"/>
      <c r="I40" s="17"/>
      <c r="J40" s="18"/>
      <c r="K40" s="18"/>
      <c r="L40" s="18"/>
    </row>
    <row r="41" spans="1:12" ht="24" customHeight="1">
      <c r="A41" s="21"/>
      <c r="B41" s="22"/>
      <c r="C41" s="16"/>
      <c r="D41" s="16"/>
      <c r="E41" s="16"/>
      <c r="F41" s="16"/>
      <c r="G41" s="17"/>
      <c r="H41" s="17"/>
      <c r="I41" s="17"/>
      <c r="J41" s="18"/>
      <c r="K41" s="18"/>
      <c r="L41" s="18"/>
    </row>
    <row r="42" spans="1:12" ht="24" customHeight="1">
      <c r="A42" s="21"/>
      <c r="B42" s="22"/>
      <c r="C42" s="16"/>
      <c r="D42" s="16"/>
      <c r="E42" s="16"/>
      <c r="F42" s="16"/>
      <c r="G42" s="17"/>
      <c r="H42" s="17"/>
      <c r="I42" s="17"/>
      <c r="J42" s="18"/>
      <c r="K42" s="18"/>
      <c r="L42" s="18"/>
    </row>
    <row r="43" spans="1:12" ht="24" customHeight="1">
      <c r="A43" s="21"/>
      <c r="B43" s="22"/>
      <c r="C43" s="16"/>
      <c r="D43" s="16"/>
      <c r="E43" s="16"/>
      <c r="F43" s="16"/>
      <c r="G43" s="17"/>
      <c r="H43" s="17"/>
      <c r="I43" s="17"/>
      <c r="J43" s="18"/>
      <c r="K43" s="18"/>
      <c r="L43" s="18"/>
    </row>
    <row r="44" spans="1:12" ht="24" customHeight="1">
      <c r="A44" s="21"/>
      <c r="B44" s="22"/>
      <c r="C44" s="16"/>
      <c r="D44" s="16"/>
      <c r="E44" s="16"/>
      <c r="F44" s="16"/>
      <c r="G44" s="17"/>
      <c r="H44" s="17"/>
      <c r="I44" s="17"/>
      <c r="J44" s="18"/>
      <c r="K44" s="18"/>
      <c r="L44" s="18"/>
    </row>
    <row r="45" spans="1:12" ht="24" customHeight="1">
      <c r="A45" s="21"/>
      <c r="B45" s="22"/>
      <c r="C45" s="16"/>
      <c r="D45" s="16"/>
      <c r="E45" s="16"/>
      <c r="F45" s="16"/>
      <c r="G45" s="17"/>
      <c r="H45" s="17"/>
      <c r="I45" s="17"/>
      <c r="J45" s="18"/>
      <c r="K45" s="18"/>
      <c r="L45" s="18"/>
    </row>
    <row r="46" spans="1:12" ht="24" customHeight="1">
      <c r="A46" s="21"/>
      <c r="B46" s="22"/>
      <c r="C46" s="16"/>
      <c r="D46" s="16"/>
      <c r="E46" s="16"/>
      <c r="F46" s="16"/>
      <c r="G46" s="17"/>
      <c r="H46" s="17"/>
      <c r="I46" s="17"/>
      <c r="J46" s="18"/>
      <c r="K46" s="18"/>
      <c r="L46" s="18"/>
    </row>
    <row r="47" spans="1:12" ht="24" customHeight="1">
      <c r="A47" s="21"/>
      <c r="B47" s="22"/>
      <c r="C47" s="16"/>
      <c r="D47" s="16"/>
      <c r="E47" s="16"/>
      <c r="F47" s="16"/>
      <c r="G47" s="17"/>
      <c r="H47" s="17"/>
      <c r="I47" s="17"/>
      <c r="J47" s="18"/>
      <c r="K47" s="18"/>
      <c r="L47" s="18"/>
    </row>
    <row r="48" spans="1:12" ht="24" customHeight="1">
      <c r="A48" s="21"/>
      <c r="B48" s="22"/>
      <c r="C48" s="16"/>
      <c r="D48" s="16"/>
      <c r="E48" s="16"/>
      <c r="F48" s="16"/>
      <c r="G48" s="17"/>
      <c r="H48" s="17"/>
      <c r="I48" s="17"/>
      <c r="J48" s="18"/>
      <c r="K48" s="18"/>
      <c r="L48" s="18"/>
    </row>
    <row r="49" spans="1:12" ht="24" customHeight="1">
      <c r="A49" s="21"/>
      <c r="B49" s="22"/>
      <c r="C49" s="16"/>
      <c r="D49" s="16"/>
      <c r="E49" s="16"/>
      <c r="F49" s="16"/>
      <c r="G49" s="17"/>
      <c r="H49" s="17"/>
      <c r="I49" s="17"/>
      <c r="J49" s="18"/>
      <c r="K49" s="18"/>
      <c r="L49" s="18"/>
    </row>
    <row r="50" spans="1:12" ht="24" customHeight="1">
      <c r="A50" s="21"/>
      <c r="B50" s="22"/>
      <c r="C50" s="16"/>
      <c r="D50" s="16"/>
      <c r="E50" s="16"/>
      <c r="F50" s="16"/>
      <c r="G50" s="17"/>
      <c r="H50" s="17"/>
      <c r="I50" s="17"/>
      <c r="J50" s="18"/>
      <c r="K50" s="18"/>
      <c r="L50" s="18"/>
    </row>
    <row r="51" spans="1:12" ht="24" customHeight="1">
      <c r="A51" s="21"/>
      <c r="B51" s="22"/>
      <c r="C51" s="16"/>
      <c r="D51" s="16"/>
      <c r="E51" s="16"/>
      <c r="F51" s="16"/>
      <c r="G51" s="17"/>
      <c r="H51" s="17"/>
      <c r="I51" s="17"/>
      <c r="J51" s="18"/>
      <c r="K51" s="18"/>
      <c r="L51" s="18"/>
    </row>
    <row r="52" spans="1:12" ht="24" customHeight="1">
      <c r="A52" s="21"/>
      <c r="B52" s="22"/>
      <c r="C52" s="16"/>
      <c r="D52" s="16"/>
      <c r="E52" s="16"/>
      <c r="F52" s="16"/>
      <c r="G52" s="17"/>
      <c r="H52" s="17"/>
      <c r="I52" s="17"/>
      <c r="J52" s="18"/>
      <c r="K52" s="18"/>
      <c r="L52" s="18"/>
    </row>
    <row r="53" spans="1:12" ht="24" customHeight="1">
      <c r="A53" s="21"/>
      <c r="B53" s="22"/>
      <c r="C53" s="16"/>
      <c r="D53" s="16"/>
      <c r="E53" s="16"/>
      <c r="F53" s="16"/>
      <c r="G53" s="17"/>
      <c r="H53" s="17"/>
      <c r="I53" s="17"/>
      <c r="J53" s="18"/>
      <c r="K53" s="18"/>
      <c r="L53" s="18"/>
    </row>
    <row r="54" spans="1:12" ht="24" customHeight="1">
      <c r="A54" s="21"/>
      <c r="B54" s="22"/>
      <c r="C54" s="16"/>
      <c r="D54" s="16"/>
      <c r="E54" s="16"/>
      <c r="F54" s="16"/>
      <c r="G54" s="17"/>
      <c r="H54" s="17"/>
      <c r="I54" s="17"/>
      <c r="J54" s="18"/>
      <c r="K54" s="18"/>
      <c r="L54" s="18"/>
    </row>
    <row r="55" spans="1:12" ht="24" customHeight="1">
      <c r="A55" s="21"/>
      <c r="B55" s="22"/>
      <c r="C55" s="16"/>
      <c r="D55" s="16"/>
      <c r="E55" s="16"/>
      <c r="F55" s="16"/>
      <c r="G55" s="17"/>
      <c r="H55" s="17"/>
      <c r="I55" s="17"/>
      <c r="J55" s="18"/>
      <c r="K55" s="18"/>
      <c r="L55" s="18"/>
    </row>
    <row r="56" spans="1:12" ht="24" customHeight="1">
      <c r="A56" s="21"/>
      <c r="B56" s="22"/>
      <c r="C56" s="16"/>
      <c r="D56" s="16"/>
      <c r="E56" s="16"/>
      <c r="F56" s="16"/>
      <c r="G56" s="17"/>
      <c r="H56" s="17"/>
      <c r="I56" s="17"/>
      <c r="J56" s="18"/>
      <c r="K56" s="18"/>
      <c r="L56" s="18"/>
    </row>
    <row r="57" spans="1:12" ht="24" customHeight="1">
      <c r="A57" s="21"/>
      <c r="B57" s="22"/>
      <c r="C57" s="16"/>
      <c r="D57" s="16"/>
      <c r="E57" s="16"/>
      <c r="F57" s="16"/>
      <c r="G57" s="17"/>
      <c r="H57" s="17"/>
      <c r="I57" s="17"/>
      <c r="J57" s="18"/>
      <c r="K57" s="18"/>
      <c r="L57" s="18"/>
    </row>
    <row r="58" spans="1:12" ht="24" customHeight="1">
      <c r="A58" s="21"/>
      <c r="B58" s="22"/>
      <c r="C58" s="16"/>
      <c r="D58" s="16"/>
      <c r="E58" s="16"/>
      <c r="F58" s="16"/>
      <c r="G58" s="17"/>
      <c r="H58" s="17"/>
      <c r="I58" s="17"/>
      <c r="J58" s="18"/>
      <c r="K58" s="18"/>
      <c r="L58" s="18"/>
    </row>
    <row r="59" spans="1:12" ht="24" customHeight="1">
      <c r="A59" s="21"/>
      <c r="B59" s="22"/>
      <c r="C59" s="16"/>
      <c r="D59" s="16"/>
      <c r="E59" s="16"/>
      <c r="F59" s="16"/>
      <c r="G59" s="17"/>
      <c r="H59" s="17"/>
      <c r="I59" s="17"/>
      <c r="J59" s="18"/>
      <c r="K59" s="18"/>
      <c r="L59" s="18"/>
    </row>
    <row r="60" spans="1:12" ht="24" customHeight="1">
      <c r="A60" s="21"/>
      <c r="B60" s="22"/>
      <c r="C60" s="16"/>
      <c r="D60" s="16"/>
      <c r="E60" s="16"/>
      <c r="F60" s="16"/>
      <c r="G60" s="17"/>
      <c r="H60" s="17"/>
      <c r="I60" s="17"/>
      <c r="J60" s="18"/>
      <c r="K60" s="18"/>
      <c r="L60" s="18"/>
    </row>
    <row r="61" spans="1:12" ht="24" customHeight="1">
      <c r="A61" s="21"/>
      <c r="B61" s="22"/>
      <c r="C61" s="16"/>
      <c r="D61" s="16"/>
      <c r="E61" s="16"/>
      <c r="F61" s="16"/>
      <c r="G61" s="17"/>
      <c r="H61" s="17"/>
      <c r="I61" s="17"/>
      <c r="J61" s="18"/>
      <c r="K61" s="18"/>
      <c r="L61" s="18"/>
    </row>
    <row r="62" spans="1:12" ht="24" customHeight="1">
      <c r="A62" s="21"/>
      <c r="B62" s="22"/>
      <c r="C62" s="16"/>
      <c r="D62" s="16"/>
      <c r="E62" s="16"/>
      <c r="F62" s="16"/>
      <c r="G62" s="17"/>
      <c r="H62" s="17"/>
      <c r="I62" s="17"/>
      <c r="J62" s="18"/>
      <c r="K62" s="18"/>
      <c r="L62" s="18"/>
    </row>
    <row r="63" spans="1:12" ht="24" customHeight="1">
      <c r="A63" s="21"/>
      <c r="B63" s="22"/>
      <c r="C63" s="16"/>
      <c r="D63" s="16"/>
      <c r="E63" s="16"/>
      <c r="F63" s="16"/>
      <c r="G63" s="17"/>
      <c r="H63" s="17"/>
      <c r="I63" s="17"/>
      <c r="J63" s="18"/>
      <c r="K63" s="18"/>
      <c r="L63" s="18"/>
    </row>
    <row r="64" spans="1:12" ht="24" customHeight="1">
      <c r="A64" s="21"/>
      <c r="B64" s="22"/>
      <c r="C64" s="16"/>
      <c r="D64" s="16"/>
      <c r="E64" s="16"/>
      <c r="F64" s="16"/>
      <c r="G64" s="17"/>
      <c r="H64" s="17"/>
      <c r="I64" s="17"/>
      <c r="J64" s="18"/>
      <c r="K64" s="18"/>
      <c r="L64" s="18"/>
    </row>
    <row r="65" spans="1:12" ht="24" customHeight="1">
      <c r="A65" s="21"/>
      <c r="B65" s="22"/>
      <c r="C65" s="16"/>
      <c r="D65" s="16"/>
      <c r="E65" s="16"/>
      <c r="F65" s="16"/>
      <c r="G65" s="17"/>
      <c r="H65" s="17"/>
      <c r="I65" s="17"/>
      <c r="J65" s="18"/>
      <c r="K65" s="18"/>
      <c r="L65" s="18"/>
    </row>
    <row r="66" spans="1:12" ht="24" customHeight="1">
      <c r="A66" s="21"/>
      <c r="B66" s="22"/>
      <c r="C66" s="16"/>
      <c r="D66" s="16"/>
      <c r="E66" s="16"/>
      <c r="F66" s="16"/>
      <c r="G66" s="17"/>
      <c r="H66" s="17"/>
      <c r="I66" s="17"/>
      <c r="J66" s="18"/>
      <c r="K66" s="18"/>
      <c r="L66" s="18"/>
    </row>
    <row r="67" spans="1:12" ht="24" customHeight="1">
      <c r="A67" s="21"/>
      <c r="B67" s="22"/>
      <c r="C67" s="16"/>
      <c r="D67" s="16"/>
      <c r="E67" s="16"/>
      <c r="F67" s="16"/>
      <c r="G67" s="17"/>
      <c r="H67" s="17"/>
      <c r="I67" s="17"/>
      <c r="J67" s="18"/>
      <c r="K67" s="18"/>
      <c r="L67" s="18"/>
    </row>
    <row r="68" spans="1:12" ht="24" customHeight="1">
      <c r="A68" s="21"/>
      <c r="B68" s="22"/>
      <c r="C68" s="16"/>
      <c r="D68" s="16"/>
      <c r="E68" s="16"/>
      <c r="F68" s="16"/>
      <c r="G68" s="17"/>
      <c r="H68" s="17"/>
      <c r="I68" s="17"/>
      <c r="J68" s="18"/>
      <c r="K68" s="18"/>
      <c r="L68" s="18"/>
    </row>
    <row r="69" spans="1:12" ht="24" customHeight="1">
      <c r="A69" s="21"/>
      <c r="B69" s="22"/>
      <c r="C69" s="16"/>
      <c r="D69" s="16"/>
      <c r="E69" s="16"/>
      <c r="F69" s="16"/>
      <c r="G69" s="17"/>
      <c r="H69" s="17"/>
      <c r="I69" s="17"/>
      <c r="J69" s="18"/>
      <c r="K69" s="18"/>
      <c r="L69" s="18"/>
    </row>
    <row r="70" spans="1:12" ht="24" customHeight="1">
      <c r="A70" s="21"/>
      <c r="B70" s="22"/>
      <c r="C70" s="16"/>
      <c r="D70" s="16"/>
      <c r="E70" s="16"/>
      <c r="F70" s="16"/>
      <c r="G70" s="17"/>
      <c r="H70" s="17"/>
      <c r="I70" s="17"/>
      <c r="J70" s="18"/>
      <c r="K70" s="18"/>
      <c r="L70" s="18"/>
    </row>
    <row r="71" spans="1:12" ht="24" customHeight="1">
      <c r="A71" s="21"/>
      <c r="B71" s="22"/>
      <c r="C71" s="16"/>
      <c r="D71" s="16"/>
      <c r="E71" s="16"/>
      <c r="F71" s="16"/>
      <c r="G71" s="17"/>
      <c r="H71" s="17"/>
      <c r="I71" s="17"/>
      <c r="J71" s="18"/>
      <c r="K71" s="18"/>
      <c r="L71" s="18"/>
    </row>
    <row r="72" spans="1:12" ht="24" customHeight="1">
      <c r="A72" s="21"/>
      <c r="B72" s="22"/>
      <c r="C72" s="16"/>
      <c r="D72" s="16"/>
      <c r="E72" s="16"/>
      <c r="F72" s="16"/>
      <c r="G72" s="17"/>
      <c r="H72" s="17"/>
      <c r="I72" s="17"/>
      <c r="J72" s="18"/>
      <c r="K72" s="18"/>
      <c r="L72" s="18"/>
    </row>
    <row r="73" spans="1:12" ht="24" customHeight="1">
      <c r="A73" s="21"/>
      <c r="B73" s="22"/>
      <c r="C73" s="16"/>
      <c r="D73" s="16"/>
      <c r="E73" s="16"/>
      <c r="F73" s="16"/>
      <c r="G73" s="17"/>
      <c r="H73" s="17"/>
      <c r="I73" s="17"/>
      <c r="J73" s="18"/>
      <c r="K73" s="18"/>
      <c r="L73" s="18"/>
    </row>
    <row r="74" spans="1:12" ht="24" customHeight="1">
      <c r="A74" s="21"/>
      <c r="B74" s="22"/>
      <c r="C74" s="16"/>
      <c r="D74" s="16"/>
      <c r="E74" s="16"/>
      <c r="F74" s="16"/>
      <c r="G74" s="17"/>
      <c r="H74" s="17"/>
      <c r="I74" s="17"/>
      <c r="J74" s="18"/>
      <c r="K74" s="18"/>
      <c r="L74" s="18"/>
    </row>
    <row r="75" spans="1:12" ht="24" customHeight="1">
      <c r="A75" s="21"/>
      <c r="B75" s="22"/>
      <c r="C75" s="16"/>
      <c r="D75" s="16"/>
      <c r="E75" s="16"/>
      <c r="F75" s="16"/>
      <c r="G75" s="17"/>
      <c r="H75" s="17"/>
      <c r="I75" s="17"/>
      <c r="J75" s="18"/>
      <c r="K75" s="18"/>
      <c r="L75" s="18"/>
    </row>
    <row r="76" spans="1:12" ht="24" customHeight="1">
      <c r="A76" s="21"/>
      <c r="B76" s="22"/>
      <c r="C76" s="16"/>
      <c r="D76" s="16"/>
      <c r="E76" s="16"/>
      <c r="F76" s="16"/>
      <c r="G76" s="17"/>
      <c r="H76" s="17"/>
      <c r="I76" s="17"/>
      <c r="J76" s="18"/>
      <c r="K76" s="18"/>
      <c r="L76" s="18"/>
    </row>
    <row r="77" spans="1:12" ht="24" customHeight="1">
      <c r="A77" s="21"/>
      <c r="B77" s="22"/>
      <c r="C77" s="16"/>
      <c r="D77" s="16"/>
      <c r="E77" s="16"/>
      <c r="F77" s="16"/>
      <c r="G77" s="17"/>
      <c r="H77" s="17"/>
      <c r="I77" s="17"/>
      <c r="J77" s="18"/>
      <c r="K77" s="18"/>
      <c r="L77" s="18"/>
    </row>
    <row r="78" spans="1:12" ht="24" customHeight="1">
      <c r="A78" s="21"/>
      <c r="B78" s="22"/>
      <c r="C78" s="16"/>
      <c r="D78" s="16"/>
      <c r="E78" s="16"/>
      <c r="F78" s="16"/>
      <c r="G78" s="17"/>
      <c r="H78" s="17"/>
      <c r="I78" s="17"/>
      <c r="J78" s="18"/>
      <c r="K78" s="18"/>
      <c r="L78" s="18"/>
    </row>
    <row r="79" spans="1:12" ht="24" customHeight="1">
      <c r="A79" s="21"/>
      <c r="B79" s="22"/>
      <c r="C79" s="16"/>
      <c r="D79" s="16"/>
      <c r="E79" s="16"/>
      <c r="F79" s="16"/>
      <c r="G79" s="17"/>
      <c r="H79" s="17"/>
      <c r="I79" s="17"/>
      <c r="J79" s="18"/>
      <c r="K79" s="18"/>
      <c r="L79" s="18"/>
    </row>
    <row r="80" spans="1:12" ht="24" customHeight="1">
      <c r="A80" s="21"/>
      <c r="B80" s="22"/>
      <c r="C80" s="16"/>
      <c r="D80" s="16"/>
      <c r="E80" s="16"/>
      <c r="F80" s="16"/>
      <c r="G80" s="17"/>
      <c r="H80" s="17"/>
      <c r="I80" s="17"/>
      <c r="J80" s="18"/>
      <c r="K80" s="18"/>
      <c r="L80" s="18"/>
    </row>
    <row r="81" spans="1:12" ht="24" customHeight="1">
      <c r="A81" s="21"/>
      <c r="B81" s="22"/>
      <c r="C81" s="16"/>
      <c r="D81" s="16"/>
      <c r="E81" s="16"/>
      <c r="F81" s="16"/>
      <c r="G81" s="17"/>
      <c r="H81" s="17"/>
      <c r="I81" s="17"/>
      <c r="J81" s="18"/>
      <c r="K81" s="18"/>
      <c r="L81" s="18"/>
    </row>
    <row r="82" spans="1:12" ht="24" customHeight="1">
      <c r="A82" s="21"/>
      <c r="B82" s="22"/>
      <c r="C82" s="16"/>
      <c r="D82" s="16"/>
      <c r="E82" s="16"/>
      <c r="F82" s="16"/>
      <c r="G82" s="17"/>
      <c r="H82" s="17"/>
      <c r="I82" s="17"/>
      <c r="J82" s="18"/>
      <c r="K82" s="18"/>
      <c r="L82" s="18"/>
    </row>
    <row r="83" spans="1:12" ht="24" customHeight="1">
      <c r="A83" s="21"/>
      <c r="B83" s="22"/>
      <c r="C83" s="16"/>
      <c r="D83" s="16"/>
      <c r="E83" s="16"/>
      <c r="F83" s="16"/>
      <c r="G83" s="17"/>
      <c r="H83" s="17"/>
      <c r="I83" s="17"/>
      <c r="J83" s="18"/>
      <c r="K83" s="18"/>
      <c r="L83" s="18"/>
    </row>
    <row r="84" spans="1:12" ht="24" customHeight="1">
      <c r="A84" s="21"/>
      <c r="B84" s="22"/>
      <c r="C84" s="16"/>
      <c r="D84" s="16"/>
      <c r="E84" s="16"/>
      <c r="F84" s="16"/>
      <c r="G84" s="17"/>
      <c r="H84" s="17"/>
      <c r="I84" s="17"/>
      <c r="J84" s="18"/>
      <c r="K84" s="18"/>
      <c r="L84" s="18"/>
    </row>
    <row r="85" spans="1:12" ht="24" customHeight="1">
      <c r="A85" s="21"/>
      <c r="B85" s="22"/>
      <c r="C85" s="16"/>
      <c r="D85" s="16"/>
      <c r="E85" s="16"/>
      <c r="F85" s="16"/>
      <c r="G85" s="17"/>
      <c r="H85" s="17"/>
      <c r="I85" s="17"/>
      <c r="J85" s="18"/>
      <c r="K85" s="18"/>
      <c r="L85" s="18"/>
    </row>
    <row r="86" spans="1:12" ht="24" customHeight="1">
      <c r="A86" s="21"/>
      <c r="B86" s="22"/>
      <c r="C86" s="16"/>
      <c r="D86" s="16"/>
      <c r="E86" s="16"/>
      <c r="F86" s="16"/>
      <c r="G86" s="17"/>
      <c r="H86" s="17"/>
      <c r="I86" s="17"/>
      <c r="J86" s="18"/>
      <c r="K86" s="18"/>
      <c r="L86" s="18"/>
    </row>
    <row r="87" spans="1:12" ht="24" customHeight="1">
      <c r="A87" s="21"/>
      <c r="B87" s="22"/>
      <c r="C87" s="16"/>
      <c r="D87" s="16"/>
      <c r="E87" s="16"/>
      <c r="F87" s="16"/>
      <c r="G87" s="17"/>
      <c r="H87" s="17"/>
      <c r="I87" s="17"/>
      <c r="J87" s="18"/>
      <c r="K87" s="18"/>
      <c r="L87" s="18"/>
    </row>
    <row r="88" spans="1:12" ht="24" customHeight="1">
      <c r="A88" s="21"/>
      <c r="B88" s="22"/>
      <c r="C88" s="16"/>
      <c r="D88" s="16"/>
      <c r="E88" s="16"/>
      <c r="F88" s="16"/>
      <c r="G88" s="17"/>
      <c r="H88" s="17"/>
      <c r="I88" s="17"/>
      <c r="J88" s="18"/>
      <c r="K88" s="18"/>
      <c r="L88" s="18"/>
    </row>
    <row r="89" spans="1:12" ht="24" customHeight="1">
      <c r="A89" s="21"/>
      <c r="B89" s="22"/>
      <c r="C89" s="16"/>
      <c r="D89" s="16"/>
      <c r="E89" s="16"/>
      <c r="F89" s="16"/>
      <c r="G89" s="17"/>
      <c r="H89" s="17"/>
      <c r="I89" s="17"/>
      <c r="J89" s="18"/>
      <c r="K89" s="18"/>
      <c r="L89" s="18"/>
    </row>
    <row r="90" spans="1:12" ht="24" customHeight="1">
      <c r="A90" s="21"/>
      <c r="B90" s="22"/>
      <c r="C90" s="16"/>
      <c r="D90" s="16"/>
      <c r="E90" s="16"/>
      <c r="F90" s="16"/>
      <c r="G90" s="17"/>
      <c r="H90" s="17"/>
      <c r="I90" s="17"/>
      <c r="J90" s="18"/>
      <c r="K90" s="18"/>
      <c r="L90" s="18"/>
    </row>
    <row r="91" spans="1:12" ht="24" customHeight="1">
      <c r="A91" s="21"/>
      <c r="B91" s="22"/>
      <c r="C91" s="16"/>
      <c r="D91" s="16"/>
      <c r="E91" s="16"/>
      <c r="F91" s="16"/>
      <c r="G91" s="17"/>
      <c r="H91" s="17"/>
      <c r="I91" s="17"/>
      <c r="J91" s="18"/>
      <c r="K91" s="18"/>
      <c r="L91" s="18"/>
    </row>
    <row r="92" spans="1:12" ht="24" customHeight="1">
      <c r="A92" s="21"/>
      <c r="B92" s="22"/>
      <c r="C92" s="16"/>
      <c r="D92" s="16"/>
      <c r="E92" s="16"/>
      <c r="F92" s="16"/>
      <c r="G92" s="17"/>
      <c r="H92" s="17"/>
      <c r="I92" s="17"/>
      <c r="J92" s="18"/>
      <c r="K92" s="18"/>
      <c r="L92" s="18"/>
    </row>
    <row r="93" spans="1:12" ht="24" customHeight="1">
      <c r="A93" s="21"/>
      <c r="B93" s="22"/>
      <c r="C93" s="16"/>
      <c r="D93" s="16"/>
      <c r="E93" s="16"/>
      <c r="F93" s="16"/>
      <c r="G93" s="17"/>
      <c r="H93" s="17"/>
      <c r="I93" s="17"/>
      <c r="J93" s="18"/>
      <c r="K93" s="18"/>
      <c r="L93" s="18"/>
    </row>
    <row r="94" spans="1:12" ht="24" customHeight="1">
      <c r="A94" s="21"/>
      <c r="B94" s="22"/>
      <c r="C94" s="16"/>
      <c r="D94" s="16"/>
      <c r="E94" s="16"/>
      <c r="F94" s="16"/>
      <c r="G94" s="17"/>
      <c r="H94" s="17"/>
      <c r="I94" s="17"/>
      <c r="J94" s="18"/>
      <c r="K94" s="18"/>
      <c r="L94" s="18"/>
    </row>
    <row r="95" spans="1:12" ht="24" customHeight="1">
      <c r="A95" s="21"/>
      <c r="B95" s="22"/>
      <c r="C95" s="16"/>
      <c r="D95" s="16"/>
      <c r="E95" s="16"/>
      <c r="F95" s="16"/>
      <c r="G95" s="17"/>
      <c r="H95" s="17"/>
      <c r="I95" s="17"/>
      <c r="J95" s="18"/>
      <c r="K95" s="18"/>
      <c r="L95" s="18"/>
    </row>
    <row r="96" spans="1:12" ht="24" customHeight="1">
      <c r="A96" s="21"/>
      <c r="B96" s="22"/>
      <c r="C96" s="16"/>
      <c r="D96" s="16"/>
      <c r="E96" s="16"/>
      <c r="F96" s="16"/>
      <c r="G96" s="17"/>
      <c r="H96" s="17"/>
      <c r="I96" s="17"/>
      <c r="J96" s="18"/>
      <c r="K96" s="18"/>
      <c r="L96" s="18"/>
    </row>
    <row r="97" spans="1:12" ht="24" customHeight="1">
      <c r="A97" s="21"/>
      <c r="B97" s="22"/>
      <c r="C97" s="16"/>
      <c r="D97" s="16"/>
      <c r="E97" s="16"/>
      <c r="F97" s="16"/>
      <c r="G97" s="17"/>
      <c r="H97" s="17"/>
      <c r="I97" s="17"/>
      <c r="J97" s="18"/>
      <c r="K97" s="18"/>
      <c r="L97" s="18"/>
    </row>
    <row r="98" spans="1:12" ht="24" customHeight="1">
      <c r="A98" s="21"/>
      <c r="B98" s="22"/>
      <c r="C98" s="16"/>
      <c r="D98" s="16"/>
      <c r="E98" s="16"/>
      <c r="F98" s="16"/>
      <c r="G98" s="17"/>
      <c r="H98" s="17"/>
      <c r="I98" s="17"/>
      <c r="J98" s="18"/>
      <c r="K98" s="18"/>
      <c r="L98" s="18"/>
    </row>
    <row r="99" spans="1:12" ht="24" customHeight="1">
      <c r="A99" s="21"/>
      <c r="B99" s="22"/>
      <c r="C99" s="16"/>
      <c r="D99" s="16"/>
      <c r="E99" s="16"/>
      <c r="F99" s="16"/>
      <c r="G99" s="17"/>
      <c r="H99" s="17"/>
      <c r="I99" s="17"/>
      <c r="J99" s="18"/>
      <c r="K99" s="18"/>
      <c r="L99" s="18"/>
    </row>
    <row r="100" spans="1:12" ht="24" customHeight="1">
      <c r="A100" s="21"/>
      <c r="B100" s="22"/>
      <c r="C100" s="16"/>
      <c r="D100" s="16"/>
      <c r="E100" s="16"/>
      <c r="F100" s="16"/>
      <c r="G100" s="17"/>
      <c r="H100" s="17"/>
      <c r="I100" s="17"/>
      <c r="J100" s="18"/>
      <c r="K100" s="18"/>
      <c r="L100" s="18"/>
    </row>
    <row r="101" spans="1:12" ht="24" customHeight="1">
      <c r="A101" s="21"/>
      <c r="B101" s="22"/>
      <c r="C101" s="16"/>
      <c r="D101" s="16"/>
      <c r="E101" s="16"/>
      <c r="F101" s="16"/>
      <c r="G101" s="17"/>
      <c r="H101" s="17"/>
      <c r="I101" s="17"/>
      <c r="J101" s="18"/>
      <c r="K101" s="18"/>
      <c r="L101" s="18"/>
    </row>
    <row r="102" spans="1:12" ht="24" customHeight="1">
      <c r="A102" s="21"/>
      <c r="B102" s="22"/>
      <c r="C102" s="16"/>
      <c r="D102" s="16"/>
      <c r="E102" s="16"/>
      <c r="F102" s="16"/>
      <c r="G102" s="17"/>
      <c r="H102" s="17"/>
      <c r="I102" s="17"/>
      <c r="J102" s="18"/>
      <c r="K102" s="18"/>
      <c r="L102" s="18"/>
    </row>
    <row r="103" spans="1:12" ht="24" customHeight="1">
      <c r="A103" s="21"/>
      <c r="B103" s="22"/>
      <c r="C103" s="16"/>
      <c r="D103" s="16"/>
      <c r="E103" s="16"/>
      <c r="F103" s="16"/>
      <c r="G103" s="17"/>
      <c r="H103" s="17"/>
      <c r="I103" s="17"/>
      <c r="J103" s="18"/>
      <c r="K103" s="18"/>
      <c r="L103" s="18"/>
    </row>
    <row r="104" spans="1:12" ht="24" customHeight="1">
      <c r="A104" s="21"/>
      <c r="B104" s="22"/>
      <c r="C104" s="16"/>
      <c r="D104" s="16"/>
      <c r="E104" s="16"/>
      <c r="F104" s="16"/>
      <c r="G104" s="17"/>
      <c r="H104" s="17"/>
      <c r="I104" s="17"/>
      <c r="J104" s="18"/>
      <c r="K104" s="18"/>
      <c r="L104" s="18"/>
    </row>
    <row r="105" spans="1:12" ht="24" customHeight="1">
      <c r="A105" s="21"/>
      <c r="B105" s="22"/>
      <c r="C105" s="16"/>
      <c r="D105" s="16"/>
      <c r="E105" s="16"/>
      <c r="F105" s="16"/>
      <c r="G105" s="17"/>
      <c r="H105" s="17"/>
      <c r="I105" s="17"/>
      <c r="J105" s="18"/>
      <c r="K105" s="18"/>
      <c r="L105" s="18"/>
    </row>
    <row r="106" spans="1:12" ht="24" customHeight="1">
      <c r="A106" s="21"/>
      <c r="B106" s="22"/>
      <c r="C106" s="16"/>
      <c r="D106" s="16"/>
      <c r="E106" s="16"/>
      <c r="F106" s="16"/>
      <c r="G106" s="17"/>
      <c r="H106" s="17"/>
      <c r="I106" s="17"/>
      <c r="J106" s="18"/>
      <c r="K106" s="18"/>
      <c r="L106" s="18"/>
    </row>
    <row r="107" spans="1:12" ht="24" customHeight="1">
      <c r="A107" s="21"/>
      <c r="B107" s="22"/>
      <c r="C107" s="16"/>
      <c r="D107" s="16"/>
      <c r="E107" s="16"/>
      <c r="F107" s="16"/>
      <c r="G107" s="17"/>
      <c r="H107" s="17"/>
      <c r="I107" s="17"/>
      <c r="J107" s="18"/>
      <c r="K107" s="18"/>
      <c r="L107" s="18"/>
    </row>
    <row r="108" spans="1:12" ht="24" customHeight="1">
      <c r="A108" s="21"/>
      <c r="B108" s="22"/>
      <c r="C108" s="16"/>
      <c r="D108" s="16"/>
      <c r="E108" s="16"/>
      <c r="F108" s="16"/>
      <c r="G108" s="17"/>
      <c r="H108" s="17"/>
      <c r="I108" s="17"/>
      <c r="J108" s="18"/>
      <c r="K108" s="18"/>
      <c r="L108" s="18"/>
    </row>
    <row r="109" spans="1:12" ht="24" customHeight="1">
      <c r="A109" s="21"/>
      <c r="B109" s="22"/>
      <c r="C109" s="16"/>
      <c r="D109" s="16"/>
      <c r="E109" s="16"/>
      <c r="F109" s="16"/>
      <c r="G109" s="17"/>
      <c r="H109" s="17"/>
      <c r="I109" s="17"/>
      <c r="J109" s="18"/>
      <c r="K109" s="18"/>
      <c r="L109" s="18"/>
    </row>
    <row r="110" spans="1:12" ht="24" customHeight="1">
      <c r="A110" s="23"/>
      <c r="B110" s="24"/>
      <c r="C110" s="25"/>
      <c r="D110" s="25"/>
      <c r="E110" s="25"/>
      <c r="F110" s="25"/>
      <c r="G110" s="26"/>
      <c r="H110" s="26"/>
      <c r="I110" s="26"/>
      <c r="J110" s="27"/>
      <c r="K110" s="27"/>
      <c r="L110" s="27"/>
    </row>
    <row r="113" spans="1:4">
      <c r="A113" s="85" t="s">
        <v>65</v>
      </c>
      <c r="B113" s="85"/>
      <c r="C113" s="85"/>
      <c r="D113" s="85"/>
    </row>
    <row r="114" spans="1:4">
      <c r="A114" s="28" t="s">
        <v>66</v>
      </c>
      <c r="B114" s="28" t="s">
        <v>67</v>
      </c>
      <c r="C114" s="28" t="s">
        <v>68</v>
      </c>
      <c r="D114" s="28" t="s">
        <v>69</v>
      </c>
    </row>
    <row r="115" spans="1:4">
      <c r="A115" s="29"/>
      <c r="B115" s="29"/>
      <c r="C115" s="29"/>
      <c r="D115" s="30"/>
    </row>
    <row r="116" spans="1:4">
      <c r="A116" s="29"/>
      <c r="B116" s="29"/>
      <c r="C116" s="29"/>
      <c r="D116" s="30"/>
    </row>
    <row r="117" spans="1:4">
      <c r="A117" s="29"/>
      <c r="B117" s="29"/>
      <c r="C117" s="29"/>
      <c r="D117" s="30"/>
    </row>
    <row r="118" spans="1:4">
      <c r="A118" s="29"/>
      <c r="B118" s="29"/>
      <c r="C118" s="29"/>
      <c r="D118" s="30"/>
    </row>
    <row r="119" spans="1:4">
      <c r="A119" s="29"/>
      <c r="B119" s="29"/>
      <c r="C119" s="29"/>
      <c r="D119" s="30"/>
    </row>
  </sheetData>
  <mergeCells count="24">
    <mergeCell ref="N2:R2"/>
    <mergeCell ref="A9:L9"/>
    <mergeCell ref="A113:D113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83" priority="1" operator="greaterThan">
      <formula>0</formula>
    </cfRule>
  </conditionalFormatting>
  <conditionalFormatting sqref="B8">
    <cfRule type="cellIs" dxfId="82" priority="2" operator="greaterThan">
      <formula>0</formula>
    </cfRule>
  </conditionalFormatting>
  <conditionalFormatting sqref="B9">
    <cfRule type="cellIs" dxfId="81" priority="3" operator="greaterThan">
      <formula>0</formula>
    </cfRule>
  </conditionalFormatting>
  <conditionalFormatting sqref="E11:E17">
    <cfRule type="expression" dxfId="80" priority="10">
      <formula>E11="Scheduled"</formula>
    </cfRule>
    <cfRule type="expression" dxfId="79" priority="11">
      <formula>E11="Sent"</formula>
    </cfRule>
    <cfRule type="expression" dxfId="78" priority="12">
      <formula>E11="Blocked"</formula>
    </cfRule>
  </conditionalFormatting>
  <conditionalFormatting sqref="G11:G17">
    <cfRule type="expression" dxfId="77" priority="4">
      <formula>G11="Critical"</formula>
    </cfRule>
    <cfRule type="expression" dxfId="76" priority="5">
      <formula>G11="High Risk"</formula>
    </cfRule>
    <cfRule type="expression" dxfId="75" priority="6">
      <formula>G11="At Risk"</formula>
    </cfRule>
    <cfRule type="expression" dxfId="74" priority="7">
      <formula>G11="Blocked"</formula>
    </cfRule>
    <cfRule type="expression" dxfId="73" priority="8">
      <formula>G11="Ready"</formula>
    </cfRule>
    <cfRule type="expression" dxfId="72" priority="9">
      <formula>G11="Complete"</formula>
    </cfRule>
  </conditionalFormatting>
  <hyperlinks>
    <hyperlink ref="A7" location="'January Calendar'!A1" display="Jan" xr:uid="{A300A5D6-CBD3-4CA4-BB9E-63C3D2D68147}"/>
    <hyperlink ref="B7" location="'February Calendar'!A1" display="Feb" xr:uid="{1E463672-B721-4F32-A389-98ECB510BD4A}"/>
    <hyperlink ref="C7" location="'March Calendar'!A1" display="Mar" xr:uid="{AE04B22E-EBF2-413D-8AE6-DF251B6E83AC}"/>
    <hyperlink ref="D7" location="'April Calendar'!A1" display="Apr" xr:uid="{57152DE2-B553-4FFD-9538-A386DCFAE92E}"/>
    <hyperlink ref="E7" location="'May Calendar'!A1" display="May" xr:uid="{02FE3258-6EFA-4D77-BA1E-1D7D6B5EAA6F}"/>
    <hyperlink ref="F7" location="'June Calendar'!A1" display="Jun" xr:uid="{85C9BECE-3EB7-40AB-BC20-22F539762133}"/>
    <hyperlink ref="G7" location="'July Calendar'!A1" display="Jul" xr:uid="{8232A194-0F39-48A5-808B-F005AA229D1F}"/>
    <hyperlink ref="H7" location="'August Calendar'!A1" display="Aug" xr:uid="{94A8B696-B06F-4BA0-A8FA-8448393C6AE7}"/>
    <hyperlink ref="I7" location="'September Calendar'!A1" display="Sep" xr:uid="{824A7AD7-D17A-4999-9D80-3BB9D0A25DFD}"/>
    <hyperlink ref="J7" location="'October Calendar'!A1" display="Oct" xr:uid="{5F61F252-7611-4359-A2DA-7AC1204DB874}"/>
    <hyperlink ref="K7" location="'November Calendar'!A1" display="Nov" xr:uid="{80A48305-99B3-45C3-8A6B-21B732EE5387}"/>
    <hyperlink ref="L7" location="'December Calendar'!A1" display="Dec" xr:uid="{832C243A-5F9D-4FB4-AFE5-FD1EE398B456}"/>
    <hyperlink ref="J11" r:id="rId1" xr:uid="{15BEB198-E838-44BD-875C-145678EB5C6F}"/>
    <hyperlink ref="K11" r:id="rId2" xr:uid="{07B8AD2C-B3B5-48C1-ACA5-1EF03AAF06AF}"/>
    <hyperlink ref="L11" r:id="rId3" xr:uid="{CE2BE31F-CC63-486A-AD8D-6E302F25ACDB}"/>
    <hyperlink ref="J12" r:id="rId4" xr:uid="{56741B38-BC12-4061-8D44-61AF2F20487A}"/>
    <hyperlink ref="K12" r:id="rId5" xr:uid="{96CCC192-E854-453E-86CD-346C8013139B}"/>
    <hyperlink ref="L12" r:id="rId6" xr:uid="{2EDE11C3-A3BA-4232-B154-E11BE148882E}"/>
    <hyperlink ref="J13" r:id="rId7" xr:uid="{46DC32DD-6E91-41EA-A833-60FD026D78D5}"/>
    <hyperlink ref="J14" r:id="rId8" xr:uid="{104A715E-AF73-4042-81CC-6D25B222237D}"/>
    <hyperlink ref="J15" r:id="rId9" xr:uid="{29D7DA65-2660-4ADD-A3E6-08BB2DA335B2}"/>
    <hyperlink ref="K15" r:id="rId10" xr:uid="{BB3DE350-334E-466D-8AE3-4DF91B1A3D53}"/>
    <hyperlink ref="L15" r:id="rId11" xr:uid="{5549780E-4698-46FC-89B2-9017827E7B55}"/>
    <hyperlink ref="J16" r:id="rId12" xr:uid="{A484B0F8-6389-47DE-B0AD-FAB077DCB902}"/>
    <hyperlink ref="J17" r:id="rId13" xr:uid="{C1617584-462C-407C-BDCB-46A04A0F2EBB}"/>
  </hyperlinks>
  <pageMargins left="0.7" right="0.7" top="0.75" bottom="0.75" header="0.3" footer="0.3"/>
  <tableParts count="2"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U201"/>
  <sheetViews>
    <sheetView showGridLines="0" zoomScale="85" zoomScaleNormal="85" workbookViewId="0">
      <pane activePane="bottomRight" state="frozen"/>
      <selection activeCell="A2" sqref="A2"/>
    </sheetView>
  </sheetViews>
  <sheetFormatPr defaultRowHeight="15"/>
  <cols>
    <col min="1" max="1" width="12.625" style="4" customWidth="1"/>
    <col min="2" max="2" width="11.625" style="4" customWidth="1"/>
    <col min="3" max="3" width="34.625" style="4" customWidth="1"/>
    <col min="4" max="4" width="14.625" style="4" customWidth="1"/>
    <col min="5" max="5" width="20.625" style="4" customWidth="1"/>
    <col min="6" max="6" width="16.625" style="4" customWidth="1"/>
    <col min="7" max="7" width="22.625" style="4" customWidth="1"/>
    <col min="8" max="8" width="20.625" style="4" customWidth="1"/>
    <col min="9" max="9" width="12.625" style="4" customWidth="1"/>
    <col min="10" max="11" width="13.625" style="4" customWidth="1"/>
    <col min="12" max="12" width="12.625" style="4" customWidth="1"/>
    <col min="13" max="14" width="13.625" style="4" customWidth="1"/>
    <col min="15" max="18" width="14.625" style="4" customWidth="1"/>
    <col min="19" max="19" width="12.625" style="4" customWidth="1"/>
    <col min="20" max="20" width="20.625" style="4" customWidth="1"/>
    <col min="21" max="21" width="18.625" style="4" customWidth="1"/>
    <col min="22" max="22" width="13" style="4" customWidth="1"/>
    <col min="23" max="23" width="19" style="4" customWidth="1"/>
    <col min="24" max="16384" width="9" style="4"/>
  </cols>
  <sheetData>
    <row r="1" spans="1:21" s="32" customFormat="1" ht="42" customHeight="1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105</v>
      </c>
      <c r="H1" s="31" t="s">
        <v>106</v>
      </c>
      <c r="I1" s="31" t="s">
        <v>107</v>
      </c>
      <c r="J1" s="31" t="s">
        <v>108</v>
      </c>
      <c r="K1" s="31" t="s">
        <v>109</v>
      </c>
      <c r="L1" s="31" t="s">
        <v>110</v>
      </c>
      <c r="M1" s="31" t="s">
        <v>111</v>
      </c>
      <c r="N1" s="31" t="s">
        <v>112</v>
      </c>
      <c r="O1" s="31" t="s">
        <v>6</v>
      </c>
      <c r="P1" s="31" t="s">
        <v>7</v>
      </c>
      <c r="Q1" s="31" t="s">
        <v>8</v>
      </c>
      <c r="R1" s="31" t="s">
        <v>9</v>
      </c>
      <c r="S1" s="31" t="s">
        <v>10</v>
      </c>
      <c r="T1" s="31" t="s">
        <v>12</v>
      </c>
      <c r="U1" s="31" t="s">
        <v>170</v>
      </c>
    </row>
    <row r="2" spans="1:21" ht="45">
      <c r="A2" s="21">
        <v>46179</v>
      </c>
      <c r="B2" s="22" t="s">
        <v>13</v>
      </c>
      <c r="C2" s="16" t="s">
        <v>14</v>
      </c>
      <c r="D2" s="16" t="s">
        <v>15</v>
      </c>
      <c r="E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Scheduled</v>
      </c>
      <c r="F2" s="33" t="s">
        <v>16</v>
      </c>
      <c r="G2" s="99" t="b">
        <v>1</v>
      </c>
      <c r="H2" s="99" t="b">
        <v>1</v>
      </c>
      <c r="I2" s="99" t="b">
        <v>1</v>
      </c>
      <c r="J2" s="99" t="b">
        <v>1</v>
      </c>
      <c r="K2" s="99" t="b">
        <v>1</v>
      </c>
      <c r="L2" s="99" t="b">
        <v>1</v>
      </c>
      <c r="M2" s="99" t="b">
        <v>1</v>
      </c>
      <c r="N2" s="99" t="b">
        <v>1</v>
      </c>
      <c r="O2" s="16" t="s">
        <v>23</v>
      </c>
      <c r="P2" s="16" t="s">
        <v>24</v>
      </c>
      <c r="Q2" s="16" t="s">
        <v>25</v>
      </c>
      <c r="R2" s="34">
        <v>125000</v>
      </c>
      <c r="S2" s="34"/>
      <c r="T2" s="35">
        <v>46180.08634976852</v>
      </c>
      <c r="U2" s="33"/>
    </row>
    <row r="3" spans="1:21" ht="45">
      <c r="A3" s="21">
        <v>46180</v>
      </c>
      <c r="B3" s="22" t="s">
        <v>26</v>
      </c>
      <c r="C3" s="16" t="s">
        <v>27</v>
      </c>
      <c r="D3" s="16" t="s">
        <v>28</v>
      </c>
      <c r="E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3" s="33" t="s">
        <v>29</v>
      </c>
      <c r="G3" s="99" t="b">
        <v>0</v>
      </c>
      <c r="H3" s="99" t="b">
        <v>0</v>
      </c>
      <c r="I3" s="99" t="b">
        <v>0</v>
      </c>
      <c r="J3" s="99" t="b">
        <v>0</v>
      </c>
      <c r="K3" s="99" t="b">
        <v>0</v>
      </c>
      <c r="L3" s="99" t="b">
        <v>0</v>
      </c>
      <c r="M3" s="99" t="b">
        <v>0</v>
      </c>
      <c r="N3" s="99" t="b">
        <v>0</v>
      </c>
      <c r="O3" s="16" t="s">
        <v>34</v>
      </c>
      <c r="P3" s="16" t="s">
        <v>35</v>
      </c>
      <c r="Q3" s="16" t="s">
        <v>36</v>
      </c>
      <c r="R3" s="34">
        <v>98000</v>
      </c>
      <c r="S3" s="34"/>
      <c r="T3" s="35">
        <v>46180.08634976852</v>
      </c>
      <c r="U3" s="33"/>
    </row>
    <row r="4" spans="1:21" ht="45">
      <c r="A4" s="21">
        <v>46181</v>
      </c>
      <c r="B4" s="22" t="s">
        <v>37</v>
      </c>
      <c r="C4" s="16" t="s">
        <v>38</v>
      </c>
      <c r="D4" s="16" t="s">
        <v>39</v>
      </c>
      <c r="E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4" s="33" t="s">
        <v>16</v>
      </c>
      <c r="G4" s="99" t="b">
        <v>0</v>
      </c>
      <c r="H4" s="99" t="b">
        <v>0</v>
      </c>
      <c r="I4" s="99" t="b">
        <v>0</v>
      </c>
      <c r="J4" s="99" t="b">
        <v>0</v>
      </c>
      <c r="K4" s="99" t="b">
        <v>0</v>
      </c>
      <c r="L4" s="99" t="b">
        <v>0</v>
      </c>
      <c r="M4" s="99" t="b">
        <v>0</v>
      </c>
      <c r="N4" s="99" t="b">
        <v>0</v>
      </c>
      <c r="O4" s="16" t="s">
        <v>42</v>
      </c>
      <c r="P4" s="16"/>
      <c r="Q4" s="16"/>
      <c r="R4" s="34">
        <v>65000</v>
      </c>
      <c r="S4" s="34"/>
      <c r="T4" s="35">
        <v>46180.110914351855</v>
      </c>
      <c r="U4" s="33" t="s">
        <v>117</v>
      </c>
    </row>
    <row r="5" spans="1:21" ht="45">
      <c r="A5" s="21">
        <v>46184</v>
      </c>
      <c r="B5" s="22" t="s">
        <v>43</v>
      </c>
      <c r="C5" s="16" t="s">
        <v>44</v>
      </c>
      <c r="D5" s="16" t="s">
        <v>45</v>
      </c>
      <c r="E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5" s="33" t="s">
        <v>46</v>
      </c>
      <c r="G5" s="99" t="b">
        <v>0</v>
      </c>
      <c r="H5" s="99" t="b">
        <v>0</v>
      </c>
      <c r="I5" s="99" t="b">
        <v>0</v>
      </c>
      <c r="J5" s="99" t="b">
        <v>0</v>
      </c>
      <c r="K5" s="99" t="b">
        <v>0</v>
      </c>
      <c r="L5" s="99" t="b">
        <v>0</v>
      </c>
      <c r="M5" s="99" t="b">
        <v>0</v>
      </c>
      <c r="N5" s="99" t="b">
        <v>0</v>
      </c>
      <c r="O5" s="16" t="s">
        <v>47</v>
      </c>
      <c r="P5" s="16"/>
      <c r="Q5" s="16"/>
      <c r="R5" s="34">
        <v>25000</v>
      </c>
      <c r="S5" s="34"/>
      <c r="T5" s="35">
        <v>46180.110983796294</v>
      </c>
      <c r="U5" s="33" t="s">
        <v>117</v>
      </c>
    </row>
    <row r="6" spans="1:21" ht="45">
      <c r="A6" s="21">
        <v>46178</v>
      </c>
      <c r="B6" s="22" t="s">
        <v>48</v>
      </c>
      <c r="C6" s="16" t="s">
        <v>49</v>
      </c>
      <c r="D6" s="16" t="s">
        <v>15</v>
      </c>
      <c r="E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Sent</v>
      </c>
      <c r="F6" s="33" t="s">
        <v>16</v>
      </c>
      <c r="G6" s="99" t="b">
        <v>0</v>
      </c>
      <c r="H6" s="99" t="b">
        <v>0</v>
      </c>
      <c r="I6" s="99" t="b">
        <v>0</v>
      </c>
      <c r="J6" s="99" t="b">
        <v>0</v>
      </c>
      <c r="K6" s="99" t="b">
        <v>0</v>
      </c>
      <c r="L6" s="99" t="b">
        <v>0</v>
      </c>
      <c r="M6" s="99" t="b">
        <v>0</v>
      </c>
      <c r="N6" s="99" t="b">
        <v>0</v>
      </c>
      <c r="O6" s="16" t="s">
        <v>50</v>
      </c>
      <c r="P6" s="16" t="s">
        <v>51</v>
      </c>
      <c r="Q6" s="16" t="s">
        <v>52</v>
      </c>
      <c r="R6" s="34">
        <v>80000</v>
      </c>
      <c r="S6" s="34">
        <v>78234</v>
      </c>
      <c r="T6" s="35">
        <v>46180.08634976852</v>
      </c>
      <c r="U6" s="33"/>
    </row>
    <row r="7" spans="1:21" ht="45">
      <c r="A7" s="21">
        <v>46184</v>
      </c>
      <c r="B7" s="22" t="s">
        <v>43</v>
      </c>
      <c r="C7" s="16" t="s">
        <v>44</v>
      </c>
      <c r="D7" s="16" t="s">
        <v>45</v>
      </c>
      <c r="E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7" s="33" t="s">
        <v>46</v>
      </c>
      <c r="G7" s="99" t="b">
        <v>0</v>
      </c>
      <c r="H7" s="99" t="b">
        <v>0</v>
      </c>
      <c r="I7" s="99" t="b">
        <v>0</v>
      </c>
      <c r="J7" s="99" t="b">
        <v>0</v>
      </c>
      <c r="K7" s="99" t="b">
        <v>0</v>
      </c>
      <c r="L7" s="99" t="b">
        <v>0</v>
      </c>
      <c r="M7" s="99" t="b">
        <v>0</v>
      </c>
      <c r="N7" s="99" t="b">
        <v>0</v>
      </c>
      <c r="O7" s="16" t="s">
        <v>47</v>
      </c>
      <c r="P7" s="16"/>
      <c r="Q7" s="16"/>
      <c r="R7" s="34">
        <v>25000</v>
      </c>
      <c r="S7" s="34"/>
      <c r="T7" s="35">
        <v>46180.111979166664</v>
      </c>
      <c r="U7" s="33" t="s">
        <v>117</v>
      </c>
    </row>
    <row r="8" spans="1:21" ht="45">
      <c r="A8" s="21">
        <v>46185</v>
      </c>
      <c r="B8" s="22" t="s">
        <v>43</v>
      </c>
      <c r="C8" s="16" t="s">
        <v>104</v>
      </c>
      <c r="D8" s="16" t="s">
        <v>39</v>
      </c>
      <c r="E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>Source Code</v>
      </c>
      <c r="F8" s="33" t="s">
        <v>29</v>
      </c>
      <c r="G8" s="99" t="b">
        <v>0</v>
      </c>
      <c r="H8" s="99" t="b">
        <v>0</v>
      </c>
      <c r="I8" s="99" t="b">
        <v>0</v>
      </c>
      <c r="J8" s="99" t="b">
        <v>0</v>
      </c>
      <c r="K8" s="99" t="b">
        <v>0</v>
      </c>
      <c r="L8" s="99" t="b">
        <v>0</v>
      </c>
      <c r="M8" s="99" t="b">
        <v>0</v>
      </c>
      <c r="N8" s="99" t="b">
        <v>0</v>
      </c>
      <c r="O8" s="36" t="s">
        <v>103</v>
      </c>
      <c r="P8" s="16"/>
      <c r="Q8" s="16"/>
      <c r="R8" s="34"/>
      <c r="S8" s="34"/>
      <c r="T8" s="35">
        <v>46180.112083333333</v>
      </c>
      <c r="U8" s="33" t="s">
        <v>117</v>
      </c>
    </row>
    <row r="9" spans="1:21" ht="15.75">
      <c r="A9" s="21"/>
      <c r="B9" s="22"/>
      <c r="C9" s="16"/>
      <c r="D9" s="16"/>
      <c r="E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" s="33"/>
      <c r="G9" s="99" t="b">
        <v>0</v>
      </c>
      <c r="H9" s="99" t="b">
        <v>0</v>
      </c>
      <c r="I9" s="99" t="b">
        <v>0</v>
      </c>
      <c r="J9" s="99" t="b">
        <v>0</v>
      </c>
      <c r="K9" s="99" t="b">
        <v>0</v>
      </c>
      <c r="L9" s="99" t="b">
        <v>0</v>
      </c>
      <c r="M9" s="99" t="b">
        <v>0</v>
      </c>
      <c r="N9" s="99" t="b">
        <v>0</v>
      </c>
      <c r="O9" s="16"/>
      <c r="P9" s="16"/>
      <c r="Q9" s="16"/>
      <c r="R9" s="34"/>
      <c r="S9" s="34"/>
      <c r="T9" s="35"/>
      <c r="U9" s="33"/>
    </row>
    <row r="10" spans="1:21" ht="15.75">
      <c r="A10" s="21"/>
      <c r="B10" s="22"/>
      <c r="C10" s="16"/>
      <c r="D10" s="16"/>
      <c r="E1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" s="33"/>
      <c r="G10" s="99" t="b">
        <v>0</v>
      </c>
      <c r="H10" s="99" t="b">
        <v>0</v>
      </c>
      <c r="I10" s="99" t="b">
        <v>0</v>
      </c>
      <c r="J10" s="99" t="b">
        <v>0</v>
      </c>
      <c r="K10" s="99" t="b">
        <v>0</v>
      </c>
      <c r="L10" s="99" t="b">
        <v>0</v>
      </c>
      <c r="M10" s="99" t="b">
        <v>0</v>
      </c>
      <c r="N10" s="99" t="b">
        <v>0</v>
      </c>
      <c r="O10" s="16"/>
      <c r="P10" s="16"/>
      <c r="Q10" s="16"/>
      <c r="R10" s="34"/>
      <c r="S10" s="34"/>
      <c r="T10" s="35"/>
      <c r="U10" s="33"/>
    </row>
    <row r="11" spans="1:21" ht="15.75">
      <c r="A11" s="21"/>
      <c r="B11" s="22"/>
      <c r="C11" s="16"/>
      <c r="D11" s="16"/>
      <c r="E1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" s="33"/>
      <c r="G11" s="99" t="b">
        <v>0</v>
      </c>
      <c r="H11" s="99" t="b">
        <v>0</v>
      </c>
      <c r="I11" s="99" t="b">
        <v>0</v>
      </c>
      <c r="J11" s="99" t="b">
        <v>0</v>
      </c>
      <c r="K11" s="99" t="b">
        <v>0</v>
      </c>
      <c r="L11" s="99" t="b">
        <v>0</v>
      </c>
      <c r="M11" s="99" t="b">
        <v>0</v>
      </c>
      <c r="N11" s="99" t="b">
        <v>0</v>
      </c>
      <c r="O11" s="16"/>
      <c r="P11" s="16"/>
      <c r="Q11" s="16"/>
      <c r="R11" s="34"/>
      <c r="S11" s="34"/>
      <c r="T11" s="35"/>
      <c r="U11" s="33"/>
    </row>
    <row r="12" spans="1:21" ht="15.75">
      <c r="A12" s="21"/>
      <c r="B12" s="22"/>
      <c r="C12" s="16"/>
      <c r="D12" s="16"/>
      <c r="E1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" s="33"/>
      <c r="G12" s="99" t="b">
        <v>0</v>
      </c>
      <c r="H12" s="99" t="b">
        <v>0</v>
      </c>
      <c r="I12" s="99" t="b">
        <v>0</v>
      </c>
      <c r="J12" s="99" t="b">
        <v>0</v>
      </c>
      <c r="K12" s="99" t="b">
        <v>0</v>
      </c>
      <c r="L12" s="99" t="b">
        <v>0</v>
      </c>
      <c r="M12" s="99" t="b">
        <v>0</v>
      </c>
      <c r="N12" s="99" t="b">
        <v>0</v>
      </c>
      <c r="O12" s="16"/>
      <c r="P12" s="16"/>
      <c r="Q12" s="16"/>
      <c r="R12" s="34"/>
      <c r="S12" s="34"/>
      <c r="T12" s="35"/>
      <c r="U12" s="33"/>
    </row>
    <row r="13" spans="1:21" ht="15.75">
      <c r="A13" s="21"/>
      <c r="B13" s="22"/>
      <c r="C13" s="16"/>
      <c r="D13" s="16"/>
      <c r="E1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" s="33"/>
      <c r="G13" s="99" t="b">
        <v>0</v>
      </c>
      <c r="H13" s="99" t="b">
        <v>0</v>
      </c>
      <c r="I13" s="99" t="b">
        <v>0</v>
      </c>
      <c r="J13" s="99" t="b">
        <v>0</v>
      </c>
      <c r="K13" s="99" t="b">
        <v>0</v>
      </c>
      <c r="L13" s="99" t="b">
        <v>0</v>
      </c>
      <c r="M13" s="99" t="b">
        <v>0</v>
      </c>
      <c r="N13" s="99" t="b">
        <v>0</v>
      </c>
      <c r="O13" s="16"/>
      <c r="P13" s="16"/>
      <c r="Q13" s="16"/>
      <c r="R13" s="34"/>
      <c r="S13" s="34"/>
      <c r="T13" s="35"/>
      <c r="U13" s="33"/>
    </row>
    <row r="14" spans="1:21" ht="15.75">
      <c r="A14" s="21"/>
      <c r="B14" s="22"/>
      <c r="C14" s="16"/>
      <c r="D14" s="16"/>
      <c r="E1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" s="33"/>
      <c r="G14" s="99" t="b">
        <v>0</v>
      </c>
      <c r="H14" s="99" t="b">
        <v>0</v>
      </c>
      <c r="I14" s="99" t="b">
        <v>0</v>
      </c>
      <c r="J14" s="99" t="b">
        <v>0</v>
      </c>
      <c r="K14" s="99" t="b">
        <v>0</v>
      </c>
      <c r="L14" s="99" t="b">
        <v>0</v>
      </c>
      <c r="M14" s="99" t="b">
        <v>0</v>
      </c>
      <c r="N14" s="99" t="b">
        <v>0</v>
      </c>
      <c r="O14" s="16"/>
      <c r="P14" s="16"/>
      <c r="Q14" s="16"/>
      <c r="R14" s="34"/>
      <c r="S14" s="34"/>
      <c r="T14" s="35"/>
      <c r="U14" s="33"/>
    </row>
    <row r="15" spans="1:21" ht="15.75">
      <c r="A15" s="21"/>
      <c r="B15" s="22"/>
      <c r="C15" s="16"/>
      <c r="D15" s="16"/>
      <c r="E1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" s="33"/>
      <c r="G15" s="99" t="b">
        <v>0</v>
      </c>
      <c r="H15" s="99" t="b">
        <v>0</v>
      </c>
      <c r="I15" s="99" t="b">
        <v>0</v>
      </c>
      <c r="J15" s="99" t="b">
        <v>0</v>
      </c>
      <c r="K15" s="99" t="b">
        <v>0</v>
      </c>
      <c r="L15" s="99" t="b">
        <v>0</v>
      </c>
      <c r="M15" s="99" t="b">
        <v>0</v>
      </c>
      <c r="N15" s="99" t="b">
        <v>0</v>
      </c>
      <c r="O15" s="16"/>
      <c r="P15" s="16"/>
      <c r="Q15" s="16"/>
      <c r="R15" s="34"/>
      <c r="S15" s="34"/>
      <c r="T15" s="35"/>
      <c r="U15" s="33"/>
    </row>
    <row r="16" spans="1:21" ht="15.75">
      <c r="A16" s="21"/>
      <c r="B16" s="22"/>
      <c r="C16" s="16"/>
      <c r="D16" s="16"/>
      <c r="E1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" s="33"/>
      <c r="G16" s="99" t="b">
        <v>0</v>
      </c>
      <c r="H16" s="99" t="b">
        <v>0</v>
      </c>
      <c r="I16" s="99" t="b">
        <v>0</v>
      </c>
      <c r="J16" s="99" t="b">
        <v>0</v>
      </c>
      <c r="K16" s="99" t="b">
        <v>0</v>
      </c>
      <c r="L16" s="99" t="b">
        <v>0</v>
      </c>
      <c r="M16" s="99" t="b">
        <v>0</v>
      </c>
      <c r="N16" s="99" t="b">
        <v>0</v>
      </c>
      <c r="O16" s="16"/>
      <c r="P16" s="16"/>
      <c r="Q16" s="16"/>
      <c r="R16" s="34"/>
      <c r="S16" s="34"/>
      <c r="T16" s="35"/>
      <c r="U16" s="33"/>
    </row>
    <row r="17" spans="1:21" ht="15.75">
      <c r="A17" s="21"/>
      <c r="B17" s="22"/>
      <c r="C17" s="16"/>
      <c r="D17" s="16"/>
      <c r="E1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" s="33"/>
      <c r="G17" s="99" t="b">
        <v>0</v>
      </c>
      <c r="H17" s="99" t="b">
        <v>0</v>
      </c>
      <c r="I17" s="99" t="b">
        <v>0</v>
      </c>
      <c r="J17" s="99" t="b">
        <v>0</v>
      </c>
      <c r="K17" s="99" t="b">
        <v>0</v>
      </c>
      <c r="L17" s="99" t="b">
        <v>0</v>
      </c>
      <c r="M17" s="99" t="b">
        <v>0</v>
      </c>
      <c r="N17" s="99" t="b">
        <v>0</v>
      </c>
      <c r="O17" s="16"/>
      <c r="P17" s="16"/>
      <c r="Q17" s="16"/>
      <c r="R17" s="34"/>
      <c r="S17" s="34"/>
      <c r="T17" s="35"/>
      <c r="U17" s="33"/>
    </row>
    <row r="18" spans="1:21" ht="15.75">
      <c r="A18" s="21"/>
      <c r="B18" s="22"/>
      <c r="C18" s="16"/>
      <c r="D18" s="16"/>
      <c r="E1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" s="33"/>
      <c r="G18" s="99" t="b">
        <v>0</v>
      </c>
      <c r="H18" s="99" t="b">
        <v>0</v>
      </c>
      <c r="I18" s="99" t="b">
        <v>0</v>
      </c>
      <c r="J18" s="99" t="b">
        <v>0</v>
      </c>
      <c r="K18" s="99" t="b">
        <v>0</v>
      </c>
      <c r="L18" s="99" t="b">
        <v>0</v>
      </c>
      <c r="M18" s="99" t="b">
        <v>0</v>
      </c>
      <c r="N18" s="99" t="b">
        <v>0</v>
      </c>
      <c r="O18" s="16"/>
      <c r="P18" s="16"/>
      <c r="Q18" s="16"/>
      <c r="R18" s="34"/>
      <c r="S18" s="34"/>
      <c r="T18" s="35"/>
      <c r="U18" s="33"/>
    </row>
    <row r="19" spans="1:21" ht="15.75">
      <c r="A19" s="21"/>
      <c r="B19" s="22"/>
      <c r="C19" s="16"/>
      <c r="D19" s="16"/>
      <c r="E1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" s="33"/>
      <c r="G19" s="99" t="b">
        <v>0</v>
      </c>
      <c r="H19" s="99" t="b">
        <v>0</v>
      </c>
      <c r="I19" s="99" t="b">
        <v>0</v>
      </c>
      <c r="J19" s="99" t="b">
        <v>0</v>
      </c>
      <c r="K19" s="99" t="b">
        <v>0</v>
      </c>
      <c r="L19" s="99" t="b">
        <v>0</v>
      </c>
      <c r="M19" s="99" t="b">
        <v>0</v>
      </c>
      <c r="N19" s="99" t="b">
        <v>0</v>
      </c>
      <c r="O19" s="16"/>
      <c r="P19" s="16"/>
      <c r="Q19" s="16"/>
      <c r="R19" s="34"/>
      <c r="S19" s="34"/>
      <c r="T19" s="35"/>
      <c r="U19" s="33"/>
    </row>
    <row r="20" spans="1:21" ht="15.75">
      <c r="A20" s="21"/>
      <c r="B20" s="22"/>
      <c r="C20" s="16"/>
      <c r="D20" s="16"/>
      <c r="E2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" s="33"/>
      <c r="G20" s="99" t="b">
        <v>0</v>
      </c>
      <c r="H20" s="99" t="b">
        <v>0</v>
      </c>
      <c r="I20" s="99" t="b">
        <v>0</v>
      </c>
      <c r="J20" s="99" t="b">
        <v>0</v>
      </c>
      <c r="K20" s="99" t="b">
        <v>0</v>
      </c>
      <c r="L20" s="99" t="b">
        <v>0</v>
      </c>
      <c r="M20" s="99" t="b">
        <v>0</v>
      </c>
      <c r="N20" s="99" t="b">
        <v>0</v>
      </c>
      <c r="O20" s="16"/>
      <c r="P20" s="16"/>
      <c r="Q20" s="16"/>
      <c r="R20" s="34"/>
      <c r="S20" s="34"/>
      <c r="T20" s="35"/>
      <c r="U20" s="33"/>
    </row>
    <row r="21" spans="1:21" ht="15.75">
      <c r="A21" s="21"/>
      <c r="B21" s="22"/>
      <c r="C21" s="16"/>
      <c r="D21" s="16"/>
      <c r="E2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1" s="33"/>
      <c r="G21" s="99" t="b">
        <v>0</v>
      </c>
      <c r="H21" s="99" t="b">
        <v>0</v>
      </c>
      <c r="I21" s="99" t="b">
        <v>0</v>
      </c>
      <c r="J21" s="99" t="b">
        <v>0</v>
      </c>
      <c r="K21" s="99" t="b">
        <v>0</v>
      </c>
      <c r="L21" s="99" t="b">
        <v>0</v>
      </c>
      <c r="M21" s="99" t="b">
        <v>0</v>
      </c>
      <c r="N21" s="99" t="b">
        <v>0</v>
      </c>
      <c r="O21" s="16"/>
      <c r="P21" s="16"/>
      <c r="Q21" s="16"/>
      <c r="R21" s="34"/>
      <c r="S21" s="34"/>
      <c r="T21" s="35"/>
      <c r="U21" s="33"/>
    </row>
    <row r="22" spans="1:21" ht="15.75">
      <c r="A22" s="21"/>
      <c r="B22" s="22"/>
      <c r="C22" s="16"/>
      <c r="D22" s="16"/>
      <c r="E2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2" s="33"/>
      <c r="G22" s="99" t="b">
        <v>0</v>
      </c>
      <c r="H22" s="99" t="b">
        <v>0</v>
      </c>
      <c r="I22" s="99" t="b">
        <v>0</v>
      </c>
      <c r="J22" s="99" t="b">
        <v>0</v>
      </c>
      <c r="K22" s="99" t="b">
        <v>0</v>
      </c>
      <c r="L22" s="99" t="b">
        <v>0</v>
      </c>
      <c r="M22" s="99" t="b">
        <v>0</v>
      </c>
      <c r="N22" s="99" t="b">
        <v>0</v>
      </c>
      <c r="O22" s="16"/>
      <c r="P22" s="16"/>
      <c r="Q22" s="16"/>
      <c r="R22" s="34"/>
      <c r="S22" s="34"/>
      <c r="T22" s="35"/>
      <c r="U22" s="33"/>
    </row>
    <row r="23" spans="1:21" ht="15.75">
      <c r="A23" s="21"/>
      <c r="B23" s="22"/>
      <c r="C23" s="16"/>
      <c r="D23" s="16"/>
      <c r="E2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3" s="33"/>
      <c r="G23" s="99" t="b">
        <v>0</v>
      </c>
      <c r="H23" s="99" t="b">
        <v>0</v>
      </c>
      <c r="I23" s="99" t="b">
        <v>0</v>
      </c>
      <c r="J23" s="99" t="b">
        <v>0</v>
      </c>
      <c r="K23" s="99" t="b">
        <v>0</v>
      </c>
      <c r="L23" s="99" t="b">
        <v>0</v>
      </c>
      <c r="M23" s="99" t="b">
        <v>0</v>
      </c>
      <c r="N23" s="99" t="b">
        <v>0</v>
      </c>
      <c r="O23" s="16"/>
      <c r="P23" s="16"/>
      <c r="Q23" s="16"/>
      <c r="R23" s="34"/>
      <c r="S23" s="34"/>
      <c r="T23" s="35"/>
      <c r="U23" s="33"/>
    </row>
    <row r="24" spans="1:21" ht="15.75">
      <c r="A24" s="21"/>
      <c r="B24" s="22"/>
      <c r="C24" s="16"/>
      <c r="D24" s="16"/>
      <c r="E2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4" s="33"/>
      <c r="G24" s="99" t="b">
        <v>0</v>
      </c>
      <c r="H24" s="99" t="b">
        <v>0</v>
      </c>
      <c r="I24" s="99" t="b">
        <v>0</v>
      </c>
      <c r="J24" s="99" t="b">
        <v>0</v>
      </c>
      <c r="K24" s="99" t="b">
        <v>0</v>
      </c>
      <c r="L24" s="99" t="b">
        <v>0</v>
      </c>
      <c r="M24" s="99" t="b">
        <v>0</v>
      </c>
      <c r="N24" s="99" t="b">
        <v>0</v>
      </c>
      <c r="O24" s="16"/>
      <c r="P24" s="16"/>
      <c r="Q24" s="16"/>
      <c r="R24" s="34"/>
      <c r="S24" s="34"/>
      <c r="T24" s="35"/>
      <c r="U24" s="33"/>
    </row>
    <row r="25" spans="1:21" ht="15.75">
      <c r="A25" s="21"/>
      <c r="B25" s="22"/>
      <c r="C25" s="16"/>
      <c r="D25" s="16"/>
      <c r="E2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5" s="33"/>
      <c r="G25" s="99" t="b">
        <v>0</v>
      </c>
      <c r="H25" s="99" t="b">
        <v>0</v>
      </c>
      <c r="I25" s="99" t="b">
        <v>0</v>
      </c>
      <c r="J25" s="99" t="b">
        <v>0</v>
      </c>
      <c r="K25" s="99" t="b">
        <v>0</v>
      </c>
      <c r="L25" s="99" t="b">
        <v>0</v>
      </c>
      <c r="M25" s="99" t="b">
        <v>0</v>
      </c>
      <c r="N25" s="99" t="b">
        <v>0</v>
      </c>
      <c r="O25" s="16"/>
      <c r="P25" s="16"/>
      <c r="Q25" s="16"/>
      <c r="R25" s="34"/>
      <c r="S25" s="34"/>
      <c r="T25" s="35"/>
      <c r="U25" s="33"/>
    </row>
    <row r="26" spans="1:21" ht="15.75">
      <c r="A26" s="21"/>
      <c r="B26" s="22"/>
      <c r="C26" s="16"/>
      <c r="D26" s="16"/>
      <c r="E2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6" s="33"/>
      <c r="G26" s="99" t="b">
        <v>0</v>
      </c>
      <c r="H26" s="99" t="b">
        <v>0</v>
      </c>
      <c r="I26" s="99" t="b">
        <v>0</v>
      </c>
      <c r="J26" s="99" t="b">
        <v>0</v>
      </c>
      <c r="K26" s="99" t="b">
        <v>0</v>
      </c>
      <c r="L26" s="99" t="b">
        <v>0</v>
      </c>
      <c r="M26" s="99" t="b">
        <v>0</v>
      </c>
      <c r="N26" s="99" t="b">
        <v>0</v>
      </c>
      <c r="O26" s="16"/>
      <c r="P26" s="16"/>
      <c r="Q26" s="16"/>
      <c r="R26" s="34"/>
      <c r="S26" s="34"/>
      <c r="T26" s="35"/>
      <c r="U26" s="33"/>
    </row>
    <row r="27" spans="1:21" ht="15.75">
      <c r="A27" s="21"/>
      <c r="B27" s="22"/>
      <c r="C27" s="16"/>
      <c r="D27" s="16"/>
      <c r="E2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7" s="33"/>
      <c r="G27" s="99" t="b">
        <v>0</v>
      </c>
      <c r="H27" s="99" t="b">
        <v>0</v>
      </c>
      <c r="I27" s="99" t="b">
        <v>0</v>
      </c>
      <c r="J27" s="99" t="b">
        <v>0</v>
      </c>
      <c r="K27" s="99" t="b">
        <v>0</v>
      </c>
      <c r="L27" s="99" t="b">
        <v>0</v>
      </c>
      <c r="M27" s="99" t="b">
        <v>0</v>
      </c>
      <c r="N27" s="99" t="b">
        <v>0</v>
      </c>
      <c r="O27" s="16"/>
      <c r="P27" s="16"/>
      <c r="Q27" s="16"/>
      <c r="R27" s="34"/>
      <c r="S27" s="34"/>
      <c r="T27" s="35"/>
      <c r="U27" s="33"/>
    </row>
    <row r="28" spans="1:21" ht="15.75">
      <c r="A28" s="21"/>
      <c r="B28" s="22"/>
      <c r="C28" s="16"/>
      <c r="D28" s="16"/>
      <c r="E2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8" s="33"/>
      <c r="G28" s="99" t="b">
        <v>0</v>
      </c>
      <c r="H28" s="99" t="b">
        <v>0</v>
      </c>
      <c r="I28" s="99" t="b">
        <v>0</v>
      </c>
      <c r="J28" s="99" t="b">
        <v>0</v>
      </c>
      <c r="K28" s="99" t="b">
        <v>0</v>
      </c>
      <c r="L28" s="99" t="b">
        <v>0</v>
      </c>
      <c r="M28" s="99" t="b">
        <v>0</v>
      </c>
      <c r="N28" s="99" t="b">
        <v>0</v>
      </c>
      <c r="O28" s="16"/>
      <c r="P28" s="16"/>
      <c r="Q28" s="16"/>
      <c r="R28" s="34"/>
      <c r="S28" s="34"/>
      <c r="T28" s="35"/>
      <c r="U28" s="33"/>
    </row>
    <row r="29" spans="1:21" ht="15.75">
      <c r="A29" s="21"/>
      <c r="B29" s="22"/>
      <c r="C29" s="16"/>
      <c r="D29" s="16"/>
      <c r="E2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9" s="33"/>
      <c r="G29" s="99" t="b">
        <v>0</v>
      </c>
      <c r="H29" s="99" t="b">
        <v>0</v>
      </c>
      <c r="I29" s="99" t="b">
        <v>0</v>
      </c>
      <c r="J29" s="99" t="b">
        <v>0</v>
      </c>
      <c r="K29" s="99" t="b">
        <v>0</v>
      </c>
      <c r="L29" s="99" t="b">
        <v>0</v>
      </c>
      <c r="M29" s="99" t="b">
        <v>0</v>
      </c>
      <c r="N29" s="99" t="b">
        <v>0</v>
      </c>
      <c r="O29" s="16"/>
      <c r="P29" s="16"/>
      <c r="Q29" s="16"/>
      <c r="R29" s="34"/>
      <c r="S29" s="34"/>
      <c r="T29" s="35"/>
      <c r="U29" s="33"/>
    </row>
    <row r="30" spans="1:21" ht="15.75">
      <c r="A30" s="21"/>
      <c r="B30" s="22"/>
      <c r="C30" s="16"/>
      <c r="D30" s="16"/>
      <c r="E3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0" s="33"/>
      <c r="G30" s="99" t="b">
        <v>0</v>
      </c>
      <c r="H30" s="99" t="b">
        <v>0</v>
      </c>
      <c r="I30" s="99" t="b">
        <v>0</v>
      </c>
      <c r="J30" s="99" t="b">
        <v>0</v>
      </c>
      <c r="K30" s="99" t="b">
        <v>0</v>
      </c>
      <c r="L30" s="99" t="b">
        <v>0</v>
      </c>
      <c r="M30" s="99" t="b">
        <v>0</v>
      </c>
      <c r="N30" s="99" t="b">
        <v>0</v>
      </c>
      <c r="O30" s="16"/>
      <c r="P30" s="16"/>
      <c r="Q30" s="16"/>
      <c r="R30" s="34"/>
      <c r="S30" s="34"/>
      <c r="T30" s="35"/>
      <c r="U30" s="33"/>
    </row>
    <row r="31" spans="1:21" ht="15.75">
      <c r="A31" s="21"/>
      <c r="B31" s="22"/>
      <c r="C31" s="16"/>
      <c r="D31" s="16"/>
      <c r="E3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1" s="33"/>
      <c r="G31" s="99" t="b">
        <v>0</v>
      </c>
      <c r="H31" s="99" t="b">
        <v>0</v>
      </c>
      <c r="I31" s="99" t="b">
        <v>0</v>
      </c>
      <c r="J31" s="99" t="b">
        <v>0</v>
      </c>
      <c r="K31" s="99" t="b">
        <v>0</v>
      </c>
      <c r="L31" s="99" t="b">
        <v>0</v>
      </c>
      <c r="M31" s="99" t="b">
        <v>0</v>
      </c>
      <c r="N31" s="99" t="b">
        <v>0</v>
      </c>
      <c r="O31" s="16"/>
      <c r="P31" s="16"/>
      <c r="Q31" s="16"/>
      <c r="R31" s="34"/>
      <c r="S31" s="34"/>
      <c r="T31" s="35"/>
      <c r="U31" s="33"/>
    </row>
    <row r="32" spans="1:21" ht="15.75">
      <c r="A32" s="21"/>
      <c r="B32" s="22"/>
      <c r="C32" s="16"/>
      <c r="D32" s="16"/>
      <c r="E3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2" s="33"/>
      <c r="G32" s="99" t="b">
        <v>0</v>
      </c>
      <c r="H32" s="99" t="b">
        <v>0</v>
      </c>
      <c r="I32" s="99" t="b">
        <v>0</v>
      </c>
      <c r="J32" s="99" t="b">
        <v>0</v>
      </c>
      <c r="K32" s="99" t="b">
        <v>0</v>
      </c>
      <c r="L32" s="99" t="b">
        <v>0</v>
      </c>
      <c r="M32" s="99" t="b">
        <v>0</v>
      </c>
      <c r="N32" s="99" t="b">
        <v>0</v>
      </c>
      <c r="O32" s="16"/>
      <c r="P32" s="16"/>
      <c r="Q32" s="16"/>
      <c r="R32" s="34"/>
      <c r="S32" s="34"/>
      <c r="T32" s="35"/>
      <c r="U32" s="33"/>
    </row>
    <row r="33" spans="1:21" ht="15.75">
      <c r="A33" s="21"/>
      <c r="B33" s="22"/>
      <c r="C33" s="16"/>
      <c r="D33" s="16"/>
      <c r="E3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3" s="33"/>
      <c r="G33" s="99" t="b">
        <v>0</v>
      </c>
      <c r="H33" s="99" t="b">
        <v>0</v>
      </c>
      <c r="I33" s="99" t="b">
        <v>0</v>
      </c>
      <c r="J33" s="99" t="b">
        <v>0</v>
      </c>
      <c r="K33" s="99" t="b">
        <v>0</v>
      </c>
      <c r="L33" s="99" t="b">
        <v>0</v>
      </c>
      <c r="M33" s="99" t="b">
        <v>0</v>
      </c>
      <c r="N33" s="99" t="b">
        <v>0</v>
      </c>
      <c r="O33" s="16"/>
      <c r="P33" s="16"/>
      <c r="Q33" s="16"/>
      <c r="R33" s="34"/>
      <c r="S33" s="34"/>
      <c r="T33" s="35"/>
      <c r="U33" s="33"/>
    </row>
    <row r="34" spans="1:21" ht="15.75">
      <c r="A34" s="21"/>
      <c r="B34" s="22"/>
      <c r="C34" s="16"/>
      <c r="D34" s="16"/>
      <c r="E3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4" s="33"/>
      <c r="G34" s="99" t="b">
        <v>0</v>
      </c>
      <c r="H34" s="99" t="b">
        <v>0</v>
      </c>
      <c r="I34" s="99" t="b">
        <v>0</v>
      </c>
      <c r="J34" s="99" t="b">
        <v>0</v>
      </c>
      <c r="K34" s="99" t="b">
        <v>0</v>
      </c>
      <c r="L34" s="99" t="b">
        <v>0</v>
      </c>
      <c r="M34" s="99" t="b">
        <v>0</v>
      </c>
      <c r="N34" s="99" t="b">
        <v>0</v>
      </c>
      <c r="O34" s="16"/>
      <c r="P34" s="16"/>
      <c r="Q34" s="16"/>
      <c r="R34" s="34"/>
      <c r="S34" s="34"/>
      <c r="T34" s="35"/>
      <c r="U34" s="33"/>
    </row>
    <row r="35" spans="1:21" ht="15.75">
      <c r="A35" s="21"/>
      <c r="B35" s="22"/>
      <c r="C35" s="16"/>
      <c r="D35" s="16"/>
      <c r="E3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5" s="33"/>
      <c r="G35" s="99" t="b">
        <v>0</v>
      </c>
      <c r="H35" s="99" t="b">
        <v>0</v>
      </c>
      <c r="I35" s="99" t="b">
        <v>0</v>
      </c>
      <c r="J35" s="99" t="b">
        <v>0</v>
      </c>
      <c r="K35" s="99" t="b">
        <v>0</v>
      </c>
      <c r="L35" s="99" t="b">
        <v>0</v>
      </c>
      <c r="M35" s="99" t="b">
        <v>0</v>
      </c>
      <c r="N35" s="99" t="b">
        <v>0</v>
      </c>
      <c r="O35" s="16"/>
      <c r="P35" s="16"/>
      <c r="Q35" s="16"/>
      <c r="R35" s="34"/>
      <c r="S35" s="34"/>
      <c r="T35" s="35"/>
      <c r="U35" s="33"/>
    </row>
    <row r="36" spans="1:21" ht="15.75">
      <c r="A36" s="21"/>
      <c r="B36" s="22"/>
      <c r="C36" s="16"/>
      <c r="D36" s="16"/>
      <c r="E3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6" s="33"/>
      <c r="G36" s="99" t="b">
        <v>0</v>
      </c>
      <c r="H36" s="99" t="b">
        <v>0</v>
      </c>
      <c r="I36" s="99" t="b">
        <v>0</v>
      </c>
      <c r="J36" s="99" t="b">
        <v>0</v>
      </c>
      <c r="K36" s="99" t="b">
        <v>0</v>
      </c>
      <c r="L36" s="99" t="b">
        <v>0</v>
      </c>
      <c r="M36" s="99" t="b">
        <v>0</v>
      </c>
      <c r="N36" s="99" t="b">
        <v>0</v>
      </c>
      <c r="O36" s="16"/>
      <c r="P36" s="16"/>
      <c r="Q36" s="16"/>
      <c r="R36" s="34"/>
      <c r="S36" s="34"/>
      <c r="T36" s="35"/>
      <c r="U36" s="33"/>
    </row>
    <row r="37" spans="1:21" ht="15.75">
      <c r="A37" s="21"/>
      <c r="B37" s="22"/>
      <c r="C37" s="16"/>
      <c r="D37" s="16"/>
      <c r="E3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7" s="33"/>
      <c r="G37" s="99" t="b">
        <v>0</v>
      </c>
      <c r="H37" s="99" t="b">
        <v>0</v>
      </c>
      <c r="I37" s="99" t="b">
        <v>0</v>
      </c>
      <c r="J37" s="99" t="b">
        <v>0</v>
      </c>
      <c r="K37" s="99" t="b">
        <v>0</v>
      </c>
      <c r="L37" s="99" t="b">
        <v>0</v>
      </c>
      <c r="M37" s="99" t="b">
        <v>0</v>
      </c>
      <c r="N37" s="99" t="b">
        <v>0</v>
      </c>
      <c r="O37" s="16"/>
      <c r="P37" s="16"/>
      <c r="Q37" s="16"/>
      <c r="R37" s="34"/>
      <c r="S37" s="34"/>
      <c r="T37" s="35"/>
      <c r="U37" s="33"/>
    </row>
    <row r="38" spans="1:21" ht="15.75">
      <c r="A38" s="21"/>
      <c r="B38" s="22"/>
      <c r="C38" s="16"/>
      <c r="D38" s="16"/>
      <c r="E3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8" s="33"/>
      <c r="G38" s="99" t="b">
        <v>0</v>
      </c>
      <c r="H38" s="99" t="b">
        <v>0</v>
      </c>
      <c r="I38" s="99" t="b">
        <v>0</v>
      </c>
      <c r="J38" s="99" t="b">
        <v>0</v>
      </c>
      <c r="K38" s="99" t="b">
        <v>0</v>
      </c>
      <c r="L38" s="99" t="b">
        <v>0</v>
      </c>
      <c r="M38" s="99" t="b">
        <v>0</v>
      </c>
      <c r="N38" s="99" t="b">
        <v>0</v>
      </c>
      <c r="O38" s="16"/>
      <c r="P38" s="16"/>
      <c r="Q38" s="16"/>
      <c r="R38" s="34"/>
      <c r="S38" s="34"/>
      <c r="T38" s="35"/>
      <c r="U38" s="33"/>
    </row>
    <row r="39" spans="1:21" ht="15.75">
      <c r="A39" s="21"/>
      <c r="B39" s="22"/>
      <c r="C39" s="16"/>
      <c r="D39" s="16"/>
      <c r="E3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39" s="33"/>
      <c r="G39" s="99" t="b">
        <v>0</v>
      </c>
      <c r="H39" s="99" t="b">
        <v>0</v>
      </c>
      <c r="I39" s="99" t="b">
        <v>0</v>
      </c>
      <c r="J39" s="99" t="b">
        <v>0</v>
      </c>
      <c r="K39" s="99" t="b">
        <v>0</v>
      </c>
      <c r="L39" s="99" t="b">
        <v>0</v>
      </c>
      <c r="M39" s="99" t="b">
        <v>0</v>
      </c>
      <c r="N39" s="99" t="b">
        <v>0</v>
      </c>
      <c r="O39" s="16"/>
      <c r="P39" s="16"/>
      <c r="Q39" s="16"/>
      <c r="R39" s="34"/>
      <c r="S39" s="34"/>
      <c r="T39" s="35"/>
      <c r="U39" s="33"/>
    </row>
    <row r="40" spans="1:21" ht="15.75">
      <c r="A40" s="21"/>
      <c r="B40" s="22"/>
      <c r="C40" s="16"/>
      <c r="D40" s="16"/>
      <c r="E4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0" s="33"/>
      <c r="G40" s="99" t="b">
        <v>0</v>
      </c>
      <c r="H40" s="99" t="b">
        <v>0</v>
      </c>
      <c r="I40" s="99" t="b">
        <v>0</v>
      </c>
      <c r="J40" s="99" t="b">
        <v>0</v>
      </c>
      <c r="K40" s="99" t="b">
        <v>0</v>
      </c>
      <c r="L40" s="99" t="b">
        <v>0</v>
      </c>
      <c r="M40" s="99" t="b">
        <v>0</v>
      </c>
      <c r="N40" s="99" t="b">
        <v>0</v>
      </c>
      <c r="O40" s="16"/>
      <c r="P40" s="16"/>
      <c r="Q40" s="16"/>
      <c r="R40" s="34"/>
      <c r="S40" s="34"/>
      <c r="T40" s="35"/>
      <c r="U40" s="33"/>
    </row>
    <row r="41" spans="1:21" ht="15.75">
      <c r="A41" s="21"/>
      <c r="B41" s="22"/>
      <c r="C41" s="16"/>
      <c r="D41" s="16"/>
      <c r="E4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1" s="33"/>
      <c r="G41" s="99" t="b">
        <v>0</v>
      </c>
      <c r="H41" s="99" t="b">
        <v>0</v>
      </c>
      <c r="I41" s="99" t="b">
        <v>0</v>
      </c>
      <c r="J41" s="99" t="b">
        <v>0</v>
      </c>
      <c r="K41" s="99" t="b">
        <v>0</v>
      </c>
      <c r="L41" s="99" t="b">
        <v>0</v>
      </c>
      <c r="M41" s="99" t="b">
        <v>0</v>
      </c>
      <c r="N41" s="99" t="b">
        <v>0</v>
      </c>
      <c r="O41" s="16"/>
      <c r="P41" s="16"/>
      <c r="Q41" s="16"/>
      <c r="R41" s="34"/>
      <c r="S41" s="34"/>
      <c r="T41" s="35"/>
      <c r="U41" s="33"/>
    </row>
    <row r="42" spans="1:21" ht="15.75">
      <c r="A42" s="21"/>
      <c r="B42" s="22"/>
      <c r="C42" s="16"/>
      <c r="D42" s="16"/>
      <c r="E4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2" s="33"/>
      <c r="G42" s="99" t="b">
        <v>0</v>
      </c>
      <c r="H42" s="99" t="b">
        <v>0</v>
      </c>
      <c r="I42" s="99" t="b">
        <v>0</v>
      </c>
      <c r="J42" s="99" t="b">
        <v>0</v>
      </c>
      <c r="K42" s="99" t="b">
        <v>0</v>
      </c>
      <c r="L42" s="99" t="b">
        <v>0</v>
      </c>
      <c r="M42" s="99" t="b">
        <v>0</v>
      </c>
      <c r="N42" s="99" t="b">
        <v>0</v>
      </c>
      <c r="O42" s="16"/>
      <c r="P42" s="16"/>
      <c r="Q42" s="16"/>
      <c r="R42" s="34"/>
      <c r="S42" s="34"/>
      <c r="T42" s="35"/>
      <c r="U42" s="33"/>
    </row>
    <row r="43" spans="1:21" ht="15.75">
      <c r="A43" s="21"/>
      <c r="B43" s="22"/>
      <c r="C43" s="16"/>
      <c r="D43" s="16"/>
      <c r="E4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3" s="33"/>
      <c r="G43" s="99" t="b">
        <v>0</v>
      </c>
      <c r="H43" s="99" t="b">
        <v>0</v>
      </c>
      <c r="I43" s="99" t="b">
        <v>0</v>
      </c>
      <c r="J43" s="99" t="b">
        <v>0</v>
      </c>
      <c r="K43" s="99" t="b">
        <v>0</v>
      </c>
      <c r="L43" s="99" t="b">
        <v>0</v>
      </c>
      <c r="M43" s="99" t="b">
        <v>0</v>
      </c>
      <c r="N43" s="99" t="b">
        <v>0</v>
      </c>
      <c r="O43" s="16"/>
      <c r="P43" s="16"/>
      <c r="Q43" s="16"/>
      <c r="R43" s="34"/>
      <c r="S43" s="34"/>
      <c r="T43" s="35"/>
      <c r="U43" s="33"/>
    </row>
    <row r="44" spans="1:21" ht="15.75">
      <c r="A44" s="21"/>
      <c r="B44" s="22"/>
      <c r="C44" s="16"/>
      <c r="D44" s="16"/>
      <c r="E4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4" s="33"/>
      <c r="G44" s="99" t="b">
        <v>0</v>
      </c>
      <c r="H44" s="99" t="b">
        <v>0</v>
      </c>
      <c r="I44" s="99" t="b">
        <v>0</v>
      </c>
      <c r="J44" s="99" t="b">
        <v>0</v>
      </c>
      <c r="K44" s="99" t="b">
        <v>0</v>
      </c>
      <c r="L44" s="99" t="b">
        <v>0</v>
      </c>
      <c r="M44" s="99" t="b">
        <v>0</v>
      </c>
      <c r="N44" s="99" t="b">
        <v>0</v>
      </c>
      <c r="O44" s="16"/>
      <c r="P44" s="16"/>
      <c r="Q44" s="16"/>
      <c r="R44" s="34"/>
      <c r="S44" s="34"/>
      <c r="T44" s="35"/>
      <c r="U44" s="33"/>
    </row>
    <row r="45" spans="1:21" ht="15.75">
      <c r="A45" s="21"/>
      <c r="B45" s="22"/>
      <c r="C45" s="16"/>
      <c r="D45" s="16"/>
      <c r="E4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5" s="33"/>
      <c r="G45" s="99" t="b">
        <v>0</v>
      </c>
      <c r="H45" s="99" t="b">
        <v>0</v>
      </c>
      <c r="I45" s="99" t="b">
        <v>0</v>
      </c>
      <c r="J45" s="99" t="b">
        <v>0</v>
      </c>
      <c r="K45" s="99" t="b">
        <v>0</v>
      </c>
      <c r="L45" s="99" t="b">
        <v>0</v>
      </c>
      <c r="M45" s="99" t="b">
        <v>0</v>
      </c>
      <c r="N45" s="99" t="b">
        <v>0</v>
      </c>
      <c r="O45" s="16"/>
      <c r="P45" s="16"/>
      <c r="Q45" s="16"/>
      <c r="R45" s="34"/>
      <c r="S45" s="34"/>
      <c r="T45" s="35"/>
      <c r="U45" s="33"/>
    </row>
    <row r="46" spans="1:21" ht="15.75">
      <c r="A46" s="21"/>
      <c r="B46" s="22"/>
      <c r="C46" s="16"/>
      <c r="D46" s="16"/>
      <c r="E4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6" s="33"/>
      <c r="G46" s="99" t="b">
        <v>0</v>
      </c>
      <c r="H46" s="99" t="b">
        <v>0</v>
      </c>
      <c r="I46" s="99" t="b">
        <v>0</v>
      </c>
      <c r="J46" s="99" t="b">
        <v>0</v>
      </c>
      <c r="K46" s="99" t="b">
        <v>0</v>
      </c>
      <c r="L46" s="99" t="b">
        <v>0</v>
      </c>
      <c r="M46" s="99" t="b">
        <v>0</v>
      </c>
      <c r="N46" s="99" t="b">
        <v>0</v>
      </c>
      <c r="O46" s="16"/>
      <c r="P46" s="16"/>
      <c r="Q46" s="16"/>
      <c r="R46" s="34"/>
      <c r="S46" s="34"/>
      <c r="T46" s="35"/>
      <c r="U46" s="33"/>
    </row>
    <row r="47" spans="1:21" ht="15.75">
      <c r="A47" s="21"/>
      <c r="B47" s="22"/>
      <c r="C47" s="16"/>
      <c r="D47" s="16"/>
      <c r="E4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7" s="33"/>
      <c r="G47" s="99" t="b">
        <v>0</v>
      </c>
      <c r="H47" s="99" t="b">
        <v>0</v>
      </c>
      <c r="I47" s="99" t="b">
        <v>0</v>
      </c>
      <c r="J47" s="99" t="b">
        <v>0</v>
      </c>
      <c r="K47" s="99" t="b">
        <v>0</v>
      </c>
      <c r="L47" s="99" t="b">
        <v>0</v>
      </c>
      <c r="M47" s="99" t="b">
        <v>0</v>
      </c>
      <c r="N47" s="99" t="b">
        <v>0</v>
      </c>
      <c r="O47" s="16"/>
      <c r="P47" s="16"/>
      <c r="Q47" s="16"/>
      <c r="R47" s="34"/>
      <c r="S47" s="34"/>
      <c r="T47" s="35"/>
      <c r="U47" s="33"/>
    </row>
    <row r="48" spans="1:21" ht="15.75">
      <c r="A48" s="21"/>
      <c r="B48" s="22"/>
      <c r="C48" s="16"/>
      <c r="D48" s="16"/>
      <c r="E4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8" s="33"/>
      <c r="G48" s="99" t="b">
        <v>0</v>
      </c>
      <c r="H48" s="99" t="b">
        <v>0</v>
      </c>
      <c r="I48" s="99" t="b">
        <v>0</v>
      </c>
      <c r="J48" s="99" t="b">
        <v>0</v>
      </c>
      <c r="K48" s="99" t="b">
        <v>0</v>
      </c>
      <c r="L48" s="99" t="b">
        <v>0</v>
      </c>
      <c r="M48" s="99" t="b">
        <v>0</v>
      </c>
      <c r="N48" s="99" t="b">
        <v>0</v>
      </c>
      <c r="O48" s="16"/>
      <c r="P48" s="16"/>
      <c r="Q48" s="16"/>
      <c r="R48" s="34"/>
      <c r="S48" s="34"/>
      <c r="T48" s="35"/>
      <c r="U48" s="33"/>
    </row>
    <row r="49" spans="1:21" ht="15.75">
      <c r="A49" s="21"/>
      <c r="B49" s="22"/>
      <c r="C49" s="16"/>
      <c r="D49" s="16"/>
      <c r="E4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49" s="33"/>
      <c r="G49" s="99" t="b">
        <v>0</v>
      </c>
      <c r="H49" s="99" t="b">
        <v>0</v>
      </c>
      <c r="I49" s="99" t="b">
        <v>0</v>
      </c>
      <c r="J49" s="99" t="b">
        <v>0</v>
      </c>
      <c r="K49" s="99" t="b">
        <v>0</v>
      </c>
      <c r="L49" s="99" t="b">
        <v>0</v>
      </c>
      <c r="M49" s="99" t="b">
        <v>0</v>
      </c>
      <c r="N49" s="99" t="b">
        <v>0</v>
      </c>
      <c r="O49" s="16"/>
      <c r="P49" s="16"/>
      <c r="Q49" s="16"/>
      <c r="R49" s="34"/>
      <c r="S49" s="34"/>
      <c r="T49" s="35"/>
      <c r="U49" s="33"/>
    </row>
    <row r="50" spans="1:21" ht="15.75">
      <c r="A50" s="21"/>
      <c r="B50" s="22"/>
      <c r="C50" s="16"/>
      <c r="D50" s="16"/>
      <c r="E5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0" s="33"/>
      <c r="G50" s="99" t="b">
        <v>0</v>
      </c>
      <c r="H50" s="99" t="b">
        <v>0</v>
      </c>
      <c r="I50" s="99" t="b">
        <v>0</v>
      </c>
      <c r="J50" s="99" t="b">
        <v>0</v>
      </c>
      <c r="K50" s="99" t="b">
        <v>0</v>
      </c>
      <c r="L50" s="99" t="b">
        <v>0</v>
      </c>
      <c r="M50" s="99" t="b">
        <v>0</v>
      </c>
      <c r="N50" s="99" t="b">
        <v>0</v>
      </c>
      <c r="O50" s="16"/>
      <c r="P50" s="16"/>
      <c r="Q50" s="16"/>
      <c r="R50" s="34"/>
      <c r="S50" s="34"/>
      <c r="T50" s="35"/>
      <c r="U50" s="33"/>
    </row>
    <row r="51" spans="1:21" ht="15.75">
      <c r="A51" s="21"/>
      <c r="B51" s="22"/>
      <c r="C51" s="16"/>
      <c r="D51" s="16"/>
      <c r="E5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1" s="33"/>
      <c r="G51" s="99" t="b">
        <v>0</v>
      </c>
      <c r="H51" s="99" t="b">
        <v>0</v>
      </c>
      <c r="I51" s="99" t="b">
        <v>0</v>
      </c>
      <c r="J51" s="99" t="b">
        <v>0</v>
      </c>
      <c r="K51" s="99" t="b">
        <v>0</v>
      </c>
      <c r="L51" s="99" t="b">
        <v>0</v>
      </c>
      <c r="M51" s="99" t="b">
        <v>0</v>
      </c>
      <c r="N51" s="99" t="b">
        <v>0</v>
      </c>
      <c r="O51" s="16"/>
      <c r="P51" s="16"/>
      <c r="Q51" s="16"/>
      <c r="R51" s="34"/>
      <c r="S51" s="34"/>
      <c r="T51" s="35"/>
      <c r="U51" s="33"/>
    </row>
    <row r="52" spans="1:21" ht="15.75">
      <c r="A52" s="21"/>
      <c r="B52" s="22"/>
      <c r="C52" s="16"/>
      <c r="D52" s="16"/>
      <c r="E5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2" s="33"/>
      <c r="G52" s="99" t="b">
        <v>0</v>
      </c>
      <c r="H52" s="99" t="b">
        <v>0</v>
      </c>
      <c r="I52" s="99" t="b">
        <v>0</v>
      </c>
      <c r="J52" s="99" t="b">
        <v>0</v>
      </c>
      <c r="K52" s="99" t="b">
        <v>0</v>
      </c>
      <c r="L52" s="99" t="b">
        <v>0</v>
      </c>
      <c r="M52" s="99" t="b">
        <v>0</v>
      </c>
      <c r="N52" s="99" t="b">
        <v>0</v>
      </c>
      <c r="O52" s="16"/>
      <c r="P52" s="16"/>
      <c r="Q52" s="16"/>
      <c r="R52" s="34"/>
      <c r="S52" s="34"/>
      <c r="T52" s="35"/>
      <c r="U52" s="33"/>
    </row>
    <row r="53" spans="1:21" ht="15.75">
      <c r="A53" s="21"/>
      <c r="B53" s="22"/>
      <c r="C53" s="16"/>
      <c r="D53" s="16"/>
      <c r="E5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3" s="33"/>
      <c r="G53" s="99" t="b">
        <v>0</v>
      </c>
      <c r="H53" s="99" t="b">
        <v>0</v>
      </c>
      <c r="I53" s="99" t="b">
        <v>0</v>
      </c>
      <c r="J53" s="99" t="b">
        <v>0</v>
      </c>
      <c r="K53" s="99" t="b">
        <v>0</v>
      </c>
      <c r="L53" s="99" t="b">
        <v>0</v>
      </c>
      <c r="M53" s="99" t="b">
        <v>0</v>
      </c>
      <c r="N53" s="99" t="b">
        <v>0</v>
      </c>
      <c r="O53" s="16"/>
      <c r="P53" s="16"/>
      <c r="Q53" s="16"/>
      <c r="R53" s="34"/>
      <c r="S53" s="34"/>
      <c r="T53" s="35"/>
      <c r="U53" s="33"/>
    </row>
    <row r="54" spans="1:21" ht="15.75">
      <c r="A54" s="21"/>
      <c r="B54" s="22"/>
      <c r="C54" s="16"/>
      <c r="D54" s="16"/>
      <c r="E5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4" s="33"/>
      <c r="G54" s="99" t="b">
        <v>0</v>
      </c>
      <c r="H54" s="99" t="b">
        <v>0</v>
      </c>
      <c r="I54" s="99" t="b">
        <v>0</v>
      </c>
      <c r="J54" s="99" t="b">
        <v>0</v>
      </c>
      <c r="K54" s="99" t="b">
        <v>0</v>
      </c>
      <c r="L54" s="99" t="b">
        <v>0</v>
      </c>
      <c r="M54" s="99" t="b">
        <v>0</v>
      </c>
      <c r="N54" s="99" t="b">
        <v>0</v>
      </c>
      <c r="O54" s="16"/>
      <c r="P54" s="16"/>
      <c r="Q54" s="16"/>
      <c r="R54" s="34"/>
      <c r="S54" s="34"/>
      <c r="T54" s="35"/>
      <c r="U54" s="33"/>
    </row>
    <row r="55" spans="1:21" ht="15.75">
      <c r="A55" s="21"/>
      <c r="B55" s="22"/>
      <c r="C55" s="16"/>
      <c r="D55" s="16"/>
      <c r="E5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5" s="33"/>
      <c r="G55" s="99" t="b">
        <v>0</v>
      </c>
      <c r="H55" s="99" t="b">
        <v>0</v>
      </c>
      <c r="I55" s="99" t="b">
        <v>0</v>
      </c>
      <c r="J55" s="99" t="b">
        <v>0</v>
      </c>
      <c r="K55" s="99" t="b">
        <v>0</v>
      </c>
      <c r="L55" s="99" t="b">
        <v>0</v>
      </c>
      <c r="M55" s="99" t="b">
        <v>0</v>
      </c>
      <c r="N55" s="99" t="b">
        <v>0</v>
      </c>
      <c r="O55" s="16"/>
      <c r="P55" s="16"/>
      <c r="Q55" s="16"/>
      <c r="R55" s="34"/>
      <c r="S55" s="34"/>
      <c r="T55" s="35"/>
      <c r="U55" s="33"/>
    </row>
    <row r="56" spans="1:21" ht="15.75">
      <c r="A56" s="21"/>
      <c r="B56" s="22"/>
      <c r="C56" s="16"/>
      <c r="D56" s="16"/>
      <c r="E5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6" s="33"/>
      <c r="G56" s="99" t="b">
        <v>0</v>
      </c>
      <c r="H56" s="99" t="b">
        <v>0</v>
      </c>
      <c r="I56" s="99" t="b">
        <v>0</v>
      </c>
      <c r="J56" s="99" t="b">
        <v>0</v>
      </c>
      <c r="K56" s="99" t="b">
        <v>0</v>
      </c>
      <c r="L56" s="99" t="b">
        <v>0</v>
      </c>
      <c r="M56" s="99" t="b">
        <v>0</v>
      </c>
      <c r="N56" s="99" t="b">
        <v>0</v>
      </c>
      <c r="O56" s="16"/>
      <c r="P56" s="16"/>
      <c r="Q56" s="16"/>
      <c r="R56" s="34"/>
      <c r="S56" s="34"/>
      <c r="T56" s="35"/>
      <c r="U56" s="33"/>
    </row>
    <row r="57" spans="1:21" ht="15.75">
      <c r="A57" s="21"/>
      <c r="B57" s="22"/>
      <c r="C57" s="16"/>
      <c r="D57" s="16"/>
      <c r="E5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7" s="33"/>
      <c r="G57" s="99" t="b">
        <v>0</v>
      </c>
      <c r="H57" s="99" t="b">
        <v>0</v>
      </c>
      <c r="I57" s="99" t="b">
        <v>0</v>
      </c>
      <c r="J57" s="99" t="b">
        <v>0</v>
      </c>
      <c r="K57" s="99" t="b">
        <v>0</v>
      </c>
      <c r="L57" s="99" t="b">
        <v>0</v>
      </c>
      <c r="M57" s="99" t="b">
        <v>0</v>
      </c>
      <c r="N57" s="99" t="b">
        <v>0</v>
      </c>
      <c r="O57" s="16"/>
      <c r="P57" s="16"/>
      <c r="Q57" s="16"/>
      <c r="R57" s="34"/>
      <c r="S57" s="34"/>
      <c r="T57" s="35"/>
      <c r="U57" s="33"/>
    </row>
    <row r="58" spans="1:21" ht="15.75">
      <c r="A58" s="21"/>
      <c r="B58" s="22"/>
      <c r="C58" s="16"/>
      <c r="D58" s="16"/>
      <c r="E5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8" s="33"/>
      <c r="G58" s="99" t="b">
        <v>0</v>
      </c>
      <c r="H58" s="99" t="b">
        <v>0</v>
      </c>
      <c r="I58" s="99" t="b">
        <v>0</v>
      </c>
      <c r="J58" s="99" t="b">
        <v>0</v>
      </c>
      <c r="K58" s="99" t="b">
        <v>0</v>
      </c>
      <c r="L58" s="99" t="b">
        <v>0</v>
      </c>
      <c r="M58" s="99" t="b">
        <v>0</v>
      </c>
      <c r="N58" s="99" t="b">
        <v>0</v>
      </c>
      <c r="O58" s="16"/>
      <c r="P58" s="16"/>
      <c r="Q58" s="16"/>
      <c r="R58" s="34"/>
      <c r="S58" s="34"/>
      <c r="T58" s="35"/>
      <c r="U58" s="33"/>
    </row>
    <row r="59" spans="1:21" ht="15.75">
      <c r="A59" s="21"/>
      <c r="B59" s="22"/>
      <c r="C59" s="16"/>
      <c r="D59" s="16"/>
      <c r="E5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59" s="33"/>
      <c r="G59" s="99" t="b">
        <v>0</v>
      </c>
      <c r="H59" s="99" t="b">
        <v>0</v>
      </c>
      <c r="I59" s="99" t="b">
        <v>0</v>
      </c>
      <c r="J59" s="99" t="b">
        <v>0</v>
      </c>
      <c r="K59" s="99" t="b">
        <v>0</v>
      </c>
      <c r="L59" s="99" t="b">
        <v>0</v>
      </c>
      <c r="M59" s="99" t="b">
        <v>0</v>
      </c>
      <c r="N59" s="99" t="b">
        <v>0</v>
      </c>
      <c r="O59" s="16"/>
      <c r="P59" s="16"/>
      <c r="Q59" s="16"/>
      <c r="R59" s="34"/>
      <c r="S59" s="34"/>
      <c r="T59" s="35"/>
      <c r="U59" s="33"/>
    </row>
    <row r="60" spans="1:21" ht="15.75">
      <c r="A60" s="21"/>
      <c r="B60" s="22"/>
      <c r="C60" s="16"/>
      <c r="D60" s="16"/>
      <c r="E6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0" s="33"/>
      <c r="G60" s="99" t="b">
        <v>0</v>
      </c>
      <c r="H60" s="99" t="b">
        <v>0</v>
      </c>
      <c r="I60" s="99" t="b">
        <v>0</v>
      </c>
      <c r="J60" s="99" t="b">
        <v>0</v>
      </c>
      <c r="K60" s="99" t="b">
        <v>0</v>
      </c>
      <c r="L60" s="99" t="b">
        <v>0</v>
      </c>
      <c r="M60" s="99" t="b">
        <v>0</v>
      </c>
      <c r="N60" s="99" t="b">
        <v>0</v>
      </c>
      <c r="O60" s="16"/>
      <c r="P60" s="16"/>
      <c r="Q60" s="16"/>
      <c r="R60" s="34"/>
      <c r="S60" s="34"/>
      <c r="T60" s="35"/>
      <c r="U60" s="33"/>
    </row>
    <row r="61" spans="1:21" ht="15.75">
      <c r="A61" s="21"/>
      <c r="B61" s="22"/>
      <c r="C61" s="16"/>
      <c r="D61" s="16"/>
      <c r="E6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1" s="33"/>
      <c r="G61" s="99" t="b">
        <v>0</v>
      </c>
      <c r="H61" s="99" t="b">
        <v>0</v>
      </c>
      <c r="I61" s="99" t="b">
        <v>0</v>
      </c>
      <c r="J61" s="99" t="b">
        <v>0</v>
      </c>
      <c r="K61" s="99" t="b">
        <v>0</v>
      </c>
      <c r="L61" s="99" t="b">
        <v>0</v>
      </c>
      <c r="M61" s="99" t="b">
        <v>0</v>
      </c>
      <c r="N61" s="99" t="b">
        <v>0</v>
      </c>
      <c r="O61" s="16"/>
      <c r="P61" s="16"/>
      <c r="Q61" s="16"/>
      <c r="R61" s="34"/>
      <c r="S61" s="34"/>
      <c r="T61" s="35"/>
      <c r="U61" s="33"/>
    </row>
    <row r="62" spans="1:21" ht="15.75">
      <c r="A62" s="21"/>
      <c r="B62" s="22"/>
      <c r="C62" s="16"/>
      <c r="D62" s="16"/>
      <c r="E6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2" s="33"/>
      <c r="G62" s="99" t="b">
        <v>0</v>
      </c>
      <c r="H62" s="99" t="b">
        <v>0</v>
      </c>
      <c r="I62" s="99" t="b">
        <v>0</v>
      </c>
      <c r="J62" s="99" t="b">
        <v>0</v>
      </c>
      <c r="K62" s="99" t="b">
        <v>0</v>
      </c>
      <c r="L62" s="99" t="b">
        <v>0</v>
      </c>
      <c r="M62" s="99" t="b">
        <v>0</v>
      </c>
      <c r="N62" s="99" t="b">
        <v>0</v>
      </c>
      <c r="O62" s="16"/>
      <c r="P62" s="16"/>
      <c r="Q62" s="16"/>
      <c r="R62" s="34"/>
      <c r="S62" s="34"/>
      <c r="T62" s="35"/>
      <c r="U62" s="33"/>
    </row>
    <row r="63" spans="1:21" ht="15.75">
      <c r="A63" s="21"/>
      <c r="B63" s="22"/>
      <c r="C63" s="16"/>
      <c r="D63" s="16"/>
      <c r="E6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3" s="33"/>
      <c r="G63" s="99" t="b">
        <v>0</v>
      </c>
      <c r="H63" s="99" t="b">
        <v>0</v>
      </c>
      <c r="I63" s="99" t="b">
        <v>0</v>
      </c>
      <c r="J63" s="99" t="b">
        <v>0</v>
      </c>
      <c r="K63" s="99" t="b">
        <v>0</v>
      </c>
      <c r="L63" s="99" t="b">
        <v>0</v>
      </c>
      <c r="M63" s="99" t="b">
        <v>0</v>
      </c>
      <c r="N63" s="99" t="b">
        <v>0</v>
      </c>
      <c r="O63" s="16"/>
      <c r="P63" s="16"/>
      <c r="Q63" s="16"/>
      <c r="R63" s="34"/>
      <c r="S63" s="34"/>
      <c r="T63" s="35"/>
      <c r="U63" s="33"/>
    </row>
    <row r="64" spans="1:21" ht="15.75">
      <c r="A64" s="21"/>
      <c r="B64" s="22"/>
      <c r="C64" s="16"/>
      <c r="D64" s="16"/>
      <c r="E6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4" s="33"/>
      <c r="G64" s="99" t="b">
        <v>0</v>
      </c>
      <c r="H64" s="99" t="b">
        <v>0</v>
      </c>
      <c r="I64" s="99" t="b">
        <v>0</v>
      </c>
      <c r="J64" s="99" t="b">
        <v>0</v>
      </c>
      <c r="K64" s="99" t="b">
        <v>0</v>
      </c>
      <c r="L64" s="99" t="b">
        <v>0</v>
      </c>
      <c r="M64" s="99" t="b">
        <v>0</v>
      </c>
      <c r="N64" s="99" t="b">
        <v>0</v>
      </c>
      <c r="O64" s="16"/>
      <c r="P64" s="16"/>
      <c r="Q64" s="16"/>
      <c r="R64" s="34"/>
      <c r="S64" s="34"/>
      <c r="T64" s="35"/>
      <c r="U64" s="33"/>
    </row>
    <row r="65" spans="1:21" ht="15.75">
      <c r="A65" s="21"/>
      <c r="B65" s="22"/>
      <c r="C65" s="16"/>
      <c r="D65" s="16"/>
      <c r="E6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5" s="33"/>
      <c r="G65" s="99" t="b">
        <v>0</v>
      </c>
      <c r="H65" s="99" t="b">
        <v>0</v>
      </c>
      <c r="I65" s="99" t="b">
        <v>0</v>
      </c>
      <c r="J65" s="99" t="b">
        <v>0</v>
      </c>
      <c r="K65" s="99" t="b">
        <v>0</v>
      </c>
      <c r="L65" s="99" t="b">
        <v>0</v>
      </c>
      <c r="M65" s="99" t="b">
        <v>0</v>
      </c>
      <c r="N65" s="99" t="b">
        <v>0</v>
      </c>
      <c r="O65" s="16"/>
      <c r="P65" s="16"/>
      <c r="Q65" s="16"/>
      <c r="R65" s="34"/>
      <c r="S65" s="34"/>
      <c r="T65" s="35"/>
      <c r="U65" s="33"/>
    </row>
    <row r="66" spans="1:21" ht="15.75">
      <c r="A66" s="21"/>
      <c r="B66" s="22"/>
      <c r="C66" s="16"/>
      <c r="D66" s="16"/>
      <c r="E6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6" s="33"/>
      <c r="G66" s="99" t="b">
        <v>0</v>
      </c>
      <c r="H66" s="99" t="b">
        <v>0</v>
      </c>
      <c r="I66" s="99" t="b">
        <v>0</v>
      </c>
      <c r="J66" s="99" t="b">
        <v>0</v>
      </c>
      <c r="K66" s="99" t="b">
        <v>0</v>
      </c>
      <c r="L66" s="99" t="b">
        <v>0</v>
      </c>
      <c r="M66" s="99" t="b">
        <v>0</v>
      </c>
      <c r="N66" s="99" t="b">
        <v>0</v>
      </c>
      <c r="O66" s="16"/>
      <c r="P66" s="16"/>
      <c r="Q66" s="16"/>
      <c r="R66" s="34"/>
      <c r="S66" s="34"/>
      <c r="T66" s="35"/>
      <c r="U66" s="33"/>
    </row>
    <row r="67" spans="1:21" ht="15.75">
      <c r="A67" s="21"/>
      <c r="B67" s="22"/>
      <c r="C67" s="16"/>
      <c r="D67" s="16"/>
      <c r="E6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7" s="33"/>
      <c r="G67" s="99" t="b">
        <v>0</v>
      </c>
      <c r="H67" s="99" t="b">
        <v>0</v>
      </c>
      <c r="I67" s="99" t="b">
        <v>0</v>
      </c>
      <c r="J67" s="99" t="b">
        <v>0</v>
      </c>
      <c r="K67" s="99" t="b">
        <v>0</v>
      </c>
      <c r="L67" s="99" t="b">
        <v>0</v>
      </c>
      <c r="M67" s="99" t="b">
        <v>0</v>
      </c>
      <c r="N67" s="99" t="b">
        <v>0</v>
      </c>
      <c r="O67" s="16"/>
      <c r="P67" s="16"/>
      <c r="Q67" s="16"/>
      <c r="R67" s="34"/>
      <c r="S67" s="34"/>
      <c r="T67" s="35"/>
      <c r="U67" s="33"/>
    </row>
    <row r="68" spans="1:21" ht="15.75">
      <c r="A68" s="21"/>
      <c r="B68" s="22"/>
      <c r="C68" s="16"/>
      <c r="D68" s="16"/>
      <c r="E6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8" s="33"/>
      <c r="G68" s="99" t="b">
        <v>0</v>
      </c>
      <c r="H68" s="99" t="b">
        <v>0</v>
      </c>
      <c r="I68" s="99" t="b">
        <v>0</v>
      </c>
      <c r="J68" s="99" t="b">
        <v>0</v>
      </c>
      <c r="K68" s="99" t="b">
        <v>0</v>
      </c>
      <c r="L68" s="99" t="b">
        <v>0</v>
      </c>
      <c r="M68" s="99" t="b">
        <v>0</v>
      </c>
      <c r="N68" s="99" t="b">
        <v>0</v>
      </c>
      <c r="O68" s="16"/>
      <c r="P68" s="16"/>
      <c r="Q68" s="16"/>
      <c r="R68" s="34"/>
      <c r="S68" s="34"/>
      <c r="T68" s="35"/>
      <c r="U68" s="33"/>
    </row>
    <row r="69" spans="1:21" ht="15.75">
      <c r="A69" s="21"/>
      <c r="B69" s="22"/>
      <c r="C69" s="16"/>
      <c r="D69" s="16"/>
      <c r="E6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69" s="33"/>
      <c r="G69" s="99" t="b">
        <v>0</v>
      </c>
      <c r="H69" s="99" t="b">
        <v>0</v>
      </c>
      <c r="I69" s="99" t="b">
        <v>0</v>
      </c>
      <c r="J69" s="99" t="b">
        <v>0</v>
      </c>
      <c r="K69" s="99" t="b">
        <v>0</v>
      </c>
      <c r="L69" s="99" t="b">
        <v>0</v>
      </c>
      <c r="M69" s="99" t="b">
        <v>0</v>
      </c>
      <c r="N69" s="99" t="b">
        <v>0</v>
      </c>
      <c r="O69" s="16"/>
      <c r="P69" s="16"/>
      <c r="Q69" s="16"/>
      <c r="R69" s="34"/>
      <c r="S69" s="34"/>
      <c r="T69" s="35"/>
      <c r="U69" s="33"/>
    </row>
    <row r="70" spans="1:21" ht="15.75">
      <c r="A70" s="21"/>
      <c r="B70" s="22"/>
      <c r="C70" s="16"/>
      <c r="D70" s="16"/>
      <c r="E7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0" s="33"/>
      <c r="G70" s="99" t="b">
        <v>0</v>
      </c>
      <c r="H70" s="99" t="b">
        <v>0</v>
      </c>
      <c r="I70" s="99" t="b">
        <v>0</v>
      </c>
      <c r="J70" s="99" t="b">
        <v>0</v>
      </c>
      <c r="K70" s="99" t="b">
        <v>0</v>
      </c>
      <c r="L70" s="99" t="b">
        <v>0</v>
      </c>
      <c r="M70" s="99" t="b">
        <v>0</v>
      </c>
      <c r="N70" s="99" t="b">
        <v>0</v>
      </c>
      <c r="O70" s="16"/>
      <c r="P70" s="16"/>
      <c r="Q70" s="16"/>
      <c r="R70" s="34"/>
      <c r="S70" s="34"/>
      <c r="T70" s="35"/>
      <c r="U70" s="33"/>
    </row>
    <row r="71" spans="1:21" ht="15.75">
      <c r="A71" s="21"/>
      <c r="B71" s="22"/>
      <c r="C71" s="16"/>
      <c r="D71" s="16"/>
      <c r="E7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1" s="33"/>
      <c r="G71" s="99" t="b">
        <v>0</v>
      </c>
      <c r="H71" s="99" t="b">
        <v>0</v>
      </c>
      <c r="I71" s="99" t="b">
        <v>0</v>
      </c>
      <c r="J71" s="99" t="b">
        <v>0</v>
      </c>
      <c r="K71" s="99" t="b">
        <v>0</v>
      </c>
      <c r="L71" s="99" t="b">
        <v>0</v>
      </c>
      <c r="M71" s="99" t="b">
        <v>0</v>
      </c>
      <c r="N71" s="99" t="b">
        <v>0</v>
      </c>
      <c r="O71" s="16"/>
      <c r="P71" s="16"/>
      <c r="Q71" s="16"/>
      <c r="R71" s="34"/>
      <c r="S71" s="34"/>
      <c r="T71" s="35"/>
      <c r="U71" s="33"/>
    </row>
    <row r="72" spans="1:21" ht="15.75">
      <c r="A72" s="21"/>
      <c r="B72" s="22"/>
      <c r="C72" s="16"/>
      <c r="D72" s="16"/>
      <c r="E7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2" s="33"/>
      <c r="G72" s="99" t="b">
        <v>0</v>
      </c>
      <c r="H72" s="99" t="b">
        <v>0</v>
      </c>
      <c r="I72" s="99" t="b">
        <v>0</v>
      </c>
      <c r="J72" s="99" t="b">
        <v>0</v>
      </c>
      <c r="K72" s="99" t="b">
        <v>0</v>
      </c>
      <c r="L72" s="99" t="b">
        <v>0</v>
      </c>
      <c r="M72" s="99" t="b">
        <v>0</v>
      </c>
      <c r="N72" s="99" t="b">
        <v>0</v>
      </c>
      <c r="O72" s="16"/>
      <c r="P72" s="16"/>
      <c r="Q72" s="16"/>
      <c r="R72" s="34"/>
      <c r="S72" s="34"/>
      <c r="T72" s="35"/>
      <c r="U72" s="33"/>
    </row>
    <row r="73" spans="1:21" ht="15.75">
      <c r="A73" s="21"/>
      <c r="B73" s="22"/>
      <c r="C73" s="16"/>
      <c r="D73" s="16"/>
      <c r="E7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3" s="33"/>
      <c r="G73" s="99" t="b">
        <v>0</v>
      </c>
      <c r="H73" s="99" t="b">
        <v>0</v>
      </c>
      <c r="I73" s="99" t="b">
        <v>0</v>
      </c>
      <c r="J73" s="99" t="b">
        <v>0</v>
      </c>
      <c r="K73" s="99" t="b">
        <v>0</v>
      </c>
      <c r="L73" s="99" t="b">
        <v>0</v>
      </c>
      <c r="M73" s="99" t="b">
        <v>0</v>
      </c>
      <c r="N73" s="99" t="b">
        <v>0</v>
      </c>
      <c r="O73" s="16"/>
      <c r="P73" s="16"/>
      <c r="Q73" s="16"/>
      <c r="R73" s="34"/>
      <c r="S73" s="34"/>
      <c r="T73" s="35"/>
      <c r="U73" s="33"/>
    </row>
    <row r="74" spans="1:21" ht="15.75">
      <c r="A74" s="21"/>
      <c r="B74" s="22"/>
      <c r="C74" s="16"/>
      <c r="D74" s="16"/>
      <c r="E7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4" s="33"/>
      <c r="G74" s="99" t="b">
        <v>0</v>
      </c>
      <c r="H74" s="99" t="b">
        <v>0</v>
      </c>
      <c r="I74" s="99" t="b">
        <v>0</v>
      </c>
      <c r="J74" s="99" t="b">
        <v>0</v>
      </c>
      <c r="K74" s="99" t="b">
        <v>0</v>
      </c>
      <c r="L74" s="99" t="b">
        <v>0</v>
      </c>
      <c r="M74" s="99" t="b">
        <v>0</v>
      </c>
      <c r="N74" s="99" t="b">
        <v>0</v>
      </c>
      <c r="O74" s="16"/>
      <c r="P74" s="16"/>
      <c r="Q74" s="16"/>
      <c r="R74" s="34"/>
      <c r="S74" s="34"/>
      <c r="T74" s="35"/>
      <c r="U74" s="33"/>
    </row>
    <row r="75" spans="1:21" ht="15.75">
      <c r="A75" s="21"/>
      <c r="B75" s="22"/>
      <c r="C75" s="16"/>
      <c r="D75" s="16"/>
      <c r="E7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5" s="33"/>
      <c r="G75" s="99" t="b">
        <v>0</v>
      </c>
      <c r="H75" s="99" t="b">
        <v>0</v>
      </c>
      <c r="I75" s="99" t="b">
        <v>0</v>
      </c>
      <c r="J75" s="99" t="b">
        <v>0</v>
      </c>
      <c r="K75" s="99" t="b">
        <v>0</v>
      </c>
      <c r="L75" s="99" t="b">
        <v>0</v>
      </c>
      <c r="M75" s="99" t="b">
        <v>0</v>
      </c>
      <c r="N75" s="99" t="b">
        <v>0</v>
      </c>
      <c r="O75" s="16"/>
      <c r="P75" s="16"/>
      <c r="Q75" s="16"/>
      <c r="R75" s="34"/>
      <c r="S75" s="34"/>
      <c r="T75" s="35"/>
      <c r="U75" s="33"/>
    </row>
    <row r="76" spans="1:21" ht="15.75">
      <c r="A76" s="21"/>
      <c r="B76" s="22"/>
      <c r="C76" s="16"/>
      <c r="D76" s="16"/>
      <c r="E7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6" s="33"/>
      <c r="G76" s="99" t="b">
        <v>0</v>
      </c>
      <c r="H76" s="99" t="b">
        <v>0</v>
      </c>
      <c r="I76" s="99" t="b">
        <v>0</v>
      </c>
      <c r="J76" s="99" t="b">
        <v>0</v>
      </c>
      <c r="K76" s="99" t="b">
        <v>0</v>
      </c>
      <c r="L76" s="99" t="b">
        <v>0</v>
      </c>
      <c r="M76" s="99" t="b">
        <v>0</v>
      </c>
      <c r="N76" s="99" t="b">
        <v>0</v>
      </c>
      <c r="O76" s="16"/>
      <c r="P76" s="16"/>
      <c r="Q76" s="16"/>
      <c r="R76" s="34"/>
      <c r="S76" s="34"/>
      <c r="T76" s="35"/>
      <c r="U76" s="33"/>
    </row>
    <row r="77" spans="1:21" ht="15.75">
      <c r="A77" s="21"/>
      <c r="B77" s="22"/>
      <c r="C77" s="16"/>
      <c r="D77" s="16"/>
      <c r="E7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7" s="33"/>
      <c r="G77" s="99" t="b">
        <v>0</v>
      </c>
      <c r="H77" s="99" t="b">
        <v>0</v>
      </c>
      <c r="I77" s="99" t="b">
        <v>0</v>
      </c>
      <c r="J77" s="99" t="b">
        <v>0</v>
      </c>
      <c r="K77" s="99" t="b">
        <v>0</v>
      </c>
      <c r="L77" s="99" t="b">
        <v>0</v>
      </c>
      <c r="M77" s="99" t="b">
        <v>0</v>
      </c>
      <c r="N77" s="99" t="b">
        <v>0</v>
      </c>
      <c r="O77" s="16"/>
      <c r="P77" s="16"/>
      <c r="Q77" s="16"/>
      <c r="R77" s="34"/>
      <c r="S77" s="34"/>
      <c r="T77" s="35"/>
      <c r="U77" s="33"/>
    </row>
    <row r="78" spans="1:21" ht="15.75">
      <c r="A78" s="21"/>
      <c r="B78" s="22"/>
      <c r="C78" s="16"/>
      <c r="D78" s="16"/>
      <c r="E7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8" s="33"/>
      <c r="G78" s="99" t="b">
        <v>0</v>
      </c>
      <c r="H78" s="99" t="b">
        <v>0</v>
      </c>
      <c r="I78" s="99" t="b">
        <v>0</v>
      </c>
      <c r="J78" s="99" t="b">
        <v>0</v>
      </c>
      <c r="K78" s="99" t="b">
        <v>0</v>
      </c>
      <c r="L78" s="99" t="b">
        <v>0</v>
      </c>
      <c r="M78" s="99" t="b">
        <v>0</v>
      </c>
      <c r="N78" s="99" t="b">
        <v>0</v>
      </c>
      <c r="O78" s="16"/>
      <c r="P78" s="16"/>
      <c r="Q78" s="16"/>
      <c r="R78" s="34"/>
      <c r="S78" s="34"/>
      <c r="T78" s="35"/>
      <c r="U78" s="33"/>
    </row>
    <row r="79" spans="1:21" ht="15.75">
      <c r="A79" s="21"/>
      <c r="B79" s="22"/>
      <c r="C79" s="16"/>
      <c r="D79" s="16"/>
      <c r="E7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79" s="33"/>
      <c r="G79" s="99" t="b">
        <v>0</v>
      </c>
      <c r="H79" s="99" t="b">
        <v>0</v>
      </c>
      <c r="I79" s="99" t="b">
        <v>0</v>
      </c>
      <c r="J79" s="99" t="b">
        <v>0</v>
      </c>
      <c r="K79" s="99" t="b">
        <v>0</v>
      </c>
      <c r="L79" s="99" t="b">
        <v>0</v>
      </c>
      <c r="M79" s="99" t="b">
        <v>0</v>
      </c>
      <c r="N79" s="99" t="b">
        <v>0</v>
      </c>
      <c r="O79" s="16"/>
      <c r="P79" s="16"/>
      <c r="Q79" s="16"/>
      <c r="R79" s="34"/>
      <c r="S79" s="34"/>
      <c r="T79" s="35"/>
      <c r="U79" s="33"/>
    </row>
    <row r="80" spans="1:21" ht="15.75">
      <c r="A80" s="21"/>
      <c r="B80" s="22"/>
      <c r="C80" s="16"/>
      <c r="D80" s="16"/>
      <c r="E8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0" s="33"/>
      <c r="G80" s="99" t="b">
        <v>0</v>
      </c>
      <c r="H80" s="99" t="b">
        <v>0</v>
      </c>
      <c r="I80" s="99" t="b">
        <v>0</v>
      </c>
      <c r="J80" s="99" t="b">
        <v>0</v>
      </c>
      <c r="K80" s="99" t="b">
        <v>0</v>
      </c>
      <c r="L80" s="99" t="b">
        <v>0</v>
      </c>
      <c r="M80" s="99" t="b">
        <v>0</v>
      </c>
      <c r="N80" s="99" t="b">
        <v>0</v>
      </c>
      <c r="O80" s="16"/>
      <c r="P80" s="16"/>
      <c r="Q80" s="16"/>
      <c r="R80" s="34"/>
      <c r="S80" s="34"/>
      <c r="T80" s="35"/>
      <c r="U80" s="33"/>
    </row>
    <row r="81" spans="1:21" ht="15.75">
      <c r="A81" s="21"/>
      <c r="B81" s="22"/>
      <c r="C81" s="16"/>
      <c r="D81" s="16"/>
      <c r="E8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1" s="33"/>
      <c r="G81" s="99" t="b">
        <v>0</v>
      </c>
      <c r="H81" s="99" t="b">
        <v>0</v>
      </c>
      <c r="I81" s="99" t="b">
        <v>0</v>
      </c>
      <c r="J81" s="99" t="b">
        <v>0</v>
      </c>
      <c r="K81" s="99" t="b">
        <v>0</v>
      </c>
      <c r="L81" s="99" t="b">
        <v>0</v>
      </c>
      <c r="M81" s="99" t="b">
        <v>0</v>
      </c>
      <c r="N81" s="99" t="b">
        <v>0</v>
      </c>
      <c r="O81" s="16"/>
      <c r="P81" s="16"/>
      <c r="Q81" s="16"/>
      <c r="R81" s="34"/>
      <c r="S81" s="34"/>
      <c r="T81" s="35"/>
      <c r="U81" s="33"/>
    </row>
    <row r="82" spans="1:21" ht="15.75">
      <c r="A82" s="21"/>
      <c r="B82" s="22"/>
      <c r="C82" s="16"/>
      <c r="D82" s="16"/>
      <c r="E8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2" s="33"/>
      <c r="G82" s="99" t="b">
        <v>0</v>
      </c>
      <c r="H82" s="99" t="b">
        <v>0</v>
      </c>
      <c r="I82" s="99" t="b">
        <v>0</v>
      </c>
      <c r="J82" s="99" t="b">
        <v>0</v>
      </c>
      <c r="K82" s="99" t="b">
        <v>0</v>
      </c>
      <c r="L82" s="99" t="b">
        <v>0</v>
      </c>
      <c r="M82" s="99" t="b">
        <v>0</v>
      </c>
      <c r="N82" s="99" t="b">
        <v>0</v>
      </c>
      <c r="O82" s="16"/>
      <c r="P82" s="16"/>
      <c r="Q82" s="16"/>
      <c r="R82" s="34"/>
      <c r="S82" s="34"/>
      <c r="T82" s="35"/>
      <c r="U82" s="33"/>
    </row>
    <row r="83" spans="1:21" ht="15.75">
      <c r="A83" s="21"/>
      <c r="B83" s="22"/>
      <c r="C83" s="16"/>
      <c r="D83" s="16"/>
      <c r="E8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3" s="33"/>
      <c r="G83" s="99" t="b">
        <v>0</v>
      </c>
      <c r="H83" s="99" t="b">
        <v>0</v>
      </c>
      <c r="I83" s="99" t="b">
        <v>0</v>
      </c>
      <c r="J83" s="99" t="b">
        <v>0</v>
      </c>
      <c r="K83" s="99" t="b">
        <v>0</v>
      </c>
      <c r="L83" s="99" t="b">
        <v>0</v>
      </c>
      <c r="M83" s="99" t="b">
        <v>0</v>
      </c>
      <c r="N83" s="99" t="b">
        <v>0</v>
      </c>
      <c r="O83" s="16"/>
      <c r="P83" s="16"/>
      <c r="Q83" s="16"/>
      <c r="R83" s="34"/>
      <c r="S83" s="34"/>
      <c r="T83" s="35"/>
      <c r="U83" s="33"/>
    </row>
    <row r="84" spans="1:21" ht="15.75">
      <c r="A84" s="21"/>
      <c r="B84" s="22"/>
      <c r="C84" s="16"/>
      <c r="D84" s="16"/>
      <c r="E8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4" s="33"/>
      <c r="G84" s="99" t="b">
        <v>0</v>
      </c>
      <c r="H84" s="99" t="b">
        <v>0</v>
      </c>
      <c r="I84" s="99" t="b">
        <v>0</v>
      </c>
      <c r="J84" s="99" t="b">
        <v>0</v>
      </c>
      <c r="K84" s="99" t="b">
        <v>0</v>
      </c>
      <c r="L84" s="99" t="b">
        <v>0</v>
      </c>
      <c r="M84" s="99" t="b">
        <v>0</v>
      </c>
      <c r="N84" s="99" t="b">
        <v>0</v>
      </c>
      <c r="O84" s="16"/>
      <c r="P84" s="16"/>
      <c r="Q84" s="16"/>
      <c r="R84" s="34"/>
      <c r="S84" s="34"/>
      <c r="T84" s="35"/>
      <c r="U84" s="33"/>
    </row>
    <row r="85" spans="1:21" ht="15.75">
      <c r="A85" s="21"/>
      <c r="B85" s="22"/>
      <c r="C85" s="16"/>
      <c r="D85" s="16"/>
      <c r="E8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5" s="33"/>
      <c r="G85" s="99" t="b">
        <v>0</v>
      </c>
      <c r="H85" s="99" t="b">
        <v>0</v>
      </c>
      <c r="I85" s="99" t="b">
        <v>0</v>
      </c>
      <c r="J85" s="99" t="b">
        <v>0</v>
      </c>
      <c r="K85" s="99" t="b">
        <v>0</v>
      </c>
      <c r="L85" s="99" t="b">
        <v>0</v>
      </c>
      <c r="M85" s="99" t="b">
        <v>0</v>
      </c>
      <c r="N85" s="99" t="b">
        <v>0</v>
      </c>
      <c r="O85" s="16"/>
      <c r="P85" s="16"/>
      <c r="Q85" s="16"/>
      <c r="R85" s="34"/>
      <c r="S85" s="34"/>
      <c r="T85" s="35"/>
      <c r="U85" s="33"/>
    </row>
    <row r="86" spans="1:21" ht="15.75">
      <c r="A86" s="21"/>
      <c r="B86" s="22"/>
      <c r="C86" s="16"/>
      <c r="D86" s="16"/>
      <c r="E8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6" s="33"/>
      <c r="G86" s="99" t="b">
        <v>0</v>
      </c>
      <c r="H86" s="99" t="b">
        <v>0</v>
      </c>
      <c r="I86" s="99" t="b">
        <v>0</v>
      </c>
      <c r="J86" s="99" t="b">
        <v>0</v>
      </c>
      <c r="K86" s="99" t="b">
        <v>0</v>
      </c>
      <c r="L86" s="99" t="b">
        <v>0</v>
      </c>
      <c r="M86" s="99" t="b">
        <v>0</v>
      </c>
      <c r="N86" s="99" t="b">
        <v>0</v>
      </c>
      <c r="O86" s="16"/>
      <c r="P86" s="16"/>
      <c r="Q86" s="16"/>
      <c r="R86" s="34"/>
      <c r="S86" s="34"/>
      <c r="T86" s="35"/>
      <c r="U86" s="33"/>
    </row>
    <row r="87" spans="1:21" ht="15.75">
      <c r="A87" s="21"/>
      <c r="B87" s="22"/>
      <c r="C87" s="16"/>
      <c r="D87" s="16"/>
      <c r="E8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7" s="33"/>
      <c r="G87" s="99" t="b">
        <v>0</v>
      </c>
      <c r="H87" s="99" t="b">
        <v>0</v>
      </c>
      <c r="I87" s="99" t="b">
        <v>0</v>
      </c>
      <c r="J87" s="99" t="b">
        <v>0</v>
      </c>
      <c r="K87" s="99" t="b">
        <v>0</v>
      </c>
      <c r="L87" s="99" t="b">
        <v>0</v>
      </c>
      <c r="M87" s="99" t="b">
        <v>0</v>
      </c>
      <c r="N87" s="99" t="b">
        <v>0</v>
      </c>
      <c r="O87" s="16"/>
      <c r="P87" s="16"/>
      <c r="Q87" s="16"/>
      <c r="R87" s="34"/>
      <c r="S87" s="34"/>
      <c r="T87" s="35"/>
      <c r="U87" s="33"/>
    </row>
    <row r="88" spans="1:21" ht="15.75">
      <c r="A88" s="21"/>
      <c r="B88" s="22"/>
      <c r="C88" s="16"/>
      <c r="D88" s="16"/>
      <c r="E8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8" s="33"/>
      <c r="G88" s="99" t="b">
        <v>0</v>
      </c>
      <c r="H88" s="99" t="b">
        <v>0</v>
      </c>
      <c r="I88" s="99" t="b">
        <v>0</v>
      </c>
      <c r="J88" s="99" t="b">
        <v>0</v>
      </c>
      <c r="K88" s="99" t="b">
        <v>0</v>
      </c>
      <c r="L88" s="99" t="b">
        <v>0</v>
      </c>
      <c r="M88" s="99" t="b">
        <v>0</v>
      </c>
      <c r="N88" s="99" t="b">
        <v>0</v>
      </c>
      <c r="O88" s="16"/>
      <c r="P88" s="16"/>
      <c r="Q88" s="16"/>
      <c r="R88" s="34"/>
      <c r="S88" s="34"/>
      <c r="T88" s="35"/>
      <c r="U88" s="33"/>
    </row>
    <row r="89" spans="1:21" ht="15.75">
      <c r="A89" s="21"/>
      <c r="B89" s="22"/>
      <c r="C89" s="16"/>
      <c r="D89" s="16"/>
      <c r="E8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89" s="33"/>
      <c r="G89" s="99" t="b">
        <v>0</v>
      </c>
      <c r="H89" s="99" t="b">
        <v>0</v>
      </c>
      <c r="I89" s="99" t="b">
        <v>0</v>
      </c>
      <c r="J89" s="99" t="b">
        <v>0</v>
      </c>
      <c r="K89" s="99" t="b">
        <v>0</v>
      </c>
      <c r="L89" s="99" t="b">
        <v>0</v>
      </c>
      <c r="M89" s="99" t="b">
        <v>0</v>
      </c>
      <c r="N89" s="99" t="b">
        <v>0</v>
      </c>
      <c r="O89" s="16"/>
      <c r="P89" s="16"/>
      <c r="Q89" s="16"/>
      <c r="R89" s="34"/>
      <c r="S89" s="34"/>
      <c r="T89" s="35"/>
      <c r="U89" s="33"/>
    </row>
    <row r="90" spans="1:21" ht="15.75">
      <c r="A90" s="21"/>
      <c r="B90" s="22"/>
      <c r="C90" s="16"/>
      <c r="D90" s="16"/>
      <c r="E9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0" s="33"/>
      <c r="G90" s="99" t="b">
        <v>0</v>
      </c>
      <c r="H90" s="99" t="b">
        <v>0</v>
      </c>
      <c r="I90" s="99" t="b">
        <v>0</v>
      </c>
      <c r="J90" s="99" t="b">
        <v>0</v>
      </c>
      <c r="K90" s="99" t="b">
        <v>0</v>
      </c>
      <c r="L90" s="99" t="b">
        <v>0</v>
      </c>
      <c r="M90" s="99" t="b">
        <v>0</v>
      </c>
      <c r="N90" s="99" t="b">
        <v>0</v>
      </c>
      <c r="O90" s="16"/>
      <c r="P90" s="16"/>
      <c r="Q90" s="16"/>
      <c r="R90" s="34"/>
      <c r="S90" s="34"/>
      <c r="T90" s="35"/>
      <c r="U90" s="33"/>
    </row>
    <row r="91" spans="1:21" ht="15.75">
      <c r="A91" s="21"/>
      <c r="B91" s="22"/>
      <c r="C91" s="16"/>
      <c r="D91" s="16"/>
      <c r="E9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1" s="33"/>
      <c r="G91" s="99" t="b">
        <v>0</v>
      </c>
      <c r="H91" s="99" t="b">
        <v>0</v>
      </c>
      <c r="I91" s="99" t="b">
        <v>0</v>
      </c>
      <c r="J91" s="99" t="b">
        <v>0</v>
      </c>
      <c r="K91" s="99" t="b">
        <v>0</v>
      </c>
      <c r="L91" s="99" t="b">
        <v>0</v>
      </c>
      <c r="M91" s="99" t="b">
        <v>0</v>
      </c>
      <c r="N91" s="99" t="b">
        <v>0</v>
      </c>
      <c r="O91" s="16"/>
      <c r="P91" s="16"/>
      <c r="Q91" s="16"/>
      <c r="R91" s="34"/>
      <c r="S91" s="34"/>
      <c r="T91" s="35"/>
      <c r="U91" s="33"/>
    </row>
    <row r="92" spans="1:21" ht="15.75">
      <c r="A92" s="21"/>
      <c r="B92" s="22"/>
      <c r="C92" s="16"/>
      <c r="D92" s="16"/>
      <c r="E9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2" s="33"/>
      <c r="G92" s="99" t="b">
        <v>0</v>
      </c>
      <c r="H92" s="99" t="b">
        <v>0</v>
      </c>
      <c r="I92" s="99" t="b">
        <v>0</v>
      </c>
      <c r="J92" s="99" t="b">
        <v>0</v>
      </c>
      <c r="K92" s="99" t="b">
        <v>0</v>
      </c>
      <c r="L92" s="99" t="b">
        <v>0</v>
      </c>
      <c r="M92" s="99" t="b">
        <v>0</v>
      </c>
      <c r="N92" s="99" t="b">
        <v>0</v>
      </c>
      <c r="O92" s="16"/>
      <c r="P92" s="16"/>
      <c r="Q92" s="16"/>
      <c r="R92" s="34"/>
      <c r="S92" s="34"/>
      <c r="T92" s="35"/>
      <c r="U92" s="33"/>
    </row>
    <row r="93" spans="1:21" ht="15.75">
      <c r="A93" s="21"/>
      <c r="B93" s="22"/>
      <c r="C93" s="16"/>
      <c r="D93" s="16"/>
      <c r="E9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3" s="33"/>
      <c r="G93" s="99" t="b">
        <v>0</v>
      </c>
      <c r="H93" s="99" t="b">
        <v>0</v>
      </c>
      <c r="I93" s="99" t="b">
        <v>0</v>
      </c>
      <c r="J93" s="99" t="b">
        <v>0</v>
      </c>
      <c r="K93" s="99" t="b">
        <v>0</v>
      </c>
      <c r="L93" s="99" t="b">
        <v>0</v>
      </c>
      <c r="M93" s="99" t="b">
        <v>0</v>
      </c>
      <c r="N93" s="99" t="b">
        <v>0</v>
      </c>
      <c r="O93" s="16"/>
      <c r="P93" s="16"/>
      <c r="Q93" s="16"/>
      <c r="R93" s="34"/>
      <c r="S93" s="34"/>
      <c r="T93" s="35"/>
      <c r="U93" s="33"/>
    </row>
    <row r="94" spans="1:21" ht="15.75">
      <c r="A94" s="21"/>
      <c r="B94" s="22"/>
      <c r="C94" s="16"/>
      <c r="D94" s="16"/>
      <c r="E9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4" s="33"/>
      <c r="G94" s="99" t="b">
        <v>0</v>
      </c>
      <c r="H94" s="99" t="b">
        <v>0</v>
      </c>
      <c r="I94" s="99" t="b">
        <v>0</v>
      </c>
      <c r="J94" s="99" t="b">
        <v>0</v>
      </c>
      <c r="K94" s="99" t="b">
        <v>0</v>
      </c>
      <c r="L94" s="99" t="b">
        <v>0</v>
      </c>
      <c r="M94" s="99" t="b">
        <v>0</v>
      </c>
      <c r="N94" s="99" t="b">
        <v>0</v>
      </c>
      <c r="O94" s="16"/>
      <c r="P94" s="16"/>
      <c r="Q94" s="16"/>
      <c r="R94" s="34"/>
      <c r="S94" s="34"/>
      <c r="T94" s="35"/>
      <c r="U94" s="33"/>
    </row>
    <row r="95" spans="1:21" ht="15.75">
      <c r="A95" s="21"/>
      <c r="B95" s="22"/>
      <c r="C95" s="16"/>
      <c r="D95" s="16"/>
      <c r="E9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5" s="33"/>
      <c r="G95" s="99" t="b">
        <v>0</v>
      </c>
      <c r="H95" s="99" t="b">
        <v>0</v>
      </c>
      <c r="I95" s="99" t="b">
        <v>0</v>
      </c>
      <c r="J95" s="99" t="b">
        <v>0</v>
      </c>
      <c r="K95" s="99" t="b">
        <v>0</v>
      </c>
      <c r="L95" s="99" t="b">
        <v>0</v>
      </c>
      <c r="M95" s="99" t="b">
        <v>0</v>
      </c>
      <c r="N95" s="99" t="b">
        <v>0</v>
      </c>
      <c r="O95" s="16"/>
      <c r="P95" s="16"/>
      <c r="Q95" s="16"/>
      <c r="R95" s="34"/>
      <c r="S95" s="34"/>
      <c r="T95" s="35"/>
      <c r="U95" s="33"/>
    </row>
    <row r="96" spans="1:21" ht="15.75">
      <c r="A96" s="21"/>
      <c r="B96" s="22"/>
      <c r="C96" s="16"/>
      <c r="D96" s="16"/>
      <c r="E9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6" s="33"/>
      <c r="G96" s="99" t="b">
        <v>0</v>
      </c>
      <c r="H96" s="99" t="b">
        <v>0</v>
      </c>
      <c r="I96" s="99" t="b">
        <v>0</v>
      </c>
      <c r="J96" s="99" t="b">
        <v>0</v>
      </c>
      <c r="K96" s="99" t="b">
        <v>0</v>
      </c>
      <c r="L96" s="99" t="b">
        <v>0</v>
      </c>
      <c r="M96" s="99" t="b">
        <v>0</v>
      </c>
      <c r="N96" s="99" t="b">
        <v>0</v>
      </c>
      <c r="O96" s="16"/>
      <c r="P96" s="16"/>
      <c r="Q96" s="16"/>
      <c r="R96" s="34"/>
      <c r="S96" s="34"/>
      <c r="T96" s="35"/>
      <c r="U96" s="33"/>
    </row>
    <row r="97" spans="1:21" ht="15.75">
      <c r="A97" s="21"/>
      <c r="B97" s="22"/>
      <c r="C97" s="16"/>
      <c r="D97" s="16"/>
      <c r="E9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7" s="33"/>
      <c r="G97" s="99" t="b">
        <v>0</v>
      </c>
      <c r="H97" s="99" t="b">
        <v>0</v>
      </c>
      <c r="I97" s="99" t="b">
        <v>0</v>
      </c>
      <c r="J97" s="99" t="b">
        <v>0</v>
      </c>
      <c r="K97" s="99" t="b">
        <v>0</v>
      </c>
      <c r="L97" s="99" t="b">
        <v>0</v>
      </c>
      <c r="M97" s="99" t="b">
        <v>0</v>
      </c>
      <c r="N97" s="99" t="b">
        <v>0</v>
      </c>
      <c r="O97" s="16"/>
      <c r="P97" s="16"/>
      <c r="Q97" s="16"/>
      <c r="R97" s="34"/>
      <c r="S97" s="34"/>
      <c r="T97" s="35"/>
      <c r="U97" s="33"/>
    </row>
    <row r="98" spans="1:21" ht="15.75">
      <c r="A98" s="21"/>
      <c r="B98" s="22"/>
      <c r="C98" s="16"/>
      <c r="D98" s="16"/>
      <c r="E9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8" s="33"/>
      <c r="G98" s="99" t="b">
        <v>0</v>
      </c>
      <c r="H98" s="99" t="b">
        <v>0</v>
      </c>
      <c r="I98" s="99" t="b">
        <v>0</v>
      </c>
      <c r="J98" s="99" t="b">
        <v>0</v>
      </c>
      <c r="K98" s="99" t="b">
        <v>0</v>
      </c>
      <c r="L98" s="99" t="b">
        <v>0</v>
      </c>
      <c r="M98" s="99" t="b">
        <v>0</v>
      </c>
      <c r="N98" s="99" t="b">
        <v>0</v>
      </c>
      <c r="O98" s="16"/>
      <c r="P98" s="16"/>
      <c r="Q98" s="16"/>
      <c r="R98" s="34"/>
      <c r="S98" s="34"/>
      <c r="T98" s="35"/>
      <c r="U98" s="33"/>
    </row>
    <row r="99" spans="1:21" ht="15.75">
      <c r="A99" s="21"/>
      <c r="B99" s="22"/>
      <c r="C99" s="16"/>
      <c r="D99" s="16"/>
      <c r="E9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99" s="33"/>
      <c r="G99" s="99" t="b">
        <v>0</v>
      </c>
      <c r="H99" s="99" t="b">
        <v>0</v>
      </c>
      <c r="I99" s="99" t="b">
        <v>0</v>
      </c>
      <c r="J99" s="99" t="b">
        <v>0</v>
      </c>
      <c r="K99" s="99" t="b">
        <v>0</v>
      </c>
      <c r="L99" s="99" t="b">
        <v>0</v>
      </c>
      <c r="M99" s="99" t="b">
        <v>0</v>
      </c>
      <c r="N99" s="99" t="b">
        <v>0</v>
      </c>
      <c r="O99" s="16"/>
      <c r="P99" s="16"/>
      <c r="Q99" s="16"/>
      <c r="R99" s="34"/>
      <c r="S99" s="34"/>
      <c r="T99" s="35"/>
      <c r="U99" s="33"/>
    </row>
    <row r="100" spans="1:21" ht="15.75">
      <c r="A100" s="21"/>
      <c r="B100" s="22"/>
      <c r="C100" s="16"/>
      <c r="D100" s="16"/>
      <c r="E10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0" s="33"/>
      <c r="G100" s="99" t="b">
        <v>0</v>
      </c>
      <c r="H100" s="99" t="b">
        <v>0</v>
      </c>
      <c r="I100" s="99" t="b">
        <v>0</v>
      </c>
      <c r="J100" s="99" t="b">
        <v>0</v>
      </c>
      <c r="K100" s="99" t="b">
        <v>0</v>
      </c>
      <c r="L100" s="99" t="b">
        <v>0</v>
      </c>
      <c r="M100" s="99" t="b">
        <v>0</v>
      </c>
      <c r="N100" s="99" t="b">
        <v>0</v>
      </c>
      <c r="O100" s="16"/>
      <c r="P100" s="16"/>
      <c r="Q100" s="16"/>
      <c r="R100" s="34"/>
      <c r="S100" s="34"/>
      <c r="T100" s="35"/>
      <c r="U100" s="33"/>
    </row>
    <row r="101" spans="1:21" ht="15.75">
      <c r="A101" s="21"/>
      <c r="B101" s="22"/>
      <c r="C101" s="16"/>
      <c r="D101" s="16"/>
      <c r="E10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1" s="33"/>
      <c r="G101" s="99" t="b">
        <v>0</v>
      </c>
      <c r="H101" s="99" t="b">
        <v>0</v>
      </c>
      <c r="I101" s="99" t="b">
        <v>0</v>
      </c>
      <c r="J101" s="99" t="b">
        <v>0</v>
      </c>
      <c r="K101" s="99" t="b">
        <v>0</v>
      </c>
      <c r="L101" s="99" t="b">
        <v>0</v>
      </c>
      <c r="M101" s="99" t="b">
        <v>0</v>
      </c>
      <c r="N101" s="99" t="b">
        <v>0</v>
      </c>
      <c r="O101" s="16"/>
      <c r="P101" s="16"/>
      <c r="Q101" s="16"/>
      <c r="R101" s="34"/>
      <c r="S101" s="34"/>
      <c r="T101" s="35"/>
      <c r="U101" s="33"/>
    </row>
    <row r="102" spans="1:21" ht="15.75">
      <c r="A102" s="21"/>
      <c r="B102" s="22"/>
      <c r="C102" s="16"/>
      <c r="D102" s="16"/>
      <c r="E10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2" s="33"/>
      <c r="G102" s="99" t="b">
        <v>0</v>
      </c>
      <c r="H102" s="99" t="b">
        <v>0</v>
      </c>
      <c r="I102" s="99" t="b">
        <v>0</v>
      </c>
      <c r="J102" s="99" t="b">
        <v>0</v>
      </c>
      <c r="K102" s="99" t="b">
        <v>0</v>
      </c>
      <c r="L102" s="99" t="b">
        <v>0</v>
      </c>
      <c r="M102" s="99" t="b">
        <v>0</v>
      </c>
      <c r="N102" s="99" t="b">
        <v>0</v>
      </c>
      <c r="O102" s="16"/>
      <c r="P102" s="16"/>
      <c r="Q102" s="16"/>
      <c r="R102" s="34"/>
      <c r="S102" s="34"/>
      <c r="T102" s="35"/>
      <c r="U102" s="33"/>
    </row>
    <row r="103" spans="1:21" ht="15.75">
      <c r="A103" s="21"/>
      <c r="B103" s="22"/>
      <c r="C103" s="16"/>
      <c r="D103" s="16"/>
      <c r="E10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3" s="33"/>
      <c r="G103" s="99" t="b">
        <v>0</v>
      </c>
      <c r="H103" s="99" t="b">
        <v>0</v>
      </c>
      <c r="I103" s="99" t="b">
        <v>0</v>
      </c>
      <c r="J103" s="99" t="b">
        <v>0</v>
      </c>
      <c r="K103" s="99" t="b">
        <v>0</v>
      </c>
      <c r="L103" s="99" t="b">
        <v>0</v>
      </c>
      <c r="M103" s="99" t="b">
        <v>0</v>
      </c>
      <c r="N103" s="99" t="b">
        <v>0</v>
      </c>
      <c r="O103" s="16"/>
      <c r="P103" s="16"/>
      <c r="Q103" s="16"/>
      <c r="R103" s="34"/>
      <c r="S103" s="34"/>
      <c r="T103" s="35"/>
      <c r="U103" s="33"/>
    </row>
    <row r="104" spans="1:21" ht="15.75">
      <c r="A104" s="21"/>
      <c r="B104" s="22"/>
      <c r="C104" s="16"/>
      <c r="D104" s="16"/>
      <c r="E10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4" s="33"/>
      <c r="G104" s="99" t="b">
        <v>0</v>
      </c>
      <c r="H104" s="99" t="b">
        <v>0</v>
      </c>
      <c r="I104" s="99" t="b">
        <v>0</v>
      </c>
      <c r="J104" s="99" t="b">
        <v>0</v>
      </c>
      <c r="K104" s="99" t="b">
        <v>0</v>
      </c>
      <c r="L104" s="99" t="b">
        <v>0</v>
      </c>
      <c r="M104" s="99" t="b">
        <v>0</v>
      </c>
      <c r="N104" s="99" t="b">
        <v>0</v>
      </c>
      <c r="O104" s="16"/>
      <c r="P104" s="16"/>
      <c r="Q104" s="16"/>
      <c r="R104" s="34"/>
      <c r="S104" s="34"/>
      <c r="T104" s="35"/>
      <c r="U104" s="33"/>
    </row>
    <row r="105" spans="1:21" ht="15.75">
      <c r="A105" s="21"/>
      <c r="B105" s="22"/>
      <c r="C105" s="16"/>
      <c r="D105" s="16"/>
      <c r="E10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5" s="33"/>
      <c r="G105" s="99" t="b">
        <v>0</v>
      </c>
      <c r="H105" s="99" t="b">
        <v>0</v>
      </c>
      <c r="I105" s="99" t="b">
        <v>0</v>
      </c>
      <c r="J105" s="99" t="b">
        <v>0</v>
      </c>
      <c r="K105" s="99" t="b">
        <v>0</v>
      </c>
      <c r="L105" s="99" t="b">
        <v>0</v>
      </c>
      <c r="M105" s="99" t="b">
        <v>0</v>
      </c>
      <c r="N105" s="99" t="b">
        <v>0</v>
      </c>
      <c r="O105" s="16"/>
      <c r="P105" s="16"/>
      <c r="Q105" s="16"/>
      <c r="R105" s="34"/>
      <c r="S105" s="34"/>
      <c r="T105" s="35"/>
      <c r="U105" s="33"/>
    </row>
    <row r="106" spans="1:21" ht="15.75">
      <c r="A106" s="21"/>
      <c r="B106" s="22"/>
      <c r="C106" s="16"/>
      <c r="D106" s="16"/>
      <c r="E10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6" s="33"/>
      <c r="G106" s="99" t="b">
        <v>0</v>
      </c>
      <c r="H106" s="99" t="b">
        <v>0</v>
      </c>
      <c r="I106" s="99" t="b">
        <v>0</v>
      </c>
      <c r="J106" s="99" t="b">
        <v>0</v>
      </c>
      <c r="K106" s="99" t="b">
        <v>0</v>
      </c>
      <c r="L106" s="99" t="b">
        <v>0</v>
      </c>
      <c r="M106" s="99" t="b">
        <v>0</v>
      </c>
      <c r="N106" s="99" t="b">
        <v>0</v>
      </c>
      <c r="O106" s="16"/>
      <c r="P106" s="16"/>
      <c r="Q106" s="16"/>
      <c r="R106" s="34"/>
      <c r="S106" s="34"/>
      <c r="T106" s="35"/>
      <c r="U106" s="33"/>
    </row>
    <row r="107" spans="1:21" ht="15.75">
      <c r="A107" s="21"/>
      <c r="B107" s="22"/>
      <c r="C107" s="16"/>
      <c r="D107" s="16"/>
      <c r="E10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7" s="33"/>
      <c r="G107" s="99" t="b">
        <v>0</v>
      </c>
      <c r="H107" s="99" t="b">
        <v>0</v>
      </c>
      <c r="I107" s="99" t="b">
        <v>0</v>
      </c>
      <c r="J107" s="99" t="b">
        <v>0</v>
      </c>
      <c r="K107" s="99" t="b">
        <v>0</v>
      </c>
      <c r="L107" s="99" t="b">
        <v>0</v>
      </c>
      <c r="M107" s="99" t="b">
        <v>0</v>
      </c>
      <c r="N107" s="99" t="b">
        <v>0</v>
      </c>
      <c r="O107" s="16"/>
      <c r="P107" s="16"/>
      <c r="Q107" s="16"/>
      <c r="R107" s="34"/>
      <c r="S107" s="34"/>
      <c r="T107" s="35"/>
      <c r="U107" s="33"/>
    </row>
    <row r="108" spans="1:21" ht="15.75">
      <c r="A108" s="21"/>
      <c r="B108" s="22"/>
      <c r="C108" s="16"/>
      <c r="D108" s="16"/>
      <c r="E10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8" s="33"/>
      <c r="G108" s="99" t="b">
        <v>0</v>
      </c>
      <c r="H108" s="99" t="b">
        <v>0</v>
      </c>
      <c r="I108" s="99" t="b">
        <v>0</v>
      </c>
      <c r="J108" s="99" t="b">
        <v>0</v>
      </c>
      <c r="K108" s="99" t="b">
        <v>0</v>
      </c>
      <c r="L108" s="99" t="b">
        <v>0</v>
      </c>
      <c r="M108" s="99" t="b">
        <v>0</v>
      </c>
      <c r="N108" s="99" t="b">
        <v>0</v>
      </c>
      <c r="O108" s="16"/>
      <c r="P108" s="16"/>
      <c r="Q108" s="16"/>
      <c r="R108" s="34"/>
      <c r="S108" s="34"/>
      <c r="T108" s="35"/>
      <c r="U108" s="33"/>
    </row>
    <row r="109" spans="1:21" ht="15.75">
      <c r="A109" s="21"/>
      <c r="B109" s="22"/>
      <c r="C109" s="16"/>
      <c r="D109" s="16"/>
      <c r="E10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09" s="33"/>
      <c r="G109" s="99" t="b">
        <v>0</v>
      </c>
      <c r="H109" s="99" t="b">
        <v>0</v>
      </c>
      <c r="I109" s="99" t="b">
        <v>0</v>
      </c>
      <c r="J109" s="99" t="b">
        <v>0</v>
      </c>
      <c r="K109" s="99" t="b">
        <v>0</v>
      </c>
      <c r="L109" s="99" t="b">
        <v>0</v>
      </c>
      <c r="M109" s="99" t="b">
        <v>0</v>
      </c>
      <c r="N109" s="99" t="b">
        <v>0</v>
      </c>
      <c r="O109" s="16"/>
      <c r="P109" s="16"/>
      <c r="Q109" s="16"/>
      <c r="R109" s="34"/>
      <c r="S109" s="34"/>
      <c r="T109" s="35"/>
      <c r="U109" s="33"/>
    </row>
    <row r="110" spans="1:21" ht="15.75">
      <c r="A110" s="21"/>
      <c r="B110" s="22"/>
      <c r="C110" s="16"/>
      <c r="D110" s="16"/>
      <c r="E11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0" s="33"/>
      <c r="G110" s="99" t="b">
        <v>0</v>
      </c>
      <c r="H110" s="99" t="b">
        <v>0</v>
      </c>
      <c r="I110" s="99" t="b">
        <v>0</v>
      </c>
      <c r="J110" s="99" t="b">
        <v>0</v>
      </c>
      <c r="K110" s="99" t="b">
        <v>0</v>
      </c>
      <c r="L110" s="99" t="b">
        <v>0</v>
      </c>
      <c r="M110" s="99" t="b">
        <v>0</v>
      </c>
      <c r="N110" s="99" t="b">
        <v>0</v>
      </c>
      <c r="O110" s="16"/>
      <c r="P110" s="16"/>
      <c r="Q110" s="16"/>
      <c r="R110" s="34"/>
      <c r="S110" s="34"/>
      <c r="T110" s="35"/>
      <c r="U110" s="33"/>
    </row>
    <row r="111" spans="1:21" ht="15.75">
      <c r="A111" s="21"/>
      <c r="B111" s="22"/>
      <c r="C111" s="16"/>
      <c r="D111" s="16"/>
      <c r="E11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1" s="33"/>
      <c r="G111" s="99" t="b">
        <v>0</v>
      </c>
      <c r="H111" s="99" t="b">
        <v>0</v>
      </c>
      <c r="I111" s="99" t="b">
        <v>0</v>
      </c>
      <c r="J111" s="99" t="b">
        <v>0</v>
      </c>
      <c r="K111" s="99" t="b">
        <v>0</v>
      </c>
      <c r="L111" s="99" t="b">
        <v>0</v>
      </c>
      <c r="M111" s="99" t="b">
        <v>0</v>
      </c>
      <c r="N111" s="99" t="b">
        <v>0</v>
      </c>
      <c r="O111" s="16"/>
      <c r="P111" s="16"/>
      <c r="Q111" s="16"/>
      <c r="R111" s="34"/>
      <c r="S111" s="34"/>
      <c r="T111" s="35"/>
      <c r="U111" s="33"/>
    </row>
    <row r="112" spans="1:21" ht="15.75">
      <c r="A112" s="21"/>
      <c r="B112" s="22"/>
      <c r="C112" s="16"/>
      <c r="D112" s="16"/>
      <c r="E11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2" s="33"/>
      <c r="G112" s="99" t="b">
        <v>0</v>
      </c>
      <c r="H112" s="99" t="b">
        <v>0</v>
      </c>
      <c r="I112" s="99" t="b">
        <v>0</v>
      </c>
      <c r="J112" s="99" t="b">
        <v>0</v>
      </c>
      <c r="K112" s="99" t="b">
        <v>0</v>
      </c>
      <c r="L112" s="99" t="b">
        <v>0</v>
      </c>
      <c r="M112" s="99" t="b">
        <v>0</v>
      </c>
      <c r="N112" s="99" t="b">
        <v>0</v>
      </c>
      <c r="O112" s="16"/>
      <c r="P112" s="16"/>
      <c r="Q112" s="16"/>
      <c r="R112" s="34"/>
      <c r="S112" s="34"/>
      <c r="T112" s="35"/>
      <c r="U112" s="33"/>
    </row>
    <row r="113" spans="1:21" ht="15.75">
      <c r="A113" s="21"/>
      <c r="B113" s="22"/>
      <c r="C113" s="16"/>
      <c r="D113" s="16"/>
      <c r="E11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3" s="33"/>
      <c r="G113" s="99" t="b">
        <v>0</v>
      </c>
      <c r="H113" s="99" t="b">
        <v>0</v>
      </c>
      <c r="I113" s="99" t="b">
        <v>0</v>
      </c>
      <c r="J113" s="99" t="b">
        <v>0</v>
      </c>
      <c r="K113" s="99" t="b">
        <v>0</v>
      </c>
      <c r="L113" s="99" t="b">
        <v>0</v>
      </c>
      <c r="M113" s="99" t="b">
        <v>0</v>
      </c>
      <c r="N113" s="99" t="b">
        <v>0</v>
      </c>
      <c r="O113" s="16"/>
      <c r="P113" s="16"/>
      <c r="Q113" s="16"/>
      <c r="R113" s="34"/>
      <c r="S113" s="34"/>
      <c r="T113" s="35"/>
      <c r="U113" s="33"/>
    </row>
    <row r="114" spans="1:21" ht="15.75">
      <c r="A114" s="21"/>
      <c r="B114" s="22"/>
      <c r="C114" s="16"/>
      <c r="D114" s="16"/>
      <c r="E11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4" s="33"/>
      <c r="G114" s="99" t="b">
        <v>0</v>
      </c>
      <c r="H114" s="99" t="b">
        <v>0</v>
      </c>
      <c r="I114" s="99" t="b">
        <v>0</v>
      </c>
      <c r="J114" s="99" t="b">
        <v>0</v>
      </c>
      <c r="K114" s="99" t="b">
        <v>0</v>
      </c>
      <c r="L114" s="99" t="b">
        <v>0</v>
      </c>
      <c r="M114" s="99" t="b">
        <v>0</v>
      </c>
      <c r="N114" s="99" t="b">
        <v>0</v>
      </c>
      <c r="O114" s="16"/>
      <c r="P114" s="16"/>
      <c r="Q114" s="16"/>
      <c r="R114" s="34"/>
      <c r="S114" s="34"/>
      <c r="T114" s="35"/>
      <c r="U114" s="33"/>
    </row>
    <row r="115" spans="1:21" ht="15.75">
      <c r="A115" s="21"/>
      <c r="B115" s="22"/>
      <c r="C115" s="16"/>
      <c r="D115" s="16"/>
      <c r="E11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5" s="33"/>
      <c r="G115" s="99" t="b">
        <v>0</v>
      </c>
      <c r="H115" s="99" t="b">
        <v>0</v>
      </c>
      <c r="I115" s="99" t="b">
        <v>0</v>
      </c>
      <c r="J115" s="99" t="b">
        <v>0</v>
      </c>
      <c r="K115" s="99" t="b">
        <v>0</v>
      </c>
      <c r="L115" s="99" t="b">
        <v>0</v>
      </c>
      <c r="M115" s="99" t="b">
        <v>0</v>
      </c>
      <c r="N115" s="99" t="b">
        <v>0</v>
      </c>
      <c r="O115" s="16"/>
      <c r="P115" s="16"/>
      <c r="Q115" s="16"/>
      <c r="R115" s="34"/>
      <c r="S115" s="34"/>
      <c r="T115" s="35"/>
      <c r="U115" s="33"/>
    </row>
    <row r="116" spans="1:21" ht="15.75">
      <c r="A116" s="21"/>
      <c r="B116" s="22"/>
      <c r="C116" s="16"/>
      <c r="D116" s="16"/>
      <c r="E11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6" s="33"/>
      <c r="G116" s="99" t="b">
        <v>0</v>
      </c>
      <c r="H116" s="99" t="b">
        <v>0</v>
      </c>
      <c r="I116" s="99" t="b">
        <v>0</v>
      </c>
      <c r="J116" s="99" t="b">
        <v>0</v>
      </c>
      <c r="K116" s="99" t="b">
        <v>0</v>
      </c>
      <c r="L116" s="99" t="b">
        <v>0</v>
      </c>
      <c r="M116" s="99" t="b">
        <v>0</v>
      </c>
      <c r="N116" s="99" t="b">
        <v>0</v>
      </c>
      <c r="O116" s="16"/>
      <c r="P116" s="16"/>
      <c r="Q116" s="16"/>
      <c r="R116" s="34"/>
      <c r="S116" s="34"/>
      <c r="T116" s="35"/>
      <c r="U116" s="33"/>
    </row>
    <row r="117" spans="1:21" ht="15.75">
      <c r="A117" s="21"/>
      <c r="B117" s="22"/>
      <c r="C117" s="16"/>
      <c r="D117" s="16"/>
      <c r="E11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7" s="33"/>
      <c r="G117" s="99" t="b">
        <v>0</v>
      </c>
      <c r="H117" s="99" t="b">
        <v>0</v>
      </c>
      <c r="I117" s="99" t="b">
        <v>0</v>
      </c>
      <c r="J117" s="99" t="b">
        <v>0</v>
      </c>
      <c r="K117" s="99" t="b">
        <v>0</v>
      </c>
      <c r="L117" s="99" t="b">
        <v>0</v>
      </c>
      <c r="M117" s="99" t="b">
        <v>0</v>
      </c>
      <c r="N117" s="99" t="b">
        <v>0</v>
      </c>
      <c r="O117" s="16"/>
      <c r="P117" s="16"/>
      <c r="Q117" s="16"/>
      <c r="R117" s="34"/>
      <c r="S117" s="34"/>
      <c r="T117" s="35"/>
      <c r="U117" s="33"/>
    </row>
    <row r="118" spans="1:21" ht="15.75">
      <c r="A118" s="21"/>
      <c r="B118" s="22"/>
      <c r="C118" s="16"/>
      <c r="D118" s="16"/>
      <c r="E11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8" s="33"/>
      <c r="G118" s="99" t="b">
        <v>0</v>
      </c>
      <c r="H118" s="99" t="b">
        <v>0</v>
      </c>
      <c r="I118" s="99" t="b">
        <v>0</v>
      </c>
      <c r="J118" s="99" t="b">
        <v>0</v>
      </c>
      <c r="K118" s="99" t="b">
        <v>0</v>
      </c>
      <c r="L118" s="99" t="b">
        <v>0</v>
      </c>
      <c r="M118" s="99" t="b">
        <v>0</v>
      </c>
      <c r="N118" s="99" t="b">
        <v>0</v>
      </c>
      <c r="O118" s="16"/>
      <c r="P118" s="16"/>
      <c r="Q118" s="16"/>
      <c r="R118" s="34"/>
      <c r="S118" s="34"/>
      <c r="T118" s="35"/>
      <c r="U118" s="33"/>
    </row>
    <row r="119" spans="1:21" ht="15.75">
      <c r="A119" s="21"/>
      <c r="B119" s="22"/>
      <c r="C119" s="16"/>
      <c r="D119" s="16"/>
      <c r="E11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19" s="33"/>
      <c r="G119" s="99" t="b">
        <v>0</v>
      </c>
      <c r="H119" s="99" t="b">
        <v>0</v>
      </c>
      <c r="I119" s="99" t="b">
        <v>0</v>
      </c>
      <c r="J119" s="99" t="b">
        <v>0</v>
      </c>
      <c r="K119" s="99" t="b">
        <v>0</v>
      </c>
      <c r="L119" s="99" t="b">
        <v>0</v>
      </c>
      <c r="M119" s="99" t="b">
        <v>0</v>
      </c>
      <c r="N119" s="99" t="b">
        <v>0</v>
      </c>
      <c r="O119" s="16"/>
      <c r="P119" s="16"/>
      <c r="Q119" s="16"/>
      <c r="R119" s="34"/>
      <c r="S119" s="34"/>
      <c r="T119" s="35"/>
      <c r="U119" s="33"/>
    </row>
    <row r="120" spans="1:21" ht="15.75">
      <c r="A120" s="21"/>
      <c r="B120" s="22"/>
      <c r="C120" s="16"/>
      <c r="D120" s="16"/>
      <c r="E12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0" s="33"/>
      <c r="G120" s="99" t="b">
        <v>0</v>
      </c>
      <c r="H120" s="99" t="b">
        <v>0</v>
      </c>
      <c r="I120" s="99" t="b">
        <v>0</v>
      </c>
      <c r="J120" s="99" t="b">
        <v>0</v>
      </c>
      <c r="K120" s="99" t="b">
        <v>0</v>
      </c>
      <c r="L120" s="99" t="b">
        <v>0</v>
      </c>
      <c r="M120" s="99" t="b">
        <v>0</v>
      </c>
      <c r="N120" s="99" t="b">
        <v>0</v>
      </c>
      <c r="O120" s="16"/>
      <c r="P120" s="16"/>
      <c r="Q120" s="16"/>
      <c r="R120" s="34"/>
      <c r="S120" s="34"/>
      <c r="T120" s="35"/>
      <c r="U120" s="33"/>
    </row>
    <row r="121" spans="1:21" ht="15.75">
      <c r="A121" s="21"/>
      <c r="B121" s="22"/>
      <c r="C121" s="16"/>
      <c r="D121" s="16"/>
      <c r="E12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1" s="33"/>
      <c r="G121" s="99" t="b">
        <v>0</v>
      </c>
      <c r="H121" s="99" t="b">
        <v>0</v>
      </c>
      <c r="I121" s="99" t="b">
        <v>0</v>
      </c>
      <c r="J121" s="99" t="b">
        <v>0</v>
      </c>
      <c r="K121" s="99" t="b">
        <v>0</v>
      </c>
      <c r="L121" s="99" t="b">
        <v>0</v>
      </c>
      <c r="M121" s="99" t="b">
        <v>0</v>
      </c>
      <c r="N121" s="99" t="b">
        <v>0</v>
      </c>
      <c r="O121" s="16"/>
      <c r="P121" s="16"/>
      <c r="Q121" s="16"/>
      <c r="R121" s="34"/>
      <c r="S121" s="34"/>
      <c r="T121" s="35"/>
      <c r="U121" s="33"/>
    </row>
    <row r="122" spans="1:21" ht="15.75">
      <c r="A122" s="21"/>
      <c r="B122" s="22"/>
      <c r="C122" s="16"/>
      <c r="D122" s="16"/>
      <c r="E12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2" s="33"/>
      <c r="G122" s="99" t="b">
        <v>0</v>
      </c>
      <c r="H122" s="99" t="b">
        <v>0</v>
      </c>
      <c r="I122" s="99" t="b">
        <v>0</v>
      </c>
      <c r="J122" s="99" t="b">
        <v>0</v>
      </c>
      <c r="K122" s="99" t="b">
        <v>0</v>
      </c>
      <c r="L122" s="99" t="b">
        <v>0</v>
      </c>
      <c r="M122" s="99" t="b">
        <v>0</v>
      </c>
      <c r="N122" s="99" t="b">
        <v>0</v>
      </c>
      <c r="O122" s="16"/>
      <c r="P122" s="16"/>
      <c r="Q122" s="16"/>
      <c r="R122" s="34"/>
      <c r="S122" s="34"/>
      <c r="T122" s="35"/>
      <c r="U122" s="33"/>
    </row>
    <row r="123" spans="1:21" ht="15.75">
      <c r="A123" s="21"/>
      <c r="B123" s="22"/>
      <c r="C123" s="16"/>
      <c r="D123" s="16"/>
      <c r="E12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3" s="33"/>
      <c r="G123" s="99" t="b">
        <v>0</v>
      </c>
      <c r="H123" s="99" t="b">
        <v>0</v>
      </c>
      <c r="I123" s="99" t="b">
        <v>0</v>
      </c>
      <c r="J123" s="99" t="b">
        <v>0</v>
      </c>
      <c r="K123" s="99" t="b">
        <v>0</v>
      </c>
      <c r="L123" s="99" t="b">
        <v>0</v>
      </c>
      <c r="M123" s="99" t="b">
        <v>0</v>
      </c>
      <c r="N123" s="99" t="b">
        <v>0</v>
      </c>
      <c r="O123" s="16"/>
      <c r="P123" s="16"/>
      <c r="Q123" s="16"/>
      <c r="R123" s="34"/>
      <c r="S123" s="34"/>
      <c r="T123" s="35"/>
      <c r="U123" s="33"/>
    </row>
    <row r="124" spans="1:21" ht="15.75">
      <c r="A124" s="21"/>
      <c r="B124" s="22"/>
      <c r="C124" s="16"/>
      <c r="D124" s="16"/>
      <c r="E12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4" s="33"/>
      <c r="G124" s="99" t="b">
        <v>0</v>
      </c>
      <c r="H124" s="99" t="b">
        <v>0</v>
      </c>
      <c r="I124" s="99" t="b">
        <v>0</v>
      </c>
      <c r="J124" s="99" t="b">
        <v>0</v>
      </c>
      <c r="K124" s="99" t="b">
        <v>0</v>
      </c>
      <c r="L124" s="99" t="b">
        <v>0</v>
      </c>
      <c r="M124" s="99" t="b">
        <v>0</v>
      </c>
      <c r="N124" s="99" t="b">
        <v>0</v>
      </c>
      <c r="O124" s="16"/>
      <c r="P124" s="16"/>
      <c r="Q124" s="16"/>
      <c r="R124" s="34"/>
      <c r="S124" s="34"/>
      <c r="T124" s="35"/>
      <c r="U124" s="33"/>
    </row>
    <row r="125" spans="1:21" ht="15.75">
      <c r="A125" s="21"/>
      <c r="B125" s="22"/>
      <c r="C125" s="16"/>
      <c r="D125" s="16"/>
      <c r="E12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5" s="33"/>
      <c r="G125" s="99" t="b">
        <v>0</v>
      </c>
      <c r="H125" s="99" t="b">
        <v>0</v>
      </c>
      <c r="I125" s="99" t="b">
        <v>0</v>
      </c>
      <c r="J125" s="99" t="b">
        <v>0</v>
      </c>
      <c r="K125" s="99" t="b">
        <v>0</v>
      </c>
      <c r="L125" s="99" t="b">
        <v>0</v>
      </c>
      <c r="M125" s="99" t="b">
        <v>0</v>
      </c>
      <c r="N125" s="99" t="b">
        <v>0</v>
      </c>
      <c r="O125" s="16"/>
      <c r="P125" s="16"/>
      <c r="Q125" s="16"/>
      <c r="R125" s="34"/>
      <c r="S125" s="34"/>
      <c r="T125" s="35"/>
      <c r="U125" s="33"/>
    </row>
    <row r="126" spans="1:21" ht="15.75">
      <c r="A126" s="21"/>
      <c r="B126" s="22"/>
      <c r="C126" s="16"/>
      <c r="D126" s="16"/>
      <c r="E12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6" s="33"/>
      <c r="G126" s="99" t="b">
        <v>0</v>
      </c>
      <c r="H126" s="99" t="b">
        <v>0</v>
      </c>
      <c r="I126" s="99" t="b">
        <v>0</v>
      </c>
      <c r="J126" s="99" t="b">
        <v>0</v>
      </c>
      <c r="K126" s="99" t="b">
        <v>0</v>
      </c>
      <c r="L126" s="99" t="b">
        <v>0</v>
      </c>
      <c r="M126" s="99" t="b">
        <v>0</v>
      </c>
      <c r="N126" s="99" t="b">
        <v>0</v>
      </c>
      <c r="O126" s="16"/>
      <c r="P126" s="16"/>
      <c r="Q126" s="16"/>
      <c r="R126" s="34"/>
      <c r="S126" s="34"/>
      <c r="T126" s="35"/>
      <c r="U126" s="33"/>
    </row>
    <row r="127" spans="1:21" ht="15.75">
      <c r="A127" s="21"/>
      <c r="B127" s="22"/>
      <c r="C127" s="16"/>
      <c r="D127" s="16"/>
      <c r="E12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7" s="33"/>
      <c r="G127" s="99" t="b">
        <v>0</v>
      </c>
      <c r="H127" s="99" t="b">
        <v>0</v>
      </c>
      <c r="I127" s="99" t="b">
        <v>0</v>
      </c>
      <c r="J127" s="99" t="b">
        <v>0</v>
      </c>
      <c r="K127" s="99" t="b">
        <v>0</v>
      </c>
      <c r="L127" s="99" t="b">
        <v>0</v>
      </c>
      <c r="M127" s="99" t="b">
        <v>0</v>
      </c>
      <c r="N127" s="99" t="b">
        <v>0</v>
      </c>
      <c r="O127" s="16"/>
      <c r="P127" s="16"/>
      <c r="Q127" s="16"/>
      <c r="R127" s="34"/>
      <c r="S127" s="34"/>
      <c r="T127" s="35"/>
      <c r="U127" s="33"/>
    </row>
    <row r="128" spans="1:21" ht="15.75">
      <c r="A128" s="21"/>
      <c r="B128" s="22"/>
      <c r="C128" s="16"/>
      <c r="D128" s="16"/>
      <c r="E12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8" s="33"/>
      <c r="G128" s="99" t="b">
        <v>0</v>
      </c>
      <c r="H128" s="99" t="b">
        <v>0</v>
      </c>
      <c r="I128" s="99" t="b">
        <v>0</v>
      </c>
      <c r="J128" s="99" t="b">
        <v>0</v>
      </c>
      <c r="K128" s="99" t="b">
        <v>0</v>
      </c>
      <c r="L128" s="99" t="b">
        <v>0</v>
      </c>
      <c r="M128" s="99" t="b">
        <v>0</v>
      </c>
      <c r="N128" s="99" t="b">
        <v>0</v>
      </c>
      <c r="O128" s="16"/>
      <c r="P128" s="16"/>
      <c r="Q128" s="16"/>
      <c r="R128" s="34"/>
      <c r="S128" s="34"/>
      <c r="T128" s="35"/>
      <c r="U128" s="33"/>
    </row>
    <row r="129" spans="1:21" ht="15.75">
      <c r="A129" s="21"/>
      <c r="B129" s="22"/>
      <c r="C129" s="16"/>
      <c r="D129" s="16"/>
      <c r="E12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29" s="33"/>
      <c r="G129" s="99" t="b">
        <v>0</v>
      </c>
      <c r="H129" s="99" t="b">
        <v>0</v>
      </c>
      <c r="I129" s="99" t="b">
        <v>0</v>
      </c>
      <c r="J129" s="99" t="b">
        <v>0</v>
      </c>
      <c r="K129" s="99" t="b">
        <v>0</v>
      </c>
      <c r="L129" s="99" t="b">
        <v>0</v>
      </c>
      <c r="M129" s="99" t="b">
        <v>0</v>
      </c>
      <c r="N129" s="99" t="b">
        <v>0</v>
      </c>
      <c r="O129" s="16"/>
      <c r="P129" s="16"/>
      <c r="Q129" s="16"/>
      <c r="R129" s="34"/>
      <c r="S129" s="34"/>
      <c r="T129" s="35"/>
      <c r="U129" s="33"/>
    </row>
    <row r="130" spans="1:21" ht="15.75">
      <c r="A130" s="21"/>
      <c r="B130" s="22"/>
      <c r="C130" s="16"/>
      <c r="D130" s="16"/>
      <c r="E13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0" s="33"/>
      <c r="G130" s="99" t="b">
        <v>0</v>
      </c>
      <c r="H130" s="99" t="b">
        <v>0</v>
      </c>
      <c r="I130" s="99" t="b">
        <v>0</v>
      </c>
      <c r="J130" s="99" t="b">
        <v>0</v>
      </c>
      <c r="K130" s="99" t="b">
        <v>0</v>
      </c>
      <c r="L130" s="99" t="b">
        <v>0</v>
      </c>
      <c r="M130" s="99" t="b">
        <v>0</v>
      </c>
      <c r="N130" s="99" t="b">
        <v>0</v>
      </c>
      <c r="O130" s="16"/>
      <c r="P130" s="16"/>
      <c r="Q130" s="16"/>
      <c r="R130" s="34"/>
      <c r="S130" s="34"/>
      <c r="T130" s="35"/>
      <c r="U130" s="33"/>
    </row>
    <row r="131" spans="1:21" ht="15.75">
      <c r="A131" s="21"/>
      <c r="B131" s="22"/>
      <c r="C131" s="16"/>
      <c r="D131" s="16"/>
      <c r="E13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1" s="33"/>
      <c r="G131" s="99" t="b">
        <v>0</v>
      </c>
      <c r="H131" s="99" t="b">
        <v>0</v>
      </c>
      <c r="I131" s="99" t="b">
        <v>0</v>
      </c>
      <c r="J131" s="99" t="b">
        <v>0</v>
      </c>
      <c r="K131" s="99" t="b">
        <v>0</v>
      </c>
      <c r="L131" s="99" t="b">
        <v>0</v>
      </c>
      <c r="M131" s="99" t="b">
        <v>0</v>
      </c>
      <c r="N131" s="99" t="b">
        <v>0</v>
      </c>
      <c r="O131" s="16"/>
      <c r="P131" s="16"/>
      <c r="Q131" s="16"/>
      <c r="R131" s="34"/>
      <c r="S131" s="34"/>
      <c r="T131" s="35"/>
      <c r="U131" s="33"/>
    </row>
    <row r="132" spans="1:21" ht="15.75">
      <c r="A132" s="21"/>
      <c r="B132" s="22"/>
      <c r="C132" s="16"/>
      <c r="D132" s="16"/>
      <c r="E13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2" s="33"/>
      <c r="G132" s="99" t="b">
        <v>0</v>
      </c>
      <c r="H132" s="99" t="b">
        <v>0</v>
      </c>
      <c r="I132" s="99" t="b">
        <v>0</v>
      </c>
      <c r="J132" s="99" t="b">
        <v>0</v>
      </c>
      <c r="K132" s="99" t="b">
        <v>0</v>
      </c>
      <c r="L132" s="99" t="b">
        <v>0</v>
      </c>
      <c r="M132" s="99" t="b">
        <v>0</v>
      </c>
      <c r="N132" s="99" t="b">
        <v>0</v>
      </c>
      <c r="O132" s="16"/>
      <c r="P132" s="16"/>
      <c r="Q132" s="16"/>
      <c r="R132" s="34"/>
      <c r="S132" s="34"/>
      <c r="T132" s="35"/>
      <c r="U132" s="33"/>
    </row>
    <row r="133" spans="1:21" ht="15.75">
      <c r="A133" s="21"/>
      <c r="B133" s="22"/>
      <c r="C133" s="16"/>
      <c r="D133" s="16"/>
      <c r="E13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3" s="33"/>
      <c r="G133" s="99" t="b">
        <v>0</v>
      </c>
      <c r="H133" s="99" t="b">
        <v>0</v>
      </c>
      <c r="I133" s="99" t="b">
        <v>0</v>
      </c>
      <c r="J133" s="99" t="b">
        <v>0</v>
      </c>
      <c r="K133" s="99" t="b">
        <v>0</v>
      </c>
      <c r="L133" s="99" t="b">
        <v>0</v>
      </c>
      <c r="M133" s="99" t="b">
        <v>0</v>
      </c>
      <c r="N133" s="99" t="b">
        <v>0</v>
      </c>
      <c r="O133" s="16"/>
      <c r="P133" s="16"/>
      <c r="Q133" s="16"/>
      <c r="R133" s="34"/>
      <c r="S133" s="34"/>
      <c r="T133" s="35"/>
      <c r="U133" s="33"/>
    </row>
    <row r="134" spans="1:21" ht="15.75">
      <c r="A134" s="21"/>
      <c r="B134" s="22"/>
      <c r="C134" s="16"/>
      <c r="D134" s="16"/>
      <c r="E13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4" s="33"/>
      <c r="G134" s="99" t="b">
        <v>0</v>
      </c>
      <c r="H134" s="99" t="b">
        <v>0</v>
      </c>
      <c r="I134" s="99" t="b">
        <v>0</v>
      </c>
      <c r="J134" s="99" t="b">
        <v>0</v>
      </c>
      <c r="K134" s="99" t="b">
        <v>0</v>
      </c>
      <c r="L134" s="99" t="b">
        <v>0</v>
      </c>
      <c r="M134" s="99" t="b">
        <v>0</v>
      </c>
      <c r="N134" s="99" t="b">
        <v>0</v>
      </c>
      <c r="O134" s="16"/>
      <c r="P134" s="16"/>
      <c r="Q134" s="16"/>
      <c r="R134" s="34"/>
      <c r="S134" s="34"/>
      <c r="T134" s="35"/>
      <c r="U134" s="33"/>
    </row>
    <row r="135" spans="1:21" ht="15.75">
      <c r="A135" s="21"/>
      <c r="B135" s="22"/>
      <c r="C135" s="16"/>
      <c r="D135" s="16"/>
      <c r="E13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5" s="33"/>
      <c r="G135" s="99" t="b">
        <v>0</v>
      </c>
      <c r="H135" s="99" t="b">
        <v>0</v>
      </c>
      <c r="I135" s="99" t="b">
        <v>0</v>
      </c>
      <c r="J135" s="99" t="b">
        <v>0</v>
      </c>
      <c r="K135" s="99" t="b">
        <v>0</v>
      </c>
      <c r="L135" s="99" t="b">
        <v>0</v>
      </c>
      <c r="M135" s="99" t="b">
        <v>0</v>
      </c>
      <c r="N135" s="99" t="b">
        <v>0</v>
      </c>
      <c r="O135" s="16"/>
      <c r="P135" s="16"/>
      <c r="Q135" s="16"/>
      <c r="R135" s="34"/>
      <c r="S135" s="34"/>
      <c r="T135" s="35"/>
      <c r="U135" s="33"/>
    </row>
    <row r="136" spans="1:21" ht="15.75">
      <c r="A136" s="21"/>
      <c r="B136" s="22"/>
      <c r="C136" s="16"/>
      <c r="D136" s="16"/>
      <c r="E13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6" s="33"/>
      <c r="G136" s="99" t="b">
        <v>0</v>
      </c>
      <c r="H136" s="99" t="b">
        <v>0</v>
      </c>
      <c r="I136" s="99" t="b">
        <v>0</v>
      </c>
      <c r="J136" s="99" t="b">
        <v>0</v>
      </c>
      <c r="K136" s="99" t="b">
        <v>0</v>
      </c>
      <c r="L136" s="99" t="b">
        <v>0</v>
      </c>
      <c r="M136" s="99" t="b">
        <v>0</v>
      </c>
      <c r="N136" s="99" t="b">
        <v>0</v>
      </c>
      <c r="O136" s="16"/>
      <c r="P136" s="16"/>
      <c r="Q136" s="16"/>
      <c r="R136" s="34"/>
      <c r="S136" s="34"/>
      <c r="T136" s="35"/>
      <c r="U136" s="33"/>
    </row>
    <row r="137" spans="1:21" ht="15.75">
      <c r="A137" s="21"/>
      <c r="B137" s="22"/>
      <c r="C137" s="16"/>
      <c r="D137" s="16"/>
      <c r="E13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7" s="33"/>
      <c r="G137" s="99" t="b">
        <v>0</v>
      </c>
      <c r="H137" s="99" t="b">
        <v>0</v>
      </c>
      <c r="I137" s="99" t="b">
        <v>0</v>
      </c>
      <c r="J137" s="99" t="b">
        <v>0</v>
      </c>
      <c r="K137" s="99" t="b">
        <v>0</v>
      </c>
      <c r="L137" s="99" t="b">
        <v>0</v>
      </c>
      <c r="M137" s="99" t="b">
        <v>0</v>
      </c>
      <c r="N137" s="99" t="b">
        <v>0</v>
      </c>
      <c r="O137" s="16"/>
      <c r="P137" s="16"/>
      <c r="Q137" s="16"/>
      <c r="R137" s="34"/>
      <c r="S137" s="34"/>
      <c r="T137" s="35"/>
      <c r="U137" s="33"/>
    </row>
    <row r="138" spans="1:21" ht="15.75">
      <c r="A138" s="21"/>
      <c r="B138" s="22"/>
      <c r="C138" s="16"/>
      <c r="D138" s="16"/>
      <c r="E13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8" s="33"/>
      <c r="G138" s="99" t="b">
        <v>0</v>
      </c>
      <c r="H138" s="99" t="b">
        <v>0</v>
      </c>
      <c r="I138" s="99" t="b">
        <v>0</v>
      </c>
      <c r="J138" s="99" t="b">
        <v>0</v>
      </c>
      <c r="K138" s="99" t="b">
        <v>0</v>
      </c>
      <c r="L138" s="99" t="b">
        <v>0</v>
      </c>
      <c r="M138" s="99" t="b">
        <v>0</v>
      </c>
      <c r="N138" s="99" t="b">
        <v>0</v>
      </c>
      <c r="O138" s="16"/>
      <c r="P138" s="16"/>
      <c r="Q138" s="16"/>
      <c r="R138" s="34"/>
      <c r="S138" s="34"/>
      <c r="T138" s="35"/>
      <c r="U138" s="33"/>
    </row>
    <row r="139" spans="1:21" ht="15.75">
      <c r="A139" s="21"/>
      <c r="B139" s="22"/>
      <c r="C139" s="16"/>
      <c r="D139" s="16"/>
      <c r="E13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39" s="33"/>
      <c r="G139" s="99" t="b">
        <v>0</v>
      </c>
      <c r="H139" s="99" t="b">
        <v>0</v>
      </c>
      <c r="I139" s="99" t="b">
        <v>0</v>
      </c>
      <c r="J139" s="99" t="b">
        <v>0</v>
      </c>
      <c r="K139" s="99" t="b">
        <v>0</v>
      </c>
      <c r="L139" s="99" t="b">
        <v>0</v>
      </c>
      <c r="M139" s="99" t="b">
        <v>0</v>
      </c>
      <c r="N139" s="99" t="b">
        <v>0</v>
      </c>
      <c r="O139" s="16"/>
      <c r="P139" s="16"/>
      <c r="Q139" s="16"/>
      <c r="R139" s="34"/>
      <c r="S139" s="34"/>
      <c r="T139" s="35"/>
      <c r="U139" s="33"/>
    </row>
    <row r="140" spans="1:21" ht="15.75">
      <c r="A140" s="21"/>
      <c r="B140" s="22"/>
      <c r="C140" s="16"/>
      <c r="D140" s="16"/>
      <c r="E14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0" s="33"/>
      <c r="G140" s="99" t="b">
        <v>0</v>
      </c>
      <c r="H140" s="99" t="b">
        <v>0</v>
      </c>
      <c r="I140" s="99" t="b">
        <v>0</v>
      </c>
      <c r="J140" s="99" t="b">
        <v>0</v>
      </c>
      <c r="K140" s="99" t="b">
        <v>0</v>
      </c>
      <c r="L140" s="99" t="b">
        <v>0</v>
      </c>
      <c r="M140" s="99" t="b">
        <v>0</v>
      </c>
      <c r="N140" s="99" t="b">
        <v>0</v>
      </c>
      <c r="O140" s="16"/>
      <c r="P140" s="16"/>
      <c r="Q140" s="16"/>
      <c r="R140" s="34"/>
      <c r="S140" s="34"/>
      <c r="T140" s="35"/>
      <c r="U140" s="33"/>
    </row>
    <row r="141" spans="1:21" ht="15.75">
      <c r="A141" s="21"/>
      <c r="B141" s="22"/>
      <c r="C141" s="16"/>
      <c r="D141" s="16"/>
      <c r="E14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1" s="33"/>
      <c r="G141" s="99" t="b">
        <v>0</v>
      </c>
      <c r="H141" s="99" t="b">
        <v>0</v>
      </c>
      <c r="I141" s="99" t="b">
        <v>0</v>
      </c>
      <c r="J141" s="99" t="b">
        <v>0</v>
      </c>
      <c r="K141" s="99" t="b">
        <v>0</v>
      </c>
      <c r="L141" s="99" t="b">
        <v>0</v>
      </c>
      <c r="M141" s="99" t="b">
        <v>0</v>
      </c>
      <c r="N141" s="99" t="b">
        <v>0</v>
      </c>
      <c r="O141" s="16"/>
      <c r="P141" s="16"/>
      <c r="Q141" s="16"/>
      <c r="R141" s="34"/>
      <c r="S141" s="34"/>
      <c r="T141" s="35"/>
      <c r="U141" s="33"/>
    </row>
    <row r="142" spans="1:21" ht="15.75">
      <c r="A142" s="21"/>
      <c r="B142" s="22"/>
      <c r="C142" s="16"/>
      <c r="D142" s="16"/>
      <c r="E14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2" s="33"/>
      <c r="G142" s="99" t="b">
        <v>0</v>
      </c>
      <c r="H142" s="99" t="b">
        <v>0</v>
      </c>
      <c r="I142" s="99" t="b">
        <v>0</v>
      </c>
      <c r="J142" s="99" t="b">
        <v>0</v>
      </c>
      <c r="K142" s="99" t="b">
        <v>0</v>
      </c>
      <c r="L142" s="99" t="b">
        <v>0</v>
      </c>
      <c r="M142" s="99" t="b">
        <v>0</v>
      </c>
      <c r="N142" s="99" t="b">
        <v>0</v>
      </c>
      <c r="O142" s="16"/>
      <c r="P142" s="16"/>
      <c r="Q142" s="16"/>
      <c r="R142" s="34"/>
      <c r="S142" s="34"/>
      <c r="T142" s="35"/>
      <c r="U142" s="33"/>
    </row>
    <row r="143" spans="1:21" ht="15.75">
      <c r="A143" s="21"/>
      <c r="B143" s="22"/>
      <c r="C143" s="16"/>
      <c r="D143" s="16"/>
      <c r="E14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3" s="33"/>
      <c r="G143" s="99" t="b">
        <v>0</v>
      </c>
      <c r="H143" s="99" t="b">
        <v>0</v>
      </c>
      <c r="I143" s="99" t="b">
        <v>0</v>
      </c>
      <c r="J143" s="99" t="b">
        <v>0</v>
      </c>
      <c r="K143" s="99" t="b">
        <v>0</v>
      </c>
      <c r="L143" s="99" t="b">
        <v>0</v>
      </c>
      <c r="M143" s="99" t="b">
        <v>0</v>
      </c>
      <c r="N143" s="99" t="b">
        <v>0</v>
      </c>
      <c r="O143" s="16"/>
      <c r="P143" s="16"/>
      <c r="Q143" s="16"/>
      <c r="R143" s="34"/>
      <c r="S143" s="34"/>
      <c r="T143" s="35"/>
      <c r="U143" s="33"/>
    </row>
    <row r="144" spans="1:21" ht="15.75">
      <c r="A144" s="21"/>
      <c r="B144" s="22"/>
      <c r="C144" s="16"/>
      <c r="D144" s="16"/>
      <c r="E14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4" s="33"/>
      <c r="G144" s="99" t="b">
        <v>0</v>
      </c>
      <c r="H144" s="99" t="b">
        <v>0</v>
      </c>
      <c r="I144" s="99" t="b">
        <v>0</v>
      </c>
      <c r="J144" s="99" t="b">
        <v>0</v>
      </c>
      <c r="K144" s="99" t="b">
        <v>0</v>
      </c>
      <c r="L144" s="99" t="b">
        <v>0</v>
      </c>
      <c r="M144" s="99" t="b">
        <v>0</v>
      </c>
      <c r="N144" s="99" t="b">
        <v>0</v>
      </c>
      <c r="O144" s="16"/>
      <c r="P144" s="16"/>
      <c r="Q144" s="16"/>
      <c r="R144" s="34"/>
      <c r="S144" s="34"/>
      <c r="T144" s="35"/>
      <c r="U144" s="33"/>
    </row>
    <row r="145" spans="1:21" ht="15.75">
      <c r="A145" s="21"/>
      <c r="B145" s="22"/>
      <c r="C145" s="16"/>
      <c r="D145" s="16"/>
      <c r="E14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5" s="33"/>
      <c r="G145" s="99" t="b">
        <v>0</v>
      </c>
      <c r="H145" s="99" t="b">
        <v>0</v>
      </c>
      <c r="I145" s="99" t="b">
        <v>0</v>
      </c>
      <c r="J145" s="99" t="b">
        <v>0</v>
      </c>
      <c r="K145" s="99" t="b">
        <v>0</v>
      </c>
      <c r="L145" s="99" t="b">
        <v>0</v>
      </c>
      <c r="M145" s="99" t="b">
        <v>0</v>
      </c>
      <c r="N145" s="99" t="b">
        <v>0</v>
      </c>
      <c r="O145" s="16"/>
      <c r="P145" s="16"/>
      <c r="Q145" s="16"/>
      <c r="R145" s="34"/>
      <c r="S145" s="34"/>
      <c r="T145" s="35"/>
      <c r="U145" s="33"/>
    </row>
    <row r="146" spans="1:21" ht="15.75">
      <c r="A146" s="21"/>
      <c r="B146" s="22"/>
      <c r="C146" s="16"/>
      <c r="D146" s="16"/>
      <c r="E14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6" s="33"/>
      <c r="G146" s="99" t="b">
        <v>0</v>
      </c>
      <c r="H146" s="99" t="b">
        <v>0</v>
      </c>
      <c r="I146" s="99" t="b">
        <v>0</v>
      </c>
      <c r="J146" s="99" t="b">
        <v>0</v>
      </c>
      <c r="K146" s="99" t="b">
        <v>0</v>
      </c>
      <c r="L146" s="99" t="b">
        <v>0</v>
      </c>
      <c r="M146" s="99" t="b">
        <v>0</v>
      </c>
      <c r="N146" s="99" t="b">
        <v>0</v>
      </c>
      <c r="O146" s="16"/>
      <c r="P146" s="16"/>
      <c r="Q146" s="16"/>
      <c r="R146" s="34"/>
      <c r="S146" s="34"/>
      <c r="T146" s="35"/>
      <c r="U146" s="33"/>
    </row>
    <row r="147" spans="1:21" ht="15.75">
      <c r="A147" s="21"/>
      <c r="B147" s="22"/>
      <c r="C147" s="16"/>
      <c r="D147" s="16"/>
      <c r="E14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7" s="33"/>
      <c r="G147" s="99" t="b">
        <v>0</v>
      </c>
      <c r="H147" s="99" t="b">
        <v>0</v>
      </c>
      <c r="I147" s="99" t="b">
        <v>0</v>
      </c>
      <c r="J147" s="99" t="b">
        <v>0</v>
      </c>
      <c r="K147" s="99" t="b">
        <v>0</v>
      </c>
      <c r="L147" s="99" t="b">
        <v>0</v>
      </c>
      <c r="M147" s="99" t="b">
        <v>0</v>
      </c>
      <c r="N147" s="99" t="b">
        <v>0</v>
      </c>
      <c r="O147" s="16"/>
      <c r="P147" s="16"/>
      <c r="Q147" s="16"/>
      <c r="R147" s="34"/>
      <c r="S147" s="34"/>
      <c r="T147" s="35"/>
      <c r="U147" s="33"/>
    </row>
    <row r="148" spans="1:21" ht="15.75">
      <c r="A148" s="21"/>
      <c r="B148" s="22"/>
      <c r="C148" s="16"/>
      <c r="D148" s="16"/>
      <c r="E14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8" s="33"/>
      <c r="G148" s="99" t="b">
        <v>0</v>
      </c>
      <c r="H148" s="99" t="b">
        <v>0</v>
      </c>
      <c r="I148" s="99" t="b">
        <v>0</v>
      </c>
      <c r="J148" s="99" t="b">
        <v>0</v>
      </c>
      <c r="K148" s="99" t="b">
        <v>0</v>
      </c>
      <c r="L148" s="99" t="b">
        <v>0</v>
      </c>
      <c r="M148" s="99" t="b">
        <v>0</v>
      </c>
      <c r="N148" s="99" t="b">
        <v>0</v>
      </c>
      <c r="O148" s="16"/>
      <c r="P148" s="16"/>
      <c r="Q148" s="16"/>
      <c r="R148" s="34"/>
      <c r="S148" s="34"/>
      <c r="T148" s="35"/>
      <c r="U148" s="33"/>
    </row>
    <row r="149" spans="1:21" ht="15.75">
      <c r="A149" s="21"/>
      <c r="B149" s="22"/>
      <c r="C149" s="16"/>
      <c r="D149" s="16"/>
      <c r="E14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49" s="33"/>
      <c r="G149" s="99" t="b">
        <v>0</v>
      </c>
      <c r="H149" s="99" t="b">
        <v>0</v>
      </c>
      <c r="I149" s="99" t="b">
        <v>0</v>
      </c>
      <c r="J149" s="99" t="b">
        <v>0</v>
      </c>
      <c r="K149" s="99" t="b">
        <v>0</v>
      </c>
      <c r="L149" s="99" t="b">
        <v>0</v>
      </c>
      <c r="M149" s="99" t="b">
        <v>0</v>
      </c>
      <c r="N149" s="99" t="b">
        <v>0</v>
      </c>
      <c r="O149" s="16"/>
      <c r="P149" s="16"/>
      <c r="Q149" s="16"/>
      <c r="R149" s="34"/>
      <c r="S149" s="34"/>
      <c r="T149" s="35"/>
      <c r="U149" s="33"/>
    </row>
    <row r="150" spans="1:21" ht="15.75">
      <c r="A150" s="21"/>
      <c r="B150" s="22"/>
      <c r="C150" s="16"/>
      <c r="D150" s="16"/>
      <c r="E15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0" s="33"/>
      <c r="G150" s="99" t="b">
        <v>0</v>
      </c>
      <c r="H150" s="99" t="b">
        <v>0</v>
      </c>
      <c r="I150" s="99" t="b">
        <v>0</v>
      </c>
      <c r="J150" s="99" t="b">
        <v>0</v>
      </c>
      <c r="K150" s="99" t="b">
        <v>0</v>
      </c>
      <c r="L150" s="99" t="b">
        <v>0</v>
      </c>
      <c r="M150" s="99" t="b">
        <v>0</v>
      </c>
      <c r="N150" s="99" t="b">
        <v>0</v>
      </c>
      <c r="O150" s="16"/>
      <c r="P150" s="16"/>
      <c r="Q150" s="16"/>
      <c r="R150" s="34"/>
      <c r="S150" s="34"/>
      <c r="T150" s="35"/>
      <c r="U150" s="33"/>
    </row>
    <row r="151" spans="1:21" ht="15.75">
      <c r="A151" s="21"/>
      <c r="B151" s="22"/>
      <c r="C151" s="16"/>
      <c r="D151" s="16"/>
      <c r="E15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1" s="33"/>
      <c r="G151" s="99" t="b">
        <v>0</v>
      </c>
      <c r="H151" s="99" t="b">
        <v>0</v>
      </c>
      <c r="I151" s="99" t="b">
        <v>0</v>
      </c>
      <c r="J151" s="99" t="b">
        <v>0</v>
      </c>
      <c r="K151" s="99" t="b">
        <v>0</v>
      </c>
      <c r="L151" s="99" t="b">
        <v>0</v>
      </c>
      <c r="M151" s="99" t="b">
        <v>0</v>
      </c>
      <c r="N151" s="99" t="b">
        <v>0</v>
      </c>
      <c r="O151" s="16"/>
      <c r="P151" s="16"/>
      <c r="Q151" s="16"/>
      <c r="R151" s="34"/>
      <c r="S151" s="34"/>
      <c r="T151" s="35"/>
      <c r="U151" s="33"/>
    </row>
    <row r="152" spans="1:21" ht="15.75">
      <c r="A152" s="21"/>
      <c r="B152" s="22"/>
      <c r="C152" s="16"/>
      <c r="D152" s="16"/>
      <c r="E15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2" s="33"/>
      <c r="G152" s="99" t="b">
        <v>0</v>
      </c>
      <c r="H152" s="99" t="b">
        <v>0</v>
      </c>
      <c r="I152" s="99" t="b">
        <v>0</v>
      </c>
      <c r="J152" s="99" t="b">
        <v>0</v>
      </c>
      <c r="K152" s="99" t="b">
        <v>0</v>
      </c>
      <c r="L152" s="99" t="b">
        <v>0</v>
      </c>
      <c r="M152" s="99" t="b">
        <v>0</v>
      </c>
      <c r="N152" s="99" t="b">
        <v>0</v>
      </c>
      <c r="O152" s="16"/>
      <c r="P152" s="16"/>
      <c r="Q152" s="16"/>
      <c r="R152" s="34"/>
      <c r="S152" s="34"/>
      <c r="T152" s="35"/>
      <c r="U152" s="33"/>
    </row>
    <row r="153" spans="1:21" ht="15.75">
      <c r="A153" s="21"/>
      <c r="B153" s="22"/>
      <c r="C153" s="16"/>
      <c r="D153" s="16"/>
      <c r="E15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3" s="33"/>
      <c r="G153" s="99" t="b">
        <v>0</v>
      </c>
      <c r="H153" s="99" t="b">
        <v>0</v>
      </c>
      <c r="I153" s="99" t="b">
        <v>0</v>
      </c>
      <c r="J153" s="99" t="b">
        <v>0</v>
      </c>
      <c r="K153" s="99" t="b">
        <v>0</v>
      </c>
      <c r="L153" s="99" t="b">
        <v>0</v>
      </c>
      <c r="M153" s="99" t="b">
        <v>0</v>
      </c>
      <c r="N153" s="99" t="b">
        <v>0</v>
      </c>
      <c r="O153" s="16"/>
      <c r="P153" s="16"/>
      <c r="Q153" s="16"/>
      <c r="R153" s="34"/>
      <c r="S153" s="34"/>
      <c r="T153" s="35"/>
      <c r="U153" s="33"/>
    </row>
    <row r="154" spans="1:21" ht="15.75">
      <c r="A154" s="21"/>
      <c r="B154" s="22"/>
      <c r="C154" s="16"/>
      <c r="D154" s="16"/>
      <c r="E15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4" s="33"/>
      <c r="G154" s="99" t="b">
        <v>0</v>
      </c>
      <c r="H154" s="99" t="b">
        <v>0</v>
      </c>
      <c r="I154" s="99" t="b">
        <v>0</v>
      </c>
      <c r="J154" s="99" t="b">
        <v>0</v>
      </c>
      <c r="K154" s="99" t="b">
        <v>0</v>
      </c>
      <c r="L154" s="99" t="b">
        <v>0</v>
      </c>
      <c r="M154" s="99" t="b">
        <v>0</v>
      </c>
      <c r="N154" s="99" t="b">
        <v>0</v>
      </c>
      <c r="O154" s="16"/>
      <c r="P154" s="16"/>
      <c r="Q154" s="16"/>
      <c r="R154" s="34"/>
      <c r="S154" s="34"/>
      <c r="T154" s="35"/>
      <c r="U154" s="33"/>
    </row>
    <row r="155" spans="1:21" ht="15.75">
      <c r="A155" s="21"/>
      <c r="B155" s="22"/>
      <c r="C155" s="16"/>
      <c r="D155" s="16"/>
      <c r="E15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5" s="33"/>
      <c r="G155" s="99" t="b">
        <v>0</v>
      </c>
      <c r="H155" s="99" t="b">
        <v>0</v>
      </c>
      <c r="I155" s="99" t="b">
        <v>0</v>
      </c>
      <c r="J155" s="99" t="b">
        <v>0</v>
      </c>
      <c r="K155" s="99" t="b">
        <v>0</v>
      </c>
      <c r="L155" s="99" t="b">
        <v>0</v>
      </c>
      <c r="M155" s="99" t="b">
        <v>0</v>
      </c>
      <c r="N155" s="99" t="b">
        <v>0</v>
      </c>
      <c r="O155" s="16"/>
      <c r="P155" s="16"/>
      <c r="Q155" s="16"/>
      <c r="R155" s="34"/>
      <c r="S155" s="34"/>
      <c r="T155" s="35"/>
      <c r="U155" s="33"/>
    </row>
    <row r="156" spans="1:21" ht="15.75">
      <c r="A156" s="21"/>
      <c r="B156" s="22"/>
      <c r="C156" s="16"/>
      <c r="D156" s="16"/>
      <c r="E15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6" s="33"/>
      <c r="G156" s="99" t="b">
        <v>0</v>
      </c>
      <c r="H156" s="99" t="b">
        <v>0</v>
      </c>
      <c r="I156" s="99" t="b">
        <v>0</v>
      </c>
      <c r="J156" s="99" t="b">
        <v>0</v>
      </c>
      <c r="K156" s="99" t="b">
        <v>0</v>
      </c>
      <c r="L156" s="99" t="b">
        <v>0</v>
      </c>
      <c r="M156" s="99" t="b">
        <v>0</v>
      </c>
      <c r="N156" s="99" t="b">
        <v>0</v>
      </c>
      <c r="O156" s="16"/>
      <c r="P156" s="16"/>
      <c r="Q156" s="16"/>
      <c r="R156" s="34"/>
      <c r="S156" s="34"/>
      <c r="T156" s="35"/>
      <c r="U156" s="33"/>
    </row>
    <row r="157" spans="1:21" ht="15.75">
      <c r="A157" s="21"/>
      <c r="B157" s="22"/>
      <c r="C157" s="16"/>
      <c r="D157" s="16"/>
      <c r="E15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7" s="33"/>
      <c r="G157" s="99" t="b">
        <v>0</v>
      </c>
      <c r="H157" s="99" t="b">
        <v>0</v>
      </c>
      <c r="I157" s="99" t="b">
        <v>0</v>
      </c>
      <c r="J157" s="99" t="b">
        <v>0</v>
      </c>
      <c r="K157" s="99" t="b">
        <v>0</v>
      </c>
      <c r="L157" s="99" t="b">
        <v>0</v>
      </c>
      <c r="M157" s="99" t="b">
        <v>0</v>
      </c>
      <c r="N157" s="99" t="b">
        <v>0</v>
      </c>
      <c r="O157" s="16"/>
      <c r="P157" s="16"/>
      <c r="Q157" s="16"/>
      <c r="R157" s="34"/>
      <c r="S157" s="34"/>
      <c r="T157" s="35"/>
      <c r="U157" s="33"/>
    </row>
    <row r="158" spans="1:21" ht="15.75">
      <c r="A158" s="21"/>
      <c r="B158" s="22"/>
      <c r="C158" s="16"/>
      <c r="D158" s="16"/>
      <c r="E15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8" s="33"/>
      <c r="G158" s="99" t="b">
        <v>0</v>
      </c>
      <c r="H158" s="99" t="b">
        <v>0</v>
      </c>
      <c r="I158" s="99" t="b">
        <v>0</v>
      </c>
      <c r="J158" s="99" t="b">
        <v>0</v>
      </c>
      <c r="K158" s="99" t="b">
        <v>0</v>
      </c>
      <c r="L158" s="99" t="b">
        <v>0</v>
      </c>
      <c r="M158" s="99" t="b">
        <v>0</v>
      </c>
      <c r="N158" s="99" t="b">
        <v>0</v>
      </c>
      <c r="O158" s="16"/>
      <c r="P158" s="16"/>
      <c r="Q158" s="16"/>
      <c r="R158" s="34"/>
      <c r="S158" s="34"/>
      <c r="T158" s="35"/>
      <c r="U158" s="33"/>
    </row>
    <row r="159" spans="1:21" ht="15.75">
      <c r="A159" s="21"/>
      <c r="B159" s="22"/>
      <c r="C159" s="16"/>
      <c r="D159" s="16"/>
      <c r="E15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59" s="33"/>
      <c r="G159" s="99" t="b">
        <v>0</v>
      </c>
      <c r="H159" s="99" t="b">
        <v>0</v>
      </c>
      <c r="I159" s="99" t="b">
        <v>0</v>
      </c>
      <c r="J159" s="99" t="b">
        <v>0</v>
      </c>
      <c r="K159" s="99" t="b">
        <v>0</v>
      </c>
      <c r="L159" s="99" t="b">
        <v>0</v>
      </c>
      <c r="M159" s="99" t="b">
        <v>0</v>
      </c>
      <c r="N159" s="99" t="b">
        <v>0</v>
      </c>
      <c r="O159" s="16"/>
      <c r="P159" s="16"/>
      <c r="Q159" s="16"/>
      <c r="R159" s="34"/>
      <c r="S159" s="34"/>
      <c r="T159" s="35"/>
      <c r="U159" s="33"/>
    </row>
    <row r="160" spans="1:21" ht="15.75">
      <c r="A160" s="21"/>
      <c r="B160" s="22"/>
      <c r="C160" s="16"/>
      <c r="D160" s="16"/>
      <c r="E16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0" s="33"/>
      <c r="G160" s="99" t="b">
        <v>0</v>
      </c>
      <c r="H160" s="99" t="b">
        <v>0</v>
      </c>
      <c r="I160" s="99" t="b">
        <v>0</v>
      </c>
      <c r="J160" s="99" t="b">
        <v>0</v>
      </c>
      <c r="K160" s="99" t="b">
        <v>0</v>
      </c>
      <c r="L160" s="99" t="b">
        <v>0</v>
      </c>
      <c r="M160" s="99" t="b">
        <v>0</v>
      </c>
      <c r="N160" s="99" t="b">
        <v>0</v>
      </c>
      <c r="O160" s="16"/>
      <c r="P160" s="16"/>
      <c r="Q160" s="16"/>
      <c r="R160" s="34"/>
      <c r="S160" s="34"/>
      <c r="T160" s="35"/>
      <c r="U160" s="33"/>
    </row>
    <row r="161" spans="1:21" ht="15.75">
      <c r="A161" s="21"/>
      <c r="B161" s="22"/>
      <c r="C161" s="16"/>
      <c r="D161" s="16"/>
      <c r="E16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1" s="33"/>
      <c r="G161" s="99" t="b">
        <v>0</v>
      </c>
      <c r="H161" s="99" t="b">
        <v>0</v>
      </c>
      <c r="I161" s="99" t="b">
        <v>0</v>
      </c>
      <c r="J161" s="99" t="b">
        <v>0</v>
      </c>
      <c r="K161" s="99" t="b">
        <v>0</v>
      </c>
      <c r="L161" s="99" t="b">
        <v>0</v>
      </c>
      <c r="M161" s="99" t="b">
        <v>0</v>
      </c>
      <c r="N161" s="99" t="b">
        <v>0</v>
      </c>
      <c r="O161" s="16"/>
      <c r="P161" s="16"/>
      <c r="Q161" s="16"/>
      <c r="R161" s="34"/>
      <c r="S161" s="34"/>
      <c r="T161" s="35"/>
      <c r="U161" s="33"/>
    </row>
    <row r="162" spans="1:21" ht="15.75">
      <c r="A162" s="21"/>
      <c r="B162" s="22"/>
      <c r="C162" s="16"/>
      <c r="D162" s="16"/>
      <c r="E16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2" s="33"/>
      <c r="G162" s="99" t="b">
        <v>0</v>
      </c>
      <c r="H162" s="99" t="b">
        <v>0</v>
      </c>
      <c r="I162" s="99" t="b">
        <v>0</v>
      </c>
      <c r="J162" s="99" t="b">
        <v>0</v>
      </c>
      <c r="K162" s="99" t="b">
        <v>0</v>
      </c>
      <c r="L162" s="99" t="b">
        <v>0</v>
      </c>
      <c r="M162" s="99" t="b">
        <v>0</v>
      </c>
      <c r="N162" s="99" t="b">
        <v>0</v>
      </c>
      <c r="O162" s="16"/>
      <c r="P162" s="16"/>
      <c r="Q162" s="16"/>
      <c r="R162" s="34"/>
      <c r="S162" s="34"/>
      <c r="T162" s="35"/>
      <c r="U162" s="33"/>
    </row>
    <row r="163" spans="1:21" ht="15.75">
      <c r="A163" s="21"/>
      <c r="B163" s="22"/>
      <c r="C163" s="16"/>
      <c r="D163" s="16"/>
      <c r="E16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3" s="33"/>
      <c r="G163" s="99" t="b">
        <v>0</v>
      </c>
      <c r="H163" s="99" t="b">
        <v>0</v>
      </c>
      <c r="I163" s="99" t="b">
        <v>0</v>
      </c>
      <c r="J163" s="99" t="b">
        <v>0</v>
      </c>
      <c r="K163" s="99" t="b">
        <v>0</v>
      </c>
      <c r="L163" s="99" t="b">
        <v>0</v>
      </c>
      <c r="M163" s="99" t="b">
        <v>0</v>
      </c>
      <c r="N163" s="99" t="b">
        <v>0</v>
      </c>
      <c r="O163" s="16"/>
      <c r="P163" s="16"/>
      <c r="Q163" s="16"/>
      <c r="R163" s="34"/>
      <c r="S163" s="34"/>
      <c r="T163" s="35"/>
      <c r="U163" s="33"/>
    </row>
    <row r="164" spans="1:21" ht="15.75">
      <c r="A164" s="21"/>
      <c r="B164" s="22"/>
      <c r="C164" s="16"/>
      <c r="D164" s="16"/>
      <c r="E16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4" s="33"/>
      <c r="G164" s="99" t="b">
        <v>0</v>
      </c>
      <c r="H164" s="99" t="b">
        <v>0</v>
      </c>
      <c r="I164" s="99" t="b">
        <v>0</v>
      </c>
      <c r="J164" s="99" t="b">
        <v>0</v>
      </c>
      <c r="K164" s="99" t="b">
        <v>0</v>
      </c>
      <c r="L164" s="99" t="b">
        <v>0</v>
      </c>
      <c r="M164" s="99" t="b">
        <v>0</v>
      </c>
      <c r="N164" s="99" t="b">
        <v>0</v>
      </c>
      <c r="O164" s="16"/>
      <c r="P164" s="16"/>
      <c r="Q164" s="16"/>
      <c r="R164" s="34"/>
      <c r="S164" s="34"/>
      <c r="T164" s="35"/>
      <c r="U164" s="33"/>
    </row>
    <row r="165" spans="1:21" ht="15.75">
      <c r="A165" s="21"/>
      <c r="B165" s="22"/>
      <c r="C165" s="16"/>
      <c r="D165" s="16"/>
      <c r="E16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5" s="33"/>
      <c r="G165" s="99" t="b">
        <v>0</v>
      </c>
      <c r="H165" s="99" t="b">
        <v>0</v>
      </c>
      <c r="I165" s="99" t="b">
        <v>0</v>
      </c>
      <c r="J165" s="99" t="b">
        <v>0</v>
      </c>
      <c r="K165" s="99" t="b">
        <v>0</v>
      </c>
      <c r="L165" s="99" t="b">
        <v>0</v>
      </c>
      <c r="M165" s="99" t="b">
        <v>0</v>
      </c>
      <c r="N165" s="99" t="b">
        <v>0</v>
      </c>
      <c r="O165" s="16"/>
      <c r="P165" s="16"/>
      <c r="Q165" s="16"/>
      <c r="R165" s="34"/>
      <c r="S165" s="34"/>
      <c r="T165" s="35"/>
      <c r="U165" s="33"/>
    </row>
    <row r="166" spans="1:21" ht="15.75">
      <c r="A166" s="21"/>
      <c r="B166" s="22"/>
      <c r="C166" s="16"/>
      <c r="D166" s="16"/>
      <c r="E16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6" s="33"/>
      <c r="G166" s="99" t="b">
        <v>0</v>
      </c>
      <c r="H166" s="99" t="b">
        <v>0</v>
      </c>
      <c r="I166" s="99" t="b">
        <v>0</v>
      </c>
      <c r="J166" s="99" t="b">
        <v>0</v>
      </c>
      <c r="K166" s="99" t="b">
        <v>0</v>
      </c>
      <c r="L166" s="99" t="b">
        <v>0</v>
      </c>
      <c r="M166" s="99" t="b">
        <v>0</v>
      </c>
      <c r="N166" s="99" t="b">
        <v>0</v>
      </c>
      <c r="O166" s="16"/>
      <c r="P166" s="16"/>
      <c r="Q166" s="16"/>
      <c r="R166" s="34"/>
      <c r="S166" s="34"/>
      <c r="T166" s="35"/>
      <c r="U166" s="33"/>
    </row>
    <row r="167" spans="1:21" ht="15.75">
      <c r="A167" s="21"/>
      <c r="B167" s="22"/>
      <c r="C167" s="16"/>
      <c r="D167" s="16"/>
      <c r="E16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7" s="33"/>
      <c r="G167" s="99" t="b">
        <v>0</v>
      </c>
      <c r="H167" s="99" t="b">
        <v>0</v>
      </c>
      <c r="I167" s="99" t="b">
        <v>0</v>
      </c>
      <c r="J167" s="99" t="b">
        <v>0</v>
      </c>
      <c r="K167" s="99" t="b">
        <v>0</v>
      </c>
      <c r="L167" s="99" t="b">
        <v>0</v>
      </c>
      <c r="M167" s="99" t="b">
        <v>0</v>
      </c>
      <c r="N167" s="99" t="b">
        <v>0</v>
      </c>
      <c r="O167" s="16"/>
      <c r="P167" s="16"/>
      <c r="Q167" s="16"/>
      <c r="R167" s="34"/>
      <c r="S167" s="34"/>
      <c r="T167" s="35"/>
      <c r="U167" s="33"/>
    </row>
    <row r="168" spans="1:21" ht="15.75">
      <c r="A168" s="21"/>
      <c r="B168" s="22"/>
      <c r="C168" s="16"/>
      <c r="D168" s="16"/>
      <c r="E16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8" s="33"/>
      <c r="G168" s="99" t="b">
        <v>0</v>
      </c>
      <c r="H168" s="99" t="b">
        <v>0</v>
      </c>
      <c r="I168" s="99" t="b">
        <v>0</v>
      </c>
      <c r="J168" s="99" t="b">
        <v>0</v>
      </c>
      <c r="K168" s="99" t="b">
        <v>0</v>
      </c>
      <c r="L168" s="99" t="b">
        <v>0</v>
      </c>
      <c r="M168" s="99" t="b">
        <v>0</v>
      </c>
      <c r="N168" s="99" t="b">
        <v>0</v>
      </c>
      <c r="O168" s="16"/>
      <c r="P168" s="16"/>
      <c r="Q168" s="16"/>
      <c r="R168" s="34"/>
      <c r="S168" s="34"/>
      <c r="T168" s="35"/>
      <c r="U168" s="33"/>
    </row>
    <row r="169" spans="1:21" ht="15.75">
      <c r="A169" s="21"/>
      <c r="B169" s="22"/>
      <c r="C169" s="16"/>
      <c r="D169" s="16"/>
      <c r="E16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69" s="33"/>
      <c r="G169" s="99" t="b">
        <v>0</v>
      </c>
      <c r="H169" s="99" t="b">
        <v>0</v>
      </c>
      <c r="I169" s="99" t="b">
        <v>0</v>
      </c>
      <c r="J169" s="99" t="b">
        <v>0</v>
      </c>
      <c r="K169" s="99" t="b">
        <v>0</v>
      </c>
      <c r="L169" s="99" t="b">
        <v>0</v>
      </c>
      <c r="M169" s="99" t="b">
        <v>0</v>
      </c>
      <c r="N169" s="99" t="b">
        <v>0</v>
      </c>
      <c r="O169" s="16"/>
      <c r="P169" s="16"/>
      <c r="Q169" s="16"/>
      <c r="R169" s="34"/>
      <c r="S169" s="34"/>
      <c r="T169" s="35"/>
      <c r="U169" s="33"/>
    </row>
    <row r="170" spans="1:21" ht="15.75">
      <c r="A170" s="21"/>
      <c r="B170" s="22"/>
      <c r="C170" s="16"/>
      <c r="D170" s="16"/>
      <c r="E17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0" s="33"/>
      <c r="G170" s="99" t="b">
        <v>0</v>
      </c>
      <c r="H170" s="99" t="b">
        <v>0</v>
      </c>
      <c r="I170" s="99" t="b">
        <v>0</v>
      </c>
      <c r="J170" s="99" t="b">
        <v>0</v>
      </c>
      <c r="K170" s="99" t="b">
        <v>0</v>
      </c>
      <c r="L170" s="99" t="b">
        <v>0</v>
      </c>
      <c r="M170" s="99" t="b">
        <v>0</v>
      </c>
      <c r="N170" s="99" t="b">
        <v>0</v>
      </c>
      <c r="O170" s="16"/>
      <c r="P170" s="16"/>
      <c r="Q170" s="16"/>
      <c r="R170" s="34"/>
      <c r="S170" s="34"/>
      <c r="T170" s="35"/>
      <c r="U170" s="33"/>
    </row>
    <row r="171" spans="1:21" ht="15.75">
      <c r="A171" s="21"/>
      <c r="B171" s="22"/>
      <c r="C171" s="16"/>
      <c r="D171" s="16"/>
      <c r="E17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1" s="33"/>
      <c r="G171" s="99" t="b">
        <v>0</v>
      </c>
      <c r="H171" s="99" t="b">
        <v>0</v>
      </c>
      <c r="I171" s="99" t="b">
        <v>0</v>
      </c>
      <c r="J171" s="99" t="b">
        <v>0</v>
      </c>
      <c r="K171" s="99" t="b">
        <v>0</v>
      </c>
      <c r="L171" s="99" t="b">
        <v>0</v>
      </c>
      <c r="M171" s="99" t="b">
        <v>0</v>
      </c>
      <c r="N171" s="99" t="b">
        <v>0</v>
      </c>
      <c r="O171" s="16"/>
      <c r="P171" s="16"/>
      <c r="Q171" s="16"/>
      <c r="R171" s="34"/>
      <c r="S171" s="34"/>
      <c r="T171" s="35"/>
      <c r="U171" s="33"/>
    </row>
    <row r="172" spans="1:21" ht="15.75">
      <c r="A172" s="21"/>
      <c r="B172" s="22"/>
      <c r="C172" s="16"/>
      <c r="D172" s="16"/>
      <c r="E17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2" s="33"/>
      <c r="G172" s="99" t="b">
        <v>0</v>
      </c>
      <c r="H172" s="99" t="b">
        <v>0</v>
      </c>
      <c r="I172" s="99" t="b">
        <v>0</v>
      </c>
      <c r="J172" s="99" t="b">
        <v>0</v>
      </c>
      <c r="K172" s="99" t="b">
        <v>0</v>
      </c>
      <c r="L172" s="99" t="b">
        <v>0</v>
      </c>
      <c r="M172" s="99" t="b">
        <v>0</v>
      </c>
      <c r="N172" s="99" t="b">
        <v>0</v>
      </c>
      <c r="O172" s="16"/>
      <c r="P172" s="16"/>
      <c r="Q172" s="16"/>
      <c r="R172" s="34"/>
      <c r="S172" s="34"/>
      <c r="T172" s="35"/>
      <c r="U172" s="33"/>
    </row>
    <row r="173" spans="1:21" ht="15.75">
      <c r="A173" s="21"/>
      <c r="B173" s="22"/>
      <c r="C173" s="16"/>
      <c r="D173" s="16"/>
      <c r="E17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3" s="33"/>
      <c r="G173" s="99" t="b">
        <v>0</v>
      </c>
      <c r="H173" s="99" t="b">
        <v>0</v>
      </c>
      <c r="I173" s="99" t="b">
        <v>0</v>
      </c>
      <c r="J173" s="99" t="b">
        <v>0</v>
      </c>
      <c r="K173" s="99" t="b">
        <v>0</v>
      </c>
      <c r="L173" s="99" t="b">
        <v>0</v>
      </c>
      <c r="M173" s="99" t="b">
        <v>0</v>
      </c>
      <c r="N173" s="99" t="b">
        <v>0</v>
      </c>
      <c r="O173" s="16"/>
      <c r="P173" s="16"/>
      <c r="Q173" s="16"/>
      <c r="R173" s="34"/>
      <c r="S173" s="34"/>
      <c r="T173" s="35"/>
      <c r="U173" s="33"/>
    </row>
    <row r="174" spans="1:21" ht="15.75">
      <c r="A174" s="21"/>
      <c r="B174" s="22"/>
      <c r="C174" s="16"/>
      <c r="D174" s="16"/>
      <c r="E17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4" s="33"/>
      <c r="G174" s="99" t="b">
        <v>0</v>
      </c>
      <c r="H174" s="99" t="b">
        <v>0</v>
      </c>
      <c r="I174" s="99" t="b">
        <v>0</v>
      </c>
      <c r="J174" s="99" t="b">
        <v>0</v>
      </c>
      <c r="K174" s="99" t="b">
        <v>0</v>
      </c>
      <c r="L174" s="99" t="b">
        <v>0</v>
      </c>
      <c r="M174" s="99" t="b">
        <v>0</v>
      </c>
      <c r="N174" s="99" t="b">
        <v>0</v>
      </c>
      <c r="O174" s="16"/>
      <c r="P174" s="16"/>
      <c r="Q174" s="16"/>
      <c r="R174" s="34"/>
      <c r="S174" s="34"/>
      <c r="T174" s="35"/>
      <c r="U174" s="33"/>
    </row>
    <row r="175" spans="1:21" ht="15.75">
      <c r="A175" s="21"/>
      <c r="B175" s="22"/>
      <c r="C175" s="16"/>
      <c r="D175" s="16"/>
      <c r="E17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5" s="33"/>
      <c r="G175" s="99" t="b">
        <v>0</v>
      </c>
      <c r="H175" s="99" t="b">
        <v>0</v>
      </c>
      <c r="I175" s="99" t="b">
        <v>0</v>
      </c>
      <c r="J175" s="99" t="b">
        <v>0</v>
      </c>
      <c r="K175" s="99" t="b">
        <v>0</v>
      </c>
      <c r="L175" s="99" t="b">
        <v>0</v>
      </c>
      <c r="M175" s="99" t="b">
        <v>0</v>
      </c>
      <c r="N175" s="99" t="b">
        <v>0</v>
      </c>
      <c r="O175" s="16"/>
      <c r="P175" s="16"/>
      <c r="Q175" s="16"/>
      <c r="R175" s="34"/>
      <c r="S175" s="34"/>
      <c r="T175" s="35"/>
      <c r="U175" s="33"/>
    </row>
    <row r="176" spans="1:21" ht="15.75">
      <c r="A176" s="21"/>
      <c r="B176" s="22"/>
      <c r="C176" s="16"/>
      <c r="D176" s="16"/>
      <c r="E17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6" s="33"/>
      <c r="G176" s="99" t="b">
        <v>0</v>
      </c>
      <c r="H176" s="99" t="b">
        <v>0</v>
      </c>
      <c r="I176" s="99" t="b">
        <v>0</v>
      </c>
      <c r="J176" s="99" t="b">
        <v>0</v>
      </c>
      <c r="K176" s="99" t="b">
        <v>0</v>
      </c>
      <c r="L176" s="99" t="b">
        <v>0</v>
      </c>
      <c r="M176" s="99" t="b">
        <v>0</v>
      </c>
      <c r="N176" s="99" t="b">
        <v>0</v>
      </c>
      <c r="O176" s="16"/>
      <c r="P176" s="16"/>
      <c r="Q176" s="16"/>
      <c r="R176" s="34"/>
      <c r="S176" s="34"/>
      <c r="T176" s="35"/>
      <c r="U176" s="33"/>
    </row>
    <row r="177" spans="1:21" ht="15.75">
      <c r="A177" s="21"/>
      <c r="B177" s="22"/>
      <c r="C177" s="16"/>
      <c r="D177" s="16"/>
      <c r="E17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7" s="33"/>
      <c r="G177" s="99" t="b">
        <v>0</v>
      </c>
      <c r="H177" s="99" t="b">
        <v>0</v>
      </c>
      <c r="I177" s="99" t="b">
        <v>0</v>
      </c>
      <c r="J177" s="99" t="b">
        <v>0</v>
      </c>
      <c r="K177" s="99" t="b">
        <v>0</v>
      </c>
      <c r="L177" s="99" t="b">
        <v>0</v>
      </c>
      <c r="M177" s="99" t="b">
        <v>0</v>
      </c>
      <c r="N177" s="99" t="b">
        <v>0</v>
      </c>
      <c r="O177" s="16"/>
      <c r="P177" s="16"/>
      <c r="Q177" s="16"/>
      <c r="R177" s="34"/>
      <c r="S177" s="34"/>
      <c r="T177" s="35"/>
      <c r="U177" s="33"/>
    </row>
    <row r="178" spans="1:21" ht="15.75">
      <c r="A178" s="21"/>
      <c r="B178" s="22"/>
      <c r="C178" s="16"/>
      <c r="D178" s="16"/>
      <c r="E17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8" s="33"/>
      <c r="G178" s="99" t="b">
        <v>0</v>
      </c>
      <c r="H178" s="99" t="b">
        <v>0</v>
      </c>
      <c r="I178" s="99" t="b">
        <v>0</v>
      </c>
      <c r="J178" s="99" t="b">
        <v>0</v>
      </c>
      <c r="K178" s="99" t="b">
        <v>0</v>
      </c>
      <c r="L178" s="99" t="b">
        <v>0</v>
      </c>
      <c r="M178" s="99" t="b">
        <v>0</v>
      </c>
      <c r="N178" s="99" t="b">
        <v>0</v>
      </c>
      <c r="O178" s="16"/>
      <c r="P178" s="16"/>
      <c r="Q178" s="16"/>
      <c r="R178" s="34"/>
      <c r="S178" s="34"/>
      <c r="T178" s="35"/>
      <c r="U178" s="33"/>
    </row>
    <row r="179" spans="1:21" ht="15.75">
      <c r="A179" s="21"/>
      <c r="B179" s="22"/>
      <c r="C179" s="16"/>
      <c r="D179" s="16"/>
      <c r="E17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79" s="33"/>
      <c r="G179" s="99" t="b">
        <v>0</v>
      </c>
      <c r="H179" s="99" t="b">
        <v>0</v>
      </c>
      <c r="I179" s="99" t="b">
        <v>0</v>
      </c>
      <c r="J179" s="99" t="b">
        <v>0</v>
      </c>
      <c r="K179" s="99" t="b">
        <v>0</v>
      </c>
      <c r="L179" s="99" t="b">
        <v>0</v>
      </c>
      <c r="M179" s="99" t="b">
        <v>0</v>
      </c>
      <c r="N179" s="99" t="b">
        <v>0</v>
      </c>
      <c r="O179" s="16"/>
      <c r="P179" s="16"/>
      <c r="Q179" s="16"/>
      <c r="R179" s="34"/>
      <c r="S179" s="34"/>
      <c r="T179" s="35"/>
      <c r="U179" s="33"/>
    </row>
    <row r="180" spans="1:21" ht="15.75">
      <c r="A180" s="21"/>
      <c r="B180" s="22"/>
      <c r="C180" s="16"/>
      <c r="D180" s="16"/>
      <c r="E18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0" s="33"/>
      <c r="G180" s="99" t="b">
        <v>0</v>
      </c>
      <c r="H180" s="99" t="b">
        <v>0</v>
      </c>
      <c r="I180" s="99" t="b">
        <v>0</v>
      </c>
      <c r="J180" s="99" t="b">
        <v>0</v>
      </c>
      <c r="K180" s="99" t="b">
        <v>0</v>
      </c>
      <c r="L180" s="99" t="b">
        <v>0</v>
      </c>
      <c r="M180" s="99" t="b">
        <v>0</v>
      </c>
      <c r="N180" s="99" t="b">
        <v>0</v>
      </c>
      <c r="O180" s="16"/>
      <c r="P180" s="16"/>
      <c r="Q180" s="16"/>
      <c r="R180" s="34"/>
      <c r="S180" s="34"/>
      <c r="T180" s="35"/>
      <c r="U180" s="33"/>
    </row>
    <row r="181" spans="1:21" ht="15.75">
      <c r="A181" s="21"/>
      <c r="B181" s="22"/>
      <c r="C181" s="16"/>
      <c r="D181" s="16"/>
      <c r="E18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1" s="33"/>
      <c r="G181" s="99" t="b">
        <v>0</v>
      </c>
      <c r="H181" s="99" t="b">
        <v>0</v>
      </c>
      <c r="I181" s="99" t="b">
        <v>0</v>
      </c>
      <c r="J181" s="99" t="b">
        <v>0</v>
      </c>
      <c r="K181" s="99" t="b">
        <v>0</v>
      </c>
      <c r="L181" s="99" t="b">
        <v>0</v>
      </c>
      <c r="M181" s="99" t="b">
        <v>0</v>
      </c>
      <c r="N181" s="99" t="b">
        <v>0</v>
      </c>
      <c r="O181" s="16"/>
      <c r="P181" s="16"/>
      <c r="Q181" s="16"/>
      <c r="R181" s="34"/>
      <c r="S181" s="34"/>
      <c r="T181" s="35"/>
      <c r="U181" s="33"/>
    </row>
    <row r="182" spans="1:21" ht="15.75">
      <c r="A182" s="21"/>
      <c r="B182" s="22"/>
      <c r="C182" s="16"/>
      <c r="D182" s="16"/>
      <c r="E18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2" s="33"/>
      <c r="G182" s="99" t="b">
        <v>0</v>
      </c>
      <c r="H182" s="99" t="b">
        <v>0</v>
      </c>
      <c r="I182" s="99" t="b">
        <v>0</v>
      </c>
      <c r="J182" s="99" t="b">
        <v>0</v>
      </c>
      <c r="K182" s="99" t="b">
        <v>0</v>
      </c>
      <c r="L182" s="99" t="b">
        <v>0</v>
      </c>
      <c r="M182" s="99" t="b">
        <v>0</v>
      </c>
      <c r="N182" s="99" t="b">
        <v>0</v>
      </c>
      <c r="O182" s="16"/>
      <c r="P182" s="16"/>
      <c r="Q182" s="16"/>
      <c r="R182" s="34"/>
      <c r="S182" s="34"/>
      <c r="T182" s="35"/>
      <c r="U182" s="33"/>
    </row>
    <row r="183" spans="1:21" ht="15.75">
      <c r="A183" s="21"/>
      <c r="B183" s="22"/>
      <c r="C183" s="16"/>
      <c r="D183" s="16"/>
      <c r="E18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3" s="33"/>
      <c r="G183" s="99" t="b">
        <v>0</v>
      </c>
      <c r="H183" s="99" t="b">
        <v>0</v>
      </c>
      <c r="I183" s="99" t="b">
        <v>0</v>
      </c>
      <c r="J183" s="99" t="b">
        <v>0</v>
      </c>
      <c r="K183" s="99" t="b">
        <v>0</v>
      </c>
      <c r="L183" s="99" t="b">
        <v>0</v>
      </c>
      <c r="M183" s="99" t="b">
        <v>0</v>
      </c>
      <c r="N183" s="99" t="b">
        <v>0</v>
      </c>
      <c r="O183" s="16"/>
      <c r="P183" s="16"/>
      <c r="Q183" s="16"/>
      <c r="R183" s="34"/>
      <c r="S183" s="34"/>
      <c r="T183" s="35"/>
      <c r="U183" s="33"/>
    </row>
    <row r="184" spans="1:21" ht="15.75">
      <c r="A184" s="21"/>
      <c r="B184" s="22"/>
      <c r="C184" s="16"/>
      <c r="D184" s="16"/>
      <c r="E18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4" s="33"/>
      <c r="G184" s="99" t="b">
        <v>0</v>
      </c>
      <c r="H184" s="99" t="b">
        <v>0</v>
      </c>
      <c r="I184" s="99" t="b">
        <v>0</v>
      </c>
      <c r="J184" s="99" t="b">
        <v>0</v>
      </c>
      <c r="K184" s="99" t="b">
        <v>0</v>
      </c>
      <c r="L184" s="99" t="b">
        <v>0</v>
      </c>
      <c r="M184" s="99" t="b">
        <v>0</v>
      </c>
      <c r="N184" s="99" t="b">
        <v>0</v>
      </c>
      <c r="O184" s="16"/>
      <c r="P184" s="16"/>
      <c r="Q184" s="16"/>
      <c r="R184" s="34"/>
      <c r="S184" s="34"/>
      <c r="T184" s="35"/>
      <c r="U184" s="33"/>
    </row>
    <row r="185" spans="1:21" ht="15.75">
      <c r="A185" s="21"/>
      <c r="B185" s="22"/>
      <c r="C185" s="16"/>
      <c r="D185" s="16"/>
      <c r="E18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5" s="33"/>
      <c r="G185" s="99" t="b">
        <v>0</v>
      </c>
      <c r="H185" s="99" t="b">
        <v>0</v>
      </c>
      <c r="I185" s="99" t="b">
        <v>0</v>
      </c>
      <c r="J185" s="99" t="b">
        <v>0</v>
      </c>
      <c r="K185" s="99" t="b">
        <v>0</v>
      </c>
      <c r="L185" s="99" t="b">
        <v>0</v>
      </c>
      <c r="M185" s="99" t="b">
        <v>0</v>
      </c>
      <c r="N185" s="99" t="b">
        <v>0</v>
      </c>
      <c r="O185" s="16"/>
      <c r="P185" s="16"/>
      <c r="Q185" s="16"/>
      <c r="R185" s="34"/>
      <c r="S185" s="34"/>
      <c r="T185" s="35"/>
      <c r="U185" s="33"/>
    </row>
    <row r="186" spans="1:21" ht="15.75">
      <c r="A186" s="21"/>
      <c r="B186" s="22"/>
      <c r="C186" s="16"/>
      <c r="D186" s="16"/>
      <c r="E18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6" s="33"/>
      <c r="G186" s="99" t="b">
        <v>0</v>
      </c>
      <c r="H186" s="99" t="b">
        <v>0</v>
      </c>
      <c r="I186" s="99" t="b">
        <v>0</v>
      </c>
      <c r="J186" s="99" t="b">
        <v>0</v>
      </c>
      <c r="K186" s="99" t="b">
        <v>0</v>
      </c>
      <c r="L186" s="99" t="b">
        <v>0</v>
      </c>
      <c r="M186" s="99" t="b">
        <v>0</v>
      </c>
      <c r="N186" s="99" t="b">
        <v>0</v>
      </c>
      <c r="O186" s="16"/>
      <c r="P186" s="16"/>
      <c r="Q186" s="16"/>
      <c r="R186" s="34"/>
      <c r="S186" s="34"/>
      <c r="T186" s="35"/>
      <c r="U186" s="33"/>
    </row>
    <row r="187" spans="1:21" ht="15.75">
      <c r="A187" s="21"/>
      <c r="B187" s="22"/>
      <c r="C187" s="16"/>
      <c r="D187" s="16"/>
      <c r="E18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7" s="33"/>
      <c r="G187" s="99" t="b">
        <v>0</v>
      </c>
      <c r="H187" s="99" t="b">
        <v>0</v>
      </c>
      <c r="I187" s="99" t="b">
        <v>0</v>
      </c>
      <c r="J187" s="99" t="b">
        <v>0</v>
      </c>
      <c r="K187" s="99" t="b">
        <v>0</v>
      </c>
      <c r="L187" s="99" t="b">
        <v>0</v>
      </c>
      <c r="M187" s="99" t="b">
        <v>0</v>
      </c>
      <c r="N187" s="99" t="b">
        <v>0</v>
      </c>
      <c r="O187" s="16"/>
      <c r="P187" s="16"/>
      <c r="Q187" s="16"/>
      <c r="R187" s="34"/>
      <c r="S187" s="34"/>
      <c r="T187" s="35"/>
      <c r="U187" s="33"/>
    </row>
    <row r="188" spans="1:21" ht="15.75">
      <c r="A188" s="21"/>
      <c r="B188" s="22"/>
      <c r="C188" s="16"/>
      <c r="D188" s="16"/>
      <c r="E18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8" s="33"/>
      <c r="G188" s="99" t="b">
        <v>0</v>
      </c>
      <c r="H188" s="99" t="b">
        <v>0</v>
      </c>
      <c r="I188" s="99" t="b">
        <v>0</v>
      </c>
      <c r="J188" s="99" t="b">
        <v>0</v>
      </c>
      <c r="K188" s="99" t="b">
        <v>0</v>
      </c>
      <c r="L188" s="99" t="b">
        <v>0</v>
      </c>
      <c r="M188" s="99" t="b">
        <v>0</v>
      </c>
      <c r="N188" s="99" t="b">
        <v>0</v>
      </c>
      <c r="O188" s="16"/>
      <c r="P188" s="16"/>
      <c r="Q188" s="16"/>
      <c r="R188" s="34"/>
      <c r="S188" s="34"/>
      <c r="T188" s="35"/>
      <c r="U188" s="33"/>
    </row>
    <row r="189" spans="1:21" ht="15.75">
      <c r="A189" s="21"/>
      <c r="B189" s="22"/>
      <c r="C189" s="16"/>
      <c r="D189" s="16"/>
      <c r="E18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89" s="33"/>
      <c r="G189" s="99" t="b">
        <v>0</v>
      </c>
      <c r="H189" s="99" t="b">
        <v>0</v>
      </c>
      <c r="I189" s="99" t="b">
        <v>0</v>
      </c>
      <c r="J189" s="99" t="b">
        <v>0</v>
      </c>
      <c r="K189" s="99" t="b">
        <v>0</v>
      </c>
      <c r="L189" s="99" t="b">
        <v>0</v>
      </c>
      <c r="M189" s="99" t="b">
        <v>0</v>
      </c>
      <c r="N189" s="99" t="b">
        <v>0</v>
      </c>
      <c r="O189" s="16"/>
      <c r="P189" s="16"/>
      <c r="Q189" s="16"/>
      <c r="R189" s="34"/>
      <c r="S189" s="34"/>
      <c r="T189" s="35"/>
      <c r="U189" s="33"/>
    </row>
    <row r="190" spans="1:21" ht="15.75">
      <c r="A190" s="21"/>
      <c r="B190" s="22"/>
      <c r="C190" s="16"/>
      <c r="D190" s="16"/>
      <c r="E19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0" s="33"/>
      <c r="G190" s="99" t="b">
        <v>0</v>
      </c>
      <c r="H190" s="99" t="b">
        <v>0</v>
      </c>
      <c r="I190" s="99" t="b">
        <v>0</v>
      </c>
      <c r="J190" s="99" t="b">
        <v>0</v>
      </c>
      <c r="K190" s="99" t="b">
        <v>0</v>
      </c>
      <c r="L190" s="99" t="b">
        <v>0</v>
      </c>
      <c r="M190" s="99" t="b">
        <v>0</v>
      </c>
      <c r="N190" s="99" t="b">
        <v>0</v>
      </c>
      <c r="O190" s="16"/>
      <c r="P190" s="16"/>
      <c r="Q190" s="16"/>
      <c r="R190" s="34"/>
      <c r="S190" s="34"/>
      <c r="T190" s="35"/>
      <c r="U190" s="33"/>
    </row>
    <row r="191" spans="1:21" ht="15.75">
      <c r="A191" s="21"/>
      <c r="B191" s="22"/>
      <c r="C191" s="16"/>
      <c r="D191" s="16"/>
      <c r="E19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1" s="33"/>
      <c r="G191" s="99" t="b">
        <v>0</v>
      </c>
      <c r="H191" s="99" t="b">
        <v>0</v>
      </c>
      <c r="I191" s="99" t="b">
        <v>0</v>
      </c>
      <c r="J191" s="99" t="b">
        <v>0</v>
      </c>
      <c r="K191" s="99" t="b">
        <v>0</v>
      </c>
      <c r="L191" s="99" t="b">
        <v>0</v>
      </c>
      <c r="M191" s="99" t="b">
        <v>0</v>
      </c>
      <c r="N191" s="99" t="b">
        <v>0</v>
      </c>
      <c r="O191" s="16"/>
      <c r="P191" s="16"/>
      <c r="Q191" s="16"/>
      <c r="R191" s="34"/>
      <c r="S191" s="34"/>
      <c r="T191" s="35"/>
      <c r="U191" s="33"/>
    </row>
    <row r="192" spans="1:21" ht="15.75">
      <c r="A192" s="21"/>
      <c r="B192" s="22"/>
      <c r="C192" s="16"/>
      <c r="D192" s="16"/>
      <c r="E192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2" s="33"/>
      <c r="G192" s="99" t="b">
        <v>0</v>
      </c>
      <c r="H192" s="99" t="b">
        <v>0</v>
      </c>
      <c r="I192" s="99" t="b">
        <v>0</v>
      </c>
      <c r="J192" s="99" t="b">
        <v>0</v>
      </c>
      <c r="K192" s="99" t="b">
        <v>0</v>
      </c>
      <c r="L192" s="99" t="b">
        <v>0</v>
      </c>
      <c r="M192" s="99" t="b">
        <v>0</v>
      </c>
      <c r="N192" s="99" t="b">
        <v>0</v>
      </c>
      <c r="O192" s="16"/>
      <c r="P192" s="16"/>
      <c r="Q192" s="16"/>
      <c r="R192" s="34"/>
      <c r="S192" s="34"/>
      <c r="T192" s="35"/>
      <c r="U192" s="33"/>
    </row>
    <row r="193" spans="1:21" ht="15.75">
      <c r="A193" s="21"/>
      <c r="B193" s="22"/>
      <c r="C193" s="16"/>
      <c r="D193" s="16"/>
      <c r="E193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3" s="33"/>
      <c r="G193" s="99" t="b">
        <v>0</v>
      </c>
      <c r="H193" s="99" t="b">
        <v>0</v>
      </c>
      <c r="I193" s="99" t="b">
        <v>0</v>
      </c>
      <c r="J193" s="99" t="b">
        <v>0</v>
      </c>
      <c r="K193" s="99" t="b">
        <v>0</v>
      </c>
      <c r="L193" s="99" t="b">
        <v>0</v>
      </c>
      <c r="M193" s="99" t="b">
        <v>0</v>
      </c>
      <c r="N193" s="99" t="b">
        <v>0</v>
      </c>
      <c r="O193" s="16"/>
      <c r="P193" s="16"/>
      <c r="Q193" s="16"/>
      <c r="R193" s="34"/>
      <c r="S193" s="34"/>
      <c r="T193" s="35"/>
      <c r="U193" s="33"/>
    </row>
    <row r="194" spans="1:21" ht="15.75">
      <c r="A194" s="21"/>
      <c r="B194" s="22"/>
      <c r="C194" s="16"/>
      <c r="D194" s="16"/>
      <c r="E194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4" s="33"/>
      <c r="G194" s="99" t="b">
        <v>0</v>
      </c>
      <c r="H194" s="99" t="b">
        <v>0</v>
      </c>
      <c r="I194" s="99" t="b">
        <v>0</v>
      </c>
      <c r="J194" s="99" t="b">
        <v>0</v>
      </c>
      <c r="K194" s="99" t="b">
        <v>0</v>
      </c>
      <c r="L194" s="99" t="b">
        <v>0</v>
      </c>
      <c r="M194" s="99" t="b">
        <v>0</v>
      </c>
      <c r="N194" s="99" t="b">
        <v>0</v>
      </c>
      <c r="O194" s="16"/>
      <c r="P194" s="16"/>
      <c r="Q194" s="16"/>
      <c r="R194" s="34"/>
      <c r="S194" s="34"/>
      <c r="T194" s="35"/>
      <c r="U194" s="33"/>
    </row>
    <row r="195" spans="1:21" ht="15.75">
      <c r="A195" s="21"/>
      <c r="B195" s="22"/>
      <c r="C195" s="16"/>
      <c r="D195" s="16"/>
      <c r="E195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5" s="33"/>
      <c r="G195" s="99" t="b">
        <v>0</v>
      </c>
      <c r="H195" s="99" t="b">
        <v>0</v>
      </c>
      <c r="I195" s="99" t="b">
        <v>0</v>
      </c>
      <c r="J195" s="99" t="b">
        <v>0</v>
      </c>
      <c r="K195" s="99" t="b">
        <v>0</v>
      </c>
      <c r="L195" s="99" t="b">
        <v>0</v>
      </c>
      <c r="M195" s="99" t="b">
        <v>0</v>
      </c>
      <c r="N195" s="99" t="b">
        <v>0</v>
      </c>
      <c r="O195" s="16"/>
      <c r="P195" s="16"/>
      <c r="Q195" s="16"/>
      <c r="R195" s="34"/>
      <c r="S195" s="34"/>
      <c r="T195" s="35"/>
      <c r="U195" s="33"/>
    </row>
    <row r="196" spans="1:21" ht="15.75">
      <c r="A196" s="21"/>
      <c r="B196" s="22"/>
      <c r="C196" s="16"/>
      <c r="D196" s="16"/>
      <c r="E196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6" s="33"/>
      <c r="G196" s="99" t="b">
        <v>0</v>
      </c>
      <c r="H196" s="99" t="b">
        <v>0</v>
      </c>
      <c r="I196" s="99" t="b">
        <v>0</v>
      </c>
      <c r="J196" s="99" t="b">
        <v>0</v>
      </c>
      <c r="K196" s="99" t="b">
        <v>0</v>
      </c>
      <c r="L196" s="99" t="b">
        <v>0</v>
      </c>
      <c r="M196" s="99" t="b">
        <v>0</v>
      </c>
      <c r="N196" s="99" t="b">
        <v>0</v>
      </c>
      <c r="O196" s="16"/>
      <c r="P196" s="16"/>
      <c r="Q196" s="16"/>
      <c r="R196" s="34"/>
      <c r="S196" s="34"/>
      <c r="T196" s="35"/>
      <c r="U196" s="33"/>
    </row>
    <row r="197" spans="1:21" ht="15.75">
      <c r="A197" s="21"/>
      <c r="B197" s="22"/>
      <c r="C197" s="16"/>
      <c r="D197" s="16"/>
      <c r="E197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7" s="33"/>
      <c r="G197" s="99" t="b">
        <v>0</v>
      </c>
      <c r="H197" s="99" t="b">
        <v>0</v>
      </c>
      <c r="I197" s="99" t="b">
        <v>0</v>
      </c>
      <c r="J197" s="99" t="b">
        <v>0</v>
      </c>
      <c r="K197" s="99" t="b">
        <v>0</v>
      </c>
      <c r="L197" s="99" t="b">
        <v>0</v>
      </c>
      <c r="M197" s="99" t="b">
        <v>0</v>
      </c>
      <c r="N197" s="99" t="b">
        <v>0</v>
      </c>
      <c r="O197" s="16"/>
      <c r="P197" s="16"/>
      <c r="Q197" s="16"/>
      <c r="R197" s="34"/>
      <c r="S197" s="34"/>
      <c r="T197" s="35"/>
      <c r="U197" s="33"/>
    </row>
    <row r="198" spans="1:21" ht="15.75">
      <c r="A198" s="21"/>
      <c r="B198" s="22"/>
      <c r="C198" s="16"/>
      <c r="D198" s="16"/>
      <c r="E198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8" s="33"/>
      <c r="G198" s="99" t="b">
        <v>0</v>
      </c>
      <c r="H198" s="99" t="b">
        <v>0</v>
      </c>
      <c r="I198" s="99" t="b">
        <v>0</v>
      </c>
      <c r="J198" s="99" t="b">
        <v>0</v>
      </c>
      <c r="K198" s="99" t="b">
        <v>0</v>
      </c>
      <c r="L198" s="99" t="b">
        <v>0</v>
      </c>
      <c r="M198" s="99" t="b">
        <v>0</v>
      </c>
      <c r="N198" s="99" t="b">
        <v>0</v>
      </c>
      <c r="O198" s="16"/>
      <c r="P198" s="16"/>
      <c r="Q198" s="16"/>
      <c r="R198" s="34"/>
      <c r="S198" s="34"/>
      <c r="T198" s="35"/>
      <c r="U198" s="33"/>
    </row>
    <row r="199" spans="1:21" ht="15.75">
      <c r="A199" s="21"/>
      <c r="B199" s="22"/>
      <c r="C199" s="16"/>
      <c r="D199" s="16"/>
      <c r="E199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199" s="33"/>
      <c r="G199" s="99" t="b">
        <v>0</v>
      </c>
      <c r="H199" s="99" t="b">
        <v>0</v>
      </c>
      <c r="I199" s="99" t="b">
        <v>0</v>
      </c>
      <c r="J199" s="99" t="b">
        <v>0</v>
      </c>
      <c r="K199" s="99" t="b">
        <v>0</v>
      </c>
      <c r="L199" s="99" t="b">
        <v>0</v>
      </c>
      <c r="M199" s="99" t="b">
        <v>0</v>
      </c>
      <c r="N199" s="99" t="b">
        <v>0</v>
      </c>
      <c r="O199" s="16"/>
      <c r="P199" s="16"/>
      <c r="Q199" s="16"/>
      <c r="R199" s="34"/>
      <c r="S199" s="34"/>
      <c r="T199" s="35"/>
      <c r="U199" s="33"/>
    </row>
    <row r="200" spans="1:21" ht="15.75">
      <c r="A200" s="21"/>
      <c r="B200" s="22"/>
      <c r="C200" s="16"/>
      <c r="D200" s="16"/>
      <c r="E200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0" s="33"/>
      <c r="G200" s="99" t="b">
        <v>0</v>
      </c>
      <c r="H200" s="99" t="b">
        <v>0</v>
      </c>
      <c r="I200" s="99" t="b">
        <v>0</v>
      </c>
      <c r="J200" s="99" t="b">
        <v>0</v>
      </c>
      <c r="K200" s="99" t="b">
        <v>0</v>
      </c>
      <c r="L200" s="99" t="b">
        <v>0</v>
      </c>
      <c r="M200" s="99" t="b">
        <v>0</v>
      </c>
      <c r="N200" s="99" t="b">
        <v>0</v>
      </c>
      <c r="O200" s="16"/>
      <c r="P200" s="16"/>
      <c r="Q200" s="16"/>
      <c r="R200" s="34"/>
      <c r="S200" s="34"/>
      <c r="T200" s="35"/>
      <c r="U200" s="33"/>
    </row>
    <row r="201" spans="1:21" ht="15.75">
      <c r="A201" s="21"/>
      <c r="B201" s="22"/>
      <c r="C201" s="16"/>
      <c r="D201" s="16"/>
      <c r="E201" s="16" t="str">
        <f>IF(EmailCampaignsTable[[#This Row],[Campaign Name]]="","",IF(AND(ISNUMBER(EmailCampaignsTable[[#This Row],[Delivered]]),EmailCampaignsTable[[#This Row],[Delivered]]&gt;0),"Sent",IF(NOT(EmailCampaignsTable[[#This Row],[Campaign Name and UTM Parameter (Source Code)]]),"Source Code",IF(NOT(EmailCampaignsTable[[#This Row],[Creative Brief, SL &amp; PH]]),"Creative Brief",IF(NOT(EmailCampaignsTable[[#This Row],[SKUs]]),"Waiting for SKUs",IF(NOT(EmailCampaignsTable[[#This Row],[In-Design]]),"With Design",IF(NOT(EmailCampaignsTable[[#This Row],[Build, QA]]),"Build / QA",IF(NOT(EmailCampaignsTable[[#This Row],[Route]]),"Routing",IF(NOT(EmailCampaignsTable[[#This Row],[Approval]]),"Awaiting Approval",IF(NOT(EmailCampaignsTable[[#This Row],[Segments]]),"Segments",IF(OR(IFERROR(LEN(TRIM(EmailCampaignsTable[[#This Row],[Jira Link]]&amp;"")),0)=0,IFERROR(LEN(TRIM(EmailCampaignsTable[[#This Row],[ClickUp Link]]&amp;"")),0)=0,IFERROR(LEN(TRIM(EmailCampaignsTable[[#This Row],[Bluecore Link]]&amp;"")),0)=0),"Links Pending",IF(IFERROR(LEN(TRIM(EmailCampaignsTable[[#This Row],[Est. Audience]]&amp;"")),0)=0,"Ready to Schedule","Scheduled"))))))))))))</f>
        <v/>
      </c>
      <c r="F201" s="33"/>
      <c r="G201" s="99" t="b">
        <v>0</v>
      </c>
      <c r="H201" s="99" t="b">
        <v>0</v>
      </c>
      <c r="I201" s="99" t="b">
        <v>0</v>
      </c>
      <c r="J201" s="99" t="b">
        <v>0</v>
      </c>
      <c r="K201" s="99" t="b">
        <v>0</v>
      </c>
      <c r="L201" s="99" t="b">
        <v>0</v>
      </c>
      <c r="M201" s="99" t="b">
        <v>0</v>
      </c>
      <c r="N201" s="99" t="b">
        <v>0</v>
      </c>
      <c r="O201" s="16"/>
      <c r="P201" s="16"/>
      <c r="Q201" s="16"/>
      <c r="R201" s="34"/>
      <c r="S201" s="34"/>
      <c r="T201" s="35"/>
      <c r="U201" s="33"/>
    </row>
  </sheetData>
  <conditionalFormatting sqref="A2:D201 O2:U201 F2:F201">
    <cfRule type="expression" dxfId="71" priority="67">
      <formula>#REF!="Critical"</formula>
    </cfRule>
    <cfRule type="expression" dxfId="70" priority="68">
      <formula>#REF!="High Risk"</formula>
    </cfRule>
    <cfRule type="expression" dxfId="69" priority="69">
      <formula>#REF!="At Risk"</formula>
    </cfRule>
    <cfRule type="expression" dxfId="68" priority="70">
      <formula>#REF!="Blocked"</formula>
    </cfRule>
    <cfRule type="expression" dxfId="67" priority="71">
      <formula>#REF!="Ready"</formula>
    </cfRule>
    <cfRule type="expression" dxfId="66" priority="72">
      <formula>#REF!="Complete"</formula>
    </cfRule>
  </conditionalFormatting>
  <conditionalFormatting sqref="E2:E201">
    <cfRule type="cellIs" dxfId="59" priority="73" stopIfTrue="1" operator="equal">
      <formula>"Sent"</formula>
    </cfRule>
    <cfRule type="cellIs" dxfId="58" priority="74" stopIfTrue="1" operator="equal">
      <formula>"Scheduled"</formula>
    </cfRule>
    <cfRule type="cellIs" dxfId="57" priority="75" stopIfTrue="1" operator="equal">
      <formula>"Ready to Schedule"</formula>
    </cfRule>
  </conditionalFormatting>
  <hyperlinks>
    <hyperlink ref="O8" r:id="rId1" xr:uid="{8F1C11BE-305B-4E5A-BF3C-40D61DEE894A}"/>
  </hyperlinks>
  <pageMargins left="0.7" right="0.7" top="0.75" bottom="0.75" header="0.3" footer="0.3"/>
  <ignoredErrors>
    <ignoredError sqref="E2:E201" emptyCellReference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xr:uid="{00000000-0002-0000-0000-000000000000}">
          <x14:formula1>
            <xm:f>Dropdowns!$A$2:$A$30</xm:f>
          </x14:formula1>
          <xm:sqref>D2:D201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Q201"/>
  <sheetViews>
    <sheetView showGridLines="0" zoomScale="85" zoomScaleNormal="85" workbookViewId="0">
      <pane activePane="bottomRight" state="frozen"/>
      <selection activeCell="A2" sqref="A2"/>
    </sheetView>
  </sheetViews>
  <sheetFormatPr defaultRowHeight="15"/>
  <cols>
    <col min="1" max="1" width="12.625" style="4" customWidth="1"/>
    <col min="2" max="2" width="11.625" style="4" customWidth="1"/>
    <col min="3" max="3" width="34.625" style="4" customWidth="1"/>
    <col min="4" max="4" width="14.625" style="4" customWidth="1"/>
    <col min="5" max="5" width="20.625" style="4" customWidth="1"/>
    <col min="6" max="6" width="16.625" style="4" customWidth="1"/>
    <col min="7" max="7" width="13.625" style="4" customWidth="1"/>
    <col min="8" max="8" width="12.625" style="4" customWidth="1"/>
    <col min="9" max="10" width="13.625" style="4" customWidth="1"/>
    <col min="11" max="14" width="14.625" style="4" customWidth="1"/>
    <col min="15" max="15" width="12.625" style="4" customWidth="1"/>
    <col min="16" max="16" width="20.625" style="4" customWidth="1"/>
    <col min="17" max="17" width="18.625" style="4" customWidth="1"/>
    <col min="18" max="16384" width="9" style="4"/>
  </cols>
  <sheetData>
    <row r="1" spans="1:17" s="32" customFormat="1" ht="42" customHeight="1">
      <c r="A1" s="32" t="s">
        <v>0</v>
      </c>
      <c r="B1" s="32" t="s">
        <v>1</v>
      </c>
      <c r="C1" s="32" t="s">
        <v>2</v>
      </c>
      <c r="D1" s="32" t="s">
        <v>3</v>
      </c>
      <c r="E1" s="32" t="s">
        <v>4</v>
      </c>
      <c r="F1" s="32" t="s">
        <v>5</v>
      </c>
      <c r="G1" s="32" t="s">
        <v>176</v>
      </c>
      <c r="H1" s="32" t="s">
        <v>177</v>
      </c>
      <c r="I1" s="32" t="s">
        <v>111</v>
      </c>
      <c r="J1" s="32" t="s">
        <v>112</v>
      </c>
      <c r="K1" s="32" t="s">
        <v>6</v>
      </c>
      <c r="L1" s="32" t="s">
        <v>7</v>
      </c>
      <c r="M1" s="32" t="s">
        <v>8</v>
      </c>
      <c r="N1" s="32" t="s">
        <v>9</v>
      </c>
      <c r="O1" s="32" t="s">
        <v>10</v>
      </c>
      <c r="P1" s="32" t="s">
        <v>12</v>
      </c>
      <c r="Q1" s="32" t="s">
        <v>170</v>
      </c>
    </row>
    <row r="2" spans="1:17">
      <c r="A2" s="37"/>
      <c r="E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" s="38"/>
      <c r="G2" s="100" t="b">
        <v>0</v>
      </c>
      <c r="H2" s="100" t="b">
        <v>0</v>
      </c>
      <c r="I2" s="100" t="b">
        <v>0</v>
      </c>
      <c r="J2" s="100" t="b">
        <v>0</v>
      </c>
      <c r="P2" s="39"/>
      <c r="Q2" s="40"/>
    </row>
    <row r="3" spans="1:17">
      <c r="A3" s="37"/>
      <c r="E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" s="38"/>
      <c r="G3" s="100" t="b">
        <v>0</v>
      </c>
      <c r="H3" s="100" t="b">
        <v>0</v>
      </c>
      <c r="I3" s="100" t="b">
        <v>0</v>
      </c>
      <c r="J3" s="100" t="b">
        <v>0</v>
      </c>
      <c r="P3" s="39"/>
      <c r="Q3" s="40"/>
    </row>
    <row r="4" spans="1:17">
      <c r="A4" s="37"/>
      <c r="E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" s="38"/>
      <c r="G4" s="100" t="b">
        <v>0</v>
      </c>
      <c r="H4" s="100" t="b">
        <v>0</v>
      </c>
      <c r="I4" s="100" t="b">
        <v>0</v>
      </c>
      <c r="J4" s="100" t="b">
        <v>0</v>
      </c>
      <c r="P4" s="39"/>
      <c r="Q4" s="40"/>
    </row>
    <row r="5" spans="1:17">
      <c r="A5" s="37"/>
      <c r="E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" s="38"/>
      <c r="G5" s="100" t="b">
        <v>0</v>
      </c>
      <c r="H5" s="100" t="b">
        <v>0</v>
      </c>
      <c r="I5" s="100" t="b">
        <v>0</v>
      </c>
      <c r="J5" s="100" t="b">
        <v>0</v>
      </c>
      <c r="P5" s="39"/>
      <c r="Q5" s="40"/>
    </row>
    <row r="6" spans="1:17">
      <c r="A6" s="37"/>
      <c r="E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" s="38"/>
      <c r="G6" s="100" t="b">
        <v>0</v>
      </c>
      <c r="H6" s="100" t="b">
        <v>0</v>
      </c>
      <c r="I6" s="100" t="b">
        <v>0</v>
      </c>
      <c r="J6" s="100" t="b">
        <v>0</v>
      </c>
      <c r="P6" s="39"/>
      <c r="Q6" s="40"/>
    </row>
    <row r="7" spans="1:17">
      <c r="A7" s="37"/>
      <c r="E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" s="38"/>
      <c r="G7" s="100" t="b">
        <v>0</v>
      </c>
      <c r="H7" s="100" t="b">
        <v>0</v>
      </c>
      <c r="I7" s="100" t="b">
        <v>0</v>
      </c>
      <c r="J7" s="100" t="b">
        <v>0</v>
      </c>
      <c r="P7" s="39"/>
      <c r="Q7" s="40"/>
    </row>
    <row r="8" spans="1:17">
      <c r="A8" s="37"/>
      <c r="E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" s="38"/>
      <c r="G8" s="100" t="b">
        <v>0</v>
      </c>
      <c r="H8" s="100" t="b">
        <v>0</v>
      </c>
      <c r="I8" s="100" t="b">
        <v>0</v>
      </c>
      <c r="J8" s="100" t="b">
        <v>0</v>
      </c>
      <c r="P8" s="39"/>
      <c r="Q8" s="40"/>
    </row>
    <row r="9" spans="1:17">
      <c r="A9" s="37"/>
      <c r="E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" s="38"/>
      <c r="G9" s="100" t="b">
        <v>0</v>
      </c>
      <c r="H9" s="100" t="b">
        <v>0</v>
      </c>
      <c r="I9" s="100" t="b">
        <v>0</v>
      </c>
      <c r="J9" s="100" t="b">
        <v>0</v>
      </c>
      <c r="P9" s="39"/>
      <c r="Q9" s="40"/>
    </row>
    <row r="10" spans="1:17">
      <c r="A10" s="37"/>
      <c r="E1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" s="38"/>
      <c r="G10" s="100" t="b">
        <v>0</v>
      </c>
      <c r="H10" s="100" t="b">
        <v>0</v>
      </c>
      <c r="I10" s="100" t="b">
        <v>0</v>
      </c>
      <c r="J10" s="100" t="b">
        <v>0</v>
      </c>
      <c r="P10" s="39"/>
      <c r="Q10" s="40"/>
    </row>
    <row r="11" spans="1:17">
      <c r="A11" s="37"/>
      <c r="E1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" s="38"/>
      <c r="G11" s="100" t="b">
        <v>0</v>
      </c>
      <c r="H11" s="100" t="b">
        <v>0</v>
      </c>
      <c r="I11" s="100" t="b">
        <v>0</v>
      </c>
      <c r="J11" s="100" t="b">
        <v>0</v>
      </c>
      <c r="P11" s="39"/>
      <c r="Q11" s="40"/>
    </row>
    <row r="12" spans="1:17">
      <c r="A12" s="37"/>
      <c r="E1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" s="38"/>
      <c r="G12" s="100" t="b">
        <v>0</v>
      </c>
      <c r="H12" s="100" t="b">
        <v>0</v>
      </c>
      <c r="I12" s="100" t="b">
        <v>0</v>
      </c>
      <c r="J12" s="100" t="b">
        <v>0</v>
      </c>
      <c r="P12" s="39"/>
      <c r="Q12" s="40"/>
    </row>
    <row r="13" spans="1:17">
      <c r="A13" s="37"/>
      <c r="E1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" s="38"/>
      <c r="G13" s="100" t="b">
        <v>0</v>
      </c>
      <c r="H13" s="100" t="b">
        <v>0</v>
      </c>
      <c r="I13" s="100" t="b">
        <v>0</v>
      </c>
      <c r="J13" s="100" t="b">
        <v>0</v>
      </c>
      <c r="P13" s="39"/>
      <c r="Q13" s="40"/>
    </row>
    <row r="14" spans="1:17">
      <c r="A14" s="37"/>
      <c r="E1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" s="38"/>
      <c r="G14" s="100" t="b">
        <v>0</v>
      </c>
      <c r="H14" s="100" t="b">
        <v>0</v>
      </c>
      <c r="I14" s="100" t="b">
        <v>0</v>
      </c>
      <c r="J14" s="100" t="b">
        <v>0</v>
      </c>
      <c r="P14" s="39"/>
      <c r="Q14" s="40"/>
    </row>
    <row r="15" spans="1:17">
      <c r="A15" s="37"/>
      <c r="E1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" s="38"/>
      <c r="G15" s="100" t="b">
        <v>0</v>
      </c>
      <c r="H15" s="100" t="b">
        <v>0</v>
      </c>
      <c r="I15" s="100" t="b">
        <v>0</v>
      </c>
      <c r="J15" s="100" t="b">
        <v>0</v>
      </c>
      <c r="P15" s="39"/>
      <c r="Q15" s="40"/>
    </row>
    <row r="16" spans="1:17">
      <c r="A16" s="37"/>
      <c r="E1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" s="38"/>
      <c r="G16" s="100" t="b">
        <v>0</v>
      </c>
      <c r="H16" s="100" t="b">
        <v>0</v>
      </c>
      <c r="I16" s="100" t="b">
        <v>0</v>
      </c>
      <c r="J16" s="100" t="b">
        <v>0</v>
      </c>
      <c r="P16" s="39"/>
      <c r="Q16" s="40"/>
    </row>
    <row r="17" spans="1:17">
      <c r="A17" s="37"/>
      <c r="E1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" s="38"/>
      <c r="G17" s="100" t="b">
        <v>0</v>
      </c>
      <c r="H17" s="100" t="b">
        <v>0</v>
      </c>
      <c r="I17" s="100" t="b">
        <v>0</v>
      </c>
      <c r="J17" s="100" t="b">
        <v>0</v>
      </c>
      <c r="P17" s="39"/>
      <c r="Q17" s="40"/>
    </row>
    <row r="18" spans="1:17">
      <c r="A18" s="37"/>
      <c r="E1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" s="38"/>
      <c r="G18" s="100" t="b">
        <v>0</v>
      </c>
      <c r="H18" s="100" t="b">
        <v>0</v>
      </c>
      <c r="I18" s="100" t="b">
        <v>0</v>
      </c>
      <c r="J18" s="100" t="b">
        <v>0</v>
      </c>
      <c r="P18" s="39"/>
      <c r="Q18" s="40"/>
    </row>
    <row r="19" spans="1:17">
      <c r="A19" s="37"/>
      <c r="E1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" s="38"/>
      <c r="G19" s="100" t="b">
        <v>0</v>
      </c>
      <c r="H19" s="100" t="b">
        <v>0</v>
      </c>
      <c r="I19" s="100" t="b">
        <v>0</v>
      </c>
      <c r="J19" s="100" t="b">
        <v>0</v>
      </c>
      <c r="P19" s="39"/>
      <c r="Q19" s="40"/>
    </row>
    <row r="20" spans="1:17">
      <c r="A20" s="37"/>
      <c r="E2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" s="38"/>
      <c r="G20" s="100" t="b">
        <v>0</v>
      </c>
      <c r="H20" s="100" t="b">
        <v>0</v>
      </c>
      <c r="I20" s="100" t="b">
        <v>0</v>
      </c>
      <c r="J20" s="100" t="b">
        <v>0</v>
      </c>
      <c r="P20" s="39"/>
      <c r="Q20" s="40"/>
    </row>
    <row r="21" spans="1:17">
      <c r="A21" s="37"/>
      <c r="E2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1" s="38"/>
      <c r="G21" s="100" t="b">
        <v>0</v>
      </c>
      <c r="H21" s="100" t="b">
        <v>0</v>
      </c>
      <c r="I21" s="100" t="b">
        <v>0</v>
      </c>
      <c r="J21" s="100" t="b">
        <v>0</v>
      </c>
      <c r="P21" s="39"/>
      <c r="Q21" s="40"/>
    </row>
    <row r="22" spans="1:17">
      <c r="A22" s="37"/>
      <c r="E2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2" s="38"/>
      <c r="G22" s="100" t="b">
        <v>0</v>
      </c>
      <c r="H22" s="100" t="b">
        <v>0</v>
      </c>
      <c r="I22" s="100" t="b">
        <v>0</v>
      </c>
      <c r="J22" s="100" t="b">
        <v>0</v>
      </c>
      <c r="P22" s="39"/>
      <c r="Q22" s="40"/>
    </row>
    <row r="23" spans="1:17">
      <c r="A23" s="37"/>
      <c r="E2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3" s="38"/>
      <c r="G23" s="100" t="b">
        <v>0</v>
      </c>
      <c r="H23" s="100" t="b">
        <v>0</v>
      </c>
      <c r="I23" s="100" t="b">
        <v>0</v>
      </c>
      <c r="J23" s="100" t="b">
        <v>0</v>
      </c>
      <c r="P23" s="39"/>
      <c r="Q23" s="40"/>
    </row>
    <row r="24" spans="1:17">
      <c r="A24" s="37"/>
      <c r="E2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4" s="38"/>
      <c r="G24" s="100" t="b">
        <v>0</v>
      </c>
      <c r="H24" s="100" t="b">
        <v>0</v>
      </c>
      <c r="I24" s="100" t="b">
        <v>0</v>
      </c>
      <c r="J24" s="100" t="b">
        <v>0</v>
      </c>
      <c r="P24" s="39"/>
      <c r="Q24" s="40"/>
    </row>
    <row r="25" spans="1:17">
      <c r="A25" s="37"/>
      <c r="E2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5" s="38"/>
      <c r="G25" s="100" t="b">
        <v>0</v>
      </c>
      <c r="H25" s="100" t="b">
        <v>0</v>
      </c>
      <c r="I25" s="100" t="b">
        <v>0</v>
      </c>
      <c r="J25" s="100" t="b">
        <v>0</v>
      </c>
      <c r="P25" s="39"/>
      <c r="Q25" s="40"/>
    </row>
    <row r="26" spans="1:17">
      <c r="A26" s="37"/>
      <c r="E2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6" s="38"/>
      <c r="G26" s="100" t="b">
        <v>0</v>
      </c>
      <c r="H26" s="100" t="b">
        <v>0</v>
      </c>
      <c r="I26" s="100" t="b">
        <v>0</v>
      </c>
      <c r="J26" s="100" t="b">
        <v>0</v>
      </c>
      <c r="P26" s="39"/>
      <c r="Q26" s="40"/>
    </row>
    <row r="27" spans="1:17">
      <c r="A27" s="37"/>
      <c r="E2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7" s="38"/>
      <c r="G27" s="100" t="b">
        <v>0</v>
      </c>
      <c r="H27" s="100" t="b">
        <v>0</v>
      </c>
      <c r="I27" s="100" t="b">
        <v>0</v>
      </c>
      <c r="J27" s="100" t="b">
        <v>0</v>
      </c>
      <c r="P27" s="39"/>
      <c r="Q27" s="40"/>
    </row>
    <row r="28" spans="1:17">
      <c r="A28" s="37"/>
      <c r="E2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8" s="38"/>
      <c r="G28" s="100" t="b">
        <v>0</v>
      </c>
      <c r="H28" s="100" t="b">
        <v>0</v>
      </c>
      <c r="I28" s="100" t="b">
        <v>0</v>
      </c>
      <c r="J28" s="100" t="b">
        <v>0</v>
      </c>
      <c r="P28" s="39"/>
      <c r="Q28" s="40"/>
    </row>
    <row r="29" spans="1:17">
      <c r="A29" s="37"/>
      <c r="E2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9" s="38"/>
      <c r="G29" s="100" t="b">
        <v>0</v>
      </c>
      <c r="H29" s="100" t="b">
        <v>0</v>
      </c>
      <c r="I29" s="100" t="b">
        <v>0</v>
      </c>
      <c r="J29" s="100" t="b">
        <v>0</v>
      </c>
      <c r="P29" s="39"/>
      <c r="Q29" s="40"/>
    </row>
    <row r="30" spans="1:17">
      <c r="A30" s="37"/>
      <c r="E3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0" s="38"/>
      <c r="G30" s="100" t="b">
        <v>0</v>
      </c>
      <c r="H30" s="100" t="b">
        <v>0</v>
      </c>
      <c r="I30" s="100" t="b">
        <v>0</v>
      </c>
      <c r="J30" s="100" t="b">
        <v>0</v>
      </c>
      <c r="P30" s="39"/>
      <c r="Q30" s="40"/>
    </row>
    <row r="31" spans="1:17">
      <c r="A31" s="37"/>
      <c r="E3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1" s="38"/>
      <c r="G31" s="100" t="b">
        <v>0</v>
      </c>
      <c r="H31" s="100" t="b">
        <v>0</v>
      </c>
      <c r="I31" s="100" t="b">
        <v>0</v>
      </c>
      <c r="J31" s="100" t="b">
        <v>0</v>
      </c>
      <c r="P31" s="39"/>
      <c r="Q31" s="40"/>
    </row>
    <row r="32" spans="1:17">
      <c r="A32" s="37"/>
      <c r="E3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2" s="38"/>
      <c r="G32" s="100" t="b">
        <v>0</v>
      </c>
      <c r="H32" s="100" t="b">
        <v>0</v>
      </c>
      <c r="I32" s="100" t="b">
        <v>0</v>
      </c>
      <c r="J32" s="100" t="b">
        <v>0</v>
      </c>
      <c r="P32" s="39"/>
      <c r="Q32" s="40"/>
    </row>
    <row r="33" spans="1:17">
      <c r="A33" s="37"/>
      <c r="E3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3" s="38"/>
      <c r="G33" s="100" t="b">
        <v>0</v>
      </c>
      <c r="H33" s="100" t="b">
        <v>0</v>
      </c>
      <c r="I33" s="100" t="b">
        <v>0</v>
      </c>
      <c r="J33" s="100" t="b">
        <v>0</v>
      </c>
      <c r="P33" s="39"/>
      <c r="Q33" s="40"/>
    </row>
    <row r="34" spans="1:17">
      <c r="A34" s="37"/>
      <c r="E3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4" s="38"/>
      <c r="G34" s="100" t="b">
        <v>0</v>
      </c>
      <c r="H34" s="100" t="b">
        <v>0</v>
      </c>
      <c r="I34" s="100" t="b">
        <v>0</v>
      </c>
      <c r="J34" s="100" t="b">
        <v>0</v>
      </c>
      <c r="P34" s="39"/>
      <c r="Q34" s="40"/>
    </row>
    <row r="35" spans="1:17">
      <c r="A35" s="37"/>
      <c r="E3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5" s="38"/>
      <c r="G35" s="100" t="b">
        <v>0</v>
      </c>
      <c r="H35" s="100" t="b">
        <v>0</v>
      </c>
      <c r="I35" s="100" t="b">
        <v>0</v>
      </c>
      <c r="J35" s="100" t="b">
        <v>0</v>
      </c>
      <c r="P35" s="39"/>
      <c r="Q35" s="40"/>
    </row>
    <row r="36" spans="1:17">
      <c r="A36" s="37"/>
      <c r="E3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6" s="38"/>
      <c r="G36" s="100" t="b">
        <v>0</v>
      </c>
      <c r="H36" s="100" t="b">
        <v>0</v>
      </c>
      <c r="I36" s="100" t="b">
        <v>0</v>
      </c>
      <c r="J36" s="100" t="b">
        <v>0</v>
      </c>
      <c r="P36" s="39"/>
      <c r="Q36" s="40"/>
    </row>
    <row r="37" spans="1:17">
      <c r="A37" s="37"/>
      <c r="E3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7" s="38"/>
      <c r="G37" s="100" t="b">
        <v>0</v>
      </c>
      <c r="H37" s="100" t="b">
        <v>0</v>
      </c>
      <c r="I37" s="100" t="b">
        <v>0</v>
      </c>
      <c r="J37" s="100" t="b">
        <v>0</v>
      </c>
      <c r="P37" s="39"/>
      <c r="Q37" s="40"/>
    </row>
    <row r="38" spans="1:17">
      <c r="A38" s="37"/>
      <c r="E3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8" s="38"/>
      <c r="G38" s="100" t="b">
        <v>0</v>
      </c>
      <c r="H38" s="100" t="b">
        <v>0</v>
      </c>
      <c r="I38" s="100" t="b">
        <v>0</v>
      </c>
      <c r="J38" s="100" t="b">
        <v>0</v>
      </c>
      <c r="P38" s="39"/>
      <c r="Q38" s="40"/>
    </row>
    <row r="39" spans="1:17">
      <c r="A39" s="37"/>
      <c r="E3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39" s="38"/>
      <c r="G39" s="100" t="b">
        <v>0</v>
      </c>
      <c r="H39" s="100" t="b">
        <v>0</v>
      </c>
      <c r="I39" s="100" t="b">
        <v>0</v>
      </c>
      <c r="J39" s="100" t="b">
        <v>0</v>
      </c>
      <c r="P39" s="39"/>
      <c r="Q39" s="40"/>
    </row>
    <row r="40" spans="1:17">
      <c r="A40" s="37"/>
      <c r="E4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0" s="38"/>
      <c r="G40" s="100" t="b">
        <v>0</v>
      </c>
      <c r="H40" s="100" t="b">
        <v>0</v>
      </c>
      <c r="I40" s="100" t="b">
        <v>0</v>
      </c>
      <c r="J40" s="100" t="b">
        <v>0</v>
      </c>
      <c r="P40" s="39"/>
      <c r="Q40" s="40"/>
    </row>
    <row r="41" spans="1:17">
      <c r="A41" s="37"/>
      <c r="E4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1" s="38"/>
      <c r="G41" s="100" t="b">
        <v>0</v>
      </c>
      <c r="H41" s="100" t="b">
        <v>0</v>
      </c>
      <c r="I41" s="100" t="b">
        <v>0</v>
      </c>
      <c r="J41" s="100" t="b">
        <v>0</v>
      </c>
      <c r="P41" s="39"/>
      <c r="Q41" s="40"/>
    </row>
    <row r="42" spans="1:17">
      <c r="A42" s="37"/>
      <c r="E4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2" s="38"/>
      <c r="G42" s="100" t="b">
        <v>0</v>
      </c>
      <c r="H42" s="100" t="b">
        <v>0</v>
      </c>
      <c r="I42" s="100" t="b">
        <v>0</v>
      </c>
      <c r="J42" s="100" t="b">
        <v>0</v>
      </c>
      <c r="P42" s="39"/>
      <c r="Q42" s="40"/>
    </row>
    <row r="43" spans="1:17">
      <c r="A43" s="37"/>
      <c r="E4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3" s="38"/>
      <c r="G43" s="100" t="b">
        <v>0</v>
      </c>
      <c r="H43" s="100" t="b">
        <v>0</v>
      </c>
      <c r="I43" s="100" t="b">
        <v>0</v>
      </c>
      <c r="J43" s="100" t="b">
        <v>0</v>
      </c>
      <c r="P43" s="39"/>
      <c r="Q43" s="40"/>
    </row>
    <row r="44" spans="1:17">
      <c r="A44" s="37"/>
      <c r="E4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4" s="38"/>
      <c r="G44" s="100" t="b">
        <v>0</v>
      </c>
      <c r="H44" s="100" t="b">
        <v>0</v>
      </c>
      <c r="I44" s="100" t="b">
        <v>0</v>
      </c>
      <c r="J44" s="100" t="b">
        <v>0</v>
      </c>
      <c r="P44" s="39"/>
      <c r="Q44" s="40"/>
    </row>
    <row r="45" spans="1:17">
      <c r="A45" s="37"/>
      <c r="E4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5" s="38"/>
      <c r="G45" s="100" t="b">
        <v>0</v>
      </c>
      <c r="H45" s="100" t="b">
        <v>0</v>
      </c>
      <c r="I45" s="100" t="b">
        <v>0</v>
      </c>
      <c r="J45" s="100" t="b">
        <v>0</v>
      </c>
      <c r="P45" s="39"/>
      <c r="Q45" s="40"/>
    </row>
    <row r="46" spans="1:17">
      <c r="A46" s="37"/>
      <c r="E4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6" s="38"/>
      <c r="G46" s="100" t="b">
        <v>0</v>
      </c>
      <c r="H46" s="100" t="b">
        <v>0</v>
      </c>
      <c r="I46" s="100" t="b">
        <v>0</v>
      </c>
      <c r="J46" s="100" t="b">
        <v>0</v>
      </c>
      <c r="P46" s="39"/>
      <c r="Q46" s="40"/>
    </row>
    <row r="47" spans="1:17">
      <c r="A47" s="37"/>
      <c r="E4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7" s="38"/>
      <c r="G47" s="100" t="b">
        <v>0</v>
      </c>
      <c r="H47" s="100" t="b">
        <v>0</v>
      </c>
      <c r="I47" s="100" t="b">
        <v>0</v>
      </c>
      <c r="J47" s="100" t="b">
        <v>0</v>
      </c>
      <c r="P47" s="39"/>
      <c r="Q47" s="40"/>
    </row>
    <row r="48" spans="1:17">
      <c r="A48" s="37"/>
      <c r="E4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8" s="38"/>
      <c r="G48" s="100" t="b">
        <v>0</v>
      </c>
      <c r="H48" s="100" t="b">
        <v>0</v>
      </c>
      <c r="I48" s="100" t="b">
        <v>0</v>
      </c>
      <c r="J48" s="100" t="b">
        <v>0</v>
      </c>
      <c r="P48" s="39"/>
      <c r="Q48" s="40"/>
    </row>
    <row r="49" spans="1:17">
      <c r="A49" s="37"/>
      <c r="E4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49" s="38"/>
      <c r="G49" s="100" t="b">
        <v>0</v>
      </c>
      <c r="H49" s="100" t="b">
        <v>0</v>
      </c>
      <c r="I49" s="100" t="b">
        <v>0</v>
      </c>
      <c r="J49" s="100" t="b">
        <v>0</v>
      </c>
      <c r="P49" s="39"/>
      <c r="Q49" s="40"/>
    </row>
    <row r="50" spans="1:17">
      <c r="A50" s="37"/>
      <c r="E5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0" s="38"/>
      <c r="G50" s="100" t="b">
        <v>0</v>
      </c>
      <c r="H50" s="100" t="b">
        <v>0</v>
      </c>
      <c r="I50" s="100" t="b">
        <v>0</v>
      </c>
      <c r="J50" s="100" t="b">
        <v>0</v>
      </c>
      <c r="P50" s="39"/>
      <c r="Q50" s="40"/>
    </row>
    <row r="51" spans="1:17">
      <c r="A51" s="37"/>
      <c r="E5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1" s="38"/>
      <c r="G51" s="100" t="b">
        <v>0</v>
      </c>
      <c r="H51" s="100" t="b">
        <v>0</v>
      </c>
      <c r="I51" s="100" t="b">
        <v>0</v>
      </c>
      <c r="J51" s="100" t="b">
        <v>0</v>
      </c>
      <c r="P51" s="39"/>
      <c r="Q51" s="40"/>
    </row>
    <row r="52" spans="1:17">
      <c r="A52" s="37"/>
      <c r="E5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2" s="38"/>
      <c r="G52" s="100" t="b">
        <v>0</v>
      </c>
      <c r="H52" s="100" t="b">
        <v>0</v>
      </c>
      <c r="I52" s="100" t="b">
        <v>0</v>
      </c>
      <c r="J52" s="100" t="b">
        <v>0</v>
      </c>
      <c r="P52" s="39"/>
      <c r="Q52" s="40"/>
    </row>
    <row r="53" spans="1:17">
      <c r="A53" s="37"/>
      <c r="E5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3" s="38"/>
      <c r="G53" s="100" t="b">
        <v>0</v>
      </c>
      <c r="H53" s="100" t="b">
        <v>0</v>
      </c>
      <c r="I53" s="100" t="b">
        <v>0</v>
      </c>
      <c r="J53" s="100" t="b">
        <v>0</v>
      </c>
      <c r="P53" s="39"/>
      <c r="Q53" s="40"/>
    </row>
    <row r="54" spans="1:17">
      <c r="A54" s="37"/>
      <c r="E5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4" s="38"/>
      <c r="G54" s="100" t="b">
        <v>0</v>
      </c>
      <c r="H54" s="100" t="b">
        <v>0</v>
      </c>
      <c r="I54" s="100" t="b">
        <v>0</v>
      </c>
      <c r="J54" s="100" t="b">
        <v>0</v>
      </c>
      <c r="P54" s="39"/>
      <c r="Q54" s="40"/>
    </row>
    <row r="55" spans="1:17">
      <c r="A55" s="37"/>
      <c r="E5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5" s="38"/>
      <c r="G55" s="100" t="b">
        <v>0</v>
      </c>
      <c r="H55" s="100" t="b">
        <v>0</v>
      </c>
      <c r="I55" s="100" t="b">
        <v>0</v>
      </c>
      <c r="J55" s="100" t="b">
        <v>0</v>
      </c>
      <c r="P55" s="39"/>
      <c r="Q55" s="40"/>
    </row>
    <row r="56" spans="1:17">
      <c r="A56" s="37"/>
      <c r="E5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6" s="38"/>
      <c r="G56" s="100" t="b">
        <v>0</v>
      </c>
      <c r="H56" s="100" t="b">
        <v>0</v>
      </c>
      <c r="I56" s="100" t="b">
        <v>0</v>
      </c>
      <c r="J56" s="100" t="b">
        <v>0</v>
      </c>
      <c r="P56" s="39"/>
      <c r="Q56" s="40"/>
    </row>
    <row r="57" spans="1:17">
      <c r="A57" s="37"/>
      <c r="E5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7" s="38"/>
      <c r="G57" s="100" t="b">
        <v>0</v>
      </c>
      <c r="H57" s="100" t="b">
        <v>0</v>
      </c>
      <c r="I57" s="100" t="b">
        <v>0</v>
      </c>
      <c r="J57" s="100" t="b">
        <v>0</v>
      </c>
      <c r="P57" s="39"/>
      <c r="Q57" s="40"/>
    </row>
    <row r="58" spans="1:17">
      <c r="A58" s="37"/>
      <c r="E5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8" s="38"/>
      <c r="G58" s="100" t="b">
        <v>0</v>
      </c>
      <c r="H58" s="100" t="b">
        <v>0</v>
      </c>
      <c r="I58" s="100" t="b">
        <v>0</v>
      </c>
      <c r="J58" s="100" t="b">
        <v>0</v>
      </c>
      <c r="P58" s="39"/>
      <c r="Q58" s="40"/>
    </row>
    <row r="59" spans="1:17">
      <c r="A59" s="37"/>
      <c r="E5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59" s="38"/>
      <c r="G59" s="100" t="b">
        <v>0</v>
      </c>
      <c r="H59" s="100" t="b">
        <v>0</v>
      </c>
      <c r="I59" s="100" t="b">
        <v>0</v>
      </c>
      <c r="J59" s="100" t="b">
        <v>0</v>
      </c>
      <c r="P59" s="39"/>
      <c r="Q59" s="40"/>
    </row>
    <row r="60" spans="1:17">
      <c r="A60" s="37"/>
      <c r="E6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0" s="38"/>
      <c r="G60" s="100" t="b">
        <v>0</v>
      </c>
      <c r="H60" s="100" t="b">
        <v>0</v>
      </c>
      <c r="I60" s="100" t="b">
        <v>0</v>
      </c>
      <c r="J60" s="100" t="b">
        <v>0</v>
      </c>
      <c r="P60" s="39"/>
      <c r="Q60" s="40"/>
    </row>
    <row r="61" spans="1:17">
      <c r="A61" s="37"/>
      <c r="E6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1" s="38"/>
      <c r="G61" s="100" t="b">
        <v>0</v>
      </c>
      <c r="H61" s="100" t="b">
        <v>0</v>
      </c>
      <c r="I61" s="100" t="b">
        <v>0</v>
      </c>
      <c r="J61" s="100" t="b">
        <v>0</v>
      </c>
      <c r="P61" s="39"/>
      <c r="Q61" s="40"/>
    </row>
    <row r="62" spans="1:17">
      <c r="A62" s="37"/>
      <c r="E6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2" s="38"/>
      <c r="G62" s="100" t="b">
        <v>0</v>
      </c>
      <c r="H62" s="100" t="b">
        <v>0</v>
      </c>
      <c r="I62" s="100" t="b">
        <v>0</v>
      </c>
      <c r="J62" s="100" t="b">
        <v>0</v>
      </c>
      <c r="P62" s="39"/>
      <c r="Q62" s="40"/>
    </row>
    <row r="63" spans="1:17">
      <c r="A63" s="37"/>
      <c r="E6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3" s="38"/>
      <c r="G63" s="100" t="b">
        <v>0</v>
      </c>
      <c r="H63" s="100" t="b">
        <v>0</v>
      </c>
      <c r="I63" s="100" t="b">
        <v>0</v>
      </c>
      <c r="J63" s="100" t="b">
        <v>0</v>
      </c>
      <c r="P63" s="39"/>
      <c r="Q63" s="40"/>
    </row>
    <row r="64" spans="1:17">
      <c r="A64" s="37"/>
      <c r="E6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4" s="38"/>
      <c r="G64" s="100" t="b">
        <v>0</v>
      </c>
      <c r="H64" s="100" t="b">
        <v>0</v>
      </c>
      <c r="I64" s="100" t="b">
        <v>0</v>
      </c>
      <c r="J64" s="100" t="b">
        <v>0</v>
      </c>
      <c r="P64" s="39"/>
      <c r="Q64" s="40"/>
    </row>
    <row r="65" spans="1:17">
      <c r="A65" s="37"/>
      <c r="E6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5" s="38"/>
      <c r="G65" s="100" t="b">
        <v>0</v>
      </c>
      <c r="H65" s="100" t="b">
        <v>0</v>
      </c>
      <c r="I65" s="100" t="b">
        <v>0</v>
      </c>
      <c r="J65" s="100" t="b">
        <v>0</v>
      </c>
      <c r="P65" s="39"/>
      <c r="Q65" s="40"/>
    </row>
    <row r="66" spans="1:17">
      <c r="A66" s="37"/>
      <c r="E6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6" s="38"/>
      <c r="G66" s="100" t="b">
        <v>0</v>
      </c>
      <c r="H66" s="100" t="b">
        <v>0</v>
      </c>
      <c r="I66" s="100" t="b">
        <v>0</v>
      </c>
      <c r="J66" s="100" t="b">
        <v>0</v>
      </c>
      <c r="P66" s="39"/>
      <c r="Q66" s="40"/>
    </row>
    <row r="67" spans="1:17">
      <c r="A67" s="37"/>
      <c r="E6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7" s="38"/>
      <c r="G67" s="100" t="b">
        <v>0</v>
      </c>
      <c r="H67" s="100" t="b">
        <v>0</v>
      </c>
      <c r="I67" s="100" t="b">
        <v>0</v>
      </c>
      <c r="J67" s="100" t="b">
        <v>0</v>
      </c>
      <c r="P67" s="39"/>
      <c r="Q67" s="40"/>
    </row>
    <row r="68" spans="1:17">
      <c r="A68" s="37"/>
      <c r="E6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8" s="38"/>
      <c r="G68" s="100" t="b">
        <v>0</v>
      </c>
      <c r="H68" s="100" t="b">
        <v>0</v>
      </c>
      <c r="I68" s="100" t="b">
        <v>0</v>
      </c>
      <c r="J68" s="100" t="b">
        <v>0</v>
      </c>
      <c r="P68" s="39"/>
      <c r="Q68" s="40"/>
    </row>
    <row r="69" spans="1:17">
      <c r="A69" s="37"/>
      <c r="E6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69" s="38"/>
      <c r="G69" s="100" t="b">
        <v>0</v>
      </c>
      <c r="H69" s="100" t="b">
        <v>0</v>
      </c>
      <c r="I69" s="100" t="b">
        <v>0</v>
      </c>
      <c r="J69" s="100" t="b">
        <v>0</v>
      </c>
      <c r="P69" s="39"/>
      <c r="Q69" s="40"/>
    </row>
    <row r="70" spans="1:17">
      <c r="A70" s="37"/>
      <c r="E7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0" s="38"/>
      <c r="G70" s="100" t="b">
        <v>0</v>
      </c>
      <c r="H70" s="100" t="b">
        <v>0</v>
      </c>
      <c r="I70" s="100" t="b">
        <v>0</v>
      </c>
      <c r="J70" s="100" t="b">
        <v>0</v>
      </c>
      <c r="P70" s="39"/>
      <c r="Q70" s="40"/>
    </row>
    <row r="71" spans="1:17">
      <c r="A71" s="37"/>
      <c r="E7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1" s="38"/>
      <c r="G71" s="100" t="b">
        <v>0</v>
      </c>
      <c r="H71" s="100" t="b">
        <v>0</v>
      </c>
      <c r="I71" s="100" t="b">
        <v>0</v>
      </c>
      <c r="J71" s="100" t="b">
        <v>0</v>
      </c>
      <c r="P71" s="39"/>
      <c r="Q71" s="40"/>
    </row>
    <row r="72" spans="1:17">
      <c r="A72" s="37"/>
      <c r="E7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2" s="38"/>
      <c r="G72" s="100" t="b">
        <v>0</v>
      </c>
      <c r="H72" s="100" t="b">
        <v>0</v>
      </c>
      <c r="I72" s="100" t="b">
        <v>0</v>
      </c>
      <c r="J72" s="100" t="b">
        <v>0</v>
      </c>
      <c r="P72" s="39"/>
      <c r="Q72" s="40"/>
    </row>
    <row r="73" spans="1:17">
      <c r="A73" s="37"/>
      <c r="E7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3" s="38"/>
      <c r="G73" s="100" t="b">
        <v>0</v>
      </c>
      <c r="H73" s="100" t="b">
        <v>0</v>
      </c>
      <c r="I73" s="100" t="b">
        <v>0</v>
      </c>
      <c r="J73" s="100" t="b">
        <v>0</v>
      </c>
      <c r="P73" s="39"/>
      <c r="Q73" s="40"/>
    </row>
    <row r="74" spans="1:17">
      <c r="A74" s="37"/>
      <c r="E7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4" s="38"/>
      <c r="G74" s="100" t="b">
        <v>0</v>
      </c>
      <c r="H74" s="100" t="b">
        <v>0</v>
      </c>
      <c r="I74" s="100" t="b">
        <v>0</v>
      </c>
      <c r="J74" s="100" t="b">
        <v>0</v>
      </c>
      <c r="P74" s="39"/>
      <c r="Q74" s="40"/>
    </row>
    <row r="75" spans="1:17">
      <c r="A75" s="37"/>
      <c r="E7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5" s="38"/>
      <c r="G75" s="100" t="b">
        <v>0</v>
      </c>
      <c r="H75" s="100" t="b">
        <v>0</v>
      </c>
      <c r="I75" s="100" t="b">
        <v>0</v>
      </c>
      <c r="J75" s="100" t="b">
        <v>0</v>
      </c>
      <c r="P75" s="39"/>
      <c r="Q75" s="40"/>
    </row>
    <row r="76" spans="1:17">
      <c r="A76" s="37"/>
      <c r="E7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6" s="38"/>
      <c r="G76" s="100" t="b">
        <v>0</v>
      </c>
      <c r="H76" s="100" t="b">
        <v>0</v>
      </c>
      <c r="I76" s="100" t="b">
        <v>0</v>
      </c>
      <c r="J76" s="100" t="b">
        <v>0</v>
      </c>
      <c r="P76" s="39"/>
      <c r="Q76" s="40"/>
    </row>
    <row r="77" spans="1:17">
      <c r="A77" s="37"/>
      <c r="E7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7" s="38"/>
      <c r="G77" s="100" t="b">
        <v>0</v>
      </c>
      <c r="H77" s="100" t="b">
        <v>0</v>
      </c>
      <c r="I77" s="100" t="b">
        <v>0</v>
      </c>
      <c r="J77" s="100" t="b">
        <v>0</v>
      </c>
      <c r="P77" s="39"/>
      <c r="Q77" s="40"/>
    </row>
    <row r="78" spans="1:17">
      <c r="A78" s="37"/>
      <c r="E7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8" s="38"/>
      <c r="G78" s="100" t="b">
        <v>0</v>
      </c>
      <c r="H78" s="100" t="b">
        <v>0</v>
      </c>
      <c r="I78" s="100" t="b">
        <v>0</v>
      </c>
      <c r="J78" s="100" t="b">
        <v>0</v>
      </c>
      <c r="P78" s="39"/>
      <c r="Q78" s="40"/>
    </row>
    <row r="79" spans="1:17">
      <c r="A79" s="37"/>
      <c r="E7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79" s="38"/>
      <c r="G79" s="100" t="b">
        <v>0</v>
      </c>
      <c r="H79" s="100" t="b">
        <v>0</v>
      </c>
      <c r="I79" s="100" t="b">
        <v>0</v>
      </c>
      <c r="J79" s="100" t="b">
        <v>0</v>
      </c>
      <c r="P79" s="39"/>
      <c r="Q79" s="40"/>
    </row>
    <row r="80" spans="1:17">
      <c r="A80" s="37"/>
      <c r="E8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0" s="38"/>
      <c r="G80" s="100" t="b">
        <v>0</v>
      </c>
      <c r="H80" s="100" t="b">
        <v>0</v>
      </c>
      <c r="I80" s="100" t="b">
        <v>0</v>
      </c>
      <c r="J80" s="100" t="b">
        <v>0</v>
      </c>
      <c r="P80" s="39"/>
      <c r="Q80" s="40"/>
    </row>
    <row r="81" spans="1:17">
      <c r="A81" s="37"/>
      <c r="E8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1" s="38"/>
      <c r="G81" s="100" t="b">
        <v>0</v>
      </c>
      <c r="H81" s="100" t="b">
        <v>0</v>
      </c>
      <c r="I81" s="100" t="b">
        <v>0</v>
      </c>
      <c r="J81" s="100" t="b">
        <v>0</v>
      </c>
      <c r="P81" s="39"/>
      <c r="Q81" s="40"/>
    </row>
    <row r="82" spans="1:17">
      <c r="A82" s="37"/>
      <c r="E8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2" s="38"/>
      <c r="G82" s="100" t="b">
        <v>0</v>
      </c>
      <c r="H82" s="100" t="b">
        <v>0</v>
      </c>
      <c r="I82" s="100" t="b">
        <v>0</v>
      </c>
      <c r="J82" s="100" t="b">
        <v>0</v>
      </c>
      <c r="P82" s="39"/>
      <c r="Q82" s="40"/>
    </row>
    <row r="83" spans="1:17">
      <c r="A83" s="37"/>
      <c r="E8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3" s="38"/>
      <c r="G83" s="100" t="b">
        <v>0</v>
      </c>
      <c r="H83" s="100" t="b">
        <v>0</v>
      </c>
      <c r="I83" s="100" t="b">
        <v>0</v>
      </c>
      <c r="J83" s="100" t="b">
        <v>0</v>
      </c>
      <c r="P83" s="39"/>
      <c r="Q83" s="40"/>
    </row>
    <row r="84" spans="1:17">
      <c r="A84" s="37"/>
      <c r="E8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4" s="38"/>
      <c r="G84" s="100" t="b">
        <v>0</v>
      </c>
      <c r="H84" s="100" t="b">
        <v>0</v>
      </c>
      <c r="I84" s="100" t="b">
        <v>0</v>
      </c>
      <c r="J84" s="100" t="b">
        <v>0</v>
      </c>
      <c r="P84" s="39"/>
      <c r="Q84" s="40"/>
    </row>
    <row r="85" spans="1:17">
      <c r="A85" s="37"/>
      <c r="E8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5" s="38"/>
      <c r="G85" s="100" t="b">
        <v>0</v>
      </c>
      <c r="H85" s="100" t="b">
        <v>0</v>
      </c>
      <c r="I85" s="100" t="b">
        <v>0</v>
      </c>
      <c r="J85" s="100" t="b">
        <v>0</v>
      </c>
      <c r="P85" s="39"/>
      <c r="Q85" s="40"/>
    </row>
    <row r="86" spans="1:17">
      <c r="A86" s="37"/>
      <c r="E8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6" s="38"/>
      <c r="G86" s="100" t="b">
        <v>0</v>
      </c>
      <c r="H86" s="100" t="b">
        <v>0</v>
      </c>
      <c r="I86" s="100" t="b">
        <v>0</v>
      </c>
      <c r="J86" s="100" t="b">
        <v>0</v>
      </c>
      <c r="P86" s="39"/>
      <c r="Q86" s="40"/>
    </row>
    <row r="87" spans="1:17">
      <c r="A87" s="37"/>
      <c r="E8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7" s="38"/>
      <c r="G87" s="100" t="b">
        <v>0</v>
      </c>
      <c r="H87" s="100" t="b">
        <v>0</v>
      </c>
      <c r="I87" s="100" t="b">
        <v>0</v>
      </c>
      <c r="J87" s="100" t="b">
        <v>0</v>
      </c>
      <c r="P87" s="39"/>
      <c r="Q87" s="40"/>
    </row>
    <row r="88" spans="1:17">
      <c r="A88" s="37"/>
      <c r="E8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8" s="38"/>
      <c r="G88" s="100" t="b">
        <v>0</v>
      </c>
      <c r="H88" s="100" t="b">
        <v>0</v>
      </c>
      <c r="I88" s="100" t="b">
        <v>0</v>
      </c>
      <c r="J88" s="100" t="b">
        <v>0</v>
      </c>
      <c r="P88" s="39"/>
      <c r="Q88" s="40"/>
    </row>
    <row r="89" spans="1:17">
      <c r="A89" s="37"/>
      <c r="E8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89" s="38"/>
      <c r="G89" s="100" t="b">
        <v>0</v>
      </c>
      <c r="H89" s="100" t="b">
        <v>0</v>
      </c>
      <c r="I89" s="100" t="b">
        <v>0</v>
      </c>
      <c r="J89" s="100" t="b">
        <v>0</v>
      </c>
      <c r="P89" s="39"/>
      <c r="Q89" s="40"/>
    </row>
    <row r="90" spans="1:17">
      <c r="A90" s="37"/>
      <c r="E9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0" s="38"/>
      <c r="G90" s="100" t="b">
        <v>0</v>
      </c>
      <c r="H90" s="100" t="b">
        <v>0</v>
      </c>
      <c r="I90" s="100" t="b">
        <v>0</v>
      </c>
      <c r="J90" s="100" t="b">
        <v>0</v>
      </c>
      <c r="P90" s="39"/>
      <c r="Q90" s="40"/>
    </row>
    <row r="91" spans="1:17">
      <c r="A91" s="37"/>
      <c r="E9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1" s="38"/>
      <c r="G91" s="100" t="b">
        <v>0</v>
      </c>
      <c r="H91" s="100" t="b">
        <v>0</v>
      </c>
      <c r="I91" s="100" t="b">
        <v>0</v>
      </c>
      <c r="J91" s="100" t="b">
        <v>0</v>
      </c>
      <c r="P91" s="39"/>
      <c r="Q91" s="40"/>
    </row>
    <row r="92" spans="1:17">
      <c r="A92" s="37"/>
      <c r="E9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2" s="38"/>
      <c r="G92" s="100" t="b">
        <v>0</v>
      </c>
      <c r="H92" s="100" t="b">
        <v>0</v>
      </c>
      <c r="I92" s="100" t="b">
        <v>0</v>
      </c>
      <c r="J92" s="100" t="b">
        <v>0</v>
      </c>
      <c r="P92" s="39"/>
      <c r="Q92" s="40"/>
    </row>
    <row r="93" spans="1:17">
      <c r="A93" s="37"/>
      <c r="E9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3" s="38"/>
      <c r="G93" s="100" t="b">
        <v>0</v>
      </c>
      <c r="H93" s="100" t="b">
        <v>0</v>
      </c>
      <c r="I93" s="100" t="b">
        <v>0</v>
      </c>
      <c r="J93" s="100" t="b">
        <v>0</v>
      </c>
      <c r="P93" s="39"/>
      <c r="Q93" s="40"/>
    </row>
    <row r="94" spans="1:17">
      <c r="A94" s="37"/>
      <c r="E9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4" s="38"/>
      <c r="G94" s="100" t="b">
        <v>0</v>
      </c>
      <c r="H94" s="100" t="b">
        <v>0</v>
      </c>
      <c r="I94" s="100" t="b">
        <v>0</v>
      </c>
      <c r="J94" s="100" t="b">
        <v>0</v>
      </c>
      <c r="P94" s="39"/>
      <c r="Q94" s="40"/>
    </row>
    <row r="95" spans="1:17">
      <c r="A95" s="37"/>
      <c r="E9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5" s="38"/>
      <c r="G95" s="100" t="b">
        <v>0</v>
      </c>
      <c r="H95" s="100" t="b">
        <v>0</v>
      </c>
      <c r="I95" s="100" t="b">
        <v>0</v>
      </c>
      <c r="J95" s="100" t="b">
        <v>0</v>
      </c>
      <c r="P95" s="39"/>
      <c r="Q95" s="40"/>
    </row>
    <row r="96" spans="1:17">
      <c r="A96" s="37"/>
      <c r="E9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6" s="38"/>
      <c r="G96" s="100" t="b">
        <v>0</v>
      </c>
      <c r="H96" s="100" t="b">
        <v>0</v>
      </c>
      <c r="I96" s="100" t="b">
        <v>0</v>
      </c>
      <c r="J96" s="100" t="b">
        <v>0</v>
      </c>
      <c r="P96" s="39"/>
      <c r="Q96" s="40"/>
    </row>
    <row r="97" spans="1:17">
      <c r="A97" s="37"/>
      <c r="E9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7" s="38"/>
      <c r="G97" s="100" t="b">
        <v>0</v>
      </c>
      <c r="H97" s="100" t="b">
        <v>0</v>
      </c>
      <c r="I97" s="100" t="b">
        <v>0</v>
      </c>
      <c r="J97" s="100" t="b">
        <v>0</v>
      </c>
      <c r="P97" s="39"/>
      <c r="Q97" s="40"/>
    </row>
    <row r="98" spans="1:17">
      <c r="A98" s="37"/>
      <c r="E9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8" s="38"/>
      <c r="G98" s="100" t="b">
        <v>0</v>
      </c>
      <c r="H98" s="100" t="b">
        <v>0</v>
      </c>
      <c r="I98" s="100" t="b">
        <v>0</v>
      </c>
      <c r="J98" s="100" t="b">
        <v>0</v>
      </c>
      <c r="P98" s="39"/>
      <c r="Q98" s="40"/>
    </row>
    <row r="99" spans="1:17">
      <c r="A99" s="37"/>
      <c r="E9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99" s="38"/>
      <c r="G99" s="100" t="b">
        <v>0</v>
      </c>
      <c r="H99" s="100" t="b">
        <v>0</v>
      </c>
      <c r="I99" s="100" t="b">
        <v>0</v>
      </c>
      <c r="J99" s="100" t="b">
        <v>0</v>
      </c>
      <c r="P99" s="39"/>
      <c r="Q99" s="40"/>
    </row>
    <row r="100" spans="1:17">
      <c r="A100" s="37"/>
      <c r="E10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0" s="38"/>
      <c r="G100" s="100" t="b">
        <v>0</v>
      </c>
      <c r="H100" s="100" t="b">
        <v>0</v>
      </c>
      <c r="I100" s="100" t="b">
        <v>0</v>
      </c>
      <c r="J100" s="100" t="b">
        <v>0</v>
      </c>
      <c r="P100" s="39"/>
      <c r="Q100" s="40"/>
    </row>
    <row r="101" spans="1:17">
      <c r="A101" s="37"/>
      <c r="E10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1" s="38"/>
      <c r="G101" s="100" t="b">
        <v>0</v>
      </c>
      <c r="H101" s="100" t="b">
        <v>0</v>
      </c>
      <c r="I101" s="100" t="b">
        <v>0</v>
      </c>
      <c r="J101" s="100" t="b">
        <v>0</v>
      </c>
      <c r="P101" s="39"/>
      <c r="Q101" s="40"/>
    </row>
    <row r="102" spans="1:17">
      <c r="A102" s="37"/>
      <c r="E10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2" s="38"/>
      <c r="G102" s="100" t="b">
        <v>0</v>
      </c>
      <c r="H102" s="100" t="b">
        <v>0</v>
      </c>
      <c r="I102" s="100" t="b">
        <v>0</v>
      </c>
      <c r="J102" s="100" t="b">
        <v>0</v>
      </c>
      <c r="P102" s="39"/>
      <c r="Q102" s="40"/>
    </row>
    <row r="103" spans="1:17">
      <c r="A103" s="37"/>
      <c r="E10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3" s="38"/>
      <c r="G103" s="100" t="b">
        <v>0</v>
      </c>
      <c r="H103" s="100" t="b">
        <v>0</v>
      </c>
      <c r="I103" s="100" t="b">
        <v>0</v>
      </c>
      <c r="J103" s="100" t="b">
        <v>0</v>
      </c>
      <c r="P103" s="39"/>
      <c r="Q103" s="40"/>
    </row>
    <row r="104" spans="1:17">
      <c r="A104" s="37"/>
      <c r="E10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4" s="38"/>
      <c r="G104" s="100" t="b">
        <v>0</v>
      </c>
      <c r="H104" s="100" t="b">
        <v>0</v>
      </c>
      <c r="I104" s="100" t="b">
        <v>0</v>
      </c>
      <c r="J104" s="100" t="b">
        <v>0</v>
      </c>
      <c r="P104" s="39"/>
      <c r="Q104" s="40"/>
    </row>
    <row r="105" spans="1:17">
      <c r="A105" s="37"/>
      <c r="E10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5" s="38"/>
      <c r="G105" s="100" t="b">
        <v>0</v>
      </c>
      <c r="H105" s="100" t="b">
        <v>0</v>
      </c>
      <c r="I105" s="100" t="b">
        <v>0</v>
      </c>
      <c r="J105" s="100" t="b">
        <v>0</v>
      </c>
      <c r="P105" s="39"/>
      <c r="Q105" s="40"/>
    </row>
    <row r="106" spans="1:17">
      <c r="A106" s="37"/>
      <c r="E10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6" s="38"/>
      <c r="G106" s="100" t="b">
        <v>0</v>
      </c>
      <c r="H106" s="100" t="b">
        <v>0</v>
      </c>
      <c r="I106" s="100" t="b">
        <v>0</v>
      </c>
      <c r="J106" s="100" t="b">
        <v>0</v>
      </c>
      <c r="P106" s="39"/>
      <c r="Q106" s="40"/>
    </row>
    <row r="107" spans="1:17">
      <c r="A107" s="37"/>
      <c r="E10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7" s="38"/>
      <c r="G107" s="100" t="b">
        <v>0</v>
      </c>
      <c r="H107" s="100" t="b">
        <v>0</v>
      </c>
      <c r="I107" s="100" t="b">
        <v>0</v>
      </c>
      <c r="J107" s="100" t="b">
        <v>0</v>
      </c>
      <c r="P107" s="39"/>
      <c r="Q107" s="40"/>
    </row>
    <row r="108" spans="1:17">
      <c r="A108" s="37"/>
      <c r="E10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8" s="38"/>
      <c r="G108" s="100" t="b">
        <v>0</v>
      </c>
      <c r="H108" s="100" t="b">
        <v>0</v>
      </c>
      <c r="I108" s="100" t="b">
        <v>0</v>
      </c>
      <c r="J108" s="100" t="b">
        <v>0</v>
      </c>
      <c r="P108" s="39"/>
      <c r="Q108" s="40"/>
    </row>
    <row r="109" spans="1:17">
      <c r="A109" s="37"/>
      <c r="E10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09" s="38"/>
      <c r="G109" s="100" t="b">
        <v>0</v>
      </c>
      <c r="H109" s="100" t="b">
        <v>0</v>
      </c>
      <c r="I109" s="100" t="b">
        <v>0</v>
      </c>
      <c r="J109" s="100" t="b">
        <v>0</v>
      </c>
      <c r="P109" s="39"/>
      <c r="Q109" s="40"/>
    </row>
    <row r="110" spans="1:17">
      <c r="A110" s="37"/>
      <c r="E11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0" s="38"/>
      <c r="G110" s="100" t="b">
        <v>0</v>
      </c>
      <c r="H110" s="100" t="b">
        <v>0</v>
      </c>
      <c r="I110" s="100" t="b">
        <v>0</v>
      </c>
      <c r="J110" s="100" t="b">
        <v>0</v>
      </c>
      <c r="P110" s="39"/>
      <c r="Q110" s="40"/>
    </row>
    <row r="111" spans="1:17">
      <c r="A111" s="37"/>
      <c r="E11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1" s="38"/>
      <c r="G111" s="100" t="b">
        <v>0</v>
      </c>
      <c r="H111" s="100" t="b">
        <v>0</v>
      </c>
      <c r="I111" s="100" t="b">
        <v>0</v>
      </c>
      <c r="J111" s="100" t="b">
        <v>0</v>
      </c>
      <c r="P111" s="39"/>
      <c r="Q111" s="40"/>
    </row>
    <row r="112" spans="1:17">
      <c r="A112" s="37"/>
      <c r="E11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2" s="38"/>
      <c r="G112" s="100" t="b">
        <v>0</v>
      </c>
      <c r="H112" s="100" t="b">
        <v>0</v>
      </c>
      <c r="I112" s="100" t="b">
        <v>0</v>
      </c>
      <c r="J112" s="100" t="b">
        <v>0</v>
      </c>
      <c r="P112" s="39"/>
      <c r="Q112" s="40"/>
    </row>
    <row r="113" spans="1:17">
      <c r="A113" s="37"/>
      <c r="E11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3" s="38"/>
      <c r="G113" s="100" t="b">
        <v>0</v>
      </c>
      <c r="H113" s="100" t="b">
        <v>0</v>
      </c>
      <c r="I113" s="100" t="b">
        <v>0</v>
      </c>
      <c r="J113" s="100" t="b">
        <v>0</v>
      </c>
      <c r="P113" s="39"/>
      <c r="Q113" s="40"/>
    </row>
    <row r="114" spans="1:17">
      <c r="A114" s="37"/>
      <c r="E11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4" s="38"/>
      <c r="G114" s="100" t="b">
        <v>0</v>
      </c>
      <c r="H114" s="100" t="b">
        <v>0</v>
      </c>
      <c r="I114" s="100" t="b">
        <v>0</v>
      </c>
      <c r="J114" s="100" t="b">
        <v>0</v>
      </c>
      <c r="P114" s="39"/>
      <c r="Q114" s="40"/>
    </row>
    <row r="115" spans="1:17">
      <c r="A115" s="37"/>
      <c r="E11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5" s="38"/>
      <c r="G115" s="100" t="b">
        <v>0</v>
      </c>
      <c r="H115" s="100" t="b">
        <v>0</v>
      </c>
      <c r="I115" s="100" t="b">
        <v>0</v>
      </c>
      <c r="J115" s="100" t="b">
        <v>0</v>
      </c>
      <c r="P115" s="39"/>
      <c r="Q115" s="40"/>
    </row>
    <row r="116" spans="1:17">
      <c r="A116" s="37"/>
      <c r="E11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6" s="38"/>
      <c r="G116" s="100" t="b">
        <v>0</v>
      </c>
      <c r="H116" s="100" t="b">
        <v>0</v>
      </c>
      <c r="I116" s="100" t="b">
        <v>0</v>
      </c>
      <c r="J116" s="100" t="b">
        <v>0</v>
      </c>
      <c r="P116" s="39"/>
      <c r="Q116" s="40"/>
    </row>
    <row r="117" spans="1:17">
      <c r="A117" s="37"/>
      <c r="E11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7" s="38"/>
      <c r="G117" s="100" t="b">
        <v>0</v>
      </c>
      <c r="H117" s="100" t="b">
        <v>0</v>
      </c>
      <c r="I117" s="100" t="b">
        <v>0</v>
      </c>
      <c r="J117" s="100" t="b">
        <v>0</v>
      </c>
      <c r="P117" s="39"/>
      <c r="Q117" s="40"/>
    </row>
    <row r="118" spans="1:17">
      <c r="A118" s="37"/>
      <c r="E11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8" s="38"/>
      <c r="G118" s="100" t="b">
        <v>0</v>
      </c>
      <c r="H118" s="100" t="b">
        <v>0</v>
      </c>
      <c r="I118" s="100" t="b">
        <v>0</v>
      </c>
      <c r="J118" s="100" t="b">
        <v>0</v>
      </c>
      <c r="P118" s="39"/>
      <c r="Q118" s="40"/>
    </row>
    <row r="119" spans="1:17">
      <c r="A119" s="37"/>
      <c r="E11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19" s="38"/>
      <c r="G119" s="100" t="b">
        <v>0</v>
      </c>
      <c r="H119" s="100" t="b">
        <v>0</v>
      </c>
      <c r="I119" s="100" t="b">
        <v>0</v>
      </c>
      <c r="J119" s="100" t="b">
        <v>0</v>
      </c>
      <c r="P119" s="39"/>
      <c r="Q119" s="40"/>
    </row>
    <row r="120" spans="1:17">
      <c r="A120" s="37"/>
      <c r="E12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0" s="38"/>
      <c r="G120" s="100" t="b">
        <v>0</v>
      </c>
      <c r="H120" s="100" t="b">
        <v>0</v>
      </c>
      <c r="I120" s="100" t="b">
        <v>0</v>
      </c>
      <c r="J120" s="100" t="b">
        <v>0</v>
      </c>
      <c r="P120" s="39"/>
      <c r="Q120" s="40"/>
    </row>
    <row r="121" spans="1:17">
      <c r="A121" s="37"/>
      <c r="E12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1" s="38"/>
      <c r="G121" s="100" t="b">
        <v>0</v>
      </c>
      <c r="H121" s="100" t="b">
        <v>0</v>
      </c>
      <c r="I121" s="100" t="b">
        <v>0</v>
      </c>
      <c r="J121" s="100" t="b">
        <v>0</v>
      </c>
      <c r="P121" s="39"/>
      <c r="Q121" s="40"/>
    </row>
    <row r="122" spans="1:17">
      <c r="A122" s="37"/>
      <c r="E12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2" s="38"/>
      <c r="G122" s="100" t="b">
        <v>0</v>
      </c>
      <c r="H122" s="100" t="b">
        <v>0</v>
      </c>
      <c r="I122" s="100" t="b">
        <v>0</v>
      </c>
      <c r="J122" s="100" t="b">
        <v>0</v>
      </c>
      <c r="P122" s="39"/>
      <c r="Q122" s="40"/>
    </row>
    <row r="123" spans="1:17">
      <c r="A123" s="37"/>
      <c r="E12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3" s="38"/>
      <c r="G123" s="100" t="b">
        <v>0</v>
      </c>
      <c r="H123" s="100" t="b">
        <v>0</v>
      </c>
      <c r="I123" s="100" t="b">
        <v>0</v>
      </c>
      <c r="J123" s="100" t="b">
        <v>0</v>
      </c>
      <c r="P123" s="39"/>
      <c r="Q123" s="40"/>
    </row>
    <row r="124" spans="1:17">
      <c r="A124" s="37"/>
      <c r="E12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4" s="38"/>
      <c r="G124" s="100" t="b">
        <v>0</v>
      </c>
      <c r="H124" s="100" t="b">
        <v>0</v>
      </c>
      <c r="I124" s="100" t="b">
        <v>0</v>
      </c>
      <c r="J124" s="100" t="b">
        <v>0</v>
      </c>
      <c r="P124" s="39"/>
      <c r="Q124" s="40"/>
    </row>
    <row r="125" spans="1:17">
      <c r="A125" s="37"/>
      <c r="E12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5" s="38"/>
      <c r="G125" s="100" t="b">
        <v>0</v>
      </c>
      <c r="H125" s="100" t="b">
        <v>0</v>
      </c>
      <c r="I125" s="100" t="b">
        <v>0</v>
      </c>
      <c r="J125" s="100" t="b">
        <v>0</v>
      </c>
      <c r="P125" s="39"/>
      <c r="Q125" s="40"/>
    </row>
    <row r="126" spans="1:17">
      <c r="A126" s="37"/>
      <c r="E12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6" s="38"/>
      <c r="G126" s="100" t="b">
        <v>0</v>
      </c>
      <c r="H126" s="100" t="b">
        <v>0</v>
      </c>
      <c r="I126" s="100" t="b">
        <v>0</v>
      </c>
      <c r="J126" s="100" t="b">
        <v>0</v>
      </c>
      <c r="P126" s="39"/>
      <c r="Q126" s="40"/>
    </row>
    <row r="127" spans="1:17">
      <c r="A127" s="37"/>
      <c r="E12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7" s="38"/>
      <c r="G127" s="100" t="b">
        <v>0</v>
      </c>
      <c r="H127" s="100" t="b">
        <v>0</v>
      </c>
      <c r="I127" s="100" t="b">
        <v>0</v>
      </c>
      <c r="J127" s="100" t="b">
        <v>0</v>
      </c>
      <c r="P127" s="39"/>
      <c r="Q127" s="40"/>
    </row>
    <row r="128" spans="1:17">
      <c r="A128" s="37"/>
      <c r="E12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8" s="38"/>
      <c r="G128" s="100" t="b">
        <v>0</v>
      </c>
      <c r="H128" s="100" t="b">
        <v>0</v>
      </c>
      <c r="I128" s="100" t="b">
        <v>0</v>
      </c>
      <c r="J128" s="100" t="b">
        <v>0</v>
      </c>
      <c r="P128" s="39"/>
      <c r="Q128" s="40"/>
    </row>
    <row r="129" spans="1:17">
      <c r="A129" s="37"/>
      <c r="E12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29" s="38"/>
      <c r="G129" s="100" t="b">
        <v>0</v>
      </c>
      <c r="H129" s="100" t="b">
        <v>0</v>
      </c>
      <c r="I129" s="100" t="b">
        <v>0</v>
      </c>
      <c r="J129" s="100" t="b">
        <v>0</v>
      </c>
      <c r="P129" s="39"/>
      <c r="Q129" s="40"/>
    </row>
    <row r="130" spans="1:17">
      <c r="A130" s="37"/>
      <c r="E13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0" s="38"/>
      <c r="G130" s="100" t="b">
        <v>0</v>
      </c>
      <c r="H130" s="100" t="b">
        <v>0</v>
      </c>
      <c r="I130" s="100" t="b">
        <v>0</v>
      </c>
      <c r="J130" s="100" t="b">
        <v>0</v>
      </c>
      <c r="P130" s="39"/>
      <c r="Q130" s="40"/>
    </row>
    <row r="131" spans="1:17">
      <c r="A131" s="37"/>
      <c r="E13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1" s="38"/>
      <c r="G131" s="100" t="b">
        <v>0</v>
      </c>
      <c r="H131" s="100" t="b">
        <v>0</v>
      </c>
      <c r="I131" s="100" t="b">
        <v>0</v>
      </c>
      <c r="J131" s="100" t="b">
        <v>0</v>
      </c>
      <c r="P131" s="39"/>
      <c r="Q131" s="40"/>
    </row>
    <row r="132" spans="1:17">
      <c r="A132" s="37"/>
      <c r="E13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2" s="38"/>
      <c r="G132" s="100" t="b">
        <v>0</v>
      </c>
      <c r="H132" s="100" t="b">
        <v>0</v>
      </c>
      <c r="I132" s="100" t="b">
        <v>0</v>
      </c>
      <c r="J132" s="100" t="b">
        <v>0</v>
      </c>
      <c r="P132" s="39"/>
      <c r="Q132" s="40"/>
    </row>
    <row r="133" spans="1:17">
      <c r="A133" s="37"/>
      <c r="E13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3" s="38"/>
      <c r="G133" s="100" t="b">
        <v>0</v>
      </c>
      <c r="H133" s="100" t="b">
        <v>0</v>
      </c>
      <c r="I133" s="100" t="b">
        <v>0</v>
      </c>
      <c r="J133" s="100" t="b">
        <v>0</v>
      </c>
      <c r="P133" s="39"/>
      <c r="Q133" s="40"/>
    </row>
    <row r="134" spans="1:17">
      <c r="A134" s="37"/>
      <c r="E13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4" s="38"/>
      <c r="G134" s="100" t="b">
        <v>0</v>
      </c>
      <c r="H134" s="100" t="b">
        <v>0</v>
      </c>
      <c r="I134" s="100" t="b">
        <v>0</v>
      </c>
      <c r="J134" s="100" t="b">
        <v>0</v>
      </c>
      <c r="P134" s="39"/>
      <c r="Q134" s="40"/>
    </row>
    <row r="135" spans="1:17">
      <c r="A135" s="37"/>
      <c r="E13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5" s="38"/>
      <c r="G135" s="100" t="b">
        <v>0</v>
      </c>
      <c r="H135" s="100" t="b">
        <v>0</v>
      </c>
      <c r="I135" s="100" t="b">
        <v>0</v>
      </c>
      <c r="J135" s="100" t="b">
        <v>0</v>
      </c>
      <c r="P135" s="39"/>
      <c r="Q135" s="40"/>
    </row>
    <row r="136" spans="1:17">
      <c r="A136" s="37"/>
      <c r="E13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6" s="38"/>
      <c r="G136" s="100" t="b">
        <v>0</v>
      </c>
      <c r="H136" s="100" t="b">
        <v>0</v>
      </c>
      <c r="I136" s="100" t="b">
        <v>0</v>
      </c>
      <c r="J136" s="100" t="b">
        <v>0</v>
      </c>
      <c r="P136" s="39"/>
      <c r="Q136" s="40"/>
    </row>
    <row r="137" spans="1:17">
      <c r="A137" s="37"/>
      <c r="E13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7" s="38"/>
      <c r="G137" s="100" t="b">
        <v>0</v>
      </c>
      <c r="H137" s="100" t="b">
        <v>0</v>
      </c>
      <c r="I137" s="100" t="b">
        <v>0</v>
      </c>
      <c r="J137" s="100" t="b">
        <v>0</v>
      </c>
      <c r="P137" s="39"/>
      <c r="Q137" s="40"/>
    </row>
    <row r="138" spans="1:17">
      <c r="A138" s="37"/>
      <c r="E13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8" s="38"/>
      <c r="G138" s="100" t="b">
        <v>0</v>
      </c>
      <c r="H138" s="100" t="b">
        <v>0</v>
      </c>
      <c r="I138" s="100" t="b">
        <v>0</v>
      </c>
      <c r="J138" s="100" t="b">
        <v>0</v>
      </c>
      <c r="P138" s="39"/>
      <c r="Q138" s="40"/>
    </row>
    <row r="139" spans="1:17">
      <c r="A139" s="37"/>
      <c r="E13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39" s="38"/>
      <c r="G139" s="100" t="b">
        <v>0</v>
      </c>
      <c r="H139" s="100" t="b">
        <v>0</v>
      </c>
      <c r="I139" s="100" t="b">
        <v>0</v>
      </c>
      <c r="J139" s="100" t="b">
        <v>0</v>
      </c>
      <c r="P139" s="39"/>
      <c r="Q139" s="40"/>
    </row>
    <row r="140" spans="1:17">
      <c r="A140" s="37"/>
      <c r="E14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0" s="38"/>
      <c r="G140" s="100" t="b">
        <v>0</v>
      </c>
      <c r="H140" s="100" t="b">
        <v>0</v>
      </c>
      <c r="I140" s="100" t="b">
        <v>0</v>
      </c>
      <c r="J140" s="100" t="b">
        <v>0</v>
      </c>
      <c r="P140" s="39"/>
      <c r="Q140" s="40"/>
    </row>
    <row r="141" spans="1:17">
      <c r="A141" s="37"/>
      <c r="E14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1" s="38"/>
      <c r="G141" s="100" t="b">
        <v>0</v>
      </c>
      <c r="H141" s="100" t="b">
        <v>0</v>
      </c>
      <c r="I141" s="100" t="b">
        <v>0</v>
      </c>
      <c r="J141" s="100" t="b">
        <v>0</v>
      </c>
      <c r="P141" s="39"/>
      <c r="Q141" s="40"/>
    </row>
    <row r="142" spans="1:17">
      <c r="A142" s="37"/>
      <c r="E14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2" s="38"/>
      <c r="G142" s="100" t="b">
        <v>0</v>
      </c>
      <c r="H142" s="100" t="b">
        <v>0</v>
      </c>
      <c r="I142" s="100" t="b">
        <v>0</v>
      </c>
      <c r="J142" s="100" t="b">
        <v>0</v>
      </c>
      <c r="P142" s="39"/>
      <c r="Q142" s="40"/>
    </row>
    <row r="143" spans="1:17">
      <c r="A143" s="37"/>
      <c r="E14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3" s="38"/>
      <c r="G143" s="100" t="b">
        <v>0</v>
      </c>
      <c r="H143" s="100" t="b">
        <v>0</v>
      </c>
      <c r="I143" s="100" t="b">
        <v>0</v>
      </c>
      <c r="J143" s="100" t="b">
        <v>0</v>
      </c>
      <c r="P143" s="39"/>
      <c r="Q143" s="40"/>
    </row>
    <row r="144" spans="1:17">
      <c r="A144" s="37"/>
      <c r="E14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4" s="38"/>
      <c r="G144" s="100" t="b">
        <v>0</v>
      </c>
      <c r="H144" s="100" t="b">
        <v>0</v>
      </c>
      <c r="I144" s="100" t="b">
        <v>0</v>
      </c>
      <c r="J144" s="100" t="b">
        <v>0</v>
      </c>
      <c r="P144" s="39"/>
      <c r="Q144" s="40"/>
    </row>
    <row r="145" spans="1:17">
      <c r="A145" s="37"/>
      <c r="E14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5" s="38"/>
      <c r="G145" s="100" t="b">
        <v>0</v>
      </c>
      <c r="H145" s="100" t="b">
        <v>0</v>
      </c>
      <c r="I145" s="100" t="b">
        <v>0</v>
      </c>
      <c r="J145" s="100" t="b">
        <v>0</v>
      </c>
      <c r="P145" s="39"/>
      <c r="Q145" s="40"/>
    </row>
    <row r="146" spans="1:17">
      <c r="A146" s="37"/>
      <c r="E14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6" s="38"/>
      <c r="G146" s="100" t="b">
        <v>0</v>
      </c>
      <c r="H146" s="100" t="b">
        <v>0</v>
      </c>
      <c r="I146" s="100" t="b">
        <v>0</v>
      </c>
      <c r="J146" s="100" t="b">
        <v>0</v>
      </c>
      <c r="P146" s="39"/>
      <c r="Q146" s="40"/>
    </row>
    <row r="147" spans="1:17">
      <c r="A147" s="37"/>
      <c r="E14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7" s="38"/>
      <c r="G147" s="100" t="b">
        <v>0</v>
      </c>
      <c r="H147" s="100" t="b">
        <v>0</v>
      </c>
      <c r="I147" s="100" t="b">
        <v>0</v>
      </c>
      <c r="J147" s="100" t="b">
        <v>0</v>
      </c>
      <c r="P147" s="39"/>
      <c r="Q147" s="40"/>
    </row>
    <row r="148" spans="1:17">
      <c r="A148" s="37"/>
      <c r="E14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8" s="38"/>
      <c r="G148" s="100" t="b">
        <v>0</v>
      </c>
      <c r="H148" s="100" t="b">
        <v>0</v>
      </c>
      <c r="I148" s="100" t="b">
        <v>0</v>
      </c>
      <c r="J148" s="100" t="b">
        <v>0</v>
      </c>
      <c r="P148" s="39"/>
      <c r="Q148" s="40"/>
    </row>
    <row r="149" spans="1:17">
      <c r="A149" s="37"/>
      <c r="E14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49" s="38"/>
      <c r="G149" s="100" t="b">
        <v>0</v>
      </c>
      <c r="H149" s="100" t="b">
        <v>0</v>
      </c>
      <c r="I149" s="100" t="b">
        <v>0</v>
      </c>
      <c r="J149" s="100" t="b">
        <v>0</v>
      </c>
      <c r="P149" s="39"/>
      <c r="Q149" s="40"/>
    </row>
    <row r="150" spans="1:17">
      <c r="A150" s="37"/>
      <c r="E15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0" s="38"/>
      <c r="G150" s="100" t="b">
        <v>0</v>
      </c>
      <c r="H150" s="100" t="b">
        <v>0</v>
      </c>
      <c r="I150" s="100" t="b">
        <v>0</v>
      </c>
      <c r="J150" s="100" t="b">
        <v>0</v>
      </c>
      <c r="P150" s="39"/>
      <c r="Q150" s="40"/>
    </row>
    <row r="151" spans="1:17">
      <c r="A151" s="37"/>
      <c r="E15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1" s="38"/>
      <c r="G151" s="100" t="b">
        <v>0</v>
      </c>
      <c r="H151" s="100" t="b">
        <v>0</v>
      </c>
      <c r="I151" s="100" t="b">
        <v>0</v>
      </c>
      <c r="J151" s="100" t="b">
        <v>0</v>
      </c>
      <c r="P151" s="39"/>
      <c r="Q151" s="40"/>
    </row>
    <row r="152" spans="1:17">
      <c r="A152" s="37"/>
      <c r="E15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2" s="38"/>
      <c r="G152" s="100" t="b">
        <v>0</v>
      </c>
      <c r="H152" s="100" t="b">
        <v>0</v>
      </c>
      <c r="I152" s="100" t="b">
        <v>0</v>
      </c>
      <c r="J152" s="100" t="b">
        <v>0</v>
      </c>
      <c r="P152" s="39"/>
      <c r="Q152" s="40"/>
    </row>
    <row r="153" spans="1:17">
      <c r="A153" s="37"/>
      <c r="E15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3" s="38"/>
      <c r="G153" s="100" t="b">
        <v>0</v>
      </c>
      <c r="H153" s="100" t="b">
        <v>0</v>
      </c>
      <c r="I153" s="100" t="b">
        <v>0</v>
      </c>
      <c r="J153" s="100" t="b">
        <v>0</v>
      </c>
      <c r="P153" s="39"/>
      <c r="Q153" s="40"/>
    </row>
    <row r="154" spans="1:17">
      <c r="A154" s="37"/>
      <c r="E15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4" s="38"/>
      <c r="G154" s="100" t="b">
        <v>0</v>
      </c>
      <c r="H154" s="100" t="b">
        <v>0</v>
      </c>
      <c r="I154" s="100" t="b">
        <v>0</v>
      </c>
      <c r="J154" s="100" t="b">
        <v>0</v>
      </c>
      <c r="P154" s="39"/>
      <c r="Q154" s="40"/>
    </row>
    <row r="155" spans="1:17">
      <c r="A155" s="37"/>
      <c r="E15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5" s="38"/>
      <c r="G155" s="100" t="b">
        <v>0</v>
      </c>
      <c r="H155" s="100" t="b">
        <v>0</v>
      </c>
      <c r="I155" s="100" t="b">
        <v>0</v>
      </c>
      <c r="J155" s="100" t="b">
        <v>0</v>
      </c>
      <c r="P155" s="39"/>
      <c r="Q155" s="40"/>
    </row>
    <row r="156" spans="1:17">
      <c r="A156" s="37"/>
      <c r="E15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6" s="38"/>
      <c r="G156" s="100" t="b">
        <v>0</v>
      </c>
      <c r="H156" s="100" t="b">
        <v>0</v>
      </c>
      <c r="I156" s="100" t="b">
        <v>0</v>
      </c>
      <c r="J156" s="100" t="b">
        <v>0</v>
      </c>
      <c r="P156" s="39"/>
      <c r="Q156" s="40"/>
    </row>
    <row r="157" spans="1:17">
      <c r="A157" s="37"/>
      <c r="E15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7" s="38"/>
      <c r="G157" s="100" t="b">
        <v>0</v>
      </c>
      <c r="H157" s="100" t="b">
        <v>0</v>
      </c>
      <c r="I157" s="100" t="b">
        <v>0</v>
      </c>
      <c r="J157" s="100" t="b">
        <v>0</v>
      </c>
      <c r="P157" s="39"/>
      <c r="Q157" s="40"/>
    </row>
    <row r="158" spans="1:17">
      <c r="A158" s="37"/>
      <c r="E15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8" s="38"/>
      <c r="G158" s="100" t="b">
        <v>0</v>
      </c>
      <c r="H158" s="100" t="b">
        <v>0</v>
      </c>
      <c r="I158" s="100" t="b">
        <v>0</v>
      </c>
      <c r="J158" s="100" t="b">
        <v>0</v>
      </c>
      <c r="P158" s="39"/>
      <c r="Q158" s="40"/>
    </row>
    <row r="159" spans="1:17">
      <c r="A159" s="37"/>
      <c r="E15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59" s="38"/>
      <c r="G159" s="100" t="b">
        <v>0</v>
      </c>
      <c r="H159" s="100" t="b">
        <v>0</v>
      </c>
      <c r="I159" s="100" t="b">
        <v>0</v>
      </c>
      <c r="J159" s="100" t="b">
        <v>0</v>
      </c>
      <c r="P159" s="39"/>
      <c r="Q159" s="40"/>
    </row>
    <row r="160" spans="1:17">
      <c r="A160" s="37"/>
      <c r="E16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0" s="38"/>
      <c r="G160" s="100" t="b">
        <v>0</v>
      </c>
      <c r="H160" s="100" t="b">
        <v>0</v>
      </c>
      <c r="I160" s="100" t="b">
        <v>0</v>
      </c>
      <c r="J160" s="100" t="b">
        <v>0</v>
      </c>
      <c r="P160" s="39"/>
      <c r="Q160" s="40"/>
    </row>
    <row r="161" spans="1:17">
      <c r="A161" s="37"/>
      <c r="E16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1" s="38"/>
      <c r="G161" s="100" t="b">
        <v>0</v>
      </c>
      <c r="H161" s="100" t="b">
        <v>0</v>
      </c>
      <c r="I161" s="100" t="b">
        <v>0</v>
      </c>
      <c r="J161" s="100" t="b">
        <v>0</v>
      </c>
      <c r="P161" s="39"/>
      <c r="Q161" s="40"/>
    </row>
    <row r="162" spans="1:17">
      <c r="A162" s="37"/>
      <c r="E16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2" s="38"/>
      <c r="G162" s="100" t="b">
        <v>0</v>
      </c>
      <c r="H162" s="100" t="b">
        <v>0</v>
      </c>
      <c r="I162" s="100" t="b">
        <v>0</v>
      </c>
      <c r="J162" s="100" t="b">
        <v>0</v>
      </c>
      <c r="P162" s="39"/>
      <c r="Q162" s="40"/>
    </row>
    <row r="163" spans="1:17">
      <c r="A163" s="37"/>
      <c r="E16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3" s="38"/>
      <c r="G163" s="100" t="b">
        <v>0</v>
      </c>
      <c r="H163" s="100" t="b">
        <v>0</v>
      </c>
      <c r="I163" s="100" t="b">
        <v>0</v>
      </c>
      <c r="J163" s="100" t="b">
        <v>0</v>
      </c>
      <c r="P163" s="39"/>
      <c r="Q163" s="40"/>
    </row>
    <row r="164" spans="1:17">
      <c r="A164" s="37"/>
      <c r="E16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4" s="38"/>
      <c r="G164" s="100" t="b">
        <v>0</v>
      </c>
      <c r="H164" s="100" t="b">
        <v>0</v>
      </c>
      <c r="I164" s="100" t="b">
        <v>0</v>
      </c>
      <c r="J164" s="100" t="b">
        <v>0</v>
      </c>
      <c r="P164" s="39"/>
      <c r="Q164" s="40"/>
    </row>
    <row r="165" spans="1:17">
      <c r="A165" s="37"/>
      <c r="E16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5" s="38"/>
      <c r="G165" s="100" t="b">
        <v>0</v>
      </c>
      <c r="H165" s="100" t="b">
        <v>0</v>
      </c>
      <c r="I165" s="100" t="b">
        <v>0</v>
      </c>
      <c r="J165" s="100" t="b">
        <v>0</v>
      </c>
      <c r="P165" s="39"/>
      <c r="Q165" s="40"/>
    </row>
    <row r="166" spans="1:17">
      <c r="A166" s="37"/>
      <c r="E16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6" s="38"/>
      <c r="G166" s="100" t="b">
        <v>0</v>
      </c>
      <c r="H166" s="100" t="b">
        <v>0</v>
      </c>
      <c r="I166" s="100" t="b">
        <v>0</v>
      </c>
      <c r="J166" s="100" t="b">
        <v>0</v>
      </c>
      <c r="P166" s="39"/>
      <c r="Q166" s="40"/>
    </row>
    <row r="167" spans="1:17">
      <c r="A167" s="37"/>
      <c r="E16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7" s="38"/>
      <c r="G167" s="100" t="b">
        <v>0</v>
      </c>
      <c r="H167" s="100" t="b">
        <v>0</v>
      </c>
      <c r="I167" s="100" t="b">
        <v>0</v>
      </c>
      <c r="J167" s="100" t="b">
        <v>0</v>
      </c>
      <c r="P167" s="39"/>
      <c r="Q167" s="40"/>
    </row>
    <row r="168" spans="1:17">
      <c r="A168" s="37"/>
      <c r="E16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8" s="38"/>
      <c r="G168" s="100" t="b">
        <v>0</v>
      </c>
      <c r="H168" s="100" t="b">
        <v>0</v>
      </c>
      <c r="I168" s="100" t="b">
        <v>0</v>
      </c>
      <c r="J168" s="100" t="b">
        <v>0</v>
      </c>
      <c r="P168" s="39"/>
      <c r="Q168" s="40"/>
    </row>
    <row r="169" spans="1:17">
      <c r="A169" s="37"/>
      <c r="E16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69" s="38"/>
      <c r="G169" s="100" t="b">
        <v>0</v>
      </c>
      <c r="H169" s="100" t="b">
        <v>0</v>
      </c>
      <c r="I169" s="100" t="b">
        <v>0</v>
      </c>
      <c r="J169" s="100" t="b">
        <v>0</v>
      </c>
      <c r="P169" s="39"/>
      <c r="Q169" s="40"/>
    </row>
    <row r="170" spans="1:17">
      <c r="A170" s="37"/>
      <c r="E17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0" s="38"/>
      <c r="G170" s="100" t="b">
        <v>0</v>
      </c>
      <c r="H170" s="100" t="b">
        <v>0</v>
      </c>
      <c r="I170" s="100" t="b">
        <v>0</v>
      </c>
      <c r="J170" s="100" t="b">
        <v>0</v>
      </c>
      <c r="P170" s="39"/>
      <c r="Q170" s="40"/>
    </row>
    <row r="171" spans="1:17">
      <c r="A171" s="37"/>
      <c r="E17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1" s="38"/>
      <c r="G171" s="100" t="b">
        <v>0</v>
      </c>
      <c r="H171" s="100" t="b">
        <v>0</v>
      </c>
      <c r="I171" s="100" t="b">
        <v>0</v>
      </c>
      <c r="J171" s="100" t="b">
        <v>0</v>
      </c>
      <c r="P171" s="39"/>
      <c r="Q171" s="40"/>
    </row>
    <row r="172" spans="1:17">
      <c r="A172" s="37"/>
      <c r="E17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2" s="38"/>
      <c r="G172" s="100" t="b">
        <v>0</v>
      </c>
      <c r="H172" s="100" t="b">
        <v>0</v>
      </c>
      <c r="I172" s="100" t="b">
        <v>0</v>
      </c>
      <c r="J172" s="100" t="b">
        <v>0</v>
      </c>
      <c r="P172" s="39"/>
      <c r="Q172" s="40"/>
    </row>
    <row r="173" spans="1:17">
      <c r="A173" s="37"/>
      <c r="E17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3" s="38"/>
      <c r="G173" s="100" t="b">
        <v>0</v>
      </c>
      <c r="H173" s="100" t="b">
        <v>0</v>
      </c>
      <c r="I173" s="100" t="b">
        <v>0</v>
      </c>
      <c r="J173" s="100" t="b">
        <v>0</v>
      </c>
      <c r="P173" s="39"/>
      <c r="Q173" s="40"/>
    </row>
    <row r="174" spans="1:17">
      <c r="A174" s="37"/>
      <c r="E17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4" s="38"/>
      <c r="G174" s="100" t="b">
        <v>0</v>
      </c>
      <c r="H174" s="100" t="b">
        <v>0</v>
      </c>
      <c r="I174" s="100" t="b">
        <v>0</v>
      </c>
      <c r="J174" s="100" t="b">
        <v>0</v>
      </c>
      <c r="P174" s="39"/>
      <c r="Q174" s="40"/>
    </row>
    <row r="175" spans="1:17">
      <c r="A175" s="37"/>
      <c r="E17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5" s="38"/>
      <c r="G175" s="100" t="b">
        <v>0</v>
      </c>
      <c r="H175" s="100" t="b">
        <v>0</v>
      </c>
      <c r="I175" s="100" t="b">
        <v>0</v>
      </c>
      <c r="J175" s="100" t="b">
        <v>0</v>
      </c>
      <c r="P175" s="39"/>
      <c r="Q175" s="40"/>
    </row>
    <row r="176" spans="1:17">
      <c r="A176" s="37"/>
      <c r="E17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6" s="38"/>
      <c r="G176" s="100" t="b">
        <v>0</v>
      </c>
      <c r="H176" s="100" t="b">
        <v>0</v>
      </c>
      <c r="I176" s="100" t="b">
        <v>0</v>
      </c>
      <c r="J176" s="100" t="b">
        <v>0</v>
      </c>
      <c r="P176" s="39"/>
      <c r="Q176" s="40"/>
    </row>
    <row r="177" spans="1:17">
      <c r="A177" s="37"/>
      <c r="E17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7" s="38"/>
      <c r="G177" s="100" t="b">
        <v>0</v>
      </c>
      <c r="H177" s="100" t="b">
        <v>0</v>
      </c>
      <c r="I177" s="100" t="b">
        <v>0</v>
      </c>
      <c r="J177" s="100" t="b">
        <v>0</v>
      </c>
      <c r="P177" s="39"/>
      <c r="Q177" s="40"/>
    </row>
    <row r="178" spans="1:17">
      <c r="A178" s="37"/>
      <c r="E17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8" s="38"/>
      <c r="G178" s="100" t="b">
        <v>0</v>
      </c>
      <c r="H178" s="100" t="b">
        <v>0</v>
      </c>
      <c r="I178" s="100" t="b">
        <v>0</v>
      </c>
      <c r="J178" s="100" t="b">
        <v>0</v>
      </c>
      <c r="P178" s="39"/>
      <c r="Q178" s="40"/>
    </row>
    <row r="179" spans="1:17">
      <c r="A179" s="37"/>
      <c r="E17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79" s="38"/>
      <c r="G179" s="100" t="b">
        <v>0</v>
      </c>
      <c r="H179" s="100" t="b">
        <v>0</v>
      </c>
      <c r="I179" s="100" t="b">
        <v>0</v>
      </c>
      <c r="J179" s="100" t="b">
        <v>0</v>
      </c>
      <c r="P179" s="39"/>
      <c r="Q179" s="40"/>
    </row>
    <row r="180" spans="1:17">
      <c r="A180" s="37"/>
      <c r="E18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0" s="38"/>
      <c r="G180" s="100" t="b">
        <v>0</v>
      </c>
      <c r="H180" s="100" t="b">
        <v>0</v>
      </c>
      <c r="I180" s="100" t="b">
        <v>0</v>
      </c>
      <c r="J180" s="100" t="b">
        <v>0</v>
      </c>
      <c r="P180" s="39"/>
      <c r="Q180" s="40"/>
    </row>
    <row r="181" spans="1:17">
      <c r="A181" s="37"/>
      <c r="E18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1" s="38"/>
      <c r="G181" s="100" t="b">
        <v>0</v>
      </c>
      <c r="H181" s="100" t="b">
        <v>0</v>
      </c>
      <c r="I181" s="100" t="b">
        <v>0</v>
      </c>
      <c r="J181" s="100" t="b">
        <v>0</v>
      </c>
      <c r="P181" s="39"/>
      <c r="Q181" s="40"/>
    </row>
    <row r="182" spans="1:17">
      <c r="A182" s="37"/>
      <c r="E18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2" s="38"/>
      <c r="G182" s="100" t="b">
        <v>0</v>
      </c>
      <c r="H182" s="100" t="b">
        <v>0</v>
      </c>
      <c r="I182" s="100" t="b">
        <v>0</v>
      </c>
      <c r="J182" s="100" t="b">
        <v>0</v>
      </c>
      <c r="P182" s="39"/>
      <c r="Q182" s="40"/>
    </row>
    <row r="183" spans="1:17">
      <c r="A183" s="37"/>
      <c r="E18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3" s="38"/>
      <c r="G183" s="100" t="b">
        <v>0</v>
      </c>
      <c r="H183" s="100" t="b">
        <v>0</v>
      </c>
      <c r="I183" s="100" t="b">
        <v>0</v>
      </c>
      <c r="J183" s="100" t="b">
        <v>0</v>
      </c>
      <c r="P183" s="39"/>
      <c r="Q183" s="40"/>
    </row>
    <row r="184" spans="1:17">
      <c r="A184" s="37"/>
      <c r="E18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4" s="38"/>
      <c r="G184" s="100" t="b">
        <v>0</v>
      </c>
      <c r="H184" s="100" t="b">
        <v>0</v>
      </c>
      <c r="I184" s="100" t="b">
        <v>0</v>
      </c>
      <c r="J184" s="100" t="b">
        <v>0</v>
      </c>
      <c r="P184" s="39"/>
      <c r="Q184" s="40"/>
    </row>
    <row r="185" spans="1:17">
      <c r="A185" s="37"/>
      <c r="E18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5" s="38"/>
      <c r="G185" s="100" t="b">
        <v>0</v>
      </c>
      <c r="H185" s="100" t="b">
        <v>0</v>
      </c>
      <c r="I185" s="100" t="b">
        <v>0</v>
      </c>
      <c r="J185" s="100" t="b">
        <v>0</v>
      </c>
      <c r="P185" s="39"/>
      <c r="Q185" s="40"/>
    </row>
    <row r="186" spans="1:17">
      <c r="A186" s="37"/>
      <c r="E18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6" s="38"/>
      <c r="G186" s="100" t="b">
        <v>0</v>
      </c>
      <c r="H186" s="100" t="b">
        <v>0</v>
      </c>
      <c r="I186" s="100" t="b">
        <v>0</v>
      </c>
      <c r="J186" s="100" t="b">
        <v>0</v>
      </c>
      <c r="P186" s="39"/>
      <c r="Q186" s="40"/>
    </row>
    <row r="187" spans="1:17">
      <c r="A187" s="37"/>
      <c r="E18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7" s="38"/>
      <c r="G187" s="100" t="b">
        <v>0</v>
      </c>
      <c r="H187" s="100" t="b">
        <v>0</v>
      </c>
      <c r="I187" s="100" t="b">
        <v>0</v>
      </c>
      <c r="J187" s="100" t="b">
        <v>0</v>
      </c>
      <c r="P187" s="39"/>
      <c r="Q187" s="40"/>
    </row>
    <row r="188" spans="1:17">
      <c r="A188" s="37"/>
      <c r="E18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8" s="38"/>
      <c r="G188" s="100" t="b">
        <v>0</v>
      </c>
      <c r="H188" s="100" t="b">
        <v>0</v>
      </c>
      <c r="I188" s="100" t="b">
        <v>0</v>
      </c>
      <c r="J188" s="100" t="b">
        <v>0</v>
      </c>
      <c r="P188" s="39"/>
      <c r="Q188" s="40"/>
    </row>
    <row r="189" spans="1:17">
      <c r="A189" s="37"/>
      <c r="E18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89" s="38"/>
      <c r="G189" s="100" t="b">
        <v>0</v>
      </c>
      <c r="H189" s="100" t="b">
        <v>0</v>
      </c>
      <c r="I189" s="100" t="b">
        <v>0</v>
      </c>
      <c r="J189" s="100" t="b">
        <v>0</v>
      </c>
      <c r="P189" s="39"/>
      <c r="Q189" s="40"/>
    </row>
    <row r="190" spans="1:17">
      <c r="A190" s="37"/>
      <c r="E19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0" s="38"/>
      <c r="G190" s="100" t="b">
        <v>0</v>
      </c>
      <c r="H190" s="100" t="b">
        <v>0</v>
      </c>
      <c r="I190" s="100" t="b">
        <v>0</v>
      </c>
      <c r="J190" s="100" t="b">
        <v>0</v>
      </c>
      <c r="P190" s="39"/>
      <c r="Q190" s="40"/>
    </row>
    <row r="191" spans="1:17">
      <c r="A191" s="37"/>
      <c r="E19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1" s="38"/>
      <c r="G191" s="100" t="b">
        <v>0</v>
      </c>
      <c r="H191" s="100" t="b">
        <v>0</v>
      </c>
      <c r="I191" s="100" t="b">
        <v>0</v>
      </c>
      <c r="J191" s="100" t="b">
        <v>0</v>
      </c>
      <c r="P191" s="39"/>
      <c r="Q191" s="40"/>
    </row>
    <row r="192" spans="1:17">
      <c r="A192" s="37"/>
      <c r="E192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2" s="38"/>
      <c r="G192" s="100" t="b">
        <v>0</v>
      </c>
      <c r="H192" s="100" t="b">
        <v>0</v>
      </c>
      <c r="I192" s="100" t="b">
        <v>0</v>
      </c>
      <c r="J192" s="100" t="b">
        <v>0</v>
      </c>
      <c r="P192" s="39"/>
      <c r="Q192" s="40"/>
    </row>
    <row r="193" spans="1:17">
      <c r="A193" s="37"/>
      <c r="E193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3" s="38"/>
      <c r="G193" s="100" t="b">
        <v>0</v>
      </c>
      <c r="H193" s="100" t="b">
        <v>0</v>
      </c>
      <c r="I193" s="100" t="b">
        <v>0</v>
      </c>
      <c r="J193" s="100" t="b">
        <v>0</v>
      </c>
      <c r="P193" s="39"/>
      <c r="Q193" s="40"/>
    </row>
    <row r="194" spans="1:17">
      <c r="A194" s="37"/>
      <c r="E194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4" s="38"/>
      <c r="G194" s="100" t="b">
        <v>0</v>
      </c>
      <c r="H194" s="100" t="b">
        <v>0</v>
      </c>
      <c r="I194" s="100" t="b">
        <v>0</v>
      </c>
      <c r="J194" s="100" t="b">
        <v>0</v>
      </c>
      <c r="P194" s="39"/>
      <c r="Q194" s="40"/>
    </row>
    <row r="195" spans="1:17">
      <c r="A195" s="37"/>
      <c r="E195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5" s="38"/>
      <c r="G195" s="100" t="b">
        <v>0</v>
      </c>
      <c r="H195" s="100" t="b">
        <v>0</v>
      </c>
      <c r="I195" s="100" t="b">
        <v>0</v>
      </c>
      <c r="J195" s="100" t="b">
        <v>0</v>
      </c>
      <c r="P195" s="39"/>
      <c r="Q195" s="40"/>
    </row>
    <row r="196" spans="1:17">
      <c r="A196" s="37"/>
      <c r="E196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6" s="38"/>
      <c r="G196" s="100" t="b">
        <v>0</v>
      </c>
      <c r="H196" s="100" t="b">
        <v>0</v>
      </c>
      <c r="I196" s="100" t="b">
        <v>0</v>
      </c>
      <c r="J196" s="100" t="b">
        <v>0</v>
      </c>
      <c r="P196" s="39"/>
      <c r="Q196" s="40"/>
    </row>
    <row r="197" spans="1:17">
      <c r="A197" s="37"/>
      <c r="E197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7" s="38"/>
      <c r="G197" s="100" t="b">
        <v>0</v>
      </c>
      <c r="H197" s="100" t="b">
        <v>0</v>
      </c>
      <c r="I197" s="100" t="b">
        <v>0</v>
      </c>
      <c r="J197" s="100" t="b">
        <v>0</v>
      </c>
      <c r="P197" s="39"/>
      <c r="Q197" s="40"/>
    </row>
    <row r="198" spans="1:17">
      <c r="A198" s="37"/>
      <c r="E198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8" s="38"/>
      <c r="G198" s="100" t="b">
        <v>0</v>
      </c>
      <c r="H198" s="100" t="b">
        <v>0</v>
      </c>
      <c r="I198" s="100" t="b">
        <v>0</v>
      </c>
      <c r="J198" s="100" t="b">
        <v>0</v>
      </c>
      <c r="P198" s="39"/>
      <c r="Q198" s="40"/>
    </row>
    <row r="199" spans="1:17">
      <c r="A199" s="37"/>
      <c r="E199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199" s="38"/>
      <c r="G199" s="100" t="b">
        <v>0</v>
      </c>
      <c r="H199" s="100" t="b">
        <v>0</v>
      </c>
      <c r="I199" s="100" t="b">
        <v>0</v>
      </c>
      <c r="J199" s="100" t="b">
        <v>0</v>
      </c>
      <c r="P199" s="39"/>
      <c r="Q199" s="40"/>
    </row>
    <row r="200" spans="1:17">
      <c r="A200" s="37"/>
      <c r="E200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0" s="38"/>
      <c r="G200" s="100" t="b">
        <v>0</v>
      </c>
      <c r="H200" s="100" t="b">
        <v>0</v>
      </c>
      <c r="I200" s="100" t="b">
        <v>0</v>
      </c>
      <c r="J200" s="100" t="b">
        <v>0</v>
      </c>
      <c r="P200" s="39"/>
      <c r="Q200" s="40"/>
    </row>
    <row r="201" spans="1:17">
      <c r="A201" s="37"/>
      <c r="E201" s="4" t="str">
        <f>IF(SMSCampaignsTable[[#This Row],[Campaign Name]]="","",IF(AND(ISNUMBER(SMSCampaignsTable[[#This Row],[Delivered]]),SMSCampaignsTable[[#This Row],[Delivered]]&gt;0),"Sent",IF(NOT(SMSCampaignsTable[[#This Row],[Send SMS Options]]),"SMS Options",IF(NOT(SMSCampaignsTable[[#This Row],[Send Test]]),"Send Test",IF(NOT(SMSCampaignsTable[[#This Row],[Approval]]),"Awaiting Approval",IF(NOT(SMSCampaignsTable[[#This Row],[Segments]]),"Segments",IF(OR(IFERROR(LEN(TRIM(SMSCampaignsTable[[#This Row],[Jira Link]]&amp;"")),0)=0,IFERROR(LEN(TRIM(SMSCampaignsTable[[#This Row],[ClickUp Link]]&amp;"")),0)=0,IFERROR(LEN(TRIM(SMSCampaignsTable[[#This Row],[Bluecore Link]]&amp;"")),0)=0),"Links Pending",IF(IFERROR(LEN(TRIM(SMSCampaignsTable[[#This Row],[Est. Audience]]&amp;"")),0)=0,"Ready to Schedule","Scheduled"))))))))</f>
        <v/>
      </c>
      <c r="F201" s="38"/>
      <c r="G201" s="100" t="b">
        <v>0</v>
      </c>
      <c r="H201" s="100" t="b">
        <v>0</v>
      </c>
      <c r="I201" s="100" t="b">
        <v>0</v>
      </c>
      <c r="J201" s="100" t="b">
        <v>0</v>
      </c>
      <c r="P201" s="39"/>
      <c r="Q201" s="40"/>
    </row>
  </sheetData>
  <conditionalFormatting sqref="E2:E201">
    <cfRule type="cellIs" dxfId="50" priority="1" stopIfTrue="1" operator="equal">
      <formula>"Sent"</formula>
    </cfRule>
    <cfRule type="cellIs" dxfId="49" priority="2" stopIfTrue="1" operator="equal">
      <formula>"Scheduled"</formula>
    </cfRule>
    <cfRule type="cellIs" dxfId="48" priority="3" stopIfTrue="1" operator="equal">
      <formula>"Ready to Schedule"</formula>
    </cfRule>
  </conditionalFormatting>
  <pageMargins left="0.7" right="0.7" top="0.75" bottom="0.75" header="0.3" footer="0.3"/>
  <ignoredErrors>
    <ignoredError sqref="E2:E201" emptyCellReference="1"/>
  </ignoredErrors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TEXT(DATE(YEAR(TODAY()),1,1),"mmmm yyyy")&amp;" Campaign Calendar"</f>
        <v>January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124</v>
      </c>
      <c r="G3" s="45" t="s">
        <v>125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47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47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47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47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47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48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</row>
    <row r="7" spans="1:7" ht="87.95" customHeight="1">
      <c r="A7" s="48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47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47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47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47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47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48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</row>
    <row r="8" spans="1:7" ht="87.95" customHeight="1">
      <c r="A8" s="48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47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47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47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47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47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48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</row>
    <row r="9" spans="1:7" ht="87.95" customHeight="1">
      <c r="A9" s="48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47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47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47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47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47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48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</row>
    <row r="10" spans="1:7" ht="87.95" customHeight="1">
      <c r="A10" s="48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47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47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47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47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47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48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</row>
    <row r="11" spans="1:7" ht="87.95" customHeight="1">
      <c r="A11" s="48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47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47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47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47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47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48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5" priority="1" stopIfTrue="1">
      <formula>ISNUMBER(SEARCH(CHAR(10),A6))</formula>
    </cfRule>
    <cfRule type="expression" dxfId="44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7F75E1D9-6441-4DD7-A1DB-22406DFC40CA}"/>
    <hyperlink ref="B3" location="'Email Campaigns'!A1" display="Email" xr:uid="{2C2A9A16-F590-4F38-B0C4-73F407ACC610}"/>
    <hyperlink ref="C3" location="'SMS Campaigns'!A1" display="SMS" xr:uid="{D2B59DF4-7DA0-40D3-BD67-5EAA2343C2A3}"/>
    <hyperlink ref="F3" location="'December Calendar'!A1" display="&lt; December" xr:uid="{F7743A9F-88B9-4483-9662-627C0F00BDB0}"/>
    <hyperlink ref="G3" location="'February Calendar'!A1" display="February &gt;" xr:uid="{26A3CB64-E6B7-4B97-B0F2-BB84C104E77D}"/>
  </hyperlinks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TEXT(DATE(YEAR(TODAY()),2,1),"mmmm yyyy")&amp;" Campaign Calendar"</f>
        <v>February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134</v>
      </c>
      <c r="G3" s="45" t="s">
        <v>135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47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47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47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47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47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48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</row>
    <row r="7" spans="1:7" ht="87.95" customHeight="1">
      <c r="A7" s="48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47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47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47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47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47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48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</row>
    <row r="8" spans="1:7" ht="87.95" customHeight="1">
      <c r="A8" s="48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47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47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47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47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47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48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</row>
    <row r="9" spans="1:7" ht="87.95" customHeight="1">
      <c r="A9" s="48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47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47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47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47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47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48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</row>
    <row r="10" spans="1:7" ht="87.95" customHeight="1">
      <c r="A10" s="48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47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47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47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47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47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48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47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47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47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47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47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48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41" priority="1" stopIfTrue="1">
      <formula>ISNUMBER(SEARCH(CHAR(10),A6))</formula>
    </cfRule>
    <cfRule type="expression" dxfId="40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70416E0A-4E73-41C3-B635-2EEEC9E88F57}"/>
    <hyperlink ref="B3" location="'Email Campaigns'!A1" display="Email" xr:uid="{74E95055-F2E8-4894-BCDE-5B15D240E377}"/>
    <hyperlink ref="C3" location="'SMS Campaigns'!A1" display="SMS" xr:uid="{2BACD61C-87DF-4250-8DCD-725623736DB2}"/>
    <hyperlink ref="F3" location="'January Calendar'!A1" display="&lt; January" xr:uid="{99761115-CB98-4671-AEFC-27D8D3DA5C0A}"/>
    <hyperlink ref="G3" location="'March Calendar'!A1" display="March &gt;" xr:uid="{4CD3E1D6-3B6C-4F5E-849D-61F22AC230F3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TEXT(DATE(YEAR(TODAY()),3,1),"mmmm yyyy")&amp;" Campaign Calendar"</f>
        <v>March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136</v>
      </c>
      <c r="G3" s="45" t="s">
        <v>137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47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47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47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47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47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48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</row>
    <row r="7" spans="1:7" ht="87.95" customHeight="1">
      <c r="A7" s="48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47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47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47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47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47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48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</row>
    <row r="8" spans="1:7" ht="87.95" customHeight="1">
      <c r="A8" s="48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47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47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47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47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47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48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</row>
    <row r="9" spans="1:7" ht="87.95" customHeight="1">
      <c r="A9" s="48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47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47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47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47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47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48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</row>
    <row r="10" spans="1:7" ht="87.95" customHeight="1">
      <c r="A10" s="48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47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47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47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47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47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48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47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47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47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47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47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48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7" priority="1" stopIfTrue="1">
      <formula>ISNUMBER(SEARCH(CHAR(10),A6))</formula>
    </cfRule>
    <cfRule type="expression" dxfId="36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FB484087-E9BF-42F9-BDE9-BF0387A92446}"/>
    <hyperlink ref="B3" location="'Email Campaigns'!A1" display="Email" xr:uid="{D792109F-CB79-41EB-BA41-5BAE59B32447}"/>
    <hyperlink ref="C3" location="'SMS Campaigns'!A1" display="SMS" xr:uid="{03AD1028-C4C0-4704-B188-182F58D2E3F6}"/>
    <hyperlink ref="F3" location="'February Calendar'!A1" display="&lt; February" xr:uid="{993461AC-CE6B-4502-B8B8-6B7D35A20D80}"/>
    <hyperlink ref="G3" location="'April Calendar'!A1" display="April &gt;" xr:uid="{B8DF9556-F028-4692-988F-EC6825401B3F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TEXT(DATE(YEAR(TODAY()),4,1),"mmmm yyyy")&amp;" Campaign Calendar"</f>
        <v>April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138</v>
      </c>
      <c r="G3" s="45" t="s">
        <v>139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47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47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47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47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47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48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</row>
    <row r="7" spans="1:7" ht="87.95" customHeight="1">
      <c r="A7" s="48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47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47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47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47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47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48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</row>
    <row r="8" spans="1:7" ht="87.95" customHeight="1">
      <c r="A8" s="48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47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47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47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47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47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48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</row>
    <row r="9" spans="1:7" ht="87.95" customHeight="1">
      <c r="A9" s="48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47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47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47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47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47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48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</row>
    <row r="10" spans="1:7" ht="87.95" customHeight="1">
      <c r="A10" s="48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47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47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47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47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47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48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47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47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47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47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47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48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3" priority="1" stopIfTrue="1">
      <formula>ISNUMBER(SEARCH(CHAR(10),A6))</formula>
    </cfRule>
    <cfRule type="expression" dxfId="32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8611703D-8DB3-4B49-95E7-D43D26537145}"/>
    <hyperlink ref="B3" location="'Email Campaigns'!A1" display="Email" xr:uid="{4503A677-A450-4571-B08C-060911324C9D}"/>
    <hyperlink ref="C3" location="'SMS Campaigns'!A1" display="SMS" xr:uid="{EC6306FE-7DFE-4E35-B0BE-D559C56B0A8F}"/>
    <hyperlink ref="F3" location="'March Calendar'!A1" display="&lt; March" xr:uid="{50120348-9710-4EB2-8BD0-293B5FE37533}"/>
    <hyperlink ref="G3" location="'May Calendar'!A1" display="May &gt;" xr:uid="{E1F52D76-09EA-4129-817F-0D0736970DE0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TEXT(DATE(YEAR(TODAY()),5,1),"mmmm yyyy")&amp;" Campaign Calendar"</f>
        <v>May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140</v>
      </c>
      <c r="G3" s="45" t="s">
        <v>141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47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47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47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47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47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48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</row>
    <row r="7" spans="1:7" ht="87.95" customHeight="1">
      <c r="A7" s="48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47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47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47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47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47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48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</row>
    <row r="8" spans="1:7" ht="87.95" customHeight="1">
      <c r="A8" s="48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47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47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47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47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47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48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</row>
    <row r="9" spans="1:7" ht="87.95" customHeight="1">
      <c r="A9" s="48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47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47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47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47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47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48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</row>
    <row r="10" spans="1:7" ht="87.95" customHeight="1">
      <c r="A10" s="48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47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47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47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47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47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48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</row>
    <row r="11" spans="1:7" ht="87.95" customHeight="1">
      <c r="A11" s="48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47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47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47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47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47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48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9" priority="1" stopIfTrue="1">
      <formula>ISNUMBER(SEARCH(CHAR(10),A6))</formula>
    </cfRule>
    <cfRule type="expression" dxfId="28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0BE70BD4-EAD9-4686-B476-C2F796D7FB25}"/>
    <hyperlink ref="B3" location="'Email Campaigns'!A1" display="Email" xr:uid="{1EF04E3D-C161-46A0-BDD3-7D26FEE52E2F}"/>
    <hyperlink ref="C3" location="'SMS Campaigns'!A1" display="SMS" xr:uid="{3FD37F0F-408B-469E-B492-2662C204A8C9}"/>
    <hyperlink ref="F3" location="'April Calendar'!A1" display="&lt; April" xr:uid="{AD9DAA09-0047-47A5-A496-50E6A8D53DFF}"/>
    <hyperlink ref="G3" location="'June Calendar'!A1" display="June &gt;" xr:uid="{05686CDB-BDF3-495F-B4A9-D1F07F0189F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TEXT(DATE(YEAR(TODAY()),6,1),"mmmm yyyy")&amp;" Campaign Calendar"</f>
        <v>June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142</v>
      </c>
      <c r="G3" s="45" t="s">
        <v>143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47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</v>
      </c>
      <c r="C6" s="47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</v>
      </c>
      <c r="D6" s="47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</v>
      </c>
      <c r="E6" s="47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</v>
      </c>
      <c r="F6" s="47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Sample | Sent Campaign</v>
      </c>
      <c r="G6" s="48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Sample | Eco Gear Promo</v>
      </c>
    </row>
    <row r="7" spans="1:7" ht="87.95" customHeight="1">
      <c r="A7" s="48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Sample | Weekly Newsletter</v>
      </c>
      <c r="B7" s="47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Sample | Brand Spotlight</v>
      </c>
      <c r="C7" s="47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47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47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Email | Sample | VIP Offer
• Email | Sample | VIP Offer</v>
      </c>
      <c r="F7" s="47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
• Email | 060926-08AM-Dive Wear Best Sellers Resend</v>
      </c>
      <c r="G7" s="48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</row>
    <row r="8" spans="1:7" ht="87.95" customHeight="1">
      <c r="A8" s="48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47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47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47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47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47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48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</row>
    <row r="9" spans="1:7" ht="87.95" customHeight="1">
      <c r="A9" s="48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47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47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47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47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47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48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</row>
    <row r="10" spans="1:7" ht="87.95" customHeight="1">
      <c r="A10" s="48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47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47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47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47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47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48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47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47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47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47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47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48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5" priority="1" stopIfTrue="1">
      <formula>ISNUMBER(SEARCH(CHAR(10),A6))</formula>
    </cfRule>
    <cfRule type="expression" dxfId="24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C675F41B-E370-450F-B9CF-19682E6534E3}"/>
    <hyperlink ref="B3" location="'Email Campaigns'!A1" display="Email" xr:uid="{240614A2-4B70-4423-8331-5679376E8904}"/>
    <hyperlink ref="C3" location="'SMS Campaigns'!A1" display="SMS" xr:uid="{E988C8F7-D4DE-4F6C-89B9-AF367F029712}"/>
    <hyperlink ref="F3" location="'May Calendar'!A1" display="&lt; May" xr:uid="{8086579B-DD5E-47B3-99E5-CED060633426}"/>
    <hyperlink ref="G3" location="'July Calendar'!A1" display="July &gt;" xr:uid="{2691590D-AD57-465E-B1F6-9E41F5D74534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TEXT(DATE(YEAR(TODAY()),7,1),"mmmm yyyy")&amp;" Campaign Calendar"</f>
        <v>July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144</v>
      </c>
      <c r="G3" s="45" t="s">
        <v>145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47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47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47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47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47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48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</row>
    <row r="7" spans="1:7" ht="87.95" customHeight="1">
      <c r="A7" s="48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47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47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47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47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47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48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</row>
    <row r="8" spans="1:7" ht="87.95" customHeight="1">
      <c r="A8" s="48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47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47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47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47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47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48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</row>
    <row r="9" spans="1:7" ht="87.95" customHeight="1">
      <c r="A9" s="48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47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47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47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47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47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48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</row>
    <row r="10" spans="1:7" ht="87.95" customHeight="1">
      <c r="A10" s="48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47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47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47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47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47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48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47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47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47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47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47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48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1" priority="1" stopIfTrue="1">
      <formula>ISNUMBER(SEARCH(CHAR(10),A6))</formula>
    </cfRule>
    <cfRule type="expression" dxfId="20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9CC36356-31DD-4BBF-B0C5-8A3E7C10AC7F}"/>
    <hyperlink ref="B3" location="'Email Campaigns'!A1" display="Email" xr:uid="{B2C62EF0-B0F1-47C2-B67F-AD484316E5F4}"/>
    <hyperlink ref="C3" location="'SMS Campaigns'!A1" display="SMS" xr:uid="{6DD8E1AC-48DB-4415-B696-526B3415316C}"/>
    <hyperlink ref="F3" location="'June Calendar'!A1" display="&lt; June" xr:uid="{A081F541-36A7-4E1C-A8A4-DCF4C5920DE1}"/>
    <hyperlink ref="G3" location="'August Calendar'!A1" display="August &gt;" xr:uid="{4C0194AA-6BE6-46F1-A46E-DD7EABD29168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TEXT(DATE(YEAR(TODAY()),8,1),"mmmm yyyy")&amp;" Campaign Calendar"</f>
        <v>August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146</v>
      </c>
      <c r="G3" s="45" t="s">
        <v>147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47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47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47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47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47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48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</row>
    <row r="7" spans="1:7" ht="87.95" customHeight="1">
      <c r="A7" s="48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47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47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47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47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47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48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</row>
    <row r="8" spans="1:7" ht="87.95" customHeight="1">
      <c r="A8" s="48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47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47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47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47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47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48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</row>
    <row r="9" spans="1:7" ht="87.95" customHeight="1">
      <c r="A9" s="48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47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47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47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47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47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48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</row>
    <row r="10" spans="1:7" ht="87.95" customHeight="1">
      <c r="A10" s="48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47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47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47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47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47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48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</row>
    <row r="11" spans="1:7" ht="87.95" customHeight="1">
      <c r="A11" s="48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47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47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47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47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47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48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7" priority="1" stopIfTrue="1">
      <formula>ISNUMBER(SEARCH(CHAR(10),A6))</formula>
    </cfRule>
    <cfRule type="expression" dxfId="16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3B3483EA-0E3C-4847-93DD-8850CB950CB4}"/>
    <hyperlink ref="B3" location="'Email Campaigns'!A1" display="Email" xr:uid="{F93F169E-E9FE-4C48-8163-36547D0575C4}"/>
    <hyperlink ref="C3" location="'SMS Campaigns'!A1" display="SMS" xr:uid="{5C0A7C38-3D89-4C0D-B414-6AAFB6A3426B}"/>
    <hyperlink ref="F3" location="'July Calendar'!A1" display="&lt; July" xr:uid="{A4C737F1-4241-46C3-BD12-2F3DEADCBAD0}"/>
    <hyperlink ref="G3" location="'September Calendar'!A1" display="September &gt;" xr:uid="{1C890EA3-C7F7-4185-AAC7-E5C1818BAADF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TEXT(DATE(YEAR(TODAY()),9,1),"mmmm yyyy")&amp;" Campaign Calendar"</f>
        <v>September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148</v>
      </c>
      <c r="G3" s="45" t="s">
        <v>149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47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47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47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47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47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48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</row>
    <row r="7" spans="1:7" ht="87.95" customHeight="1">
      <c r="A7" s="48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47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47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47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47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47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48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</row>
    <row r="8" spans="1:7" ht="87.95" customHeight="1">
      <c r="A8" s="48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47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47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47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47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47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48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</row>
    <row r="9" spans="1:7" ht="87.95" customHeight="1">
      <c r="A9" s="48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47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47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47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47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47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48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</row>
    <row r="10" spans="1:7" ht="87.95" customHeight="1">
      <c r="A10" s="48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47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47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47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47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47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48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47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47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47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47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47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48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3" priority="1" stopIfTrue="1">
      <formula>ISNUMBER(SEARCH(CHAR(10),A6))</formula>
    </cfRule>
    <cfRule type="expression" dxfId="12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66383162-D2D5-427D-AC3E-F2653D3C4528}"/>
    <hyperlink ref="B3" location="'Email Campaigns'!A1" display="Email" xr:uid="{0EF13787-0ADF-4E6F-987B-3620B4E7E467}"/>
    <hyperlink ref="C3" location="'SMS Campaigns'!A1" display="SMS" xr:uid="{EF9C56D2-6C0C-4501-BDE3-1B5E386CA026}"/>
    <hyperlink ref="F3" location="'August Calendar'!A1" display="&lt; August" xr:uid="{6F0A55AB-EDE6-42DF-9861-43084FC25050}"/>
    <hyperlink ref="G3" location="'October Calendar'!A1" display="October &gt;" xr:uid="{11C861AA-AF8B-4805-AC12-C10C6A82872D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TEXT(DATE(YEAR(TODAY()),10,1),"mmmm yyyy")&amp;" Campaign Calendar"</f>
        <v>October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150</v>
      </c>
      <c r="G3" s="45" t="s">
        <v>151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47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47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47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47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47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48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</row>
    <row r="7" spans="1:7" ht="87.95" customHeight="1">
      <c r="A7" s="48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47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47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47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47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47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48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</row>
    <row r="8" spans="1:7" ht="87.95" customHeight="1">
      <c r="A8" s="48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47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47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47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47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47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48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</row>
    <row r="9" spans="1:7" ht="87.95" customHeight="1">
      <c r="A9" s="48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47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47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47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47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47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48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</row>
    <row r="10" spans="1:7" ht="87.95" customHeight="1">
      <c r="A10" s="48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47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47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47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47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47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48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</row>
    <row r="11" spans="1:7" ht="87.95" customHeight="1">
      <c r="A11" s="48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47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47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47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47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47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48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9" priority="1" stopIfTrue="1">
      <formula>ISNUMBER(SEARCH(CHAR(10),A6))</formula>
    </cfRule>
    <cfRule type="expression" dxfId="8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688C96A3-04E3-4039-8506-618201E3876A}"/>
    <hyperlink ref="B3" location="'Email Campaigns'!A1" display="Email" xr:uid="{D08CA687-BDA8-453F-AEC9-163D4B7BE4A7}"/>
    <hyperlink ref="C3" location="'SMS Campaigns'!A1" display="SMS" xr:uid="{DF06B12D-835D-41E8-B674-0B9BB4FD34BD}"/>
    <hyperlink ref="F3" location="'September Calendar'!A1" display="&lt; September" xr:uid="{63A601C5-D436-4082-95AC-07472FB1A7B7}"/>
    <hyperlink ref="G3" location="'November Calendar'!A1" display="November &gt;" xr:uid="{DE25D747-B1FF-41BC-B26D-CF5EBF67E28A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TEXT(DATE(YEAR(TODAY()),11,1),"mmmm yyyy")&amp;" Campaign Calendar"</f>
        <v>November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152</v>
      </c>
      <c r="G3" s="45" t="s">
        <v>153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47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47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47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47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47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48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</row>
    <row r="7" spans="1:7" ht="87.95" customHeight="1">
      <c r="A7" s="48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47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47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47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47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47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48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</row>
    <row r="8" spans="1:7" ht="87.95" customHeight="1">
      <c r="A8" s="48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47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47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47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47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47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48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</row>
    <row r="9" spans="1:7" ht="87.95" customHeight="1">
      <c r="A9" s="48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47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47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47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47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47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48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</row>
    <row r="10" spans="1:7" ht="87.95" customHeight="1">
      <c r="A10" s="48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47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47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47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47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47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48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47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47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47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47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47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48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5" priority="1" stopIfTrue="1">
      <formula>ISNUMBER(SEARCH(CHAR(10),A6))</formula>
    </cfRule>
    <cfRule type="expression" dxfId="4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7CCAF206-6993-4ECA-95C2-C65A8B344A33}"/>
    <hyperlink ref="B3" location="'Email Campaigns'!A1" display="Email" xr:uid="{3EBF1402-B268-4851-A869-2BC77E048E54}"/>
    <hyperlink ref="C3" location="'SMS Campaigns'!A1" display="SMS" xr:uid="{E9429760-ED70-4330-896F-0D4473DA77F0}"/>
    <hyperlink ref="F3" location="'October Calendar'!A1" display="&lt; October" xr:uid="{B86A8C74-BBCC-4311-B050-8C18CFC635B4}"/>
    <hyperlink ref="G3" location="'December Calendar'!A1" display="December &gt;" xr:uid="{1FEB85A2-FE62-46D8-A906-0688C45A693C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G12"/>
  <sheetViews>
    <sheetView showGridLines="0" zoomScale="90" zoomScaleNormal="90" workbookViewId="0">
      <pane activePane="bottomRight" state="frozen"/>
      <selection activeCell="A6" sqref="A6"/>
    </sheetView>
  </sheetViews>
  <sheetFormatPr defaultRowHeight="15"/>
  <cols>
    <col min="1" max="7" width="22.625" style="4" customWidth="1"/>
    <col min="8" max="16384" width="9" style="4"/>
  </cols>
  <sheetData>
    <row r="1" spans="1:7" ht="33.950000000000003" customHeight="1">
      <c r="A1" s="94" t="str">
        <f ca="1">TEXT(DATE(YEAR(TODAY()),12,1),"mmmm yyyy")&amp;" Campaign Calendar"</f>
        <v>December 2026 Campaign Calendar</v>
      </c>
      <c r="B1" s="94"/>
      <c r="C1" s="94"/>
      <c r="D1" s="94"/>
      <c r="E1" s="94"/>
      <c r="F1" s="94"/>
      <c r="G1" s="94"/>
    </row>
    <row r="2" spans="1:7" ht="21.95" customHeight="1">
      <c r="A2" s="95" t="s">
        <v>178</v>
      </c>
      <c r="B2" s="95"/>
      <c r="C2" s="95"/>
      <c r="D2" s="95"/>
      <c r="E2" s="95"/>
      <c r="F2" s="95"/>
      <c r="G2" s="95"/>
    </row>
    <row r="3" spans="1:7" ht="24" customHeight="1">
      <c r="A3" s="45" t="s">
        <v>123</v>
      </c>
      <c r="B3" s="45" t="s">
        <v>179</v>
      </c>
      <c r="C3" s="45" t="s">
        <v>180</v>
      </c>
      <c r="D3" s="98" t="str">
        <f ca="1">"Today: "&amp;TEXT(TODAY(),"MM/DD/YYYY")</f>
        <v>Today: 06/07/2026</v>
      </c>
      <c r="E3" s="98"/>
      <c r="F3" s="45" t="s">
        <v>154</v>
      </c>
      <c r="G3" s="45" t="s">
        <v>155</v>
      </c>
    </row>
    <row r="4" spans="1:7" ht="27.95" customHeight="1">
      <c r="A4" s="96" t="s">
        <v>126</v>
      </c>
      <c r="B4" s="96"/>
      <c r="C4" s="96"/>
      <c r="D4" s="96"/>
      <c r="E4" s="96"/>
      <c r="F4" s="96"/>
      <c r="G4" s="96"/>
    </row>
    <row r="5" spans="1:7" ht="24" customHeight="1">
      <c r="A5" s="46" t="s">
        <v>127</v>
      </c>
      <c r="B5" s="46" t="s">
        <v>128</v>
      </c>
      <c r="C5" s="46" t="s">
        <v>129</v>
      </c>
      <c r="D5" s="46" t="s">
        <v>130</v>
      </c>
      <c r="E5" s="46" t="s">
        <v>131</v>
      </c>
      <c r="F5" s="46" t="s">
        <v>132</v>
      </c>
      <c r="G5" s="46" t="s">
        <v>133</v>
      </c>
    </row>
    <row r="6" spans="1:7" ht="87.95" customHeight="1">
      <c r="A6" s="48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47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47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47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47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47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48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</row>
    <row r="7" spans="1:7" ht="87.95" customHeight="1">
      <c r="A7" s="48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47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47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47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47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47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48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</row>
    <row r="8" spans="1:7" ht="87.95" customHeight="1">
      <c r="A8" s="48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47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47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47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47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47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48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</row>
    <row r="9" spans="1:7" ht="87.95" customHeight="1">
      <c r="A9" s="48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47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47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47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47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47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48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</row>
    <row r="10" spans="1:7" ht="87.95" customHeight="1">
      <c r="A10" s="48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47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47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47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47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47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48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1" spans="1:7" ht="87.95" customHeight="1">
      <c r="A11" s="48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47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47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47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47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47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48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</row>
    <row r="12" spans="1:7" ht="21.95" customHeight="1">
      <c r="A12" s="97" t="s">
        <v>181</v>
      </c>
      <c r="B12" s="97"/>
      <c r="C12" s="97"/>
      <c r="D12" s="97"/>
      <c r="E12" s="97"/>
      <c r="F12" s="97"/>
      <c r="G12" s="97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" priority="1" stopIfTrue="1">
      <formula>ISNUMBER(SEARCH(CHAR(10),A6))</formula>
    </cfRule>
    <cfRule type="expression" dxfId="0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8DCA19E1-BCD5-4EE7-AAF6-9EC51FFA77B7}"/>
    <hyperlink ref="B3" location="'Email Campaigns'!A1" display="Email" xr:uid="{E72158FC-9642-4DBE-B4FC-59691428E952}"/>
    <hyperlink ref="C3" location="'SMS Campaigns'!A1" display="SMS" xr:uid="{9905D5EF-B154-4D2A-B971-1BEC01DD237A}"/>
    <hyperlink ref="F3" location="'November Calendar'!A1" display="&lt; November" xr:uid="{173F3D39-70D7-477C-8EAC-130FA2F093EB}"/>
    <hyperlink ref="G3" location="'January Calendar'!A1" display="January &gt;" xr:uid="{B3AEA9FC-713A-4DF5-B23B-C891ECB6C99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" t="s">
        <v>3</v>
      </c>
      <c r="B1" s="1" t="s">
        <v>4</v>
      </c>
      <c r="C1" s="1" t="s">
        <v>70</v>
      </c>
      <c r="D1" s="1" t="s">
        <v>11</v>
      </c>
      <c r="E1" s="1" t="s">
        <v>71</v>
      </c>
    </row>
    <row r="2" spans="1:5">
      <c r="A2" t="s">
        <v>15</v>
      </c>
      <c r="B2" t="s">
        <v>33</v>
      </c>
      <c r="C2" t="s">
        <v>30</v>
      </c>
      <c r="D2" t="s">
        <v>72</v>
      </c>
      <c r="E2" t="s">
        <v>46</v>
      </c>
    </row>
    <row r="3" spans="1:5">
      <c r="A3" t="s">
        <v>28</v>
      </c>
      <c r="B3" t="s">
        <v>73</v>
      </c>
      <c r="C3" t="s">
        <v>33</v>
      </c>
      <c r="D3" t="s">
        <v>57</v>
      </c>
      <c r="E3" t="s">
        <v>16</v>
      </c>
    </row>
    <row r="4" spans="1:5">
      <c r="A4" t="s">
        <v>39</v>
      </c>
      <c r="B4" t="s">
        <v>74</v>
      </c>
      <c r="C4" t="s">
        <v>75</v>
      </c>
      <c r="D4" t="s">
        <v>76</v>
      </c>
      <c r="E4" t="s">
        <v>29</v>
      </c>
    </row>
    <row r="5" spans="1:5">
      <c r="A5" t="s">
        <v>45</v>
      </c>
      <c r="B5" t="s">
        <v>77</v>
      </c>
      <c r="C5" t="s">
        <v>40</v>
      </c>
      <c r="D5" t="s">
        <v>78</v>
      </c>
      <c r="E5" t="s">
        <v>79</v>
      </c>
    </row>
    <row r="6" spans="1:5">
      <c r="A6" t="s">
        <v>80</v>
      </c>
      <c r="B6" t="s">
        <v>81</v>
      </c>
      <c r="C6" t="s">
        <v>17</v>
      </c>
      <c r="D6" t="s">
        <v>56</v>
      </c>
      <c r="E6" t="s">
        <v>82</v>
      </c>
    </row>
    <row r="7" spans="1:5">
      <c r="A7" t="s">
        <v>83</v>
      </c>
      <c r="B7" t="s">
        <v>84</v>
      </c>
      <c r="C7" t="s">
        <v>41</v>
      </c>
      <c r="D7" t="s">
        <v>19</v>
      </c>
      <c r="E7" t="s">
        <v>85</v>
      </c>
    </row>
    <row r="8" spans="1:5">
      <c r="A8" t="s">
        <v>86</v>
      </c>
      <c r="B8" t="s">
        <v>87</v>
      </c>
      <c r="C8" t="s">
        <v>32</v>
      </c>
      <c r="D8" t="s">
        <v>88</v>
      </c>
      <c r="E8" t="s">
        <v>89</v>
      </c>
    </row>
    <row r="9" spans="1:5">
      <c r="A9" t="s">
        <v>90</v>
      </c>
      <c r="B9" t="s">
        <v>91</v>
      </c>
      <c r="C9" t="s">
        <v>19</v>
      </c>
    </row>
    <row r="10" spans="1:5">
      <c r="A10" t="s">
        <v>92</v>
      </c>
      <c r="B10" t="s">
        <v>93</v>
      </c>
      <c r="C10" t="s">
        <v>18</v>
      </c>
    </row>
    <row r="11" spans="1:5">
      <c r="A11" t="s">
        <v>94</v>
      </c>
      <c r="B11" t="s">
        <v>95</v>
      </c>
      <c r="C11" t="s">
        <v>31</v>
      </c>
    </row>
    <row r="12" spans="1:5">
      <c r="A12" t="s">
        <v>89</v>
      </c>
      <c r="B12" t="s">
        <v>96</v>
      </c>
      <c r="C12" t="s">
        <v>21</v>
      </c>
    </row>
    <row r="13" spans="1:5">
      <c r="B13" t="s">
        <v>22</v>
      </c>
      <c r="C13" t="s">
        <v>97</v>
      </c>
    </row>
    <row r="14" spans="1:5">
      <c r="B14" t="s">
        <v>20</v>
      </c>
      <c r="C14" t="s">
        <v>20</v>
      </c>
    </row>
    <row r="15" spans="1:5">
      <c r="B15" t="s">
        <v>56</v>
      </c>
      <c r="C15" t="s">
        <v>22</v>
      </c>
    </row>
    <row r="16" spans="1:5">
      <c r="B16" t="s">
        <v>98</v>
      </c>
      <c r="C16" t="s">
        <v>56</v>
      </c>
    </row>
    <row r="17" spans="3:3">
      <c r="C17" t="s">
        <v>98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33"/>
  <sheetViews>
    <sheetView workbookViewId="0"/>
  </sheetViews>
  <sheetFormatPr defaultRowHeight="14.25"/>
  <cols>
    <col min="1" max="4" width="28" customWidth="1"/>
  </cols>
  <sheetData>
    <row r="1" spans="1:4" ht="15">
      <c r="A1" s="1" t="s">
        <v>99</v>
      </c>
      <c r="B1" s="1" t="s">
        <v>100</v>
      </c>
      <c r="C1" s="1" t="s">
        <v>101</v>
      </c>
      <c r="D1" s="1" t="s">
        <v>102</v>
      </c>
    </row>
    <row r="201" spans="1:4">
      <c r="A201" s="2">
        <v>46179.29378472222</v>
      </c>
      <c r="B201" t="s">
        <v>117</v>
      </c>
      <c r="C201" t="s">
        <v>118</v>
      </c>
      <c r="D201" t="s">
        <v>119</v>
      </c>
    </row>
    <row r="202" spans="1:4">
      <c r="A202" s="2">
        <v>46179.29378472222</v>
      </c>
      <c r="B202" t="s">
        <v>117</v>
      </c>
      <c r="C202" t="s">
        <v>120</v>
      </c>
      <c r="D202" t="s">
        <v>121</v>
      </c>
    </row>
    <row r="203" spans="1:4">
      <c r="A203" s="2">
        <v>46179.296273148146</v>
      </c>
      <c r="B203" t="s">
        <v>117</v>
      </c>
      <c r="C203" t="s">
        <v>118</v>
      </c>
      <c r="D203" t="s">
        <v>119</v>
      </c>
    </row>
    <row r="204" spans="1:4">
      <c r="A204" s="2">
        <v>46179.297199074077</v>
      </c>
      <c r="B204" t="s">
        <v>117</v>
      </c>
      <c r="C204" t="s">
        <v>118</v>
      </c>
      <c r="D204" t="s">
        <v>119</v>
      </c>
    </row>
    <row r="205" spans="1:4">
      <c r="A205" s="2">
        <v>46179.297199074077</v>
      </c>
      <c r="B205" t="s">
        <v>117</v>
      </c>
      <c r="C205" t="s">
        <v>120</v>
      </c>
      <c r="D205" t="s">
        <v>122</v>
      </c>
    </row>
    <row r="206" spans="1:4">
      <c r="A206" s="3">
        <v>46179.309106956018</v>
      </c>
      <c r="B206" t="s">
        <v>117</v>
      </c>
      <c r="C206" t="s">
        <v>168</v>
      </c>
      <c r="D206" t="s">
        <v>169</v>
      </c>
    </row>
    <row r="207" spans="1:4">
      <c r="A207" s="3">
        <v>46180.086365740739</v>
      </c>
      <c r="B207" t="s">
        <v>117</v>
      </c>
      <c r="C207" t="s">
        <v>172</v>
      </c>
      <c r="D207" t="s">
        <v>173</v>
      </c>
    </row>
    <row r="208" spans="1:4">
      <c r="A208" s="3">
        <v>46180.08730324074</v>
      </c>
      <c r="B208" t="s">
        <v>117</v>
      </c>
      <c r="C208" t="s">
        <v>172</v>
      </c>
      <c r="D208" t="s">
        <v>173</v>
      </c>
    </row>
    <row r="209" spans="1:4">
      <c r="A209" s="3">
        <v>46180.089432870373</v>
      </c>
      <c r="B209" t="s">
        <v>117</v>
      </c>
      <c r="C209" t="s">
        <v>172</v>
      </c>
      <c r="D209" t="s">
        <v>173</v>
      </c>
    </row>
    <row r="210" spans="1:4">
      <c r="A210" s="3">
        <v>46180.090289351851</v>
      </c>
      <c r="B210" t="s">
        <v>117</v>
      </c>
      <c r="C210" t="s">
        <v>172</v>
      </c>
      <c r="D210" t="s">
        <v>173</v>
      </c>
    </row>
    <row r="211" spans="1:4">
      <c r="A211" s="3">
        <v>46180.091238425928</v>
      </c>
      <c r="B211" t="s">
        <v>117</v>
      </c>
      <c r="C211" t="s">
        <v>172</v>
      </c>
      <c r="D211" t="s">
        <v>173</v>
      </c>
    </row>
    <row r="212" spans="1:4">
      <c r="A212" s="3">
        <v>46180.092314814814</v>
      </c>
      <c r="B212" t="s">
        <v>117</v>
      </c>
      <c r="C212" t="s">
        <v>172</v>
      </c>
      <c r="D212" t="s">
        <v>173</v>
      </c>
    </row>
    <row r="213" spans="1:4">
      <c r="A213" s="3">
        <v>46180.093182870369</v>
      </c>
      <c r="B213" t="s">
        <v>117</v>
      </c>
      <c r="C213" t="s">
        <v>172</v>
      </c>
      <c r="D213" t="s">
        <v>173</v>
      </c>
    </row>
    <row r="214" spans="1:4">
      <c r="A214" s="3">
        <v>46180.094050925924</v>
      </c>
      <c r="B214" t="s">
        <v>117</v>
      </c>
      <c r="C214" t="s">
        <v>172</v>
      </c>
      <c r="D214" t="s">
        <v>173</v>
      </c>
    </row>
    <row r="215" spans="1:4">
      <c r="A215" s="3">
        <v>46180.110868055555</v>
      </c>
      <c r="B215" t="s">
        <v>117</v>
      </c>
      <c r="C215" t="s">
        <v>174</v>
      </c>
      <c r="D215" t="s">
        <v>175</v>
      </c>
    </row>
    <row r="216" spans="1:4">
      <c r="A216" s="3">
        <v>46180.12090277778</v>
      </c>
      <c r="B216" t="s">
        <v>117</v>
      </c>
      <c r="C216" t="s">
        <v>174</v>
      </c>
      <c r="D216" t="s">
        <v>175</v>
      </c>
    </row>
    <row r="217" spans="1:4">
      <c r="A217" s="3">
        <v>46180.132349537038</v>
      </c>
      <c r="B217" t="s">
        <v>117</v>
      </c>
      <c r="C217" t="s">
        <v>174</v>
      </c>
      <c r="D217" t="s">
        <v>175</v>
      </c>
    </row>
    <row r="218" spans="1:4">
      <c r="A218" s="3">
        <v>46180.13616898148</v>
      </c>
      <c r="B218" t="s">
        <v>117</v>
      </c>
      <c r="C218" t="s">
        <v>174</v>
      </c>
      <c r="D218" t="s">
        <v>175</v>
      </c>
    </row>
    <row r="219" spans="1:4">
      <c r="A219" s="3">
        <v>46180.139490740738</v>
      </c>
      <c r="B219" t="s">
        <v>117</v>
      </c>
      <c r="C219" t="s">
        <v>174</v>
      </c>
      <c r="D219" t="s">
        <v>175</v>
      </c>
    </row>
    <row r="220" spans="1:4">
      <c r="A220" s="3">
        <v>46180.174479166664</v>
      </c>
      <c r="B220" t="s">
        <v>117</v>
      </c>
      <c r="C220" t="s">
        <v>174</v>
      </c>
      <c r="D220" t="s">
        <v>175</v>
      </c>
    </row>
    <row r="221" spans="1:4">
      <c r="A221" s="3">
        <v>46180.177430555559</v>
      </c>
      <c r="B221" t="s">
        <v>117</v>
      </c>
      <c r="C221" t="s">
        <v>174</v>
      </c>
      <c r="D221" t="s">
        <v>175</v>
      </c>
    </row>
    <row r="222" spans="1:4">
      <c r="A222" s="3">
        <v>46180.178344907406</v>
      </c>
      <c r="B222" t="s">
        <v>117</v>
      </c>
      <c r="C222" t="s">
        <v>174</v>
      </c>
      <c r="D222" t="s">
        <v>175</v>
      </c>
    </row>
    <row r="223" spans="1:4">
      <c r="A223" s="3">
        <v>46180.302488425928</v>
      </c>
      <c r="B223" t="s">
        <v>117</v>
      </c>
      <c r="C223" t="s">
        <v>172</v>
      </c>
      <c r="D223" t="s">
        <v>173</v>
      </c>
    </row>
    <row r="224" spans="1:4">
      <c r="A224" s="3">
        <v>46180.318576388891</v>
      </c>
      <c r="B224" t="s">
        <v>117</v>
      </c>
      <c r="C224" t="s">
        <v>182</v>
      </c>
      <c r="D224" t="s">
        <v>183</v>
      </c>
    </row>
    <row r="225" spans="1:4">
      <c r="A225" s="3">
        <v>46180.31858796296</v>
      </c>
      <c r="B225" t="s">
        <v>117</v>
      </c>
      <c r="C225" t="s">
        <v>172</v>
      </c>
      <c r="D225" t="s">
        <v>173</v>
      </c>
    </row>
    <row r="226" spans="1:4">
      <c r="A226" s="3">
        <v>46180.336423611108</v>
      </c>
      <c r="B226" t="s">
        <v>117</v>
      </c>
      <c r="C226" t="s">
        <v>182</v>
      </c>
      <c r="D226" t="s">
        <v>183</v>
      </c>
    </row>
    <row r="227" spans="1:4">
      <c r="A227" s="3">
        <v>46180.336423611108</v>
      </c>
      <c r="B227" t="s">
        <v>117</v>
      </c>
      <c r="C227" t="s">
        <v>172</v>
      </c>
      <c r="D227" t="s">
        <v>173</v>
      </c>
    </row>
    <row r="228" spans="1:4">
      <c r="A228" s="3">
        <v>46180.340729166666</v>
      </c>
      <c r="B228" t="s">
        <v>117</v>
      </c>
      <c r="C228" t="s">
        <v>182</v>
      </c>
      <c r="D228" t="s">
        <v>183</v>
      </c>
    </row>
    <row r="229" spans="1:4">
      <c r="A229" s="3">
        <v>46180.340729166666</v>
      </c>
      <c r="B229" t="s">
        <v>117</v>
      </c>
      <c r="C229" t="s">
        <v>172</v>
      </c>
      <c r="D229" t="s">
        <v>173</v>
      </c>
    </row>
    <row r="230" spans="1:4">
      <c r="A230" s="3">
        <v>46180.342013888891</v>
      </c>
      <c r="B230" t="s">
        <v>117</v>
      </c>
      <c r="C230" t="s">
        <v>182</v>
      </c>
      <c r="D230" t="s">
        <v>183</v>
      </c>
    </row>
    <row r="231" spans="1:4">
      <c r="A231" s="3">
        <v>46180.342013888891</v>
      </c>
      <c r="B231" t="s">
        <v>117</v>
      </c>
      <c r="C231" t="s">
        <v>172</v>
      </c>
      <c r="D231" t="s">
        <v>173</v>
      </c>
    </row>
    <row r="232" spans="1:4">
      <c r="A232" s="3">
        <v>46180.343206018515</v>
      </c>
      <c r="B232" t="s">
        <v>117</v>
      </c>
      <c r="C232" t="s">
        <v>182</v>
      </c>
      <c r="D232" t="s">
        <v>183</v>
      </c>
    </row>
    <row r="233" spans="1:4">
      <c r="A233" s="3">
        <v>46180.343206018515</v>
      </c>
      <c r="B233" t="s">
        <v>117</v>
      </c>
      <c r="C233" t="s">
        <v>172</v>
      </c>
      <c r="D233" t="s">
        <v>173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12</vt:i4>
      </vt:variant>
    </vt:vector>
  </HeadingPairs>
  <TitlesOfParts>
    <vt:vector size="27" baseType="lpstr"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Chim</dc:creator>
  <cp:lastModifiedBy>Professor6x 🔯</cp:lastModifiedBy>
  <dcterms:created xsi:type="dcterms:W3CDTF">2026-06-06T02:42:19Z</dcterms:created>
  <dcterms:modified xsi:type="dcterms:W3CDTF">2026-06-07T12:14:14Z</dcterms:modified>
</cp:coreProperties>
</file>