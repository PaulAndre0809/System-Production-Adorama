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6370973C-1EDE-4CDB-A6F9-20B6A42551FE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27" i="2"/>
  <c r="Q27" i="2" s="1"/>
  <c r="P26" i="2"/>
  <c r="Q26" i="2" s="1"/>
  <c r="P5" i="2"/>
  <c r="Q5" i="2" s="1"/>
  <c r="P4" i="2"/>
  <c r="Q4" i="2" s="1"/>
  <c r="J45" i="2" l="1"/>
  <c r="K45" i="2"/>
  <c r="J44" i="2"/>
  <c r="K44" i="2"/>
  <c r="J43" i="2"/>
  <c r="K43" i="2"/>
  <c r="J42" i="2"/>
  <c r="K42" i="2"/>
  <c r="J41" i="2"/>
  <c r="K41" i="2"/>
  <c r="J40" i="2"/>
  <c r="K40" i="2"/>
  <c r="J39" i="2"/>
  <c r="K39" i="2"/>
  <c r="J38" i="2"/>
  <c r="K38" i="2"/>
  <c r="J37" i="2"/>
  <c r="K37" i="2"/>
  <c r="J36" i="2"/>
  <c r="K36" i="2"/>
  <c r="J35" i="2"/>
  <c r="K35" i="2"/>
  <c r="J34" i="2"/>
  <c r="K34" i="2"/>
  <c r="J33" i="2"/>
  <c r="K33" i="2"/>
  <c r="J32" i="2"/>
  <c r="K32" i="2"/>
  <c r="J31" i="2"/>
  <c r="K31" i="2"/>
  <c r="J30" i="2"/>
  <c r="K30" i="2"/>
  <c r="J29" i="2"/>
  <c r="K29" i="2"/>
  <c r="J28" i="2"/>
  <c r="K28" i="2"/>
  <c r="J27" i="2"/>
  <c r="K27" i="2"/>
  <c r="J26" i="2"/>
  <c r="K26" i="2"/>
  <c r="J25" i="2"/>
  <c r="K25" i="2"/>
  <c r="J24" i="2"/>
  <c r="K24" i="2"/>
  <c r="J23" i="2"/>
  <c r="K23" i="2"/>
  <c r="J22" i="2"/>
  <c r="K22" i="2"/>
  <c r="J21" i="2"/>
  <c r="K21" i="2"/>
  <c r="J20" i="2"/>
  <c r="K20" i="2"/>
  <c r="J19" i="2"/>
  <c r="K19" i="2"/>
  <c r="J18" i="2"/>
  <c r="K18" i="2"/>
  <c r="J17" i="2"/>
  <c r="K17" i="2"/>
  <c r="J16" i="2"/>
  <c r="K16" i="2"/>
  <c r="J15" i="2"/>
  <c r="K15" i="2"/>
  <c r="J14" i="2"/>
  <c r="K14" i="2"/>
  <c r="J13" i="2"/>
  <c r="K13" i="2"/>
  <c r="J12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11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<sst xmlns="http://schemas.openxmlformats.org/spreadsheetml/2006/main" count="903" uniqueCount="308">
  <si>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</si>
  <si>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</si>
  <si>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</si>
  <si>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</si>
  <si>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</si>
  <si>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</si>
  <si>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</si>
  <si>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</si>
  <si>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</si>
  <si>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</si>
  <si>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</si>
  <si>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</si>
  <si>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</si>
  <si>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</si>
  <si>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</si>
  <si>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</si>
  <si>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</si>
  <si>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</si>
  <si>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</si>
  <si>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</si>
  <si>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</si>
  <si>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</si>
  <si>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</si>
  <si>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</si>
  <si>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</si>
  <si>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</si>
  <si>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</si>
  <si>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</si>
  <si>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</si>
  <si>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</si>
  <si>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</si>
  <si>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</si>
  <si>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</si>
  <si>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</si>
  <si>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</si>
  <si>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</si>
  <si>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</si>
  <si>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</si>
  <si>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</si>
  <si>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</si>
  <si>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</si>
  <si>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</si>
  <si>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</si>
  <si>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</si>
  <si>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</si>
  <si>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</si>
  <si>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</si>
  <si>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</si>
  <si>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</si>
  <si>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</si>
  <si>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</si>
  <si>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</si>
  <si>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</si>
  <si>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</si>
  <si>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</si>
  <si>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</si>
  <si>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</si>
  <si>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</si>
  <si>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</si>
  <si>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</si>
  <si>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</si>
  <si>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</si>
  <si>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</si>
  <si>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</si>
  <si>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</si>
  <si>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</si>
  <si>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</si>
  <si>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</si>
  <si>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</si>
  <si>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</si>
  <si>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</si>
  <si>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</si>
  <si>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</si>
  <si>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</si>
  <si>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</si>
  <si>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</si>
  <si>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</si>
  <si>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</si>
  <si>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</si>
  <si>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</si>
  <si>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</si>
  <si>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</si>
  <si>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</si>
  <si>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</si>
  <si>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</si>
  <si>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</si>
  <si>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</si>
  <si>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</si>
  <si>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</si>
  <si>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</si>
  <si>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</si>
  <si>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</si>
  <si>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</si>
  <si>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</si>
  <si>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</si>
  <si>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</si>
  <si>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</si>
  <si>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</si>
  <si>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</si>
  <si>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</si>
  <si>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</si>
  <si>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</si>
  <si>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</si>
  <si>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</si>
  <si>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</si>
  <si>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</si>
  <si>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</si>
  <si>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</si>
  <si>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</si>
  <si>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</si>
  <si>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</si>
  <si>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</si>
  <si>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</si>
  <si>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</si>
  <si>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</si>
  <si>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</si>
  <si>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</si>
  <si>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</si>
  <si>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</si>
  <si>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</si>
  <si>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</si>
  <si>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</si>
  <si>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</si>
  <si>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</si>
  <si>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</si>
  <si>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</si>
  <si>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</si>
  <si>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</si>
  <si>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</si>
  <si>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</si>
  <si>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</si>
  <si>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</si>
  <si>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</si>
  <si>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</si>
  <si>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</si>
  <si>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</si>
  <si>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</si>
  <si>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</si>
  <si>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</si>
  <si>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</si>
  <si>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</si>
  <si>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</si>
  <si>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</si>
  <si>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</si>
  <si>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</si>
  <si>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</si>
  <si>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</si>
  <si>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</si>
  <si>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</si>
  <si>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</si>
  <si>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</si>
  <si>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</si>
  <si>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</si>
  <si>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</si>
  <si>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</si>
  <si>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</si>
  <si>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</si>
  <si>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</si>
  <si>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</si>
  <si>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</si>
  <si>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</si>
  <si>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</si>
  <si>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</si>
  <si>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</si>
  <si>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</si>
  <si>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</si>
  <si>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</si>
  <si>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</si>
  <si>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</si>
  <si>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</si>
  <si>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</si>
  <si>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</si>
  <si>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</si>
  <si>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</si>
  <si>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</si>
  <si>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</si>
  <si>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</si>
  <si>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</si>
  <si>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</si>
  <si>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</si>
  <si>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</si>
  <si>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</si>
  <si>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</si>
  <si>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</si>
  <si>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</si>
  <si>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</si>
  <si>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</si>
  <si>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</si>
  <si>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</si>
  <si>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</si>
  <si>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</si>
  <si>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</si>
  <si>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</si>
  <si>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</si>
  <si>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</si>
  <si>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</si>
  <si>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</si>
  <si>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</si>
  <si>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https://teams.microsoft.com/l/message/19:e8e45d54914640ea878fe0171aa48fdc@thread.v2/1780080460120?context=%7B%22contextType%22%3A%22chat%22%7D</t>
  </si>
  <si>
    <t>https://ui.attentivemobile.com/campaigns/messages/MTQ6Q29tcG9zZU1lc3NhZ2UxMTE1MDg4NQ/overview</t>
  </si>
  <si>
    <t>Campaign 060526 Promo Top Deals</t>
  </si>
  <si>
    <t>https://teams.microsoft.com/l/message/19:e8e45d54914640ea878fe0171aa48fdc@thread.v2/1780585124630?context=%7B%22contextType%22%3A%22chat%22%7D</t>
  </si>
  <si>
    <t>https://ui.attentivemobile.com/campaigns/messages/MTQ6Q29tcG9zZU1lc3NhZ2UxMTE3MzA5Mw/overview</t>
  </si>
  <si>
    <t>3:45:00 PM Local Timezone</t>
  </si>
  <si>
    <t>Campaign 060726 Promo Sony a7R VI In-Stock</t>
  </si>
  <si>
    <t>https://ui.attentivemobile.com/campaigns/messages/MTQ6Q29tcG9zZU1lc3NhZ2UxMTIxNDU2OA/overview</t>
  </si>
  <si>
    <t>Campaign 060726 Event JK X Adorama NYC Workshop</t>
  </si>
  <si>
    <t>https://teams.microsoft.com/l/message/19:e8e45d54914640ea878fe0171aa48fdc@thread.v2/1780504108170?context=%7B%22contextType%22%3A%22chat%22%7D</t>
  </si>
  <si>
    <t>https://ui.attentivemobile.com/campaigns/messages/MTQ6Q29tcG9zZU1lc3NhZ2UxMTE4NTU0NQ/overview</t>
  </si>
  <si>
    <t>11:30:00 AM Local Timezone</t>
  </si>
  <si>
    <t>Archim/Sean</t>
  </si>
  <si>
    <t>https://ui.attentivemobile.com/campaigns/messages/MTQ6Q29tcG9zZU1lc3NhZ2UxMTIxMTM3Nw/overview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</si>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</sst>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52"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30342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4" dataDxfId="133" totalsRowDxfId="132">
  <tableColumns count="12">
    <tableColumn id="1" xr3:uid="{00000000-0010-0000-0100-000001000000}" name="Send Date" dataDxfId="131">
      <calculatedColumnFormula array="1">IFERROR(INDEX(_xlfn.ANCHORARRAY($AA$11),ROW()-10,1),"")</calculatedColumnFormula>
    </tableColumn>
    <tableColumn id="2" xr3:uid="{00000000-0010-0000-0100-000002000000}" name="Time" dataDxfId="130">
      <calculatedColumnFormula array="1">IFERROR(INDEX(_xlfn.ANCHORARRAY($AA$11),ROW()-10,2),"")</calculatedColumnFormula>
    </tableColumn>
    <tableColumn id="3" xr3:uid="{00000000-0010-0000-0100-000003000000}" name="Channel" dataDxfId="129">
      <calculatedColumnFormula array="1">IFERROR(INDEX(_xlfn.ANCHORARRAY($AA$11),ROW()-10,3),"")</calculatedColumnFormula>
    </tableColumn>
    <tableColumn id="4" xr3:uid="{00000000-0010-0000-0100-000004000000}" name="Campaign" dataDxfId="128">
      <calculatedColumnFormula array="1">IFERROR(INDEX(_xlfn.ANCHORARRAY($AA$11),ROW()-10,4),"")</calculatedColumnFormula>
    </tableColumn>
    <tableColumn id="5" xr3:uid="{00000000-0010-0000-0100-000005000000}" name="Type" dataDxfId="127">
      <calculatedColumnFormula array="1">IFERROR(INDEX(_xlfn.ANCHORARRAY($AA$11),ROW()-10,5),"")</calculatedColumnFormula>
    </tableColumn>
    <tableColumn id="6" xr3:uid="{00000000-0010-0000-0100-000006000000}" name="Stage" dataDxfId="126">
      <calculatedColumnFormula array="1">IFERROR(INDEX(_xlfn.ANCHORARRAY($AA$11),ROW()-10,6),"")</calculatedColumnFormula>
    </tableColumn>
    <tableColumn id="7" xr3:uid="{00000000-0010-0000-0100-000007000000}" name="Owner" dataDxfId="125">
      <calculatedColumnFormula array="1">IFERROR(INDEX(_xlfn.ANCHORARRAY($AA$11),ROW()-10,7),"")</calculatedColumnFormula>
    </tableColumn>
    <tableColumn id="8" xr3:uid="{00000000-0010-0000-0100-000008000000}" name="Approval" dataDxfId="124">
      <calculatedColumnFormula array="1">IFERROR(INDEX(_xlfn.ANCHORARRAY($AA$11),ROW()-10,8),"")</calculatedColumnFormula>
    </tableColumn>
    <tableColumn id="9" xr3:uid="{00000000-0010-0000-0100-000009000000}" name="Segments" dataDxfId="123">
      <calculatedColumnFormula array="1">IFERROR(INDEX(_xlfn.ANCHORARRAY($AA$11),ROW()-10,9),"")</calculatedColumnFormula>
    </tableColumn>
    <tableColumn id="10" xr3:uid="{00000000-0010-0000-0100-00000A000000}" name="Jira" dataDxfId="1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0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22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21" dataDxfId="120">
  <autoFilter ref="N3:R5" xr:uid="{FCDBAD16-F50F-44E3-8B56-05CB919BD791}"/>
  <tableColumns count="5">
    <tableColumn id="1" xr3:uid="{594C57CF-C33E-420B-BAA5-753EF757526F}" name="Period" dataDxfId="119"/>
    <tableColumn id="2" xr3:uid="{CF840AC2-4E3F-48C5-A9F0-F353B78F7292}" name="Start Date" dataDxfId="118">
      <calculatedColumnFormula>TODAY()-WEEKDAY(TODAY(),1)+1</calculatedColumnFormula>
    </tableColumn>
    <tableColumn id="3" xr3:uid="{1370856B-0ABE-4682-9457-B8612BE4E13D}" name="End Date" dataDxfId="117">
      <calculatedColumnFormula>O4+6</calculatedColumnFormula>
    </tableColumn>
    <tableColumn id="4" xr3:uid="{63D4D649-EA01-4E8C-B21D-16C580FFB6F5}" name="Delivered Emails" dataDxfId="116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15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14" dataDxfId="113">
  <autoFilter ref="N25:R27" xr:uid="{A299EB01-B05E-48A5-9EDA-5201FFC6BB1E}"/>
  <tableColumns count="5">
    <tableColumn id="1" xr3:uid="{25C41F7D-C154-4470-B043-7E74B71C7C73}" name="Period" dataDxfId="112"/>
    <tableColumn id="2" xr3:uid="{E7D620F6-85B2-47A3-94C3-5429CECB482D}" name="Start Date" dataDxfId="111">
      <calculatedColumnFormula>TODAY()-WEEKDAY(TODAY(),1)+1</calculatedColumnFormula>
    </tableColumn>
    <tableColumn id="3" xr3:uid="{A299A94B-F7A8-40C2-8410-8E72C1C2C48A}" name="End Date" dataDxfId="110">
      <calculatedColumnFormula>O26+6</calculatedColumnFormula>
    </tableColumn>
    <tableColumn id="4" xr3:uid="{B77D4F25-9247-4734-9DB6-EFB0DBD7D20D}" name="Delivered SMS" dataDxfId="109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8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5" dataDxfId="94" totalsRowDxfId="93">
  <autoFilter ref="A1:V205" xr:uid="{00000000-000C-0000-FFFF-FFFF00000000}"/>
  <tableColumns count="22">
    <tableColumn id="2" xr3:uid="{00000000-0010-0000-0000-000002000000}" name="Send Date" dataDxfId="92"/>
    <tableColumn id="3" xr3:uid="{00000000-0010-0000-0000-000003000000}" name="Send Time" dataDxfId="91"/>
    <tableColumn id="4" xr3:uid="{00000000-0010-0000-0000-000004000000}" name="Campaign Name" dataDxfId="90"/>
    <tableColumn id="5" xr3:uid="{00000000-0010-0000-0000-000005000000}" name="Campaign Type" dataDxfId="89"/>
    <tableColumn id="6" xr3:uid="{00000000-0010-0000-0000-000006000000}" name="Current Stage" dataDxfId="88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7"/>
    <tableColumn id="1" xr3:uid="{B2077B23-1D1A-459D-9583-F63147D6D936}" name="Campaign Name and UTM Parameter (Source Code)" dataDxfId="86"/>
    <tableColumn id="8" xr3:uid="{63A16BD6-6B10-4AD5-B57D-B92EA2935F36}" name="Creative Brief, SL &amp; PH" dataDxfId="85"/>
    <tableColumn id="9" xr3:uid="{23EAD37F-5B0E-461E-85FF-0AAFD24BAA68}" name="SKUs" dataDxfId="84"/>
    <tableColumn id="10" xr3:uid="{9640EB9F-78BB-44D9-B70D-05FDE06036E4}" name="In-Design" dataDxfId="83"/>
    <tableColumn id="11" xr3:uid="{ADDF4395-0E99-41A9-BED7-3DBCF6006F91}" name="Build, QA" dataDxfId="82"/>
    <tableColumn id="12" xr3:uid="{6DF2B722-97C3-4902-87DE-A2A9727C8024}" name="Route" dataDxfId="81"/>
    <tableColumn id="14" xr3:uid="{2C5B824E-A4DE-4EA9-87E9-7663BB92F9D4}" name="Approval" dataDxfId="80"/>
    <tableColumn id="15" xr3:uid="{4CE14FFB-3FFB-4445-B89C-5D3C3D24D6C0}" name="Segments" dataDxfId="79"/>
    <tableColumn id="17" xr3:uid="{00000000-0010-0000-0000-000011000000}" name="Jira Link" dataDxfId="78"/>
    <tableColumn id="18" xr3:uid="{00000000-0010-0000-0000-000012000000}" name="ClickUp Link" dataDxfId="77"/>
    <tableColumn id="19" xr3:uid="{00000000-0010-0000-0000-000013000000}" name="Bluecore/Attentive Link" dataDxfId="76"/>
    <tableColumn id="20" xr3:uid="{00000000-0010-0000-0000-000014000000}" name="Est. Audience" dataDxfId="75"/>
    <tableColumn id="21" xr3:uid="{00000000-0010-0000-0000-000015000000}" name="Delivered" dataDxfId="74"/>
    <tableColumn id="23" xr3:uid="{00000000-0010-0000-0000-000017000000}" name="Last Updated" dataDxfId="73"/>
    <tableColumn id="13" xr3:uid="{6717C158-5D55-49BD-B0A1-8EF5E6BE7E59}" name="Last Updated By" dataDxfId="72"/>
    <tableColumn id="16" xr3:uid="{45C4D116-AEA5-4484-9652-2029E5D3A263}" name="Notes" dataDxfId="71" totalsRowDxfId="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51" dataDxfId="50">
  <autoFilter ref="A1:Q201" xr:uid="{5BA5B085-3B5F-4682-B501-752F9044F617}"/>
  <tableColumns count="17">
    <tableColumn id="1" xr3:uid="{A00F9C46-9585-47C9-83D4-D97802A976D5}" name="Send Date" dataDxfId="49"/>
    <tableColumn id="2" xr3:uid="{FA54A5FD-1AB7-4749-AF9C-A820CCD54864}" name="Send Time" dataDxfId="48"/>
    <tableColumn id="3" xr3:uid="{D8232C60-1B45-4E39-B4FB-F7D15854588A}" name="Campaign Name" dataDxfId="47"/>
    <tableColumn id="4" xr3:uid="{488CC129-7AB9-4CDE-A0F4-708CCF476FDC}" name="Campaign Type" dataDxfId="46"/>
    <tableColumn id="5" xr3:uid="{60402621-821D-4B42-BBBF-04ECD600240D}" name="Current Stage" dataDxfId="45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4"/>
    <tableColumn id="7" xr3:uid="{C602E6A7-154A-4913-82F7-B1297F8FB4AA}" name="Send SMS Options" dataDxfId="43"/>
    <tableColumn id="8" xr3:uid="{050AA88E-4FCE-418E-B3E4-7BADF355F594}" name="Send Test" dataDxfId="42"/>
    <tableColumn id="9" xr3:uid="{CD7DB146-3A9F-407E-8AE2-FB08A35D3255}" name="Approval" dataDxfId="41"/>
    <tableColumn id="10" xr3:uid="{85A3C652-A90B-4131-9C59-60C896B66276}" name="Segments" dataDxfId="40"/>
    <tableColumn id="11" xr3:uid="{E3A201AA-BB4D-46BF-87B3-3EC3AB5D84A8}" name="Proof of Schedule" dataDxfId="39"/>
    <tableColumn id="13" xr3:uid="{F3B86E58-9B1C-4BE7-ACD4-4A17ABF9CF1F}" name="Bluecore/Attentive Link" dataDxfId="38"/>
    <tableColumn id="14" xr3:uid="{AB05A972-8E88-4F0F-A2C0-E592CA11CF69}" name="Est. Audience" dataDxfId="37"/>
    <tableColumn id="15" xr3:uid="{031FC6D8-9EA2-4822-8ABB-1D691F532C78}" name="Delivered" dataDxfId="36"/>
    <tableColumn id="16" xr3:uid="{677491C6-5902-44D9-B11E-9456715084CA}" name="Last Updated" dataDxfId="35"/>
    <tableColumn id="17" xr3:uid="{D2166D60-5145-4BCB-A4C1-8E83A65F8013}" name="Last Updated By" dataDxfId="34"/>
    <tableColumn id="18" xr3:uid="{98F5A958-53CF-45DE-B03D-F670270697A7}" name="Notes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8" dataDxfId="7" totalsRowDxfId="6">
  <tableColumns count="4">
    <tableColumn id="1" xr3:uid="{00000000-0010-0000-0300-000001000000}" name="Timestamp" dataDxfId="5"/>
    <tableColumn id="2" xr3:uid="{00000000-0010-0000-0300-000002000000}" name="User" dataDxfId="4"/>
    <tableColumn id="3" xr3:uid="{00000000-0010-0000-0300-000003000000}" name="Action" dataDxfId="3"/>
    <tableColumn id="4" xr3:uid="{00000000-0010-0000-0300-000004000000}" name="Detail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4"/>
  <sheetViews>
    <sheetView topLeftCell="A9"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13</v>
      </c>
      <c r="D5" s="47" t="s">
        <v>14</v>
      </c>
      <c r="E5" s="47" t="s">
        <v>15</v>
      </c>
    </row>
    <row r="6" spans="1:5" ht="57">
      <c r="A6" s="47" t="s">
        <v>16</v>
      </c>
      <c r="B6" s="47" t="s">
        <v>17</v>
      </c>
      <c r="C6" s="47" t="s">
        <v>18</v>
      </c>
      <c r="D6" s="47" t="s">
        <v>19</v>
      </c>
      <c r="E6" s="47" t="s">
        <v>20</v>
      </c>
    </row>
    <row r="7" spans="1:5" ht="85.5">
      <c r="A7" s="47" t="s">
        <v>21</v>
      </c>
      <c r="B7" s="47" t="s">
        <v>22</v>
      </c>
      <c r="C7" s="47" t="s">
        <v>23</v>
      </c>
      <c r="D7" s="47" t="s">
        <v>24</v>
      </c>
      <c r="E7" s="47" t="s">
        <v>25</v>
      </c>
    </row>
    <row r="8" spans="1:5" ht="42.75">
      <c r="A8" s="47" t="s">
        <v>26</v>
      </c>
      <c r="B8" s="47" t="s">
        <v>27</v>
      </c>
      <c r="C8" s="47" t="s">
        <v>28</v>
      </c>
      <c r="D8" s="47" t="s">
        <v>29</v>
      </c>
      <c r="E8" s="47" t="s">
        <v>30</v>
      </c>
    </row>
    <row r="9" spans="1:5" ht="57">
      <c r="A9" s="47" t="s">
        <v>31</v>
      </c>
      <c r="B9" s="47" t="s">
        <v>32</v>
      </c>
      <c r="C9" s="47" t="s">
        <v>33</v>
      </c>
      <c r="D9" s="47" t="s">
        <v>34</v>
      </c>
      <c r="E9" s="47" t="s">
        <v>35</v>
      </c>
    </row>
    <row r="10" spans="1:5" ht="42.75">
      <c r="A10" s="47" t="s">
        <v>36</v>
      </c>
      <c r="B10" s="47" t="s">
        <v>37</v>
      </c>
      <c r="C10" s="47" t="s">
        <v>38</v>
      </c>
      <c r="D10" s="47" t="s">
        <v>39</v>
      </c>
      <c r="E10" s="47" t="s">
        <v>40</v>
      </c>
    </row>
    <row r="11" spans="1:5" ht="57">
      <c r="A11" s="47" t="s">
        <v>41</v>
      </c>
      <c r="B11" s="47" t="s">
        <v>42</v>
      </c>
      <c r="C11" s="47" t="s">
        <v>38</v>
      </c>
      <c r="D11" s="47" t="s">
        <v>43</v>
      </c>
      <c r="E11" s="47" t="s">
        <v>44</v>
      </c>
    </row>
    <row r="12" spans="1:5" ht="85.5">
      <c r="A12" s="47" t="s">
        <v>45</v>
      </c>
      <c r="B12" s="47" t="s">
        <v>46</v>
      </c>
      <c r="C12" s="47" t="s">
        <v>47</v>
      </c>
      <c r="D12" s="47" t="s">
        <v>48</v>
      </c>
      <c r="E12" s="47" t="s">
        <v>49</v>
      </c>
    </row>
    <row r="13" spans="1:5" ht="42.75">
      <c r="A13" s="47" t="s">
        <v>50</v>
      </c>
      <c r="B13" s="47" t="s">
        <v>51</v>
      </c>
      <c r="C13" s="47" t="s">
        <v>52</v>
      </c>
      <c r="D13" s="47" t="s">
        <v>38</v>
      </c>
      <c r="E13" s="47" t="s">
        <v>53</v>
      </c>
    </row>
    <row r="14" spans="1:5" ht="99.75">
      <c r="A14" s="47" t="s">
        <v>54</v>
      </c>
      <c r="B14" s="47" t="s">
        <v>55</v>
      </c>
      <c r="C14" s="47" t="s">
        <v>56</v>
      </c>
      <c r="D14" s="47" t="s">
        <v>57</v>
      </c>
      <c r="E14" s="47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K12" sqref="K12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1" t="s">
        <v>59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2" t="s">
        <v>60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9"/>
      <c r="N2" s="70" t="s">
        <v>61</v>
      </c>
      <c r="O2" s="70"/>
      <c r="P2" s="70"/>
      <c r="Q2" s="70"/>
      <c r="R2" s="70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1:11 am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4" t="s">
        <v>69</v>
      </c>
      <c r="B4" s="75"/>
      <c r="C4" s="78" t="s">
        <v>70</v>
      </c>
      <c r="D4" s="78"/>
      <c r="E4" s="82" t="s">
        <v>71</v>
      </c>
      <c r="F4" s="82"/>
      <c r="G4" s="86" t="s">
        <v>72</v>
      </c>
      <c r="H4" s="86"/>
      <c r="I4" s="74" t="s">
        <v>73</v>
      </c>
      <c r="J4" s="74"/>
      <c r="K4" s="94" t="s">
        <v>74</v>
      </c>
      <c r="L4" s="94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6">
        <f>COUNTIFS('Email Campaigns'!$C$2:$C$205,"&lt;&gt;",'Email Campaigns'!$S$2:$S$205,"&lt;=0")+COUNTIFS('SMS Campaigns'!$C$2:$C$201,"&lt;&gt;",'SMS Campaigns'!$N$2:$N$201,"&lt;=0")</f>
        <v>0</v>
      </c>
      <c r="B5" s="76"/>
      <c r="C5" s="79">
        <f ca="1">COUNTIFS('Email Campaigns'!$A$2:$A$205,TODAY(),'Email Campaigns'!$C$2:$C$205,"&lt;&gt;")+COUNTIFS('SMS Campaigns'!$A$2:$A$201,TODAY(),'SMS Campaigns'!$C$2:$C$201,"&lt;&gt;")</f>
        <v>0</v>
      </c>
      <c r="D5" s="80"/>
      <c r="E5" s="83">
        <f>COUNTIFS('Email Campaigns'!$C$2:$C$205,"&lt;&gt;",'Email Campaigns'!$S$2:$S$205,"&lt;=0")</f>
        <v>0</v>
      </c>
      <c r="F5" s="84"/>
      <c r="G5" s="87">
        <f>COUNTIFS('SMS Campaigns'!$C$2:$C$201,"&lt;&gt;",'SMS Campaigns'!$N$2:$N$201,"&lt;=0")</f>
        <v>0</v>
      </c>
      <c r="H5" s="88"/>
      <c r="I5" s="76">
        <f>COUNTIFS('Email Campaigns'!$C$2:$C$205,"&lt;&gt;",'Email Campaigns'!$M$2:$M$205,FALSE)+COUNTIFS('SMS Campaigns'!$C$2:$C$201,"&lt;&gt;",'SMS Campaigns'!$I$2:$I$201,FALSE)</f>
        <v>0</v>
      </c>
      <c r="J5" s="90"/>
      <c r="K5" s="95">
        <f>COUNTIF('Email Campaigns'!$S$2:$S$205,"&gt;0")+COUNTIF('SMS Campaigns'!$N$2:$N$201,"&gt;0")</f>
        <v>14</v>
      </c>
      <c r="L5" s="96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7" t="s">
        <v>77</v>
      </c>
      <c r="B6" s="75"/>
      <c r="C6" s="81" t="s">
        <v>78</v>
      </c>
      <c r="D6" s="78"/>
      <c r="E6" s="85" t="s">
        <v>79</v>
      </c>
      <c r="F6" s="82"/>
      <c r="G6" s="89" t="s">
        <v>80</v>
      </c>
      <c r="H6" s="86"/>
      <c r="I6" s="77" t="s">
        <v>81</v>
      </c>
      <c r="J6" s="74"/>
      <c r="K6" s="97" t="s">
        <v>82</v>
      </c>
      <c r="L6" s="94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8" t="s">
        <v>95</v>
      </c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1" t="s">
        <v>96</v>
      </c>
      <c r="B9" s="92"/>
      <c r="C9" s="93"/>
      <c r="D9" s="93"/>
      <c r="E9" s="93"/>
      <c r="F9" s="93"/>
      <c r="G9" s="93"/>
      <c r="H9" s="93"/>
      <c r="I9" s="93"/>
      <c r="J9" s="93"/>
      <c r="K9" s="93"/>
      <c r="L9" s="93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30">
      <c r="A11" s="63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11:00:00 AM Local Timezone</v>
      </c>
      <c r="C11" s="27" t="str" cm="1">
        <f t="array" aca="1" ref="C11" ca="1">IFERROR(INDEX(_xlfn.ANCHORARRAY($AA$11),ROW()-10,3),"")</f>
        <v>SMS</v>
      </c>
      <c r="D11" s="27" t="str" cm="1">
        <f t="array" aca="1" ref="D11" ca="1">IFERROR(INDEX(_xlfn.ANCHORARRAY($AA$11),ROW()-10,4),"")</f>
        <v>Campaign 060726 Event JK X Adorama NYC Workshop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Send SMS Options, Send Test,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3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11:00:00 AM Local Timezone</v>
      </c>
      <c r="AC11" t="str">
        <f ca="1"/>
        <v>SMS</v>
      </c>
      <c r="AD11" t="str">
        <f ca="1"/>
        <v>Campaign 060726 Event JK X Adorama NYC Workshop</v>
      </c>
      <c r="AE11" t="str">
        <f ca="1"/>
        <v>Events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https://teams.microsoft.com/l/message/19:e8e45d54914640ea878fe0171aa48fdc@thread.v2/1780504108170?context=%7B%22contextType%22%3A%22chat%22%7D</v>
      </c>
      <c r="AK11" t="str">
        <f ca="1"/>
        <v/>
      </c>
      <c r="AL11" t="str">
        <f ca="1"/>
        <v>https://ui.attentivemobile.com/campaigns/messages/MTQ6Q29tcG9zZU1lc3NhZ2UxMTE4NTU0NQ/overview</v>
      </c>
    </row>
    <row r="12" spans="1:38" ht="30">
      <c r="A12" s="63" cm="1">
        <f t="array" aca="1" ref="A12" ca="1">IFERROR(INDEX(_xlfn.ANCHORARRAY($AA$11),ROW()-10,1),"")</f>
        <v>46180</v>
      </c>
      <c r="B12" s="26" t="str" cm="1">
        <f t="array" aca="1" ref="B12" ca="1">IFERROR(INDEX(_xlfn.ANCHORARRAY($AA$11),ROW()-10,2),"")</f>
        <v>11:30:00 AM Local Timezone</v>
      </c>
      <c r="C12" s="22" t="str" cm="1">
        <f t="array" aca="1" ref="C12" ca="1">IFERROR(INDEX(_xlfn.ANCHORARRAY($AA$11),ROW()-10,3),"")</f>
        <v>SMS</v>
      </c>
      <c r="D12" s="22" t="str" cm="1">
        <f t="array" aca="1" ref="D12" ca="1">IFERROR(INDEX(_xlfn.ANCHORARRAY($AA$11),ROW()-10,4),"")</f>
        <v>Campaign 060726 Promo Sony a7R VI In-Stock</v>
      </c>
      <c r="E12" s="22" t="str" cm="1">
        <f t="array" aca="1" ref="E12" ca="1">IFERROR(INDEX(_xlfn.ANCHORARRAY($AA$11),ROW()-10,5),"")</f>
        <v>Promo</v>
      </c>
      <c r="F12" s="22" t="str" cm="1">
        <f t="array" aca="1" ref="F12" ca="1">IFERROR(INDEX(_xlfn.ANCHORARRAY($AA$11),ROW()-10,6),"")</f>
        <v>Done: Send SMS Options, Send Test, Approval, Segments</v>
      </c>
      <c r="G12" s="22" t="str" cm="1">
        <f t="array" aca="1" ref="G12" ca="1">IFERROR(INDEX(_xlfn.ANCHORARRAY($AA$11),ROW()-10,7),"")</f>
        <v>Archim/Sean</v>
      </c>
      <c r="H12" s="22" t="str" cm="1">
        <f t="array" aca="1" ref="H12" ca="1">IFERROR(INDEX(_xlfn.ANCHORARRAY($AA$11),ROW()-10,8),"")</f>
        <v>Done</v>
      </c>
      <c r="I12" s="22" t="str" cm="1">
        <f t="array" aca="1" ref="I12" ca="1">IFERROR(INDEX(_xlfn.ANCHORARRAY($AA$11),ROW()-10,9),"")</f>
        <v>Provided</v>
      </c>
      <c r="J12" s="28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2" s="27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11:30:00 AM Local Timezone</v>
      </c>
      <c r="AC12" t="str">
        <f ca="1"/>
        <v>SMS</v>
      </c>
      <c r="AD12" t="str">
        <f ca="1"/>
        <v>Campaign 060726 Promo Sony a7R VI In-Stock</v>
      </c>
      <c r="AE12" t="str">
        <f ca="1"/>
        <v>Promo</v>
      </c>
      <c r="AF12" t="str">
        <f ca="1"/>
        <v>Done: Send SMS Options, Send Test, Approval, Segments</v>
      </c>
      <c r="AG12" t="str">
        <f ca="1"/>
        <v>Archim/Sean</v>
      </c>
      <c r="AH12" t="str">
        <f ca="1"/>
        <v>Done</v>
      </c>
      <c r="AI12" t="str">
        <f ca="1"/>
        <v>Provided</v>
      </c>
      <c r="AJ12">
        <f ca="1"/>
        <v>0</v>
      </c>
      <c r="AK12" t="str">
        <f ca="1"/>
        <v/>
      </c>
      <c r="AL12" t="str">
        <f ca="1"/>
        <v>https://ui.attentivemobile.com/campaigns/messages/MTQ6Q29tcG9zZU1lc3NhZ2UxMTIxMTM3Nw/overview</v>
      </c>
    </row>
    <row r="13" spans="1:38" ht="45">
      <c r="A13" s="63" cm="1">
        <f t="array" aca="1" ref="A13" ca="1">IFERROR(INDEX(_xlfn.ANCHORARRAY($AA$11),ROW()-10,1),"")</f>
        <v>46180</v>
      </c>
      <c r="B13" s="26" t="str" cm="1">
        <f t="array" aca="1" ref="B13" ca="1">IFERROR(INDEX(_xlfn.ANCHORARRAY($AA$11),ROW()-10,2),"")</f>
        <v>STO</v>
      </c>
      <c r="C13" s="22" t="str" cm="1">
        <f t="array" aca="1" ref="C13" ca="1">IFERROR(INDEX(_xlfn.ANCHORARRAY($AA$11),ROW()-10,3),"")</f>
        <v>Email</v>
      </c>
      <c r="D13" s="22" t="str" cm="1">
        <f t="array" aca="1" ref="D13" ca="1">IFERROR(INDEX(_xlfn.ANCHORARRAY($AA$11),ROW()-10,4),"")</f>
        <v>060726-STO-Event-JK-x-ADORAMA-NYC-WORKSHOP-Resend-P-G-NA-GLP</v>
      </c>
      <c r="E13" s="22" t="str" cm="1">
        <f t="array" aca="1" ref="E13" ca="1">IFERROR(INDEX(_xlfn.ANCHORARRAY($AA$11),ROW()-10,5),"")</f>
        <v>Events</v>
      </c>
      <c r="F13" s="22" t="str" cm="1">
        <f t="array" aca="1" ref="F13" ca="1">IFERROR(INDEX(_xlfn.ANCHORARRAY($AA$11),ROW()-10,6),"")</f>
        <v>Done: Campaign Name and UTM Parameter (Source Code), Creative Brief, SL &amp; PH, SKUs, In-Design, Build, QA, Route, Approval, Segments</v>
      </c>
      <c r="G13" s="22" t="str" cm="1">
        <f t="array" aca="1" ref="G13" ca="1">IFERROR(INDEX(_xlfn.ANCHORARRAY($AA$11),ROW()-10,7),"")</f>
        <v>Archim</v>
      </c>
      <c r="H13" s="22" t="str" cm="1">
        <f t="array" aca="1" ref="H13" ca="1">IFERROR(INDEX(_xlfn.ANCHORARRAY($AA$11),ROW()-10,8),"")</f>
        <v>Done</v>
      </c>
      <c r="I13" s="22" t="str" cm="1">
        <f t="array" aca="1" ref="I13" ca="1">IFERROR(INDEX(_xlfn.ANCHORARRAY($AA$11),ROW()-10,9),"")</f>
        <v>Provided</v>
      </c>
      <c r="J13" s="28" t="str">
        <f ca="1">_xlfn.LET(_xlpm.ch,IFERROR(INDEX(_xlfn.ANCHORARRAY($AA$11),ROW()-10,3),""),_xlpm.link,IFERROR(INDEX(_xlfn.ANCHORARRAY($AA$11),ROW()-10,10),""),IF(OR(_xlpm.link="",_xlpm.ch="SMS"),"",HYPERLINK(_xlpm.link,"Jira")))</f>
        <v>Jira</v>
      </c>
      <c r="K13" s="29" t="str">
        <f ca="1">_xlfn.LET(_xlpm.ch,IFERROR(INDEX(_xlfn.ANCHORARRAY($AA$11),ROW()-10,3),""),_xlpm.link,IFERROR(INDEX(_xlfn.ANCHORARRAY($AA$11),ROW()-10,11),""),IF(OR(_xlpm.link="",_xlpm.ch="SMS"),"",HYPERLINK(_xlpm.link,"ClickUp")))</f>
        <v>ClickUp</v>
      </c>
      <c r="L13" s="29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STO</v>
      </c>
      <c r="AC13" t="str">
        <f ca="1"/>
        <v>Email</v>
      </c>
      <c r="AD13" t="str">
        <f ca="1"/>
        <v>060726-STO-Event-JK-x-ADORAMA-NYC-WORKSHOP-Resend-P-G-NA-GLP</v>
      </c>
      <c r="AE13" t="str">
        <f ca="1"/>
        <v>Events</v>
      </c>
      <c r="AF13" t="str">
        <f ca="1"/>
        <v>Done: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https://jira.adorama.com/browse/MKT-103104</v>
      </c>
      <c r="AK13" t="str">
        <f ca="1"/>
        <v>https://app.clickup.com/t/9010122869/86ahv69f4</v>
      </c>
      <c r="AL13" t="str">
        <f ca="1"/>
        <v>https://app.bluecore.com/admin/campaigns/adorama/5531449167831040</v>
      </c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4" s="30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5" s="27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6" s="30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7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8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19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0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1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2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3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4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0" t="s">
        <v>109</v>
      </c>
      <c r="O24" s="70"/>
      <c r="P24" s="70"/>
      <c r="Q24" s="70"/>
      <c r="R24" s="70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5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6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7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30342</v>
      </c>
      <c r="R27" s="11">
        <f ca="1">Q27-Q26</f>
        <v>-191455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8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29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0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1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2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3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4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5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6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7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8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39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0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1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2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3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4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ca="1">_xlfn.LET(_xlpm.ch,IFERROR(INDEX(_xlfn.ANCHORARRAY($AA$11),ROW()-10,3),""),_xlpm.link,IFERROR(INDEX(_xlfn.ANCHORARRAY($AA$11),ROW()-10,10),""),IF(OR(_xlpm.link="",_xlpm.ch="SMS"),"",HYPERLINK(_xlpm.link,"Jira")))</f>
        <v/>
      </c>
      <c r="K45" s="22" t="str">
        <f ca="1">_xlfn.LET(_xlpm.ch,IFERROR(INDEX(_xlfn.ANCHORARRAY($AA$11),ROW()-10,3),""),_xlpm.link,IFERROR(INDEX(_xlfn.ANCHORARRAY($AA$11),ROW()-10,11),""),IF(OR(_xlpm.link="",_xlpm.ch="SMS"),"",HYPERLINK(_xlpm.link,"ClickUp")))</f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3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3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2"/>
        <v/>
      </c>
      <c r="K47" s="22" t="str">
        <f t="shared" ca="1" si="3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2"/>
        <v/>
      </c>
      <c r="K48" s="22" t="str">
        <f t="shared" ca="1" si="3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2"/>
        <v/>
      </c>
      <c r="K49" s="22" t="str">
        <f t="shared" ca="1" si="3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2"/>
        <v/>
      </c>
      <c r="K50" s="22" t="str">
        <f t="shared" ca="1" si="3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2"/>
        <v/>
      </c>
      <c r="K51" s="22" t="str">
        <f t="shared" ca="1" si="3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2"/>
        <v/>
      </c>
      <c r="K52" s="22" t="str">
        <f t="shared" ca="1" si="3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2"/>
        <v/>
      </c>
      <c r="K53" s="22" t="str">
        <f t="shared" ca="1" si="3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2"/>
        <v/>
      </c>
      <c r="K54" s="22" t="str">
        <f t="shared" ca="1" si="3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2"/>
        <v/>
      </c>
      <c r="K55" s="22" t="str">
        <f t="shared" ca="1" si="3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2"/>
        <v/>
      </c>
      <c r="K56" s="22" t="str">
        <f t="shared" ca="1" si="3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2"/>
        <v/>
      </c>
      <c r="K57" s="22" t="str">
        <f t="shared" ca="1" si="3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2"/>
        <v/>
      </c>
      <c r="K58" s="22" t="str">
        <f t="shared" ca="1" si="3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2"/>
        <v/>
      </c>
      <c r="K59" s="22" t="str">
        <f t="shared" ca="1" si="3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2"/>
        <v/>
      </c>
      <c r="K60" s="22" t="str">
        <f t="shared" ca="1" si="3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2"/>
        <v/>
      </c>
      <c r="K61" s="22" t="str">
        <f t="shared" ca="1" si="3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2"/>
        <v/>
      </c>
      <c r="K62" s="22" t="str">
        <f t="shared" ca="1" si="3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2"/>
        <v/>
      </c>
      <c r="K63" s="22" t="str">
        <f t="shared" ca="1" si="3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2"/>
        <v/>
      </c>
      <c r="K64" s="22" t="str">
        <f t="shared" ca="1" si="3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2"/>
        <v/>
      </c>
      <c r="K65" s="22" t="str">
        <f t="shared" ca="1" si="3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2"/>
        <v/>
      </c>
      <c r="K66" s="22" t="str">
        <f t="shared" ca="1" si="3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2"/>
        <v/>
      </c>
      <c r="K67" s="22" t="str">
        <f t="shared" ca="1" si="3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2"/>
        <v/>
      </c>
      <c r="K68" s="22" t="str">
        <f t="shared" ca="1" si="3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2"/>
        <v/>
      </c>
      <c r="K69" s="22" t="str">
        <f t="shared" ca="1" si="3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2"/>
        <v/>
      </c>
      <c r="K70" s="22" t="str">
        <f t="shared" ca="1" si="3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2"/>
        <v/>
      </c>
      <c r="K71" s="22" t="str">
        <f t="shared" ca="1" si="3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2"/>
        <v/>
      </c>
      <c r="K72" s="22" t="str">
        <f t="shared" ca="1" si="3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2"/>
        <v/>
      </c>
      <c r="K73" s="22" t="str">
        <f t="shared" ca="1" si="3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2"/>
        <v/>
      </c>
      <c r="K74" s="22" t="str">
        <f t="shared" ca="1" si="3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4"/>
        <v/>
      </c>
      <c r="K76" s="22" t="str">
        <f t="shared" ca="1" si="5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4"/>
        <v/>
      </c>
      <c r="K77" s="22" t="str">
        <f t="shared" ca="1" si="5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4"/>
        <v/>
      </c>
      <c r="K78" s="22" t="str">
        <f t="shared" ca="1" si="5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4"/>
        <v/>
      </c>
      <c r="K79" s="22" t="str">
        <f t="shared" ca="1" si="5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4"/>
        <v/>
      </c>
      <c r="K80" s="22" t="str">
        <f t="shared" ca="1" si="5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4"/>
        <v/>
      </c>
      <c r="K81" s="22" t="str">
        <f t="shared" ca="1" si="5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4"/>
        <v/>
      </c>
      <c r="K82" s="22" t="str">
        <f t="shared" ca="1" si="5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4"/>
        <v/>
      </c>
      <c r="K83" s="22" t="str">
        <f t="shared" ca="1" si="5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4"/>
        <v/>
      </c>
      <c r="K84" s="22" t="str">
        <f t="shared" ca="1" si="5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4"/>
        <v/>
      </c>
      <c r="K85" s="22" t="str">
        <f t="shared" ca="1" si="5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4"/>
        <v/>
      </c>
      <c r="K86" s="22" t="str">
        <f t="shared" ca="1" si="5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4"/>
        <v/>
      </c>
      <c r="K87" s="22" t="str">
        <f t="shared" ca="1" si="5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4"/>
        <v/>
      </c>
      <c r="K88" s="22" t="str">
        <f t="shared" ca="1" si="5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4"/>
        <v/>
      </c>
      <c r="K89" s="22" t="str">
        <f t="shared" ca="1" si="5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4"/>
        <v/>
      </c>
      <c r="K90" s="22" t="str">
        <f t="shared" ca="1" si="5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4"/>
        <v/>
      </c>
      <c r="K91" s="22" t="str">
        <f t="shared" ca="1" si="5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4"/>
        <v/>
      </c>
      <c r="K92" s="22" t="str">
        <f t="shared" ca="1" si="5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4"/>
        <v/>
      </c>
      <c r="K93" s="22" t="str">
        <f t="shared" ca="1" si="5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4"/>
        <v/>
      </c>
      <c r="K94" s="22" t="str">
        <f t="shared" ca="1" si="5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4"/>
        <v/>
      </c>
      <c r="K95" s="22" t="str">
        <f t="shared" ca="1" si="5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4"/>
        <v/>
      </c>
      <c r="K96" s="22" t="str">
        <f t="shared" ca="1" si="5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4"/>
        <v/>
      </c>
      <c r="K97" s="22" t="str">
        <f t="shared" ca="1" si="5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4"/>
        <v/>
      </c>
      <c r="K98" s="22" t="str">
        <f t="shared" ca="1" si="5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4"/>
        <v/>
      </c>
      <c r="K99" s="22" t="str">
        <f t="shared" ca="1" si="5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4"/>
        <v/>
      </c>
      <c r="K100" s="22" t="str">
        <f t="shared" ca="1" si="5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4"/>
        <v/>
      </c>
      <c r="K101" s="22" t="str">
        <f t="shared" ca="1" si="5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4"/>
        <v/>
      </c>
      <c r="K102" s="22" t="str">
        <f t="shared" ca="1" si="5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4"/>
        <v/>
      </c>
      <c r="K103" s="22" t="str">
        <f t="shared" ca="1" si="5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4"/>
        <v/>
      </c>
      <c r="K104" s="22" t="str">
        <f t="shared" ca="1" si="5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4"/>
        <v/>
      </c>
      <c r="K105" s="22" t="str">
        <f t="shared" ca="1" si="5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4"/>
        <v/>
      </c>
      <c r="K106" s="22" t="str">
        <f t="shared" ca="1" si="5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6"/>
        <v/>
      </c>
      <c r="K108" s="22" t="str">
        <f t="shared" ca="1" si="7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6"/>
        <v/>
      </c>
      <c r="K109" s="22" t="str">
        <f t="shared" ca="1" si="7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6"/>
        <v/>
      </c>
      <c r="K110" s="22" t="str">
        <f t="shared" ca="1" si="7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6"/>
        <v/>
      </c>
      <c r="K111" s="22" t="str">
        <f t="shared" ca="1" si="7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6"/>
        <v/>
      </c>
      <c r="K112" s="22" t="str">
        <f t="shared" ca="1" si="7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6"/>
        <v/>
      </c>
      <c r="K113" s="22" t="str">
        <f t="shared" ca="1" si="7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6"/>
        <v/>
      </c>
      <c r="K114" s="22" t="str">
        <f t="shared" ca="1" si="7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6"/>
        <v/>
      </c>
      <c r="K115" s="22" t="str">
        <f t="shared" ca="1" si="7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6"/>
        <v/>
      </c>
      <c r="K116" s="22" t="str">
        <f t="shared" ca="1" si="7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6"/>
        <v/>
      </c>
      <c r="K117" s="22" t="str">
        <f t="shared" ca="1" si="7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6"/>
        <v/>
      </c>
      <c r="K118" s="22" t="str">
        <f t="shared" ca="1" si="7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6"/>
        <v/>
      </c>
      <c r="K119" s="22" t="str">
        <f t="shared" ca="1" si="7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6"/>
        <v/>
      </c>
      <c r="K120" s="22" t="str">
        <f t="shared" ca="1" si="7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6"/>
        <v/>
      </c>
      <c r="K121" s="22" t="str">
        <f t="shared" ca="1" si="7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6"/>
        <v/>
      </c>
      <c r="K122" s="22" t="str">
        <f t="shared" ca="1" si="7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6"/>
        <v/>
      </c>
      <c r="K123" s="22" t="str">
        <f t="shared" ca="1" si="7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6"/>
        <v/>
      </c>
      <c r="K124" s="22" t="str">
        <f t="shared" ca="1" si="7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6"/>
        <v/>
      </c>
      <c r="K125" s="22" t="str">
        <f t="shared" ca="1" si="7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6"/>
        <v/>
      </c>
      <c r="K126" s="22" t="str">
        <f t="shared" ca="1" si="7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6"/>
        <v/>
      </c>
      <c r="K127" s="22" t="str">
        <f t="shared" ca="1" si="7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6"/>
        <v/>
      </c>
      <c r="K128" s="22" t="str">
        <f t="shared" ca="1" si="7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6"/>
        <v/>
      </c>
      <c r="K129" s="22" t="str">
        <f t="shared" ca="1" si="7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6"/>
        <v/>
      </c>
      <c r="K130" s="22" t="str">
        <f t="shared" ca="1" si="7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6"/>
        <v/>
      </c>
      <c r="K131" s="22" t="str">
        <f t="shared" ca="1" si="7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6"/>
        <v/>
      </c>
      <c r="K132" s="22" t="str">
        <f t="shared" ca="1" si="7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6"/>
        <v/>
      </c>
      <c r="K133" s="22" t="str">
        <f t="shared" ca="1" si="7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6"/>
        <v/>
      </c>
      <c r="K134" s="22" t="str">
        <f t="shared" ca="1" si="7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6"/>
        <v/>
      </c>
      <c r="K135" s="22" t="str">
        <f t="shared" ca="1" si="7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6"/>
        <v/>
      </c>
      <c r="K136" s="22" t="str">
        <f t="shared" ca="1" si="7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6"/>
        <v/>
      </c>
      <c r="K137" s="22" t="str">
        <f t="shared" ca="1" si="7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6"/>
        <v/>
      </c>
      <c r="K138" s="22" t="str">
        <f t="shared" ca="1" si="7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8"/>
        <v/>
      </c>
      <c r="K140" s="22" t="str">
        <f t="shared" ca="1" si="9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8"/>
        <v/>
      </c>
      <c r="K141" s="22" t="str">
        <f t="shared" ca="1" si="9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8"/>
        <v/>
      </c>
      <c r="K142" s="22" t="str">
        <f t="shared" ca="1" si="9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8"/>
        <v/>
      </c>
      <c r="K143" s="22" t="str">
        <f t="shared" ca="1" si="9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8"/>
        <v/>
      </c>
      <c r="K144" s="22" t="str">
        <f t="shared" ca="1" si="9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8"/>
        <v/>
      </c>
      <c r="K145" s="22" t="str">
        <f t="shared" ca="1" si="9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8"/>
        <v/>
      </c>
      <c r="K146" s="22" t="str">
        <f t="shared" ca="1" si="9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8"/>
        <v/>
      </c>
      <c r="K147" s="22" t="str">
        <f t="shared" ca="1" si="9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8"/>
        <v/>
      </c>
      <c r="K148" s="22" t="str">
        <f t="shared" ca="1" si="9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8"/>
        <v/>
      </c>
      <c r="K149" s="22" t="str">
        <f t="shared" ca="1" si="9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8"/>
        <v/>
      </c>
      <c r="K150" s="22" t="str">
        <f t="shared" ca="1" si="9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8"/>
        <v/>
      </c>
      <c r="K151" s="22" t="str">
        <f t="shared" ca="1" si="9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8"/>
        <v/>
      </c>
      <c r="K152" s="22" t="str">
        <f t="shared" ca="1" si="9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8"/>
        <v/>
      </c>
      <c r="K153" s="22" t="str">
        <f t="shared" ca="1" si="9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8"/>
        <v/>
      </c>
      <c r="K154" s="22" t="str">
        <f t="shared" ca="1" si="9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8"/>
        <v/>
      </c>
      <c r="K155" s="22" t="str">
        <f t="shared" ca="1" si="9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8"/>
        <v/>
      </c>
      <c r="K156" s="22" t="str">
        <f t="shared" ca="1" si="9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8"/>
        <v/>
      </c>
      <c r="K157" s="22" t="str">
        <f t="shared" ca="1" si="9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8"/>
        <v/>
      </c>
      <c r="K158" s="22" t="str">
        <f t="shared" ca="1" si="9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8"/>
        <v/>
      </c>
      <c r="K159" s="22" t="str">
        <f t="shared" ca="1" si="9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8"/>
        <v/>
      </c>
      <c r="K160" s="22" t="str">
        <f t="shared" ca="1" si="9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111</v>
      </c>
      <c r="B162" s="32" t="s">
        <v>112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71</v>
      </c>
      <c r="B163" s="34" t="s">
        <v>114</v>
      </c>
      <c r="C163" s="35">
        <f>COUNTIFS('Email Campaigns'!$C$2:$C$205,"&lt;&gt;",'Email Campaigns'!$S$2:$S$205,"&lt;=0")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72</v>
      </c>
      <c r="B164" s="36" t="s">
        <v>114</v>
      </c>
      <c r="C164" s="37">
        <f>COUNTIFS('SMS Campaigns'!$C$2:$C$201,"&lt;&gt;",'SMS Campaigns'!$N$2:$N$201,"&lt;=0")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73</v>
      </c>
      <c r="B165" s="34" t="s">
        <v>112</v>
      </c>
      <c r="C165" s="35">
        <f>COUNTIFS('Email Campaigns'!$C$2:$C$205,"&lt;&gt;",'Email Campaigns'!$M$2:$M$205,FALSE)+COUNTIFS('SMS Campaigns'!$C$2:$C$201,"&lt;&gt;",'SMS Campaigns'!$I$2:$I$201,FALSE)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74</v>
      </c>
      <c r="B166" s="36" t="s">
        <v>118</v>
      </c>
      <c r="C166" s="37">
        <f>COUNTIF('Email Campaigns'!$S$2:$S$205,"&gt;0")+COUNTIF('SMS Campaigns'!$N$2:$N$201,"&gt;0")</f>
        <v>14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51" priority="1" operator="greaterThan">
      <formula>0</formula>
    </cfRule>
  </conditionalFormatting>
  <conditionalFormatting sqref="B8">
    <cfRule type="cellIs" dxfId="150" priority="2" operator="greaterThan">
      <formula>0</formula>
    </cfRule>
  </conditionalFormatting>
  <conditionalFormatting sqref="B9">
    <cfRule type="cellIs" dxfId="149" priority="3" operator="greaterThan">
      <formula>0</formula>
    </cfRule>
  </conditionalFormatting>
  <conditionalFormatting sqref="E11:E160">
    <cfRule type="expression" dxfId="148" priority="10">
      <formula>E11="Scheduled"</formula>
    </cfRule>
    <cfRule type="expression" dxfId="147" priority="11">
      <formula>E11="Sent"</formula>
    </cfRule>
    <cfRule type="expression" dxfId="146" priority="12">
      <formula>E11="Blocked"</formula>
    </cfRule>
  </conditionalFormatting>
  <conditionalFormatting sqref="G11:G160">
    <cfRule type="expression" dxfId="145" priority="4">
      <formula>G11="Critical"</formula>
    </cfRule>
    <cfRule type="expression" dxfId="144" priority="5">
      <formula>G11="High Risk"</formula>
    </cfRule>
    <cfRule type="expression" dxfId="143" priority="6">
      <formula>G11="At Risk"</formula>
    </cfRule>
    <cfRule type="expression" dxfId="142" priority="7">
      <formula>G11="Blocked"</formula>
    </cfRule>
    <cfRule type="expression" dxfId="141" priority="8">
      <formula>G11="Ready"</formula>
    </cfRule>
    <cfRule type="expression" dxfId="140" priority="9">
      <formula>G11="Complete"</formula>
    </cfRule>
  </conditionalFormatting>
  <conditionalFormatting sqref="H11:H160">
    <cfRule type="cellIs" dxfId="139" priority="129" stopIfTrue="1" operator="equal">
      <formula>"Done"</formula>
    </cfRule>
  </conditionalFormatting>
  <conditionalFormatting sqref="H11:H160">
    <cfRule type="cellIs" dxfId="138" priority="130" stopIfTrue="1" operator="equal">
      <formula>"Not Yet"</formula>
    </cfRule>
  </conditionalFormatting>
  <conditionalFormatting sqref="I11:I160">
    <cfRule type="cellIs" dxfId="137" priority="131" stopIfTrue="1" operator="equal">
      <formula>"Provided"</formula>
    </cfRule>
  </conditionalFormatting>
  <conditionalFormatting sqref="I11:I160">
    <cfRule type="cellIs" dxfId="136" priority="132" stopIfTrue="1" operator="equal">
      <formula>"Pending"</formula>
    </cfRule>
  </conditionalFormatting>
  <conditionalFormatting sqref="A11:L45">
    <cfRule type="expression" dxfId="135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zoomScale="85" zoomScaleNormal="85" workbookViewId="0">
      <selection activeCell="M7" sqref="M7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130</v>
      </c>
      <c r="P1" s="17" t="s">
        <v>131</v>
      </c>
      <c r="Q1" s="17" t="s">
        <v>132</v>
      </c>
      <c r="R1" s="17" t="s">
        <v>133</v>
      </c>
      <c r="S1" s="17" t="s">
        <v>134</v>
      </c>
      <c r="T1" s="17" t="s">
        <v>135</v>
      </c>
      <c r="U1" s="17" t="s">
        <v>136</v>
      </c>
      <c r="V1" s="17" t="s">
        <v>137</v>
      </c>
    </row>
    <row r="2" spans="1:22" s="7" customFormat="1" ht="71.25">
      <c r="A2" s="60">
        <v>46174</v>
      </c>
      <c r="B2" s="18" t="s">
        <v>138</v>
      </c>
      <c r="C2" s="6" t="s">
        <v>139</v>
      </c>
      <c r="D2" s="6" t="s">
        <v>140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141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142</v>
      </c>
      <c r="P2" s="48" t="s">
        <v>143</v>
      </c>
      <c r="Q2" s="48" t="s">
        <v>144</v>
      </c>
      <c r="R2" s="43">
        <v>1034750</v>
      </c>
      <c r="S2" s="43">
        <v>1146014</v>
      </c>
      <c r="T2" s="44">
        <v>46180.898900462962</v>
      </c>
      <c r="U2" s="39" t="s">
        <v>145</v>
      </c>
      <c r="V2" s="39"/>
    </row>
    <row r="3" spans="1:22" s="7" customFormat="1" ht="71.25">
      <c r="A3" s="60">
        <v>46175</v>
      </c>
      <c r="B3" s="18" t="s">
        <v>138</v>
      </c>
      <c r="C3" s="6" t="s">
        <v>146</v>
      </c>
      <c r="D3" s="6" t="s">
        <v>147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141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148</v>
      </c>
      <c r="P3" s="48" t="s">
        <v>149</v>
      </c>
      <c r="Q3" s="48" t="s">
        <v>150</v>
      </c>
      <c r="R3" s="43">
        <v>23414</v>
      </c>
      <c r="S3" s="43">
        <v>23461</v>
      </c>
      <c r="T3" s="44">
        <v>46180.920636574076</v>
      </c>
      <c r="U3" s="39" t="s">
        <v>145</v>
      </c>
      <c r="V3" s="39"/>
    </row>
    <row r="4" spans="1:22" s="7" customFormat="1" ht="71.25">
      <c r="A4" s="60">
        <v>46175</v>
      </c>
      <c r="B4" s="18" t="s">
        <v>138</v>
      </c>
      <c r="C4" s="6" t="s">
        <v>151</v>
      </c>
      <c r="D4" s="6" t="s">
        <v>147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141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152</v>
      </c>
      <c r="P4" s="48" t="s">
        <v>153</v>
      </c>
      <c r="Q4" s="48" t="s">
        <v>154</v>
      </c>
      <c r="R4" s="43">
        <v>17521</v>
      </c>
      <c r="S4" s="43">
        <v>17922</v>
      </c>
      <c r="T4" s="44">
        <v>46180.923391203702</v>
      </c>
      <c r="U4" s="39" t="s">
        <v>145</v>
      </c>
      <c r="V4" s="39"/>
    </row>
    <row r="5" spans="1:22" s="7" customFormat="1" ht="71.25">
      <c r="A5" s="60">
        <v>46175</v>
      </c>
      <c r="B5" s="18" t="s">
        <v>138</v>
      </c>
      <c r="C5" s="6" t="s">
        <v>155</v>
      </c>
      <c r="D5" s="6" t="s">
        <v>147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141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156</v>
      </c>
      <c r="P5" s="48" t="s">
        <v>157</v>
      </c>
      <c r="Q5" s="48" t="s">
        <v>158</v>
      </c>
      <c r="R5" s="43">
        <v>2587</v>
      </c>
      <c r="S5" s="43">
        <v>2651</v>
      </c>
      <c r="T5" s="44">
        <v>46180.921400462961</v>
      </c>
      <c r="U5" s="39" t="s">
        <v>145</v>
      </c>
      <c r="V5" s="39"/>
    </row>
    <row r="6" spans="1:22" s="7" customFormat="1" ht="71.25">
      <c r="A6" s="60">
        <v>46176</v>
      </c>
      <c r="B6" s="18" t="s">
        <v>138</v>
      </c>
      <c r="C6" s="6" t="s">
        <v>159</v>
      </c>
      <c r="D6" s="6" t="s">
        <v>160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161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162</v>
      </c>
      <c r="P6" s="48" t="s">
        <v>163</v>
      </c>
      <c r="Q6" s="48" t="s">
        <v>164</v>
      </c>
      <c r="R6" s="43">
        <v>455800</v>
      </c>
      <c r="S6" s="43">
        <v>466728</v>
      </c>
      <c r="T6" s="44">
        <v>46180.896527777775</v>
      </c>
      <c r="U6" s="39" t="s">
        <v>145</v>
      </c>
      <c r="V6" s="39"/>
    </row>
    <row r="7" spans="1:22" s="7" customFormat="1" ht="71.25">
      <c r="A7" s="61">
        <v>46177</v>
      </c>
      <c r="B7" s="49" t="s">
        <v>138</v>
      </c>
      <c r="C7" s="50" t="s">
        <v>165</v>
      </c>
      <c r="D7" s="50" t="s">
        <v>147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7" s="51" t="s">
        <v>161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3" t="s">
        <v>166</v>
      </c>
      <c r="P7" s="53" t="s">
        <v>167</v>
      </c>
      <c r="Q7" s="53" t="s">
        <v>168</v>
      </c>
      <c r="R7" s="54"/>
      <c r="S7" s="54"/>
      <c r="T7" s="55">
        <v>46180.896620370368</v>
      </c>
      <c r="U7" s="51" t="s">
        <v>145</v>
      </c>
      <c r="V7" s="51" t="s">
        <v>169</v>
      </c>
    </row>
    <row r="8" spans="1:22" s="7" customFormat="1" ht="71.25">
      <c r="A8" s="60">
        <v>46178</v>
      </c>
      <c r="B8" s="18">
        <v>0.33333333333333331</v>
      </c>
      <c r="C8" s="6" t="s">
        <v>170</v>
      </c>
      <c r="D8" s="6" t="s">
        <v>140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141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171</v>
      </c>
      <c r="P8" s="48" t="s">
        <v>172</v>
      </c>
      <c r="Q8" s="48" t="s">
        <v>173</v>
      </c>
      <c r="R8" s="43"/>
      <c r="S8" s="43"/>
      <c r="T8" s="44">
        <v>46180.896539351852</v>
      </c>
      <c r="U8" s="39" t="s">
        <v>145</v>
      </c>
      <c r="V8" s="39"/>
    </row>
    <row r="9" spans="1:22" s="7" customFormat="1" ht="71.25">
      <c r="A9" s="60">
        <v>46178</v>
      </c>
      <c r="B9" s="18">
        <v>0.375</v>
      </c>
      <c r="C9" s="6" t="s">
        <v>174</v>
      </c>
      <c r="D9" s="6" t="s">
        <v>140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141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175</v>
      </c>
      <c r="P9" s="48" t="s">
        <v>176</v>
      </c>
      <c r="Q9" s="48" t="s">
        <v>177</v>
      </c>
      <c r="R9" s="43">
        <v>202658</v>
      </c>
      <c r="S9" s="43">
        <v>205619</v>
      </c>
      <c r="T9" s="44"/>
      <c r="U9" s="39"/>
      <c r="V9" s="39"/>
    </row>
    <row r="10" spans="1:22" s="7" customFormat="1" ht="71.25">
      <c r="A10" s="60">
        <v>46178</v>
      </c>
      <c r="B10" s="18">
        <v>0.41666666666666669</v>
      </c>
      <c r="C10" s="6" t="s">
        <v>178</v>
      </c>
      <c r="D10" s="6" t="s">
        <v>140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141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179</v>
      </c>
      <c r="P10" s="48" t="s">
        <v>180</v>
      </c>
      <c r="Q10" s="48" t="s">
        <v>181</v>
      </c>
      <c r="R10" s="43">
        <v>904918</v>
      </c>
      <c r="S10" s="43">
        <v>880888</v>
      </c>
      <c r="T10" s="44"/>
      <c r="U10" s="39"/>
      <c r="V10" s="39"/>
    </row>
    <row r="11" spans="1:22" s="7" customFormat="1" ht="71.25">
      <c r="A11" s="60">
        <v>46179</v>
      </c>
      <c r="B11" s="18">
        <v>0.91666666666666663</v>
      </c>
      <c r="C11" s="6" t="s">
        <v>182</v>
      </c>
      <c r="D11" s="6" t="s">
        <v>183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161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184</v>
      </c>
      <c r="P11" s="48" t="s">
        <v>185</v>
      </c>
      <c r="Q11" s="48" t="s">
        <v>186</v>
      </c>
      <c r="R11" s="43">
        <v>244728</v>
      </c>
      <c r="S11" s="43">
        <v>211870</v>
      </c>
      <c r="T11" s="44">
        <v>46180.899062500001</v>
      </c>
      <c r="U11" s="39" t="s">
        <v>145</v>
      </c>
      <c r="V11" s="39"/>
    </row>
    <row r="12" spans="1:22" s="7" customFormat="1" ht="71.25">
      <c r="A12" s="60">
        <v>46180</v>
      </c>
      <c r="B12" s="18" t="s">
        <v>138</v>
      </c>
      <c r="C12" s="6" t="s">
        <v>187</v>
      </c>
      <c r="D12" s="6" t="s">
        <v>188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141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189</v>
      </c>
      <c r="P12" s="48" t="s">
        <v>190</v>
      </c>
      <c r="Q12" s="48" t="s">
        <v>191</v>
      </c>
      <c r="R12" s="43">
        <v>24502</v>
      </c>
      <c r="S12" s="43">
        <v>22703</v>
      </c>
      <c r="T12" s="44">
        <v>46181.032141203701</v>
      </c>
      <c r="U12" s="39" t="s">
        <v>192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145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07" priority="67">
      <formula>#REF!="Critical"</formula>
    </cfRule>
    <cfRule type="expression" dxfId="106" priority="68">
      <formula>#REF!="High Risk"</formula>
    </cfRule>
    <cfRule type="expression" dxfId="105" priority="69">
      <formula>#REF!="At Risk"</formula>
    </cfRule>
    <cfRule type="expression" dxfId="104" priority="70">
      <formula>#REF!="Blocked"</formula>
    </cfRule>
    <cfRule type="expression" dxfId="103" priority="71">
      <formula>#REF!="Ready"</formula>
    </cfRule>
    <cfRule type="expression" dxfId="102" priority="72">
      <formula>#REF!="Complete"</formula>
    </cfRule>
  </conditionalFormatting>
  <conditionalFormatting sqref="E2:E205">
    <cfRule type="containsText" dxfId="101" priority="73" stopIfTrue="1" operator="containsText" text="Checked:">
      <formula>NOT(ISERROR(SEARCH("Checked:",E2)))</formula>
    </cfRule>
    <cfRule type="cellIs" dxfId="100" priority="74" stopIfTrue="1" operator="equal">
      <formula>"No checklist items checked"</formula>
    </cfRule>
    <cfRule type="cellIs" dxfId="99" priority="75" stopIfTrue="1" operator="equal">
      <formula>"Sent"</formula>
    </cfRule>
    <cfRule type="cellIs" dxfId="98" priority="76" stopIfTrue="1" operator="equal">
      <formula>"Scheduled"</formula>
    </cfRule>
    <cfRule type="cellIs" dxfId="97" priority="77" stopIfTrue="1" operator="equal">
      <formula>"Ready to Schedule"</formula>
    </cfRule>
  </conditionalFormatting>
  <conditionalFormatting sqref="A2:V205">
    <cfRule type="expression" dxfId="96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topLeftCell="B5" zoomScale="85" zoomScaleNormal="85" workbookViewId="0">
      <selection activeCell="C19" sqref="C19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25.625" style="5" customWidth="1"/>
    <col min="16" max="16" width="20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193</v>
      </c>
      <c r="H1" s="6" t="s">
        <v>194</v>
      </c>
      <c r="I1" s="6" t="s">
        <v>104</v>
      </c>
      <c r="J1" s="6" t="s">
        <v>105</v>
      </c>
      <c r="K1" s="6" t="s">
        <v>195</v>
      </c>
      <c r="L1" s="6" t="s">
        <v>132</v>
      </c>
      <c r="M1" s="6" t="s">
        <v>133</v>
      </c>
      <c r="N1" s="6" t="s">
        <v>134</v>
      </c>
      <c r="O1" s="6" t="s">
        <v>135</v>
      </c>
      <c r="P1" s="6" t="s">
        <v>136</v>
      </c>
      <c r="Q1" s="6" t="s">
        <v>137</v>
      </c>
    </row>
    <row r="2" spans="1:17" s="7" customFormat="1" ht="171">
      <c r="A2" s="60">
        <v>46174</v>
      </c>
      <c r="B2" s="18" t="s">
        <v>196</v>
      </c>
      <c r="C2" s="6" t="s">
        <v>197</v>
      </c>
      <c r="D2" s="6" t="s">
        <v>160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141</v>
      </c>
      <c r="G2" s="40" t="b">
        <v>1</v>
      </c>
      <c r="H2" s="40" t="b">
        <v>1</v>
      </c>
      <c r="I2" s="40" t="b">
        <v>1</v>
      </c>
      <c r="J2" s="40" t="b">
        <v>1</v>
      </c>
      <c r="K2" s="48" t="s">
        <v>198</v>
      </c>
      <c r="L2" s="69" t="s">
        <v>199</v>
      </c>
      <c r="M2" s="43">
        <v>64277</v>
      </c>
      <c r="N2" s="43">
        <v>63900</v>
      </c>
      <c r="O2" s="41">
        <v>46181.032453703701</v>
      </c>
      <c r="P2" s="39" t="s">
        <v>192</v>
      </c>
      <c r="Q2" s="39"/>
    </row>
    <row r="3" spans="1:17" s="7" customFormat="1" ht="171">
      <c r="A3" s="60">
        <v>46178</v>
      </c>
      <c r="B3" s="18" t="s">
        <v>196</v>
      </c>
      <c r="C3" s="6" t="s">
        <v>200</v>
      </c>
      <c r="D3" s="6" t="s">
        <v>140</v>
      </c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3" s="39" t="s">
        <v>141</v>
      </c>
      <c r="G3" s="40" t="b">
        <v>1</v>
      </c>
      <c r="H3" s="40" t="b">
        <v>1</v>
      </c>
      <c r="I3" s="40" t="b">
        <v>1</v>
      </c>
      <c r="J3" s="40" t="b">
        <v>1</v>
      </c>
      <c r="K3" s="48" t="s">
        <v>201</v>
      </c>
      <c r="L3" s="48" t="s">
        <v>202</v>
      </c>
      <c r="M3" s="43">
        <v>56545</v>
      </c>
      <c r="N3" s="43">
        <v>56423</v>
      </c>
      <c r="O3" s="41">
        <v>46181.003645833334</v>
      </c>
      <c r="P3" s="39" t="s">
        <v>192</v>
      </c>
      <c r="Q3" s="39"/>
    </row>
    <row r="4" spans="1:17" s="7" customFormat="1" ht="71.25">
      <c r="A4" s="60">
        <v>46178</v>
      </c>
      <c r="B4" s="18" t="s">
        <v>203</v>
      </c>
      <c r="C4" s="6" t="s">
        <v>204</v>
      </c>
      <c r="D4" s="6" t="s">
        <v>140</v>
      </c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4" s="39" t="s">
        <v>161</v>
      </c>
      <c r="G4" s="40" t="b">
        <v>1</v>
      </c>
      <c r="H4" s="40" t="b">
        <v>1</v>
      </c>
      <c r="I4" s="40" t="b">
        <v>1</v>
      </c>
      <c r="J4" s="40" t="b">
        <v>1</v>
      </c>
      <c r="K4" s="6"/>
      <c r="L4" s="48" t="s">
        <v>205</v>
      </c>
      <c r="M4" s="6"/>
      <c r="N4" s="43">
        <v>101474</v>
      </c>
      <c r="O4" s="41">
        <v>46181.003645833334</v>
      </c>
      <c r="P4" s="39" t="s">
        <v>192</v>
      </c>
      <c r="Q4" s="39"/>
    </row>
    <row r="5" spans="1:17" s="7" customFormat="1" ht="171">
      <c r="A5" s="60">
        <v>46180</v>
      </c>
      <c r="B5" s="18" t="s">
        <v>196</v>
      </c>
      <c r="C5" s="6" t="s">
        <v>206</v>
      </c>
      <c r="D5" s="6" t="s">
        <v>188</v>
      </c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5" s="39" t="s">
        <v>141</v>
      </c>
      <c r="G5" s="40" t="b">
        <v>1</v>
      </c>
      <c r="H5" s="40" t="b">
        <v>1</v>
      </c>
      <c r="I5" s="40" t="b">
        <v>1</v>
      </c>
      <c r="J5" s="40" t="b">
        <v>1</v>
      </c>
      <c r="K5" s="48" t="s">
        <v>207</v>
      </c>
      <c r="L5" s="48" t="s">
        <v>208</v>
      </c>
      <c r="M5" s="43">
        <v>20163</v>
      </c>
      <c r="N5" s="43">
        <v>9980</v>
      </c>
      <c r="O5" s="41">
        <v>46181.003645833334</v>
      </c>
      <c r="P5" s="39" t="s">
        <v>192</v>
      </c>
      <c r="Q5" s="39"/>
    </row>
    <row r="6" spans="1:17" s="7" customFormat="1" ht="71.25">
      <c r="A6" s="60">
        <v>46180</v>
      </c>
      <c r="B6" s="18" t="s">
        <v>209</v>
      </c>
      <c r="C6" s="6" t="s">
        <v>204</v>
      </c>
      <c r="D6" s="6" t="s">
        <v>140</v>
      </c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6" s="39" t="s">
        <v>210</v>
      </c>
      <c r="G6" s="40" t="b">
        <v>1</v>
      </c>
      <c r="H6" s="40" t="b">
        <v>1</v>
      </c>
      <c r="I6" s="40" t="b">
        <v>1</v>
      </c>
      <c r="J6" s="40" t="b">
        <v>1</v>
      </c>
      <c r="K6" s="6"/>
      <c r="L6" s="48" t="s">
        <v>211</v>
      </c>
      <c r="M6" s="43">
        <v>28616</v>
      </c>
      <c r="N6" s="43">
        <v>20362</v>
      </c>
      <c r="O6" s="41">
        <v>46181.003645833334</v>
      </c>
      <c r="P6" s="39" t="s">
        <v>192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192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192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192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192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192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192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192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192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192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192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192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192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192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192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192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192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192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192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192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192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192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192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192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192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192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192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192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192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192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192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192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192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192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192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192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192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192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192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192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192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192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192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192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192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192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192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192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192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192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192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192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192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192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192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192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192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192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192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192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192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192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192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192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192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192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192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192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192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192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192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192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192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192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192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192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192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192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192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192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192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192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192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192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192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192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192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192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192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192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192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192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192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192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192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192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192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192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192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192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192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192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192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192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192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192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192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192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192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192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192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192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192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192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192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192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192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192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192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192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192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192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192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192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192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192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192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192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192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192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192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192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192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192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192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192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192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192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192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192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192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192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192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192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192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192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192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192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192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192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192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192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192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192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192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192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192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192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192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192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192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192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192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192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192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192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192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192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192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192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192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192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192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192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192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192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192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192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192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192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192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192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192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192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192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192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192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192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192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192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192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192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192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192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192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192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69" priority="19" stopIfTrue="1" operator="containsText" text="Checked:">
      <formula>NOT(ISERROR(SEARCH("Checked:",E2)))</formula>
    </cfRule>
    <cfRule type="cellIs" dxfId="68" priority="20" stopIfTrue="1" operator="equal">
      <formula>"No checklist items checked"</formula>
    </cfRule>
    <cfRule type="cellIs" dxfId="67" priority="21" stopIfTrue="1" operator="equal">
      <formula>"Sent"</formula>
    </cfRule>
    <cfRule type="cellIs" dxfId="66" priority="22" stopIfTrue="1" operator="equal">
      <formula>"Scheduled"</formula>
    </cfRule>
    <cfRule type="cellIs" dxfId="65" priority="23" stopIfTrue="1" operator="equal">
      <formula>"Ready to Schedule"</formula>
    </cfRule>
  </conditionalFormatting>
  <conditionalFormatting sqref="A2:Q201">
    <cfRule type="expression" dxfId="64" priority="24">
      <formula>OR(LOWER(TRIM($Q2))="cancelled",LOWER(TRIM($Q2))="canceled")</formula>
    </cfRule>
  </conditionalFormatting>
  <hyperlinks>
    <hyperlink ref="L2" r:id="rId1" xr:uid="{1F207CA6-50DE-4740-AA24-6B24F23A3253}"/>
    <hyperlink ref="K2" r:id="rId2" xr:uid="{82397C6C-D119-4ACF-A92F-FC209CBA521F}"/>
    <hyperlink ref="L3" r:id="rId3" xr:uid="{264A0BD8-011A-466D-B6BB-D3413CCCAD6E}"/>
    <hyperlink ref="K3" r:id="rId4" xr:uid="{A0A4AFA5-2E96-4854-B2C4-E7EA7DB9FCD7}"/>
    <hyperlink ref="L4" r:id="rId5" xr:uid="{9A8CD086-5C1E-4482-93DB-36C360C0C8F8}"/>
    <hyperlink ref="L5" r:id="rId6" xr:uid="{947C0771-439B-422F-86B8-2C0C39A18FD5}"/>
    <hyperlink ref="K5" r:id="rId7" xr:uid="{8131D788-B790-42C0-8601-DDB3B480D850}"/>
    <hyperlink ref="L6" r:id="rId8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TEXT(DATE(YEAR(TODAY()),1,1),"mmmm yyyy")&amp;" Campaign Calendar"</f>
        <v>January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216</v>
      </c>
      <c r="G3" s="12" t="s">
        <v>217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2" priority="1" stopIfTrue="1">
      <formula>ISNUMBER(SEARCH(CHAR(10),A6))</formula>
    </cfRule>
    <cfRule type="expression" dxfId="31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TEXT(DATE(YEAR(TODAY()),2,1),"mmmm yyyy")&amp;" Campaign Calendar"</f>
        <v>February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228</v>
      </c>
      <c r="G3" s="12" t="s">
        <v>229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TEXT(DATE(YEAR(TODAY()),3,1),"mmmm yyyy")&amp;" Campaign Calendar"</f>
        <v>March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230</v>
      </c>
      <c r="G3" s="12" t="s">
        <v>231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TEXT(DATE(YEAR(TODAY()),4,1),"mmmm yyyy")&amp;" Campaign Calendar"</f>
        <v>April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232</v>
      </c>
      <c r="G3" s="12" t="s">
        <v>233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TEXT(DATE(YEAR(TODAY()),5,1),"mmmm yyyy")&amp;" Campaign Calendar"</f>
        <v>May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234</v>
      </c>
      <c r="G3" s="12" t="s">
        <v>235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C15" sqref="C1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TEXT(DATE(YEAR(TODAY()),6,1),"mmmm yyyy")&amp;" Campaign Calendar"</f>
        <v>June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236</v>
      </c>
      <c r="G3" s="12" t="s">
        <v>237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 ht="189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TEXT(DATE(YEAR(TODAY()),7,1),"mmmm yyyy")&amp;" Campaign Calendar"</f>
        <v>July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238</v>
      </c>
      <c r="G3" s="12" t="s">
        <v>239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TEXT(DATE(YEAR(TODAY()),8,1),"mmmm yyyy")&amp;" Campaign Calendar"</f>
        <v>August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240</v>
      </c>
      <c r="G3" s="12" t="s">
        <v>241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TEXT(DATE(YEAR(TODAY()),9,1),"mmmm yyyy")&amp;" Campaign Calendar"</f>
        <v>September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242</v>
      </c>
      <c r="G3" s="12" t="s">
        <v>243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TEXT(DATE(YEAR(TODAY()),10,1),"mmmm yyyy")&amp;" Campaign Calendar"</f>
        <v>October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244</v>
      </c>
      <c r="G3" s="12" t="s">
        <v>245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TEXT(DATE(YEAR(TODAY()),11,1),"mmmm yyyy")&amp;" Campaign Calendar"</f>
        <v>November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246</v>
      </c>
      <c r="G3" s="12" t="s">
        <v>247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TEXT(DATE(YEAR(TODAY()),12,1),"mmmm yyyy")&amp;" Campaign Calendar"</f>
        <v>December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248</v>
      </c>
      <c r="G3" s="12" t="s">
        <v>249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250</v>
      </c>
      <c r="D1" s="16" t="s">
        <v>251</v>
      </c>
      <c r="E1" s="16" t="s">
        <v>252</v>
      </c>
    </row>
    <row r="2" spans="1:5">
      <c r="A2" s="14" t="s">
        <v>140</v>
      </c>
      <c r="B2" s="14" t="s">
        <v>253</v>
      </c>
      <c r="C2" s="14" t="s">
        <v>38</v>
      </c>
      <c r="D2" s="14" t="s">
        <v>254</v>
      </c>
      <c r="E2" s="14" t="s">
        <v>255</v>
      </c>
    </row>
    <row r="3" spans="1:5">
      <c r="A3" s="14" t="s">
        <v>160</v>
      </c>
      <c r="B3" s="14" t="s">
        <v>256</v>
      </c>
      <c r="C3" s="14" t="s">
        <v>253</v>
      </c>
      <c r="D3" s="14" t="s">
        <v>257</v>
      </c>
      <c r="E3" s="14" t="s">
        <v>258</v>
      </c>
    </row>
    <row r="4" spans="1:5">
      <c r="A4" s="14" t="s">
        <v>147</v>
      </c>
      <c r="B4" s="14" t="s">
        <v>259</v>
      </c>
      <c r="C4" s="14" t="s">
        <v>260</v>
      </c>
      <c r="D4" s="14" t="s">
        <v>261</v>
      </c>
      <c r="E4" s="14" t="s">
        <v>262</v>
      </c>
    </row>
    <row r="5" spans="1:5">
      <c r="A5" s="14" t="s">
        <v>183</v>
      </c>
      <c r="B5" s="14" t="s">
        <v>263</v>
      </c>
      <c r="C5" s="14" t="s">
        <v>264</v>
      </c>
      <c r="D5" s="14" t="s">
        <v>265</v>
      </c>
      <c r="E5" s="14" t="s">
        <v>266</v>
      </c>
    </row>
    <row r="6" spans="1:5">
      <c r="A6" s="14" t="s">
        <v>188</v>
      </c>
      <c r="B6" s="14" t="s">
        <v>267</v>
      </c>
      <c r="C6" s="14" t="s">
        <v>268</v>
      </c>
      <c r="D6" s="14" t="s">
        <v>269</v>
      </c>
      <c r="E6" s="14" t="s">
        <v>270</v>
      </c>
    </row>
    <row r="7" spans="1:5">
      <c r="A7" s="14" t="s">
        <v>271</v>
      </c>
      <c r="B7" s="14" t="s">
        <v>272</v>
      </c>
      <c r="C7" s="14" t="s">
        <v>273</v>
      </c>
      <c r="D7" s="14" t="s">
        <v>274</v>
      </c>
      <c r="E7" s="14" t="s">
        <v>275</v>
      </c>
    </row>
    <row r="8" spans="1:5">
      <c r="A8" s="14" t="s">
        <v>276</v>
      </c>
      <c r="B8" s="14" t="s">
        <v>277</v>
      </c>
      <c r="C8" s="14" t="s">
        <v>278</v>
      </c>
      <c r="D8" s="14" t="s">
        <v>279</v>
      </c>
      <c r="E8" s="14" t="s">
        <v>280</v>
      </c>
    </row>
    <row r="9" spans="1:5">
      <c r="A9" s="14"/>
      <c r="B9" s="14" t="s">
        <v>281</v>
      </c>
      <c r="C9" s="14" t="s">
        <v>274</v>
      </c>
      <c r="D9" s="14"/>
      <c r="E9" s="14"/>
    </row>
    <row r="10" spans="1:5">
      <c r="A10" s="14"/>
      <c r="B10" s="14" t="s">
        <v>282</v>
      </c>
      <c r="C10" s="14" t="s">
        <v>283</v>
      </c>
      <c r="D10" s="14"/>
      <c r="E10" s="14"/>
    </row>
    <row r="11" spans="1:5">
      <c r="A11" s="14"/>
      <c r="B11" s="14" t="s">
        <v>284</v>
      </c>
      <c r="C11" s="14" t="s">
        <v>285</v>
      </c>
      <c r="D11" s="14"/>
      <c r="E11" s="14"/>
    </row>
    <row r="12" spans="1:5">
      <c r="A12" s="14"/>
      <c r="B12" s="14" t="s">
        <v>286</v>
      </c>
      <c r="C12" s="14" t="s">
        <v>287</v>
      </c>
      <c r="D12" s="14"/>
      <c r="E12" s="14"/>
    </row>
    <row r="13" spans="1:5">
      <c r="A13" s="14"/>
      <c r="B13" s="14" t="s">
        <v>288</v>
      </c>
      <c r="C13" s="14" t="s">
        <v>289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269</v>
      </c>
      <c r="C15" s="14" t="s">
        <v>288</v>
      </c>
      <c r="D15" s="14"/>
      <c r="E15" s="14"/>
    </row>
    <row r="16" spans="1:5">
      <c r="A16" s="14"/>
      <c r="B16" s="14" t="s">
        <v>169</v>
      </c>
      <c r="C16" s="14" t="s">
        <v>269</v>
      </c>
      <c r="D16" s="14"/>
      <c r="E16" s="14"/>
    </row>
    <row r="17" spans="1:5">
      <c r="A17" s="14"/>
      <c r="B17" s="14"/>
      <c r="C17" s="14" t="s">
        <v>169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290</v>
      </c>
      <c r="B1" s="16" t="s">
        <v>291</v>
      </c>
      <c r="C1" s="16" t="s">
        <v>292</v>
      </c>
      <c r="D1" s="16" t="s">
        <v>293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192</v>
      </c>
      <c r="C201" s="14" t="s">
        <v>294</v>
      </c>
      <c r="D201" s="14" t="s">
        <v>295</v>
      </c>
    </row>
    <row r="202" spans="1:4" ht="99.75">
      <c r="A202" s="15">
        <v>46179.29378472222</v>
      </c>
      <c r="B202" s="14" t="s">
        <v>192</v>
      </c>
      <c r="C202" s="14" t="s">
        <v>296</v>
      </c>
      <c r="D202" s="14" t="s">
        <v>297</v>
      </c>
    </row>
    <row r="203" spans="1:4">
      <c r="A203" s="15">
        <v>46179.296273148146</v>
      </c>
      <c r="B203" s="14" t="s">
        <v>192</v>
      </c>
      <c r="C203" s="14" t="s">
        <v>294</v>
      </c>
      <c r="D203" s="14" t="s">
        <v>295</v>
      </c>
    </row>
    <row r="204" spans="1:4">
      <c r="A204" s="15">
        <v>46179.297199074077</v>
      </c>
      <c r="B204" s="14" t="s">
        <v>192</v>
      </c>
      <c r="C204" s="14" t="s">
        <v>294</v>
      </c>
      <c r="D204" s="14" t="s">
        <v>295</v>
      </c>
    </row>
    <row r="205" spans="1:4" ht="99.75">
      <c r="A205" s="15">
        <v>46179.297199074077</v>
      </c>
      <c r="B205" s="14" t="s">
        <v>192</v>
      </c>
      <c r="C205" s="14" t="s">
        <v>296</v>
      </c>
      <c r="D205" s="14" t="s">
        <v>298</v>
      </c>
    </row>
    <row r="206" spans="1:4" ht="57">
      <c r="A206" s="15">
        <v>46179.309106956018</v>
      </c>
      <c r="B206" s="14" t="s">
        <v>192</v>
      </c>
      <c r="C206" s="14" t="s">
        <v>299</v>
      </c>
      <c r="D206" s="14" t="s">
        <v>300</v>
      </c>
    </row>
    <row r="207" spans="1:4" ht="28.5">
      <c r="A207" s="15">
        <v>46180.086365740739</v>
      </c>
      <c r="B207" s="14" t="s">
        <v>192</v>
      </c>
      <c r="C207" s="14" t="s">
        <v>301</v>
      </c>
      <c r="D207" s="14" t="s">
        <v>302</v>
      </c>
    </row>
    <row r="208" spans="1:4" ht="28.5">
      <c r="A208" s="15">
        <v>46180.08730324074</v>
      </c>
      <c r="B208" s="14" t="s">
        <v>192</v>
      </c>
      <c r="C208" s="14" t="s">
        <v>301</v>
      </c>
      <c r="D208" s="14" t="s">
        <v>302</v>
      </c>
    </row>
    <row r="209" spans="1:4" ht="28.5">
      <c r="A209" s="15">
        <v>46180.089432870373</v>
      </c>
      <c r="B209" s="14" t="s">
        <v>192</v>
      </c>
      <c r="C209" s="14" t="s">
        <v>301</v>
      </c>
      <c r="D209" s="14" t="s">
        <v>302</v>
      </c>
    </row>
    <row r="210" spans="1:4" ht="28.5">
      <c r="A210" s="15">
        <v>46180.090289351851</v>
      </c>
      <c r="B210" s="14" t="s">
        <v>192</v>
      </c>
      <c r="C210" s="14" t="s">
        <v>301</v>
      </c>
      <c r="D210" s="14" t="s">
        <v>302</v>
      </c>
    </row>
    <row r="211" spans="1:4" ht="28.5">
      <c r="A211" s="15">
        <v>46180.091238425928</v>
      </c>
      <c r="B211" s="14" t="s">
        <v>192</v>
      </c>
      <c r="C211" s="14" t="s">
        <v>301</v>
      </c>
      <c r="D211" s="14" t="s">
        <v>302</v>
      </c>
    </row>
    <row r="212" spans="1:4" ht="28.5">
      <c r="A212" s="15">
        <v>46180.092314814814</v>
      </c>
      <c r="B212" s="14" t="s">
        <v>192</v>
      </c>
      <c r="C212" s="14" t="s">
        <v>301</v>
      </c>
      <c r="D212" s="14" t="s">
        <v>302</v>
      </c>
    </row>
    <row r="213" spans="1:4" ht="28.5">
      <c r="A213" s="15">
        <v>46180.093182870369</v>
      </c>
      <c r="B213" s="14" t="s">
        <v>192</v>
      </c>
      <c r="C213" s="14" t="s">
        <v>301</v>
      </c>
      <c r="D213" s="14" t="s">
        <v>302</v>
      </c>
    </row>
    <row r="214" spans="1:4" ht="28.5">
      <c r="A214" s="15">
        <v>46180.094050925924</v>
      </c>
      <c r="B214" s="14" t="s">
        <v>192</v>
      </c>
      <c r="C214" s="14" t="s">
        <v>301</v>
      </c>
      <c r="D214" s="14" t="s">
        <v>302</v>
      </c>
    </row>
    <row r="215" spans="1:4" ht="28.5">
      <c r="A215" s="15">
        <v>46180.110868055555</v>
      </c>
      <c r="B215" s="14" t="s">
        <v>192</v>
      </c>
      <c r="C215" s="14" t="s">
        <v>303</v>
      </c>
      <c r="D215" s="14" t="s">
        <v>304</v>
      </c>
    </row>
    <row r="216" spans="1:4" ht="28.5">
      <c r="A216" s="15">
        <v>46180.12090277778</v>
      </c>
      <c r="B216" s="14" t="s">
        <v>192</v>
      </c>
      <c r="C216" s="14" t="s">
        <v>303</v>
      </c>
      <c r="D216" s="14" t="s">
        <v>304</v>
      </c>
    </row>
    <row r="217" spans="1:4" ht="28.5">
      <c r="A217" s="15">
        <v>46180.132349537038</v>
      </c>
      <c r="B217" s="14" t="s">
        <v>192</v>
      </c>
      <c r="C217" s="14" t="s">
        <v>303</v>
      </c>
      <c r="D217" s="14" t="s">
        <v>304</v>
      </c>
    </row>
    <row r="218" spans="1:4" ht="28.5">
      <c r="A218" s="15">
        <v>46180.13616898148</v>
      </c>
      <c r="B218" s="14" t="s">
        <v>192</v>
      </c>
      <c r="C218" s="14" t="s">
        <v>303</v>
      </c>
      <c r="D218" s="14" t="s">
        <v>304</v>
      </c>
    </row>
    <row r="219" spans="1:4" ht="28.5">
      <c r="A219" s="15">
        <v>46180.139490740738</v>
      </c>
      <c r="B219" s="14" t="s">
        <v>192</v>
      </c>
      <c r="C219" s="14" t="s">
        <v>303</v>
      </c>
      <c r="D219" s="14" t="s">
        <v>304</v>
      </c>
    </row>
    <row r="220" spans="1:4" ht="28.5">
      <c r="A220" s="15">
        <v>46180.174479166664</v>
      </c>
      <c r="B220" s="14" t="s">
        <v>192</v>
      </c>
      <c r="C220" s="14" t="s">
        <v>303</v>
      </c>
      <c r="D220" s="14" t="s">
        <v>304</v>
      </c>
    </row>
    <row r="221" spans="1:4" ht="28.5">
      <c r="A221" s="15">
        <v>46180.177430555559</v>
      </c>
      <c r="B221" s="14" t="s">
        <v>192</v>
      </c>
      <c r="C221" s="14" t="s">
        <v>303</v>
      </c>
      <c r="D221" s="14" t="s">
        <v>304</v>
      </c>
    </row>
    <row r="222" spans="1:4" ht="28.5">
      <c r="A222" s="15">
        <v>46180.178344907406</v>
      </c>
      <c r="B222" s="14" t="s">
        <v>192</v>
      </c>
      <c r="C222" s="14" t="s">
        <v>303</v>
      </c>
      <c r="D222" s="14" t="s">
        <v>304</v>
      </c>
    </row>
    <row r="223" spans="1:4" ht="28.5">
      <c r="A223" s="15">
        <v>46180.302488425928</v>
      </c>
      <c r="B223" s="14" t="s">
        <v>192</v>
      </c>
      <c r="C223" s="14" t="s">
        <v>301</v>
      </c>
      <c r="D223" s="14" t="s">
        <v>302</v>
      </c>
    </row>
    <row r="224" spans="1:4" ht="28.5">
      <c r="A224" s="15">
        <v>46180.318576388891</v>
      </c>
      <c r="B224" s="14" t="s">
        <v>192</v>
      </c>
      <c r="C224" s="14" t="s">
        <v>305</v>
      </c>
      <c r="D224" s="14" t="s">
        <v>306</v>
      </c>
    </row>
    <row r="225" spans="1:4" ht="28.5">
      <c r="A225" s="15">
        <v>46180.31858796296</v>
      </c>
      <c r="B225" s="14" t="s">
        <v>192</v>
      </c>
      <c r="C225" s="14" t="s">
        <v>301</v>
      </c>
      <c r="D225" s="14" t="s">
        <v>302</v>
      </c>
    </row>
    <row r="226" spans="1:4" ht="28.5">
      <c r="A226" s="15">
        <v>46180.336423611108</v>
      </c>
      <c r="B226" s="14" t="s">
        <v>192</v>
      </c>
      <c r="C226" s="14" t="s">
        <v>305</v>
      </c>
      <c r="D226" s="14" t="s">
        <v>306</v>
      </c>
    </row>
    <row r="227" spans="1:4" ht="28.5">
      <c r="A227" s="15">
        <v>46180.336423611108</v>
      </c>
      <c r="B227" s="14" t="s">
        <v>192</v>
      </c>
      <c r="C227" s="14" t="s">
        <v>301</v>
      </c>
      <c r="D227" s="14" t="s">
        <v>302</v>
      </c>
    </row>
    <row r="228" spans="1:4" ht="28.5">
      <c r="A228" s="15">
        <v>46180.340729166666</v>
      </c>
      <c r="B228" s="14" t="s">
        <v>192</v>
      </c>
      <c r="C228" s="14" t="s">
        <v>305</v>
      </c>
      <c r="D228" s="14" t="s">
        <v>306</v>
      </c>
    </row>
    <row r="229" spans="1:4" ht="28.5">
      <c r="A229" s="15">
        <v>46180.340729166666</v>
      </c>
      <c r="B229" s="14" t="s">
        <v>192</v>
      </c>
      <c r="C229" s="14" t="s">
        <v>301</v>
      </c>
      <c r="D229" s="14" t="s">
        <v>302</v>
      </c>
    </row>
    <row r="230" spans="1:4" ht="28.5">
      <c r="A230" s="15">
        <v>46180.342013888891</v>
      </c>
      <c r="B230" s="14" t="s">
        <v>192</v>
      </c>
      <c r="C230" s="14" t="s">
        <v>305</v>
      </c>
      <c r="D230" s="14" t="s">
        <v>306</v>
      </c>
    </row>
    <row r="231" spans="1:4" ht="28.5">
      <c r="A231" s="15">
        <v>46180.342013888891</v>
      </c>
      <c r="B231" s="14" t="s">
        <v>192</v>
      </c>
      <c r="C231" s="14" t="s">
        <v>301</v>
      </c>
      <c r="D231" s="14" t="s">
        <v>302</v>
      </c>
    </row>
    <row r="232" spans="1:4" ht="28.5">
      <c r="A232" s="15">
        <v>46180.343206018515</v>
      </c>
      <c r="B232" s="14" t="s">
        <v>192</v>
      </c>
      <c r="C232" s="14" t="s">
        <v>305</v>
      </c>
      <c r="D232" s="14" t="s">
        <v>306</v>
      </c>
    </row>
    <row r="233" spans="1:4" ht="28.5">
      <c r="A233" s="15">
        <v>46180.343206018515</v>
      </c>
      <c r="B233" s="14" t="s">
        <v>192</v>
      </c>
      <c r="C233" s="14" t="s">
        <v>301</v>
      </c>
      <c r="D233" s="14" t="s">
        <v>302</v>
      </c>
    </row>
    <row r="234" spans="1:4" ht="28.5">
      <c r="A234" s="15">
        <v>46180.357268518521</v>
      </c>
      <c r="B234" s="14" t="s">
        <v>192</v>
      </c>
      <c r="C234" s="14" t="s">
        <v>303</v>
      </c>
      <c r="D234" s="14" t="s">
        <v>307</v>
      </c>
    </row>
    <row r="235" spans="1:4" ht="28.5">
      <c r="A235" s="15">
        <v>46180.543217592596</v>
      </c>
      <c r="B235" s="14" t="s">
        <v>192</v>
      </c>
      <c r="C235" s="14" t="s">
        <v>305</v>
      </c>
      <c r="D235" s="14" t="s">
        <v>306</v>
      </c>
    </row>
    <row r="236" spans="1:4" ht="28.5">
      <c r="A236" s="15">
        <v>46180.543217592596</v>
      </c>
      <c r="B236" s="14" t="s">
        <v>192</v>
      </c>
      <c r="C236" s="14" t="s">
        <v>301</v>
      </c>
      <c r="D236" s="14" t="s">
        <v>302</v>
      </c>
    </row>
    <row r="237" spans="1:4" ht="28.5">
      <c r="A237" s="15">
        <v>46180.545231481483</v>
      </c>
      <c r="B237" s="14" t="s">
        <v>192</v>
      </c>
      <c r="C237" s="14" t="s">
        <v>305</v>
      </c>
      <c r="D237" s="14" t="s">
        <v>306</v>
      </c>
    </row>
    <row r="238" spans="1:4" ht="28.5">
      <c r="A238" s="15">
        <v>46180.545243055552</v>
      </c>
      <c r="B238" s="14" t="s">
        <v>192</v>
      </c>
      <c r="C238" s="14" t="s">
        <v>301</v>
      </c>
      <c r="D238" s="14" t="s">
        <v>302</v>
      </c>
    </row>
    <row r="239" spans="1:4" ht="28.5">
      <c r="A239" s="15">
        <v>46180.547777777778</v>
      </c>
      <c r="B239" s="14" t="s">
        <v>192</v>
      </c>
      <c r="C239" s="14" t="s">
        <v>303</v>
      </c>
      <c r="D239" s="14" t="s">
        <v>307</v>
      </c>
    </row>
    <row r="240" spans="1:4" ht="28.5">
      <c r="A240" s="15">
        <v>46180.568738425929</v>
      </c>
      <c r="B240" s="14" t="s">
        <v>192</v>
      </c>
      <c r="C240" s="14" t="s">
        <v>305</v>
      </c>
      <c r="D240" s="14" t="s">
        <v>306</v>
      </c>
    </row>
    <row r="241" spans="1:4" ht="28.5">
      <c r="A241" s="15">
        <v>46180.568749999999</v>
      </c>
      <c r="B241" s="14" t="s">
        <v>192</v>
      </c>
      <c r="C241" s="14" t="s">
        <v>301</v>
      </c>
      <c r="D241" s="14" t="s">
        <v>302</v>
      </c>
    </row>
    <row r="242" spans="1:4" ht="28.5">
      <c r="A242" s="15">
        <v>46180.571203703701</v>
      </c>
      <c r="B242" s="14" t="s">
        <v>192</v>
      </c>
      <c r="C242" s="14" t="s">
        <v>303</v>
      </c>
      <c r="D242" s="14" t="s">
        <v>307</v>
      </c>
    </row>
    <row r="243" spans="1:4" ht="28.5">
      <c r="A243" s="15">
        <v>46180.584131944444</v>
      </c>
      <c r="B243" s="14" t="s">
        <v>192</v>
      </c>
      <c r="C243" s="14" t="s">
        <v>305</v>
      </c>
      <c r="D243" s="14" t="s">
        <v>306</v>
      </c>
    </row>
    <row r="244" spans="1:4" ht="28.5">
      <c r="A244" s="15">
        <v>46180.584131944444</v>
      </c>
      <c r="B244" s="14" t="s">
        <v>192</v>
      </c>
      <c r="C244" s="14" t="s">
        <v>301</v>
      </c>
      <c r="D244" s="14" t="s">
        <v>302</v>
      </c>
    </row>
    <row r="245" spans="1:4" ht="28.5">
      <c r="A245" s="15">
        <v>46180.589571759258</v>
      </c>
      <c r="B245" s="14" t="s">
        <v>192</v>
      </c>
      <c r="C245" s="14" t="s">
        <v>305</v>
      </c>
      <c r="D245" s="14" t="s">
        <v>306</v>
      </c>
    </row>
    <row r="246" spans="1:4" ht="28.5">
      <c r="A246" s="15">
        <v>46180.589583333334</v>
      </c>
      <c r="B246" s="14" t="s">
        <v>192</v>
      </c>
      <c r="C246" s="14" t="s">
        <v>301</v>
      </c>
      <c r="D246" s="14" t="s">
        <v>302</v>
      </c>
    </row>
    <row r="247" spans="1:4" ht="28.5">
      <c r="A247" s="15">
        <v>46180.59103009259</v>
      </c>
      <c r="B247" s="14" t="s">
        <v>192</v>
      </c>
      <c r="C247" s="14" t="s">
        <v>303</v>
      </c>
      <c r="D247" s="14" t="s">
        <v>307</v>
      </c>
    </row>
    <row r="248" spans="1:4" ht="28.5">
      <c r="A248" s="15">
        <v>46180.595023148147</v>
      </c>
      <c r="B248" s="14" t="s">
        <v>192</v>
      </c>
      <c r="C248" s="14" t="s">
        <v>303</v>
      </c>
      <c r="D248" s="14" t="s">
        <v>307</v>
      </c>
    </row>
    <row r="249" spans="1:4" ht="28.5">
      <c r="A249" s="15">
        <v>46180.621550925927</v>
      </c>
      <c r="B249" s="14" t="s">
        <v>192</v>
      </c>
      <c r="C249" s="14" t="s">
        <v>303</v>
      </c>
      <c r="D249" s="14" t="s">
        <v>307</v>
      </c>
    </row>
    <row r="250" spans="1:4" ht="28.5">
      <c r="A250" s="15">
        <v>46180.639062499999</v>
      </c>
      <c r="B250" s="14" t="s">
        <v>192</v>
      </c>
      <c r="C250" s="14" t="s">
        <v>303</v>
      </c>
      <c r="D250" s="14" t="s">
        <v>307</v>
      </c>
    </row>
    <row r="251" spans="1:4" ht="28.5">
      <c r="A251" s="15">
        <v>46180.642175925925</v>
      </c>
      <c r="B251" s="14" t="s">
        <v>192</v>
      </c>
      <c r="C251" s="14" t="s">
        <v>303</v>
      </c>
      <c r="D251" s="14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2026-06-08T05:11:24Z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