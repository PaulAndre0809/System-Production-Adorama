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AE21DD1-1EE9-4063-9D8B-9BE692A9741B}" xr6:coauthVersionLast="47" xr6:coauthVersionMax="47" xr10:uidLastSave="{00000000-0000-0000-0000-000000000000}"/>
  <bookViews>
    <workbookView xWindow="-120" yWindow="-120" windowWidth="29040" windowHeight="15990" activeTab="3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9" l="1"/>
  <c r="M5" i="2"/>
  <c r="Q29" i="1"/>
  <c r="Q28" i="1"/>
  <c r="Q27" i="1"/>
  <c r="E27" i="1"/>
  <c r="E28" i="1"/>
  <c r="P26" i="1"/>
  <c r="Q26" i="1"/>
  <c r="R25" i="1"/>
  <c r="Q25" i="1"/>
  <c r="P25" i="1"/>
  <c r="P24" i="1"/>
  <c r="Q24" i="1"/>
  <c r="R24" i="1"/>
  <c r="P23" i="1"/>
  <c r="Q23" i="1"/>
  <c r="R23" i="1"/>
  <c r="AA11" i="2" s="1" a="1"/>
  <c r="R22" i="1"/>
  <c r="P22" i="1"/>
  <c r="Q22" i="1"/>
  <c r="Q21" i="1"/>
  <c r="R21" i="1"/>
  <c r="P20" i="1"/>
  <c r="Q20" i="1"/>
  <c r="R20" i="1"/>
  <c r="P19" i="1"/>
  <c r="Q19" i="1"/>
  <c r="P18" i="1"/>
  <c r="Q18" i="1"/>
  <c r="R19" i="1"/>
  <c r="R18" i="1"/>
  <c r="L9" i="19"/>
  <c r="M9" i="19"/>
  <c r="M7" i="19"/>
  <c r="M6" i="19"/>
  <c r="M5" i="19"/>
  <c r="M4" i="19"/>
  <c r="M3" i="19"/>
  <c r="M2" i="19"/>
  <c r="L7" i="19"/>
  <c r="L5" i="19"/>
  <c r="L3" i="19"/>
  <c r="L2" i="19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7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C5" i="2" s="1" a="1"/>
  <c r="C162" i="2" s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AA3" i="2"/>
  <c r="D3" i="2" s="1"/>
  <c r="B3" i="2"/>
  <c r="K5" i="2" l="1" a="1"/>
  <c r="C166" i="2" s="1"/>
  <c r="E5" i="2" a="1"/>
  <c r="C163" i="2" s="1"/>
  <c r="I5" i="2" a="1"/>
  <c r="C165" i="2" s="1"/>
  <c r="G5" i="2" a="1"/>
  <c r="C164" i="2" s="1"/>
  <c r="A5" i="2" l="1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K38" i="2"/>
  <c r="K37" i="2"/>
  <c r="K36" i="2"/>
  <c r="K35" i="2"/>
  <c r="K34" i="2"/>
  <c r="K29" i="2"/>
  <c r="K25" i="2"/>
  <c r="K23" i="2"/>
  <c r="K19" i="2"/>
  <c r="K17" i="2"/>
  <c r="K44" i="2"/>
  <c r="K42" i="2"/>
  <c r="K40" i="2"/>
  <c r="K33" i="2"/>
  <c r="K32" i="2"/>
  <c r="K31" i="2"/>
  <c r="K30" i="2"/>
  <c r="K28" i="2"/>
  <c r="K27" i="2"/>
  <c r="K24" i="2"/>
  <c r="K21" i="2"/>
  <c r="K18" i="2"/>
  <c r="K26" i="2"/>
  <c r="K22" i="2"/>
  <c r="K45" i="2"/>
  <c r="K43" i="2"/>
  <c r="K20" i="2"/>
  <c r="K16" i="2"/>
  <c r="K15" i="2"/>
  <c r="K14" i="2"/>
  <c r="K13" i="2"/>
  <c r="K12" i="2"/>
  <c r="K41" i="2"/>
  <c r="K39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M11" i="2" s="1"/>
  <c r="D12" i="2" a="1"/>
  <c r="M12" i="2" s="1"/>
  <c r="D13" i="2" a="1"/>
  <c r="M13" i="2" s="1"/>
  <c r="D14" i="2" a="1"/>
  <c r="M14" i="2" s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A11" i="2" a="1"/>
  <c r="M70" i="2" l="1"/>
  <c r="M73" i="2"/>
  <c r="M86" i="2"/>
  <c r="M76" i="2"/>
  <c r="M79" i="2"/>
  <c r="M84" i="2"/>
  <c r="M88" i="2"/>
  <c r="M75" i="2"/>
  <c r="M81" i="2"/>
  <c r="M91" i="2"/>
  <c r="M96" i="2"/>
  <c r="M131" i="2"/>
  <c r="M137" i="2"/>
  <c r="M151" i="2"/>
  <c r="M157" i="2"/>
  <c r="M78" i="2"/>
  <c r="M144" i="2"/>
  <c r="M67" i="2"/>
  <c r="M69" i="2"/>
  <c r="M72" i="2"/>
  <c r="M101" i="2"/>
  <c r="M105" i="2"/>
  <c r="M110" i="2"/>
  <c r="M113" i="2"/>
  <c r="M118" i="2"/>
  <c r="M123" i="2"/>
  <c r="M129" i="2"/>
  <c r="M65" i="2"/>
  <c r="M66" i="2"/>
  <c r="M154" i="2"/>
  <c r="M143" i="2"/>
  <c r="M148" i="2"/>
  <c r="M158" i="2"/>
  <c r="M24" i="2"/>
  <c r="M26" i="2"/>
  <c r="M28" i="2"/>
  <c r="M30" i="2"/>
  <c r="M32" i="2"/>
  <c r="M139" i="2"/>
  <c r="M150" i="2"/>
  <c r="M25" i="2"/>
  <c r="M27" i="2"/>
  <c r="M29" i="2"/>
  <c r="M31" i="2"/>
  <c r="M33" i="2"/>
  <c r="M35" i="2"/>
  <c r="M37" i="2"/>
  <c r="M39" i="2"/>
  <c r="M42" i="2"/>
  <c r="M45" i="2"/>
  <c r="M50" i="2"/>
  <c r="M53" i="2"/>
  <c r="M56" i="2"/>
  <c r="M59" i="2"/>
  <c r="M62" i="2"/>
  <c r="M18" i="2"/>
  <c r="M141" i="2"/>
  <c r="M146" i="2"/>
  <c r="M93" i="2"/>
  <c r="M98" i="2"/>
  <c r="M19" i="2"/>
  <c r="M20" i="2"/>
  <c r="M21" i="2"/>
  <c r="M22" i="2"/>
  <c r="M23" i="2"/>
  <c r="M41" i="2"/>
  <c r="M43" i="2"/>
  <c r="M46" i="2"/>
  <c r="M49" i="2"/>
  <c r="M83" i="2"/>
  <c r="M89" i="2"/>
  <c r="M94" i="2"/>
  <c r="M99" i="2"/>
  <c r="M104" i="2"/>
  <c r="M108" i="2"/>
  <c r="M114" i="2"/>
  <c r="M119" i="2"/>
  <c r="M124" i="2"/>
  <c r="M128" i="2"/>
  <c r="M135" i="2"/>
  <c r="M140" i="2"/>
  <c r="M149" i="2"/>
  <c r="M82" i="2"/>
  <c r="M87" i="2"/>
  <c r="M92" i="2"/>
  <c r="M97" i="2"/>
  <c r="M102" i="2"/>
  <c r="M107" i="2"/>
  <c r="M112" i="2"/>
  <c r="M117" i="2"/>
  <c r="M122" i="2"/>
  <c r="M127" i="2"/>
  <c r="M133" i="2"/>
  <c r="M138" i="2"/>
  <c r="M153" i="2"/>
  <c r="M34" i="2"/>
  <c r="M36" i="2"/>
  <c r="M38" i="2"/>
  <c r="M40" i="2"/>
  <c r="M44" i="2"/>
  <c r="M47" i="2"/>
  <c r="M48" i="2"/>
  <c r="M51" i="2"/>
  <c r="M54" i="2"/>
  <c r="M57" i="2"/>
  <c r="M61" i="2"/>
  <c r="M63" i="2"/>
  <c r="M68" i="2"/>
  <c r="M71" i="2"/>
  <c r="M74" i="2"/>
  <c r="M77" i="2"/>
  <c r="M80" i="2"/>
  <c r="M85" i="2"/>
  <c r="M90" i="2"/>
  <c r="M95" i="2"/>
  <c r="M100" i="2"/>
  <c r="M106" i="2"/>
  <c r="M111" i="2"/>
  <c r="M116" i="2"/>
  <c r="M121" i="2"/>
  <c r="M126" i="2"/>
  <c r="M130" i="2"/>
  <c r="M134" i="2"/>
  <c r="M145" i="2"/>
  <c r="M155" i="2"/>
  <c r="M159" i="2"/>
  <c r="M103" i="2"/>
  <c r="M109" i="2"/>
  <c r="M115" i="2"/>
  <c r="M120" i="2"/>
  <c r="M125" i="2"/>
  <c r="M132" i="2"/>
  <c r="M136" i="2"/>
  <c r="M142" i="2"/>
  <c r="M147" i="2"/>
  <c r="M152" i="2"/>
  <c r="M156" i="2"/>
  <c r="M160" i="2"/>
  <c r="M15" i="2"/>
  <c r="M16" i="2"/>
  <c r="M17" i="2"/>
  <c r="M52" i="2"/>
  <c r="M55" i="2"/>
  <c r="M58" i="2"/>
  <c r="M60" i="2"/>
  <c r="M6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<sst xmlns="http://schemas.openxmlformats.org/spreadsheetml/2006/main" count="1004" uniqueCount="275">
  <si>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</si>
  <si>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</si>
  <si>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</si>
  <si>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</si>
  <si>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</si>
  <si>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</si>
  <si>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</si>
  <si>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</si>
  <si>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</si>
  <si>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</si>
  <si>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</si>
  <si>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</si>
  <si>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</si>
  <si>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</si>
  <si>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</si>
  <si>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</si>
  <si>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</si>
  <si>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</si>
  <si>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</si>
  <si>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</si>
  <si>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</si>
  <si>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</si>
  <si>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</si>
  <si>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</si>
  <si>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</si>
  <si>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</si>
  <si>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</si>
  <si>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</si>
  <si>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</si>
  <si>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</si>
  <si>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</si>
  <si>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</si>
  <si>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</si>
  <si>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</si>
  <si>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</si>
  <si>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</si>
  <si>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</si>
  <si>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</si>
  <si>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</si>
  <si>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</si>
  <si>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</si>
  <si>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</si>
  <si>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</si>
  <si>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</si>
  <si>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</si>
  <si>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</si>
  <si>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</si>
  <si>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</si>
  <si>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</si>
  <si>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</si>
  <si>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</si>
  <si>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</si>
  <si>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</si>
  <si>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</si>
  <si>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</si>
  <si>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</si>
  <si>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</si>
  <si>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</si>
  <si>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</si>
  <si>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</si>
  <si>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</si>
  <si>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</si>
  <si>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</si>
  <si>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</si>
  <si>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</si>
  <si>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</si>
  <si>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</si>
  <si>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</si>
  <si>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</si>
  <si>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</si>
  <si>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</si>
  <si>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</si>
  <si>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</si>
  <si>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</si>
  <si>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</si>
  <si>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</si>
  <si>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</si>
  <si>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</si>
  <si>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</si>
  <si>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</si>
  <si>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</si>
  <si>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</si>
  <si>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</si>
  <si>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</si>
  <si>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</si>
  <si>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</si>
  <si>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</si>
  <si>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</si>
  <si>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</si>
  <si>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</si>
  <si>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</si>
  <si>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</si>
  <si>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</si>
  <si>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</si>
  <si>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</si>
  <si>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</si>
  <si>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</si>
  <si>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</si>
  <si>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</si>
  <si>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</si>
  <si>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</si>
  <si>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</si>
  <si>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</si>
  <si>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</si>
  <si>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</si>
  <si>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</si>
  <si>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</si>
  <si>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</si>
  <si>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</si>
  <si>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</si>
  <si>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</si>
  <si>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</si>
  <si>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</si>
  <si>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</si>
  <si>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</si>
  <si>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</si>
  <si>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</si>
  <si>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</si>
  <si>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</si>
  <si>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</si>
  <si>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</si>
  <si>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</si>
  <si>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</si>
  <si>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</si>
  <si>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</si>
  <si>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</si>
  <si>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</si>
  <si>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</si>
  <si>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</si>
  <si>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</si>
  <si>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</si>
  <si>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</si>
  <si>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</si>
  <si>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</si>
  <si>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</si>
  <si>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</si>
  <si>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</si>
  <si>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</si>
  <si>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</si>
  <si>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</si>
  <si>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</si>
  <si>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</si>
  <si>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</si>
  <si>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</si>
  <si>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</si>
  <si>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</si>
  <si>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</si>
  <si>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</si>
  <si>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</si>
  <si>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</si>
  <si>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</si>
  <si>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</si>
  <si>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</si>
  <si>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</si>
  <si>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</si>
  <si>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</si>
  <si>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FormatTest1</t>
  </si>
  <si>
    <t>HasFormula: False, Val: True</t>
  </si>
  <si>
    <t>FormatTest2</t>
  </si>
  <si>
    <t>ValStr: True</t>
  </si>
  <si>
    <t>HasFormula: False, Val: False</t>
  </si>
  <si>
    <t>ValStr: False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</si>
  <si>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</si>
  <si>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</si>
  <si>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</si>
  <si>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</si>
  <si>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</si>
  <si>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</si>
  <si>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</si>
  <si>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</si>
  <si>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</si>
  <si>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</si>
  <si>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</si>
  <si>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</si>
  <si>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</si>
  <si>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</si>
  <si>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</si>
  <si>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</si>
  <si>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</si>
  <si>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</si>
  <si>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</si>
  <si>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</si>
  <si>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</si>
  <si>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</si>
  <si>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</si>
  <si>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</si>
  <si>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</si>
  <si>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</si>
  <si>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</si>
  <si>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</si>
  <si>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</si>
  <si>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</si>
  <si>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</si>
  <si>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</si>
  <si>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</si>
  <si>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</si>
  <si>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</si>
  <si>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</si>
  <si>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</si>
  <si>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</si>
  <si>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</si>
  <si>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</si>
  <si>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</si>
  <si>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</si>
  <si>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</si>
  <si>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</si>
  <si>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</si>
  <si>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</si>
  <si>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</si>
  <si>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</si>
  <si>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</si>
  <si>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</si>
  <si>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</si>
  <si>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</si>
  <si>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</si>
  <si>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060926-9PM-NPA-Insta360-Luna-P-P-NA-GLP</t>
  </si>
  <si>
    <t>061026-STO-Services-Private-Brands-P-P-NA-GLP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</si>
  <si>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</si>
  <si>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</si>
  <si>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</si>
  <si>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</si>
  <si>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</si>
  <si>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</si>
  <si>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</si>
  <si>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</si>
  <si>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</si>
  <si>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</si>
  <si>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</si>
  <si>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</si>
  <si>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</si>
  <si>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</si>
  <si>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</si>
  <si>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</si>
  <si>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</si>
  <si>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</si>
  <si>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</si>
  <si>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</si>
  <si>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</si>
  <si>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</si>
  <si>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</si>
  <si>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</si>
  <si>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</si>
  <si>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</si>
  <si>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</si>
  <si>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</si>
  <si>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</si>
  <si>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</si>
  <si>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</si>
  <si>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</si>
  <si>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</si>
  <si>
    <t>ApplyCampaignEntryFormats</t>
  </si>
  <si>
    <t>Error 1004: Unable to set the NumberFormat property of the Range class</t>
  </si>
  <si>
    <t>061226_11AM_Promo_Father_Day</t>
  </si>
  <si>
    <t>061126-STO-Loyalty-EM1-Non-Member-Acquisition-P-G-NA-GLP</t>
  </si>
  <si>
    <t>061126-STO-Loyalty-EM2-1000-Points-Card-Member-Reminder-P-G-NA-GLP</t>
  </si>
  <si>
    <t>061226-08AM-Promo-Fathers-Day-P-P-NA-GLP</t>
  </si>
  <si>
    <t>509K</t>
  </si>
  <si>
    <t>061226-03PM-Promo-Photo-Rebates-Resend-P-P-UpTo35PCTOFF-GLP</t>
  </si>
  <si>
    <t>061326-10PM-Newsletter-Photo-P-P-NA-GLP</t>
  </si>
  <si>
    <t>061426-09AM-Event-EM1-FIFA-World-Cup-2026-P-G-NA-GLP</t>
  </si>
  <si>
    <t>061426-10AM-Event-EM2-ABS-Giveaway-P-B-NA-GLP</t>
  </si>
  <si>
    <t>061526-07AM-Promo-EM2-24-Hour-Sale-P-G-GLP</t>
  </si>
  <si>
    <t>061726-STO-Services-Trade-P-B-NA-GLP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</si>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</sst>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:mm\ AM/PM"/>
    <numFmt numFmtId="165" formatCode="dddd\,\ mm/dd/yyyy"/>
    <numFmt numFmtId="166" formatCode="[$-F800]dddd\,\ mmmm\ dd\,\ yyyy"/>
    <numFmt numFmtId="167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9E1F2"/>
      </left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65" fontId="4" fillId="12" borderId="2" xfId="0" applyNumberFormat="1" applyFont="1" applyFill="1" applyBorder="1" applyAlignment="1">
      <alignment horizontal="center" vertical="center" wrapText="1"/>
    </xf>
    <xf numFmtId="18" fontId="4" fillId="12" borderId="2" xfId="0" applyNumberFormat="1" applyFont="1" applyFill="1" applyBorder="1" applyAlignment="1">
      <alignment horizontal="center" vertical="center" wrapText="1"/>
    </xf>
    <xf numFmtId="165" fontId="4" fillId="0" borderId="2" xfId="0" applyNumberFormat="1" applyFont="1" applyBorder="1" applyAlignment="1">
      <alignment horizontal="center" vertical="center" wrapText="1"/>
    </xf>
    <xf numFmtId="18" fontId="4" fillId="0" borderId="2" xfId="0" applyNumberFormat="1" applyFont="1" applyBorder="1" applyAlignment="1">
      <alignment horizontal="center" vertical="center" wrapText="1"/>
    </xf>
    <xf numFmtId="165" fontId="4" fillId="13" borderId="2" xfId="0" applyNumberFormat="1" applyFont="1" applyFill="1" applyBorder="1" applyAlignment="1">
      <alignment horizontal="center" vertical="center" wrapText="1"/>
    </xf>
    <xf numFmtId="18" fontId="4" fillId="13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8" fontId="4" fillId="0" borderId="3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1" applyBorder="1" applyAlignment="1">
      <alignment horizontal="center" vertical="center" wrapText="1"/>
    </xf>
    <xf numFmtId="0" fontId="2" fillId="0" borderId="3" xfId="1" applyFill="1" applyBorder="1" applyAlignment="1">
      <alignment horizontal="center" vertical="center" wrapText="1"/>
    </xf>
    <xf numFmtId="3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8" fontId="4" fillId="14" borderId="3" xfId="0" applyNumberFormat="1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49" fontId="4" fillId="14" borderId="3" xfId="0" applyNumberFormat="1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3" xfId="1" applyFill="1" applyBorder="1" applyAlignment="1">
      <alignment horizontal="center" vertical="center" wrapText="1"/>
    </xf>
    <xf numFmtId="3" fontId="4" fillId="14" borderId="3" xfId="0" applyNumberFormat="1" applyFont="1" applyFill="1" applyBorder="1" applyAlignment="1">
      <alignment horizontal="center" vertical="center" wrapText="1"/>
    </xf>
    <xf numFmtId="0" fontId="4" fillId="0" borderId="1" xfId="0" applyFont="1" applyBorder="1"/>
    <xf numFmtId="164" fontId="4" fillId="0" borderId="3" xfId="0" applyNumberFormat="1" applyFont="1" applyBorder="1" applyAlignment="1">
      <alignment horizontal="left" vertical="center" wrapText="1"/>
    </xf>
    <xf numFmtId="164" fontId="4" fillId="14" borderId="3" xfId="0" applyNumberFormat="1" applyFont="1" applyFill="1" applyBorder="1" applyAlignment="1">
      <alignment horizontal="left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 wrapText="1"/>
    </xf>
    <xf numFmtId="167" fontId="4" fillId="14" borderId="3" xfId="0" applyNumberFormat="1" applyFont="1" applyFill="1" applyBorder="1" applyAlignment="1">
      <alignment horizontal="center" vertical="center" wrapText="1"/>
    </xf>
    <xf numFmtId="167" fontId="4" fillId="0" borderId="1" xfId="0" applyNumberFormat="1" applyFont="1" applyBorder="1" applyAlignment="1">
      <alignment horizontal="center" vertical="center" wrapText="1"/>
    </xf>
    <xf numFmtId="167" fontId="4" fillId="0" borderId="0" xfId="0" applyNumberFormat="1" applyFont="1" applyAlignment="1">
      <alignment horizontal="center" vertical="center" wrapText="1"/>
    </xf>
    <xf numFmtId="1" fontId="4" fillId="12" borderId="2" xfId="0" applyNumberFormat="1" applyFont="1" applyFill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13" borderId="2" xfId="0" applyNumberFormat="1" applyFont="1" applyFill="1" applyBorder="1" applyAlignment="1">
      <alignment horizontal="center" vertical="center" wrapText="1"/>
    </xf>
    <xf numFmtId="167" fontId="4" fillId="0" borderId="4" xfId="0" applyNumberFormat="1" applyFont="1" applyBorder="1" applyAlignment="1">
      <alignment horizontal="center" vertical="center" wrapText="1"/>
    </xf>
    <xf numFmtId="0" fontId="10" fillId="0" borderId="3" xfId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17" fillId="16" borderId="6" xfId="0" applyFont="1" applyFill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top" wrapText="1"/>
    </xf>
    <xf numFmtId="0" fontId="7" fillId="8" borderId="8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1" fontId="14" fillId="8" borderId="8" xfId="0" applyNumberFormat="1" applyFont="1" applyFill="1" applyBorder="1" applyAlignment="1">
      <alignment horizontal="center" vertical="center" wrapText="1"/>
    </xf>
    <xf numFmtId="1" fontId="14" fillId="8" borderId="9" xfId="0" applyNumberFormat="1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1" fontId="14" fillId="4" borderId="8" xfId="0" applyNumberFormat="1" applyFont="1" applyFill="1" applyBorder="1" applyAlignment="1">
      <alignment horizontal="center" vertical="center" wrapText="1"/>
    </xf>
    <xf numFmtId="1" fontId="14" fillId="4" borderId="9" xfId="0" applyNumberFormat="1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1" fontId="14" fillId="7" borderId="8" xfId="0" applyNumberFormat="1" applyFont="1" applyFill="1" applyBorder="1" applyAlignment="1">
      <alignment horizontal="center" vertical="center" wrapText="1"/>
    </xf>
    <xf numFmtId="1" fontId="14" fillId="7" borderId="9" xfId="0" applyNumberFormat="1" applyFont="1" applyFill="1" applyBorder="1" applyAlignment="1">
      <alignment horizontal="center" vertical="center" wrapText="1"/>
    </xf>
    <xf numFmtId="0" fontId="6" fillId="7" borderId="8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1" fontId="14" fillId="6" borderId="8" xfId="0" applyNumberFormat="1" applyFont="1" applyFill="1" applyBorder="1" applyAlignment="1">
      <alignment horizontal="center" vertical="center" wrapText="1"/>
    </xf>
    <xf numFmtId="1" fontId="14" fillId="6" borderId="9" xfId="0" applyNumberFormat="1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1" fontId="14" fillId="5" borderId="8" xfId="0" applyNumberFormat="1" applyFont="1" applyFill="1" applyBorder="1" applyAlignment="1">
      <alignment horizontal="center" vertical="center" wrapText="1"/>
    </xf>
    <xf numFmtId="1" fontId="14" fillId="5" borderId="9" xfId="0" applyNumberFormat="1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14"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8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3" dataDxfId="112" totalsRowDxfId="111">
  <tableColumns count="12">
    <tableColumn id="1" xr3:uid="{00000000-0010-0000-0100-000001000000}" name="Send Date" dataDxfId="110">
      <calculatedColumnFormula array="1">IFERROR(INDEX(_xlfn.ANCHORARRAY($AA$11),ROW()-10,1),"")</calculatedColumnFormula>
    </tableColumn>
    <tableColumn id="2" xr3:uid="{00000000-0010-0000-0100-000002000000}" name="Time" dataDxfId="109">
      <calculatedColumnFormula array="1">IFERROR(INDEX(_xlfn.ANCHORARRAY($AA$11),ROW()-10,2),"")</calculatedColumnFormula>
    </tableColumn>
    <tableColumn id="3" xr3:uid="{00000000-0010-0000-0100-000003000000}" name="Channel" dataDxfId="108">
      <calculatedColumnFormula array="1">IFERROR(INDEX(_xlfn.ANCHORARRAY($AA$11),ROW()-10,3),"")</calculatedColumnFormula>
    </tableColumn>
    <tableColumn id="4" xr3:uid="{00000000-0010-0000-0100-000004000000}" name="Campaign" dataDxfId="107">
      <calculatedColumnFormula array="1">IFERROR(INDEX(_xlfn.ANCHORARRAY($AA$11),ROW()-10,4),"")</calculatedColumnFormula>
    </tableColumn>
    <tableColumn id="5" xr3:uid="{00000000-0010-0000-0100-000005000000}" name="Type" dataDxfId="106">
      <calculatedColumnFormula array="1">IFERROR(INDEX(_xlfn.ANCHORARRAY($AA$11),ROW()-10,5),"")</calculatedColumnFormula>
    </tableColumn>
    <tableColumn id="6" xr3:uid="{00000000-0010-0000-0100-000006000000}" name="Stage" dataDxfId="105">
      <calculatedColumnFormula array="1">IFERROR(INDEX(_xlfn.ANCHORARRAY($AA$11),ROW()-10,6),"")</calculatedColumnFormula>
    </tableColumn>
    <tableColumn id="7" xr3:uid="{00000000-0010-0000-0100-000007000000}" name="Owner" dataDxfId="104">
      <calculatedColumnFormula array="1">IFERROR(INDEX(_xlfn.ANCHORARRAY($AA$11),ROW()-10,7),"")</calculatedColumnFormula>
    </tableColumn>
    <tableColumn id="8" xr3:uid="{00000000-0010-0000-0100-000008000000}" name="Approval" dataDxfId="103">
      <calculatedColumnFormula array="1">IFERROR(INDEX(_xlfn.ANCHORARRAY($AA$11),ROW()-10,8),"")</calculatedColumnFormula>
    </tableColumn>
    <tableColumn id="9" xr3:uid="{00000000-0010-0000-0100-000009000000}" name="Segments" dataDxfId="102">
      <calculatedColumnFormula array="1">IFERROR(INDEX(_xlfn.ANCHORARRAY($AA$11),ROW()-10,9),"")</calculatedColumnFormula>
    </tableColumn>
    <tableColumn id="10" xr3:uid="{00000000-0010-0000-0100-00000A000000}" name="Jira" dataDxfId="101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0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99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7" headerRowDxfId="98" dataDxfId="97" totalsRowDxfId="96">
  <autoFilter ref="A1:W207" xr:uid="{00000000-000C-0000-FFFF-FFFF00000000}"/>
  <tableColumns count="23">
    <tableColumn id="2" xr3:uid="{00000000-0010-0000-0000-000002000000}" name="Send Date" dataDxfId="43"/>
    <tableColumn id="3" xr3:uid="{00000000-0010-0000-0000-000003000000}" name="Send Time" dataDxfId="41"/>
    <tableColumn id="4" xr3:uid="{00000000-0010-0000-0000-000004000000}" name="Campaign Name" dataDxfId="42"/>
    <tableColumn id="5" xr3:uid="{00000000-0010-0000-0000-000005000000}" name="Campaign Type" dataDxfId="95"/>
    <tableColumn id="6" xr3:uid="{00000000-0010-0000-0000-000006000000}" name="Current Stage" dataDxfId="94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93"/>
    <tableColumn id="1" xr3:uid="{B2077B23-1D1A-459D-9583-F63147D6D936}" name="Campaign Name and UTM Parameter (Source Code)" dataDxfId="92"/>
    <tableColumn id="8" xr3:uid="{63A16BD6-6B10-4AD5-B57D-B92EA2935F36}" name="Creative Brief, SL &amp; PH" dataDxfId="91"/>
    <tableColumn id="9" xr3:uid="{23EAD37F-5B0E-461E-85FF-0AAFD24BAA68}" name="SKUs" dataDxfId="90"/>
    <tableColumn id="10" xr3:uid="{9640EB9F-78BB-44D9-B70D-05FDE06036E4}" name="In-Design" dataDxfId="89"/>
    <tableColumn id="11" xr3:uid="{ADDF4395-0E99-41A9-BED7-3DBCF6006F91}" name="Build, QA" dataDxfId="88"/>
    <tableColumn id="12" xr3:uid="{6DF2B722-97C3-4902-87DE-A2A9727C8024}" name="Route" dataDxfId="87"/>
    <tableColumn id="14" xr3:uid="{2C5B824E-A4DE-4EA9-87E9-7663BB92F9D4}" name="Approval" dataDxfId="86"/>
    <tableColumn id="15" xr3:uid="{4CE14FFB-3FFB-4445-B89C-5D3C3D24D6C0}" name="Segments" dataDxfId="85"/>
    <tableColumn id="22" xr3:uid="{2EF3AB09-8E18-4B83-BFE1-8509C2B541BB}" name="Scheduled" dataDxfId="84"/>
    <tableColumn id="17" xr3:uid="{00000000-0010-0000-0000-000011000000}" name="Jira Link" dataDxfId="83"/>
    <tableColumn id="18" xr3:uid="{00000000-0010-0000-0000-000012000000}" name="ClickUp Link" dataDxfId="82"/>
    <tableColumn id="19" xr3:uid="{00000000-0010-0000-0000-000013000000}" name="Bluecore/Attentive Link" dataDxfId="81"/>
    <tableColumn id="20" xr3:uid="{00000000-0010-0000-0000-000014000000}" name="Est. Audience" dataDxfId="80"/>
    <tableColumn id="21" xr3:uid="{00000000-0010-0000-0000-000015000000}" name="Delivered" dataDxfId="79"/>
    <tableColumn id="23" xr3:uid="{00000000-0010-0000-0000-000017000000}" name="Last Updated" dataDxfId="78"/>
    <tableColumn id="13" xr3:uid="{6717C158-5D55-49BD-B0A1-8EF5E6BE7E59}" name="Last Updated By" dataDxfId="77"/>
    <tableColumn id="16" xr3:uid="{45C4D116-AEA5-4484-9652-2029E5D3A263}" name="Notes" dataDxfId="76" totalsRowDxfId="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74" dataDxfId="73">
  <autoFilter ref="A1:R201" xr:uid="{5BA5B085-3B5F-4682-B501-752F9044F617}"/>
  <tableColumns count="18">
    <tableColumn id="1" xr3:uid="{A00F9C46-9585-47C9-83D4-D97802A976D5}" name="Send Date" dataDxfId="40"/>
    <tableColumn id="2" xr3:uid="{FA54A5FD-1AB7-4749-AF9C-A820CCD54864}" name="Send Time" dataDxfId="38"/>
    <tableColumn id="3" xr3:uid="{D8232C60-1B45-4E39-B4FB-F7D15854588A}" name="Campaign Name" dataDxfId="39"/>
    <tableColumn id="4" xr3:uid="{488CC129-7AB9-4CDE-A0F4-708CCF476FDC}" name="Campaign Type" dataDxfId="72"/>
    <tableColumn id="5" xr3:uid="{60402621-821D-4B42-BBBF-04ECD600240D}" name="Current Stage" dataDxfId="71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70"/>
    <tableColumn id="7" xr3:uid="{C602E6A7-154A-4913-82F7-B1297F8FB4AA}" name="Send SMS Options" dataDxfId="69"/>
    <tableColumn id="8" xr3:uid="{050AA88E-4FCE-418E-B3E4-7BADF355F594}" name="Send Test" dataDxfId="68"/>
    <tableColumn id="9" xr3:uid="{CD7DB146-3A9F-407E-8AE2-FB08A35D3255}" name="Approval" dataDxfId="67"/>
    <tableColumn id="10" xr3:uid="{85A3C652-A90B-4131-9C59-60C896B66276}" name="Segments" dataDxfId="66"/>
    <tableColumn id="12" xr3:uid="{AC00EA76-6FB3-4990-AB16-9C58CED6F5CB}" name="Scheduled" dataDxfId="65"/>
    <tableColumn id="11" xr3:uid="{E3A201AA-BB4D-46BF-87B3-3EC3AB5D84A8}" name="Proof of Schedule" dataDxfId="64"/>
    <tableColumn id="13" xr3:uid="{F3B86E58-9B1C-4BE7-ACD4-4A17ABF9CF1F}" name="Bluecore/Attentive Link" dataDxfId="63"/>
    <tableColumn id="14" xr3:uid="{AB05A972-8E88-4F0F-A2C0-E592CA11CF69}" name="Est. Audience" dataDxfId="62"/>
    <tableColumn id="15" xr3:uid="{031FC6D8-9EA2-4822-8ABB-1D691F532C78}" name="Delivered" dataDxfId="61"/>
    <tableColumn id="16" xr3:uid="{677491C6-5902-44D9-B11E-9456715084CA}" name="Last Updated" dataDxfId="60"/>
    <tableColumn id="17" xr3:uid="{D2166D60-5145-4BCB-A4C1-8E83A65F8013}" name="Last Updated By" dataDxfId="59"/>
    <tableColumn id="18" xr3:uid="{98F5A958-53CF-45DE-B03D-F670270697A7}" name="Notes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4A2E31-B0C9-4EC4-9E8B-C2BCE879F8F4}" name="NotesTable" displayName="NotesTable" ref="A3:E23" totalsRowShown="0" headerRowDxfId="57" dataDxfId="56">
  <autoFilter ref="A3:E23" xr:uid="{AD4A2E31-B0C9-4EC4-9E8B-C2BCE879F8F4}"/>
  <tableColumns count="5">
    <tableColumn id="1" xr3:uid="{D364D815-E2DC-4A91-9059-EEA2C09E2A7D}" name="Component" dataDxfId="55"/>
    <tableColumn id="2" xr3:uid="{8D13228D-79F9-4FAD-959A-7C300CB3AF82}" name="Action" dataDxfId="54"/>
    <tableColumn id="3" xr3:uid="{5FF555F9-5E62-4C43-BD38-29BED062BC4A}" name="How It Works" dataDxfId="53"/>
    <tableColumn id="4" xr3:uid="{A98B25B0-5711-458F-BA27-73F7668785D2}" name="Required / Avoid" dataDxfId="52"/>
    <tableColumn id="5" xr3:uid="{2E6E2F82-E207-4CFE-B7E4-1EB74B5CFADD}" name="Compatibility Notes" dataDxfId="5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64" headerRowDxfId="50" dataDxfId="49" totalsRowDxfId="48">
  <tableColumns count="4">
    <tableColumn id="1" xr3:uid="{00000000-0010-0000-0300-000001000000}" name="Timestamp" dataDxfId="47"/>
    <tableColumn id="2" xr3:uid="{00000000-0010-0000-0300-000002000000}" name="User" dataDxfId="46"/>
    <tableColumn id="3" xr3:uid="{00000000-0010-0000-0300-000003000000}" name="Action" dataDxfId="45"/>
    <tableColumn id="4" xr3:uid="{00000000-0010-0000-0300-000004000000}" name="Details" dataDxfId="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jira.adorama.com/browse/MKT-102434" TargetMode="External"/><Relationship Id="rId21" Type="http://schemas.openxmlformats.org/officeDocument/2006/relationships/hyperlink" Target="https://app.clickup.com/t/9010122869/86ahrpf48" TargetMode="External"/><Relationship Id="rId42" Type="http://schemas.openxmlformats.org/officeDocument/2006/relationships/hyperlink" Target="https://jira.adorama.com/browse/MKT-103103" TargetMode="External"/><Relationship Id="rId47" Type="http://schemas.openxmlformats.org/officeDocument/2006/relationships/hyperlink" Target="https://jira.adorama.com/browse/MKT-103106" TargetMode="External"/><Relationship Id="rId63" Type="http://schemas.openxmlformats.org/officeDocument/2006/relationships/hyperlink" Target="https://app.clickup.com/t/9010122869/86ahv69g7" TargetMode="External"/><Relationship Id="rId68" Type="http://schemas.openxmlformats.org/officeDocument/2006/relationships/hyperlink" Target="https://jira.adorama.com/browse/MKT-103362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9" Type="http://schemas.openxmlformats.org/officeDocument/2006/relationships/hyperlink" Target="https://app.clickup.com/t/9010122869/86ahrpf4k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45" Type="http://schemas.openxmlformats.org/officeDocument/2006/relationships/hyperlink" Target="https://app.bluecore.com/admin/campaigns/adorama/5289607948001280" TargetMode="External"/><Relationship Id="rId53" Type="http://schemas.openxmlformats.org/officeDocument/2006/relationships/hyperlink" Target="https://jira.adorama.com/browse/MKT-102097" TargetMode="External"/><Relationship Id="rId58" Type="http://schemas.openxmlformats.org/officeDocument/2006/relationships/hyperlink" Target="https://app.clickup.com/t/9010122869/86aj0k0dv" TargetMode="External"/><Relationship Id="rId66" Type="http://schemas.openxmlformats.org/officeDocument/2006/relationships/hyperlink" Target="https://app.clickup.com/t/9010122869/86aj0erre" TargetMode="External"/><Relationship Id="rId74" Type="http://schemas.openxmlformats.org/officeDocument/2006/relationships/hyperlink" Target="https://app.clickup.com/t/9010122869/86ahyhqum" TargetMode="External"/><Relationship Id="rId5" Type="http://schemas.openxmlformats.org/officeDocument/2006/relationships/hyperlink" Target="https://jira.adorama.com/browse/MKT-102651" TargetMode="External"/><Relationship Id="rId61" Type="http://schemas.openxmlformats.org/officeDocument/2006/relationships/hyperlink" Target="https://app.bluecore.com/admin/campaigns/adorama/6684665553215488?viewTab=summary" TargetMode="External"/><Relationship Id="rId19" Type="http://schemas.openxmlformats.org/officeDocument/2006/relationships/hyperlink" Target="https://app.bluecore.com/admin/campaigns/adorama/4956572627099648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hyperlink" Target="https://jira.adorama.com/browse/MKT-103371" TargetMode="External"/><Relationship Id="rId48" Type="http://schemas.openxmlformats.org/officeDocument/2006/relationships/hyperlink" Target="https://app.bluecore.com/admin/campaigns/adorama/5285349538258944" TargetMode="External"/><Relationship Id="rId56" Type="http://schemas.openxmlformats.org/officeDocument/2006/relationships/hyperlink" Target="https://jira.adorama.com/browse/MKT-103155" TargetMode="External"/><Relationship Id="rId64" Type="http://schemas.openxmlformats.org/officeDocument/2006/relationships/hyperlink" Target="https://jira.adorama.com/browse/MKT-103306" TargetMode="External"/><Relationship Id="rId69" Type="http://schemas.openxmlformats.org/officeDocument/2006/relationships/hyperlink" Target="https://app.clickup.com/t/9010122869/86ahv69gh" TargetMode="External"/><Relationship Id="rId8" Type="http://schemas.openxmlformats.org/officeDocument/2006/relationships/hyperlink" Target="https://app.clickup.com/t/86ahjqzr0" TargetMode="External"/><Relationship Id="rId51" Type="http://schemas.openxmlformats.org/officeDocument/2006/relationships/hyperlink" Target="https://jira.adorama.com/browse/MKT-103185" TargetMode="External"/><Relationship Id="rId72" Type="http://schemas.openxmlformats.org/officeDocument/2006/relationships/hyperlink" Target="https://jira.adorama.com/browse/MKT-103394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Relationship Id="rId46" Type="http://schemas.openxmlformats.org/officeDocument/2006/relationships/hyperlink" Target="https://app.clickup.com/t/9010122869/86ahv69fj" TargetMode="External"/><Relationship Id="rId59" Type="http://schemas.openxmlformats.org/officeDocument/2006/relationships/hyperlink" Target="https://app.clickup.com/t/9010122869/86ahv69g0" TargetMode="External"/><Relationship Id="rId67" Type="http://schemas.openxmlformats.org/officeDocument/2006/relationships/hyperlink" Target="https://jira.adorama.com/browse/MKT-103361" TargetMode="External"/><Relationship Id="rId20" Type="http://schemas.openxmlformats.org/officeDocument/2006/relationships/hyperlink" Target="https://jira.adorama.com/browse/MKT-103040" TargetMode="External"/><Relationship Id="rId41" Type="http://schemas.openxmlformats.org/officeDocument/2006/relationships/hyperlink" Target="https://app.clickup.com/t/9010122869/86ahv69fe" TargetMode="External"/><Relationship Id="rId54" Type="http://schemas.openxmlformats.org/officeDocument/2006/relationships/hyperlink" Target="https://app.bluecore.com/admin/campaigns/adorama/5227436333457408" TargetMode="External"/><Relationship Id="rId62" Type="http://schemas.openxmlformats.org/officeDocument/2006/relationships/hyperlink" Target="https://app.bluecore.com/admin/campaigns/adorama/4713774384537600" TargetMode="External"/><Relationship Id="rId70" Type="http://schemas.openxmlformats.org/officeDocument/2006/relationships/hyperlink" Target="https://app.bluecore.com/admin/campaigns/adorama/4706919281188864" TargetMode="External"/><Relationship Id="rId75" Type="http://schemas.openxmlformats.org/officeDocument/2006/relationships/hyperlink" Target="https://app.clickup.com/t/9010122869/86ahyhqup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49" Type="http://schemas.openxmlformats.org/officeDocument/2006/relationships/hyperlink" Target="https://app.bluecore.com/admin/campaigns/adorama/5642474475085824?viewTab=summary" TargetMode="External"/><Relationship Id="rId57" Type="http://schemas.openxmlformats.org/officeDocument/2006/relationships/hyperlink" Target="https://app.bluecore.com/admin/campaigns/adorama/6438219826454528" TargetMode="External"/><Relationship Id="rId10" Type="http://schemas.openxmlformats.org/officeDocument/2006/relationships/hyperlink" Target="https://app.bluecore.com/admin/campaigns/adorama/5627261038223360" TargetMode="External"/><Relationship Id="rId31" Type="http://schemas.openxmlformats.org/officeDocument/2006/relationships/hyperlink" Target="https://app.bluecore.com/admin/campaigns/adorama/5531449167831040" TargetMode="External"/><Relationship Id="rId44" Type="http://schemas.openxmlformats.org/officeDocument/2006/relationships/hyperlink" Target="https://app.bluecore.com/admin/campaigns/adorama/6087564217671680" TargetMode="External"/><Relationship Id="rId52" Type="http://schemas.openxmlformats.org/officeDocument/2006/relationships/hyperlink" Target="https://app.clickup.com/t/9010122869/86ahwyeyb" TargetMode="External"/><Relationship Id="rId60" Type="http://schemas.openxmlformats.org/officeDocument/2006/relationships/hyperlink" Target="https://jira.adorama.com/browse/MKT-103292" TargetMode="External"/><Relationship Id="rId65" Type="http://schemas.openxmlformats.org/officeDocument/2006/relationships/hyperlink" Target="https://app.bluecore.com/admin/campaigns/adorama/5363057140031488?viewTab=summary" TargetMode="External"/><Relationship Id="rId73" Type="http://schemas.openxmlformats.org/officeDocument/2006/relationships/hyperlink" Target="https://app.clickup.com/t/9010122869/86ahyhquj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39" Type="http://schemas.openxmlformats.org/officeDocument/2006/relationships/hyperlink" Target="https://jira.adorama.com/browse/MKT-103301" TargetMode="External"/><Relationship Id="rId34" Type="http://schemas.openxmlformats.org/officeDocument/2006/relationships/hyperlink" Target="https://jira.adorama.com/browse/MKT-103105" TargetMode="External"/><Relationship Id="rId50" Type="http://schemas.openxmlformats.org/officeDocument/2006/relationships/hyperlink" Target="https://app.clickup.com/t/9010122869/86ahwyey7" TargetMode="External"/><Relationship Id="rId55" Type="http://schemas.openxmlformats.org/officeDocument/2006/relationships/hyperlink" Target="https://app.clickup.com/t/9010122869/86ahv69fr" TargetMode="External"/><Relationship Id="rId76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71" Type="http://schemas.openxmlformats.org/officeDocument/2006/relationships/hyperlink" Target="https://app.clickup.com/t/9010122869/86ahyhqu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13" Type="http://schemas.openxmlformats.org/officeDocument/2006/relationships/hyperlink" Target="https://teams.microsoft.com/l/message/19:e8e45d54914640ea878fe0171aa48fdc@thread.v2/1781212008047?context=%7B%22contextType%22%3A%22chat%22%7D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12" Type="http://schemas.openxmlformats.org/officeDocument/2006/relationships/hyperlink" Target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hyperlink" Target="https://ui.attentivemobile.com/campaigns/messages/MTQ6Q29tcG9zZU1lc3NhZ2UxMTI4ODMy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N14" sqref="N14"/>
    </sheetView>
  </sheetViews>
  <sheetFormatPr defaultRowHeight="15"/>
  <cols>
    <col min="1" max="1" width="28.625" style="3" customWidth="1"/>
    <col min="2" max="2" width="24.625" style="3" customWidth="1"/>
    <col min="3" max="3" width="15.625" style="3" customWidth="1"/>
    <col min="4" max="4" width="32.625" style="19" customWidth="1"/>
    <col min="5" max="5" width="14.625" style="3" customWidth="1"/>
    <col min="6" max="6" width="42.625" style="4" customWidth="1"/>
    <col min="7" max="7" width="16.625" style="3" customWidth="1"/>
    <col min="8" max="9" width="12.625" style="3" customWidth="1"/>
    <col min="10" max="12" width="11.625" style="3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7" t="s">
        <v>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21" t="s">
        <v>5</v>
      </c>
      <c r="B3" s="21" t="str">
        <f ca="1">TEXT(NOW(),"m/d/yyyy h:mm AM/PM")</f>
        <v>6/14/2026 11:31 pm</v>
      </c>
      <c r="C3" s="22" t="s">
        <v>6</v>
      </c>
      <c r="D3" s="12" t="str">
        <f>$AA$3</f>
        <v>Kim Chim</v>
      </c>
      <c r="E3" s="4"/>
      <c r="G3" s="4"/>
      <c r="H3" s="4"/>
      <c r="I3" s="4"/>
      <c r="J3" s="4"/>
      <c r="K3" s="4"/>
      <c r="L3" s="4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 ht="15" customHeight="1">
      <c r="A4" s="89" t="s">
        <v>7</v>
      </c>
      <c r="B4" s="90"/>
      <c r="C4" s="107" t="s">
        <v>8</v>
      </c>
      <c r="D4" s="108"/>
      <c r="E4" s="101" t="s">
        <v>9</v>
      </c>
      <c r="F4" s="102"/>
      <c r="G4" s="95" t="s">
        <v>10</v>
      </c>
      <c r="H4" s="96"/>
      <c r="I4" s="89" t="s">
        <v>11</v>
      </c>
      <c r="J4" s="90"/>
      <c r="K4" s="83" t="s">
        <v>12</v>
      </c>
      <c r="L4" s="84"/>
      <c r="M4" s="83" t="s">
        <v>263</v>
      </c>
      <c r="N4" s="84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87">
        <f>E5+G5</f>
        <v>6</v>
      </c>
      <c r="B5" s="88"/>
      <c r="C5" s="105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2</v>
      </c>
      <c r="D5" s="106"/>
      <c r="E5" s="99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5</v>
      </c>
      <c r="F5" s="100"/>
      <c r="G5" s="93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H5" s="94"/>
      <c r="I5" s="87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4</v>
      </c>
      <c r="J5" s="88"/>
      <c r="K5" s="81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30</v>
      </c>
      <c r="L5" s="82"/>
      <c r="M5" s="81" t="str">
        <f ca="1">WEEKNUM(TODAY(),1)&amp;"-"&amp;WEEKNUM(TODAY()+7,1)</f>
        <v>25-26</v>
      </c>
      <c r="N5" s="82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 ht="15" customHeight="1">
      <c r="A6" s="85" t="s">
        <v>13</v>
      </c>
      <c r="B6" s="86"/>
      <c r="C6" s="103" t="s">
        <v>14</v>
      </c>
      <c r="D6" s="104"/>
      <c r="E6" s="97" t="s">
        <v>15</v>
      </c>
      <c r="F6" s="98"/>
      <c r="G6" s="91" t="s">
        <v>16</v>
      </c>
      <c r="H6" s="92"/>
      <c r="I6" s="85" t="s">
        <v>17</v>
      </c>
      <c r="J6" s="86"/>
      <c r="K6" s="79" t="s">
        <v>18</v>
      </c>
      <c r="L6" s="80"/>
      <c r="M6" s="79" t="s">
        <v>264</v>
      </c>
      <c r="N6" s="80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75" t="s">
        <v>19</v>
      </c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74" t="s">
        <v>20</v>
      </c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23" t="s">
        <v>21</v>
      </c>
      <c r="B10" s="24" t="s">
        <v>22</v>
      </c>
      <c r="C10" s="23" t="s">
        <v>23</v>
      </c>
      <c r="D10" s="14" t="s">
        <v>24</v>
      </c>
      <c r="E10" s="23" t="s">
        <v>25</v>
      </c>
      <c r="F10" s="23" t="s">
        <v>26</v>
      </c>
      <c r="G10" s="23" t="s">
        <v>27</v>
      </c>
      <c r="H10" s="23" t="s">
        <v>28</v>
      </c>
      <c r="I10" s="23" t="s">
        <v>29</v>
      </c>
      <c r="J10" s="23" t="s">
        <v>30</v>
      </c>
      <c r="K10" s="23" t="s">
        <v>31</v>
      </c>
      <c r="L10" s="23" t="s">
        <v>32</v>
      </c>
      <c r="M10" s="71" t="s">
        <v>263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 ht="45">
      <c r="A11" s="63" cm="1">
        <f t="array" aca="1" ref="A11" ca="1">IFERROR(INDEX(_xlfn.ANCHORARRAY($AA$11),ROW()-10,1),"")</f>
        <v>46187</v>
      </c>
      <c r="B11" s="25" cm="1">
        <f t="array" aca="1" ref="B11" ca="1">IFERROR(INDEX(_xlfn.ANCHORARRAY($AA$11),ROW()-10,2),"")</f>
        <v>0.375</v>
      </c>
      <c r="C11" s="26" t="str" cm="1">
        <f t="array" aca="1" ref="C11" ca="1">IFERROR(INDEX(_xlfn.ANCHORARRAY($AA$11),ROW()-10,3),"")</f>
        <v>Email</v>
      </c>
      <c r="D11" s="15" t="str" cm="1">
        <f t="array" aca="1" ref="D11" ca="1">IFERROR(INDEX(_xlfn.ANCHORARRAY($AA$11),ROW()-10,4),"")</f>
        <v>061426-09AM-Event-EM1-FIFA-World-Cup-2026-P-G-NA-GLP</v>
      </c>
      <c r="E11" s="26" t="str" cm="1">
        <f t="array" aca="1" ref="E11" ca="1">IFERROR(INDEX(_xlfn.ANCHORARRAY($AA$11),ROW()-10,5),"")</f>
        <v>Events</v>
      </c>
      <c r="F11" s="26" t="str" cm="1">
        <f t="array" aca="1" ref="F11" ca="1">IFERROR(INDEX(_xlfn.ANCHORARRAY($AA$11),ROW()-10,6),"")</f>
        <v>Checked: Campaign Name and UTM Parameter (Source Code), Creative Brief, SL &amp; PH, SKUs, In-Design, Build, QA, Route, Approval, Segments</v>
      </c>
      <c r="G11" s="26" t="str" cm="1">
        <f t="array" aca="1" ref="G11" ca="1">IFERROR(INDEX(_xlfn.ANCHORARRAY($AA$11),ROW()-10,7),"")</f>
        <v>Archim</v>
      </c>
      <c r="H11" s="26" t="str" cm="1">
        <f t="array" aca="1" ref="H11" ca="1">IFERROR(INDEX(_xlfn.ANCHORARRAY($AA$11),ROW()-10,8),"")</f>
        <v>Done</v>
      </c>
      <c r="I11" s="26" t="str" cm="1">
        <f t="array" aca="1" ref="I11" ca="1">IFERROR(INDEX(_xlfn.ANCHORARRAY($AA$11),ROW()-10,9),"")</f>
        <v>Provided</v>
      </c>
      <c r="J11" s="27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27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27" t="str" cm="1">
        <f t="array" aca="1" ref="L11" ca="1">_xlfn.LET(_xlpm.link,IFERROR(INDEX(_xlfn.ANCHORARRAY($AA$11),ROW()-10,12),""),IF(_xlpm.link="","",HYPERLINK(_xlpm.link,"Bluecore/Attentive")))</f>
        <v>Bluecore/Attentive</v>
      </c>
      <c r="M11" s="72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>Week 25</v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cm="1">
        <f t="array" aca="1" ref="AA11:AL18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46187</v>
      </c>
      <c r="AB11">
        <f ca="1"/>
        <v>0.375</v>
      </c>
      <c r="AC11" t="str">
        <f ca="1"/>
        <v>Email</v>
      </c>
      <c r="AD11" t="str">
        <f ca="1"/>
        <v>061426-09AM-Event-EM1-FIFA-World-Cup-2026-P-G-NA-GLP</v>
      </c>
      <c r="AE11" t="str">
        <f ca="1"/>
        <v>Events</v>
      </c>
      <c r="AF11" t="str">
        <f ca="1"/>
        <v>Checked: Campaign Name and UTM Parameter (Source Code), Creative Brief, SL &amp; PH, SKUs, In-Design, Build, QA, Route,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https://jira.adorama.com/browse/MKT-103306</v>
      </c>
      <c r="AK11" t="str">
        <f ca="1"/>
        <v>https://app.clickup.com/t/9010122869/86ahv69g7</v>
      </c>
      <c r="AL11" t="str">
        <f ca="1"/>
        <v>https://app.bluecore.com/admin/campaigns/adorama/4713774384537600</v>
      </c>
    </row>
    <row r="12" spans="1:38" ht="45">
      <c r="A12" s="63" cm="1">
        <f t="array" aca="1" ref="A12" ca="1">IFERROR(INDEX(_xlfn.ANCHORARRAY($AA$11),ROW()-10,1),"")</f>
        <v>46187</v>
      </c>
      <c r="B12" s="25" cm="1">
        <f t="array" aca="1" ref="B12" ca="1">IFERROR(INDEX(_xlfn.ANCHORARRAY($AA$11),ROW()-10,2),"")</f>
        <v>0.41666666666666669</v>
      </c>
      <c r="C12" s="4" t="str" cm="1">
        <f t="array" aca="1" ref="C12" ca="1">IFERROR(INDEX(_xlfn.ANCHORARRAY($AA$11),ROW()-10,3),"")</f>
        <v>Email</v>
      </c>
      <c r="D12" s="13" t="str" cm="1">
        <f t="array" aca="1" ref="D12" ca="1">IFERROR(INDEX(_xlfn.ANCHORARRAY($AA$11),ROW()-10,4),"")</f>
        <v>061426-10AM-Event-EM2-ABS-Giveaway-P-B-NA-GLP</v>
      </c>
      <c r="E12" s="4" t="str" cm="1">
        <f t="array" aca="1" ref="E12" ca="1">IFERROR(INDEX(_xlfn.ANCHORARRAY($AA$11),ROW()-10,5),"")</f>
        <v>Events</v>
      </c>
      <c r="F12" s="4" t="str" cm="1">
        <f t="array" aca="1" ref="F12" ca="1">IFERROR(INDEX(_xlfn.ANCHORARRAY($AA$11),ROW()-10,6),"")</f>
        <v>Checked: Campaign Name and UTM Parameter (Source Code), Creative Brief, SL &amp; PH, SKUs, In-Design, Build, QA, Route, Approval, Segments</v>
      </c>
      <c r="G12" s="4" t="str" cm="1">
        <f t="array" aca="1" ref="G12" ca="1">IFERROR(INDEX(_xlfn.ANCHORARRAY($AA$11),ROW()-10,7),"")</f>
        <v>Jed</v>
      </c>
      <c r="H12" s="4" t="str" cm="1">
        <f t="array" aca="1" ref="H12" ca="1">IFERROR(INDEX(_xlfn.ANCHORARRAY($AA$11),ROW()-10,8),"")</f>
        <v>Done</v>
      </c>
      <c r="I12" s="4" t="str" cm="1">
        <f t="array" aca="1" ref="I12" ca="1">IFERROR(INDEX(_xlfn.ANCHORARRAY($AA$11),ROW()-10,9),"")</f>
        <v>Provided</v>
      </c>
      <c r="J12" s="27" t="str">
        <f t="shared" ca="1" si="0"/>
        <v>JIRA</v>
      </c>
      <c r="K12" s="26" t="str">
        <f t="shared" ca="1" si="1"/>
        <v>ClickUp</v>
      </c>
      <c r="L12" s="26" t="str" cm="1">
        <f t="array" aca="1" ref="L12" ca="1">_xlfn.LET(_xlpm.link,IFERROR(INDEX(_xlfn.ANCHORARRAY($AA$11),ROW()-10,12),""),IF(_xlpm.link="","",HYPERLINK(_xlpm.link,"Bluecore/Attentive")))</f>
        <v>Bluecore/Attentive</v>
      </c>
      <c r="M12" s="73" t="str">
        <f t="shared" ca="1" si="2"/>
        <v>Week 25</v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>
        <f ca="1"/>
        <v>46187</v>
      </c>
      <c r="AB12">
        <f ca="1"/>
        <v>0.41666666666666669</v>
      </c>
      <c r="AC12" t="str">
        <f ca="1"/>
        <v>Email</v>
      </c>
      <c r="AD12" t="str">
        <f ca="1"/>
        <v>061426-10AM-Event-EM2-ABS-Giveaway-P-B-NA-GLP</v>
      </c>
      <c r="AE12" t="str">
        <f ca="1"/>
        <v>Events</v>
      </c>
      <c r="AF12" t="str">
        <f ca="1"/>
        <v>Checked: Campaign Name and UTM Parameter (Source Code), Creative Brief, SL &amp; PH, SKUs, In-Design, Build, QA, Route, Approval, Segments</v>
      </c>
      <c r="AG12" t="str">
        <f ca="1"/>
        <v>Jed</v>
      </c>
      <c r="AH12" t="str">
        <f ca="1"/>
        <v>Done</v>
      </c>
      <c r="AI12" t="str">
        <f ca="1"/>
        <v>Provided</v>
      </c>
      <c r="AJ12" t="str">
        <f ca="1"/>
        <v>https://jira.adorama.com/browse/MKT-103361</v>
      </c>
      <c r="AK12" t="str">
        <f ca="1"/>
        <v>https://app.clickup.com/t/9010122869/86aj0erre</v>
      </c>
      <c r="AL12" t="str">
        <f ca="1"/>
        <v>https://app.bluecore.com/admin/campaigns/adorama/5363057140031488?viewTab=summary</v>
      </c>
    </row>
    <row r="13" spans="1:38" ht="45">
      <c r="A13" s="63" cm="1">
        <f t="array" aca="1" ref="A13" ca="1">IFERROR(INDEX(_xlfn.ANCHORARRAY($AA$11),ROW()-10,1),"")</f>
        <v>46188</v>
      </c>
      <c r="B13" s="25" cm="1">
        <f t="array" aca="1" ref="B13" ca="1">IFERROR(INDEX(_xlfn.ANCHORARRAY($AA$11),ROW()-10,2),"")</f>
        <v>0.29166666666666669</v>
      </c>
      <c r="C13" s="4" t="str" cm="1">
        <f t="array" aca="1" ref="C13" ca="1">IFERROR(INDEX(_xlfn.ANCHORARRAY($AA$11),ROW()-10,3),"")</f>
        <v>Email</v>
      </c>
      <c r="D13" s="13" t="str" cm="1">
        <f t="array" aca="1" ref="D13" ca="1">IFERROR(INDEX(_xlfn.ANCHORARRAY($AA$11),ROW()-10,4),"")</f>
        <v>061526-07AM-Promo-EM2-24-Hour-Sale-P-G-GLP</v>
      </c>
      <c r="E13" s="4" t="str" cm="1">
        <f t="array" aca="1" ref="E13" ca="1">IFERROR(INDEX(_xlfn.ANCHORARRAY($AA$11),ROW()-10,5),"")</f>
        <v>Promo</v>
      </c>
      <c r="F13" s="4" t="str" cm="1">
        <f t="array" aca="1" ref="F13" ca="1">IFERROR(INDEX(_xlfn.ANCHORARRAY($AA$11),ROW()-10,6),"")</f>
        <v>Checked: Campaign Name and UTM Parameter (Source Code), Creative Brief, SL &amp; PH, SKUs, In-Design, Build, QA, Route, Approval, Segments</v>
      </c>
      <c r="G13" s="4" t="str" cm="1">
        <f t="array" aca="1" ref="G13" ca="1">IFERROR(INDEX(_xlfn.ANCHORARRAY($AA$11),ROW()-10,7),"")</f>
        <v>Archim</v>
      </c>
      <c r="H13" s="4" t="str" cm="1">
        <f t="array" aca="1" ref="H13" ca="1">IFERROR(INDEX(_xlfn.ANCHORARRAY($AA$11),ROW()-10,8),"")</f>
        <v>Done</v>
      </c>
      <c r="I13" s="4" t="str" cm="1">
        <f t="array" aca="1" ref="I13" ca="1">IFERROR(INDEX(_xlfn.ANCHORARRAY($AA$11),ROW()-10,9),"")</f>
        <v>Provided</v>
      </c>
      <c r="J13" s="27" t="str">
        <f t="shared" ca="1" si="0"/>
        <v>JIRA</v>
      </c>
      <c r="K13" s="28" t="str">
        <f t="shared" ca="1" si="1"/>
        <v>ClickUp</v>
      </c>
      <c r="L13" s="28" t="str" cm="1">
        <f t="array" aca="1" ref="L13" ca="1">_xlfn.LET(_xlpm.link,IFERROR(INDEX(_xlfn.ANCHORARRAY($AA$11),ROW()-10,12),""),IF(_xlpm.link="","",HYPERLINK(_xlpm.link,"Bluecore/Attentive")))</f>
        <v>Bluecore/Attentive</v>
      </c>
      <c r="M13" s="72" t="str">
        <f t="shared" ca="1" si="2"/>
        <v>Week 25</v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>
        <f ca="1"/>
        <v>46188</v>
      </c>
      <c r="AB13">
        <f ca="1"/>
        <v>0.29166666666666669</v>
      </c>
      <c r="AC13" t="str">
        <f ca="1"/>
        <v>Email</v>
      </c>
      <c r="AD13" t="str">
        <f ca="1"/>
        <v>061526-07AM-Promo-EM2-24-Hour-Sale-P-G-GLP</v>
      </c>
      <c r="AE13" t="str">
        <f ca="1"/>
        <v>Promo</v>
      </c>
      <c r="AF13" t="str">
        <f ca="1"/>
        <v>Checked: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https://jira.adorama.com/browse/MKT-103362</v>
      </c>
      <c r="AK13" t="str">
        <f ca="1"/>
        <v>https://app.clickup.com/t/9010122869/86ahv69gh</v>
      </c>
      <c r="AL13" t="str">
        <f ca="1"/>
        <v>https://app.bluecore.com/admin/campaigns/adorama/4706919281188864</v>
      </c>
    </row>
    <row r="14" spans="1:38" ht="45">
      <c r="A14" s="63" cm="1">
        <f t="array" aca="1" ref="A14" ca="1">IFERROR(INDEX(_xlfn.ANCHORARRAY($AA$11),ROW()-10,1),"")</f>
        <v>46190</v>
      </c>
      <c r="B14" s="25" t="str" cm="1">
        <f t="array" aca="1" ref="B14" ca="1">IFERROR(INDEX(_xlfn.ANCHORARRAY($AA$11),ROW()-10,2),"")</f>
        <v>STO</v>
      </c>
      <c r="C14" s="4" t="str" cm="1">
        <f t="array" aca="1" ref="C14" ca="1">IFERROR(INDEX(_xlfn.ANCHORARRAY($AA$11),ROW()-10,3),"")</f>
        <v>Email</v>
      </c>
      <c r="D14" s="13" t="str" cm="1">
        <f t="array" aca="1" ref="D14" ca="1">IFERROR(INDEX(_xlfn.ANCHORARRAY($AA$11),ROW()-10,4),"")</f>
        <v>061726-STO-Services-Trade-P-B-NA-GLP</v>
      </c>
      <c r="E14" s="4" t="str" cm="1">
        <f t="array" aca="1" ref="E14" ca="1">IFERROR(INDEX(_xlfn.ANCHORARRAY($AA$11),ROW()-10,5),"")</f>
        <v>Services</v>
      </c>
      <c r="F14" s="4" t="str" cm="1">
        <f t="array" aca="1" ref="F14" ca="1">IFERROR(INDEX(_xlfn.ANCHORARRAY($AA$11),ROW()-10,6),"")</f>
        <v>Checked: Campaign Name and UTM Parameter (Source Code), Creative Brief, SL &amp; PH, SKUs, Segments</v>
      </c>
      <c r="G14" s="4" t="str" cm="1">
        <f t="array" aca="1" ref="G14" ca="1">IFERROR(INDEX(_xlfn.ANCHORARRAY($AA$11),ROW()-10,7),"")</f>
        <v>Archim</v>
      </c>
      <c r="H14" s="4" t="str" cm="1">
        <f t="array" aca="1" ref="H14" ca="1">IFERROR(INDEX(_xlfn.ANCHORARRAY($AA$11),ROW()-10,8),"")</f>
        <v>Not Yet</v>
      </c>
      <c r="I14" s="4" t="str" cm="1">
        <f t="array" aca="1" ref="I14" ca="1">IFERROR(INDEX(_xlfn.ANCHORARRAY($AA$11),ROW()-10,9),"")</f>
        <v>Provided</v>
      </c>
      <c r="J14" s="27" t="str">
        <f t="shared" ca="1" si="0"/>
        <v>JIRA</v>
      </c>
      <c r="K14" s="29" t="str">
        <f t="shared" ca="1" si="1"/>
        <v>ClickUp</v>
      </c>
      <c r="L14" s="29" t="str" cm="1">
        <f t="array" aca="1" ref="L14" ca="1">_xlfn.LET(_xlpm.link,IFERROR(INDEX(_xlfn.ANCHORARRAY($AA$11),ROW()-10,12),""),IF(_xlpm.link="","",HYPERLINK(_xlpm.link,"Bluecore/Attentive")))</f>
        <v>Bluecore/Attentive</v>
      </c>
      <c r="M14" s="73" t="str">
        <f t="shared" ca="1" si="2"/>
        <v>Week 25</v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>
        <f ca="1"/>
        <v>46190</v>
      </c>
      <c r="AB14" t="str">
        <f ca="1"/>
        <v>STO</v>
      </c>
      <c r="AC14" t="str">
        <f ca="1"/>
        <v>Email</v>
      </c>
      <c r="AD14" t="str">
        <f ca="1"/>
        <v>061726-STO-Services-Trade-P-B-NA-GLP</v>
      </c>
      <c r="AE14" t="str">
        <f ca="1"/>
        <v>Services</v>
      </c>
      <c r="AF14" t="str">
        <f ca="1"/>
        <v>Checked: Campaign Name and UTM Parameter (Source Code), Creative Brief, SL &amp; PH, SKUs, Segments</v>
      </c>
      <c r="AG14" t="str">
        <f ca="1"/>
        <v>Archim</v>
      </c>
      <c r="AH14" t="str">
        <f ca="1"/>
        <v>Not Yet</v>
      </c>
      <c r="AI14" t="str">
        <f ca="1"/>
        <v>Provided</v>
      </c>
      <c r="AJ14" t="str">
        <f ca="1"/>
        <v>https://jira.adorama.com/browse/MKT-103394</v>
      </c>
      <c r="AK14" t="str">
        <f ca="1"/>
        <v>https://app.clickup.com/t/9010122869/86ahyhque</v>
      </c>
      <c r="AL14">
        <f ca="1"/>
        <v>0</v>
      </c>
    </row>
    <row r="15" spans="1:38" ht="30">
      <c r="A15" s="63" cm="1">
        <f t="array" aca="1" ref="A15" ca="1">IFERROR(INDEX(_xlfn.ANCHORARRAY($AA$11),ROW()-10,1),"")</f>
        <v>46191</v>
      </c>
      <c r="B15" s="25" cm="1">
        <f t="array" aca="1" ref="B15" ca="1">IFERROR(INDEX(_xlfn.ANCHORARRAY($AA$11),ROW()-10,2),"")</f>
        <v>0</v>
      </c>
      <c r="C15" s="4" t="str" cm="1">
        <f t="array" aca="1" ref="C15" ca="1">IFERROR(INDEX(_xlfn.ANCHORARRAY($AA$11),ROW()-10,3),"")</f>
        <v>Email</v>
      </c>
      <c r="D15" s="13" t="str" cm="1">
        <f t="array" aca="1" ref="D15" ca="1">IFERROR(INDEX(_xlfn.ANCHORARRAY($AA$11),ROW()-10,4),"")</f>
        <v>TBD</v>
      </c>
      <c r="E15" s="4" t="str" cm="1">
        <f t="array" aca="1" ref="E15" ca="1">IFERROR(INDEX(_xlfn.ANCHORARRAY($AA$11),ROW()-10,5),"")</f>
        <v>Loyalty &amp; PLCC</v>
      </c>
      <c r="F15" s="4" t="str" cm="1">
        <f t="array" aca="1" ref="F15" ca="1">IFERROR(INDEX(_xlfn.ANCHORARRAY($AA$11),ROW()-10,6),"")</f>
        <v>Checked: SKUs</v>
      </c>
      <c r="G15" s="4" t="str" cm="1">
        <f t="array" aca="1" ref="G15" ca="1">IFERROR(INDEX(_xlfn.ANCHORARRAY($AA$11),ROW()-10,7),"")</f>
        <v>Archim</v>
      </c>
      <c r="H15" s="4" t="str" cm="1">
        <f t="array" aca="1" ref="H15" ca="1">IFERROR(INDEX(_xlfn.ANCHORARRAY($AA$11),ROW()-10,8),"")</f>
        <v>Not Yet</v>
      </c>
      <c r="I15" s="4" t="str" cm="1">
        <f t="array" aca="1" ref="I15" ca="1">IFERROR(INDEX(_xlfn.ANCHORARRAY($AA$11),ROW()-10,9),"")</f>
        <v>Pending</v>
      </c>
      <c r="J15" s="27" t="str">
        <f t="shared" ca="1" si="0"/>
        <v>JIRA</v>
      </c>
      <c r="K15" s="26" t="str">
        <f t="shared" ca="1" si="1"/>
        <v>ClickUp</v>
      </c>
      <c r="L15" s="26" t="str" cm="1">
        <f t="array" aca="1" ref="L15" ca="1">_xlfn.LET(_xlpm.link,IFERROR(INDEX(_xlfn.ANCHORARRAY($AA$11),ROW()-10,12),""),IF(_xlpm.link="","",HYPERLINK(_xlpm.link,"Bluecore/Attentive")))</f>
        <v>Bluecore/Attentive</v>
      </c>
      <c r="M15" s="72" t="str">
        <f t="shared" ca="1" si="2"/>
        <v>Week 25</v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>
        <f ca="1"/>
        <v>46191</v>
      </c>
      <c r="AB15">
        <f ca="1"/>
        <v>0</v>
      </c>
      <c r="AC15" t="str">
        <f ca="1"/>
        <v>Email</v>
      </c>
      <c r="AD15" t="str">
        <f ca="1"/>
        <v>TBD</v>
      </c>
      <c r="AE15" t="str">
        <f ca="1"/>
        <v>Loyalty &amp; PLCC</v>
      </c>
      <c r="AF15" t="str">
        <f ca="1"/>
        <v>Checked: SKUs</v>
      </c>
      <c r="AG15" t="str">
        <f ca="1"/>
        <v>Archim</v>
      </c>
      <c r="AH15" t="str">
        <f ca="1"/>
        <v>Not Yet</v>
      </c>
      <c r="AI15" t="str">
        <f ca="1"/>
        <v>Pending</v>
      </c>
      <c r="AJ15">
        <f ca="1"/>
        <v>0</v>
      </c>
      <c r="AK15" t="str">
        <f ca="1"/>
        <v>https://app.clickup.com/t/9010122869/86ahyhquj</v>
      </c>
      <c r="AL15">
        <f ca="1"/>
        <v>0</v>
      </c>
    </row>
    <row r="16" spans="1:38" ht="30">
      <c r="A16" s="64" cm="1">
        <f t="array" aca="1" ref="A16" ca="1">IFERROR(INDEX(_xlfn.ANCHORARRAY($AA$11),ROW()-10,1),"")</f>
        <v>46192</v>
      </c>
      <c r="B16" s="11" cm="1">
        <f t="array" aca="1" ref="B16" ca="1">IFERROR(INDEX(_xlfn.ANCHORARRAY($AA$11),ROW()-10,2),"")</f>
        <v>0</v>
      </c>
      <c r="C16" s="4" t="str" cm="1">
        <f t="array" aca="1" ref="C16" ca="1">IFERROR(INDEX(_xlfn.ANCHORARRAY($AA$11),ROW()-10,3),"")</f>
        <v>Email</v>
      </c>
      <c r="D16" s="13" t="str" cm="1">
        <f t="array" aca="1" ref="D16" ca="1">IFERROR(INDEX(_xlfn.ANCHORARRAY($AA$11),ROW()-10,4),"")</f>
        <v>TBD</v>
      </c>
      <c r="E16" s="4" t="str" cm="1">
        <f t="array" aca="1" ref="E16" ca="1">IFERROR(INDEX(_xlfn.ANCHORARRAY($AA$11),ROW()-10,5),"")</f>
        <v>Promo</v>
      </c>
      <c r="F16" s="4" t="str" cm="1">
        <f t="array" aca="1" ref="F16" ca="1">IFERROR(INDEX(_xlfn.ANCHORARRAY($AA$11),ROW()-10,6),"")</f>
        <v>Checked: SKUs</v>
      </c>
      <c r="G16" s="4" t="str" cm="1">
        <f t="array" aca="1" ref="G16" ca="1">IFERROR(INDEX(_xlfn.ANCHORARRAY($AA$11),ROW()-10,7),"")</f>
        <v>Archim</v>
      </c>
      <c r="H16" s="4" t="str" cm="1">
        <f t="array" aca="1" ref="H16" ca="1">IFERROR(INDEX(_xlfn.ANCHORARRAY($AA$11),ROW()-10,8),"")</f>
        <v>Not Yet</v>
      </c>
      <c r="I16" s="4" t="str" cm="1">
        <f t="array" aca="1" ref="I16" ca="1">IFERROR(INDEX(_xlfn.ANCHORARRAY($AA$11),ROW()-10,9),"")</f>
        <v>Pending</v>
      </c>
      <c r="J16" s="27" t="str">
        <f t="shared" ca="1" si="0"/>
        <v>JIRA</v>
      </c>
      <c r="K16" s="29" t="str">
        <f t="shared" ca="1" si="1"/>
        <v>ClickUp</v>
      </c>
      <c r="L16" s="29" t="str" cm="1">
        <f t="array" aca="1" ref="L16" ca="1">_xlfn.LET(_xlpm.link,IFERROR(INDEX(_xlfn.ANCHORARRAY($AA$11),ROW()-10,12),""),IF(_xlpm.link="","",HYPERLINK(_xlpm.link,"Bluecore/Attentive")))</f>
        <v>Bluecore/Attentive</v>
      </c>
      <c r="M16" s="73" t="str">
        <f t="shared" ca="1" si="2"/>
        <v>Week 25</v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>
        <f ca="1"/>
        <v>46192</v>
      </c>
      <c r="AB16">
        <f ca="1"/>
        <v>0</v>
      </c>
      <c r="AC16" t="str">
        <f ca="1"/>
        <v>Email</v>
      </c>
      <c r="AD16" t="str">
        <f ca="1"/>
        <v>TBD</v>
      </c>
      <c r="AE16" t="str">
        <f ca="1"/>
        <v>Promo</v>
      </c>
      <c r="AF16" t="str">
        <f ca="1"/>
        <v>Checked: SKUs</v>
      </c>
      <c r="AG16" t="str">
        <f ca="1"/>
        <v>Archim</v>
      </c>
      <c r="AH16" t="str">
        <f ca="1"/>
        <v>Not Yet</v>
      </c>
      <c r="AI16" t="str">
        <f ca="1"/>
        <v>Pending</v>
      </c>
      <c r="AJ16">
        <f ca="1"/>
        <v>0</v>
      </c>
      <c r="AK16" t="str">
        <f ca="1"/>
        <v>https://app.clickup.com/t/9010122869/86ahyhqum</v>
      </c>
      <c r="AL16">
        <f ca="1"/>
        <v>0</v>
      </c>
    </row>
    <row r="17" spans="1:38" ht="30">
      <c r="A17" s="64" cm="1">
        <f t="array" aca="1" ref="A17" ca="1">IFERROR(INDEX(_xlfn.ANCHORARRAY($AA$11),ROW()-10,1),"")</f>
        <v>46193</v>
      </c>
      <c r="B17" s="11" cm="1">
        <f t="array" aca="1" ref="B17" ca="1">IFERROR(INDEX(_xlfn.ANCHORARRAY($AA$11),ROW()-10,2),"")</f>
        <v>0</v>
      </c>
      <c r="C17" s="4" t="str" cm="1">
        <f t="array" aca="1" ref="C17" ca="1">IFERROR(INDEX(_xlfn.ANCHORARRAY($AA$11),ROW()-10,3),"")</f>
        <v>Email</v>
      </c>
      <c r="D17" s="13" t="str" cm="1">
        <f t="array" aca="1" ref="D17" ca="1">IFERROR(INDEX(_xlfn.ANCHORARRAY($AA$11),ROW()-10,4),"")</f>
        <v>TBD</v>
      </c>
      <c r="E17" s="4" t="str" cm="1">
        <f t="array" aca="1" ref="E17" ca="1">IFERROR(INDEX(_xlfn.ANCHORARRAY($AA$11),ROW()-10,5),"")</f>
        <v>Newsletters</v>
      </c>
      <c r="F17" s="4" t="str" cm="1">
        <f t="array" aca="1" ref="F17" ca="1">IFERROR(INDEX(_xlfn.ANCHORARRAY($AA$11),ROW()-10,6),"")</f>
        <v>No checklist items checked</v>
      </c>
      <c r="G17" s="4" t="str" cm="1">
        <f t="array" aca="1" ref="G17" ca="1">IFERROR(INDEX(_xlfn.ANCHORARRAY($AA$11),ROW()-10,7),"")</f>
        <v>Archim</v>
      </c>
      <c r="H17" s="4" t="str" cm="1">
        <f t="array" aca="1" ref="H17" ca="1">IFERROR(INDEX(_xlfn.ANCHORARRAY($AA$11),ROW()-10,8),"")</f>
        <v>Not Yet</v>
      </c>
      <c r="I17" s="4" t="str" cm="1">
        <f t="array" aca="1" ref="I17" ca="1">IFERROR(INDEX(_xlfn.ANCHORARRAY($AA$11),ROW()-10,9),"")</f>
        <v>Pending</v>
      </c>
      <c r="J17" s="4" t="str">
        <f t="shared" ca="1" si="0"/>
        <v>JIRA</v>
      </c>
      <c r="K17" s="4" t="str">
        <f t="shared" ca="1" si="1"/>
        <v>ClickUp</v>
      </c>
      <c r="L17" s="4" t="str" cm="1">
        <f t="array" aca="1" ref="L17" ca="1">_xlfn.LET(_xlpm.link,IFERROR(INDEX(_xlfn.ANCHORARRAY($AA$11),ROW()-10,12),""),IF(_xlpm.link="","",HYPERLINK(_xlpm.link,"Bluecore/Attentive")))</f>
        <v>Bluecore/Attentive</v>
      </c>
      <c r="M17" s="72" t="str">
        <f t="shared" ca="1" si="2"/>
        <v>Week 25</v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>
        <f ca="1"/>
        <v>46193</v>
      </c>
      <c r="AB17">
        <f ca="1"/>
        <v>0</v>
      </c>
      <c r="AC17" t="str">
        <f ca="1"/>
        <v>Email</v>
      </c>
      <c r="AD17" t="str">
        <f ca="1"/>
        <v>TBD</v>
      </c>
      <c r="AE17" t="str">
        <f ca="1"/>
        <v>Newsletters</v>
      </c>
      <c r="AF17" t="str">
        <f ca="1"/>
        <v>No checklist items checked</v>
      </c>
      <c r="AG17" t="str">
        <f ca="1"/>
        <v>Archim</v>
      </c>
      <c r="AH17" t="str">
        <f ca="1"/>
        <v>Not Yet</v>
      </c>
      <c r="AI17" t="str">
        <f ca="1"/>
        <v>Pending</v>
      </c>
      <c r="AJ17">
        <f ca="1"/>
        <v>0</v>
      </c>
      <c r="AK17" t="str">
        <f ca="1"/>
        <v>https://app.clickup.com/t/9010122869/86ahyhqup</v>
      </c>
      <c r="AL17">
        <f ca="1"/>
        <v>0</v>
      </c>
    </row>
    <row r="18" spans="1:38">
      <c r="A18" s="64" cm="1">
        <f t="array" aca="1" ref="A18" ca="1">IFERROR(INDEX(_xlfn.ANCHORARRAY($AA$11),ROW()-10,1),"")</f>
        <v>46198</v>
      </c>
      <c r="B18" s="11" t="str" cm="1">
        <f t="array" aca="1" ref="B18" ca="1">IFERROR(INDEX(_xlfn.ANCHORARRAY($AA$11),ROW()-10,2),"")</f>
        <v>11:00:00 AM Local Timezone</v>
      </c>
      <c r="C18" s="4" t="str" cm="1">
        <f t="array" aca="1" ref="C18" ca="1">IFERROR(INDEX(_xlfn.ANCHORARRAY($AA$11),ROW()-10,3),"")</f>
        <v>SMS</v>
      </c>
      <c r="D18" s="13" t="str" cm="1">
        <f t="array" aca="1" ref="D18" ca="1">IFERROR(INDEX(_xlfn.ANCHORARRAY($AA$11),ROW()-10,4),"")</f>
        <v>TBD</v>
      </c>
      <c r="E18" s="4" t="str" cm="1">
        <f t="array" aca="1" ref="E18" ca="1">IFERROR(INDEX(_xlfn.ANCHORARRAY($AA$11),ROW()-10,5),"")</f>
        <v>Promo</v>
      </c>
      <c r="F18" s="4" t="str" cm="1">
        <f t="array" aca="1" ref="F18" ca="1">IFERROR(INDEX(_xlfn.ANCHORARRAY($AA$11),ROW()-10,6),"")</f>
        <v>Checked: Send SMS Options, Send Test, Approval, Segments</v>
      </c>
      <c r="G18" s="4" cm="1">
        <f t="array" aca="1" ref="G18" ca="1">IFERROR(INDEX(_xlfn.ANCHORARRAY($AA$11),ROW()-10,7),"")</f>
        <v>0</v>
      </c>
      <c r="H18" s="4" t="str" cm="1">
        <f t="array" aca="1" ref="H18" ca="1">IFERROR(INDEX(_xlfn.ANCHORARRAY($AA$11),ROW()-10,8),"")</f>
        <v>Done</v>
      </c>
      <c r="I18" s="4" t="str" cm="1">
        <f t="array" aca="1" ref="I18" ca="1">IFERROR(INDEX(_xlfn.ANCHORARRAY($AA$11),ROW()-10,9),"")</f>
        <v>Provided</v>
      </c>
      <c r="J18" s="4" t="str">
        <f t="shared" ca="1" si="0"/>
        <v/>
      </c>
      <c r="K18" s="4" t="str">
        <f t="shared" ca="1" si="1"/>
        <v/>
      </c>
      <c r="L18" s="4" t="str" cm="1">
        <f t="array" aca="1" ref="L18" ca="1">_xlfn.LET(_xlpm.link,IFERROR(INDEX(_xlfn.ANCHORARRAY($AA$11),ROW()-10,12),""),IF(_xlpm.link="","",HYPERLINK(_xlpm.link,"Bluecore/Attentive")))</f>
        <v>Bluecore/Attentive</v>
      </c>
      <c r="M18" s="73" t="str">
        <f t="shared" ca="1" si="2"/>
        <v>Week 26</v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>
        <f ca="1"/>
        <v>46198</v>
      </c>
      <c r="AB18" t="str">
        <f ca="1"/>
        <v>11:00:00 AM Local Timezone</v>
      </c>
      <c r="AC18" t="str">
        <f ca="1"/>
        <v>SMS</v>
      </c>
      <c r="AD18" t="str">
        <f ca="1"/>
        <v>TBD</v>
      </c>
      <c r="AE18" t="str">
        <f ca="1"/>
        <v>Promo</v>
      </c>
      <c r="AF18" t="str">
        <f ca="1"/>
        <v>Checked: Send SMS Options, Send Test, Approval, Segments</v>
      </c>
      <c r="AG18">
        <f ca="1"/>
        <v>0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64" t="str" cm="1">
        <f t="array" aca="1" ref="A19" ca="1">IFERROR(INDEX(_xlfn.ANCHORARRAY($AA$11),ROW()-10,1),"")</f>
        <v/>
      </c>
      <c r="B19" s="11" t="str" cm="1">
        <f t="array" aca="1" ref="B19" ca="1">IFERROR(INDEX(_xlfn.ANCHORARRAY($AA$11),ROW()-10,2),"")</f>
        <v/>
      </c>
      <c r="C19" s="4" t="str" cm="1">
        <f t="array" aca="1" ref="C19" ca="1">IFERROR(INDEX(_xlfn.ANCHORARRAY($AA$11),ROW()-10,3),"")</f>
        <v/>
      </c>
      <c r="D19" s="13" t="str" cm="1">
        <f t="array" aca="1" ref="D19" ca="1">IFERROR(INDEX(_xlfn.ANCHORARRAY($AA$11),ROW()-10,4),"")</f>
        <v/>
      </c>
      <c r="E19" s="4" t="str" cm="1">
        <f t="array" aca="1" ref="E19" ca="1">IFERROR(INDEX(_xlfn.ANCHORARRAY($AA$11),ROW()-10,5),"")</f>
        <v/>
      </c>
      <c r="F19" s="4" t="str" cm="1">
        <f t="array" aca="1" ref="F19" ca="1">IFERROR(INDEX(_xlfn.ANCHORARRAY($AA$11),ROW()-10,6),"")</f>
        <v/>
      </c>
      <c r="G19" s="4" t="str" cm="1">
        <f t="array" aca="1" ref="G19" ca="1">IFERROR(INDEX(_xlfn.ANCHORARRAY($AA$11),ROW()-10,7),"")</f>
        <v/>
      </c>
      <c r="H19" s="4" t="str" cm="1">
        <f t="array" aca="1" ref="H19" ca="1">IFERROR(INDEX(_xlfn.ANCHORARRAY($AA$11),ROW()-10,8),"")</f>
        <v/>
      </c>
      <c r="I19" s="4" t="str" cm="1">
        <f t="array" aca="1" ref="I19" ca="1">IFERROR(INDEX(_xlfn.ANCHORARRAY($AA$11),ROW()-10,9),"")</f>
        <v/>
      </c>
      <c r="J19" s="4" t="str">
        <f t="shared" ca="1" si="0"/>
        <v/>
      </c>
      <c r="K19" s="4" t="str">
        <f t="shared" ca="1" si="1"/>
        <v/>
      </c>
      <c r="L19" s="4" t="str" cm="1">
        <f t="array" aca="1" ref="L19" ca="1">_xlfn.LET(_xlpm.link,IFERROR(INDEX(_xlfn.ANCHORARRAY($AA$11),ROW()-10,12),""),IF(_xlpm.link="","",HYPERLINK(_xlpm.link,"Bluecore/Attentive")))</f>
        <v/>
      </c>
      <c r="M19" s="72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11" t="str" cm="1">
        <f t="array" aca="1" ref="B20" ca="1">IFERROR(INDEX(_xlfn.ANCHORARRAY($AA$11),ROW()-10,2),"")</f>
        <v/>
      </c>
      <c r="C20" s="4" t="str" cm="1">
        <f t="array" aca="1" ref="C20" ca="1">IFERROR(INDEX(_xlfn.ANCHORARRAY($AA$11),ROW()-10,3),"")</f>
        <v/>
      </c>
      <c r="D20" s="13" t="str" cm="1">
        <f t="array" aca="1" ref="D20" ca="1">IFERROR(INDEX(_xlfn.ANCHORARRAY($AA$11),ROW()-10,4),"")</f>
        <v/>
      </c>
      <c r="E20" s="4" t="str" cm="1">
        <f t="array" aca="1" ref="E20" ca="1">IFERROR(INDEX(_xlfn.ANCHORARRAY($AA$11),ROW()-10,5),"")</f>
        <v/>
      </c>
      <c r="F20" s="4" t="str" cm="1">
        <f t="array" aca="1" ref="F20" ca="1">IFERROR(INDEX(_xlfn.ANCHORARRAY($AA$11),ROW()-10,6),"")</f>
        <v/>
      </c>
      <c r="G20" s="4" t="str" cm="1">
        <f t="array" aca="1" ref="G20" ca="1">IFERROR(INDEX(_xlfn.ANCHORARRAY($AA$11),ROW()-10,7),"")</f>
        <v/>
      </c>
      <c r="H20" s="4" t="str" cm="1">
        <f t="array" aca="1" ref="H20" ca="1">IFERROR(INDEX(_xlfn.ANCHORARRAY($AA$11),ROW()-10,8),"")</f>
        <v/>
      </c>
      <c r="I20" s="4" t="str" cm="1">
        <f t="array" aca="1" ref="I20" ca="1">IFERROR(INDEX(_xlfn.ANCHORARRAY($AA$11),ROW()-10,9),"")</f>
        <v/>
      </c>
      <c r="J20" s="4" t="str">
        <f t="shared" ca="1" si="0"/>
        <v/>
      </c>
      <c r="K20" s="4" t="str">
        <f t="shared" ca="1" si="1"/>
        <v/>
      </c>
      <c r="L20" s="4" t="str" cm="1">
        <f t="array" aca="1" ref="L20" ca="1">_xlfn.LET(_xlpm.link,IFERROR(INDEX(_xlfn.ANCHORARRAY($AA$11),ROW()-10,12),""),IF(_xlpm.link="","",HYPERLINK(_xlpm.link,"Bluecore/Attentive")))</f>
        <v/>
      </c>
      <c r="M20" s="73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11" t="str" cm="1">
        <f t="array" aca="1" ref="B21" ca="1">IFERROR(INDEX(_xlfn.ANCHORARRAY($AA$11),ROW()-10,2),"")</f>
        <v/>
      </c>
      <c r="C21" s="4" t="str" cm="1">
        <f t="array" aca="1" ref="C21" ca="1">IFERROR(INDEX(_xlfn.ANCHORARRAY($AA$11),ROW()-10,3),"")</f>
        <v/>
      </c>
      <c r="D21" s="13" t="str" cm="1">
        <f t="array" aca="1" ref="D21" ca="1">IFERROR(INDEX(_xlfn.ANCHORARRAY($AA$11),ROW()-10,4),"")</f>
        <v/>
      </c>
      <c r="E21" s="4" t="str" cm="1">
        <f t="array" aca="1" ref="E21" ca="1">IFERROR(INDEX(_xlfn.ANCHORARRAY($AA$11),ROW()-10,5),"")</f>
        <v/>
      </c>
      <c r="F21" s="4" t="str" cm="1">
        <f t="array" aca="1" ref="F21" ca="1">IFERROR(INDEX(_xlfn.ANCHORARRAY($AA$11),ROW()-10,6),"")</f>
        <v/>
      </c>
      <c r="G21" s="4" t="str" cm="1">
        <f t="array" aca="1" ref="G21" ca="1">IFERROR(INDEX(_xlfn.ANCHORARRAY($AA$11),ROW()-10,7),"")</f>
        <v/>
      </c>
      <c r="H21" s="4" t="str" cm="1">
        <f t="array" aca="1" ref="H21" ca="1">IFERROR(INDEX(_xlfn.ANCHORARRAY($AA$11),ROW()-10,8),"")</f>
        <v/>
      </c>
      <c r="I21" s="4" t="str" cm="1">
        <f t="array" aca="1" ref="I21" ca="1">IFERROR(INDEX(_xlfn.ANCHORARRAY($AA$11),ROW()-10,9),"")</f>
        <v/>
      </c>
      <c r="J21" s="4" t="str">
        <f t="shared" ca="1" si="0"/>
        <v/>
      </c>
      <c r="K21" s="4" t="str">
        <f t="shared" ca="1" si="1"/>
        <v/>
      </c>
      <c r="L21" s="4" t="str" cm="1">
        <f t="array" aca="1" ref="L21" ca="1">_xlfn.LET(_xlpm.link,IFERROR(INDEX(_xlfn.ANCHORARRAY($AA$11),ROW()-10,12),""),IF(_xlpm.link="","",HYPERLINK(_xlpm.link,"Bluecore/Attentive")))</f>
        <v/>
      </c>
      <c r="M21" s="72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11" t="str" cm="1">
        <f t="array" aca="1" ref="B22" ca="1">IFERROR(INDEX(_xlfn.ANCHORARRAY($AA$11),ROW()-10,2),"")</f>
        <v/>
      </c>
      <c r="C22" s="4" t="str" cm="1">
        <f t="array" aca="1" ref="C22" ca="1">IFERROR(INDEX(_xlfn.ANCHORARRAY($AA$11),ROW()-10,3),"")</f>
        <v/>
      </c>
      <c r="D22" s="13" t="str" cm="1">
        <f t="array" aca="1" ref="D22" ca="1">IFERROR(INDEX(_xlfn.ANCHORARRAY($AA$11),ROW()-10,4),"")</f>
        <v/>
      </c>
      <c r="E22" s="4" t="str" cm="1">
        <f t="array" aca="1" ref="E22" ca="1">IFERROR(INDEX(_xlfn.ANCHORARRAY($AA$11),ROW()-10,5),"")</f>
        <v/>
      </c>
      <c r="F22" s="4" t="str" cm="1">
        <f t="array" aca="1" ref="F22" ca="1">IFERROR(INDEX(_xlfn.ANCHORARRAY($AA$11),ROW()-10,6),"")</f>
        <v/>
      </c>
      <c r="G22" s="4" t="str" cm="1">
        <f t="array" aca="1" ref="G22" ca="1">IFERROR(INDEX(_xlfn.ANCHORARRAY($AA$11),ROW()-10,7),"")</f>
        <v/>
      </c>
      <c r="H22" s="4" t="str" cm="1">
        <f t="array" aca="1" ref="H22" ca="1">IFERROR(INDEX(_xlfn.ANCHORARRAY($AA$11),ROW()-10,8),"")</f>
        <v/>
      </c>
      <c r="I22" s="4" t="str" cm="1">
        <f t="array" aca="1" ref="I22" ca="1">IFERROR(INDEX(_xlfn.ANCHORARRAY($AA$11),ROW()-10,9),"")</f>
        <v/>
      </c>
      <c r="J22" s="4" t="str">
        <f t="shared" ca="1" si="0"/>
        <v/>
      </c>
      <c r="K22" s="4" t="str">
        <f t="shared" ca="1" si="1"/>
        <v/>
      </c>
      <c r="L22" s="4" t="str" cm="1">
        <f t="array" aca="1" ref="L22" ca="1">_xlfn.LET(_xlpm.link,IFERROR(INDEX(_xlfn.ANCHORARRAY($AA$11),ROW()-10,12),""),IF(_xlpm.link="","",HYPERLINK(_xlpm.link,"Bluecore/Attentive")))</f>
        <v/>
      </c>
      <c r="M22" s="73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11" t="str" cm="1">
        <f t="array" aca="1" ref="B23" ca="1">IFERROR(INDEX(_xlfn.ANCHORARRAY($AA$11),ROW()-10,2),"")</f>
        <v/>
      </c>
      <c r="C23" s="4" t="str" cm="1">
        <f t="array" aca="1" ref="C23" ca="1">IFERROR(INDEX(_xlfn.ANCHORARRAY($AA$11),ROW()-10,3),"")</f>
        <v/>
      </c>
      <c r="D23" s="13" t="str" cm="1">
        <f t="array" aca="1" ref="D23" ca="1">IFERROR(INDEX(_xlfn.ANCHORARRAY($AA$11),ROW()-10,4),"")</f>
        <v/>
      </c>
      <c r="E23" s="4" t="str" cm="1">
        <f t="array" aca="1" ref="E23" ca="1">IFERROR(INDEX(_xlfn.ANCHORARRAY($AA$11),ROW()-10,5),"")</f>
        <v/>
      </c>
      <c r="F23" s="4" t="str" cm="1">
        <f t="array" aca="1" ref="F23" ca="1">IFERROR(INDEX(_xlfn.ANCHORARRAY($AA$11),ROW()-10,6),"")</f>
        <v/>
      </c>
      <c r="G23" s="4" t="str" cm="1">
        <f t="array" aca="1" ref="G23" ca="1">IFERROR(INDEX(_xlfn.ANCHORARRAY($AA$11),ROW()-10,7),"")</f>
        <v/>
      </c>
      <c r="H23" s="4" t="str" cm="1">
        <f t="array" aca="1" ref="H23" ca="1">IFERROR(INDEX(_xlfn.ANCHORARRAY($AA$11),ROW()-10,8),"")</f>
        <v/>
      </c>
      <c r="I23" s="4" t="str" cm="1">
        <f t="array" aca="1" ref="I23" ca="1">IFERROR(INDEX(_xlfn.ANCHORARRAY($AA$11),ROW()-10,9),"")</f>
        <v/>
      </c>
      <c r="J23" s="4" t="str">
        <f t="shared" ca="1" si="0"/>
        <v/>
      </c>
      <c r="K23" s="4" t="str">
        <f t="shared" ca="1" si="1"/>
        <v/>
      </c>
      <c r="L23" s="4" t="str" cm="1">
        <f t="array" aca="1" ref="L23" ca="1">_xlfn.LET(_xlpm.link,IFERROR(INDEX(_xlfn.ANCHORARRAY($AA$11),ROW()-10,12),""),IF(_xlpm.link="","",HYPERLINK(_xlpm.link,"Bluecore/Attentive")))</f>
        <v/>
      </c>
      <c r="M23" s="72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64" t="str" cm="1">
        <f t="array" aca="1" ref="A24" ca="1">IFERROR(INDEX(_xlfn.ANCHORARRAY($AA$11),ROW()-10,1),"")</f>
        <v/>
      </c>
      <c r="B24" s="11" t="str" cm="1">
        <f t="array" aca="1" ref="B24" ca="1">IFERROR(INDEX(_xlfn.ANCHORARRAY($AA$11),ROW()-10,2),"")</f>
        <v/>
      </c>
      <c r="C24" s="4" t="str" cm="1">
        <f t="array" aca="1" ref="C24" ca="1">IFERROR(INDEX(_xlfn.ANCHORARRAY($AA$11),ROW()-10,3),"")</f>
        <v/>
      </c>
      <c r="D24" s="13" t="str" cm="1">
        <f t="array" aca="1" ref="D24" ca="1">IFERROR(INDEX(_xlfn.ANCHORARRAY($AA$11),ROW()-10,4),"")</f>
        <v/>
      </c>
      <c r="E24" s="4" t="str" cm="1">
        <f t="array" aca="1" ref="E24" ca="1">IFERROR(INDEX(_xlfn.ANCHORARRAY($AA$11),ROW()-10,5),"")</f>
        <v/>
      </c>
      <c r="F24" s="4" t="str" cm="1">
        <f t="array" aca="1" ref="F24" ca="1">IFERROR(INDEX(_xlfn.ANCHORARRAY($AA$11),ROW()-10,6),"")</f>
        <v/>
      </c>
      <c r="G24" s="4" t="str" cm="1">
        <f t="array" aca="1" ref="G24" ca="1">IFERROR(INDEX(_xlfn.ANCHORARRAY($AA$11),ROW()-10,7),"")</f>
        <v/>
      </c>
      <c r="H24" s="4" t="str" cm="1">
        <f t="array" aca="1" ref="H24" ca="1">IFERROR(INDEX(_xlfn.ANCHORARRAY($AA$11),ROW()-10,8),"")</f>
        <v/>
      </c>
      <c r="I24" s="4" t="str" cm="1">
        <f t="array" aca="1" ref="I24" ca="1">IFERROR(INDEX(_xlfn.ANCHORARRAY($AA$11),ROW()-10,9),"")</f>
        <v/>
      </c>
      <c r="J24" s="4" t="str">
        <f t="shared" ca="1" si="0"/>
        <v/>
      </c>
      <c r="K24" s="4" t="str">
        <f t="shared" ca="1" si="1"/>
        <v/>
      </c>
      <c r="L24" s="4" t="str" cm="1">
        <f t="array" aca="1" ref="L24" ca="1">_xlfn.LET(_xlpm.link,IFERROR(INDEX(_xlfn.ANCHORARRAY($AA$11),ROW()-10,12),""),IF(_xlpm.link="","",HYPERLINK(_xlpm.link,"Bluecore/Attentive")))</f>
        <v/>
      </c>
      <c r="M24" s="73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11" t="str" cm="1">
        <f t="array" aca="1" ref="B25" ca="1">IFERROR(INDEX(_xlfn.ANCHORARRAY($AA$11),ROW()-10,2),"")</f>
        <v/>
      </c>
      <c r="C25" s="4" t="str" cm="1">
        <f t="array" aca="1" ref="C25" ca="1">IFERROR(INDEX(_xlfn.ANCHORARRAY($AA$11),ROW()-10,3),"")</f>
        <v/>
      </c>
      <c r="D25" s="13" t="str" cm="1">
        <f t="array" aca="1" ref="D25" ca="1">IFERROR(INDEX(_xlfn.ANCHORARRAY($AA$11),ROW()-10,4),"")</f>
        <v/>
      </c>
      <c r="E25" s="4" t="str" cm="1">
        <f t="array" aca="1" ref="E25" ca="1">IFERROR(INDEX(_xlfn.ANCHORARRAY($AA$11),ROW()-10,5),"")</f>
        <v/>
      </c>
      <c r="F25" s="4" t="str" cm="1">
        <f t="array" aca="1" ref="F25" ca="1">IFERROR(INDEX(_xlfn.ANCHORARRAY($AA$11),ROW()-10,6),"")</f>
        <v/>
      </c>
      <c r="G25" s="4" t="str" cm="1">
        <f t="array" aca="1" ref="G25" ca="1">IFERROR(INDEX(_xlfn.ANCHORARRAY($AA$11),ROW()-10,7),"")</f>
        <v/>
      </c>
      <c r="H25" s="4" t="str" cm="1">
        <f t="array" aca="1" ref="H25" ca="1">IFERROR(INDEX(_xlfn.ANCHORARRAY($AA$11),ROW()-10,8),"")</f>
        <v/>
      </c>
      <c r="I25" s="4" t="str" cm="1">
        <f t="array" aca="1" ref="I25" ca="1">IFERROR(INDEX(_xlfn.ANCHORARRAY($AA$11),ROW()-10,9),"")</f>
        <v/>
      </c>
      <c r="J25" s="4" t="str">
        <f t="shared" ca="1" si="0"/>
        <v/>
      </c>
      <c r="K25" s="4" t="str">
        <f t="shared" ca="1" si="1"/>
        <v/>
      </c>
      <c r="L25" s="4" t="str" cm="1">
        <f t="array" aca="1" ref="L25" ca="1">_xlfn.LET(_xlpm.link,IFERROR(INDEX(_xlfn.ANCHORARRAY($AA$11),ROW()-10,12),""),IF(_xlpm.link="","",HYPERLINK(_xlpm.link,"Bluecore/Attentive")))</f>
        <v/>
      </c>
      <c r="M25" s="72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11" t="str" cm="1">
        <f t="array" aca="1" ref="B26" ca="1">IFERROR(INDEX(_xlfn.ANCHORARRAY($AA$11),ROW()-10,2),"")</f>
        <v/>
      </c>
      <c r="C26" s="4" t="str" cm="1">
        <f t="array" aca="1" ref="C26" ca="1">IFERROR(INDEX(_xlfn.ANCHORARRAY($AA$11),ROW()-10,3),"")</f>
        <v/>
      </c>
      <c r="D26" s="13" t="str" cm="1">
        <f t="array" aca="1" ref="D26" ca="1">IFERROR(INDEX(_xlfn.ANCHORARRAY($AA$11),ROW()-10,4),"")</f>
        <v/>
      </c>
      <c r="E26" s="4" t="str" cm="1">
        <f t="array" aca="1" ref="E26" ca="1">IFERROR(INDEX(_xlfn.ANCHORARRAY($AA$11),ROW()-10,5),"")</f>
        <v/>
      </c>
      <c r="F26" s="4" t="str" cm="1">
        <f t="array" aca="1" ref="F26" ca="1">IFERROR(INDEX(_xlfn.ANCHORARRAY($AA$11),ROW()-10,6),"")</f>
        <v/>
      </c>
      <c r="G26" s="4" t="str" cm="1">
        <f t="array" aca="1" ref="G26" ca="1">IFERROR(INDEX(_xlfn.ANCHORARRAY($AA$11),ROW()-10,7),"")</f>
        <v/>
      </c>
      <c r="H26" s="4" t="str" cm="1">
        <f t="array" aca="1" ref="H26" ca="1">IFERROR(INDEX(_xlfn.ANCHORARRAY($AA$11),ROW()-10,8),"")</f>
        <v/>
      </c>
      <c r="I26" s="4" t="str" cm="1">
        <f t="array" aca="1" ref="I26" ca="1">IFERROR(INDEX(_xlfn.ANCHORARRAY($AA$11),ROW()-10,9),"")</f>
        <v/>
      </c>
      <c r="J26" s="4" t="str">
        <f t="shared" ca="1" si="0"/>
        <v/>
      </c>
      <c r="K26" s="4" t="str">
        <f t="shared" ca="1" si="1"/>
        <v/>
      </c>
      <c r="L26" s="4" t="str" cm="1">
        <f t="array" aca="1" ref="L26" ca="1">_xlfn.LET(_xlpm.link,IFERROR(INDEX(_xlfn.ANCHORARRAY($AA$11),ROW()-10,12),""),IF(_xlpm.link="","",HYPERLINK(_xlpm.link,"Bluecore/Attentive")))</f>
        <v/>
      </c>
      <c r="M26" s="73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64" t="str" cm="1">
        <f t="array" aca="1" ref="A27" ca="1">IFERROR(INDEX(_xlfn.ANCHORARRAY($AA$11),ROW()-10,1),"")</f>
        <v/>
      </c>
      <c r="B27" s="11" t="str" cm="1">
        <f t="array" aca="1" ref="B27" ca="1">IFERROR(INDEX(_xlfn.ANCHORARRAY($AA$11),ROW()-10,2),"")</f>
        <v/>
      </c>
      <c r="C27" s="4" t="str" cm="1">
        <f t="array" aca="1" ref="C27" ca="1">IFERROR(INDEX(_xlfn.ANCHORARRAY($AA$11),ROW()-10,3),"")</f>
        <v/>
      </c>
      <c r="D27" s="13" t="str" cm="1">
        <f t="array" aca="1" ref="D27" ca="1">IFERROR(INDEX(_xlfn.ANCHORARRAY($AA$11),ROW()-10,4),"")</f>
        <v/>
      </c>
      <c r="E27" s="4" t="str" cm="1">
        <f t="array" aca="1" ref="E27" ca="1">IFERROR(INDEX(_xlfn.ANCHORARRAY($AA$11),ROW()-10,5),"")</f>
        <v/>
      </c>
      <c r="F27" s="4" t="str" cm="1">
        <f t="array" aca="1" ref="F27" ca="1">IFERROR(INDEX(_xlfn.ANCHORARRAY($AA$11),ROW()-10,6),"")</f>
        <v/>
      </c>
      <c r="G27" s="4" t="str" cm="1">
        <f t="array" aca="1" ref="G27" ca="1">IFERROR(INDEX(_xlfn.ANCHORARRAY($AA$11),ROW()-10,7),"")</f>
        <v/>
      </c>
      <c r="H27" s="4" t="str" cm="1">
        <f t="array" aca="1" ref="H27" ca="1">IFERROR(INDEX(_xlfn.ANCHORARRAY($AA$11),ROW()-10,8),"")</f>
        <v/>
      </c>
      <c r="I27" s="4" t="str" cm="1">
        <f t="array" aca="1" ref="I27" ca="1">IFERROR(INDEX(_xlfn.ANCHORARRAY($AA$11),ROW()-10,9),"")</f>
        <v/>
      </c>
      <c r="J27" s="4" t="str">
        <f t="shared" ca="1" si="0"/>
        <v/>
      </c>
      <c r="K27" s="4" t="str">
        <f t="shared" ca="1" si="1"/>
        <v/>
      </c>
      <c r="L27" s="4" t="str" cm="1">
        <f t="array" aca="1" ref="L27" ca="1">_xlfn.LET(_xlpm.link,IFERROR(INDEX(_xlfn.ANCHORARRAY($AA$11),ROW()-10,12),""),IF(_xlpm.link="","",HYPERLINK(_xlpm.link,"Bluecore/Attentive")))</f>
        <v/>
      </c>
      <c r="M27" s="72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11" t="str" cm="1">
        <f t="array" aca="1" ref="B28" ca="1">IFERROR(INDEX(_xlfn.ANCHORARRAY($AA$11),ROW()-10,2),"")</f>
        <v/>
      </c>
      <c r="C28" s="4" t="str" cm="1">
        <f t="array" aca="1" ref="C28" ca="1">IFERROR(INDEX(_xlfn.ANCHORARRAY($AA$11),ROW()-10,3),"")</f>
        <v/>
      </c>
      <c r="D28" s="13" t="str" cm="1">
        <f t="array" aca="1" ref="D28" ca="1">IFERROR(INDEX(_xlfn.ANCHORARRAY($AA$11),ROW()-10,4),"")</f>
        <v/>
      </c>
      <c r="E28" s="4" t="str" cm="1">
        <f t="array" aca="1" ref="E28" ca="1">IFERROR(INDEX(_xlfn.ANCHORARRAY($AA$11),ROW()-10,5),"")</f>
        <v/>
      </c>
      <c r="F28" s="4" t="str" cm="1">
        <f t="array" aca="1" ref="F28" ca="1">IFERROR(INDEX(_xlfn.ANCHORARRAY($AA$11),ROW()-10,6),"")</f>
        <v/>
      </c>
      <c r="G28" s="4" t="str" cm="1">
        <f t="array" aca="1" ref="G28" ca="1">IFERROR(INDEX(_xlfn.ANCHORARRAY($AA$11),ROW()-10,7),"")</f>
        <v/>
      </c>
      <c r="H28" s="4" t="str" cm="1">
        <f t="array" aca="1" ref="H28" ca="1">IFERROR(INDEX(_xlfn.ANCHORARRAY($AA$11),ROW()-10,8),"")</f>
        <v/>
      </c>
      <c r="I28" s="4" t="str" cm="1">
        <f t="array" aca="1" ref="I28" ca="1">IFERROR(INDEX(_xlfn.ANCHORARRAY($AA$11),ROW()-10,9),"")</f>
        <v/>
      </c>
      <c r="J28" s="4" t="str">
        <f t="shared" ca="1" si="0"/>
        <v/>
      </c>
      <c r="K28" s="4" t="str">
        <f t="shared" ca="1" si="1"/>
        <v/>
      </c>
      <c r="L28" s="4" t="str" cm="1">
        <f t="array" aca="1" ref="L28" ca="1">_xlfn.LET(_xlpm.link,IFERROR(INDEX(_xlfn.ANCHORARRAY($AA$11),ROW()-10,12),""),IF(_xlpm.link="","",HYPERLINK(_xlpm.link,"Bluecore/Attentive")))</f>
        <v/>
      </c>
      <c r="M28" s="73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11" t="str" cm="1">
        <f t="array" aca="1" ref="B29" ca="1">IFERROR(INDEX(_xlfn.ANCHORARRAY($AA$11),ROW()-10,2),"")</f>
        <v/>
      </c>
      <c r="C29" s="4" t="str" cm="1">
        <f t="array" aca="1" ref="C29" ca="1">IFERROR(INDEX(_xlfn.ANCHORARRAY($AA$11),ROW()-10,3),"")</f>
        <v/>
      </c>
      <c r="D29" s="13" t="str" cm="1">
        <f t="array" aca="1" ref="D29" ca="1">IFERROR(INDEX(_xlfn.ANCHORARRAY($AA$11),ROW()-10,4),"")</f>
        <v/>
      </c>
      <c r="E29" s="4" t="str" cm="1">
        <f t="array" aca="1" ref="E29" ca="1">IFERROR(INDEX(_xlfn.ANCHORARRAY($AA$11),ROW()-10,5),"")</f>
        <v/>
      </c>
      <c r="F29" s="4" t="str" cm="1">
        <f t="array" aca="1" ref="F29" ca="1">IFERROR(INDEX(_xlfn.ANCHORARRAY($AA$11),ROW()-10,6),"")</f>
        <v/>
      </c>
      <c r="G29" s="4" t="str" cm="1">
        <f t="array" aca="1" ref="G29" ca="1">IFERROR(INDEX(_xlfn.ANCHORARRAY($AA$11),ROW()-10,7),"")</f>
        <v/>
      </c>
      <c r="H29" s="4" t="str" cm="1">
        <f t="array" aca="1" ref="H29" ca="1">IFERROR(INDEX(_xlfn.ANCHORARRAY($AA$11),ROW()-10,8),"")</f>
        <v/>
      </c>
      <c r="I29" s="4" t="str" cm="1">
        <f t="array" aca="1" ref="I29" ca="1">IFERROR(INDEX(_xlfn.ANCHORARRAY($AA$11),ROW()-10,9),"")</f>
        <v/>
      </c>
      <c r="J29" s="4" t="str">
        <f t="shared" ca="1" si="0"/>
        <v/>
      </c>
      <c r="K29" s="4" t="str">
        <f t="shared" ca="1" si="1"/>
        <v/>
      </c>
      <c r="L29" s="4" t="str" cm="1">
        <f t="array" aca="1" ref="L29" ca="1">_xlfn.LET(_xlpm.link,IFERROR(INDEX(_xlfn.ANCHORARRAY($AA$11),ROW()-10,12),""),IF(_xlpm.link="","",HYPERLINK(_xlpm.link,"Bluecore/Attentive")))</f>
        <v/>
      </c>
      <c r="M29" s="72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11" t="str" cm="1">
        <f t="array" aca="1" ref="B30" ca="1">IFERROR(INDEX(_xlfn.ANCHORARRAY($AA$11),ROW()-10,2),"")</f>
        <v/>
      </c>
      <c r="C30" s="4" t="str" cm="1">
        <f t="array" aca="1" ref="C30" ca="1">IFERROR(INDEX(_xlfn.ANCHORARRAY($AA$11),ROW()-10,3),"")</f>
        <v/>
      </c>
      <c r="D30" s="13" t="str" cm="1">
        <f t="array" aca="1" ref="D30" ca="1">IFERROR(INDEX(_xlfn.ANCHORARRAY($AA$11),ROW()-10,4),"")</f>
        <v/>
      </c>
      <c r="E30" s="4" t="str" cm="1">
        <f t="array" aca="1" ref="E30" ca="1">IFERROR(INDEX(_xlfn.ANCHORARRAY($AA$11),ROW()-10,5),"")</f>
        <v/>
      </c>
      <c r="F30" s="4" t="str" cm="1">
        <f t="array" aca="1" ref="F30" ca="1">IFERROR(INDEX(_xlfn.ANCHORARRAY($AA$11),ROW()-10,6),"")</f>
        <v/>
      </c>
      <c r="G30" s="4" t="str" cm="1">
        <f t="array" aca="1" ref="G30" ca="1">IFERROR(INDEX(_xlfn.ANCHORARRAY($AA$11),ROW()-10,7),"")</f>
        <v/>
      </c>
      <c r="H30" s="4" t="str" cm="1">
        <f t="array" aca="1" ref="H30" ca="1">IFERROR(INDEX(_xlfn.ANCHORARRAY($AA$11),ROW()-10,8),"")</f>
        <v/>
      </c>
      <c r="I30" s="4" t="str" cm="1">
        <f t="array" aca="1" ref="I30" ca="1">IFERROR(INDEX(_xlfn.ANCHORARRAY($AA$11),ROW()-10,9),"")</f>
        <v/>
      </c>
      <c r="J30" s="4" t="str">
        <f t="shared" ca="1" si="0"/>
        <v/>
      </c>
      <c r="K30" s="4" t="str">
        <f t="shared" ca="1" si="1"/>
        <v/>
      </c>
      <c r="L30" s="4" t="str" cm="1">
        <f t="array" aca="1" ref="L30" ca="1">_xlfn.LET(_xlpm.link,IFERROR(INDEX(_xlfn.ANCHORARRAY($AA$11),ROW()-10,12),""),IF(_xlpm.link="","",HYPERLINK(_xlpm.link,"Bluecore/Attentive")))</f>
        <v/>
      </c>
      <c r="M30" s="73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11" t="str" cm="1">
        <f t="array" aca="1" ref="B31" ca="1">IFERROR(INDEX(_xlfn.ANCHORARRAY($AA$11),ROW()-10,2),"")</f>
        <v/>
      </c>
      <c r="C31" s="4" t="str" cm="1">
        <f t="array" aca="1" ref="C31" ca="1">IFERROR(INDEX(_xlfn.ANCHORARRAY($AA$11),ROW()-10,3),"")</f>
        <v/>
      </c>
      <c r="D31" s="13" t="str" cm="1">
        <f t="array" aca="1" ref="D31" ca="1">IFERROR(INDEX(_xlfn.ANCHORARRAY($AA$11),ROW()-10,4),"")</f>
        <v/>
      </c>
      <c r="E31" s="4" t="str" cm="1">
        <f t="array" aca="1" ref="E31" ca="1">IFERROR(INDEX(_xlfn.ANCHORARRAY($AA$11),ROW()-10,5),"")</f>
        <v/>
      </c>
      <c r="F31" s="4" t="str" cm="1">
        <f t="array" aca="1" ref="F31" ca="1">IFERROR(INDEX(_xlfn.ANCHORARRAY($AA$11),ROW()-10,6),"")</f>
        <v/>
      </c>
      <c r="G31" s="4" t="str" cm="1">
        <f t="array" aca="1" ref="G31" ca="1">IFERROR(INDEX(_xlfn.ANCHORARRAY($AA$11),ROW()-10,7),"")</f>
        <v/>
      </c>
      <c r="H31" s="4" t="str" cm="1">
        <f t="array" aca="1" ref="H31" ca="1">IFERROR(INDEX(_xlfn.ANCHORARRAY($AA$11),ROW()-10,8),"")</f>
        <v/>
      </c>
      <c r="I31" s="4" t="str" cm="1">
        <f t="array" aca="1" ref="I31" ca="1">IFERROR(INDEX(_xlfn.ANCHORARRAY($AA$11),ROW()-10,9),"")</f>
        <v/>
      </c>
      <c r="J31" s="4" t="str">
        <f t="shared" ca="1" si="0"/>
        <v/>
      </c>
      <c r="K31" s="4" t="str">
        <f t="shared" ca="1" si="1"/>
        <v/>
      </c>
      <c r="L31" s="4" t="str" cm="1">
        <f t="array" aca="1" ref="L31" ca="1">_xlfn.LET(_xlpm.link,IFERROR(INDEX(_xlfn.ANCHORARRAY($AA$11),ROW()-10,12),""),IF(_xlpm.link="","",HYPERLINK(_xlpm.link,"Bluecore/Attentive")))</f>
        <v/>
      </c>
      <c r="M31" s="72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11" t="str" cm="1">
        <f t="array" aca="1" ref="B32" ca="1">IFERROR(INDEX(_xlfn.ANCHORARRAY($AA$11),ROW()-10,2),"")</f>
        <v/>
      </c>
      <c r="C32" s="4" t="str" cm="1">
        <f t="array" aca="1" ref="C32" ca="1">IFERROR(INDEX(_xlfn.ANCHORARRAY($AA$11),ROW()-10,3),"")</f>
        <v/>
      </c>
      <c r="D32" s="13" t="str" cm="1">
        <f t="array" aca="1" ref="D32" ca="1">IFERROR(INDEX(_xlfn.ANCHORARRAY($AA$11),ROW()-10,4),"")</f>
        <v/>
      </c>
      <c r="E32" s="4" t="str" cm="1">
        <f t="array" aca="1" ref="E32" ca="1">IFERROR(INDEX(_xlfn.ANCHORARRAY($AA$11),ROW()-10,5),"")</f>
        <v/>
      </c>
      <c r="F32" s="4" t="str" cm="1">
        <f t="array" aca="1" ref="F32" ca="1">IFERROR(INDEX(_xlfn.ANCHORARRAY($AA$11),ROW()-10,6),"")</f>
        <v/>
      </c>
      <c r="G32" s="4" t="str" cm="1">
        <f t="array" aca="1" ref="G32" ca="1">IFERROR(INDEX(_xlfn.ANCHORARRAY($AA$11),ROW()-10,7),"")</f>
        <v/>
      </c>
      <c r="H32" s="4" t="str" cm="1">
        <f t="array" aca="1" ref="H32" ca="1">IFERROR(INDEX(_xlfn.ANCHORARRAY($AA$11),ROW()-10,8),"")</f>
        <v/>
      </c>
      <c r="I32" s="4" t="str" cm="1">
        <f t="array" aca="1" ref="I32" ca="1">IFERROR(INDEX(_xlfn.ANCHORARRAY($AA$11),ROW()-10,9),"")</f>
        <v/>
      </c>
      <c r="J32" s="4" t="str">
        <f t="shared" ca="1" si="0"/>
        <v/>
      </c>
      <c r="K32" s="4" t="str">
        <f t="shared" ca="1" si="1"/>
        <v/>
      </c>
      <c r="L32" s="4" t="str" cm="1">
        <f t="array" aca="1" ref="L32" ca="1">_xlfn.LET(_xlpm.link,IFERROR(INDEX(_xlfn.ANCHORARRAY($AA$11),ROW()-10,12),""),IF(_xlpm.link="","",HYPERLINK(_xlpm.link,"Bluecore/Attentive")))</f>
        <v/>
      </c>
      <c r="M32" s="73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11" t="str" cm="1">
        <f t="array" aca="1" ref="B33" ca="1">IFERROR(INDEX(_xlfn.ANCHORARRAY($AA$11),ROW()-10,2),"")</f>
        <v/>
      </c>
      <c r="C33" s="4" t="str" cm="1">
        <f t="array" aca="1" ref="C33" ca="1">IFERROR(INDEX(_xlfn.ANCHORARRAY($AA$11),ROW()-10,3),"")</f>
        <v/>
      </c>
      <c r="D33" s="13" t="str" cm="1">
        <f t="array" aca="1" ref="D33" ca="1">IFERROR(INDEX(_xlfn.ANCHORARRAY($AA$11),ROW()-10,4),"")</f>
        <v/>
      </c>
      <c r="E33" s="4" t="str" cm="1">
        <f t="array" aca="1" ref="E33" ca="1">IFERROR(INDEX(_xlfn.ANCHORARRAY($AA$11),ROW()-10,5),"")</f>
        <v/>
      </c>
      <c r="F33" s="4" t="str" cm="1">
        <f t="array" aca="1" ref="F33" ca="1">IFERROR(INDEX(_xlfn.ANCHORARRAY($AA$11),ROW()-10,6),"")</f>
        <v/>
      </c>
      <c r="G33" s="4" t="str" cm="1">
        <f t="array" aca="1" ref="G33" ca="1">IFERROR(INDEX(_xlfn.ANCHORARRAY($AA$11),ROW()-10,7),"")</f>
        <v/>
      </c>
      <c r="H33" s="4" t="str" cm="1">
        <f t="array" aca="1" ref="H33" ca="1">IFERROR(INDEX(_xlfn.ANCHORARRAY($AA$11),ROW()-10,8),"")</f>
        <v/>
      </c>
      <c r="I33" s="4" t="str" cm="1">
        <f t="array" aca="1" ref="I33" ca="1">IFERROR(INDEX(_xlfn.ANCHORARRAY($AA$11),ROW()-10,9),"")</f>
        <v/>
      </c>
      <c r="J33" s="4" t="str">
        <f t="shared" ca="1" si="0"/>
        <v/>
      </c>
      <c r="K33" s="4" t="str">
        <f t="shared" ca="1" si="1"/>
        <v/>
      </c>
      <c r="L33" s="4" t="str" cm="1">
        <f t="array" aca="1" ref="L33" ca="1">_xlfn.LET(_xlpm.link,IFERROR(INDEX(_xlfn.ANCHORARRAY($AA$11),ROW()-10,12),""),IF(_xlpm.link="","",HYPERLINK(_xlpm.link,"Bluecore/Attentive")))</f>
        <v/>
      </c>
      <c r="M33" s="72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11" t="str" cm="1">
        <f t="array" aca="1" ref="B34" ca="1">IFERROR(INDEX(_xlfn.ANCHORARRAY($AA$11),ROW()-10,2),"")</f>
        <v/>
      </c>
      <c r="C34" s="4" t="str" cm="1">
        <f t="array" aca="1" ref="C34" ca="1">IFERROR(INDEX(_xlfn.ANCHORARRAY($AA$11),ROW()-10,3),"")</f>
        <v/>
      </c>
      <c r="D34" s="13" t="str" cm="1">
        <f t="array" aca="1" ref="D34" ca="1">IFERROR(INDEX(_xlfn.ANCHORARRAY($AA$11),ROW()-10,4),"")</f>
        <v/>
      </c>
      <c r="E34" s="4" t="str" cm="1">
        <f t="array" aca="1" ref="E34" ca="1">IFERROR(INDEX(_xlfn.ANCHORARRAY($AA$11),ROW()-10,5),"")</f>
        <v/>
      </c>
      <c r="F34" s="4" t="str" cm="1">
        <f t="array" aca="1" ref="F34" ca="1">IFERROR(INDEX(_xlfn.ANCHORARRAY($AA$11),ROW()-10,6),"")</f>
        <v/>
      </c>
      <c r="G34" s="4" t="str" cm="1">
        <f t="array" aca="1" ref="G34" ca="1">IFERROR(INDEX(_xlfn.ANCHORARRAY($AA$11),ROW()-10,7),"")</f>
        <v/>
      </c>
      <c r="H34" s="4" t="str" cm="1">
        <f t="array" aca="1" ref="H34" ca="1">IFERROR(INDEX(_xlfn.ANCHORARRAY($AA$11),ROW()-10,8),"")</f>
        <v/>
      </c>
      <c r="I34" s="4" t="str" cm="1">
        <f t="array" aca="1" ref="I34" ca="1">IFERROR(INDEX(_xlfn.ANCHORARRAY($AA$11),ROW()-10,9),"")</f>
        <v/>
      </c>
      <c r="J34" s="4" t="str">
        <f t="shared" ca="1" si="0"/>
        <v/>
      </c>
      <c r="K34" s="4" t="str">
        <f t="shared" ca="1" si="1"/>
        <v/>
      </c>
      <c r="L34" s="4" t="str" cm="1">
        <f t="array" aca="1" ref="L34" ca="1">_xlfn.LET(_xlpm.link,IFERROR(INDEX(_xlfn.ANCHORARRAY($AA$11),ROW()-10,12),""),IF(_xlpm.link="","",HYPERLINK(_xlpm.link,"Bluecore/Attentive")))</f>
        <v/>
      </c>
      <c r="M34" s="73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11" t="str" cm="1">
        <f t="array" aca="1" ref="B35" ca="1">IFERROR(INDEX(_xlfn.ANCHORARRAY($AA$11),ROW()-10,2),"")</f>
        <v/>
      </c>
      <c r="C35" s="4" t="str" cm="1">
        <f t="array" aca="1" ref="C35" ca="1">IFERROR(INDEX(_xlfn.ANCHORARRAY($AA$11),ROW()-10,3),"")</f>
        <v/>
      </c>
      <c r="D35" s="13" t="str" cm="1">
        <f t="array" aca="1" ref="D35" ca="1">IFERROR(INDEX(_xlfn.ANCHORARRAY($AA$11),ROW()-10,4),"")</f>
        <v/>
      </c>
      <c r="E35" s="4" t="str" cm="1">
        <f t="array" aca="1" ref="E35" ca="1">IFERROR(INDEX(_xlfn.ANCHORARRAY($AA$11),ROW()-10,5),"")</f>
        <v/>
      </c>
      <c r="F35" s="4" t="str" cm="1">
        <f t="array" aca="1" ref="F35" ca="1">IFERROR(INDEX(_xlfn.ANCHORARRAY($AA$11),ROW()-10,6),"")</f>
        <v/>
      </c>
      <c r="G35" s="4" t="str" cm="1">
        <f t="array" aca="1" ref="G35" ca="1">IFERROR(INDEX(_xlfn.ANCHORARRAY($AA$11),ROW()-10,7),"")</f>
        <v/>
      </c>
      <c r="H35" s="4" t="str" cm="1">
        <f t="array" aca="1" ref="H35" ca="1">IFERROR(INDEX(_xlfn.ANCHORARRAY($AA$11),ROW()-10,8),"")</f>
        <v/>
      </c>
      <c r="I35" s="4" t="str" cm="1">
        <f t="array" aca="1" ref="I35" ca="1">IFERROR(INDEX(_xlfn.ANCHORARRAY($AA$11),ROW()-10,9),"")</f>
        <v/>
      </c>
      <c r="J35" s="4" t="str">
        <f t="shared" ca="1" si="0"/>
        <v/>
      </c>
      <c r="K35" s="4" t="str">
        <f t="shared" ca="1" si="1"/>
        <v/>
      </c>
      <c r="L35" s="4" t="str" cm="1">
        <f t="array" aca="1" ref="L35" ca="1">_xlfn.LET(_xlpm.link,IFERROR(INDEX(_xlfn.ANCHORARRAY($AA$11),ROW()-10,12),""),IF(_xlpm.link="","",HYPERLINK(_xlpm.link,"Bluecore/Attentive")))</f>
        <v/>
      </c>
      <c r="M35" s="72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11" t="str" cm="1">
        <f t="array" aca="1" ref="B36" ca="1">IFERROR(INDEX(_xlfn.ANCHORARRAY($AA$11),ROW()-10,2),"")</f>
        <v/>
      </c>
      <c r="C36" s="4" t="str" cm="1">
        <f t="array" aca="1" ref="C36" ca="1">IFERROR(INDEX(_xlfn.ANCHORARRAY($AA$11),ROW()-10,3),"")</f>
        <v/>
      </c>
      <c r="D36" s="13" t="str" cm="1">
        <f t="array" aca="1" ref="D36" ca="1">IFERROR(INDEX(_xlfn.ANCHORARRAY($AA$11),ROW()-10,4),"")</f>
        <v/>
      </c>
      <c r="E36" s="4" t="str" cm="1">
        <f t="array" aca="1" ref="E36" ca="1">IFERROR(INDEX(_xlfn.ANCHORARRAY($AA$11),ROW()-10,5),"")</f>
        <v/>
      </c>
      <c r="F36" s="4" t="str" cm="1">
        <f t="array" aca="1" ref="F36" ca="1">IFERROR(INDEX(_xlfn.ANCHORARRAY($AA$11),ROW()-10,6),"")</f>
        <v/>
      </c>
      <c r="G36" s="4" t="str" cm="1">
        <f t="array" aca="1" ref="G36" ca="1">IFERROR(INDEX(_xlfn.ANCHORARRAY($AA$11),ROW()-10,7),"")</f>
        <v/>
      </c>
      <c r="H36" s="4" t="str" cm="1">
        <f t="array" aca="1" ref="H36" ca="1">IFERROR(INDEX(_xlfn.ANCHORARRAY($AA$11),ROW()-10,8),"")</f>
        <v/>
      </c>
      <c r="I36" s="4" t="str" cm="1">
        <f t="array" aca="1" ref="I36" ca="1">IFERROR(INDEX(_xlfn.ANCHORARRAY($AA$11),ROW()-10,9),"")</f>
        <v/>
      </c>
      <c r="J36" s="4" t="str">
        <f t="shared" ca="1" si="0"/>
        <v/>
      </c>
      <c r="K36" s="4" t="str">
        <f t="shared" ca="1" si="1"/>
        <v/>
      </c>
      <c r="L36" s="4" t="str" cm="1">
        <f t="array" aca="1" ref="L36" ca="1">_xlfn.LET(_xlpm.link,IFERROR(INDEX(_xlfn.ANCHORARRAY($AA$11),ROW()-10,12),""),IF(_xlpm.link="","",HYPERLINK(_xlpm.link,"Bluecore/Attentive")))</f>
        <v/>
      </c>
      <c r="M36" s="73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11" t="str" cm="1">
        <f t="array" aca="1" ref="B37" ca="1">IFERROR(INDEX(_xlfn.ANCHORARRAY($AA$11),ROW()-10,2),"")</f>
        <v/>
      </c>
      <c r="C37" s="4" t="str" cm="1">
        <f t="array" aca="1" ref="C37" ca="1">IFERROR(INDEX(_xlfn.ANCHORARRAY($AA$11),ROW()-10,3),"")</f>
        <v/>
      </c>
      <c r="D37" s="13" t="str" cm="1">
        <f t="array" aca="1" ref="D37" ca="1">IFERROR(INDEX(_xlfn.ANCHORARRAY($AA$11),ROW()-10,4),"")</f>
        <v/>
      </c>
      <c r="E37" s="4" t="str" cm="1">
        <f t="array" aca="1" ref="E37" ca="1">IFERROR(INDEX(_xlfn.ANCHORARRAY($AA$11),ROW()-10,5),"")</f>
        <v/>
      </c>
      <c r="F37" s="4" t="str" cm="1">
        <f t="array" aca="1" ref="F37" ca="1">IFERROR(INDEX(_xlfn.ANCHORARRAY($AA$11),ROW()-10,6),"")</f>
        <v/>
      </c>
      <c r="G37" s="4" t="str" cm="1">
        <f t="array" aca="1" ref="G37" ca="1">IFERROR(INDEX(_xlfn.ANCHORARRAY($AA$11),ROW()-10,7),"")</f>
        <v/>
      </c>
      <c r="H37" s="4" t="str" cm="1">
        <f t="array" aca="1" ref="H37" ca="1">IFERROR(INDEX(_xlfn.ANCHORARRAY($AA$11),ROW()-10,8),"")</f>
        <v/>
      </c>
      <c r="I37" s="4" t="str" cm="1">
        <f t="array" aca="1" ref="I37" ca="1">IFERROR(INDEX(_xlfn.ANCHORARRAY($AA$11),ROW()-10,9),"")</f>
        <v/>
      </c>
      <c r="J37" s="4" t="str">
        <f t="shared" ca="1" si="0"/>
        <v/>
      </c>
      <c r="K37" s="4" t="str">
        <f t="shared" ca="1" si="1"/>
        <v/>
      </c>
      <c r="L37" s="4" t="str" cm="1">
        <f t="array" aca="1" ref="L37" ca="1">_xlfn.LET(_xlpm.link,IFERROR(INDEX(_xlfn.ANCHORARRAY($AA$11),ROW()-10,12),""),IF(_xlpm.link="","",HYPERLINK(_xlpm.link,"Bluecore/Attentive")))</f>
        <v/>
      </c>
      <c r="M37" s="72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11" t="str" cm="1">
        <f t="array" aca="1" ref="B38" ca="1">IFERROR(INDEX(_xlfn.ANCHORARRAY($AA$11),ROW()-10,2),"")</f>
        <v/>
      </c>
      <c r="C38" s="4" t="str" cm="1">
        <f t="array" aca="1" ref="C38" ca="1">IFERROR(INDEX(_xlfn.ANCHORARRAY($AA$11),ROW()-10,3),"")</f>
        <v/>
      </c>
      <c r="D38" s="13" t="str" cm="1">
        <f t="array" aca="1" ref="D38" ca="1">IFERROR(INDEX(_xlfn.ANCHORARRAY($AA$11),ROW()-10,4),"")</f>
        <v/>
      </c>
      <c r="E38" s="4" t="str" cm="1">
        <f t="array" aca="1" ref="E38" ca="1">IFERROR(INDEX(_xlfn.ANCHORARRAY($AA$11),ROW()-10,5),"")</f>
        <v/>
      </c>
      <c r="F38" s="4" t="str" cm="1">
        <f t="array" aca="1" ref="F38" ca="1">IFERROR(INDEX(_xlfn.ANCHORARRAY($AA$11),ROW()-10,6),"")</f>
        <v/>
      </c>
      <c r="G38" s="4" t="str" cm="1">
        <f t="array" aca="1" ref="G38" ca="1">IFERROR(INDEX(_xlfn.ANCHORARRAY($AA$11),ROW()-10,7),"")</f>
        <v/>
      </c>
      <c r="H38" s="4" t="str" cm="1">
        <f t="array" aca="1" ref="H38" ca="1">IFERROR(INDEX(_xlfn.ANCHORARRAY($AA$11),ROW()-10,8),"")</f>
        <v/>
      </c>
      <c r="I38" s="4" t="str" cm="1">
        <f t="array" aca="1" ref="I38" ca="1">IFERROR(INDEX(_xlfn.ANCHORARRAY($AA$11),ROW()-10,9),"")</f>
        <v/>
      </c>
      <c r="J38" s="4" t="str">
        <f t="shared" ca="1" si="0"/>
        <v/>
      </c>
      <c r="K38" s="4" t="str">
        <f t="shared" ca="1" si="1"/>
        <v/>
      </c>
      <c r="L38" s="4" t="str" cm="1">
        <f t="array" aca="1" ref="L38" ca="1">_xlfn.LET(_xlpm.link,IFERROR(INDEX(_xlfn.ANCHORARRAY($AA$11),ROW()-10,12),""),IF(_xlpm.link="","",HYPERLINK(_xlpm.link,"Bluecore/Attentive")))</f>
        <v/>
      </c>
      <c r="M38" s="73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11" t="str" cm="1">
        <f t="array" aca="1" ref="B39" ca="1">IFERROR(INDEX(_xlfn.ANCHORARRAY($AA$11),ROW()-10,2),"")</f>
        <v/>
      </c>
      <c r="C39" s="4" t="str" cm="1">
        <f t="array" aca="1" ref="C39" ca="1">IFERROR(INDEX(_xlfn.ANCHORARRAY($AA$11),ROW()-10,3),"")</f>
        <v/>
      </c>
      <c r="D39" s="13" t="str" cm="1">
        <f t="array" aca="1" ref="D39" ca="1">IFERROR(INDEX(_xlfn.ANCHORARRAY($AA$11),ROW()-10,4),"")</f>
        <v/>
      </c>
      <c r="E39" s="4" t="str" cm="1">
        <f t="array" aca="1" ref="E39" ca="1">IFERROR(INDEX(_xlfn.ANCHORARRAY($AA$11),ROW()-10,5),"")</f>
        <v/>
      </c>
      <c r="F39" s="4" t="str" cm="1">
        <f t="array" aca="1" ref="F39" ca="1">IFERROR(INDEX(_xlfn.ANCHORARRAY($AA$11),ROW()-10,6),"")</f>
        <v/>
      </c>
      <c r="G39" s="4" t="str" cm="1">
        <f t="array" aca="1" ref="G39" ca="1">IFERROR(INDEX(_xlfn.ANCHORARRAY($AA$11),ROW()-10,7),"")</f>
        <v/>
      </c>
      <c r="H39" s="4" t="str" cm="1">
        <f t="array" aca="1" ref="H39" ca="1">IFERROR(INDEX(_xlfn.ANCHORARRAY($AA$11),ROW()-10,8),"")</f>
        <v/>
      </c>
      <c r="I39" s="4" t="str" cm="1">
        <f t="array" aca="1" ref="I39" ca="1">IFERROR(INDEX(_xlfn.ANCHORARRAY($AA$11),ROW()-10,9),"")</f>
        <v/>
      </c>
      <c r="J39" s="4" t="str">
        <f t="shared" ca="1" si="0"/>
        <v/>
      </c>
      <c r="K39" s="4" t="str">
        <f t="shared" ca="1" si="1"/>
        <v/>
      </c>
      <c r="L39" s="4" t="str" cm="1">
        <f t="array" aca="1" ref="L39" ca="1">_xlfn.LET(_xlpm.link,IFERROR(INDEX(_xlfn.ANCHORARRAY($AA$11),ROW()-10,12),""),IF(_xlpm.link="","",HYPERLINK(_xlpm.link,"Bluecore/Attentive")))</f>
        <v/>
      </c>
      <c r="M39" s="72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11" t="str" cm="1">
        <f t="array" aca="1" ref="B40" ca="1">IFERROR(INDEX(_xlfn.ANCHORARRAY($AA$11),ROW()-10,2),"")</f>
        <v/>
      </c>
      <c r="C40" s="4" t="str" cm="1">
        <f t="array" aca="1" ref="C40" ca="1">IFERROR(INDEX(_xlfn.ANCHORARRAY($AA$11),ROW()-10,3),"")</f>
        <v/>
      </c>
      <c r="D40" s="13" t="str" cm="1">
        <f t="array" aca="1" ref="D40" ca="1">IFERROR(INDEX(_xlfn.ANCHORARRAY($AA$11),ROW()-10,4),"")</f>
        <v/>
      </c>
      <c r="E40" s="4" t="str" cm="1">
        <f t="array" aca="1" ref="E40" ca="1">IFERROR(INDEX(_xlfn.ANCHORARRAY($AA$11),ROW()-10,5),"")</f>
        <v/>
      </c>
      <c r="F40" s="4" t="str" cm="1">
        <f t="array" aca="1" ref="F40" ca="1">IFERROR(INDEX(_xlfn.ANCHORARRAY($AA$11),ROW()-10,6),"")</f>
        <v/>
      </c>
      <c r="G40" s="4" t="str" cm="1">
        <f t="array" aca="1" ref="G40" ca="1">IFERROR(INDEX(_xlfn.ANCHORARRAY($AA$11),ROW()-10,7),"")</f>
        <v/>
      </c>
      <c r="H40" s="4" t="str" cm="1">
        <f t="array" aca="1" ref="H40" ca="1">IFERROR(INDEX(_xlfn.ANCHORARRAY($AA$11),ROW()-10,8),"")</f>
        <v/>
      </c>
      <c r="I40" s="4" t="str" cm="1">
        <f t="array" aca="1" ref="I40" ca="1">IFERROR(INDEX(_xlfn.ANCHORARRAY($AA$11),ROW()-10,9),"")</f>
        <v/>
      </c>
      <c r="J40" s="4" t="str">
        <f t="shared" ca="1" si="0"/>
        <v/>
      </c>
      <c r="K40" s="4" t="str">
        <f t="shared" ca="1" si="1"/>
        <v/>
      </c>
      <c r="L40" s="4" t="str" cm="1">
        <f t="array" aca="1" ref="L40" ca="1">_xlfn.LET(_xlpm.link,IFERROR(INDEX(_xlfn.ANCHORARRAY($AA$11),ROW()-10,12),""),IF(_xlpm.link="","",HYPERLINK(_xlpm.link,"Bluecore/Attentive")))</f>
        <v/>
      </c>
      <c r="M40" s="73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11" t="str" cm="1">
        <f t="array" aca="1" ref="B41" ca="1">IFERROR(INDEX(_xlfn.ANCHORARRAY($AA$11),ROW()-10,2),"")</f>
        <v/>
      </c>
      <c r="C41" s="4" t="str" cm="1">
        <f t="array" aca="1" ref="C41" ca="1">IFERROR(INDEX(_xlfn.ANCHORARRAY($AA$11),ROW()-10,3),"")</f>
        <v/>
      </c>
      <c r="D41" s="13" t="str" cm="1">
        <f t="array" aca="1" ref="D41" ca="1">IFERROR(INDEX(_xlfn.ANCHORARRAY($AA$11),ROW()-10,4),"")</f>
        <v/>
      </c>
      <c r="E41" s="4" t="str" cm="1">
        <f t="array" aca="1" ref="E41" ca="1">IFERROR(INDEX(_xlfn.ANCHORARRAY($AA$11),ROW()-10,5),"")</f>
        <v/>
      </c>
      <c r="F41" s="4" t="str" cm="1">
        <f t="array" aca="1" ref="F41" ca="1">IFERROR(INDEX(_xlfn.ANCHORARRAY($AA$11),ROW()-10,6),"")</f>
        <v/>
      </c>
      <c r="G41" s="4" t="str" cm="1">
        <f t="array" aca="1" ref="G41" ca="1">IFERROR(INDEX(_xlfn.ANCHORARRAY($AA$11),ROW()-10,7),"")</f>
        <v/>
      </c>
      <c r="H41" s="4" t="str" cm="1">
        <f t="array" aca="1" ref="H41" ca="1">IFERROR(INDEX(_xlfn.ANCHORARRAY($AA$11),ROW()-10,8),"")</f>
        <v/>
      </c>
      <c r="I41" s="4" t="str" cm="1">
        <f t="array" aca="1" ref="I41" ca="1">IFERROR(INDEX(_xlfn.ANCHORARRAY($AA$11),ROW()-10,9),"")</f>
        <v/>
      </c>
      <c r="J41" s="4" t="str">
        <f t="shared" ca="1" si="0"/>
        <v/>
      </c>
      <c r="K41" s="4" t="str">
        <f t="shared" ca="1" si="1"/>
        <v/>
      </c>
      <c r="L41" s="4" t="str" cm="1">
        <f t="array" aca="1" ref="L41" ca="1">_xlfn.LET(_xlpm.link,IFERROR(INDEX(_xlfn.ANCHORARRAY($AA$11),ROW()-10,12),""),IF(_xlpm.link="","",HYPERLINK(_xlpm.link,"Bluecore/Attentive")))</f>
        <v/>
      </c>
      <c r="M41" s="72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11" t="str" cm="1">
        <f t="array" aca="1" ref="B42" ca="1">IFERROR(INDEX(_xlfn.ANCHORARRAY($AA$11),ROW()-10,2),"")</f>
        <v/>
      </c>
      <c r="C42" s="4" t="str" cm="1">
        <f t="array" aca="1" ref="C42" ca="1">IFERROR(INDEX(_xlfn.ANCHORARRAY($AA$11),ROW()-10,3),"")</f>
        <v/>
      </c>
      <c r="D42" s="13" t="str" cm="1">
        <f t="array" aca="1" ref="D42" ca="1">IFERROR(INDEX(_xlfn.ANCHORARRAY($AA$11),ROW()-10,4),"")</f>
        <v/>
      </c>
      <c r="E42" s="4" t="str" cm="1">
        <f t="array" aca="1" ref="E42" ca="1">IFERROR(INDEX(_xlfn.ANCHORARRAY($AA$11),ROW()-10,5),"")</f>
        <v/>
      </c>
      <c r="F42" s="4" t="str" cm="1">
        <f t="array" aca="1" ref="F42" ca="1">IFERROR(INDEX(_xlfn.ANCHORARRAY($AA$11),ROW()-10,6),"")</f>
        <v/>
      </c>
      <c r="G42" s="4" t="str" cm="1">
        <f t="array" aca="1" ref="G42" ca="1">IFERROR(INDEX(_xlfn.ANCHORARRAY($AA$11),ROW()-10,7),"")</f>
        <v/>
      </c>
      <c r="H42" s="4" t="str" cm="1">
        <f t="array" aca="1" ref="H42" ca="1">IFERROR(INDEX(_xlfn.ANCHORARRAY($AA$11),ROW()-10,8),"")</f>
        <v/>
      </c>
      <c r="I42" s="4" t="str" cm="1">
        <f t="array" aca="1" ref="I42" ca="1">IFERROR(INDEX(_xlfn.ANCHORARRAY($AA$11),ROW()-10,9),"")</f>
        <v/>
      </c>
      <c r="J42" s="4" t="str">
        <f t="shared" ca="1" si="0"/>
        <v/>
      </c>
      <c r="K42" s="4" t="str">
        <f t="shared" ca="1" si="1"/>
        <v/>
      </c>
      <c r="L42" s="4" t="str" cm="1">
        <f t="array" aca="1" ref="L42" ca="1">_xlfn.LET(_xlpm.link,IFERROR(INDEX(_xlfn.ANCHORARRAY($AA$11),ROW()-10,12),""),IF(_xlpm.link="","",HYPERLINK(_xlpm.link,"Bluecore/Attentive")))</f>
        <v/>
      </c>
      <c r="M42" s="73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11" t="str" cm="1">
        <f t="array" aca="1" ref="B43" ca="1">IFERROR(INDEX(_xlfn.ANCHORARRAY($AA$11),ROW()-10,2),"")</f>
        <v/>
      </c>
      <c r="C43" s="4" t="str" cm="1">
        <f t="array" aca="1" ref="C43" ca="1">IFERROR(INDEX(_xlfn.ANCHORARRAY($AA$11),ROW()-10,3),"")</f>
        <v/>
      </c>
      <c r="D43" s="13" t="str" cm="1">
        <f t="array" aca="1" ref="D43" ca="1">IFERROR(INDEX(_xlfn.ANCHORARRAY($AA$11),ROW()-10,4),"")</f>
        <v/>
      </c>
      <c r="E43" s="4" t="str" cm="1">
        <f t="array" aca="1" ref="E43" ca="1">IFERROR(INDEX(_xlfn.ANCHORARRAY($AA$11),ROW()-10,5),"")</f>
        <v/>
      </c>
      <c r="F43" s="4" t="str" cm="1">
        <f t="array" aca="1" ref="F43" ca="1">IFERROR(INDEX(_xlfn.ANCHORARRAY($AA$11),ROW()-10,6),"")</f>
        <v/>
      </c>
      <c r="G43" s="4" t="str" cm="1">
        <f t="array" aca="1" ref="G43" ca="1">IFERROR(INDEX(_xlfn.ANCHORARRAY($AA$11),ROW()-10,7),"")</f>
        <v/>
      </c>
      <c r="H43" s="4" t="str" cm="1">
        <f t="array" aca="1" ref="H43" ca="1">IFERROR(INDEX(_xlfn.ANCHORARRAY($AA$11),ROW()-10,8),"")</f>
        <v/>
      </c>
      <c r="I43" s="4" t="str" cm="1">
        <f t="array" aca="1" ref="I43" ca="1">IFERROR(INDEX(_xlfn.ANCHORARRAY($AA$11),ROW()-10,9),"")</f>
        <v/>
      </c>
      <c r="J43" s="4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4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4" t="str" cm="1">
        <f t="array" aca="1" ref="L43" ca="1">_xlfn.LET(_xlpm.link,IFERROR(INDEX(_xlfn.ANCHORARRAY($AA$11),ROW()-10,12),""),IF(_xlpm.link="","",HYPERLINK(_xlpm.link,"Bluecore/Attentive")))</f>
        <v/>
      </c>
      <c r="M43" s="72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11" t="str" cm="1">
        <f t="array" aca="1" ref="B44" ca="1">IFERROR(INDEX(_xlfn.ANCHORARRAY($AA$11),ROW()-10,2),"")</f>
        <v/>
      </c>
      <c r="C44" s="4" t="str" cm="1">
        <f t="array" aca="1" ref="C44" ca="1">IFERROR(INDEX(_xlfn.ANCHORARRAY($AA$11),ROW()-10,3),"")</f>
        <v/>
      </c>
      <c r="D44" s="13" t="str" cm="1">
        <f t="array" aca="1" ref="D44" ca="1">IFERROR(INDEX(_xlfn.ANCHORARRAY($AA$11),ROW()-10,4),"")</f>
        <v/>
      </c>
      <c r="E44" s="4" t="str" cm="1">
        <f t="array" aca="1" ref="E44" ca="1">IFERROR(INDEX(_xlfn.ANCHORARRAY($AA$11),ROW()-10,5),"")</f>
        <v/>
      </c>
      <c r="F44" s="4" t="str" cm="1">
        <f t="array" aca="1" ref="F44" ca="1">IFERROR(INDEX(_xlfn.ANCHORARRAY($AA$11),ROW()-10,6),"")</f>
        <v/>
      </c>
      <c r="G44" s="4" t="str" cm="1">
        <f t="array" aca="1" ref="G44" ca="1">IFERROR(INDEX(_xlfn.ANCHORARRAY($AA$11),ROW()-10,7),"")</f>
        <v/>
      </c>
      <c r="H44" s="4" t="str" cm="1">
        <f t="array" aca="1" ref="H44" ca="1">IFERROR(INDEX(_xlfn.ANCHORARRAY($AA$11),ROW()-10,8),"")</f>
        <v/>
      </c>
      <c r="I44" s="4" t="str" cm="1">
        <f t="array" aca="1" ref="I44" ca="1">IFERROR(INDEX(_xlfn.ANCHORARRAY($AA$11),ROW()-10,9),"")</f>
        <v/>
      </c>
      <c r="J44" s="4" t="str">
        <f t="shared" ca="1" si="3"/>
        <v/>
      </c>
      <c r="K44" s="4" t="str">
        <f t="shared" ca="1" si="4"/>
        <v/>
      </c>
      <c r="L44" s="4" t="str" cm="1">
        <f t="array" aca="1" ref="L44" ca="1">_xlfn.LET(_xlpm.link,IFERROR(INDEX(_xlfn.ANCHORARRAY($AA$11),ROW()-10,12),""),IF(_xlpm.link="","",HYPERLINK(_xlpm.link,"Bluecore/Attentive")))</f>
        <v/>
      </c>
      <c r="M44" s="73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11" t="str" cm="1">
        <f t="array" aca="1" ref="B45" ca="1">IFERROR(INDEX(_xlfn.ANCHORARRAY($AA$11),ROW()-10,2),"")</f>
        <v/>
      </c>
      <c r="C45" s="4" t="str" cm="1">
        <f t="array" aca="1" ref="C45" ca="1">IFERROR(INDEX(_xlfn.ANCHORARRAY($AA$11),ROW()-10,3),"")</f>
        <v/>
      </c>
      <c r="D45" s="13" t="str" cm="1">
        <f t="array" aca="1" ref="D45" ca="1">IFERROR(INDEX(_xlfn.ANCHORARRAY($AA$11),ROW()-10,4),"")</f>
        <v/>
      </c>
      <c r="E45" s="4" t="str" cm="1">
        <f t="array" aca="1" ref="E45" ca="1">IFERROR(INDEX(_xlfn.ANCHORARRAY($AA$11),ROW()-10,5),"")</f>
        <v/>
      </c>
      <c r="F45" s="4" t="str" cm="1">
        <f t="array" aca="1" ref="F45" ca="1">IFERROR(INDEX(_xlfn.ANCHORARRAY($AA$11),ROW()-10,6),"")</f>
        <v/>
      </c>
      <c r="G45" s="4" t="str" cm="1">
        <f t="array" aca="1" ref="G45" ca="1">IFERROR(INDEX(_xlfn.ANCHORARRAY($AA$11),ROW()-10,7),"")</f>
        <v/>
      </c>
      <c r="H45" s="4" t="str" cm="1">
        <f t="array" aca="1" ref="H45" ca="1">IFERROR(INDEX(_xlfn.ANCHORARRAY($AA$11),ROW()-10,8),"")</f>
        <v/>
      </c>
      <c r="I45" s="4" t="str" cm="1">
        <f t="array" aca="1" ref="I45" ca="1">IFERROR(INDEX(_xlfn.ANCHORARRAY($AA$11),ROW()-10,9),"")</f>
        <v/>
      </c>
      <c r="J45" s="4" t="str">
        <f t="shared" ca="1" si="3"/>
        <v/>
      </c>
      <c r="K45" s="4" t="str">
        <f t="shared" ca="1" si="4"/>
        <v/>
      </c>
      <c r="L45" s="4" t="str" cm="1">
        <f t="array" aca="1" ref="L45" ca="1">_xlfn.LET(_xlpm.link,IFERROR(INDEX(_xlfn.ANCHORARRAY($AA$11),ROW()-10,12),""),IF(_xlpm.link="","",HYPERLINK(_xlpm.link,"Bluecore/Attentive")))</f>
        <v/>
      </c>
      <c r="M45" s="72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11" t="str" cm="1">
        <f t="array" aca="1" ref="B46" ca="1">IFERROR(INDEX(_xlfn.ANCHORARRAY($AA$11),ROW()-10,2),"")</f>
        <v/>
      </c>
      <c r="C46" s="4" t="str" cm="1">
        <f t="array" aca="1" ref="C46" ca="1">IFERROR(INDEX(_xlfn.ANCHORARRAY($AA$11),ROW()-10,3),"")</f>
        <v/>
      </c>
      <c r="D46" s="13" t="str" cm="1">
        <f t="array" aca="1" ref="D46" ca="1">IFERROR(INDEX(_xlfn.ANCHORARRAY($AA$11),ROW()-10,4),"")</f>
        <v/>
      </c>
      <c r="E46" s="4" t="str" cm="1">
        <f t="array" aca="1" ref="E46" ca="1">IFERROR(INDEX(_xlfn.ANCHORARRAY($AA$11),ROW()-10,5),"")</f>
        <v/>
      </c>
      <c r="F46" s="4" t="str" cm="1">
        <f t="array" aca="1" ref="F46" ca="1">IFERROR(INDEX(_xlfn.ANCHORARRAY($AA$11),ROW()-10,6),"")</f>
        <v/>
      </c>
      <c r="G46" s="4" t="str" cm="1">
        <f t="array" aca="1" ref="G46" ca="1">IFERROR(INDEX(_xlfn.ANCHORARRAY($AA$11),ROW()-10,7),"")</f>
        <v/>
      </c>
      <c r="H46" s="4" t="str" cm="1">
        <f t="array" aca="1" ref="H46" ca="1">IFERROR(INDEX(_xlfn.ANCHORARRAY($AA$11),ROW()-10,8),"")</f>
        <v/>
      </c>
      <c r="I46" s="4" t="str" cm="1">
        <f t="array" aca="1" ref="I46" ca="1">IFERROR(INDEX(_xlfn.ANCHORARRAY($AA$11),ROW()-10,9),"")</f>
        <v/>
      </c>
      <c r="J46" s="4" t="str">
        <f t="shared" ca="1" si="3"/>
        <v/>
      </c>
      <c r="K46" s="4" t="str">
        <f t="shared" ca="1" si="4"/>
        <v/>
      </c>
      <c r="L46" s="4" t="str" cm="1">
        <f t="array" aca="1" ref="L46" ca="1">_xlfn.LET(_xlpm.link,IFERROR(INDEX(_xlfn.ANCHORARRAY($AA$11),ROW()-10,12),""),IF(_xlpm.link="","",HYPERLINK(_xlpm.link,"Bluecore/Attentive")))</f>
        <v/>
      </c>
      <c r="M46" s="73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11" t="str" cm="1">
        <f t="array" aca="1" ref="B47" ca="1">IFERROR(INDEX(_xlfn.ANCHORARRAY($AA$11),ROW()-10,2),"")</f>
        <v/>
      </c>
      <c r="C47" s="4" t="str" cm="1">
        <f t="array" aca="1" ref="C47" ca="1">IFERROR(INDEX(_xlfn.ANCHORARRAY($AA$11),ROW()-10,3),"")</f>
        <v/>
      </c>
      <c r="D47" s="13" t="str" cm="1">
        <f t="array" aca="1" ref="D47" ca="1">IFERROR(INDEX(_xlfn.ANCHORARRAY($AA$11),ROW()-10,4),"")</f>
        <v/>
      </c>
      <c r="E47" s="4" t="str" cm="1">
        <f t="array" aca="1" ref="E47" ca="1">IFERROR(INDEX(_xlfn.ANCHORARRAY($AA$11),ROW()-10,5),"")</f>
        <v/>
      </c>
      <c r="F47" s="4" t="str" cm="1">
        <f t="array" aca="1" ref="F47" ca="1">IFERROR(INDEX(_xlfn.ANCHORARRAY($AA$11),ROW()-10,6),"")</f>
        <v/>
      </c>
      <c r="G47" s="4" t="str" cm="1">
        <f t="array" aca="1" ref="G47" ca="1">IFERROR(INDEX(_xlfn.ANCHORARRAY($AA$11),ROW()-10,7),"")</f>
        <v/>
      </c>
      <c r="H47" s="4" t="str" cm="1">
        <f t="array" aca="1" ref="H47" ca="1">IFERROR(INDEX(_xlfn.ANCHORARRAY($AA$11),ROW()-10,8),"")</f>
        <v/>
      </c>
      <c r="I47" s="4" t="str" cm="1">
        <f t="array" aca="1" ref="I47" ca="1">IFERROR(INDEX(_xlfn.ANCHORARRAY($AA$11),ROW()-10,9),"")</f>
        <v/>
      </c>
      <c r="J47" s="4" t="str">
        <f t="shared" ca="1" si="3"/>
        <v/>
      </c>
      <c r="K47" s="4" t="str">
        <f t="shared" ca="1" si="4"/>
        <v/>
      </c>
      <c r="L47" s="4" t="str" cm="1">
        <f t="array" aca="1" ref="L47" ca="1">_xlfn.LET(_xlpm.link,IFERROR(INDEX(_xlfn.ANCHORARRAY($AA$11),ROW()-10,12),""),IF(_xlpm.link="","",HYPERLINK(_xlpm.link,"Bluecore/Attentive")))</f>
        <v/>
      </c>
      <c r="M47" s="72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11" t="str" cm="1">
        <f t="array" aca="1" ref="B48" ca="1">IFERROR(INDEX(_xlfn.ANCHORARRAY($AA$11),ROW()-10,2),"")</f>
        <v/>
      </c>
      <c r="C48" s="4" t="str" cm="1">
        <f t="array" aca="1" ref="C48" ca="1">IFERROR(INDEX(_xlfn.ANCHORARRAY($AA$11),ROW()-10,3),"")</f>
        <v/>
      </c>
      <c r="D48" s="13" t="str" cm="1">
        <f t="array" aca="1" ref="D48" ca="1">IFERROR(INDEX(_xlfn.ANCHORARRAY($AA$11),ROW()-10,4),"")</f>
        <v/>
      </c>
      <c r="E48" s="4" t="str" cm="1">
        <f t="array" aca="1" ref="E48" ca="1">IFERROR(INDEX(_xlfn.ANCHORARRAY($AA$11),ROW()-10,5),"")</f>
        <v/>
      </c>
      <c r="F48" s="4" t="str" cm="1">
        <f t="array" aca="1" ref="F48" ca="1">IFERROR(INDEX(_xlfn.ANCHORARRAY($AA$11),ROW()-10,6),"")</f>
        <v/>
      </c>
      <c r="G48" s="4" t="str" cm="1">
        <f t="array" aca="1" ref="G48" ca="1">IFERROR(INDEX(_xlfn.ANCHORARRAY($AA$11),ROW()-10,7),"")</f>
        <v/>
      </c>
      <c r="H48" s="4" t="str" cm="1">
        <f t="array" aca="1" ref="H48" ca="1">IFERROR(INDEX(_xlfn.ANCHORARRAY($AA$11),ROW()-10,8),"")</f>
        <v/>
      </c>
      <c r="I48" s="4" t="str" cm="1">
        <f t="array" aca="1" ref="I48" ca="1">IFERROR(INDEX(_xlfn.ANCHORARRAY($AA$11),ROW()-10,9),"")</f>
        <v/>
      </c>
      <c r="J48" s="4" t="str">
        <f t="shared" ca="1" si="3"/>
        <v/>
      </c>
      <c r="K48" s="4" t="str">
        <f t="shared" ca="1" si="4"/>
        <v/>
      </c>
      <c r="L48" s="4" t="str" cm="1">
        <f t="array" aca="1" ref="L48" ca="1">_xlfn.LET(_xlpm.link,IFERROR(INDEX(_xlfn.ANCHORARRAY($AA$11),ROW()-10,12),""),IF(_xlpm.link="","",HYPERLINK(_xlpm.link,"Bluecore/Attentive")))</f>
        <v/>
      </c>
      <c r="M48" s="73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11" t="str" cm="1">
        <f t="array" aca="1" ref="B49" ca="1">IFERROR(INDEX(_xlfn.ANCHORARRAY($AA$11),ROW()-10,2),"")</f>
        <v/>
      </c>
      <c r="C49" s="4" t="str" cm="1">
        <f t="array" aca="1" ref="C49" ca="1">IFERROR(INDEX(_xlfn.ANCHORARRAY($AA$11),ROW()-10,3),"")</f>
        <v/>
      </c>
      <c r="D49" s="13" t="str" cm="1">
        <f t="array" aca="1" ref="D49" ca="1">IFERROR(INDEX(_xlfn.ANCHORARRAY($AA$11),ROW()-10,4),"")</f>
        <v/>
      </c>
      <c r="E49" s="4" t="str" cm="1">
        <f t="array" aca="1" ref="E49" ca="1">IFERROR(INDEX(_xlfn.ANCHORARRAY($AA$11),ROW()-10,5),"")</f>
        <v/>
      </c>
      <c r="F49" s="4" t="str" cm="1">
        <f t="array" aca="1" ref="F49" ca="1">IFERROR(INDEX(_xlfn.ANCHORARRAY($AA$11),ROW()-10,6),"")</f>
        <v/>
      </c>
      <c r="G49" s="4" t="str" cm="1">
        <f t="array" aca="1" ref="G49" ca="1">IFERROR(INDEX(_xlfn.ANCHORARRAY($AA$11),ROW()-10,7),"")</f>
        <v/>
      </c>
      <c r="H49" s="4" t="str" cm="1">
        <f t="array" aca="1" ref="H49" ca="1">IFERROR(INDEX(_xlfn.ANCHORARRAY($AA$11),ROW()-10,8),"")</f>
        <v/>
      </c>
      <c r="I49" s="4" t="str" cm="1">
        <f t="array" aca="1" ref="I49" ca="1">IFERROR(INDEX(_xlfn.ANCHORARRAY($AA$11),ROW()-10,9),"")</f>
        <v/>
      </c>
      <c r="J49" s="4" t="str">
        <f t="shared" ca="1" si="3"/>
        <v/>
      </c>
      <c r="K49" s="4" t="str">
        <f t="shared" ca="1" si="4"/>
        <v/>
      </c>
      <c r="L49" s="4" t="str" cm="1">
        <f t="array" aca="1" ref="L49" ca="1">_xlfn.LET(_xlpm.link,IFERROR(INDEX(_xlfn.ANCHORARRAY($AA$11),ROW()-10,12),""),IF(_xlpm.link="","",HYPERLINK(_xlpm.link,"Bluecore/Attentive")))</f>
        <v/>
      </c>
      <c r="M49" s="72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11" t="str" cm="1">
        <f t="array" aca="1" ref="B50" ca="1">IFERROR(INDEX(_xlfn.ANCHORARRAY($AA$11),ROW()-10,2),"")</f>
        <v/>
      </c>
      <c r="C50" s="4" t="str" cm="1">
        <f t="array" aca="1" ref="C50" ca="1">IFERROR(INDEX(_xlfn.ANCHORARRAY($AA$11),ROW()-10,3),"")</f>
        <v/>
      </c>
      <c r="D50" s="13" t="str" cm="1">
        <f t="array" aca="1" ref="D50" ca="1">IFERROR(INDEX(_xlfn.ANCHORARRAY($AA$11),ROW()-10,4),"")</f>
        <v/>
      </c>
      <c r="E50" s="4" t="str" cm="1">
        <f t="array" aca="1" ref="E50" ca="1">IFERROR(INDEX(_xlfn.ANCHORARRAY($AA$11),ROW()-10,5),"")</f>
        <v/>
      </c>
      <c r="F50" s="4" t="str" cm="1">
        <f t="array" aca="1" ref="F50" ca="1">IFERROR(INDEX(_xlfn.ANCHORARRAY($AA$11),ROW()-10,6),"")</f>
        <v/>
      </c>
      <c r="G50" s="4" t="str" cm="1">
        <f t="array" aca="1" ref="G50" ca="1">IFERROR(INDEX(_xlfn.ANCHORARRAY($AA$11),ROW()-10,7),"")</f>
        <v/>
      </c>
      <c r="H50" s="4" t="str" cm="1">
        <f t="array" aca="1" ref="H50" ca="1">IFERROR(INDEX(_xlfn.ANCHORARRAY($AA$11),ROW()-10,8),"")</f>
        <v/>
      </c>
      <c r="I50" s="4" t="str" cm="1">
        <f t="array" aca="1" ref="I50" ca="1">IFERROR(INDEX(_xlfn.ANCHORARRAY($AA$11),ROW()-10,9),"")</f>
        <v/>
      </c>
      <c r="J50" s="4" t="str">
        <f t="shared" ca="1" si="3"/>
        <v/>
      </c>
      <c r="K50" s="4" t="str">
        <f t="shared" ca="1" si="4"/>
        <v/>
      </c>
      <c r="L50" s="4" t="str" cm="1">
        <f t="array" aca="1" ref="L50" ca="1">_xlfn.LET(_xlpm.link,IFERROR(INDEX(_xlfn.ANCHORARRAY($AA$11),ROW()-10,12),""),IF(_xlpm.link="","",HYPERLINK(_xlpm.link,"Bluecore/Attentive")))</f>
        <v/>
      </c>
      <c r="M50" s="73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11" t="str" cm="1">
        <f t="array" aca="1" ref="B51" ca="1">IFERROR(INDEX(_xlfn.ANCHORARRAY($AA$11),ROW()-10,2),"")</f>
        <v/>
      </c>
      <c r="C51" s="4" t="str" cm="1">
        <f t="array" aca="1" ref="C51" ca="1">IFERROR(INDEX(_xlfn.ANCHORARRAY($AA$11),ROW()-10,3),"")</f>
        <v/>
      </c>
      <c r="D51" s="13" t="str" cm="1">
        <f t="array" aca="1" ref="D51" ca="1">IFERROR(INDEX(_xlfn.ANCHORARRAY($AA$11),ROW()-10,4),"")</f>
        <v/>
      </c>
      <c r="E51" s="4" t="str" cm="1">
        <f t="array" aca="1" ref="E51" ca="1">IFERROR(INDEX(_xlfn.ANCHORARRAY($AA$11),ROW()-10,5),"")</f>
        <v/>
      </c>
      <c r="F51" s="4" t="str" cm="1">
        <f t="array" aca="1" ref="F51" ca="1">IFERROR(INDEX(_xlfn.ANCHORARRAY($AA$11),ROW()-10,6),"")</f>
        <v/>
      </c>
      <c r="G51" s="4" t="str" cm="1">
        <f t="array" aca="1" ref="G51" ca="1">IFERROR(INDEX(_xlfn.ANCHORARRAY($AA$11),ROW()-10,7),"")</f>
        <v/>
      </c>
      <c r="H51" s="4" t="str" cm="1">
        <f t="array" aca="1" ref="H51" ca="1">IFERROR(INDEX(_xlfn.ANCHORARRAY($AA$11),ROW()-10,8),"")</f>
        <v/>
      </c>
      <c r="I51" s="4" t="str" cm="1">
        <f t="array" aca="1" ref="I51" ca="1">IFERROR(INDEX(_xlfn.ANCHORARRAY($AA$11),ROW()-10,9),"")</f>
        <v/>
      </c>
      <c r="J51" s="4" t="str">
        <f t="shared" ca="1" si="3"/>
        <v/>
      </c>
      <c r="K51" s="4" t="str">
        <f t="shared" ca="1" si="4"/>
        <v/>
      </c>
      <c r="L51" s="4" t="str" cm="1">
        <f t="array" aca="1" ref="L51" ca="1">_xlfn.LET(_xlpm.link,IFERROR(INDEX(_xlfn.ANCHORARRAY($AA$11),ROW()-10,12),""),IF(_xlpm.link="","",HYPERLINK(_xlpm.link,"Bluecore/Attentive")))</f>
        <v/>
      </c>
      <c r="M51" s="72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11" t="str" cm="1">
        <f t="array" aca="1" ref="B52" ca="1">IFERROR(INDEX(_xlfn.ANCHORARRAY($AA$11),ROW()-10,2),"")</f>
        <v/>
      </c>
      <c r="C52" s="4" t="str" cm="1">
        <f t="array" aca="1" ref="C52" ca="1">IFERROR(INDEX(_xlfn.ANCHORARRAY($AA$11),ROW()-10,3),"")</f>
        <v/>
      </c>
      <c r="D52" s="13" t="str" cm="1">
        <f t="array" aca="1" ref="D52" ca="1">IFERROR(INDEX(_xlfn.ANCHORARRAY($AA$11),ROW()-10,4),"")</f>
        <v/>
      </c>
      <c r="E52" s="4" t="str" cm="1">
        <f t="array" aca="1" ref="E52" ca="1">IFERROR(INDEX(_xlfn.ANCHORARRAY($AA$11),ROW()-10,5),"")</f>
        <v/>
      </c>
      <c r="F52" s="4" t="str" cm="1">
        <f t="array" aca="1" ref="F52" ca="1">IFERROR(INDEX(_xlfn.ANCHORARRAY($AA$11),ROW()-10,6),"")</f>
        <v/>
      </c>
      <c r="G52" s="4" t="str" cm="1">
        <f t="array" aca="1" ref="G52" ca="1">IFERROR(INDEX(_xlfn.ANCHORARRAY($AA$11),ROW()-10,7),"")</f>
        <v/>
      </c>
      <c r="H52" s="4" t="str" cm="1">
        <f t="array" aca="1" ref="H52" ca="1">IFERROR(INDEX(_xlfn.ANCHORARRAY($AA$11),ROW()-10,8),"")</f>
        <v/>
      </c>
      <c r="I52" s="4" t="str" cm="1">
        <f t="array" aca="1" ref="I52" ca="1">IFERROR(INDEX(_xlfn.ANCHORARRAY($AA$11),ROW()-10,9),"")</f>
        <v/>
      </c>
      <c r="J52" s="4" t="str">
        <f t="shared" ca="1" si="3"/>
        <v/>
      </c>
      <c r="K52" s="4" t="str">
        <f t="shared" ca="1" si="4"/>
        <v/>
      </c>
      <c r="L52" s="4" t="str" cm="1">
        <f t="array" aca="1" ref="L52" ca="1">_xlfn.LET(_xlpm.link,IFERROR(INDEX(_xlfn.ANCHORARRAY($AA$11),ROW()-10,12),""),IF(_xlpm.link="","",HYPERLINK(_xlpm.link,"Bluecore/Attentive")))</f>
        <v/>
      </c>
      <c r="M52" s="73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11" t="str" cm="1">
        <f t="array" aca="1" ref="B53" ca="1">IFERROR(INDEX(_xlfn.ANCHORARRAY($AA$11),ROW()-10,2),"")</f>
        <v/>
      </c>
      <c r="C53" s="4" t="str" cm="1">
        <f t="array" aca="1" ref="C53" ca="1">IFERROR(INDEX(_xlfn.ANCHORARRAY($AA$11),ROW()-10,3),"")</f>
        <v/>
      </c>
      <c r="D53" s="13" t="str" cm="1">
        <f t="array" aca="1" ref="D53" ca="1">IFERROR(INDEX(_xlfn.ANCHORARRAY($AA$11),ROW()-10,4),"")</f>
        <v/>
      </c>
      <c r="E53" s="4" t="str" cm="1">
        <f t="array" aca="1" ref="E53" ca="1">IFERROR(INDEX(_xlfn.ANCHORARRAY($AA$11),ROW()-10,5),"")</f>
        <v/>
      </c>
      <c r="F53" s="4" t="str" cm="1">
        <f t="array" aca="1" ref="F53" ca="1">IFERROR(INDEX(_xlfn.ANCHORARRAY($AA$11),ROW()-10,6),"")</f>
        <v/>
      </c>
      <c r="G53" s="4" t="str" cm="1">
        <f t="array" aca="1" ref="G53" ca="1">IFERROR(INDEX(_xlfn.ANCHORARRAY($AA$11),ROW()-10,7),"")</f>
        <v/>
      </c>
      <c r="H53" s="4" t="str" cm="1">
        <f t="array" aca="1" ref="H53" ca="1">IFERROR(INDEX(_xlfn.ANCHORARRAY($AA$11),ROW()-10,8),"")</f>
        <v/>
      </c>
      <c r="I53" s="4" t="str" cm="1">
        <f t="array" aca="1" ref="I53" ca="1">IFERROR(INDEX(_xlfn.ANCHORARRAY($AA$11),ROW()-10,9),"")</f>
        <v/>
      </c>
      <c r="J53" s="4" t="str">
        <f t="shared" ca="1" si="3"/>
        <v/>
      </c>
      <c r="K53" s="4" t="str">
        <f t="shared" ca="1" si="4"/>
        <v/>
      </c>
      <c r="L53" s="4" t="str" cm="1">
        <f t="array" aca="1" ref="L53" ca="1">_xlfn.LET(_xlpm.link,IFERROR(INDEX(_xlfn.ANCHORARRAY($AA$11),ROW()-10,12),""),IF(_xlpm.link="","",HYPERLINK(_xlpm.link,"Bluecore/Attentive")))</f>
        <v/>
      </c>
      <c r="M53" s="72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11" t="str" cm="1">
        <f t="array" aca="1" ref="B54" ca="1">IFERROR(INDEX(_xlfn.ANCHORARRAY($AA$11),ROW()-10,2),"")</f>
        <v/>
      </c>
      <c r="C54" s="4" t="str" cm="1">
        <f t="array" aca="1" ref="C54" ca="1">IFERROR(INDEX(_xlfn.ANCHORARRAY($AA$11),ROW()-10,3),"")</f>
        <v/>
      </c>
      <c r="D54" s="13" t="str" cm="1">
        <f t="array" aca="1" ref="D54" ca="1">IFERROR(INDEX(_xlfn.ANCHORARRAY($AA$11),ROW()-10,4),"")</f>
        <v/>
      </c>
      <c r="E54" s="4" t="str" cm="1">
        <f t="array" aca="1" ref="E54" ca="1">IFERROR(INDEX(_xlfn.ANCHORARRAY($AA$11),ROW()-10,5),"")</f>
        <v/>
      </c>
      <c r="F54" s="4" t="str" cm="1">
        <f t="array" aca="1" ref="F54" ca="1">IFERROR(INDEX(_xlfn.ANCHORARRAY($AA$11),ROW()-10,6),"")</f>
        <v/>
      </c>
      <c r="G54" s="4" t="str" cm="1">
        <f t="array" aca="1" ref="G54" ca="1">IFERROR(INDEX(_xlfn.ANCHORARRAY($AA$11),ROW()-10,7),"")</f>
        <v/>
      </c>
      <c r="H54" s="4" t="str" cm="1">
        <f t="array" aca="1" ref="H54" ca="1">IFERROR(INDEX(_xlfn.ANCHORARRAY($AA$11),ROW()-10,8),"")</f>
        <v/>
      </c>
      <c r="I54" s="4" t="str" cm="1">
        <f t="array" aca="1" ref="I54" ca="1">IFERROR(INDEX(_xlfn.ANCHORARRAY($AA$11),ROW()-10,9),"")</f>
        <v/>
      </c>
      <c r="J54" s="4" t="str">
        <f t="shared" ca="1" si="3"/>
        <v/>
      </c>
      <c r="K54" s="4" t="str">
        <f t="shared" ca="1" si="4"/>
        <v/>
      </c>
      <c r="L54" s="4" t="str" cm="1">
        <f t="array" aca="1" ref="L54" ca="1">_xlfn.LET(_xlpm.link,IFERROR(INDEX(_xlfn.ANCHORARRAY($AA$11),ROW()-10,12),""),IF(_xlpm.link="","",HYPERLINK(_xlpm.link,"Bluecore/Attentive")))</f>
        <v/>
      </c>
      <c r="M54" s="73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11" t="str" cm="1">
        <f t="array" aca="1" ref="B55" ca="1">IFERROR(INDEX(_xlfn.ANCHORARRAY($AA$11),ROW()-10,2),"")</f>
        <v/>
      </c>
      <c r="C55" s="4" t="str" cm="1">
        <f t="array" aca="1" ref="C55" ca="1">IFERROR(INDEX(_xlfn.ANCHORARRAY($AA$11),ROW()-10,3),"")</f>
        <v/>
      </c>
      <c r="D55" s="13" t="str" cm="1">
        <f t="array" aca="1" ref="D55" ca="1">IFERROR(INDEX(_xlfn.ANCHORARRAY($AA$11),ROW()-10,4),"")</f>
        <v/>
      </c>
      <c r="E55" s="4" t="str" cm="1">
        <f t="array" aca="1" ref="E55" ca="1">IFERROR(INDEX(_xlfn.ANCHORARRAY($AA$11),ROW()-10,5),"")</f>
        <v/>
      </c>
      <c r="F55" s="4" t="str" cm="1">
        <f t="array" aca="1" ref="F55" ca="1">IFERROR(INDEX(_xlfn.ANCHORARRAY($AA$11),ROW()-10,6),"")</f>
        <v/>
      </c>
      <c r="G55" s="4" t="str" cm="1">
        <f t="array" aca="1" ref="G55" ca="1">IFERROR(INDEX(_xlfn.ANCHORARRAY($AA$11),ROW()-10,7),"")</f>
        <v/>
      </c>
      <c r="H55" s="4" t="str" cm="1">
        <f t="array" aca="1" ref="H55" ca="1">IFERROR(INDEX(_xlfn.ANCHORARRAY($AA$11),ROW()-10,8),"")</f>
        <v/>
      </c>
      <c r="I55" s="4" t="str" cm="1">
        <f t="array" aca="1" ref="I55" ca="1">IFERROR(INDEX(_xlfn.ANCHORARRAY($AA$11),ROW()-10,9),"")</f>
        <v/>
      </c>
      <c r="J55" s="4" t="str">
        <f t="shared" ca="1" si="3"/>
        <v/>
      </c>
      <c r="K55" s="4" t="str">
        <f t="shared" ca="1" si="4"/>
        <v/>
      </c>
      <c r="L55" s="4" t="str" cm="1">
        <f t="array" aca="1" ref="L55" ca="1">_xlfn.LET(_xlpm.link,IFERROR(INDEX(_xlfn.ANCHORARRAY($AA$11),ROW()-10,12),""),IF(_xlpm.link="","",HYPERLINK(_xlpm.link,"Bluecore/Attentive")))</f>
        <v/>
      </c>
      <c r="M55" s="72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11" t="str" cm="1">
        <f t="array" aca="1" ref="B56" ca="1">IFERROR(INDEX(_xlfn.ANCHORARRAY($AA$11),ROW()-10,2),"")</f>
        <v/>
      </c>
      <c r="C56" s="4" t="str" cm="1">
        <f t="array" aca="1" ref="C56" ca="1">IFERROR(INDEX(_xlfn.ANCHORARRAY($AA$11),ROW()-10,3),"")</f>
        <v/>
      </c>
      <c r="D56" s="13" t="str" cm="1">
        <f t="array" aca="1" ref="D56" ca="1">IFERROR(INDEX(_xlfn.ANCHORARRAY($AA$11),ROW()-10,4),"")</f>
        <v/>
      </c>
      <c r="E56" s="4" t="str" cm="1">
        <f t="array" aca="1" ref="E56" ca="1">IFERROR(INDEX(_xlfn.ANCHORARRAY($AA$11),ROW()-10,5),"")</f>
        <v/>
      </c>
      <c r="F56" s="4" t="str" cm="1">
        <f t="array" aca="1" ref="F56" ca="1">IFERROR(INDEX(_xlfn.ANCHORARRAY($AA$11),ROW()-10,6),"")</f>
        <v/>
      </c>
      <c r="G56" s="4" t="str" cm="1">
        <f t="array" aca="1" ref="G56" ca="1">IFERROR(INDEX(_xlfn.ANCHORARRAY($AA$11),ROW()-10,7),"")</f>
        <v/>
      </c>
      <c r="H56" s="4" t="str" cm="1">
        <f t="array" aca="1" ref="H56" ca="1">IFERROR(INDEX(_xlfn.ANCHORARRAY($AA$11),ROW()-10,8),"")</f>
        <v/>
      </c>
      <c r="I56" s="4" t="str" cm="1">
        <f t="array" aca="1" ref="I56" ca="1">IFERROR(INDEX(_xlfn.ANCHORARRAY($AA$11),ROW()-10,9),"")</f>
        <v/>
      </c>
      <c r="J56" s="4" t="str">
        <f t="shared" ca="1" si="3"/>
        <v/>
      </c>
      <c r="K56" s="4" t="str">
        <f t="shared" ca="1" si="4"/>
        <v/>
      </c>
      <c r="L56" s="4" t="str" cm="1">
        <f t="array" aca="1" ref="L56" ca="1">_xlfn.LET(_xlpm.link,IFERROR(INDEX(_xlfn.ANCHORARRAY($AA$11),ROW()-10,12),""),IF(_xlpm.link="","",HYPERLINK(_xlpm.link,"Bluecore/Attentive")))</f>
        <v/>
      </c>
      <c r="M56" s="73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11" t="str" cm="1">
        <f t="array" aca="1" ref="B57" ca="1">IFERROR(INDEX(_xlfn.ANCHORARRAY($AA$11),ROW()-10,2),"")</f>
        <v/>
      </c>
      <c r="C57" s="4" t="str" cm="1">
        <f t="array" aca="1" ref="C57" ca="1">IFERROR(INDEX(_xlfn.ANCHORARRAY($AA$11),ROW()-10,3),"")</f>
        <v/>
      </c>
      <c r="D57" s="13" t="str" cm="1">
        <f t="array" aca="1" ref="D57" ca="1">IFERROR(INDEX(_xlfn.ANCHORARRAY($AA$11),ROW()-10,4),"")</f>
        <v/>
      </c>
      <c r="E57" s="4" t="str" cm="1">
        <f t="array" aca="1" ref="E57" ca="1">IFERROR(INDEX(_xlfn.ANCHORARRAY($AA$11),ROW()-10,5),"")</f>
        <v/>
      </c>
      <c r="F57" s="4" t="str" cm="1">
        <f t="array" aca="1" ref="F57" ca="1">IFERROR(INDEX(_xlfn.ANCHORARRAY($AA$11),ROW()-10,6),"")</f>
        <v/>
      </c>
      <c r="G57" s="4" t="str" cm="1">
        <f t="array" aca="1" ref="G57" ca="1">IFERROR(INDEX(_xlfn.ANCHORARRAY($AA$11),ROW()-10,7),"")</f>
        <v/>
      </c>
      <c r="H57" s="4" t="str" cm="1">
        <f t="array" aca="1" ref="H57" ca="1">IFERROR(INDEX(_xlfn.ANCHORARRAY($AA$11),ROW()-10,8),"")</f>
        <v/>
      </c>
      <c r="I57" s="4" t="str" cm="1">
        <f t="array" aca="1" ref="I57" ca="1">IFERROR(INDEX(_xlfn.ANCHORARRAY($AA$11),ROW()-10,9),"")</f>
        <v/>
      </c>
      <c r="J57" s="4" t="str">
        <f t="shared" ca="1" si="3"/>
        <v/>
      </c>
      <c r="K57" s="4" t="str">
        <f t="shared" ca="1" si="4"/>
        <v/>
      </c>
      <c r="L57" s="4" t="str" cm="1">
        <f t="array" aca="1" ref="L57" ca="1">_xlfn.LET(_xlpm.link,IFERROR(INDEX(_xlfn.ANCHORARRAY($AA$11),ROW()-10,12),""),IF(_xlpm.link="","",HYPERLINK(_xlpm.link,"Bluecore/Attentive")))</f>
        <v/>
      </c>
      <c r="M57" s="72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11" t="str" cm="1">
        <f t="array" aca="1" ref="B58" ca="1">IFERROR(INDEX(_xlfn.ANCHORARRAY($AA$11),ROW()-10,2),"")</f>
        <v/>
      </c>
      <c r="C58" s="4" t="str" cm="1">
        <f t="array" aca="1" ref="C58" ca="1">IFERROR(INDEX(_xlfn.ANCHORARRAY($AA$11),ROW()-10,3),"")</f>
        <v/>
      </c>
      <c r="D58" s="13" t="str" cm="1">
        <f t="array" aca="1" ref="D58" ca="1">IFERROR(INDEX(_xlfn.ANCHORARRAY($AA$11),ROW()-10,4),"")</f>
        <v/>
      </c>
      <c r="E58" s="4" t="str" cm="1">
        <f t="array" aca="1" ref="E58" ca="1">IFERROR(INDEX(_xlfn.ANCHORARRAY($AA$11),ROW()-10,5),"")</f>
        <v/>
      </c>
      <c r="F58" s="4" t="str" cm="1">
        <f t="array" aca="1" ref="F58" ca="1">IFERROR(INDEX(_xlfn.ANCHORARRAY($AA$11),ROW()-10,6),"")</f>
        <v/>
      </c>
      <c r="G58" s="4" t="str" cm="1">
        <f t="array" aca="1" ref="G58" ca="1">IFERROR(INDEX(_xlfn.ANCHORARRAY($AA$11),ROW()-10,7),"")</f>
        <v/>
      </c>
      <c r="H58" s="4" t="str" cm="1">
        <f t="array" aca="1" ref="H58" ca="1">IFERROR(INDEX(_xlfn.ANCHORARRAY($AA$11),ROW()-10,8),"")</f>
        <v/>
      </c>
      <c r="I58" s="4" t="str" cm="1">
        <f t="array" aca="1" ref="I58" ca="1">IFERROR(INDEX(_xlfn.ANCHORARRAY($AA$11),ROW()-10,9),"")</f>
        <v/>
      </c>
      <c r="J58" s="4" t="str">
        <f t="shared" ca="1" si="3"/>
        <v/>
      </c>
      <c r="K58" s="4" t="str">
        <f t="shared" ca="1" si="4"/>
        <v/>
      </c>
      <c r="L58" s="4" t="str" cm="1">
        <f t="array" aca="1" ref="L58" ca="1">_xlfn.LET(_xlpm.link,IFERROR(INDEX(_xlfn.ANCHORARRAY($AA$11),ROW()-10,12),""),IF(_xlpm.link="","",HYPERLINK(_xlpm.link,"Bluecore/Attentive")))</f>
        <v/>
      </c>
      <c r="M58" s="73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11" t="str" cm="1">
        <f t="array" aca="1" ref="B59" ca="1">IFERROR(INDEX(_xlfn.ANCHORARRAY($AA$11),ROW()-10,2),"")</f>
        <v/>
      </c>
      <c r="C59" s="4" t="str" cm="1">
        <f t="array" aca="1" ref="C59" ca="1">IFERROR(INDEX(_xlfn.ANCHORARRAY($AA$11),ROW()-10,3),"")</f>
        <v/>
      </c>
      <c r="D59" s="13" t="str" cm="1">
        <f t="array" aca="1" ref="D59" ca="1">IFERROR(INDEX(_xlfn.ANCHORARRAY($AA$11),ROW()-10,4),"")</f>
        <v/>
      </c>
      <c r="E59" s="4" t="str" cm="1">
        <f t="array" aca="1" ref="E59" ca="1">IFERROR(INDEX(_xlfn.ANCHORARRAY($AA$11),ROW()-10,5),"")</f>
        <v/>
      </c>
      <c r="F59" s="4" t="str" cm="1">
        <f t="array" aca="1" ref="F59" ca="1">IFERROR(INDEX(_xlfn.ANCHORARRAY($AA$11),ROW()-10,6),"")</f>
        <v/>
      </c>
      <c r="G59" s="4" t="str" cm="1">
        <f t="array" aca="1" ref="G59" ca="1">IFERROR(INDEX(_xlfn.ANCHORARRAY($AA$11),ROW()-10,7),"")</f>
        <v/>
      </c>
      <c r="H59" s="4" t="str" cm="1">
        <f t="array" aca="1" ref="H59" ca="1">IFERROR(INDEX(_xlfn.ANCHORARRAY($AA$11),ROW()-10,8),"")</f>
        <v/>
      </c>
      <c r="I59" s="4" t="str" cm="1">
        <f t="array" aca="1" ref="I59" ca="1">IFERROR(INDEX(_xlfn.ANCHORARRAY($AA$11),ROW()-10,9),"")</f>
        <v/>
      </c>
      <c r="J59" s="4" t="str">
        <f t="shared" ca="1" si="3"/>
        <v/>
      </c>
      <c r="K59" s="4" t="str">
        <f t="shared" ca="1" si="4"/>
        <v/>
      </c>
      <c r="L59" s="4" t="str" cm="1">
        <f t="array" aca="1" ref="L59" ca="1">_xlfn.LET(_xlpm.link,IFERROR(INDEX(_xlfn.ANCHORARRAY($AA$11),ROW()-10,12),""),IF(_xlpm.link="","",HYPERLINK(_xlpm.link,"Bluecore/Attentive")))</f>
        <v/>
      </c>
      <c r="M59" s="72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11" t="str" cm="1">
        <f t="array" aca="1" ref="B60" ca="1">IFERROR(INDEX(_xlfn.ANCHORARRAY($AA$11),ROW()-10,2),"")</f>
        <v/>
      </c>
      <c r="C60" s="4" t="str" cm="1">
        <f t="array" aca="1" ref="C60" ca="1">IFERROR(INDEX(_xlfn.ANCHORARRAY($AA$11),ROW()-10,3),"")</f>
        <v/>
      </c>
      <c r="D60" s="13" t="str" cm="1">
        <f t="array" aca="1" ref="D60" ca="1">IFERROR(INDEX(_xlfn.ANCHORARRAY($AA$11),ROW()-10,4),"")</f>
        <v/>
      </c>
      <c r="E60" s="4" t="str" cm="1">
        <f t="array" aca="1" ref="E60" ca="1">IFERROR(INDEX(_xlfn.ANCHORARRAY($AA$11),ROW()-10,5),"")</f>
        <v/>
      </c>
      <c r="F60" s="4" t="str" cm="1">
        <f t="array" aca="1" ref="F60" ca="1">IFERROR(INDEX(_xlfn.ANCHORARRAY($AA$11),ROW()-10,6),"")</f>
        <v/>
      </c>
      <c r="G60" s="4" t="str" cm="1">
        <f t="array" aca="1" ref="G60" ca="1">IFERROR(INDEX(_xlfn.ANCHORARRAY($AA$11),ROW()-10,7),"")</f>
        <v/>
      </c>
      <c r="H60" s="4" t="str" cm="1">
        <f t="array" aca="1" ref="H60" ca="1">IFERROR(INDEX(_xlfn.ANCHORARRAY($AA$11),ROW()-10,8),"")</f>
        <v/>
      </c>
      <c r="I60" s="4" t="str" cm="1">
        <f t="array" aca="1" ref="I60" ca="1">IFERROR(INDEX(_xlfn.ANCHORARRAY($AA$11),ROW()-10,9),"")</f>
        <v/>
      </c>
      <c r="J60" s="4" t="str">
        <f t="shared" ca="1" si="3"/>
        <v/>
      </c>
      <c r="K60" s="4" t="str">
        <f t="shared" ca="1" si="4"/>
        <v/>
      </c>
      <c r="L60" s="4" t="str" cm="1">
        <f t="array" aca="1" ref="L60" ca="1">_xlfn.LET(_xlpm.link,IFERROR(INDEX(_xlfn.ANCHORARRAY($AA$11),ROW()-10,12),""),IF(_xlpm.link="","",HYPERLINK(_xlpm.link,"Bluecore/Attentive")))</f>
        <v/>
      </c>
      <c r="M60" s="73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11" t="str" cm="1">
        <f t="array" aca="1" ref="B61" ca="1">IFERROR(INDEX(_xlfn.ANCHORARRAY($AA$11),ROW()-10,2),"")</f>
        <v/>
      </c>
      <c r="C61" s="4" t="str" cm="1">
        <f t="array" aca="1" ref="C61" ca="1">IFERROR(INDEX(_xlfn.ANCHORARRAY($AA$11),ROW()-10,3),"")</f>
        <v/>
      </c>
      <c r="D61" s="13" t="str" cm="1">
        <f t="array" aca="1" ref="D61" ca="1">IFERROR(INDEX(_xlfn.ANCHORARRAY($AA$11),ROW()-10,4),"")</f>
        <v/>
      </c>
      <c r="E61" s="4" t="str" cm="1">
        <f t="array" aca="1" ref="E61" ca="1">IFERROR(INDEX(_xlfn.ANCHORARRAY($AA$11),ROW()-10,5),"")</f>
        <v/>
      </c>
      <c r="F61" s="4" t="str" cm="1">
        <f t="array" aca="1" ref="F61" ca="1">IFERROR(INDEX(_xlfn.ANCHORARRAY($AA$11),ROW()-10,6),"")</f>
        <v/>
      </c>
      <c r="G61" s="4" t="str" cm="1">
        <f t="array" aca="1" ref="G61" ca="1">IFERROR(INDEX(_xlfn.ANCHORARRAY($AA$11),ROW()-10,7),"")</f>
        <v/>
      </c>
      <c r="H61" s="4" t="str" cm="1">
        <f t="array" aca="1" ref="H61" ca="1">IFERROR(INDEX(_xlfn.ANCHORARRAY($AA$11),ROW()-10,8),"")</f>
        <v/>
      </c>
      <c r="I61" s="4" t="str" cm="1">
        <f t="array" aca="1" ref="I61" ca="1">IFERROR(INDEX(_xlfn.ANCHORARRAY($AA$11),ROW()-10,9),"")</f>
        <v/>
      </c>
      <c r="J61" s="4" t="str">
        <f t="shared" ca="1" si="3"/>
        <v/>
      </c>
      <c r="K61" s="4" t="str">
        <f t="shared" ca="1" si="4"/>
        <v/>
      </c>
      <c r="L61" s="4" t="str" cm="1">
        <f t="array" aca="1" ref="L61" ca="1">_xlfn.LET(_xlpm.link,IFERROR(INDEX(_xlfn.ANCHORARRAY($AA$11),ROW()-10,12),""),IF(_xlpm.link="","",HYPERLINK(_xlpm.link,"Bluecore/Attentive")))</f>
        <v/>
      </c>
      <c r="M61" s="72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11" t="str" cm="1">
        <f t="array" aca="1" ref="B62" ca="1">IFERROR(INDEX(_xlfn.ANCHORARRAY($AA$11),ROW()-10,2),"")</f>
        <v/>
      </c>
      <c r="C62" s="4" t="str" cm="1">
        <f t="array" aca="1" ref="C62" ca="1">IFERROR(INDEX(_xlfn.ANCHORARRAY($AA$11),ROW()-10,3),"")</f>
        <v/>
      </c>
      <c r="D62" s="13" t="str" cm="1">
        <f t="array" aca="1" ref="D62" ca="1">IFERROR(INDEX(_xlfn.ANCHORARRAY($AA$11),ROW()-10,4),"")</f>
        <v/>
      </c>
      <c r="E62" s="4" t="str" cm="1">
        <f t="array" aca="1" ref="E62" ca="1">IFERROR(INDEX(_xlfn.ANCHORARRAY($AA$11),ROW()-10,5),"")</f>
        <v/>
      </c>
      <c r="F62" s="4" t="str" cm="1">
        <f t="array" aca="1" ref="F62" ca="1">IFERROR(INDEX(_xlfn.ANCHORARRAY($AA$11),ROW()-10,6),"")</f>
        <v/>
      </c>
      <c r="G62" s="4" t="str" cm="1">
        <f t="array" aca="1" ref="G62" ca="1">IFERROR(INDEX(_xlfn.ANCHORARRAY($AA$11),ROW()-10,7),"")</f>
        <v/>
      </c>
      <c r="H62" s="4" t="str" cm="1">
        <f t="array" aca="1" ref="H62" ca="1">IFERROR(INDEX(_xlfn.ANCHORARRAY($AA$11),ROW()-10,8),"")</f>
        <v/>
      </c>
      <c r="I62" s="4" t="str" cm="1">
        <f t="array" aca="1" ref="I62" ca="1">IFERROR(INDEX(_xlfn.ANCHORARRAY($AA$11),ROW()-10,9),"")</f>
        <v/>
      </c>
      <c r="J62" s="4" t="str">
        <f t="shared" ca="1" si="3"/>
        <v/>
      </c>
      <c r="K62" s="4" t="str">
        <f t="shared" ca="1" si="4"/>
        <v/>
      </c>
      <c r="L62" s="4" t="str" cm="1">
        <f t="array" aca="1" ref="L62" ca="1">_xlfn.LET(_xlpm.link,IFERROR(INDEX(_xlfn.ANCHORARRAY($AA$11),ROW()-10,12),""),IF(_xlpm.link="","",HYPERLINK(_xlpm.link,"Bluecore/Attentive")))</f>
        <v/>
      </c>
      <c r="M62" s="73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11" t="str" cm="1">
        <f t="array" aca="1" ref="B63" ca="1">IFERROR(INDEX(_xlfn.ANCHORARRAY($AA$11),ROW()-10,2),"")</f>
        <v/>
      </c>
      <c r="C63" s="4" t="str" cm="1">
        <f t="array" aca="1" ref="C63" ca="1">IFERROR(INDEX(_xlfn.ANCHORARRAY($AA$11),ROW()-10,3),"")</f>
        <v/>
      </c>
      <c r="D63" s="13" t="str" cm="1">
        <f t="array" aca="1" ref="D63" ca="1">IFERROR(INDEX(_xlfn.ANCHORARRAY($AA$11),ROW()-10,4),"")</f>
        <v/>
      </c>
      <c r="E63" s="4" t="str" cm="1">
        <f t="array" aca="1" ref="E63" ca="1">IFERROR(INDEX(_xlfn.ANCHORARRAY($AA$11),ROW()-10,5),"")</f>
        <v/>
      </c>
      <c r="F63" s="4" t="str" cm="1">
        <f t="array" aca="1" ref="F63" ca="1">IFERROR(INDEX(_xlfn.ANCHORARRAY($AA$11),ROW()-10,6),"")</f>
        <v/>
      </c>
      <c r="G63" s="4" t="str" cm="1">
        <f t="array" aca="1" ref="G63" ca="1">IFERROR(INDEX(_xlfn.ANCHORARRAY($AA$11),ROW()-10,7),"")</f>
        <v/>
      </c>
      <c r="H63" s="4" t="str" cm="1">
        <f t="array" aca="1" ref="H63" ca="1">IFERROR(INDEX(_xlfn.ANCHORARRAY($AA$11),ROW()-10,8),"")</f>
        <v/>
      </c>
      <c r="I63" s="4" t="str" cm="1">
        <f t="array" aca="1" ref="I63" ca="1">IFERROR(INDEX(_xlfn.ANCHORARRAY($AA$11),ROW()-10,9),"")</f>
        <v/>
      </c>
      <c r="J63" s="4" t="str">
        <f t="shared" ca="1" si="3"/>
        <v/>
      </c>
      <c r="K63" s="4" t="str">
        <f t="shared" ca="1" si="4"/>
        <v/>
      </c>
      <c r="L63" s="4" t="str" cm="1">
        <f t="array" aca="1" ref="L63" ca="1">_xlfn.LET(_xlpm.link,IFERROR(INDEX(_xlfn.ANCHORARRAY($AA$11),ROW()-10,12),""),IF(_xlpm.link="","",HYPERLINK(_xlpm.link,"Bluecore/Attentive")))</f>
        <v/>
      </c>
      <c r="M63" s="72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11" t="str" cm="1">
        <f t="array" aca="1" ref="B64" ca="1">IFERROR(INDEX(_xlfn.ANCHORARRAY($AA$11),ROW()-10,2),"")</f>
        <v/>
      </c>
      <c r="C64" s="4" t="str" cm="1">
        <f t="array" aca="1" ref="C64" ca="1">IFERROR(INDEX(_xlfn.ANCHORARRAY($AA$11),ROW()-10,3),"")</f>
        <v/>
      </c>
      <c r="D64" s="13" t="str" cm="1">
        <f t="array" aca="1" ref="D64" ca="1">IFERROR(INDEX(_xlfn.ANCHORARRAY($AA$11),ROW()-10,4),"")</f>
        <v/>
      </c>
      <c r="E64" s="4" t="str" cm="1">
        <f t="array" aca="1" ref="E64" ca="1">IFERROR(INDEX(_xlfn.ANCHORARRAY($AA$11),ROW()-10,5),"")</f>
        <v/>
      </c>
      <c r="F64" s="4" t="str" cm="1">
        <f t="array" aca="1" ref="F64" ca="1">IFERROR(INDEX(_xlfn.ANCHORARRAY($AA$11),ROW()-10,6),"")</f>
        <v/>
      </c>
      <c r="G64" s="4" t="str" cm="1">
        <f t="array" aca="1" ref="G64" ca="1">IFERROR(INDEX(_xlfn.ANCHORARRAY($AA$11),ROW()-10,7),"")</f>
        <v/>
      </c>
      <c r="H64" s="4" t="str" cm="1">
        <f t="array" aca="1" ref="H64" ca="1">IFERROR(INDEX(_xlfn.ANCHORARRAY($AA$11),ROW()-10,8),"")</f>
        <v/>
      </c>
      <c r="I64" s="4" t="str" cm="1">
        <f t="array" aca="1" ref="I64" ca="1">IFERROR(INDEX(_xlfn.ANCHORARRAY($AA$11),ROW()-10,9),"")</f>
        <v/>
      </c>
      <c r="J64" s="4" t="str">
        <f t="shared" ca="1" si="3"/>
        <v/>
      </c>
      <c r="K64" s="4" t="str">
        <f t="shared" ca="1" si="4"/>
        <v/>
      </c>
      <c r="L64" s="4" t="str" cm="1">
        <f t="array" aca="1" ref="L64" ca="1">_xlfn.LET(_xlpm.link,IFERROR(INDEX(_xlfn.ANCHORARRAY($AA$11),ROW()-10,12),""),IF(_xlpm.link="","",HYPERLINK(_xlpm.link,"Bluecore/Attentive")))</f>
        <v/>
      </c>
      <c r="M64" s="73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11" t="str" cm="1">
        <f t="array" aca="1" ref="B65" ca="1">IFERROR(INDEX(_xlfn.ANCHORARRAY($AA$11),ROW()-10,2),"")</f>
        <v/>
      </c>
      <c r="C65" s="4" t="str" cm="1">
        <f t="array" aca="1" ref="C65" ca="1">IFERROR(INDEX(_xlfn.ANCHORARRAY($AA$11),ROW()-10,3),"")</f>
        <v/>
      </c>
      <c r="D65" s="13" t="str" cm="1">
        <f t="array" aca="1" ref="D65" ca="1">IFERROR(INDEX(_xlfn.ANCHORARRAY($AA$11),ROW()-10,4),"")</f>
        <v/>
      </c>
      <c r="E65" s="4" t="str" cm="1">
        <f t="array" aca="1" ref="E65" ca="1">IFERROR(INDEX(_xlfn.ANCHORARRAY($AA$11),ROW()-10,5),"")</f>
        <v/>
      </c>
      <c r="F65" s="4" t="str" cm="1">
        <f t="array" aca="1" ref="F65" ca="1">IFERROR(INDEX(_xlfn.ANCHORARRAY($AA$11),ROW()-10,6),"")</f>
        <v/>
      </c>
      <c r="G65" s="4" t="str" cm="1">
        <f t="array" aca="1" ref="G65" ca="1">IFERROR(INDEX(_xlfn.ANCHORARRAY($AA$11),ROW()-10,7),"")</f>
        <v/>
      </c>
      <c r="H65" s="4" t="str" cm="1">
        <f t="array" aca="1" ref="H65" ca="1">IFERROR(INDEX(_xlfn.ANCHORARRAY($AA$11),ROW()-10,8),"")</f>
        <v/>
      </c>
      <c r="I65" s="4" t="str" cm="1">
        <f t="array" aca="1" ref="I65" ca="1">IFERROR(INDEX(_xlfn.ANCHORARRAY($AA$11),ROW()-10,9),"")</f>
        <v/>
      </c>
      <c r="J65" s="4" t="str">
        <f t="shared" ca="1" si="3"/>
        <v/>
      </c>
      <c r="K65" s="4" t="str">
        <f t="shared" ca="1" si="4"/>
        <v/>
      </c>
      <c r="L65" s="4" t="str" cm="1">
        <f t="array" aca="1" ref="L65" ca="1">_xlfn.LET(_xlpm.link,IFERROR(INDEX(_xlfn.ANCHORARRAY($AA$11),ROW()-10,12),""),IF(_xlpm.link="","",HYPERLINK(_xlpm.link,"Bluecore/Attentive")))</f>
        <v/>
      </c>
      <c r="M65" s="72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11" t="str" cm="1">
        <f t="array" aca="1" ref="B66" ca="1">IFERROR(INDEX(_xlfn.ANCHORARRAY($AA$11),ROW()-10,2),"")</f>
        <v/>
      </c>
      <c r="C66" s="4" t="str" cm="1">
        <f t="array" aca="1" ref="C66" ca="1">IFERROR(INDEX(_xlfn.ANCHORARRAY($AA$11),ROW()-10,3),"")</f>
        <v/>
      </c>
      <c r="D66" s="13" t="str" cm="1">
        <f t="array" aca="1" ref="D66" ca="1">IFERROR(INDEX(_xlfn.ANCHORARRAY($AA$11),ROW()-10,4),"")</f>
        <v/>
      </c>
      <c r="E66" s="4" t="str" cm="1">
        <f t="array" aca="1" ref="E66" ca="1">IFERROR(INDEX(_xlfn.ANCHORARRAY($AA$11),ROW()-10,5),"")</f>
        <v/>
      </c>
      <c r="F66" s="4" t="str" cm="1">
        <f t="array" aca="1" ref="F66" ca="1">IFERROR(INDEX(_xlfn.ANCHORARRAY($AA$11),ROW()-10,6),"")</f>
        <v/>
      </c>
      <c r="G66" s="4" t="str" cm="1">
        <f t="array" aca="1" ref="G66" ca="1">IFERROR(INDEX(_xlfn.ANCHORARRAY($AA$11),ROW()-10,7),"")</f>
        <v/>
      </c>
      <c r="H66" s="4" t="str" cm="1">
        <f t="array" aca="1" ref="H66" ca="1">IFERROR(INDEX(_xlfn.ANCHORARRAY($AA$11),ROW()-10,8),"")</f>
        <v/>
      </c>
      <c r="I66" s="4" t="str" cm="1">
        <f t="array" aca="1" ref="I66" ca="1">IFERROR(INDEX(_xlfn.ANCHORARRAY($AA$11),ROW()-10,9),"")</f>
        <v/>
      </c>
      <c r="J66" s="4" t="str">
        <f t="shared" ca="1" si="3"/>
        <v/>
      </c>
      <c r="K66" s="4" t="str">
        <f t="shared" ca="1" si="4"/>
        <v/>
      </c>
      <c r="L66" s="4" t="str" cm="1">
        <f t="array" aca="1" ref="L66" ca="1">_xlfn.LET(_xlpm.link,IFERROR(INDEX(_xlfn.ANCHORARRAY($AA$11),ROW()-10,12),""),IF(_xlpm.link="","",HYPERLINK(_xlpm.link,"Bluecore/Attentive")))</f>
        <v/>
      </c>
      <c r="M66" s="73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11" t="str" cm="1">
        <f t="array" aca="1" ref="B67" ca="1">IFERROR(INDEX(_xlfn.ANCHORARRAY($AA$11),ROW()-10,2),"")</f>
        <v/>
      </c>
      <c r="C67" s="4" t="str" cm="1">
        <f t="array" aca="1" ref="C67" ca="1">IFERROR(INDEX(_xlfn.ANCHORARRAY($AA$11),ROW()-10,3),"")</f>
        <v/>
      </c>
      <c r="D67" s="13" t="str" cm="1">
        <f t="array" aca="1" ref="D67" ca="1">IFERROR(INDEX(_xlfn.ANCHORARRAY($AA$11),ROW()-10,4),"")</f>
        <v/>
      </c>
      <c r="E67" s="4" t="str" cm="1">
        <f t="array" aca="1" ref="E67" ca="1">IFERROR(INDEX(_xlfn.ANCHORARRAY($AA$11),ROW()-10,5),"")</f>
        <v/>
      </c>
      <c r="F67" s="4" t="str" cm="1">
        <f t="array" aca="1" ref="F67" ca="1">IFERROR(INDEX(_xlfn.ANCHORARRAY($AA$11),ROW()-10,6),"")</f>
        <v/>
      </c>
      <c r="G67" s="4" t="str" cm="1">
        <f t="array" aca="1" ref="G67" ca="1">IFERROR(INDEX(_xlfn.ANCHORARRAY($AA$11),ROW()-10,7),"")</f>
        <v/>
      </c>
      <c r="H67" s="4" t="str" cm="1">
        <f t="array" aca="1" ref="H67" ca="1">IFERROR(INDEX(_xlfn.ANCHORARRAY($AA$11),ROW()-10,8),"")</f>
        <v/>
      </c>
      <c r="I67" s="4" t="str" cm="1">
        <f t="array" aca="1" ref="I67" ca="1">IFERROR(INDEX(_xlfn.ANCHORARRAY($AA$11),ROW()-10,9),"")</f>
        <v/>
      </c>
      <c r="J67" s="4" t="str">
        <f t="shared" ca="1" si="3"/>
        <v/>
      </c>
      <c r="K67" s="4" t="str">
        <f t="shared" ca="1" si="4"/>
        <v/>
      </c>
      <c r="L67" s="4" t="str" cm="1">
        <f t="array" aca="1" ref="L67" ca="1">_xlfn.LET(_xlpm.link,IFERROR(INDEX(_xlfn.ANCHORARRAY($AA$11),ROW()-10,12),""),IF(_xlpm.link="","",HYPERLINK(_xlpm.link,"Bluecore/Attentive")))</f>
        <v/>
      </c>
      <c r="M67" s="72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11" t="str" cm="1">
        <f t="array" aca="1" ref="B68" ca="1">IFERROR(INDEX(_xlfn.ANCHORARRAY($AA$11),ROW()-10,2),"")</f>
        <v/>
      </c>
      <c r="C68" s="4" t="str" cm="1">
        <f t="array" aca="1" ref="C68" ca="1">IFERROR(INDEX(_xlfn.ANCHORARRAY($AA$11),ROW()-10,3),"")</f>
        <v/>
      </c>
      <c r="D68" s="13" t="str" cm="1">
        <f t="array" aca="1" ref="D68" ca="1">IFERROR(INDEX(_xlfn.ANCHORARRAY($AA$11),ROW()-10,4),"")</f>
        <v/>
      </c>
      <c r="E68" s="4" t="str" cm="1">
        <f t="array" aca="1" ref="E68" ca="1">IFERROR(INDEX(_xlfn.ANCHORARRAY($AA$11),ROW()-10,5),"")</f>
        <v/>
      </c>
      <c r="F68" s="4" t="str" cm="1">
        <f t="array" aca="1" ref="F68" ca="1">IFERROR(INDEX(_xlfn.ANCHORARRAY($AA$11),ROW()-10,6),"")</f>
        <v/>
      </c>
      <c r="G68" s="4" t="str" cm="1">
        <f t="array" aca="1" ref="G68" ca="1">IFERROR(INDEX(_xlfn.ANCHORARRAY($AA$11),ROW()-10,7),"")</f>
        <v/>
      </c>
      <c r="H68" s="4" t="str" cm="1">
        <f t="array" aca="1" ref="H68" ca="1">IFERROR(INDEX(_xlfn.ANCHORARRAY($AA$11),ROW()-10,8),"")</f>
        <v/>
      </c>
      <c r="I68" s="4" t="str" cm="1">
        <f t="array" aca="1" ref="I68" ca="1">IFERROR(INDEX(_xlfn.ANCHORARRAY($AA$11),ROW()-10,9),"")</f>
        <v/>
      </c>
      <c r="J68" s="4" t="str">
        <f t="shared" ca="1" si="3"/>
        <v/>
      </c>
      <c r="K68" s="4" t="str">
        <f t="shared" ca="1" si="4"/>
        <v/>
      </c>
      <c r="L68" s="4" t="str" cm="1">
        <f t="array" aca="1" ref="L68" ca="1">_xlfn.LET(_xlpm.link,IFERROR(INDEX(_xlfn.ANCHORARRAY($AA$11),ROW()-10,12),""),IF(_xlpm.link="","",HYPERLINK(_xlpm.link,"Bluecore/Attentive")))</f>
        <v/>
      </c>
      <c r="M68" s="73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11" t="str" cm="1">
        <f t="array" aca="1" ref="B69" ca="1">IFERROR(INDEX(_xlfn.ANCHORARRAY($AA$11),ROW()-10,2),"")</f>
        <v/>
      </c>
      <c r="C69" s="4" t="str" cm="1">
        <f t="array" aca="1" ref="C69" ca="1">IFERROR(INDEX(_xlfn.ANCHORARRAY($AA$11),ROW()-10,3),"")</f>
        <v/>
      </c>
      <c r="D69" s="13" t="str" cm="1">
        <f t="array" aca="1" ref="D69" ca="1">IFERROR(INDEX(_xlfn.ANCHORARRAY($AA$11),ROW()-10,4),"")</f>
        <v/>
      </c>
      <c r="E69" s="4" t="str" cm="1">
        <f t="array" aca="1" ref="E69" ca="1">IFERROR(INDEX(_xlfn.ANCHORARRAY($AA$11),ROW()-10,5),"")</f>
        <v/>
      </c>
      <c r="F69" s="4" t="str" cm="1">
        <f t="array" aca="1" ref="F69" ca="1">IFERROR(INDEX(_xlfn.ANCHORARRAY($AA$11),ROW()-10,6),"")</f>
        <v/>
      </c>
      <c r="G69" s="4" t="str" cm="1">
        <f t="array" aca="1" ref="G69" ca="1">IFERROR(INDEX(_xlfn.ANCHORARRAY($AA$11),ROW()-10,7),"")</f>
        <v/>
      </c>
      <c r="H69" s="4" t="str" cm="1">
        <f t="array" aca="1" ref="H69" ca="1">IFERROR(INDEX(_xlfn.ANCHORARRAY($AA$11),ROW()-10,8),"")</f>
        <v/>
      </c>
      <c r="I69" s="4" t="str" cm="1">
        <f t="array" aca="1" ref="I69" ca="1">IFERROR(INDEX(_xlfn.ANCHORARRAY($AA$11),ROW()-10,9),"")</f>
        <v/>
      </c>
      <c r="J69" s="4" t="str">
        <f t="shared" ca="1" si="3"/>
        <v/>
      </c>
      <c r="K69" s="4" t="str">
        <f t="shared" ca="1" si="4"/>
        <v/>
      </c>
      <c r="L69" s="4" t="str" cm="1">
        <f t="array" aca="1" ref="L69" ca="1">_xlfn.LET(_xlpm.link,IFERROR(INDEX(_xlfn.ANCHORARRAY($AA$11),ROW()-10,12),""),IF(_xlpm.link="","",HYPERLINK(_xlpm.link,"Bluecore/Attentive")))</f>
        <v/>
      </c>
      <c r="M69" s="72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11" t="str" cm="1">
        <f t="array" aca="1" ref="B70" ca="1">IFERROR(INDEX(_xlfn.ANCHORARRAY($AA$11),ROW()-10,2),"")</f>
        <v/>
      </c>
      <c r="C70" s="4" t="str" cm="1">
        <f t="array" aca="1" ref="C70" ca="1">IFERROR(INDEX(_xlfn.ANCHORARRAY($AA$11),ROW()-10,3),"")</f>
        <v/>
      </c>
      <c r="D70" s="13" t="str" cm="1">
        <f t="array" aca="1" ref="D70" ca="1">IFERROR(INDEX(_xlfn.ANCHORARRAY($AA$11),ROW()-10,4),"")</f>
        <v/>
      </c>
      <c r="E70" s="4" t="str" cm="1">
        <f t="array" aca="1" ref="E70" ca="1">IFERROR(INDEX(_xlfn.ANCHORARRAY($AA$11),ROW()-10,5),"")</f>
        <v/>
      </c>
      <c r="F70" s="4" t="str" cm="1">
        <f t="array" aca="1" ref="F70" ca="1">IFERROR(INDEX(_xlfn.ANCHORARRAY($AA$11),ROW()-10,6),"")</f>
        <v/>
      </c>
      <c r="G70" s="4" t="str" cm="1">
        <f t="array" aca="1" ref="G70" ca="1">IFERROR(INDEX(_xlfn.ANCHORARRAY($AA$11),ROW()-10,7),"")</f>
        <v/>
      </c>
      <c r="H70" s="4" t="str" cm="1">
        <f t="array" aca="1" ref="H70" ca="1">IFERROR(INDEX(_xlfn.ANCHORARRAY($AA$11),ROW()-10,8),"")</f>
        <v/>
      </c>
      <c r="I70" s="4" t="str" cm="1">
        <f t="array" aca="1" ref="I70" ca="1">IFERROR(INDEX(_xlfn.ANCHORARRAY($AA$11),ROW()-10,9),"")</f>
        <v/>
      </c>
      <c r="J70" s="4" t="str">
        <f t="shared" ca="1" si="3"/>
        <v/>
      </c>
      <c r="K70" s="4" t="str">
        <f t="shared" ca="1" si="4"/>
        <v/>
      </c>
      <c r="L70" s="4" t="str" cm="1">
        <f t="array" aca="1" ref="L70" ca="1">_xlfn.LET(_xlpm.link,IFERROR(INDEX(_xlfn.ANCHORARRAY($AA$11),ROW()-10,12),""),IF(_xlpm.link="","",HYPERLINK(_xlpm.link,"Bluecore/Attentive")))</f>
        <v/>
      </c>
      <c r="M70" s="73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11" t="str" cm="1">
        <f t="array" aca="1" ref="B71" ca="1">IFERROR(INDEX(_xlfn.ANCHORARRAY($AA$11),ROW()-10,2),"")</f>
        <v/>
      </c>
      <c r="C71" s="4" t="str" cm="1">
        <f t="array" aca="1" ref="C71" ca="1">IFERROR(INDEX(_xlfn.ANCHORARRAY($AA$11),ROW()-10,3),"")</f>
        <v/>
      </c>
      <c r="D71" s="13" t="str" cm="1">
        <f t="array" aca="1" ref="D71" ca="1">IFERROR(INDEX(_xlfn.ANCHORARRAY($AA$11),ROW()-10,4),"")</f>
        <v/>
      </c>
      <c r="E71" s="4" t="str" cm="1">
        <f t="array" aca="1" ref="E71" ca="1">IFERROR(INDEX(_xlfn.ANCHORARRAY($AA$11),ROW()-10,5),"")</f>
        <v/>
      </c>
      <c r="F71" s="4" t="str" cm="1">
        <f t="array" aca="1" ref="F71" ca="1">IFERROR(INDEX(_xlfn.ANCHORARRAY($AA$11),ROW()-10,6),"")</f>
        <v/>
      </c>
      <c r="G71" s="4" t="str" cm="1">
        <f t="array" aca="1" ref="G71" ca="1">IFERROR(INDEX(_xlfn.ANCHORARRAY($AA$11),ROW()-10,7),"")</f>
        <v/>
      </c>
      <c r="H71" s="4" t="str" cm="1">
        <f t="array" aca="1" ref="H71" ca="1">IFERROR(INDEX(_xlfn.ANCHORARRAY($AA$11),ROW()-10,8),"")</f>
        <v/>
      </c>
      <c r="I71" s="4" t="str" cm="1">
        <f t="array" aca="1" ref="I71" ca="1">IFERROR(INDEX(_xlfn.ANCHORARRAY($AA$11),ROW()-10,9),"")</f>
        <v/>
      </c>
      <c r="J71" s="4" t="str">
        <f t="shared" ca="1" si="3"/>
        <v/>
      </c>
      <c r="K71" s="4" t="str">
        <f t="shared" ca="1" si="4"/>
        <v/>
      </c>
      <c r="L71" s="4" t="str" cm="1">
        <f t="array" aca="1" ref="L71" ca="1">_xlfn.LET(_xlpm.link,IFERROR(INDEX(_xlfn.ANCHORARRAY($AA$11),ROW()-10,12),""),IF(_xlpm.link="","",HYPERLINK(_xlpm.link,"Bluecore/Attentive")))</f>
        <v/>
      </c>
      <c r="M71" s="72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11" t="str" cm="1">
        <f t="array" aca="1" ref="B72" ca="1">IFERROR(INDEX(_xlfn.ANCHORARRAY($AA$11),ROW()-10,2),"")</f>
        <v/>
      </c>
      <c r="C72" s="4" t="str" cm="1">
        <f t="array" aca="1" ref="C72" ca="1">IFERROR(INDEX(_xlfn.ANCHORARRAY($AA$11),ROW()-10,3),"")</f>
        <v/>
      </c>
      <c r="D72" s="13" t="str" cm="1">
        <f t="array" aca="1" ref="D72" ca="1">IFERROR(INDEX(_xlfn.ANCHORARRAY($AA$11),ROW()-10,4),"")</f>
        <v/>
      </c>
      <c r="E72" s="4" t="str" cm="1">
        <f t="array" aca="1" ref="E72" ca="1">IFERROR(INDEX(_xlfn.ANCHORARRAY($AA$11),ROW()-10,5),"")</f>
        <v/>
      </c>
      <c r="F72" s="4" t="str" cm="1">
        <f t="array" aca="1" ref="F72" ca="1">IFERROR(INDEX(_xlfn.ANCHORARRAY($AA$11),ROW()-10,6),"")</f>
        <v/>
      </c>
      <c r="G72" s="4" t="str" cm="1">
        <f t="array" aca="1" ref="G72" ca="1">IFERROR(INDEX(_xlfn.ANCHORARRAY($AA$11),ROW()-10,7),"")</f>
        <v/>
      </c>
      <c r="H72" s="4" t="str" cm="1">
        <f t="array" aca="1" ref="H72" ca="1">IFERROR(INDEX(_xlfn.ANCHORARRAY($AA$11),ROW()-10,8),"")</f>
        <v/>
      </c>
      <c r="I72" s="4" t="str" cm="1">
        <f t="array" aca="1" ref="I72" ca="1">IFERROR(INDEX(_xlfn.ANCHORARRAY($AA$11),ROW()-10,9),"")</f>
        <v/>
      </c>
      <c r="J72" s="4" t="str">
        <f t="shared" ca="1" si="3"/>
        <v/>
      </c>
      <c r="K72" s="4" t="str">
        <f t="shared" ca="1" si="4"/>
        <v/>
      </c>
      <c r="L72" s="4" t="str" cm="1">
        <f t="array" aca="1" ref="L72" ca="1">_xlfn.LET(_xlpm.link,IFERROR(INDEX(_xlfn.ANCHORARRAY($AA$11),ROW()-10,12),""),IF(_xlpm.link="","",HYPERLINK(_xlpm.link,"Bluecore/Attentive")))</f>
        <v/>
      </c>
      <c r="M72" s="73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11" t="str" cm="1">
        <f t="array" aca="1" ref="B73" ca="1">IFERROR(INDEX(_xlfn.ANCHORARRAY($AA$11),ROW()-10,2),"")</f>
        <v/>
      </c>
      <c r="C73" s="4" t="str" cm="1">
        <f t="array" aca="1" ref="C73" ca="1">IFERROR(INDEX(_xlfn.ANCHORARRAY($AA$11),ROW()-10,3),"")</f>
        <v/>
      </c>
      <c r="D73" s="13" t="str" cm="1">
        <f t="array" aca="1" ref="D73" ca="1">IFERROR(INDEX(_xlfn.ANCHORARRAY($AA$11),ROW()-10,4),"")</f>
        <v/>
      </c>
      <c r="E73" s="4" t="str" cm="1">
        <f t="array" aca="1" ref="E73" ca="1">IFERROR(INDEX(_xlfn.ANCHORARRAY($AA$11),ROW()-10,5),"")</f>
        <v/>
      </c>
      <c r="F73" s="4" t="str" cm="1">
        <f t="array" aca="1" ref="F73" ca="1">IFERROR(INDEX(_xlfn.ANCHORARRAY($AA$11),ROW()-10,6),"")</f>
        <v/>
      </c>
      <c r="G73" s="4" t="str" cm="1">
        <f t="array" aca="1" ref="G73" ca="1">IFERROR(INDEX(_xlfn.ANCHORARRAY($AA$11),ROW()-10,7),"")</f>
        <v/>
      </c>
      <c r="H73" s="4" t="str" cm="1">
        <f t="array" aca="1" ref="H73" ca="1">IFERROR(INDEX(_xlfn.ANCHORARRAY($AA$11),ROW()-10,8),"")</f>
        <v/>
      </c>
      <c r="I73" s="4" t="str" cm="1">
        <f t="array" aca="1" ref="I73" ca="1">IFERROR(INDEX(_xlfn.ANCHORARRAY($AA$11),ROW()-10,9),"")</f>
        <v/>
      </c>
      <c r="J73" s="4" t="str">
        <f t="shared" ca="1" si="3"/>
        <v/>
      </c>
      <c r="K73" s="4" t="str">
        <f t="shared" ca="1" si="4"/>
        <v/>
      </c>
      <c r="L73" s="4" t="str" cm="1">
        <f t="array" aca="1" ref="L73" ca="1">_xlfn.LET(_xlpm.link,IFERROR(INDEX(_xlfn.ANCHORARRAY($AA$11),ROW()-10,12),""),IF(_xlpm.link="","",HYPERLINK(_xlpm.link,"Bluecore/Attentive")))</f>
        <v/>
      </c>
      <c r="M73" s="72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11" t="str" cm="1">
        <f t="array" aca="1" ref="B74" ca="1">IFERROR(INDEX(_xlfn.ANCHORARRAY($AA$11),ROW()-10,2),"")</f>
        <v/>
      </c>
      <c r="C74" s="4" t="str" cm="1">
        <f t="array" aca="1" ref="C74" ca="1">IFERROR(INDEX(_xlfn.ANCHORARRAY($AA$11),ROW()-10,3),"")</f>
        <v/>
      </c>
      <c r="D74" s="13" t="str" cm="1">
        <f t="array" aca="1" ref="D74" ca="1">IFERROR(INDEX(_xlfn.ANCHORARRAY($AA$11),ROW()-10,4),"")</f>
        <v/>
      </c>
      <c r="E74" s="4" t="str" cm="1">
        <f t="array" aca="1" ref="E74" ca="1">IFERROR(INDEX(_xlfn.ANCHORARRAY($AA$11),ROW()-10,5),"")</f>
        <v/>
      </c>
      <c r="F74" s="4" t="str" cm="1">
        <f t="array" aca="1" ref="F74" ca="1">IFERROR(INDEX(_xlfn.ANCHORARRAY($AA$11),ROW()-10,6),"")</f>
        <v/>
      </c>
      <c r="G74" s="4" t="str" cm="1">
        <f t="array" aca="1" ref="G74" ca="1">IFERROR(INDEX(_xlfn.ANCHORARRAY($AA$11),ROW()-10,7),"")</f>
        <v/>
      </c>
      <c r="H74" s="4" t="str" cm="1">
        <f t="array" aca="1" ref="H74" ca="1">IFERROR(INDEX(_xlfn.ANCHORARRAY($AA$11),ROW()-10,8),"")</f>
        <v/>
      </c>
      <c r="I74" s="4" t="str" cm="1">
        <f t="array" aca="1" ref="I74" ca="1">IFERROR(INDEX(_xlfn.ANCHORARRAY($AA$11),ROW()-10,9),"")</f>
        <v/>
      </c>
      <c r="J74" s="4" t="str">
        <f t="shared" ca="1" si="3"/>
        <v/>
      </c>
      <c r="K74" s="4" t="str">
        <f t="shared" ca="1" si="4"/>
        <v/>
      </c>
      <c r="L74" s="4" t="str" cm="1">
        <f t="array" aca="1" ref="L74" ca="1">_xlfn.LET(_xlpm.link,IFERROR(INDEX(_xlfn.ANCHORARRAY($AA$11),ROW()-10,12),""),IF(_xlpm.link="","",HYPERLINK(_xlpm.link,"Bluecore/Attentive")))</f>
        <v/>
      </c>
      <c r="M74" s="73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11" t="str" cm="1">
        <f t="array" aca="1" ref="B75" ca="1">IFERROR(INDEX(_xlfn.ANCHORARRAY($AA$11),ROW()-10,2),"")</f>
        <v/>
      </c>
      <c r="C75" s="4" t="str" cm="1">
        <f t="array" aca="1" ref="C75" ca="1">IFERROR(INDEX(_xlfn.ANCHORARRAY($AA$11),ROW()-10,3),"")</f>
        <v/>
      </c>
      <c r="D75" s="13" t="str" cm="1">
        <f t="array" aca="1" ref="D75" ca="1">IFERROR(INDEX(_xlfn.ANCHORARRAY($AA$11),ROW()-10,4),"")</f>
        <v/>
      </c>
      <c r="E75" s="4" t="str" cm="1">
        <f t="array" aca="1" ref="E75" ca="1">IFERROR(INDEX(_xlfn.ANCHORARRAY($AA$11),ROW()-10,5),"")</f>
        <v/>
      </c>
      <c r="F75" s="4" t="str" cm="1">
        <f t="array" aca="1" ref="F75" ca="1">IFERROR(INDEX(_xlfn.ANCHORARRAY($AA$11),ROW()-10,6),"")</f>
        <v/>
      </c>
      <c r="G75" s="4" t="str" cm="1">
        <f t="array" aca="1" ref="G75" ca="1">IFERROR(INDEX(_xlfn.ANCHORARRAY($AA$11),ROW()-10,7),"")</f>
        <v/>
      </c>
      <c r="H75" s="4" t="str" cm="1">
        <f t="array" aca="1" ref="H75" ca="1">IFERROR(INDEX(_xlfn.ANCHORARRAY($AA$11),ROW()-10,8),"")</f>
        <v/>
      </c>
      <c r="I75" s="4" t="str" cm="1">
        <f t="array" aca="1" ref="I75" ca="1">IFERROR(INDEX(_xlfn.ANCHORARRAY($AA$11),ROW()-10,9),"")</f>
        <v/>
      </c>
      <c r="J75" s="4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4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4" t="str" cm="1">
        <f t="array" aca="1" ref="L75" ca="1">_xlfn.LET(_xlpm.link,IFERROR(INDEX(_xlfn.ANCHORARRAY($AA$11),ROW()-10,12),""),IF(_xlpm.link="","",HYPERLINK(_xlpm.link,"Bluecore/Attentive")))</f>
        <v/>
      </c>
      <c r="M75" s="72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11" t="str" cm="1">
        <f t="array" aca="1" ref="B76" ca="1">IFERROR(INDEX(_xlfn.ANCHORARRAY($AA$11),ROW()-10,2),"")</f>
        <v/>
      </c>
      <c r="C76" s="4" t="str" cm="1">
        <f t="array" aca="1" ref="C76" ca="1">IFERROR(INDEX(_xlfn.ANCHORARRAY($AA$11),ROW()-10,3),"")</f>
        <v/>
      </c>
      <c r="D76" s="13" t="str" cm="1">
        <f t="array" aca="1" ref="D76" ca="1">IFERROR(INDEX(_xlfn.ANCHORARRAY($AA$11),ROW()-10,4),"")</f>
        <v/>
      </c>
      <c r="E76" s="4" t="str" cm="1">
        <f t="array" aca="1" ref="E76" ca="1">IFERROR(INDEX(_xlfn.ANCHORARRAY($AA$11),ROW()-10,5),"")</f>
        <v/>
      </c>
      <c r="F76" s="4" t="str" cm="1">
        <f t="array" aca="1" ref="F76" ca="1">IFERROR(INDEX(_xlfn.ANCHORARRAY($AA$11),ROW()-10,6),"")</f>
        <v/>
      </c>
      <c r="G76" s="4" t="str" cm="1">
        <f t="array" aca="1" ref="G76" ca="1">IFERROR(INDEX(_xlfn.ANCHORARRAY($AA$11),ROW()-10,7),"")</f>
        <v/>
      </c>
      <c r="H76" s="4" t="str" cm="1">
        <f t="array" aca="1" ref="H76" ca="1">IFERROR(INDEX(_xlfn.ANCHORARRAY($AA$11),ROW()-10,8),"")</f>
        <v/>
      </c>
      <c r="I76" s="4" t="str" cm="1">
        <f t="array" aca="1" ref="I76" ca="1">IFERROR(INDEX(_xlfn.ANCHORARRAY($AA$11),ROW()-10,9),"")</f>
        <v/>
      </c>
      <c r="J76" s="4" t="str">
        <f t="shared" ca="1" si="6"/>
        <v/>
      </c>
      <c r="K76" s="4" t="str">
        <f t="shared" ca="1" si="7"/>
        <v/>
      </c>
      <c r="L76" s="4" t="str" cm="1">
        <f t="array" aca="1" ref="L76" ca="1">_xlfn.LET(_xlpm.link,IFERROR(INDEX(_xlfn.ANCHORARRAY($AA$11),ROW()-10,12),""),IF(_xlpm.link="","",HYPERLINK(_xlpm.link,"Bluecore/Attentive")))</f>
        <v/>
      </c>
      <c r="M76" s="73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11" t="str" cm="1">
        <f t="array" aca="1" ref="B77" ca="1">IFERROR(INDEX(_xlfn.ANCHORARRAY($AA$11),ROW()-10,2),"")</f>
        <v/>
      </c>
      <c r="C77" s="4" t="str" cm="1">
        <f t="array" aca="1" ref="C77" ca="1">IFERROR(INDEX(_xlfn.ANCHORARRAY($AA$11),ROW()-10,3),"")</f>
        <v/>
      </c>
      <c r="D77" s="13" t="str" cm="1">
        <f t="array" aca="1" ref="D77" ca="1">IFERROR(INDEX(_xlfn.ANCHORARRAY($AA$11),ROW()-10,4),"")</f>
        <v/>
      </c>
      <c r="E77" s="4" t="str" cm="1">
        <f t="array" aca="1" ref="E77" ca="1">IFERROR(INDEX(_xlfn.ANCHORARRAY($AA$11),ROW()-10,5),"")</f>
        <v/>
      </c>
      <c r="F77" s="4" t="str" cm="1">
        <f t="array" aca="1" ref="F77" ca="1">IFERROR(INDEX(_xlfn.ANCHORARRAY($AA$11),ROW()-10,6),"")</f>
        <v/>
      </c>
      <c r="G77" s="4" t="str" cm="1">
        <f t="array" aca="1" ref="G77" ca="1">IFERROR(INDEX(_xlfn.ANCHORARRAY($AA$11),ROW()-10,7),"")</f>
        <v/>
      </c>
      <c r="H77" s="4" t="str" cm="1">
        <f t="array" aca="1" ref="H77" ca="1">IFERROR(INDEX(_xlfn.ANCHORARRAY($AA$11),ROW()-10,8),"")</f>
        <v/>
      </c>
      <c r="I77" s="4" t="str" cm="1">
        <f t="array" aca="1" ref="I77" ca="1">IFERROR(INDEX(_xlfn.ANCHORARRAY($AA$11),ROW()-10,9),"")</f>
        <v/>
      </c>
      <c r="J77" s="4" t="str">
        <f t="shared" ca="1" si="6"/>
        <v/>
      </c>
      <c r="K77" s="4" t="str">
        <f t="shared" ca="1" si="7"/>
        <v/>
      </c>
      <c r="L77" s="4" t="str" cm="1">
        <f t="array" aca="1" ref="L77" ca="1">_xlfn.LET(_xlpm.link,IFERROR(INDEX(_xlfn.ANCHORARRAY($AA$11),ROW()-10,12),""),IF(_xlpm.link="","",HYPERLINK(_xlpm.link,"Bluecore/Attentive")))</f>
        <v/>
      </c>
      <c r="M77" s="72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11" t="str" cm="1">
        <f t="array" aca="1" ref="B78" ca="1">IFERROR(INDEX(_xlfn.ANCHORARRAY($AA$11),ROW()-10,2),"")</f>
        <v/>
      </c>
      <c r="C78" s="4" t="str" cm="1">
        <f t="array" aca="1" ref="C78" ca="1">IFERROR(INDEX(_xlfn.ANCHORARRAY($AA$11),ROW()-10,3),"")</f>
        <v/>
      </c>
      <c r="D78" s="13" t="str" cm="1">
        <f t="array" aca="1" ref="D78" ca="1">IFERROR(INDEX(_xlfn.ANCHORARRAY($AA$11),ROW()-10,4),"")</f>
        <v/>
      </c>
      <c r="E78" s="4" t="str" cm="1">
        <f t="array" aca="1" ref="E78" ca="1">IFERROR(INDEX(_xlfn.ANCHORARRAY($AA$11),ROW()-10,5),"")</f>
        <v/>
      </c>
      <c r="F78" s="4" t="str" cm="1">
        <f t="array" aca="1" ref="F78" ca="1">IFERROR(INDEX(_xlfn.ANCHORARRAY($AA$11),ROW()-10,6),"")</f>
        <v/>
      </c>
      <c r="G78" s="4" t="str" cm="1">
        <f t="array" aca="1" ref="G78" ca="1">IFERROR(INDEX(_xlfn.ANCHORARRAY($AA$11),ROW()-10,7),"")</f>
        <v/>
      </c>
      <c r="H78" s="4" t="str" cm="1">
        <f t="array" aca="1" ref="H78" ca="1">IFERROR(INDEX(_xlfn.ANCHORARRAY($AA$11),ROW()-10,8),"")</f>
        <v/>
      </c>
      <c r="I78" s="4" t="str" cm="1">
        <f t="array" aca="1" ref="I78" ca="1">IFERROR(INDEX(_xlfn.ANCHORARRAY($AA$11),ROW()-10,9),"")</f>
        <v/>
      </c>
      <c r="J78" s="4" t="str">
        <f t="shared" ca="1" si="6"/>
        <v/>
      </c>
      <c r="K78" s="4" t="str">
        <f t="shared" ca="1" si="7"/>
        <v/>
      </c>
      <c r="L78" s="4" t="str" cm="1">
        <f t="array" aca="1" ref="L78" ca="1">_xlfn.LET(_xlpm.link,IFERROR(INDEX(_xlfn.ANCHORARRAY($AA$11),ROW()-10,12),""),IF(_xlpm.link="","",HYPERLINK(_xlpm.link,"Bluecore/Attentive")))</f>
        <v/>
      </c>
      <c r="M78" s="73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11" t="str" cm="1">
        <f t="array" aca="1" ref="B79" ca="1">IFERROR(INDEX(_xlfn.ANCHORARRAY($AA$11),ROW()-10,2),"")</f>
        <v/>
      </c>
      <c r="C79" s="4" t="str" cm="1">
        <f t="array" aca="1" ref="C79" ca="1">IFERROR(INDEX(_xlfn.ANCHORARRAY($AA$11),ROW()-10,3),"")</f>
        <v/>
      </c>
      <c r="D79" s="13" t="str" cm="1">
        <f t="array" aca="1" ref="D79" ca="1">IFERROR(INDEX(_xlfn.ANCHORARRAY($AA$11),ROW()-10,4),"")</f>
        <v/>
      </c>
      <c r="E79" s="4" t="str" cm="1">
        <f t="array" aca="1" ref="E79" ca="1">IFERROR(INDEX(_xlfn.ANCHORARRAY($AA$11),ROW()-10,5),"")</f>
        <v/>
      </c>
      <c r="F79" s="4" t="str" cm="1">
        <f t="array" aca="1" ref="F79" ca="1">IFERROR(INDEX(_xlfn.ANCHORARRAY($AA$11),ROW()-10,6),"")</f>
        <v/>
      </c>
      <c r="G79" s="4" t="str" cm="1">
        <f t="array" aca="1" ref="G79" ca="1">IFERROR(INDEX(_xlfn.ANCHORARRAY($AA$11),ROW()-10,7),"")</f>
        <v/>
      </c>
      <c r="H79" s="4" t="str" cm="1">
        <f t="array" aca="1" ref="H79" ca="1">IFERROR(INDEX(_xlfn.ANCHORARRAY($AA$11),ROW()-10,8),"")</f>
        <v/>
      </c>
      <c r="I79" s="4" t="str" cm="1">
        <f t="array" aca="1" ref="I79" ca="1">IFERROR(INDEX(_xlfn.ANCHORARRAY($AA$11),ROW()-10,9),"")</f>
        <v/>
      </c>
      <c r="J79" s="4" t="str">
        <f t="shared" ca="1" si="6"/>
        <v/>
      </c>
      <c r="K79" s="4" t="str">
        <f t="shared" ca="1" si="7"/>
        <v/>
      </c>
      <c r="L79" s="4" t="str" cm="1">
        <f t="array" aca="1" ref="L79" ca="1">_xlfn.LET(_xlpm.link,IFERROR(INDEX(_xlfn.ANCHORARRAY($AA$11),ROW()-10,12),""),IF(_xlpm.link="","",HYPERLINK(_xlpm.link,"Bluecore/Attentive")))</f>
        <v/>
      </c>
      <c r="M79" s="72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11" t="str" cm="1">
        <f t="array" aca="1" ref="B80" ca="1">IFERROR(INDEX(_xlfn.ANCHORARRAY($AA$11),ROW()-10,2),"")</f>
        <v/>
      </c>
      <c r="C80" s="4" t="str" cm="1">
        <f t="array" aca="1" ref="C80" ca="1">IFERROR(INDEX(_xlfn.ANCHORARRAY($AA$11),ROW()-10,3),"")</f>
        <v/>
      </c>
      <c r="D80" s="13" t="str" cm="1">
        <f t="array" aca="1" ref="D80" ca="1">IFERROR(INDEX(_xlfn.ANCHORARRAY($AA$11),ROW()-10,4),"")</f>
        <v/>
      </c>
      <c r="E80" s="4" t="str" cm="1">
        <f t="array" aca="1" ref="E80" ca="1">IFERROR(INDEX(_xlfn.ANCHORARRAY($AA$11),ROW()-10,5),"")</f>
        <v/>
      </c>
      <c r="F80" s="4" t="str" cm="1">
        <f t="array" aca="1" ref="F80" ca="1">IFERROR(INDEX(_xlfn.ANCHORARRAY($AA$11),ROW()-10,6),"")</f>
        <v/>
      </c>
      <c r="G80" s="4" t="str" cm="1">
        <f t="array" aca="1" ref="G80" ca="1">IFERROR(INDEX(_xlfn.ANCHORARRAY($AA$11),ROW()-10,7),"")</f>
        <v/>
      </c>
      <c r="H80" s="4" t="str" cm="1">
        <f t="array" aca="1" ref="H80" ca="1">IFERROR(INDEX(_xlfn.ANCHORARRAY($AA$11),ROW()-10,8),"")</f>
        <v/>
      </c>
      <c r="I80" s="4" t="str" cm="1">
        <f t="array" aca="1" ref="I80" ca="1">IFERROR(INDEX(_xlfn.ANCHORARRAY($AA$11),ROW()-10,9),"")</f>
        <v/>
      </c>
      <c r="J80" s="4" t="str">
        <f t="shared" ca="1" si="6"/>
        <v/>
      </c>
      <c r="K80" s="4" t="str">
        <f t="shared" ca="1" si="7"/>
        <v/>
      </c>
      <c r="L80" s="4" t="str" cm="1">
        <f t="array" aca="1" ref="L80" ca="1">_xlfn.LET(_xlpm.link,IFERROR(INDEX(_xlfn.ANCHORARRAY($AA$11),ROW()-10,12),""),IF(_xlpm.link="","",HYPERLINK(_xlpm.link,"Bluecore/Attentive")))</f>
        <v/>
      </c>
      <c r="M80" s="73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11" t="str" cm="1">
        <f t="array" aca="1" ref="B81" ca="1">IFERROR(INDEX(_xlfn.ANCHORARRAY($AA$11),ROW()-10,2),"")</f>
        <v/>
      </c>
      <c r="C81" s="4" t="str" cm="1">
        <f t="array" aca="1" ref="C81" ca="1">IFERROR(INDEX(_xlfn.ANCHORARRAY($AA$11),ROW()-10,3),"")</f>
        <v/>
      </c>
      <c r="D81" s="13" t="str" cm="1">
        <f t="array" aca="1" ref="D81" ca="1">IFERROR(INDEX(_xlfn.ANCHORARRAY($AA$11),ROW()-10,4),"")</f>
        <v/>
      </c>
      <c r="E81" s="4" t="str" cm="1">
        <f t="array" aca="1" ref="E81" ca="1">IFERROR(INDEX(_xlfn.ANCHORARRAY($AA$11),ROW()-10,5),"")</f>
        <v/>
      </c>
      <c r="F81" s="4" t="str" cm="1">
        <f t="array" aca="1" ref="F81" ca="1">IFERROR(INDEX(_xlfn.ANCHORARRAY($AA$11),ROW()-10,6),"")</f>
        <v/>
      </c>
      <c r="G81" s="4" t="str" cm="1">
        <f t="array" aca="1" ref="G81" ca="1">IFERROR(INDEX(_xlfn.ANCHORARRAY($AA$11),ROW()-10,7),"")</f>
        <v/>
      </c>
      <c r="H81" s="4" t="str" cm="1">
        <f t="array" aca="1" ref="H81" ca="1">IFERROR(INDEX(_xlfn.ANCHORARRAY($AA$11),ROW()-10,8),"")</f>
        <v/>
      </c>
      <c r="I81" s="4" t="str" cm="1">
        <f t="array" aca="1" ref="I81" ca="1">IFERROR(INDEX(_xlfn.ANCHORARRAY($AA$11),ROW()-10,9),"")</f>
        <v/>
      </c>
      <c r="J81" s="4" t="str">
        <f t="shared" ca="1" si="6"/>
        <v/>
      </c>
      <c r="K81" s="4" t="str">
        <f t="shared" ca="1" si="7"/>
        <v/>
      </c>
      <c r="L81" s="4" t="str" cm="1">
        <f t="array" aca="1" ref="L81" ca="1">_xlfn.LET(_xlpm.link,IFERROR(INDEX(_xlfn.ANCHORARRAY($AA$11),ROW()-10,12),""),IF(_xlpm.link="","",HYPERLINK(_xlpm.link,"Bluecore/Attentive")))</f>
        <v/>
      </c>
      <c r="M81" s="72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11" t="str" cm="1">
        <f t="array" aca="1" ref="B82" ca="1">IFERROR(INDEX(_xlfn.ANCHORARRAY($AA$11),ROW()-10,2),"")</f>
        <v/>
      </c>
      <c r="C82" s="4" t="str" cm="1">
        <f t="array" aca="1" ref="C82" ca="1">IFERROR(INDEX(_xlfn.ANCHORARRAY($AA$11),ROW()-10,3),"")</f>
        <v/>
      </c>
      <c r="D82" s="13" t="str" cm="1">
        <f t="array" aca="1" ref="D82" ca="1">IFERROR(INDEX(_xlfn.ANCHORARRAY($AA$11),ROW()-10,4),"")</f>
        <v/>
      </c>
      <c r="E82" s="4" t="str" cm="1">
        <f t="array" aca="1" ref="E82" ca="1">IFERROR(INDEX(_xlfn.ANCHORARRAY($AA$11),ROW()-10,5),"")</f>
        <v/>
      </c>
      <c r="F82" s="4" t="str" cm="1">
        <f t="array" aca="1" ref="F82" ca="1">IFERROR(INDEX(_xlfn.ANCHORARRAY($AA$11),ROW()-10,6),"")</f>
        <v/>
      </c>
      <c r="G82" s="4" t="str" cm="1">
        <f t="array" aca="1" ref="G82" ca="1">IFERROR(INDEX(_xlfn.ANCHORARRAY($AA$11),ROW()-10,7),"")</f>
        <v/>
      </c>
      <c r="H82" s="4" t="str" cm="1">
        <f t="array" aca="1" ref="H82" ca="1">IFERROR(INDEX(_xlfn.ANCHORARRAY($AA$11),ROW()-10,8),"")</f>
        <v/>
      </c>
      <c r="I82" s="4" t="str" cm="1">
        <f t="array" aca="1" ref="I82" ca="1">IFERROR(INDEX(_xlfn.ANCHORARRAY($AA$11),ROW()-10,9),"")</f>
        <v/>
      </c>
      <c r="J82" s="4" t="str">
        <f t="shared" ca="1" si="6"/>
        <v/>
      </c>
      <c r="K82" s="4" t="str">
        <f t="shared" ca="1" si="7"/>
        <v/>
      </c>
      <c r="L82" s="4" t="str" cm="1">
        <f t="array" aca="1" ref="L82" ca="1">_xlfn.LET(_xlpm.link,IFERROR(INDEX(_xlfn.ANCHORARRAY($AA$11),ROW()-10,12),""),IF(_xlpm.link="","",HYPERLINK(_xlpm.link,"Bluecore/Attentive")))</f>
        <v/>
      </c>
      <c r="M82" s="73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11" t="str" cm="1">
        <f t="array" aca="1" ref="B83" ca="1">IFERROR(INDEX(_xlfn.ANCHORARRAY($AA$11),ROW()-10,2),"")</f>
        <v/>
      </c>
      <c r="C83" s="4" t="str" cm="1">
        <f t="array" aca="1" ref="C83" ca="1">IFERROR(INDEX(_xlfn.ANCHORARRAY($AA$11),ROW()-10,3),"")</f>
        <v/>
      </c>
      <c r="D83" s="13" t="str" cm="1">
        <f t="array" aca="1" ref="D83" ca="1">IFERROR(INDEX(_xlfn.ANCHORARRAY($AA$11),ROW()-10,4),"")</f>
        <v/>
      </c>
      <c r="E83" s="4" t="str" cm="1">
        <f t="array" aca="1" ref="E83" ca="1">IFERROR(INDEX(_xlfn.ANCHORARRAY($AA$11),ROW()-10,5),"")</f>
        <v/>
      </c>
      <c r="F83" s="4" t="str" cm="1">
        <f t="array" aca="1" ref="F83" ca="1">IFERROR(INDEX(_xlfn.ANCHORARRAY($AA$11),ROW()-10,6),"")</f>
        <v/>
      </c>
      <c r="G83" s="4" t="str" cm="1">
        <f t="array" aca="1" ref="G83" ca="1">IFERROR(INDEX(_xlfn.ANCHORARRAY($AA$11),ROW()-10,7),"")</f>
        <v/>
      </c>
      <c r="H83" s="4" t="str" cm="1">
        <f t="array" aca="1" ref="H83" ca="1">IFERROR(INDEX(_xlfn.ANCHORARRAY($AA$11),ROW()-10,8),"")</f>
        <v/>
      </c>
      <c r="I83" s="4" t="str" cm="1">
        <f t="array" aca="1" ref="I83" ca="1">IFERROR(INDEX(_xlfn.ANCHORARRAY($AA$11),ROW()-10,9),"")</f>
        <v/>
      </c>
      <c r="J83" s="4" t="str">
        <f t="shared" ca="1" si="6"/>
        <v/>
      </c>
      <c r="K83" s="4" t="str">
        <f t="shared" ca="1" si="7"/>
        <v/>
      </c>
      <c r="L83" s="4" t="str" cm="1">
        <f t="array" aca="1" ref="L83" ca="1">_xlfn.LET(_xlpm.link,IFERROR(INDEX(_xlfn.ANCHORARRAY($AA$11),ROW()-10,12),""),IF(_xlpm.link="","",HYPERLINK(_xlpm.link,"Bluecore/Attentive")))</f>
        <v/>
      </c>
      <c r="M83" s="72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11" t="str" cm="1">
        <f t="array" aca="1" ref="B84" ca="1">IFERROR(INDEX(_xlfn.ANCHORARRAY($AA$11),ROW()-10,2),"")</f>
        <v/>
      </c>
      <c r="C84" s="4" t="str" cm="1">
        <f t="array" aca="1" ref="C84" ca="1">IFERROR(INDEX(_xlfn.ANCHORARRAY($AA$11),ROW()-10,3),"")</f>
        <v/>
      </c>
      <c r="D84" s="13" t="str" cm="1">
        <f t="array" aca="1" ref="D84" ca="1">IFERROR(INDEX(_xlfn.ANCHORARRAY($AA$11),ROW()-10,4),"")</f>
        <v/>
      </c>
      <c r="E84" s="4" t="str" cm="1">
        <f t="array" aca="1" ref="E84" ca="1">IFERROR(INDEX(_xlfn.ANCHORARRAY($AA$11),ROW()-10,5),"")</f>
        <v/>
      </c>
      <c r="F84" s="4" t="str" cm="1">
        <f t="array" aca="1" ref="F84" ca="1">IFERROR(INDEX(_xlfn.ANCHORARRAY($AA$11),ROW()-10,6),"")</f>
        <v/>
      </c>
      <c r="G84" s="4" t="str" cm="1">
        <f t="array" aca="1" ref="G84" ca="1">IFERROR(INDEX(_xlfn.ANCHORARRAY($AA$11),ROW()-10,7),"")</f>
        <v/>
      </c>
      <c r="H84" s="4" t="str" cm="1">
        <f t="array" aca="1" ref="H84" ca="1">IFERROR(INDEX(_xlfn.ANCHORARRAY($AA$11),ROW()-10,8),"")</f>
        <v/>
      </c>
      <c r="I84" s="4" t="str" cm="1">
        <f t="array" aca="1" ref="I84" ca="1">IFERROR(INDEX(_xlfn.ANCHORARRAY($AA$11),ROW()-10,9),"")</f>
        <v/>
      </c>
      <c r="J84" s="4" t="str">
        <f t="shared" ca="1" si="6"/>
        <v/>
      </c>
      <c r="K84" s="4" t="str">
        <f t="shared" ca="1" si="7"/>
        <v/>
      </c>
      <c r="L84" s="4" t="str" cm="1">
        <f t="array" aca="1" ref="L84" ca="1">_xlfn.LET(_xlpm.link,IFERROR(INDEX(_xlfn.ANCHORARRAY($AA$11),ROW()-10,12),""),IF(_xlpm.link="","",HYPERLINK(_xlpm.link,"Bluecore/Attentive")))</f>
        <v/>
      </c>
      <c r="M84" s="73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11" t="str" cm="1">
        <f t="array" aca="1" ref="B85" ca="1">IFERROR(INDEX(_xlfn.ANCHORARRAY($AA$11),ROW()-10,2),"")</f>
        <v/>
      </c>
      <c r="C85" s="4" t="str" cm="1">
        <f t="array" aca="1" ref="C85" ca="1">IFERROR(INDEX(_xlfn.ANCHORARRAY($AA$11),ROW()-10,3),"")</f>
        <v/>
      </c>
      <c r="D85" s="13" t="str" cm="1">
        <f t="array" aca="1" ref="D85" ca="1">IFERROR(INDEX(_xlfn.ANCHORARRAY($AA$11),ROW()-10,4),"")</f>
        <v/>
      </c>
      <c r="E85" s="4" t="str" cm="1">
        <f t="array" aca="1" ref="E85" ca="1">IFERROR(INDEX(_xlfn.ANCHORARRAY($AA$11),ROW()-10,5),"")</f>
        <v/>
      </c>
      <c r="F85" s="4" t="str" cm="1">
        <f t="array" aca="1" ref="F85" ca="1">IFERROR(INDEX(_xlfn.ANCHORARRAY($AA$11),ROW()-10,6),"")</f>
        <v/>
      </c>
      <c r="G85" s="4" t="str" cm="1">
        <f t="array" aca="1" ref="G85" ca="1">IFERROR(INDEX(_xlfn.ANCHORARRAY($AA$11),ROW()-10,7),"")</f>
        <v/>
      </c>
      <c r="H85" s="4" t="str" cm="1">
        <f t="array" aca="1" ref="H85" ca="1">IFERROR(INDEX(_xlfn.ANCHORARRAY($AA$11),ROW()-10,8),"")</f>
        <v/>
      </c>
      <c r="I85" s="4" t="str" cm="1">
        <f t="array" aca="1" ref="I85" ca="1">IFERROR(INDEX(_xlfn.ANCHORARRAY($AA$11),ROW()-10,9),"")</f>
        <v/>
      </c>
      <c r="J85" s="4" t="str">
        <f t="shared" ca="1" si="6"/>
        <v/>
      </c>
      <c r="K85" s="4" t="str">
        <f t="shared" ca="1" si="7"/>
        <v/>
      </c>
      <c r="L85" s="4" t="str" cm="1">
        <f t="array" aca="1" ref="L85" ca="1">_xlfn.LET(_xlpm.link,IFERROR(INDEX(_xlfn.ANCHORARRAY($AA$11),ROW()-10,12),""),IF(_xlpm.link="","",HYPERLINK(_xlpm.link,"Bluecore/Attentive")))</f>
        <v/>
      </c>
      <c r="M85" s="72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11" t="str" cm="1">
        <f t="array" aca="1" ref="B86" ca="1">IFERROR(INDEX(_xlfn.ANCHORARRAY($AA$11),ROW()-10,2),"")</f>
        <v/>
      </c>
      <c r="C86" s="4" t="str" cm="1">
        <f t="array" aca="1" ref="C86" ca="1">IFERROR(INDEX(_xlfn.ANCHORARRAY($AA$11),ROW()-10,3),"")</f>
        <v/>
      </c>
      <c r="D86" s="13" t="str" cm="1">
        <f t="array" aca="1" ref="D86" ca="1">IFERROR(INDEX(_xlfn.ANCHORARRAY($AA$11),ROW()-10,4),"")</f>
        <v/>
      </c>
      <c r="E86" s="4" t="str" cm="1">
        <f t="array" aca="1" ref="E86" ca="1">IFERROR(INDEX(_xlfn.ANCHORARRAY($AA$11),ROW()-10,5),"")</f>
        <v/>
      </c>
      <c r="F86" s="4" t="str" cm="1">
        <f t="array" aca="1" ref="F86" ca="1">IFERROR(INDEX(_xlfn.ANCHORARRAY($AA$11),ROW()-10,6),"")</f>
        <v/>
      </c>
      <c r="G86" s="4" t="str" cm="1">
        <f t="array" aca="1" ref="G86" ca="1">IFERROR(INDEX(_xlfn.ANCHORARRAY($AA$11),ROW()-10,7),"")</f>
        <v/>
      </c>
      <c r="H86" s="4" t="str" cm="1">
        <f t="array" aca="1" ref="H86" ca="1">IFERROR(INDEX(_xlfn.ANCHORARRAY($AA$11),ROW()-10,8),"")</f>
        <v/>
      </c>
      <c r="I86" s="4" t="str" cm="1">
        <f t="array" aca="1" ref="I86" ca="1">IFERROR(INDEX(_xlfn.ANCHORARRAY($AA$11),ROW()-10,9),"")</f>
        <v/>
      </c>
      <c r="J86" s="4" t="str">
        <f t="shared" ca="1" si="6"/>
        <v/>
      </c>
      <c r="K86" s="4" t="str">
        <f t="shared" ca="1" si="7"/>
        <v/>
      </c>
      <c r="L86" s="4" t="str" cm="1">
        <f t="array" aca="1" ref="L86" ca="1">_xlfn.LET(_xlpm.link,IFERROR(INDEX(_xlfn.ANCHORARRAY($AA$11),ROW()-10,12),""),IF(_xlpm.link="","",HYPERLINK(_xlpm.link,"Bluecore/Attentive")))</f>
        <v/>
      </c>
      <c r="M86" s="73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11" t="str" cm="1">
        <f t="array" aca="1" ref="B87" ca="1">IFERROR(INDEX(_xlfn.ANCHORARRAY($AA$11),ROW()-10,2),"")</f>
        <v/>
      </c>
      <c r="C87" s="4" t="str" cm="1">
        <f t="array" aca="1" ref="C87" ca="1">IFERROR(INDEX(_xlfn.ANCHORARRAY($AA$11),ROW()-10,3),"")</f>
        <v/>
      </c>
      <c r="D87" s="13" t="str" cm="1">
        <f t="array" aca="1" ref="D87" ca="1">IFERROR(INDEX(_xlfn.ANCHORARRAY($AA$11),ROW()-10,4),"")</f>
        <v/>
      </c>
      <c r="E87" s="4" t="str" cm="1">
        <f t="array" aca="1" ref="E87" ca="1">IFERROR(INDEX(_xlfn.ANCHORARRAY($AA$11),ROW()-10,5),"")</f>
        <v/>
      </c>
      <c r="F87" s="4" t="str" cm="1">
        <f t="array" aca="1" ref="F87" ca="1">IFERROR(INDEX(_xlfn.ANCHORARRAY($AA$11),ROW()-10,6),"")</f>
        <v/>
      </c>
      <c r="G87" s="4" t="str" cm="1">
        <f t="array" aca="1" ref="G87" ca="1">IFERROR(INDEX(_xlfn.ANCHORARRAY($AA$11),ROW()-10,7),"")</f>
        <v/>
      </c>
      <c r="H87" s="4" t="str" cm="1">
        <f t="array" aca="1" ref="H87" ca="1">IFERROR(INDEX(_xlfn.ANCHORARRAY($AA$11),ROW()-10,8),"")</f>
        <v/>
      </c>
      <c r="I87" s="4" t="str" cm="1">
        <f t="array" aca="1" ref="I87" ca="1">IFERROR(INDEX(_xlfn.ANCHORARRAY($AA$11),ROW()-10,9),"")</f>
        <v/>
      </c>
      <c r="J87" s="4" t="str">
        <f t="shared" ca="1" si="6"/>
        <v/>
      </c>
      <c r="K87" s="4" t="str">
        <f t="shared" ca="1" si="7"/>
        <v/>
      </c>
      <c r="L87" s="4" t="str" cm="1">
        <f t="array" aca="1" ref="L87" ca="1">_xlfn.LET(_xlpm.link,IFERROR(INDEX(_xlfn.ANCHORARRAY($AA$11),ROW()-10,12),""),IF(_xlpm.link="","",HYPERLINK(_xlpm.link,"Bluecore/Attentive")))</f>
        <v/>
      </c>
      <c r="M87" s="72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11" t="str" cm="1">
        <f t="array" aca="1" ref="B88" ca="1">IFERROR(INDEX(_xlfn.ANCHORARRAY($AA$11),ROW()-10,2),"")</f>
        <v/>
      </c>
      <c r="C88" s="4" t="str" cm="1">
        <f t="array" aca="1" ref="C88" ca="1">IFERROR(INDEX(_xlfn.ANCHORARRAY($AA$11),ROW()-10,3),"")</f>
        <v/>
      </c>
      <c r="D88" s="13" t="str" cm="1">
        <f t="array" aca="1" ref="D88" ca="1">IFERROR(INDEX(_xlfn.ANCHORARRAY($AA$11),ROW()-10,4),"")</f>
        <v/>
      </c>
      <c r="E88" s="4" t="str" cm="1">
        <f t="array" aca="1" ref="E88" ca="1">IFERROR(INDEX(_xlfn.ANCHORARRAY($AA$11),ROW()-10,5),"")</f>
        <v/>
      </c>
      <c r="F88" s="4" t="str" cm="1">
        <f t="array" aca="1" ref="F88" ca="1">IFERROR(INDEX(_xlfn.ANCHORARRAY($AA$11),ROW()-10,6),"")</f>
        <v/>
      </c>
      <c r="G88" s="4" t="str" cm="1">
        <f t="array" aca="1" ref="G88" ca="1">IFERROR(INDEX(_xlfn.ANCHORARRAY($AA$11),ROW()-10,7),"")</f>
        <v/>
      </c>
      <c r="H88" s="4" t="str" cm="1">
        <f t="array" aca="1" ref="H88" ca="1">IFERROR(INDEX(_xlfn.ANCHORARRAY($AA$11),ROW()-10,8),"")</f>
        <v/>
      </c>
      <c r="I88" s="4" t="str" cm="1">
        <f t="array" aca="1" ref="I88" ca="1">IFERROR(INDEX(_xlfn.ANCHORARRAY($AA$11),ROW()-10,9),"")</f>
        <v/>
      </c>
      <c r="J88" s="4" t="str">
        <f t="shared" ca="1" si="6"/>
        <v/>
      </c>
      <c r="K88" s="4" t="str">
        <f t="shared" ca="1" si="7"/>
        <v/>
      </c>
      <c r="L88" s="4" t="str" cm="1">
        <f t="array" aca="1" ref="L88" ca="1">_xlfn.LET(_xlpm.link,IFERROR(INDEX(_xlfn.ANCHORARRAY($AA$11),ROW()-10,12),""),IF(_xlpm.link="","",HYPERLINK(_xlpm.link,"Bluecore/Attentive")))</f>
        <v/>
      </c>
      <c r="M88" s="73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11" t="str" cm="1">
        <f t="array" aca="1" ref="B89" ca="1">IFERROR(INDEX(_xlfn.ANCHORARRAY($AA$11),ROW()-10,2),"")</f>
        <v/>
      </c>
      <c r="C89" s="4" t="str" cm="1">
        <f t="array" aca="1" ref="C89" ca="1">IFERROR(INDEX(_xlfn.ANCHORARRAY($AA$11),ROW()-10,3),"")</f>
        <v/>
      </c>
      <c r="D89" s="13" t="str" cm="1">
        <f t="array" aca="1" ref="D89" ca="1">IFERROR(INDEX(_xlfn.ANCHORARRAY($AA$11),ROW()-10,4),"")</f>
        <v/>
      </c>
      <c r="E89" s="4" t="str" cm="1">
        <f t="array" aca="1" ref="E89" ca="1">IFERROR(INDEX(_xlfn.ANCHORARRAY($AA$11),ROW()-10,5),"")</f>
        <v/>
      </c>
      <c r="F89" s="4" t="str" cm="1">
        <f t="array" aca="1" ref="F89" ca="1">IFERROR(INDEX(_xlfn.ANCHORARRAY($AA$11),ROW()-10,6),"")</f>
        <v/>
      </c>
      <c r="G89" s="4" t="str" cm="1">
        <f t="array" aca="1" ref="G89" ca="1">IFERROR(INDEX(_xlfn.ANCHORARRAY($AA$11),ROW()-10,7),"")</f>
        <v/>
      </c>
      <c r="H89" s="4" t="str" cm="1">
        <f t="array" aca="1" ref="H89" ca="1">IFERROR(INDEX(_xlfn.ANCHORARRAY($AA$11),ROW()-10,8),"")</f>
        <v/>
      </c>
      <c r="I89" s="4" t="str" cm="1">
        <f t="array" aca="1" ref="I89" ca="1">IFERROR(INDEX(_xlfn.ANCHORARRAY($AA$11),ROW()-10,9),"")</f>
        <v/>
      </c>
      <c r="J89" s="4" t="str">
        <f t="shared" ca="1" si="6"/>
        <v/>
      </c>
      <c r="K89" s="4" t="str">
        <f t="shared" ca="1" si="7"/>
        <v/>
      </c>
      <c r="L89" s="4" t="str" cm="1">
        <f t="array" aca="1" ref="L89" ca="1">_xlfn.LET(_xlpm.link,IFERROR(INDEX(_xlfn.ANCHORARRAY($AA$11),ROW()-10,12),""),IF(_xlpm.link="","",HYPERLINK(_xlpm.link,"Bluecore/Attentive")))</f>
        <v/>
      </c>
      <c r="M89" s="72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11" t="str" cm="1">
        <f t="array" aca="1" ref="B90" ca="1">IFERROR(INDEX(_xlfn.ANCHORARRAY($AA$11),ROW()-10,2),"")</f>
        <v/>
      </c>
      <c r="C90" s="4" t="str" cm="1">
        <f t="array" aca="1" ref="C90" ca="1">IFERROR(INDEX(_xlfn.ANCHORARRAY($AA$11),ROW()-10,3),"")</f>
        <v/>
      </c>
      <c r="D90" s="13" t="str" cm="1">
        <f t="array" aca="1" ref="D90" ca="1">IFERROR(INDEX(_xlfn.ANCHORARRAY($AA$11),ROW()-10,4),"")</f>
        <v/>
      </c>
      <c r="E90" s="4" t="str" cm="1">
        <f t="array" aca="1" ref="E90" ca="1">IFERROR(INDEX(_xlfn.ANCHORARRAY($AA$11),ROW()-10,5),"")</f>
        <v/>
      </c>
      <c r="F90" s="4" t="str" cm="1">
        <f t="array" aca="1" ref="F90" ca="1">IFERROR(INDEX(_xlfn.ANCHORARRAY($AA$11),ROW()-10,6),"")</f>
        <v/>
      </c>
      <c r="G90" s="4" t="str" cm="1">
        <f t="array" aca="1" ref="G90" ca="1">IFERROR(INDEX(_xlfn.ANCHORARRAY($AA$11),ROW()-10,7),"")</f>
        <v/>
      </c>
      <c r="H90" s="4" t="str" cm="1">
        <f t="array" aca="1" ref="H90" ca="1">IFERROR(INDEX(_xlfn.ANCHORARRAY($AA$11),ROW()-10,8),"")</f>
        <v/>
      </c>
      <c r="I90" s="4" t="str" cm="1">
        <f t="array" aca="1" ref="I90" ca="1">IFERROR(INDEX(_xlfn.ANCHORARRAY($AA$11),ROW()-10,9),"")</f>
        <v/>
      </c>
      <c r="J90" s="4" t="str">
        <f t="shared" ca="1" si="6"/>
        <v/>
      </c>
      <c r="K90" s="4" t="str">
        <f t="shared" ca="1" si="7"/>
        <v/>
      </c>
      <c r="L90" s="4" t="str" cm="1">
        <f t="array" aca="1" ref="L90" ca="1">_xlfn.LET(_xlpm.link,IFERROR(INDEX(_xlfn.ANCHORARRAY($AA$11),ROW()-10,12),""),IF(_xlpm.link="","",HYPERLINK(_xlpm.link,"Bluecore/Attentive")))</f>
        <v/>
      </c>
      <c r="M90" s="73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11" t="str" cm="1">
        <f t="array" aca="1" ref="B91" ca="1">IFERROR(INDEX(_xlfn.ANCHORARRAY($AA$11),ROW()-10,2),"")</f>
        <v/>
      </c>
      <c r="C91" s="4" t="str" cm="1">
        <f t="array" aca="1" ref="C91" ca="1">IFERROR(INDEX(_xlfn.ANCHORARRAY($AA$11),ROW()-10,3),"")</f>
        <v/>
      </c>
      <c r="D91" s="13" t="str" cm="1">
        <f t="array" aca="1" ref="D91" ca="1">IFERROR(INDEX(_xlfn.ANCHORARRAY($AA$11),ROW()-10,4),"")</f>
        <v/>
      </c>
      <c r="E91" s="4" t="str" cm="1">
        <f t="array" aca="1" ref="E91" ca="1">IFERROR(INDEX(_xlfn.ANCHORARRAY($AA$11),ROW()-10,5),"")</f>
        <v/>
      </c>
      <c r="F91" s="4" t="str" cm="1">
        <f t="array" aca="1" ref="F91" ca="1">IFERROR(INDEX(_xlfn.ANCHORARRAY($AA$11),ROW()-10,6),"")</f>
        <v/>
      </c>
      <c r="G91" s="4" t="str" cm="1">
        <f t="array" aca="1" ref="G91" ca="1">IFERROR(INDEX(_xlfn.ANCHORARRAY($AA$11),ROW()-10,7),"")</f>
        <v/>
      </c>
      <c r="H91" s="4" t="str" cm="1">
        <f t="array" aca="1" ref="H91" ca="1">IFERROR(INDEX(_xlfn.ANCHORARRAY($AA$11),ROW()-10,8),"")</f>
        <v/>
      </c>
      <c r="I91" s="4" t="str" cm="1">
        <f t="array" aca="1" ref="I91" ca="1">IFERROR(INDEX(_xlfn.ANCHORARRAY($AA$11),ROW()-10,9),"")</f>
        <v/>
      </c>
      <c r="J91" s="4" t="str">
        <f t="shared" ca="1" si="6"/>
        <v/>
      </c>
      <c r="K91" s="4" t="str">
        <f t="shared" ca="1" si="7"/>
        <v/>
      </c>
      <c r="L91" s="4" t="str" cm="1">
        <f t="array" aca="1" ref="L91" ca="1">_xlfn.LET(_xlpm.link,IFERROR(INDEX(_xlfn.ANCHORARRAY($AA$11),ROW()-10,12),""),IF(_xlpm.link="","",HYPERLINK(_xlpm.link,"Bluecore/Attentive")))</f>
        <v/>
      </c>
      <c r="M91" s="72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11" t="str" cm="1">
        <f t="array" aca="1" ref="B92" ca="1">IFERROR(INDEX(_xlfn.ANCHORARRAY($AA$11),ROW()-10,2),"")</f>
        <v/>
      </c>
      <c r="C92" s="4" t="str" cm="1">
        <f t="array" aca="1" ref="C92" ca="1">IFERROR(INDEX(_xlfn.ANCHORARRAY($AA$11),ROW()-10,3),"")</f>
        <v/>
      </c>
      <c r="D92" s="13" t="str" cm="1">
        <f t="array" aca="1" ref="D92" ca="1">IFERROR(INDEX(_xlfn.ANCHORARRAY($AA$11),ROW()-10,4),"")</f>
        <v/>
      </c>
      <c r="E92" s="4" t="str" cm="1">
        <f t="array" aca="1" ref="E92" ca="1">IFERROR(INDEX(_xlfn.ANCHORARRAY($AA$11),ROW()-10,5),"")</f>
        <v/>
      </c>
      <c r="F92" s="4" t="str" cm="1">
        <f t="array" aca="1" ref="F92" ca="1">IFERROR(INDEX(_xlfn.ANCHORARRAY($AA$11),ROW()-10,6),"")</f>
        <v/>
      </c>
      <c r="G92" s="4" t="str" cm="1">
        <f t="array" aca="1" ref="G92" ca="1">IFERROR(INDEX(_xlfn.ANCHORARRAY($AA$11),ROW()-10,7),"")</f>
        <v/>
      </c>
      <c r="H92" s="4" t="str" cm="1">
        <f t="array" aca="1" ref="H92" ca="1">IFERROR(INDEX(_xlfn.ANCHORARRAY($AA$11),ROW()-10,8),"")</f>
        <v/>
      </c>
      <c r="I92" s="4" t="str" cm="1">
        <f t="array" aca="1" ref="I92" ca="1">IFERROR(INDEX(_xlfn.ANCHORARRAY($AA$11),ROW()-10,9),"")</f>
        <v/>
      </c>
      <c r="J92" s="4" t="str">
        <f t="shared" ca="1" si="6"/>
        <v/>
      </c>
      <c r="K92" s="4" t="str">
        <f t="shared" ca="1" si="7"/>
        <v/>
      </c>
      <c r="L92" s="4" t="str" cm="1">
        <f t="array" aca="1" ref="L92" ca="1">_xlfn.LET(_xlpm.link,IFERROR(INDEX(_xlfn.ANCHORARRAY($AA$11),ROW()-10,12),""),IF(_xlpm.link="","",HYPERLINK(_xlpm.link,"Bluecore/Attentive")))</f>
        <v/>
      </c>
      <c r="M92" s="73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11" t="str" cm="1">
        <f t="array" aca="1" ref="B93" ca="1">IFERROR(INDEX(_xlfn.ANCHORARRAY($AA$11),ROW()-10,2),"")</f>
        <v/>
      </c>
      <c r="C93" s="4" t="str" cm="1">
        <f t="array" aca="1" ref="C93" ca="1">IFERROR(INDEX(_xlfn.ANCHORARRAY($AA$11),ROW()-10,3),"")</f>
        <v/>
      </c>
      <c r="D93" s="13" t="str" cm="1">
        <f t="array" aca="1" ref="D93" ca="1">IFERROR(INDEX(_xlfn.ANCHORARRAY($AA$11),ROW()-10,4),"")</f>
        <v/>
      </c>
      <c r="E93" s="4" t="str" cm="1">
        <f t="array" aca="1" ref="E93" ca="1">IFERROR(INDEX(_xlfn.ANCHORARRAY($AA$11),ROW()-10,5),"")</f>
        <v/>
      </c>
      <c r="F93" s="4" t="str" cm="1">
        <f t="array" aca="1" ref="F93" ca="1">IFERROR(INDEX(_xlfn.ANCHORARRAY($AA$11),ROW()-10,6),"")</f>
        <v/>
      </c>
      <c r="G93" s="4" t="str" cm="1">
        <f t="array" aca="1" ref="G93" ca="1">IFERROR(INDEX(_xlfn.ANCHORARRAY($AA$11),ROW()-10,7),"")</f>
        <v/>
      </c>
      <c r="H93" s="4" t="str" cm="1">
        <f t="array" aca="1" ref="H93" ca="1">IFERROR(INDEX(_xlfn.ANCHORARRAY($AA$11),ROW()-10,8),"")</f>
        <v/>
      </c>
      <c r="I93" s="4" t="str" cm="1">
        <f t="array" aca="1" ref="I93" ca="1">IFERROR(INDEX(_xlfn.ANCHORARRAY($AA$11),ROW()-10,9),"")</f>
        <v/>
      </c>
      <c r="J93" s="4" t="str">
        <f t="shared" ca="1" si="6"/>
        <v/>
      </c>
      <c r="K93" s="4" t="str">
        <f t="shared" ca="1" si="7"/>
        <v/>
      </c>
      <c r="L93" s="4" t="str" cm="1">
        <f t="array" aca="1" ref="L93" ca="1">_xlfn.LET(_xlpm.link,IFERROR(INDEX(_xlfn.ANCHORARRAY($AA$11),ROW()-10,12),""),IF(_xlpm.link="","",HYPERLINK(_xlpm.link,"Bluecore/Attentive")))</f>
        <v/>
      </c>
      <c r="M93" s="72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11" t="str" cm="1">
        <f t="array" aca="1" ref="B94" ca="1">IFERROR(INDEX(_xlfn.ANCHORARRAY($AA$11),ROW()-10,2),"")</f>
        <v/>
      </c>
      <c r="C94" s="4" t="str" cm="1">
        <f t="array" aca="1" ref="C94" ca="1">IFERROR(INDEX(_xlfn.ANCHORARRAY($AA$11),ROW()-10,3),"")</f>
        <v/>
      </c>
      <c r="D94" s="13" t="str" cm="1">
        <f t="array" aca="1" ref="D94" ca="1">IFERROR(INDEX(_xlfn.ANCHORARRAY($AA$11),ROW()-10,4),"")</f>
        <v/>
      </c>
      <c r="E94" s="4" t="str" cm="1">
        <f t="array" aca="1" ref="E94" ca="1">IFERROR(INDEX(_xlfn.ANCHORARRAY($AA$11),ROW()-10,5),"")</f>
        <v/>
      </c>
      <c r="F94" s="4" t="str" cm="1">
        <f t="array" aca="1" ref="F94" ca="1">IFERROR(INDEX(_xlfn.ANCHORARRAY($AA$11),ROW()-10,6),"")</f>
        <v/>
      </c>
      <c r="G94" s="4" t="str" cm="1">
        <f t="array" aca="1" ref="G94" ca="1">IFERROR(INDEX(_xlfn.ANCHORARRAY($AA$11),ROW()-10,7),"")</f>
        <v/>
      </c>
      <c r="H94" s="4" t="str" cm="1">
        <f t="array" aca="1" ref="H94" ca="1">IFERROR(INDEX(_xlfn.ANCHORARRAY($AA$11),ROW()-10,8),"")</f>
        <v/>
      </c>
      <c r="I94" s="4" t="str" cm="1">
        <f t="array" aca="1" ref="I94" ca="1">IFERROR(INDEX(_xlfn.ANCHORARRAY($AA$11),ROW()-10,9),"")</f>
        <v/>
      </c>
      <c r="J94" s="4" t="str">
        <f t="shared" ca="1" si="6"/>
        <v/>
      </c>
      <c r="K94" s="4" t="str">
        <f t="shared" ca="1" si="7"/>
        <v/>
      </c>
      <c r="L94" s="4" t="str" cm="1">
        <f t="array" aca="1" ref="L94" ca="1">_xlfn.LET(_xlpm.link,IFERROR(INDEX(_xlfn.ANCHORARRAY($AA$11),ROW()-10,12),""),IF(_xlpm.link="","",HYPERLINK(_xlpm.link,"Bluecore/Attentive")))</f>
        <v/>
      </c>
      <c r="M94" s="73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11" t="str" cm="1">
        <f t="array" aca="1" ref="B95" ca="1">IFERROR(INDEX(_xlfn.ANCHORARRAY($AA$11),ROW()-10,2),"")</f>
        <v/>
      </c>
      <c r="C95" s="4" t="str" cm="1">
        <f t="array" aca="1" ref="C95" ca="1">IFERROR(INDEX(_xlfn.ANCHORARRAY($AA$11),ROW()-10,3),"")</f>
        <v/>
      </c>
      <c r="D95" s="13" t="str" cm="1">
        <f t="array" aca="1" ref="D95" ca="1">IFERROR(INDEX(_xlfn.ANCHORARRAY($AA$11),ROW()-10,4),"")</f>
        <v/>
      </c>
      <c r="E95" s="4" t="str" cm="1">
        <f t="array" aca="1" ref="E95" ca="1">IFERROR(INDEX(_xlfn.ANCHORARRAY($AA$11),ROW()-10,5),"")</f>
        <v/>
      </c>
      <c r="F95" s="4" t="str" cm="1">
        <f t="array" aca="1" ref="F95" ca="1">IFERROR(INDEX(_xlfn.ANCHORARRAY($AA$11),ROW()-10,6),"")</f>
        <v/>
      </c>
      <c r="G95" s="4" t="str" cm="1">
        <f t="array" aca="1" ref="G95" ca="1">IFERROR(INDEX(_xlfn.ANCHORARRAY($AA$11),ROW()-10,7),"")</f>
        <v/>
      </c>
      <c r="H95" s="4" t="str" cm="1">
        <f t="array" aca="1" ref="H95" ca="1">IFERROR(INDEX(_xlfn.ANCHORARRAY($AA$11),ROW()-10,8),"")</f>
        <v/>
      </c>
      <c r="I95" s="4" t="str" cm="1">
        <f t="array" aca="1" ref="I95" ca="1">IFERROR(INDEX(_xlfn.ANCHORARRAY($AA$11),ROW()-10,9),"")</f>
        <v/>
      </c>
      <c r="J95" s="4" t="str">
        <f t="shared" ca="1" si="6"/>
        <v/>
      </c>
      <c r="K95" s="4" t="str">
        <f t="shared" ca="1" si="7"/>
        <v/>
      </c>
      <c r="L95" s="4" t="str" cm="1">
        <f t="array" aca="1" ref="L95" ca="1">_xlfn.LET(_xlpm.link,IFERROR(INDEX(_xlfn.ANCHORARRAY($AA$11),ROW()-10,12),""),IF(_xlpm.link="","",HYPERLINK(_xlpm.link,"Bluecore/Attentive")))</f>
        <v/>
      </c>
      <c r="M95" s="72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11" t="str" cm="1">
        <f t="array" aca="1" ref="B96" ca="1">IFERROR(INDEX(_xlfn.ANCHORARRAY($AA$11),ROW()-10,2),"")</f>
        <v/>
      </c>
      <c r="C96" s="4" t="str" cm="1">
        <f t="array" aca="1" ref="C96" ca="1">IFERROR(INDEX(_xlfn.ANCHORARRAY($AA$11),ROW()-10,3),"")</f>
        <v/>
      </c>
      <c r="D96" s="13" t="str" cm="1">
        <f t="array" aca="1" ref="D96" ca="1">IFERROR(INDEX(_xlfn.ANCHORARRAY($AA$11),ROW()-10,4),"")</f>
        <v/>
      </c>
      <c r="E96" s="4" t="str" cm="1">
        <f t="array" aca="1" ref="E96" ca="1">IFERROR(INDEX(_xlfn.ANCHORARRAY($AA$11),ROW()-10,5),"")</f>
        <v/>
      </c>
      <c r="F96" s="4" t="str" cm="1">
        <f t="array" aca="1" ref="F96" ca="1">IFERROR(INDEX(_xlfn.ANCHORARRAY($AA$11),ROW()-10,6),"")</f>
        <v/>
      </c>
      <c r="G96" s="4" t="str" cm="1">
        <f t="array" aca="1" ref="G96" ca="1">IFERROR(INDEX(_xlfn.ANCHORARRAY($AA$11),ROW()-10,7),"")</f>
        <v/>
      </c>
      <c r="H96" s="4" t="str" cm="1">
        <f t="array" aca="1" ref="H96" ca="1">IFERROR(INDEX(_xlfn.ANCHORARRAY($AA$11),ROW()-10,8),"")</f>
        <v/>
      </c>
      <c r="I96" s="4" t="str" cm="1">
        <f t="array" aca="1" ref="I96" ca="1">IFERROR(INDEX(_xlfn.ANCHORARRAY($AA$11),ROW()-10,9),"")</f>
        <v/>
      </c>
      <c r="J96" s="4" t="str">
        <f t="shared" ca="1" si="6"/>
        <v/>
      </c>
      <c r="K96" s="4" t="str">
        <f t="shared" ca="1" si="7"/>
        <v/>
      </c>
      <c r="L96" s="4" t="str" cm="1">
        <f t="array" aca="1" ref="L96" ca="1">_xlfn.LET(_xlpm.link,IFERROR(INDEX(_xlfn.ANCHORARRAY($AA$11),ROW()-10,12),""),IF(_xlpm.link="","",HYPERLINK(_xlpm.link,"Bluecore/Attentive")))</f>
        <v/>
      </c>
      <c r="M96" s="73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11" t="str" cm="1">
        <f t="array" aca="1" ref="B97" ca="1">IFERROR(INDEX(_xlfn.ANCHORARRAY($AA$11),ROW()-10,2),"")</f>
        <v/>
      </c>
      <c r="C97" s="4" t="str" cm="1">
        <f t="array" aca="1" ref="C97" ca="1">IFERROR(INDEX(_xlfn.ANCHORARRAY($AA$11),ROW()-10,3),"")</f>
        <v/>
      </c>
      <c r="D97" s="13" t="str" cm="1">
        <f t="array" aca="1" ref="D97" ca="1">IFERROR(INDEX(_xlfn.ANCHORARRAY($AA$11),ROW()-10,4),"")</f>
        <v/>
      </c>
      <c r="E97" s="4" t="str" cm="1">
        <f t="array" aca="1" ref="E97" ca="1">IFERROR(INDEX(_xlfn.ANCHORARRAY($AA$11),ROW()-10,5),"")</f>
        <v/>
      </c>
      <c r="F97" s="4" t="str" cm="1">
        <f t="array" aca="1" ref="F97" ca="1">IFERROR(INDEX(_xlfn.ANCHORARRAY($AA$11),ROW()-10,6),"")</f>
        <v/>
      </c>
      <c r="G97" s="4" t="str" cm="1">
        <f t="array" aca="1" ref="G97" ca="1">IFERROR(INDEX(_xlfn.ANCHORARRAY($AA$11),ROW()-10,7),"")</f>
        <v/>
      </c>
      <c r="H97" s="4" t="str" cm="1">
        <f t="array" aca="1" ref="H97" ca="1">IFERROR(INDEX(_xlfn.ANCHORARRAY($AA$11),ROW()-10,8),"")</f>
        <v/>
      </c>
      <c r="I97" s="4" t="str" cm="1">
        <f t="array" aca="1" ref="I97" ca="1">IFERROR(INDEX(_xlfn.ANCHORARRAY($AA$11),ROW()-10,9),"")</f>
        <v/>
      </c>
      <c r="J97" s="4" t="str">
        <f t="shared" ca="1" si="6"/>
        <v/>
      </c>
      <c r="K97" s="4" t="str">
        <f t="shared" ca="1" si="7"/>
        <v/>
      </c>
      <c r="L97" s="4" t="str" cm="1">
        <f t="array" aca="1" ref="L97" ca="1">_xlfn.LET(_xlpm.link,IFERROR(INDEX(_xlfn.ANCHORARRAY($AA$11),ROW()-10,12),""),IF(_xlpm.link="","",HYPERLINK(_xlpm.link,"Bluecore/Attentive")))</f>
        <v/>
      </c>
      <c r="M97" s="72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11" t="str" cm="1">
        <f t="array" aca="1" ref="B98" ca="1">IFERROR(INDEX(_xlfn.ANCHORARRAY($AA$11),ROW()-10,2),"")</f>
        <v/>
      </c>
      <c r="C98" s="4" t="str" cm="1">
        <f t="array" aca="1" ref="C98" ca="1">IFERROR(INDEX(_xlfn.ANCHORARRAY($AA$11),ROW()-10,3),"")</f>
        <v/>
      </c>
      <c r="D98" s="13" t="str" cm="1">
        <f t="array" aca="1" ref="D98" ca="1">IFERROR(INDEX(_xlfn.ANCHORARRAY($AA$11),ROW()-10,4),"")</f>
        <v/>
      </c>
      <c r="E98" s="4" t="str" cm="1">
        <f t="array" aca="1" ref="E98" ca="1">IFERROR(INDEX(_xlfn.ANCHORARRAY($AA$11),ROW()-10,5),"")</f>
        <v/>
      </c>
      <c r="F98" s="4" t="str" cm="1">
        <f t="array" aca="1" ref="F98" ca="1">IFERROR(INDEX(_xlfn.ANCHORARRAY($AA$11),ROW()-10,6),"")</f>
        <v/>
      </c>
      <c r="G98" s="4" t="str" cm="1">
        <f t="array" aca="1" ref="G98" ca="1">IFERROR(INDEX(_xlfn.ANCHORARRAY($AA$11),ROW()-10,7),"")</f>
        <v/>
      </c>
      <c r="H98" s="4" t="str" cm="1">
        <f t="array" aca="1" ref="H98" ca="1">IFERROR(INDEX(_xlfn.ANCHORARRAY($AA$11),ROW()-10,8),"")</f>
        <v/>
      </c>
      <c r="I98" s="4" t="str" cm="1">
        <f t="array" aca="1" ref="I98" ca="1">IFERROR(INDEX(_xlfn.ANCHORARRAY($AA$11),ROW()-10,9),"")</f>
        <v/>
      </c>
      <c r="J98" s="4" t="str">
        <f t="shared" ca="1" si="6"/>
        <v/>
      </c>
      <c r="K98" s="4" t="str">
        <f t="shared" ca="1" si="7"/>
        <v/>
      </c>
      <c r="L98" s="4" t="str" cm="1">
        <f t="array" aca="1" ref="L98" ca="1">_xlfn.LET(_xlpm.link,IFERROR(INDEX(_xlfn.ANCHORARRAY($AA$11),ROW()-10,12),""),IF(_xlpm.link="","",HYPERLINK(_xlpm.link,"Bluecore/Attentive")))</f>
        <v/>
      </c>
      <c r="M98" s="73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11" t="str" cm="1">
        <f t="array" aca="1" ref="B99" ca="1">IFERROR(INDEX(_xlfn.ANCHORARRAY($AA$11),ROW()-10,2),"")</f>
        <v/>
      </c>
      <c r="C99" s="4" t="str" cm="1">
        <f t="array" aca="1" ref="C99" ca="1">IFERROR(INDEX(_xlfn.ANCHORARRAY($AA$11),ROW()-10,3),"")</f>
        <v/>
      </c>
      <c r="D99" s="13" t="str" cm="1">
        <f t="array" aca="1" ref="D99" ca="1">IFERROR(INDEX(_xlfn.ANCHORARRAY($AA$11),ROW()-10,4),"")</f>
        <v/>
      </c>
      <c r="E99" s="4" t="str" cm="1">
        <f t="array" aca="1" ref="E99" ca="1">IFERROR(INDEX(_xlfn.ANCHORARRAY($AA$11),ROW()-10,5),"")</f>
        <v/>
      </c>
      <c r="F99" s="4" t="str" cm="1">
        <f t="array" aca="1" ref="F99" ca="1">IFERROR(INDEX(_xlfn.ANCHORARRAY($AA$11),ROW()-10,6),"")</f>
        <v/>
      </c>
      <c r="G99" s="4" t="str" cm="1">
        <f t="array" aca="1" ref="G99" ca="1">IFERROR(INDEX(_xlfn.ANCHORARRAY($AA$11),ROW()-10,7),"")</f>
        <v/>
      </c>
      <c r="H99" s="4" t="str" cm="1">
        <f t="array" aca="1" ref="H99" ca="1">IFERROR(INDEX(_xlfn.ANCHORARRAY($AA$11),ROW()-10,8),"")</f>
        <v/>
      </c>
      <c r="I99" s="4" t="str" cm="1">
        <f t="array" aca="1" ref="I99" ca="1">IFERROR(INDEX(_xlfn.ANCHORARRAY($AA$11),ROW()-10,9),"")</f>
        <v/>
      </c>
      <c r="J99" s="4" t="str">
        <f t="shared" ca="1" si="6"/>
        <v/>
      </c>
      <c r="K99" s="4" t="str">
        <f t="shared" ca="1" si="7"/>
        <v/>
      </c>
      <c r="L99" s="4" t="str" cm="1">
        <f t="array" aca="1" ref="L99" ca="1">_xlfn.LET(_xlpm.link,IFERROR(INDEX(_xlfn.ANCHORARRAY($AA$11),ROW()-10,12),""),IF(_xlpm.link="","",HYPERLINK(_xlpm.link,"Bluecore/Attentive")))</f>
        <v/>
      </c>
      <c r="M99" s="72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11" t="str" cm="1">
        <f t="array" aca="1" ref="B100" ca="1">IFERROR(INDEX(_xlfn.ANCHORARRAY($AA$11),ROW()-10,2),"")</f>
        <v/>
      </c>
      <c r="C100" s="4" t="str" cm="1">
        <f t="array" aca="1" ref="C100" ca="1">IFERROR(INDEX(_xlfn.ANCHORARRAY($AA$11),ROW()-10,3),"")</f>
        <v/>
      </c>
      <c r="D100" s="13" t="str" cm="1">
        <f t="array" aca="1" ref="D100" ca="1">IFERROR(INDEX(_xlfn.ANCHORARRAY($AA$11),ROW()-10,4),"")</f>
        <v/>
      </c>
      <c r="E100" s="4" t="str" cm="1">
        <f t="array" aca="1" ref="E100" ca="1">IFERROR(INDEX(_xlfn.ANCHORARRAY($AA$11),ROW()-10,5),"")</f>
        <v/>
      </c>
      <c r="F100" s="4" t="str" cm="1">
        <f t="array" aca="1" ref="F100" ca="1">IFERROR(INDEX(_xlfn.ANCHORARRAY($AA$11),ROW()-10,6),"")</f>
        <v/>
      </c>
      <c r="G100" s="4" t="str" cm="1">
        <f t="array" aca="1" ref="G100" ca="1">IFERROR(INDEX(_xlfn.ANCHORARRAY($AA$11),ROW()-10,7),"")</f>
        <v/>
      </c>
      <c r="H100" s="4" t="str" cm="1">
        <f t="array" aca="1" ref="H100" ca="1">IFERROR(INDEX(_xlfn.ANCHORARRAY($AA$11),ROW()-10,8),"")</f>
        <v/>
      </c>
      <c r="I100" s="4" t="str" cm="1">
        <f t="array" aca="1" ref="I100" ca="1">IFERROR(INDEX(_xlfn.ANCHORARRAY($AA$11),ROW()-10,9),"")</f>
        <v/>
      </c>
      <c r="J100" s="4" t="str">
        <f t="shared" ca="1" si="6"/>
        <v/>
      </c>
      <c r="K100" s="4" t="str">
        <f t="shared" ca="1" si="7"/>
        <v/>
      </c>
      <c r="L100" s="4" t="str" cm="1">
        <f t="array" aca="1" ref="L100" ca="1">_xlfn.LET(_xlpm.link,IFERROR(INDEX(_xlfn.ANCHORARRAY($AA$11),ROW()-10,12),""),IF(_xlpm.link="","",HYPERLINK(_xlpm.link,"Bluecore/Attentive")))</f>
        <v/>
      </c>
      <c r="M100" s="73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11" t="str" cm="1">
        <f t="array" aca="1" ref="B101" ca="1">IFERROR(INDEX(_xlfn.ANCHORARRAY($AA$11),ROW()-10,2),"")</f>
        <v/>
      </c>
      <c r="C101" s="4" t="str" cm="1">
        <f t="array" aca="1" ref="C101" ca="1">IFERROR(INDEX(_xlfn.ANCHORARRAY($AA$11),ROW()-10,3),"")</f>
        <v/>
      </c>
      <c r="D101" s="13" t="str" cm="1">
        <f t="array" aca="1" ref="D101" ca="1">IFERROR(INDEX(_xlfn.ANCHORARRAY($AA$11),ROW()-10,4),"")</f>
        <v/>
      </c>
      <c r="E101" s="4" t="str" cm="1">
        <f t="array" aca="1" ref="E101" ca="1">IFERROR(INDEX(_xlfn.ANCHORARRAY($AA$11),ROW()-10,5),"")</f>
        <v/>
      </c>
      <c r="F101" s="4" t="str" cm="1">
        <f t="array" aca="1" ref="F101" ca="1">IFERROR(INDEX(_xlfn.ANCHORARRAY($AA$11),ROW()-10,6),"")</f>
        <v/>
      </c>
      <c r="G101" s="4" t="str" cm="1">
        <f t="array" aca="1" ref="G101" ca="1">IFERROR(INDEX(_xlfn.ANCHORARRAY($AA$11),ROW()-10,7),"")</f>
        <v/>
      </c>
      <c r="H101" s="4" t="str" cm="1">
        <f t="array" aca="1" ref="H101" ca="1">IFERROR(INDEX(_xlfn.ANCHORARRAY($AA$11),ROW()-10,8),"")</f>
        <v/>
      </c>
      <c r="I101" s="4" t="str" cm="1">
        <f t="array" aca="1" ref="I101" ca="1">IFERROR(INDEX(_xlfn.ANCHORARRAY($AA$11),ROW()-10,9),"")</f>
        <v/>
      </c>
      <c r="J101" s="4" t="str">
        <f t="shared" ca="1" si="6"/>
        <v/>
      </c>
      <c r="K101" s="4" t="str">
        <f t="shared" ca="1" si="7"/>
        <v/>
      </c>
      <c r="L101" s="4" t="str" cm="1">
        <f t="array" aca="1" ref="L101" ca="1">_xlfn.LET(_xlpm.link,IFERROR(INDEX(_xlfn.ANCHORARRAY($AA$11),ROW()-10,12),""),IF(_xlpm.link="","",HYPERLINK(_xlpm.link,"Bluecore/Attentive")))</f>
        <v/>
      </c>
      <c r="M101" s="72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11" t="str" cm="1">
        <f t="array" aca="1" ref="B102" ca="1">IFERROR(INDEX(_xlfn.ANCHORARRAY($AA$11),ROW()-10,2),"")</f>
        <v/>
      </c>
      <c r="C102" s="4" t="str" cm="1">
        <f t="array" aca="1" ref="C102" ca="1">IFERROR(INDEX(_xlfn.ANCHORARRAY($AA$11),ROW()-10,3),"")</f>
        <v/>
      </c>
      <c r="D102" s="13" t="str" cm="1">
        <f t="array" aca="1" ref="D102" ca="1">IFERROR(INDEX(_xlfn.ANCHORARRAY($AA$11),ROW()-10,4),"")</f>
        <v/>
      </c>
      <c r="E102" s="4" t="str" cm="1">
        <f t="array" aca="1" ref="E102" ca="1">IFERROR(INDEX(_xlfn.ANCHORARRAY($AA$11),ROW()-10,5),"")</f>
        <v/>
      </c>
      <c r="F102" s="4" t="str" cm="1">
        <f t="array" aca="1" ref="F102" ca="1">IFERROR(INDEX(_xlfn.ANCHORARRAY($AA$11),ROW()-10,6),"")</f>
        <v/>
      </c>
      <c r="G102" s="4" t="str" cm="1">
        <f t="array" aca="1" ref="G102" ca="1">IFERROR(INDEX(_xlfn.ANCHORARRAY($AA$11),ROW()-10,7),"")</f>
        <v/>
      </c>
      <c r="H102" s="4" t="str" cm="1">
        <f t="array" aca="1" ref="H102" ca="1">IFERROR(INDEX(_xlfn.ANCHORARRAY($AA$11),ROW()-10,8),"")</f>
        <v/>
      </c>
      <c r="I102" s="4" t="str" cm="1">
        <f t="array" aca="1" ref="I102" ca="1">IFERROR(INDEX(_xlfn.ANCHORARRAY($AA$11),ROW()-10,9),"")</f>
        <v/>
      </c>
      <c r="J102" s="4" t="str">
        <f t="shared" ca="1" si="6"/>
        <v/>
      </c>
      <c r="K102" s="4" t="str">
        <f t="shared" ca="1" si="7"/>
        <v/>
      </c>
      <c r="L102" s="4" t="str" cm="1">
        <f t="array" aca="1" ref="L102" ca="1">_xlfn.LET(_xlpm.link,IFERROR(INDEX(_xlfn.ANCHORARRAY($AA$11),ROW()-10,12),""),IF(_xlpm.link="","",HYPERLINK(_xlpm.link,"Bluecore/Attentive")))</f>
        <v/>
      </c>
      <c r="M102" s="73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11" t="str" cm="1">
        <f t="array" aca="1" ref="B103" ca="1">IFERROR(INDEX(_xlfn.ANCHORARRAY($AA$11),ROW()-10,2),"")</f>
        <v/>
      </c>
      <c r="C103" s="4" t="str" cm="1">
        <f t="array" aca="1" ref="C103" ca="1">IFERROR(INDEX(_xlfn.ANCHORARRAY($AA$11),ROW()-10,3),"")</f>
        <v/>
      </c>
      <c r="D103" s="13" t="str" cm="1">
        <f t="array" aca="1" ref="D103" ca="1">IFERROR(INDEX(_xlfn.ANCHORARRAY($AA$11),ROW()-10,4),"")</f>
        <v/>
      </c>
      <c r="E103" s="4" t="str" cm="1">
        <f t="array" aca="1" ref="E103" ca="1">IFERROR(INDEX(_xlfn.ANCHORARRAY($AA$11),ROW()-10,5),"")</f>
        <v/>
      </c>
      <c r="F103" s="4" t="str" cm="1">
        <f t="array" aca="1" ref="F103" ca="1">IFERROR(INDEX(_xlfn.ANCHORARRAY($AA$11),ROW()-10,6),"")</f>
        <v/>
      </c>
      <c r="G103" s="4" t="str" cm="1">
        <f t="array" aca="1" ref="G103" ca="1">IFERROR(INDEX(_xlfn.ANCHORARRAY($AA$11),ROW()-10,7),"")</f>
        <v/>
      </c>
      <c r="H103" s="4" t="str" cm="1">
        <f t="array" aca="1" ref="H103" ca="1">IFERROR(INDEX(_xlfn.ANCHORARRAY($AA$11),ROW()-10,8),"")</f>
        <v/>
      </c>
      <c r="I103" s="4" t="str" cm="1">
        <f t="array" aca="1" ref="I103" ca="1">IFERROR(INDEX(_xlfn.ANCHORARRAY($AA$11),ROW()-10,9),"")</f>
        <v/>
      </c>
      <c r="J103" s="4" t="str">
        <f t="shared" ca="1" si="6"/>
        <v/>
      </c>
      <c r="K103" s="4" t="str">
        <f t="shared" ca="1" si="7"/>
        <v/>
      </c>
      <c r="L103" s="4" t="str" cm="1">
        <f t="array" aca="1" ref="L103" ca="1">_xlfn.LET(_xlpm.link,IFERROR(INDEX(_xlfn.ANCHORARRAY($AA$11),ROW()-10,12),""),IF(_xlpm.link="","",HYPERLINK(_xlpm.link,"Bluecore/Attentive")))</f>
        <v/>
      </c>
      <c r="M103" s="72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11" t="str" cm="1">
        <f t="array" aca="1" ref="B104" ca="1">IFERROR(INDEX(_xlfn.ANCHORARRAY($AA$11),ROW()-10,2),"")</f>
        <v/>
      </c>
      <c r="C104" s="4" t="str" cm="1">
        <f t="array" aca="1" ref="C104" ca="1">IFERROR(INDEX(_xlfn.ANCHORARRAY($AA$11),ROW()-10,3),"")</f>
        <v/>
      </c>
      <c r="D104" s="13" t="str" cm="1">
        <f t="array" aca="1" ref="D104" ca="1">IFERROR(INDEX(_xlfn.ANCHORARRAY($AA$11),ROW()-10,4),"")</f>
        <v/>
      </c>
      <c r="E104" s="4" t="str" cm="1">
        <f t="array" aca="1" ref="E104" ca="1">IFERROR(INDEX(_xlfn.ANCHORARRAY($AA$11),ROW()-10,5),"")</f>
        <v/>
      </c>
      <c r="F104" s="4" t="str" cm="1">
        <f t="array" aca="1" ref="F104" ca="1">IFERROR(INDEX(_xlfn.ANCHORARRAY($AA$11),ROW()-10,6),"")</f>
        <v/>
      </c>
      <c r="G104" s="4" t="str" cm="1">
        <f t="array" aca="1" ref="G104" ca="1">IFERROR(INDEX(_xlfn.ANCHORARRAY($AA$11),ROW()-10,7),"")</f>
        <v/>
      </c>
      <c r="H104" s="4" t="str" cm="1">
        <f t="array" aca="1" ref="H104" ca="1">IFERROR(INDEX(_xlfn.ANCHORARRAY($AA$11),ROW()-10,8),"")</f>
        <v/>
      </c>
      <c r="I104" s="4" t="str" cm="1">
        <f t="array" aca="1" ref="I104" ca="1">IFERROR(INDEX(_xlfn.ANCHORARRAY($AA$11),ROW()-10,9),"")</f>
        <v/>
      </c>
      <c r="J104" s="4" t="str">
        <f t="shared" ca="1" si="6"/>
        <v/>
      </c>
      <c r="K104" s="4" t="str">
        <f t="shared" ca="1" si="7"/>
        <v/>
      </c>
      <c r="L104" s="4" t="str" cm="1">
        <f t="array" aca="1" ref="L104" ca="1">_xlfn.LET(_xlpm.link,IFERROR(INDEX(_xlfn.ANCHORARRAY($AA$11),ROW()-10,12),""),IF(_xlpm.link="","",HYPERLINK(_xlpm.link,"Bluecore/Attentive")))</f>
        <v/>
      </c>
      <c r="M104" s="73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11" t="str" cm="1">
        <f t="array" aca="1" ref="B105" ca="1">IFERROR(INDEX(_xlfn.ANCHORARRAY($AA$11),ROW()-10,2),"")</f>
        <v/>
      </c>
      <c r="C105" s="4" t="str" cm="1">
        <f t="array" aca="1" ref="C105" ca="1">IFERROR(INDEX(_xlfn.ANCHORARRAY($AA$11),ROW()-10,3),"")</f>
        <v/>
      </c>
      <c r="D105" s="13" t="str" cm="1">
        <f t="array" aca="1" ref="D105" ca="1">IFERROR(INDEX(_xlfn.ANCHORARRAY($AA$11),ROW()-10,4),"")</f>
        <v/>
      </c>
      <c r="E105" s="4" t="str" cm="1">
        <f t="array" aca="1" ref="E105" ca="1">IFERROR(INDEX(_xlfn.ANCHORARRAY($AA$11),ROW()-10,5),"")</f>
        <v/>
      </c>
      <c r="F105" s="4" t="str" cm="1">
        <f t="array" aca="1" ref="F105" ca="1">IFERROR(INDEX(_xlfn.ANCHORARRAY($AA$11),ROW()-10,6),"")</f>
        <v/>
      </c>
      <c r="G105" s="4" t="str" cm="1">
        <f t="array" aca="1" ref="G105" ca="1">IFERROR(INDEX(_xlfn.ANCHORARRAY($AA$11),ROW()-10,7),"")</f>
        <v/>
      </c>
      <c r="H105" s="4" t="str" cm="1">
        <f t="array" aca="1" ref="H105" ca="1">IFERROR(INDEX(_xlfn.ANCHORARRAY($AA$11),ROW()-10,8),"")</f>
        <v/>
      </c>
      <c r="I105" s="4" t="str" cm="1">
        <f t="array" aca="1" ref="I105" ca="1">IFERROR(INDEX(_xlfn.ANCHORARRAY($AA$11),ROW()-10,9),"")</f>
        <v/>
      </c>
      <c r="J105" s="4" t="str">
        <f t="shared" ca="1" si="6"/>
        <v/>
      </c>
      <c r="K105" s="4" t="str">
        <f t="shared" ca="1" si="7"/>
        <v/>
      </c>
      <c r="L105" s="4" t="str" cm="1">
        <f t="array" aca="1" ref="L105" ca="1">_xlfn.LET(_xlpm.link,IFERROR(INDEX(_xlfn.ANCHORARRAY($AA$11),ROW()-10,12),""),IF(_xlpm.link="","",HYPERLINK(_xlpm.link,"Bluecore/Attentive")))</f>
        <v/>
      </c>
      <c r="M105" s="72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11" t="str" cm="1">
        <f t="array" aca="1" ref="B106" ca="1">IFERROR(INDEX(_xlfn.ANCHORARRAY($AA$11),ROW()-10,2),"")</f>
        <v/>
      </c>
      <c r="C106" s="4" t="str" cm="1">
        <f t="array" aca="1" ref="C106" ca="1">IFERROR(INDEX(_xlfn.ANCHORARRAY($AA$11),ROW()-10,3),"")</f>
        <v/>
      </c>
      <c r="D106" s="13" t="str" cm="1">
        <f t="array" aca="1" ref="D106" ca="1">IFERROR(INDEX(_xlfn.ANCHORARRAY($AA$11),ROW()-10,4),"")</f>
        <v/>
      </c>
      <c r="E106" s="4" t="str" cm="1">
        <f t="array" aca="1" ref="E106" ca="1">IFERROR(INDEX(_xlfn.ANCHORARRAY($AA$11),ROW()-10,5),"")</f>
        <v/>
      </c>
      <c r="F106" s="4" t="str" cm="1">
        <f t="array" aca="1" ref="F106" ca="1">IFERROR(INDEX(_xlfn.ANCHORARRAY($AA$11),ROW()-10,6),"")</f>
        <v/>
      </c>
      <c r="G106" s="4" t="str" cm="1">
        <f t="array" aca="1" ref="G106" ca="1">IFERROR(INDEX(_xlfn.ANCHORARRAY($AA$11),ROW()-10,7),"")</f>
        <v/>
      </c>
      <c r="H106" s="4" t="str" cm="1">
        <f t="array" aca="1" ref="H106" ca="1">IFERROR(INDEX(_xlfn.ANCHORARRAY($AA$11),ROW()-10,8),"")</f>
        <v/>
      </c>
      <c r="I106" s="4" t="str" cm="1">
        <f t="array" aca="1" ref="I106" ca="1">IFERROR(INDEX(_xlfn.ANCHORARRAY($AA$11),ROW()-10,9),"")</f>
        <v/>
      </c>
      <c r="J106" s="4" t="str">
        <f t="shared" ca="1" si="6"/>
        <v/>
      </c>
      <c r="K106" s="4" t="str">
        <f t="shared" ca="1" si="7"/>
        <v/>
      </c>
      <c r="L106" s="4" t="str" cm="1">
        <f t="array" aca="1" ref="L106" ca="1">_xlfn.LET(_xlpm.link,IFERROR(INDEX(_xlfn.ANCHORARRAY($AA$11),ROW()-10,12),""),IF(_xlpm.link="","",HYPERLINK(_xlpm.link,"Bluecore/Attentive")))</f>
        <v/>
      </c>
      <c r="M106" s="73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11" t="str" cm="1">
        <f t="array" aca="1" ref="B107" ca="1">IFERROR(INDEX(_xlfn.ANCHORARRAY($AA$11),ROW()-10,2),"")</f>
        <v/>
      </c>
      <c r="C107" s="4" t="str" cm="1">
        <f t="array" aca="1" ref="C107" ca="1">IFERROR(INDEX(_xlfn.ANCHORARRAY($AA$11),ROW()-10,3),"")</f>
        <v/>
      </c>
      <c r="D107" s="13" t="str" cm="1">
        <f t="array" aca="1" ref="D107" ca="1">IFERROR(INDEX(_xlfn.ANCHORARRAY($AA$11),ROW()-10,4),"")</f>
        <v/>
      </c>
      <c r="E107" s="4" t="str" cm="1">
        <f t="array" aca="1" ref="E107" ca="1">IFERROR(INDEX(_xlfn.ANCHORARRAY($AA$11),ROW()-10,5),"")</f>
        <v/>
      </c>
      <c r="F107" s="4" t="str" cm="1">
        <f t="array" aca="1" ref="F107" ca="1">IFERROR(INDEX(_xlfn.ANCHORARRAY($AA$11),ROW()-10,6),"")</f>
        <v/>
      </c>
      <c r="G107" s="4" t="str" cm="1">
        <f t="array" aca="1" ref="G107" ca="1">IFERROR(INDEX(_xlfn.ANCHORARRAY($AA$11),ROW()-10,7),"")</f>
        <v/>
      </c>
      <c r="H107" s="4" t="str" cm="1">
        <f t="array" aca="1" ref="H107" ca="1">IFERROR(INDEX(_xlfn.ANCHORARRAY($AA$11),ROW()-10,8),"")</f>
        <v/>
      </c>
      <c r="I107" s="4" t="str" cm="1">
        <f t="array" aca="1" ref="I107" ca="1">IFERROR(INDEX(_xlfn.ANCHORARRAY($AA$11),ROW()-10,9),"")</f>
        <v/>
      </c>
      <c r="J107" s="4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4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4" t="str" cm="1">
        <f t="array" aca="1" ref="L107" ca="1">_xlfn.LET(_xlpm.link,IFERROR(INDEX(_xlfn.ANCHORARRAY($AA$11),ROW()-10,12),""),IF(_xlpm.link="","",HYPERLINK(_xlpm.link,"Bluecore/Attentive")))</f>
        <v/>
      </c>
      <c r="M107" s="72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11" t="str" cm="1">
        <f t="array" aca="1" ref="B108" ca="1">IFERROR(INDEX(_xlfn.ANCHORARRAY($AA$11),ROW()-10,2),"")</f>
        <v/>
      </c>
      <c r="C108" s="4" t="str" cm="1">
        <f t="array" aca="1" ref="C108" ca="1">IFERROR(INDEX(_xlfn.ANCHORARRAY($AA$11),ROW()-10,3),"")</f>
        <v/>
      </c>
      <c r="D108" s="13" t="str" cm="1">
        <f t="array" aca="1" ref="D108" ca="1">IFERROR(INDEX(_xlfn.ANCHORARRAY($AA$11),ROW()-10,4),"")</f>
        <v/>
      </c>
      <c r="E108" s="4" t="str" cm="1">
        <f t="array" aca="1" ref="E108" ca="1">IFERROR(INDEX(_xlfn.ANCHORARRAY($AA$11),ROW()-10,5),"")</f>
        <v/>
      </c>
      <c r="F108" s="4" t="str" cm="1">
        <f t="array" aca="1" ref="F108" ca="1">IFERROR(INDEX(_xlfn.ANCHORARRAY($AA$11),ROW()-10,6),"")</f>
        <v/>
      </c>
      <c r="G108" s="4" t="str" cm="1">
        <f t="array" aca="1" ref="G108" ca="1">IFERROR(INDEX(_xlfn.ANCHORARRAY($AA$11),ROW()-10,7),"")</f>
        <v/>
      </c>
      <c r="H108" s="4" t="str" cm="1">
        <f t="array" aca="1" ref="H108" ca="1">IFERROR(INDEX(_xlfn.ANCHORARRAY($AA$11),ROW()-10,8),"")</f>
        <v/>
      </c>
      <c r="I108" s="4" t="str" cm="1">
        <f t="array" aca="1" ref="I108" ca="1">IFERROR(INDEX(_xlfn.ANCHORARRAY($AA$11),ROW()-10,9),"")</f>
        <v/>
      </c>
      <c r="J108" s="4" t="str">
        <f t="shared" ca="1" si="9"/>
        <v/>
      </c>
      <c r="K108" s="4" t="str">
        <f t="shared" ca="1" si="10"/>
        <v/>
      </c>
      <c r="L108" s="4" t="str" cm="1">
        <f t="array" aca="1" ref="L108" ca="1">_xlfn.LET(_xlpm.link,IFERROR(INDEX(_xlfn.ANCHORARRAY($AA$11),ROW()-10,12),""),IF(_xlpm.link="","",HYPERLINK(_xlpm.link,"Bluecore/Attentive")))</f>
        <v/>
      </c>
      <c r="M108" s="73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11" t="str" cm="1">
        <f t="array" aca="1" ref="B109" ca="1">IFERROR(INDEX(_xlfn.ANCHORARRAY($AA$11),ROW()-10,2),"")</f>
        <v/>
      </c>
      <c r="C109" s="4" t="str" cm="1">
        <f t="array" aca="1" ref="C109" ca="1">IFERROR(INDEX(_xlfn.ANCHORARRAY($AA$11),ROW()-10,3),"")</f>
        <v/>
      </c>
      <c r="D109" s="13" t="str" cm="1">
        <f t="array" aca="1" ref="D109" ca="1">IFERROR(INDEX(_xlfn.ANCHORARRAY($AA$11),ROW()-10,4),"")</f>
        <v/>
      </c>
      <c r="E109" s="4" t="str" cm="1">
        <f t="array" aca="1" ref="E109" ca="1">IFERROR(INDEX(_xlfn.ANCHORARRAY($AA$11),ROW()-10,5),"")</f>
        <v/>
      </c>
      <c r="F109" s="4" t="str" cm="1">
        <f t="array" aca="1" ref="F109" ca="1">IFERROR(INDEX(_xlfn.ANCHORARRAY($AA$11),ROW()-10,6),"")</f>
        <v/>
      </c>
      <c r="G109" s="4" t="str" cm="1">
        <f t="array" aca="1" ref="G109" ca="1">IFERROR(INDEX(_xlfn.ANCHORARRAY($AA$11),ROW()-10,7),"")</f>
        <v/>
      </c>
      <c r="H109" s="4" t="str" cm="1">
        <f t="array" aca="1" ref="H109" ca="1">IFERROR(INDEX(_xlfn.ANCHORARRAY($AA$11),ROW()-10,8),"")</f>
        <v/>
      </c>
      <c r="I109" s="4" t="str" cm="1">
        <f t="array" aca="1" ref="I109" ca="1">IFERROR(INDEX(_xlfn.ANCHORARRAY($AA$11),ROW()-10,9),"")</f>
        <v/>
      </c>
      <c r="J109" s="4" t="str">
        <f t="shared" ca="1" si="9"/>
        <v/>
      </c>
      <c r="K109" s="4" t="str">
        <f t="shared" ca="1" si="10"/>
        <v/>
      </c>
      <c r="L109" s="4" t="str" cm="1">
        <f t="array" aca="1" ref="L109" ca="1">_xlfn.LET(_xlpm.link,IFERROR(INDEX(_xlfn.ANCHORARRAY($AA$11),ROW()-10,12),""),IF(_xlpm.link="","",HYPERLINK(_xlpm.link,"Bluecore/Attentive")))</f>
        <v/>
      </c>
      <c r="M109" s="72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11" t="str" cm="1">
        <f t="array" aca="1" ref="B110" ca="1">IFERROR(INDEX(_xlfn.ANCHORARRAY($AA$11),ROW()-10,2),"")</f>
        <v/>
      </c>
      <c r="C110" s="4" t="str" cm="1">
        <f t="array" aca="1" ref="C110" ca="1">IFERROR(INDEX(_xlfn.ANCHORARRAY($AA$11),ROW()-10,3),"")</f>
        <v/>
      </c>
      <c r="D110" s="13" t="str" cm="1">
        <f t="array" aca="1" ref="D110" ca="1">IFERROR(INDEX(_xlfn.ANCHORARRAY($AA$11),ROW()-10,4),"")</f>
        <v/>
      </c>
      <c r="E110" s="4" t="str" cm="1">
        <f t="array" aca="1" ref="E110" ca="1">IFERROR(INDEX(_xlfn.ANCHORARRAY($AA$11),ROW()-10,5),"")</f>
        <v/>
      </c>
      <c r="F110" s="4" t="str" cm="1">
        <f t="array" aca="1" ref="F110" ca="1">IFERROR(INDEX(_xlfn.ANCHORARRAY($AA$11),ROW()-10,6),"")</f>
        <v/>
      </c>
      <c r="G110" s="4" t="str" cm="1">
        <f t="array" aca="1" ref="G110" ca="1">IFERROR(INDEX(_xlfn.ANCHORARRAY($AA$11),ROW()-10,7),"")</f>
        <v/>
      </c>
      <c r="H110" s="4" t="str" cm="1">
        <f t="array" aca="1" ref="H110" ca="1">IFERROR(INDEX(_xlfn.ANCHORARRAY($AA$11),ROW()-10,8),"")</f>
        <v/>
      </c>
      <c r="I110" s="4" t="str" cm="1">
        <f t="array" aca="1" ref="I110" ca="1">IFERROR(INDEX(_xlfn.ANCHORARRAY($AA$11),ROW()-10,9),"")</f>
        <v/>
      </c>
      <c r="J110" s="4" t="str">
        <f t="shared" ca="1" si="9"/>
        <v/>
      </c>
      <c r="K110" s="4" t="str">
        <f t="shared" ca="1" si="10"/>
        <v/>
      </c>
      <c r="L110" s="4" t="str" cm="1">
        <f t="array" aca="1" ref="L110" ca="1">_xlfn.LET(_xlpm.link,IFERROR(INDEX(_xlfn.ANCHORARRAY($AA$11),ROW()-10,12),""),IF(_xlpm.link="","",HYPERLINK(_xlpm.link,"Bluecore/Attentive")))</f>
        <v/>
      </c>
      <c r="M110" s="73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11" t="str" cm="1">
        <f t="array" aca="1" ref="B111" ca="1">IFERROR(INDEX(_xlfn.ANCHORARRAY($AA$11),ROW()-10,2),"")</f>
        <v/>
      </c>
      <c r="C111" s="4" t="str" cm="1">
        <f t="array" aca="1" ref="C111" ca="1">IFERROR(INDEX(_xlfn.ANCHORARRAY($AA$11),ROW()-10,3),"")</f>
        <v/>
      </c>
      <c r="D111" s="13" t="str" cm="1">
        <f t="array" aca="1" ref="D111" ca="1">IFERROR(INDEX(_xlfn.ANCHORARRAY($AA$11),ROW()-10,4),"")</f>
        <v/>
      </c>
      <c r="E111" s="4" t="str" cm="1">
        <f t="array" aca="1" ref="E111" ca="1">IFERROR(INDEX(_xlfn.ANCHORARRAY($AA$11),ROW()-10,5),"")</f>
        <v/>
      </c>
      <c r="F111" s="4" t="str" cm="1">
        <f t="array" aca="1" ref="F111" ca="1">IFERROR(INDEX(_xlfn.ANCHORARRAY($AA$11),ROW()-10,6),"")</f>
        <v/>
      </c>
      <c r="G111" s="4" t="str" cm="1">
        <f t="array" aca="1" ref="G111" ca="1">IFERROR(INDEX(_xlfn.ANCHORARRAY($AA$11),ROW()-10,7),"")</f>
        <v/>
      </c>
      <c r="H111" s="4" t="str" cm="1">
        <f t="array" aca="1" ref="H111" ca="1">IFERROR(INDEX(_xlfn.ANCHORARRAY($AA$11),ROW()-10,8),"")</f>
        <v/>
      </c>
      <c r="I111" s="4" t="str" cm="1">
        <f t="array" aca="1" ref="I111" ca="1">IFERROR(INDEX(_xlfn.ANCHORARRAY($AA$11),ROW()-10,9),"")</f>
        <v/>
      </c>
      <c r="J111" s="4" t="str">
        <f t="shared" ca="1" si="9"/>
        <v/>
      </c>
      <c r="K111" s="4" t="str">
        <f t="shared" ca="1" si="10"/>
        <v/>
      </c>
      <c r="L111" s="4" t="str" cm="1">
        <f t="array" aca="1" ref="L111" ca="1">_xlfn.LET(_xlpm.link,IFERROR(INDEX(_xlfn.ANCHORARRAY($AA$11),ROW()-10,12),""),IF(_xlpm.link="","",HYPERLINK(_xlpm.link,"Bluecore/Attentive")))</f>
        <v/>
      </c>
      <c r="M111" s="72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11" t="str" cm="1">
        <f t="array" aca="1" ref="B112" ca="1">IFERROR(INDEX(_xlfn.ANCHORARRAY($AA$11),ROW()-10,2),"")</f>
        <v/>
      </c>
      <c r="C112" s="4" t="str" cm="1">
        <f t="array" aca="1" ref="C112" ca="1">IFERROR(INDEX(_xlfn.ANCHORARRAY($AA$11),ROW()-10,3),"")</f>
        <v/>
      </c>
      <c r="D112" s="13" t="str" cm="1">
        <f t="array" aca="1" ref="D112" ca="1">IFERROR(INDEX(_xlfn.ANCHORARRAY($AA$11),ROW()-10,4),"")</f>
        <v/>
      </c>
      <c r="E112" s="4" t="str" cm="1">
        <f t="array" aca="1" ref="E112" ca="1">IFERROR(INDEX(_xlfn.ANCHORARRAY($AA$11),ROW()-10,5),"")</f>
        <v/>
      </c>
      <c r="F112" s="4" t="str" cm="1">
        <f t="array" aca="1" ref="F112" ca="1">IFERROR(INDEX(_xlfn.ANCHORARRAY($AA$11),ROW()-10,6),"")</f>
        <v/>
      </c>
      <c r="G112" s="4" t="str" cm="1">
        <f t="array" aca="1" ref="G112" ca="1">IFERROR(INDEX(_xlfn.ANCHORARRAY($AA$11),ROW()-10,7),"")</f>
        <v/>
      </c>
      <c r="H112" s="4" t="str" cm="1">
        <f t="array" aca="1" ref="H112" ca="1">IFERROR(INDEX(_xlfn.ANCHORARRAY($AA$11),ROW()-10,8),"")</f>
        <v/>
      </c>
      <c r="I112" s="4" t="str" cm="1">
        <f t="array" aca="1" ref="I112" ca="1">IFERROR(INDEX(_xlfn.ANCHORARRAY($AA$11),ROW()-10,9),"")</f>
        <v/>
      </c>
      <c r="J112" s="4" t="str">
        <f t="shared" ca="1" si="9"/>
        <v/>
      </c>
      <c r="K112" s="4" t="str">
        <f t="shared" ca="1" si="10"/>
        <v/>
      </c>
      <c r="L112" s="4" t="str" cm="1">
        <f t="array" aca="1" ref="L112" ca="1">_xlfn.LET(_xlpm.link,IFERROR(INDEX(_xlfn.ANCHORARRAY($AA$11),ROW()-10,12),""),IF(_xlpm.link="","",HYPERLINK(_xlpm.link,"Bluecore/Attentive")))</f>
        <v/>
      </c>
      <c r="M112" s="73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11" t="str" cm="1">
        <f t="array" aca="1" ref="B113" ca="1">IFERROR(INDEX(_xlfn.ANCHORARRAY($AA$11),ROW()-10,2),"")</f>
        <v/>
      </c>
      <c r="C113" s="4" t="str" cm="1">
        <f t="array" aca="1" ref="C113" ca="1">IFERROR(INDEX(_xlfn.ANCHORARRAY($AA$11),ROW()-10,3),"")</f>
        <v/>
      </c>
      <c r="D113" s="13" t="str" cm="1">
        <f t="array" aca="1" ref="D113" ca="1">IFERROR(INDEX(_xlfn.ANCHORARRAY($AA$11),ROW()-10,4),"")</f>
        <v/>
      </c>
      <c r="E113" s="4" t="str" cm="1">
        <f t="array" aca="1" ref="E113" ca="1">IFERROR(INDEX(_xlfn.ANCHORARRAY($AA$11),ROW()-10,5),"")</f>
        <v/>
      </c>
      <c r="F113" s="4" t="str" cm="1">
        <f t="array" aca="1" ref="F113" ca="1">IFERROR(INDEX(_xlfn.ANCHORARRAY($AA$11),ROW()-10,6),"")</f>
        <v/>
      </c>
      <c r="G113" s="4" t="str" cm="1">
        <f t="array" aca="1" ref="G113" ca="1">IFERROR(INDEX(_xlfn.ANCHORARRAY($AA$11),ROW()-10,7),"")</f>
        <v/>
      </c>
      <c r="H113" s="4" t="str" cm="1">
        <f t="array" aca="1" ref="H113" ca="1">IFERROR(INDEX(_xlfn.ANCHORARRAY($AA$11),ROW()-10,8),"")</f>
        <v/>
      </c>
      <c r="I113" s="4" t="str" cm="1">
        <f t="array" aca="1" ref="I113" ca="1">IFERROR(INDEX(_xlfn.ANCHORARRAY($AA$11),ROW()-10,9),"")</f>
        <v/>
      </c>
      <c r="J113" s="4" t="str">
        <f t="shared" ca="1" si="9"/>
        <v/>
      </c>
      <c r="K113" s="4" t="str">
        <f t="shared" ca="1" si="10"/>
        <v/>
      </c>
      <c r="L113" s="4" t="str" cm="1">
        <f t="array" aca="1" ref="L113" ca="1">_xlfn.LET(_xlpm.link,IFERROR(INDEX(_xlfn.ANCHORARRAY($AA$11),ROW()-10,12),""),IF(_xlpm.link="","",HYPERLINK(_xlpm.link,"Bluecore/Attentive")))</f>
        <v/>
      </c>
      <c r="M113" s="72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11" t="str" cm="1">
        <f t="array" aca="1" ref="B114" ca="1">IFERROR(INDEX(_xlfn.ANCHORARRAY($AA$11),ROW()-10,2),"")</f>
        <v/>
      </c>
      <c r="C114" s="4" t="str" cm="1">
        <f t="array" aca="1" ref="C114" ca="1">IFERROR(INDEX(_xlfn.ANCHORARRAY($AA$11),ROW()-10,3),"")</f>
        <v/>
      </c>
      <c r="D114" s="13" t="str" cm="1">
        <f t="array" aca="1" ref="D114" ca="1">IFERROR(INDEX(_xlfn.ANCHORARRAY($AA$11),ROW()-10,4),"")</f>
        <v/>
      </c>
      <c r="E114" s="4" t="str" cm="1">
        <f t="array" aca="1" ref="E114" ca="1">IFERROR(INDEX(_xlfn.ANCHORARRAY($AA$11),ROW()-10,5),"")</f>
        <v/>
      </c>
      <c r="F114" s="4" t="str" cm="1">
        <f t="array" aca="1" ref="F114" ca="1">IFERROR(INDEX(_xlfn.ANCHORARRAY($AA$11),ROW()-10,6),"")</f>
        <v/>
      </c>
      <c r="G114" s="4" t="str" cm="1">
        <f t="array" aca="1" ref="G114" ca="1">IFERROR(INDEX(_xlfn.ANCHORARRAY($AA$11),ROW()-10,7),"")</f>
        <v/>
      </c>
      <c r="H114" s="4" t="str" cm="1">
        <f t="array" aca="1" ref="H114" ca="1">IFERROR(INDEX(_xlfn.ANCHORARRAY($AA$11),ROW()-10,8),"")</f>
        <v/>
      </c>
      <c r="I114" s="4" t="str" cm="1">
        <f t="array" aca="1" ref="I114" ca="1">IFERROR(INDEX(_xlfn.ANCHORARRAY($AA$11),ROW()-10,9),"")</f>
        <v/>
      </c>
      <c r="J114" s="4" t="str">
        <f t="shared" ca="1" si="9"/>
        <v/>
      </c>
      <c r="K114" s="4" t="str">
        <f t="shared" ca="1" si="10"/>
        <v/>
      </c>
      <c r="L114" s="4" t="str" cm="1">
        <f t="array" aca="1" ref="L114" ca="1">_xlfn.LET(_xlpm.link,IFERROR(INDEX(_xlfn.ANCHORARRAY($AA$11),ROW()-10,12),""),IF(_xlpm.link="","",HYPERLINK(_xlpm.link,"Bluecore/Attentive")))</f>
        <v/>
      </c>
      <c r="M114" s="73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11" t="str" cm="1">
        <f t="array" aca="1" ref="B115" ca="1">IFERROR(INDEX(_xlfn.ANCHORARRAY($AA$11),ROW()-10,2),"")</f>
        <v/>
      </c>
      <c r="C115" s="4" t="str" cm="1">
        <f t="array" aca="1" ref="C115" ca="1">IFERROR(INDEX(_xlfn.ANCHORARRAY($AA$11),ROW()-10,3),"")</f>
        <v/>
      </c>
      <c r="D115" s="13" t="str" cm="1">
        <f t="array" aca="1" ref="D115" ca="1">IFERROR(INDEX(_xlfn.ANCHORARRAY($AA$11),ROW()-10,4),"")</f>
        <v/>
      </c>
      <c r="E115" s="4" t="str" cm="1">
        <f t="array" aca="1" ref="E115" ca="1">IFERROR(INDEX(_xlfn.ANCHORARRAY($AA$11),ROW()-10,5),"")</f>
        <v/>
      </c>
      <c r="F115" s="4" t="str" cm="1">
        <f t="array" aca="1" ref="F115" ca="1">IFERROR(INDEX(_xlfn.ANCHORARRAY($AA$11),ROW()-10,6),"")</f>
        <v/>
      </c>
      <c r="G115" s="4" t="str" cm="1">
        <f t="array" aca="1" ref="G115" ca="1">IFERROR(INDEX(_xlfn.ANCHORARRAY($AA$11),ROW()-10,7),"")</f>
        <v/>
      </c>
      <c r="H115" s="4" t="str" cm="1">
        <f t="array" aca="1" ref="H115" ca="1">IFERROR(INDEX(_xlfn.ANCHORARRAY($AA$11),ROW()-10,8),"")</f>
        <v/>
      </c>
      <c r="I115" s="4" t="str" cm="1">
        <f t="array" aca="1" ref="I115" ca="1">IFERROR(INDEX(_xlfn.ANCHORARRAY($AA$11),ROW()-10,9),"")</f>
        <v/>
      </c>
      <c r="J115" s="4" t="str">
        <f t="shared" ca="1" si="9"/>
        <v/>
      </c>
      <c r="K115" s="4" t="str">
        <f t="shared" ca="1" si="10"/>
        <v/>
      </c>
      <c r="L115" s="4" t="str" cm="1">
        <f t="array" aca="1" ref="L115" ca="1">_xlfn.LET(_xlpm.link,IFERROR(INDEX(_xlfn.ANCHORARRAY($AA$11),ROW()-10,12),""),IF(_xlpm.link="","",HYPERLINK(_xlpm.link,"Bluecore/Attentive")))</f>
        <v/>
      </c>
      <c r="M115" s="72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11" t="str" cm="1">
        <f t="array" aca="1" ref="B116" ca="1">IFERROR(INDEX(_xlfn.ANCHORARRAY($AA$11),ROW()-10,2),"")</f>
        <v/>
      </c>
      <c r="C116" s="4" t="str" cm="1">
        <f t="array" aca="1" ref="C116" ca="1">IFERROR(INDEX(_xlfn.ANCHORARRAY($AA$11),ROW()-10,3),"")</f>
        <v/>
      </c>
      <c r="D116" s="13" t="str" cm="1">
        <f t="array" aca="1" ref="D116" ca="1">IFERROR(INDEX(_xlfn.ANCHORARRAY($AA$11),ROW()-10,4),"")</f>
        <v/>
      </c>
      <c r="E116" s="4" t="str" cm="1">
        <f t="array" aca="1" ref="E116" ca="1">IFERROR(INDEX(_xlfn.ANCHORARRAY($AA$11),ROW()-10,5),"")</f>
        <v/>
      </c>
      <c r="F116" s="4" t="str" cm="1">
        <f t="array" aca="1" ref="F116" ca="1">IFERROR(INDEX(_xlfn.ANCHORARRAY($AA$11),ROW()-10,6),"")</f>
        <v/>
      </c>
      <c r="G116" s="4" t="str" cm="1">
        <f t="array" aca="1" ref="G116" ca="1">IFERROR(INDEX(_xlfn.ANCHORARRAY($AA$11),ROW()-10,7),"")</f>
        <v/>
      </c>
      <c r="H116" s="4" t="str" cm="1">
        <f t="array" aca="1" ref="H116" ca="1">IFERROR(INDEX(_xlfn.ANCHORARRAY($AA$11),ROW()-10,8),"")</f>
        <v/>
      </c>
      <c r="I116" s="4" t="str" cm="1">
        <f t="array" aca="1" ref="I116" ca="1">IFERROR(INDEX(_xlfn.ANCHORARRAY($AA$11),ROW()-10,9),"")</f>
        <v/>
      </c>
      <c r="J116" s="4" t="str">
        <f t="shared" ca="1" si="9"/>
        <v/>
      </c>
      <c r="K116" s="4" t="str">
        <f t="shared" ca="1" si="10"/>
        <v/>
      </c>
      <c r="L116" s="4" t="str" cm="1">
        <f t="array" aca="1" ref="L116" ca="1">_xlfn.LET(_xlpm.link,IFERROR(INDEX(_xlfn.ANCHORARRAY($AA$11),ROW()-10,12),""),IF(_xlpm.link="","",HYPERLINK(_xlpm.link,"Bluecore/Attentive")))</f>
        <v/>
      </c>
      <c r="M116" s="73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11" t="str" cm="1">
        <f t="array" aca="1" ref="B117" ca="1">IFERROR(INDEX(_xlfn.ANCHORARRAY($AA$11),ROW()-10,2),"")</f>
        <v/>
      </c>
      <c r="C117" s="4" t="str" cm="1">
        <f t="array" aca="1" ref="C117" ca="1">IFERROR(INDEX(_xlfn.ANCHORARRAY($AA$11),ROW()-10,3),"")</f>
        <v/>
      </c>
      <c r="D117" s="13" t="str" cm="1">
        <f t="array" aca="1" ref="D117" ca="1">IFERROR(INDEX(_xlfn.ANCHORARRAY($AA$11),ROW()-10,4),"")</f>
        <v/>
      </c>
      <c r="E117" s="4" t="str" cm="1">
        <f t="array" aca="1" ref="E117" ca="1">IFERROR(INDEX(_xlfn.ANCHORARRAY($AA$11),ROW()-10,5),"")</f>
        <v/>
      </c>
      <c r="F117" s="4" t="str" cm="1">
        <f t="array" aca="1" ref="F117" ca="1">IFERROR(INDEX(_xlfn.ANCHORARRAY($AA$11),ROW()-10,6),"")</f>
        <v/>
      </c>
      <c r="G117" s="4" t="str" cm="1">
        <f t="array" aca="1" ref="G117" ca="1">IFERROR(INDEX(_xlfn.ANCHORARRAY($AA$11),ROW()-10,7),"")</f>
        <v/>
      </c>
      <c r="H117" s="4" t="str" cm="1">
        <f t="array" aca="1" ref="H117" ca="1">IFERROR(INDEX(_xlfn.ANCHORARRAY($AA$11),ROW()-10,8),"")</f>
        <v/>
      </c>
      <c r="I117" s="4" t="str" cm="1">
        <f t="array" aca="1" ref="I117" ca="1">IFERROR(INDEX(_xlfn.ANCHORARRAY($AA$11),ROW()-10,9),"")</f>
        <v/>
      </c>
      <c r="J117" s="4" t="str">
        <f t="shared" ca="1" si="9"/>
        <v/>
      </c>
      <c r="K117" s="4" t="str">
        <f t="shared" ca="1" si="10"/>
        <v/>
      </c>
      <c r="L117" s="4" t="str" cm="1">
        <f t="array" aca="1" ref="L117" ca="1">_xlfn.LET(_xlpm.link,IFERROR(INDEX(_xlfn.ANCHORARRAY($AA$11),ROW()-10,12),""),IF(_xlpm.link="","",HYPERLINK(_xlpm.link,"Bluecore/Attentive")))</f>
        <v/>
      </c>
      <c r="M117" s="72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11" t="str" cm="1">
        <f t="array" aca="1" ref="B118" ca="1">IFERROR(INDEX(_xlfn.ANCHORARRAY($AA$11),ROW()-10,2),"")</f>
        <v/>
      </c>
      <c r="C118" s="4" t="str" cm="1">
        <f t="array" aca="1" ref="C118" ca="1">IFERROR(INDEX(_xlfn.ANCHORARRAY($AA$11),ROW()-10,3),"")</f>
        <v/>
      </c>
      <c r="D118" s="13" t="str" cm="1">
        <f t="array" aca="1" ref="D118" ca="1">IFERROR(INDEX(_xlfn.ANCHORARRAY($AA$11),ROW()-10,4),"")</f>
        <v/>
      </c>
      <c r="E118" s="4" t="str" cm="1">
        <f t="array" aca="1" ref="E118" ca="1">IFERROR(INDEX(_xlfn.ANCHORARRAY($AA$11),ROW()-10,5),"")</f>
        <v/>
      </c>
      <c r="F118" s="4" t="str" cm="1">
        <f t="array" aca="1" ref="F118" ca="1">IFERROR(INDEX(_xlfn.ANCHORARRAY($AA$11),ROW()-10,6),"")</f>
        <v/>
      </c>
      <c r="G118" s="4" t="str" cm="1">
        <f t="array" aca="1" ref="G118" ca="1">IFERROR(INDEX(_xlfn.ANCHORARRAY($AA$11),ROW()-10,7),"")</f>
        <v/>
      </c>
      <c r="H118" s="4" t="str" cm="1">
        <f t="array" aca="1" ref="H118" ca="1">IFERROR(INDEX(_xlfn.ANCHORARRAY($AA$11),ROW()-10,8),"")</f>
        <v/>
      </c>
      <c r="I118" s="4" t="str" cm="1">
        <f t="array" aca="1" ref="I118" ca="1">IFERROR(INDEX(_xlfn.ANCHORARRAY($AA$11),ROW()-10,9),"")</f>
        <v/>
      </c>
      <c r="J118" s="4" t="str">
        <f t="shared" ca="1" si="9"/>
        <v/>
      </c>
      <c r="K118" s="4" t="str">
        <f t="shared" ca="1" si="10"/>
        <v/>
      </c>
      <c r="L118" s="4" t="str" cm="1">
        <f t="array" aca="1" ref="L118" ca="1">_xlfn.LET(_xlpm.link,IFERROR(INDEX(_xlfn.ANCHORARRAY($AA$11),ROW()-10,12),""),IF(_xlpm.link="","",HYPERLINK(_xlpm.link,"Bluecore/Attentive")))</f>
        <v/>
      </c>
      <c r="M118" s="73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11" t="str" cm="1">
        <f t="array" aca="1" ref="B119" ca="1">IFERROR(INDEX(_xlfn.ANCHORARRAY($AA$11),ROW()-10,2),"")</f>
        <v/>
      </c>
      <c r="C119" s="4" t="str" cm="1">
        <f t="array" aca="1" ref="C119" ca="1">IFERROR(INDEX(_xlfn.ANCHORARRAY($AA$11),ROW()-10,3),"")</f>
        <v/>
      </c>
      <c r="D119" s="13" t="str" cm="1">
        <f t="array" aca="1" ref="D119" ca="1">IFERROR(INDEX(_xlfn.ANCHORARRAY($AA$11),ROW()-10,4),"")</f>
        <v/>
      </c>
      <c r="E119" s="4" t="str" cm="1">
        <f t="array" aca="1" ref="E119" ca="1">IFERROR(INDEX(_xlfn.ANCHORARRAY($AA$11),ROW()-10,5),"")</f>
        <v/>
      </c>
      <c r="F119" s="4" t="str" cm="1">
        <f t="array" aca="1" ref="F119" ca="1">IFERROR(INDEX(_xlfn.ANCHORARRAY($AA$11),ROW()-10,6),"")</f>
        <v/>
      </c>
      <c r="G119" s="4" t="str" cm="1">
        <f t="array" aca="1" ref="G119" ca="1">IFERROR(INDEX(_xlfn.ANCHORARRAY($AA$11),ROW()-10,7),"")</f>
        <v/>
      </c>
      <c r="H119" s="4" t="str" cm="1">
        <f t="array" aca="1" ref="H119" ca="1">IFERROR(INDEX(_xlfn.ANCHORARRAY($AA$11),ROW()-10,8),"")</f>
        <v/>
      </c>
      <c r="I119" s="4" t="str" cm="1">
        <f t="array" aca="1" ref="I119" ca="1">IFERROR(INDEX(_xlfn.ANCHORARRAY($AA$11),ROW()-10,9),"")</f>
        <v/>
      </c>
      <c r="J119" s="4" t="str">
        <f t="shared" ca="1" si="9"/>
        <v/>
      </c>
      <c r="K119" s="4" t="str">
        <f t="shared" ca="1" si="10"/>
        <v/>
      </c>
      <c r="L119" s="4" t="str" cm="1">
        <f t="array" aca="1" ref="L119" ca="1">_xlfn.LET(_xlpm.link,IFERROR(INDEX(_xlfn.ANCHORARRAY($AA$11),ROW()-10,12),""),IF(_xlpm.link="","",HYPERLINK(_xlpm.link,"Bluecore/Attentive")))</f>
        <v/>
      </c>
      <c r="M119" s="72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11" t="str" cm="1">
        <f t="array" aca="1" ref="B120" ca="1">IFERROR(INDEX(_xlfn.ANCHORARRAY($AA$11),ROW()-10,2),"")</f>
        <v/>
      </c>
      <c r="C120" s="4" t="str" cm="1">
        <f t="array" aca="1" ref="C120" ca="1">IFERROR(INDEX(_xlfn.ANCHORARRAY($AA$11),ROW()-10,3),"")</f>
        <v/>
      </c>
      <c r="D120" s="13" t="str" cm="1">
        <f t="array" aca="1" ref="D120" ca="1">IFERROR(INDEX(_xlfn.ANCHORARRAY($AA$11),ROW()-10,4),"")</f>
        <v/>
      </c>
      <c r="E120" s="4" t="str" cm="1">
        <f t="array" aca="1" ref="E120" ca="1">IFERROR(INDEX(_xlfn.ANCHORARRAY($AA$11),ROW()-10,5),"")</f>
        <v/>
      </c>
      <c r="F120" s="4" t="str" cm="1">
        <f t="array" aca="1" ref="F120" ca="1">IFERROR(INDEX(_xlfn.ANCHORARRAY($AA$11),ROW()-10,6),"")</f>
        <v/>
      </c>
      <c r="G120" s="4" t="str" cm="1">
        <f t="array" aca="1" ref="G120" ca="1">IFERROR(INDEX(_xlfn.ANCHORARRAY($AA$11),ROW()-10,7),"")</f>
        <v/>
      </c>
      <c r="H120" s="4" t="str" cm="1">
        <f t="array" aca="1" ref="H120" ca="1">IFERROR(INDEX(_xlfn.ANCHORARRAY($AA$11),ROW()-10,8),"")</f>
        <v/>
      </c>
      <c r="I120" s="4" t="str" cm="1">
        <f t="array" aca="1" ref="I120" ca="1">IFERROR(INDEX(_xlfn.ANCHORARRAY($AA$11),ROW()-10,9),"")</f>
        <v/>
      </c>
      <c r="J120" s="4" t="str">
        <f t="shared" ca="1" si="9"/>
        <v/>
      </c>
      <c r="K120" s="4" t="str">
        <f t="shared" ca="1" si="10"/>
        <v/>
      </c>
      <c r="L120" s="4" t="str" cm="1">
        <f t="array" aca="1" ref="L120" ca="1">_xlfn.LET(_xlpm.link,IFERROR(INDEX(_xlfn.ANCHORARRAY($AA$11),ROW()-10,12),""),IF(_xlpm.link="","",HYPERLINK(_xlpm.link,"Bluecore/Attentive")))</f>
        <v/>
      </c>
      <c r="M120" s="73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11" t="str" cm="1">
        <f t="array" aca="1" ref="B121" ca="1">IFERROR(INDEX(_xlfn.ANCHORARRAY($AA$11),ROW()-10,2),"")</f>
        <v/>
      </c>
      <c r="C121" s="4" t="str" cm="1">
        <f t="array" aca="1" ref="C121" ca="1">IFERROR(INDEX(_xlfn.ANCHORARRAY($AA$11),ROW()-10,3),"")</f>
        <v/>
      </c>
      <c r="D121" s="13" t="str" cm="1">
        <f t="array" aca="1" ref="D121" ca="1">IFERROR(INDEX(_xlfn.ANCHORARRAY($AA$11),ROW()-10,4),"")</f>
        <v/>
      </c>
      <c r="E121" s="4" t="str" cm="1">
        <f t="array" aca="1" ref="E121" ca="1">IFERROR(INDEX(_xlfn.ANCHORARRAY($AA$11),ROW()-10,5),"")</f>
        <v/>
      </c>
      <c r="F121" s="4" t="str" cm="1">
        <f t="array" aca="1" ref="F121" ca="1">IFERROR(INDEX(_xlfn.ANCHORARRAY($AA$11),ROW()-10,6),"")</f>
        <v/>
      </c>
      <c r="G121" s="4" t="str" cm="1">
        <f t="array" aca="1" ref="G121" ca="1">IFERROR(INDEX(_xlfn.ANCHORARRAY($AA$11),ROW()-10,7),"")</f>
        <v/>
      </c>
      <c r="H121" s="4" t="str" cm="1">
        <f t="array" aca="1" ref="H121" ca="1">IFERROR(INDEX(_xlfn.ANCHORARRAY($AA$11),ROW()-10,8),"")</f>
        <v/>
      </c>
      <c r="I121" s="4" t="str" cm="1">
        <f t="array" aca="1" ref="I121" ca="1">IFERROR(INDEX(_xlfn.ANCHORARRAY($AA$11),ROW()-10,9),"")</f>
        <v/>
      </c>
      <c r="J121" s="4" t="str">
        <f t="shared" ca="1" si="9"/>
        <v/>
      </c>
      <c r="K121" s="4" t="str">
        <f t="shared" ca="1" si="10"/>
        <v/>
      </c>
      <c r="L121" s="4" t="str" cm="1">
        <f t="array" aca="1" ref="L121" ca="1">_xlfn.LET(_xlpm.link,IFERROR(INDEX(_xlfn.ANCHORARRAY($AA$11),ROW()-10,12),""),IF(_xlpm.link="","",HYPERLINK(_xlpm.link,"Bluecore/Attentive")))</f>
        <v/>
      </c>
      <c r="M121" s="72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11" t="str" cm="1">
        <f t="array" aca="1" ref="B122" ca="1">IFERROR(INDEX(_xlfn.ANCHORARRAY($AA$11),ROW()-10,2),"")</f>
        <v/>
      </c>
      <c r="C122" s="4" t="str" cm="1">
        <f t="array" aca="1" ref="C122" ca="1">IFERROR(INDEX(_xlfn.ANCHORARRAY($AA$11),ROW()-10,3),"")</f>
        <v/>
      </c>
      <c r="D122" s="13" t="str" cm="1">
        <f t="array" aca="1" ref="D122" ca="1">IFERROR(INDEX(_xlfn.ANCHORARRAY($AA$11),ROW()-10,4),"")</f>
        <v/>
      </c>
      <c r="E122" s="4" t="str" cm="1">
        <f t="array" aca="1" ref="E122" ca="1">IFERROR(INDEX(_xlfn.ANCHORARRAY($AA$11),ROW()-10,5),"")</f>
        <v/>
      </c>
      <c r="F122" s="4" t="str" cm="1">
        <f t="array" aca="1" ref="F122" ca="1">IFERROR(INDEX(_xlfn.ANCHORARRAY($AA$11),ROW()-10,6),"")</f>
        <v/>
      </c>
      <c r="G122" s="4" t="str" cm="1">
        <f t="array" aca="1" ref="G122" ca="1">IFERROR(INDEX(_xlfn.ANCHORARRAY($AA$11),ROW()-10,7),"")</f>
        <v/>
      </c>
      <c r="H122" s="4" t="str" cm="1">
        <f t="array" aca="1" ref="H122" ca="1">IFERROR(INDEX(_xlfn.ANCHORARRAY($AA$11),ROW()-10,8),"")</f>
        <v/>
      </c>
      <c r="I122" s="4" t="str" cm="1">
        <f t="array" aca="1" ref="I122" ca="1">IFERROR(INDEX(_xlfn.ANCHORARRAY($AA$11),ROW()-10,9),"")</f>
        <v/>
      </c>
      <c r="J122" s="4" t="str">
        <f t="shared" ca="1" si="9"/>
        <v/>
      </c>
      <c r="K122" s="4" t="str">
        <f t="shared" ca="1" si="10"/>
        <v/>
      </c>
      <c r="L122" s="4" t="str" cm="1">
        <f t="array" aca="1" ref="L122" ca="1">_xlfn.LET(_xlpm.link,IFERROR(INDEX(_xlfn.ANCHORARRAY($AA$11),ROW()-10,12),""),IF(_xlpm.link="","",HYPERLINK(_xlpm.link,"Bluecore/Attentive")))</f>
        <v/>
      </c>
      <c r="M122" s="73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11" t="str" cm="1">
        <f t="array" aca="1" ref="B123" ca="1">IFERROR(INDEX(_xlfn.ANCHORARRAY($AA$11),ROW()-10,2),"")</f>
        <v/>
      </c>
      <c r="C123" s="4" t="str" cm="1">
        <f t="array" aca="1" ref="C123" ca="1">IFERROR(INDEX(_xlfn.ANCHORARRAY($AA$11),ROW()-10,3),"")</f>
        <v/>
      </c>
      <c r="D123" s="13" t="str" cm="1">
        <f t="array" aca="1" ref="D123" ca="1">IFERROR(INDEX(_xlfn.ANCHORARRAY($AA$11),ROW()-10,4),"")</f>
        <v/>
      </c>
      <c r="E123" s="4" t="str" cm="1">
        <f t="array" aca="1" ref="E123" ca="1">IFERROR(INDEX(_xlfn.ANCHORARRAY($AA$11),ROW()-10,5),"")</f>
        <v/>
      </c>
      <c r="F123" s="4" t="str" cm="1">
        <f t="array" aca="1" ref="F123" ca="1">IFERROR(INDEX(_xlfn.ANCHORARRAY($AA$11),ROW()-10,6),"")</f>
        <v/>
      </c>
      <c r="G123" s="4" t="str" cm="1">
        <f t="array" aca="1" ref="G123" ca="1">IFERROR(INDEX(_xlfn.ANCHORARRAY($AA$11),ROW()-10,7),"")</f>
        <v/>
      </c>
      <c r="H123" s="4" t="str" cm="1">
        <f t="array" aca="1" ref="H123" ca="1">IFERROR(INDEX(_xlfn.ANCHORARRAY($AA$11),ROW()-10,8),"")</f>
        <v/>
      </c>
      <c r="I123" s="4" t="str" cm="1">
        <f t="array" aca="1" ref="I123" ca="1">IFERROR(INDEX(_xlfn.ANCHORARRAY($AA$11),ROW()-10,9),"")</f>
        <v/>
      </c>
      <c r="J123" s="4" t="str">
        <f t="shared" ca="1" si="9"/>
        <v/>
      </c>
      <c r="K123" s="4" t="str">
        <f t="shared" ca="1" si="10"/>
        <v/>
      </c>
      <c r="L123" s="4" t="str" cm="1">
        <f t="array" aca="1" ref="L123" ca="1">_xlfn.LET(_xlpm.link,IFERROR(INDEX(_xlfn.ANCHORARRAY($AA$11),ROW()-10,12),""),IF(_xlpm.link="","",HYPERLINK(_xlpm.link,"Bluecore/Attentive")))</f>
        <v/>
      </c>
      <c r="M123" s="72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11" t="str" cm="1">
        <f t="array" aca="1" ref="B124" ca="1">IFERROR(INDEX(_xlfn.ANCHORARRAY($AA$11),ROW()-10,2),"")</f>
        <v/>
      </c>
      <c r="C124" s="4" t="str" cm="1">
        <f t="array" aca="1" ref="C124" ca="1">IFERROR(INDEX(_xlfn.ANCHORARRAY($AA$11),ROW()-10,3),"")</f>
        <v/>
      </c>
      <c r="D124" s="13" t="str" cm="1">
        <f t="array" aca="1" ref="D124" ca="1">IFERROR(INDEX(_xlfn.ANCHORARRAY($AA$11),ROW()-10,4),"")</f>
        <v/>
      </c>
      <c r="E124" s="4" t="str" cm="1">
        <f t="array" aca="1" ref="E124" ca="1">IFERROR(INDEX(_xlfn.ANCHORARRAY($AA$11),ROW()-10,5),"")</f>
        <v/>
      </c>
      <c r="F124" s="4" t="str" cm="1">
        <f t="array" aca="1" ref="F124" ca="1">IFERROR(INDEX(_xlfn.ANCHORARRAY($AA$11),ROW()-10,6),"")</f>
        <v/>
      </c>
      <c r="G124" s="4" t="str" cm="1">
        <f t="array" aca="1" ref="G124" ca="1">IFERROR(INDEX(_xlfn.ANCHORARRAY($AA$11),ROW()-10,7),"")</f>
        <v/>
      </c>
      <c r="H124" s="4" t="str" cm="1">
        <f t="array" aca="1" ref="H124" ca="1">IFERROR(INDEX(_xlfn.ANCHORARRAY($AA$11),ROW()-10,8),"")</f>
        <v/>
      </c>
      <c r="I124" s="4" t="str" cm="1">
        <f t="array" aca="1" ref="I124" ca="1">IFERROR(INDEX(_xlfn.ANCHORARRAY($AA$11),ROW()-10,9),"")</f>
        <v/>
      </c>
      <c r="J124" s="4" t="str">
        <f t="shared" ca="1" si="9"/>
        <v/>
      </c>
      <c r="K124" s="4" t="str">
        <f t="shared" ca="1" si="10"/>
        <v/>
      </c>
      <c r="L124" s="4" t="str" cm="1">
        <f t="array" aca="1" ref="L124" ca="1">_xlfn.LET(_xlpm.link,IFERROR(INDEX(_xlfn.ANCHORARRAY($AA$11),ROW()-10,12),""),IF(_xlpm.link="","",HYPERLINK(_xlpm.link,"Bluecore/Attentive")))</f>
        <v/>
      </c>
      <c r="M124" s="73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11" t="str" cm="1">
        <f t="array" aca="1" ref="B125" ca="1">IFERROR(INDEX(_xlfn.ANCHORARRAY($AA$11),ROW()-10,2),"")</f>
        <v/>
      </c>
      <c r="C125" s="4" t="str" cm="1">
        <f t="array" aca="1" ref="C125" ca="1">IFERROR(INDEX(_xlfn.ANCHORARRAY($AA$11),ROW()-10,3),"")</f>
        <v/>
      </c>
      <c r="D125" s="13" t="str" cm="1">
        <f t="array" aca="1" ref="D125" ca="1">IFERROR(INDEX(_xlfn.ANCHORARRAY($AA$11),ROW()-10,4),"")</f>
        <v/>
      </c>
      <c r="E125" s="4" t="str" cm="1">
        <f t="array" aca="1" ref="E125" ca="1">IFERROR(INDEX(_xlfn.ANCHORARRAY($AA$11),ROW()-10,5),"")</f>
        <v/>
      </c>
      <c r="F125" s="4" t="str" cm="1">
        <f t="array" aca="1" ref="F125" ca="1">IFERROR(INDEX(_xlfn.ANCHORARRAY($AA$11),ROW()-10,6),"")</f>
        <v/>
      </c>
      <c r="G125" s="4" t="str" cm="1">
        <f t="array" aca="1" ref="G125" ca="1">IFERROR(INDEX(_xlfn.ANCHORARRAY($AA$11),ROW()-10,7),"")</f>
        <v/>
      </c>
      <c r="H125" s="4" t="str" cm="1">
        <f t="array" aca="1" ref="H125" ca="1">IFERROR(INDEX(_xlfn.ANCHORARRAY($AA$11),ROW()-10,8),"")</f>
        <v/>
      </c>
      <c r="I125" s="4" t="str" cm="1">
        <f t="array" aca="1" ref="I125" ca="1">IFERROR(INDEX(_xlfn.ANCHORARRAY($AA$11),ROW()-10,9),"")</f>
        <v/>
      </c>
      <c r="J125" s="4" t="str">
        <f t="shared" ca="1" si="9"/>
        <v/>
      </c>
      <c r="K125" s="4" t="str">
        <f t="shared" ca="1" si="10"/>
        <v/>
      </c>
      <c r="L125" s="4" t="str" cm="1">
        <f t="array" aca="1" ref="L125" ca="1">_xlfn.LET(_xlpm.link,IFERROR(INDEX(_xlfn.ANCHORARRAY($AA$11),ROW()-10,12),""),IF(_xlpm.link="","",HYPERLINK(_xlpm.link,"Bluecore/Attentive")))</f>
        <v/>
      </c>
      <c r="M125" s="72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11" t="str" cm="1">
        <f t="array" aca="1" ref="B126" ca="1">IFERROR(INDEX(_xlfn.ANCHORARRAY($AA$11),ROW()-10,2),"")</f>
        <v/>
      </c>
      <c r="C126" s="4" t="str" cm="1">
        <f t="array" aca="1" ref="C126" ca="1">IFERROR(INDEX(_xlfn.ANCHORARRAY($AA$11),ROW()-10,3),"")</f>
        <v/>
      </c>
      <c r="D126" s="13" t="str" cm="1">
        <f t="array" aca="1" ref="D126" ca="1">IFERROR(INDEX(_xlfn.ANCHORARRAY($AA$11),ROW()-10,4),"")</f>
        <v/>
      </c>
      <c r="E126" s="4" t="str" cm="1">
        <f t="array" aca="1" ref="E126" ca="1">IFERROR(INDEX(_xlfn.ANCHORARRAY($AA$11),ROW()-10,5),"")</f>
        <v/>
      </c>
      <c r="F126" s="4" t="str" cm="1">
        <f t="array" aca="1" ref="F126" ca="1">IFERROR(INDEX(_xlfn.ANCHORARRAY($AA$11),ROW()-10,6),"")</f>
        <v/>
      </c>
      <c r="G126" s="4" t="str" cm="1">
        <f t="array" aca="1" ref="G126" ca="1">IFERROR(INDEX(_xlfn.ANCHORARRAY($AA$11),ROW()-10,7),"")</f>
        <v/>
      </c>
      <c r="H126" s="4" t="str" cm="1">
        <f t="array" aca="1" ref="H126" ca="1">IFERROR(INDEX(_xlfn.ANCHORARRAY($AA$11),ROW()-10,8),"")</f>
        <v/>
      </c>
      <c r="I126" s="4" t="str" cm="1">
        <f t="array" aca="1" ref="I126" ca="1">IFERROR(INDEX(_xlfn.ANCHORARRAY($AA$11),ROW()-10,9),"")</f>
        <v/>
      </c>
      <c r="J126" s="4" t="str">
        <f t="shared" ca="1" si="9"/>
        <v/>
      </c>
      <c r="K126" s="4" t="str">
        <f t="shared" ca="1" si="10"/>
        <v/>
      </c>
      <c r="L126" s="4" t="str" cm="1">
        <f t="array" aca="1" ref="L126" ca="1">_xlfn.LET(_xlpm.link,IFERROR(INDEX(_xlfn.ANCHORARRAY($AA$11),ROW()-10,12),""),IF(_xlpm.link="","",HYPERLINK(_xlpm.link,"Bluecore/Attentive")))</f>
        <v/>
      </c>
      <c r="M126" s="73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11" t="str" cm="1">
        <f t="array" aca="1" ref="B127" ca="1">IFERROR(INDEX(_xlfn.ANCHORARRAY($AA$11),ROW()-10,2),"")</f>
        <v/>
      </c>
      <c r="C127" s="4" t="str" cm="1">
        <f t="array" aca="1" ref="C127" ca="1">IFERROR(INDEX(_xlfn.ANCHORARRAY($AA$11),ROW()-10,3),"")</f>
        <v/>
      </c>
      <c r="D127" s="13" t="str" cm="1">
        <f t="array" aca="1" ref="D127" ca="1">IFERROR(INDEX(_xlfn.ANCHORARRAY($AA$11),ROW()-10,4),"")</f>
        <v/>
      </c>
      <c r="E127" s="4" t="str" cm="1">
        <f t="array" aca="1" ref="E127" ca="1">IFERROR(INDEX(_xlfn.ANCHORARRAY($AA$11),ROW()-10,5),"")</f>
        <v/>
      </c>
      <c r="F127" s="4" t="str" cm="1">
        <f t="array" aca="1" ref="F127" ca="1">IFERROR(INDEX(_xlfn.ANCHORARRAY($AA$11),ROW()-10,6),"")</f>
        <v/>
      </c>
      <c r="G127" s="4" t="str" cm="1">
        <f t="array" aca="1" ref="G127" ca="1">IFERROR(INDEX(_xlfn.ANCHORARRAY($AA$11),ROW()-10,7),"")</f>
        <v/>
      </c>
      <c r="H127" s="4" t="str" cm="1">
        <f t="array" aca="1" ref="H127" ca="1">IFERROR(INDEX(_xlfn.ANCHORARRAY($AA$11),ROW()-10,8),"")</f>
        <v/>
      </c>
      <c r="I127" s="4" t="str" cm="1">
        <f t="array" aca="1" ref="I127" ca="1">IFERROR(INDEX(_xlfn.ANCHORARRAY($AA$11),ROW()-10,9),"")</f>
        <v/>
      </c>
      <c r="J127" s="4" t="str">
        <f t="shared" ca="1" si="9"/>
        <v/>
      </c>
      <c r="K127" s="4" t="str">
        <f t="shared" ca="1" si="10"/>
        <v/>
      </c>
      <c r="L127" s="4" t="str" cm="1">
        <f t="array" aca="1" ref="L127" ca="1">_xlfn.LET(_xlpm.link,IFERROR(INDEX(_xlfn.ANCHORARRAY($AA$11),ROW()-10,12),""),IF(_xlpm.link="","",HYPERLINK(_xlpm.link,"Bluecore/Attentive")))</f>
        <v/>
      </c>
      <c r="M127" s="72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11" t="str" cm="1">
        <f t="array" aca="1" ref="B128" ca="1">IFERROR(INDEX(_xlfn.ANCHORARRAY($AA$11),ROW()-10,2),"")</f>
        <v/>
      </c>
      <c r="C128" s="4" t="str" cm="1">
        <f t="array" aca="1" ref="C128" ca="1">IFERROR(INDEX(_xlfn.ANCHORARRAY($AA$11),ROW()-10,3),"")</f>
        <v/>
      </c>
      <c r="D128" s="13" t="str" cm="1">
        <f t="array" aca="1" ref="D128" ca="1">IFERROR(INDEX(_xlfn.ANCHORARRAY($AA$11),ROW()-10,4),"")</f>
        <v/>
      </c>
      <c r="E128" s="4" t="str" cm="1">
        <f t="array" aca="1" ref="E128" ca="1">IFERROR(INDEX(_xlfn.ANCHORARRAY($AA$11),ROW()-10,5),"")</f>
        <v/>
      </c>
      <c r="F128" s="4" t="str" cm="1">
        <f t="array" aca="1" ref="F128" ca="1">IFERROR(INDEX(_xlfn.ANCHORARRAY($AA$11),ROW()-10,6),"")</f>
        <v/>
      </c>
      <c r="G128" s="4" t="str" cm="1">
        <f t="array" aca="1" ref="G128" ca="1">IFERROR(INDEX(_xlfn.ANCHORARRAY($AA$11),ROW()-10,7),"")</f>
        <v/>
      </c>
      <c r="H128" s="4" t="str" cm="1">
        <f t="array" aca="1" ref="H128" ca="1">IFERROR(INDEX(_xlfn.ANCHORARRAY($AA$11),ROW()-10,8),"")</f>
        <v/>
      </c>
      <c r="I128" s="4" t="str" cm="1">
        <f t="array" aca="1" ref="I128" ca="1">IFERROR(INDEX(_xlfn.ANCHORARRAY($AA$11),ROW()-10,9),"")</f>
        <v/>
      </c>
      <c r="J128" s="4" t="str">
        <f t="shared" ca="1" si="9"/>
        <v/>
      </c>
      <c r="K128" s="4" t="str">
        <f t="shared" ca="1" si="10"/>
        <v/>
      </c>
      <c r="L128" s="4" t="str" cm="1">
        <f t="array" aca="1" ref="L128" ca="1">_xlfn.LET(_xlpm.link,IFERROR(INDEX(_xlfn.ANCHORARRAY($AA$11),ROW()-10,12),""),IF(_xlpm.link="","",HYPERLINK(_xlpm.link,"Bluecore/Attentive")))</f>
        <v/>
      </c>
      <c r="M128" s="73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11" t="str" cm="1">
        <f t="array" aca="1" ref="B129" ca="1">IFERROR(INDEX(_xlfn.ANCHORARRAY($AA$11),ROW()-10,2),"")</f>
        <v/>
      </c>
      <c r="C129" s="4" t="str" cm="1">
        <f t="array" aca="1" ref="C129" ca="1">IFERROR(INDEX(_xlfn.ANCHORARRAY($AA$11),ROW()-10,3),"")</f>
        <v/>
      </c>
      <c r="D129" s="13" t="str" cm="1">
        <f t="array" aca="1" ref="D129" ca="1">IFERROR(INDEX(_xlfn.ANCHORARRAY($AA$11),ROW()-10,4),"")</f>
        <v/>
      </c>
      <c r="E129" s="4" t="str" cm="1">
        <f t="array" aca="1" ref="E129" ca="1">IFERROR(INDEX(_xlfn.ANCHORARRAY($AA$11),ROW()-10,5),"")</f>
        <v/>
      </c>
      <c r="F129" s="4" t="str" cm="1">
        <f t="array" aca="1" ref="F129" ca="1">IFERROR(INDEX(_xlfn.ANCHORARRAY($AA$11),ROW()-10,6),"")</f>
        <v/>
      </c>
      <c r="G129" s="4" t="str" cm="1">
        <f t="array" aca="1" ref="G129" ca="1">IFERROR(INDEX(_xlfn.ANCHORARRAY($AA$11),ROW()-10,7),"")</f>
        <v/>
      </c>
      <c r="H129" s="4" t="str" cm="1">
        <f t="array" aca="1" ref="H129" ca="1">IFERROR(INDEX(_xlfn.ANCHORARRAY($AA$11),ROW()-10,8),"")</f>
        <v/>
      </c>
      <c r="I129" s="4" t="str" cm="1">
        <f t="array" aca="1" ref="I129" ca="1">IFERROR(INDEX(_xlfn.ANCHORARRAY($AA$11),ROW()-10,9),"")</f>
        <v/>
      </c>
      <c r="J129" s="4" t="str">
        <f t="shared" ca="1" si="9"/>
        <v/>
      </c>
      <c r="K129" s="4" t="str">
        <f t="shared" ca="1" si="10"/>
        <v/>
      </c>
      <c r="L129" s="4" t="str" cm="1">
        <f t="array" aca="1" ref="L129" ca="1">_xlfn.LET(_xlpm.link,IFERROR(INDEX(_xlfn.ANCHORARRAY($AA$11),ROW()-10,12),""),IF(_xlpm.link="","",HYPERLINK(_xlpm.link,"Bluecore/Attentive")))</f>
        <v/>
      </c>
      <c r="M129" s="72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11" t="str" cm="1">
        <f t="array" aca="1" ref="B130" ca="1">IFERROR(INDEX(_xlfn.ANCHORARRAY($AA$11),ROW()-10,2),"")</f>
        <v/>
      </c>
      <c r="C130" s="4" t="str" cm="1">
        <f t="array" aca="1" ref="C130" ca="1">IFERROR(INDEX(_xlfn.ANCHORARRAY($AA$11),ROW()-10,3),"")</f>
        <v/>
      </c>
      <c r="D130" s="13" t="str" cm="1">
        <f t="array" aca="1" ref="D130" ca="1">IFERROR(INDEX(_xlfn.ANCHORARRAY($AA$11),ROW()-10,4),"")</f>
        <v/>
      </c>
      <c r="E130" s="4" t="str" cm="1">
        <f t="array" aca="1" ref="E130" ca="1">IFERROR(INDEX(_xlfn.ANCHORARRAY($AA$11),ROW()-10,5),"")</f>
        <v/>
      </c>
      <c r="F130" s="4" t="str" cm="1">
        <f t="array" aca="1" ref="F130" ca="1">IFERROR(INDEX(_xlfn.ANCHORARRAY($AA$11),ROW()-10,6),"")</f>
        <v/>
      </c>
      <c r="G130" s="4" t="str" cm="1">
        <f t="array" aca="1" ref="G130" ca="1">IFERROR(INDEX(_xlfn.ANCHORARRAY($AA$11),ROW()-10,7),"")</f>
        <v/>
      </c>
      <c r="H130" s="4" t="str" cm="1">
        <f t="array" aca="1" ref="H130" ca="1">IFERROR(INDEX(_xlfn.ANCHORARRAY($AA$11),ROW()-10,8),"")</f>
        <v/>
      </c>
      <c r="I130" s="4" t="str" cm="1">
        <f t="array" aca="1" ref="I130" ca="1">IFERROR(INDEX(_xlfn.ANCHORARRAY($AA$11),ROW()-10,9),"")</f>
        <v/>
      </c>
      <c r="J130" s="4" t="str">
        <f t="shared" ca="1" si="9"/>
        <v/>
      </c>
      <c r="K130" s="4" t="str">
        <f t="shared" ca="1" si="10"/>
        <v/>
      </c>
      <c r="L130" s="4" t="str" cm="1">
        <f t="array" aca="1" ref="L130" ca="1">_xlfn.LET(_xlpm.link,IFERROR(INDEX(_xlfn.ANCHORARRAY($AA$11),ROW()-10,12),""),IF(_xlpm.link="","",HYPERLINK(_xlpm.link,"Bluecore/Attentive")))</f>
        <v/>
      </c>
      <c r="M130" s="73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11" t="str" cm="1">
        <f t="array" aca="1" ref="B131" ca="1">IFERROR(INDEX(_xlfn.ANCHORARRAY($AA$11),ROW()-10,2),"")</f>
        <v/>
      </c>
      <c r="C131" s="4" t="str" cm="1">
        <f t="array" aca="1" ref="C131" ca="1">IFERROR(INDEX(_xlfn.ANCHORARRAY($AA$11),ROW()-10,3),"")</f>
        <v/>
      </c>
      <c r="D131" s="13" t="str" cm="1">
        <f t="array" aca="1" ref="D131" ca="1">IFERROR(INDEX(_xlfn.ANCHORARRAY($AA$11),ROW()-10,4),"")</f>
        <v/>
      </c>
      <c r="E131" s="4" t="str" cm="1">
        <f t="array" aca="1" ref="E131" ca="1">IFERROR(INDEX(_xlfn.ANCHORARRAY($AA$11),ROW()-10,5),"")</f>
        <v/>
      </c>
      <c r="F131" s="4" t="str" cm="1">
        <f t="array" aca="1" ref="F131" ca="1">IFERROR(INDEX(_xlfn.ANCHORARRAY($AA$11),ROW()-10,6),"")</f>
        <v/>
      </c>
      <c r="G131" s="4" t="str" cm="1">
        <f t="array" aca="1" ref="G131" ca="1">IFERROR(INDEX(_xlfn.ANCHORARRAY($AA$11),ROW()-10,7),"")</f>
        <v/>
      </c>
      <c r="H131" s="4" t="str" cm="1">
        <f t="array" aca="1" ref="H131" ca="1">IFERROR(INDEX(_xlfn.ANCHORARRAY($AA$11),ROW()-10,8),"")</f>
        <v/>
      </c>
      <c r="I131" s="4" t="str" cm="1">
        <f t="array" aca="1" ref="I131" ca="1">IFERROR(INDEX(_xlfn.ANCHORARRAY($AA$11),ROW()-10,9),"")</f>
        <v/>
      </c>
      <c r="J131" s="4" t="str">
        <f t="shared" ca="1" si="9"/>
        <v/>
      </c>
      <c r="K131" s="4" t="str">
        <f t="shared" ca="1" si="10"/>
        <v/>
      </c>
      <c r="L131" s="4" t="str" cm="1">
        <f t="array" aca="1" ref="L131" ca="1">_xlfn.LET(_xlpm.link,IFERROR(INDEX(_xlfn.ANCHORARRAY($AA$11),ROW()-10,12),""),IF(_xlpm.link="","",HYPERLINK(_xlpm.link,"Bluecore/Attentive")))</f>
        <v/>
      </c>
      <c r="M131" s="72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11" t="str" cm="1">
        <f t="array" aca="1" ref="B132" ca="1">IFERROR(INDEX(_xlfn.ANCHORARRAY($AA$11),ROW()-10,2),"")</f>
        <v/>
      </c>
      <c r="C132" s="4" t="str" cm="1">
        <f t="array" aca="1" ref="C132" ca="1">IFERROR(INDEX(_xlfn.ANCHORARRAY($AA$11),ROW()-10,3),"")</f>
        <v/>
      </c>
      <c r="D132" s="13" t="str" cm="1">
        <f t="array" aca="1" ref="D132" ca="1">IFERROR(INDEX(_xlfn.ANCHORARRAY($AA$11),ROW()-10,4),"")</f>
        <v/>
      </c>
      <c r="E132" s="4" t="str" cm="1">
        <f t="array" aca="1" ref="E132" ca="1">IFERROR(INDEX(_xlfn.ANCHORARRAY($AA$11),ROW()-10,5),"")</f>
        <v/>
      </c>
      <c r="F132" s="4" t="str" cm="1">
        <f t="array" aca="1" ref="F132" ca="1">IFERROR(INDEX(_xlfn.ANCHORARRAY($AA$11),ROW()-10,6),"")</f>
        <v/>
      </c>
      <c r="G132" s="4" t="str" cm="1">
        <f t="array" aca="1" ref="G132" ca="1">IFERROR(INDEX(_xlfn.ANCHORARRAY($AA$11),ROW()-10,7),"")</f>
        <v/>
      </c>
      <c r="H132" s="4" t="str" cm="1">
        <f t="array" aca="1" ref="H132" ca="1">IFERROR(INDEX(_xlfn.ANCHORARRAY($AA$11),ROW()-10,8),"")</f>
        <v/>
      </c>
      <c r="I132" s="4" t="str" cm="1">
        <f t="array" aca="1" ref="I132" ca="1">IFERROR(INDEX(_xlfn.ANCHORARRAY($AA$11),ROW()-10,9),"")</f>
        <v/>
      </c>
      <c r="J132" s="4" t="str">
        <f t="shared" ca="1" si="9"/>
        <v/>
      </c>
      <c r="K132" s="4" t="str">
        <f t="shared" ca="1" si="10"/>
        <v/>
      </c>
      <c r="L132" s="4" t="str" cm="1">
        <f t="array" aca="1" ref="L132" ca="1">_xlfn.LET(_xlpm.link,IFERROR(INDEX(_xlfn.ANCHORARRAY($AA$11),ROW()-10,12),""),IF(_xlpm.link="","",HYPERLINK(_xlpm.link,"Bluecore/Attentive")))</f>
        <v/>
      </c>
      <c r="M132" s="73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11" t="str" cm="1">
        <f t="array" aca="1" ref="B133" ca="1">IFERROR(INDEX(_xlfn.ANCHORARRAY($AA$11),ROW()-10,2),"")</f>
        <v/>
      </c>
      <c r="C133" s="4" t="str" cm="1">
        <f t="array" aca="1" ref="C133" ca="1">IFERROR(INDEX(_xlfn.ANCHORARRAY($AA$11),ROW()-10,3),"")</f>
        <v/>
      </c>
      <c r="D133" s="13" t="str" cm="1">
        <f t="array" aca="1" ref="D133" ca="1">IFERROR(INDEX(_xlfn.ANCHORARRAY($AA$11),ROW()-10,4),"")</f>
        <v/>
      </c>
      <c r="E133" s="4" t="str" cm="1">
        <f t="array" aca="1" ref="E133" ca="1">IFERROR(INDEX(_xlfn.ANCHORARRAY($AA$11),ROW()-10,5),"")</f>
        <v/>
      </c>
      <c r="F133" s="4" t="str" cm="1">
        <f t="array" aca="1" ref="F133" ca="1">IFERROR(INDEX(_xlfn.ANCHORARRAY($AA$11),ROW()-10,6),"")</f>
        <v/>
      </c>
      <c r="G133" s="4" t="str" cm="1">
        <f t="array" aca="1" ref="G133" ca="1">IFERROR(INDEX(_xlfn.ANCHORARRAY($AA$11),ROW()-10,7),"")</f>
        <v/>
      </c>
      <c r="H133" s="4" t="str" cm="1">
        <f t="array" aca="1" ref="H133" ca="1">IFERROR(INDEX(_xlfn.ANCHORARRAY($AA$11),ROW()-10,8),"")</f>
        <v/>
      </c>
      <c r="I133" s="4" t="str" cm="1">
        <f t="array" aca="1" ref="I133" ca="1">IFERROR(INDEX(_xlfn.ANCHORARRAY($AA$11),ROW()-10,9),"")</f>
        <v/>
      </c>
      <c r="J133" s="4" t="str">
        <f t="shared" ca="1" si="9"/>
        <v/>
      </c>
      <c r="K133" s="4" t="str">
        <f t="shared" ca="1" si="10"/>
        <v/>
      </c>
      <c r="L133" s="4" t="str" cm="1">
        <f t="array" aca="1" ref="L133" ca="1">_xlfn.LET(_xlpm.link,IFERROR(INDEX(_xlfn.ANCHORARRAY($AA$11),ROW()-10,12),""),IF(_xlpm.link="","",HYPERLINK(_xlpm.link,"Bluecore/Attentive")))</f>
        <v/>
      </c>
      <c r="M133" s="72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11" t="str" cm="1">
        <f t="array" aca="1" ref="B134" ca="1">IFERROR(INDEX(_xlfn.ANCHORARRAY($AA$11),ROW()-10,2),"")</f>
        <v/>
      </c>
      <c r="C134" s="4" t="str" cm="1">
        <f t="array" aca="1" ref="C134" ca="1">IFERROR(INDEX(_xlfn.ANCHORARRAY($AA$11),ROW()-10,3),"")</f>
        <v/>
      </c>
      <c r="D134" s="13" t="str" cm="1">
        <f t="array" aca="1" ref="D134" ca="1">IFERROR(INDEX(_xlfn.ANCHORARRAY($AA$11),ROW()-10,4),"")</f>
        <v/>
      </c>
      <c r="E134" s="4" t="str" cm="1">
        <f t="array" aca="1" ref="E134" ca="1">IFERROR(INDEX(_xlfn.ANCHORARRAY($AA$11),ROW()-10,5),"")</f>
        <v/>
      </c>
      <c r="F134" s="4" t="str" cm="1">
        <f t="array" aca="1" ref="F134" ca="1">IFERROR(INDEX(_xlfn.ANCHORARRAY($AA$11),ROW()-10,6),"")</f>
        <v/>
      </c>
      <c r="G134" s="4" t="str" cm="1">
        <f t="array" aca="1" ref="G134" ca="1">IFERROR(INDEX(_xlfn.ANCHORARRAY($AA$11),ROW()-10,7),"")</f>
        <v/>
      </c>
      <c r="H134" s="4" t="str" cm="1">
        <f t="array" aca="1" ref="H134" ca="1">IFERROR(INDEX(_xlfn.ANCHORARRAY($AA$11),ROW()-10,8),"")</f>
        <v/>
      </c>
      <c r="I134" s="4" t="str" cm="1">
        <f t="array" aca="1" ref="I134" ca="1">IFERROR(INDEX(_xlfn.ANCHORARRAY($AA$11),ROW()-10,9),"")</f>
        <v/>
      </c>
      <c r="J134" s="4" t="str">
        <f t="shared" ca="1" si="9"/>
        <v/>
      </c>
      <c r="K134" s="4" t="str">
        <f t="shared" ca="1" si="10"/>
        <v/>
      </c>
      <c r="L134" s="4" t="str" cm="1">
        <f t="array" aca="1" ref="L134" ca="1">_xlfn.LET(_xlpm.link,IFERROR(INDEX(_xlfn.ANCHORARRAY($AA$11),ROW()-10,12),""),IF(_xlpm.link="","",HYPERLINK(_xlpm.link,"Bluecore/Attentive")))</f>
        <v/>
      </c>
      <c r="M134" s="73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11" t="str" cm="1">
        <f t="array" aca="1" ref="B135" ca="1">IFERROR(INDEX(_xlfn.ANCHORARRAY($AA$11),ROW()-10,2),"")</f>
        <v/>
      </c>
      <c r="C135" s="4" t="str" cm="1">
        <f t="array" aca="1" ref="C135" ca="1">IFERROR(INDEX(_xlfn.ANCHORARRAY($AA$11),ROW()-10,3),"")</f>
        <v/>
      </c>
      <c r="D135" s="13" t="str" cm="1">
        <f t="array" aca="1" ref="D135" ca="1">IFERROR(INDEX(_xlfn.ANCHORARRAY($AA$11),ROW()-10,4),"")</f>
        <v/>
      </c>
      <c r="E135" s="4" t="str" cm="1">
        <f t="array" aca="1" ref="E135" ca="1">IFERROR(INDEX(_xlfn.ANCHORARRAY($AA$11),ROW()-10,5),"")</f>
        <v/>
      </c>
      <c r="F135" s="4" t="str" cm="1">
        <f t="array" aca="1" ref="F135" ca="1">IFERROR(INDEX(_xlfn.ANCHORARRAY($AA$11),ROW()-10,6),"")</f>
        <v/>
      </c>
      <c r="G135" s="4" t="str" cm="1">
        <f t="array" aca="1" ref="G135" ca="1">IFERROR(INDEX(_xlfn.ANCHORARRAY($AA$11),ROW()-10,7),"")</f>
        <v/>
      </c>
      <c r="H135" s="4" t="str" cm="1">
        <f t="array" aca="1" ref="H135" ca="1">IFERROR(INDEX(_xlfn.ANCHORARRAY($AA$11),ROW()-10,8),"")</f>
        <v/>
      </c>
      <c r="I135" s="4" t="str" cm="1">
        <f t="array" aca="1" ref="I135" ca="1">IFERROR(INDEX(_xlfn.ANCHORARRAY($AA$11),ROW()-10,9),"")</f>
        <v/>
      </c>
      <c r="J135" s="4" t="str">
        <f t="shared" ca="1" si="9"/>
        <v/>
      </c>
      <c r="K135" s="4" t="str">
        <f t="shared" ca="1" si="10"/>
        <v/>
      </c>
      <c r="L135" s="4" t="str" cm="1">
        <f t="array" aca="1" ref="L135" ca="1">_xlfn.LET(_xlpm.link,IFERROR(INDEX(_xlfn.ANCHORARRAY($AA$11),ROW()-10,12),""),IF(_xlpm.link="","",HYPERLINK(_xlpm.link,"Bluecore/Attentive")))</f>
        <v/>
      </c>
      <c r="M135" s="72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11" t="str" cm="1">
        <f t="array" aca="1" ref="B136" ca="1">IFERROR(INDEX(_xlfn.ANCHORARRAY($AA$11),ROW()-10,2),"")</f>
        <v/>
      </c>
      <c r="C136" s="4" t="str" cm="1">
        <f t="array" aca="1" ref="C136" ca="1">IFERROR(INDEX(_xlfn.ANCHORARRAY($AA$11),ROW()-10,3),"")</f>
        <v/>
      </c>
      <c r="D136" s="13" t="str" cm="1">
        <f t="array" aca="1" ref="D136" ca="1">IFERROR(INDEX(_xlfn.ANCHORARRAY($AA$11),ROW()-10,4),"")</f>
        <v/>
      </c>
      <c r="E136" s="4" t="str" cm="1">
        <f t="array" aca="1" ref="E136" ca="1">IFERROR(INDEX(_xlfn.ANCHORARRAY($AA$11),ROW()-10,5),"")</f>
        <v/>
      </c>
      <c r="F136" s="4" t="str" cm="1">
        <f t="array" aca="1" ref="F136" ca="1">IFERROR(INDEX(_xlfn.ANCHORARRAY($AA$11),ROW()-10,6),"")</f>
        <v/>
      </c>
      <c r="G136" s="4" t="str" cm="1">
        <f t="array" aca="1" ref="G136" ca="1">IFERROR(INDEX(_xlfn.ANCHORARRAY($AA$11),ROW()-10,7),"")</f>
        <v/>
      </c>
      <c r="H136" s="4" t="str" cm="1">
        <f t="array" aca="1" ref="H136" ca="1">IFERROR(INDEX(_xlfn.ANCHORARRAY($AA$11),ROW()-10,8),"")</f>
        <v/>
      </c>
      <c r="I136" s="4" t="str" cm="1">
        <f t="array" aca="1" ref="I136" ca="1">IFERROR(INDEX(_xlfn.ANCHORARRAY($AA$11),ROW()-10,9),"")</f>
        <v/>
      </c>
      <c r="J136" s="4" t="str">
        <f t="shared" ca="1" si="9"/>
        <v/>
      </c>
      <c r="K136" s="4" t="str">
        <f t="shared" ca="1" si="10"/>
        <v/>
      </c>
      <c r="L136" s="4" t="str" cm="1">
        <f t="array" aca="1" ref="L136" ca="1">_xlfn.LET(_xlpm.link,IFERROR(INDEX(_xlfn.ANCHORARRAY($AA$11),ROW()-10,12),""),IF(_xlpm.link="","",HYPERLINK(_xlpm.link,"Bluecore/Attentive")))</f>
        <v/>
      </c>
      <c r="M136" s="73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11" t="str" cm="1">
        <f t="array" aca="1" ref="B137" ca="1">IFERROR(INDEX(_xlfn.ANCHORARRAY($AA$11),ROW()-10,2),"")</f>
        <v/>
      </c>
      <c r="C137" s="4" t="str" cm="1">
        <f t="array" aca="1" ref="C137" ca="1">IFERROR(INDEX(_xlfn.ANCHORARRAY($AA$11),ROW()-10,3),"")</f>
        <v/>
      </c>
      <c r="D137" s="13" t="str" cm="1">
        <f t="array" aca="1" ref="D137" ca="1">IFERROR(INDEX(_xlfn.ANCHORARRAY($AA$11),ROW()-10,4),"")</f>
        <v/>
      </c>
      <c r="E137" s="4" t="str" cm="1">
        <f t="array" aca="1" ref="E137" ca="1">IFERROR(INDEX(_xlfn.ANCHORARRAY($AA$11),ROW()-10,5),"")</f>
        <v/>
      </c>
      <c r="F137" s="4" t="str" cm="1">
        <f t="array" aca="1" ref="F137" ca="1">IFERROR(INDEX(_xlfn.ANCHORARRAY($AA$11),ROW()-10,6),"")</f>
        <v/>
      </c>
      <c r="G137" s="4" t="str" cm="1">
        <f t="array" aca="1" ref="G137" ca="1">IFERROR(INDEX(_xlfn.ANCHORARRAY($AA$11),ROW()-10,7),"")</f>
        <v/>
      </c>
      <c r="H137" s="4" t="str" cm="1">
        <f t="array" aca="1" ref="H137" ca="1">IFERROR(INDEX(_xlfn.ANCHORARRAY($AA$11),ROW()-10,8),"")</f>
        <v/>
      </c>
      <c r="I137" s="4" t="str" cm="1">
        <f t="array" aca="1" ref="I137" ca="1">IFERROR(INDEX(_xlfn.ANCHORARRAY($AA$11),ROW()-10,9),"")</f>
        <v/>
      </c>
      <c r="J137" s="4" t="str">
        <f t="shared" ca="1" si="9"/>
        <v/>
      </c>
      <c r="K137" s="4" t="str">
        <f t="shared" ca="1" si="10"/>
        <v/>
      </c>
      <c r="L137" s="4" t="str" cm="1">
        <f t="array" aca="1" ref="L137" ca="1">_xlfn.LET(_xlpm.link,IFERROR(INDEX(_xlfn.ANCHORARRAY($AA$11),ROW()-10,12),""),IF(_xlpm.link="","",HYPERLINK(_xlpm.link,"Bluecore/Attentive")))</f>
        <v/>
      </c>
      <c r="M137" s="72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11" t="str" cm="1">
        <f t="array" aca="1" ref="B138" ca="1">IFERROR(INDEX(_xlfn.ANCHORARRAY($AA$11),ROW()-10,2),"")</f>
        <v/>
      </c>
      <c r="C138" s="4" t="str" cm="1">
        <f t="array" aca="1" ref="C138" ca="1">IFERROR(INDEX(_xlfn.ANCHORARRAY($AA$11),ROW()-10,3),"")</f>
        <v/>
      </c>
      <c r="D138" s="13" t="str" cm="1">
        <f t="array" aca="1" ref="D138" ca="1">IFERROR(INDEX(_xlfn.ANCHORARRAY($AA$11),ROW()-10,4),"")</f>
        <v/>
      </c>
      <c r="E138" s="4" t="str" cm="1">
        <f t="array" aca="1" ref="E138" ca="1">IFERROR(INDEX(_xlfn.ANCHORARRAY($AA$11),ROW()-10,5),"")</f>
        <v/>
      </c>
      <c r="F138" s="4" t="str" cm="1">
        <f t="array" aca="1" ref="F138" ca="1">IFERROR(INDEX(_xlfn.ANCHORARRAY($AA$11),ROW()-10,6),"")</f>
        <v/>
      </c>
      <c r="G138" s="4" t="str" cm="1">
        <f t="array" aca="1" ref="G138" ca="1">IFERROR(INDEX(_xlfn.ANCHORARRAY($AA$11),ROW()-10,7),"")</f>
        <v/>
      </c>
      <c r="H138" s="4" t="str" cm="1">
        <f t="array" aca="1" ref="H138" ca="1">IFERROR(INDEX(_xlfn.ANCHORARRAY($AA$11),ROW()-10,8),"")</f>
        <v/>
      </c>
      <c r="I138" s="4" t="str" cm="1">
        <f t="array" aca="1" ref="I138" ca="1">IFERROR(INDEX(_xlfn.ANCHORARRAY($AA$11),ROW()-10,9),"")</f>
        <v/>
      </c>
      <c r="J138" s="4" t="str">
        <f t="shared" ca="1" si="9"/>
        <v/>
      </c>
      <c r="K138" s="4" t="str">
        <f t="shared" ca="1" si="10"/>
        <v/>
      </c>
      <c r="L138" s="4" t="str" cm="1">
        <f t="array" aca="1" ref="L138" ca="1">_xlfn.LET(_xlpm.link,IFERROR(INDEX(_xlfn.ANCHORARRAY($AA$11),ROW()-10,12),""),IF(_xlpm.link="","",HYPERLINK(_xlpm.link,"Bluecore/Attentive")))</f>
        <v/>
      </c>
      <c r="M138" s="73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11" t="str" cm="1">
        <f t="array" aca="1" ref="B139" ca="1">IFERROR(INDEX(_xlfn.ANCHORARRAY($AA$11),ROW()-10,2),"")</f>
        <v/>
      </c>
      <c r="C139" s="4" t="str" cm="1">
        <f t="array" aca="1" ref="C139" ca="1">IFERROR(INDEX(_xlfn.ANCHORARRAY($AA$11),ROW()-10,3),"")</f>
        <v/>
      </c>
      <c r="D139" s="13" t="str" cm="1">
        <f t="array" aca="1" ref="D139" ca="1">IFERROR(INDEX(_xlfn.ANCHORARRAY($AA$11),ROW()-10,4),"")</f>
        <v/>
      </c>
      <c r="E139" s="4" t="str" cm="1">
        <f t="array" aca="1" ref="E139" ca="1">IFERROR(INDEX(_xlfn.ANCHORARRAY($AA$11),ROW()-10,5),"")</f>
        <v/>
      </c>
      <c r="F139" s="4" t="str" cm="1">
        <f t="array" aca="1" ref="F139" ca="1">IFERROR(INDEX(_xlfn.ANCHORARRAY($AA$11),ROW()-10,6),"")</f>
        <v/>
      </c>
      <c r="G139" s="4" t="str" cm="1">
        <f t="array" aca="1" ref="G139" ca="1">IFERROR(INDEX(_xlfn.ANCHORARRAY($AA$11),ROW()-10,7),"")</f>
        <v/>
      </c>
      <c r="H139" s="4" t="str" cm="1">
        <f t="array" aca="1" ref="H139" ca="1">IFERROR(INDEX(_xlfn.ANCHORARRAY($AA$11),ROW()-10,8),"")</f>
        <v/>
      </c>
      <c r="I139" s="4" t="str" cm="1">
        <f t="array" aca="1" ref="I139" ca="1">IFERROR(INDEX(_xlfn.ANCHORARRAY($AA$11),ROW()-10,9),"")</f>
        <v/>
      </c>
      <c r="J139" s="4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4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4" t="str" cm="1">
        <f t="array" aca="1" ref="L139" ca="1">_xlfn.LET(_xlpm.link,IFERROR(INDEX(_xlfn.ANCHORARRAY($AA$11),ROW()-10,12),""),IF(_xlpm.link="","",HYPERLINK(_xlpm.link,"Bluecore/Attentive")))</f>
        <v/>
      </c>
      <c r="M139" s="72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11" t="str" cm="1">
        <f t="array" aca="1" ref="B140" ca="1">IFERROR(INDEX(_xlfn.ANCHORARRAY($AA$11),ROW()-10,2),"")</f>
        <v/>
      </c>
      <c r="C140" s="4" t="str" cm="1">
        <f t="array" aca="1" ref="C140" ca="1">IFERROR(INDEX(_xlfn.ANCHORARRAY($AA$11),ROW()-10,3),"")</f>
        <v/>
      </c>
      <c r="D140" s="13" t="str" cm="1">
        <f t="array" aca="1" ref="D140" ca="1">IFERROR(INDEX(_xlfn.ANCHORARRAY($AA$11),ROW()-10,4),"")</f>
        <v/>
      </c>
      <c r="E140" s="4" t="str" cm="1">
        <f t="array" aca="1" ref="E140" ca="1">IFERROR(INDEX(_xlfn.ANCHORARRAY($AA$11),ROW()-10,5),"")</f>
        <v/>
      </c>
      <c r="F140" s="4" t="str" cm="1">
        <f t="array" aca="1" ref="F140" ca="1">IFERROR(INDEX(_xlfn.ANCHORARRAY($AA$11),ROW()-10,6),"")</f>
        <v/>
      </c>
      <c r="G140" s="4" t="str" cm="1">
        <f t="array" aca="1" ref="G140" ca="1">IFERROR(INDEX(_xlfn.ANCHORARRAY($AA$11),ROW()-10,7),"")</f>
        <v/>
      </c>
      <c r="H140" s="4" t="str" cm="1">
        <f t="array" aca="1" ref="H140" ca="1">IFERROR(INDEX(_xlfn.ANCHORARRAY($AA$11),ROW()-10,8),"")</f>
        <v/>
      </c>
      <c r="I140" s="4" t="str" cm="1">
        <f t="array" aca="1" ref="I140" ca="1">IFERROR(INDEX(_xlfn.ANCHORARRAY($AA$11),ROW()-10,9),"")</f>
        <v/>
      </c>
      <c r="J140" s="4" t="str">
        <f t="shared" ca="1" si="12"/>
        <v/>
      </c>
      <c r="K140" s="4" t="str">
        <f t="shared" ca="1" si="13"/>
        <v/>
      </c>
      <c r="L140" s="4" t="str" cm="1">
        <f t="array" aca="1" ref="L140" ca="1">_xlfn.LET(_xlpm.link,IFERROR(INDEX(_xlfn.ANCHORARRAY($AA$11),ROW()-10,12),""),IF(_xlpm.link="","",HYPERLINK(_xlpm.link,"Bluecore/Attentive")))</f>
        <v/>
      </c>
      <c r="M140" s="73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11" t="str" cm="1">
        <f t="array" aca="1" ref="B141" ca="1">IFERROR(INDEX(_xlfn.ANCHORARRAY($AA$11),ROW()-10,2),"")</f>
        <v/>
      </c>
      <c r="C141" s="4" t="str" cm="1">
        <f t="array" aca="1" ref="C141" ca="1">IFERROR(INDEX(_xlfn.ANCHORARRAY($AA$11),ROW()-10,3),"")</f>
        <v/>
      </c>
      <c r="D141" s="13" t="str" cm="1">
        <f t="array" aca="1" ref="D141" ca="1">IFERROR(INDEX(_xlfn.ANCHORARRAY($AA$11),ROW()-10,4),"")</f>
        <v/>
      </c>
      <c r="E141" s="4" t="str" cm="1">
        <f t="array" aca="1" ref="E141" ca="1">IFERROR(INDEX(_xlfn.ANCHORARRAY($AA$11),ROW()-10,5),"")</f>
        <v/>
      </c>
      <c r="F141" s="4" t="str" cm="1">
        <f t="array" aca="1" ref="F141" ca="1">IFERROR(INDEX(_xlfn.ANCHORARRAY($AA$11),ROW()-10,6),"")</f>
        <v/>
      </c>
      <c r="G141" s="4" t="str" cm="1">
        <f t="array" aca="1" ref="G141" ca="1">IFERROR(INDEX(_xlfn.ANCHORARRAY($AA$11),ROW()-10,7),"")</f>
        <v/>
      </c>
      <c r="H141" s="4" t="str" cm="1">
        <f t="array" aca="1" ref="H141" ca="1">IFERROR(INDEX(_xlfn.ANCHORARRAY($AA$11),ROW()-10,8),"")</f>
        <v/>
      </c>
      <c r="I141" s="4" t="str" cm="1">
        <f t="array" aca="1" ref="I141" ca="1">IFERROR(INDEX(_xlfn.ANCHORARRAY($AA$11),ROW()-10,9),"")</f>
        <v/>
      </c>
      <c r="J141" s="4" t="str">
        <f t="shared" ca="1" si="12"/>
        <v/>
      </c>
      <c r="K141" s="4" t="str">
        <f t="shared" ca="1" si="13"/>
        <v/>
      </c>
      <c r="L141" s="4" t="str" cm="1">
        <f t="array" aca="1" ref="L141" ca="1">_xlfn.LET(_xlpm.link,IFERROR(INDEX(_xlfn.ANCHORARRAY($AA$11),ROW()-10,12),""),IF(_xlpm.link="","",HYPERLINK(_xlpm.link,"Bluecore/Attentive")))</f>
        <v/>
      </c>
      <c r="M141" s="72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11" t="str" cm="1">
        <f t="array" aca="1" ref="B142" ca="1">IFERROR(INDEX(_xlfn.ANCHORARRAY($AA$11),ROW()-10,2),"")</f>
        <v/>
      </c>
      <c r="C142" s="4" t="str" cm="1">
        <f t="array" aca="1" ref="C142" ca="1">IFERROR(INDEX(_xlfn.ANCHORARRAY($AA$11),ROW()-10,3),"")</f>
        <v/>
      </c>
      <c r="D142" s="13" t="str" cm="1">
        <f t="array" aca="1" ref="D142" ca="1">IFERROR(INDEX(_xlfn.ANCHORARRAY($AA$11),ROW()-10,4),"")</f>
        <v/>
      </c>
      <c r="E142" s="4" t="str" cm="1">
        <f t="array" aca="1" ref="E142" ca="1">IFERROR(INDEX(_xlfn.ANCHORARRAY($AA$11),ROW()-10,5),"")</f>
        <v/>
      </c>
      <c r="F142" s="4" t="str" cm="1">
        <f t="array" aca="1" ref="F142" ca="1">IFERROR(INDEX(_xlfn.ANCHORARRAY($AA$11),ROW()-10,6),"")</f>
        <v/>
      </c>
      <c r="G142" s="4" t="str" cm="1">
        <f t="array" aca="1" ref="G142" ca="1">IFERROR(INDEX(_xlfn.ANCHORARRAY($AA$11),ROW()-10,7),"")</f>
        <v/>
      </c>
      <c r="H142" s="4" t="str" cm="1">
        <f t="array" aca="1" ref="H142" ca="1">IFERROR(INDEX(_xlfn.ANCHORARRAY($AA$11),ROW()-10,8),"")</f>
        <v/>
      </c>
      <c r="I142" s="4" t="str" cm="1">
        <f t="array" aca="1" ref="I142" ca="1">IFERROR(INDEX(_xlfn.ANCHORARRAY($AA$11),ROW()-10,9),"")</f>
        <v/>
      </c>
      <c r="J142" s="4" t="str">
        <f t="shared" ca="1" si="12"/>
        <v/>
      </c>
      <c r="K142" s="4" t="str">
        <f t="shared" ca="1" si="13"/>
        <v/>
      </c>
      <c r="L142" s="4" t="str" cm="1">
        <f t="array" aca="1" ref="L142" ca="1">_xlfn.LET(_xlpm.link,IFERROR(INDEX(_xlfn.ANCHORARRAY($AA$11),ROW()-10,12),""),IF(_xlpm.link="","",HYPERLINK(_xlpm.link,"Bluecore/Attentive")))</f>
        <v/>
      </c>
      <c r="M142" s="73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11" t="str" cm="1">
        <f t="array" aca="1" ref="B143" ca="1">IFERROR(INDEX(_xlfn.ANCHORARRAY($AA$11),ROW()-10,2),"")</f>
        <v/>
      </c>
      <c r="C143" s="4" t="str" cm="1">
        <f t="array" aca="1" ref="C143" ca="1">IFERROR(INDEX(_xlfn.ANCHORARRAY($AA$11),ROW()-10,3),"")</f>
        <v/>
      </c>
      <c r="D143" s="13" t="str" cm="1">
        <f t="array" aca="1" ref="D143" ca="1">IFERROR(INDEX(_xlfn.ANCHORARRAY($AA$11),ROW()-10,4),"")</f>
        <v/>
      </c>
      <c r="E143" s="4" t="str" cm="1">
        <f t="array" aca="1" ref="E143" ca="1">IFERROR(INDEX(_xlfn.ANCHORARRAY($AA$11),ROW()-10,5),"")</f>
        <v/>
      </c>
      <c r="F143" s="4" t="str" cm="1">
        <f t="array" aca="1" ref="F143" ca="1">IFERROR(INDEX(_xlfn.ANCHORARRAY($AA$11),ROW()-10,6),"")</f>
        <v/>
      </c>
      <c r="G143" s="4" t="str" cm="1">
        <f t="array" aca="1" ref="G143" ca="1">IFERROR(INDEX(_xlfn.ANCHORARRAY($AA$11),ROW()-10,7),"")</f>
        <v/>
      </c>
      <c r="H143" s="4" t="str" cm="1">
        <f t="array" aca="1" ref="H143" ca="1">IFERROR(INDEX(_xlfn.ANCHORARRAY($AA$11),ROW()-10,8),"")</f>
        <v/>
      </c>
      <c r="I143" s="4" t="str" cm="1">
        <f t="array" aca="1" ref="I143" ca="1">IFERROR(INDEX(_xlfn.ANCHORARRAY($AA$11),ROW()-10,9),"")</f>
        <v/>
      </c>
      <c r="J143" s="4" t="str">
        <f t="shared" ca="1" si="12"/>
        <v/>
      </c>
      <c r="K143" s="4" t="str">
        <f t="shared" ca="1" si="13"/>
        <v/>
      </c>
      <c r="L143" s="4" t="str" cm="1">
        <f t="array" aca="1" ref="L143" ca="1">_xlfn.LET(_xlpm.link,IFERROR(INDEX(_xlfn.ANCHORARRAY($AA$11),ROW()-10,12),""),IF(_xlpm.link="","",HYPERLINK(_xlpm.link,"Bluecore/Attentive")))</f>
        <v/>
      </c>
      <c r="M143" s="72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11" t="str" cm="1">
        <f t="array" aca="1" ref="B144" ca="1">IFERROR(INDEX(_xlfn.ANCHORARRAY($AA$11),ROW()-10,2),"")</f>
        <v/>
      </c>
      <c r="C144" s="4" t="str" cm="1">
        <f t="array" aca="1" ref="C144" ca="1">IFERROR(INDEX(_xlfn.ANCHORARRAY($AA$11),ROW()-10,3),"")</f>
        <v/>
      </c>
      <c r="D144" s="13" t="str" cm="1">
        <f t="array" aca="1" ref="D144" ca="1">IFERROR(INDEX(_xlfn.ANCHORARRAY($AA$11),ROW()-10,4),"")</f>
        <v/>
      </c>
      <c r="E144" s="4" t="str" cm="1">
        <f t="array" aca="1" ref="E144" ca="1">IFERROR(INDEX(_xlfn.ANCHORARRAY($AA$11),ROW()-10,5),"")</f>
        <v/>
      </c>
      <c r="F144" s="4" t="str" cm="1">
        <f t="array" aca="1" ref="F144" ca="1">IFERROR(INDEX(_xlfn.ANCHORARRAY($AA$11),ROW()-10,6),"")</f>
        <v/>
      </c>
      <c r="G144" s="4" t="str" cm="1">
        <f t="array" aca="1" ref="G144" ca="1">IFERROR(INDEX(_xlfn.ANCHORARRAY($AA$11),ROW()-10,7),"")</f>
        <v/>
      </c>
      <c r="H144" s="4" t="str" cm="1">
        <f t="array" aca="1" ref="H144" ca="1">IFERROR(INDEX(_xlfn.ANCHORARRAY($AA$11),ROW()-10,8),"")</f>
        <v/>
      </c>
      <c r="I144" s="4" t="str" cm="1">
        <f t="array" aca="1" ref="I144" ca="1">IFERROR(INDEX(_xlfn.ANCHORARRAY($AA$11),ROW()-10,9),"")</f>
        <v/>
      </c>
      <c r="J144" s="4" t="str">
        <f t="shared" ca="1" si="12"/>
        <v/>
      </c>
      <c r="K144" s="4" t="str">
        <f t="shared" ca="1" si="13"/>
        <v/>
      </c>
      <c r="L144" s="4" t="str" cm="1">
        <f t="array" aca="1" ref="L144" ca="1">_xlfn.LET(_xlpm.link,IFERROR(INDEX(_xlfn.ANCHORARRAY($AA$11),ROW()-10,12),""),IF(_xlpm.link="","",HYPERLINK(_xlpm.link,"Bluecore/Attentive")))</f>
        <v/>
      </c>
      <c r="M144" s="73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11" t="str" cm="1">
        <f t="array" aca="1" ref="B145" ca="1">IFERROR(INDEX(_xlfn.ANCHORARRAY($AA$11),ROW()-10,2),"")</f>
        <v/>
      </c>
      <c r="C145" s="4" t="str" cm="1">
        <f t="array" aca="1" ref="C145" ca="1">IFERROR(INDEX(_xlfn.ANCHORARRAY($AA$11),ROW()-10,3),"")</f>
        <v/>
      </c>
      <c r="D145" s="13" t="str" cm="1">
        <f t="array" aca="1" ref="D145" ca="1">IFERROR(INDEX(_xlfn.ANCHORARRAY($AA$11),ROW()-10,4),"")</f>
        <v/>
      </c>
      <c r="E145" s="4" t="str" cm="1">
        <f t="array" aca="1" ref="E145" ca="1">IFERROR(INDEX(_xlfn.ANCHORARRAY($AA$11),ROW()-10,5),"")</f>
        <v/>
      </c>
      <c r="F145" s="4" t="str" cm="1">
        <f t="array" aca="1" ref="F145" ca="1">IFERROR(INDEX(_xlfn.ANCHORARRAY($AA$11),ROW()-10,6),"")</f>
        <v/>
      </c>
      <c r="G145" s="4" t="str" cm="1">
        <f t="array" aca="1" ref="G145" ca="1">IFERROR(INDEX(_xlfn.ANCHORARRAY($AA$11),ROW()-10,7),"")</f>
        <v/>
      </c>
      <c r="H145" s="4" t="str" cm="1">
        <f t="array" aca="1" ref="H145" ca="1">IFERROR(INDEX(_xlfn.ANCHORARRAY($AA$11),ROW()-10,8),"")</f>
        <v/>
      </c>
      <c r="I145" s="4" t="str" cm="1">
        <f t="array" aca="1" ref="I145" ca="1">IFERROR(INDEX(_xlfn.ANCHORARRAY($AA$11),ROW()-10,9),"")</f>
        <v/>
      </c>
      <c r="J145" s="4" t="str">
        <f t="shared" ca="1" si="12"/>
        <v/>
      </c>
      <c r="K145" s="4" t="str">
        <f t="shared" ca="1" si="13"/>
        <v/>
      </c>
      <c r="L145" s="4" t="str" cm="1">
        <f t="array" aca="1" ref="L145" ca="1">_xlfn.LET(_xlpm.link,IFERROR(INDEX(_xlfn.ANCHORARRAY($AA$11),ROW()-10,12),""),IF(_xlpm.link="","",HYPERLINK(_xlpm.link,"Bluecore/Attentive")))</f>
        <v/>
      </c>
      <c r="M145" s="72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11" t="str" cm="1">
        <f t="array" aca="1" ref="B146" ca="1">IFERROR(INDEX(_xlfn.ANCHORARRAY($AA$11),ROW()-10,2),"")</f>
        <v/>
      </c>
      <c r="C146" s="4" t="str" cm="1">
        <f t="array" aca="1" ref="C146" ca="1">IFERROR(INDEX(_xlfn.ANCHORARRAY($AA$11),ROW()-10,3),"")</f>
        <v/>
      </c>
      <c r="D146" s="13" t="str" cm="1">
        <f t="array" aca="1" ref="D146" ca="1">IFERROR(INDEX(_xlfn.ANCHORARRAY($AA$11),ROW()-10,4),"")</f>
        <v/>
      </c>
      <c r="E146" s="4" t="str" cm="1">
        <f t="array" aca="1" ref="E146" ca="1">IFERROR(INDEX(_xlfn.ANCHORARRAY($AA$11),ROW()-10,5),"")</f>
        <v/>
      </c>
      <c r="F146" s="4" t="str" cm="1">
        <f t="array" aca="1" ref="F146" ca="1">IFERROR(INDEX(_xlfn.ANCHORARRAY($AA$11),ROW()-10,6),"")</f>
        <v/>
      </c>
      <c r="G146" s="4" t="str" cm="1">
        <f t="array" aca="1" ref="G146" ca="1">IFERROR(INDEX(_xlfn.ANCHORARRAY($AA$11),ROW()-10,7),"")</f>
        <v/>
      </c>
      <c r="H146" s="4" t="str" cm="1">
        <f t="array" aca="1" ref="H146" ca="1">IFERROR(INDEX(_xlfn.ANCHORARRAY($AA$11),ROW()-10,8),"")</f>
        <v/>
      </c>
      <c r="I146" s="4" t="str" cm="1">
        <f t="array" aca="1" ref="I146" ca="1">IFERROR(INDEX(_xlfn.ANCHORARRAY($AA$11),ROW()-10,9),"")</f>
        <v/>
      </c>
      <c r="J146" s="4" t="str">
        <f t="shared" ca="1" si="12"/>
        <v/>
      </c>
      <c r="K146" s="4" t="str">
        <f t="shared" ca="1" si="13"/>
        <v/>
      </c>
      <c r="L146" s="4" t="str" cm="1">
        <f t="array" aca="1" ref="L146" ca="1">_xlfn.LET(_xlpm.link,IFERROR(INDEX(_xlfn.ANCHORARRAY($AA$11),ROW()-10,12),""),IF(_xlpm.link="","",HYPERLINK(_xlpm.link,"Bluecore/Attentive")))</f>
        <v/>
      </c>
      <c r="M146" s="73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11" t="str" cm="1">
        <f t="array" aca="1" ref="B147" ca="1">IFERROR(INDEX(_xlfn.ANCHORARRAY($AA$11),ROW()-10,2),"")</f>
        <v/>
      </c>
      <c r="C147" s="4" t="str" cm="1">
        <f t="array" aca="1" ref="C147" ca="1">IFERROR(INDEX(_xlfn.ANCHORARRAY($AA$11),ROW()-10,3),"")</f>
        <v/>
      </c>
      <c r="D147" s="13" t="str" cm="1">
        <f t="array" aca="1" ref="D147" ca="1">IFERROR(INDEX(_xlfn.ANCHORARRAY($AA$11),ROW()-10,4),"")</f>
        <v/>
      </c>
      <c r="E147" s="4" t="str" cm="1">
        <f t="array" aca="1" ref="E147" ca="1">IFERROR(INDEX(_xlfn.ANCHORARRAY($AA$11),ROW()-10,5),"")</f>
        <v/>
      </c>
      <c r="F147" s="4" t="str" cm="1">
        <f t="array" aca="1" ref="F147" ca="1">IFERROR(INDEX(_xlfn.ANCHORARRAY($AA$11),ROW()-10,6),"")</f>
        <v/>
      </c>
      <c r="G147" s="4" t="str" cm="1">
        <f t="array" aca="1" ref="G147" ca="1">IFERROR(INDEX(_xlfn.ANCHORARRAY($AA$11),ROW()-10,7),"")</f>
        <v/>
      </c>
      <c r="H147" s="4" t="str" cm="1">
        <f t="array" aca="1" ref="H147" ca="1">IFERROR(INDEX(_xlfn.ANCHORARRAY($AA$11),ROW()-10,8),"")</f>
        <v/>
      </c>
      <c r="I147" s="4" t="str" cm="1">
        <f t="array" aca="1" ref="I147" ca="1">IFERROR(INDEX(_xlfn.ANCHORARRAY($AA$11),ROW()-10,9),"")</f>
        <v/>
      </c>
      <c r="J147" s="4" t="str">
        <f t="shared" ca="1" si="12"/>
        <v/>
      </c>
      <c r="K147" s="4" t="str">
        <f t="shared" ca="1" si="13"/>
        <v/>
      </c>
      <c r="L147" s="4" t="str" cm="1">
        <f t="array" aca="1" ref="L147" ca="1">_xlfn.LET(_xlpm.link,IFERROR(INDEX(_xlfn.ANCHORARRAY($AA$11),ROW()-10,12),""),IF(_xlpm.link="","",HYPERLINK(_xlpm.link,"Bluecore/Attentive")))</f>
        <v/>
      </c>
      <c r="M147" s="72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11" t="str" cm="1">
        <f t="array" aca="1" ref="B148" ca="1">IFERROR(INDEX(_xlfn.ANCHORARRAY($AA$11),ROW()-10,2),"")</f>
        <v/>
      </c>
      <c r="C148" s="4" t="str" cm="1">
        <f t="array" aca="1" ref="C148" ca="1">IFERROR(INDEX(_xlfn.ANCHORARRAY($AA$11),ROW()-10,3),"")</f>
        <v/>
      </c>
      <c r="D148" s="13" t="str" cm="1">
        <f t="array" aca="1" ref="D148" ca="1">IFERROR(INDEX(_xlfn.ANCHORARRAY($AA$11),ROW()-10,4),"")</f>
        <v/>
      </c>
      <c r="E148" s="4" t="str" cm="1">
        <f t="array" aca="1" ref="E148" ca="1">IFERROR(INDEX(_xlfn.ANCHORARRAY($AA$11),ROW()-10,5),"")</f>
        <v/>
      </c>
      <c r="F148" s="4" t="str" cm="1">
        <f t="array" aca="1" ref="F148" ca="1">IFERROR(INDEX(_xlfn.ANCHORARRAY($AA$11),ROW()-10,6),"")</f>
        <v/>
      </c>
      <c r="G148" s="4" t="str" cm="1">
        <f t="array" aca="1" ref="G148" ca="1">IFERROR(INDEX(_xlfn.ANCHORARRAY($AA$11),ROW()-10,7),"")</f>
        <v/>
      </c>
      <c r="H148" s="4" t="str" cm="1">
        <f t="array" aca="1" ref="H148" ca="1">IFERROR(INDEX(_xlfn.ANCHORARRAY($AA$11),ROW()-10,8),"")</f>
        <v/>
      </c>
      <c r="I148" s="4" t="str" cm="1">
        <f t="array" aca="1" ref="I148" ca="1">IFERROR(INDEX(_xlfn.ANCHORARRAY($AA$11),ROW()-10,9),"")</f>
        <v/>
      </c>
      <c r="J148" s="4" t="str">
        <f t="shared" ca="1" si="12"/>
        <v/>
      </c>
      <c r="K148" s="4" t="str">
        <f t="shared" ca="1" si="13"/>
        <v/>
      </c>
      <c r="L148" s="4" t="str" cm="1">
        <f t="array" aca="1" ref="L148" ca="1">_xlfn.LET(_xlpm.link,IFERROR(INDEX(_xlfn.ANCHORARRAY($AA$11),ROW()-10,12),""),IF(_xlpm.link="","",HYPERLINK(_xlpm.link,"Bluecore/Attentive")))</f>
        <v/>
      </c>
      <c r="M148" s="73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11" t="str" cm="1">
        <f t="array" aca="1" ref="B149" ca="1">IFERROR(INDEX(_xlfn.ANCHORARRAY($AA$11),ROW()-10,2),"")</f>
        <v/>
      </c>
      <c r="C149" s="4" t="str" cm="1">
        <f t="array" aca="1" ref="C149" ca="1">IFERROR(INDEX(_xlfn.ANCHORARRAY($AA$11),ROW()-10,3),"")</f>
        <v/>
      </c>
      <c r="D149" s="13" t="str" cm="1">
        <f t="array" aca="1" ref="D149" ca="1">IFERROR(INDEX(_xlfn.ANCHORARRAY($AA$11),ROW()-10,4),"")</f>
        <v/>
      </c>
      <c r="E149" s="4" t="str" cm="1">
        <f t="array" aca="1" ref="E149" ca="1">IFERROR(INDEX(_xlfn.ANCHORARRAY($AA$11),ROW()-10,5),"")</f>
        <v/>
      </c>
      <c r="F149" s="4" t="str" cm="1">
        <f t="array" aca="1" ref="F149" ca="1">IFERROR(INDEX(_xlfn.ANCHORARRAY($AA$11),ROW()-10,6),"")</f>
        <v/>
      </c>
      <c r="G149" s="4" t="str" cm="1">
        <f t="array" aca="1" ref="G149" ca="1">IFERROR(INDEX(_xlfn.ANCHORARRAY($AA$11),ROW()-10,7),"")</f>
        <v/>
      </c>
      <c r="H149" s="4" t="str" cm="1">
        <f t="array" aca="1" ref="H149" ca="1">IFERROR(INDEX(_xlfn.ANCHORARRAY($AA$11),ROW()-10,8),"")</f>
        <v/>
      </c>
      <c r="I149" s="4" t="str" cm="1">
        <f t="array" aca="1" ref="I149" ca="1">IFERROR(INDEX(_xlfn.ANCHORARRAY($AA$11),ROW()-10,9),"")</f>
        <v/>
      </c>
      <c r="J149" s="4" t="str">
        <f t="shared" ca="1" si="12"/>
        <v/>
      </c>
      <c r="K149" s="4" t="str">
        <f t="shared" ca="1" si="13"/>
        <v/>
      </c>
      <c r="L149" s="4" t="str" cm="1">
        <f t="array" aca="1" ref="L149" ca="1">_xlfn.LET(_xlpm.link,IFERROR(INDEX(_xlfn.ANCHORARRAY($AA$11),ROW()-10,12),""),IF(_xlpm.link="","",HYPERLINK(_xlpm.link,"Bluecore/Attentive")))</f>
        <v/>
      </c>
      <c r="M149" s="72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11" t="str" cm="1">
        <f t="array" aca="1" ref="B150" ca="1">IFERROR(INDEX(_xlfn.ANCHORARRAY($AA$11),ROW()-10,2),"")</f>
        <v/>
      </c>
      <c r="C150" s="4" t="str" cm="1">
        <f t="array" aca="1" ref="C150" ca="1">IFERROR(INDEX(_xlfn.ANCHORARRAY($AA$11),ROW()-10,3),"")</f>
        <v/>
      </c>
      <c r="D150" s="13" t="str" cm="1">
        <f t="array" aca="1" ref="D150" ca="1">IFERROR(INDEX(_xlfn.ANCHORARRAY($AA$11),ROW()-10,4),"")</f>
        <v/>
      </c>
      <c r="E150" s="4" t="str" cm="1">
        <f t="array" aca="1" ref="E150" ca="1">IFERROR(INDEX(_xlfn.ANCHORARRAY($AA$11),ROW()-10,5),"")</f>
        <v/>
      </c>
      <c r="F150" s="4" t="str" cm="1">
        <f t="array" aca="1" ref="F150" ca="1">IFERROR(INDEX(_xlfn.ANCHORARRAY($AA$11),ROW()-10,6),"")</f>
        <v/>
      </c>
      <c r="G150" s="4" t="str" cm="1">
        <f t="array" aca="1" ref="G150" ca="1">IFERROR(INDEX(_xlfn.ANCHORARRAY($AA$11),ROW()-10,7),"")</f>
        <v/>
      </c>
      <c r="H150" s="4" t="str" cm="1">
        <f t="array" aca="1" ref="H150" ca="1">IFERROR(INDEX(_xlfn.ANCHORARRAY($AA$11),ROW()-10,8),"")</f>
        <v/>
      </c>
      <c r="I150" s="4" t="str" cm="1">
        <f t="array" aca="1" ref="I150" ca="1">IFERROR(INDEX(_xlfn.ANCHORARRAY($AA$11),ROW()-10,9),"")</f>
        <v/>
      </c>
      <c r="J150" s="4" t="str">
        <f t="shared" ca="1" si="12"/>
        <v/>
      </c>
      <c r="K150" s="4" t="str">
        <f t="shared" ca="1" si="13"/>
        <v/>
      </c>
      <c r="L150" s="4" t="str" cm="1">
        <f t="array" aca="1" ref="L150" ca="1">_xlfn.LET(_xlpm.link,IFERROR(INDEX(_xlfn.ANCHORARRAY($AA$11),ROW()-10,12),""),IF(_xlpm.link="","",HYPERLINK(_xlpm.link,"Bluecore/Attentive")))</f>
        <v/>
      </c>
      <c r="M150" s="73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11" t="str" cm="1">
        <f t="array" aca="1" ref="B151" ca="1">IFERROR(INDEX(_xlfn.ANCHORARRAY($AA$11),ROW()-10,2),"")</f>
        <v/>
      </c>
      <c r="C151" s="4" t="str" cm="1">
        <f t="array" aca="1" ref="C151" ca="1">IFERROR(INDEX(_xlfn.ANCHORARRAY($AA$11),ROW()-10,3),"")</f>
        <v/>
      </c>
      <c r="D151" s="13" t="str" cm="1">
        <f t="array" aca="1" ref="D151" ca="1">IFERROR(INDEX(_xlfn.ANCHORARRAY($AA$11),ROW()-10,4),"")</f>
        <v/>
      </c>
      <c r="E151" s="4" t="str" cm="1">
        <f t="array" aca="1" ref="E151" ca="1">IFERROR(INDEX(_xlfn.ANCHORARRAY($AA$11),ROW()-10,5),"")</f>
        <v/>
      </c>
      <c r="F151" s="4" t="str" cm="1">
        <f t="array" aca="1" ref="F151" ca="1">IFERROR(INDEX(_xlfn.ANCHORARRAY($AA$11),ROW()-10,6),"")</f>
        <v/>
      </c>
      <c r="G151" s="4" t="str" cm="1">
        <f t="array" aca="1" ref="G151" ca="1">IFERROR(INDEX(_xlfn.ANCHORARRAY($AA$11),ROW()-10,7),"")</f>
        <v/>
      </c>
      <c r="H151" s="4" t="str" cm="1">
        <f t="array" aca="1" ref="H151" ca="1">IFERROR(INDEX(_xlfn.ANCHORARRAY($AA$11),ROW()-10,8),"")</f>
        <v/>
      </c>
      <c r="I151" s="4" t="str" cm="1">
        <f t="array" aca="1" ref="I151" ca="1">IFERROR(INDEX(_xlfn.ANCHORARRAY($AA$11),ROW()-10,9),"")</f>
        <v/>
      </c>
      <c r="J151" s="4" t="str">
        <f t="shared" ca="1" si="12"/>
        <v/>
      </c>
      <c r="K151" s="4" t="str">
        <f t="shared" ca="1" si="13"/>
        <v/>
      </c>
      <c r="L151" s="4" t="str" cm="1">
        <f t="array" aca="1" ref="L151" ca="1">_xlfn.LET(_xlpm.link,IFERROR(INDEX(_xlfn.ANCHORARRAY($AA$11),ROW()-10,12),""),IF(_xlpm.link="","",HYPERLINK(_xlpm.link,"Bluecore/Attentive")))</f>
        <v/>
      </c>
      <c r="M151" s="72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11" t="str" cm="1">
        <f t="array" aca="1" ref="B152" ca="1">IFERROR(INDEX(_xlfn.ANCHORARRAY($AA$11),ROW()-10,2),"")</f>
        <v/>
      </c>
      <c r="C152" s="4" t="str" cm="1">
        <f t="array" aca="1" ref="C152" ca="1">IFERROR(INDEX(_xlfn.ANCHORARRAY($AA$11),ROW()-10,3),"")</f>
        <v/>
      </c>
      <c r="D152" s="13" t="str" cm="1">
        <f t="array" aca="1" ref="D152" ca="1">IFERROR(INDEX(_xlfn.ANCHORARRAY($AA$11),ROW()-10,4),"")</f>
        <v/>
      </c>
      <c r="E152" s="4" t="str" cm="1">
        <f t="array" aca="1" ref="E152" ca="1">IFERROR(INDEX(_xlfn.ANCHORARRAY($AA$11),ROW()-10,5),"")</f>
        <v/>
      </c>
      <c r="F152" s="4" t="str" cm="1">
        <f t="array" aca="1" ref="F152" ca="1">IFERROR(INDEX(_xlfn.ANCHORARRAY($AA$11),ROW()-10,6),"")</f>
        <v/>
      </c>
      <c r="G152" s="4" t="str" cm="1">
        <f t="array" aca="1" ref="G152" ca="1">IFERROR(INDEX(_xlfn.ANCHORARRAY($AA$11),ROW()-10,7),"")</f>
        <v/>
      </c>
      <c r="H152" s="4" t="str" cm="1">
        <f t="array" aca="1" ref="H152" ca="1">IFERROR(INDEX(_xlfn.ANCHORARRAY($AA$11),ROW()-10,8),"")</f>
        <v/>
      </c>
      <c r="I152" s="4" t="str" cm="1">
        <f t="array" aca="1" ref="I152" ca="1">IFERROR(INDEX(_xlfn.ANCHORARRAY($AA$11),ROW()-10,9),"")</f>
        <v/>
      </c>
      <c r="J152" s="4" t="str">
        <f t="shared" ca="1" si="12"/>
        <v/>
      </c>
      <c r="K152" s="4" t="str">
        <f t="shared" ca="1" si="13"/>
        <v/>
      </c>
      <c r="L152" s="4" t="str" cm="1">
        <f t="array" aca="1" ref="L152" ca="1">_xlfn.LET(_xlpm.link,IFERROR(INDEX(_xlfn.ANCHORARRAY($AA$11),ROW()-10,12),""),IF(_xlpm.link="","",HYPERLINK(_xlpm.link,"Bluecore/Attentive")))</f>
        <v/>
      </c>
      <c r="M152" s="73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11" t="str" cm="1">
        <f t="array" aca="1" ref="B153" ca="1">IFERROR(INDEX(_xlfn.ANCHORARRAY($AA$11),ROW()-10,2),"")</f>
        <v/>
      </c>
      <c r="C153" s="4" t="str" cm="1">
        <f t="array" aca="1" ref="C153" ca="1">IFERROR(INDEX(_xlfn.ANCHORARRAY($AA$11),ROW()-10,3),"")</f>
        <v/>
      </c>
      <c r="D153" s="13" t="str" cm="1">
        <f t="array" aca="1" ref="D153" ca="1">IFERROR(INDEX(_xlfn.ANCHORARRAY($AA$11),ROW()-10,4),"")</f>
        <v/>
      </c>
      <c r="E153" s="4" t="str" cm="1">
        <f t="array" aca="1" ref="E153" ca="1">IFERROR(INDEX(_xlfn.ANCHORARRAY($AA$11),ROW()-10,5),"")</f>
        <v/>
      </c>
      <c r="F153" s="4" t="str" cm="1">
        <f t="array" aca="1" ref="F153" ca="1">IFERROR(INDEX(_xlfn.ANCHORARRAY($AA$11),ROW()-10,6),"")</f>
        <v/>
      </c>
      <c r="G153" s="4" t="str" cm="1">
        <f t="array" aca="1" ref="G153" ca="1">IFERROR(INDEX(_xlfn.ANCHORARRAY($AA$11),ROW()-10,7),"")</f>
        <v/>
      </c>
      <c r="H153" s="4" t="str" cm="1">
        <f t="array" aca="1" ref="H153" ca="1">IFERROR(INDEX(_xlfn.ANCHORARRAY($AA$11),ROW()-10,8),"")</f>
        <v/>
      </c>
      <c r="I153" s="4" t="str" cm="1">
        <f t="array" aca="1" ref="I153" ca="1">IFERROR(INDEX(_xlfn.ANCHORARRAY($AA$11),ROW()-10,9),"")</f>
        <v/>
      </c>
      <c r="J153" s="4" t="str">
        <f t="shared" ca="1" si="12"/>
        <v/>
      </c>
      <c r="K153" s="4" t="str">
        <f t="shared" ca="1" si="13"/>
        <v/>
      </c>
      <c r="L153" s="4" t="str" cm="1">
        <f t="array" aca="1" ref="L153" ca="1">_xlfn.LET(_xlpm.link,IFERROR(INDEX(_xlfn.ANCHORARRAY($AA$11),ROW()-10,12),""),IF(_xlpm.link="","",HYPERLINK(_xlpm.link,"Bluecore/Attentive")))</f>
        <v/>
      </c>
      <c r="M153" s="72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11" t="str" cm="1">
        <f t="array" aca="1" ref="B154" ca="1">IFERROR(INDEX(_xlfn.ANCHORARRAY($AA$11),ROW()-10,2),"")</f>
        <v/>
      </c>
      <c r="C154" s="4" t="str" cm="1">
        <f t="array" aca="1" ref="C154" ca="1">IFERROR(INDEX(_xlfn.ANCHORARRAY($AA$11),ROW()-10,3),"")</f>
        <v/>
      </c>
      <c r="D154" s="13" t="str" cm="1">
        <f t="array" aca="1" ref="D154" ca="1">IFERROR(INDEX(_xlfn.ANCHORARRAY($AA$11),ROW()-10,4),"")</f>
        <v/>
      </c>
      <c r="E154" s="4" t="str" cm="1">
        <f t="array" aca="1" ref="E154" ca="1">IFERROR(INDEX(_xlfn.ANCHORARRAY($AA$11),ROW()-10,5),"")</f>
        <v/>
      </c>
      <c r="F154" s="4" t="str" cm="1">
        <f t="array" aca="1" ref="F154" ca="1">IFERROR(INDEX(_xlfn.ANCHORARRAY($AA$11),ROW()-10,6),"")</f>
        <v/>
      </c>
      <c r="G154" s="4" t="str" cm="1">
        <f t="array" aca="1" ref="G154" ca="1">IFERROR(INDEX(_xlfn.ANCHORARRAY($AA$11),ROW()-10,7),"")</f>
        <v/>
      </c>
      <c r="H154" s="4" t="str" cm="1">
        <f t="array" aca="1" ref="H154" ca="1">IFERROR(INDEX(_xlfn.ANCHORARRAY($AA$11),ROW()-10,8),"")</f>
        <v/>
      </c>
      <c r="I154" s="4" t="str" cm="1">
        <f t="array" aca="1" ref="I154" ca="1">IFERROR(INDEX(_xlfn.ANCHORARRAY($AA$11),ROW()-10,9),"")</f>
        <v/>
      </c>
      <c r="J154" s="4" t="str">
        <f t="shared" ca="1" si="12"/>
        <v/>
      </c>
      <c r="K154" s="4" t="str">
        <f t="shared" ca="1" si="13"/>
        <v/>
      </c>
      <c r="L154" s="4" t="str" cm="1">
        <f t="array" aca="1" ref="L154" ca="1">_xlfn.LET(_xlpm.link,IFERROR(INDEX(_xlfn.ANCHORARRAY($AA$11),ROW()-10,12),""),IF(_xlpm.link="","",HYPERLINK(_xlpm.link,"Bluecore/Attentive")))</f>
        <v/>
      </c>
      <c r="M154" s="73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11" t="str" cm="1">
        <f t="array" aca="1" ref="B155" ca="1">IFERROR(INDEX(_xlfn.ANCHORARRAY($AA$11),ROW()-10,2),"")</f>
        <v/>
      </c>
      <c r="C155" s="4" t="str" cm="1">
        <f t="array" aca="1" ref="C155" ca="1">IFERROR(INDEX(_xlfn.ANCHORARRAY($AA$11),ROW()-10,3),"")</f>
        <v/>
      </c>
      <c r="D155" s="13" t="str" cm="1">
        <f t="array" aca="1" ref="D155" ca="1">IFERROR(INDEX(_xlfn.ANCHORARRAY($AA$11),ROW()-10,4),"")</f>
        <v/>
      </c>
      <c r="E155" s="4" t="str" cm="1">
        <f t="array" aca="1" ref="E155" ca="1">IFERROR(INDEX(_xlfn.ANCHORARRAY($AA$11),ROW()-10,5),"")</f>
        <v/>
      </c>
      <c r="F155" s="4" t="str" cm="1">
        <f t="array" aca="1" ref="F155" ca="1">IFERROR(INDEX(_xlfn.ANCHORARRAY($AA$11),ROW()-10,6),"")</f>
        <v/>
      </c>
      <c r="G155" s="4" t="str" cm="1">
        <f t="array" aca="1" ref="G155" ca="1">IFERROR(INDEX(_xlfn.ANCHORARRAY($AA$11),ROW()-10,7),"")</f>
        <v/>
      </c>
      <c r="H155" s="4" t="str" cm="1">
        <f t="array" aca="1" ref="H155" ca="1">IFERROR(INDEX(_xlfn.ANCHORARRAY($AA$11),ROW()-10,8),"")</f>
        <v/>
      </c>
      <c r="I155" s="4" t="str" cm="1">
        <f t="array" aca="1" ref="I155" ca="1">IFERROR(INDEX(_xlfn.ANCHORARRAY($AA$11),ROW()-10,9),"")</f>
        <v/>
      </c>
      <c r="J155" s="4" t="str">
        <f t="shared" ca="1" si="12"/>
        <v/>
      </c>
      <c r="K155" s="4" t="str">
        <f t="shared" ca="1" si="13"/>
        <v/>
      </c>
      <c r="L155" s="4" t="str" cm="1">
        <f t="array" aca="1" ref="L155" ca="1">_xlfn.LET(_xlpm.link,IFERROR(INDEX(_xlfn.ANCHORARRAY($AA$11),ROW()-10,12),""),IF(_xlpm.link="","",HYPERLINK(_xlpm.link,"Bluecore/Attentive")))</f>
        <v/>
      </c>
      <c r="M155" s="72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11" t="str" cm="1">
        <f t="array" aca="1" ref="B156" ca="1">IFERROR(INDEX(_xlfn.ANCHORARRAY($AA$11),ROW()-10,2),"")</f>
        <v/>
      </c>
      <c r="C156" s="4" t="str" cm="1">
        <f t="array" aca="1" ref="C156" ca="1">IFERROR(INDEX(_xlfn.ANCHORARRAY($AA$11),ROW()-10,3),"")</f>
        <v/>
      </c>
      <c r="D156" s="13" t="str" cm="1">
        <f t="array" aca="1" ref="D156" ca="1">IFERROR(INDEX(_xlfn.ANCHORARRAY($AA$11),ROW()-10,4),"")</f>
        <v/>
      </c>
      <c r="E156" s="4" t="str" cm="1">
        <f t="array" aca="1" ref="E156" ca="1">IFERROR(INDEX(_xlfn.ANCHORARRAY($AA$11),ROW()-10,5),"")</f>
        <v/>
      </c>
      <c r="F156" s="4" t="str" cm="1">
        <f t="array" aca="1" ref="F156" ca="1">IFERROR(INDEX(_xlfn.ANCHORARRAY($AA$11),ROW()-10,6),"")</f>
        <v/>
      </c>
      <c r="G156" s="4" t="str" cm="1">
        <f t="array" aca="1" ref="G156" ca="1">IFERROR(INDEX(_xlfn.ANCHORARRAY($AA$11),ROW()-10,7),"")</f>
        <v/>
      </c>
      <c r="H156" s="4" t="str" cm="1">
        <f t="array" aca="1" ref="H156" ca="1">IFERROR(INDEX(_xlfn.ANCHORARRAY($AA$11),ROW()-10,8),"")</f>
        <v/>
      </c>
      <c r="I156" s="4" t="str" cm="1">
        <f t="array" aca="1" ref="I156" ca="1">IFERROR(INDEX(_xlfn.ANCHORARRAY($AA$11),ROW()-10,9),"")</f>
        <v/>
      </c>
      <c r="J156" s="4" t="str">
        <f t="shared" ca="1" si="12"/>
        <v/>
      </c>
      <c r="K156" s="4" t="str">
        <f t="shared" ca="1" si="13"/>
        <v/>
      </c>
      <c r="L156" s="4" t="str" cm="1">
        <f t="array" aca="1" ref="L156" ca="1">_xlfn.LET(_xlpm.link,IFERROR(INDEX(_xlfn.ANCHORARRAY($AA$11),ROW()-10,12),""),IF(_xlpm.link="","",HYPERLINK(_xlpm.link,"Bluecore/Attentive")))</f>
        <v/>
      </c>
      <c r="M156" s="73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11" t="str" cm="1">
        <f t="array" aca="1" ref="B157" ca="1">IFERROR(INDEX(_xlfn.ANCHORARRAY($AA$11),ROW()-10,2),"")</f>
        <v/>
      </c>
      <c r="C157" s="4" t="str" cm="1">
        <f t="array" aca="1" ref="C157" ca="1">IFERROR(INDEX(_xlfn.ANCHORARRAY($AA$11),ROW()-10,3),"")</f>
        <v/>
      </c>
      <c r="D157" s="13" t="str" cm="1">
        <f t="array" aca="1" ref="D157" ca="1">IFERROR(INDEX(_xlfn.ANCHORARRAY($AA$11),ROW()-10,4),"")</f>
        <v/>
      </c>
      <c r="E157" s="4" t="str" cm="1">
        <f t="array" aca="1" ref="E157" ca="1">IFERROR(INDEX(_xlfn.ANCHORARRAY($AA$11),ROW()-10,5),"")</f>
        <v/>
      </c>
      <c r="F157" s="4" t="str" cm="1">
        <f t="array" aca="1" ref="F157" ca="1">IFERROR(INDEX(_xlfn.ANCHORARRAY($AA$11),ROW()-10,6),"")</f>
        <v/>
      </c>
      <c r="G157" s="4" t="str" cm="1">
        <f t="array" aca="1" ref="G157" ca="1">IFERROR(INDEX(_xlfn.ANCHORARRAY($AA$11),ROW()-10,7),"")</f>
        <v/>
      </c>
      <c r="H157" s="4" t="str" cm="1">
        <f t="array" aca="1" ref="H157" ca="1">IFERROR(INDEX(_xlfn.ANCHORARRAY($AA$11),ROW()-10,8),"")</f>
        <v/>
      </c>
      <c r="I157" s="4" t="str" cm="1">
        <f t="array" aca="1" ref="I157" ca="1">IFERROR(INDEX(_xlfn.ANCHORARRAY($AA$11),ROW()-10,9),"")</f>
        <v/>
      </c>
      <c r="J157" s="4" t="str">
        <f t="shared" ca="1" si="12"/>
        <v/>
      </c>
      <c r="K157" s="4" t="str">
        <f t="shared" ca="1" si="13"/>
        <v/>
      </c>
      <c r="L157" s="4" t="str" cm="1">
        <f t="array" aca="1" ref="L157" ca="1">_xlfn.LET(_xlpm.link,IFERROR(INDEX(_xlfn.ANCHORARRAY($AA$11),ROW()-10,12),""),IF(_xlpm.link="","",HYPERLINK(_xlpm.link,"Bluecore/Attentive")))</f>
        <v/>
      </c>
      <c r="M157" s="72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11" t="str" cm="1">
        <f t="array" aca="1" ref="B158" ca="1">IFERROR(INDEX(_xlfn.ANCHORARRAY($AA$11),ROW()-10,2),"")</f>
        <v/>
      </c>
      <c r="C158" s="4" t="str" cm="1">
        <f t="array" aca="1" ref="C158" ca="1">IFERROR(INDEX(_xlfn.ANCHORARRAY($AA$11),ROW()-10,3),"")</f>
        <v/>
      </c>
      <c r="D158" s="13" t="str" cm="1">
        <f t="array" aca="1" ref="D158" ca="1">IFERROR(INDEX(_xlfn.ANCHORARRAY($AA$11),ROW()-10,4),"")</f>
        <v/>
      </c>
      <c r="E158" s="4" t="str" cm="1">
        <f t="array" aca="1" ref="E158" ca="1">IFERROR(INDEX(_xlfn.ANCHORARRAY($AA$11),ROW()-10,5),"")</f>
        <v/>
      </c>
      <c r="F158" s="4" t="str" cm="1">
        <f t="array" aca="1" ref="F158" ca="1">IFERROR(INDEX(_xlfn.ANCHORARRAY($AA$11),ROW()-10,6),"")</f>
        <v/>
      </c>
      <c r="G158" s="4" t="str" cm="1">
        <f t="array" aca="1" ref="G158" ca="1">IFERROR(INDEX(_xlfn.ANCHORARRAY($AA$11),ROW()-10,7),"")</f>
        <v/>
      </c>
      <c r="H158" s="4" t="str" cm="1">
        <f t="array" aca="1" ref="H158" ca="1">IFERROR(INDEX(_xlfn.ANCHORARRAY($AA$11),ROW()-10,8),"")</f>
        <v/>
      </c>
      <c r="I158" s="4" t="str" cm="1">
        <f t="array" aca="1" ref="I158" ca="1">IFERROR(INDEX(_xlfn.ANCHORARRAY($AA$11),ROW()-10,9),"")</f>
        <v/>
      </c>
      <c r="J158" s="4" t="str">
        <f t="shared" ca="1" si="12"/>
        <v/>
      </c>
      <c r="K158" s="4" t="str">
        <f t="shared" ca="1" si="13"/>
        <v/>
      </c>
      <c r="L158" s="4" t="str" cm="1">
        <f t="array" aca="1" ref="L158" ca="1">_xlfn.LET(_xlpm.link,IFERROR(INDEX(_xlfn.ANCHORARRAY($AA$11),ROW()-10,12),""),IF(_xlpm.link="","",HYPERLINK(_xlpm.link,"Bluecore/Attentive")))</f>
        <v/>
      </c>
      <c r="M158" s="73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11" t="str" cm="1">
        <f t="array" aca="1" ref="B159" ca="1">IFERROR(INDEX(_xlfn.ANCHORARRAY($AA$11),ROW()-10,2),"")</f>
        <v/>
      </c>
      <c r="C159" s="4" t="str" cm="1">
        <f t="array" aca="1" ref="C159" ca="1">IFERROR(INDEX(_xlfn.ANCHORARRAY($AA$11),ROW()-10,3),"")</f>
        <v/>
      </c>
      <c r="D159" s="13" t="str" cm="1">
        <f t="array" aca="1" ref="D159" ca="1">IFERROR(INDEX(_xlfn.ANCHORARRAY($AA$11),ROW()-10,4),"")</f>
        <v/>
      </c>
      <c r="E159" s="4" t="str" cm="1">
        <f t="array" aca="1" ref="E159" ca="1">IFERROR(INDEX(_xlfn.ANCHORARRAY($AA$11),ROW()-10,5),"")</f>
        <v/>
      </c>
      <c r="F159" s="4" t="str" cm="1">
        <f t="array" aca="1" ref="F159" ca="1">IFERROR(INDEX(_xlfn.ANCHORARRAY($AA$11),ROW()-10,6),"")</f>
        <v/>
      </c>
      <c r="G159" s="4" t="str" cm="1">
        <f t="array" aca="1" ref="G159" ca="1">IFERROR(INDEX(_xlfn.ANCHORARRAY($AA$11),ROW()-10,7),"")</f>
        <v/>
      </c>
      <c r="H159" s="4" t="str" cm="1">
        <f t="array" aca="1" ref="H159" ca="1">IFERROR(INDEX(_xlfn.ANCHORARRAY($AA$11),ROW()-10,8),"")</f>
        <v/>
      </c>
      <c r="I159" s="4" t="str" cm="1">
        <f t="array" aca="1" ref="I159" ca="1">IFERROR(INDEX(_xlfn.ANCHORARRAY($AA$11),ROW()-10,9),"")</f>
        <v/>
      </c>
      <c r="J159" s="4" t="str">
        <f t="shared" ca="1" si="12"/>
        <v/>
      </c>
      <c r="K159" s="4" t="str">
        <f t="shared" ca="1" si="13"/>
        <v/>
      </c>
      <c r="L159" s="4" t="str" cm="1">
        <f t="array" aca="1" ref="L159" ca="1">_xlfn.LET(_xlpm.link,IFERROR(INDEX(_xlfn.ANCHORARRAY($AA$11),ROW()-10,12),""),IF(_xlpm.link="","",HYPERLINK(_xlpm.link,"Bluecore/Attentive")))</f>
        <v/>
      </c>
      <c r="M159" s="72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11" t="str" cm="1">
        <f t="array" aca="1" ref="B160" ca="1">IFERROR(INDEX(_xlfn.ANCHORARRAY($AA$11),ROW()-10,2),"")</f>
        <v/>
      </c>
      <c r="C160" s="4" t="str" cm="1">
        <f t="array" aca="1" ref="C160" ca="1">IFERROR(INDEX(_xlfn.ANCHORARRAY($AA$11),ROW()-10,3),"")</f>
        <v/>
      </c>
      <c r="D160" s="13" t="str" cm="1">
        <f t="array" aca="1" ref="D160" ca="1">IFERROR(INDEX(_xlfn.ANCHORARRAY($AA$11),ROW()-10,4),"")</f>
        <v/>
      </c>
      <c r="E160" s="4" t="str" cm="1">
        <f t="array" aca="1" ref="E160" ca="1">IFERROR(INDEX(_xlfn.ANCHORARRAY($AA$11),ROW()-10,5),"")</f>
        <v/>
      </c>
      <c r="F160" s="4" t="str" cm="1">
        <f t="array" aca="1" ref="F160" ca="1">IFERROR(INDEX(_xlfn.ANCHORARRAY($AA$11),ROW()-10,6),"")</f>
        <v/>
      </c>
      <c r="G160" s="4" t="str" cm="1">
        <f t="array" aca="1" ref="G160" ca="1">IFERROR(INDEX(_xlfn.ANCHORARRAY($AA$11),ROW()-10,7),"")</f>
        <v/>
      </c>
      <c r="H160" s="4" t="str" cm="1">
        <f t="array" aca="1" ref="H160" ca="1">IFERROR(INDEX(_xlfn.ANCHORARRAY($AA$11),ROW()-10,8),"")</f>
        <v/>
      </c>
      <c r="I160" s="4" t="str" cm="1">
        <f t="array" aca="1" ref="I160" ca="1">IFERROR(INDEX(_xlfn.ANCHORARRAY($AA$11),ROW()-10,9),"")</f>
        <v/>
      </c>
      <c r="J160" s="4" t="str">
        <f t="shared" ca="1" si="12"/>
        <v/>
      </c>
      <c r="K160" s="4" t="str">
        <f t="shared" ca="1" si="13"/>
        <v/>
      </c>
      <c r="L160" s="4" t="str" cm="1">
        <f t="array" aca="1" ref="L160" ca="1">_xlfn.LET(_xlpm.link,IFERROR(INDEX(_xlfn.ANCHORARRAY($AA$11),ROW()-10,12),""),IF(_xlpm.link="","",HYPERLINK(_xlpm.link,"Bluecore/Attentive")))</f>
        <v/>
      </c>
      <c r="M160" s="73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20"/>
      <c r="B161" s="11"/>
      <c r="C161" s="4"/>
      <c r="D161" s="13"/>
      <c r="E161" s="4"/>
      <c r="G161" s="4"/>
      <c r="H161" s="4"/>
      <c r="I161" s="4"/>
      <c r="J161" s="4"/>
      <c r="K161" s="4"/>
      <c r="L161" s="4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0" t="s">
        <v>33</v>
      </c>
      <c r="B162" s="31" t="s">
        <v>34</v>
      </c>
      <c r="C162" s="65">
        <f ca="1">C5</f>
        <v>2</v>
      </c>
      <c r="D162" s="16" t="s">
        <v>35</v>
      </c>
      <c r="E162" s="4"/>
      <c r="G162" s="4"/>
      <c r="H162" s="4"/>
      <c r="I162" s="4"/>
      <c r="J162" s="4"/>
      <c r="K162" s="4"/>
      <c r="L162" s="4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2" t="s">
        <v>9</v>
      </c>
      <c r="B163" s="33" t="s">
        <v>36</v>
      </c>
      <c r="C163" s="66">
        <f>E5</f>
        <v>5</v>
      </c>
      <c r="D163" s="17" t="s">
        <v>37</v>
      </c>
      <c r="E163" s="4"/>
      <c r="G163" s="4"/>
      <c r="H163" s="4"/>
      <c r="I163" s="4"/>
      <c r="J163" s="4"/>
      <c r="K163" s="4"/>
      <c r="L163" s="4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4" t="s">
        <v>10</v>
      </c>
      <c r="B164" s="35" t="s">
        <v>36</v>
      </c>
      <c r="C164" s="67">
        <f>G5</f>
        <v>1</v>
      </c>
      <c r="D164" s="18" t="s">
        <v>38</v>
      </c>
      <c r="E164" s="4"/>
      <c r="G164" s="4"/>
      <c r="H164" s="4"/>
      <c r="I164" s="4"/>
      <c r="J164" s="4"/>
      <c r="K164" s="4"/>
      <c r="L164" s="4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32" t="s">
        <v>11</v>
      </c>
      <c r="B165" s="33" t="s">
        <v>34</v>
      </c>
      <c r="C165" s="66">
        <f>I5</f>
        <v>4</v>
      </c>
      <c r="D165" s="17" t="s">
        <v>39</v>
      </c>
      <c r="E165" s="4"/>
      <c r="G165" s="4"/>
      <c r="H165" s="4"/>
      <c r="I165" s="4"/>
      <c r="J165" s="4"/>
      <c r="K165" s="4"/>
      <c r="L165" s="4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4" t="s">
        <v>12</v>
      </c>
      <c r="B166" s="35" t="s">
        <v>40</v>
      </c>
      <c r="C166" s="67">
        <f>K5</f>
        <v>30</v>
      </c>
      <c r="D166" s="18" t="s">
        <v>41</v>
      </c>
      <c r="E166" s="4"/>
      <c r="G166" s="4"/>
      <c r="H166" s="4"/>
      <c r="I166" s="4"/>
      <c r="J166" s="4"/>
      <c r="K166" s="4"/>
      <c r="L166" s="4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A1:N1"/>
    <mergeCell ref="A2:N2"/>
    <mergeCell ref="A8:N8"/>
    <mergeCell ref="A9:N9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M4:N4"/>
    <mergeCell ref="M5:N5"/>
    <mergeCell ref="M6:N6"/>
    <mergeCell ref="I6:J6"/>
    <mergeCell ref="K4:L4"/>
    <mergeCell ref="K5:L5"/>
    <mergeCell ref="K6:L6"/>
  </mergeCells>
  <conditionalFormatting sqref="B6">
    <cfRule type="cellIs" dxfId="37" priority="3" operator="greaterThan">
      <formula>0</formula>
    </cfRule>
  </conditionalFormatting>
  <conditionalFormatting sqref="F11:F160">
    <cfRule type="expression" dxfId="34" priority="12">
      <formula>F11="Scheduled"</formula>
    </cfRule>
    <cfRule type="expression" dxfId="33" priority="13">
      <formula>F11="Sent"</formula>
    </cfRule>
    <cfRule type="expression" dxfId="32" priority="14">
      <formula>F11="Blocked"</formula>
    </cfRule>
  </conditionalFormatting>
  <conditionalFormatting sqref="F11:F160">
    <cfRule type="expression" dxfId="31" priority="6">
      <formula>F11="Critical"</formula>
    </cfRule>
    <cfRule type="expression" dxfId="30" priority="7">
      <formula>F11="High Risk"</formula>
    </cfRule>
    <cfRule type="expression" dxfId="29" priority="8">
      <formula>F11="At Risk"</formula>
    </cfRule>
    <cfRule type="expression" dxfId="28" priority="9">
      <formula>F11="Blocked"</formula>
    </cfRule>
    <cfRule type="expression" dxfId="27" priority="10">
      <formula>F11="Ready"</formula>
    </cfRule>
    <cfRule type="expression" dxfId="26" priority="11">
      <formula>OR(F11="Complete",F11="Completed")</formula>
    </cfRule>
  </conditionalFormatting>
  <conditionalFormatting sqref="H11:H160">
    <cfRule type="cellIs" dxfId="25" priority="131" stopIfTrue="1" operator="equal">
      <formula>"Done"</formula>
    </cfRule>
  </conditionalFormatting>
  <conditionalFormatting sqref="H11:H160">
    <cfRule type="cellIs" dxfId="24" priority="132" stopIfTrue="1" operator="equal">
      <formula>"Not Yet"</formula>
    </cfRule>
  </conditionalFormatting>
  <conditionalFormatting sqref="I11:I160">
    <cfRule type="cellIs" dxfId="23" priority="133" stopIfTrue="1" operator="equal">
      <formula>"Provided"</formula>
    </cfRule>
  </conditionalFormatting>
  <conditionalFormatting sqref="I11:I160">
    <cfRule type="cellIs" dxfId="22" priority="134" stopIfTrue="1" operator="equal">
      <formula>"Pending"</formula>
    </cfRule>
  </conditionalFormatting>
  <conditionalFormatting sqref="A11:L160">
    <cfRule type="expression" dxfId="21" priority="135">
      <formula>LEFT($D11,9)="CANCELLED"</formula>
    </cfRule>
  </conditionalFormatting>
  <conditionalFormatting sqref="A11:L45">
    <cfRule type="expression" dxfId="20" priority="136">
      <formula>LEFT($D11,9)="CANCELLED"</formula>
    </cfRule>
  </conditionalFormatting>
  <conditionalFormatting sqref="M11:M160">
    <cfRule type="expression" dxfId="19" priority="1">
      <formula>LEFT($D11,9)="CANCELLED"</formula>
    </cfRule>
  </conditionalFormatting>
  <conditionalFormatting sqref="M11:M45">
    <cfRule type="expression" dxfId="18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2"/>
  <sheetViews>
    <sheetView showGridLines="0" topLeftCell="G7" zoomScale="85" zoomScaleNormal="85" workbookViewId="0">
      <selection activeCell="Q29" sqref="Q29"/>
    </sheetView>
  </sheetViews>
  <sheetFormatPr defaultRowHeight="15"/>
  <cols>
    <col min="1" max="1" width="28.625" style="43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22.625" style="43" customWidth="1"/>
    <col min="8" max="8" width="20.625" style="43" customWidth="1"/>
    <col min="9" max="9" width="12.625" style="43" customWidth="1"/>
    <col min="10" max="11" width="13.625" style="43" customWidth="1"/>
    <col min="12" max="12" width="12.625" style="43" customWidth="1"/>
    <col min="13" max="15" width="13.625" style="43" customWidth="1"/>
    <col min="16" max="19" width="14.625" style="43" customWidth="1"/>
    <col min="20" max="20" width="12.625" style="43" customWidth="1"/>
    <col min="21" max="21" width="20.625" style="43" hidden="1" customWidth="1"/>
    <col min="22" max="22" width="18.625" style="43" hidden="1" customWidth="1"/>
    <col min="23" max="23" width="50.625" style="43" customWidth="1"/>
    <col min="24" max="24" width="19" style="55" customWidth="1"/>
    <col min="25" max="16384" width="9" style="1"/>
  </cols>
  <sheetData>
    <row r="1" spans="1:24" s="2" customFormat="1" ht="45">
      <c r="A1" s="47" t="s">
        <v>21</v>
      </c>
      <c r="B1" s="47" t="s">
        <v>42</v>
      </c>
      <c r="C1" s="47" t="s">
        <v>43</v>
      </c>
      <c r="D1" s="47" t="s">
        <v>44</v>
      </c>
      <c r="E1" s="47" t="s">
        <v>45</v>
      </c>
      <c r="F1" s="47" t="s">
        <v>27</v>
      </c>
      <c r="G1" s="47" t="s">
        <v>46</v>
      </c>
      <c r="H1" s="47" t="s">
        <v>47</v>
      </c>
      <c r="I1" s="47" t="s">
        <v>48</v>
      </c>
      <c r="J1" s="47" t="s">
        <v>49</v>
      </c>
      <c r="K1" s="47" t="s">
        <v>50</v>
      </c>
      <c r="L1" s="47" t="s">
        <v>51</v>
      </c>
      <c r="M1" s="47" t="s">
        <v>28</v>
      </c>
      <c r="N1" s="47" t="s">
        <v>29</v>
      </c>
      <c r="O1" s="47" t="s">
        <v>136</v>
      </c>
      <c r="P1" s="47" t="s">
        <v>52</v>
      </c>
      <c r="Q1" s="47" t="s">
        <v>53</v>
      </c>
      <c r="R1" s="47" t="s">
        <v>54</v>
      </c>
      <c r="S1" s="47" t="s">
        <v>55</v>
      </c>
      <c r="T1" s="47" t="s">
        <v>56</v>
      </c>
      <c r="U1" s="47" t="s">
        <v>57</v>
      </c>
      <c r="V1" s="47" t="s">
        <v>58</v>
      </c>
      <c r="W1" s="47" t="s">
        <v>59</v>
      </c>
      <c r="X1" s="44"/>
    </row>
    <row r="2" spans="1:24" s="5" customFormat="1" ht="45">
      <c r="A2" s="61">
        <v>46174</v>
      </c>
      <c r="B2" s="37" t="s">
        <v>60</v>
      </c>
      <c r="C2" s="36" t="s">
        <v>61</v>
      </c>
      <c r="D2" s="36" t="s">
        <v>62</v>
      </c>
      <c r="E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8" t="s">
        <v>63</v>
      </c>
      <c r="G2" s="48" t="b">
        <v>1</v>
      </c>
      <c r="H2" s="48" t="b">
        <v>1</v>
      </c>
      <c r="I2" s="48" t="b">
        <v>1</v>
      </c>
      <c r="J2" s="48" t="b">
        <v>1</v>
      </c>
      <c r="K2" s="48" t="b">
        <v>1</v>
      </c>
      <c r="L2" s="48" t="b">
        <v>1</v>
      </c>
      <c r="M2" s="48" t="b">
        <v>1</v>
      </c>
      <c r="N2" s="48" t="b">
        <v>1</v>
      </c>
      <c r="O2" s="48" t="b">
        <v>1</v>
      </c>
      <c r="P2" s="40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Q2" s="40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R2" s="40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S2" s="42">
        <v>1034750</v>
      </c>
      <c r="T2" s="42">
        <v>1146014</v>
      </c>
      <c r="U2" s="56">
        <v>46181.844953703701</v>
      </c>
      <c r="V2" s="38" t="s">
        <v>75</v>
      </c>
      <c r="W2" s="38"/>
      <c r="X2" s="45"/>
    </row>
    <row r="3" spans="1:24" s="5" customFormat="1" ht="45">
      <c r="A3" s="61">
        <v>46175</v>
      </c>
      <c r="B3" s="37" t="s">
        <v>60</v>
      </c>
      <c r="C3" s="36" t="s">
        <v>64</v>
      </c>
      <c r="D3" s="36" t="s">
        <v>65</v>
      </c>
      <c r="E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8" t="s">
        <v>63</v>
      </c>
      <c r="G3" s="48" t="b">
        <v>1</v>
      </c>
      <c r="H3" s="48" t="b">
        <v>1</v>
      </c>
      <c r="I3" s="48" t="b">
        <v>1</v>
      </c>
      <c r="J3" s="48" t="b">
        <v>1</v>
      </c>
      <c r="K3" s="48" t="b">
        <v>1</v>
      </c>
      <c r="L3" s="48" t="b">
        <v>1</v>
      </c>
      <c r="M3" s="48" t="b">
        <v>1</v>
      </c>
      <c r="N3" s="48" t="b">
        <v>1</v>
      </c>
      <c r="O3" s="48" t="b">
        <v>1</v>
      </c>
      <c r="P3" s="40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Q3" s="40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R3" s="40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S3" s="42">
        <v>23414</v>
      </c>
      <c r="T3" s="42">
        <v>23461</v>
      </c>
      <c r="U3" s="56">
        <v>46181.844965277778</v>
      </c>
      <c r="V3" s="38" t="s">
        <v>75</v>
      </c>
      <c r="W3" s="38"/>
      <c r="X3" s="45"/>
    </row>
    <row r="4" spans="1:24" s="5" customFormat="1" ht="45">
      <c r="A4" s="61">
        <v>46175</v>
      </c>
      <c r="B4" s="37" t="s">
        <v>60</v>
      </c>
      <c r="C4" s="36" t="s">
        <v>66</v>
      </c>
      <c r="D4" s="36" t="s">
        <v>65</v>
      </c>
      <c r="E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8" t="s">
        <v>63</v>
      </c>
      <c r="G4" s="48" t="b">
        <v>1</v>
      </c>
      <c r="H4" s="48" t="b">
        <v>1</v>
      </c>
      <c r="I4" s="48" t="b">
        <v>1</v>
      </c>
      <c r="J4" s="48" t="b">
        <v>1</v>
      </c>
      <c r="K4" s="48" t="b">
        <v>1</v>
      </c>
      <c r="L4" s="48" t="b">
        <v>1</v>
      </c>
      <c r="M4" s="48" t="b">
        <v>1</v>
      </c>
      <c r="N4" s="48" t="b">
        <v>1</v>
      </c>
      <c r="O4" s="48" t="b">
        <v>1</v>
      </c>
      <c r="P4" s="40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Q4" s="40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R4" s="40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S4" s="42">
        <v>17521</v>
      </c>
      <c r="T4" s="42">
        <v>17922</v>
      </c>
      <c r="U4" s="56">
        <v>46181.844976851855</v>
      </c>
      <c r="V4" s="38" t="s">
        <v>75</v>
      </c>
      <c r="W4" s="38"/>
      <c r="X4" s="45"/>
    </row>
    <row r="5" spans="1:24" s="5" customFormat="1" ht="45">
      <c r="A5" s="61">
        <v>46175</v>
      </c>
      <c r="B5" s="37" t="s">
        <v>60</v>
      </c>
      <c r="C5" s="36" t="s">
        <v>67</v>
      </c>
      <c r="D5" s="36" t="s">
        <v>65</v>
      </c>
      <c r="E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8" t="s">
        <v>63</v>
      </c>
      <c r="G5" s="48" t="b">
        <v>1</v>
      </c>
      <c r="H5" s="48" t="b">
        <v>1</v>
      </c>
      <c r="I5" s="48" t="b">
        <v>1</v>
      </c>
      <c r="J5" s="48" t="b">
        <v>1</v>
      </c>
      <c r="K5" s="48" t="b">
        <v>1</v>
      </c>
      <c r="L5" s="48" t="b">
        <v>1</v>
      </c>
      <c r="M5" s="48" t="b">
        <v>1</v>
      </c>
      <c r="N5" s="48" t="b">
        <v>1</v>
      </c>
      <c r="O5" s="48" t="b">
        <v>1</v>
      </c>
      <c r="P5" s="40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Q5" s="40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R5" s="40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S5" s="42">
        <v>2587</v>
      </c>
      <c r="T5" s="42">
        <v>2651</v>
      </c>
      <c r="U5" s="56">
        <v>46181.844988425924</v>
      </c>
      <c r="V5" s="38" t="s">
        <v>75</v>
      </c>
      <c r="W5" s="38"/>
      <c r="X5" s="45"/>
    </row>
    <row r="6" spans="1:24" s="5" customFormat="1" ht="45">
      <c r="A6" s="61">
        <v>46176</v>
      </c>
      <c r="B6" s="37" t="s">
        <v>60</v>
      </c>
      <c r="C6" s="36" t="s">
        <v>68</v>
      </c>
      <c r="D6" s="36" t="s">
        <v>69</v>
      </c>
      <c r="E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8" t="s">
        <v>70</v>
      </c>
      <c r="G6" s="48" t="b">
        <v>1</v>
      </c>
      <c r="H6" s="48" t="b">
        <v>1</v>
      </c>
      <c r="I6" s="48" t="b">
        <v>1</v>
      </c>
      <c r="J6" s="48" t="b">
        <v>1</v>
      </c>
      <c r="K6" s="48" t="b">
        <v>1</v>
      </c>
      <c r="L6" s="48" t="b">
        <v>1</v>
      </c>
      <c r="M6" s="48" t="b">
        <v>1</v>
      </c>
      <c r="N6" s="48" t="b">
        <v>1</v>
      </c>
      <c r="O6" s="48" t="b">
        <v>1</v>
      </c>
      <c r="P6" s="40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Q6" s="40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R6" s="40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S6" s="42">
        <v>455800</v>
      </c>
      <c r="T6" s="42">
        <v>466728</v>
      </c>
      <c r="U6" s="56">
        <v>46181.845000000001</v>
      </c>
      <c r="V6" s="38" t="s">
        <v>75</v>
      </c>
      <c r="W6" s="38"/>
      <c r="X6" s="45"/>
    </row>
    <row r="7" spans="1:24" s="5" customFormat="1" ht="45">
      <c r="A7" s="62">
        <v>46177</v>
      </c>
      <c r="B7" s="49" t="s">
        <v>60</v>
      </c>
      <c r="C7" s="50" t="s">
        <v>71</v>
      </c>
      <c r="D7" s="50" t="s">
        <v>65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51" t="s">
        <v>70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2" t="b">
        <v>0</v>
      </c>
      <c r="P7" s="53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Q7" s="53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R7" s="53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S7" s="54"/>
      <c r="T7" s="54"/>
      <c r="U7" s="57">
        <v>46181.845405092594</v>
      </c>
      <c r="V7" s="51" t="s">
        <v>75</v>
      </c>
      <c r="W7" s="51" t="s">
        <v>72</v>
      </c>
      <c r="X7" s="45"/>
    </row>
    <row r="8" spans="1:24" s="5" customFormat="1" ht="45">
      <c r="A8" s="61">
        <v>46178</v>
      </c>
      <c r="B8" s="37">
        <v>0.33333333333333331</v>
      </c>
      <c r="C8" s="36" t="s">
        <v>73</v>
      </c>
      <c r="D8" s="36" t="s">
        <v>62</v>
      </c>
      <c r="E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8" t="s">
        <v>63</v>
      </c>
      <c r="G8" s="48" t="b">
        <v>1</v>
      </c>
      <c r="H8" s="48" t="b">
        <v>1</v>
      </c>
      <c r="I8" s="48" t="b">
        <v>1</v>
      </c>
      <c r="J8" s="48" t="b">
        <v>1</v>
      </c>
      <c r="K8" s="48" t="b">
        <v>1</v>
      </c>
      <c r="L8" s="48" t="b">
        <v>1</v>
      </c>
      <c r="M8" s="48" t="b">
        <v>1</v>
      </c>
      <c r="N8" s="48" t="b">
        <v>1</v>
      </c>
      <c r="O8" s="48" t="b">
        <v>1</v>
      </c>
      <c r="P8" s="40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Q8" s="40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R8" s="40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S8" s="42">
        <v>115202</v>
      </c>
      <c r="T8" s="42">
        <v>118481</v>
      </c>
      <c r="U8" s="56">
        <v>46181.845023148147</v>
      </c>
      <c r="V8" s="38" t="s">
        <v>75</v>
      </c>
      <c r="W8" s="38"/>
      <c r="X8" s="45"/>
    </row>
    <row r="9" spans="1:24" s="5" customFormat="1" ht="45">
      <c r="A9" s="61">
        <v>46178</v>
      </c>
      <c r="B9" s="37">
        <v>0.375</v>
      </c>
      <c r="C9" s="36" t="s">
        <v>74</v>
      </c>
      <c r="D9" s="36" t="s">
        <v>62</v>
      </c>
      <c r="E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8" t="s">
        <v>63</v>
      </c>
      <c r="G9" s="48" t="b">
        <v>1</v>
      </c>
      <c r="H9" s="48" t="b">
        <v>1</v>
      </c>
      <c r="I9" s="48" t="b">
        <v>1</v>
      </c>
      <c r="J9" s="48" t="b">
        <v>1</v>
      </c>
      <c r="K9" s="48" t="b">
        <v>1</v>
      </c>
      <c r="L9" s="48" t="b">
        <v>1</v>
      </c>
      <c r="M9" s="48" t="b">
        <v>1</v>
      </c>
      <c r="N9" s="48" t="b">
        <v>1</v>
      </c>
      <c r="O9" s="48" t="b">
        <v>1</v>
      </c>
      <c r="P9" s="40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Q9" s="40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R9" s="40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S9" s="42">
        <v>202658</v>
      </c>
      <c r="T9" s="42">
        <v>205619</v>
      </c>
      <c r="U9" s="56">
        <v>46181.845034722224</v>
      </c>
      <c r="V9" s="38" t="s">
        <v>75</v>
      </c>
      <c r="W9" s="38"/>
      <c r="X9" s="45"/>
    </row>
    <row r="10" spans="1:24" s="5" customFormat="1" ht="45">
      <c r="A10" s="61">
        <v>46178</v>
      </c>
      <c r="B10" s="37">
        <v>0.41666666666666669</v>
      </c>
      <c r="C10" s="36" t="s">
        <v>76</v>
      </c>
      <c r="D10" s="36" t="s">
        <v>62</v>
      </c>
      <c r="E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8" t="s">
        <v>63</v>
      </c>
      <c r="G10" s="48" t="b">
        <v>1</v>
      </c>
      <c r="H10" s="48" t="b">
        <v>1</v>
      </c>
      <c r="I10" s="48" t="b">
        <v>1</v>
      </c>
      <c r="J10" s="48" t="b">
        <v>1</v>
      </c>
      <c r="K10" s="48" t="b">
        <v>1</v>
      </c>
      <c r="L10" s="48" t="b">
        <v>1</v>
      </c>
      <c r="M10" s="48" t="b">
        <v>1</v>
      </c>
      <c r="N10" s="48" t="b">
        <v>1</v>
      </c>
      <c r="O10" s="48" t="b">
        <v>1</v>
      </c>
      <c r="P10" s="40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Q10" s="40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R10" s="40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S10" s="42">
        <v>904918</v>
      </c>
      <c r="T10" s="42">
        <v>880888</v>
      </c>
      <c r="U10" s="56">
        <v>46181.845034722224</v>
      </c>
      <c r="V10" s="38" t="s">
        <v>75</v>
      </c>
      <c r="W10" s="38"/>
      <c r="X10" s="45"/>
    </row>
    <row r="11" spans="1:24" s="5" customFormat="1" ht="45">
      <c r="A11" s="61">
        <v>46179</v>
      </c>
      <c r="B11" s="37">
        <v>0.91666666666666663</v>
      </c>
      <c r="C11" s="36" t="s">
        <v>77</v>
      </c>
      <c r="D11" s="36" t="s">
        <v>78</v>
      </c>
      <c r="E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8" t="s">
        <v>70</v>
      </c>
      <c r="G11" s="48" t="b">
        <v>1</v>
      </c>
      <c r="H11" s="48" t="b">
        <v>1</v>
      </c>
      <c r="I11" s="48" t="b">
        <v>1</v>
      </c>
      <c r="J11" s="48" t="b">
        <v>1</v>
      </c>
      <c r="K11" s="48" t="b">
        <v>1</v>
      </c>
      <c r="L11" s="48" t="b">
        <v>1</v>
      </c>
      <c r="M11" s="48" t="b">
        <v>1</v>
      </c>
      <c r="N11" s="48" t="b">
        <v>1</v>
      </c>
      <c r="O11" s="48" t="b">
        <v>1</v>
      </c>
      <c r="P11" s="40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Q11" s="40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R11" s="40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S11" s="42">
        <v>244728</v>
      </c>
      <c r="T11" s="42">
        <v>211870</v>
      </c>
      <c r="U11" s="56">
        <v>46181.845046296294</v>
      </c>
      <c r="V11" s="38" t="s">
        <v>75</v>
      </c>
      <c r="W11" s="38"/>
      <c r="X11" s="45"/>
    </row>
    <row r="12" spans="1:24" s="5" customFormat="1" ht="45">
      <c r="A12" s="61">
        <v>46180</v>
      </c>
      <c r="B12" s="37" t="s">
        <v>60</v>
      </c>
      <c r="C12" s="36" t="s">
        <v>79</v>
      </c>
      <c r="D12" s="36" t="s">
        <v>80</v>
      </c>
      <c r="E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8" t="s">
        <v>63</v>
      </c>
      <c r="G12" s="48" t="b">
        <v>1</v>
      </c>
      <c r="H12" s="48" t="b">
        <v>1</v>
      </c>
      <c r="I12" s="48" t="b">
        <v>1</v>
      </c>
      <c r="J12" s="48" t="b">
        <v>1</v>
      </c>
      <c r="K12" s="48" t="b">
        <v>1</v>
      </c>
      <c r="L12" s="48" t="b">
        <v>1</v>
      </c>
      <c r="M12" s="48" t="b">
        <v>1</v>
      </c>
      <c r="N12" s="48" t="b">
        <v>1</v>
      </c>
      <c r="O12" s="48" t="b">
        <v>1</v>
      </c>
      <c r="P12" s="40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Q12" s="40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R12" s="40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S12" s="42">
        <v>24502</v>
      </c>
      <c r="T12" s="42">
        <v>22703</v>
      </c>
      <c r="U12" s="56">
        <v>46181.845046296294</v>
      </c>
      <c r="V12" s="38" t="s">
        <v>75</v>
      </c>
      <c r="W12" s="38"/>
      <c r="X12" s="45"/>
    </row>
    <row r="13" spans="1:24" s="5" customFormat="1" ht="45">
      <c r="A13" s="61">
        <v>46181</v>
      </c>
      <c r="B13" s="37" t="s">
        <v>60</v>
      </c>
      <c r="C13" s="36" t="s">
        <v>81</v>
      </c>
      <c r="D13" s="36" t="s">
        <v>62</v>
      </c>
      <c r="E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3" s="38" t="s">
        <v>63</v>
      </c>
      <c r="G13" s="48" t="b">
        <v>1</v>
      </c>
      <c r="H13" s="48" t="b">
        <v>1</v>
      </c>
      <c r="I13" s="48" t="b">
        <v>1</v>
      </c>
      <c r="J13" s="48" t="b">
        <v>1</v>
      </c>
      <c r="K13" s="48" t="b">
        <v>1</v>
      </c>
      <c r="L13" s="48" t="b">
        <v>1</v>
      </c>
      <c r="M13" s="48" t="b">
        <v>1</v>
      </c>
      <c r="N13" s="48" t="b">
        <v>1</v>
      </c>
      <c r="O13" s="48" t="b">
        <v>1</v>
      </c>
      <c r="P13" s="40" t="str">
        <f ca="1">HYPERLINK("https://jira.adorama.com/browse/MKT-103105",IF(AND(ISNUMBER(EmailCampaignsTable[[#This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Time]],1),0)+7),"JIRA","https://jira.adorama.com/browse/MKT-103105"))</f>
        <v>https://jira.adorama.com/browse/MKT-103105</v>
      </c>
      <c r="Q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Time]],1),0)+7),"ClickUp","https://app.clickup.com/t/9010122869/86ahv69f9"))</f>
        <v>https://app.clickup.com/t/9010122869/86ahv69f9</v>
      </c>
      <c r="R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Time]],1),0)+7),"Bluecore/Attentive","https://app.clickup.com/t/9010122869/86ahv69f9"))</f>
        <v>https://app.clickup.com/t/9010122869/86ahv69f9</v>
      </c>
      <c r="S13" s="42">
        <v>542442</v>
      </c>
      <c r="T13" s="42">
        <v>449763</v>
      </c>
      <c r="U13" s="56">
        <v>46181.845057870371</v>
      </c>
      <c r="V13" s="38" t="s">
        <v>75</v>
      </c>
      <c r="W13" s="38"/>
      <c r="X13" s="45"/>
    </row>
    <row r="14" spans="1:24" s="5" customFormat="1" ht="71.25">
      <c r="A14" s="61">
        <v>46181</v>
      </c>
      <c r="B14" s="37" t="s">
        <v>60</v>
      </c>
      <c r="C14" s="36" t="s">
        <v>82</v>
      </c>
      <c r="D14" s="36" t="s">
        <v>62</v>
      </c>
      <c r="E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4" s="38" t="s">
        <v>63</v>
      </c>
      <c r="G14" s="48" t="b">
        <v>1</v>
      </c>
      <c r="H14" s="48" t="b">
        <v>1</v>
      </c>
      <c r="I14" s="48" t="b">
        <v>1</v>
      </c>
      <c r="J14" s="48" t="b">
        <v>1</v>
      </c>
      <c r="K14" s="48" t="b">
        <v>1</v>
      </c>
      <c r="L14" s="48" t="b">
        <v>1</v>
      </c>
      <c r="M14" s="48" t="b">
        <v>1</v>
      </c>
      <c r="N14" s="48" t="b">
        <v>1</v>
      </c>
      <c r="O14" s="48" t="b">
        <v>1</v>
      </c>
      <c r="P14" s="40" t="str">
        <f ca="1">HYPERLINK("https://jira.adorama.com/browse/MKT-103301",IF(AND(ISNUMBER(EmailCampaignsTable[[#This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Time]],1),0)+7),"JIRA","https://jira.adorama.com/browse/MKT-103301"))</f>
        <v>https://jira.adorama.com/browse/MKT-103301</v>
      </c>
      <c r="Q14" s="40" t="str">
        <f ca="1">HYPERLINK("https://app.clickup.com/t/9010122869/86ahx8ewb",IF(AND(ISNUMBER(EmailCampaignsTable[[#This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Time]],1),0)+7),"ClickUp","https://app.clickup.com/t/9010122869/86ahx8ewb"))</f>
        <v>https://app.clickup.com/t/9010122869/86ahx8ewb</v>
      </c>
      <c r="R14" s="40" t="str">
        <f ca="1">HYPERLINK("https://app.bluecore.com/admin/campaigns/adorama/4926905073393664",IF(AND(ISNUMBER(EmailCampaignsTable[[#This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Time]],1),0)+7),"Bluecore/Attentive","https://app.bluecore.com/admin/campaigns/adorama/4926905073393664"))</f>
        <v>https://app.bluecore.com/admin/campaigns/adorama/4926905073393664</v>
      </c>
      <c r="S14" s="42">
        <v>1134157</v>
      </c>
      <c r="T14" s="42">
        <v>1091151</v>
      </c>
      <c r="U14" s="56">
        <v>46181.845092592594</v>
      </c>
      <c r="V14" s="38" t="s">
        <v>75</v>
      </c>
      <c r="W14" s="38"/>
      <c r="X14" s="45"/>
    </row>
    <row r="15" spans="1:24" s="5" customFormat="1" ht="71.25">
      <c r="A15" s="61">
        <v>46182</v>
      </c>
      <c r="B15" s="37" t="s">
        <v>60</v>
      </c>
      <c r="C15" s="36" t="s">
        <v>83</v>
      </c>
      <c r="D15" s="36" t="s">
        <v>78</v>
      </c>
      <c r="E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5" s="38" t="s">
        <v>70</v>
      </c>
      <c r="G15" s="48" t="b">
        <v>1</v>
      </c>
      <c r="H15" s="48" t="b">
        <v>1</v>
      </c>
      <c r="I15" s="48" t="b">
        <v>1</v>
      </c>
      <c r="J15" s="48" t="b">
        <v>1</v>
      </c>
      <c r="K15" s="48" t="b">
        <v>1</v>
      </c>
      <c r="L15" s="48" t="b">
        <v>1</v>
      </c>
      <c r="M15" s="48" t="b">
        <v>1</v>
      </c>
      <c r="N15" s="48" t="b">
        <v>1</v>
      </c>
      <c r="O15" s="48" t="b">
        <v>1</v>
      </c>
      <c r="P15" s="40" t="str">
        <f ca="1">HYPERLINK("https://jira.adorama.com/browse/MKT-103103",IF(AND(ISNUMBER(EmailCampaignsTable[[#This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Time]],1),0)+7),"JIRA","https://jira.adorama.com/browse/MKT-103103"))</f>
        <v>https://jira.adorama.com/browse/MKT-103103</v>
      </c>
      <c r="Q15" s="40" t="str">
        <f ca="1">HYPERLINK("https://app.clickup.com/t/9010122869/86ahv69fe",IF(AND(ISNUMBER(EmailCampaignsTable[[#This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Time]],1),0)+7),"ClickUp","https://app.clickup.com/t/9010122869/86ahv69fe"))</f>
        <v>https://app.clickup.com/t/9010122869/86ahv69fe</v>
      </c>
      <c r="R15" s="40" t="str">
        <f ca="1">HYPERLINK("https://app.bluecore.com/admin/campaigns/adorama/6635126578339840",IF(AND(ISNUMBER(EmailCampaignsTable[[#This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Time]],1),0)+7),"Bluecore/Attentive","https://app.bluecore.com/admin/campaigns/adorama/6635126578339840"))</f>
        <v>https://app.bluecore.com/admin/campaigns/adorama/6635126578339840</v>
      </c>
      <c r="S15" s="42">
        <v>45047</v>
      </c>
      <c r="T15" s="42">
        <v>46149</v>
      </c>
      <c r="U15" s="56">
        <v>46187.61210648148</v>
      </c>
      <c r="V15" s="38" t="s">
        <v>75</v>
      </c>
      <c r="W15" s="38"/>
      <c r="X15" s="45"/>
    </row>
    <row r="16" spans="1:24" s="5" customFormat="1" ht="71.25">
      <c r="A16" s="61">
        <v>46182</v>
      </c>
      <c r="B16" s="37">
        <v>0.78125</v>
      </c>
      <c r="C16" s="36" t="s">
        <v>215</v>
      </c>
      <c r="D16" s="36" t="s">
        <v>97</v>
      </c>
      <c r="E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6" s="38" t="s">
        <v>63</v>
      </c>
      <c r="G16" s="48" t="b">
        <v>1</v>
      </c>
      <c r="H16" s="48" t="b">
        <v>1</v>
      </c>
      <c r="I16" s="48" t="b">
        <v>1</v>
      </c>
      <c r="J16" s="48" t="b">
        <v>1</v>
      </c>
      <c r="K16" s="48" t="b">
        <v>1</v>
      </c>
      <c r="L16" s="48" t="b">
        <v>1</v>
      </c>
      <c r="M16" s="48" t="b">
        <v>1</v>
      </c>
      <c r="N16" s="48" t="b">
        <v>1</v>
      </c>
      <c r="O16" s="48" t="b">
        <v>1</v>
      </c>
      <c r="P16" s="40" t="str">
        <f ca="1">HYPERLINK("https://jira.adorama.com/browse/MKT-103371",IF(AND(ISNUMBER(EmailCampaignsTable[[#This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Time]],1),0)+7),"JIRA","https://jira.adorama.com/browse/MKT-103371"))</f>
        <v>https://jira.adorama.com/browse/MKT-103371</v>
      </c>
      <c r="Q16" s="36" t="s">
        <v>2</v>
      </c>
      <c r="R16" s="40" t="str">
        <f ca="1">HYPERLINK("https://app.bluecore.com/admin/campaigns/adorama/6087564217671680",IF(AND(ISNUMBER(EmailCampaignsTable[[#This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Time]],1),0)+7),"Bluecore/Attentive","https://app.bluecore.com/admin/campaigns/adorama/6087564217671680"))</f>
        <v>https://app.bluecore.com/admin/campaigns/adorama/6087564217671680</v>
      </c>
      <c r="S16" s="42">
        <v>273019</v>
      </c>
      <c r="T16" s="42">
        <v>271680</v>
      </c>
      <c r="U16" s="56">
        <v>46187.612222222226</v>
      </c>
      <c r="V16" s="38" t="s">
        <v>75</v>
      </c>
      <c r="W16" s="38"/>
      <c r="X16" s="45"/>
    </row>
    <row r="17" spans="1:24" s="5" customFormat="1" ht="71.25">
      <c r="A17" s="61">
        <v>46183</v>
      </c>
      <c r="B17" s="37" t="s">
        <v>60</v>
      </c>
      <c r="C17" s="36" t="s">
        <v>216</v>
      </c>
      <c r="D17" s="36" t="s">
        <v>69</v>
      </c>
      <c r="E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7" s="38" t="s">
        <v>63</v>
      </c>
      <c r="G17" s="48" t="b">
        <v>1</v>
      </c>
      <c r="H17" s="48" t="b">
        <v>1</v>
      </c>
      <c r="I17" s="48" t="b">
        <v>1</v>
      </c>
      <c r="J17" s="48" t="b">
        <v>1</v>
      </c>
      <c r="K17" s="48" t="b">
        <v>1</v>
      </c>
      <c r="L17" s="48" t="b">
        <v>1</v>
      </c>
      <c r="M17" s="48" t="b">
        <v>1</v>
      </c>
      <c r="N17" s="48" t="b">
        <v>1</v>
      </c>
      <c r="O17" s="48" t="b">
        <v>1</v>
      </c>
      <c r="P17" s="40" t="str">
        <f ca="1">HYPERLINK("https://jira.adorama.com/browse/MKT-103106",IF(AND(ISNUMBER(EmailCampaignsTable[[#This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Time]],1),0)+7),"JIRA","https://jira.adorama.com/browse/MKT-103106"))</f>
        <v>https://jira.adorama.com/browse/MKT-103106</v>
      </c>
      <c r="Q17" s="40" t="str">
        <f ca="1">HYPERLINK("https://app.clickup.com/t/9010122869/86ahv69fj",IF(AND(ISNUMBER(EmailCampaignsTable[[#This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Time]],1),0)+7),"ClickUp","https://app.clickup.com/t/9010122869/86ahv69fj"))</f>
        <v>https://app.clickup.com/t/9010122869/86ahv69fj</v>
      </c>
      <c r="R17" s="40" t="str">
        <f ca="1">HYPERLINK("https://app.bluecore.com/admin/campaigns/adorama/5289607948001280",IF(AND(ISNUMBER(EmailCampaignsTable[[#This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Time]],1),0)+7),"Bluecore/Attentive","https://app.bluecore.com/admin/campaigns/adorama/5289607948001280"))</f>
        <v>https://app.bluecore.com/admin/campaigns/adorama/5289607948001280</v>
      </c>
      <c r="S17" s="42">
        <v>397290</v>
      </c>
      <c r="T17" s="42">
        <v>374775</v>
      </c>
      <c r="U17" s="56">
        <v>46187.67931712963</v>
      </c>
      <c r="V17" s="38" t="s">
        <v>75</v>
      </c>
      <c r="W17" s="38"/>
      <c r="X17" s="45"/>
    </row>
    <row r="18" spans="1:24" s="5" customFormat="1" ht="71.25">
      <c r="A18" s="61">
        <v>46184</v>
      </c>
      <c r="B18" s="37" t="s">
        <v>60</v>
      </c>
      <c r="C18" s="36" t="s">
        <v>253</v>
      </c>
      <c r="D18" s="36" t="s">
        <v>65</v>
      </c>
      <c r="E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8" s="38" t="s">
        <v>63</v>
      </c>
      <c r="G18" s="48" t="b">
        <v>1</v>
      </c>
      <c r="H18" s="48" t="b">
        <v>1</v>
      </c>
      <c r="I18" s="48" t="b">
        <v>1</v>
      </c>
      <c r="J18" s="48" t="b">
        <v>1</v>
      </c>
      <c r="K18" s="48" t="b">
        <v>1</v>
      </c>
      <c r="L18" s="48" t="b">
        <v>1</v>
      </c>
      <c r="M18" s="48" t="b">
        <v>1</v>
      </c>
      <c r="N18" s="48" t="b">
        <v>1</v>
      </c>
      <c r="O18" s="48" t="b">
        <v>1</v>
      </c>
      <c r="P18" s="40" t="str">
        <f ca="1">HYPERLINK("https://jira.adorama.com/browse/MKT-103185",IF(AND(ISNUMBER(EmailCampaignsTable[[#This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Time]],1),0)+7),"JIRA","https://jira.adorama.com/browse/MKT-103185"))</f>
        <v>https://jira.adorama.com/browse/MKT-103185</v>
      </c>
      <c r="Q18" s="40" t="str">
        <f ca="1">HYPERLINK("https://app.clickup.com/t/9010122869/86ahwyey7",IF(AND(ISNUMBER(EmailCampaignsTable[[#This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Time]],1),0)+7),"ClickUp","https://app.clickup.com/t/9010122869/86ahwyey7"))</f>
        <v>https://app.clickup.com/t/9010122869/86ahwyey7</v>
      </c>
      <c r="R18" s="40" t="str">
        <f ca="1">HYPERLINK("https://app.bluecore.com/admin/campaigns/adorama/5285349538258944",IF(AND(ISNUMBER(EmailCampaignsTable[[#This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Time]],1),0)+7),"Bluecore/Attentive","https://app.bluecore.com/admin/campaigns/adorama/5285349538258944"))</f>
        <v>https://app.bluecore.com/admin/campaigns/adorama/5285349538258944</v>
      </c>
      <c r="S18" s="42">
        <v>6210</v>
      </c>
      <c r="T18" s="42">
        <v>6193</v>
      </c>
      <c r="U18" s="56">
        <v>46187.681747685187</v>
      </c>
      <c r="V18" s="38" t="s">
        <v>75</v>
      </c>
      <c r="W18" s="38"/>
      <c r="X18" s="45"/>
    </row>
    <row r="19" spans="1:24" s="5" customFormat="1" ht="85.5">
      <c r="A19" s="61">
        <v>46184</v>
      </c>
      <c r="B19" s="37" t="s">
        <v>60</v>
      </c>
      <c r="C19" s="36" t="s">
        <v>254</v>
      </c>
      <c r="D19" s="36" t="s">
        <v>65</v>
      </c>
      <c r="E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9" s="38" t="s">
        <v>63</v>
      </c>
      <c r="G19" s="48" t="b">
        <v>1</v>
      </c>
      <c r="H19" s="48" t="b">
        <v>1</v>
      </c>
      <c r="I19" s="48" t="b">
        <v>1</v>
      </c>
      <c r="J19" s="48" t="b">
        <v>1</v>
      </c>
      <c r="K19" s="48" t="b">
        <v>1</v>
      </c>
      <c r="L19" s="48" t="b">
        <v>1</v>
      </c>
      <c r="M19" s="48" t="b">
        <v>1</v>
      </c>
      <c r="N19" s="48" t="b">
        <v>1</v>
      </c>
      <c r="O19" s="48" t="b">
        <v>1</v>
      </c>
      <c r="P19" s="40" t="str">
        <f ca="1">HYPERLINK("https://jira.adorama.com/browse/MKT-102097",IF(AND(ISNUMBER(EmailCampaignsTable[[#This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Time]],1),0)+7),"JIRA","https://jira.adorama.com/browse/MKT-102097"))</f>
        <v>https://jira.adorama.com/browse/MKT-102097</v>
      </c>
      <c r="Q19" s="40" t="str">
        <f ca="1">HYPERLINK("https://app.clickup.com/t/9010122869/86ahwyeyb",IF(AND(ISNUMBER(EmailCampaignsTable[[#This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Time]],1),0)+7),"ClickUp","https://app.clickup.com/t/9010122869/86ahwyeyb"))</f>
        <v>https://app.clickup.com/t/9010122869/86ahwyeyb</v>
      </c>
      <c r="R19" s="40" t="str">
        <f ca="1">HYPERLINK("https://app.bluecore.com/admin/campaigns/adorama/5642474475085824?viewTab=summary",IF(AND(ISNUMBER(EmailCampaignsTable[[#This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Time]],1),0)+7),"Bluecore/Attentive","https://app.bluecore.com/admin/campaigns/adorama/5642474475085824?viewTab=summary"))</f>
        <v>https://app.bluecore.com/admin/campaigns/adorama/5642474475085824?viewTab=summary</v>
      </c>
      <c r="S19" s="42">
        <v>303</v>
      </c>
      <c r="T19" s="42">
        <v>314</v>
      </c>
      <c r="U19" s="56">
        <v>46187.683125000003</v>
      </c>
      <c r="V19" s="38" t="s">
        <v>75</v>
      </c>
      <c r="W19" s="38"/>
      <c r="X19" s="45"/>
    </row>
    <row r="20" spans="1:24" s="5" customFormat="1" ht="71.25">
      <c r="A20" s="61">
        <v>46185</v>
      </c>
      <c r="B20" s="37">
        <v>0.33333333333333331</v>
      </c>
      <c r="C20" s="36" t="s">
        <v>255</v>
      </c>
      <c r="D20" s="36" t="s">
        <v>62</v>
      </c>
      <c r="E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0" s="38" t="s">
        <v>70</v>
      </c>
      <c r="G20" s="48" t="b">
        <v>1</v>
      </c>
      <c r="H20" s="48" t="b">
        <v>1</v>
      </c>
      <c r="I20" s="48" t="b">
        <v>1</v>
      </c>
      <c r="J20" s="48" t="b">
        <v>1</v>
      </c>
      <c r="K20" s="48" t="b">
        <v>1</v>
      </c>
      <c r="L20" s="48" t="b">
        <v>1</v>
      </c>
      <c r="M20" s="48" t="b">
        <v>1</v>
      </c>
      <c r="N20" s="48" t="b">
        <v>1</v>
      </c>
      <c r="O20" s="48" t="b">
        <v>1</v>
      </c>
      <c r="P20" s="40" t="str">
        <f ca="1">HYPERLINK("https://jira.adorama.com/browse/MKT-103155",IF(AND(ISNUMBER(EmailCampaignsTable[[#This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Time]],1),0)+7),"JIRA","https://jira.adorama.com/browse/MKT-103155"))</f>
        <v>https://jira.adorama.com/browse/MKT-103155</v>
      </c>
      <c r="Q20" s="40" t="str">
        <f ca="1">HYPERLINK("https://app.clickup.com/t/9010122869/86ahv69fr",IF(AND(ISNUMBER(EmailCampaignsTable[[#This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Time]],1),0)+7),"ClickUp","https://app.clickup.com/t/9010122869/86ahv69fr"))</f>
        <v>https://app.clickup.com/t/9010122869/86ahv69fr</v>
      </c>
      <c r="R20" s="40" t="str">
        <f ca="1">HYPERLINK("https://app.bluecore.com/admin/campaigns/adorama/5227436333457408",IF(AND(ISNUMBER(EmailCampaignsTable[[#This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Time]],1),0)+7),"Bluecore/Attentive","https://app.bluecore.com/admin/campaigns/adorama/5227436333457408"))</f>
        <v>https://app.bluecore.com/admin/campaigns/adorama/5227436333457408</v>
      </c>
      <c r="S20" s="42" t="s">
        <v>256</v>
      </c>
      <c r="T20" s="42">
        <v>503795</v>
      </c>
      <c r="U20" s="56">
        <v>46187.684583333335</v>
      </c>
      <c r="V20" s="38" t="s">
        <v>75</v>
      </c>
      <c r="W20" s="38"/>
      <c r="X20" s="45"/>
    </row>
    <row r="21" spans="1:24" s="5" customFormat="1" ht="71.25">
      <c r="A21" s="61">
        <v>46185</v>
      </c>
      <c r="B21" s="37">
        <v>0.625</v>
      </c>
      <c r="C21" s="26" t="s">
        <v>257</v>
      </c>
      <c r="D21" s="36" t="s">
        <v>62</v>
      </c>
      <c r="E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1" s="38" t="s">
        <v>63</v>
      </c>
      <c r="G21" s="48" t="b">
        <v>1</v>
      </c>
      <c r="H21" s="48" t="b">
        <v>1</v>
      </c>
      <c r="I21" s="48" t="b">
        <v>1</v>
      </c>
      <c r="J21" s="48" t="b">
        <v>1</v>
      </c>
      <c r="K21" s="48" t="b">
        <v>1</v>
      </c>
      <c r="L21" s="48" t="b">
        <v>1</v>
      </c>
      <c r="M21" s="48" t="b">
        <v>1</v>
      </c>
      <c r="N21" s="48" t="b">
        <v>1</v>
      </c>
      <c r="O21" s="48" t="b">
        <v>1</v>
      </c>
      <c r="P21" s="36" t="s">
        <v>2</v>
      </c>
      <c r="Q21" s="40" t="str">
        <f ca="1">HYPERLINK("https://app.clickup.com/t/9010122869/86aj0k0dv",IF(AND(ISNUMBER(EmailCampaignsTable[[#This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Time]],1),0)+7),"ClickUp","https://app.clickup.com/t/9010122869/86aj0k0dv"))</f>
        <v>https://app.clickup.com/t/9010122869/86aj0k0dv</v>
      </c>
      <c r="R21" s="40" t="str">
        <f ca="1">HYPERLINK("https://app.bluecore.com/admin/campaigns/adorama/6438219826454528",IF(AND(ISNUMBER(EmailCampaignsTable[[#This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Time]],1),0)+7),"Bluecore/Attentive","https://app.bluecore.com/admin/campaigns/adorama/6438219826454528"))</f>
        <v>https://app.bluecore.com/admin/campaigns/adorama/6438219826454528</v>
      </c>
      <c r="S21" s="42">
        <v>183263</v>
      </c>
      <c r="T21" s="42">
        <v>179052</v>
      </c>
      <c r="U21" s="56">
        <v>46187.687731481485</v>
      </c>
      <c r="V21" s="38" t="s">
        <v>75</v>
      </c>
      <c r="W21" s="38"/>
      <c r="X21" s="45"/>
    </row>
    <row r="22" spans="1:24" s="5" customFormat="1" ht="85.5">
      <c r="A22" s="61">
        <v>46186</v>
      </c>
      <c r="B22" s="37">
        <v>0.91666666666666663</v>
      </c>
      <c r="C22" s="36" t="s">
        <v>258</v>
      </c>
      <c r="D22" s="36" t="s">
        <v>78</v>
      </c>
      <c r="E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2" s="38" t="s">
        <v>63</v>
      </c>
      <c r="G22" s="48" t="b">
        <v>1</v>
      </c>
      <c r="H22" s="48" t="b">
        <v>1</v>
      </c>
      <c r="I22" s="48" t="b">
        <v>1</v>
      </c>
      <c r="J22" s="48" t="b">
        <v>1</v>
      </c>
      <c r="K22" s="48" t="b">
        <v>1</v>
      </c>
      <c r="L22" s="48" t="b">
        <v>1</v>
      </c>
      <c r="M22" s="48" t="b">
        <v>1</v>
      </c>
      <c r="N22" s="48" t="b">
        <v>1</v>
      </c>
      <c r="O22" s="48" t="b">
        <v>1</v>
      </c>
      <c r="P22" s="40" t="str">
        <f ca="1">HYPERLINK("https://jira.adorama.com/browse/MKT-103292",IF(AND(ISNUMBER(EmailCampaignsTable[[#This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Time]],1),0)+7),"JIRA","https://jira.adorama.com/browse/MKT-103292"))</f>
        <v>https://jira.adorama.com/browse/MKT-103292</v>
      </c>
      <c r="Q22" s="40" t="str">
        <f ca="1">HYPERLINK("https://app.clickup.com/t/9010122869/86ahv69g0",IF(AND(ISNUMBER(EmailCampaignsTable[[#This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Time]],1),0)+7),"ClickUp","https://app.clickup.com/t/9010122869/86ahv69g0"))</f>
        <v>https://app.clickup.com/t/9010122869/86ahv69g0</v>
      </c>
      <c r="R22" s="40" t="str">
        <f ca="1">HYPERLINK("https://app.bluecore.com/admin/campaigns/adorama/6684665553215488?viewTab=summary",IF(AND(ISNUMBER(EmailCampaignsTable[[#This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Time]],1),0)+7),"Bluecore/Attentive","https://app.bluecore.com/admin/campaigns/adorama/6684665553215488?viewTab=summary"))</f>
        <v>https://app.bluecore.com/admin/campaigns/adorama/6684665553215488?viewTab=summary</v>
      </c>
      <c r="S22" s="42">
        <v>289363</v>
      </c>
      <c r="T22" s="42">
        <v>256988</v>
      </c>
      <c r="U22" s="56">
        <v>46187.694918981484</v>
      </c>
      <c r="V22" s="38" t="s">
        <v>75</v>
      </c>
      <c r="W22" s="38"/>
      <c r="X22" s="45"/>
    </row>
    <row r="23" spans="1:24" s="5" customFormat="1" ht="71.25">
      <c r="A23" s="61">
        <v>46187</v>
      </c>
      <c r="B23" s="37">
        <v>0.375</v>
      </c>
      <c r="C23" s="36" t="s">
        <v>259</v>
      </c>
      <c r="D23" s="36" t="s">
        <v>80</v>
      </c>
      <c r="E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3" s="38" t="s">
        <v>63</v>
      </c>
      <c r="G23" s="48" t="b">
        <v>1</v>
      </c>
      <c r="H23" s="48" t="b">
        <v>1</v>
      </c>
      <c r="I23" s="48" t="b">
        <v>1</v>
      </c>
      <c r="J23" s="48" t="b">
        <v>1</v>
      </c>
      <c r="K23" s="48" t="b">
        <v>1</v>
      </c>
      <c r="L23" s="48" t="b">
        <v>1</v>
      </c>
      <c r="M23" s="48" t="b">
        <v>1</v>
      </c>
      <c r="N23" s="48" t="b">
        <v>1</v>
      </c>
      <c r="O23" s="48" t="b">
        <v>1</v>
      </c>
      <c r="P23" s="40" t="str">
        <f ca="1">HYPERLINK("https://jira.adorama.com/browse/MKT-103306",IF(AND(ISNUMBER(EmailCampaignsTable[[#This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Time]],1),0)+7),"JIRA","https://jira.adorama.com/browse/MKT-103306"))</f>
        <v>https://jira.adorama.com/browse/MKT-103306</v>
      </c>
      <c r="Q23" s="40" t="str">
        <f ca="1">HYPERLINK("https://app.clickup.com/t/9010122869/86ahv69g7",IF(AND(ISNUMBER(EmailCampaignsTable[[#This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Time]],1),0)+7),"ClickUp","https://app.clickup.com/t/9010122869/86ahv69g7"))</f>
        <v>https://app.clickup.com/t/9010122869/86ahv69g7</v>
      </c>
      <c r="R23" s="40" t="str">
        <f ca="1">HYPERLINK("https://app.bluecore.com/admin/campaigns/adorama/4713774384537600",IF(AND(ISNUMBER(EmailCampaignsTable[[#This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Time]],1),0)+7),"Bluecore/Attentive","https://app.bluecore.com/admin/campaigns/adorama/4713774384537600"))</f>
        <v>https://app.bluecore.com/admin/campaigns/adorama/4713774384537600</v>
      </c>
      <c r="S23" s="42">
        <v>115062</v>
      </c>
      <c r="T23" s="42">
        <v>115305</v>
      </c>
      <c r="U23" s="56">
        <v>46187.699340277781</v>
      </c>
      <c r="V23" s="38" t="s">
        <v>75</v>
      </c>
      <c r="W23" s="38"/>
      <c r="X23" s="45"/>
    </row>
    <row r="24" spans="1:24" s="5" customFormat="1" ht="85.5">
      <c r="A24" s="61">
        <v>46187</v>
      </c>
      <c r="B24" s="37">
        <v>0.41666666666666669</v>
      </c>
      <c r="C24" s="36" t="s">
        <v>260</v>
      </c>
      <c r="D24" s="36" t="s">
        <v>80</v>
      </c>
      <c r="E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4" s="38" t="s">
        <v>70</v>
      </c>
      <c r="G24" s="48" t="b">
        <v>1</v>
      </c>
      <c r="H24" s="48" t="b">
        <v>1</v>
      </c>
      <c r="I24" s="48" t="b">
        <v>1</v>
      </c>
      <c r="J24" s="48" t="b">
        <v>1</v>
      </c>
      <c r="K24" s="48" t="b">
        <v>1</v>
      </c>
      <c r="L24" s="48" t="b">
        <v>1</v>
      </c>
      <c r="M24" s="48" t="b">
        <v>1</v>
      </c>
      <c r="N24" s="48" t="b">
        <v>1</v>
      </c>
      <c r="O24" s="48" t="b">
        <v>1</v>
      </c>
      <c r="P24" s="40" t="str">
        <f ca="1">HYPERLINK("https://jira.adorama.com/browse/MKT-103361",IF(AND(ISNUMBER(EmailCampaignsTable[[#This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Time]],1),0)+7),"JIRA","https://jira.adorama.com/browse/MKT-103361"))</f>
        <v>https://jira.adorama.com/browse/MKT-103361</v>
      </c>
      <c r="Q24" s="40" t="str">
        <f ca="1">HYPERLINK("https://app.clickup.com/t/9010122869/86aj0erre",IF(AND(ISNUMBER(EmailCampaignsTable[[#This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Time]],1),0)+7),"ClickUp","https://app.clickup.com/t/9010122869/86aj0erre"))</f>
        <v>https://app.clickup.com/t/9010122869/86aj0erre</v>
      </c>
      <c r="R24" s="40" t="str">
        <f ca="1">HYPERLINK("https://app.bluecore.com/admin/campaigns/adorama/5363057140031488?viewTab=summary",IF(AND(ISNUMBER(EmailCampaignsTable[[#This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Time]],1),0)+7),"Bluecore/Attentive","https://app.bluecore.com/admin/campaigns/adorama/5363057140031488?viewTab=summary"))</f>
        <v>https://app.bluecore.com/admin/campaigns/adorama/5363057140031488?viewTab=summary</v>
      </c>
      <c r="S24" s="42">
        <v>117291</v>
      </c>
      <c r="T24" s="42">
        <v>105495</v>
      </c>
      <c r="U24" s="56">
        <v>46187.702349537038</v>
      </c>
      <c r="V24" s="38" t="s">
        <v>75</v>
      </c>
      <c r="W24" s="38"/>
      <c r="X24" s="45"/>
    </row>
    <row r="25" spans="1:24" s="5" customFormat="1" ht="71.25">
      <c r="A25" s="61">
        <v>46188</v>
      </c>
      <c r="B25" s="37">
        <v>0.29166666666666669</v>
      </c>
      <c r="C25" s="36" t="s">
        <v>261</v>
      </c>
      <c r="D25" s="36" t="s">
        <v>62</v>
      </c>
      <c r="E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5" s="38" t="s">
        <v>63</v>
      </c>
      <c r="G25" s="48" t="b">
        <v>1</v>
      </c>
      <c r="H25" s="48" t="b">
        <v>1</v>
      </c>
      <c r="I25" s="48" t="b">
        <v>1</v>
      </c>
      <c r="J25" s="48" t="b">
        <v>1</v>
      </c>
      <c r="K25" s="48" t="b">
        <v>1</v>
      </c>
      <c r="L25" s="48" t="b">
        <v>1</v>
      </c>
      <c r="M25" s="48" t="b">
        <v>1</v>
      </c>
      <c r="N25" s="48" t="b">
        <v>1</v>
      </c>
      <c r="O25" s="48" t="b">
        <v>1</v>
      </c>
      <c r="P25" s="40" t="str">
        <f ca="1">HYPERLINK("https://jira.adorama.com/browse/MKT-103362",IF(AND(ISNUMBER(EmailCampaignsTable[[#This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Time]],1),0)+7),"JIRA","https://jira.adorama.com/browse/MKT-103362"))</f>
        <v>https://jira.adorama.com/browse/MKT-103362</v>
      </c>
      <c r="Q25" s="40" t="str">
        <f ca="1">HYPERLINK("https://app.clickup.com/t/9010122869/86ahv69gh",IF(AND(ISNUMBER(EmailCampaignsTable[[#This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Time]],1),0)+7),"ClickUp","https://app.clickup.com/t/9010122869/86ahv69gh"))</f>
        <v>https://app.clickup.com/t/9010122869/86ahv69gh</v>
      </c>
      <c r="R25" s="40" t="str">
        <f ca="1">HYPERLINK("https://app.bluecore.com/admin/campaigns/adorama/4706919281188864",IF(AND(ISNUMBER(EmailCampaignsTable[[#This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Time]],1),0)+7),"Bluecore/Attentive","https://app.bluecore.com/admin/campaigns/adorama/4706919281188864"))</f>
        <v>https://app.bluecore.com/admin/campaigns/adorama/4706919281188864</v>
      </c>
      <c r="S25" s="42">
        <v>473869</v>
      </c>
      <c r="T25" s="42"/>
      <c r="U25" s="56">
        <v>46187.704872685186</v>
      </c>
      <c r="V25" s="38" t="s">
        <v>75</v>
      </c>
      <c r="W25" s="38"/>
      <c r="X25" s="45"/>
    </row>
    <row r="26" spans="1:24" s="5" customFormat="1" ht="45">
      <c r="A26" s="61">
        <v>46190</v>
      </c>
      <c r="B26" s="37" t="s">
        <v>60</v>
      </c>
      <c r="C26" s="36" t="s">
        <v>262</v>
      </c>
      <c r="D26" s="36" t="s">
        <v>69</v>
      </c>
      <c r="E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Segments</v>
      </c>
      <c r="F26" s="38" t="s">
        <v>63</v>
      </c>
      <c r="G26" s="48" t="b">
        <v>1</v>
      </c>
      <c r="H26" s="48" t="b">
        <v>1</v>
      </c>
      <c r="I26" s="48" t="b">
        <v>1</v>
      </c>
      <c r="J26" s="48" t="b">
        <v>0</v>
      </c>
      <c r="K26" s="48" t="b">
        <v>0</v>
      </c>
      <c r="L26" s="48" t="b">
        <v>0</v>
      </c>
      <c r="M26" s="48" t="b">
        <v>0</v>
      </c>
      <c r="N26" s="48" t="b">
        <v>1</v>
      </c>
      <c r="O26" s="48" t="b">
        <v>0</v>
      </c>
      <c r="P26" s="40" t="str">
        <f ca="1">HYPERLINK("https://jira.adorama.com/browse/MKT-103394",IF(AND(ISNUMBER(EmailCampaignsTable[[#This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Time]],1),0)+7),"JIRA","https://jira.adorama.com/browse/MKT-103394"))</f>
        <v>https://jira.adorama.com/browse/MKT-103394</v>
      </c>
      <c r="Q26" s="40" t="str">
        <f ca="1">HYPERLINK("https://app.clickup.com/t/9010122869/86ahyhque",IF(AND(ISNUMBER(EmailCampaignsTable[[#This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Time]],1),0)+7),"ClickUp","https://app.clickup.com/t/9010122869/86ahyhque"))</f>
        <v>https://app.clickup.com/t/9010122869/86ahyhque</v>
      </c>
      <c r="R26" s="36"/>
      <c r="S26" s="42"/>
      <c r="T26" s="42"/>
      <c r="U26" s="56">
        <v>46187.707048611112</v>
      </c>
      <c r="V26" s="38" t="s">
        <v>75</v>
      </c>
      <c r="W26" s="38"/>
      <c r="X26" s="45"/>
    </row>
    <row r="27" spans="1:24" s="5" customFormat="1" ht="42.75">
      <c r="A27" s="68">
        <v>46191</v>
      </c>
      <c r="B27" s="37"/>
      <c r="C27" s="36" t="s">
        <v>128</v>
      </c>
      <c r="D27" s="36" t="s">
        <v>65</v>
      </c>
      <c r="E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SKUs</v>
      </c>
      <c r="F27" s="38" t="s">
        <v>63</v>
      </c>
      <c r="G27" s="48" t="b">
        <v>0</v>
      </c>
      <c r="H27" s="48" t="b">
        <v>0</v>
      </c>
      <c r="I27" s="48" t="b">
        <v>1</v>
      </c>
      <c r="J27" s="48" t="b">
        <v>0</v>
      </c>
      <c r="K27" s="48" t="b">
        <v>0</v>
      </c>
      <c r="L27" s="48" t="b">
        <v>0</v>
      </c>
      <c r="M27" s="48" t="b">
        <v>0</v>
      </c>
      <c r="N27" s="48" t="b">
        <v>0</v>
      </c>
      <c r="O27" s="48" t="b">
        <v>0</v>
      </c>
      <c r="P27" s="69"/>
      <c r="Q27" s="40" t="str">
        <f ca="1">HYPERLINK("https://app.clickup.com/t/9010122869/86ahyhquj",IF(AND(ISNUMBER(EmailCampaignsTable[[#This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Time]],1),0)+7),"ClickUp","https://app.clickup.com/t/9010122869/86ahyhquj"))</f>
        <v>https://app.clickup.com/t/9010122869/86ahyhquj</v>
      </c>
      <c r="R27" s="36"/>
      <c r="S27" s="42"/>
      <c r="T27" s="42"/>
      <c r="U27" s="56">
        <v>46187.720983796295</v>
      </c>
      <c r="V27" s="38" t="s">
        <v>75</v>
      </c>
      <c r="W27" s="70"/>
      <c r="X27" s="45"/>
    </row>
    <row r="28" spans="1:24" s="5" customFormat="1" ht="42.75">
      <c r="A28" s="68">
        <v>46192</v>
      </c>
      <c r="B28" s="37"/>
      <c r="C28" s="36" t="s">
        <v>128</v>
      </c>
      <c r="D28" s="36" t="s">
        <v>62</v>
      </c>
      <c r="E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SKUs</v>
      </c>
      <c r="F28" s="38" t="s">
        <v>63</v>
      </c>
      <c r="G28" s="48" t="b">
        <v>0</v>
      </c>
      <c r="H28" s="48" t="b">
        <v>0</v>
      </c>
      <c r="I28" s="48" t="b">
        <v>1</v>
      </c>
      <c r="J28" s="48" t="b">
        <v>0</v>
      </c>
      <c r="K28" s="48" t="b">
        <v>0</v>
      </c>
      <c r="L28" s="48" t="b">
        <v>0</v>
      </c>
      <c r="M28" s="48" t="b">
        <v>0</v>
      </c>
      <c r="N28" s="48" t="b">
        <v>0</v>
      </c>
      <c r="O28" s="48" t="b">
        <v>0</v>
      </c>
      <c r="P28" s="69"/>
      <c r="Q28" s="40" t="str">
        <f ca="1">HYPERLINK("https://app.clickup.com/t/9010122869/86ahyhqum",IF(AND(ISNUMBER(EmailCampaignsTable[[#This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Time]],1),0)+7),"ClickUp","https://app.clickup.com/t/9010122869/86ahyhqum"))</f>
        <v>https://app.clickup.com/t/9010122869/86ahyhqum</v>
      </c>
      <c r="R28" s="36"/>
      <c r="S28" s="42"/>
      <c r="T28" s="42"/>
      <c r="U28" s="56">
        <v>46187.721018518518</v>
      </c>
      <c r="V28" s="38" t="s">
        <v>75</v>
      </c>
      <c r="W28" s="70"/>
      <c r="X28" s="45"/>
    </row>
    <row r="29" spans="1:24" s="5" customFormat="1" ht="42.75">
      <c r="A29" s="61">
        <v>46193</v>
      </c>
      <c r="B29" s="37"/>
      <c r="C29" s="36" t="s">
        <v>128</v>
      </c>
      <c r="D29" s="36" t="s">
        <v>78</v>
      </c>
      <c r="E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29" s="38" t="s">
        <v>63</v>
      </c>
      <c r="G29" s="48" t="b">
        <v>0</v>
      </c>
      <c r="H29" s="48" t="b">
        <v>0</v>
      </c>
      <c r="I29" s="48" t="b">
        <v>0</v>
      </c>
      <c r="J29" s="48" t="b">
        <v>0</v>
      </c>
      <c r="K29" s="48" t="b">
        <v>0</v>
      </c>
      <c r="L29" s="48" t="b">
        <v>0</v>
      </c>
      <c r="M29" s="48" t="b">
        <v>0</v>
      </c>
      <c r="N29" s="48" t="b">
        <v>0</v>
      </c>
      <c r="O29" s="48" t="b">
        <v>0</v>
      </c>
      <c r="P29" s="36"/>
      <c r="Q29" s="40" t="str">
        <f ca="1">HYPERLINK("https://app.clickup.com/t/9010122869/86ahyhqup",IF(AND(ISNUMBER(EmailCampaignsTable[[#This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Time]],1),0)+7),"ClickUp","https://app.clickup.com/t/9010122869/86ahyhqup"))</f>
        <v>https://app.clickup.com/t/9010122869/86ahyhqup</v>
      </c>
      <c r="R29" s="36"/>
      <c r="S29" s="42"/>
      <c r="T29" s="42"/>
      <c r="U29" s="56">
        <v>46187.721747685187</v>
      </c>
      <c r="V29" s="38" t="s">
        <v>75</v>
      </c>
      <c r="W29" s="38"/>
      <c r="X29" s="45"/>
    </row>
    <row r="30" spans="1:24" s="5" customFormat="1" ht="15.75">
      <c r="A30" s="61"/>
      <c r="B30" s="37"/>
      <c r="C30" s="36"/>
      <c r="D30" s="36"/>
      <c r="E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8"/>
      <c r="G30" s="48" t="b">
        <v>0</v>
      </c>
      <c r="H30" s="48" t="b">
        <v>0</v>
      </c>
      <c r="I30" s="48" t="b">
        <v>0</v>
      </c>
      <c r="J30" s="48" t="b">
        <v>0</v>
      </c>
      <c r="K30" s="48" t="b">
        <v>0</v>
      </c>
      <c r="L30" s="48" t="b">
        <v>0</v>
      </c>
      <c r="M30" s="48" t="b">
        <v>0</v>
      </c>
      <c r="N30" s="48" t="b">
        <v>0</v>
      </c>
      <c r="O30" s="48" t="b">
        <v>0</v>
      </c>
      <c r="P30" s="36"/>
      <c r="Q30" s="36"/>
      <c r="R30" s="36"/>
      <c r="S30" s="42"/>
      <c r="T30" s="42"/>
      <c r="U30" s="56">
        <v>46181.841331018521</v>
      </c>
      <c r="V30" s="38" t="s">
        <v>75</v>
      </c>
      <c r="W30" s="38"/>
      <c r="X30" s="45"/>
    </row>
    <row r="31" spans="1:24" s="5" customFormat="1" ht="15.75">
      <c r="A31" s="61"/>
      <c r="B31" s="37"/>
      <c r="C31" s="36"/>
      <c r="D31" s="36"/>
      <c r="E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8"/>
      <c r="G31" s="48" t="b">
        <v>0</v>
      </c>
      <c r="H31" s="48" t="b">
        <v>0</v>
      </c>
      <c r="I31" s="48" t="b">
        <v>0</v>
      </c>
      <c r="J31" s="48" t="b">
        <v>0</v>
      </c>
      <c r="K31" s="48" t="b">
        <v>0</v>
      </c>
      <c r="L31" s="48" t="b">
        <v>0</v>
      </c>
      <c r="M31" s="48" t="b">
        <v>0</v>
      </c>
      <c r="N31" s="48" t="b">
        <v>0</v>
      </c>
      <c r="O31" s="48" t="b">
        <v>0</v>
      </c>
      <c r="P31" s="36"/>
      <c r="Q31" s="36"/>
      <c r="R31" s="36"/>
      <c r="S31" s="42"/>
      <c r="T31" s="42"/>
      <c r="U31" s="56">
        <v>46181.841331018521</v>
      </c>
      <c r="V31" s="38" t="s">
        <v>75</v>
      </c>
      <c r="W31" s="38"/>
      <c r="X31" s="45"/>
    </row>
    <row r="32" spans="1:24" s="5" customFormat="1" ht="15.75">
      <c r="A32" s="61"/>
      <c r="B32" s="37"/>
      <c r="C32" s="36"/>
      <c r="D32" s="36"/>
      <c r="E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8"/>
      <c r="G32" s="48" t="b">
        <v>0</v>
      </c>
      <c r="H32" s="48" t="b">
        <v>0</v>
      </c>
      <c r="I32" s="48" t="b">
        <v>0</v>
      </c>
      <c r="J32" s="48" t="b">
        <v>0</v>
      </c>
      <c r="K32" s="48" t="b">
        <v>0</v>
      </c>
      <c r="L32" s="48" t="b">
        <v>0</v>
      </c>
      <c r="M32" s="48" t="b">
        <v>0</v>
      </c>
      <c r="N32" s="48" t="b">
        <v>0</v>
      </c>
      <c r="O32" s="48" t="b">
        <v>0</v>
      </c>
      <c r="P32" s="36"/>
      <c r="Q32" s="36"/>
      <c r="R32" s="36"/>
      <c r="S32" s="42"/>
      <c r="T32" s="42"/>
      <c r="U32" s="56">
        <v>46181.841331018521</v>
      </c>
      <c r="V32" s="38" t="s">
        <v>75</v>
      </c>
      <c r="W32" s="38"/>
      <c r="X32" s="45"/>
    </row>
    <row r="33" spans="1:24" s="5" customFormat="1" ht="15.75">
      <c r="A33" s="61"/>
      <c r="B33" s="37"/>
      <c r="C33" s="36"/>
      <c r="D33" s="36"/>
      <c r="E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8"/>
      <c r="G33" s="48" t="b">
        <v>0</v>
      </c>
      <c r="H33" s="48" t="b">
        <v>0</v>
      </c>
      <c r="I33" s="48" t="b">
        <v>0</v>
      </c>
      <c r="J33" s="48" t="b">
        <v>0</v>
      </c>
      <c r="K33" s="48" t="b">
        <v>0</v>
      </c>
      <c r="L33" s="48" t="b">
        <v>0</v>
      </c>
      <c r="M33" s="48" t="b">
        <v>0</v>
      </c>
      <c r="N33" s="48" t="b">
        <v>0</v>
      </c>
      <c r="O33" s="48" t="b">
        <v>0</v>
      </c>
      <c r="P33" s="36"/>
      <c r="Q33" s="36"/>
      <c r="R33" s="36"/>
      <c r="S33" s="42"/>
      <c r="T33" s="42"/>
      <c r="U33" s="56">
        <v>46181.841331018521</v>
      </c>
      <c r="V33" s="38" t="s">
        <v>75</v>
      </c>
      <c r="W33" s="38"/>
      <c r="X33" s="45"/>
    </row>
    <row r="34" spans="1:24" s="5" customFormat="1" ht="15.75">
      <c r="A34" s="61"/>
      <c r="B34" s="37"/>
      <c r="C34" s="36"/>
      <c r="D34" s="36"/>
      <c r="E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8"/>
      <c r="G34" s="48" t="b">
        <v>0</v>
      </c>
      <c r="H34" s="48" t="b">
        <v>0</v>
      </c>
      <c r="I34" s="48" t="b">
        <v>0</v>
      </c>
      <c r="J34" s="48" t="b">
        <v>0</v>
      </c>
      <c r="K34" s="48" t="b">
        <v>0</v>
      </c>
      <c r="L34" s="48" t="b">
        <v>0</v>
      </c>
      <c r="M34" s="48" t="b">
        <v>0</v>
      </c>
      <c r="N34" s="48" t="b">
        <v>0</v>
      </c>
      <c r="O34" s="48" t="b">
        <v>0</v>
      </c>
      <c r="P34" s="36"/>
      <c r="Q34" s="36"/>
      <c r="R34" s="36"/>
      <c r="S34" s="42"/>
      <c r="T34" s="42"/>
      <c r="U34" s="56">
        <v>46181.841331018521</v>
      </c>
      <c r="V34" s="38" t="s">
        <v>75</v>
      </c>
      <c r="W34" s="38"/>
      <c r="X34" s="45"/>
    </row>
    <row r="35" spans="1:24" s="5" customFormat="1" ht="15.75">
      <c r="A35" s="61"/>
      <c r="B35" s="37"/>
      <c r="C35" s="36"/>
      <c r="D35" s="36"/>
      <c r="E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8"/>
      <c r="G35" s="48" t="b">
        <v>0</v>
      </c>
      <c r="H35" s="48" t="b">
        <v>0</v>
      </c>
      <c r="I35" s="48" t="b">
        <v>0</v>
      </c>
      <c r="J35" s="48" t="b">
        <v>0</v>
      </c>
      <c r="K35" s="48" t="b">
        <v>0</v>
      </c>
      <c r="L35" s="48" t="b">
        <v>0</v>
      </c>
      <c r="M35" s="48" t="b">
        <v>0</v>
      </c>
      <c r="N35" s="48" t="b">
        <v>0</v>
      </c>
      <c r="O35" s="48" t="b">
        <v>0</v>
      </c>
      <c r="P35" s="36"/>
      <c r="Q35" s="36"/>
      <c r="R35" s="36"/>
      <c r="S35" s="42"/>
      <c r="T35" s="42"/>
      <c r="U35" s="56">
        <v>46181.84134259259</v>
      </c>
      <c r="V35" s="38" t="s">
        <v>75</v>
      </c>
      <c r="W35" s="38"/>
      <c r="X35" s="45"/>
    </row>
    <row r="36" spans="1:24" s="5" customFormat="1" ht="15.75">
      <c r="A36" s="61"/>
      <c r="B36" s="37"/>
      <c r="C36" s="36"/>
      <c r="D36" s="36"/>
      <c r="E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8"/>
      <c r="G36" s="48" t="b">
        <v>0</v>
      </c>
      <c r="H36" s="48" t="b">
        <v>0</v>
      </c>
      <c r="I36" s="48" t="b">
        <v>0</v>
      </c>
      <c r="J36" s="48" t="b">
        <v>0</v>
      </c>
      <c r="K36" s="48" t="b">
        <v>0</v>
      </c>
      <c r="L36" s="48" t="b">
        <v>0</v>
      </c>
      <c r="M36" s="48" t="b">
        <v>0</v>
      </c>
      <c r="N36" s="48" t="b">
        <v>0</v>
      </c>
      <c r="O36" s="48" t="b">
        <v>0</v>
      </c>
      <c r="P36" s="36"/>
      <c r="Q36" s="36"/>
      <c r="R36" s="36"/>
      <c r="S36" s="42"/>
      <c r="T36" s="42"/>
      <c r="U36" s="56">
        <v>46181.84134259259</v>
      </c>
      <c r="V36" s="38" t="s">
        <v>75</v>
      </c>
      <c r="W36" s="38"/>
      <c r="X36" s="45"/>
    </row>
    <row r="37" spans="1:24" s="5" customFormat="1" ht="15.75">
      <c r="A37" s="61"/>
      <c r="B37" s="37"/>
      <c r="C37" s="36"/>
      <c r="D37" s="36"/>
      <c r="E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8"/>
      <c r="G37" s="48" t="b">
        <v>0</v>
      </c>
      <c r="H37" s="48" t="b">
        <v>0</v>
      </c>
      <c r="I37" s="48" t="b">
        <v>0</v>
      </c>
      <c r="J37" s="48" t="b">
        <v>0</v>
      </c>
      <c r="K37" s="48" t="b">
        <v>0</v>
      </c>
      <c r="L37" s="48" t="b">
        <v>0</v>
      </c>
      <c r="M37" s="48" t="b">
        <v>0</v>
      </c>
      <c r="N37" s="48" t="b">
        <v>0</v>
      </c>
      <c r="O37" s="48" t="b">
        <v>0</v>
      </c>
      <c r="P37" s="36"/>
      <c r="Q37" s="36"/>
      <c r="R37" s="36"/>
      <c r="S37" s="42"/>
      <c r="T37" s="42"/>
      <c r="U37" s="56">
        <v>46181.84134259259</v>
      </c>
      <c r="V37" s="38" t="s">
        <v>75</v>
      </c>
      <c r="W37" s="38"/>
      <c r="X37" s="45"/>
    </row>
    <row r="38" spans="1:24" s="5" customFormat="1" ht="15.75">
      <c r="A38" s="61"/>
      <c r="B38" s="37"/>
      <c r="C38" s="36"/>
      <c r="D38" s="36"/>
      <c r="E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8"/>
      <c r="G38" s="48" t="b">
        <v>0</v>
      </c>
      <c r="H38" s="48" t="b">
        <v>0</v>
      </c>
      <c r="I38" s="48" t="b">
        <v>0</v>
      </c>
      <c r="J38" s="48" t="b">
        <v>0</v>
      </c>
      <c r="K38" s="48" t="b">
        <v>0</v>
      </c>
      <c r="L38" s="48" t="b">
        <v>0</v>
      </c>
      <c r="M38" s="48" t="b">
        <v>0</v>
      </c>
      <c r="N38" s="48" t="b">
        <v>0</v>
      </c>
      <c r="O38" s="48" t="b">
        <v>0</v>
      </c>
      <c r="P38" s="36"/>
      <c r="Q38" s="36"/>
      <c r="R38" s="36"/>
      <c r="S38" s="42"/>
      <c r="T38" s="42"/>
      <c r="U38" s="56">
        <v>46181.84134259259</v>
      </c>
      <c r="V38" s="38" t="s">
        <v>75</v>
      </c>
      <c r="W38" s="38"/>
      <c r="X38" s="45"/>
    </row>
    <row r="39" spans="1:24" s="5" customFormat="1" ht="15.75">
      <c r="A39" s="61"/>
      <c r="B39" s="37"/>
      <c r="C39" s="36"/>
      <c r="D39" s="36"/>
      <c r="E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8"/>
      <c r="G39" s="48" t="b">
        <v>0</v>
      </c>
      <c r="H39" s="48" t="b">
        <v>0</v>
      </c>
      <c r="I39" s="48" t="b">
        <v>0</v>
      </c>
      <c r="J39" s="48" t="b">
        <v>0</v>
      </c>
      <c r="K39" s="48" t="b">
        <v>0</v>
      </c>
      <c r="L39" s="48" t="b">
        <v>0</v>
      </c>
      <c r="M39" s="48" t="b">
        <v>0</v>
      </c>
      <c r="N39" s="48" t="b">
        <v>0</v>
      </c>
      <c r="O39" s="48" t="b">
        <v>0</v>
      </c>
      <c r="P39" s="36"/>
      <c r="Q39" s="36"/>
      <c r="R39" s="36"/>
      <c r="S39" s="42"/>
      <c r="T39" s="42"/>
      <c r="U39" s="56">
        <v>46181.84134259259</v>
      </c>
      <c r="V39" s="38" t="s">
        <v>75</v>
      </c>
      <c r="W39" s="38"/>
      <c r="X39" s="45"/>
    </row>
    <row r="40" spans="1:24" s="5" customFormat="1" ht="15.75">
      <c r="A40" s="61"/>
      <c r="B40" s="37"/>
      <c r="C40" s="36"/>
      <c r="D40" s="36"/>
      <c r="E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8"/>
      <c r="G40" s="48" t="b">
        <v>0</v>
      </c>
      <c r="H40" s="48" t="b">
        <v>0</v>
      </c>
      <c r="I40" s="48" t="b">
        <v>0</v>
      </c>
      <c r="J40" s="48" t="b">
        <v>0</v>
      </c>
      <c r="K40" s="48" t="b">
        <v>0</v>
      </c>
      <c r="L40" s="48" t="b">
        <v>0</v>
      </c>
      <c r="M40" s="48" t="b">
        <v>0</v>
      </c>
      <c r="N40" s="48" t="b">
        <v>0</v>
      </c>
      <c r="O40" s="48" t="b">
        <v>0</v>
      </c>
      <c r="P40" s="36"/>
      <c r="Q40" s="36"/>
      <c r="R40" s="36"/>
      <c r="S40" s="42"/>
      <c r="T40" s="42"/>
      <c r="U40" s="56">
        <v>46181.84134259259</v>
      </c>
      <c r="V40" s="38" t="s">
        <v>75</v>
      </c>
      <c r="W40" s="38"/>
      <c r="X40" s="45"/>
    </row>
    <row r="41" spans="1:24" s="5" customFormat="1" ht="15.75">
      <c r="A41" s="61"/>
      <c r="B41" s="37"/>
      <c r="C41" s="36"/>
      <c r="D41" s="36"/>
      <c r="E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8"/>
      <c r="G41" s="48" t="b">
        <v>0</v>
      </c>
      <c r="H41" s="48" t="b">
        <v>0</v>
      </c>
      <c r="I41" s="48" t="b">
        <v>0</v>
      </c>
      <c r="J41" s="48" t="b">
        <v>0</v>
      </c>
      <c r="K41" s="48" t="b">
        <v>0</v>
      </c>
      <c r="L41" s="48" t="b">
        <v>0</v>
      </c>
      <c r="M41" s="48" t="b">
        <v>0</v>
      </c>
      <c r="N41" s="48" t="b">
        <v>0</v>
      </c>
      <c r="O41" s="48" t="b">
        <v>0</v>
      </c>
      <c r="P41" s="36"/>
      <c r="Q41" s="36"/>
      <c r="R41" s="36"/>
      <c r="S41" s="42"/>
      <c r="T41" s="42"/>
      <c r="U41" s="56">
        <v>46181.84134259259</v>
      </c>
      <c r="V41" s="38" t="s">
        <v>75</v>
      </c>
      <c r="W41" s="38"/>
      <c r="X41" s="45"/>
    </row>
    <row r="42" spans="1:24" s="5" customFormat="1" ht="15.75">
      <c r="A42" s="61"/>
      <c r="B42" s="37"/>
      <c r="C42" s="36"/>
      <c r="D42" s="36"/>
      <c r="E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8"/>
      <c r="G42" s="48" t="b">
        <v>0</v>
      </c>
      <c r="H42" s="48" t="b">
        <v>0</v>
      </c>
      <c r="I42" s="48" t="b">
        <v>0</v>
      </c>
      <c r="J42" s="48" t="b">
        <v>0</v>
      </c>
      <c r="K42" s="48" t="b">
        <v>0</v>
      </c>
      <c r="L42" s="48" t="b">
        <v>0</v>
      </c>
      <c r="M42" s="48" t="b">
        <v>0</v>
      </c>
      <c r="N42" s="48" t="b">
        <v>0</v>
      </c>
      <c r="O42" s="48" t="b">
        <v>0</v>
      </c>
      <c r="P42" s="36"/>
      <c r="Q42" s="36"/>
      <c r="R42" s="36"/>
      <c r="S42" s="42"/>
      <c r="T42" s="42"/>
      <c r="U42" s="56">
        <v>46181.84134259259</v>
      </c>
      <c r="V42" s="38" t="s">
        <v>75</v>
      </c>
      <c r="W42" s="38"/>
      <c r="X42" s="45"/>
    </row>
    <row r="43" spans="1:24" s="5" customFormat="1" ht="15.75">
      <c r="A43" s="61"/>
      <c r="B43" s="37"/>
      <c r="C43" s="36"/>
      <c r="D43" s="36"/>
      <c r="E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8"/>
      <c r="G43" s="48" t="b">
        <v>0</v>
      </c>
      <c r="H43" s="48" t="b">
        <v>0</v>
      </c>
      <c r="I43" s="48" t="b">
        <v>0</v>
      </c>
      <c r="J43" s="48" t="b">
        <v>0</v>
      </c>
      <c r="K43" s="48" t="b">
        <v>0</v>
      </c>
      <c r="L43" s="48" t="b">
        <v>0</v>
      </c>
      <c r="M43" s="48" t="b">
        <v>0</v>
      </c>
      <c r="N43" s="48" t="b">
        <v>0</v>
      </c>
      <c r="O43" s="48" t="b">
        <v>0</v>
      </c>
      <c r="P43" s="36"/>
      <c r="Q43" s="36"/>
      <c r="R43" s="36"/>
      <c r="S43" s="42"/>
      <c r="T43" s="42"/>
      <c r="U43" s="56">
        <v>46181.84134259259</v>
      </c>
      <c r="V43" s="38" t="s">
        <v>75</v>
      </c>
      <c r="W43" s="38"/>
      <c r="X43" s="45"/>
    </row>
    <row r="44" spans="1:24" s="5" customFormat="1" ht="15.75">
      <c r="A44" s="61"/>
      <c r="B44" s="37"/>
      <c r="C44" s="36"/>
      <c r="D44" s="36"/>
      <c r="E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8"/>
      <c r="G44" s="48" t="b">
        <v>0</v>
      </c>
      <c r="H44" s="48" t="b">
        <v>0</v>
      </c>
      <c r="I44" s="48" t="b">
        <v>0</v>
      </c>
      <c r="J44" s="48" t="b">
        <v>0</v>
      </c>
      <c r="K44" s="48" t="b">
        <v>0</v>
      </c>
      <c r="L44" s="48" t="b">
        <v>0</v>
      </c>
      <c r="M44" s="48" t="b">
        <v>0</v>
      </c>
      <c r="N44" s="48" t="b">
        <v>0</v>
      </c>
      <c r="O44" s="48" t="b">
        <v>0</v>
      </c>
      <c r="P44" s="36"/>
      <c r="Q44" s="36"/>
      <c r="R44" s="36"/>
      <c r="S44" s="42"/>
      <c r="T44" s="42"/>
      <c r="U44" s="56">
        <v>46181.84134259259</v>
      </c>
      <c r="V44" s="38" t="s">
        <v>75</v>
      </c>
      <c r="W44" s="38"/>
      <c r="X44" s="45"/>
    </row>
    <row r="45" spans="1:24" s="5" customFormat="1" ht="15.75">
      <c r="A45" s="61"/>
      <c r="B45" s="37"/>
      <c r="C45" s="36"/>
      <c r="D45" s="36"/>
      <c r="E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8"/>
      <c r="G45" s="48" t="b">
        <v>0</v>
      </c>
      <c r="H45" s="48" t="b">
        <v>0</v>
      </c>
      <c r="I45" s="48" t="b">
        <v>0</v>
      </c>
      <c r="J45" s="48" t="b">
        <v>0</v>
      </c>
      <c r="K45" s="48" t="b">
        <v>0</v>
      </c>
      <c r="L45" s="48" t="b">
        <v>0</v>
      </c>
      <c r="M45" s="48" t="b">
        <v>0</v>
      </c>
      <c r="N45" s="48" t="b">
        <v>0</v>
      </c>
      <c r="O45" s="48" t="b">
        <v>0</v>
      </c>
      <c r="P45" s="36"/>
      <c r="Q45" s="36"/>
      <c r="R45" s="36"/>
      <c r="S45" s="42"/>
      <c r="T45" s="42"/>
      <c r="U45" s="56">
        <v>46181.84134259259</v>
      </c>
      <c r="V45" s="38" t="s">
        <v>75</v>
      </c>
      <c r="W45" s="38"/>
      <c r="X45" s="45"/>
    </row>
    <row r="46" spans="1:24" s="5" customFormat="1" ht="15.75">
      <c r="A46" s="61"/>
      <c r="B46" s="37"/>
      <c r="C46" s="36"/>
      <c r="D46" s="36"/>
      <c r="E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8"/>
      <c r="G46" s="48" t="b">
        <v>0</v>
      </c>
      <c r="H46" s="48" t="b">
        <v>0</v>
      </c>
      <c r="I46" s="48" t="b">
        <v>0</v>
      </c>
      <c r="J46" s="48" t="b">
        <v>0</v>
      </c>
      <c r="K46" s="48" t="b">
        <v>0</v>
      </c>
      <c r="L46" s="48" t="b">
        <v>0</v>
      </c>
      <c r="M46" s="48" t="b">
        <v>0</v>
      </c>
      <c r="N46" s="48" t="b">
        <v>0</v>
      </c>
      <c r="O46" s="48" t="b">
        <v>0</v>
      </c>
      <c r="P46" s="36"/>
      <c r="Q46" s="36"/>
      <c r="R46" s="36"/>
      <c r="S46" s="42"/>
      <c r="T46" s="42"/>
      <c r="U46" s="56">
        <v>46181.84134259259</v>
      </c>
      <c r="V46" s="38" t="s">
        <v>75</v>
      </c>
      <c r="W46" s="38"/>
      <c r="X46" s="45"/>
    </row>
    <row r="47" spans="1:24" s="5" customFormat="1" ht="15.75">
      <c r="A47" s="61"/>
      <c r="B47" s="37"/>
      <c r="C47" s="36"/>
      <c r="D47" s="36"/>
      <c r="E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8"/>
      <c r="G47" s="48" t="b">
        <v>0</v>
      </c>
      <c r="H47" s="48" t="b">
        <v>0</v>
      </c>
      <c r="I47" s="48" t="b">
        <v>0</v>
      </c>
      <c r="J47" s="48" t="b">
        <v>0</v>
      </c>
      <c r="K47" s="48" t="b">
        <v>0</v>
      </c>
      <c r="L47" s="48" t="b">
        <v>0</v>
      </c>
      <c r="M47" s="48" t="b">
        <v>0</v>
      </c>
      <c r="N47" s="48" t="b">
        <v>0</v>
      </c>
      <c r="O47" s="48" t="b">
        <v>0</v>
      </c>
      <c r="P47" s="36"/>
      <c r="Q47" s="36"/>
      <c r="R47" s="36"/>
      <c r="S47" s="42"/>
      <c r="T47" s="42"/>
      <c r="U47" s="56">
        <v>46181.841365740744</v>
      </c>
      <c r="V47" s="38" t="s">
        <v>75</v>
      </c>
      <c r="W47" s="38"/>
      <c r="X47" s="45"/>
    </row>
    <row r="48" spans="1:24" s="5" customFormat="1" ht="15.75">
      <c r="A48" s="61"/>
      <c r="B48" s="37"/>
      <c r="C48" s="36"/>
      <c r="D48" s="36"/>
      <c r="E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8"/>
      <c r="G48" s="48" t="b">
        <v>0</v>
      </c>
      <c r="H48" s="48" t="b">
        <v>0</v>
      </c>
      <c r="I48" s="48" t="b">
        <v>0</v>
      </c>
      <c r="J48" s="48" t="b">
        <v>0</v>
      </c>
      <c r="K48" s="48" t="b">
        <v>0</v>
      </c>
      <c r="L48" s="48" t="b">
        <v>0</v>
      </c>
      <c r="M48" s="48" t="b">
        <v>0</v>
      </c>
      <c r="N48" s="48" t="b">
        <v>0</v>
      </c>
      <c r="O48" s="48" t="b">
        <v>0</v>
      </c>
      <c r="P48" s="36"/>
      <c r="Q48" s="36"/>
      <c r="R48" s="36"/>
      <c r="S48" s="42"/>
      <c r="T48" s="42"/>
      <c r="U48" s="56">
        <v>46181.841365740744</v>
      </c>
      <c r="V48" s="38" t="s">
        <v>75</v>
      </c>
      <c r="W48" s="38"/>
      <c r="X48" s="45"/>
    </row>
    <row r="49" spans="1:24" s="5" customFormat="1" ht="15.75">
      <c r="A49" s="61"/>
      <c r="B49" s="37"/>
      <c r="C49" s="36"/>
      <c r="D49" s="36"/>
      <c r="E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8"/>
      <c r="G49" s="48" t="b">
        <v>0</v>
      </c>
      <c r="H49" s="48" t="b">
        <v>0</v>
      </c>
      <c r="I49" s="48" t="b">
        <v>0</v>
      </c>
      <c r="J49" s="48" t="b">
        <v>0</v>
      </c>
      <c r="K49" s="48" t="b">
        <v>0</v>
      </c>
      <c r="L49" s="48" t="b">
        <v>0</v>
      </c>
      <c r="M49" s="48" t="b">
        <v>0</v>
      </c>
      <c r="N49" s="48" t="b">
        <v>0</v>
      </c>
      <c r="O49" s="48" t="b">
        <v>0</v>
      </c>
      <c r="P49" s="36"/>
      <c r="Q49" s="36"/>
      <c r="R49" s="36"/>
      <c r="S49" s="42"/>
      <c r="T49" s="42"/>
      <c r="U49" s="56">
        <v>46181.841365740744</v>
      </c>
      <c r="V49" s="38" t="s">
        <v>75</v>
      </c>
      <c r="W49" s="38"/>
      <c r="X49" s="45"/>
    </row>
    <row r="50" spans="1:24" s="5" customFormat="1" ht="15.75">
      <c r="A50" s="61"/>
      <c r="B50" s="37"/>
      <c r="C50" s="36"/>
      <c r="D50" s="36"/>
      <c r="E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8"/>
      <c r="G50" s="48" t="b">
        <v>0</v>
      </c>
      <c r="H50" s="48" t="b">
        <v>0</v>
      </c>
      <c r="I50" s="48" t="b">
        <v>0</v>
      </c>
      <c r="J50" s="48" t="b">
        <v>0</v>
      </c>
      <c r="K50" s="48" t="b">
        <v>0</v>
      </c>
      <c r="L50" s="48" t="b">
        <v>0</v>
      </c>
      <c r="M50" s="48" t="b">
        <v>0</v>
      </c>
      <c r="N50" s="48" t="b">
        <v>0</v>
      </c>
      <c r="O50" s="48" t="b">
        <v>0</v>
      </c>
      <c r="P50" s="36"/>
      <c r="Q50" s="36"/>
      <c r="R50" s="36"/>
      <c r="S50" s="42"/>
      <c r="T50" s="42"/>
      <c r="U50" s="56">
        <v>46181.841365740744</v>
      </c>
      <c r="V50" s="38" t="s">
        <v>75</v>
      </c>
      <c r="W50" s="38"/>
      <c r="X50" s="45"/>
    </row>
    <row r="51" spans="1:24" s="5" customFormat="1" ht="15.75">
      <c r="A51" s="61"/>
      <c r="B51" s="37"/>
      <c r="C51" s="36"/>
      <c r="D51" s="36"/>
      <c r="E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8"/>
      <c r="G51" s="48" t="b">
        <v>0</v>
      </c>
      <c r="H51" s="48" t="b">
        <v>0</v>
      </c>
      <c r="I51" s="48" t="b">
        <v>0</v>
      </c>
      <c r="J51" s="48" t="b">
        <v>0</v>
      </c>
      <c r="K51" s="48" t="b">
        <v>0</v>
      </c>
      <c r="L51" s="48" t="b">
        <v>0</v>
      </c>
      <c r="M51" s="48" t="b">
        <v>0</v>
      </c>
      <c r="N51" s="48" t="b">
        <v>0</v>
      </c>
      <c r="O51" s="48" t="b">
        <v>0</v>
      </c>
      <c r="P51" s="36"/>
      <c r="Q51" s="36"/>
      <c r="R51" s="36"/>
      <c r="S51" s="42"/>
      <c r="T51" s="42"/>
      <c r="U51" s="56">
        <v>46181.841377314813</v>
      </c>
      <c r="V51" s="38" t="s">
        <v>75</v>
      </c>
      <c r="W51" s="38"/>
      <c r="X51" s="45"/>
    </row>
    <row r="52" spans="1:24" s="5" customFormat="1" ht="15.75">
      <c r="A52" s="61"/>
      <c r="B52" s="37"/>
      <c r="C52" s="36"/>
      <c r="D52" s="36"/>
      <c r="E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8"/>
      <c r="G52" s="48" t="b">
        <v>0</v>
      </c>
      <c r="H52" s="48" t="b">
        <v>0</v>
      </c>
      <c r="I52" s="48" t="b">
        <v>0</v>
      </c>
      <c r="J52" s="48" t="b">
        <v>0</v>
      </c>
      <c r="K52" s="48" t="b">
        <v>0</v>
      </c>
      <c r="L52" s="48" t="b">
        <v>0</v>
      </c>
      <c r="M52" s="48" t="b">
        <v>0</v>
      </c>
      <c r="N52" s="48" t="b">
        <v>0</v>
      </c>
      <c r="O52" s="48" t="b">
        <v>0</v>
      </c>
      <c r="P52" s="36"/>
      <c r="Q52" s="36"/>
      <c r="R52" s="36"/>
      <c r="S52" s="42"/>
      <c r="T52" s="42"/>
      <c r="U52" s="56">
        <v>46181.841377314813</v>
      </c>
      <c r="V52" s="38" t="s">
        <v>75</v>
      </c>
      <c r="W52" s="38"/>
      <c r="X52" s="45"/>
    </row>
    <row r="53" spans="1:24" s="5" customFormat="1" ht="15.75">
      <c r="A53" s="61"/>
      <c r="B53" s="37"/>
      <c r="C53" s="36"/>
      <c r="D53" s="36"/>
      <c r="E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8"/>
      <c r="G53" s="48" t="b">
        <v>0</v>
      </c>
      <c r="H53" s="48" t="b">
        <v>0</v>
      </c>
      <c r="I53" s="48" t="b">
        <v>0</v>
      </c>
      <c r="J53" s="48" t="b">
        <v>0</v>
      </c>
      <c r="K53" s="48" t="b">
        <v>0</v>
      </c>
      <c r="L53" s="48" t="b">
        <v>0</v>
      </c>
      <c r="M53" s="48" t="b">
        <v>0</v>
      </c>
      <c r="N53" s="48" t="b">
        <v>0</v>
      </c>
      <c r="O53" s="48" t="b">
        <v>0</v>
      </c>
      <c r="P53" s="36"/>
      <c r="Q53" s="36"/>
      <c r="R53" s="36"/>
      <c r="S53" s="42"/>
      <c r="T53" s="42"/>
      <c r="U53" s="56">
        <v>46181.841377314813</v>
      </c>
      <c r="V53" s="38" t="s">
        <v>75</v>
      </c>
      <c r="W53" s="38"/>
      <c r="X53" s="45"/>
    </row>
    <row r="54" spans="1:24" s="5" customFormat="1" ht="15.75">
      <c r="A54" s="61"/>
      <c r="B54" s="37"/>
      <c r="C54" s="36"/>
      <c r="D54" s="36"/>
      <c r="E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8"/>
      <c r="G54" s="48" t="b">
        <v>0</v>
      </c>
      <c r="H54" s="48" t="b">
        <v>0</v>
      </c>
      <c r="I54" s="48" t="b">
        <v>0</v>
      </c>
      <c r="J54" s="48" t="b">
        <v>0</v>
      </c>
      <c r="K54" s="48" t="b">
        <v>0</v>
      </c>
      <c r="L54" s="48" t="b">
        <v>0</v>
      </c>
      <c r="M54" s="48" t="b">
        <v>0</v>
      </c>
      <c r="N54" s="48" t="b">
        <v>0</v>
      </c>
      <c r="O54" s="48" t="b">
        <v>0</v>
      </c>
      <c r="P54" s="36"/>
      <c r="Q54" s="36"/>
      <c r="R54" s="36"/>
      <c r="S54" s="42"/>
      <c r="T54" s="42"/>
      <c r="U54" s="56">
        <v>46181.841377314813</v>
      </c>
      <c r="V54" s="38" t="s">
        <v>75</v>
      </c>
      <c r="W54" s="38"/>
      <c r="X54" s="45"/>
    </row>
    <row r="55" spans="1:24" s="5" customFormat="1" ht="15.75">
      <c r="A55" s="61"/>
      <c r="B55" s="37"/>
      <c r="C55" s="36"/>
      <c r="D55" s="36"/>
      <c r="E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8"/>
      <c r="G55" s="48" t="b">
        <v>0</v>
      </c>
      <c r="H55" s="48" t="b">
        <v>0</v>
      </c>
      <c r="I55" s="48" t="b">
        <v>0</v>
      </c>
      <c r="J55" s="48" t="b">
        <v>0</v>
      </c>
      <c r="K55" s="48" t="b">
        <v>0</v>
      </c>
      <c r="L55" s="48" t="b">
        <v>0</v>
      </c>
      <c r="M55" s="48" t="b">
        <v>0</v>
      </c>
      <c r="N55" s="48" t="b">
        <v>0</v>
      </c>
      <c r="O55" s="48" t="b">
        <v>0</v>
      </c>
      <c r="P55" s="36"/>
      <c r="Q55" s="36"/>
      <c r="R55" s="36"/>
      <c r="S55" s="42"/>
      <c r="T55" s="42"/>
      <c r="U55" s="56">
        <v>46181.841377314813</v>
      </c>
      <c r="V55" s="38" t="s">
        <v>75</v>
      </c>
      <c r="W55" s="38"/>
      <c r="X55" s="45"/>
    </row>
    <row r="56" spans="1:24" s="5" customFormat="1" ht="15.75">
      <c r="A56" s="61"/>
      <c r="B56" s="37"/>
      <c r="C56" s="36"/>
      <c r="D56" s="36"/>
      <c r="E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8"/>
      <c r="G56" s="48" t="b">
        <v>0</v>
      </c>
      <c r="H56" s="48" t="b">
        <v>0</v>
      </c>
      <c r="I56" s="48" t="b">
        <v>0</v>
      </c>
      <c r="J56" s="48" t="b">
        <v>0</v>
      </c>
      <c r="K56" s="48" t="b">
        <v>0</v>
      </c>
      <c r="L56" s="48" t="b">
        <v>0</v>
      </c>
      <c r="M56" s="48" t="b">
        <v>0</v>
      </c>
      <c r="N56" s="48" t="b">
        <v>0</v>
      </c>
      <c r="O56" s="48" t="b">
        <v>0</v>
      </c>
      <c r="P56" s="36"/>
      <c r="Q56" s="36"/>
      <c r="R56" s="36"/>
      <c r="S56" s="42"/>
      <c r="T56" s="42"/>
      <c r="U56" s="56">
        <v>46181.841377314813</v>
      </c>
      <c r="V56" s="38" t="s">
        <v>75</v>
      </c>
      <c r="W56" s="38"/>
      <c r="X56" s="45"/>
    </row>
    <row r="57" spans="1:24" s="5" customFormat="1" ht="15.75">
      <c r="A57" s="61"/>
      <c r="B57" s="37"/>
      <c r="C57" s="36"/>
      <c r="D57" s="36"/>
      <c r="E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8"/>
      <c r="G57" s="48" t="b">
        <v>0</v>
      </c>
      <c r="H57" s="48" t="b">
        <v>0</v>
      </c>
      <c r="I57" s="48" t="b">
        <v>0</v>
      </c>
      <c r="J57" s="48" t="b">
        <v>0</v>
      </c>
      <c r="K57" s="48" t="b">
        <v>0</v>
      </c>
      <c r="L57" s="48" t="b">
        <v>0</v>
      </c>
      <c r="M57" s="48" t="b">
        <v>0</v>
      </c>
      <c r="N57" s="48" t="b">
        <v>0</v>
      </c>
      <c r="O57" s="48" t="b">
        <v>0</v>
      </c>
      <c r="P57" s="36"/>
      <c r="Q57" s="36"/>
      <c r="R57" s="36"/>
      <c r="S57" s="42"/>
      <c r="T57" s="42"/>
      <c r="U57" s="56">
        <v>46181.841377314813</v>
      </c>
      <c r="V57" s="38" t="s">
        <v>75</v>
      </c>
      <c r="W57" s="38"/>
      <c r="X57" s="45"/>
    </row>
    <row r="58" spans="1:24" s="5" customFormat="1" ht="15.75">
      <c r="A58" s="61"/>
      <c r="B58" s="37"/>
      <c r="C58" s="36"/>
      <c r="D58" s="36"/>
      <c r="E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8"/>
      <c r="G58" s="48" t="b">
        <v>0</v>
      </c>
      <c r="H58" s="48" t="b">
        <v>0</v>
      </c>
      <c r="I58" s="48" t="b">
        <v>0</v>
      </c>
      <c r="J58" s="48" t="b">
        <v>0</v>
      </c>
      <c r="K58" s="48" t="b">
        <v>0</v>
      </c>
      <c r="L58" s="48" t="b">
        <v>0</v>
      </c>
      <c r="M58" s="48" t="b">
        <v>0</v>
      </c>
      <c r="N58" s="48" t="b">
        <v>0</v>
      </c>
      <c r="O58" s="48" t="b">
        <v>0</v>
      </c>
      <c r="P58" s="36"/>
      <c r="Q58" s="36"/>
      <c r="R58" s="36"/>
      <c r="S58" s="42"/>
      <c r="T58" s="42"/>
      <c r="U58" s="56">
        <v>46181.841377314813</v>
      </c>
      <c r="V58" s="38" t="s">
        <v>75</v>
      </c>
      <c r="W58" s="38"/>
      <c r="X58" s="45"/>
    </row>
    <row r="59" spans="1:24" s="5" customFormat="1" ht="15.75">
      <c r="A59" s="61"/>
      <c r="B59" s="37"/>
      <c r="C59" s="36"/>
      <c r="D59" s="36"/>
      <c r="E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8"/>
      <c r="G59" s="48" t="b">
        <v>0</v>
      </c>
      <c r="H59" s="48" t="b">
        <v>0</v>
      </c>
      <c r="I59" s="48" t="b">
        <v>0</v>
      </c>
      <c r="J59" s="48" t="b">
        <v>0</v>
      </c>
      <c r="K59" s="48" t="b">
        <v>0</v>
      </c>
      <c r="L59" s="48" t="b">
        <v>0</v>
      </c>
      <c r="M59" s="48" t="b">
        <v>0</v>
      </c>
      <c r="N59" s="48" t="b">
        <v>0</v>
      </c>
      <c r="O59" s="48" t="b">
        <v>0</v>
      </c>
      <c r="P59" s="36"/>
      <c r="Q59" s="36"/>
      <c r="R59" s="36"/>
      <c r="S59" s="42"/>
      <c r="T59" s="42"/>
      <c r="U59" s="56">
        <v>46181.841377314813</v>
      </c>
      <c r="V59" s="38" t="s">
        <v>75</v>
      </c>
      <c r="W59" s="38"/>
      <c r="X59" s="45"/>
    </row>
    <row r="60" spans="1:24" s="5" customFormat="1" ht="15.75">
      <c r="A60" s="61"/>
      <c r="B60" s="37"/>
      <c r="C60" s="36"/>
      <c r="D60" s="36"/>
      <c r="E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8"/>
      <c r="G60" s="48" t="b">
        <v>0</v>
      </c>
      <c r="H60" s="48" t="b">
        <v>0</v>
      </c>
      <c r="I60" s="48" t="b">
        <v>0</v>
      </c>
      <c r="J60" s="48" t="b">
        <v>0</v>
      </c>
      <c r="K60" s="48" t="b">
        <v>0</v>
      </c>
      <c r="L60" s="48" t="b">
        <v>0</v>
      </c>
      <c r="M60" s="48" t="b">
        <v>0</v>
      </c>
      <c r="N60" s="48" t="b">
        <v>0</v>
      </c>
      <c r="O60" s="48" t="b">
        <v>0</v>
      </c>
      <c r="P60" s="36"/>
      <c r="Q60" s="36"/>
      <c r="R60" s="36"/>
      <c r="S60" s="42"/>
      <c r="T60" s="42"/>
      <c r="U60" s="56">
        <v>46181.841377314813</v>
      </c>
      <c r="V60" s="38" t="s">
        <v>75</v>
      </c>
      <c r="W60" s="38"/>
      <c r="X60" s="45"/>
    </row>
    <row r="61" spans="1:24" s="5" customFormat="1" ht="15.75">
      <c r="A61" s="61"/>
      <c r="B61" s="37"/>
      <c r="C61" s="36"/>
      <c r="D61" s="36"/>
      <c r="E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8"/>
      <c r="G61" s="48" t="b">
        <v>0</v>
      </c>
      <c r="H61" s="48" t="b">
        <v>0</v>
      </c>
      <c r="I61" s="48" t="b">
        <v>0</v>
      </c>
      <c r="J61" s="48" t="b">
        <v>0</v>
      </c>
      <c r="K61" s="48" t="b">
        <v>0</v>
      </c>
      <c r="L61" s="48" t="b">
        <v>0</v>
      </c>
      <c r="M61" s="48" t="b">
        <v>0</v>
      </c>
      <c r="N61" s="48" t="b">
        <v>0</v>
      </c>
      <c r="O61" s="48" t="b">
        <v>0</v>
      </c>
      <c r="P61" s="36"/>
      <c r="Q61" s="36"/>
      <c r="R61" s="36"/>
      <c r="S61" s="42"/>
      <c r="T61" s="42"/>
      <c r="U61" s="56">
        <v>46181.841377314813</v>
      </c>
      <c r="V61" s="38" t="s">
        <v>75</v>
      </c>
      <c r="W61" s="38"/>
      <c r="X61" s="45"/>
    </row>
    <row r="62" spans="1:24" s="5" customFormat="1" ht="15.75">
      <c r="A62" s="61"/>
      <c r="B62" s="37"/>
      <c r="C62" s="36"/>
      <c r="D62" s="36"/>
      <c r="E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8"/>
      <c r="G62" s="48" t="b">
        <v>0</v>
      </c>
      <c r="H62" s="48" t="b">
        <v>0</v>
      </c>
      <c r="I62" s="48" t="b">
        <v>0</v>
      </c>
      <c r="J62" s="48" t="b">
        <v>0</v>
      </c>
      <c r="K62" s="48" t="b">
        <v>0</v>
      </c>
      <c r="L62" s="48" t="b">
        <v>0</v>
      </c>
      <c r="M62" s="48" t="b">
        <v>0</v>
      </c>
      <c r="N62" s="48" t="b">
        <v>0</v>
      </c>
      <c r="O62" s="48" t="b">
        <v>0</v>
      </c>
      <c r="P62" s="36"/>
      <c r="Q62" s="36"/>
      <c r="R62" s="36"/>
      <c r="S62" s="42"/>
      <c r="T62" s="42"/>
      <c r="U62" s="56">
        <v>46181.841377314813</v>
      </c>
      <c r="V62" s="38" t="s">
        <v>75</v>
      </c>
      <c r="W62" s="38"/>
      <c r="X62" s="45"/>
    </row>
    <row r="63" spans="1:24" s="5" customFormat="1" ht="15.75">
      <c r="A63" s="61"/>
      <c r="B63" s="37"/>
      <c r="C63" s="36"/>
      <c r="D63" s="36"/>
      <c r="E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8"/>
      <c r="G63" s="48" t="b">
        <v>0</v>
      </c>
      <c r="H63" s="48" t="b">
        <v>0</v>
      </c>
      <c r="I63" s="48" t="b">
        <v>0</v>
      </c>
      <c r="J63" s="48" t="b">
        <v>0</v>
      </c>
      <c r="K63" s="48" t="b">
        <v>0</v>
      </c>
      <c r="L63" s="48" t="b">
        <v>0</v>
      </c>
      <c r="M63" s="48" t="b">
        <v>0</v>
      </c>
      <c r="N63" s="48" t="b">
        <v>0</v>
      </c>
      <c r="O63" s="48" t="b">
        <v>0</v>
      </c>
      <c r="P63" s="36"/>
      <c r="Q63" s="36"/>
      <c r="R63" s="36"/>
      <c r="S63" s="42"/>
      <c r="T63" s="42"/>
      <c r="U63" s="56">
        <v>46181.841377314813</v>
      </c>
      <c r="V63" s="38" t="s">
        <v>75</v>
      </c>
      <c r="W63" s="38"/>
      <c r="X63" s="45"/>
    </row>
    <row r="64" spans="1:24" s="5" customFormat="1" ht="15.75">
      <c r="A64" s="61"/>
      <c r="B64" s="37"/>
      <c r="C64" s="36"/>
      <c r="D64" s="36"/>
      <c r="E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8"/>
      <c r="G64" s="48" t="b">
        <v>0</v>
      </c>
      <c r="H64" s="48" t="b">
        <v>0</v>
      </c>
      <c r="I64" s="48" t="b">
        <v>0</v>
      </c>
      <c r="J64" s="48" t="b">
        <v>0</v>
      </c>
      <c r="K64" s="48" t="b">
        <v>0</v>
      </c>
      <c r="L64" s="48" t="b">
        <v>0</v>
      </c>
      <c r="M64" s="48" t="b">
        <v>0</v>
      </c>
      <c r="N64" s="48" t="b">
        <v>0</v>
      </c>
      <c r="O64" s="48" t="b">
        <v>0</v>
      </c>
      <c r="P64" s="36"/>
      <c r="Q64" s="36"/>
      <c r="R64" s="36"/>
      <c r="S64" s="42"/>
      <c r="T64" s="42"/>
      <c r="U64" s="56">
        <v>46181.841377314813</v>
      </c>
      <c r="V64" s="38" t="s">
        <v>75</v>
      </c>
      <c r="W64" s="38"/>
      <c r="X64" s="45"/>
    </row>
    <row r="65" spans="1:24" s="5" customFormat="1" ht="15.75">
      <c r="A65" s="61"/>
      <c r="B65" s="37"/>
      <c r="C65" s="36"/>
      <c r="D65" s="36"/>
      <c r="E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8"/>
      <c r="G65" s="48" t="b">
        <v>0</v>
      </c>
      <c r="H65" s="48" t="b">
        <v>0</v>
      </c>
      <c r="I65" s="48" t="b">
        <v>0</v>
      </c>
      <c r="J65" s="48" t="b">
        <v>0</v>
      </c>
      <c r="K65" s="48" t="b">
        <v>0</v>
      </c>
      <c r="L65" s="48" t="b">
        <v>0</v>
      </c>
      <c r="M65" s="48" t="b">
        <v>0</v>
      </c>
      <c r="N65" s="48" t="b">
        <v>0</v>
      </c>
      <c r="O65" s="48" t="b">
        <v>0</v>
      </c>
      <c r="P65" s="36"/>
      <c r="Q65" s="36"/>
      <c r="R65" s="36"/>
      <c r="S65" s="42"/>
      <c r="T65" s="42"/>
      <c r="U65" s="56">
        <v>46181.841377314813</v>
      </c>
      <c r="V65" s="38" t="s">
        <v>75</v>
      </c>
      <c r="W65" s="38"/>
      <c r="X65" s="45"/>
    </row>
    <row r="66" spans="1:24" s="5" customFormat="1" ht="15.75">
      <c r="A66" s="61"/>
      <c r="B66" s="37"/>
      <c r="C66" s="36"/>
      <c r="D66" s="36"/>
      <c r="E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8"/>
      <c r="G66" s="48" t="b">
        <v>0</v>
      </c>
      <c r="H66" s="48" t="b">
        <v>0</v>
      </c>
      <c r="I66" s="48" t="b">
        <v>0</v>
      </c>
      <c r="J66" s="48" t="b">
        <v>0</v>
      </c>
      <c r="K66" s="48" t="b">
        <v>0</v>
      </c>
      <c r="L66" s="48" t="b">
        <v>0</v>
      </c>
      <c r="M66" s="48" t="b">
        <v>0</v>
      </c>
      <c r="N66" s="48" t="b">
        <v>0</v>
      </c>
      <c r="O66" s="48" t="b">
        <v>0</v>
      </c>
      <c r="P66" s="36"/>
      <c r="Q66" s="36"/>
      <c r="R66" s="36"/>
      <c r="S66" s="42"/>
      <c r="T66" s="42"/>
      <c r="U66" s="56">
        <v>46181.841377314813</v>
      </c>
      <c r="V66" s="38" t="s">
        <v>75</v>
      </c>
      <c r="W66" s="38"/>
      <c r="X66" s="45"/>
    </row>
    <row r="67" spans="1:24" s="5" customFormat="1" ht="15.75">
      <c r="A67" s="61"/>
      <c r="B67" s="37"/>
      <c r="C67" s="36"/>
      <c r="D67" s="36"/>
      <c r="E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8"/>
      <c r="G67" s="48" t="b">
        <v>0</v>
      </c>
      <c r="H67" s="48" t="b">
        <v>0</v>
      </c>
      <c r="I67" s="48" t="b">
        <v>0</v>
      </c>
      <c r="J67" s="48" t="b">
        <v>0</v>
      </c>
      <c r="K67" s="48" t="b">
        <v>0</v>
      </c>
      <c r="L67" s="48" t="b">
        <v>0</v>
      </c>
      <c r="M67" s="48" t="b">
        <v>0</v>
      </c>
      <c r="N67" s="48" t="b">
        <v>0</v>
      </c>
      <c r="O67" s="48" t="b">
        <v>0</v>
      </c>
      <c r="P67" s="36"/>
      <c r="Q67" s="36"/>
      <c r="R67" s="36"/>
      <c r="S67" s="42"/>
      <c r="T67" s="42"/>
      <c r="U67" s="56">
        <v>46181.84138888889</v>
      </c>
      <c r="V67" s="38" t="s">
        <v>75</v>
      </c>
      <c r="W67" s="38"/>
      <c r="X67" s="45"/>
    </row>
    <row r="68" spans="1:24" s="5" customFormat="1" ht="15.75">
      <c r="A68" s="61"/>
      <c r="B68" s="37"/>
      <c r="C68" s="36"/>
      <c r="D68" s="36"/>
      <c r="E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8"/>
      <c r="G68" s="48" t="b">
        <v>0</v>
      </c>
      <c r="H68" s="48" t="b">
        <v>0</v>
      </c>
      <c r="I68" s="48" t="b">
        <v>0</v>
      </c>
      <c r="J68" s="48" t="b">
        <v>0</v>
      </c>
      <c r="K68" s="48" t="b">
        <v>0</v>
      </c>
      <c r="L68" s="48" t="b">
        <v>0</v>
      </c>
      <c r="M68" s="48" t="b">
        <v>0</v>
      </c>
      <c r="N68" s="48" t="b">
        <v>0</v>
      </c>
      <c r="O68" s="48" t="b">
        <v>0</v>
      </c>
      <c r="P68" s="36"/>
      <c r="Q68" s="36"/>
      <c r="R68" s="36"/>
      <c r="S68" s="42"/>
      <c r="T68" s="42"/>
      <c r="U68" s="56">
        <v>46181.84138888889</v>
      </c>
      <c r="V68" s="38" t="s">
        <v>75</v>
      </c>
      <c r="W68" s="38"/>
      <c r="X68" s="45"/>
    </row>
    <row r="69" spans="1:24" s="5" customFormat="1" ht="15.75">
      <c r="A69" s="61"/>
      <c r="B69" s="37"/>
      <c r="C69" s="36"/>
      <c r="D69" s="36"/>
      <c r="E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8"/>
      <c r="G69" s="48" t="b">
        <v>0</v>
      </c>
      <c r="H69" s="48" t="b">
        <v>0</v>
      </c>
      <c r="I69" s="48" t="b">
        <v>0</v>
      </c>
      <c r="J69" s="48" t="b">
        <v>0</v>
      </c>
      <c r="K69" s="48" t="b">
        <v>0</v>
      </c>
      <c r="L69" s="48" t="b">
        <v>0</v>
      </c>
      <c r="M69" s="48" t="b">
        <v>0</v>
      </c>
      <c r="N69" s="48" t="b">
        <v>0</v>
      </c>
      <c r="O69" s="48" t="b">
        <v>0</v>
      </c>
      <c r="P69" s="36"/>
      <c r="Q69" s="36"/>
      <c r="R69" s="36"/>
      <c r="S69" s="42"/>
      <c r="T69" s="42"/>
      <c r="U69" s="56">
        <v>46181.84138888889</v>
      </c>
      <c r="V69" s="38" t="s">
        <v>75</v>
      </c>
      <c r="W69" s="38"/>
      <c r="X69" s="45"/>
    </row>
    <row r="70" spans="1:24" s="5" customFormat="1" ht="15.75">
      <c r="A70" s="61"/>
      <c r="B70" s="37"/>
      <c r="C70" s="36"/>
      <c r="D70" s="36"/>
      <c r="E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8"/>
      <c r="G70" s="48" t="b">
        <v>0</v>
      </c>
      <c r="H70" s="48" t="b">
        <v>0</v>
      </c>
      <c r="I70" s="48" t="b">
        <v>0</v>
      </c>
      <c r="J70" s="48" t="b">
        <v>0</v>
      </c>
      <c r="K70" s="48" t="b">
        <v>0</v>
      </c>
      <c r="L70" s="48" t="b">
        <v>0</v>
      </c>
      <c r="M70" s="48" t="b">
        <v>0</v>
      </c>
      <c r="N70" s="48" t="b">
        <v>0</v>
      </c>
      <c r="O70" s="48" t="b">
        <v>0</v>
      </c>
      <c r="P70" s="36"/>
      <c r="Q70" s="36"/>
      <c r="R70" s="36"/>
      <c r="S70" s="42"/>
      <c r="T70" s="42"/>
      <c r="U70" s="56">
        <v>46181.84138888889</v>
      </c>
      <c r="V70" s="38" t="s">
        <v>75</v>
      </c>
      <c r="W70" s="38"/>
      <c r="X70" s="45"/>
    </row>
    <row r="71" spans="1:24" s="5" customFormat="1" ht="15.75">
      <c r="A71" s="61"/>
      <c r="B71" s="37"/>
      <c r="C71" s="36"/>
      <c r="D71" s="36"/>
      <c r="E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8"/>
      <c r="G71" s="48" t="b">
        <v>0</v>
      </c>
      <c r="H71" s="48" t="b">
        <v>0</v>
      </c>
      <c r="I71" s="48" t="b">
        <v>0</v>
      </c>
      <c r="J71" s="48" t="b">
        <v>0</v>
      </c>
      <c r="K71" s="48" t="b">
        <v>0</v>
      </c>
      <c r="L71" s="48" t="b">
        <v>0</v>
      </c>
      <c r="M71" s="48" t="b">
        <v>0</v>
      </c>
      <c r="N71" s="48" t="b">
        <v>0</v>
      </c>
      <c r="O71" s="48" t="b">
        <v>0</v>
      </c>
      <c r="P71" s="36"/>
      <c r="Q71" s="36"/>
      <c r="R71" s="36"/>
      <c r="S71" s="42"/>
      <c r="T71" s="42"/>
      <c r="U71" s="56">
        <v>46181.84138888889</v>
      </c>
      <c r="V71" s="38" t="s">
        <v>75</v>
      </c>
      <c r="W71" s="38"/>
      <c r="X71" s="45"/>
    </row>
    <row r="72" spans="1:24" s="5" customFormat="1" ht="15.75">
      <c r="A72" s="61"/>
      <c r="B72" s="37"/>
      <c r="C72" s="36"/>
      <c r="D72" s="36"/>
      <c r="E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8"/>
      <c r="G72" s="48" t="b">
        <v>0</v>
      </c>
      <c r="H72" s="48" t="b">
        <v>0</v>
      </c>
      <c r="I72" s="48" t="b">
        <v>0</v>
      </c>
      <c r="J72" s="48" t="b">
        <v>0</v>
      </c>
      <c r="K72" s="48" t="b">
        <v>0</v>
      </c>
      <c r="L72" s="48" t="b">
        <v>0</v>
      </c>
      <c r="M72" s="48" t="b">
        <v>0</v>
      </c>
      <c r="N72" s="48" t="b">
        <v>0</v>
      </c>
      <c r="O72" s="48" t="b">
        <v>0</v>
      </c>
      <c r="P72" s="36"/>
      <c r="Q72" s="36"/>
      <c r="R72" s="36"/>
      <c r="S72" s="42"/>
      <c r="T72" s="42"/>
      <c r="U72" s="56">
        <v>46181.84138888889</v>
      </c>
      <c r="V72" s="38" t="s">
        <v>75</v>
      </c>
      <c r="W72" s="38"/>
      <c r="X72" s="45"/>
    </row>
    <row r="73" spans="1:24" s="5" customFormat="1" ht="15.75">
      <c r="A73" s="61"/>
      <c r="B73" s="37"/>
      <c r="C73" s="36"/>
      <c r="D73" s="36"/>
      <c r="E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8"/>
      <c r="G73" s="48" t="b">
        <v>0</v>
      </c>
      <c r="H73" s="48" t="b">
        <v>0</v>
      </c>
      <c r="I73" s="48" t="b">
        <v>0</v>
      </c>
      <c r="J73" s="48" t="b">
        <v>0</v>
      </c>
      <c r="K73" s="48" t="b">
        <v>0</v>
      </c>
      <c r="L73" s="48" t="b">
        <v>0</v>
      </c>
      <c r="M73" s="48" t="b">
        <v>0</v>
      </c>
      <c r="N73" s="48" t="b">
        <v>0</v>
      </c>
      <c r="O73" s="48" t="b">
        <v>0</v>
      </c>
      <c r="P73" s="36"/>
      <c r="Q73" s="36"/>
      <c r="R73" s="36"/>
      <c r="S73" s="42"/>
      <c r="T73" s="42"/>
      <c r="U73" s="56">
        <v>46181.84138888889</v>
      </c>
      <c r="V73" s="38" t="s">
        <v>75</v>
      </c>
      <c r="W73" s="38"/>
      <c r="X73" s="45"/>
    </row>
    <row r="74" spans="1:24" s="5" customFormat="1" ht="15.75">
      <c r="A74" s="61"/>
      <c r="B74" s="37"/>
      <c r="C74" s="36"/>
      <c r="D74" s="36"/>
      <c r="E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8"/>
      <c r="G74" s="48" t="b">
        <v>0</v>
      </c>
      <c r="H74" s="48" t="b">
        <v>0</v>
      </c>
      <c r="I74" s="48" t="b">
        <v>0</v>
      </c>
      <c r="J74" s="48" t="b">
        <v>0</v>
      </c>
      <c r="K74" s="48" t="b">
        <v>0</v>
      </c>
      <c r="L74" s="48" t="b">
        <v>0</v>
      </c>
      <c r="M74" s="48" t="b">
        <v>0</v>
      </c>
      <c r="N74" s="48" t="b">
        <v>0</v>
      </c>
      <c r="O74" s="48" t="b">
        <v>0</v>
      </c>
      <c r="P74" s="36"/>
      <c r="Q74" s="36"/>
      <c r="R74" s="36"/>
      <c r="S74" s="42"/>
      <c r="T74" s="42"/>
      <c r="U74" s="56">
        <v>46181.84138888889</v>
      </c>
      <c r="V74" s="38" t="s">
        <v>75</v>
      </c>
      <c r="W74" s="38"/>
      <c r="X74" s="45"/>
    </row>
    <row r="75" spans="1:24" s="5" customFormat="1" ht="15.75">
      <c r="A75" s="61"/>
      <c r="B75" s="37"/>
      <c r="C75" s="36"/>
      <c r="D75" s="36"/>
      <c r="E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8"/>
      <c r="G75" s="48" t="b">
        <v>0</v>
      </c>
      <c r="H75" s="48" t="b">
        <v>0</v>
      </c>
      <c r="I75" s="48" t="b">
        <v>0</v>
      </c>
      <c r="J75" s="48" t="b">
        <v>0</v>
      </c>
      <c r="K75" s="48" t="b">
        <v>0</v>
      </c>
      <c r="L75" s="48" t="b">
        <v>0</v>
      </c>
      <c r="M75" s="48" t="b">
        <v>0</v>
      </c>
      <c r="N75" s="48" t="b">
        <v>0</v>
      </c>
      <c r="O75" s="48" t="b">
        <v>0</v>
      </c>
      <c r="P75" s="36"/>
      <c r="Q75" s="36"/>
      <c r="R75" s="36"/>
      <c r="S75" s="42"/>
      <c r="T75" s="42"/>
      <c r="U75" s="56">
        <v>46181.84138888889</v>
      </c>
      <c r="V75" s="38" t="s">
        <v>75</v>
      </c>
      <c r="W75" s="38"/>
      <c r="X75" s="45"/>
    </row>
    <row r="76" spans="1:24" s="5" customFormat="1" ht="15.75">
      <c r="A76" s="61"/>
      <c r="B76" s="37"/>
      <c r="C76" s="36"/>
      <c r="D76" s="36"/>
      <c r="E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8"/>
      <c r="G76" s="48" t="b">
        <v>0</v>
      </c>
      <c r="H76" s="48" t="b">
        <v>0</v>
      </c>
      <c r="I76" s="48" t="b">
        <v>0</v>
      </c>
      <c r="J76" s="48" t="b">
        <v>0</v>
      </c>
      <c r="K76" s="48" t="b">
        <v>0</v>
      </c>
      <c r="L76" s="48" t="b">
        <v>0</v>
      </c>
      <c r="M76" s="48" t="b">
        <v>0</v>
      </c>
      <c r="N76" s="48" t="b">
        <v>0</v>
      </c>
      <c r="O76" s="48" t="b">
        <v>0</v>
      </c>
      <c r="P76" s="36"/>
      <c r="Q76" s="36"/>
      <c r="R76" s="36"/>
      <c r="S76" s="42"/>
      <c r="T76" s="42"/>
      <c r="U76" s="56">
        <v>46181.84138888889</v>
      </c>
      <c r="V76" s="38" t="s">
        <v>75</v>
      </c>
      <c r="W76" s="38"/>
      <c r="X76" s="45"/>
    </row>
    <row r="77" spans="1:24" s="5" customFormat="1" ht="15.75">
      <c r="A77" s="61"/>
      <c r="B77" s="37"/>
      <c r="C77" s="36"/>
      <c r="D77" s="36"/>
      <c r="E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8"/>
      <c r="G77" s="48" t="b">
        <v>0</v>
      </c>
      <c r="H77" s="48" t="b">
        <v>0</v>
      </c>
      <c r="I77" s="48" t="b">
        <v>0</v>
      </c>
      <c r="J77" s="48" t="b">
        <v>0</v>
      </c>
      <c r="K77" s="48" t="b">
        <v>0</v>
      </c>
      <c r="L77" s="48" t="b">
        <v>0</v>
      </c>
      <c r="M77" s="48" t="b">
        <v>0</v>
      </c>
      <c r="N77" s="48" t="b">
        <v>0</v>
      </c>
      <c r="O77" s="48" t="b">
        <v>0</v>
      </c>
      <c r="P77" s="36"/>
      <c r="Q77" s="36"/>
      <c r="R77" s="36"/>
      <c r="S77" s="42"/>
      <c r="T77" s="42"/>
      <c r="U77" s="56">
        <v>46181.84138888889</v>
      </c>
      <c r="V77" s="38" t="s">
        <v>75</v>
      </c>
      <c r="W77" s="38"/>
      <c r="X77" s="45"/>
    </row>
    <row r="78" spans="1:24" s="5" customFormat="1" ht="15.75">
      <c r="A78" s="61"/>
      <c r="B78" s="37"/>
      <c r="C78" s="36"/>
      <c r="D78" s="36"/>
      <c r="E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8"/>
      <c r="G78" s="48" t="b">
        <v>0</v>
      </c>
      <c r="H78" s="48" t="b">
        <v>0</v>
      </c>
      <c r="I78" s="48" t="b">
        <v>0</v>
      </c>
      <c r="J78" s="48" t="b">
        <v>0</v>
      </c>
      <c r="K78" s="48" t="b">
        <v>0</v>
      </c>
      <c r="L78" s="48" t="b">
        <v>0</v>
      </c>
      <c r="M78" s="48" t="b">
        <v>0</v>
      </c>
      <c r="N78" s="48" t="b">
        <v>0</v>
      </c>
      <c r="O78" s="48" t="b">
        <v>0</v>
      </c>
      <c r="P78" s="36"/>
      <c r="Q78" s="36"/>
      <c r="R78" s="36"/>
      <c r="S78" s="42"/>
      <c r="T78" s="42"/>
      <c r="U78" s="56">
        <v>46181.84138888889</v>
      </c>
      <c r="V78" s="38" t="s">
        <v>75</v>
      </c>
      <c r="W78" s="38"/>
      <c r="X78" s="45"/>
    </row>
    <row r="79" spans="1:24" s="5" customFormat="1" ht="15.75">
      <c r="A79" s="61"/>
      <c r="B79" s="37"/>
      <c r="C79" s="36"/>
      <c r="D79" s="36"/>
      <c r="E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8"/>
      <c r="G79" s="48" t="b">
        <v>0</v>
      </c>
      <c r="H79" s="48" t="b">
        <v>0</v>
      </c>
      <c r="I79" s="48" t="b">
        <v>0</v>
      </c>
      <c r="J79" s="48" t="b">
        <v>0</v>
      </c>
      <c r="K79" s="48" t="b">
        <v>0</v>
      </c>
      <c r="L79" s="48" t="b">
        <v>0</v>
      </c>
      <c r="M79" s="48" t="b">
        <v>0</v>
      </c>
      <c r="N79" s="48" t="b">
        <v>0</v>
      </c>
      <c r="O79" s="48" t="b">
        <v>0</v>
      </c>
      <c r="P79" s="36"/>
      <c r="Q79" s="36"/>
      <c r="R79" s="36"/>
      <c r="S79" s="42"/>
      <c r="T79" s="42"/>
      <c r="U79" s="56">
        <v>46181.84138888889</v>
      </c>
      <c r="V79" s="38" t="s">
        <v>75</v>
      </c>
      <c r="W79" s="38"/>
      <c r="X79" s="45"/>
    </row>
    <row r="80" spans="1:24" s="5" customFormat="1" ht="15.75">
      <c r="A80" s="61"/>
      <c r="B80" s="37"/>
      <c r="C80" s="36"/>
      <c r="D80" s="36"/>
      <c r="E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8"/>
      <c r="G80" s="48" t="b">
        <v>0</v>
      </c>
      <c r="H80" s="48" t="b">
        <v>0</v>
      </c>
      <c r="I80" s="48" t="b">
        <v>0</v>
      </c>
      <c r="J80" s="48" t="b">
        <v>0</v>
      </c>
      <c r="K80" s="48" t="b">
        <v>0</v>
      </c>
      <c r="L80" s="48" t="b">
        <v>0</v>
      </c>
      <c r="M80" s="48" t="b">
        <v>0</v>
      </c>
      <c r="N80" s="48" t="b">
        <v>0</v>
      </c>
      <c r="O80" s="48" t="b">
        <v>0</v>
      </c>
      <c r="P80" s="36"/>
      <c r="Q80" s="36"/>
      <c r="R80" s="36"/>
      <c r="S80" s="42"/>
      <c r="T80" s="42"/>
      <c r="U80" s="56">
        <v>46181.84138888889</v>
      </c>
      <c r="V80" s="38" t="s">
        <v>75</v>
      </c>
      <c r="W80" s="38"/>
      <c r="X80" s="45"/>
    </row>
    <row r="81" spans="1:24" s="5" customFormat="1" ht="15.75">
      <c r="A81" s="61"/>
      <c r="B81" s="37"/>
      <c r="C81" s="36"/>
      <c r="D81" s="36"/>
      <c r="E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8"/>
      <c r="G81" s="48" t="b">
        <v>0</v>
      </c>
      <c r="H81" s="48" t="b">
        <v>0</v>
      </c>
      <c r="I81" s="48" t="b">
        <v>0</v>
      </c>
      <c r="J81" s="48" t="b">
        <v>0</v>
      </c>
      <c r="K81" s="48" t="b">
        <v>0</v>
      </c>
      <c r="L81" s="48" t="b">
        <v>0</v>
      </c>
      <c r="M81" s="48" t="b">
        <v>0</v>
      </c>
      <c r="N81" s="48" t="b">
        <v>0</v>
      </c>
      <c r="O81" s="48" t="b">
        <v>0</v>
      </c>
      <c r="P81" s="36"/>
      <c r="Q81" s="36"/>
      <c r="R81" s="36"/>
      <c r="S81" s="42"/>
      <c r="T81" s="42"/>
      <c r="U81" s="56">
        <v>46181.84138888889</v>
      </c>
      <c r="V81" s="38" t="s">
        <v>75</v>
      </c>
      <c r="W81" s="38"/>
      <c r="X81" s="45"/>
    </row>
    <row r="82" spans="1:24" s="5" customFormat="1" ht="15.75">
      <c r="A82" s="61"/>
      <c r="B82" s="37"/>
      <c r="C82" s="36"/>
      <c r="D82" s="36"/>
      <c r="E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8"/>
      <c r="G82" s="48" t="b">
        <v>0</v>
      </c>
      <c r="H82" s="48" t="b">
        <v>0</v>
      </c>
      <c r="I82" s="48" t="b">
        <v>0</v>
      </c>
      <c r="J82" s="48" t="b">
        <v>0</v>
      </c>
      <c r="K82" s="48" t="b">
        <v>0</v>
      </c>
      <c r="L82" s="48" t="b">
        <v>0</v>
      </c>
      <c r="M82" s="48" t="b">
        <v>0</v>
      </c>
      <c r="N82" s="48" t="b">
        <v>0</v>
      </c>
      <c r="O82" s="48" t="b">
        <v>0</v>
      </c>
      <c r="P82" s="36"/>
      <c r="Q82" s="36"/>
      <c r="R82" s="36"/>
      <c r="S82" s="42"/>
      <c r="T82" s="42"/>
      <c r="U82" s="56">
        <v>46181.84138888889</v>
      </c>
      <c r="V82" s="38" t="s">
        <v>75</v>
      </c>
      <c r="W82" s="38"/>
      <c r="X82" s="45"/>
    </row>
    <row r="83" spans="1:24" s="5" customFormat="1" ht="15.75">
      <c r="A83" s="61"/>
      <c r="B83" s="37"/>
      <c r="C83" s="36"/>
      <c r="D83" s="36"/>
      <c r="E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8"/>
      <c r="G83" s="48" t="b">
        <v>0</v>
      </c>
      <c r="H83" s="48" t="b">
        <v>0</v>
      </c>
      <c r="I83" s="48" t="b">
        <v>0</v>
      </c>
      <c r="J83" s="48" t="b">
        <v>0</v>
      </c>
      <c r="K83" s="48" t="b">
        <v>0</v>
      </c>
      <c r="L83" s="48" t="b">
        <v>0</v>
      </c>
      <c r="M83" s="48" t="b">
        <v>0</v>
      </c>
      <c r="N83" s="48" t="b">
        <v>0</v>
      </c>
      <c r="O83" s="48" t="b">
        <v>0</v>
      </c>
      <c r="P83" s="36"/>
      <c r="Q83" s="36"/>
      <c r="R83" s="36"/>
      <c r="S83" s="42"/>
      <c r="T83" s="42"/>
      <c r="U83" s="56">
        <v>46181.841400462959</v>
      </c>
      <c r="V83" s="38" t="s">
        <v>75</v>
      </c>
      <c r="W83" s="38"/>
      <c r="X83" s="45"/>
    </row>
    <row r="84" spans="1:24" s="5" customFormat="1" ht="15.75">
      <c r="A84" s="61"/>
      <c r="B84" s="37"/>
      <c r="C84" s="36"/>
      <c r="D84" s="36"/>
      <c r="E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8"/>
      <c r="G84" s="48" t="b">
        <v>0</v>
      </c>
      <c r="H84" s="48" t="b">
        <v>0</v>
      </c>
      <c r="I84" s="48" t="b">
        <v>0</v>
      </c>
      <c r="J84" s="48" t="b">
        <v>0</v>
      </c>
      <c r="K84" s="48" t="b">
        <v>0</v>
      </c>
      <c r="L84" s="48" t="b">
        <v>0</v>
      </c>
      <c r="M84" s="48" t="b">
        <v>0</v>
      </c>
      <c r="N84" s="48" t="b">
        <v>0</v>
      </c>
      <c r="O84" s="48" t="b">
        <v>0</v>
      </c>
      <c r="P84" s="36"/>
      <c r="Q84" s="36"/>
      <c r="R84" s="36"/>
      <c r="S84" s="42"/>
      <c r="T84" s="42"/>
      <c r="U84" s="56">
        <v>46181.841400462959</v>
      </c>
      <c r="V84" s="38" t="s">
        <v>75</v>
      </c>
      <c r="W84" s="38"/>
      <c r="X84" s="45"/>
    </row>
    <row r="85" spans="1:24" s="5" customFormat="1" ht="15.75">
      <c r="A85" s="61"/>
      <c r="B85" s="37"/>
      <c r="C85" s="36"/>
      <c r="D85" s="36"/>
      <c r="E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8"/>
      <c r="G85" s="48" t="b">
        <v>0</v>
      </c>
      <c r="H85" s="48" t="b">
        <v>0</v>
      </c>
      <c r="I85" s="48" t="b">
        <v>0</v>
      </c>
      <c r="J85" s="48" t="b">
        <v>0</v>
      </c>
      <c r="K85" s="48" t="b">
        <v>0</v>
      </c>
      <c r="L85" s="48" t="b">
        <v>0</v>
      </c>
      <c r="M85" s="48" t="b">
        <v>0</v>
      </c>
      <c r="N85" s="48" t="b">
        <v>0</v>
      </c>
      <c r="O85" s="48" t="b">
        <v>0</v>
      </c>
      <c r="P85" s="36"/>
      <c r="Q85" s="36"/>
      <c r="R85" s="36"/>
      <c r="S85" s="42"/>
      <c r="T85" s="42"/>
      <c r="U85" s="56">
        <v>46181.841400462959</v>
      </c>
      <c r="V85" s="38" t="s">
        <v>75</v>
      </c>
      <c r="W85" s="38"/>
      <c r="X85" s="45"/>
    </row>
    <row r="86" spans="1:24" s="5" customFormat="1" ht="15.75">
      <c r="A86" s="61"/>
      <c r="B86" s="37"/>
      <c r="C86" s="36"/>
      <c r="D86" s="36"/>
      <c r="E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8"/>
      <c r="G86" s="48" t="b">
        <v>0</v>
      </c>
      <c r="H86" s="48" t="b">
        <v>0</v>
      </c>
      <c r="I86" s="48" t="b">
        <v>0</v>
      </c>
      <c r="J86" s="48" t="b">
        <v>0</v>
      </c>
      <c r="K86" s="48" t="b">
        <v>0</v>
      </c>
      <c r="L86" s="48" t="b">
        <v>0</v>
      </c>
      <c r="M86" s="48" t="b">
        <v>0</v>
      </c>
      <c r="N86" s="48" t="b">
        <v>0</v>
      </c>
      <c r="O86" s="48" t="b">
        <v>0</v>
      </c>
      <c r="P86" s="36"/>
      <c r="Q86" s="36"/>
      <c r="R86" s="36"/>
      <c r="S86" s="42"/>
      <c r="T86" s="42"/>
      <c r="U86" s="56">
        <v>46181.841400462959</v>
      </c>
      <c r="V86" s="38" t="s">
        <v>75</v>
      </c>
      <c r="W86" s="38"/>
      <c r="X86" s="45"/>
    </row>
    <row r="87" spans="1:24" s="5" customFormat="1" ht="15.75">
      <c r="A87" s="61"/>
      <c r="B87" s="37"/>
      <c r="C87" s="36"/>
      <c r="D87" s="36"/>
      <c r="E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8"/>
      <c r="G87" s="48" t="b">
        <v>0</v>
      </c>
      <c r="H87" s="48" t="b">
        <v>0</v>
      </c>
      <c r="I87" s="48" t="b">
        <v>0</v>
      </c>
      <c r="J87" s="48" t="b">
        <v>0</v>
      </c>
      <c r="K87" s="48" t="b">
        <v>0</v>
      </c>
      <c r="L87" s="48" t="b">
        <v>0</v>
      </c>
      <c r="M87" s="48" t="b">
        <v>0</v>
      </c>
      <c r="N87" s="48" t="b">
        <v>0</v>
      </c>
      <c r="O87" s="48" t="b">
        <v>0</v>
      </c>
      <c r="P87" s="36"/>
      <c r="Q87" s="36"/>
      <c r="R87" s="36"/>
      <c r="S87" s="42"/>
      <c r="T87" s="42"/>
      <c r="U87" s="56">
        <v>46181.841400462959</v>
      </c>
      <c r="V87" s="38" t="s">
        <v>75</v>
      </c>
      <c r="W87" s="38"/>
      <c r="X87" s="45"/>
    </row>
    <row r="88" spans="1:24" s="5" customFormat="1" ht="15.75">
      <c r="A88" s="61"/>
      <c r="B88" s="37"/>
      <c r="C88" s="36"/>
      <c r="D88" s="36"/>
      <c r="E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8"/>
      <c r="G88" s="48" t="b">
        <v>0</v>
      </c>
      <c r="H88" s="48" t="b">
        <v>0</v>
      </c>
      <c r="I88" s="48" t="b">
        <v>0</v>
      </c>
      <c r="J88" s="48" t="b">
        <v>0</v>
      </c>
      <c r="K88" s="48" t="b">
        <v>0</v>
      </c>
      <c r="L88" s="48" t="b">
        <v>0</v>
      </c>
      <c r="M88" s="48" t="b">
        <v>0</v>
      </c>
      <c r="N88" s="48" t="b">
        <v>0</v>
      </c>
      <c r="O88" s="48" t="b">
        <v>0</v>
      </c>
      <c r="P88" s="36"/>
      <c r="Q88" s="36"/>
      <c r="R88" s="36"/>
      <c r="S88" s="42"/>
      <c r="T88" s="42"/>
      <c r="U88" s="56">
        <v>46181.841400462959</v>
      </c>
      <c r="V88" s="38" t="s">
        <v>75</v>
      </c>
      <c r="W88" s="38"/>
      <c r="X88" s="45"/>
    </row>
    <row r="89" spans="1:24" s="5" customFormat="1" ht="15.75">
      <c r="A89" s="61"/>
      <c r="B89" s="37"/>
      <c r="C89" s="36"/>
      <c r="D89" s="36"/>
      <c r="E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8"/>
      <c r="G89" s="48" t="b">
        <v>0</v>
      </c>
      <c r="H89" s="48" t="b">
        <v>0</v>
      </c>
      <c r="I89" s="48" t="b">
        <v>0</v>
      </c>
      <c r="J89" s="48" t="b">
        <v>0</v>
      </c>
      <c r="K89" s="48" t="b">
        <v>0</v>
      </c>
      <c r="L89" s="48" t="b">
        <v>0</v>
      </c>
      <c r="M89" s="48" t="b">
        <v>0</v>
      </c>
      <c r="N89" s="48" t="b">
        <v>0</v>
      </c>
      <c r="O89" s="48" t="b">
        <v>0</v>
      </c>
      <c r="P89" s="36"/>
      <c r="Q89" s="36"/>
      <c r="R89" s="36"/>
      <c r="S89" s="42"/>
      <c r="T89" s="42"/>
      <c r="U89" s="56">
        <v>46181.841400462959</v>
      </c>
      <c r="V89" s="38" t="s">
        <v>75</v>
      </c>
      <c r="W89" s="38"/>
      <c r="X89" s="45"/>
    </row>
    <row r="90" spans="1:24" s="5" customFormat="1" ht="15.75">
      <c r="A90" s="61"/>
      <c r="B90" s="37"/>
      <c r="C90" s="36"/>
      <c r="D90" s="36"/>
      <c r="E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8"/>
      <c r="G90" s="48" t="b">
        <v>0</v>
      </c>
      <c r="H90" s="48" t="b">
        <v>0</v>
      </c>
      <c r="I90" s="48" t="b">
        <v>0</v>
      </c>
      <c r="J90" s="48" t="b">
        <v>0</v>
      </c>
      <c r="K90" s="48" t="b">
        <v>0</v>
      </c>
      <c r="L90" s="48" t="b">
        <v>0</v>
      </c>
      <c r="M90" s="48" t="b">
        <v>0</v>
      </c>
      <c r="N90" s="48" t="b">
        <v>0</v>
      </c>
      <c r="O90" s="48" t="b">
        <v>0</v>
      </c>
      <c r="P90" s="36"/>
      <c r="Q90" s="36"/>
      <c r="R90" s="36"/>
      <c r="S90" s="42"/>
      <c r="T90" s="42"/>
      <c r="U90" s="56">
        <v>46181.841400462959</v>
      </c>
      <c r="V90" s="38" t="s">
        <v>75</v>
      </c>
      <c r="W90" s="38"/>
      <c r="X90" s="45"/>
    </row>
    <row r="91" spans="1:24" s="5" customFormat="1" ht="15.75">
      <c r="A91" s="61"/>
      <c r="B91" s="37"/>
      <c r="C91" s="36"/>
      <c r="D91" s="36"/>
      <c r="E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8"/>
      <c r="G91" s="48" t="b">
        <v>0</v>
      </c>
      <c r="H91" s="48" t="b">
        <v>0</v>
      </c>
      <c r="I91" s="48" t="b">
        <v>0</v>
      </c>
      <c r="J91" s="48" t="b">
        <v>0</v>
      </c>
      <c r="K91" s="48" t="b">
        <v>0</v>
      </c>
      <c r="L91" s="48" t="b">
        <v>0</v>
      </c>
      <c r="M91" s="48" t="b">
        <v>0</v>
      </c>
      <c r="N91" s="48" t="b">
        <v>0</v>
      </c>
      <c r="O91" s="48" t="b">
        <v>0</v>
      </c>
      <c r="P91" s="36"/>
      <c r="Q91" s="36"/>
      <c r="R91" s="36"/>
      <c r="S91" s="42"/>
      <c r="T91" s="42"/>
      <c r="U91" s="56">
        <v>46181.841400462959</v>
      </c>
      <c r="V91" s="38" t="s">
        <v>75</v>
      </c>
      <c r="W91" s="38"/>
      <c r="X91" s="45"/>
    </row>
    <row r="92" spans="1:24" s="5" customFormat="1" ht="15.75">
      <c r="A92" s="61"/>
      <c r="B92" s="37"/>
      <c r="C92" s="36"/>
      <c r="D92" s="36"/>
      <c r="E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8"/>
      <c r="G92" s="48" t="b">
        <v>0</v>
      </c>
      <c r="H92" s="48" t="b">
        <v>0</v>
      </c>
      <c r="I92" s="48" t="b">
        <v>0</v>
      </c>
      <c r="J92" s="48" t="b">
        <v>0</v>
      </c>
      <c r="K92" s="48" t="b">
        <v>0</v>
      </c>
      <c r="L92" s="48" t="b">
        <v>0</v>
      </c>
      <c r="M92" s="48" t="b">
        <v>0</v>
      </c>
      <c r="N92" s="48" t="b">
        <v>0</v>
      </c>
      <c r="O92" s="48" t="b">
        <v>0</v>
      </c>
      <c r="P92" s="36"/>
      <c r="Q92" s="36"/>
      <c r="R92" s="36"/>
      <c r="S92" s="42"/>
      <c r="T92" s="42"/>
      <c r="U92" s="56">
        <v>46181.841400462959</v>
      </c>
      <c r="V92" s="38" t="s">
        <v>75</v>
      </c>
      <c r="W92" s="38"/>
      <c r="X92" s="45"/>
    </row>
    <row r="93" spans="1:24" s="5" customFormat="1" ht="15.75">
      <c r="A93" s="61"/>
      <c r="B93" s="37"/>
      <c r="C93" s="36"/>
      <c r="D93" s="36"/>
      <c r="E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8"/>
      <c r="G93" s="48" t="b">
        <v>0</v>
      </c>
      <c r="H93" s="48" t="b">
        <v>0</v>
      </c>
      <c r="I93" s="48" t="b">
        <v>0</v>
      </c>
      <c r="J93" s="48" t="b">
        <v>0</v>
      </c>
      <c r="K93" s="48" t="b">
        <v>0</v>
      </c>
      <c r="L93" s="48" t="b">
        <v>0</v>
      </c>
      <c r="M93" s="48" t="b">
        <v>0</v>
      </c>
      <c r="N93" s="48" t="b">
        <v>0</v>
      </c>
      <c r="O93" s="48" t="b">
        <v>0</v>
      </c>
      <c r="P93" s="36"/>
      <c r="Q93" s="36"/>
      <c r="R93" s="36"/>
      <c r="S93" s="42"/>
      <c r="T93" s="42"/>
      <c r="U93" s="56">
        <v>46181.841400462959</v>
      </c>
      <c r="V93" s="38" t="s">
        <v>75</v>
      </c>
      <c r="W93" s="38"/>
      <c r="X93" s="45"/>
    </row>
    <row r="94" spans="1:24" s="5" customFormat="1" ht="15.75">
      <c r="A94" s="61"/>
      <c r="B94" s="37"/>
      <c r="C94" s="36"/>
      <c r="D94" s="36"/>
      <c r="E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8"/>
      <c r="G94" s="48" t="b">
        <v>0</v>
      </c>
      <c r="H94" s="48" t="b">
        <v>0</v>
      </c>
      <c r="I94" s="48" t="b">
        <v>0</v>
      </c>
      <c r="J94" s="48" t="b">
        <v>0</v>
      </c>
      <c r="K94" s="48" t="b">
        <v>0</v>
      </c>
      <c r="L94" s="48" t="b">
        <v>0</v>
      </c>
      <c r="M94" s="48" t="b">
        <v>0</v>
      </c>
      <c r="N94" s="48" t="b">
        <v>0</v>
      </c>
      <c r="O94" s="48" t="b">
        <v>0</v>
      </c>
      <c r="P94" s="36"/>
      <c r="Q94" s="36"/>
      <c r="R94" s="36"/>
      <c r="S94" s="42"/>
      <c r="T94" s="42"/>
      <c r="U94" s="56">
        <v>46181.841400462959</v>
      </c>
      <c r="V94" s="38" t="s">
        <v>75</v>
      </c>
      <c r="W94" s="38"/>
      <c r="X94" s="45"/>
    </row>
    <row r="95" spans="1:24" s="5" customFormat="1" ht="15.75">
      <c r="A95" s="61"/>
      <c r="B95" s="37"/>
      <c r="C95" s="36"/>
      <c r="D95" s="36"/>
      <c r="E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8"/>
      <c r="G95" s="48" t="b">
        <v>0</v>
      </c>
      <c r="H95" s="48" t="b">
        <v>0</v>
      </c>
      <c r="I95" s="48" t="b">
        <v>0</v>
      </c>
      <c r="J95" s="48" t="b">
        <v>0</v>
      </c>
      <c r="K95" s="48" t="b">
        <v>0</v>
      </c>
      <c r="L95" s="48" t="b">
        <v>0</v>
      </c>
      <c r="M95" s="48" t="b">
        <v>0</v>
      </c>
      <c r="N95" s="48" t="b">
        <v>0</v>
      </c>
      <c r="O95" s="48" t="b">
        <v>0</v>
      </c>
      <c r="P95" s="36"/>
      <c r="Q95" s="36"/>
      <c r="R95" s="36"/>
      <c r="S95" s="42"/>
      <c r="T95" s="42"/>
      <c r="U95" s="56">
        <v>46181.841400462959</v>
      </c>
      <c r="V95" s="38" t="s">
        <v>75</v>
      </c>
      <c r="W95" s="38"/>
      <c r="X95" s="45"/>
    </row>
    <row r="96" spans="1:24" s="5" customFormat="1" ht="15.75">
      <c r="A96" s="61"/>
      <c r="B96" s="37"/>
      <c r="C96" s="36"/>
      <c r="D96" s="36"/>
      <c r="E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8"/>
      <c r="G96" s="48" t="b">
        <v>0</v>
      </c>
      <c r="H96" s="48" t="b">
        <v>0</v>
      </c>
      <c r="I96" s="48" t="b">
        <v>0</v>
      </c>
      <c r="J96" s="48" t="b">
        <v>0</v>
      </c>
      <c r="K96" s="48" t="b">
        <v>0</v>
      </c>
      <c r="L96" s="48" t="b">
        <v>0</v>
      </c>
      <c r="M96" s="48" t="b">
        <v>0</v>
      </c>
      <c r="N96" s="48" t="b">
        <v>0</v>
      </c>
      <c r="O96" s="48" t="b">
        <v>0</v>
      </c>
      <c r="P96" s="36"/>
      <c r="Q96" s="36"/>
      <c r="R96" s="36"/>
      <c r="S96" s="42"/>
      <c r="T96" s="42"/>
      <c r="U96" s="56">
        <v>46181.841400462959</v>
      </c>
      <c r="V96" s="38" t="s">
        <v>75</v>
      </c>
      <c r="W96" s="38"/>
      <c r="X96" s="45"/>
    </row>
    <row r="97" spans="1:24" s="5" customFormat="1" ht="15.75">
      <c r="A97" s="61"/>
      <c r="B97" s="37"/>
      <c r="C97" s="36"/>
      <c r="D97" s="36"/>
      <c r="E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8"/>
      <c r="G97" s="48" t="b">
        <v>0</v>
      </c>
      <c r="H97" s="48" t="b">
        <v>0</v>
      </c>
      <c r="I97" s="48" t="b">
        <v>0</v>
      </c>
      <c r="J97" s="48" t="b">
        <v>0</v>
      </c>
      <c r="K97" s="48" t="b">
        <v>0</v>
      </c>
      <c r="L97" s="48" t="b">
        <v>0</v>
      </c>
      <c r="M97" s="48" t="b">
        <v>0</v>
      </c>
      <c r="N97" s="48" t="b">
        <v>0</v>
      </c>
      <c r="O97" s="48" t="b">
        <v>0</v>
      </c>
      <c r="P97" s="36"/>
      <c r="Q97" s="36"/>
      <c r="R97" s="36"/>
      <c r="S97" s="42"/>
      <c r="T97" s="42"/>
      <c r="U97" s="56">
        <v>46181.841400462959</v>
      </c>
      <c r="V97" s="38" t="s">
        <v>75</v>
      </c>
      <c r="W97" s="38"/>
      <c r="X97" s="45"/>
    </row>
    <row r="98" spans="1:24" s="5" customFormat="1" ht="15.75">
      <c r="A98" s="61"/>
      <c r="B98" s="37"/>
      <c r="C98" s="36"/>
      <c r="D98" s="36"/>
      <c r="E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8"/>
      <c r="G98" s="48" t="b">
        <v>0</v>
      </c>
      <c r="H98" s="48" t="b">
        <v>0</v>
      </c>
      <c r="I98" s="48" t="b">
        <v>0</v>
      </c>
      <c r="J98" s="48" t="b">
        <v>0</v>
      </c>
      <c r="K98" s="48" t="b">
        <v>0</v>
      </c>
      <c r="L98" s="48" t="b">
        <v>0</v>
      </c>
      <c r="M98" s="48" t="b">
        <v>0</v>
      </c>
      <c r="N98" s="48" t="b">
        <v>0</v>
      </c>
      <c r="O98" s="48" t="b">
        <v>0</v>
      </c>
      <c r="P98" s="36"/>
      <c r="Q98" s="36"/>
      <c r="R98" s="36"/>
      <c r="S98" s="42"/>
      <c r="T98" s="42"/>
      <c r="U98" s="56">
        <v>46181.841400462959</v>
      </c>
      <c r="V98" s="38" t="s">
        <v>75</v>
      </c>
      <c r="W98" s="38"/>
      <c r="X98" s="45"/>
    </row>
    <row r="99" spans="1:24" s="5" customFormat="1" ht="15.75">
      <c r="A99" s="61"/>
      <c r="B99" s="37"/>
      <c r="C99" s="36"/>
      <c r="D99" s="36"/>
      <c r="E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8"/>
      <c r="G99" s="48" t="b">
        <v>0</v>
      </c>
      <c r="H99" s="48" t="b">
        <v>0</v>
      </c>
      <c r="I99" s="48" t="b">
        <v>0</v>
      </c>
      <c r="J99" s="48" t="b">
        <v>0</v>
      </c>
      <c r="K99" s="48" t="b">
        <v>0</v>
      </c>
      <c r="L99" s="48" t="b">
        <v>0</v>
      </c>
      <c r="M99" s="48" t="b">
        <v>0</v>
      </c>
      <c r="N99" s="48" t="b">
        <v>0</v>
      </c>
      <c r="O99" s="48" t="b">
        <v>0</v>
      </c>
      <c r="P99" s="36"/>
      <c r="Q99" s="36"/>
      <c r="R99" s="36"/>
      <c r="S99" s="42"/>
      <c r="T99" s="42"/>
      <c r="U99" s="56">
        <v>46181.841412037036</v>
      </c>
      <c r="V99" s="38" t="s">
        <v>75</v>
      </c>
      <c r="W99" s="38"/>
      <c r="X99" s="45"/>
    </row>
    <row r="100" spans="1:24" s="5" customFormat="1" ht="15.75">
      <c r="A100" s="61"/>
      <c r="B100" s="37"/>
      <c r="C100" s="36"/>
      <c r="D100" s="36"/>
      <c r="E1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8"/>
      <c r="G100" s="48" t="b">
        <v>0</v>
      </c>
      <c r="H100" s="48" t="b">
        <v>0</v>
      </c>
      <c r="I100" s="48" t="b">
        <v>0</v>
      </c>
      <c r="J100" s="48" t="b">
        <v>0</v>
      </c>
      <c r="K100" s="48" t="b">
        <v>0</v>
      </c>
      <c r="L100" s="48" t="b">
        <v>0</v>
      </c>
      <c r="M100" s="48" t="b">
        <v>0</v>
      </c>
      <c r="N100" s="48" t="b">
        <v>0</v>
      </c>
      <c r="O100" s="48" t="b">
        <v>0</v>
      </c>
      <c r="P100" s="36"/>
      <c r="Q100" s="36"/>
      <c r="R100" s="36"/>
      <c r="S100" s="42"/>
      <c r="T100" s="42"/>
      <c r="U100" s="56">
        <v>46181.841412037036</v>
      </c>
      <c r="V100" s="38" t="s">
        <v>75</v>
      </c>
      <c r="W100" s="38"/>
      <c r="X100" s="45"/>
    </row>
    <row r="101" spans="1:24" s="5" customFormat="1" ht="15.75">
      <c r="A101" s="61"/>
      <c r="B101" s="37"/>
      <c r="C101" s="36"/>
      <c r="D101" s="36"/>
      <c r="E1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8"/>
      <c r="G101" s="48" t="b">
        <v>0</v>
      </c>
      <c r="H101" s="48" t="b">
        <v>0</v>
      </c>
      <c r="I101" s="48" t="b">
        <v>0</v>
      </c>
      <c r="J101" s="48" t="b">
        <v>0</v>
      </c>
      <c r="K101" s="48" t="b">
        <v>0</v>
      </c>
      <c r="L101" s="48" t="b">
        <v>0</v>
      </c>
      <c r="M101" s="48" t="b">
        <v>0</v>
      </c>
      <c r="N101" s="48" t="b">
        <v>0</v>
      </c>
      <c r="O101" s="48" t="b">
        <v>0</v>
      </c>
      <c r="P101" s="36"/>
      <c r="Q101" s="36"/>
      <c r="R101" s="36"/>
      <c r="S101" s="42"/>
      <c r="T101" s="42"/>
      <c r="U101" s="56">
        <v>46181.841412037036</v>
      </c>
      <c r="V101" s="38" t="s">
        <v>75</v>
      </c>
      <c r="W101" s="38"/>
      <c r="X101" s="45"/>
    </row>
    <row r="102" spans="1:24" s="5" customFormat="1" ht="15.75">
      <c r="A102" s="61"/>
      <c r="B102" s="37"/>
      <c r="C102" s="36"/>
      <c r="D102" s="36"/>
      <c r="E1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8"/>
      <c r="G102" s="48" t="b">
        <v>0</v>
      </c>
      <c r="H102" s="48" t="b">
        <v>0</v>
      </c>
      <c r="I102" s="48" t="b">
        <v>0</v>
      </c>
      <c r="J102" s="48" t="b">
        <v>0</v>
      </c>
      <c r="K102" s="48" t="b">
        <v>0</v>
      </c>
      <c r="L102" s="48" t="b">
        <v>0</v>
      </c>
      <c r="M102" s="48" t="b">
        <v>0</v>
      </c>
      <c r="N102" s="48" t="b">
        <v>0</v>
      </c>
      <c r="O102" s="48" t="b">
        <v>0</v>
      </c>
      <c r="P102" s="36"/>
      <c r="Q102" s="36"/>
      <c r="R102" s="36"/>
      <c r="S102" s="42"/>
      <c r="T102" s="42"/>
      <c r="U102" s="56">
        <v>46181.841412037036</v>
      </c>
      <c r="V102" s="38" t="s">
        <v>75</v>
      </c>
      <c r="W102" s="38"/>
      <c r="X102" s="45"/>
    </row>
    <row r="103" spans="1:24" s="5" customFormat="1" ht="15.75">
      <c r="A103" s="61"/>
      <c r="B103" s="37"/>
      <c r="C103" s="36"/>
      <c r="D103" s="36"/>
      <c r="E1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8"/>
      <c r="G103" s="48" t="b">
        <v>0</v>
      </c>
      <c r="H103" s="48" t="b">
        <v>0</v>
      </c>
      <c r="I103" s="48" t="b">
        <v>0</v>
      </c>
      <c r="J103" s="48" t="b">
        <v>0</v>
      </c>
      <c r="K103" s="48" t="b">
        <v>0</v>
      </c>
      <c r="L103" s="48" t="b">
        <v>0</v>
      </c>
      <c r="M103" s="48" t="b">
        <v>0</v>
      </c>
      <c r="N103" s="48" t="b">
        <v>0</v>
      </c>
      <c r="O103" s="48" t="b">
        <v>0</v>
      </c>
      <c r="P103" s="36"/>
      <c r="Q103" s="36"/>
      <c r="R103" s="36"/>
      <c r="S103" s="42"/>
      <c r="T103" s="42"/>
      <c r="U103" s="56">
        <v>46181.841412037036</v>
      </c>
      <c r="V103" s="38" t="s">
        <v>75</v>
      </c>
      <c r="W103" s="38"/>
      <c r="X103" s="45"/>
    </row>
    <row r="104" spans="1:24" s="5" customFormat="1" ht="15.75">
      <c r="A104" s="61"/>
      <c r="B104" s="37"/>
      <c r="C104" s="36"/>
      <c r="D104" s="36"/>
      <c r="E1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8"/>
      <c r="G104" s="48" t="b">
        <v>0</v>
      </c>
      <c r="H104" s="48" t="b">
        <v>0</v>
      </c>
      <c r="I104" s="48" t="b">
        <v>0</v>
      </c>
      <c r="J104" s="48" t="b">
        <v>0</v>
      </c>
      <c r="K104" s="48" t="b">
        <v>0</v>
      </c>
      <c r="L104" s="48" t="b">
        <v>0</v>
      </c>
      <c r="M104" s="48" t="b">
        <v>0</v>
      </c>
      <c r="N104" s="48" t="b">
        <v>0</v>
      </c>
      <c r="O104" s="48" t="b">
        <v>0</v>
      </c>
      <c r="P104" s="36"/>
      <c r="Q104" s="36"/>
      <c r="R104" s="36"/>
      <c r="S104" s="42"/>
      <c r="T104" s="42"/>
      <c r="U104" s="56">
        <v>46181.841412037036</v>
      </c>
      <c r="V104" s="38" t="s">
        <v>75</v>
      </c>
      <c r="W104" s="38"/>
      <c r="X104" s="45"/>
    </row>
    <row r="105" spans="1:24" s="5" customFormat="1" ht="15.75">
      <c r="A105" s="61"/>
      <c r="B105" s="37"/>
      <c r="C105" s="36"/>
      <c r="D105" s="36"/>
      <c r="E1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8"/>
      <c r="G105" s="48" t="b">
        <v>0</v>
      </c>
      <c r="H105" s="48" t="b">
        <v>0</v>
      </c>
      <c r="I105" s="48" t="b">
        <v>0</v>
      </c>
      <c r="J105" s="48" t="b">
        <v>0</v>
      </c>
      <c r="K105" s="48" t="b">
        <v>0</v>
      </c>
      <c r="L105" s="48" t="b">
        <v>0</v>
      </c>
      <c r="M105" s="48" t="b">
        <v>0</v>
      </c>
      <c r="N105" s="48" t="b">
        <v>0</v>
      </c>
      <c r="O105" s="48" t="b">
        <v>0</v>
      </c>
      <c r="P105" s="36"/>
      <c r="Q105" s="36"/>
      <c r="R105" s="36"/>
      <c r="S105" s="42"/>
      <c r="T105" s="42"/>
      <c r="U105" s="56">
        <v>46181.841412037036</v>
      </c>
      <c r="V105" s="38" t="s">
        <v>75</v>
      </c>
      <c r="W105" s="38"/>
      <c r="X105" s="45"/>
    </row>
    <row r="106" spans="1:24" s="5" customFormat="1" ht="15.75">
      <c r="A106" s="61"/>
      <c r="B106" s="37"/>
      <c r="C106" s="36"/>
      <c r="D106" s="36"/>
      <c r="E10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8"/>
      <c r="G106" s="48" t="b">
        <v>0</v>
      </c>
      <c r="H106" s="48" t="b">
        <v>0</v>
      </c>
      <c r="I106" s="48" t="b">
        <v>0</v>
      </c>
      <c r="J106" s="48" t="b">
        <v>0</v>
      </c>
      <c r="K106" s="48" t="b">
        <v>0</v>
      </c>
      <c r="L106" s="48" t="b">
        <v>0</v>
      </c>
      <c r="M106" s="48" t="b">
        <v>0</v>
      </c>
      <c r="N106" s="48" t="b">
        <v>0</v>
      </c>
      <c r="O106" s="48" t="b">
        <v>0</v>
      </c>
      <c r="P106" s="36"/>
      <c r="Q106" s="36"/>
      <c r="R106" s="36"/>
      <c r="S106" s="42"/>
      <c r="T106" s="42"/>
      <c r="U106" s="56">
        <v>46181.841412037036</v>
      </c>
      <c r="V106" s="38" t="s">
        <v>75</v>
      </c>
      <c r="W106" s="38"/>
      <c r="X106" s="45"/>
    </row>
    <row r="107" spans="1:24" s="5" customFormat="1" ht="15.75">
      <c r="A107" s="61"/>
      <c r="B107" s="37"/>
      <c r="C107" s="36"/>
      <c r="D107" s="36"/>
      <c r="E10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8"/>
      <c r="G107" s="48" t="b">
        <v>0</v>
      </c>
      <c r="H107" s="48" t="b">
        <v>0</v>
      </c>
      <c r="I107" s="48" t="b">
        <v>0</v>
      </c>
      <c r="J107" s="48" t="b">
        <v>0</v>
      </c>
      <c r="K107" s="48" t="b">
        <v>0</v>
      </c>
      <c r="L107" s="48" t="b">
        <v>0</v>
      </c>
      <c r="M107" s="48" t="b">
        <v>0</v>
      </c>
      <c r="N107" s="48" t="b">
        <v>0</v>
      </c>
      <c r="O107" s="48" t="b">
        <v>0</v>
      </c>
      <c r="P107" s="36"/>
      <c r="Q107" s="36"/>
      <c r="R107" s="36"/>
      <c r="S107" s="42"/>
      <c r="T107" s="42"/>
      <c r="U107" s="56">
        <v>46181.841412037036</v>
      </c>
      <c r="V107" s="38" t="s">
        <v>75</v>
      </c>
      <c r="W107" s="38"/>
      <c r="X107" s="45"/>
    </row>
    <row r="108" spans="1:24" s="5" customFormat="1" ht="15.75">
      <c r="A108" s="61"/>
      <c r="B108" s="37"/>
      <c r="C108" s="36"/>
      <c r="D108" s="36"/>
      <c r="E10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8"/>
      <c r="G108" s="48" t="b">
        <v>0</v>
      </c>
      <c r="H108" s="48" t="b">
        <v>0</v>
      </c>
      <c r="I108" s="48" t="b">
        <v>0</v>
      </c>
      <c r="J108" s="48" t="b">
        <v>0</v>
      </c>
      <c r="K108" s="48" t="b">
        <v>0</v>
      </c>
      <c r="L108" s="48" t="b">
        <v>0</v>
      </c>
      <c r="M108" s="48" t="b">
        <v>0</v>
      </c>
      <c r="N108" s="48" t="b">
        <v>0</v>
      </c>
      <c r="O108" s="48" t="b">
        <v>0</v>
      </c>
      <c r="P108" s="36"/>
      <c r="Q108" s="36"/>
      <c r="R108" s="36"/>
      <c r="S108" s="42"/>
      <c r="T108" s="42"/>
      <c r="U108" s="56">
        <v>46181.841412037036</v>
      </c>
      <c r="V108" s="38" t="s">
        <v>75</v>
      </c>
      <c r="W108" s="38"/>
      <c r="X108" s="45"/>
    </row>
    <row r="109" spans="1:24" s="5" customFormat="1" ht="15.75">
      <c r="A109" s="61"/>
      <c r="B109" s="37"/>
      <c r="C109" s="36"/>
      <c r="D109" s="36"/>
      <c r="E10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8"/>
      <c r="G109" s="48" t="b">
        <v>0</v>
      </c>
      <c r="H109" s="48" t="b">
        <v>0</v>
      </c>
      <c r="I109" s="48" t="b">
        <v>0</v>
      </c>
      <c r="J109" s="48" t="b">
        <v>0</v>
      </c>
      <c r="K109" s="48" t="b">
        <v>0</v>
      </c>
      <c r="L109" s="48" t="b">
        <v>0</v>
      </c>
      <c r="M109" s="48" t="b">
        <v>0</v>
      </c>
      <c r="N109" s="48" t="b">
        <v>0</v>
      </c>
      <c r="O109" s="48" t="b">
        <v>0</v>
      </c>
      <c r="P109" s="36"/>
      <c r="Q109" s="36"/>
      <c r="R109" s="36"/>
      <c r="S109" s="42"/>
      <c r="T109" s="42"/>
      <c r="U109" s="56">
        <v>46181.841412037036</v>
      </c>
      <c r="V109" s="38" t="s">
        <v>75</v>
      </c>
      <c r="W109" s="38"/>
      <c r="X109" s="45"/>
    </row>
    <row r="110" spans="1:24" s="5" customFormat="1" ht="15.75">
      <c r="A110" s="61"/>
      <c r="B110" s="37"/>
      <c r="C110" s="36"/>
      <c r="D110" s="36"/>
      <c r="E1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8"/>
      <c r="G110" s="48" t="b">
        <v>0</v>
      </c>
      <c r="H110" s="48" t="b">
        <v>0</v>
      </c>
      <c r="I110" s="48" t="b">
        <v>0</v>
      </c>
      <c r="J110" s="48" t="b">
        <v>0</v>
      </c>
      <c r="K110" s="48" t="b">
        <v>0</v>
      </c>
      <c r="L110" s="48" t="b">
        <v>0</v>
      </c>
      <c r="M110" s="48" t="b">
        <v>0</v>
      </c>
      <c r="N110" s="48" t="b">
        <v>0</v>
      </c>
      <c r="O110" s="48" t="b">
        <v>0</v>
      </c>
      <c r="P110" s="36"/>
      <c r="Q110" s="36"/>
      <c r="R110" s="36"/>
      <c r="S110" s="42"/>
      <c r="T110" s="42"/>
      <c r="U110" s="56">
        <v>46181.841412037036</v>
      </c>
      <c r="V110" s="38" t="s">
        <v>75</v>
      </c>
      <c r="W110" s="38"/>
      <c r="X110" s="45"/>
    </row>
    <row r="111" spans="1:24" s="5" customFormat="1" ht="15.75">
      <c r="A111" s="61"/>
      <c r="B111" s="37"/>
      <c r="C111" s="36"/>
      <c r="D111" s="36"/>
      <c r="E1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8"/>
      <c r="G111" s="48" t="b">
        <v>0</v>
      </c>
      <c r="H111" s="48" t="b">
        <v>0</v>
      </c>
      <c r="I111" s="48" t="b">
        <v>0</v>
      </c>
      <c r="J111" s="48" t="b">
        <v>0</v>
      </c>
      <c r="K111" s="48" t="b">
        <v>0</v>
      </c>
      <c r="L111" s="48" t="b">
        <v>0</v>
      </c>
      <c r="M111" s="48" t="b">
        <v>0</v>
      </c>
      <c r="N111" s="48" t="b">
        <v>0</v>
      </c>
      <c r="O111" s="48" t="b">
        <v>0</v>
      </c>
      <c r="P111" s="36"/>
      <c r="Q111" s="36"/>
      <c r="R111" s="36"/>
      <c r="S111" s="42"/>
      <c r="T111" s="42"/>
      <c r="U111" s="56">
        <v>46181.841412037036</v>
      </c>
      <c r="V111" s="38" t="s">
        <v>75</v>
      </c>
      <c r="W111" s="38"/>
      <c r="X111" s="45"/>
    </row>
    <row r="112" spans="1:24" s="5" customFormat="1" ht="15.75">
      <c r="A112" s="61"/>
      <c r="B112" s="37"/>
      <c r="C112" s="36"/>
      <c r="D112" s="36"/>
      <c r="E1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8"/>
      <c r="G112" s="48" t="b">
        <v>0</v>
      </c>
      <c r="H112" s="48" t="b">
        <v>0</v>
      </c>
      <c r="I112" s="48" t="b">
        <v>0</v>
      </c>
      <c r="J112" s="48" t="b">
        <v>0</v>
      </c>
      <c r="K112" s="48" t="b">
        <v>0</v>
      </c>
      <c r="L112" s="48" t="b">
        <v>0</v>
      </c>
      <c r="M112" s="48" t="b">
        <v>0</v>
      </c>
      <c r="N112" s="48" t="b">
        <v>0</v>
      </c>
      <c r="O112" s="48" t="b">
        <v>0</v>
      </c>
      <c r="P112" s="36"/>
      <c r="Q112" s="36"/>
      <c r="R112" s="36"/>
      <c r="S112" s="42"/>
      <c r="T112" s="42"/>
      <c r="U112" s="56">
        <v>46181.841412037036</v>
      </c>
      <c r="V112" s="38" t="s">
        <v>75</v>
      </c>
      <c r="W112" s="38"/>
      <c r="X112" s="45"/>
    </row>
    <row r="113" spans="1:24" s="5" customFormat="1" ht="15.75">
      <c r="A113" s="61"/>
      <c r="B113" s="37"/>
      <c r="C113" s="36"/>
      <c r="D113" s="36"/>
      <c r="E1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8"/>
      <c r="G113" s="48" t="b">
        <v>0</v>
      </c>
      <c r="H113" s="48" t="b">
        <v>0</v>
      </c>
      <c r="I113" s="48" t="b">
        <v>0</v>
      </c>
      <c r="J113" s="48" t="b">
        <v>0</v>
      </c>
      <c r="K113" s="48" t="b">
        <v>0</v>
      </c>
      <c r="L113" s="48" t="b">
        <v>0</v>
      </c>
      <c r="M113" s="48" t="b">
        <v>0</v>
      </c>
      <c r="N113" s="48" t="b">
        <v>0</v>
      </c>
      <c r="O113" s="48" t="b">
        <v>0</v>
      </c>
      <c r="P113" s="36"/>
      <c r="Q113" s="36"/>
      <c r="R113" s="36"/>
      <c r="S113" s="42"/>
      <c r="T113" s="42"/>
      <c r="U113" s="56">
        <v>46181.841412037036</v>
      </c>
      <c r="V113" s="38" t="s">
        <v>75</v>
      </c>
      <c r="W113" s="38"/>
      <c r="X113" s="45"/>
    </row>
    <row r="114" spans="1:24" s="5" customFormat="1" ht="15.75">
      <c r="A114" s="61"/>
      <c r="B114" s="37"/>
      <c r="C114" s="36"/>
      <c r="D114" s="36"/>
      <c r="E1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8"/>
      <c r="G114" s="48" t="b">
        <v>0</v>
      </c>
      <c r="H114" s="48" t="b">
        <v>0</v>
      </c>
      <c r="I114" s="48" t="b">
        <v>0</v>
      </c>
      <c r="J114" s="48" t="b">
        <v>0</v>
      </c>
      <c r="K114" s="48" t="b">
        <v>0</v>
      </c>
      <c r="L114" s="48" t="b">
        <v>0</v>
      </c>
      <c r="M114" s="48" t="b">
        <v>0</v>
      </c>
      <c r="N114" s="48" t="b">
        <v>0</v>
      </c>
      <c r="O114" s="48" t="b">
        <v>0</v>
      </c>
      <c r="P114" s="36"/>
      <c r="Q114" s="36"/>
      <c r="R114" s="36"/>
      <c r="S114" s="42"/>
      <c r="T114" s="42"/>
      <c r="U114" s="56">
        <v>46181.841412037036</v>
      </c>
      <c r="V114" s="38" t="s">
        <v>75</v>
      </c>
      <c r="W114" s="38"/>
      <c r="X114" s="45"/>
    </row>
    <row r="115" spans="1:24" s="5" customFormat="1" ht="15.75">
      <c r="A115" s="61"/>
      <c r="B115" s="37"/>
      <c r="C115" s="36"/>
      <c r="D115" s="36"/>
      <c r="E1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8"/>
      <c r="G115" s="48" t="b">
        <v>0</v>
      </c>
      <c r="H115" s="48" t="b">
        <v>0</v>
      </c>
      <c r="I115" s="48" t="b">
        <v>0</v>
      </c>
      <c r="J115" s="48" t="b">
        <v>0</v>
      </c>
      <c r="K115" s="48" t="b">
        <v>0</v>
      </c>
      <c r="L115" s="48" t="b">
        <v>0</v>
      </c>
      <c r="M115" s="48" t="b">
        <v>0</v>
      </c>
      <c r="N115" s="48" t="b">
        <v>0</v>
      </c>
      <c r="O115" s="48" t="b">
        <v>0</v>
      </c>
      <c r="P115" s="36"/>
      <c r="Q115" s="36"/>
      <c r="R115" s="36"/>
      <c r="S115" s="42"/>
      <c r="T115" s="42"/>
      <c r="U115" s="56">
        <v>46181.841412037036</v>
      </c>
      <c r="V115" s="38" t="s">
        <v>75</v>
      </c>
      <c r="W115" s="38"/>
      <c r="X115" s="45"/>
    </row>
    <row r="116" spans="1:24" s="5" customFormat="1" ht="15.75">
      <c r="A116" s="61"/>
      <c r="B116" s="37"/>
      <c r="C116" s="36"/>
      <c r="D116" s="36"/>
      <c r="E1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8"/>
      <c r="G116" s="48" t="b">
        <v>0</v>
      </c>
      <c r="H116" s="48" t="b">
        <v>0</v>
      </c>
      <c r="I116" s="48" t="b">
        <v>0</v>
      </c>
      <c r="J116" s="48" t="b">
        <v>0</v>
      </c>
      <c r="K116" s="48" t="b">
        <v>0</v>
      </c>
      <c r="L116" s="48" t="b">
        <v>0</v>
      </c>
      <c r="M116" s="48" t="b">
        <v>0</v>
      </c>
      <c r="N116" s="48" t="b">
        <v>0</v>
      </c>
      <c r="O116" s="48" t="b">
        <v>0</v>
      </c>
      <c r="P116" s="36"/>
      <c r="Q116" s="36"/>
      <c r="R116" s="36"/>
      <c r="S116" s="42"/>
      <c r="T116" s="42"/>
      <c r="U116" s="56">
        <v>46181.841423611113</v>
      </c>
      <c r="V116" s="38" t="s">
        <v>75</v>
      </c>
      <c r="W116" s="38"/>
      <c r="X116" s="45"/>
    </row>
    <row r="117" spans="1:24" s="5" customFormat="1" ht="15.75">
      <c r="A117" s="61"/>
      <c r="B117" s="37"/>
      <c r="C117" s="36"/>
      <c r="D117" s="36"/>
      <c r="E1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8"/>
      <c r="G117" s="48" t="b">
        <v>0</v>
      </c>
      <c r="H117" s="48" t="b">
        <v>0</v>
      </c>
      <c r="I117" s="48" t="b">
        <v>0</v>
      </c>
      <c r="J117" s="48" t="b">
        <v>0</v>
      </c>
      <c r="K117" s="48" t="b">
        <v>0</v>
      </c>
      <c r="L117" s="48" t="b">
        <v>0</v>
      </c>
      <c r="M117" s="48" t="b">
        <v>0</v>
      </c>
      <c r="N117" s="48" t="b">
        <v>0</v>
      </c>
      <c r="O117" s="48" t="b">
        <v>0</v>
      </c>
      <c r="P117" s="36"/>
      <c r="Q117" s="36"/>
      <c r="R117" s="36"/>
      <c r="S117" s="42"/>
      <c r="T117" s="42"/>
      <c r="U117" s="56">
        <v>46181.841423611113</v>
      </c>
      <c r="V117" s="38" t="s">
        <v>75</v>
      </c>
      <c r="W117" s="38"/>
      <c r="X117" s="45"/>
    </row>
    <row r="118" spans="1:24" s="5" customFormat="1" ht="15.75">
      <c r="A118" s="61"/>
      <c r="B118" s="37"/>
      <c r="C118" s="36"/>
      <c r="D118" s="36"/>
      <c r="E1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8"/>
      <c r="G118" s="48" t="b">
        <v>0</v>
      </c>
      <c r="H118" s="48" t="b">
        <v>0</v>
      </c>
      <c r="I118" s="48" t="b">
        <v>0</v>
      </c>
      <c r="J118" s="48" t="b">
        <v>0</v>
      </c>
      <c r="K118" s="48" t="b">
        <v>0</v>
      </c>
      <c r="L118" s="48" t="b">
        <v>0</v>
      </c>
      <c r="M118" s="48" t="b">
        <v>0</v>
      </c>
      <c r="N118" s="48" t="b">
        <v>0</v>
      </c>
      <c r="O118" s="48" t="b">
        <v>0</v>
      </c>
      <c r="P118" s="36"/>
      <c r="Q118" s="36"/>
      <c r="R118" s="36"/>
      <c r="S118" s="42"/>
      <c r="T118" s="42"/>
      <c r="U118" s="56">
        <v>46181.841423611113</v>
      </c>
      <c r="V118" s="38" t="s">
        <v>75</v>
      </c>
      <c r="W118" s="38"/>
      <c r="X118" s="45"/>
    </row>
    <row r="119" spans="1:24" s="5" customFormat="1" ht="15.75">
      <c r="A119" s="61"/>
      <c r="B119" s="37"/>
      <c r="C119" s="36"/>
      <c r="D119" s="36"/>
      <c r="E1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8"/>
      <c r="G119" s="48" t="b">
        <v>0</v>
      </c>
      <c r="H119" s="48" t="b">
        <v>0</v>
      </c>
      <c r="I119" s="48" t="b">
        <v>0</v>
      </c>
      <c r="J119" s="48" t="b">
        <v>0</v>
      </c>
      <c r="K119" s="48" t="b">
        <v>0</v>
      </c>
      <c r="L119" s="48" t="b">
        <v>0</v>
      </c>
      <c r="M119" s="48" t="b">
        <v>0</v>
      </c>
      <c r="N119" s="48" t="b">
        <v>0</v>
      </c>
      <c r="O119" s="48" t="b">
        <v>0</v>
      </c>
      <c r="P119" s="36"/>
      <c r="Q119" s="36"/>
      <c r="R119" s="36"/>
      <c r="S119" s="42"/>
      <c r="T119" s="42"/>
      <c r="U119" s="56">
        <v>46181.841423611113</v>
      </c>
      <c r="V119" s="38" t="s">
        <v>75</v>
      </c>
      <c r="W119" s="38"/>
      <c r="X119" s="45"/>
    </row>
    <row r="120" spans="1:24" s="5" customFormat="1" ht="15.75">
      <c r="A120" s="61"/>
      <c r="B120" s="37"/>
      <c r="C120" s="36"/>
      <c r="D120" s="36"/>
      <c r="E1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8"/>
      <c r="G120" s="48" t="b">
        <v>0</v>
      </c>
      <c r="H120" s="48" t="b">
        <v>0</v>
      </c>
      <c r="I120" s="48" t="b">
        <v>0</v>
      </c>
      <c r="J120" s="48" t="b">
        <v>0</v>
      </c>
      <c r="K120" s="48" t="b">
        <v>0</v>
      </c>
      <c r="L120" s="48" t="b">
        <v>0</v>
      </c>
      <c r="M120" s="48" t="b">
        <v>0</v>
      </c>
      <c r="N120" s="48" t="b">
        <v>0</v>
      </c>
      <c r="O120" s="48" t="b">
        <v>0</v>
      </c>
      <c r="P120" s="36"/>
      <c r="Q120" s="36"/>
      <c r="R120" s="36"/>
      <c r="S120" s="42"/>
      <c r="T120" s="42"/>
      <c r="U120" s="56">
        <v>46181.841423611113</v>
      </c>
      <c r="V120" s="38" t="s">
        <v>75</v>
      </c>
      <c r="W120" s="38"/>
      <c r="X120" s="45"/>
    </row>
    <row r="121" spans="1:24" s="5" customFormat="1" ht="15.75">
      <c r="A121" s="61"/>
      <c r="B121" s="37"/>
      <c r="C121" s="36"/>
      <c r="D121" s="36"/>
      <c r="E1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8"/>
      <c r="G121" s="48" t="b">
        <v>0</v>
      </c>
      <c r="H121" s="48" t="b">
        <v>0</v>
      </c>
      <c r="I121" s="48" t="b">
        <v>0</v>
      </c>
      <c r="J121" s="48" t="b">
        <v>0</v>
      </c>
      <c r="K121" s="48" t="b">
        <v>0</v>
      </c>
      <c r="L121" s="48" t="b">
        <v>0</v>
      </c>
      <c r="M121" s="48" t="b">
        <v>0</v>
      </c>
      <c r="N121" s="48" t="b">
        <v>0</v>
      </c>
      <c r="O121" s="48" t="b">
        <v>0</v>
      </c>
      <c r="P121" s="36"/>
      <c r="Q121" s="36"/>
      <c r="R121" s="36"/>
      <c r="S121" s="42"/>
      <c r="T121" s="42"/>
      <c r="U121" s="56">
        <v>46181.841423611113</v>
      </c>
      <c r="V121" s="38" t="s">
        <v>75</v>
      </c>
      <c r="W121" s="38"/>
      <c r="X121" s="45"/>
    </row>
    <row r="122" spans="1:24" s="5" customFormat="1" ht="15.75">
      <c r="A122" s="61"/>
      <c r="B122" s="37"/>
      <c r="C122" s="36"/>
      <c r="D122" s="36"/>
      <c r="E1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8"/>
      <c r="G122" s="48" t="b">
        <v>0</v>
      </c>
      <c r="H122" s="48" t="b">
        <v>0</v>
      </c>
      <c r="I122" s="48" t="b">
        <v>0</v>
      </c>
      <c r="J122" s="48" t="b">
        <v>0</v>
      </c>
      <c r="K122" s="48" t="b">
        <v>0</v>
      </c>
      <c r="L122" s="48" t="b">
        <v>0</v>
      </c>
      <c r="M122" s="48" t="b">
        <v>0</v>
      </c>
      <c r="N122" s="48" t="b">
        <v>0</v>
      </c>
      <c r="O122" s="48" t="b">
        <v>0</v>
      </c>
      <c r="P122" s="36"/>
      <c r="Q122" s="36"/>
      <c r="R122" s="36"/>
      <c r="S122" s="42"/>
      <c r="T122" s="42"/>
      <c r="U122" s="56">
        <v>46181.841423611113</v>
      </c>
      <c r="V122" s="38" t="s">
        <v>75</v>
      </c>
      <c r="W122" s="38"/>
      <c r="X122" s="45"/>
    </row>
    <row r="123" spans="1:24" s="5" customFormat="1" ht="15.75">
      <c r="A123" s="61"/>
      <c r="B123" s="37"/>
      <c r="C123" s="36"/>
      <c r="D123" s="36"/>
      <c r="E1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8"/>
      <c r="G123" s="48" t="b">
        <v>0</v>
      </c>
      <c r="H123" s="48" t="b">
        <v>0</v>
      </c>
      <c r="I123" s="48" t="b">
        <v>0</v>
      </c>
      <c r="J123" s="48" t="b">
        <v>0</v>
      </c>
      <c r="K123" s="48" t="b">
        <v>0</v>
      </c>
      <c r="L123" s="48" t="b">
        <v>0</v>
      </c>
      <c r="M123" s="48" t="b">
        <v>0</v>
      </c>
      <c r="N123" s="48" t="b">
        <v>0</v>
      </c>
      <c r="O123" s="48" t="b">
        <v>0</v>
      </c>
      <c r="P123" s="36"/>
      <c r="Q123" s="36"/>
      <c r="R123" s="36"/>
      <c r="S123" s="42"/>
      <c r="T123" s="42"/>
      <c r="U123" s="56">
        <v>46181.841423611113</v>
      </c>
      <c r="V123" s="38" t="s">
        <v>75</v>
      </c>
      <c r="W123" s="38"/>
      <c r="X123" s="45"/>
    </row>
    <row r="124" spans="1:24" s="5" customFormat="1" ht="15.75">
      <c r="A124" s="61"/>
      <c r="B124" s="37"/>
      <c r="C124" s="36"/>
      <c r="D124" s="36"/>
      <c r="E1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8"/>
      <c r="G124" s="48" t="b">
        <v>0</v>
      </c>
      <c r="H124" s="48" t="b">
        <v>0</v>
      </c>
      <c r="I124" s="48" t="b">
        <v>0</v>
      </c>
      <c r="J124" s="48" t="b">
        <v>0</v>
      </c>
      <c r="K124" s="48" t="b">
        <v>0</v>
      </c>
      <c r="L124" s="48" t="b">
        <v>0</v>
      </c>
      <c r="M124" s="48" t="b">
        <v>0</v>
      </c>
      <c r="N124" s="48" t="b">
        <v>0</v>
      </c>
      <c r="O124" s="48" t="b">
        <v>0</v>
      </c>
      <c r="P124" s="36"/>
      <c r="Q124" s="36"/>
      <c r="R124" s="36"/>
      <c r="S124" s="42"/>
      <c r="T124" s="42"/>
      <c r="U124" s="56">
        <v>46181.841423611113</v>
      </c>
      <c r="V124" s="38" t="s">
        <v>75</v>
      </c>
      <c r="W124" s="38"/>
      <c r="X124" s="45"/>
    </row>
    <row r="125" spans="1:24" s="5" customFormat="1" ht="15.75">
      <c r="A125" s="61"/>
      <c r="B125" s="37"/>
      <c r="C125" s="36"/>
      <c r="D125" s="36"/>
      <c r="E1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8"/>
      <c r="G125" s="48" t="b">
        <v>0</v>
      </c>
      <c r="H125" s="48" t="b">
        <v>0</v>
      </c>
      <c r="I125" s="48" t="b">
        <v>0</v>
      </c>
      <c r="J125" s="48" t="b">
        <v>0</v>
      </c>
      <c r="K125" s="48" t="b">
        <v>0</v>
      </c>
      <c r="L125" s="48" t="b">
        <v>0</v>
      </c>
      <c r="M125" s="48" t="b">
        <v>0</v>
      </c>
      <c r="N125" s="48" t="b">
        <v>0</v>
      </c>
      <c r="O125" s="48" t="b">
        <v>0</v>
      </c>
      <c r="P125" s="36"/>
      <c r="Q125" s="36"/>
      <c r="R125" s="36"/>
      <c r="S125" s="42"/>
      <c r="T125" s="42"/>
      <c r="U125" s="56">
        <v>46181.841423611113</v>
      </c>
      <c r="V125" s="38" t="s">
        <v>75</v>
      </c>
      <c r="W125" s="38"/>
      <c r="X125" s="45"/>
    </row>
    <row r="126" spans="1:24" s="5" customFormat="1" ht="15.75">
      <c r="A126" s="61"/>
      <c r="B126" s="37"/>
      <c r="C126" s="36"/>
      <c r="D126" s="36"/>
      <c r="E1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8"/>
      <c r="G126" s="48" t="b">
        <v>0</v>
      </c>
      <c r="H126" s="48" t="b">
        <v>0</v>
      </c>
      <c r="I126" s="48" t="b">
        <v>0</v>
      </c>
      <c r="J126" s="48" t="b">
        <v>0</v>
      </c>
      <c r="K126" s="48" t="b">
        <v>0</v>
      </c>
      <c r="L126" s="48" t="b">
        <v>0</v>
      </c>
      <c r="M126" s="48" t="b">
        <v>0</v>
      </c>
      <c r="N126" s="48" t="b">
        <v>0</v>
      </c>
      <c r="O126" s="48" t="b">
        <v>0</v>
      </c>
      <c r="P126" s="36"/>
      <c r="Q126" s="36"/>
      <c r="R126" s="36"/>
      <c r="S126" s="42"/>
      <c r="T126" s="42"/>
      <c r="U126" s="56">
        <v>46181.841423611113</v>
      </c>
      <c r="V126" s="38" t="s">
        <v>75</v>
      </c>
      <c r="W126" s="38"/>
      <c r="X126" s="45"/>
    </row>
    <row r="127" spans="1:24" s="5" customFormat="1" ht="15.75">
      <c r="A127" s="61"/>
      <c r="B127" s="37"/>
      <c r="C127" s="36"/>
      <c r="D127" s="36"/>
      <c r="E1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8"/>
      <c r="G127" s="48" t="b">
        <v>0</v>
      </c>
      <c r="H127" s="48" t="b">
        <v>0</v>
      </c>
      <c r="I127" s="48" t="b">
        <v>0</v>
      </c>
      <c r="J127" s="48" t="b">
        <v>0</v>
      </c>
      <c r="K127" s="48" t="b">
        <v>0</v>
      </c>
      <c r="L127" s="48" t="b">
        <v>0</v>
      </c>
      <c r="M127" s="48" t="b">
        <v>0</v>
      </c>
      <c r="N127" s="48" t="b">
        <v>0</v>
      </c>
      <c r="O127" s="48" t="b">
        <v>0</v>
      </c>
      <c r="P127" s="36"/>
      <c r="Q127" s="36"/>
      <c r="R127" s="36"/>
      <c r="S127" s="42"/>
      <c r="T127" s="42"/>
      <c r="U127" s="56">
        <v>46181.841423611113</v>
      </c>
      <c r="V127" s="38" t="s">
        <v>75</v>
      </c>
      <c r="W127" s="38"/>
      <c r="X127" s="45"/>
    </row>
    <row r="128" spans="1:24" s="5" customFormat="1" ht="15.75">
      <c r="A128" s="61"/>
      <c r="B128" s="37"/>
      <c r="C128" s="36"/>
      <c r="D128" s="36"/>
      <c r="E1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8"/>
      <c r="G128" s="48" t="b">
        <v>0</v>
      </c>
      <c r="H128" s="48" t="b">
        <v>0</v>
      </c>
      <c r="I128" s="48" t="b">
        <v>0</v>
      </c>
      <c r="J128" s="48" t="b">
        <v>0</v>
      </c>
      <c r="K128" s="48" t="b">
        <v>0</v>
      </c>
      <c r="L128" s="48" t="b">
        <v>0</v>
      </c>
      <c r="M128" s="48" t="b">
        <v>0</v>
      </c>
      <c r="N128" s="48" t="b">
        <v>0</v>
      </c>
      <c r="O128" s="48" t="b">
        <v>0</v>
      </c>
      <c r="P128" s="36"/>
      <c r="Q128" s="36"/>
      <c r="R128" s="36"/>
      <c r="S128" s="42"/>
      <c r="T128" s="42"/>
      <c r="U128" s="56">
        <v>46181.841423611113</v>
      </c>
      <c r="V128" s="38" t="s">
        <v>75</v>
      </c>
      <c r="W128" s="38"/>
      <c r="X128" s="45"/>
    </row>
    <row r="129" spans="1:24" s="5" customFormat="1" ht="15.75">
      <c r="A129" s="61"/>
      <c r="B129" s="37"/>
      <c r="C129" s="36"/>
      <c r="D129" s="36"/>
      <c r="E1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8"/>
      <c r="G129" s="48" t="b">
        <v>0</v>
      </c>
      <c r="H129" s="48" t="b">
        <v>0</v>
      </c>
      <c r="I129" s="48" t="b">
        <v>0</v>
      </c>
      <c r="J129" s="48" t="b">
        <v>0</v>
      </c>
      <c r="K129" s="48" t="b">
        <v>0</v>
      </c>
      <c r="L129" s="48" t="b">
        <v>0</v>
      </c>
      <c r="M129" s="48" t="b">
        <v>0</v>
      </c>
      <c r="N129" s="48" t="b">
        <v>0</v>
      </c>
      <c r="O129" s="48" t="b">
        <v>0</v>
      </c>
      <c r="P129" s="36"/>
      <c r="Q129" s="36"/>
      <c r="R129" s="36"/>
      <c r="S129" s="42"/>
      <c r="T129" s="42"/>
      <c r="U129" s="56">
        <v>46181.841423611113</v>
      </c>
      <c r="V129" s="38" t="s">
        <v>75</v>
      </c>
      <c r="W129" s="38"/>
      <c r="X129" s="45"/>
    </row>
    <row r="130" spans="1:24" s="5" customFormat="1" ht="15.75">
      <c r="A130" s="61"/>
      <c r="B130" s="37"/>
      <c r="C130" s="36"/>
      <c r="D130" s="36"/>
      <c r="E1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8"/>
      <c r="G130" s="48" t="b">
        <v>0</v>
      </c>
      <c r="H130" s="48" t="b">
        <v>0</v>
      </c>
      <c r="I130" s="48" t="b">
        <v>0</v>
      </c>
      <c r="J130" s="48" t="b">
        <v>0</v>
      </c>
      <c r="K130" s="48" t="b">
        <v>0</v>
      </c>
      <c r="L130" s="48" t="b">
        <v>0</v>
      </c>
      <c r="M130" s="48" t="b">
        <v>0</v>
      </c>
      <c r="N130" s="48" t="b">
        <v>0</v>
      </c>
      <c r="O130" s="48" t="b">
        <v>0</v>
      </c>
      <c r="P130" s="36"/>
      <c r="Q130" s="36"/>
      <c r="R130" s="36"/>
      <c r="S130" s="42"/>
      <c r="T130" s="42"/>
      <c r="U130" s="56">
        <v>46181.841423611113</v>
      </c>
      <c r="V130" s="38" t="s">
        <v>75</v>
      </c>
      <c r="W130" s="38"/>
      <c r="X130" s="45"/>
    </row>
    <row r="131" spans="1:24" s="5" customFormat="1" ht="15.75">
      <c r="A131" s="61"/>
      <c r="B131" s="37"/>
      <c r="C131" s="36"/>
      <c r="D131" s="36"/>
      <c r="E1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8"/>
      <c r="G131" s="48" t="b">
        <v>0</v>
      </c>
      <c r="H131" s="48" t="b">
        <v>0</v>
      </c>
      <c r="I131" s="48" t="b">
        <v>0</v>
      </c>
      <c r="J131" s="48" t="b">
        <v>0</v>
      </c>
      <c r="K131" s="48" t="b">
        <v>0</v>
      </c>
      <c r="L131" s="48" t="b">
        <v>0</v>
      </c>
      <c r="M131" s="48" t="b">
        <v>0</v>
      </c>
      <c r="N131" s="48" t="b">
        <v>0</v>
      </c>
      <c r="O131" s="48" t="b">
        <v>0</v>
      </c>
      <c r="P131" s="36"/>
      <c r="Q131" s="36"/>
      <c r="R131" s="36"/>
      <c r="S131" s="42"/>
      <c r="T131" s="42"/>
      <c r="U131" s="56">
        <v>46181.841423611113</v>
      </c>
      <c r="V131" s="38" t="s">
        <v>75</v>
      </c>
      <c r="W131" s="38"/>
      <c r="X131" s="45"/>
    </row>
    <row r="132" spans="1:24" s="5" customFormat="1" ht="15.75">
      <c r="A132" s="61"/>
      <c r="B132" s="37"/>
      <c r="C132" s="36"/>
      <c r="D132" s="36"/>
      <c r="E1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8"/>
      <c r="G132" s="48" t="b">
        <v>0</v>
      </c>
      <c r="H132" s="48" t="b">
        <v>0</v>
      </c>
      <c r="I132" s="48" t="b">
        <v>0</v>
      </c>
      <c r="J132" s="48" t="b">
        <v>0</v>
      </c>
      <c r="K132" s="48" t="b">
        <v>0</v>
      </c>
      <c r="L132" s="48" t="b">
        <v>0</v>
      </c>
      <c r="M132" s="48" t="b">
        <v>0</v>
      </c>
      <c r="N132" s="48" t="b">
        <v>0</v>
      </c>
      <c r="O132" s="48" t="b">
        <v>0</v>
      </c>
      <c r="P132" s="36"/>
      <c r="Q132" s="36"/>
      <c r="R132" s="36"/>
      <c r="S132" s="42"/>
      <c r="T132" s="42"/>
      <c r="U132" s="56">
        <v>46181.841435185182</v>
      </c>
      <c r="V132" s="38" t="s">
        <v>75</v>
      </c>
      <c r="W132" s="38"/>
      <c r="X132" s="45"/>
    </row>
    <row r="133" spans="1:24" s="5" customFormat="1" ht="15.75">
      <c r="A133" s="61"/>
      <c r="B133" s="37"/>
      <c r="C133" s="36"/>
      <c r="D133" s="36"/>
      <c r="E1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8"/>
      <c r="G133" s="48" t="b">
        <v>0</v>
      </c>
      <c r="H133" s="48" t="b">
        <v>0</v>
      </c>
      <c r="I133" s="48" t="b">
        <v>0</v>
      </c>
      <c r="J133" s="48" t="b">
        <v>0</v>
      </c>
      <c r="K133" s="48" t="b">
        <v>0</v>
      </c>
      <c r="L133" s="48" t="b">
        <v>0</v>
      </c>
      <c r="M133" s="48" t="b">
        <v>0</v>
      </c>
      <c r="N133" s="48" t="b">
        <v>0</v>
      </c>
      <c r="O133" s="48" t="b">
        <v>0</v>
      </c>
      <c r="P133" s="36"/>
      <c r="Q133" s="36"/>
      <c r="R133" s="36"/>
      <c r="S133" s="42"/>
      <c r="T133" s="42"/>
      <c r="U133" s="56">
        <v>46181.841435185182</v>
      </c>
      <c r="V133" s="38" t="s">
        <v>75</v>
      </c>
      <c r="W133" s="38"/>
      <c r="X133" s="45"/>
    </row>
    <row r="134" spans="1:24" s="5" customFormat="1" ht="15.75">
      <c r="A134" s="61"/>
      <c r="B134" s="37"/>
      <c r="C134" s="36"/>
      <c r="D134" s="36"/>
      <c r="E1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8"/>
      <c r="G134" s="48" t="b">
        <v>0</v>
      </c>
      <c r="H134" s="48" t="b">
        <v>0</v>
      </c>
      <c r="I134" s="48" t="b">
        <v>0</v>
      </c>
      <c r="J134" s="48" t="b">
        <v>0</v>
      </c>
      <c r="K134" s="48" t="b">
        <v>0</v>
      </c>
      <c r="L134" s="48" t="b">
        <v>0</v>
      </c>
      <c r="M134" s="48" t="b">
        <v>0</v>
      </c>
      <c r="N134" s="48" t="b">
        <v>0</v>
      </c>
      <c r="O134" s="48" t="b">
        <v>0</v>
      </c>
      <c r="P134" s="36"/>
      <c r="Q134" s="36"/>
      <c r="R134" s="36"/>
      <c r="S134" s="42"/>
      <c r="T134" s="42"/>
      <c r="U134" s="56">
        <v>46181.841435185182</v>
      </c>
      <c r="V134" s="38" t="s">
        <v>75</v>
      </c>
      <c r="W134" s="38"/>
      <c r="X134" s="45"/>
    </row>
    <row r="135" spans="1:24" s="5" customFormat="1" ht="15.75">
      <c r="A135" s="61"/>
      <c r="B135" s="37"/>
      <c r="C135" s="36"/>
      <c r="D135" s="36"/>
      <c r="E1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8"/>
      <c r="G135" s="48" t="b">
        <v>0</v>
      </c>
      <c r="H135" s="48" t="b">
        <v>0</v>
      </c>
      <c r="I135" s="48" t="b">
        <v>0</v>
      </c>
      <c r="J135" s="48" t="b">
        <v>0</v>
      </c>
      <c r="K135" s="48" t="b">
        <v>0</v>
      </c>
      <c r="L135" s="48" t="b">
        <v>0</v>
      </c>
      <c r="M135" s="48" t="b">
        <v>0</v>
      </c>
      <c r="N135" s="48" t="b">
        <v>0</v>
      </c>
      <c r="O135" s="48" t="b">
        <v>0</v>
      </c>
      <c r="P135" s="36"/>
      <c r="Q135" s="36"/>
      <c r="R135" s="36"/>
      <c r="S135" s="42"/>
      <c r="T135" s="42"/>
      <c r="U135" s="56">
        <v>46181.841435185182</v>
      </c>
      <c r="V135" s="38" t="s">
        <v>75</v>
      </c>
      <c r="W135" s="38"/>
      <c r="X135" s="45"/>
    </row>
    <row r="136" spans="1:24" s="5" customFormat="1" ht="15.75">
      <c r="A136" s="61"/>
      <c r="B136" s="37"/>
      <c r="C136" s="36"/>
      <c r="D136" s="36"/>
      <c r="E1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8"/>
      <c r="G136" s="48" t="b">
        <v>0</v>
      </c>
      <c r="H136" s="48" t="b">
        <v>0</v>
      </c>
      <c r="I136" s="48" t="b">
        <v>0</v>
      </c>
      <c r="J136" s="48" t="b">
        <v>0</v>
      </c>
      <c r="K136" s="48" t="b">
        <v>0</v>
      </c>
      <c r="L136" s="48" t="b">
        <v>0</v>
      </c>
      <c r="M136" s="48" t="b">
        <v>0</v>
      </c>
      <c r="N136" s="48" t="b">
        <v>0</v>
      </c>
      <c r="O136" s="48" t="b">
        <v>0</v>
      </c>
      <c r="P136" s="36"/>
      <c r="Q136" s="36"/>
      <c r="R136" s="36"/>
      <c r="S136" s="42"/>
      <c r="T136" s="42"/>
      <c r="U136" s="56">
        <v>46181.841435185182</v>
      </c>
      <c r="V136" s="38" t="s">
        <v>75</v>
      </c>
      <c r="W136" s="38"/>
      <c r="X136" s="45"/>
    </row>
    <row r="137" spans="1:24" s="5" customFormat="1" ht="15.75">
      <c r="A137" s="61"/>
      <c r="B137" s="37"/>
      <c r="C137" s="36"/>
      <c r="D137" s="36"/>
      <c r="E1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8"/>
      <c r="G137" s="48" t="b">
        <v>0</v>
      </c>
      <c r="H137" s="48" t="b">
        <v>0</v>
      </c>
      <c r="I137" s="48" t="b">
        <v>0</v>
      </c>
      <c r="J137" s="48" t="b">
        <v>0</v>
      </c>
      <c r="K137" s="48" t="b">
        <v>0</v>
      </c>
      <c r="L137" s="48" t="b">
        <v>0</v>
      </c>
      <c r="M137" s="48" t="b">
        <v>0</v>
      </c>
      <c r="N137" s="48" t="b">
        <v>0</v>
      </c>
      <c r="O137" s="48" t="b">
        <v>0</v>
      </c>
      <c r="P137" s="36"/>
      <c r="Q137" s="36"/>
      <c r="R137" s="36"/>
      <c r="S137" s="42"/>
      <c r="T137" s="42"/>
      <c r="U137" s="56">
        <v>46181.841435185182</v>
      </c>
      <c r="V137" s="38" t="s">
        <v>75</v>
      </c>
      <c r="W137" s="38"/>
      <c r="X137" s="45"/>
    </row>
    <row r="138" spans="1:24" s="5" customFormat="1" ht="15.75">
      <c r="A138" s="61"/>
      <c r="B138" s="37"/>
      <c r="C138" s="36"/>
      <c r="D138" s="36"/>
      <c r="E1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8"/>
      <c r="G138" s="48" t="b">
        <v>0</v>
      </c>
      <c r="H138" s="48" t="b">
        <v>0</v>
      </c>
      <c r="I138" s="48" t="b">
        <v>0</v>
      </c>
      <c r="J138" s="48" t="b">
        <v>0</v>
      </c>
      <c r="K138" s="48" t="b">
        <v>0</v>
      </c>
      <c r="L138" s="48" t="b">
        <v>0</v>
      </c>
      <c r="M138" s="48" t="b">
        <v>0</v>
      </c>
      <c r="N138" s="48" t="b">
        <v>0</v>
      </c>
      <c r="O138" s="48" t="b">
        <v>0</v>
      </c>
      <c r="P138" s="36"/>
      <c r="Q138" s="36"/>
      <c r="R138" s="36"/>
      <c r="S138" s="42"/>
      <c r="T138" s="42"/>
      <c r="U138" s="56">
        <v>46181.841435185182</v>
      </c>
      <c r="V138" s="38" t="s">
        <v>75</v>
      </c>
      <c r="W138" s="38"/>
      <c r="X138" s="45"/>
    </row>
    <row r="139" spans="1:24" s="5" customFormat="1" ht="15.75">
      <c r="A139" s="61"/>
      <c r="B139" s="37"/>
      <c r="C139" s="36"/>
      <c r="D139" s="36"/>
      <c r="E1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8"/>
      <c r="G139" s="48" t="b">
        <v>0</v>
      </c>
      <c r="H139" s="48" t="b">
        <v>0</v>
      </c>
      <c r="I139" s="48" t="b">
        <v>0</v>
      </c>
      <c r="J139" s="48" t="b">
        <v>0</v>
      </c>
      <c r="K139" s="48" t="b">
        <v>0</v>
      </c>
      <c r="L139" s="48" t="b">
        <v>0</v>
      </c>
      <c r="M139" s="48" t="b">
        <v>0</v>
      </c>
      <c r="N139" s="48" t="b">
        <v>0</v>
      </c>
      <c r="O139" s="48" t="b">
        <v>0</v>
      </c>
      <c r="P139" s="36"/>
      <c r="Q139" s="36"/>
      <c r="R139" s="36"/>
      <c r="S139" s="42"/>
      <c r="T139" s="42"/>
      <c r="U139" s="56">
        <v>46181.841435185182</v>
      </c>
      <c r="V139" s="38" t="s">
        <v>75</v>
      </c>
      <c r="W139" s="38"/>
      <c r="X139" s="45"/>
    </row>
    <row r="140" spans="1:24" s="5" customFormat="1" ht="15.75">
      <c r="A140" s="61"/>
      <c r="B140" s="37"/>
      <c r="C140" s="36"/>
      <c r="D140" s="36"/>
      <c r="E1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8"/>
      <c r="G140" s="48" t="b">
        <v>0</v>
      </c>
      <c r="H140" s="48" t="b">
        <v>0</v>
      </c>
      <c r="I140" s="48" t="b">
        <v>0</v>
      </c>
      <c r="J140" s="48" t="b">
        <v>0</v>
      </c>
      <c r="K140" s="48" t="b">
        <v>0</v>
      </c>
      <c r="L140" s="48" t="b">
        <v>0</v>
      </c>
      <c r="M140" s="48" t="b">
        <v>0</v>
      </c>
      <c r="N140" s="48" t="b">
        <v>0</v>
      </c>
      <c r="O140" s="48" t="b">
        <v>0</v>
      </c>
      <c r="P140" s="36"/>
      <c r="Q140" s="36"/>
      <c r="R140" s="36"/>
      <c r="S140" s="42"/>
      <c r="T140" s="42"/>
      <c r="U140" s="56">
        <v>46181.841435185182</v>
      </c>
      <c r="V140" s="38" t="s">
        <v>75</v>
      </c>
      <c r="W140" s="38"/>
      <c r="X140" s="45"/>
    </row>
    <row r="141" spans="1:24" s="5" customFormat="1" ht="15.75">
      <c r="A141" s="61"/>
      <c r="B141" s="37"/>
      <c r="C141" s="36"/>
      <c r="D141" s="36"/>
      <c r="E1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8"/>
      <c r="G141" s="48" t="b">
        <v>0</v>
      </c>
      <c r="H141" s="48" t="b">
        <v>0</v>
      </c>
      <c r="I141" s="48" t="b">
        <v>0</v>
      </c>
      <c r="J141" s="48" t="b">
        <v>0</v>
      </c>
      <c r="K141" s="48" t="b">
        <v>0</v>
      </c>
      <c r="L141" s="48" t="b">
        <v>0</v>
      </c>
      <c r="M141" s="48" t="b">
        <v>0</v>
      </c>
      <c r="N141" s="48" t="b">
        <v>0</v>
      </c>
      <c r="O141" s="48" t="b">
        <v>0</v>
      </c>
      <c r="P141" s="36"/>
      <c r="Q141" s="36"/>
      <c r="R141" s="36"/>
      <c r="S141" s="42"/>
      <c r="T141" s="42"/>
      <c r="U141" s="56">
        <v>46181.841435185182</v>
      </c>
      <c r="V141" s="38" t="s">
        <v>75</v>
      </c>
      <c r="W141" s="38"/>
      <c r="X141" s="45"/>
    </row>
    <row r="142" spans="1:24" s="5" customFormat="1" ht="15.75">
      <c r="A142" s="61"/>
      <c r="B142" s="37"/>
      <c r="C142" s="36"/>
      <c r="D142" s="36"/>
      <c r="E1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8"/>
      <c r="G142" s="48" t="b">
        <v>0</v>
      </c>
      <c r="H142" s="48" t="b">
        <v>0</v>
      </c>
      <c r="I142" s="48" t="b">
        <v>0</v>
      </c>
      <c r="J142" s="48" t="b">
        <v>0</v>
      </c>
      <c r="K142" s="48" t="b">
        <v>0</v>
      </c>
      <c r="L142" s="48" t="b">
        <v>0</v>
      </c>
      <c r="M142" s="48" t="b">
        <v>0</v>
      </c>
      <c r="N142" s="48" t="b">
        <v>0</v>
      </c>
      <c r="O142" s="48" t="b">
        <v>0</v>
      </c>
      <c r="P142" s="36"/>
      <c r="Q142" s="36"/>
      <c r="R142" s="36"/>
      <c r="S142" s="42"/>
      <c r="T142" s="42"/>
      <c r="U142" s="56">
        <v>46181.841435185182</v>
      </c>
      <c r="V142" s="38" t="s">
        <v>75</v>
      </c>
      <c r="W142" s="38"/>
      <c r="X142" s="45"/>
    </row>
    <row r="143" spans="1:24" s="5" customFormat="1" ht="15.75">
      <c r="A143" s="61"/>
      <c r="B143" s="37"/>
      <c r="C143" s="36"/>
      <c r="D143" s="36"/>
      <c r="E1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8"/>
      <c r="G143" s="48" t="b">
        <v>0</v>
      </c>
      <c r="H143" s="48" t="b">
        <v>0</v>
      </c>
      <c r="I143" s="48" t="b">
        <v>0</v>
      </c>
      <c r="J143" s="48" t="b">
        <v>0</v>
      </c>
      <c r="K143" s="48" t="b">
        <v>0</v>
      </c>
      <c r="L143" s="48" t="b">
        <v>0</v>
      </c>
      <c r="M143" s="48" t="b">
        <v>0</v>
      </c>
      <c r="N143" s="48" t="b">
        <v>0</v>
      </c>
      <c r="O143" s="48" t="b">
        <v>0</v>
      </c>
      <c r="P143" s="36"/>
      <c r="Q143" s="36"/>
      <c r="R143" s="36"/>
      <c r="S143" s="42"/>
      <c r="T143" s="42"/>
      <c r="U143" s="56">
        <v>46181.841435185182</v>
      </c>
      <c r="V143" s="38" t="s">
        <v>75</v>
      </c>
      <c r="W143" s="38"/>
      <c r="X143" s="45"/>
    </row>
    <row r="144" spans="1:24" s="5" customFormat="1" ht="15.75">
      <c r="A144" s="61"/>
      <c r="B144" s="37"/>
      <c r="C144" s="36"/>
      <c r="D144" s="36"/>
      <c r="E1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8"/>
      <c r="G144" s="48" t="b">
        <v>0</v>
      </c>
      <c r="H144" s="48" t="b">
        <v>0</v>
      </c>
      <c r="I144" s="48" t="b">
        <v>0</v>
      </c>
      <c r="J144" s="48" t="b">
        <v>0</v>
      </c>
      <c r="K144" s="48" t="b">
        <v>0</v>
      </c>
      <c r="L144" s="48" t="b">
        <v>0</v>
      </c>
      <c r="M144" s="48" t="b">
        <v>0</v>
      </c>
      <c r="N144" s="48" t="b">
        <v>0</v>
      </c>
      <c r="O144" s="48" t="b">
        <v>0</v>
      </c>
      <c r="P144" s="36"/>
      <c r="Q144" s="36"/>
      <c r="R144" s="36"/>
      <c r="S144" s="42"/>
      <c r="T144" s="42"/>
      <c r="U144" s="56">
        <v>46181.841435185182</v>
      </c>
      <c r="V144" s="38" t="s">
        <v>75</v>
      </c>
      <c r="W144" s="38"/>
      <c r="X144" s="45"/>
    </row>
    <row r="145" spans="1:24" s="5" customFormat="1" ht="15.75">
      <c r="A145" s="61"/>
      <c r="B145" s="37"/>
      <c r="C145" s="36"/>
      <c r="D145" s="36"/>
      <c r="E1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8"/>
      <c r="G145" s="48" t="b">
        <v>0</v>
      </c>
      <c r="H145" s="48" t="b">
        <v>0</v>
      </c>
      <c r="I145" s="48" t="b">
        <v>0</v>
      </c>
      <c r="J145" s="48" t="b">
        <v>0</v>
      </c>
      <c r="K145" s="48" t="b">
        <v>0</v>
      </c>
      <c r="L145" s="48" t="b">
        <v>0</v>
      </c>
      <c r="M145" s="48" t="b">
        <v>0</v>
      </c>
      <c r="N145" s="48" t="b">
        <v>0</v>
      </c>
      <c r="O145" s="48" t="b">
        <v>0</v>
      </c>
      <c r="P145" s="36"/>
      <c r="Q145" s="36"/>
      <c r="R145" s="36"/>
      <c r="S145" s="42"/>
      <c r="T145" s="42"/>
      <c r="U145" s="56">
        <v>46181.841435185182</v>
      </c>
      <c r="V145" s="38" t="s">
        <v>75</v>
      </c>
      <c r="W145" s="38"/>
      <c r="X145" s="45"/>
    </row>
    <row r="146" spans="1:24" s="5" customFormat="1" ht="15.75">
      <c r="A146" s="61"/>
      <c r="B146" s="37"/>
      <c r="C146" s="36"/>
      <c r="D146" s="36"/>
      <c r="E1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8"/>
      <c r="G146" s="48" t="b">
        <v>0</v>
      </c>
      <c r="H146" s="48" t="b">
        <v>0</v>
      </c>
      <c r="I146" s="48" t="b">
        <v>0</v>
      </c>
      <c r="J146" s="48" t="b">
        <v>0</v>
      </c>
      <c r="K146" s="48" t="b">
        <v>0</v>
      </c>
      <c r="L146" s="48" t="b">
        <v>0</v>
      </c>
      <c r="M146" s="48" t="b">
        <v>0</v>
      </c>
      <c r="N146" s="48" t="b">
        <v>0</v>
      </c>
      <c r="O146" s="48" t="b">
        <v>0</v>
      </c>
      <c r="P146" s="36"/>
      <c r="Q146" s="36"/>
      <c r="R146" s="36"/>
      <c r="S146" s="42"/>
      <c r="T146" s="42"/>
      <c r="U146" s="56">
        <v>46181.841435185182</v>
      </c>
      <c r="V146" s="38" t="s">
        <v>75</v>
      </c>
      <c r="W146" s="38"/>
      <c r="X146" s="45"/>
    </row>
    <row r="147" spans="1:24" s="5" customFormat="1" ht="15.75">
      <c r="A147" s="61"/>
      <c r="B147" s="37"/>
      <c r="C147" s="36"/>
      <c r="D147" s="36"/>
      <c r="E1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8"/>
      <c r="G147" s="48" t="b">
        <v>0</v>
      </c>
      <c r="H147" s="48" t="b">
        <v>0</v>
      </c>
      <c r="I147" s="48" t="b">
        <v>0</v>
      </c>
      <c r="J147" s="48" t="b">
        <v>0</v>
      </c>
      <c r="K147" s="48" t="b">
        <v>0</v>
      </c>
      <c r="L147" s="48" t="b">
        <v>0</v>
      </c>
      <c r="M147" s="48" t="b">
        <v>0</v>
      </c>
      <c r="N147" s="48" t="b">
        <v>0</v>
      </c>
      <c r="O147" s="48" t="b">
        <v>0</v>
      </c>
      <c r="P147" s="36"/>
      <c r="Q147" s="36"/>
      <c r="R147" s="36"/>
      <c r="S147" s="42"/>
      <c r="T147" s="42"/>
      <c r="U147" s="56">
        <v>46181.841435185182</v>
      </c>
      <c r="V147" s="38" t="s">
        <v>75</v>
      </c>
      <c r="W147" s="38"/>
      <c r="X147" s="45"/>
    </row>
    <row r="148" spans="1:24" s="5" customFormat="1" ht="15.75">
      <c r="A148" s="61"/>
      <c r="B148" s="37"/>
      <c r="C148" s="36"/>
      <c r="D148" s="36"/>
      <c r="E1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8"/>
      <c r="G148" s="48" t="b">
        <v>0</v>
      </c>
      <c r="H148" s="48" t="b">
        <v>0</v>
      </c>
      <c r="I148" s="48" t="b">
        <v>0</v>
      </c>
      <c r="J148" s="48" t="b">
        <v>0</v>
      </c>
      <c r="K148" s="48" t="b">
        <v>0</v>
      </c>
      <c r="L148" s="48" t="b">
        <v>0</v>
      </c>
      <c r="M148" s="48" t="b">
        <v>0</v>
      </c>
      <c r="N148" s="48" t="b">
        <v>0</v>
      </c>
      <c r="O148" s="48" t="b">
        <v>0</v>
      </c>
      <c r="P148" s="36"/>
      <c r="Q148" s="36"/>
      <c r="R148" s="36"/>
      <c r="S148" s="42"/>
      <c r="T148" s="42"/>
      <c r="U148" s="56">
        <v>46181.841446759259</v>
      </c>
      <c r="V148" s="38" t="s">
        <v>75</v>
      </c>
      <c r="W148" s="38"/>
      <c r="X148" s="45"/>
    </row>
    <row r="149" spans="1:24" s="5" customFormat="1" ht="15.75">
      <c r="A149" s="61"/>
      <c r="B149" s="37"/>
      <c r="C149" s="36"/>
      <c r="D149" s="36"/>
      <c r="E1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8"/>
      <c r="G149" s="48" t="b">
        <v>0</v>
      </c>
      <c r="H149" s="48" t="b">
        <v>0</v>
      </c>
      <c r="I149" s="48" t="b">
        <v>0</v>
      </c>
      <c r="J149" s="48" t="b">
        <v>0</v>
      </c>
      <c r="K149" s="48" t="b">
        <v>0</v>
      </c>
      <c r="L149" s="48" t="b">
        <v>0</v>
      </c>
      <c r="M149" s="48" t="b">
        <v>0</v>
      </c>
      <c r="N149" s="48" t="b">
        <v>0</v>
      </c>
      <c r="O149" s="48" t="b">
        <v>0</v>
      </c>
      <c r="P149" s="36"/>
      <c r="Q149" s="36"/>
      <c r="R149" s="36"/>
      <c r="S149" s="42"/>
      <c r="T149" s="42"/>
      <c r="U149" s="56">
        <v>46181.841446759259</v>
      </c>
      <c r="V149" s="38" t="s">
        <v>75</v>
      </c>
      <c r="W149" s="38"/>
      <c r="X149" s="45"/>
    </row>
    <row r="150" spans="1:24" s="5" customFormat="1" ht="15.75">
      <c r="A150" s="61"/>
      <c r="B150" s="37"/>
      <c r="C150" s="36"/>
      <c r="D150" s="36"/>
      <c r="E1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8"/>
      <c r="G150" s="48" t="b">
        <v>0</v>
      </c>
      <c r="H150" s="48" t="b">
        <v>0</v>
      </c>
      <c r="I150" s="48" t="b">
        <v>0</v>
      </c>
      <c r="J150" s="48" t="b">
        <v>0</v>
      </c>
      <c r="K150" s="48" t="b">
        <v>0</v>
      </c>
      <c r="L150" s="48" t="b">
        <v>0</v>
      </c>
      <c r="M150" s="48" t="b">
        <v>0</v>
      </c>
      <c r="N150" s="48" t="b">
        <v>0</v>
      </c>
      <c r="O150" s="48" t="b">
        <v>0</v>
      </c>
      <c r="P150" s="36"/>
      <c r="Q150" s="36"/>
      <c r="R150" s="36"/>
      <c r="S150" s="42"/>
      <c r="T150" s="42"/>
      <c r="U150" s="56">
        <v>46181.841446759259</v>
      </c>
      <c r="V150" s="38" t="s">
        <v>75</v>
      </c>
      <c r="W150" s="38"/>
      <c r="X150" s="45"/>
    </row>
    <row r="151" spans="1:24" s="5" customFormat="1" ht="15.75">
      <c r="A151" s="61"/>
      <c r="B151" s="37"/>
      <c r="C151" s="36"/>
      <c r="D151" s="36"/>
      <c r="E1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8"/>
      <c r="G151" s="48" t="b">
        <v>0</v>
      </c>
      <c r="H151" s="48" t="b">
        <v>0</v>
      </c>
      <c r="I151" s="48" t="b">
        <v>0</v>
      </c>
      <c r="J151" s="48" t="b">
        <v>0</v>
      </c>
      <c r="K151" s="48" t="b">
        <v>0</v>
      </c>
      <c r="L151" s="48" t="b">
        <v>0</v>
      </c>
      <c r="M151" s="48" t="b">
        <v>0</v>
      </c>
      <c r="N151" s="48" t="b">
        <v>0</v>
      </c>
      <c r="O151" s="48" t="b">
        <v>0</v>
      </c>
      <c r="P151" s="36"/>
      <c r="Q151" s="36"/>
      <c r="R151" s="36"/>
      <c r="S151" s="42"/>
      <c r="T151" s="42"/>
      <c r="U151" s="56">
        <v>46181.841446759259</v>
      </c>
      <c r="V151" s="38" t="s">
        <v>75</v>
      </c>
      <c r="W151" s="38"/>
      <c r="X151" s="45"/>
    </row>
    <row r="152" spans="1:24" s="5" customFormat="1" ht="15.75">
      <c r="A152" s="61"/>
      <c r="B152" s="37"/>
      <c r="C152" s="36"/>
      <c r="D152" s="36"/>
      <c r="E1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8"/>
      <c r="G152" s="48" t="b">
        <v>0</v>
      </c>
      <c r="H152" s="48" t="b">
        <v>0</v>
      </c>
      <c r="I152" s="48" t="b">
        <v>0</v>
      </c>
      <c r="J152" s="48" t="b">
        <v>0</v>
      </c>
      <c r="K152" s="48" t="b">
        <v>0</v>
      </c>
      <c r="L152" s="48" t="b">
        <v>0</v>
      </c>
      <c r="M152" s="48" t="b">
        <v>0</v>
      </c>
      <c r="N152" s="48" t="b">
        <v>0</v>
      </c>
      <c r="O152" s="48" t="b">
        <v>0</v>
      </c>
      <c r="P152" s="36"/>
      <c r="Q152" s="36"/>
      <c r="R152" s="36"/>
      <c r="S152" s="42"/>
      <c r="T152" s="42"/>
      <c r="U152" s="56">
        <v>46181.841446759259</v>
      </c>
      <c r="V152" s="38" t="s">
        <v>75</v>
      </c>
      <c r="W152" s="38"/>
      <c r="X152" s="45"/>
    </row>
    <row r="153" spans="1:24" s="5" customFormat="1" ht="15.75">
      <c r="A153" s="61"/>
      <c r="B153" s="37"/>
      <c r="C153" s="36"/>
      <c r="D153" s="36"/>
      <c r="E1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8"/>
      <c r="G153" s="48" t="b">
        <v>0</v>
      </c>
      <c r="H153" s="48" t="b">
        <v>0</v>
      </c>
      <c r="I153" s="48" t="b">
        <v>0</v>
      </c>
      <c r="J153" s="48" t="b">
        <v>0</v>
      </c>
      <c r="K153" s="48" t="b">
        <v>0</v>
      </c>
      <c r="L153" s="48" t="b">
        <v>0</v>
      </c>
      <c r="M153" s="48" t="b">
        <v>0</v>
      </c>
      <c r="N153" s="48" t="b">
        <v>0</v>
      </c>
      <c r="O153" s="48" t="b">
        <v>0</v>
      </c>
      <c r="P153" s="36"/>
      <c r="Q153" s="36"/>
      <c r="R153" s="36"/>
      <c r="S153" s="42"/>
      <c r="T153" s="42"/>
      <c r="U153" s="56">
        <v>46181.841446759259</v>
      </c>
      <c r="V153" s="38" t="s">
        <v>75</v>
      </c>
      <c r="W153" s="38"/>
      <c r="X153" s="45"/>
    </row>
    <row r="154" spans="1:24" s="5" customFormat="1" ht="15.75">
      <c r="A154" s="61"/>
      <c r="B154" s="37"/>
      <c r="C154" s="36"/>
      <c r="D154" s="36"/>
      <c r="E1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8"/>
      <c r="G154" s="48" t="b">
        <v>0</v>
      </c>
      <c r="H154" s="48" t="b">
        <v>0</v>
      </c>
      <c r="I154" s="48" t="b">
        <v>0</v>
      </c>
      <c r="J154" s="48" t="b">
        <v>0</v>
      </c>
      <c r="K154" s="48" t="b">
        <v>0</v>
      </c>
      <c r="L154" s="48" t="b">
        <v>0</v>
      </c>
      <c r="M154" s="48" t="b">
        <v>0</v>
      </c>
      <c r="N154" s="48" t="b">
        <v>0</v>
      </c>
      <c r="O154" s="48" t="b">
        <v>0</v>
      </c>
      <c r="P154" s="36"/>
      <c r="Q154" s="36"/>
      <c r="R154" s="36"/>
      <c r="S154" s="42"/>
      <c r="T154" s="42"/>
      <c r="U154" s="56">
        <v>46181.841446759259</v>
      </c>
      <c r="V154" s="38" t="s">
        <v>75</v>
      </c>
      <c r="W154" s="38"/>
      <c r="X154" s="45"/>
    </row>
    <row r="155" spans="1:24" s="5" customFormat="1" ht="15.75">
      <c r="A155" s="61"/>
      <c r="B155" s="37"/>
      <c r="C155" s="36"/>
      <c r="D155" s="36"/>
      <c r="E1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8"/>
      <c r="G155" s="48" t="b">
        <v>0</v>
      </c>
      <c r="H155" s="48" t="b">
        <v>0</v>
      </c>
      <c r="I155" s="48" t="b">
        <v>0</v>
      </c>
      <c r="J155" s="48" t="b">
        <v>0</v>
      </c>
      <c r="K155" s="48" t="b">
        <v>0</v>
      </c>
      <c r="L155" s="48" t="b">
        <v>0</v>
      </c>
      <c r="M155" s="48" t="b">
        <v>0</v>
      </c>
      <c r="N155" s="48" t="b">
        <v>0</v>
      </c>
      <c r="O155" s="48" t="b">
        <v>0</v>
      </c>
      <c r="P155" s="36"/>
      <c r="Q155" s="36"/>
      <c r="R155" s="36"/>
      <c r="S155" s="42"/>
      <c r="T155" s="42"/>
      <c r="U155" s="56">
        <v>46181.841446759259</v>
      </c>
      <c r="V155" s="38" t="s">
        <v>75</v>
      </c>
      <c r="W155" s="38"/>
      <c r="X155" s="45"/>
    </row>
    <row r="156" spans="1:24" s="5" customFormat="1" ht="15.75">
      <c r="A156" s="61"/>
      <c r="B156" s="37"/>
      <c r="C156" s="36"/>
      <c r="D156" s="36"/>
      <c r="E1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8"/>
      <c r="G156" s="48" t="b">
        <v>0</v>
      </c>
      <c r="H156" s="48" t="b">
        <v>0</v>
      </c>
      <c r="I156" s="48" t="b">
        <v>0</v>
      </c>
      <c r="J156" s="48" t="b">
        <v>0</v>
      </c>
      <c r="K156" s="48" t="b">
        <v>0</v>
      </c>
      <c r="L156" s="48" t="b">
        <v>0</v>
      </c>
      <c r="M156" s="48" t="b">
        <v>0</v>
      </c>
      <c r="N156" s="48" t="b">
        <v>0</v>
      </c>
      <c r="O156" s="48" t="b">
        <v>0</v>
      </c>
      <c r="P156" s="36"/>
      <c r="Q156" s="36"/>
      <c r="R156" s="36"/>
      <c r="S156" s="42"/>
      <c r="T156" s="42"/>
      <c r="U156" s="56">
        <v>46181.841446759259</v>
      </c>
      <c r="V156" s="38" t="s">
        <v>75</v>
      </c>
      <c r="W156" s="38"/>
      <c r="X156" s="45"/>
    </row>
    <row r="157" spans="1:24" s="5" customFormat="1" ht="15.75">
      <c r="A157" s="61"/>
      <c r="B157" s="37"/>
      <c r="C157" s="36"/>
      <c r="D157" s="36"/>
      <c r="E1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8"/>
      <c r="G157" s="48" t="b">
        <v>0</v>
      </c>
      <c r="H157" s="48" t="b">
        <v>0</v>
      </c>
      <c r="I157" s="48" t="b">
        <v>0</v>
      </c>
      <c r="J157" s="48" t="b">
        <v>0</v>
      </c>
      <c r="K157" s="48" t="b">
        <v>0</v>
      </c>
      <c r="L157" s="48" t="b">
        <v>0</v>
      </c>
      <c r="M157" s="48" t="b">
        <v>0</v>
      </c>
      <c r="N157" s="48" t="b">
        <v>0</v>
      </c>
      <c r="O157" s="48" t="b">
        <v>0</v>
      </c>
      <c r="P157" s="36"/>
      <c r="Q157" s="36"/>
      <c r="R157" s="36"/>
      <c r="S157" s="42"/>
      <c r="T157" s="42"/>
      <c r="U157" s="56">
        <v>46181.841446759259</v>
      </c>
      <c r="V157" s="38" t="s">
        <v>75</v>
      </c>
      <c r="W157" s="38"/>
      <c r="X157" s="45"/>
    </row>
    <row r="158" spans="1:24" s="5" customFormat="1" ht="15.75">
      <c r="A158" s="61"/>
      <c r="B158" s="37"/>
      <c r="C158" s="36"/>
      <c r="D158" s="36"/>
      <c r="E1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8"/>
      <c r="G158" s="48" t="b">
        <v>0</v>
      </c>
      <c r="H158" s="48" t="b">
        <v>0</v>
      </c>
      <c r="I158" s="48" t="b">
        <v>0</v>
      </c>
      <c r="J158" s="48" t="b">
        <v>0</v>
      </c>
      <c r="K158" s="48" t="b">
        <v>0</v>
      </c>
      <c r="L158" s="48" t="b">
        <v>0</v>
      </c>
      <c r="M158" s="48" t="b">
        <v>0</v>
      </c>
      <c r="N158" s="48" t="b">
        <v>0</v>
      </c>
      <c r="O158" s="48" t="b">
        <v>0</v>
      </c>
      <c r="P158" s="36"/>
      <c r="Q158" s="36"/>
      <c r="R158" s="36"/>
      <c r="S158" s="42"/>
      <c r="T158" s="42"/>
      <c r="U158" s="56">
        <v>46181.841446759259</v>
      </c>
      <c r="V158" s="38" t="s">
        <v>75</v>
      </c>
      <c r="W158" s="38"/>
      <c r="X158" s="45"/>
    </row>
    <row r="159" spans="1:24" s="5" customFormat="1" ht="15.75">
      <c r="A159" s="61"/>
      <c r="B159" s="37"/>
      <c r="C159" s="36"/>
      <c r="D159" s="36"/>
      <c r="E1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8"/>
      <c r="G159" s="48" t="b">
        <v>0</v>
      </c>
      <c r="H159" s="48" t="b">
        <v>0</v>
      </c>
      <c r="I159" s="48" t="b">
        <v>0</v>
      </c>
      <c r="J159" s="48" t="b">
        <v>0</v>
      </c>
      <c r="K159" s="48" t="b">
        <v>0</v>
      </c>
      <c r="L159" s="48" t="b">
        <v>0</v>
      </c>
      <c r="M159" s="48" t="b">
        <v>0</v>
      </c>
      <c r="N159" s="48" t="b">
        <v>0</v>
      </c>
      <c r="O159" s="48" t="b">
        <v>0</v>
      </c>
      <c r="P159" s="36"/>
      <c r="Q159" s="36"/>
      <c r="R159" s="36"/>
      <c r="S159" s="42"/>
      <c r="T159" s="42"/>
      <c r="U159" s="56">
        <v>46181.841446759259</v>
      </c>
      <c r="V159" s="38" t="s">
        <v>75</v>
      </c>
      <c r="W159" s="38"/>
      <c r="X159" s="45"/>
    </row>
    <row r="160" spans="1:24" s="5" customFormat="1" ht="15.75">
      <c r="A160" s="61"/>
      <c r="B160" s="37"/>
      <c r="C160" s="36"/>
      <c r="D160" s="36"/>
      <c r="E1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8"/>
      <c r="G160" s="48" t="b">
        <v>0</v>
      </c>
      <c r="H160" s="48" t="b">
        <v>0</v>
      </c>
      <c r="I160" s="48" t="b">
        <v>0</v>
      </c>
      <c r="J160" s="48" t="b">
        <v>0</v>
      </c>
      <c r="K160" s="48" t="b">
        <v>0</v>
      </c>
      <c r="L160" s="48" t="b">
        <v>0</v>
      </c>
      <c r="M160" s="48" t="b">
        <v>0</v>
      </c>
      <c r="N160" s="48" t="b">
        <v>0</v>
      </c>
      <c r="O160" s="48" t="b">
        <v>0</v>
      </c>
      <c r="P160" s="36"/>
      <c r="Q160" s="36"/>
      <c r="R160" s="36"/>
      <c r="S160" s="42"/>
      <c r="T160" s="42"/>
      <c r="U160" s="56">
        <v>46181.841446759259</v>
      </c>
      <c r="V160" s="38" t="s">
        <v>75</v>
      </c>
      <c r="W160" s="38"/>
      <c r="X160" s="45"/>
    </row>
    <row r="161" spans="1:24" s="5" customFormat="1" ht="15.75">
      <c r="A161" s="61"/>
      <c r="B161" s="37"/>
      <c r="C161" s="36"/>
      <c r="D161" s="36"/>
      <c r="E1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8"/>
      <c r="G161" s="48" t="b">
        <v>0</v>
      </c>
      <c r="H161" s="48" t="b">
        <v>0</v>
      </c>
      <c r="I161" s="48" t="b">
        <v>0</v>
      </c>
      <c r="J161" s="48" t="b">
        <v>0</v>
      </c>
      <c r="K161" s="48" t="b">
        <v>0</v>
      </c>
      <c r="L161" s="48" t="b">
        <v>0</v>
      </c>
      <c r="M161" s="48" t="b">
        <v>0</v>
      </c>
      <c r="N161" s="48" t="b">
        <v>0</v>
      </c>
      <c r="O161" s="48" t="b">
        <v>0</v>
      </c>
      <c r="P161" s="36"/>
      <c r="Q161" s="36"/>
      <c r="R161" s="36"/>
      <c r="S161" s="42"/>
      <c r="T161" s="42"/>
      <c r="U161" s="56">
        <v>46181.841446759259</v>
      </c>
      <c r="V161" s="38" t="s">
        <v>75</v>
      </c>
      <c r="W161" s="38"/>
      <c r="X161" s="45"/>
    </row>
    <row r="162" spans="1:24" s="5" customFormat="1" ht="15.75">
      <c r="A162" s="61"/>
      <c r="B162" s="37"/>
      <c r="C162" s="36"/>
      <c r="D162" s="36"/>
      <c r="E1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8"/>
      <c r="G162" s="48" t="b">
        <v>0</v>
      </c>
      <c r="H162" s="48" t="b">
        <v>0</v>
      </c>
      <c r="I162" s="48" t="b">
        <v>0</v>
      </c>
      <c r="J162" s="48" t="b">
        <v>0</v>
      </c>
      <c r="K162" s="48" t="b">
        <v>0</v>
      </c>
      <c r="L162" s="48" t="b">
        <v>0</v>
      </c>
      <c r="M162" s="48" t="b">
        <v>0</v>
      </c>
      <c r="N162" s="48" t="b">
        <v>0</v>
      </c>
      <c r="O162" s="48" t="b">
        <v>0</v>
      </c>
      <c r="P162" s="36"/>
      <c r="Q162" s="36"/>
      <c r="R162" s="36"/>
      <c r="S162" s="42"/>
      <c r="T162" s="42"/>
      <c r="U162" s="56">
        <v>46181.841446759259</v>
      </c>
      <c r="V162" s="38" t="s">
        <v>75</v>
      </c>
      <c r="W162" s="38"/>
      <c r="X162" s="45"/>
    </row>
    <row r="163" spans="1:24" s="5" customFormat="1" ht="15.75">
      <c r="A163" s="61"/>
      <c r="B163" s="37"/>
      <c r="C163" s="36"/>
      <c r="D163" s="36"/>
      <c r="E1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8"/>
      <c r="G163" s="48" t="b">
        <v>0</v>
      </c>
      <c r="H163" s="48" t="b">
        <v>0</v>
      </c>
      <c r="I163" s="48" t="b">
        <v>0</v>
      </c>
      <c r="J163" s="48" t="b">
        <v>0</v>
      </c>
      <c r="K163" s="48" t="b">
        <v>0</v>
      </c>
      <c r="L163" s="48" t="b">
        <v>0</v>
      </c>
      <c r="M163" s="48" t="b">
        <v>0</v>
      </c>
      <c r="N163" s="48" t="b">
        <v>0</v>
      </c>
      <c r="O163" s="48" t="b">
        <v>0</v>
      </c>
      <c r="P163" s="36"/>
      <c r="Q163" s="36"/>
      <c r="R163" s="36"/>
      <c r="S163" s="42"/>
      <c r="T163" s="42"/>
      <c r="U163" s="56">
        <v>46181.841446759259</v>
      </c>
      <c r="V163" s="38" t="s">
        <v>75</v>
      </c>
      <c r="W163" s="38"/>
      <c r="X163" s="45"/>
    </row>
    <row r="164" spans="1:24" s="5" customFormat="1" ht="15.75">
      <c r="A164" s="61"/>
      <c r="B164" s="37"/>
      <c r="C164" s="36"/>
      <c r="D164" s="36"/>
      <c r="E1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8"/>
      <c r="G164" s="48" t="b">
        <v>0</v>
      </c>
      <c r="H164" s="48" t="b">
        <v>0</v>
      </c>
      <c r="I164" s="48" t="b">
        <v>0</v>
      </c>
      <c r="J164" s="48" t="b">
        <v>0</v>
      </c>
      <c r="K164" s="48" t="b">
        <v>0</v>
      </c>
      <c r="L164" s="48" t="b">
        <v>0</v>
      </c>
      <c r="M164" s="48" t="b">
        <v>0</v>
      </c>
      <c r="N164" s="48" t="b">
        <v>0</v>
      </c>
      <c r="O164" s="48" t="b">
        <v>0</v>
      </c>
      <c r="P164" s="36"/>
      <c r="Q164" s="36"/>
      <c r="R164" s="36"/>
      <c r="S164" s="42"/>
      <c r="T164" s="42"/>
      <c r="U164" s="56">
        <v>46181.841446759259</v>
      </c>
      <c r="V164" s="38" t="s">
        <v>75</v>
      </c>
      <c r="W164" s="38"/>
      <c r="X164" s="45"/>
    </row>
    <row r="165" spans="1:24" s="5" customFormat="1" ht="15.75">
      <c r="A165" s="61"/>
      <c r="B165" s="37"/>
      <c r="C165" s="36"/>
      <c r="D165" s="36"/>
      <c r="E1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8"/>
      <c r="G165" s="48" t="b">
        <v>0</v>
      </c>
      <c r="H165" s="48" t="b">
        <v>0</v>
      </c>
      <c r="I165" s="48" t="b">
        <v>0</v>
      </c>
      <c r="J165" s="48" t="b">
        <v>0</v>
      </c>
      <c r="K165" s="48" t="b">
        <v>0</v>
      </c>
      <c r="L165" s="48" t="b">
        <v>0</v>
      </c>
      <c r="M165" s="48" t="b">
        <v>0</v>
      </c>
      <c r="N165" s="48" t="b">
        <v>0</v>
      </c>
      <c r="O165" s="48" t="b">
        <v>0</v>
      </c>
      <c r="P165" s="36"/>
      <c r="Q165" s="36"/>
      <c r="R165" s="36"/>
      <c r="S165" s="42"/>
      <c r="T165" s="42"/>
      <c r="U165" s="56">
        <v>46181.841458333336</v>
      </c>
      <c r="V165" s="38" t="s">
        <v>75</v>
      </c>
      <c r="W165" s="38"/>
      <c r="X165" s="45"/>
    </row>
    <row r="166" spans="1:24" s="5" customFormat="1" ht="15.75">
      <c r="A166" s="61"/>
      <c r="B166" s="37"/>
      <c r="C166" s="36"/>
      <c r="D166" s="36"/>
      <c r="E1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8"/>
      <c r="G166" s="48" t="b">
        <v>0</v>
      </c>
      <c r="H166" s="48" t="b">
        <v>0</v>
      </c>
      <c r="I166" s="48" t="b">
        <v>0</v>
      </c>
      <c r="J166" s="48" t="b">
        <v>0</v>
      </c>
      <c r="K166" s="48" t="b">
        <v>0</v>
      </c>
      <c r="L166" s="48" t="b">
        <v>0</v>
      </c>
      <c r="M166" s="48" t="b">
        <v>0</v>
      </c>
      <c r="N166" s="48" t="b">
        <v>0</v>
      </c>
      <c r="O166" s="48" t="b">
        <v>0</v>
      </c>
      <c r="P166" s="36"/>
      <c r="Q166" s="36"/>
      <c r="R166" s="36"/>
      <c r="S166" s="42"/>
      <c r="T166" s="42"/>
      <c r="U166" s="56">
        <v>46181.841458333336</v>
      </c>
      <c r="V166" s="38" t="s">
        <v>75</v>
      </c>
      <c r="W166" s="38"/>
      <c r="X166" s="45"/>
    </row>
    <row r="167" spans="1:24" s="5" customFormat="1" ht="15.75">
      <c r="A167" s="61"/>
      <c r="B167" s="37"/>
      <c r="C167" s="36"/>
      <c r="D167" s="36"/>
      <c r="E1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8"/>
      <c r="G167" s="48" t="b">
        <v>0</v>
      </c>
      <c r="H167" s="48" t="b">
        <v>0</v>
      </c>
      <c r="I167" s="48" t="b">
        <v>0</v>
      </c>
      <c r="J167" s="48" t="b">
        <v>0</v>
      </c>
      <c r="K167" s="48" t="b">
        <v>0</v>
      </c>
      <c r="L167" s="48" t="b">
        <v>0</v>
      </c>
      <c r="M167" s="48" t="b">
        <v>0</v>
      </c>
      <c r="N167" s="48" t="b">
        <v>0</v>
      </c>
      <c r="O167" s="48" t="b">
        <v>0</v>
      </c>
      <c r="P167" s="36"/>
      <c r="Q167" s="36"/>
      <c r="R167" s="36"/>
      <c r="S167" s="42"/>
      <c r="T167" s="42"/>
      <c r="U167" s="56">
        <v>46181.841458333336</v>
      </c>
      <c r="V167" s="38" t="s">
        <v>75</v>
      </c>
      <c r="W167" s="38"/>
      <c r="X167" s="45"/>
    </row>
    <row r="168" spans="1:24" s="5" customFormat="1" ht="15.75">
      <c r="A168" s="61"/>
      <c r="B168" s="37"/>
      <c r="C168" s="36"/>
      <c r="D168" s="36"/>
      <c r="E1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8"/>
      <c r="G168" s="48" t="b">
        <v>0</v>
      </c>
      <c r="H168" s="48" t="b">
        <v>0</v>
      </c>
      <c r="I168" s="48" t="b">
        <v>0</v>
      </c>
      <c r="J168" s="48" t="b">
        <v>0</v>
      </c>
      <c r="K168" s="48" t="b">
        <v>0</v>
      </c>
      <c r="L168" s="48" t="b">
        <v>0</v>
      </c>
      <c r="M168" s="48" t="b">
        <v>0</v>
      </c>
      <c r="N168" s="48" t="b">
        <v>0</v>
      </c>
      <c r="O168" s="48" t="b">
        <v>0</v>
      </c>
      <c r="P168" s="36"/>
      <c r="Q168" s="36"/>
      <c r="R168" s="36"/>
      <c r="S168" s="42"/>
      <c r="T168" s="42"/>
      <c r="U168" s="56">
        <v>46181.841458333336</v>
      </c>
      <c r="V168" s="38" t="s">
        <v>75</v>
      </c>
      <c r="W168" s="38"/>
      <c r="X168" s="45"/>
    </row>
    <row r="169" spans="1:24" s="5" customFormat="1" ht="15.75">
      <c r="A169" s="61"/>
      <c r="B169" s="37"/>
      <c r="C169" s="36"/>
      <c r="D169" s="36"/>
      <c r="E1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8"/>
      <c r="G169" s="48" t="b">
        <v>0</v>
      </c>
      <c r="H169" s="48" t="b">
        <v>0</v>
      </c>
      <c r="I169" s="48" t="b">
        <v>0</v>
      </c>
      <c r="J169" s="48" t="b">
        <v>0</v>
      </c>
      <c r="K169" s="48" t="b">
        <v>0</v>
      </c>
      <c r="L169" s="48" t="b">
        <v>0</v>
      </c>
      <c r="M169" s="48" t="b">
        <v>0</v>
      </c>
      <c r="N169" s="48" t="b">
        <v>0</v>
      </c>
      <c r="O169" s="48" t="b">
        <v>0</v>
      </c>
      <c r="P169" s="36"/>
      <c r="Q169" s="36"/>
      <c r="R169" s="36"/>
      <c r="S169" s="42"/>
      <c r="T169" s="42"/>
      <c r="U169" s="56">
        <v>46181.841458333336</v>
      </c>
      <c r="V169" s="38" t="s">
        <v>75</v>
      </c>
      <c r="W169" s="38"/>
      <c r="X169" s="45"/>
    </row>
    <row r="170" spans="1:24" s="5" customFormat="1" ht="15.75">
      <c r="A170" s="61"/>
      <c r="B170" s="37"/>
      <c r="C170" s="36"/>
      <c r="D170" s="36"/>
      <c r="E1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8"/>
      <c r="G170" s="48" t="b">
        <v>0</v>
      </c>
      <c r="H170" s="48" t="b">
        <v>0</v>
      </c>
      <c r="I170" s="48" t="b">
        <v>0</v>
      </c>
      <c r="J170" s="48" t="b">
        <v>0</v>
      </c>
      <c r="K170" s="48" t="b">
        <v>0</v>
      </c>
      <c r="L170" s="48" t="b">
        <v>0</v>
      </c>
      <c r="M170" s="48" t="b">
        <v>0</v>
      </c>
      <c r="N170" s="48" t="b">
        <v>0</v>
      </c>
      <c r="O170" s="48" t="b">
        <v>0</v>
      </c>
      <c r="P170" s="36"/>
      <c r="Q170" s="36"/>
      <c r="R170" s="36"/>
      <c r="S170" s="42"/>
      <c r="T170" s="42"/>
      <c r="U170" s="56">
        <v>46181.841458333336</v>
      </c>
      <c r="V170" s="38" t="s">
        <v>75</v>
      </c>
      <c r="W170" s="38"/>
      <c r="X170" s="45"/>
    </row>
    <row r="171" spans="1:24" s="5" customFormat="1" ht="15.75">
      <c r="A171" s="61"/>
      <c r="B171" s="37"/>
      <c r="C171" s="36"/>
      <c r="D171" s="36"/>
      <c r="E1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8"/>
      <c r="G171" s="48" t="b">
        <v>0</v>
      </c>
      <c r="H171" s="48" t="b">
        <v>0</v>
      </c>
      <c r="I171" s="48" t="b">
        <v>0</v>
      </c>
      <c r="J171" s="48" t="b">
        <v>0</v>
      </c>
      <c r="K171" s="48" t="b">
        <v>0</v>
      </c>
      <c r="L171" s="48" t="b">
        <v>0</v>
      </c>
      <c r="M171" s="48" t="b">
        <v>0</v>
      </c>
      <c r="N171" s="48" t="b">
        <v>0</v>
      </c>
      <c r="O171" s="48" t="b">
        <v>0</v>
      </c>
      <c r="P171" s="36"/>
      <c r="Q171" s="36"/>
      <c r="R171" s="36"/>
      <c r="S171" s="42"/>
      <c r="T171" s="42"/>
      <c r="U171" s="56">
        <v>46181.841458333336</v>
      </c>
      <c r="V171" s="38" t="s">
        <v>75</v>
      </c>
      <c r="W171" s="38"/>
      <c r="X171" s="45"/>
    </row>
    <row r="172" spans="1:24" s="5" customFormat="1" ht="15.75">
      <c r="A172" s="61"/>
      <c r="B172" s="37"/>
      <c r="C172" s="36"/>
      <c r="D172" s="36"/>
      <c r="E1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8"/>
      <c r="G172" s="48" t="b">
        <v>0</v>
      </c>
      <c r="H172" s="48" t="b">
        <v>0</v>
      </c>
      <c r="I172" s="48" t="b">
        <v>0</v>
      </c>
      <c r="J172" s="48" t="b">
        <v>0</v>
      </c>
      <c r="K172" s="48" t="b">
        <v>0</v>
      </c>
      <c r="L172" s="48" t="b">
        <v>0</v>
      </c>
      <c r="M172" s="48" t="b">
        <v>0</v>
      </c>
      <c r="N172" s="48" t="b">
        <v>0</v>
      </c>
      <c r="O172" s="48" t="b">
        <v>0</v>
      </c>
      <c r="P172" s="36"/>
      <c r="Q172" s="36"/>
      <c r="R172" s="36"/>
      <c r="S172" s="42"/>
      <c r="T172" s="42"/>
      <c r="U172" s="56">
        <v>46181.841458333336</v>
      </c>
      <c r="V172" s="38" t="s">
        <v>75</v>
      </c>
      <c r="W172" s="38"/>
      <c r="X172" s="45"/>
    </row>
    <row r="173" spans="1:24" s="5" customFormat="1" ht="15.75">
      <c r="A173" s="61"/>
      <c r="B173" s="37"/>
      <c r="C173" s="36"/>
      <c r="D173" s="36"/>
      <c r="E1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8"/>
      <c r="G173" s="48" t="b">
        <v>0</v>
      </c>
      <c r="H173" s="48" t="b">
        <v>0</v>
      </c>
      <c r="I173" s="48" t="b">
        <v>0</v>
      </c>
      <c r="J173" s="48" t="b">
        <v>0</v>
      </c>
      <c r="K173" s="48" t="b">
        <v>0</v>
      </c>
      <c r="L173" s="48" t="b">
        <v>0</v>
      </c>
      <c r="M173" s="48" t="b">
        <v>0</v>
      </c>
      <c r="N173" s="48" t="b">
        <v>0</v>
      </c>
      <c r="O173" s="48" t="b">
        <v>0</v>
      </c>
      <c r="P173" s="36"/>
      <c r="Q173" s="36"/>
      <c r="R173" s="36"/>
      <c r="S173" s="42"/>
      <c r="T173" s="42"/>
      <c r="U173" s="56">
        <v>46181.841458333336</v>
      </c>
      <c r="V173" s="38" t="s">
        <v>75</v>
      </c>
      <c r="W173" s="38"/>
      <c r="X173" s="45"/>
    </row>
    <row r="174" spans="1:24" s="5" customFormat="1" ht="15.75">
      <c r="A174" s="61"/>
      <c r="B174" s="37"/>
      <c r="C174" s="36"/>
      <c r="D174" s="36"/>
      <c r="E1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8"/>
      <c r="G174" s="48" t="b">
        <v>0</v>
      </c>
      <c r="H174" s="48" t="b">
        <v>0</v>
      </c>
      <c r="I174" s="48" t="b">
        <v>0</v>
      </c>
      <c r="J174" s="48" t="b">
        <v>0</v>
      </c>
      <c r="K174" s="48" t="b">
        <v>0</v>
      </c>
      <c r="L174" s="48" t="b">
        <v>0</v>
      </c>
      <c r="M174" s="48" t="b">
        <v>0</v>
      </c>
      <c r="N174" s="48" t="b">
        <v>0</v>
      </c>
      <c r="O174" s="48" t="b">
        <v>0</v>
      </c>
      <c r="P174" s="36"/>
      <c r="Q174" s="36"/>
      <c r="R174" s="36"/>
      <c r="S174" s="42"/>
      <c r="T174" s="42"/>
      <c r="U174" s="56">
        <v>46181.841458333336</v>
      </c>
      <c r="V174" s="38" t="s">
        <v>75</v>
      </c>
      <c r="W174" s="38"/>
      <c r="X174" s="45"/>
    </row>
    <row r="175" spans="1:24" s="5" customFormat="1" ht="15.75">
      <c r="A175" s="61"/>
      <c r="B175" s="37"/>
      <c r="C175" s="36"/>
      <c r="D175" s="36"/>
      <c r="E1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8"/>
      <c r="G175" s="48" t="b">
        <v>0</v>
      </c>
      <c r="H175" s="48" t="b">
        <v>0</v>
      </c>
      <c r="I175" s="48" t="b">
        <v>0</v>
      </c>
      <c r="J175" s="48" t="b">
        <v>0</v>
      </c>
      <c r="K175" s="48" t="b">
        <v>0</v>
      </c>
      <c r="L175" s="48" t="b">
        <v>0</v>
      </c>
      <c r="M175" s="48" t="b">
        <v>0</v>
      </c>
      <c r="N175" s="48" t="b">
        <v>0</v>
      </c>
      <c r="O175" s="48" t="b">
        <v>0</v>
      </c>
      <c r="P175" s="36"/>
      <c r="Q175" s="36"/>
      <c r="R175" s="36"/>
      <c r="S175" s="42"/>
      <c r="T175" s="42"/>
      <c r="U175" s="56">
        <v>46181.841458333336</v>
      </c>
      <c r="V175" s="38" t="s">
        <v>75</v>
      </c>
      <c r="W175" s="38"/>
      <c r="X175" s="45"/>
    </row>
    <row r="176" spans="1:24" s="5" customFormat="1" ht="15.75">
      <c r="A176" s="61"/>
      <c r="B176" s="37"/>
      <c r="C176" s="36"/>
      <c r="D176" s="36"/>
      <c r="E1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8"/>
      <c r="G176" s="48" t="b">
        <v>0</v>
      </c>
      <c r="H176" s="48" t="b">
        <v>0</v>
      </c>
      <c r="I176" s="48" t="b">
        <v>0</v>
      </c>
      <c r="J176" s="48" t="b">
        <v>0</v>
      </c>
      <c r="K176" s="48" t="b">
        <v>0</v>
      </c>
      <c r="L176" s="48" t="b">
        <v>0</v>
      </c>
      <c r="M176" s="48" t="b">
        <v>0</v>
      </c>
      <c r="N176" s="48" t="b">
        <v>0</v>
      </c>
      <c r="O176" s="48" t="b">
        <v>0</v>
      </c>
      <c r="P176" s="36"/>
      <c r="Q176" s="36"/>
      <c r="R176" s="36"/>
      <c r="S176" s="42"/>
      <c r="T176" s="42"/>
      <c r="U176" s="56">
        <v>46181.841458333336</v>
      </c>
      <c r="V176" s="38" t="s">
        <v>75</v>
      </c>
      <c r="W176" s="38"/>
      <c r="X176" s="45"/>
    </row>
    <row r="177" spans="1:24" s="5" customFormat="1" ht="15.75">
      <c r="A177" s="61"/>
      <c r="B177" s="37"/>
      <c r="C177" s="36"/>
      <c r="D177" s="36"/>
      <c r="E1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8"/>
      <c r="G177" s="48" t="b">
        <v>0</v>
      </c>
      <c r="H177" s="48" t="b">
        <v>0</v>
      </c>
      <c r="I177" s="48" t="b">
        <v>0</v>
      </c>
      <c r="J177" s="48" t="b">
        <v>0</v>
      </c>
      <c r="K177" s="48" t="b">
        <v>0</v>
      </c>
      <c r="L177" s="48" t="b">
        <v>0</v>
      </c>
      <c r="M177" s="48" t="b">
        <v>0</v>
      </c>
      <c r="N177" s="48" t="b">
        <v>0</v>
      </c>
      <c r="O177" s="48" t="b">
        <v>0</v>
      </c>
      <c r="P177" s="36"/>
      <c r="Q177" s="36"/>
      <c r="R177" s="36"/>
      <c r="S177" s="42"/>
      <c r="T177" s="42"/>
      <c r="U177" s="56">
        <v>46181.841458333336</v>
      </c>
      <c r="V177" s="38" t="s">
        <v>75</v>
      </c>
      <c r="W177" s="38"/>
      <c r="X177" s="45"/>
    </row>
    <row r="178" spans="1:24" s="5" customFormat="1" ht="15.75">
      <c r="A178" s="61"/>
      <c r="B178" s="37"/>
      <c r="C178" s="36"/>
      <c r="D178" s="36"/>
      <c r="E1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8"/>
      <c r="G178" s="48" t="b">
        <v>0</v>
      </c>
      <c r="H178" s="48" t="b">
        <v>0</v>
      </c>
      <c r="I178" s="48" t="b">
        <v>0</v>
      </c>
      <c r="J178" s="48" t="b">
        <v>0</v>
      </c>
      <c r="K178" s="48" t="b">
        <v>0</v>
      </c>
      <c r="L178" s="48" t="b">
        <v>0</v>
      </c>
      <c r="M178" s="48" t="b">
        <v>0</v>
      </c>
      <c r="N178" s="48" t="b">
        <v>0</v>
      </c>
      <c r="O178" s="48" t="b">
        <v>0</v>
      </c>
      <c r="P178" s="36"/>
      <c r="Q178" s="36"/>
      <c r="R178" s="36"/>
      <c r="S178" s="42"/>
      <c r="T178" s="42"/>
      <c r="U178" s="56">
        <v>46181.841458333336</v>
      </c>
      <c r="V178" s="38" t="s">
        <v>75</v>
      </c>
      <c r="W178" s="38"/>
      <c r="X178" s="45"/>
    </row>
    <row r="179" spans="1:24" s="5" customFormat="1" ht="15.75">
      <c r="A179" s="61"/>
      <c r="B179" s="37"/>
      <c r="C179" s="36"/>
      <c r="D179" s="36"/>
      <c r="E1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8"/>
      <c r="G179" s="48" t="b">
        <v>0</v>
      </c>
      <c r="H179" s="48" t="b">
        <v>0</v>
      </c>
      <c r="I179" s="48" t="b">
        <v>0</v>
      </c>
      <c r="J179" s="48" t="b">
        <v>0</v>
      </c>
      <c r="K179" s="48" t="b">
        <v>0</v>
      </c>
      <c r="L179" s="48" t="b">
        <v>0</v>
      </c>
      <c r="M179" s="48" t="b">
        <v>0</v>
      </c>
      <c r="N179" s="48" t="b">
        <v>0</v>
      </c>
      <c r="O179" s="48" t="b">
        <v>0</v>
      </c>
      <c r="P179" s="36"/>
      <c r="Q179" s="36"/>
      <c r="R179" s="36"/>
      <c r="S179" s="42"/>
      <c r="T179" s="42"/>
      <c r="U179" s="56">
        <v>46181.841458333336</v>
      </c>
      <c r="V179" s="38" t="s">
        <v>75</v>
      </c>
      <c r="W179" s="38"/>
      <c r="X179" s="45"/>
    </row>
    <row r="180" spans="1:24" s="5" customFormat="1" ht="15.75">
      <c r="A180" s="61"/>
      <c r="B180" s="37"/>
      <c r="C180" s="36"/>
      <c r="D180" s="36"/>
      <c r="E1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8"/>
      <c r="G180" s="48" t="b">
        <v>0</v>
      </c>
      <c r="H180" s="48" t="b">
        <v>0</v>
      </c>
      <c r="I180" s="48" t="b">
        <v>0</v>
      </c>
      <c r="J180" s="48" t="b">
        <v>0</v>
      </c>
      <c r="K180" s="48" t="b">
        <v>0</v>
      </c>
      <c r="L180" s="48" t="b">
        <v>0</v>
      </c>
      <c r="M180" s="48" t="b">
        <v>0</v>
      </c>
      <c r="N180" s="48" t="b">
        <v>0</v>
      </c>
      <c r="O180" s="48" t="b">
        <v>0</v>
      </c>
      <c r="P180" s="36"/>
      <c r="Q180" s="36"/>
      <c r="R180" s="36"/>
      <c r="S180" s="42"/>
      <c r="T180" s="42"/>
      <c r="U180" s="56">
        <v>46181.841458333336</v>
      </c>
      <c r="V180" s="38" t="s">
        <v>75</v>
      </c>
      <c r="W180" s="38"/>
      <c r="X180" s="45"/>
    </row>
    <row r="181" spans="1:24" s="5" customFormat="1" ht="15.75">
      <c r="A181" s="61"/>
      <c r="B181" s="37"/>
      <c r="C181" s="36"/>
      <c r="D181" s="36"/>
      <c r="E1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8"/>
      <c r="G181" s="48" t="b">
        <v>0</v>
      </c>
      <c r="H181" s="48" t="b">
        <v>0</v>
      </c>
      <c r="I181" s="48" t="b">
        <v>0</v>
      </c>
      <c r="J181" s="48" t="b">
        <v>0</v>
      </c>
      <c r="K181" s="48" t="b">
        <v>0</v>
      </c>
      <c r="L181" s="48" t="b">
        <v>0</v>
      </c>
      <c r="M181" s="48" t="b">
        <v>0</v>
      </c>
      <c r="N181" s="48" t="b">
        <v>0</v>
      </c>
      <c r="O181" s="48" t="b">
        <v>0</v>
      </c>
      <c r="P181" s="36"/>
      <c r="Q181" s="36"/>
      <c r="R181" s="36"/>
      <c r="S181" s="42"/>
      <c r="T181" s="42"/>
      <c r="U181" s="56">
        <v>46181.841469907406</v>
      </c>
      <c r="V181" s="38" t="s">
        <v>75</v>
      </c>
      <c r="W181" s="38"/>
      <c r="X181" s="45"/>
    </row>
    <row r="182" spans="1:24" s="5" customFormat="1" ht="15.75">
      <c r="A182" s="61"/>
      <c r="B182" s="37"/>
      <c r="C182" s="36"/>
      <c r="D182" s="36"/>
      <c r="E1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8"/>
      <c r="G182" s="48" t="b">
        <v>0</v>
      </c>
      <c r="H182" s="48" t="b">
        <v>0</v>
      </c>
      <c r="I182" s="48" t="b">
        <v>0</v>
      </c>
      <c r="J182" s="48" t="b">
        <v>0</v>
      </c>
      <c r="K182" s="48" t="b">
        <v>0</v>
      </c>
      <c r="L182" s="48" t="b">
        <v>0</v>
      </c>
      <c r="M182" s="48" t="b">
        <v>0</v>
      </c>
      <c r="N182" s="48" t="b">
        <v>0</v>
      </c>
      <c r="O182" s="48" t="b">
        <v>0</v>
      </c>
      <c r="P182" s="36"/>
      <c r="Q182" s="36"/>
      <c r="R182" s="36"/>
      <c r="S182" s="42"/>
      <c r="T182" s="42"/>
      <c r="U182" s="56">
        <v>46181.841469907406</v>
      </c>
      <c r="V182" s="38" t="s">
        <v>75</v>
      </c>
      <c r="W182" s="38"/>
      <c r="X182" s="45"/>
    </row>
    <row r="183" spans="1:24" s="5" customFormat="1" ht="15.75">
      <c r="A183" s="61"/>
      <c r="B183" s="37"/>
      <c r="C183" s="36"/>
      <c r="D183" s="36"/>
      <c r="E1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8"/>
      <c r="G183" s="48" t="b">
        <v>0</v>
      </c>
      <c r="H183" s="48" t="b">
        <v>0</v>
      </c>
      <c r="I183" s="48" t="b">
        <v>0</v>
      </c>
      <c r="J183" s="48" t="b">
        <v>0</v>
      </c>
      <c r="K183" s="48" t="b">
        <v>0</v>
      </c>
      <c r="L183" s="48" t="b">
        <v>0</v>
      </c>
      <c r="M183" s="48" t="b">
        <v>0</v>
      </c>
      <c r="N183" s="48" t="b">
        <v>0</v>
      </c>
      <c r="O183" s="48" t="b">
        <v>0</v>
      </c>
      <c r="P183" s="36"/>
      <c r="Q183" s="36"/>
      <c r="R183" s="36"/>
      <c r="S183" s="42"/>
      <c r="T183" s="42"/>
      <c r="U183" s="56">
        <v>46181.841469907406</v>
      </c>
      <c r="V183" s="38" t="s">
        <v>75</v>
      </c>
      <c r="W183" s="38"/>
      <c r="X183" s="45"/>
    </row>
    <row r="184" spans="1:24" s="5" customFormat="1" ht="15.75">
      <c r="A184" s="61"/>
      <c r="B184" s="37"/>
      <c r="C184" s="36"/>
      <c r="D184" s="36"/>
      <c r="E1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8"/>
      <c r="G184" s="48" t="b">
        <v>0</v>
      </c>
      <c r="H184" s="48" t="b">
        <v>0</v>
      </c>
      <c r="I184" s="48" t="b">
        <v>0</v>
      </c>
      <c r="J184" s="48" t="b">
        <v>0</v>
      </c>
      <c r="K184" s="48" t="b">
        <v>0</v>
      </c>
      <c r="L184" s="48" t="b">
        <v>0</v>
      </c>
      <c r="M184" s="48" t="b">
        <v>0</v>
      </c>
      <c r="N184" s="48" t="b">
        <v>0</v>
      </c>
      <c r="O184" s="48" t="b">
        <v>0</v>
      </c>
      <c r="P184" s="36"/>
      <c r="Q184" s="36"/>
      <c r="R184" s="36"/>
      <c r="S184" s="42"/>
      <c r="T184" s="42"/>
      <c r="U184" s="56">
        <v>46181.841469907406</v>
      </c>
      <c r="V184" s="38" t="s">
        <v>75</v>
      </c>
      <c r="W184" s="38"/>
      <c r="X184" s="45"/>
    </row>
    <row r="185" spans="1:24" s="5" customFormat="1" ht="15.75">
      <c r="A185" s="61"/>
      <c r="B185" s="37"/>
      <c r="C185" s="36"/>
      <c r="D185" s="36"/>
      <c r="E1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8"/>
      <c r="G185" s="48" t="b">
        <v>0</v>
      </c>
      <c r="H185" s="48" t="b">
        <v>0</v>
      </c>
      <c r="I185" s="48" t="b">
        <v>0</v>
      </c>
      <c r="J185" s="48" t="b">
        <v>0</v>
      </c>
      <c r="K185" s="48" t="b">
        <v>0</v>
      </c>
      <c r="L185" s="48" t="b">
        <v>0</v>
      </c>
      <c r="M185" s="48" t="b">
        <v>0</v>
      </c>
      <c r="N185" s="48" t="b">
        <v>0</v>
      </c>
      <c r="O185" s="48" t="b">
        <v>0</v>
      </c>
      <c r="P185" s="36"/>
      <c r="Q185" s="36"/>
      <c r="R185" s="36"/>
      <c r="S185" s="42"/>
      <c r="T185" s="42"/>
      <c r="U185" s="56">
        <v>46181.841469907406</v>
      </c>
      <c r="V185" s="38" t="s">
        <v>75</v>
      </c>
      <c r="W185" s="38"/>
      <c r="X185" s="45"/>
    </row>
    <row r="186" spans="1:24" s="5" customFormat="1" ht="15.75">
      <c r="A186" s="61"/>
      <c r="B186" s="37"/>
      <c r="C186" s="36"/>
      <c r="D186" s="36"/>
      <c r="E1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8"/>
      <c r="G186" s="48" t="b">
        <v>0</v>
      </c>
      <c r="H186" s="48" t="b">
        <v>0</v>
      </c>
      <c r="I186" s="48" t="b">
        <v>0</v>
      </c>
      <c r="J186" s="48" t="b">
        <v>0</v>
      </c>
      <c r="K186" s="48" t="b">
        <v>0</v>
      </c>
      <c r="L186" s="48" t="b">
        <v>0</v>
      </c>
      <c r="M186" s="48" t="b">
        <v>0</v>
      </c>
      <c r="N186" s="48" t="b">
        <v>0</v>
      </c>
      <c r="O186" s="48" t="b">
        <v>0</v>
      </c>
      <c r="P186" s="36"/>
      <c r="Q186" s="36"/>
      <c r="R186" s="36"/>
      <c r="S186" s="42"/>
      <c r="T186" s="42"/>
      <c r="U186" s="56">
        <v>46181.841469907406</v>
      </c>
      <c r="V186" s="38" t="s">
        <v>75</v>
      </c>
      <c r="W186" s="38"/>
      <c r="X186" s="45"/>
    </row>
    <row r="187" spans="1:24" s="5" customFormat="1" ht="15.75">
      <c r="A187" s="61"/>
      <c r="B187" s="37"/>
      <c r="C187" s="36"/>
      <c r="D187" s="36"/>
      <c r="E1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8"/>
      <c r="G187" s="48" t="b">
        <v>0</v>
      </c>
      <c r="H187" s="48" t="b">
        <v>0</v>
      </c>
      <c r="I187" s="48" t="b">
        <v>0</v>
      </c>
      <c r="J187" s="48" t="b">
        <v>0</v>
      </c>
      <c r="K187" s="48" t="b">
        <v>0</v>
      </c>
      <c r="L187" s="48" t="b">
        <v>0</v>
      </c>
      <c r="M187" s="48" t="b">
        <v>0</v>
      </c>
      <c r="N187" s="48" t="b">
        <v>0</v>
      </c>
      <c r="O187" s="48" t="b">
        <v>0</v>
      </c>
      <c r="P187" s="36"/>
      <c r="Q187" s="36"/>
      <c r="R187" s="36"/>
      <c r="S187" s="42"/>
      <c r="T187" s="42"/>
      <c r="U187" s="56">
        <v>46181.841469907406</v>
      </c>
      <c r="V187" s="38" t="s">
        <v>75</v>
      </c>
      <c r="W187" s="38"/>
      <c r="X187" s="45"/>
    </row>
    <row r="188" spans="1:24" s="5" customFormat="1" ht="15.75">
      <c r="A188" s="61"/>
      <c r="B188" s="37"/>
      <c r="C188" s="36"/>
      <c r="D188" s="36"/>
      <c r="E1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8"/>
      <c r="G188" s="48" t="b">
        <v>0</v>
      </c>
      <c r="H188" s="48" t="b">
        <v>0</v>
      </c>
      <c r="I188" s="48" t="b">
        <v>0</v>
      </c>
      <c r="J188" s="48" t="b">
        <v>0</v>
      </c>
      <c r="K188" s="48" t="b">
        <v>0</v>
      </c>
      <c r="L188" s="48" t="b">
        <v>0</v>
      </c>
      <c r="M188" s="48" t="b">
        <v>0</v>
      </c>
      <c r="N188" s="48" t="b">
        <v>0</v>
      </c>
      <c r="O188" s="48" t="b">
        <v>0</v>
      </c>
      <c r="P188" s="36"/>
      <c r="Q188" s="36"/>
      <c r="R188" s="36"/>
      <c r="S188" s="42"/>
      <c r="T188" s="42"/>
      <c r="U188" s="56">
        <v>46181.841469907406</v>
      </c>
      <c r="V188" s="38" t="s">
        <v>75</v>
      </c>
      <c r="W188" s="38"/>
      <c r="X188" s="45"/>
    </row>
    <row r="189" spans="1:24" s="5" customFormat="1" ht="15.75">
      <c r="A189" s="61"/>
      <c r="B189" s="37"/>
      <c r="C189" s="36"/>
      <c r="D189" s="36"/>
      <c r="E1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8"/>
      <c r="G189" s="48" t="b">
        <v>0</v>
      </c>
      <c r="H189" s="48" t="b">
        <v>0</v>
      </c>
      <c r="I189" s="48" t="b">
        <v>0</v>
      </c>
      <c r="J189" s="48" t="b">
        <v>0</v>
      </c>
      <c r="K189" s="48" t="b">
        <v>0</v>
      </c>
      <c r="L189" s="48" t="b">
        <v>0</v>
      </c>
      <c r="M189" s="48" t="b">
        <v>0</v>
      </c>
      <c r="N189" s="48" t="b">
        <v>0</v>
      </c>
      <c r="O189" s="48" t="b">
        <v>0</v>
      </c>
      <c r="P189" s="36"/>
      <c r="Q189" s="36"/>
      <c r="R189" s="36"/>
      <c r="S189" s="42"/>
      <c r="T189" s="42"/>
      <c r="U189" s="56">
        <v>46181.841469907406</v>
      </c>
      <c r="V189" s="38" t="s">
        <v>75</v>
      </c>
      <c r="W189" s="38"/>
      <c r="X189" s="45"/>
    </row>
    <row r="190" spans="1:24" s="5" customFormat="1" ht="15.75">
      <c r="A190" s="61"/>
      <c r="B190" s="37"/>
      <c r="C190" s="36"/>
      <c r="D190" s="36"/>
      <c r="E1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8"/>
      <c r="G190" s="48" t="b">
        <v>0</v>
      </c>
      <c r="H190" s="48" t="b">
        <v>0</v>
      </c>
      <c r="I190" s="48" t="b">
        <v>0</v>
      </c>
      <c r="J190" s="48" t="b">
        <v>0</v>
      </c>
      <c r="K190" s="48" t="b">
        <v>0</v>
      </c>
      <c r="L190" s="48" t="b">
        <v>0</v>
      </c>
      <c r="M190" s="48" t="b">
        <v>0</v>
      </c>
      <c r="N190" s="48" t="b">
        <v>0</v>
      </c>
      <c r="O190" s="48" t="b">
        <v>0</v>
      </c>
      <c r="P190" s="36"/>
      <c r="Q190" s="36"/>
      <c r="R190" s="36"/>
      <c r="S190" s="42"/>
      <c r="T190" s="42"/>
      <c r="U190" s="56">
        <v>46181.841469907406</v>
      </c>
      <c r="V190" s="38" t="s">
        <v>75</v>
      </c>
      <c r="W190" s="38"/>
      <c r="X190" s="45"/>
    </row>
    <row r="191" spans="1:24" s="5" customFormat="1" ht="15.75">
      <c r="A191" s="61"/>
      <c r="B191" s="37"/>
      <c r="C191" s="36"/>
      <c r="D191" s="36"/>
      <c r="E1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8"/>
      <c r="G191" s="48" t="b">
        <v>0</v>
      </c>
      <c r="H191" s="48" t="b">
        <v>0</v>
      </c>
      <c r="I191" s="48" t="b">
        <v>0</v>
      </c>
      <c r="J191" s="48" t="b">
        <v>0</v>
      </c>
      <c r="K191" s="48" t="b">
        <v>0</v>
      </c>
      <c r="L191" s="48" t="b">
        <v>0</v>
      </c>
      <c r="M191" s="48" t="b">
        <v>0</v>
      </c>
      <c r="N191" s="48" t="b">
        <v>0</v>
      </c>
      <c r="O191" s="48" t="b">
        <v>0</v>
      </c>
      <c r="P191" s="36"/>
      <c r="Q191" s="36"/>
      <c r="R191" s="36"/>
      <c r="S191" s="42"/>
      <c r="T191" s="42"/>
      <c r="U191" s="56">
        <v>46181.841469907406</v>
      </c>
      <c r="V191" s="38" t="s">
        <v>75</v>
      </c>
      <c r="W191" s="38"/>
      <c r="X191" s="45"/>
    </row>
    <row r="192" spans="1:24" s="5" customFormat="1" ht="15.75">
      <c r="A192" s="61"/>
      <c r="B192" s="37"/>
      <c r="C192" s="36"/>
      <c r="D192" s="36"/>
      <c r="E1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8"/>
      <c r="G192" s="48" t="b">
        <v>0</v>
      </c>
      <c r="H192" s="48" t="b">
        <v>0</v>
      </c>
      <c r="I192" s="48" t="b">
        <v>0</v>
      </c>
      <c r="J192" s="48" t="b">
        <v>0</v>
      </c>
      <c r="K192" s="48" t="b">
        <v>0</v>
      </c>
      <c r="L192" s="48" t="b">
        <v>0</v>
      </c>
      <c r="M192" s="48" t="b">
        <v>0</v>
      </c>
      <c r="N192" s="48" t="b">
        <v>0</v>
      </c>
      <c r="O192" s="48" t="b">
        <v>0</v>
      </c>
      <c r="P192" s="36"/>
      <c r="Q192" s="36"/>
      <c r="R192" s="36"/>
      <c r="S192" s="42"/>
      <c r="T192" s="42"/>
      <c r="U192" s="56">
        <v>46181.841469907406</v>
      </c>
      <c r="V192" s="38" t="s">
        <v>75</v>
      </c>
      <c r="W192" s="38"/>
      <c r="X192" s="45"/>
    </row>
    <row r="193" spans="1:24" s="5" customFormat="1" ht="15.75">
      <c r="A193" s="61"/>
      <c r="B193" s="37"/>
      <c r="C193" s="36"/>
      <c r="D193" s="36"/>
      <c r="E1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8"/>
      <c r="G193" s="48" t="b">
        <v>0</v>
      </c>
      <c r="H193" s="48" t="b">
        <v>0</v>
      </c>
      <c r="I193" s="48" t="b">
        <v>0</v>
      </c>
      <c r="J193" s="48" t="b">
        <v>0</v>
      </c>
      <c r="K193" s="48" t="b">
        <v>0</v>
      </c>
      <c r="L193" s="48" t="b">
        <v>0</v>
      </c>
      <c r="M193" s="48" t="b">
        <v>0</v>
      </c>
      <c r="N193" s="48" t="b">
        <v>0</v>
      </c>
      <c r="O193" s="48" t="b">
        <v>0</v>
      </c>
      <c r="P193" s="36"/>
      <c r="Q193" s="36"/>
      <c r="R193" s="36"/>
      <c r="S193" s="42"/>
      <c r="T193" s="42"/>
      <c r="U193" s="56">
        <v>46181.841469907406</v>
      </c>
      <c r="V193" s="38" t="s">
        <v>75</v>
      </c>
      <c r="W193" s="38"/>
      <c r="X193" s="45"/>
    </row>
    <row r="194" spans="1:24" s="5" customFormat="1" ht="15.75">
      <c r="A194" s="61"/>
      <c r="B194" s="37"/>
      <c r="C194" s="36"/>
      <c r="D194" s="36"/>
      <c r="E1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8"/>
      <c r="G194" s="48" t="b">
        <v>0</v>
      </c>
      <c r="H194" s="48" t="b">
        <v>0</v>
      </c>
      <c r="I194" s="48" t="b">
        <v>0</v>
      </c>
      <c r="J194" s="48" t="b">
        <v>0</v>
      </c>
      <c r="K194" s="48" t="b">
        <v>0</v>
      </c>
      <c r="L194" s="48" t="b">
        <v>0</v>
      </c>
      <c r="M194" s="48" t="b">
        <v>0</v>
      </c>
      <c r="N194" s="48" t="b">
        <v>0</v>
      </c>
      <c r="O194" s="48" t="b">
        <v>0</v>
      </c>
      <c r="P194" s="36"/>
      <c r="Q194" s="36"/>
      <c r="R194" s="36"/>
      <c r="S194" s="42"/>
      <c r="T194" s="42"/>
      <c r="U194" s="56">
        <v>46181.841469907406</v>
      </c>
      <c r="V194" s="38" t="s">
        <v>75</v>
      </c>
      <c r="W194" s="38"/>
      <c r="X194" s="45"/>
    </row>
    <row r="195" spans="1:24" s="5" customFormat="1" ht="15.75">
      <c r="A195" s="61"/>
      <c r="B195" s="37"/>
      <c r="C195" s="36"/>
      <c r="D195" s="36"/>
      <c r="E1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8"/>
      <c r="G195" s="48" t="b">
        <v>0</v>
      </c>
      <c r="H195" s="48" t="b">
        <v>0</v>
      </c>
      <c r="I195" s="48" t="b">
        <v>0</v>
      </c>
      <c r="J195" s="48" t="b">
        <v>0</v>
      </c>
      <c r="K195" s="48" t="b">
        <v>0</v>
      </c>
      <c r="L195" s="48" t="b">
        <v>0</v>
      </c>
      <c r="M195" s="48" t="b">
        <v>0</v>
      </c>
      <c r="N195" s="48" t="b">
        <v>0</v>
      </c>
      <c r="O195" s="48" t="b">
        <v>0</v>
      </c>
      <c r="P195" s="36"/>
      <c r="Q195" s="36"/>
      <c r="R195" s="36"/>
      <c r="S195" s="42"/>
      <c r="T195" s="42"/>
      <c r="U195" s="56">
        <v>46181.841469907406</v>
      </c>
      <c r="V195" s="38" t="s">
        <v>75</v>
      </c>
      <c r="W195" s="38"/>
      <c r="X195" s="45"/>
    </row>
    <row r="196" spans="1:24" s="5" customFormat="1" ht="15.75">
      <c r="A196" s="61"/>
      <c r="B196" s="37"/>
      <c r="C196" s="36"/>
      <c r="D196" s="36"/>
      <c r="E1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8"/>
      <c r="G196" s="48" t="b">
        <v>0</v>
      </c>
      <c r="H196" s="48" t="b">
        <v>0</v>
      </c>
      <c r="I196" s="48" t="b">
        <v>0</v>
      </c>
      <c r="J196" s="48" t="b">
        <v>0</v>
      </c>
      <c r="K196" s="48" t="b">
        <v>0</v>
      </c>
      <c r="L196" s="48" t="b">
        <v>0</v>
      </c>
      <c r="M196" s="48" t="b">
        <v>0</v>
      </c>
      <c r="N196" s="48" t="b">
        <v>0</v>
      </c>
      <c r="O196" s="48" t="b">
        <v>0</v>
      </c>
      <c r="P196" s="36"/>
      <c r="Q196" s="36"/>
      <c r="R196" s="36"/>
      <c r="S196" s="42"/>
      <c r="T196" s="42"/>
      <c r="U196" s="56">
        <v>46181.841469907406</v>
      </c>
      <c r="V196" s="38" t="s">
        <v>75</v>
      </c>
      <c r="W196" s="38"/>
      <c r="X196" s="45"/>
    </row>
    <row r="197" spans="1:24" s="5" customFormat="1" ht="15.75">
      <c r="A197" s="61"/>
      <c r="B197" s="37"/>
      <c r="C197" s="36"/>
      <c r="D197" s="36"/>
      <c r="E1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8"/>
      <c r="G197" s="48" t="b">
        <v>0</v>
      </c>
      <c r="H197" s="48" t="b">
        <v>0</v>
      </c>
      <c r="I197" s="48" t="b">
        <v>0</v>
      </c>
      <c r="J197" s="48" t="b">
        <v>0</v>
      </c>
      <c r="K197" s="48" t="b">
        <v>0</v>
      </c>
      <c r="L197" s="48" t="b">
        <v>0</v>
      </c>
      <c r="M197" s="48" t="b">
        <v>0</v>
      </c>
      <c r="N197" s="48" t="b">
        <v>0</v>
      </c>
      <c r="O197" s="48" t="b">
        <v>0</v>
      </c>
      <c r="P197" s="36"/>
      <c r="Q197" s="36"/>
      <c r="R197" s="36"/>
      <c r="S197" s="42"/>
      <c r="T197" s="42"/>
      <c r="U197" s="56">
        <v>46181.841469907406</v>
      </c>
      <c r="V197" s="38" t="s">
        <v>75</v>
      </c>
      <c r="W197" s="38"/>
      <c r="X197" s="45"/>
    </row>
    <row r="198" spans="1:24" s="5" customFormat="1" ht="15.75">
      <c r="A198" s="61"/>
      <c r="B198" s="37"/>
      <c r="C198" s="36"/>
      <c r="D198" s="36"/>
      <c r="E1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8"/>
      <c r="G198" s="48" t="b">
        <v>0</v>
      </c>
      <c r="H198" s="48" t="b">
        <v>0</v>
      </c>
      <c r="I198" s="48" t="b">
        <v>0</v>
      </c>
      <c r="J198" s="48" t="b">
        <v>0</v>
      </c>
      <c r="K198" s="48" t="b">
        <v>0</v>
      </c>
      <c r="L198" s="48" t="b">
        <v>0</v>
      </c>
      <c r="M198" s="48" t="b">
        <v>0</v>
      </c>
      <c r="N198" s="48" t="b">
        <v>0</v>
      </c>
      <c r="O198" s="48" t="b">
        <v>0</v>
      </c>
      <c r="P198" s="36"/>
      <c r="Q198" s="36"/>
      <c r="R198" s="36"/>
      <c r="S198" s="42"/>
      <c r="T198" s="42"/>
      <c r="U198" s="56">
        <v>46181.841481481482</v>
      </c>
      <c r="V198" s="38" t="s">
        <v>75</v>
      </c>
      <c r="W198" s="38"/>
      <c r="X198" s="45"/>
    </row>
    <row r="199" spans="1:24" s="5" customFormat="1" ht="15.75">
      <c r="A199" s="61"/>
      <c r="B199" s="37"/>
      <c r="C199" s="36"/>
      <c r="D199" s="36"/>
      <c r="E1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8"/>
      <c r="G199" s="48" t="b">
        <v>0</v>
      </c>
      <c r="H199" s="48" t="b">
        <v>0</v>
      </c>
      <c r="I199" s="48" t="b">
        <v>0</v>
      </c>
      <c r="J199" s="48" t="b">
        <v>0</v>
      </c>
      <c r="K199" s="48" t="b">
        <v>0</v>
      </c>
      <c r="L199" s="48" t="b">
        <v>0</v>
      </c>
      <c r="M199" s="48" t="b">
        <v>0</v>
      </c>
      <c r="N199" s="48" t="b">
        <v>0</v>
      </c>
      <c r="O199" s="48" t="b">
        <v>0</v>
      </c>
      <c r="P199" s="36"/>
      <c r="Q199" s="36"/>
      <c r="R199" s="36"/>
      <c r="S199" s="42"/>
      <c r="T199" s="42"/>
      <c r="U199" s="56">
        <v>46181.841481481482</v>
      </c>
      <c r="V199" s="38" t="s">
        <v>75</v>
      </c>
      <c r="W199" s="38"/>
      <c r="X199" s="45"/>
    </row>
    <row r="200" spans="1:24" s="5" customFormat="1" ht="15.75">
      <c r="A200" s="61"/>
      <c r="B200" s="37"/>
      <c r="C200" s="36"/>
      <c r="D200" s="36"/>
      <c r="E2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8"/>
      <c r="G200" s="48" t="b">
        <v>0</v>
      </c>
      <c r="H200" s="48" t="b">
        <v>0</v>
      </c>
      <c r="I200" s="48" t="b">
        <v>0</v>
      </c>
      <c r="J200" s="48" t="b">
        <v>0</v>
      </c>
      <c r="K200" s="48" t="b">
        <v>0</v>
      </c>
      <c r="L200" s="48" t="b">
        <v>0</v>
      </c>
      <c r="M200" s="48" t="b">
        <v>0</v>
      </c>
      <c r="N200" s="48" t="b">
        <v>0</v>
      </c>
      <c r="O200" s="48" t="b">
        <v>0</v>
      </c>
      <c r="P200" s="36"/>
      <c r="Q200" s="36"/>
      <c r="R200" s="36"/>
      <c r="S200" s="42"/>
      <c r="T200" s="42"/>
      <c r="U200" s="56">
        <v>46181.841481481482</v>
      </c>
      <c r="V200" s="38" t="s">
        <v>75</v>
      </c>
      <c r="W200" s="38"/>
      <c r="X200" s="45"/>
    </row>
    <row r="201" spans="1:24" s="5" customFormat="1" ht="15.75">
      <c r="A201" s="61"/>
      <c r="B201" s="37"/>
      <c r="C201" s="36"/>
      <c r="D201" s="36"/>
      <c r="E2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8"/>
      <c r="G201" s="48" t="b">
        <v>0</v>
      </c>
      <c r="H201" s="48" t="b">
        <v>0</v>
      </c>
      <c r="I201" s="48" t="b">
        <v>0</v>
      </c>
      <c r="J201" s="48" t="b">
        <v>0</v>
      </c>
      <c r="K201" s="48" t="b">
        <v>0</v>
      </c>
      <c r="L201" s="48" t="b">
        <v>0</v>
      </c>
      <c r="M201" s="48" t="b">
        <v>0</v>
      </c>
      <c r="N201" s="48" t="b">
        <v>0</v>
      </c>
      <c r="O201" s="48" t="b">
        <v>0</v>
      </c>
      <c r="P201" s="36"/>
      <c r="Q201" s="36"/>
      <c r="R201" s="36"/>
      <c r="S201" s="42"/>
      <c r="T201" s="42"/>
      <c r="U201" s="56">
        <v>46181.841481481482</v>
      </c>
      <c r="V201" s="38" t="s">
        <v>75</v>
      </c>
      <c r="W201" s="38"/>
      <c r="X201" s="45"/>
    </row>
    <row r="202" spans="1:24" s="5" customFormat="1" ht="15.75">
      <c r="A202" s="61"/>
      <c r="B202" s="37"/>
      <c r="C202" s="36"/>
      <c r="D202" s="36"/>
      <c r="E2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8"/>
      <c r="G202" s="48" t="b">
        <v>0</v>
      </c>
      <c r="H202" s="48" t="b">
        <v>0</v>
      </c>
      <c r="I202" s="48" t="b">
        <v>0</v>
      </c>
      <c r="J202" s="48" t="b">
        <v>0</v>
      </c>
      <c r="K202" s="48" t="b">
        <v>0</v>
      </c>
      <c r="L202" s="48" t="b">
        <v>0</v>
      </c>
      <c r="M202" s="48" t="b">
        <v>0</v>
      </c>
      <c r="N202" s="48" t="b">
        <v>0</v>
      </c>
      <c r="O202" s="48" t="b">
        <v>0</v>
      </c>
      <c r="P202" s="36"/>
      <c r="Q202" s="36"/>
      <c r="R202" s="36"/>
      <c r="S202" s="42"/>
      <c r="T202" s="42"/>
      <c r="U202" s="56">
        <v>46181.841481481482</v>
      </c>
      <c r="V202" s="38" t="s">
        <v>75</v>
      </c>
      <c r="W202" s="38"/>
      <c r="X202" s="45"/>
    </row>
    <row r="203" spans="1:24" s="5" customFormat="1" ht="15.75">
      <c r="A203" s="61"/>
      <c r="B203" s="37"/>
      <c r="C203" s="36"/>
      <c r="D203" s="36"/>
      <c r="E2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8"/>
      <c r="G203" s="48" t="b">
        <v>0</v>
      </c>
      <c r="H203" s="48" t="b">
        <v>0</v>
      </c>
      <c r="I203" s="48" t="b">
        <v>0</v>
      </c>
      <c r="J203" s="48" t="b">
        <v>0</v>
      </c>
      <c r="K203" s="48" t="b">
        <v>0</v>
      </c>
      <c r="L203" s="48" t="b">
        <v>0</v>
      </c>
      <c r="M203" s="48" t="b">
        <v>0</v>
      </c>
      <c r="N203" s="48" t="b">
        <v>0</v>
      </c>
      <c r="O203" s="48" t="b">
        <v>0</v>
      </c>
      <c r="P203" s="36"/>
      <c r="Q203" s="36"/>
      <c r="R203" s="36"/>
      <c r="S203" s="42"/>
      <c r="T203" s="42"/>
      <c r="U203" s="56">
        <v>46181.841481481482</v>
      </c>
      <c r="V203" s="38" t="s">
        <v>75</v>
      </c>
      <c r="W203" s="38"/>
      <c r="X203" s="45"/>
    </row>
    <row r="204" spans="1:24" s="5" customFormat="1" ht="15.75">
      <c r="A204" s="61"/>
      <c r="B204" s="37"/>
      <c r="C204" s="36"/>
      <c r="D204" s="36"/>
      <c r="E2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8"/>
      <c r="G204" s="48" t="b">
        <v>0</v>
      </c>
      <c r="H204" s="48" t="b">
        <v>0</v>
      </c>
      <c r="I204" s="48" t="b">
        <v>0</v>
      </c>
      <c r="J204" s="48" t="b">
        <v>0</v>
      </c>
      <c r="K204" s="48" t="b">
        <v>0</v>
      </c>
      <c r="L204" s="48" t="b">
        <v>0</v>
      </c>
      <c r="M204" s="48" t="b">
        <v>0</v>
      </c>
      <c r="N204" s="48" t="b">
        <v>0</v>
      </c>
      <c r="O204" s="48" t="b">
        <v>0</v>
      </c>
      <c r="P204" s="36"/>
      <c r="Q204" s="36"/>
      <c r="R204" s="36"/>
      <c r="S204" s="42"/>
      <c r="T204" s="42"/>
      <c r="U204" s="56">
        <v>46181.841481481482</v>
      </c>
      <c r="V204" s="38" t="s">
        <v>75</v>
      </c>
      <c r="W204" s="38"/>
      <c r="X204" s="45"/>
    </row>
    <row r="205" spans="1:24" s="5" customFormat="1" ht="15.75">
      <c r="A205" s="61"/>
      <c r="B205" s="37"/>
      <c r="C205" s="36"/>
      <c r="D205" s="36"/>
      <c r="E2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8"/>
      <c r="G205" s="48" t="b">
        <v>0</v>
      </c>
      <c r="H205" s="48" t="b">
        <v>0</v>
      </c>
      <c r="I205" s="48" t="b">
        <v>0</v>
      </c>
      <c r="J205" s="48" t="b">
        <v>0</v>
      </c>
      <c r="K205" s="48" t="b">
        <v>0</v>
      </c>
      <c r="L205" s="48" t="b">
        <v>0</v>
      </c>
      <c r="M205" s="48" t="b">
        <v>0</v>
      </c>
      <c r="N205" s="48" t="b">
        <v>0</v>
      </c>
      <c r="O205" s="48" t="b">
        <v>0</v>
      </c>
      <c r="P205" s="36"/>
      <c r="Q205" s="36"/>
      <c r="R205" s="36"/>
      <c r="S205" s="42"/>
      <c r="T205" s="42"/>
      <c r="U205" s="56">
        <v>46181.841481481482</v>
      </c>
      <c r="V205" s="38" t="s">
        <v>75</v>
      </c>
      <c r="W205" s="38"/>
      <c r="X205" s="45"/>
    </row>
    <row r="206" spans="1:24" s="5" customFormat="1" ht="15.75">
      <c r="A206" s="61"/>
      <c r="B206" s="37"/>
      <c r="C206" s="36"/>
      <c r="D206" s="36"/>
      <c r="E20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6" s="38"/>
      <c r="G206" s="48" t="b">
        <v>0</v>
      </c>
      <c r="H206" s="48" t="b">
        <v>0</v>
      </c>
      <c r="I206" s="48" t="b">
        <v>0</v>
      </c>
      <c r="J206" s="48" t="b">
        <v>0</v>
      </c>
      <c r="K206" s="48" t="b">
        <v>0</v>
      </c>
      <c r="L206" s="48" t="b">
        <v>0</v>
      </c>
      <c r="M206" s="48" t="b">
        <v>0</v>
      </c>
      <c r="N206" s="48" t="b">
        <v>0</v>
      </c>
      <c r="O206" s="48" t="b">
        <v>0</v>
      </c>
      <c r="P206" s="36"/>
      <c r="Q206" s="36"/>
      <c r="R206" s="36"/>
      <c r="S206" s="42"/>
      <c r="T206" s="42"/>
      <c r="U206" s="56">
        <v>46181.841481481482</v>
      </c>
      <c r="V206" s="38" t="s">
        <v>75</v>
      </c>
      <c r="W206" s="38"/>
      <c r="X206" s="45"/>
    </row>
    <row r="207" spans="1:24" s="5" customFormat="1" ht="15.75">
      <c r="A207" s="61"/>
      <c r="B207" s="37"/>
      <c r="C207" s="36"/>
      <c r="D207" s="36"/>
      <c r="E20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7" s="38"/>
      <c r="G207" s="48" t="b">
        <v>0</v>
      </c>
      <c r="H207" s="48" t="b">
        <v>0</v>
      </c>
      <c r="I207" s="48" t="b">
        <v>0</v>
      </c>
      <c r="J207" s="48" t="b">
        <v>0</v>
      </c>
      <c r="K207" s="48" t="b">
        <v>0</v>
      </c>
      <c r="L207" s="48" t="b">
        <v>0</v>
      </c>
      <c r="M207" s="48" t="b">
        <v>0</v>
      </c>
      <c r="N207" s="48" t="b">
        <v>0</v>
      </c>
      <c r="O207" s="48" t="b">
        <v>0</v>
      </c>
      <c r="P207" s="36"/>
      <c r="Q207" s="36"/>
      <c r="R207" s="36"/>
      <c r="S207" s="42"/>
      <c r="T207" s="42"/>
      <c r="U207" s="56">
        <v>46181.841481481482</v>
      </c>
      <c r="V207" s="38" t="s">
        <v>75</v>
      </c>
      <c r="W207" s="38"/>
      <c r="X207" s="45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  <row r="1001" spans="1:2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</row>
    <row r="1002" spans="1:2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</row>
  </sheetData>
  <conditionalFormatting sqref="E2:E207">
    <cfRule type="containsText" dxfId="17" priority="74" stopIfTrue="1" operator="containsText" text="Checked:">
      <formula>NOT(ISERROR(SEARCH("Checked:",E2)))</formula>
    </cfRule>
    <cfRule type="cellIs" dxfId="16" priority="75" stopIfTrue="1" operator="equal">
      <formula>"No checklist items checked"</formula>
    </cfRule>
    <cfRule type="cellIs" dxfId="15" priority="76" stopIfTrue="1" operator="equal">
      <formula>"Sent"</formula>
    </cfRule>
    <cfRule type="cellIs" dxfId="14" priority="77" stopIfTrue="1" operator="equal">
      <formula>"Scheduled"</formula>
    </cfRule>
    <cfRule type="cellIs" dxfId="13" priority="78" stopIfTrue="1" operator="equal">
      <formula>"Ready to Schedule"</formula>
    </cfRule>
  </conditionalFormatting>
  <conditionalFormatting sqref="A2:W19 A22:W207 B20:W21">
    <cfRule type="expression" dxfId="12" priority="79">
      <formula>OR(LOWER(TRIM($W2))="cancelled",LOWER(TRIM($W2))="canceled")</formula>
    </cfRule>
    <cfRule type="expression" dxfId="11" priority="80">
      <formula>OR(LOWER(TRIM($W2))="cancelled",LOWER(TRIM($W2))="canceled")</formula>
    </cfRule>
  </conditionalFormatting>
  <conditionalFormatting sqref="A20:A21">
    <cfRule type="expression" dxfId="10" priority="138">
      <formula>OR(LOWER(TRIM($W19))="cancelled",LOWER(TRIM($W19))="canceled")</formula>
    </cfRule>
    <cfRule type="expression" dxfId="9" priority="139">
      <formula>OR(LOWER(TRIM($W19))="cancelled",LOWER(TRIM($W19))="canceled")</formula>
    </cfRule>
  </conditionalFormatting>
  <conditionalFormatting sqref="A2:W207">
    <cfRule type="expression" dxfId="8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  <hyperlink ref="P16" r:id="rId43" display="https://jira.adorama.com/browse/MKT-103371" xr:uid="{8BDD0214-D2E8-4A15-A780-9234A187BBAB}"/>
    <hyperlink ref="R16" r:id="rId44" display="https://app.bluecore.com/admin/campaigns/adorama/6087564217671680" xr:uid="{F014F2FE-FA6F-4114-809F-1A56E12B743A}"/>
    <hyperlink ref="R17" r:id="rId45" display="https://app.bluecore.com/admin/campaigns/adorama/5289607948001280" xr:uid="{911F529C-588C-4535-95BC-209DDADDF348}"/>
    <hyperlink ref="Q17" r:id="rId46" display="https://app.clickup.com/t/9010122869/86ahv69fj" xr:uid="{A8545CD8-1AFE-4EFF-AA2A-93B8BE7D4FE1}"/>
    <hyperlink ref="P17" r:id="rId47" display="https://jira.adorama.com/browse/MKT-103106" xr:uid="{E6C97B7A-AA21-4FF6-AD5E-FDCB5D997DAF}"/>
    <hyperlink ref="R18" r:id="rId48" display="https://app.bluecore.com/admin/campaigns/adorama/5285349538258944" xr:uid="{66F3F9ED-42A7-47A7-BEF6-1B17E7CF04C8}"/>
    <hyperlink ref="R19" r:id="rId49" display="https://app.bluecore.com/admin/campaigns/adorama/5642474475085824?viewTab=summary" xr:uid="{81C33880-F82D-4A2C-87F5-68DF1A457515}"/>
    <hyperlink ref="Q18" r:id="rId50" display="https://app.clickup.com/t/9010122869/86ahwyey7" xr:uid="{45948D01-5E47-4060-AEE1-355036AC74E9}"/>
    <hyperlink ref="P18" r:id="rId51" display="https://jira.adorama.com/browse/MKT-103185" xr:uid="{1E5904FF-5E1B-4F9B-AA53-21900AC2C3FE}"/>
    <hyperlink ref="Q19" r:id="rId52" display="https://app.clickup.com/t/9010122869/86ahwyeyb" xr:uid="{EADF5AF7-4BE5-4431-8353-829F3A24619D}"/>
    <hyperlink ref="P19" r:id="rId53" display="https://jira.adorama.com/browse/MKT-102097" xr:uid="{F8F3970A-6EED-4CA7-B564-AD59F606CDA2}"/>
    <hyperlink ref="R20" r:id="rId54" display="https://app.bluecore.com/admin/campaigns/adorama/5227436333457408" xr:uid="{FA398FF8-D723-4AA4-AEF4-3140E8D90FB1}"/>
    <hyperlink ref="Q20" r:id="rId55" display="https://app.clickup.com/t/9010122869/86ahv69fr" xr:uid="{DD046A5E-0F61-4FD9-A44F-4ECBE439327C}"/>
    <hyperlink ref="P20" r:id="rId56" display="https://jira.adorama.com/browse/MKT-103155" xr:uid="{7EA50765-703E-4E6E-8732-5F55AB15109C}"/>
    <hyperlink ref="R21" r:id="rId57" display="https://app.bluecore.com/admin/campaigns/adorama/6438219826454528" xr:uid="{0C2BD7D8-626A-4597-B0ED-5BCF41D762BB}"/>
    <hyperlink ref="Q21" r:id="rId58" display="https://app.clickup.com/t/9010122869/86aj0k0dv" xr:uid="{DD33882D-1309-4717-AB56-E66C7A9B68BF}"/>
    <hyperlink ref="Q22" r:id="rId59" display="https://app.clickup.com/t/9010122869/86ahv69g0" xr:uid="{C518278D-20F3-4219-904B-03C1F30C7BC6}"/>
    <hyperlink ref="P22" r:id="rId60" display="https://jira.adorama.com/browse/MKT-103292" xr:uid="{A7EBAA4E-B7B7-41F2-B3B8-D540A7F7A7C4}"/>
    <hyperlink ref="R22" r:id="rId61" display="https://app.bluecore.com/admin/campaigns/adorama/6684665553215488?viewTab=summary" xr:uid="{0BC266B8-2E1A-4D03-94BD-21DFE98AD480}"/>
    <hyperlink ref="R23" r:id="rId62" display="https://app.bluecore.com/admin/campaigns/adorama/4713774384537600" xr:uid="{A574CC2E-2E60-449D-9491-3C78268CBFD9}"/>
    <hyperlink ref="Q23" r:id="rId63" display="https://app.clickup.com/t/9010122869/86ahv69g7" xr:uid="{BD3B55E0-4751-4B3B-AF6D-C912F5C31362}"/>
    <hyperlink ref="P23" r:id="rId64" display="https://jira.adorama.com/browse/MKT-103306" xr:uid="{25969955-8F26-41BD-9E7F-ECDE5882860A}"/>
    <hyperlink ref="R24" r:id="rId65" display="https://app.bluecore.com/admin/campaigns/adorama/5363057140031488?viewTab=summary" xr:uid="{CE967F0D-1181-49FC-9C42-AA8578CF99DE}"/>
    <hyperlink ref="Q24" r:id="rId66" display="https://app.clickup.com/t/9010122869/86aj0erre_x0009_" xr:uid="{2E0E02F4-9FB1-4BD7-9DF9-605BA653A174}"/>
    <hyperlink ref="P24" r:id="rId67" display="https://jira.adorama.com/browse/MKT-103361" xr:uid="{56E430D1-C73F-4809-91D9-B0DC8059D585}"/>
    <hyperlink ref="P25" r:id="rId68" display="https://jira.adorama.com/browse/MKT-103362" xr:uid="{2D6E3108-8B95-4A82-94F9-FB9313E0BD17}"/>
    <hyperlink ref="Q25" r:id="rId69" display="https://app.clickup.com/t/9010122869/86ahv69gh" xr:uid="{3D8EB18E-ABD9-44BC-9648-3DF98B69B252}"/>
    <hyperlink ref="R25" r:id="rId70" display="https://app.bluecore.com/admin/campaigns/adorama/4706919281188864" xr:uid="{1BC80BC1-4285-4B22-826D-1BC745F5F139}"/>
    <hyperlink ref="Q26" r:id="rId71" display="https://app.clickup.com/t/9010122869/86ahyhque" xr:uid="{FA0C52A5-2F1E-4E99-B3BE-83A65A52A17A}"/>
    <hyperlink ref="P26" r:id="rId72" display="https://jira.adorama.com/browse/MKT-103394" xr:uid="{9FFFDA08-17BA-44B5-A95C-4A89E8C12F25}"/>
    <hyperlink ref="Q27" r:id="rId73" display="https://app.clickup.com/t/9010122869/86ahyhquj" xr:uid="{0B9B3EB7-0B9E-422F-AE26-190C38647FB5}"/>
    <hyperlink ref="Q28" r:id="rId74" display="https://app.clickup.com/t/9010122869/86ahyhqum" xr:uid="{0216EF4F-6475-4473-878D-299177B68413}"/>
    <hyperlink ref="Q29" r:id="rId75" display="https://app.clickup.com/t/9010122869/86ahyhqup" xr:uid="{A5582D4D-D1DD-47CB-A51B-A5586A9CC794}"/>
  </hyperlinks>
  <pageMargins left="0.7" right="0.7" top="0.75" bottom="0.75" header="0.3" footer="0.3"/>
  <tableParts count="1">
    <tablePart r:id="rId7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D6DA979-D8A7-41A2-937A-44A151502DE5}">
          <x14:formula1>
            <xm:f>Dropdowns!$A$2:$A$9</xm:f>
          </x14:formula1>
          <xm:sqref>D2:D207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201"/>
  <sheetViews>
    <sheetView showGridLines="0" zoomScale="85" zoomScaleNormal="85" workbookViewId="0">
      <selection activeCell="K10" sqref="K10"/>
    </sheetView>
  </sheetViews>
  <sheetFormatPr defaultRowHeight="15"/>
  <cols>
    <col min="1" max="1" width="28.625" style="60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13.625" style="43" customWidth="1"/>
    <col min="8" max="8" width="12.625" style="43" customWidth="1"/>
    <col min="9" max="9" width="13.625" style="43" customWidth="1"/>
    <col min="10" max="10" width="13.75" style="43" bestFit="1" customWidth="1"/>
    <col min="11" max="11" width="13.75" style="43" customWidth="1"/>
    <col min="12" max="12" width="13.5" style="43" bestFit="1" customWidth="1"/>
    <col min="13" max="13" width="19.25" style="43" bestFit="1" customWidth="1"/>
    <col min="14" max="15" width="14.625" style="43" customWidth="1"/>
    <col min="16" max="16" width="18.25" style="43" hidden="1" customWidth="1"/>
    <col min="17" max="17" width="18.625" style="43" hidden="1" customWidth="1"/>
    <col min="18" max="18" width="50.625" style="43" customWidth="1"/>
    <col min="19" max="19" width="36.625" style="46" customWidth="1"/>
    <col min="20" max="16384" width="9" style="1"/>
  </cols>
  <sheetData>
    <row r="1" spans="1:19" s="2" customFormat="1" ht="30">
      <c r="A1" s="59" t="s">
        <v>21</v>
      </c>
      <c r="B1" s="36" t="s">
        <v>42</v>
      </c>
      <c r="C1" s="36" t="s">
        <v>43</v>
      </c>
      <c r="D1" s="36" t="s">
        <v>44</v>
      </c>
      <c r="E1" s="36" t="s">
        <v>45</v>
      </c>
      <c r="F1" s="36" t="s">
        <v>27</v>
      </c>
      <c r="G1" s="36" t="s">
        <v>84</v>
      </c>
      <c r="H1" s="36" t="s">
        <v>85</v>
      </c>
      <c r="I1" s="36" t="s">
        <v>28</v>
      </c>
      <c r="J1" s="36" t="s">
        <v>29</v>
      </c>
      <c r="K1" s="36" t="s">
        <v>136</v>
      </c>
      <c r="L1" s="36" t="s">
        <v>86</v>
      </c>
      <c r="M1" s="36" t="s">
        <v>54</v>
      </c>
      <c r="N1" s="36" t="s">
        <v>55</v>
      </c>
      <c r="O1" s="36" t="s">
        <v>56</v>
      </c>
      <c r="P1" s="36" t="s">
        <v>57</v>
      </c>
      <c r="Q1" s="36" t="s">
        <v>58</v>
      </c>
      <c r="R1" s="36" t="s">
        <v>59</v>
      </c>
      <c r="S1" s="44"/>
    </row>
    <row r="2" spans="1:19" s="5" customFormat="1" ht="30">
      <c r="A2" s="61">
        <v>46174</v>
      </c>
      <c r="B2" s="37" t="s">
        <v>87</v>
      </c>
      <c r="C2" s="36" t="s">
        <v>88</v>
      </c>
      <c r="D2" s="36" t="s">
        <v>69</v>
      </c>
      <c r="E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8" t="s">
        <v>63</v>
      </c>
      <c r="G2" s="39" t="b">
        <v>1</v>
      </c>
      <c r="H2" s="39" t="b">
        <v>1</v>
      </c>
      <c r="I2" s="39" t="b">
        <v>1</v>
      </c>
      <c r="J2" s="39" t="b">
        <v>1</v>
      </c>
      <c r="K2" s="39" t="b">
        <v>1</v>
      </c>
      <c r="L2" s="40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M2" s="41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N2" s="42">
        <v>64277</v>
      </c>
      <c r="O2" s="42">
        <v>63900</v>
      </c>
      <c r="P2" s="58">
        <v>46181.844467592593</v>
      </c>
      <c r="Q2" s="38" t="s">
        <v>75</v>
      </c>
      <c r="R2" s="38"/>
      <c r="S2" s="45"/>
    </row>
    <row r="3" spans="1:19" s="5" customFormat="1" ht="30">
      <c r="A3" s="61">
        <v>46178</v>
      </c>
      <c r="B3" s="37" t="s">
        <v>87</v>
      </c>
      <c r="C3" s="36" t="s">
        <v>89</v>
      </c>
      <c r="D3" s="36" t="s">
        <v>62</v>
      </c>
      <c r="E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8" t="s">
        <v>63</v>
      </c>
      <c r="G3" s="39" t="b">
        <v>1</v>
      </c>
      <c r="H3" s="39" t="b">
        <v>1</v>
      </c>
      <c r="I3" s="39" t="b">
        <v>1</v>
      </c>
      <c r="J3" s="39" t="b">
        <v>1</v>
      </c>
      <c r="K3" s="39" t="b">
        <v>1</v>
      </c>
      <c r="L3" s="40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M3" s="40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N3" s="42">
        <v>56545</v>
      </c>
      <c r="O3" s="42">
        <v>56423</v>
      </c>
      <c r="P3" s="58">
        <v>46181.84447916667</v>
      </c>
      <c r="Q3" s="38" t="s">
        <v>75</v>
      </c>
      <c r="R3" s="38"/>
      <c r="S3" s="45"/>
    </row>
    <row r="4" spans="1:19" s="5" customFormat="1" ht="30">
      <c r="A4" s="61">
        <v>46178</v>
      </c>
      <c r="B4" s="37" t="s">
        <v>90</v>
      </c>
      <c r="C4" s="36" t="s">
        <v>91</v>
      </c>
      <c r="D4" s="36" t="s">
        <v>62</v>
      </c>
      <c r="E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8" t="s">
        <v>70</v>
      </c>
      <c r="G4" s="39" t="b">
        <v>1</v>
      </c>
      <c r="H4" s="39" t="b">
        <v>1</v>
      </c>
      <c r="I4" s="39" t="b">
        <v>1</v>
      </c>
      <c r="J4" s="39" t="b">
        <v>1</v>
      </c>
      <c r="K4" s="39" t="b">
        <v>1</v>
      </c>
      <c r="L4" s="36"/>
      <c r="M4" s="40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N4" s="36"/>
      <c r="O4" s="42">
        <v>101474</v>
      </c>
      <c r="P4" s="58">
        <v>46181.844490740739</v>
      </c>
      <c r="Q4" s="38" t="s">
        <v>75</v>
      </c>
      <c r="R4" s="38"/>
      <c r="S4" s="45"/>
    </row>
    <row r="5" spans="1:19" s="5" customFormat="1" ht="30">
      <c r="A5" s="61">
        <v>46180</v>
      </c>
      <c r="B5" s="37" t="s">
        <v>87</v>
      </c>
      <c r="C5" s="36" t="s">
        <v>92</v>
      </c>
      <c r="D5" s="36" t="s">
        <v>80</v>
      </c>
      <c r="E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8" t="s">
        <v>63</v>
      </c>
      <c r="G5" s="39" t="b">
        <v>1</v>
      </c>
      <c r="H5" s="39" t="b">
        <v>1</v>
      </c>
      <c r="I5" s="39" t="b">
        <v>1</v>
      </c>
      <c r="J5" s="39" t="b">
        <v>1</v>
      </c>
      <c r="K5" s="39" t="b">
        <v>1</v>
      </c>
      <c r="L5" s="40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M5" s="40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N5" s="42">
        <v>20163</v>
      </c>
      <c r="O5" s="42">
        <v>9980</v>
      </c>
      <c r="P5" s="58">
        <v>46181.844502314816</v>
      </c>
      <c r="Q5" s="38" t="s">
        <v>75</v>
      </c>
      <c r="R5" s="38"/>
      <c r="S5" s="45"/>
    </row>
    <row r="6" spans="1:19" s="5" customFormat="1" ht="30">
      <c r="A6" s="61">
        <v>46180</v>
      </c>
      <c r="B6" s="37" t="s">
        <v>93</v>
      </c>
      <c r="C6" s="36" t="s">
        <v>91</v>
      </c>
      <c r="D6" s="36" t="s">
        <v>62</v>
      </c>
      <c r="E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8" t="s">
        <v>94</v>
      </c>
      <c r="G6" s="39" t="b">
        <v>1</v>
      </c>
      <c r="H6" s="39" t="b">
        <v>1</v>
      </c>
      <c r="I6" s="39" t="b">
        <v>1</v>
      </c>
      <c r="J6" s="39" t="b">
        <v>1</v>
      </c>
      <c r="K6" s="39" t="b">
        <v>1</v>
      </c>
      <c r="L6" s="36"/>
      <c r="M6" s="40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N6" s="42">
        <v>28616</v>
      </c>
      <c r="O6" s="42">
        <v>20362</v>
      </c>
      <c r="P6" s="58">
        <v>46181.844513888886</v>
      </c>
      <c r="Q6" s="38" t="s">
        <v>75</v>
      </c>
      <c r="R6" s="38"/>
      <c r="S6" s="45"/>
    </row>
    <row r="7" spans="1:19" s="5" customFormat="1" ht="171">
      <c r="A7" s="61">
        <v>46181</v>
      </c>
      <c r="B7" s="37" t="s">
        <v>87</v>
      </c>
      <c r="C7" s="36" t="s">
        <v>95</v>
      </c>
      <c r="D7" s="36" t="s">
        <v>62</v>
      </c>
      <c r="E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7" s="38" t="s">
        <v>63</v>
      </c>
      <c r="G7" s="39" t="b">
        <v>1</v>
      </c>
      <c r="H7" s="39" t="b">
        <v>1</v>
      </c>
      <c r="I7" s="39" t="b">
        <v>1</v>
      </c>
      <c r="J7" s="39" t="b">
        <v>1</v>
      </c>
      <c r="K7" s="39" t="b">
        <v>1</v>
      </c>
      <c r="L7" s="40" t="str">
        <f ca="1">HYPERLINK("https://teams.microsoft.com/l/message/19:e8e45d54914640ea878fe0171aa48fdc@thread.v2/1780676675054?context=%7B%22contextType%22%3A%22chat%22%7D",IF(AND(ISNUMBER(SMSCampaignsTable[[#This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Schedule","https://teams.microsoft.com/l/message/19:e8e45d54914640ea878fe0171aa48fdc@thread.v2/1780676675054?context=%7B%22contextType%22%3A%22chat%22%7D"))</f>
        <v>https://teams.microsoft.com/l/message/19:e8e45d54914640ea878fe0171aa48fdc@thread.v2/1780676675054?context=%7B%22contextType%22%3A%22chat%22%7D</v>
      </c>
      <c r="M7" s="40" t="str">
        <f ca="1">HYPERLINK("https://ui.attentivemobile.com/campaigns/messages/MTQ6Q29tcG9zZU1lc3NhZ2UxMTE5NzU2MA/overview",IF(AND(ISNUMBER(SMSCampaignsTable[[#This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Time]],1),0)+7),"Bluecore/Attentive","https://ui.attentivemobile.com/campaigns/messages/MTQ6Q29tcG9zZU1lc3NhZ2UxMTE5NzU2MA/overview"))</f>
        <v>https://ui.attentivemobile.com/campaigns/messages/MTQ6Q29tcG9zZU1lc3NhZ2UxMTE5NzU2MA/overview</v>
      </c>
      <c r="N7" s="42">
        <v>28612</v>
      </c>
      <c r="O7" s="42">
        <v>55545</v>
      </c>
      <c r="P7" s="58">
        <v>46181.844594907408</v>
      </c>
      <c r="Q7" s="38" t="s">
        <v>75</v>
      </c>
      <c r="R7" s="38"/>
      <c r="S7" s="45"/>
    </row>
    <row r="8" spans="1:19" s="5" customFormat="1" ht="30">
      <c r="A8" s="61">
        <v>46183</v>
      </c>
      <c r="B8" s="37" t="s">
        <v>87</v>
      </c>
      <c r="C8" s="36" t="s">
        <v>96</v>
      </c>
      <c r="D8" s="36" t="s">
        <v>97</v>
      </c>
      <c r="E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8" s="38" t="s">
        <v>63</v>
      </c>
      <c r="G8" s="39" t="b">
        <v>1</v>
      </c>
      <c r="H8" s="39" t="b">
        <v>1</v>
      </c>
      <c r="I8" s="39" t="b">
        <v>1</v>
      </c>
      <c r="J8" s="39" t="b">
        <v>1</v>
      </c>
      <c r="K8" s="39" t="b">
        <v>1</v>
      </c>
      <c r="L8" s="40" t="s">
        <v>2</v>
      </c>
      <c r="M8" s="40" t="e">
        <f ca="1">HYPERLINK(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,IF(AND(ISNUMBER(SMSCampaignsTable[[#This Row],[Send Date]]),NOW()&gt;=INT(SMSCampaignsTable[[#This Row],[Send Date]])+IF(ISNUMBER(SMSCampaignsTable[[#This Row],[Send Time]]),MOD(SMSCampaignsTable[[#This Row],[Send Time]],1),0)+7),"Bluecore/Attentive",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))</f>
        <v>#VALUE!</v>
      </c>
      <c r="N8" s="42">
        <v>3330</v>
      </c>
      <c r="O8" s="42">
        <v>3190</v>
      </c>
      <c r="P8" s="58">
        <v>46187.677037037036</v>
      </c>
      <c r="Q8" s="38" t="s">
        <v>75</v>
      </c>
      <c r="R8" s="38"/>
      <c r="S8" s="45"/>
    </row>
    <row r="9" spans="1:19" s="5" customFormat="1" ht="171">
      <c r="A9" s="61">
        <v>46185</v>
      </c>
      <c r="B9" s="37" t="s">
        <v>87</v>
      </c>
      <c r="C9" s="36" t="s">
        <v>252</v>
      </c>
      <c r="D9" s="36" t="s">
        <v>62</v>
      </c>
      <c r="E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9" s="38" t="s">
        <v>63</v>
      </c>
      <c r="G9" s="39" t="b">
        <v>1</v>
      </c>
      <c r="H9" s="39" t="b">
        <v>1</v>
      </c>
      <c r="I9" s="39" t="b">
        <v>1</v>
      </c>
      <c r="J9" s="39" t="b">
        <v>1</v>
      </c>
      <c r="K9" s="39" t="b">
        <v>1</v>
      </c>
      <c r="L9" s="40" t="str">
        <f ca="1">HYPERLINK("https://teams.microsoft.com/l/message/19:e8e45d54914640ea878fe0171aa48fdc@thread.v2/1781212008047?context=%7B%22contextType%22%3A%22chat%22%7D",IF(AND(ISNUMBER(SMSCampaignsTable[[#This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Schedule","https://teams.microsoft.com/l/message/19:e8e45d54914640ea878fe0171aa48fdc@thread.v2/1781212008047?context=%7B%22contextType%22%3A%22chat%22%7D"))</f>
        <v>https://teams.microsoft.com/l/message/19:e8e45d54914640ea878fe0171aa48fdc@thread.v2/1781212008047?context=%7B%22contextType%22%3A%22chat%22%7D</v>
      </c>
      <c r="M9" s="40" t="str">
        <f ca="1">HYPERLINK("https://ui.attentivemobile.com/campaigns/messages/MTQ6Q29tcG9zZU1lc3NhZ2UxMTI4ODMyNQ/overview",IF(AND(ISNUMBER(SMSCampaignsTable[[#This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Time]],1),0)+7),"Bluecore/Attentive","https://ui.attentivemobile.com/campaigns/messages/MTQ6Q29tcG9zZU1lc3NhZ2UxMTI4ODMyNQ/overview"))</f>
        <v>https://ui.attentivemobile.com/campaigns/messages/MTQ6Q29tcG9zZU1lc3NhZ2UxMTI4ODMyNQ/overview</v>
      </c>
      <c r="N9" s="42">
        <v>41959</v>
      </c>
      <c r="O9" s="42">
        <v>42700</v>
      </c>
      <c r="P9" s="58">
        <v>46187.977094907408</v>
      </c>
      <c r="Q9" s="38" t="s">
        <v>75</v>
      </c>
      <c r="R9" s="38"/>
      <c r="S9" s="45"/>
    </row>
    <row r="10" spans="1:19" s="5" customFormat="1" ht="30">
      <c r="A10" s="61">
        <v>46198</v>
      </c>
      <c r="B10" s="37" t="s">
        <v>87</v>
      </c>
      <c r="C10" s="36" t="s">
        <v>128</v>
      </c>
      <c r="D10" s="36" t="s">
        <v>62</v>
      </c>
      <c r="E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10" s="38"/>
      <c r="G10" s="39" t="b">
        <v>1</v>
      </c>
      <c r="H10" s="39" t="b">
        <v>1</v>
      </c>
      <c r="I10" s="39" t="b">
        <v>1</v>
      </c>
      <c r="J10" s="39" t="b">
        <v>1</v>
      </c>
      <c r="K10" s="39" t="b">
        <v>1</v>
      </c>
      <c r="L10" s="36"/>
      <c r="M10" s="36"/>
      <c r="N10" s="36"/>
      <c r="O10" s="36"/>
      <c r="P10" s="58">
        <v>46187.977627314816</v>
      </c>
      <c r="Q10" s="38" t="s">
        <v>75</v>
      </c>
      <c r="R10" s="38"/>
      <c r="S10" s="45"/>
    </row>
    <row r="11" spans="1:19" s="5" customFormat="1">
      <c r="A11" s="61"/>
      <c r="B11" s="37"/>
      <c r="C11" s="36"/>
      <c r="D11" s="36"/>
      <c r="E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8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6"/>
      <c r="M11" s="36"/>
      <c r="N11" s="36"/>
      <c r="O11" s="36"/>
      <c r="P11" s="58">
        <v>46181.841516203705</v>
      </c>
      <c r="Q11" s="38" t="s">
        <v>75</v>
      </c>
      <c r="R11" s="38"/>
      <c r="S11" s="45"/>
    </row>
    <row r="12" spans="1:19" s="5" customFormat="1">
      <c r="A12" s="61"/>
      <c r="B12" s="37"/>
      <c r="C12" s="36"/>
      <c r="D12" s="36"/>
      <c r="E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8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6"/>
      <c r="M12" s="36"/>
      <c r="N12" s="36"/>
      <c r="O12" s="36"/>
      <c r="P12" s="58">
        <v>46181.841516203705</v>
      </c>
      <c r="Q12" s="38" t="s">
        <v>75</v>
      </c>
      <c r="R12" s="38"/>
      <c r="S12" s="45"/>
    </row>
    <row r="13" spans="1:19" s="5" customFormat="1">
      <c r="A13" s="61"/>
      <c r="B13" s="37"/>
      <c r="C13" s="36"/>
      <c r="D13" s="36"/>
      <c r="E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8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6"/>
      <c r="M13" s="36"/>
      <c r="N13" s="36"/>
      <c r="O13" s="36"/>
      <c r="P13" s="58">
        <v>46181.841516203705</v>
      </c>
      <c r="Q13" s="38" t="s">
        <v>75</v>
      </c>
      <c r="R13" s="38"/>
      <c r="S13" s="45"/>
    </row>
    <row r="14" spans="1:19" s="5" customFormat="1">
      <c r="A14" s="61"/>
      <c r="B14" s="37"/>
      <c r="C14" s="36"/>
      <c r="D14" s="36"/>
      <c r="E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8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6"/>
      <c r="M14" s="36"/>
      <c r="N14" s="36"/>
      <c r="O14" s="36"/>
      <c r="P14" s="58">
        <v>46181.841516203705</v>
      </c>
      <c r="Q14" s="38" t="s">
        <v>75</v>
      </c>
      <c r="R14" s="38"/>
      <c r="S14" s="45"/>
    </row>
    <row r="15" spans="1:19" s="5" customFormat="1">
      <c r="A15" s="61"/>
      <c r="B15" s="37"/>
      <c r="C15" s="36"/>
      <c r="D15" s="36"/>
      <c r="E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8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6"/>
      <c r="M15" s="36"/>
      <c r="N15" s="36"/>
      <c r="O15" s="36"/>
      <c r="P15" s="58">
        <v>46181.841516203705</v>
      </c>
      <c r="Q15" s="38" t="s">
        <v>75</v>
      </c>
      <c r="R15" s="38"/>
      <c r="S15" s="45"/>
    </row>
    <row r="16" spans="1:19" s="5" customFormat="1">
      <c r="A16" s="61"/>
      <c r="B16" s="37"/>
      <c r="C16" s="36"/>
      <c r="D16" s="36"/>
      <c r="E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8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6"/>
      <c r="M16" s="36"/>
      <c r="N16" s="36"/>
      <c r="O16" s="36"/>
      <c r="P16" s="58">
        <v>46181.841516203705</v>
      </c>
      <c r="Q16" s="38" t="s">
        <v>75</v>
      </c>
      <c r="R16" s="38"/>
      <c r="S16" s="45"/>
    </row>
    <row r="17" spans="1:19" s="5" customFormat="1">
      <c r="A17" s="61"/>
      <c r="B17" s="37"/>
      <c r="C17" s="36"/>
      <c r="D17" s="36"/>
      <c r="E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8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6"/>
      <c r="M17" s="36"/>
      <c r="N17" s="36"/>
      <c r="O17" s="36"/>
      <c r="P17" s="58">
        <v>46181.841516203705</v>
      </c>
      <c r="Q17" s="38" t="s">
        <v>75</v>
      </c>
      <c r="R17" s="38"/>
      <c r="S17" s="45"/>
    </row>
    <row r="18" spans="1:19" s="5" customFormat="1">
      <c r="A18" s="61"/>
      <c r="B18" s="37"/>
      <c r="C18" s="36"/>
      <c r="D18" s="36"/>
      <c r="E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8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6"/>
      <c r="M18" s="36"/>
      <c r="N18" s="36"/>
      <c r="O18" s="36"/>
      <c r="P18" s="58">
        <v>46181.841516203705</v>
      </c>
      <c r="Q18" s="38" t="s">
        <v>75</v>
      </c>
      <c r="R18" s="38"/>
      <c r="S18" s="45"/>
    </row>
    <row r="19" spans="1:19" s="5" customFormat="1">
      <c r="A19" s="61"/>
      <c r="B19" s="37"/>
      <c r="C19" s="36"/>
      <c r="D19" s="36"/>
      <c r="E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8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6"/>
      <c r="M19" s="36"/>
      <c r="N19" s="36"/>
      <c r="O19" s="36"/>
      <c r="P19" s="58">
        <v>46181.841516203705</v>
      </c>
      <c r="Q19" s="38" t="s">
        <v>75</v>
      </c>
      <c r="R19" s="38"/>
      <c r="S19" s="45"/>
    </row>
    <row r="20" spans="1:19" s="5" customFormat="1">
      <c r="A20" s="61"/>
      <c r="B20" s="37"/>
      <c r="C20" s="36"/>
      <c r="D20" s="36"/>
      <c r="E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8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6"/>
      <c r="M20" s="36"/>
      <c r="N20" s="36"/>
      <c r="O20" s="36"/>
      <c r="P20" s="58">
        <v>46181.841516203705</v>
      </c>
      <c r="Q20" s="38" t="s">
        <v>75</v>
      </c>
      <c r="R20" s="38"/>
      <c r="S20" s="45"/>
    </row>
    <row r="21" spans="1:19" s="5" customFormat="1">
      <c r="A21" s="61"/>
      <c r="B21" s="37"/>
      <c r="C21" s="36"/>
      <c r="D21" s="36"/>
      <c r="E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8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6"/>
      <c r="M21" s="36"/>
      <c r="N21" s="36"/>
      <c r="O21" s="36"/>
      <c r="P21" s="58">
        <v>46181.841516203705</v>
      </c>
      <c r="Q21" s="38" t="s">
        <v>75</v>
      </c>
      <c r="R21" s="38"/>
      <c r="S21" s="45"/>
    </row>
    <row r="22" spans="1:19" s="5" customFormat="1">
      <c r="A22" s="61"/>
      <c r="B22" s="37"/>
      <c r="C22" s="36"/>
      <c r="D22" s="36"/>
      <c r="E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8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6"/>
      <c r="M22" s="36"/>
      <c r="N22" s="36"/>
      <c r="O22" s="36"/>
      <c r="P22" s="58">
        <v>46181.841516203705</v>
      </c>
      <c r="Q22" s="38" t="s">
        <v>75</v>
      </c>
      <c r="R22" s="38"/>
      <c r="S22" s="45"/>
    </row>
    <row r="23" spans="1:19" s="5" customFormat="1">
      <c r="A23" s="61"/>
      <c r="B23" s="37"/>
      <c r="C23" s="36"/>
      <c r="D23" s="36"/>
      <c r="E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8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6"/>
      <c r="M23" s="36"/>
      <c r="N23" s="36"/>
      <c r="O23" s="36"/>
      <c r="P23" s="58">
        <v>46181.841516203705</v>
      </c>
      <c r="Q23" s="38" t="s">
        <v>75</v>
      </c>
      <c r="R23" s="38"/>
      <c r="S23" s="45"/>
    </row>
    <row r="24" spans="1:19" s="5" customFormat="1">
      <c r="A24" s="61"/>
      <c r="B24" s="37"/>
      <c r="C24" s="36"/>
      <c r="D24" s="36"/>
      <c r="E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8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6"/>
      <c r="M24" s="36"/>
      <c r="N24" s="36"/>
      <c r="O24" s="36"/>
      <c r="P24" s="58">
        <v>46181.841516203705</v>
      </c>
      <c r="Q24" s="38" t="s">
        <v>75</v>
      </c>
      <c r="R24" s="38"/>
      <c r="S24" s="45"/>
    </row>
    <row r="25" spans="1:19" s="5" customFormat="1">
      <c r="A25" s="61"/>
      <c r="B25" s="37"/>
      <c r="C25" s="36"/>
      <c r="D25" s="36"/>
      <c r="E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8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6"/>
      <c r="M25" s="36"/>
      <c r="N25" s="36"/>
      <c r="O25" s="36"/>
      <c r="P25" s="58">
        <v>46181.841527777775</v>
      </c>
      <c r="Q25" s="38" t="s">
        <v>75</v>
      </c>
      <c r="R25" s="38"/>
      <c r="S25" s="45"/>
    </row>
    <row r="26" spans="1:19" s="5" customFormat="1">
      <c r="A26" s="61"/>
      <c r="B26" s="37"/>
      <c r="C26" s="36"/>
      <c r="D26" s="36"/>
      <c r="E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8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6"/>
      <c r="M26" s="36"/>
      <c r="N26" s="36"/>
      <c r="O26" s="36"/>
      <c r="P26" s="58">
        <v>46181.841527777775</v>
      </c>
      <c r="Q26" s="38" t="s">
        <v>75</v>
      </c>
      <c r="R26" s="38"/>
      <c r="S26" s="45"/>
    </row>
    <row r="27" spans="1:19" s="5" customFormat="1">
      <c r="A27" s="61"/>
      <c r="B27" s="37"/>
      <c r="C27" s="36"/>
      <c r="D27" s="36"/>
      <c r="E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8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6"/>
      <c r="M27" s="36"/>
      <c r="N27" s="36"/>
      <c r="O27" s="36"/>
      <c r="P27" s="58">
        <v>46181.841527777775</v>
      </c>
      <c r="Q27" s="38" t="s">
        <v>75</v>
      </c>
      <c r="R27" s="38"/>
      <c r="S27" s="45"/>
    </row>
    <row r="28" spans="1:19" s="5" customFormat="1">
      <c r="A28" s="61"/>
      <c r="B28" s="37"/>
      <c r="C28" s="36"/>
      <c r="D28" s="36"/>
      <c r="E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8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6"/>
      <c r="M28" s="36"/>
      <c r="N28" s="36"/>
      <c r="O28" s="36"/>
      <c r="P28" s="58">
        <v>46181.841527777775</v>
      </c>
      <c r="Q28" s="38" t="s">
        <v>75</v>
      </c>
      <c r="R28" s="38"/>
      <c r="S28" s="45"/>
    </row>
    <row r="29" spans="1:19" s="5" customFormat="1">
      <c r="A29" s="61"/>
      <c r="B29" s="37"/>
      <c r="C29" s="36"/>
      <c r="D29" s="36"/>
      <c r="E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8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6"/>
      <c r="M29" s="36"/>
      <c r="N29" s="36"/>
      <c r="O29" s="36"/>
      <c r="P29" s="58">
        <v>46181.841527777775</v>
      </c>
      <c r="Q29" s="38" t="s">
        <v>75</v>
      </c>
      <c r="R29" s="38"/>
      <c r="S29" s="45"/>
    </row>
    <row r="30" spans="1:19" s="5" customFormat="1">
      <c r="A30" s="61"/>
      <c r="B30" s="37"/>
      <c r="C30" s="36"/>
      <c r="D30" s="36"/>
      <c r="E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8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6"/>
      <c r="M30" s="36"/>
      <c r="N30" s="36"/>
      <c r="O30" s="36"/>
      <c r="P30" s="58">
        <v>46181.841527777775</v>
      </c>
      <c r="Q30" s="38" t="s">
        <v>75</v>
      </c>
      <c r="R30" s="38"/>
      <c r="S30" s="45"/>
    </row>
    <row r="31" spans="1:19" s="5" customFormat="1">
      <c r="A31" s="61"/>
      <c r="B31" s="37"/>
      <c r="C31" s="36"/>
      <c r="D31" s="36"/>
      <c r="E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8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6"/>
      <c r="M31" s="36"/>
      <c r="N31" s="36"/>
      <c r="O31" s="36"/>
      <c r="P31" s="58">
        <v>46181.841527777775</v>
      </c>
      <c r="Q31" s="38" t="s">
        <v>75</v>
      </c>
      <c r="R31" s="38"/>
      <c r="S31" s="45"/>
    </row>
    <row r="32" spans="1:19" s="5" customFormat="1">
      <c r="A32" s="61"/>
      <c r="B32" s="37"/>
      <c r="C32" s="36"/>
      <c r="D32" s="36"/>
      <c r="E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8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6"/>
      <c r="M32" s="36"/>
      <c r="N32" s="36"/>
      <c r="O32" s="36"/>
      <c r="P32" s="58">
        <v>46181.841527777775</v>
      </c>
      <c r="Q32" s="38" t="s">
        <v>75</v>
      </c>
      <c r="R32" s="38"/>
      <c r="S32" s="45"/>
    </row>
    <row r="33" spans="1:19" s="5" customFormat="1">
      <c r="A33" s="61"/>
      <c r="B33" s="37"/>
      <c r="C33" s="36"/>
      <c r="D33" s="36"/>
      <c r="E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8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6"/>
      <c r="M33" s="36"/>
      <c r="N33" s="36"/>
      <c r="O33" s="36"/>
      <c r="P33" s="58">
        <v>46181.841527777775</v>
      </c>
      <c r="Q33" s="38" t="s">
        <v>75</v>
      </c>
      <c r="R33" s="38"/>
      <c r="S33" s="45"/>
    </row>
    <row r="34" spans="1:19" s="5" customFormat="1">
      <c r="A34" s="61"/>
      <c r="B34" s="37"/>
      <c r="C34" s="36"/>
      <c r="D34" s="36"/>
      <c r="E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8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6"/>
      <c r="M34" s="36"/>
      <c r="N34" s="36"/>
      <c r="O34" s="36"/>
      <c r="P34" s="58">
        <v>46181.841527777775</v>
      </c>
      <c r="Q34" s="38" t="s">
        <v>75</v>
      </c>
      <c r="R34" s="38"/>
      <c r="S34" s="45"/>
    </row>
    <row r="35" spans="1:19" s="5" customFormat="1">
      <c r="A35" s="61"/>
      <c r="B35" s="37"/>
      <c r="C35" s="36"/>
      <c r="D35" s="36"/>
      <c r="E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8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6"/>
      <c r="M35" s="36"/>
      <c r="N35" s="36"/>
      <c r="O35" s="36"/>
      <c r="P35" s="58">
        <v>46181.841527777775</v>
      </c>
      <c r="Q35" s="38" t="s">
        <v>75</v>
      </c>
      <c r="R35" s="38"/>
      <c r="S35" s="45"/>
    </row>
    <row r="36" spans="1:19" s="5" customFormat="1">
      <c r="A36" s="61"/>
      <c r="B36" s="37"/>
      <c r="C36" s="36"/>
      <c r="D36" s="36"/>
      <c r="E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8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6"/>
      <c r="M36" s="36"/>
      <c r="N36" s="36"/>
      <c r="O36" s="36"/>
      <c r="P36" s="58">
        <v>46181.841527777775</v>
      </c>
      <c r="Q36" s="38" t="s">
        <v>75</v>
      </c>
      <c r="R36" s="38"/>
      <c r="S36" s="45"/>
    </row>
    <row r="37" spans="1:19" s="5" customFormat="1">
      <c r="A37" s="61"/>
      <c r="B37" s="37"/>
      <c r="C37" s="36"/>
      <c r="D37" s="36"/>
      <c r="E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8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6"/>
      <c r="M37" s="36"/>
      <c r="N37" s="36"/>
      <c r="O37" s="36"/>
      <c r="P37" s="58">
        <v>46181.841527777775</v>
      </c>
      <c r="Q37" s="38" t="s">
        <v>75</v>
      </c>
      <c r="R37" s="38"/>
      <c r="S37" s="45"/>
    </row>
    <row r="38" spans="1:19" s="5" customFormat="1">
      <c r="A38" s="61"/>
      <c r="B38" s="37"/>
      <c r="C38" s="36"/>
      <c r="D38" s="36"/>
      <c r="E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8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6"/>
      <c r="M38" s="36"/>
      <c r="N38" s="36"/>
      <c r="O38" s="36"/>
      <c r="P38" s="58">
        <v>46181.841527777775</v>
      </c>
      <c r="Q38" s="38" t="s">
        <v>75</v>
      </c>
      <c r="R38" s="38"/>
      <c r="S38" s="45"/>
    </row>
    <row r="39" spans="1:19" s="5" customFormat="1">
      <c r="A39" s="61"/>
      <c r="B39" s="37"/>
      <c r="C39" s="36"/>
      <c r="D39" s="36"/>
      <c r="E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8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6"/>
      <c r="M39" s="36"/>
      <c r="N39" s="36"/>
      <c r="O39" s="36"/>
      <c r="P39" s="58">
        <v>46181.841527777775</v>
      </c>
      <c r="Q39" s="38" t="s">
        <v>75</v>
      </c>
      <c r="R39" s="38"/>
      <c r="S39" s="45"/>
    </row>
    <row r="40" spans="1:19" s="5" customFormat="1">
      <c r="A40" s="61"/>
      <c r="B40" s="37"/>
      <c r="C40" s="36"/>
      <c r="D40" s="36"/>
      <c r="E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8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6"/>
      <c r="M40" s="36"/>
      <c r="N40" s="36"/>
      <c r="O40" s="36"/>
      <c r="P40" s="58">
        <v>46181.841527777775</v>
      </c>
      <c r="Q40" s="38" t="s">
        <v>75</v>
      </c>
      <c r="R40" s="38"/>
      <c r="S40" s="45"/>
    </row>
    <row r="41" spans="1:19" s="5" customFormat="1">
      <c r="A41" s="61"/>
      <c r="B41" s="37"/>
      <c r="C41" s="36"/>
      <c r="D41" s="36"/>
      <c r="E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8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6"/>
      <c r="M41" s="36"/>
      <c r="N41" s="36"/>
      <c r="O41" s="36"/>
      <c r="P41" s="58">
        <v>46181.841527777775</v>
      </c>
      <c r="Q41" s="38" t="s">
        <v>75</v>
      </c>
      <c r="R41" s="38"/>
      <c r="S41" s="45"/>
    </row>
    <row r="42" spans="1:19" s="5" customFormat="1">
      <c r="A42" s="61"/>
      <c r="B42" s="37"/>
      <c r="C42" s="36"/>
      <c r="D42" s="36"/>
      <c r="E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8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6"/>
      <c r="M42" s="36"/>
      <c r="N42" s="36"/>
      <c r="O42" s="36"/>
      <c r="P42" s="58">
        <v>46181.841539351852</v>
      </c>
      <c r="Q42" s="38" t="s">
        <v>75</v>
      </c>
      <c r="R42" s="38"/>
      <c r="S42" s="45"/>
    </row>
    <row r="43" spans="1:19" s="5" customFormat="1">
      <c r="A43" s="61"/>
      <c r="B43" s="37"/>
      <c r="C43" s="36"/>
      <c r="D43" s="36"/>
      <c r="E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8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6"/>
      <c r="M43" s="36"/>
      <c r="N43" s="36"/>
      <c r="O43" s="36"/>
      <c r="P43" s="58">
        <v>46181.841539351852</v>
      </c>
      <c r="Q43" s="38" t="s">
        <v>75</v>
      </c>
      <c r="R43" s="38"/>
      <c r="S43" s="45"/>
    </row>
    <row r="44" spans="1:19" s="5" customFormat="1">
      <c r="A44" s="61"/>
      <c r="B44" s="37"/>
      <c r="C44" s="36"/>
      <c r="D44" s="36"/>
      <c r="E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8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6"/>
      <c r="M44" s="36"/>
      <c r="N44" s="36"/>
      <c r="O44" s="36"/>
      <c r="P44" s="58">
        <v>46181.841539351852</v>
      </c>
      <c r="Q44" s="38" t="s">
        <v>75</v>
      </c>
      <c r="R44" s="38"/>
      <c r="S44" s="45"/>
    </row>
    <row r="45" spans="1:19" s="5" customFormat="1">
      <c r="A45" s="61"/>
      <c r="B45" s="37"/>
      <c r="C45" s="36"/>
      <c r="D45" s="36"/>
      <c r="E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8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6"/>
      <c r="M45" s="36"/>
      <c r="N45" s="36"/>
      <c r="O45" s="36"/>
      <c r="P45" s="58">
        <v>46181.841539351852</v>
      </c>
      <c r="Q45" s="38" t="s">
        <v>75</v>
      </c>
      <c r="R45" s="38"/>
      <c r="S45" s="45"/>
    </row>
    <row r="46" spans="1:19" s="5" customFormat="1">
      <c r="A46" s="61"/>
      <c r="B46" s="37"/>
      <c r="C46" s="36"/>
      <c r="D46" s="36"/>
      <c r="E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8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6"/>
      <c r="M46" s="36"/>
      <c r="N46" s="36"/>
      <c r="O46" s="36"/>
      <c r="P46" s="58">
        <v>46181.841539351852</v>
      </c>
      <c r="Q46" s="38" t="s">
        <v>75</v>
      </c>
      <c r="R46" s="38"/>
      <c r="S46" s="45"/>
    </row>
    <row r="47" spans="1:19" s="5" customFormat="1">
      <c r="A47" s="61"/>
      <c r="B47" s="37"/>
      <c r="C47" s="36"/>
      <c r="D47" s="36"/>
      <c r="E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8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6"/>
      <c r="M47" s="36"/>
      <c r="N47" s="36"/>
      <c r="O47" s="36"/>
      <c r="P47" s="58">
        <v>46181.841539351852</v>
      </c>
      <c r="Q47" s="38" t="s">
        <v>75</v>
      </c>
      <c r="R47" s="38"/>
      <c r="S47" s="45"/>
    </row>
    <row r="48" spans="1:19" s="5" customFormat="1">
      <c r="A48" s="61"/>
      <c r="B48" s="37"/>
      <c r="C48" s="36"/>
      <c r="D48" s="36"/>
      <c r="E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8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6"/>
      <c r="M48" s="36"/>
      <c r="N48" s="36"/>
      <c r="O48" s="36"/>
      <c r="P48" s="58">
        <v>46181.841539351852</v>
      </c>
      <c r="Q48" s="38" t="s">
        <v>75</v>
      </c>
      <c r="R48" s="38"/>
      <c r="S48" s="45"/>
    </row>
    <row r="49" spans="1:19" s="5" customFormat="1">
      <c r="A49" s="61"/>
      <c r="B49" s="37"/>
      <c r="C49" s="36"/>
      <c r="D49" s="36"/>
      <c r="E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8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6"/>
      <c r="M49" s="36"/>
      <c r="N49" s="36"/>
      <c r="O49" s="36"/>
      <c r="P49" s="58">
        <v>46181.841539351852</v>
      </c>
      <c r="Q49" s="38" t="s">
        <v>75</v>
      </c>
      <c r="R49" s="38"/>
      <c r="S49" s="45"/>
    </row>
    <row r="50" spans="1:19" s="5" customFormat="1">
      <c r="A50" s="61"/>
      <c r="B50" s="37"/>
      <c r="C50" s="36"/>
      <c r="D50" s="36"/>
      <c r="E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8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6"/>
      <c r="M50" s="36"/>
      <c r="N50" s="36"/>
      <c r="O50" s="36"/>
      <c r="P50" s="58">
        <v>46181.841539351852</v>
      </c>
      <c r="Q50" s="38" t="s">
        <v>75</v>
      </c>
      <c r="R50" s="38"/>
      <c r="S50" s="45"/>
    </row>
    <row r="51" spans="1:19" s="5" customFormat="1">
      <c r="A51" s="61"/>
      <c r="B51" s="37"/>
      <c r="C51" s="36"/>
      <c r="D51" s="36"/>
      <c r="E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8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6"/>
      <c r="M51" s="36"/>
      <c r="N51" s="36"/>
      <c r="O51" s="36"/>
      <c r="P51" s="58">
        <v>46181.841539351852</v>
      </c>
      <c r="Q51" s="38" t="s">
        <v>75</v>
      </c>
      <c r="R51" s="38"/>
      <c r="S51" s="45"/>
    </row>
    <row r="52" spans="1:19" s="5" customFormat="1">
      <c r="A52" s="61"/>
      <c r="B52" s="37"/>
      <c r="C52" s="36"/>
      <c r="D52" s="36"/>
      <c r="E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8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6"/>
      <c r="M52" s="36"/>
      <c r="N52" s="36"/>
      <c r="O52" s="36"/>
      <c r="P52" s="58">
        <v>46181.841539351852</v>
      </c>
      <c r="Q52" s="38" t="s">
        <v>75</v>
      </c>
      <c r="R52" s="38"/>
      <c r="S52" s="45"/>
    </row>
    <row r="53" spans="1:19" s="5" customFormat="1">
      <c r="A53" s="61"/>
      <c r="B53" s="37"/>
      <c r="C53" s="36"/>
      <c r="D53" s="36"/>
      <c r="E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8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6"/>
      <c r="M53" s="36"/>
      <c r="N53" s="36"/>
      <c r="O53" s="36"/>
      <c r="P53" s="58">
        <v>46181.841539351852</v>
      </c>
      <c r="Q53" s="38" t="s">
        <v>75</v>
      </c>
      <c r="R53" s="38"/>
      <c r="S53" s="45"/>
    </row>
    <row r="54" spans="1:19" s="5" customFormat="1">
      <c r="A54" s="61"/>
      <c r="B54" s="37"/>
      <c r="C54" s="36"/>
      <c r="D54" s="36"/>
      <c r="E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8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6"/>
      <c r="M54" s="36"/>
      <c r="N54" s="36"/>
      <c r="O54" s="36"/>
      <c r="P54" s="58">
        <v>46181.841539351852</v>
      </c>
      <c r="Q54" s="38" t="s">
        <v>75</v>
      </c>
      <c r="R54" s="38"/>
      <c r="S54" s="45"/>
    </row>
    <row r="55" spans="1:19" s="5" customFormat="1">
      <c r="A55" s="61"/>
      <c r="B55" s="37"/>
      <c r="C55" s="36"/>
      <c r="D55" s="36"/>
      <c r="E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8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6"/>
      <c r="M55" s="36"/>
      <c r="N55" s="36"/>
      <c r="O55" s="36"/>
      <c r="P55" s="58">
        <v>46181.841539351852</v>
      </c>
      <c r="Q55" s="38" t="s">
        <v>75</v>
      </c>
      <c r="R55" s="38"/>
      <c r="S55" s="45"/>
    </row>
    <row r="56" spans="1:19" s="5" customFormat="1">
      <c r="A56" s="61"/>
      <c r="B56" s="37"/>
      <c r="C56" s="36"/>
      <c r="D56" s="36"/>
      <c r="E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8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6"/>
      <c r="M56" s="36"/>
      <c r="N56" s="36"/>
      <c r="O56" s="36"/>
      <c r="P56" s="58">
        <v>46181.841539351852</v>
      </c>
      <c r="Q56" s="38" t="s">
        <v>75</v>
      </c>
      <c r="R56" s="38"/>
      <c r="S56" s="45"/>
    </row>
    <row r="57" spans="1:19" s="5" customFormat="1">
      <c r="A57" s="61"/>
      <c r="B57" s="37"/>
      <c r="C57" s="36"/>
      <c r="D57" s="36"/>
      <c r="E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8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6"/>
      <c r="M57" s="36"/>
      <c r="N57" s="36"/>
      <c r="O57" s="36"/>
      <c r="P57" s="58">
        <v>46181.841539351852</v>
      </c>
      <c r="Q57" s="38" t="s">
        <v>75</v>
      </c>
      <c r="R57" s="38"/>
      <c r="S57" s="45"/>
    </row>
    <row r="58" spans="1:19" s="5" customFormat="1">
      <c r="A58" s="61"/>
      <c r="B58" s="37"/>
      <c r="C58" s="36"/>
      <c r="D58" s="36"/>
      <c r="E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8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6"/>
      <c r="M58" s="36"/>
      <c r="N58" s="36"/>
      <c r="O58" s="36"/>
      <c r="P58" s="58">
        <v>46181.841550925928</v>
      </c>
      <c r="Q58" s="38" t="s">
        <v>75</v>
      </c>
      <c r="R58" s="38"/>
      <c r="S58" s="45"/>
    </row>
    <row r="59" spans="1:19" s="5" customFormat="1">
      <c r="A59" s="61"/>
      <c r="B59" s="37"/>
      <c r="C59" s="36"/>
      <c r="D59" s="36"/>
      <c r="E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8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6"/>
      <c r="M59" s="36"/>
      <c r="N59" s="36"/>
      <c r="O59" s="36"/>
      <c r="P59" s="58">
        <v>46181.841550925928</v>
      </c>
      <c r="Q59" s="38" t="s">
        <v>75</v>
      </c>
      <c r="R59" s="38"/>
      <c r="S59" s="45"/>
    </row>
    <row r="60" spans="1:19" s="5" customFormat="1">
      <c r="A60" s="61"/>
      <c r="B60" s="37"/>
      <c r="C60" s="36"/>
      <c r="D60" s="36"/>
      <c r="E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8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6"/>
      <c r="M60" s="36"/>
      <c r="N60" s="36"/>
      <c r="O60" s="36"/>
      <c r="P60" s="58">
        <v>46181.841550925928</v>
      </c>
      <c r="Q60" s="38" t="s">
        <v>75</v>
      </c>
      <c r="R60" s="38"/>
      <c r="S60" s="45"/>
    </row>
    <row r="61" spans="1:19" s="5" customFormat="1">
      <c r="A61" s="61"/>
      <c r="B61" s="37"/>
      <c r="C61" s="36"/>
      <c r="D61" s="36"/>
      <c r="E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8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6"/>
      <c r="M61" s="36"/>
      <c r="N61" s="36"/>
      <c r="O61" s="36"/>
      <c r="P61" s="58">
        <v>46181.841550925928</v>
      </c>
      <c r="Q61" s="38" t="s">
        <v>75</v>
      </c>
      <c r="R61" s="38"/>
      <c r="S61" s="45"/>
    </row>
    <row r="62" spans="1:19" s="5" customFormat="1">
      <c r="A62" s="61"/>
      <c r="B62" s="37"/>
      <c r="C62" s="36"/>
      <c r="D62" s="36"/>
      <c r="E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8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6"/>
      <c r="M62" s="36"/>
      <c r="N62" s="36"/>
      <c r="O62" s="36"/>
      <c r="P62" s="58">
        <v>46181.841550925928</v>
      </c>
      <c r="Q62" s="38" t="s">
        <v>75</v>
      </c>
      <c r="R62" s="38"/>
      <c r="S62" s="45"/>
    </row>
    <row r="63" spans="1:19" s="5" customFormat="1">
      <c r="A63" s="61"/>
      <c r="B63" s="37"/>
      <c r="C63" s="36"/>
      <c r="D63" s="36"/>
      <c r="E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8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6"/>
      <c r="M63" s="36"/>
      <c r="N63" s="36"/>
      <c r="O63" s="36"/>
      <c r="P63" s="58">
        <v>46181.841550925928</v>
      </c>
      <c r="Q63" s="38" t="s">
        <v>75</v>
      </c>
      <c r="R63" s="38"/>
      <c r="S63" s="45"/>
    </row>
    <row r="64" spans="1:19" s="5" customFormat="1">
      <c r="A64" s="61"/>
      <c r="B64" s="37"/>
      <c r="C64" s="36"/>
      <c r="D64" s="36"/>
      <c r="E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8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6"/>
      <c r="M64" s="36"/>
      <c r="N64" s="36"/>
      <c r="O64" s="36"/>
      <c r="P64" s="58">
        <v>46181.841550925928</v>
      </c>
      <c r="Q64" s="38" t="s">
        <v>75</v>
      </c>
      <c r="R64" s="38"/>
      <c r="S64" s="45"/>
    </row>
    <row r="65" spans="1:19" s="5" customFormat="1">
      <c r="A65" s="61"/>
      <c r="B65" s="37"/>
      <c r="C65" s="36"/>
      <c r="D65" s="36"/>
      <c r="E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8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6"/>
      <c r="M65" s="36"/>
      <c r="N65" s="36"/>
      <c r="O65" s="36"/>
      <c r="P65" s="58">
        <v>46181.841550925928</v>
      </c>
      <c r="Q65" s="38" t="s">
        <v>75</v>
      </c>
      <c r="R65" s="38"/>
      <c r="S65" s="45"/>
    </row>
    <row r="66" spans="1:19" s="5" customFormat="1">
      <c r="A66" s="61"/>
      <c r="B66" s="37"/>
      <c r="C66" s="36"/>
      <c r="D66" s="36"/>
      <c r="E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8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6"/>
      <c r="M66" s="36"/>
      <c r="N66" s="36"/>
      <c r="O66" s="36"/>
      <c r="P66" s="58">
        <v>46181.841550925928</v>
      </c>
      <c r="Q66" s="38" t="s">
        <v>75</v>
      </c>
      <c r="R66" s="38"/>
      <c r="S66" s="45"/>
    </row>
    <row r="67" spans="1:19" s="5" customFormat="1">
      <c r="A67" s="61"/>
      <c r="B67" s="37"/>
      <c r="C67" s="36"/>
      <c r="D67" s="36"/>
      <c r="E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8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6"/>
      <c r="M67" s="36"/>
      <c r="N67" s="36"/>
      <c r="O67" s="36"/>
      <c r="P67" s="58">
        <v>46181.841550925928</v>
      </c>
      <c r="Q67" s="38" t="s">
        <v>75</v>
      </c>
      <c r="R67" s="38"/>
      <c r="S67" s="45"/>
    </row>
    <row r="68" spans="1:19" s="5" customFormat="1">
      <c r="A68" s="61"/>
      <c r="B68" s="37"/>
      <c r="C68" s="36"/>
      <c r="D68" s="36"/>
      <c r="E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8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6"/>
      <c r="M68" s="36"/>
      <c r="N68" s="36"/>
      <c r="O68" s="36"/>
      <c r="P68" s="58">
        <v>46181.841550925928</v>
      </c>
      <c r="Q68" s="38" t="s">
        <v>75</v>
      </c>
      <c r="R68" s="38"/>
      <c r="S68" s="45"/>
    </row>
    <row r="69" spans="1:19" s="5" customFormat="1">
      <c r="A69" s="61"/>
      <c r="B69" s="37"/>
      <c r="C69" s="36"/>
      <c r="D69" s="36"/>
      <c r="E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8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6"/>
      <c r="M69" s="36"/>
      <c r="N69" s="36"/>
      <c r="O69" s="36"/>
      <c r="P69" s="58">
        <v>46181.841550925928</v>
      </c>
      <c r="Q69" s="38" t="s">
        <v>75</v>
      </c>
      <c r="R69" s="38"/>
      <c r="S69" s="45"/>
    </row>
    <row r="70" spans="1:19" s="5" customFormat="1">
      <c r="A70" s="61"/>
      <c r="B70" s="37"/>
      <c r="C70" s="36"/>
      <c r="D70" s="36"/>
      <c r="E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8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6"/>
      <c r="M70" s="36"/>
      <c r="N70" s="36"/>
      <c r="O70" s="36"/>
      <c r="P70" s="58">
        <v>46181.841550925928</v>
      </c>
      <c r="Q70" s="38" t="s">
        <v>75</v>
      </c>
      <c r="R70" s="38"/>
      <c r="S70" s="45"/>
    </row>
    <row r="71" spans="1:19" s="5" customFormat="1">
      <c r="A71" s="61"/>
      <c r="B71" s="37"/>
      <c r="C71" s="36"/>
      <c r="D71" s="36"/>
      <c r="E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8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6"/>
      <c r="M71" s="36"/>
      <c r="N71" s="36"/>
      <c r="O71" s="36"/>
      <c r="P71" s="58">
        <v>46181.841550925928</v>
      </c>
      <c r="Q71" s="38" t="s">
        <v>75</v>
      </c>
      <c r="R71" s="38"/>
      <c r="S71" s="45"/>
    </row>
    <row r="72" spans="1:19" s="5" customFormat="1">
      <c r="A72" s="61"/>
      <c r="B72" s="37"/>
      <c r="C72" s="36"/>
      <c r="D72" s="36"/>
      <c r="E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8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6"/>
      <c r="M72" s="36"/>
      <c r="N72" s="36"/>
      <c r="O72" s="36"/>
      <c r="P72" s="58">
        <v>46181.841550925928</v>
      </c>
      <c r="Q72" s="38" t="s">
        <v>75</v>
      </c>
      <c r="R72" s="38"/>
      <c r="S72" s="45"/>
    </row>
    <row r="73" spans="1:19" s="5" customFormat="1">
      <c r="A73" s="61"/>
      <c r="B73" s="37"/>
      <c r="C73" s="36"/>
      <c r="D73" s="36"/>
      <c r="E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8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6"/>
      <c r="M73" s="36"/>
      <c r="N73" s="36"/>
      <c r="O73" s="36"/>
      <c r="P73" s="58">
        <v>46181.841550925928</v>
      </c>
      <c r="Q73" s="38" t="s">
        <v>75</v>
      </c>
      <c r="R73" s="38"/>
      <c r="S73" s="45"/>
    </row>
    <row r="74" spans="1:19" s="5" customFormat="1">
      <c r="A74" s="61"/>
      <c r="B74" s="37"/>
      <c r="C74" s="36"/>
      <c r="D74" s="36"/>
      <c r="E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8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6"/>
      <c r="M74" s="36"/>
      <c r="N74" s="36"/>
      <c r="O74" s="36"/>
      <c r="P74" s="58">
        <v>46181.841550925928</v>
      </c>
      <c r="Q74" s="38" t="s">
        <v>75</v>
      </c>
      <c r="R74" s="38"/>
      <c r="S74" s="45"/>
    </row>
    <row r="75" spans="1:19" s="5" customFormat="1">
      <c r="A75" s="61"/>
      <c r="B75" s="37"/>
      <c r="C75" s="36"/>
      <c r="D75" s="36"/>
      <c r="E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8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6"/>
      <c r="M75" s="36"/>
      <c r="N75" s="36"/>
      <c r="O75" s="36"/>
      <c r="P75" s="58">
        <v>46181.841562499998</v>
      </c>
      <c r="Q75" s="38" t="s">
        <v>75</v>
      </c>
      <c r="R75" s="38"/>
      <c r="S75" s="45"/>
    </row>
    <row r="76" spans="1:19" s="5" customFormat="1">
      <c r="A76" s="61"/>
      <c r="B76" s="37"/>
      <c r="C76" s="36"/>
      <c r="D76" s="36"/>
      <c r="E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8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6"/>
      <c r="M76" s="36"/>
      <c r="N76" s="36"/>
      <c r="O76" s="36"/>
      <c r="P76" s="58">
        <v>46181.841562499998</v>
      </c>
      <c r="Q76" s="38" t="s">
        <v>75</v>
      </c>
      <c r="R76" s="38"/>
      <c r="S76" s="45"/>
    </row>
    <row r="77" spans="1:19" s="5" customFormat="1">
      <c r="A77" s="61"/>
      <c r="B77" s="37"/>
      <c r="C77" s="36"/>
      <c r="D77" s="36"/>
      <c r="E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8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6"/>
      <c r="M77" s="36"/>
      <c r="N77" s="36"/>
      <c r="O77" s="36"/>
      <c r="P77" s="58">
        <v>46181.841562499998</v>
      </c>
      <c r="Q77" s="38" t="s">
        <v>75</v>
      </c>
      <c r="R77" s="38"/>
      <c r="S77" s="45"/>
    </row>
    <row r="78" spans="1:19" s="5" customFormat="1">
      <c r="A78" s="61"/>
      <c r="B78" s="37"/>
      <c r="C78" s="36"/>
      <c r="D78" s="36"/>
      <c r="E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8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6"/>
      <c r="M78" s="36"/>
      <c r="N78" s="36"/>
      <c r="O78" s="36"/>
      <c r="P78" s="58">
        <v>46181.841562499998</v>
      </c>
      <c r="Q78" s="38" t="s">
        <v>75</v>
      </c>
      <c r="R78" s="38"/>
      <c r="S78" s="45"/>
    </row>
    <row r="79" spans="1:19" s="5" customFormat="1">
      <c r="A79" s="61"/>
      <c r="B79" s="37"/>
      <c r="C79" s="36"/>
      <c r="D79" s="36"/>
      <c r="E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8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6"/>
      <c r="M79" s="36"/>
      <c r="N79" s="36"/>
      <c r="O79" s="36"/>
      <c r="P79" s="58">
        <v>46181.841562499998</v>
      </c>
      <c r="Q79" s="38" t="s">
        <v>75</v>
      </c>
      <c r="R79" s="38"/>
      <c r="S79" s="45"/>
    </row>
    <row r="80" spans="1:19" s="5" customFormat="1">
      <c r="A80" s="61"/>
      <c r="B80" s="37"/>
      <c r="C80" s="36"/>
      <c r="D80" s="36"/>
      <c r="E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8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6"/>
      <c r="M80" s="36"/>
      <c r="N80" s="36"/>
      <c r="O80" s="36"/>
      <c r="P80" s="58">
        <v>46181.841562499998</v>
      </c>
      <c r="Q80" s="38" t="s">
        <v>75</v>
      </c>
      <c r="R80" s="38"/>
      <c r="S80" s="45"/>
    </row>
    <row r="81" spans="1:19" s="5" customFormat="1">
      <c r="A81" s="61"/>
      <c r="B81" s="37"/>
      <c r="C81" s="36"/>
      <c r="D81" s="36"/>
      <c r="E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8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6"/>
      <c r="M81" s="36"/>
      <c r="N81" s="36"/>
      <c r="O81" s="36"/>
      <c r="P81" s="58">
        <v>46181.841562499998</v>
      </c>
      <c r="Q81" s="38" t="s">
        <v>75</v>
      </c>
      <c r="R81" s="38"/>
      <c r="S81" s="45"/>
    </row>
    <row r="82" spans="1:19" s="5" customFormat="1">
      <c r="A82" s="61"/>
      <c r="B82" s="37"/>
      <c r="C82" s="36"/>
      <c r="D82" s="36"/>
      <c r="E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8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6"/>
      <c r="M82" s="36"/>
      <c r="N82" s="36"/>
      <c r="O82" s="36"/>
      <c r="P82" s="58">
        <v>46181.841562499998</v>
      </c>
      <c r="Q82" s="38" t="s">
        <v>75</v>
      </c>
      <c r="R82" s="38"/>
      <c r="S82" s="45"/>
    </row>
    <row r="83" spans="1:19" s="5" customFormat="1">
      <c r="A83" s="61"/>
      <c r="B83" s="37"/>
      <c r="C83" s="36"/>
      <c r="D83" s="36"/>
      <c r="E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8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6"/>
      <c r="M83" s="36"/>
      <c r="N83" s="36"/>
      <c r="O83" s="36"/>
      <c r="P83" s="58">
        <v>46181.841562499998</v>
      </c>
      <c r="Q83" s="38" t="s">
        <v>75</v>
      </c>
      <c r="R83" s="38"/>
      <c r="S83" s="45"/>
    </row>
    <row r="84" spans="1:19" s="5" customFormat="1">
      <c r="A84" s="61"/>
      <c r="B84" s="37"/>
      <c r="C84" s="36"/>
      <c r="D84" s="36"/>
      <c r="E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8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6"/>
      <c r="M84" s="36"/>
      <c r="N84" s="36"/>
      <c r="O84" s="36"/>
      <c r="P84" s="58">
        <v>46181.841562499998</v>
      </c>
      <c r="Q84" s="38" t="s">
        <v>75</v>
      </c>
      <c r="R84" s="38"/>
      <c r="S84" s="45"/>
    </row>
    <row r="85" spans="1:19" s="5" customFormat="1">
      <c r="A85" s="61"/>
      <c r="B85" s="37"/>
      <c r="C85" s="36"/>
      <c r="D85" s="36"/>
      <c r="E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8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6"/>
      <c r="M85" s="36"/>
      <c r="N85" s="36"/>
      <c r="O85" s="36"/>
      <c r="P85" s="58">
        <v>46181.841562499998</v>
      </c>
      <c r="Q85" s="38" t="s">
        <v>75</v>
      </c>
      <c r="R85" s="38"/>
      <c r="S85" s="45"/>
    </row>
    <row r="86" spans="1:19" s="5" customFormat="1">
      <c r="A86" s="61"/>
      <c r="B86" s="37"/>
      <c r="C86" s="36"/>
      <c r="D86" s="36"/>
      <c r="E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8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6"/>
      <c r="M86" s="36"/>
      <c r="N86" s="36"/>
      <c r="O86" s="36"/>
      <c r="P86" s="58">
        <v>46181.841562499998</v>
      </c>
      <c r="Q86" s="38" t="s">
        <v>75</v>
      </c>
      <c r="R86" s="38"/>
      <c r="S86" s="45"/>
    </row>
    <row r="87" spans="1:19" s="5" customFormat="1">
      <c r="A87" s="61"/>
      <c r="B87" s="37"/>
      <c r="C87" s="36"/>
      <c r="D87" s="36"/>
      <c r="E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8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6"/>
      <c r="M87" s="36"/>
      <c r="N87" s="36"/>
      <c r="O87" s="36"/>
      <c r="P87" s="58">
        <v>46181.841562499998</v>
      </c>
      <c r="Q87" s="38" t="s">
        <v>75</v>
      </c>
      <c r="R87" s="38"/>
      <c r="S87" s="45"/>
    </row>
    <row r="88" spans="1:19" s="5" customFormat="1">
      <c r="A88" s="61"/>
      <c r="B88" s="37"/>
      <c r="C88" s="36"/>
      <c r="D88" s="36"/>
      <c r="E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8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6"/>
      <c r="M88" s="36"/>
      <c r="N88" s="36"/>
      <c r="O88" s="36"/>
      <c r="P88" s="58">
        <v>46181.841562499998</v>
      </c>
      <c r="Q88" s="38" t="s">
        <v>75</v>
      </c>
      <c r="R88" s="38"/>
      <c r="S88" s="45"/>
    </row>
    <row r="89" spans="1:19" s="5" customFormat="1">
      <c r="A89" s="61"/>
      <c r="B89" s="37"/>
      <c r="C89" s="36"/>
      <c r="D89" s="36"/>
      <c r="E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8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6"/>
      <c r="M89" s="36"/>
      <c r="N89" s="36"/>
      <c r="O89" s="36"/>
      <c r="P89" s="58">
        <v>46181.841562499998</v>
      </c>
      <c r="Q89" s="38" t="s">
        <v>75</v>
      </c>
      <c r="R89" s="38"/>
      <c r="S89" s="45"/>
    </row>
    <row r="90" spans="1:19" s="5" customFormat="1">
      <c r="A90" s="61"/>
      <c r="B90" s="37"/>
      <c r="C90" s="36"/>
      <c r="D90" s="36"/>
      <c r="E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8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6"/>
      <c r="M90" s="36"/>
      <c r="N90" s="36"/>
      <c r="O90" s="36"/>
      <c r="P90" s="58">
        <v>46181.841562499998</v>
      </c>
      <c r="Q90" s="38" t="s">
        <v>75</v>
      </c>
      <c r="R90" s="38"/>
      <c r="S90" s="45"/>
    </row>
    <row r="91" spans="1:19" s="5" customFormat="1">
      <c r="A91" s="61"/>
      <c r="B91" s="37"/>
      <c r="C91" s="36"/>
      <c r="D91" s="36"/>
      <c r="E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8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6"/>
      <c r="M91" s="36"/>
      <c r="N91" s="36"/>
      <c r="O91" s="36"/>
      <c r="P91" s="58">
        <v>46181.841562499998</v>
      </c>
      <c r="Q91" s="38" t="s">
        <v>75</v>
      </c>
      <c r="R91" s="38"/>
      <c r="S91" s="45"/>
    </row>
    <row r="92" spans="1:19" s="5" customFormat="1">
      <c r="A92" s="61"/>
      <c r="B92" s="37"/>
      <c r="C92" s="36"/>
      <c r="D92" s="36"/>
      <c r="E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8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6"/>
      <c r="M92" s="36"/>
      <c r="N92" s="36"/>
      <c r="O92" s="36"/>
      <c r="P92" s="58">
        <v>46181.841574074075</v>
      </c>
      <c r="Q92" s="38" t="s">
        <v>75</v>
      </c>
      <c r="R92" s="38"/>
      <c r="S92" s="45"/>
    </row>
    <row r="93" spans="1:19" s="5" customFormat="1">
      <c r="A93" s="61"/>
      <c r="B93" s="37"/>
      <c r="C93" s="36"/>
      <c r="D93" s="36"/>
      <c r="E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8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6"/>
      <c r="M93" s="36"/>
      <c r="N93" s="36"/>
      <c r="O93" s="36"/>
      <c r="P93" s="58">
        <v>46181.841574074075</v>
      </c>
      <c r="Q93" s="38" t="s">
        <v>75</v>
      </c>
      <c r="R93" s="38"/>
      <c r="S93" s="45"/>
    </row>
    <row r="94" spans="1:19" s="5" customFormat="1">
      <c r="A94" s="61"/>
      <c r="B94" s="37"/>
      <c r="C94" s="36"/>
      <c r="D94" s="36"/>
      <c r="E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8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6"/>
      <c r="M94" s="36"/>
      <c r="N94" s="36"/>
      <c r="O94" s="36"/>
      <c r="P94" s="58">
        <v>46181.841574074075</v>
      </c>
      <c r="Q94" s="38" t="s">
        <v>75</v>
      </c>
      <c r="R94" s="38"/>
      <c r="S94" s="45"/>
    </row>
    <row r="95" spans="1:19" s="5" customFormat="1">
      <c r="A95" s="61"/>
      <c r="B95" s="37"/>
      <c r="C95" s="36"/>
      <c r="D95" s="36"/>
      <c r="E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8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6"/>
      <c r="M95" s="36"/>
      <c r="N95" s="36"/>
      <c r="O95" s="36"/>
      <c r="P95" s="58">
        <v>46181.841574074075</v>
      </c>
      <c r="Q95" s="38" t="s">
        <v>75</v>
      </c>
      <c r="R95" s="38"/>
      <c r="S95" s="45"/>
    </row>
    <row r="96" spans="1:19" s="5" customFormat="1">
      <c r="A96" s="61"/>
      <c r="B96" s="37"/>
      <c r="C96" s="36"/>
      <c r="D96" s="36"/>
      <c r="E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8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6"/>
      <c r="M96" s="36"/>
      <c r="N96" s="36"/>
      <c r="O96" s="36"/>
      <c r="P96" s="58">
        <v>46181.841574074075</v>
      </c>
      <c r="Q96" s="38" t="s">
        <v>75</v>
      </c>
      <c r="R96" s="38"/>
      <c r="S96" s="45"/>
    </row>
    <row r="97" spans="1:19" s="5" customFormat="1">
      <c r="A97" s="61"/>
      <c r="B97" s="37"/>
      <c r="C97" s="36"/>
      <c r="D97" s="36"/>
      <c r="E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8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6"/>
      <c r="M97" s="36"/>
      <c r="N97" s="36"/>
      <c r="O97" s="36"/>
      <c r="P97" s="58">
        <v>46181.841574074075</v>
      </c>
      <c r="Q97" s="38" t="s">
        <v>75</v>
      </c>
      <c r="R97" s="38"/>
      <c r="S97" s="45"/>
    </row>
    <row r="98" spans="1:19" s="5" customFormat="1">
      <c r="A98" s="61"/>
      <c r="B98" s="37"/>
      <c r="C98" s="36"/>
      <c r="D98" s="36"/>
      <c r="E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8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6"/>
      <c r="M98" s="36"/>
      <c r="N98" s="36"/>
      <c r="O98" s="36"/>
      <c r="P98" s="58">
        <v>46181.841574074075</v>
      </c>
      <c r="Q98" s="38" t="s">
        <v>75</v>
      </c>
      <c r="R98" s="38"/>
      <c r="S98" s="45"/>
    </row>
    <row r="99" spans="1:19" s="5" customFormat="1">
      <c r="A99" s="61"/>
      <c r="B99" s="37"/>
      <c r="C99" s="36"/>
      <c r="D99" s="36"/>
      <c r="E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8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6"/>
      <c r="M99" s="36"/>
      <c r="N99" s="36"/>
      <c r="O99" s="36"/>
      <c r="P99" s="58">
        <v>46181.841574074075</v>
      </c>
      <c r="Q99" s="38" t="s">
        <v>75</v>
      </c>
      <c r="R99" s="38"/>
      <c r="S99" s="45"/>
    </row>
    <row r="100" spans="1:19" s="5" customFormat="1">
      <c r="A100" s="61"/>
      <c r="B100" s="37"/>
      <c r="C100" s="36"/>
      <c r="D100" s="36"/>
      <c r="E1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8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6"/>
      <c r="M100" s="36"/>
      <c r="N100" s="36"/>
      <c r="O100" s="36"/>
      <c r="P100" s="58">
        <v>46181.841574074075</v>
      </c>
      <c r="Q100" s="38" t="s">
        <v>75</v>
      </c>
      <c r="R100" s="38"/>
      <c r="S100" s="45"/>
    </row>
    <row r="101" spans="1:19" s="5" customFormat="1">
      <c r="A101" s="61"/>
      <c r="B101" s="37"/>
      <c r="C101" s="36"/>
      <c r="D101" s="36"/>
      <c r="E1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8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6"/>
      <c r="M101" s="36"/>
      <c r="N101" s="36"/>
      <c r="O101" s="36"/>
      <c r="P101" s="58">
        <v>46181.841574074075</v>
      </c>
      <c r="Q101" s="38" t="s">
        <v>75</v>
      </c>
      <c r="R101" s="38"/>
      <c r="S101" s="45"/>
    </row>
    <row r="102" spans="1:19" s="5" customFormat="1">
      <c r="A102" s="61"/>
      <c r="B102" s="37"/>
      <c r="C102" s="36"/>
      <c r="D102" s="36"/>
      <c r="E10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8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6"/>
      <c r="M102" s="36"/>
      <c r="N102" s="36"/>
      <c r="O102" s="36"/>
      <c r="P102" s="58">
        <v>46181.841574074075</v>
      </c>
      <c r="Q102" s="38" t="s">
        <v>75</v>
      </c>
      <c r="R102" s="38"/>
      <c r="S102" s="45"/>
    </row>
    <row r="103" spans="1:19" s="5" customFormat="1">
      <c r="A103" s="61"/>
      <c r="B103" s="37"/>
      <c r="C103" s="36"/>
      <c r="D103" s="36"/>
      <c r="E10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8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6"/>
      <c r="M103" s="36"/>
      <c r="N103" s="36"/>
      <c r="O103" s="36"/>
      <c r="P103" s="58">
        <v>46181.841574074075</v>
      </c>
      <c r="Q103" s="38" t="s">
        <v>75</v>
      </c>
      <c r="R103" s="38"/>
      <c r="S103" s="45"/>
    </row>
    <row r="104" spans="1:19" s="5" customFormat="1">
      <c r="A104" s="61"/>
      <c r="B104" s="37"/>
      <c r="C104" s="36"/>
      <c r="D104" s="36"/>
      <c r="E10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8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6"/>
      <c r="M104" s="36"/>
      <c r="N104" s="36"/>
      <c r="O104" s="36"/>
      <c r="P104" s="58">
        <v>46181.841574074075</v>
      </c>
      <c r="Q104" s="38" t="s">
        <v>75</v>
      </c>
      <c r="R104" s="38"/>
      <c r="S104" s="45"/>
    </row>
    <row r="105" spans="1:19" s="5" customFormat="1">
      <c r="A105" s="61"/>
      <c r="B105" s="37"/>
      <c r="C105" s="36"/>
      <c r="D105" s="36"/>
      <c r="E10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8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6"/>
      <c r="M105" s="36"/>
      <c r="N105" s="36"/>
      <c r="O105" s="36"/>
      <c r="P105" s="58">
        <v>46181.841574074075</v>
      </c>
      <c r="Q105" s="38" t="s">
        <v>75</v>
      </c>
      <c r="R105" s="38"/>
      <c r="S105" s="45"/>
    </row>
    <row r="106" spans="1:19" s="5" customFormat="1">
      <c r="A106" s="61"/>
      <c r="B106" s="37"/>
      <c r="C106" s="36"/>
      <c r="D106" s="36"/>
      <c r="E10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8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6"/>
      <c r="M106" s="36"/>
      <c r="N106" s="36"/>
      <c r="O106" s="36"/>
      <c r="P106" s="58">
        <v>46181.841574074075</v>
      </c>
      <c r="Q106" s="38" t="s">
        <v>75</v>
      </c>
      <c r="R106" s="38"/>
      <c r="S106" s="45"/>
    </row>
    <row r="107" spans="1:19" s="5" customFormat="1">
      <c r="A107" s="61"/>
      <c r="B107" s="37"/>
      <c r="C107" s="36"/>
      <c r="D107" s="36"/>
      <c r="E10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8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6"/>
      <c r="M107" s="36"/>
      <c r="N107" s="36"/>
      <c r="O107" s="36"/>
      <c r="P107" s="58">
        <v>46181.841574074075</v>
      </c>
      <c r="Q107" s="38" t="s">
        <v>75</v>
      </c>
      <c r="R107" s="38"/>
      <c r="S107" s="45"/>
    </row>
    <row r="108" spans="1:19" s="5" customFormat="1">
      <c r="A108" s="61"/>
      <c r="B108" s="37"/>
      <c r="C108" s="36"/>
      <c r="D108" s="36"/>
      <c r="E10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8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6"/>
      <c r="M108" s="36"/>
      <c r="N108" s="36"/>
      <c r="O108" s="36"/>
      <c r="P108" s="58">
        <v>46181.841574074075</v>
      </c>
      <c r="Q108" s="38" t="s">
        <v>75</v>
      </c>
      <c r="R108" s="38"/>
      <c r="S108" s="45"/>
    </row>
    <row r="109" spans="1:19" s="5" customFormat="1">
      <c r="A109" s="61"/>
      <c r="B109" s="37"/>
      <c r="C109" s="36"/>
      <c r="D109" s="36"/>
      <c r="E10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8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6"/>
      <c r="M109" s="36"/>
      <c r="N109" s="36"/>
      <c r="O109" s="36"/>
      <c r="P109" s="58">
        <v>46181.841585648152</v>
      </c>
      <c r="Q109" s="38" t="s">
        <v>75</v>
      </c>
      <c r="R109" s="38"/>
      <c r="S109" s="45"/>
    </row>
    <row r="110" spans="1:19" s="5" customFormat="1">
      <c r="A110" s="61"/>
      <c r="B110" s="37"/>
      <c r="C110" s="36"/>
      <c r="D110" s="36"/>
      <c r="E1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8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6"/>
      <c r="M110" s="36"/>
      <c r="N110" s="36"/>
      <c r="O110" s="36"/>
      <c r="P110" s="58">
        <v>46181.841585648152</v>
      </c>
      <c r="Q110" s="38" t="s">
        <v>75</v>
      </c>
      <c r="R110" s="38"/>
      <c r="S110" s="45"/>
    </row>
    <row r="111" spans="1:19" s="5" customFormat="1">
      <c r="A111" s="61"/>
      <c r="B111" s="37"/>
      <c r="C111" s="36"/>
      <c r="D111" s="36"/>
      <c r="E1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8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6"/>
      <c r="M111" s="36"/>
      <c r="N111" s="36"/>
      <c r="O111" s="36"/>
      <c r="P111" s="58">
        <v>46181.841585648152</v>
      </c>
      <c r="Q111" s="38" t="s">
        <v>75</v>
      </c>
      <c r="R111" s="38"/>
      <c r="S111" s="45"/>
    </row>
    <row r="112" spans="1:19" s="5" customFormat="1">
      <c r="A112" s="61"/>
      <c r="B112" s="37"/>
      <c r="C112" s="36"/>
      <c r="D112" s="36"/>
      <c r="E1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8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6"/>
      <c r="M112" s="36"/>
      <c r="N112" s="36"/>
      <c r="O112" s="36"/>
      <c r="P112" s="58">
        <v>46181.841585648152</v>
      </c>
      <c r="Q112" s="38" t="s">
        <v>75</v>
      </c>
      <c r="R112" s="38"/>
      <c r="S112" s="45"/>
    </row>
    <row r="113" spans="1:19" s="5" customFormat="1">
      <c r="A113" s="61"/>
      <c r="B113" s="37"/>
      <c r="C113" s="36"/>
      <c r="D113" s="36"/>
      <c r="E1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8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6"/>
      <c r="M113" s="36"/>
      <c r="N113" s="36"/>
      <c r="O113" s="36"/>
      <c r="P113" s="58">
        <v>46181.841585648152</v>
      </c>
      <c r="Q113" s="38" t="s">
        <v>75</v>
      </c>
      <c r="R113" s="38"/>
      <c r="S113" s="45"/>
    </row>
    <row r="114" spans="1:19" s="5" customFormat="1">
      <c r="A114" s="61"/>
      <c r="B114" s="37"/>
      <c r="C114" s="36"/>
      <c r="D114" s="36"/>
      <c r="E1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8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6"/>
      <c r="M114" s="36"/>
      <c r="N114" s="36"/>
      <c r="O114" s="36"/>
      <c r="P114" s="58">
        <v>46181.841585648152</v>
      </c>
      <c r="Q114" s="38" t="s">
        <v>75</v>
      </c>
      <c r="R114" s="38"/>
      <c r="S114" s="45"/>
    </row>
    <row r="115" spans="1:19" s="5" customFormat="1">
      <c r="A115" s="61"/>
      <c r="B115" s="37"/>
      <c r="C115" s="36"/>
      <c r="D115" s="36"/>
      <c r="E1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8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6"/>
      <c r="M115" s="36"/>
      <c r="N115" s="36"/>
      <c r="O115" s="36"/>
      <c r="P115" s="58">
        <v>46181.841585648152</v>
      </c>
      <c r="Q115" s="38" t="s">
        <v>75</v>
      </c>
      <c r="R115" s="38"/>
      <c r="S115" s="45"/>
    </row>
    <row r="116" spans="1:19" s="5" customFormat="1">
      <c r="A116" s="61"/>
      <c r="B116" s="37"/>
      <c r="C116" s="36"/>
      <c r="D116" s="36"/>
      <c r="E1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8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6"/>
      <c r="M116" s="36"/>
      <c r="N116" s="36"/>
      <c r="O116" s="36"/>
      <c r="P116" s="58">
        <v>46181.841585648152</v>
      </c>
      <c r="Q116" s="38" t="s">
        <v>75</v>
      </c>
      <c r="R116" s="38"/>
      <c r="S116" s="45"/>
    </row>
    <row r="117" spans="1:19" s="5" customFormat="1">
      <c r="A117" s="61"/>
      <c r="B117" s="37"/>
      <c r="C117" s="36"/>
      <c r="D117" s="36"/>
      <c r="E1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8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6"/>
      <c r="M117" s="36"/>
      <c r="N117" s="36"/>
      <c r="O117" s="36"/>
      <c r="P117" s="58">
        <v>46181.841585648152</v>
      </c>
      <c r="Q117" s="38" t="s">
        <v>75</v>
      </c>
      <c r="R117" s="38"/>
      <c r="S117" s="45"/>
    </row>
    <row r="118" spans="1:19" s="5" customFormat="1">
      <c r="A118" s="61"/>
      <c r="B118" s="37"/>
      <c r="C118" s="36"/>
      <c r="D118" s="36"/>
      <c r="E1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8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6"/>
      <c r="M118" s="36"/>
      <c r="N118" s="36"/>
      <c r="O118" s="36"/>
      <c r="P118" s="58">
        <v>46181.841585648152</v>
      </c>
      <c r="Q118" s="38" t="s">
        <v>75</v>
      </c>
      <c r="R118" s="38"/>
      <c r="S118" s="45"/>
    </row>
    <row r="119" spans="1:19" s="5" customFormat="1">
      <c r="A119" s="61"/>
      <c r="B119" s="37"/>
      <c r="C119" s="36"/>
      <c r="D119" s="36"/>
      <c r="E1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8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6"/>
      <c r="M119" s="36"/>
      <c r="N119" s="36"/>
      <c r="O119" s="36"/>
      <c r="P119" s="58">
        <v>46181.841585648152</v>
      </c>
      <c r="Q119" s="38" t="s">
        <v>75</v>
      </c>
      <c r="R119" s="38"/>
      <c r="S119" s="45"/>
    </row>
    <row r="120" spans="1:19" s="5" customFormat="1">
      <c r="A120" s="61"/>
      <c r="B120" s="37"/>
      <c r="C120" s="36"/>
      <c r="D120" s="36"/>
      <c r="E1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8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6"/>
      <c r="M120" s="36"/>
      <c r="N120" s="36"/>
      <c r="O120" s="36"/>
      <c r="P120" s="58">
        <v>46181.841585648152</v>
      </c>
      <c r="Q120" s="38" t="s">
        <v>75</v>
      </c>
      <c r="R120" s="38"/>
      <c r="S120" s="45"/>
    </row>
    <row r="121" spans="1:19" s="5" customFormat="1">
      <c r="A121" s="61"/>
      <c r="B121" s="37"/>
      <c r="C121" s="36"/>
      <c r="D121" s="36"/>
      <c r="E1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8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6"/>
      <c r="M121" s="36"/>
      <c r="N121" s="36"/>
      <c r="O121" s="36"/>
      <c r="P121" s="58">
        <v>46181.841585648152</v>
      </c>
      <c r="Q121" s="38" t="s">
        <v>75</v>
      </c>
      <c r="R121" s="38"/>
      <c r="S121" s="45"/>
    </row>
    <row r="122" spans="1:19" s="5" customFormat="1">
      <c r="A122" s="61"/>
      <c r="B122" s="37"/>
      <c r="C122" s="36"/>
      <c r="D122" s="36"/>
      <c r="E1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8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6"/>
      <c r="M122" s="36"/>
      <c r="N122" s="36"/>
      <c r="O122" s="36"/>
      <c r="P122" s="58">
        <v>46181.841585648152</v>
      </c>
      <c r="Q122" s="38" t="s">
        <v>75</v>
      </c>
      <c r="R122" s="38"/>
      <c r="S122" s="45"/>
    </row>
    <row r="123" spans="1:19" s="5" customFormat="1">
      <c r="A123" s="61"/>
      <c r="B123" s="37"/>
      <c r="C123" s="36"/>
      <c r="D123" s="36"/>
      <c r="E1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8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6"/>
      <c r="M123" s="36"/>
      <c r="N123" s="36"/>
      <c r="O123" s="36"/>
      <c r="P123" s="58">
        <v>46181.841585648152</v>
      </c>
      <c r="Q123" s="38" t="s">
        <v>75</v>
      </c>
      <c r="R123" s="38"/>
      <c r="S123" s="45"/>
    </row>
    <row r="124" spans="1:19" s="5" customFormat="1">
      <c r="A124" s="61"/>
      <c r="B124" s="37"/>
      <c r="C124" s="36"/>
      <c r="D124" s="36"/>
      <c r="E1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8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6"/>
      <c r="M124" s="36"/>
      <c r="N124" s="36"/>
      <c r="O124" s="36"/>
      <c r="P124" s="58">
        <v>46181.841585648152</v>
      </c>
      <c r="Q124" s="38" t="s">
        <v>75</v>
      </c>
      <c r="R124" s="38"/>
      <c r="S124" s="45"/>
    </row>
    <row r="125" spans="1:19" s="5" customFormat="1">
      <c r="A125" s="61"/>
      <c r="B125" s="37"/>
      <c r="C125" s="36"/>
      <c r="D125" s="36"/>
      <c r="E1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8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6"/>
      <c r="M125" s="36"/>
      <c r="N125" s="36"/>
      <c r="O125" s="36"/>
      <c r="P125" s="58">
        <v>46181.841597222221</v>
      </c>
      <c r="Q125" s="38" t="s">
        <v>75</v>
      </c>
      <c r="R125" s="38"/>
      <c r="S125" s="45"/>
    </row>
    <row r="126" spans="1:19" s="5" customFormat="1">
      <c r="A126" s="61"/>
      <c r="B126" s="37"/>
      <c r="C126" s="36"/>
      <c r="D126" s="36"/>
      <c r="E1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8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6"/>
      <c r="M126" s="36"/>
      <c r="N126" s="36"/>
      <c r="O126" s="36"/>
      <c r="P126" s="58">
        <v>46181.841597222221</v>
      </c>
      <c r="Q126" s="38" t="s">
        <v>75</v>
      </c>
      <c r="R126" s="38"/>
      <c r="S126" s="45"/>
    </row>
    <row r="127" spans="1:19" s="5" customFormat="1">
      <c r="A127" s="61"/>
      <c r="B127" s="37"/>
      <c r="C127" s="36"/>
      <c r="D127" s="36"/>
      <c r="E1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8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6"/>
      <c r="M127" s="36"/>
      <c r="N127" s="36"/>
      <c r="O127" s="36"/>
      <c r="P127" s="58">
        <v>46181.841597222221</v>
      </c>
      <c r="Q127" s="38" t="s">
        <v>75</v>
      </c>
      <c r="R127" s="38"/>
      <c r="S127" s="45"/>
    </row>
    <row r="128" spans="1:19" s="5" customFormat="1">
      <c r="A128" s="61"/>
      <c r="B128" s="37"/>
      <c r="C128" s="36"/>
      <c r="D128" s="36"/>
      <c r="E1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8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6"/>
      <c r="M128" s="36"/>
      <c r="N128" s="36"/>
      <c r="O128" s="36"/>
      <c r="P128" s="58">
        <v>46181.841597222221</v>
      </c>
      <c r="Q128" s="38" t="s">
        <v>75</v>
      </c>
      <c r="R128" s="38"/>
      <c r="S128" s="45"/>
    </row>
    <row r="129" spans="1:19" s="5" customFormat="1">
      <c r="A129" s="61"/>
      <c r="B129" s="37"/>
      <c r="C129" s="36"/>
      <c r="D129" s="36"/>
      <c r="E1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8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6"/>
      <c r="M129" s="36"/>
      <c r="N129" s="36"/>
      <c r="O129" s="36"/>
      <c r="P129" s="58">
        <v>46181.841597222221</v>
      </c>
      <c r="Q129" s="38" t="s">
        <v>75</v>
      </c>
      <c r="R129" s="38"/>
      <c r="S129" s="45"/>
    </row>
    <row r="130" spans="1:19" s="5" customFormat="1">
      <c r="A130" s="61"/>
      <c r="B130" s="37"/>
      <c r="C130" s="36"/>
      <c r="D130" s="36"/>
      <c r="E1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8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6"/>
      <c r="M130" s="36"/>
      <c r="N130" s="36"/>
      <c r="O130" s="36"/>
      <c r="P130" s="58">
        <v>46181.841597222221</v>
      </c>
      <c r="Q130" s="38" t="s">
        <v>75</v>
      </c>
      <c r="R130" s="38"/>
      <c r="S130" s="45"/>
    </row>
    <row r="131" spans="1:19" s="5" customFormat="1">
      <c r="A131" s="61"/>
      <c r="B131" s="37"/>
      <c r="C131" s="36"/>
      <c r="D131" s="36"/>
      <c r="E1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8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6"/>
      <c r="M131" s="36"/>
      <c r="N131" s="36"/>
      <c r="O131" s="36"/>
      <c r="P131" s="58">
        <v>46181.841597222221</v>
      </c>
      <c r="Q131" s="38" t="s">
        <v>75</v>
      </c>
      <c r="R131" s="38"/>
      <c r="S131" s="45"/>
    </row>
    <row r="132" spans="1:19" s="5" customFormat="1">
      <c r="A132" s="61"/>
      <c r="B132" s="37"/>
      <c r="C132" s="36"/>
      <c r="D132" s="36"/>
      <c r="E1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8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6"/>
      <c r="M132" s="36"/>
      <c r="N132" s="36"/>
      <c r="O132" s="36"/>
      <c r="P132" s="58">
        <v>46181.841597222221</v>
      </c>
      <c r="Q132" s="38" t="s">
        <v>75</v>
      </c>
      <c r="R132" s="38"/>
      <c r="S132" s="45"/>
    </row>
    <row r="133" spans="1:19" s="5" customFormat="1">
      <c r="A133" s="61"/>
      <c r="B133" s="37"/>
      <c r="C133" s="36"/>
      <c r="D133" s="36"/>
      <c r="E1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8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6"/>
      <c r="M133" s="36"/>
      <c r="N133" s="36"/>
      <c r="O133" s="36"/>
      <c r="P133" s="58">
        <v>46181.841597222221</v>
      </c>
      <c r="Q133" s="38" t="s">
        <v>75</v>
      </c>
      <c r="R133" s="38"/>
      <c r="S133" s="45"/>
    </row>
    <row r="134" spans="1:19" s="5" customFormat="1">
      <c r="A134" s="61"/>
      <c r="B134" s="37"/>
      <c r="C134" s="36"/>
      <c r="D134" s="36"/>
      <c r="E1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8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6"/>
      <c r="M134" s="36"/>
      <c r="N134" s="36"/>
      <c r="O134" s="36"/>
      <c r="P134" s="58">
        <v>46181.841597222221</v>
      </c>
      <c r="Q134" s="38" t="s">
        <v>75</v>
      </c>
      <c r="R134" s="38"/>
      <c r="S134" s="45"/>
    </row>
    <row r="135" spans="1:19" s="5" customFormat="1">
      <c r="A135" s="61"/>
      <c r="B135" s="37"/>
      <c r="C135" s="36"/>
      <c r="D135" s="36"/>
      <c r="E1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8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6"/>
      <c r="M135" s="36"/>
      <c r="N135" s="36"/>
      <c r="O135" s="36"/>
      <c r="P135" s="58">
        <v>46181.841597222221</v>
      </c>
      <c r="Q135" s="38" t="s">
        <v>75</v>
      </c>
      <c r="R135" s="38"/>
      <c r="S135" s="45"/>
    </row>
    <row r="136" spans="1:19" s="5" customFormat="1">
      <c r="A136" s="61"/>
      <c r="B136" s="37"/>
      <c r="C136" s="36"/>
      <c r="D136" s="36"/>
      <c r="E1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8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6"/>
      <c r="M136" s="36"/>
      <c r="N136" s="36"/>
      <c r="O136" s="36"/>
      <c r="P136" s="58">
        <v>46181.841597222221</v>
      </c>
      <c r="Q136" s="38" t="s">
        <v>75</v>
      </c>
      <c r="R136" s="38"/>
      <c r="S136" s="45"/>
    </row>
    <row r="137" spans="1:19" s="5" customFormat="1">
      <c r="A137" s="61"/>
      <c r="B137" s="37"/>
      <c r="C137" s="36"/>
      <c r="D137" s="36"/>
      <c r="E1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8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6"/>
      <c r="M137" s="36"/>
      <c r="N137" s="36"/>
      <c r="O137" s="36"/>
      <c r="P137" s="58">
        <v>46181.841597222221</v>
      </c>
      <c r="Q137" s="38" t="s">
        <v>75</v>
      </c>
      <c r="R137" s="38"/>
      <c r="S137" s="45"/>
    </row>
    <row r="138" spans="1:19" s="5" customFormat="1">
      <c r="A138" s="61"/>
      <c r="B138" s="37"/>
      <c r="C138" s="36"/>
      <c r="D138" s="36"/>
      <c r="E1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8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6"/>
      <c r="M138" s="36"/>
      <c r="N138" s="36"/>
      <c r="O138" s="36"/>
      <c r="P138" s="58">
        <v>46181.841597222221</v>
      </c>
      <c r="Q138" s="38" t="s">
        <v>75</v>
      </c>
      <c r="R138" s="38"/>
      <c r="S138" s="45"/>
    </row>
    <row r="139" spans="1:19" s="5" customFormat="1">
      <c r="A139" s="61"/>
      <c r="B139" s="37"/>
      <c r="C139" s="36"/>
      <c r="D139" s="36"/>
      <c r="E1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8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6"/>
      <c r="M139" s="36"/>
      <c r="N139" s="36"/>
      <c r="O139" s="36"/>
      <c r="P139" s="58">
        <v>46181.841597222221</v>
      </c>
      <c r="Q139" s="38" t="s">
        <v>75</v>
      </c>
      <c r="R139" s="38"/>
      <c r="S139" s="45"/>
    </row>
    <row r="140" spans="1:19" s="5" customFormat="1">
      <c r="A140" s="61"/>
      <c r="B140" s="37"/>
      <c r="C140" s="36"/>
      <c r="D140" s="36"/>
      <c r="E1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8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6"/>
      <c r="M140" s="36"/>
      <c r="N140" s="36"/>
      <c r="O140" s="36"/>
      <c r="P140" s="58">
        <v>46181.841597222221</v>
      </c>
      <c r="Q140" s="38" t="s">
        <v>75</v>
      </c>
      <c r="R140" s="38"/>
      <c r="S140" s="45"/>
    </row>
    <row r="141" spans="1:19" s="5" customFormat="1">
      <c r="A141" s="61"/>
      <c r="B141" s="37"/>
      <c r="C141" s="36"/>
      <c r="D141" s="36"/>
      <c r="E1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8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6"/>
      <c r="M141" s="36"/>
      <c r="N141" s="36"/>
      <c r="O141" s="36"/>
      <c r="P141" s="58">
        <v>46181.841597222221</v>
      </c>
      <c r="Q141" s="38" t="s">
        <v>75</v>
      </c>
      <c r="R141" s="38"/>
      <c r="S141" s="45"/>
    </row>
    <row r="142" spans="1:19" s="5" customFormat="1">
      <c r="A142" s="61"/>
      <c r="B142" s="37"/>
      <c r="C142" s="36"/>
      <c r="D142" s="36"/>
      <c r="E1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8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6"/>
      <c r="M142" s="36"/>
      <c r="N142" s="36"/>
      <c r="O142" s="36"/>
      <c r="P142" s="58">
        <v>46181.841608796298</v>
      </c>
      <c r="Q142" s="38" t="s">
        <v>75</v>
      </c>
      <c r="R142" s="38"/>
      <c r="S142" s="45"/>
    </row>
    <row r="143" spans="1:19" s="5" customFormat="1">
      <c r="A143" s="61"/>
      <c r="B143" s="37"/>
      <c r="C143" s="36"/>
      <c r="D143" s="36"/>
      <c r="E1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8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6"/>
      <c r="M143" s="36"/>
      <c r="N143" s="36"/>
      <c r="O143" s="36"/>
      <c r="P143" s="58">
        <v>46181.841608796298</v>
      </c>
      <c r="Q143" s="38" t="s">
        <v>75</v>
      </c>
      <c r="R143" s="38"/>
      <c r="S143" s="45"/>
    </row>
    <row r="144" spans="1:19" s="5" customFormat="1">
      <c r="A144" s="61"/>
      <c r="B144" s="37"/>
      <c r="C144" s="36"/>
      <c r="D144" s="36"/>
      <c r="E1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8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6"/>
      <c r="M144" s="36"/>
      <c r="N144" s="36"/>
      <c r="O144" s="36"/>
      <c r="P144" s="58">
        <v>46181.841608796298</v>
      </c>
      <c r="Q144" s="38" t="s">
        <v>75</v>
      </c>
      <c r="R144" s="38"/>
      <c r="S144" s="45"/>
    </row>
    <row r="145" spans="1:19" s="5" customFormat="1">
      <c r="A145" s="61"/>
      <c r="B145" s="37"/>
      <c r="C145" s="36"/>
      <c r="D145" s="36"/>
      <c r="E1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8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6"/>
      <c r="M145" s="36"/>
      <c r="N145" s="36"/>
      <c r="O145" s="36"/>
      <c r="P145" s="58">
        <v>46181.841608796298</v>
      </c>
      <c r="Q145" s="38" t="s">
        <v>75</v>
      </c>
      <c r="R145" s="38"/>
      <c r="S145" s="45"/>
    </row>
    <row r="146" spans="1:19" s="5" customFormat="1">
      <c r="A146" s="61"/>
      <c r="B146" s="37"/>
      <c r="C146" s="36"/>
      <c r="D146" s="36"/>
      <c r="E1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8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6"/>
      <c r="M146" s="36"/>
      <c r="N146" s="36"/>
      <c r="O146" s="36"/>
      <c r="P146" s="58">
        <v>46181.841608796298</v>
      </c>
      <c r="Q146" s="38" t="s">
        <v>75</v>
      </c>
      <c r="R146" s="38"/>
      <c r="S146" s="45"/>
    </row>
    <row r="147" spans="1:19" s="5" customFormat="1">
      <c r="A147" s="61"/>
      <c r="B147" s="37"/>
      <c r="C147" s="36"/>
      <c r="D147" s="36"/>
      <c r="E1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8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6"/>
      <c r="M147" s="36"/>
      <c r="N147" s="36"/>
      <c r="O147" s="36"/>
      <c r="P147" s="58">
        <v>46181.841608796298</v>
      </c>
      <c r="Q147" s="38" t="s">
        <v>75</v>
      </c>
      <c r="R147" s="38"/>
      <c r="S147" s="45"/>
    </row>
    <row r="148" spans="1:19" s="5" customFormat="1">
      <c r="A148" s="61"/>
      <c r="B148" s="37"/>
      <c r="C148" s="36"/>
      <c r="D148" s="36"/>
      <c r="E1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8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6"/>
      <c r="M148" s="36"/>
      <c r="N148" s="36"/>
      <c r="O148" s="36"/>
      <c r="P148" s="58">
        <v>46181.841608796298</v>
      </c>
      <c r="Q148" s="38" t="s">
        <v>75</v>
      </c>
      <c r="R148" s="38"/>
      <c r="S148" s="45"/>
    </row>
    <row r="149" spans="1:19" s="5" customFormat="1">
      <c r="A149" s="61"/>
      <c r="B149" s="37"/>
      <c r="C149" s="36"/>
      <c r="D149" s="36"/>
      <c r="E1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8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6"/>
      <c r="M149" s="36"/>
      <c r="N149" s="36"/>
      <c r="O149" s="36"/>
      <c r="P149" s="58">
        <v>46181.841608796298</v>
      </c>
      <c r="Q149" s="38" t="s">
        <v>75</v>
      </c>
      <c r="R149" s="38"/>
      <c r="S149" s="45"/>
    </row>
    <row r="150" spans="1:19" s="5" customFormat="1">
      <c r="A150" s="61"/>
      <c r="B150" s="37"/>
      <c r="C150" s="36"/>
      <c r="D150" s="36"/>
      <c r="E1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8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6"/>
      <c r="M150" s="36"/>
      <c r="N150" s="36"/>
      <c r="O150" s="36"/>
      <c r="P150" s="58">
        <v>46181.841608796298</v>
      </c>
      <c r="Q150" s="38" t="s">
        <v>75</v>
      </c>
      <c r="R150" s="38"/>
      <c r="S150" s="45"/>
    </row>
    <row r="151" spans="1:19" s="5" customFormat="1">
      <c r="A151" s="61"/>
      <c r="B151" s="37"/>
      <c r="C151" s="36"/>
      <c r="D151" s="36"/>
      <c r="E1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8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6"/>
      <c r="M151" s="36"/>
      <c r="N151" s="36"/>
      <c r="O151" s="36"/>
      <c r="P151" s="58">
        <v>46181.841608796298</v>
      </c>
      <c r="Q151" s="38" t="s">
        <v>75</v>
      </c>
      <c r="R151" s="38"/>
      <c r="S151" s="45"/>
    </row>
    <row r="152" spans="1:19" s="5" customFormat="1">
      <c r="A152" s="61"/>
      <c r="B152" s="37"/>
      <c r="C152" s="36"/>
      <c r="D152" s="36"/>
      <c r="E1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8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6"/>
      <c r="M152" s="36"/>
      <c r="N152" s="36"/>
      <c r="O152" s="36"/>
      <c r="P152" s="58">
        <v>46181.841608796298</v>
      </c>
      <c r="Q152" s="38" t="s">
        <v>75</v>
      </c>
      <c r="R152" s="38"/>
      <c r="S152" s="45"/>
    </row>
    <row r="153" spans="1:19" s="5" customFormat="1">
      <c r="A153" s="61"/>
      <c r="B153" s="37"/>
      <c r="C153" s="36"/>
      <c r="D153" s="36"/>
      <c r="E1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8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6"/>
      <c r="M153" s="36"/>
      <c r="N153" s="36"/>
      <c r="O153" s="36"/>
      <c r="P153" s="58">
        <v>46181.841608796298</v>
      </c>
      <c r="Q153" s="38" t="s">
        <v>75</v>
      </c>
      <c r="R153" s="38"/>
      <c r="S153" s="45"/>
    </row>
    <row r="154" spans="1:19" s="5" customFormat="1">
      <c r="A154" s="61"/>
      <c r="B154" s="37"/>
      <c r="C154" s="36"/>
      <c r="D154" s="36"/>
      <c r="E1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8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6"/>
      <c r="M154" s="36"/>
      <c r="N154" s="36"/>
      <c r="O154" s="36"/>
      <c r="P154" s="58">
        <v>46181.841608796298</v>
      </c>
      <c r="Q154" s="38" t="s">
        <v>75</v>
      </c>
      <c r="R154" s="38"/>
      <c r="S154" s="45"/>
    </row>
    <row r="155" spans="1:19" s="5" customFormat="1">
      <c r="A155" s="61"/>
      <c r="B155" s="37"/>
      <c r="C155" s="36"/>
      <c r="D155" s="36"/>
      <c r="E1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8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6"/>
      <c r="M155" s="36"/>
      <c r="N155" s="36"/>
      <c r="O155" s="36"/>
      <c r="P155" s="58">
        <v>46181.841608796298</v>
      </c>
      <c r="Q155" s="38" t="s">
        <v>75</v>
      </c>
      <c r="R155" s="38"/>
      <c r="S155" s="45"/>
    </row>
    <row r="156" spans="1:19" s="5" customFormat="1">
      <c r="A156" s="61"/>
      <c r="B156" s="37"/>
      <c r="C156" s="36"/>
      <c r="D156" s="36"/>
      <c r="E1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8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6"/>
      <c r="M156" s="36"/>
      <c r="N156" s="36"/>
      <c r="O156" s="36"/>
      <c r="P156" s="58">
        <v>46181.841608796298</v>
      </c>
      <c r="Q156" s="38" t="s">
        <v>75</v>
      </c>
      <c r="R156" s="38"/>
      <c r="S156" s="45"/>
    </row>
    <row r="157" spans="1:19" s="5" customFormat="1">
      <c r="A157" s="61"/>
      <c r="B157" s="37"/>
      <c r="C157" s="36"/>
      <c r="D157" s="36"/>
      <c r="E1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8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6"/>
      <c r="M157" s="36"/>
      <c r="N157" s="36"/>
      <c r="O157" s="36"/>
      <c r="P157" s="58">
        <v>46181.841608796298</v>
      </c>
      <c r="Q157" s="38" t="s">
        <v>75</v>
      </c>
      <c r="R157" s="38"/>
      <c r="S157" s="45"/>
    </row>
    <row r="158" spans="1:19" s="5" customFormat="1">
      <c r="A158" s="61"/>
      <c r="B158" s="37"/>
      <c r="C158" s="36"/>
      <c r="D158" s="36"/>
      <c r="E1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8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6"/>
      <c r="M158" s="36"/>
      <c r="N158" s="36"/>
      <c r="O158" s="36"/>
      <c r="P158" s="58">
        <v>46181.841608796298</v>
      </c>
      <c r="Q158" s="38" t="s">
        <v>75</v>
      </c>
      <c r="R158" s="38"/>
      <c r="S158" s="45"/>
    </row>
    <row r="159" spans="1:19" s="5" customFormat="1">
      <c r="A159" s="61"/>
      <c r="B159" s="37"/>
      <c r="C159" s="36"/>
      <c r="D159" s="36"/>
      <c r="E1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8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6"/>
      <c r="M159" s="36"/>
      <c r="N159" s="36"/>
      <c r="O159" s="36"/>
      <c r="P159" s="58">
        <v>46181.841620370367</v>
      </c>
      <c r="Q159" s="38" t="s">
        <v>75</v>
      </c>
      <c r="R159" s="38"/>
      <c r="S159" s="45"/>
    </row>
    <row r="160" spans="1:19" s="5" customFormat="1">
      <c r="A160" s="61"/>
      <c r="B160" s="37"/>
      <c r="C160" s="36"/>
      <c r="D160" s="36"/>
      <c r="E1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8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6"/>
      <c r="M160" s="36"/>
      <c r="N160" s="36"/>
      <c r="O160" s="36"/>
      <c r="P160" s="58">
        <v>46181.841620370367</v>
      </c>
      <c r="Q160" s="38" t="s">
        <v>75</v>
      </c>
      <c r="R160" s="38"/>
      <c r="S160" s="45"/>
    </row>
    <row r="161" spans="1:19" s="5" customFormat="1">
      <c r="A161" s="61"/>
      <c r="B161" s="37"/>
      <c r="C161" s="36"/>
      <c r="D161" s="36"/>
      <c r="E1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8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6"/>
      <c r="M161" s="36"/>
      <c r="N161" s="36"/>
      <c r="O161" s="36"/>
      <c r="P161" s="58">
        <v>46181.841620370367</v>
      </c>
      <c r="Q161" s="38" t="s">
        <v>75</v>
      </c>
      <c r="R161" s="38"/>
      <c r="S161" s="45"/>
    </row>
    <row r="162" spans="1:19" s="5" customFormat="1">
      <c r="A162" s="61"/>
      <c r="B162" s="37"/>
      <c r="C162" s="36"/>
      <c r="D162" s="36"/>
      <c r="E1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8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6"/>
      <c r="M162" s="36"/>
      <c r="N162" s="36"/>
      <c r="O162" s="36"/>
      <c r="P162" s="58">
        <v>46181.841620370367</v>
      </c>
      <c r="Q162" s="38" t="s">
        <v>75</v>
      </c>
      <c r="R162" s="38"/>
      <c r="S162" s="45"/>
    </row>
    <row r="163" spans="1:19" s="5" customFormat="1">
      <c r="A163" s="61"/>
      <c r="B163" s="37"/>
      <c r="C163" s="36"/>
      <c r="D163" s="36"/>
      <c r="E1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8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6"/>
      <c r="M163" s="36"/>
      <c r="N163" s="36"/>
      <c r="O163" s="36"/>
      <c r="P163" s="58">
        <v>46181.841620370367</v>
      </c>
      <c r="Q163" s="38" t="s">
        <v>75</v>
      </c>
      <c r="R163" s="38"/>
      <c r="S163" s="45"/>
    </row>
    <row r="164" spans="1:19" s="5" customFormat="1">
      <c r="A164" s="61"/>
      <c r="B164" s="37"/>
      <c r="C164" s="36"/>
      <c r="D164" s="36"/>
      <c r="E1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8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6"/>
      <c r="M164" s="36"/>
      <c r="N164" s="36"/>
      <c r="O164" s="36"/>
      <c r="P164" s="58">
        <v>46181.841620370367</v>
      </c>
      <c r="Q164" s="38" t="s">
        <v>75</v>
      </c>
      <c r="R164" s="38"/>
      <c r="S164" s="45"/>
    </row>
    <row r="165" spans="1:19" s="5" customFormat="1">
      <c r="A165" s="61"/>
      <c r="B165" s="37"/>
      <c r="C165" s="36"/>
      <c r="D165" s="36"/>
      <c r="E1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8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6"/>
      <c r="M165" s="36"/>
      <c r="N165" s="36"/>
      <c r="O165" s="36"/>
      <c r="P165" s="58">
        <v>46181.841620370367</v>
      </c>
      <c r="Q165" s="38" t="s">
        <v>75</v>
      </c>
      <c r="R165" s="38"/>
      <c r="S165" s="45"/>
    </row>
    <row r="166" spans="1:19" s="5" customFormat="1">
      <c r="A166" s="61"/>
      <c r="B166" s="37"/>
      <c r="C166" s="36"/>
      <c r="D166" s="36"/>
      <c r="E1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8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6"/>
      <c r="M166" s="36"/>
      <c r="N166" s="36"/>
      <c r="O166" s="36"/>
      <c r="P166" s="58">
        <v>46181.841620370367</v>
      </c>
      <c r="Q166" s="38" t="s">
        <v>75</v>
      </c>
      <c r="R166" s="38"/>
      <c r="S166" s="45"/>
    </row>
    <row r="167" spans="1:19" s="5" customFormat="1">
      <c r="A167" s="61"/>
      <c r="B167" s="37"/>
      <c r="C167" s="36"/>
      <c r="D167" s="36"/>
      <c r="E1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8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6"/>
      <c r="M167" s="36"/>
      <c r="N167" s="36"/>
      <c r="O167" s="36"/>
      <c r="P167" s="58">
        <v>46181.841620370367</v>
      </c>
      <c r="Q167" s="38" t="s">
        <v>75</v>
      </c>
      <c r="R167" s="38"/>
      <c r="S167" s="45"/>
    </row>
    <row r="168" spans="1:19" s="5" customFormat="1">
      <c r="A168" s="61"/>
      <c r="B168" s="37"/>
      <c r="C168" s="36"/>
      <c r="D168" s="36"/>
      <c r="E1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8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6"/>
      <c r="M168" s="36"/>
      <c r="N168" s="36"/>
      <c r="O168" s="36"/>
      <c r="P168" s="58">
        <v>46181.841620370367</v>
      </c>
      <c r="Q168" s="38" t="s">
        <v>75</v>
      </c>
      <c r="R168" s="38"/>
      <c r="S168" s="45"/>
    </row>
    <row r="169" spans="1:19" s="5" customFormat="1">
      <c r="A169" s="61"/>
      <c r="B169" s="37"/>
      <c r="C169" s="36"/>
      <c r="D169" s="36"/>
      <c r="E1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8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6"/>
      <c r="M169" s="36"/>
      <c r="N169" s="36"/>
      <c r="O169" s="36"/>
      <c r="P169" s="58">
        <v>46181.841620370367</v>
      </c>
      <c r="Q169" s="38" t="s">
        <v>75</v>
      </c>
      <c r="R169" s="38"/>
      <c r="S169" s="45"/>
    </row>
    <row r="170" spans="1:19" s="5" customFormat="1">
      <c r="A170" s="61"/>
      <c r="B170" s="37"/>
      <c r="C170" s="36"/>
      <c r="D170" s="36"/>
      <c r="E1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8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6"/>
      <c r="M170" s="36"/>
      <c r="N170" s="36"/>
      <c r="O170" s="36"/>
      <c r="P170" s="58">
        <v>46181.841620370367</v>
      </c>
      <c r="Q170" s="38" t="s">
        <v>75</v>
      </c>
      <c r="R170" s="38"/>
      <c r="S170" s="45"/>
    </row>
    <row r="171" spans="1:19" s="5" customFormat="1">
      <c r="A171" s="61"/>
      <c r="B171" s="37"/>
      <c r="C171" s="36"/>
      <c r="D171" s="36"/>
      <c r="E1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8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6"/>
      <c r="M171" s="36"/>
      <c r="N171" s="36"/>
      <c r="O171" s="36"/>
      <c r="P171" s="58">
        <v>46181.841620370367</v>
      </c>
      <c r="Q171" s="38" t="s">
        <v>75</v>
      </c>
      <c r="R171" s="38"/>
      <c r="S171" s="45"/>
    </row>
    <row r="172" spans="1:19" s="5" customFormat="1">
      <c r="A172" s="61"/>
      <c r="B172" s="37"/>
      <c r="C172" s="36"/>
      <c r="D172" s="36"/>
      <c r="E1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8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6"/>
      <c r="M172" s="36"/>
      <c r="N172" s="36"/>
      <c r="O172" s="36"/>
      <c r="P172" s="58">
        <v>46181.841620370367</v>
      </c>
      <c r="Q172" s="38" t="s">
        <v>75</v>
      </c>
      <c r="R172" s="38"/>
      <c r="S172" s="45"/>
    </row>
    <row r="173" spans="1:19" s="5" customFormat="1">
      <c r="A173" s="61"/>
      <c r="B173" s="37"/>
      <c r="C173" s="36"/>
      <c r="D173" s="36"/>
      <c r="E1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8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6"/>
      <c r="M173" s="36"/>
      <c r="N173" s="36"/>
      <c r="O173" s="36"/>
      <c r="P173" s="58">
        <v>46181.841620370367</v>
      </c>
      <c r="Q173" s="38" t="s">
        <v>75</v>
      </c>
      <c r="R173" s="38"/>
      <c r="S173" s="45"/>
    </row>
    <row r="174" spans="1:19" s="5" customFormat="1">
      <c r="A174" s="61"/>
      <c r="B174" s="37"/>
      <c r="C174" s="36"/>
      <c r="D174" s="36"/>
      <c r="E1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8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6"/>
      <c r="M174" s="36"/>
      <c r="N174" s="36"/>
      <c r="O174" s="36"/>
      <c r="P174" s="58">
        <v>46181.841620370367</v>
      </c>
      <c r="Q174" s="38" t="s">
        <v>75</v>
      </c>
      <c r="R174" s="38"/>
      <c r="S174" s="45"/>
    </row>
    <row r="175" spans="1:19" s="5" customFormat="1">
      <c r="A175" s="61"/>
      <c r="B175" s="37"/>
      <c r="C175" s="36"/>
      <c r="D175" s="36"/>
      <c r="E1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8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6"/>
      <c r="M175" s="36"/>
      <c r="N175" s="36"/>
      <c r="O175" s="36"/>
      <c r="P175" s="58">
        <v>46181.841620370367</v>
      </c>
      <c r="Q175" s="38" t="s">
        <v>75</v>
      </c>
      <c r="R175" s="38"/>
      <c r="S175" s="45"/>
    </row>
    <row r="176" spans="1:19" s="5" customFormat="1">
      <c r="A176" s="61"/>
      <c r="B176" s="37"/>
      <c r="C176" s="36"/>
      <c r="D176" s="36"/>
      <c r="E1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8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6"/>
      <c r="M176" s="36"/>
      <c r="N176" s="36"/>
      <c r="O176" s="36"/>
      <c r="P176" s="58">
        <v>46181.841631944444</v>
      </c>
      <c r="Q176" s="38" t="s">
        <v>75</v>
      </c>
      <c r="R176" s="38"/>
      <c r="S176" s="45"/>
    </row>
    <row r="177" spans="1:19" s="5" customFormat="1">
      <c r="A177" s="61"/>
      <c r="B177" s="37"/>
      <c r="C177" s="36"/>
      <c r="D177" s="36"/>
      <c r="E1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8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6"/>
      <c r="M177" s="36"/>
      <c r="N177" s="36"/>
      <c r="O177" s="36"/>
      <c r="P177" s="58">
        <v>46181.841631944444</v>
      </c>
      <c r="Q177" s="38" t="s">
        <v>75</v>
      </c>
      <c r="R177" s="38"/>
      <c r="S177" s="45"/>
    </row>
    <row r="178" spans="1:19" s="5" customFormat="1">
      <c r="A178" s="61"/>
      <c r="B178" s="37"/>
      <c r="C178" s="36"/>
      <c r="D178" s="36"/>
      <c r="E1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8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6"/>
      <c r="M178" s="36"/>
      <c r="N178" s="36"/>
      <c r="O178" s="36"/>
      <c r="P178" s="58">
        <v>46181.841631944444</v>
      </c>
      <c r="Q178" s="38" t="s">
        <v>75</v>
      </c>
      <c r="R178" s="38"/>
      <c r="S178" s="45"/>
    </row>
    <row r="179" spans="1:19" s="5" customFormat="1">
      <c r="A179" s="61"/>
      <c r="B179" s="37"/>
      <c r="C179" s="36"/>
      <c r="D179" s="36"/>
      <c r="E1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8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6"/>
      <c r="M179" s="36"/>
      <c r="N179" s="36"/>
      <c r="O179" s="36"/>
      <c r="P179" s="58">
        <v>46181.841631944444</v>
      </c>
      <c r="Q179" s="38" t="s">
        <v>75</v>
      </c>
      <c r="R179" s="38"/>
      <c r="S179" s="45"/>
    </row>
    <row r="180" spans="1:19" s="5" customFormat="1">
      <c r="A180" s="61"/>
      <c r="B180" s="37"/>
      <c r="C180" s="36"/>
      <c r="D180" s="36"/>
      <c r="E1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8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6"/>
      <c r="M180" s="36"/>
      <c r="N180" s="36"/>
      <c r="O180" s="36"/>
      <c r="P180" s="58">
        <v>46181.841631944444</v>
      </c>
      <c r="Q180" s="38" t="s">
        <v>75</v>
      </c>
      <c r="R180" s="38"/>
      <c r="S180" s="45"/>
    </row>
    <row r="181" spans="1:19" s="5" customFormat="1">
      <c r="A181" s="61"/>
      <c r="B181" s="37"/>
      <c r="C181" s="36"/>
      <c r="D181" s="36"/>
      <c r="E1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8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6"/>
      <c r="M181" s="36"/>
      <c r="N181" s="36"/>
      <c r="O181" s="36"/>
      <c r="P181" s="58">
        <v>46181.841631944444</v>
      </c>
      <c r="Q181" s="38" t="s">
        <v>75</v>
      </c>
      <c r="R181" s="38"/>
      <c r="S181" s="45"/>
    </row>
    <row r="182" spans="1:19" s="5" customFormat="1">
      <c r="A182" s="61"/>
      <c r="B182" s="37"/>
      <c r="C182" s="36"/>
      <c r="D182" s="36"/>
      <c r="E1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8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6"/>
      <c r="M182" s="36"/>
      <c r="N182" s="36"/>
      <c r="O182" s="36"/>
      <c r="P182" s="58">
        <v>46181.841631944444</v>
      </c>
      <c r="Q182" s="38" t="s">
        <v>75</v>
      </c>
      <c r="R182" s="38"/>
      <c r="S182" s="45"/>
    </row>
    <row r="183" spans="1:19" s="5" customFormat="1">
      <c r="A183" s="61"/>
      <c r="B183" s="37"/>
      <c r="C183" s="36"/>
      <c r="D183" s="36"/>
      <c r="E1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8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6"/>
      <c r="M183" s="36"/>
      <c r="N183" s="36"/>
      <c r="O183" s="36"/>
      <c r="P183" s="58">
        <v>46181.841631944444</v>
      </c>
      <c r="Q183" s="38" t="s">
        <v>75</v>
      </c>
      <c r="R183" s="38"/>
      <c r="S183" s="45"/>
    </row>
    <row r="184" spans="1:19" s="5" customFormat="1">
      <c r="A184" s="61"/>
      <c r="B184" s="37"/>
      <c r="C184" s="36"/>
      <c r="D184" s="36"/>
      <c r="E1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8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6"/>
      <c r="M184" s="36"/>
      <c r="N184" s="36"/>
      <c r="O184" s="36"/>
      <c r="P184" s="58">
        <v>46181.841631944444</v>
      </c>
      <c r="Q184" s="38" t="s">
        <v>75</v>
      </c>
      <c r="R184" s="38"/>
      <c r="S184" s="45"/>
    </row>
    <row r="185" spans="1:19" s="5" customFormat="1">
      <c r="A185" s="61"/>
      <c r="B185" s="37"/>
      <c r="C185" s="36"/>
      <c r="D185" s="36"/>
      <c r="E1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8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6"/>
      <c r="M185" s="36"/>
      <c r="N185" s="36"/>
      <c r="O185" s="36"/>
      <c r="P185" s="58">
        <v>46181.841631944444</v>
      </c>
      <c r="Q185" s="38" t="s">
        <v>75</v>
      </c>
      <c r="R185" s="38"/>
      <c r="S185" s="45"/>
    </row>
    <row r="186" spans="1:19" s="5" customFormat="1">
      <c r="A186" s="61"/>
      <c r="B186" s="37"/>
      <c r="C186" s="36"/>
      <c r="D186" s="36"/>
      <c r="E1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8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6"/>
      <c r="M186" s="36"/>
      <c r="N186" s="36"/>
      <c r="O186" s="36"/>
      <c r="P186" s="58">
        <v>46181.841631944444</v>
      </c>
      <c r="Q186" s="38" t="s">
        <v>75</v>
      </c>
      <c r="R186" s="38"/>
      <c r="S186" s="45"/>
    </row>
    <row r="187" spans="1:19" s="5" customFormat="1">
      <c r="A187" s="61"/>
      <c r="B187" s="37"/>
      <c r="C187" s="36"/>
      <c r="D187" s="36"/>
      <c r="E1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8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6"/>
      <c r="M187" s="36"/>
      <c r="N187" s="36"/>
      <c r="O187" s="36"/>
      <c r="P187" s="58">
        <v>46181.841631944444</v>
      </c>
      <c r="Q187" s="38" t="s">
        <v>75</v>
      </c>
      <c r="R187" s="38"/>
      <c r="S187" s="45"/>
    </row>
    <row r="188" spans="1:19" s="5" customFormat="1">
      <c r="A188" s="61"/>
      <c r="B188" s="37"/>
      <c r="C188" s="36"/>
      <c r="D188" s="36"/>
      <c r="E1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8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6"/>
      <c r="M188" s="36"/>
      <c r="N188" s="36"/>
      <c r="O188" s="36"/>
      <c r="P188" s="58">
        <v>46181.841631944444</v>
      </c>
      <c r="Q188" s="38" t="s">
        <v>75</v>
      </c>
      <c r="R188" s="38"/>
      <c r="S188" s="45"/>
    </row>
    <row r="189" spans="1:19" s="5" customFormat="1">
      <c r="A189" s="61"/>
      <c r="B189" s="37"/>
      <c r="C189" s="36"/>
      <c r="D189" s="36"/>
      <c r="E1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8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6"/>
      <c r="M189" s="36"/>
      <c r="N189" s="36"/>
      <c r="O189" s="36"/>
      <c r="P189" s="58">
        <v>46181.841631944444</v>
      </c>
      <c r="Q189" s="38" t="s">
        <v>75</v>
      </c>
      <c r="R189" s="38"/>
      <c r="S189" s="45"/>
    </row>
    <row r="190" spans="1:19" s="5" customFormat="1">
      <c r="A190" s="61"/>
      <c r="B190" s="37"/>
      <c r="C190" s="36"/>
      <c r="D190" s="36"/>
      <c r="E1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8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6"/>
      <c r="M190" s="36"/>
      <c r="N190" s="36"/>
      <c r="O190" s="36"/>
      <c r="P190" s="58">
        <v>46181.841631944444</v>
      </c>
      <c r="Q190" s="38" t="s">
        <v>75</v>
      </c>
      <c r="R190" s="38"/>
      <c r="S190" s="45"/>
    </row>
    <row r="191" spans="1:19" s="5" customFormat="1">
      <c r="A191" s="61"/>
      <c r="B191" s="37"/>
      <c r="C191" s="36"/>
      <c r="D191" s="36"/>
      <c r="E1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8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6"/>
      <c r="M191" s="36"/>
      <c r="N191" s="36"/>
      <c r="O191" s="36"/>
      <c r="P191" s="58">
        <v>46181.841631944444</v>
      </c>
      <c r="Q191" s="38" t="s">
        <v>75</v>
      </c>
      <c r="R191" s="38"/>
      <c r="S191" s="45"/>
    </row>
    <row r="192" spans="1:19" s="5" customFormat="1">
      <c r="A192" s="61"/>
      <c r="B192" s="37"/>
      <c r="C192" s="36"/>
      <c r="D192" s="36"/>
      <c r="E1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8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6"/>
      <c r="M192" s="36"/>
      <c r="N192" s="36"/>
      <c r="O192" s="36"/>
      <c r="P192" s="58">
        <v>46181.841643518521</v>
      </c>
      <c r="Q192" s="38" t="s">
        <v>75</v>
      </c>
      <c r="R192" s="38"/>
      <c r="S192" s="45"/>
    </row>
    <row r="193" spans="1:19" s="5" customFormat="1">
      <c r="A193" s="61"/>
      <c r="B193" s="37"/>
      <c r="C193" s="36"/>
      <c r="D193" s="36"/>
      <c r="E1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8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6"/>
      <c r="M193" s="36"/>
      <c r="N193" s="36"/>
      <c r="O193" s="36"/>
      <c r="P193" s="58">
        <v>46181.841643518521</v>
      </c>
      <c r="Q193" s="38" t="s">
        <v>75</v>
      </c>
      <c r="R193" s="38"/>
      <c r="S193" s="45"/>
    </row>
    <row r="194" spans="1:19" s="5" customFormat="1">
      <c r="A194" s="61"/>
      <c r="B194" s="37"/>
      <c r="C194" s="36"/>
      <c r="D194" s="36"/>
      <c r="E1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8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6"/>
      <c r="M194" s="36"/>
      <c r="N194" s="36"/>
      <c r="O194" s="36"/>
      <c r="P194" s="58">
        <v>46181.841643518521</v>
      </c>
      <c r="Q194" s="38" t="s">
        <v>75</v>
      </c>
      <c r="R194" s="38"/>
      <c r="S194" s="45"/>
    </row>
    <row r="195" spans="1:19" s="5" customFormat="1">
      <c r="A195" s="61"/>
      <c r="B195" s="37"/>
      <c r="C195" s="36"/>
      <c r="D195" s="36"/>
      <c r="E1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8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6"/>
      <c r="M195" s="36"/>
      <c r="N195" s="36"/>
      <c r="O195" s="36"/>
      <c r="P195" s="58">
        <v>46181.841643518521</v>
      </c>
      <c r="Q195" s="38" t="s">
        <v>75</v>
      </c>
      <c r="R195" s="38"/>
      <c r="S195" s="45"/>
    </row>
    <row r="196" spans="1:19" s="5" customFormat="1">
      <c r="A196" s="61"/>
      <c r="B196" s="37"/>
      <c r="C196" s="36"/>
      <c r="D196" s="36"/>
      <c r="E1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8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6"/>
      <c r="M196" s="36"/>
      <c r="N196" s="36"/>
      <c r="O196" s="36"/>
      <c r="P196" s="58">
        <v>46181.841643518521</v>
      </c>
      <c r="Q196" s="38" t="s">
        <v>75</v>
      </c>
      <c r="R196" s="38"/>
      <c r="S196" s="45"/>
    </row>
    <row r="197" spans="1:19" s="5" customFormat="1">
      <c r="A197" s="61"/>
      <c r="B197" s="37"/>
      <c r="C197" s="36"/>
      <c r="D197" s="36"/>
      <c r="E1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8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6"/>
      <c r="M197" s="36"/>
      <c r="N197" s="36"/>
      <c r="O197" s="36"/>
      <c r="P197" s="58">
        <v>46181.841643518521</v>
      </c>
      <c r="Q197" s="38" t="s">
        <v>75</v>
      </c>
      <c r="R197" s="38"/>
      <c r="S197" s="45"/>
    </row>
    <row r="198" spans="1:19" s="5" customFormat="1">
      <c r="A198" s="61"/>
      <c r="B198" s="37"/>
      <c r="C198" s="36"/>
      <c r="D198" s="36"/>
      <c r="E1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8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6"/>
      <c r="M198" s="36"/>
      <c r="N198" s="36"/>
      <c r="O198" s="36"/>
      <c r="P198" s="58">
        <v>46181.841643518521</v>
      </c>
      <c r="Q198" s="38" t="s">
        <v>75</v>
      </c>
      <c r="R198" s="38"/>
      <c r="S198" s="45"/>
    </row>
    <row r="199" spans="1:19" s="5" customFormat="1">
      <c r="A199" s="61"/>
      <c r="B199" s="37"/>
      <c r="C199" s="36"/>
      <c r="D199" s="36"/>
      <c r="E1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8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6"/>
      <c r="M199" s="36"/>
      <c r="N199" s="36"/>
      <c r="O199" s="36"/>
      <c r="P199" s="58">
        <v>46181.841643518521</v>
      </c>
      <c r="Q199" s="38" t="s">
        <v>75</v>
      </c>
      <c r="R199" s="38"/>
      <c r="S199" s="45"/>
    </row>
    <row r="200" spans="1:19" s="5" customFormat="1">
      <c r="A200" s="61"/>
      <c r="B200" s="37"/>
      <c r="C200" s="36"/>
      <c r="D200" s="36"/>
      <c r="E2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8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6"/>
      <c r="M200" s="36"/>
      <c r="N200" s="36"/>
      <c r="O200" s="36"/>
      <c r="P200" s="58">
        <v>46181.841643518521</v>
      </c>
      <c r="Q200" s="38" t="s">
        <v>75</v>
      </c>
      <c r="R200" s="38"/>
      <c r="S200" s="45"/>
    </row>
    <row r="201" spans="1:19" s="5" customFormat="1">
      <c r="A201" s="61"/>
      <c r="B201" s="37"/>
      <c r="C201" s="36"/>
      <c r="D201" s="36"/>
      <c r="E2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8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6"/>
      <c r="M201" s="36"/>
      <c r="N201" s="36"/>
      <c r="O201" s="36"/>
      <c r="P201" s="58">
        <v>46181.841643518521</v>
      </c>
      <c r="Q201" s="38" t="s">
        <v>75</v>
      </c>
      <c r="R201" s="38"/>
      <c r="S201" s="45"/>
    </row>
  </sheetData>
  <conditionalFormatting sqref="E2:E201">
    <cfRule type="containsText" dxfId="7" priority="20" stopIfTrue="1" operator="containsText" text="Checked:">
      <formula>NOT(ISERROR(SEARCH("Checked:",E2)))</formula>
    </cfRule>
    <cfRule type="cellIs" dxfId="6" priority="21" stopIfTrue="1" operator="equal">
      <formula>"No checklist items checked"</formula>
    </cfRule>
    <cfRule type="cellIs" dxfId="5" priority="22" stopIfTrue="1" operator="equal">
      <formula>"Sent"</formula>
    </cfRule>
    <cfRule type="cellIs" dxfId="4" priority="23" stopIfTrue="1" operator="equal">
      <formula>"Scheduled"</formula>
    </cfRule>
    <cfRule type="cellIs" dxfId="3" priority="24" stopIfTrue="1" operator="equal">
      <formula>"Ready to Schedule"</formula>
    </cfRule>
  </conditionalFormatting>
  <conditionalFormatting sqref="A2:R201">
    <cfRule type="expression" dxfId="2" priority="1">
      <formula>AND($C2&lt;&gt;"",$K2&lt;&gt;TRUE,IFERROR(INT($A2),0)&gt;=TODAY()+1,IFERROR(INT($A2),0)&lt;=TODAY()+IF(WEEKDAY(TODAY(),1)=6,3,1),NOT(OR(LOWER(TRIM($R2))="cancelled",LOWER(TRIM($R2))="canceled")))</formula>
    </cfRule>
    <cfRule type="expression" dxfId="1" priority="25">
      <formula>OR(LOWER(TRIM($R2))="cancelled",LOWER(TRIM($R2))="canceled")</formula>
    </cfRule>
    <cfRule type="expression" dxfId="0" priority="26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  <hyperlink ref="M9" r:id="rId11" display="https://ui.attentivemobile.com/campaigns/messages/MTQ6Q29tcG9zZU1lc3NhZ2UxMTI4ODMyNQ/overview" xr:uid="{5FE6028F-A998-4396-8F2A-510DF09A73EB}"/>
    <hyperlink ref="M8" r:id="rId12" display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xr:uid="{A80D923D-1671-408E-A74F-6AB3F8E841AF}"/>
    <hyperlink ref="L9" r:id="rId13" display="https://teams.microsoft.com/l/message/19:e8e45d54914640ea878fe0171aa48fdc@thread.v2/1781212008047?context=%7B%22contextType%22%3A%22chat%22%7D" xr:uid="{DE778B48-A35C-414B-9F3D-DC558BFCA213}"/>
  </hyperlinks>
  <pageMargins left="0.7" right="0.7" top="0.75" bottom="0.75" header="0.3" footer="0.3"/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D202:D1000</xm:sqref>
        </x14:dataValidation>
        <x14:dataValidation type="list" allowBlank="1" showInputMessage="1" xr:uid="{DA9EAC1C-163F-4EF3-972C-0BFEE2F44992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0239-ABC9-40E4-BE16-1750D6791704}">
  <sheetPr codeName="Sheet3">
    <tabColor rgb="FF002060"/>
  </sheetPr>
  <dimension ref="A1:E23"/>
  <sheetViews>
    <sheetView tabSelected="1" topLeftCell="A7" workbookViewId="0">
      <selection activeCell="C23" sqref="C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78" t="s">
        <v>0</v>
      </c>
      <c r="B1" s="78"/>
      <c r="C1" s="78"/>
      <c r="D1" s="78"/>
      <c r="E1" s="78"/>
    </row>
    <row r="2" spans="1:5" ht="14.25">
      <c r="A2" s="78"/>
      <c r="B2" s="78"/>
      <c r="C2" s="78"/>
      <c r="D2" s="78"/>
      <c r="E2" s="78"/>
    </row>
    <row r="3" spans="1:5">
      <c r="A3" s="6" t="s">
        <v>1</v>
      </c>
      <c r="B3" s="6" t="s">
        <v>140</v>
      </c>
      <c r="C3" s="6" t="s">
        <v>162</v>
      </c>
      <c r="D3" s="6" t="s">
        <v>163</v>
      </c>
      <c r="E3" s="6" t="s">
        <v>164</v>
      </c>
    </row>
    <row r="4" spans="1:5" ht="45">
      <c r="A4" s="6" t="s">
        <v>165</v>
      </c>
      <c r="B4" s="6" t="s">
        <v>166</v>
      </c>
      <c r="C4" s="6" t="s">
        <v>167</v>
      </c>
      <c r="D4" s="6" t="s">
        <v>168</v>
      </c>
      <c r="E4" s="6" t="s">
        <v>169</v>
      </c>
    </row>
    <row r="5" spans="1:5" ht="45">
      <c r="A5" s="6" t="s">
        <v>165</v>
      </c>
      <c r="B5" s="6" t="s">
        <v>170</v>
      </c>
      <c r="C5" s="6" t="s">
        <v>171</v>
      </c>
      <c r="D5" s="6" t="s">
        <v>172</v>
      </c>
      <c r="E5" s="6" t="s">
        <v>173</v>
      </c>
    </row>
    <row r="6" spans="1:5" ht="45">
      <c r="A6" s="6" t="s">
        <v>174</v>
      </c>
      <c r="B6" s="6" t="s">
        <v>166</v>
      </c>
      <c r="C6" s="6" t="s">
        <v>175</v>
      </c>
      <c r="D6" s="6" t="s">
        <v>176</v>
      </c>
      <c r="E6" s="6" t="s">
        <v>177</v>
      </c>
    </row>
    <row r="7" spans="1:5" ht="45">
      <c r="A7" s="6" t="s">
        <v>44</v>
      </c>
      <c r="B7" s="6" t="s">
        <v>178</v>
      </c>
      <c r="C7" s="6" t="s">
        <v>179</v>
      </c>
      <c r="D7" s="6" t="s">
        <v>180</v>
      </c>
      <c r="E7" s="6" t="s">
        <v>181</v>
      </c>
    </row>
    <row r="8" spans="1:5" ht="30">
      <c r="A8" s="6" t="s">
        <v>182</v>
      </c>
      <c r="B8" s="6" t="s">
        <v>183</v>
      </c>
      <c r="C8" s="6" t="s">
        <v>184</v>
      </c>
      <c r="D8" s="6" t="s">
        <v>185</v>
      </c>
      <c r="E8" s="6" t="s">
        <v>186</v>
      </c>
    </row>
    <row r="9" spans="1:5" ht="45">
      <c r="A9" s="6" t="s">
        <v>98</v>
      </c>
      <c r="B9" s="6" t="s">
        <v>187</v>
      </c>
      <c r="C9" s="6" t="s">
        <v>188</v>
      </c>
      <c r="D9" s="6" t="s">
        <v>189</v>
      </c>
      <c r="E9" s="6" t="s">
        <v>190</v>
      </c>
    </row>
    <row r="10" spans="1:5" ht="30">
      <c r="A10" s="6" t="s">
        <v>98</v>
      </c>
      <c r="B10" s="6" t="s">
        <v>191</v>
      </c>
      <c r="C10" s="6" t="s">
        <v>192</v>
      </c>
      <c r="D10" s="6" t="s">
        <v>193</v>
      </c>
      <c r="E10" s="6" t="s">
        <v>194</v>
      </c>
    </row>
    <row r="11" spans="1:5" ht="45">
      <c r="A11" s="6" t="s">
        <v>195</v>
      </c>
      <c r="B11" s="6" t="s">
        <v>196</v>
      </c>
      <c r="C11" s="6" t="s">
        <v>197</v>
      </c>
      <c r="D11" s="6" t="s">
        <v>198</v>
      </c>
      <c r="E11" s="6" t="s">
        <v>199</v>
      </c>
    </row>
    <row r="12" spans="1:5" ht="45">
      <c r="A12" s="6" t="s">
        <v>200</v>
      </c>
      <c r="B12" s="6" t="s">
        <v>201</v>
      </c>
      <c r="C12" s="6" t="s">
        <v>202</v>
      </c>
      <c r="D12" s="6" t="s">
        <v>203</v>
      </c>
      <c r="E12" s="6" t="s">
        <v>204</v>
      </c>
    </row>
    <row r="13" spans="1:5" ht="45">
      <c r="A13" s="6" t="s">
        <v>205</v>
      </c>
      <c r="B13" s="6" t="s">
        <v>206</v>
      </c>
      <c r="C13" s="6" t="s">
        <v>207</v>
      </c>
      <c r="D13" s="6" t="s">
        <v>208</v>
      </c>
      <c r="E13" s="6" t="s">
        <v>209</v>
      </c>
    </row>
    <row r="14" spans="1:5" ht="45">
      <c r="A14" s="6" t="s">
        <v>210</v>
      </c>
      <c r="B14" s="6" t="s">
        <v>211</v>
      </c>
      <c r="C14" s="6" t="s">
        <v>212</v>
      </c>
      <c r="D14" s="6" t="s">
        <v>213</v>
      </c>
      <c r="E14" s="6" t="s">
        <v>214</v>
      </c>
    </row>
    <row r="15" spans="1:5" ht="45">
      <c r="A15" s="6" t="s">
        <v>21</v>
      </c>
      <c r="B15" s="6" t="s">
        <v>217</v>
      </c>
      <c r="C15" s="6" t="s">
        <v>218</v>
      </c>
      <c r="D15" s="6" t="s">
        <v>219</v>
      </c>
      <c r="E15" s="6" t="s">
        <v>220</v>
      </c>
    </row>
    <row r="16" spans="1:5" ht="45">
      <c r="A16" s="6" t="s">
        <v>42</v>
      </c>
      <c r="B16" s="6" t="s">
        <v>221</v>
      </c>
      <c r="C16" s="6" t="s">
        <v>222</v>
      </c>
      <c r="D16" s="6" t="s">
        <v>223</v>
      </c>
      <c r="E16" s="6" t="s">
        <v>224</v>
      </c>
    </row>
    <row r="17" spans="1:5" ht="45">
      <c r="A17" s="6" t="s">
        <v>239</v>
      </c>
      <c r="B17" s="6" t="s">
        <v>240</v>
      </c>
      <c r="C17" s="6" t="s">
        <v>241</v>
      </c>
      <c r="D17" s="6" t="s">
        <v>242</v>
      </c>
      <c r="E17" s="6" t="s">
        <v>243</v>
      </c>
    </row>
    <row r="18" spans="1:5" ht="60">
      <c r="A18" s="6" t="s">
        <v>244</v>
      </c>
      <c r="B18" s="6" t="s">
        <v>245</v>
      </c>
      <c r="C18" s="6" t="s">
        <v>246</v>
      </c>
      <c r="D18" s="6" t="s">
        <v>247</v>
      </c>
      <c r="E18" s="6" t="s">
        <v>248</v>
      </c>
    </row>
    <row r="19" spans="1:5" ht="45">
      <c r="A19" s="6" t="s">
        <v>225</v>
      </c>
      <c r="B19" s="6" t="s">
        <v>226</v>
      </c>
      <c r="C19" s="6" t="s">
        <v>227</v>
      </c>
      <c r="D19" s="6" t="s">
        <v>228</v>
      </c>
      <c r="E19" s="6" t="s">
        <v>229</v>
      </c>
    </row>
    <row r="20" spans="1:5" ht="45">
      <c r="A20" s="6" t="s">
        <v>230</v>
      </c>
      <c r="B20" s="6" t="s">
        <v>231</v>
      </c>
      <c r="C20" s="6" t="s">
        <v>232</v>
      </c>
      <c r="D20" s="6" t="s">
        <v>233</v>
      </c>
      <c r="E20" s="6" t="s">
        <v>234</v>
      </c>
    </row>
    <row r="21" spans="1:5" ht="30">
      <c r="A21" s="6" t="s">
        <v>235</v>
      </c>
      <c r="B21" s="6" t="s">
        <v>236</v>
      </c>
      <c r="C21" s="6" t="s">
        <v>237</v>
      </c>
      <c r="D21" s="6" t="s">
        <v>249</v>
      </c>
      <c r="E21" s="6" t="s">
        <v>238</v>
      </c>
    </row>
    <row r="22" spans="1:5" ht="75">
      <c r="A22" s="6" t="s">
        <v>265</v>
      </c>
      <c r="B22" s="6" t="s">
        <v>266</v>
      </c>
      <c r="C22" s="6" t="s">
        <v>267</v>
      </c>
      <c r="D22" s="6" t="s">
        <v>268</v>
      </c>
      <c r="E22" s="6" t="s">
        <v>269</v>
      </c>
    </row>
    <row r="23" spans="1:5" ht="120">
      <c r="A23" s="6" t="s">
        <v>270</v>
      </c>
      <c r="B23" s="6" t="s">
        <v>271</v>
      </c>
      <c r="C23" s="6" t="s">
        <v>273</v>
      </c>
      <c r="D23" s="6" t="s">
        <v>274</v>
      </c>
      <c r="E23" s="6" t="s">
        <v>272</v>
      </c>
    </row>
  </sheetData>
  <sheetProtection algorithmName="SHA-512" hashValue="Tvc3aKjLiUzTp3GvU5d7pOrSCnYIhmN9/zgq4hxU49ytz5YoccY6E8EKfScoLCIJG93jWpqerRS+AlnvSFSDpw==" saltValue="s1ZJ53qkCzSpSM8vbRJp+w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99</v>
      </c>
      <c r="D1" s="10" t="s">
        <v>100</v>
      </c>
      <c r="E1" s="10" t="s">
        <v>101</v>
      </c>
    </row>
    <row r="2" spans="1:5">
      <c r="A2" s="8" t="s">
        <v>62</v>
      </c>
      <c r="B2" s="8" t="s">
        <v>102</v>
      </c>
      <c r="C2" s="8" t="s">
        <v>2</v>
      </c>
      <c r="D2" s="8" t="s">
        <v>103</v>
      </c>
      <c r="E2" s="8" t="s">
        <v>104</v>
      </c>
    </row>
    <row r="3" spans="1:5">
      <c r="A3" s="8" t="s">
        <v>69</v>
      </c>
      <c r="B3" s="8" t="s">
        <v>105</v>
      </c>
      <c r="C3" s="8" t="s">
        <v>102</v>
      </c>
      <c r="D3" s="8" t="s">
        <v>106</v>
      </c>
      <c r="E3" s="8" t="s">
        <v>107</v>
      </c>
    </row>
    <row r="4" spans="1:5">
      <c r="A4" s="8" t="s">
        <v>65</v>
      </c>
      <c r="B4" s="8" t="s">
        <v>108</v>
      </c>
      <c r="C4" s="8" t="s">
        <v>109</v>
      </c>
      <c r="D4" s="8" t="s">
        <v>110</v>
      </c>
      <c r="E4" s="8" t="s">
        <v>111</v>
      </c>
    </row>
    <row r="5" spans="1:5">
      <c r="A5" s="8" t="s">
        <v>78</v>
      </c>
      <c r="B5" s="8" t="s">
        <v>112</v>
      </c>
      <c r="C5" s="8" t="s">
        <v>113</v>
      </c>
      <c r="D5" s="8" t="s">
        <v>114</v>
      </c>
      <c r="E5" s="8" t="s">
        <v>115</v>
      </c>
    </row>
    <row r="6" spans="1:5">
      <c r="A6" s="8" t="s">
        <v>80</v>
      </c>
      <c r="B6" s="8" t="s">
        <v>116</v>
      </c>
      <c r="C6" s="8" t="s">
        <v>117</v>
      </c>
      <c r="D6" s="8" t="s">
        <v>118</v>
      </c>
      <c r="E6" s="8" t="s">
        <v>119</v>
      </c>
    </row>
    <row r="7" spans="1:5">
      <c r="A7" s="8" t="s">
        <v>97</v>
      </c>
      <c r="B7" s="8" t="s">
        <v>120</v>
      </c>
      <c r="C7" s="8" t="s">
        <v>121</v>
      </c>
      <c r="D7" s="8" t="s">
        <v>122</v>
      </c>
      <c r="E7" s="8" t="s">
        <v>123</v>
      </c>
    </row>
    <row r="8" spans="1:5">
      <c r="A8" s="8" t="s">
        <v>124</v>
      </c>
      <c r="B8" s="8" t="s">
        <v>125</v>
      </c>
      <c r="C8" s="8" t="s">
        <v>126</v>
      </c>
      <c r="D8" s="8" t="s">
        <v>127</v>
      </c>
      <c r="E8" s="8" t="s">
        <v>128</v>
      </c>
    </row>
    <row r="9" spans="1:5">
      <c r="A9" s="8"/>
      <c r="B9" s="8" t="s">
        <v>129</v>
      </c>
      <c r="C9" s="8" t="s">
        <v>122</v>
      </c>
      <c r="D9" s="8"/>
      <c r="E9" s="8"/>
    </row>
    <row r="10" spans="1:5">
      <c r="A10" s="8"/>
      <c r="B10" s="8" t="s">
        <v>130</v>
      </c>
      <c r="C10" s="8" t="s">
        <v>131</v>
      </c>
      <c r="D10" s="8"/>
      <c r="E10" s="8"/>
    </row>
    <row r="11" spans="1:5">
      <c r="A11" s="8"/>
      <c r="B11" s="8" t="s">
        <v>132</v>
      </c>
      <c r="C11" s="8" t="s">
        <v>133</v>
      </c>
      <c r="D11" s="8"/>
      <c r="E11" s="8"/>
    </row>
    <row r="12" spans="1:5">
      <c r="A12" s="8"/>
      <c r="B12" s="8" t="s">
        <v>134</v>
      </c>
      <c r="C12" s="8" t="s">
        <v>135</v>
      </c>
      <c r="D12" s="8"/>
      <c r="E12" s="8"/>
    </row>
    <row r="13" spans="1:5">
      <c r="A13" s="8"/>
      <c r="B13" s="8" t="s">
        <v>136</v>
      </c>
      <c r="C13" s="8" t="s">
        <v>137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118</v>
      </c>
      <c r="C15" s="8" t="s">
        <v>136</v>
      </c>
      <c r="D15" s="8"/>
      <c r="E15" s="8"/>
    </row>
    <row r="16" spans="1:5">
      <c r="A16" s="8"/>
      <c r="B16" s="8" t="s">
        <v>72</v>
      </c>
      <c r="C16" s="8" t="s">
        <v>118</v>
      </c>
      <c r="D16" s="8"/>
      <c r="E16" s="8"/>
    </row>
    <row r="17" spans="1:5">
      <c r="A17" s="8"/>
      <c r="B17" s="8"/>
      <c r="C17" s="8" t="s">
        <v>72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64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138</v>
      </c>
      <c r="B1" s="10" t="s">
        <v>139</v>
      </c>
      <c r="C1" s="10" t="s">
        <v>140</v>
      </c>
      <c r="D1" s="10" t="s">
        <v>141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75</v>
      </c>
      <c r="C201" s="8" t="s">
        <v>142</v>
      </c>
      <c r="D201" s="8" t="s">
        <v>143</v>
      </c>
    </row>
    <row r="202" spans="1:4" ht="99.75">
      <c r="A202" s="9">
        <v>46179.29378472222</v>
      </c>
      <c r="B202" s="8" t="s">
        <v>75</v>
      </c>
      <c r="C202" s="8" t="s">
        <v>144</v>
      </c>
      <c r="D202" s="8" t="s">
        <v>145</v>
      </c>
    </row>
    <row r="203" spans="1:4">
      <c r="A203" s="9">
        <v>46179.296273148146</v>
      </c>
      <c r="B203" s="8" t="s">
        <v>75</v>
      </c>
      <c r="C203" s="8" t="s">
        <v>142</v>
      </c>
      <c r="D203" s="8" t="s">
        <v>143</v>
      </c>
    </row>
    <row r="204" spans="1:4">
      <c r="A204" s="9">
        <v>46179.297199074077</v>
      </c>
      <c r="B204" s="8" t="s">
        <v>75</v>
      </c>
      <c r="C204" s="8" t="s">
        <v>142</v>
      </c>
      <c r="D204" s="8" t="s">
        <v>143</v>
      </c>
    </row>
    <row r="205" spans="1:4" ht="99.75">
      <c r="A205" s="9">
        <v>46179.297199074077</v>
      </c>
      <c r="B205" s="8" t="s">
        <v>75</v>
      </c>
      <c r="C205" s="8" t="s">
        <v>144</v>
      </c>
      <c r="D205" s="8" t="s">
        <v>146</v>
      </c>
    </row>
    <row r="206" spans="1:4" ht="57">
      <c r="A206" s="9">
        <v>46179.309106956018</v>
      </c>
      <c r="B206" s="8" t="s">
        <v>75</v>
      </c>
      <c r="C206" s="8" t="s">
        <v>147</v>
      </c>
      <c r="D206" s="8" t="s">
        <v>148</v>
      </c>
    </row>
    <row r="207" spans="1:4" ht="28.5">
      <c r="A207" s="9">
        <v>46180.086365740739</v>
      </c>
      <c r="B207" s="8" t="s">
        <v>75</v>
      </c>
      <c r="C207" s="8" t="s">
        <v>149</v>
      </c>
      <c r="D207" s="8" t="s">
        <v>150</v>
      </c>
    </row>
    <row r="208" spans="1:4" ht="28.5">
      <c r="A208" s="9">
        <v>46180.08730324074</v>
      </c>
      <c r="B208" s="8" t="s">
        <v>75</v>
      </c>
      <c r="C208" s="8" t="s">
        <v>149</v>
      </c>
      <c r="D208" s="8" t="s">
        <v>150</v>
      </c>
    </row>
    <row r="209" spans="1:4" ht="28.5">
      <c r="A209" s="9">
        <v>46180.089432870373</v>
      </c>
      <c r="B209" s="8" t="s">
        <v>75</v>
      </c>
      <c r="C209" s="8" t="s">
        <v>149</v>
      </c>
      <c r="D209" s="8" t="s">
        <v>150</v>
      </c>
    </row>
    <row r="210" spans="1:4" ht="28.5">
      <c r="A210" s="9">
        <v>46180.090289351851</v>
      </c>
      <c r="B210" s="8" t="s">
        <v>75</v>
      </c>
      <c r="C210" s="8" t="s">
        <v>149</v>
      </c>
      <c r="D210" s="8" t="s">
        <v>150</v>
      </c>
    </row>
    <row r="211" spans="1:4" ht="28.5">
      <c r="A211" s="9">
        <v>46180.091238425928</v>
      </c>
      <c r="B211" s="8" t="s">
        <v>75</v>
      </c>
      <c r="C211" s="8" t="s">
        <v>149</v>
      </c>
      <c r="D211" s="8" t="s">
        <v>150</v>
      </c>
    </row>
    <row r="212" spans="1:4" ht="28.5">
      <c r="A212" s="9">
        <v>46180.092314814814</v>
      </c>
      <c r="B212" s="8" t="s">
        <v>75</v>
      </c>
      <c r="C212" s="8" t="s">
        <v>149</v>
      </c>
      <c r="D212" s="8" t="s">
        <v>150</v>
      </c>
    </row>
    <row r="213" spans="1:4" ht="28.5">
      <c r="A213" s="9">
        <v>46180.093182870369</v>
      </c>
      <c r="B213" s="8" t="s">
        <v>75</v>
      </c>
      <c r="C213" s="8" t="s">
        <v>149</v>
      </c>
      <c r="D213" s="8" t="s">
        <v>150</v>
      </c>
    </row>
    <row r="214" spans="1:4" ht="28.5">
      <c r="A214" s="9">
        <v>46180.094050925924</v>
      </c>
      <c r="B214" s="8" t="s">
        <v>75</v>
      </c>
      <c r="C214" s="8" t="s">
        <v>149</v>
      </c>
      <c r="D214" s="8" t="s">
        <v>150</v>
      </c>
    </row>
    <row r="215" spans="1:4" ht="28.5">
      <c r="A215" s="9">
        <v>46180.110868055555</v>
      </c>
      <c r="B215" s="8" t="s">
        <v>75</v>
      </c>
      <c r="C215" s="8" t="s">
        <v>151</v>
      </c>
      <c r="D215" s="8" t="s">
        <v>152</v>
      </c>
    </row>
    <row r="216" spans="1:4" ht="28.5">
      <c r="A216" s="9">
        <v>46180.12090277778</v>
      </c>
      <c r="B216" s="8" t="s">
        <v>75</v>
      </c>
      <c r="C216" s="8" t="s">
        <v>151</v>
      </c>
      <c r="D216" s="8" t="s">
        <v>152</v>
      </c>
    </row>
    <row r="217" spans="1:4" ht="28.5">
      <c r="A217" s="9">
        <v>46180.132349537038</v>
      </c>
      <c r="B217" s="8" t="s">
        <v>75</v>
      </c>
      <c r="C217" s="8" t="s">
        <v>151</v>
      </c>
      <c r="D217" s="8" t="s">
        <v>152</v>
      </c>
    </row>
    <row r="218" spans="1:4" ht="28.5">
      <c r="A218" s="9">
        <v>46180.13616898148</v>
      </c>
      <c r="B218" s="8" t="s">
        <v>75</v>
      </c>
      <c r="C218" s="8" t="s">
        <v>151</v>
      </c>
      <c r="D218" s="8" t="s">
        <v>152</v>
      </c>
    </row>
    <row r="219" spans="1:4" ht="28.5">
      <c r="A219" s="9">
        <v>46180.139490740738</v>
      </c>
      <c r="B219" s="8" t="s">
        <v>75</v>
      </c>
      <c r="C219" s="8" t="s">
        <v>151</v>
      </c>
      <c r="D219" s="8" t="s">
        <v>152</v>
      </c>
    </row>
    <row r="220" spans="1:4" ht="28.5">
      <c r="A220" s="9">
        <v>46180.174479166664</v>
      </c>
      <c r="B220" s="8" t="s">
        <v>75</v>
      </c>
      <c r="C220" s="8" t="s">
        <v>151</v>
      </c>
      <c r="D220" s="8" t="s">
        <v>152</v>
      </c>
    </row>
    <row r="221" spans="1:4" ht="28.5">
      <c r="A221" s="9">
        <v>46180.177430555559</v>
      </c>
      <c r="B221" s="8" t="s">
        <v>75</v>
      </c>
      <c r="C221" s="8" t="s">
        <v>151</v>
      </c>
      <c r="D221" s="8" t="s">
        <v>152</v>
      </c>
    </row>
    <row r="222" spans="1:4" ht="28.5">
      <c r="A222" s="9">
        <v>46180.178344907406</v>
      </c>
      <c r="B222" s="8" t="s">
        <v>75</v>
      </c>
      <c r="C222" s="8" t="s">
        <v>151</v>
      </c>
      <c r="D222" s="8" t="s">
        <v>152</v>
      </c>
    </row>
    <row r="223" spans="1:4" ht="28.5">
      <c r="A223" s="9">
        <v>46180.302488425928</v>
      </c>
      <c r="B223" s="8" t="s">
        <v>75</v>
      </c>
      <c r="C223" s="8" t="s">
        <v>149</v>
      </c>
      <c r="D223" s="8" t="s">
        <v>150</v>
      </c>
    </row>
    <row r="224" spans="1:4" ht="28.5">
      <c r="A224" s="9">
        <v>46180.318576388891</v>
      </c>
      <c r="B224" s="8" t="s">
        <v>75</v>
      </c>
      <c r="C224" s="8" t="s">
        <v>153</v>
      </c>
      <c r="D224" s="8" t="s">
        <v>154</v>
      </c>
    </row>
    <row r="225" spans="1:4" ht="28.5">
      <c r="A225" s="9">
        <v>46180.31858796296</v>
      </c>
      <c r="B225" s="8" t="s">
        <v>75</v>
      </c>
      <c r="C225" s="8" t="s">
        <v>149</v>
      </c>
      <c r="D225" s="8" t="s">
        <v>150</v>
      </c>
    </row>
    <row r="226" spans="1:4" ht="28.5">
      <c r="A226" s="9">
        <v>46180.336423611108</v>
      </c>
      <c r="B226" s="8" t="s">
        <v>75</v>
      </c>
      <c r="C226" s="8" t="s">
        <v>153</v>
      </c>
      <c r="D226" s="8" t="s">
        <v>154</v>
      </c>
    </row>
    <row r="227" spans="1:4" ht="28.5">
      <c r="A227" s="9">
        <v>46180.336423611108</v>
      </c>
      <c r="B227" s="8" t="s">
        <v>75</v>
      </c>
      <c r="C227" s="8" t="s">
        <v>149</v>
      </c>
      <c r="D227" s="8" t="s">
        <v>150</v>
      </c>
    </row>
    <row r="228" spans="1:4" ht="28.5">
      <c r="A228" s="9">
        <v>46180.340729166666</v>
      </c>
      <c r="B228" s="8" t="s">
        <v>75</v>
      </c>
      <c r="C228" s="8" t="s">
        <v>153</v>
      </c>
      <c r="D228" s="8" t="s">
        <v>154</v>
      </c>
    </row>
    <row r="229" spans="1:4" ht="28.5">
      <c r="A229" s="9">
        <v>46180.340729166666</v>
      </c>
      <c r="B229" s="8" t="s">
        <v>75</v>
      </c>
      <c r="C229" s="8" t="s">
        <v>149</v>
      </c>
      <c r="D229" s="8" t="s">
        <v>150</v>
      </c>
    </row>
    <row r="230" spans="1:4" ht="28.5">
      <c r="A230" s="9">
        <v>46180.342013888891</v>
      </c>
      <c r="B230" s="8" t="s">
        <v>75</v>
      </c>
      <c r="C230" s="8" t="s">
        <v>153</v>
      </c>
      <c r="D230" s="8" t="s">
        <v>154</v>
      </c>
    </row>
    <row r="231" spans="1:4" ht="28.5">
      <c r="A231" s="9">
        <v>46180.342013888891</v>
      </c>
      <c r="B231" s="8" t="s">
        <v>75</v>
      </c>
      <c r="C231" s="8" t="s">
        <v>149</v>
      </c>
      <c r="D231" s="8" t="s">
        <v>150</v>
      </c>
    </row>
    <row r="232" spans="1:4" ht="28.5">
      <c r="A232" s="9">
        <v>46180.343206018515</v>
      </c>
      <c r="B232" s="8" t="s">
        <v>75</v>
      </c>
      <c r="C232" s="8" t="s">
        <v>153</v>
      </c>
      <c r="D232" s="8" t="s">
        <v>154</v>
      </c>
    </row>
    <row r="233" spans="1:4" ht="28.5">
      <c r="A233" s="9">
        <v>46180.343206018515</v>
      </c>
      <c r="B233" s="8" t="s">
        <v>75</v>
      </c>
      <c r="C233" s="8" t="s">
        <v>149</v>
      </c>
      <c r="D233" s="8" t="s">
        <v>150</v>
      </c>
    </row>
    <row r="234" spans="1:4" ht="28.5">
      <c r="A234" s="9">
        <v>46180.357268518521</v>
      </c>
      <c r="B234" s="8" t="s">
        <v>75</v>
      </c>
      <c r="C234" s="8" t="s">
        <v>151</v>
      </c>
      <c r="D234" s="8" t="s">
        <v>155</v>
      </c>
    </row>
    <row r="235" spans="1:4" ht="28.5">
      <c r="A235" s="9">
        <v>46180.543217592596</v>
      </c>
      <c r="B235" s="8" t="s">
        <v>75</v>
      </c>
      <c r="C235" s="8" t="s">
        <v>153</v>
      </c>
      <c r="D235" s="8" t="s">
        <v>154</v>
      </c>
    </row>
    <row r="236" spans="1:4" ht="28.5">
      <c r="A236" s="9">
        <v>46180.543217592596</v>
      </c>
      <c r="B236" s="8" t="s">
        <v>75</v>
      </c>
      <c r="C236" s="8" t="s">
        <v>149</v>
      </c>
      <c r="D236" s="8" t="s">
        <v>150</v>
      </c>
    </row>
    <row r="237" spans="1:4" ht="28.5">
      <c r="A237" s="9">
        <v>46180.545231481483</v>
      </c>
      <c r="B237" s="8" t="s">
        <v>75</v>
      </c>
      <c r="C237" s="8" t="s">
        <v>153</v>
      </c>
      <c r="D237" s="8" t="s">
        <v>154</v>
      </c>
    </row>
    <row r="238" spans="1:4" ht="28.5">
      <c r="A238" s="9">
        <v>46180.545243055552</v>
      </c>
      <c r="B238" s="8" t="s">
        <v>75</v>
      </c>
      <c r="C238" s="8" t="s">
        <v>149</v>
      </c>
      <c r="D238" s="8" t="s">
        <v>150</v>
      </c>
    </row>
    <row r="239" spans="1:4" ht="28.5">
      <c r="A239" s="9">
        <v>46180.547777777778</v>
      </c>
      <c r="B239" s="8" t="s">
        <v>75</v>
      </c>
      <c r="C239" s="8" t="s">
        <v>151</v>
      </c>
      <c r="D239" s="8" t="s">
        <v>155</v>
      </c>
    </row>
    <row r="240" spans="1:4" ht="28.5">
      <c r="A240" s="9">
        <v>46180.568738425929</v>
      </c>
      <c r="B240" s="8" t="s">
        <v>75</v>
      </c>
      <c r="C240" s="8" t="s">
        <v>153</v>
      </c>
      <c r="D240" s="8" t="s">
        <v>154</v>
      </c>
    </row>
    <row r="241" spans="1:4" ht="28.5">
      <c r="A241" s="9">
        <v>46180.568749999999</v>
      </c>
      <c r="B241" s="8" t="s">
        <v>75</v>
      </c>
      <c r="C241" s="8" t="s">
        <v>149</v>
      </c>
      <c r="D241" s="8" t="s">
        <v>150</v>
      </c>
    </row>
    <row r="242" spans="1:4" ht="28.5">
      <c r="A242" s="9">
        <v>46180.571203703701</v>
      </c>
      <c r="B242" s="8" t="s">
        <v>75</v>
      </c>
      <c r="C242" s="8" t="s">
        <v>151</v>
      </c>
      <c r="D242" s="8" t="s">
        <v>155</v>
      </c>
    </row>
    <row r="243" spans="1:4" ht="28.5">
      <c r="A243" s="9">
        <v>46180.584131944444</v>
      </c>
      <c r="B243" s="8" t="s">
        <v>75</v>
      </c>
      <c r="C243" s="8" t="s">
        <v>153</v>
      </c>
      <c r="D243" s="8" t="s">
        <v>154</v>
      </c>
    </row>
    <row r="244" spans="1:4" ht="28.5">
      <c r="A244" s="9">
        <v>46180.584131944444</v>
      </c>
      <c r="B244" s="8" t="s">
        <v>75</v>
      </c>
      <c r="C244" s="8" t="s">
        <v>149</v>
      </c>
      <c r="D244" s="8" t="s">
        <v>150</v>
      </c>
    </row>
    <row r="245" spans="1:4" ht="28.5">
      <c r="A245" s="9">
        <v>46180.589571759258</v>
      </c>
      <c r="B245" s="8" t="s">
        <v>75</v>
      </c>
      <c r="C245" s="8" t="s">
        <v>153</v>
      </c>
      <c r="D245" s="8" t="s">
        <v>154</v>
      </c>
    </row>
    <row r="246" spans="1:4" ht="28.5">
      <c r="A246" s="9">
        <v>46180.589583333334</v>
      </c>
      <c r="B246" s="8" t="s">
        <v>75</v>
      </c>
      <c r="C246" s="8" t="s">
        <v>149</v>
      </c>
      <c r="D246" s="8" t="s">
        <v>150</v>
      </c>
    </row>
    <row r="247" spans="1:4" ht="28.5">
      <c r="A247" s="9">
        <v>46180.59103009259</v>
      </c>
      <c r="B247" s="8" t="s">
        <v>75</v>
      </c>
      <c r="C247" s="8" t="s">
        <v>151</v>
      </c>
      <c r="D247" s="8" t="s">
        <v>155</v>
      </c>
    </row>
    <row r="248" spans="1:4" ht="28.5">
      <c r="A248" s="9">
        <v>46180.595023148147</v>
      </c>
      <c r="B248" s="8" t="s">
        <v>75</v>
      </c>
      <c r="C248" s="8" t="s">
        <v>151</v>
      </c>
      <c r="D248" s="8" t="s">
        <v>155</v>
      </c>
    </row>
    <row r="249" spans="1:4" ht="28.5">
      <c r="A249" s="9">
        <v>46180.621550925927</v>
      </c>
      <c r="B249" s="8" t="s">
        <v>75</v>
      </c>
      <c r="C249" s="8" t="s">
        <v>151</v>
      </c>
      <c r="D249" s="8" t="s">
        <v>155</v>
      </c>
    </row>
    <row r="250" spans="1:4" ht="28.5">
      <c r="A250" s="9">
        <v>46180.639062499999</v>
      </c>
      <c r="B250" s="8" t="s">
        <v>75</v>
      </c>
      <c r="C250" s="8" t="s">
        <v>151</v>
      </c>
      <c r="D250" s="8" t="s">
        <v>155</v>
      </c>
    </row>
    <row r="251" spans="1:4" ht="28.5">
      <c r="A251" s="9">
        <v>46180.642175925925</v>
      </c>
      <c r="B251" s="8" t="s">
        <v>75</v>
      </c>
      <c r="C251" s="8" t="s">
        <v>151</v>
      </c>
      <c r="D251" s="8" t="s">
        <v>155</v>
      </c>
    </row>
    <row r="252" spans="1:4">
      <c r="A252" s="9">
        <v>46183.197210648148</v>
      </c>
      <c r="B252" s="8" t="s">
        <v>75</v>
      </c>
      <c r="C252" s="8" t="s">
        <v>156</v>
      </c>
      <c r="D252" s="8" t="s">
        <v>157</v>
      </c>
    </row>
    <row r="253" spans="1:4">
      <c r="A253" s="9">
        <v>46183.197210648148</v>
      </c>
      <c r="B253" s="8" t="s">
        <v>75</v>
      </c>
      <c r="C253" s="8" t="s">
        <v>158</v>
      </c>
      <c r="D253" s="8" t="s">
        <v>159</v>
      </c>
    </row>
    <row r="254" spans="1:4">
      <c r="A254" s="9">
        <v>46183.197222222225</v>
      </c>
      <c r="B254" s="8" t="s">
        <v>75</v>
      </c>
      <c r="C254" s="8" t="s">
        <v>156</v>
      </c>
      <c r="D254" s="8" t="s">
        <v>160</v>
      </c>
    </row>
    <row r="255" spans="1:4">
      <c r="A255" s="9">
        <v>46183.197222222225</v>
      </c>
      <c r="B255" s="8" t="s">
        <v>75</v>
      </c>
      <c r="C255" s="8" t="s">
        <v>158</v>
      </c>
      <c r="D255" s="8" t="s">
        <v>161</v>
      </c>
    </row>
    <row r="256" spans="1:4">
      <c r="A256" s="9">
        <v>46183.197233796294</v>
      </c>
      <c r="B256" s="8" t="s">
        <v>75</v>
      </c>
      <c r="C256" s="8" t="s">
        <v>156</v>
      </c>
      <c r="D256" s="8" t="s">
        <v>157</v>
      </c>
    </row>
    <row r="257" spans="1:4">
      <c r="A257" s="9">
        <v>46183.197233796294</v>
      </c>
      <c r="B257" s="8" t="s">
        <v>75</v>
      </c>
      <c r="C257" s="8" t="s">
        <v>158</v>
      </c>
      <c r="D257" s="8" t="s">
        <v>159</v>
      </c>
    </row>
    <row r="258" spans="1:4">
      <c r="A258" s="9">
        <v>46183.19740740741</v>
      </c>
      <c r="B258" s="8" t="s">
        <v>75</v>
      </c>
      <c r="C258" s="8" t="s">
        <v>156</v>
      </c>
      <c r="D258" s="8" t="s">
        <v>160</v>
      </c>
    </row>
    <row r="259" spans="1:4">
      <c r="A259" s="9">
        <v>46183.19740740741</v>
      </c>
      <c r="B259" s="8" t="s">
        <v>75</v>
      </c>
      <c r="C259" s="8" t="s">
        <v>158</v>
      </c>
      <c r="D259" s="8" t="s">
        <v>161</v>
      </c>
    </row>
    <row r="260" spans="1:4">
      <c r="A260" s="9">
        <v>46183.197465277779</v>
      </c>
      <c r="B260" s="8" t="s">
        <v>75</v>
      </c>
      <c r="C260" s="8" t="s">
        <v>156</v>
      </c>
      <c r="D260" s="8" t="s">
        <v>157</v>
      </c>
    </row>
    <row r="261" spans="1:4">
      <c r="A261" s="9">
        <v>46183.197465277779</v>
      </c>
      <c r="B261" s="8" t="s">
        <v>75</v>
      </c>
      <c r="C261" s="8" t="s">
        <v>158</v>
      </c>
      <c r="D261" s="8" t="s">
        <v>159</v>
      </c>
    </row>
    <row r="262" spans="1:4" ht="42.75">
      <c r="A262" s="9">
        <v>46187.617812500001</v>
      </c>
      <c r="B262" s="8" t="s">
        <v>75</v>
      </c>
      <c r="C262" s="8" t="s">
        <v>250</v>
      </c>
      <c r="D262" s="8" t="s">
        <v>251</v>
      </c>
    </row>
    <row r="263" spans="1:4" ht="42.75">
      <c r="A263" s="9">
        <v>46187.89739583333</v>
      </c>
      <c r="B263" s="8" t="s">
        <v>75</v>
      </c>
      <c r="C263" s="8" t="s">
        <v>250</v>
      </c>
      <c r="D263" s="8" t="s">
        <v>251</v>
      </c>
    </row>
    <row r="264" spans="1:4" ht="42.75">
      <c r="A264" s="9">
        <v>46187.971458333333</v>
      </c>
      <c r="B264" s="8" t="s">
        <v>75</v>
      </c>
      <c r="C264" s="8" t="s">
        <v>250</v>
      </c>
      <c r="D264" s="8" t="s">
        <v>251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2026-06-15T03:31:15Z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