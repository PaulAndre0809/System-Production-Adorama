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B5910881-41D5-4DA6-9AAA-E9BE312268E0}" xr6:coauthVersionLast="47" xr6:coauthVersionMax="47" xr10:uidLastSave="{00000000-0000-0000-0000-000000000000}"/>
  <bookViews>
    <workbookView xWindow="-120" yWindow="-120" windowWidth="29040" windowHeight="15990" activeTab="3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2" l="1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P27" i="2" l="1"/>
  <c r="Q27" i="2" s="1"/>
  <c r="P26" i="2"/>
  <c r="Q26" i="2" s="1"/>
  <c r="AA11" i="2" a="1"/>
  <c r="P5" i="2"/>
  <c r="Q5" i="2" s="1"/>
  <c r="P4" i="2"/>
  <c r="Q4" i="2" s="1"/>
  <c r="R27" i="2" l="1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<sst xmlns="http://schemas.openxmlformats.org/spreadsheetml/2006/main" count="874" uniqueCount="289">
  <si>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</si>
  <si>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</si>
  <si>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</si>
  <si>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</si>
  <si>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</si>
  <si>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</si>
  <si>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</si>
  <si>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</si>
  <si>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</si>
  <si>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</si>
  <si>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</si>
  <si>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</si>
  <si>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</si>
  <si>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</si>
  <si>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</si>
  <si>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</si>
  <si>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</si>
  <si>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</si>
  <si>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</si>
  <si>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</si>
  <si>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</si>
  <si>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</si>
  <si>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</si>
  <si>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</si>
  <si>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</si>
  <si>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</si>
  <si>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</si>
  <si>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</si>
  <si>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</si>
  <si>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</si>
  <si>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</si>
  <si>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</si>
  <si>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</si>
  <si>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</si>
  <si>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</si>
  <si>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</si>
  <si>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</si>
  <si>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</si>
  <si>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</si>
  <si>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</si>
  <si>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</si>
  <si>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</si>
  <si>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</si>
  <si>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</si>
  <si>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</si>
  <si>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</si>
  <si>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</si>
  <si>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</si>
  <si>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</si>
  <si>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</si>
  <si>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</si>
  <si>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</si>
  <si>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</si>
  <si>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</si>
  <si>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</si>
  <si>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</si>
  <si>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</si>
  <si>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</si>
  <si>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</si>
  <si>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</si>
  <si>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</si>
  <si>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</si>
  <si>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</si>
  <si>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</si>
  <si>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</si>
  <si>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</si>
  <si>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</si>
  <si>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</si>
  <si>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</si>
  <si>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</si>
  <si>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</si>
  <si>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</si>
  <si>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</si>
  <si>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</si>
  <si>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</si>
  <si>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</si>
  <si>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</si>
  <si>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</si>
  <si>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</si>
  <si>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</si>
  <si>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</si>
  <si>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</si>
  <si>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</si>
  <si>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</si>
  <si>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</si>
  <si>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</si>
  <si>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</si>
  <si>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</si>
  <si>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</si>
  <si>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</si>
  <si>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</si>
  <si>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</si>
  <si>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</si>
  <si>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</si>
  <si>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</si>
  <si>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</si>
  <si>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</si>
  <si>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</si>
  <si>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</si>
  <si>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</si>
  <si>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</si>
  <si>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</si>
  <si>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</si>
  <si>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</si>
  <si>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</si>
  <si>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</si>
  <si>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</si>
  <si>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</si>
  <si>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</si>
  <si>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</si>
  <si>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</si>
  <si>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</si>
  <si>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</si>
  <si>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</si>
  <si>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</si>
  <si>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</si>
  <si>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</si>
  <si>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</si>
  <si>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</si>
  <si>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</si>
  <si>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</si>
  <si>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</si>
  <si>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</si>
  <si>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</si>
  <si>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</si>
  <si>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</si>
  <si>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</si>
  <si>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</si>
  <si>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</si>
  <si>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</si>
  <si>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</si>
  <si>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</si>
  <si>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</si>
  <si>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</si>
  <si>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</si>
  <si>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</si>
  <si>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</si>
  <si>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</si>
  <si>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</si>
  <si>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</si>
  <si>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</si>
  <si>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</si>
  <si>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</si>
  <si>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</si>
  <si>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</si>
  <si>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</si>
  <si>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</si>
  <si>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</si>
  <si>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</si>
  <si>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</si>
  <si>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</si>
  <si>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</si>
  <si>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</si>
  <si>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</si>
  <si>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</si>
  <si>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</si>
  <si>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</si>
  <si>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</si>
  <si>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</si>
  <si>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</si>
  <si>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</si>
  <si>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</si>
  <si>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</si>
  <si>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</si>
  <si>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</si>
  <si>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</si>
  <si>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</si>
  <si>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</si>
  <si>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</si>
  <si>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</si>
  <si>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</si>
  <si>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</si>
  <si>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</si>
  <si>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</si>
  <si>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</si>
  <si>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</si>
  <si>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</si>
  <si>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</si>
  <si>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</si>
  <si>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</si>
  <si>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</si>
  <si>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</si>
  <si>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</si>
  <si>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</si>
  <si>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Send SMS Options</t>
  </si>
  <si>
    <t>Send Test</t>
  </si>
  <si>
    <t>Campaign 060126 Services Open Box</t>
  </si>
  <si>
    <t>https://ui.attentivemobile.com/campaigns/messages/MTQ6Q29tcG9zZU1lc3NhZ2UxMTE1MDg4NQ/overview</t>
  </si>
  <si>
    <t>Kim Chim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</si>
  <si>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</si>
  <si>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</si>
  <si>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</si>
  <si>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</si>
  <si>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</si>
  <si>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</si>
  <si>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</si>
  <si>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</si>
  <si>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</si>
  <si>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</si>
  <si>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</si>
  <si>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</si>
  <si>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</si>
  <si>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</si>
  <si>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</si>
  <si>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</si>
  <si>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</si>
  <si>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</si>
  <si>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</si>
  <si>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</si>
  <si>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</si>
  <si>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</si>
  <si>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</si>
  <si>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</si>
  <si>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</si>
  <si>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</si>
  <si>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</si>
  <si>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</si>
  <si>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</si>
  <si>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</si>
  <si>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</si>
  <si>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</si>
  <si>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</si>
  <si>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</si>
  <si>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</si>
  <si>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</si>
  <si>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</si>
  <si>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</si>
  <si>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</si>
  <si>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</si>
  <si>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</si>
  <si>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</si>
  <si>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</si>
  <si>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</si>
  <si>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</si>
  <si>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</si>
  <si>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</si>
  <si>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</si>
  <si>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</si>
  <si>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</si>
  <si>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</si>
  <si>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</si>
  <si>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</si>
  <si>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</si>
  <si>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</si>
  <si>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</si>
  <si>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</si>
  <si>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</si>
  <si>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</si>
  <si>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</si>
  <si>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</si>
  <si>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</si>
  <si>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</si>
  <si>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</si>
  <si>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</si>
  <si>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</si>
  <si>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</si>
  <si>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</si>
  <si>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</si>
  <si>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</si>
  <si>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</si>
  <si>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</si>
  <si>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</si>
  <si>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</si>
  <si>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</si>
  <si>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</si>
  <si>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</si>
  <si>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</si>
  <si>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</si>
  <si>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</si>
  <si>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</si>
  <si>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</si>
  <si>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</si>
  <si>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</si>
  <si>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</si>
  <si>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</si>
  <si>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</si>
  <si>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</si>
  <si>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</si>
  <si>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</si>
  <si>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</si>
  <si>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</si>
  <si>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</si>
  <si>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</si>
  <si>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</si>
  <si>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</si>
  <si>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Proof of Schedule</t>
  </si>
  <si>
    <t>Last Week vs Current Week Delivered SMS (Sun-Sat)</t>
  </si>
  <si>
    <t>Delivered SMS</t>
  </si>
  <si>
    <t>Send Date, Send Time, Campaign Name, Campaign Type, Owner, SMS Checklist, Proof of Schedule, Bluecore/Attentive Link, Est. Audience, Delivered, Notes, Current Stage.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</si>
</sst>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63900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660400</xdr:colOff>
      <xdr:row>27</xdr:row>
      <xdr:rowOff>182033</xdr:rowOff>
    </xdr:from>
    <xdr:to>
      <xdr:col>17</xdr:col>
      <xdr:colOff>702733</xdr:colOff>
      <xdr:row>43</xdr:row>
      <xdr:rowOff>23283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0" dataDxfId="129" totalsRowDxfId="128">
  <tableColumns count="12">
    <tableColumn id="1" xr3:uid="{00000000-0010-0000-0100-000001000000}" name="Send Date" dataDxfId="127">
      <calculatedColumnFormula array="1">IFERROR(INDEX(_xlfn.ANCHORARRAY($AA$11),ROW()-10,1),"")</calculatedColumnFormula>
    </tableColumn>
    <tableColumn id="2" xr3:uid="{00000000-0010-0000-0100-000002000000}" name="Time" dataDxfId="126">
      <calculatedColumnFormula array="1">IFERROR(INDEX(_xlfn.ANCHORARRAY($AA$11),ROW()-10,2),"")</calculatedColumnFormula>
    </tableColumn>
    <tableColumn id="3" xr3:uid="{00000000-0010-0000-0100-000003000000}" name="Channel" dataDxfId="125">
      <calculatedColumnFormula array="1">IFERROR(INDEX(_xlfn.ANCHORARRAY($AA$11),ROW()-10,3),"")</calculatedColumnFormula>
    </tableColumn>
    <tableColumn id="4" xr3:uid="{00000000-0010-0000-0100-000004000000}" name="Campaign" dataDxfId="124">
      <calculatedColumnFormula array="1">IFERROR(INDEX(_xlfn.ANCHORARRAY($AA$11),ROW()-10,4),"")</calculatedColumnFormula>
    </tableColumn>
    <tableColumn id="5" xr3:uid="{00000000-0010-0000-0100-000005000000}" name="Type" dataDxfId="123">
      <calculatedColumnFormula array="1">IFERROR(INDEX(_xlfn.ANCHORARRAY($AA$11),ROW()-10,5),"")</calculatedColumnFormula>
    </tableColumn>
    <tableColumn id="6" xr3:uid="{00000000-0010-0000-0100-000006000000}" name="Stage" dataDxfId="122">
      <calculatedColumnFormula array="1">IFERROR(INDEX(_xlfn.ANCHORARRAY($AA$11),ROW()-10,6),"")</calculatedColumnFormula>
    </tableColumn>
    <tableColumn id="7" xr3:uid="{00000000-0010-0000-0100-000007000000}" name="Owner" dataDxfId="121">
      <calculatedColumnFormula array="1">IFERROR(INDEX(_xlfn.ANCHORARRAY($AA$11),ROW()-10,7),"")</calculatedColumnFormula>
    </tableColumn>
    <tableColumn id="8" xr3:uid="{00000000-0010-0000-0100-000008000000}" name="Approval" dataDxfId="120">
      <calculatedColumnFormula array="1">IFERROR(INDEX(_xlfn.ANCHORARRAY($AA$11),ROW()-10,8),"")</calculatedColumnFormula>
    </tableColumn>
    <tableColumn id="9" xr3:uid="{00000000-0010-0000-0100-000009000000}" name="Segments" dataDxfId="119">
      <calculatedColumnFormula array="1">IFERROR(INDEX(_xlfn.ANCHORARRAY($AA$11),ROW()-10,9),"")</calculatedColumnFormula>
    </tableColumn>
    <tableColumn id="10" xr3:uid="{00000000-0010-0000-0100-00000A000000}" name="Jira" dataDxfId="118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117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16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5" dataDxfId="114">
  <autoFilter ref="N3:R5" xr:uid="{FCDBAD16-F50F-44E3-8B56-05CB919BD791}"/>
  <tableColumns count="5">
    <tableColumn id="1" xr3:uid="{594C57CF-C33E-420B-BAA5-753EF757526F}" name="Period" dataDxfId="113"/>
    <tableColumn id="2" xr3:uid="{CF840AC2-4E3F-48C5-A9F0-F353B78F7292}" name="Start Date" dataDxfId="112">
      <calculatedColumnFormula>TODAY()-WEEKDAY(TODAY(),1)+1</calculatedColumnFormula>
    </tableColumn>
    <tableColumn id="3" xr3:uid="{1370856B-0ABE-4682-9457-B8612BE4E13D}" name="End Date" dataDxfId="111">
      <calculatedColumnFormula>O4+6</calculatedColumnFormula>
    </tableColumn>
    <tableColumn id="4" xr3:uid="{63D4D649-EA01-4E8C-B21D-16C580FFB6F5}" name="Delivered Emails" dataDxfId="110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09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08" dataDxfId="107">
  <autoFilter ref="N25:R27" xr:uid="{A299EB01-B05E-48A5-9EDA-5201FFC6BB1E}"/>
  <tableColumns count="5">
    <tableColumn id="1" xr3:uid="{25C41F7D-C154-4470-B043-7E74B71C7C73}" name="Period" dataDxfId="106"/>
    <tableColumn id="2" xr3:uid="{E7D620F6-85B2-47A3-94C3-5429CECB482D}" name="Start Date" dataDxfId="105">
      <calculatedColumnFormula>TODAY()-WEEKDAY(TODAY(),1)+1</calculatedColumnFormula>
    </tableColumn>
    <tableColumn id="3" xr3:uid="{A299A94B-F7A8-40C2-8410-8E72C1C2C48A}" name="End Date" dataDxfId="104">
      <calculatedColumnFormula>O26+6</calculatedColumnFormula>
    </tableColumn>
    <tableColumn id="4" xr3:uid="{B77D4F25-9247-4734-9DB6-EFB0DBD7D20D}" name="Delivered SMS" dataDxfId="103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02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90" dataDxfId="89" totalsRowDxfId="88">
  <autoFilter ref="A1:V205" xr:uid="{00000000-000C-0000-FFFF-FFFF00000000}"/>
  <tableColumns count="22">
    <tableColumn id="2" xr3:uid="{00000000-0010-0000-0000-000002000000}" name="Send Date" dataDxfId="87"/>
    <tableColumn id="3" xr3:uid="{00000000-0010-0000-0000-000003000000}" name="Send Time" dataDxfId="86"/>
    <tableColumn id="4" xr3:uid="{00000000-0010-0000-0000-000004000000}" name="Campaign Name" dataDxfId="85"/>
    <tableColumn id="5" xr3:uid="{00000000-0010-0000-0000-000005000000}" name="Campaign Type" dataDxfId="84"/>
    <tableColumn id="6" xr3:uid="{00000000-0010-0000-0000-000006000000}" name="Current Stage" dataDxfId="83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2"/>
    <tableColumn id="1" xr3:uid="{B2077B23-1D1A-459D-9583-F63147D6D936}" name="Campaign Name and UTM Parameter (Source Code)" dataDxfId="81"/>
    <tableColumn id="8" xr3:uid="{63A16BD6-6B10-4AD5-B57D-B92EA2935F36}" name="Creative Brief, SL &amp; PH" dataDxfId="80"/>
    <tableColumn id="9" xr3:uid="{23EAD37F-5B0E-461E-85FF-0AAFD24BAA68}" name="SKUs" dataDxfId="79"/>
    <tableColumn id="10" xr3:uid="{9640EB9F-78BB-44D9-B70D-05FDE06036E4}" name="In-Design" dataDxfId="78"/>
    <tableColumn id="11" xr3:uid="{ADDF4395-0E99-41A9-BED7-3DBCF6006F91}" name="Build, QA" dataDxfId="77"/>
    <tableColumn id="12" xr3:uid="{6DF2B722-97C3-4902-87DE-A2A9727C8024}" name="Route" dataDxfId="76"/>
    <tableColumn id="14" xr3:uid="{2C5B824E-A4DE-4EA9-87E9-7663BB92F9D4}" name="Approval" dataDxfId="75"/>
    <tableColumn id="15" xr3:uid="{4CE14FFB-3FFB-4445-B89C-5D3C3D24D6C0}" name="Segments" dataDxfId="74"/>
    <tableColumn id="17" xr3:uid="{00000000-0010-0000-0000-000011000000}" name="Jira Link" dataDxfId="73"/>
    <tableColumn id="18" xr3:uid="{00000000-0010-0000-0000-000012000000}" name="ClickUp Link" dataDxfId="72"/>
    <tableColumn id="19" xr3:uid="{00000000-0010-0000-0000-000013000000}" name="Bluecore/Attentive Link" dataDxfId="71"/>
    <tableColumn id="20" xr3:uid="{00000000-0010-0000-0000-000014000000}" name="Est. Audience" dataDxfId="70"/>
    <tableColumn id="21" xr3:uid="{00000000-0010-0000-0000-000015000000}" name="Delivered" dataDxfId="69"/>
    <tableColumn id="23" xr3:uid="{00000000-0010-0000-0000-000017000000}" name="Last Updated" dataDxfId="68"/>
    <tableColumn id="13" xr3:uid="{6717C158-5D55-49BD-B0A1-8EF5E6BE7E59}" name="Last Updated By" dataDxfId="67"/>
    <tableColumn id="16" xr3:uid="{45C4D116-AEA5-4484-9652-2029E5D3A263}" name="Notes" dataDxfId="66" totalsRowDxf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47" dataDxfId="46">
  <autoFilter ref="A1:Q201" xr:uid="{5BA5B085-3B5F-4682-B501-752F9044F617}"/>
  <tableColumns count="17">
    <tableColumn id="1" xr3:uid="{A00F9C46-9585-47C9-83D4-D97802A976D5}" name="Send Date" dataDxfId="45"/>
    <tableColumn id="2" xr3:uid="{FA54A5FD-1AB7-4749-AF9C-A820CCD54864}" name="Send Time" dataDxfId="44"/>
    <tableColumn id="3" xr3:uid="{D8232C60-1B45-4E39-B4FB-F7D15854588A}" name="Campaign Name" dataDxfId="43"/>
    <tableColumn id="4" xr3:uid="{488CC129-7AB9-4CDE-A0F4-708CCF476FDC}" name="Campaign Type" dataDxfId="42"/>
    <tableColumn id="5" xr3:uid="{60402621-821D-4B42-BBBF-04ECD600240D}" name="Current Stage" dataDxfId="41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0"/>
    <tableColumn id="7" xr3:uid="{C602E6A7-154A-4913-82F7-B1297F8FB4AA}" name="Send SMS Options" dataDxfId="39"/>
    <tableColumn id="8" xr3:uid="{050AA88E-4FCE-418E-B3E4-7BADF355F594}" name="Send Test" dataDxfId="38"/>
    <tableColumn id="9" xr3:uid="{CD7DB146-3A9F-407E-8AE2-FB08A35D3255}" name="Approval" dataDxfId="37"/>
    <tableColumn id="10" xr3:uid="{85A3C652-A90B-4131-9C59-60C896B66276}" name="Segments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4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https://ui.attentivemobile.com/campaigns/messages/MTQ6Q29tcG9zZU1lc3NhZ2UxMTE1MDg4NQ/overview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3"/>
  <sheetViews>
    <sheetView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5" t="s">
        <v>0</v>
      </c>
    </row>
    <row r="3" spans="1:5" ht="15">
      <c r="A3" s="46" t="s">
        <v>1</v>
      </c>
      <c r="B3" s="46" t="s">
        <v>2</v>
      </c>
      <c r="C3" s="46" t="s">
        <v>3</v>
      </c>
      <c r="D3" s="46" t="s">
        <v>4</v>
      </c>
      <c r="E3" s="46" t="s">
        <v>5</v>
      </c>
    </row>
    <row r="4" spans="1:5" ht="85.5">
      <c r="A4" s="47" t="s">
        <v>6</v>
      </c>
      <c r="B4" s="47" t="s">
        <v>7</v>
      </c>
      <c r="C4" s="47" t="s">
        <v>8</v>
      </c>
      <c r="D4" s="47" t="s">
        <v>9</v>
      </c>
      <c r="E4" s="47" t="s">
        <v>10</v>
      </c>
    </row>
    <row r="5" spans="1:5" ht="85.5">
      <c r="A5" s="47" t="s">
        <v>11</v>
      </c>
      <c r="B5" s="47" t="s">
        <v>12</v>
      </c>
      <c r="C5" s="47" t="s">
        <v>288</v>
      </c>
      <c r="D5" s="47" t="s">
        <v>13</v>
      </c>
      <c r="E5" s="47" t="s">
        <v>14</v>
      </c>
    </row>
    <row r="6" spans="1:5" ht="57">
      <c r="A6" s="47" t="s">
        <v>15</v>
      </c>
      <c r="B6" s="47" t="s">
        <v>16</v>
      </c>
      <c r="C6" s="47" t="s">
        <v>17</v>
      </c>
      <c r="D6" s="47" t="s">
        <v>18</v>
      </c>
      <c r="E6" s="47" t="s">
        <v>19</v>
      </c>
    </row>
    <row r="7" spans="1:5" ht="85.5">
      <c r="A7" s="47" t="s">
        <v>20</v>
      </c>
      <c r="B7" s="47" t="s">
        <v>21</v>
      </c>
      <c r="C7" s="47" t="s">
        <v>22</v>
      </c>
      <c r="D7" s="47" t="s">
        <v>23</v>
      </c>
      <c r="E7" s="47" t="s">
        <v>24</v>
      </c>
    </row>
    <row r="8" spans="1:5" ht="42.75">
      <c r="A8" s="47" t="s">
        <v>25</v>
      </c>
      <c r="B8" s="47" t="s">
        <v>26</v>
      </c>
      <c r="C8" s="47" t="s">
        <v>27</v>
      </c>
      <c r="D8" s="47" t="s">
        <v>28</v>
      </c>
      <c r="E8" s="47" t="s">
        <v>29</v>
      </c>
    </row>
    <row r="9" spans="1:5" ht="57">
      <c r="A9" s="47" t="s">
        <v>30</v>
      </c>
      <c r="B9" s="47" t="s">
        <v>31</v>
      </c>
      <c r="C9" s="47" t="s">
        <v>32</v>
      </c>
      <c r="D9" s="47" t="s">
        <v>33</v>
      </c>
      <c r="E9" s="47" t="s">
        <v>34</v>
      </c>
    </row>
    <row r="10" spans="1:5" ht="42.75">
      <c r="A10" s="47" t="s">
        <v>35</v>
      </c>
      <c r="B10" s="47" t="s">
        <v>36</v>
      </c>
      <c r="C10" s="47" t="s">
        <v>37</v>
      </c>
      <c r="D10" s="47" t="s">
        <v>38</v>
      </c>
      <c r="E10" s="47" t="s">
        <v>39</v>
      </c>
    </row>
    <row r="11" spans="1:5" ht="57">
      <c r="A11" s="47" t="s">
        <v>40</v>
      </c>
      <c r="B11" s="47" t="s">
        <v>41</v>
      </c>
      <c r="C11" s="47" t="s">
        <v>37</v>
      </c>
      <c r="D11" s="47" t="s">
        <v>42</v>
      </c>
      <c r="E11" s="47" t="s">
        <v>43</v>
      </c>
    </row>
    <row r="12" spans="1:5" ht="85.5">
      <c r="A12" s="47" t="s">
        <v>44</v>
      </c>
      <c r="B12" s="47" t="s">
        <v>45</v>
      </c>
      <c r="C12" s="47" t="s">
        <v>46</v>
      </c>
      <c r="D12" s="47" t="s">
        <v>47</v>
      </c>
      <c r="E12" s="47" t="s">
        <v>48</v>
      </c>
    </row>
    <row r="13" spans="1:5" ht="42.75">
      <c r="A13" s="47" t="s">
        <v>49</v>
      </c>
      <c r="B13" s="47" t="s">
        <v>50</v>
      </c>
      <c r="C13" s="47" t="s">
        <v>51</v>
      </c>
      <c r="D13" s="47" t="s">
        <v>37</v>
      </c>
      <c r="E13" s="47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D18" sqref="D18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6" t="s">
        <v>53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7" t="s">
        <v>54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9"/>
      <c r="N2" s="75" t="s">
        <v>55</v>
      </c>
      <c r="O2" s="75"/>
      <c r="P2" s="75"/>
      <c r="Q2" s="75"/>
      <c r="R2" s="75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56</v>
      </c>
      <c r="B3" s="19" t="str">
        <f ca="1">TEXT(NOW(),"m/d/yyyy h:mm AM/PM")</f>
        <v>6/8/2026 12:12 am</v>
      </c>
      <c r="C3" s="20" t="s">
        <v>57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58</v>
      </c>
      <c r="O3" s="8" t="s">
        <v>59</v>
      </c>
      <c r="P3" s="8" t="s">
        <v>60</v>
      </c>
      <c r="Q3" s="8" t="s">
        <v>61</v>
      </c>
      <c r="R3" s="8" t="s">
        <v>62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9" t="s">
        <v>63</v>
      </c>
      <c r="B4" s="80"/>
      <c r="C4" s="83" t="s">
        <v>64</v>
      </c>
      <c r="D4" s="83"/>
      <c r="E4" s="87" t="s">
        <v>65</v>
      </c>
      <c r="F4" s="87"/>
      <c r="G4" s="91" t="s">
        <v>66</v>
      </c>
      <c r="H4" s="91"/>
      <c r="I4" s="79" t="s">
        <v>67</v>
      </c>
      <c r="J4" s="79"/>
      <c r="K4" s="99" t="s">
        <v>68</v>
      </c>
      <c r="L4" s="99"/>
      <c r="M4" s="9"/>
      <c r="N4" s="8" t="s">
        <v>69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1">
        <f>COUNTIFS('Email Campaigns'!$C$2:$C$205,"&lt;&gt;",'Email Campaigns'!$S$2:$S$205,"&lt;=0")+COUNTIFS('SMS Campaigns'!$C$2:$C$201,"&lt;&gt;",'SMS Campaigns'!$N$2:$N$201,"&lt;=0")</f>
        <v>0</v>
      </c>
      <c r="B5" s="81"/>
      <c r="C5" s="84">
        <f ca="1">COUNTIFS('Email Campaigns'!$A$2:$A$205,TODAY(),'Email Campaigns'!$C$2:$C$205,"&lt;&gt;")+COUNTIFS('SMS Campaigns'!$A$2:$A$201,TODAY(),'SMS Campaigns'!$C$2:$C$201,"&lt;&gt;")</f>
        <v>0</v>
      </c>
      <c r="D5" s="85"/>
      <c r="E5" s="88">
        <f>COUNTIFS('Email Campaigns'!$C$2:$C$205,"&lt;&gt;",'Email Campaigns'!$S$2:$S$205,"&lt;=0")</f>
        <v>0</v>
      </c>
      <c r="F5" s="89"/>
      <c r="G5" s="92">
        <f>COUNTIFS('SMS Campaigns'!$C$2:$C$201,"&lt;&gt;",'SMS Campaigns'!$N$2:$N$201,"&lt;=0")</f>
        <v>0</v>
      </c>
      <c r="H5" s="93"/>
      <c r="I5" s="81">
        <f>COUNTIFS('Email Campaigns'!$C$2:$C$205,"&lt;&gt;",'Email Campaigns'!$M$2:$M$205,FALSE)+COUNTIFS('SMS Campaigns'!$C$2:$C$201,"&lt;&gt;",'SMS Campaigns'!$I$2:$I$201,FALSE)</f>
        <v>1</v>
      </c>
      <c r="J5" s="95"/>
      <c r="K5" s="100">
        <f>COUNTIF('Email Campaigns'!$S$2:$S$205,"&gt;0")+COUNTIF('SMS Campaigns'!$N$2:$N$201,"&gt;0")</f>
        <v>10</v>
      </c>
      <c r="L5" s="101"/>
      <c r="M5" s="9"/>
      <c r="N5" s="8" t="s">
        <v>70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2" t="s">
        <v>71</v>
      </c>
      <c r="B6" s="80"/>
      <c r="C6" s="86" t="s">
        <v>72</v>
      </c>
      <c r="D6" s="83"/>
      <c r="E6" s="90" t="s">
        <v>73</v>
      </c>
      <c r="F6" s="87"/>
      <c r="G6" s="94" t="s">
        <v>74</v>
      </c>
      <c r="H6" s="91"/>
      <c r="I6" s="82" t="s">
        <v>75</v>
      </c>
      <c r="J6" s="79"/>
      <c r="K6" s="102" t="s">
        <v>76</v>
      </c>
      <c r="L6" s="9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77</v>
      </c>
      <c r="B7" s="23" t="s">
        <v>78</v>
      </c>
      <c r="C7" s="23" t="s">
        <v>79</v>
      </c>
      <c r="D7" s="23" t="s">
        <v>80</v>
      </c>
      <c r="E7" s="23" t="s">
        <v>81</v>
      </c>
      <c r="F7" s="23" t="s">
        <v>82</v>
      </c>
      <c r="G7" s="23" t="s">
        <v>83</v>
      </c>
      <c r="H7" s="23" t="s">
        <v>84</v>
      </c>
      <c r="I7" s="23" t="s">
        <v>85</v>
      </c>
      <c r="J7" s="23" t="s">
        <v>86</v>
      </c>
      <c r="K7" s="23" t="s">
        <v>87</v>
      </c>
      <c r="L7" s="23" t="s">
        <v>88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103" t="s">
        <v>89</v>
      </c>
      <c r="B8" s="104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6" t="s">
        <v>90</v>
      </c>
      <c r="B9" s="97"/>
      <c r="C9" s="98"/>
      <c r="D9" s="98"/>
      <c r="E9" s="98"/>
      <c r="F9" s="98"/>
      <c r="G9" s="98"/>
      <c r="H9" s="98"/>
      <c r="I9" s="98"/>
      <c r="J9" s="98"/>
      <c r="K9" s="98"/>
      <c r="L9" s="98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91</v>
      </c>
      <c r="B10" s="25" t="s">
        <v>92</v>
      </c>
      <c r="C10" s="24" t="s">
        <v>93</v>
      </c>
      <c r="D10" s="24" t="s">
        <v>94</v>
      </c>
      <c r="E10" s="24" t="s">
        <v>95</v>
      </c>
      <c r="F10" s="24" t="s">
        <v>96</v>
      </c>
      <c r="G10" s="24" t="s">
        <v>97</v>
      </c>
      <c r="H10" s="24" t="s">
        <v>98</v>
      </c>
      <c r="I10" s="24" t="s">
        <v>99</v>
      </c>
      <c r="J10" s="24" t="s">
        <v>100</v>
      </c>
      <c r="K10" s="24" t="s">
        <v>101</v>
      </c>
      <c r="L10" s="24" t="s">
        <v>102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91</v>
      </c>
      <c r="AB10" t="s">
        <v>92</v>
      </c>
      <c r="AC10" t="s">
        <v>93</v>
      </c>
      <c r="AD10" t="s">
        <v>94</v>
      </c>
      <c r="AE10" t="s">
        <v>95</v>
      </c>
      <c r="AF10" t="s">
        <v>96</v>
      </c>
      <c r="AG10" t="s">
        <v>97</v>
      </c>
      <c r="AH10" t="s">
        <v>98</v>
      </c>
      <c r="AI10" t="s">
        <v>99</v>
      </c>
      <c r="AJ10" t="s">
        <v>100</v>
      </c>
      <c r="AK10" t="s">
        <v>101</v>
      </c>
      <c r="AL10" t="s">
        <v>102</v>
      </c>
    </row>
    <row r="11" spans="1:38">
      <c r="A11" s="63" t="str" cm="1">
        <f t="array" aca="1" ref="A11" ca="1">IFERROR(INDEX(_xlfn.ANCHORARRAY($AA$11),ROW()-10,1),"")</f>
        <v/>
      </c>
      <c r="B11" s="26" t="str" cm="1">
        <f t="array" aca="1" ref="B11" ca="1">IFERROR(INDEX(_xlfn.ANCHORARRAY($AA$11),ROW()-10,2),"")</f>
        <v/>
      </c>
      <c r="C11" s="27" t="str" cm="1">
        <f t="array" aca="1" ref="C11" ca="1">IFERROR(INDEX(_xlfn.ANCHORARRAY($AA$11),ROW()-10,3),"")</f>
        <v/>
      </c>
      <c r="D11" s="27" t="str" cm="1">
        <f t="array" aca="1" ref="D11" ca="1">IFERROR(INDEX(_xlfn.ANCHORARRAY($AA$11),ROW()-10,4),"")</f>
        <v/>
      </c>
      <c r="E11" s="27" t="str" cm="1">
        <f t="array" aca="1" ref="E11" ca="1">IFERROR(INDEX(_xlfn.ANCHORARRAY($AA$11),ROW()-10,5),"")</f>
        <v/>
      </c>
      <c r="F11" s="27" t="str" cm="1">
        <f t="array" aca="1" ref="F11" ca="1">IFERROR(INDEX(_xlfn.ANCHORARRAY($AA$11),ROW()-10,6),"")</f>
        <v/>
      </c>
      <c r="G11" s="27" t="str" cm="1">
        <f t="array" aca="1" ref="G11" ca="1">IFERROR(INDEX(_xlfn.ANCHORARRAY($AA$11),ROW()-10,7),"")</f>
        <v/>
      </c>
      <c r="H11" s="27" t="str" cm="1">
        <f t="array" aca="1" ref="H11" ca="1">IFERROR(INDEX(_xlfn.ANCHORARRAY($AA$11),ROW()-10,8),"")</f>
        <v/>
      </c>
      <c r="I11" s="27" t="str" cm="1">
        <f t="array" aca="1" ref="I11" ca="1">IFERROR(INDEX(_xlfn.ANCHORARRAY($AA$11),ROW()-10,9),"")</f>
        <v/>
      </c>
      <c r="J11" s="28" t="str" cm="1">
        <f t="array" aca="1" ref="J11" ca="1">_xlfn.LET(_xlpm.link,IFERROR(INDEX(_xlfn.ANCHORARRAY($AA$11),ROW()-10,10),""),IF(_xlpm.link="","",HYPERLINK(_xlpm.link,"Jira")))</f>
        <v/>
      </c>
      <c r="K11" s="28" t="str" cm="1">
        <f t="array" aca="1" ref="K11" ca="1">_xlfn.LET(_xlpm.link,IFERROR(INDEX(_xlfn.ANCHORARRAY($AA$11),ROW()-10,11),""),IF(_xlpm.link="","",HYPERLINK(_xlpm.link,"ClickUp")))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/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t="str" cm="1">
        <f t="array" aca="1" ref="AA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Schedule],#REF!,SMSCampaignsTable[Bluecore/Attentive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63" t="str" cm="1">
        <f t="array" aca="1" ref="A12" ca="1">IFERROR(INDEX(_xlfn.ANCHORARRAY($AA$11),ROW()-10,1),"")</f>
        <v/>
      </c>
      <c r="B12" s="26" t="str" cm="1">
        <f t="array" aca="1" ref="B12" ca="1">IFERROR(INDEX(_xlfn.ANCHORARRAY($AA$11),ROW()-10,2),"")</f>
        <v/>
      </c>
      <c r="C12" s="22" t="str" cm="1">
        <f t="array" aca="1" ref="C12" ca="1">IFERROR(INDEX(_xlfn.ANCHORARRAY($AA$11),ROW()-10,3),"")</f>
        <v/>
      </c>
      <c r="D12" s="22" t="str" cm="1">
        <f t="array" aca="1" ref="D12" ca="1">IFERROR(INDEX(_xlfn.ANCHORARRAY($AA$11),ROW()-10,4),"")</f>
        <v/>
      </c>
      <c r="E12" s="22" t="str" cm="1">
        <f t="array" aca="1" ref="E12" ca="1">IFERROR(INDEX(_xlfn.ANCHORARRAY($AA$11),ROW()-10,5),"")</f>
        <v/>
      </c>
      <c r="F12" s="22" t="str" cm="1">
        <f t="array" aca="1" ref="F12" ca="1">IFERROR(INDEX(_xlfn.ANCHORARRAY($AA$11),ROW()-10,6),"")</f>
        <v/>
      </c>
      <c r="G12" s="22" t="str" cm="1">
        <f t="array" aca="1" ref="G12" ca="1">IFERROR(INDEX(_xlfn.ANCHORARRAY($AA$11),ROW()-10,7),"")</f>
        <v/>
      </c>
      <c r="H12" s="22" t="str" cm="1">
        <f t="array" aca="1" ref="H12" ca="1">IFERROR(INDEX(_xlfn.ANCHORARRAY($AA$11),ROW()-10,8),"")</f>
        <v/>
      </c>
      <c r="I12" s="22" t="str" cm="1">
        <f t="array" aca="1" ref="I12" ca="1">IFERROR(INDEX(_xlfn.ANCHORARRAY($AA$11),ROW()-10,9),"")</f>
        <v/>
      </c>
      <c r="J12" s="28" t="str" cm="1">
        <f t="array" aca="1" ref="J12" ca="1">_xlfn.LET(_xlpm.link,IFERROR(INDEX(_xlfn.ANCHORARRAY($AA$11),ROW()-10,10),""),IF(_xlpm.link="","",HYPERLINK(_xlpm.link,"Jira")))</f>
        <v/>
      </c>
      <c r="K12" s="27" t="str" cm="1">
        <f t="array" aca="1" ref="K12" ca="1">_xlfn.LET(_xlpm.link,IFERROR(INDEX(_xlfn.ANCHORARRAY($AA$11),ROW()-10,11),""),IF(_xlpm.link="","",HYPERLINK(_xlpm.link,"ClickUp")))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63" t="str" cm="1">
        <f t="array" aca="1" ref="A13" ca="1">IFERROR(INDEX(_xlfn.ANCHORARRAY($AA$11),ROW()-10,1),"")</f>
        <v/>
      </c>
      <c r="B13" s="26" t="str" cm="1">
        <f t="array" aca="1" ref="B13" ca="1">IFERROR(INDEX(_xlfn.ANCHORARRAY($AA$11),ROW()-10,2),"")</f>
        <v/>
      </c>
      <c r="C13" s="22" t="str" cm="1">
        <f t="array" aca="1" ref="C13" ca="1">IFERROR(INDEX(_xlfn.ANCHORARRAY($AA$11),ROW()-10,3),"")</f>
        <v/>
      </c>
      <c r="D13" s="22" t="str" cm="1">
        <f t="array" aca="1" ref="D13" ca="1">IFERROR(INDEX(_xlfn.ANCHORARRAY($AA$11),ROW()-10,4),"")</f>
        <v/>
      </c>
      <c r="E13" s="22" t="str" cm="1">
        <f t="array" aca="1" ref="E13" ca="1">IFERROR(INDEX(_xlfn.ANCHORARRAY($AA$11),ROW()-10,5),"")</f>
        <v/>
      </c>
      <c r="F13" s="22" t="str" cm="1">
        <f t="array" aca="1" ref="F13" ca="1">IFERROR(INDEX(_xlfn.ANCHORARRAY($AA$11),ROW()-10,6),"")</f>
        <v/>
      </c>
      <c r="G13" s="22" t="str" cm="1">
        <f t="array" aca="1" ref="G13" ca="1">IFERROR(INDEX(_xlfn.ANCHORARRAY($AA$11),ROW()-10,7),"")</f>
        <v/>
      </c>
      <c r="H13" s="22" t="str" cm="1">
        <f t="array" aca="1" ref="H13" ca="1">IFERROR(INDEX(_xlfn.ANCHORARRAY($AA$11),ROW()-10,8),"")</f>
        <v/>
      </c>
      <c r="I13" s="22" t="str" cm="1">
        <f t="array" aca="1" ref="I13" ca="1">IFERROR(INDEX(_xlfn.ANCHORARRAY($AA$11),ROW()-10,9),"")</f>
        <v/>
      </c>
      <c r="J13" s="28" t="str" cm="1">
        <f t="array" aca="1" ref="J13" ca="1">_xlfn.LET(_xlpm.link,IFERROR(INDEX(_xlfn.ANCHORARRAY($AA$11),ROW()-10,10),""),IF(_xlpm.link="","",HYPERLINK(_xlpm.link,"Jira")))</f>
        <v/>
      </c>
      <c r="K13" s="29" t="str" cm="1">
        <f t="array" aca="1" ref="K13" ca="1">_xlfn.LET(_xlpm.link,IFERROR(INDEX(_xlfn.ANCHORARRAY($AA$11),ROW()-10,11),""),IF(_xlpm.link="","",HYPERLINK(_xlpm.link,"ClickUp")))</f>
        <v/>
      </c>
      <c r="L13" s="29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63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 cm="1">
        <f t="array" aca="1" ref="J14" ca="1">_xlfn.LET(_xlpm.link,IFERROR(INDEX(_xlfn.ANCHORARRAY($AA$11),ROW()-10,10),""),IF(_xlpm.link="","",HYPERLINK(_xlpm.link,"Jira")))</f>
        <v/>
      </c>
      <c r="K14" s="30" t="str" cm="1">
        <f t="array" aca="1" ref="K14" ca="1">_xlfn.LET(_xlpm.link,IFERROR(INDEX(_xlfn.ANCHORARRAY($AA$11),ROW()-10,11),""),IF(_xlpm.link="","",HYPERLINK(_xlpm.link,"ClickUp")))</f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 cm="1">
        <f t="array" aca="1" ref="J15" ca="1">_xlfn.LET(_xlpm.link,IFERROR(INDEX(_xlfn.ANCHORARRAY($AA$11),ROW()-10,10),""),IF(_xlpm.link="","",HYPERLINK(_xlpm.link,"Jira")))</f>
        <v/>
      </c>
      <c r="K15" s="27" t="str" cm="1">
        <f t="array" aca="1" ref="K15" ca="1">_xlfn.LET(_xlpm.link,IFERROR(INDEX(_xlfn.ANCHORARRAY($AA$11),ROW()-10,11),""),IF(_xlpm.link="","",HYPERLINK(_xlpm.link,"ClickUp")))</f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 cm="1">
        <f t="array" aca="1" ref="J16" ca="1">_xlfn.LET(_xlpm.link,IFERROR(INDEX(_xlfn.ANCHORARRAY($AA$11),ROW()-10,10),""),IF(_xlpm.link="","",HYPERLINK(_xlpm.link,"Jira")))</f>
        <v/>
      </c>
      <c r="K16" s="30" t="str" cm="1">
        <f t="array" aca="1" ref="K16" ca="1">_xlfn.LET(_xlpm.link,IFERROR(INDEX(_xlfn.ANCHORARRAY($AA$11),ROW()-10,11),""),IF(_xlpm.link="","",HYPERLINK(_xlpm.link,"ClickUp")))</f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 cm="1">
        <f t="array" aca="1" ref="J17" ca="1">_xlfn.LET(_xlpm.link,IFERROR(INDEX(_xlfn.ANCHORARRAY($AA$11),ROW()-10,10),""),IF(_xlpm.link="","",HYPERLINK(_xlpm.link,"Jira")))</f>
        <v/>
      </c>
      <c r="K17" s="22" t="str" cm="1">
        <f t="array" aca="1" ref="K17" ca="1">_xlfn.LET(_xlpm.link,IFERROR(INDEX(_xlfn.ANCHORARRAY($AA$11),ROW()-10,11),""),IF(_xlpm.link="","",HYPERLINK(_xlpm.link,"ClickUp")))</f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 cm="1">
        <f t="array" aca="1" ref="J18" ca="1">_xlfn.LET(_xlpm.link,IFERROR(INDEX(_xlfn.ANCHORARRAY($AA$11),ROW()-10,10),""),IF(_xlpm.link="","",HYPERLINK(_xlpm.link,"Jira")))</f>
        <v/>
      </c>
      <c r="K18" s="22" t="str" cm="1">
        <f t="array" aca="1" ref="K18" ca="1">_xlfn.LET(_xlpm.link,IFERROR(INDEX(_xlfn.ANCHORARRAY($AA$11),ROW()-10,11),""),IF(_xlpm.link="","",HYPERLINK(_xlpm.link,"ClickUp")))</f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 cm="1">
        <f t="array" aca="1" ref="J19" ca="1">_xlfn.LET(_xlpm.link,IFERROR(INDEX(_xlfn.ANCHORARRAY($AA$11),ROW()-10,10),""),IF(_xlpm.link="","",HYPERLINK(_xlpm.link,"Jira")))</f>
        <v/>
      </c>
      <c r="K19" s="22" t="str" cm="1">
        <f t="array" aca="1" ref="K19" ca="1">_xlfn.LET(_xlpm.link,IFERROR(INDEX(_xlfn.ANCHORARRAY($AA$11),ROW()-10,11),""),IF(_xlpm.link="","",HYPERLINK(_xlpm.link,"ClickUp")))</f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 cm="1">
        <f t="array" aca="1" ref="J20" ca="1">_xlfn.LET(_xlpm.link,IFERROR(INDEX(_xlfn.ANCHORARRAY($AA$11),ROW()-10,10),""),IF(_xlpm.link="","",HYPERLINK(_xlpm.link,"Jira")))</f>
        <v/>
      </c>
      <c r="K20" s="22" t="str" cm="1">
        <f t="array" aca="1" ref="K20" ca="1">_xlfn.LET(_xlpm.link,IFERROR(INDEX(_xlfn.ANCHORARRAY($AA$11),ROW()-10,11),""),IF(_xlpm.link="","",HYPERLINK(_xlpm.link,"ClickUp")))</f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 cm="1">
        <f t="array" aca="1" ref="J21" ca="1">_xlfn.LET(_xlpm.link,IFERROR(INDEX(_xlfn.ANCHORARRAY($AA$11),ROW()-10,10),""),IF(_xlpm.link="","",HYPERLINK(_xlpm.link,"Jira")))</f>
        <v/>
      </c>
      <c r="K21" s="22" t="str" cm="1">
        <f t="array" aca="1" ref="K21" ca="1">_xlfn.LET(_xlpm.link,IFERROR(INDEX(_xlfn.ANCHORARRAY($AA$11),ROW()-10,11),""),IF(_xlpm.link="","",HYPERLINK(_xlpm.link,"ClickUp")))</f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 cm="1">
        <f t="array" aca="1" ref="J22" ca="1">_xlfn.LET(_xlpm.link,IFERROR(INDEX(_xlfn.ANCHORARRAY($AA$11),ROW()-10,10),""),IF(_xlpm.link="","",HYPERLINK(_xlpm.link,"Jira")))</f>
        <v/>
      </c>
      <c r="K22" s="22" t="str" cm="1">
        <f t="array" aca="1" ref="K22" ca="1">_xlfn.LET(_xlpm.link,IFERROR(INDEX(_xlfn.ANCHORARRAY($AA$11),ROW()-10,11),""),IF(_xlpm.link="","",HYPERLINK(_xlpm.link,"ClickUp")))</f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 cm="1">
        <f t="array" aca="1" ref="J23" ca="1">_xlfn.LET(_xlpm.link,IFERROR(INDEX(_xlfn.ANCHORARRAY($AA$11),ROW()-10,10),""),IF(_xlpm.link="","",HYPERLINK(_xlpm.link,"Jira")))</f>
        <v/>
      </c>
      <c r="K23" s="22" t="str" cm="1">
        <f t="array" aca="1" ref="K23" ca="1">_xlfn.LET(_xlpm.link,IFERROR(INDEX(_xlfn.ANCHORARRAY($AA$11),ROW()-10,11),""),IF(_xlpm.link="","",HYPERLINK(_xlpm.link,"ClickUp")))</f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4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 cm="1">
        <f t="array" aca="1" ref="J24" ca="1">_xlfn.LET(_xlpm.link,IFERROR(INDEX(_xlfn.ANCHORARRAY($AA$11),ROW()-10,10),""),IF(_xlpm.link="","",HYPERLINK(_xlpm.link,"Jira")))</f>
        <v/>
      </c>
      <c r="K24" s="22" t="str" cm="1">
        <f t="array" aca="1" ref="K24" ca="1">_xlfn.LET(_xlpm.link,IFERROR(INDEX(_xlfn.ANCHORARRAY($AA$11),ROW()-10,11),""),IF(_xlpm.link="","",HYPERLINK(_xlpm.link,"ClickUp")))</f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5" t="s">
        <v>286</v>
      </c>
      <c r="O24" s="75"/>
      <c r="P24" s="75"/>
      <c r="Q24" s="75"/>
      <c r="R24" s="75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 cm="1">
        <f t="array" aca="1" ref="J25" ca="1">_xlfn.LET(_xlpm.link,IFERROR(INDEX(_xlfn.ANCHORARRAY($AA$11),ROW()-10,10),""),IF(_xlpm.link="","",HYPERLINK(_xlpm.link,"Jira")))</f>
        <v/>
      </c>
      <c r="K25" s="22" t="str" cm="1">
        <f t="array" aca="1" ref="K25" ca="1">_xlfn.LET(_xlpm.link,IFERROR(INDEX(_xlfn.ANCHORARRAY($AA$11),ROW()-10,11),""),IF(_xlpm.link="","",HYPERLINK(_xlpm.link,"ClickUp")))</f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58</v>
      </c>
      <c r="O25" s="8" t="s">
        <v>59</v>
      </c>
      <c r="P25" s="8" t="s">
        <v>60</v>
      </c>
      <c r="Q25" s="8" t="s">
        <v>287</v>
      </c>
      <c r="R25" s="8" t="s">
        <v>62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 cm="1">
        <f t="array" aca="1" ref="J26" ca="1">_xlfn.LET(_xlpm.link,IFERROR(INDEX(_xlfn.ANCHORARRAY($AA$11),ROW()-10,10),""),IF(_xlpm.link="","",HYPERLINK(_xlpm.link,"Jira")))</f>
        <v/>
      </c>
      <c r="K26" s="22" t="str" cm="1">
        <f t="array" aca="1" ref="K26" ca="1">_xlfn.LET(_xlpm.link,IFERROR(INDEX(_xlfn.ANCHORARRAY($AA$11),ROW()-10,11),""),IF(_xlpm.link="","",HYPERLINK(_xlpm.link,"ClickUp")))</f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69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63900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4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 cm="1">
        <f t="array" aca="1" ref="J27" ca="1">_xlfn.LET(_xlpm.link,IFERROR(INDEX(_xlfn.ANCHORARRAY($AA$11),ROW()-10,10),""),IF(_xlpm.link="","",HYPERLINK(_xlpm.link,"Jira")))</f>
        <v/>
      </c>
      <c r="K27" s="22" t="str" cm="1">
        <f t="array" aca="1" ref="K27" ca="1">_xlfn.LET(_xlpm.link,IFERROR(INDEX(_xlfn.ANCHORARRAY($AA$11),ROW()-10,11),""),IF(_xlpm.link="","",HYPERLINK(_xlpm.link,"ClickUp")))</f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70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0</v>
      </c>
      <c r="R27" s="11">
        <f ca="1">Q27-Q26</f>
        <v>-63900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 cm="1">
        <f t="array" aca="1" ref="J28" ca="1">_xlfn.LET(_xlpm.link,IFERROR(INDEX(_xlfn.ANCHORARRAY($AA$11),ROW()-10,10),""),IF(_xlpm.link="","",HYPERLINK(_xlpm.link,"Jira")))</f>
        <v/>
      </c>
      <c r="K28" s="22" t="str" cm="1">
        <f t="array" aca="1" ref="K28" ca="1">_xlfn.LET(_xlpm.link,IFERROR(INDEX(_xlfn.ANCHORARRAY($AA$11),ROW()-10,11),""),IF(_xlpm.link="","",HYPERLINK(_xlpm.link,"ClickUp")))</f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 cm="1">
        <f t="array" aca="1" ref="J29" ca="1">_xlfn.LET(_xlpm.link,IFERROR(INDEX(_xlfn.ANCHORARRAY($AA$11),ROW()-10,10),""),IF(_xlpm.link="","",HYPERLINK(_xlpm.link,"Jira")))</f>
        <v/>
      </c>
      <c r="K29" s="22" t="str" cm="1">
        <f t="array" aca="1" ref="K29" ca="1">_xlfn.LET(_xlpm.link,IFERROR(INDEX(_xlfn.ANCHORARRAY($AA$11),ROW()-10,11),""),IF(_xlpm.link="","",HYPERLINK(_xlpm.link,"ClickUp")))</f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 cm="1">
        <f t="array" aca="1" ref="J30" ca="1">_xlfn.LET(_xlpm.link,IFERROR(INDEX(_xlfn.ANCHORARRAY($AA$11),ROW()-10,10),""),IF(_xlpm.link="","",HYPERLINK(_xlpm.link,"Jira")))</f>
        <v/>
      </c>
      <c r="K30" s="22" t="str" cm="1">
        <f t="array" aca="1" ref="K30" ca="1">_xlfn.LET(_xlpm.link,IFERROR(INDEX(_xlfn.ANCHORARRAY($AA$11),ROW()-10,11),""),IF(_xlpm.link="","",HYPERLINK(_xlpm.link,"ClickUp")))</f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 cm="1">
        <f t="array" aca="1" ref="J31" ca="1">_xlfn.LET(_xlpm.link,IFERROR(INDEX(_xlfn.ANCHORARRAY($AA$11),ROW()-10,10),""),IF(_xlpm.link="","",HYPERLINK(_xlpm.link,"Jira")))</f>
        <v/>
      </c>
      <c r="K31" s="22" t="str" cm="1">
        <f t="array" aca="1" ref="K31" ca="1">_xlfn.LET(_xlpm.link,IFERROR(INDEX(_xlfn.ANCHORARRAY($AA$11),ROW()-10,11),""),IF(_xlpm.link="","",HYPERLINK(_xlpm.link,"ClickUp")))</f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 cm="1">
        <f t="array" aca="1" ref="J32" ca="1">_xlfn.LET(_xlpm.link,IFERROR(INDEX(_xlfn.ANCHORARRAY($AA$11),ROW()-10,10),""),IF(_xlpm.link="","",HYPERLINK(_xlpm.link,"Jira")))</f>
        <v/>
      </c>
      <c r="K32" s="22" t="str" cm="1">
        <f t="array" aca="1" ref="K32" ca="1">_xlfn.LET(_xlpm.link,IFERROR(INDEX(_xlfn.ANCHORARRAY($AA$11),ROW()-10,11),""),IF(_xlpm.link="","",HYPERLINK(_xlpm.link,"ClickUp")))</f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 cm="1">
        <f t="array" aca="1" ref="J33" ca="1">_xlfn.LET(_xlpm.link,IFERROR(INDEX(_xlfn.ANCHORARRAY($AA$11),ROW()-10,10),""),IF(_xlpm.link="","",HYPERLINK(_xlpm.link,"Jira")))</f>
        <v/>
      </c>
      <c r="K33" s="22" t="str" cm="1">
        <f t="array" aca="1" ref="K33" ca="1">_xlfn.LET(_xlpm.link,IFERROR(INDEX(_xlfn.ANCHORARRAY($AA$11),ROW()-10,11),""),IF(_xlpm.link="","",HYPERLINK(_xlpm.link,"ClickUp")))</f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 cm="1">
        <f t="array" aca="1" ref="J34" ca="1">_xlfn.LET(_xlpm.link,IFERROR(INDEX(_xlfn.ANCHORARRAY($AA$11),ROW()-10,10),""),IF(_xlpm.link="","",HYPERLINK(_xlpm.link,"Jira")))</f>
        <v/>
      </c>
      <c r="K34" s="22" t="str" cm="1">
        <f t="array" aca="1" ref="K34" ca="1">_xlfn.LET(_xlpm.link,IFERROR(INDEX(_xlfn.ANCHORARRAY($AA$11),ROW()-10,11),""),IF(_xlpm.link="","",HYPERLINK(_xlpm.link,"ClickUp")))</f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 cm="1">
        <f t="array" aca="1" ref="J35" ca="1">_xlfn.LET(_xlpm.link,IFERROR(INDEX(_xlfn.ANCHORARRAY($AA$11),ROW()-10,10),""),IF(_xlpm.link="","",HYPERLINK(_xlpm.link,"Jira")))</f>
        <v/>
      </c>
      <c r="K35" s="22" t="str" cm="1">
        <f t="array" aca="1" ref="K35" ca="1">_xlfn.LET(_xlpm.link,IFERROR(INDEX(_xlfn.ANCHORARRAY($AA$11),ROW()-10,11),""),IF(_xlpm.link="","",HYPERLINK(_xlpm.link,"ClickUp")))</f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 cm="1">
        <f t="array" aca="1" ref="J36" ca="1">_xlfn.LET(_xlpm.link,IFERROR(INDEX(_xlfn.ANCHORARRAY($AA$11),ROW()-10,10),""),IF(_xlpm.link="","",HYPERLINK(_xlpm.link,"Jira")))</f>
        <v/>
      </c>
      <c r="K36" s="22" t="str" cm="1">
        <f t="array" aca="1" ref="K36" ca="1">_xlfn.LET(_xlpm.link,IFERROR(INDEX(_xlfn.ANCHORARRAY($AA$11),ROW()-10,11),""),IF(_xlpm.link="","",HYPERLINK(_xlpm.link,"ClickUp")))</f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 cm="1">
        <f t="array" aca="1" ref="J37" ca="1">_xlfn.LET(_xlpm.link,IFERROR(INDEX(_xlfn.ANCHORARRAY($AA$11),ROW()-10,10),""),IF(_xlpm.link="","",HYPERLINK(_xlpm.link,"Jira")))</f>
        <v/>
      </c>
      <c r="K37" s="22" t="str" cm="1">
        <f t="array" aca="1" ref="K37" ca="1">_xlfn.LET(_xlpm.link,IFERROR(INDEX(_xlfn.ANCHORARRAY($AA$11),ROW()-10,11),""),IF(_xlpm.link="","",HYPERLINK(_xlpm.link,"ClickUp")))</f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 cm="1">
        <f t="array" aca="1" ref="J38" ca="1">_xlfn.LET(_xlpm.link,IFERROR(INDEX(_xlfn.ANCHORARRAY($AA$11),ROW()-10,10),""),IF(_xlpm.link="","",HYPERLINK(_xlpm.link,"Jira")))</f>
        <v/>
      </c>
      <c r="K38" s="22" t="str" cm="1">
        <f t="array" aca="1" ref="K38" ca="1">_xlfn.LET(_xlpm.link,IFERROR(INDEX(_xlfn.ANCHORARRAY($AA$11),ROW()-10,11),""),IF(_xlpm.link="","",HYPERLINK(_xlpm.link,"ClickUp")))</f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 cm="1">
        <f t="array" aca="1" ref="J39" ca="1">_xlfn.LET(_xlpm.link,IFERROR(INDEX(_xlfn.ANCHORARRAY($AA$11),ROW()-10,10),""),IF(_xlpm.link="","",HYPERLINK(_xlpm.link,"Jira")))</f>
        <v/>
      </c>
      <c r="K39" s="22" t="str" cm="1">
        <f t="array" aca="1" ref="K39" ca="1">_xlfn.LET(_xlpm.link,IFERROR(INDEX(_xlfn.ANCHORARRAY($AA$11),ROW()-10,11),""),IF(_xlpm.link="","",HYPERLINK(_xlpm.link,"ClickUp")))</f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 cm="1">
        <f t="array" aca="1" ref="J40" ca="1">_xlfn.LET(_xlpm.link,IFERROR(INDEX(_xlfn.ANCHORARRAY($AA$11),ROW()-10,10),""),IF(_xlpm.link="","",HYPERLINK(_xlpm.link,"Jira")))</f>
        <v/>
      </c>
      <c r="K40" s="22" t="str" cm="1">
        <f t="array" aca="1" ref="K40" ca="1">_xlfn.LET(_xlpm.link,IFERROR(INDEX(_xlfn.ANCHORARRAY($AA$11),ROW()-10,11),""),IF(_xlpm.link="","",HYPERLINK(_xlpm.link,"ClickUp")))</f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 cm="1">
        <f t="array" aca="1" ref="J41" ca="1">_xlfn.LET(_xlpm.link,IFERROR(INDEX(_xlfn.ANCHORARRAY($AA$11),ROW()-10,10),""),IF(_xlpm.link="","",HYPERLINK(_xlpm.link,"Jira")))</f>
        <v/>
      </c>
      <c r="K41" s="22" t="str" cm="1">
        <f t="array" aca="1" ref="K41" ca="1">_xlfn.LET(_xlpm.link,IFERROR(INDEX(_xlfn.ANCHORARRAY($AA$11),ROW()-10,11),""),IF(_xlpm.link="","",HYPERLINK(_xlpm.link,"ClickUp")))</f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 cm="1">
        <f t="array" aca="1" ref="J42" ca="1">_xlfn.LET(_xlpm.link,IFERROR(INDEX(_xlfn.ANCHORARRAY($AA$11),ROW()-10,10),""),IF(_xlpm.link="","",HYPERLINK(_xlpm.link,"Jira")))</f>
        <v/>
      </c>
      <c r="K42" s="22" t="str" cm="1">
        <f t="array" aca="1" ref="K42" ca="1">_xlfn.LET(_xlpm.link,IFERROR(INDEX(_xlfn.ANCHORARRAY($AA$11),ROW()-10,11),""),IF(_xlpm.link="","",HYPERLINK(_xlpm.link,"ClickUp")))</f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 cm="1">
        <f t="array" aca="1" ref="J43" ca="1">_xlfn.LET(_xlpm.link,IFERROR(INDEX(_xlfn.ANCHORARRAY($AA$11),ROW()-10,10),""),IF(_xlpm.link="","",HYPERLINK(_xlpm.link,"Jira")))</f>
        <v/>
      </c>
      <c r="K43" s="22" t="str" cm="1">
        <f t="array" aca="1" ref="K43" ca="1">_xlfn.LET(_xlpm.link,IFERROR(INDEX(_xlfn.ANCHORARRAY($AA$11),ROW()-10,11),""),IF(_xlpm.link="","",HYPERLINK(_xlpm.link,"ClickUp")))</f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 cm="1">
        <f t="array" aca="1" ref="J44" ca="1">_xlfn.LET(_xlpm.link,IFERROR(INDEX(_xlfn.ANCHORARRAY($AA$11),ROW()-10,10),""),IF(_xlpm.link="","",HYPERLINK(_xlpm.link,"Jira")))</f>
        <v/>
      </c>
      <c r="K44" s="22" t="str" cm="1">
        <f t="array" aca="1" ref="K44" ca="1">_xlfn.LET(_xlpm.link,IFERROR(INDEX(_xlfn.ANCHORARRAY($AA$11),ROW()-10,11),""),IF(_xlpm.link="","",HYPERLINK(_xlpm.link,"ClickUp")))</f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 cm="1">
        <f t="array" aca="1" ref="J45" ca="1">_xlfn.LET(_xlpm.link,IFERROR(INDEX(_xlfn.ANCHORARRAY($AA$11),ROW()-10,10),""),IF(_xlpm.link="","",HYPERLINK(_xlpm.link,"Jira")))</f>
        <v/>
      </c>
      <c r="K45" s="22" t="str" cm="1">
        <f t="array" aca="1" ref="K45" ca="1">_xlfn.LET(_xlpm.link,IFERROR(INDEX(_xlfn.ANCHORARRAY($AA$11),ROW()-10,11),""),IF(_xlpm.link="","",HYPERLINK(_xlpm.link,"ClickUp")))</f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 cm="1">
        <f t="array" aca="1" ref="J46" ca="1">_xlfn.LET(_xlpm.link,IFERROR(INDEX(_xlfn.ANCHORARRAY($AA$11),ROW()-10,10),""),IF(_xlpm.link="","",HYPERLINK(_xlpm.link,"Jira")))</f>
        <v/>
      </c>
      <c r="K46" s="22" t="str" cm="1">
        <f t="array" aca="1" ref="K46" ca="1">_xlfn.LET(_xlpm.link,IFERROR(INDEX(_xlfn.ANCHORARRAY($AA$11),ROW()-10,11),""),IF(_xlpm.link="","",HYPERLINK(_xlpm.link,"ClickUp")))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 cm="1">
        <f t="array" aca="1" ref="J47" ca="1">_xlfn.LET(_xlpm.link,IFERROR(INDEX(_xlfn.ANCHORARRAY($AA$11),ROW()-10,10),""),IF(_xlpm.link="","",HYPERLINK(_xlpm.link,"Jira")))</f>
        <v/>
      </c>
      <c r="K47" s="22" t="str" cm="1">
        <f t="array" aca="1" ref="K47" ca="1">_xlfn.LET(_xlpm.link,IFERROR(INDEX(_xlfn.ANCHORARRAY($AA$11),ROW()-10,11),""),IF(_xlpm.link="","",HYPERLINK(_xlpm.link,"ClickUp")))</f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 cm="1">
        <f t="array" aca="1" ref="J48" ca="1">_xlfn.LET(_xlpm.link,IFERROR(INDEX(_xlfn.ANCHORARRAY($AA$11),ROW()-10,10),""),IF(_xlpm.link="","",HYPERLINK(_xlpm.link,"Jira")))</f>
        <v/>
      </c>
      <c r="K48" s="22" t="str" cm="1">
        <f t="array" aca="1" ref="K48" ca="1">_xlfn.LET(_xlpm.link,IFERROR(INDEX(_xlfn.ANCHORARRAY($AA$11),ROW()-10,11),""),IF(_xlpm.link="","",HYPERLINK(_xlpm.link,"ClickUp")))</f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 cm="1">
        <f t="array" aca="1" ref="J49" ca="1">_xlfn.LET(_xlpm.link,IFERROR(INDEX(_xlfn.ANCHORARRAY($AA$11),ROW()-10,10),""),IF(_xlpm.link="","",HYPERLINK(_xlpm.link,"Jira")))</f>
        <v/>
      </c>
      <c r="K49" s="22" t="str" cm="1">
        <f t="array" aca="1" ref="K49" ca="1">_xlfn.LET(_xlpm.link,IFERROR(INDEX(_xlfn.ANCHORARRAY($AA$11),ROW()-10,11),""),IF(_xlpm.link="","",HYPERLINK(_xlpm.link,"ClickUp")))</f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 cm="1">
        <f t="array" aca="1" ref="J50" ca="1">_xlfn.LET(_xlpm.link,IFERROR(INDEX(_xlfn.ANCHORARRAY($AA$11),ROW()-10,10),""),IF(_xlpm.link="","",HYPERLINK(_xlpm.link,"Jira")))</f>
        <v/>
      </c>
      <c r="K50" s="22" t="str" cm="1">
        <f t="array" aca="1" ref="K50" ca="1">_xlfn.LET(_xlpm.link,IFERROR(INDEX(_xlfn.ANCHORARRAY($AA$11),ROW()-10,11),""),IF(_xlpm.link="","",HYPERLINK(_xlpm.link,"ClickUp")))</f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 cm="1">
        <f t="array" aca="1" ref="J51" ca="1">_xlfn.LET(_xlpm.link,IFERROR(INDEX(_xlfn.ANCHORARRAY($AA$11),ROW()-10,10),""),IF(_xlpm.link="","",HYPERLINK(_xlpm.link,"Jira")))</f>
        <v/>
      </c>
      <c r="K51" s="22" t="str" cm="1">
        <f t="array" aca="1" ref="K51" ca="1">_xlfn.LET(_xlpm.link,IFERROR(INDEX(_xlfn.ANCHORARRAY($AA$11),ROW()-10,11),""),IF(_xlpm.link="","",HYPERLINK(_xlpm.link,"ClickUp")))</f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 cm="1">
        <f t="array" aca="1" ref="J52" ca="1">_xlfn.LET(_xlpm.link,IFERROR(INDEX(_xlfn.ANCHORARRAY($AA$11),ROW()-10,10),""),IF(_xlpm.link="","",HYPERLINK(_xlpm.link,"Jira")))</f>
        <v/>
      </c>
      <c r="K52" s="22" t="str" cm="1">
        <f t="array" aca="1" ref="K52" ca="1">_xlfn.LET(_xlpm.link,IFERROR(INDEX(_xlfn.ANCHORARRAY($AA$11),ROW()-10,11),""),IF(_xlpm.link="","",HYPERLINK(_xlpm.link,"ClickUp")))</f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 cm="1">
        <f t="array" aca="1" ref="J53" ca="1">_xlfn.LET(_xlpm.link,IFERROR(INDEX(_xlfn.ANCHORARRAY($AA$11),ROW()-10,10),""),IF(_xlpm.link="","",HYPERLINK(_xlpm.link,"Jira")))</f>
        <v/>
      </c>
      <c r="K53" s="22" t="str" cm="1">
        <f t="array" aca="1" ref="K53" ca="1">_xlfn.LET(_xlpm.link,IFERROR(INDEX(_xlfn.ANCHORARRAY($AA$11),ROW()-10,11),""),IF(_xlpm.link="","",HYPERLINK(_xlpm.link,"ClickUp")))</f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 cm="1">
        <f t="array" aca="1" ref="J54" ca="1">_xlfn.LET(_xlpm.link,IFERROR(INDEX(_xlfn.ANCHORARRAY($AA$11),ROW()-10,10),""),IF(_xlpm.link="","",HYPERLINK(_xlpm.link,"Jira")))</f>
        <v/>
      </c>
      <c r="K54" s="22" t="str" cm="1">
        <f t="array" aca="1" ref="K54" ca="1">_xlfn.LET(_xlpm.link,IFERROR(INDEX(_xlfn.ANCHORARRAY($AA$11),ROW()-10,11),""),IF(_xlpm.link="","",HYPERLINK(_xlpm.link,"ClickUp")))</f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 cm="1">
        <f t="array" aca="1" ref="J55" ca="1">_xlfn.LET(_xlpm.link,IFERROR(INDEX(_xlfn.ANCHORARRAY($AA$11),ROW()-10,10),""),IF(_xlpm.link="","",HYPERLINK(_xlpm.link,"Jira")))</f>
        <v/>
      </c>
      <c r="K55" s="22" t="str" cm="1">
        <f t="array" aca="1" ref="K55" ca="1">_xlfn.LET(_xlpm.link,IFERROR(INDEX(_xlfn.ANCHORARRAY($AA$11),ROW()-10,11),""),IF(_xlpm.link="","",HYPERLINK(_xlpm.link,"ClickUp")))</f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 cm="1">
        <f t="array" aca="1" ref="J56" ca="1">_xlfn.LET(_xlpm.link,IFERROR(INDEX(_xlfn.ANCHORARRAY($AA$11),ROW()-10,10),""),IF(_xlpm.link="","",HYPERLINK(_xlpm.link,"Jira")))</f>
        <v/>
      </c>
      <c r="K56" s="22" t="str" cm="1">
        <f t="array" aca="1" ref="K56" ca="1">_xlfn.LET(_xlpm.link,IFERROR(INDEX(_xlfn.ANCHORARRAY($AA$11),ROW()-10,11),""),IF(_xlpm.link="","",HYPERLINK(_xlpm.link,"ClickUp")))</f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 cm="1">
        <f t="array" aca="1" ref="J57" ca="1">_xlfn.LET(_xlpm.link,IFERROR(INDEX(_xlfn.ANCHORARRAY($AA$11),ROW()-10,10),""),IF(_xlpm.link="","",HYPERLINK(_xlpm.link,"Jira")))</f>
        <v/>
      </c>
      <c r="K57" s="22" t="str" cm="1">
        <f t="array" aca="1" ref="K57" ca="1">_xlfn.LET(_xlpm.link,IFERROR(INDEX(_xlfn.ANCHORARRAY($AA$11),ROW()-10,11),""),IF(_xlpm.link="","",HYPERLINK(_xlpm.link,"ClickUp")))</f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 cm="1">
        <f t="array" aca="1" ref="J58" ca="1">_xlfn.LET(_xlpm.link,IFERROR(INDEX(_xlfn.ANCHORARRAY($AA$11),ROW()-10,10),""),IF(_xlpm.link="","",HYPERLINK(_xlpm.link,"Jira")))</f>
        <v/>
      </c>
      <c r="K58" s="22" t="str" cm="1">
        <f t="array" aca="1" ref="K58" ca="1">_xlfn.LET(_xlpm.link,IFERROR(INDEX(_xlfn.ANCHORARRAY($AA$11),ROW()-10,11),""),IF(_xlpm.link="","",HYPERLINK(_xlpm.link,"ClickUp")))</f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 cm="1">
        <f t="array" aca="1" ref="J59" ca="1">_xlfn.LET(_xlpm.link,IFERROR(INDEX(_xlfn.ANCHORARRAY($AA$11),ROW()-10,10),""),IF(_xlpm.link="","",HYPERLINK(_xlpm.link,"Jira")))</f>
        <v/>
      </c>
      <c r="K59" s="22" t="str" cm="1">
        <f t="array" aca="1" ref="K59" ca="1">_xlfn.LET(_xlpm.link,IFERROR(INDEX(_xlfn.ANCHORARRAY($AA$11),ROW()-10,11),""),IF(_xlpm.link="","",HYPERLINK(_xlpm.link,"ClickUp")))</f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 cm="1">
        <f t="array" aca="1" ref="J60" ca="1">_xlfn.LET(_xlpm.link,IFERROR(INDEX(_xlfn.ANCHORARRAY($AA$11),ROW()-10,10),""),IF(_xlpm.link="","",HYPERLINK(_xlpm.link,"Jira")))</f>
        <v/>
      </c>
      <c r="K60" s="22" t="str" cm="1">
        <f t="array" aca="1" ref="K60" ca="1">_xlfn.LET(_xlpm.link,IFERROR(INDEX(_xlfn.ANCHORARRAY($AA$11),ROW()-10,11),""),IF(_xlpm.link="","",HYPERLINK(_xlpm.link,"ClickUp")))</f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 cm="1">
        <f t="array" aca="1" ref="J61" ca="1">_xlfn.LET(_xlpm.link,IFERROR(INDEX(_xlfn.ANCHORARRAY($AA$11),ROW()-10,10),""),IF(_xlpm.link="","",HYPERLINK(_xlpm.link,"Jira")))</f>
        <v/>
      </c>
      <c r="K61" s="22" t="str" cm="1">
        <f t="array" aca="1" ref="K61" ca="1">_xlfn.LET(_xlpm.link,IFERROR(INDEX(_xlfn.ANCHORARRAY($AA$11),ROW()-10,11),""),IF(_xlpm.link="","",HYPERLINK(_xlpm.link,"ClickUp")))</f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 cm="1">
        <f t="array" aca="1" ref="J62" ca="1">_xlfn.LET(_xlpm.link,IFERROR(INDEX(_xlfn.ANCHORARRAY($AA$11),ROW()-10,10),""),IF(_xlpm.link="","",HYPERLINK(_xlpm.link,"Jira")))</f>
        <v/>
      </c>
      <c r="K62" s="22" t="str" cm="1">
        <f t="array" aca="1" ref="K62" ca="1">_xlfn.LET(_xlpm.link,IFERROR(INDEX(_xlfn.ANCHORARRAY($AA$11),ROW()-10,11),""),IF(_xlpm.link="","",HYPERLINK(_xlpm.link,"ClickUp")))</f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 cm="1">
        <f t="array" aca="1" ref="J63" ca="1">_xlfn.LET(_xlpm.link,IFERROR(INDEX(_xlfn.ANCHORARRAY($AA$11),ROW()-10,10),""),IF(_xlpm.link="","",HYPERLINK(_xlpm.link,"Jira")))</f>
        <v/>
      </c>
      <c r="K63" s="22" t="str" cm="1">
        <f t="array" aca="1" ref="K63" ca="1">_xlfn.LET(_xlpm.link,IFERROR(INDEX(_xlfn.ANCHORARRAY($AA$11),ROW()-10,11),""),IF(_xlpm.link="","",HYPERLINK(_xlpm.link,"ClickUp")))</f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 cm="1">
        <f t="array" aca="1" ref="J64" ca="1">_xlfn.LET(_xlpm.link,IFERROR(INDEX(_xlfn.ANCHORARRAY($AA$11),ROW()-10,10),""),IF(_xlpm.link="","",HYPERLINK(_xlpm.link,"Jira")))</f>
        <v/>
      </c>
      <c r="K64" s="22" t="str" cm="1">
        <f t="array" aca="1" ref="K64" ca="1">_xlfn.LET(_xlpm.link,IFERROR(INDEX(_xlfn.ANCHORARRAY($AA$11),ROW()-10,11),""),IF(_xlpm.link="","",HYPERLINK(_xlpm.link,"ClickUp")))</f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 cm="1">
        <f t="array" aca="1" ref="J65" ca="1">_xlfn.LET(_xlpm.link,IFERROR(INDEX(_xlfn.ANCHORARRAY($AA$11),ROW()-10,10),""),IF(_xlpm.link="","",HYPERLINK(_xlpm.link,"Jira")))</f>
        <v/>
      </c>
      <c r="K65" s="22" t="str" cm="1">
        <f t="array" aca="1" ref="K65" ca="1">_xlfn.LET(_xlpm.link,IFERROR(INDEX(_xlfn.ANCHORARRAY($AA$11),ROW()-10,11),""),IF(_xlpm.link="","",HYPERLINK(_xlpm.link,"ClickUp")))</f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 cm="1">
        <f t="array" aca="1" ref="J66" ca="1">_xlfn.LET(_xlpm.link,IFERROR(INDEX(_xlfn.ANCHORARRAY($AA$11),ROW()-10,10),""),IF(_xlpm.link="","",HYPERLINK(_xlpm.link,"Jira")))</f>
        <v/>
      </c>
      <c r="K66" s="22" t="str" cm="1">
        <f t="array" aca="1" ref="K66" ca="1">_xlfn.LET(_xlpm.link,IFERROR(INDEX(_xlfn.ANCHORARRAY($AA$11),ROW()-10,11),""),IF(_xlpm.link="","",HYPERLINK(_xlpm.link,"ClickUp")))</f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 cm="1">
        <f t="array" aca="1" ref="J67" ca="1">_xlfn.LET(_xlpm.link,IFERROR(INDEX(_xlfn.ANCHORARRAY($AA$11),ROW()-10,10),""),IF(_xlpm.link="","",HYPERLINK(_xlpm.link,"Jira")))</f>
        <v/>
      </c>
      <c r="K67" s="22" t="str" cm="1">
        <f t="array" aca="1" ref="K67" ca="1">_xlfn.LET(_xlpm.link,IFERROR(INDEX(_xlfn.ANCHORARRAY($AA$11),ROW()-10,11),""),IF(_xlpm.link="","",HYPERLINK(_xlpm.link,"ClickUp")))</f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 cm="1">
        <f t="array" aca="1" ref="J68" ca="1">_xlfn.LET(_xlpm.link,IFERROR(INDEX(_xlfn.ANCHORARRAY($AA$11),ROW()-10,10),""),IF(_xlpm.link="","",HYPERLINK(_xlpm.link,"Jira")))</f>
        <v/>
      </c>
      <c r="K68" s="22" t="str" cm="1">
        <f t="array" aca="1" ref="K68" ca="1">_xlfn.LET(_xlpm.link,IFERROR(INDEX(_xlfn.ANCHORARRAY($AA$11),ROW()-10,11),""),IF(_xlpm.link="","",HYPERLINK(_xlpm.link,"ClickUp")))</f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 cm="1">
        <f t="array" aca="1" ref="J69" ca="1">_xlfn.LET(_xlpm.link,IFERROR(INDEX(_xlfn.ANCHORARRAY($AA$11),ROW()-10,10),""),IF(_xlpm.link="","",HYPERLINK(_xlpm.link,"Jira")))</f>
        <v/>
      </c>
      <c r="K69" s="22" t="str" cm="1">
        <f t="array" aca="1" ref="K69" ca="1">_xlfn.LET(_xlpm.link,IFERROR(INDEX(_xlfn.ANCHORARRAY($AA$11),ROW()-10,11),""),IF(_xlpm.link="","",HYPERLINK(_xlpm.link,"ClickUp")))</f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 cm="1">
        <f t="array" aca="1" ref="J70" ca="1">_xlfn.LET(_xlpm.link,IFERROR(INDEX(_xlfn.ANCHORARRAY($AA$11),ROW()-10,10),""),IF(_xlpm.link="","",HYPERLINK(_xlpm.link,"Jira")))</f>
        <v/>
      </c>
      <c r="K70" s="22" t="str" cm="1">
        <f t="array" aca="1" ref="K70" ca="1">_xlfn.LET(_xlpm.link,IFERROR(INDEX(_xlfn.ANCHORARRAY($AA$11),ROW()-10,11),""),IF(_xlpm.link="","",HYPERLINK(_xlpm.link,"ClickUp")))</f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 cm="1">
        <f t="array" aca="1" ref="J71" ca="1">_xlfn.LET(_xlpm.link,IFERROR(INDEX(_xlfn.ANCHORARRAY($AA$11),ROW()-10,10),""),IF(_xlpm.link="","",HYPERLINK(_xlpm.link,"Jira")))</f>
        <v/>
      </c>
      <c r="K71" s="22" t="str" cm="1">
        <f t="array" aca="1" ref="K71" ca="1">_xlfn.LET(_xlpm.link,IFERROR(INDEX(_xlfn.ANCHORARRAY($AA$11),ROW()-10,11),""),IF(_xlpm.link="","",HYPERLINK(_xlpm.link,"ClickUp")))</f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 cm="1">
        <f t="array" aca="1" ref="J72" ca="1">_xlfn.LET(_xlpm.link,IFERROR(INDEX(_xlfn.ANCHORARRAY($AA$11),ROW()-10,10),""),IF(_xlpm.link="","",HYPERLINK(_xlpm.link,"Jira")))</f>
        <v/>
      </c>
      <c r="K72" s="22" t="str" cm="1">
        <f t="array" aca="1" ref="K72" ca="1">_xlfn.LET(_xlpm.link,IFERROR(INDEX(_xlfn.ANCHORARRAY($AA$11),ROW()-10,11),""),IF(_xlpm.link="","",HYPERLINK(_xlpm.link,"ClickUp")))</f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 cm="1">
        <f t="array" aca="1" ref="J73" ca="1">_xlfn.LET(_xlpm.link,IFERROR(INDEX(_xlfn.ANCHORARRAY($AA$11),ROW()-10,10),""),IF(_xlpm.link="","",HYPERLINK(_xlpm.link,"Jira")))</f>
        <v/>
      </c>
      <c r="K73" s="22" t="str" cm="1">
        <f t="array" aca="1" ref="K73" ca="1">_xlfn.LET(_xlpm.link,IFERROR(INDEX(_xlfn.ANCHORARRAY($AA$11),ROW()-10,11),""),IF(_xlpm.link="","",HYPERLINK(_xlpm.link,"ClickUp")))</f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 cm="1">
        <f t="array" aca="1" ref="J74" ca="1">_xlfn.LET(_xlpm.link,IFERROR(INDEX(_xlfn.ANCHORARRAY($AA$11),ROW()-10,10),""),IF(_xlpm.link="","",HYPERLINK(_xlpm.link,"Jira")))</f>
        <v/>
      </c>
      <c r="K74" s="22" t="str" cm="1">
        <f t="array" aca="1" ref="K74" ca="1">_xlfn.LET(_xlpm.link,IFERROR(INDEX(_xlfn.ANCHORARRAY($AA$11),ROW()-10,11),""),IF(_xlpm.link="","",HYPERLINK(_xlpm.link,"ClickUp")))</f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 cm="1">
        <f t="array" aca="1" ref="J75" ca="1">_xlfn.LET(_xlpm.link,IFERROR(INDEX(_xlfn.ANCHORARRAY($AA$11),ROW()-10,10),""),IF(_xlpm.link="","",HYPERLINK(_xlpm.link,"Jira")))</f>
        <v/>
      </c>
      <c r="K75" s="22" t="str" cm="1">
        <f t="array" aca="1" ref="K75" ca="1">_xlfn.LET(_xlpm.link,IFERROR(INDEX(_xlfn.ANCHORARRAY($AA$11),ROW()-10,11),""),IF(_xlpm.link="","",HYPERLINK(_xlpm.link,"ClickUp")))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 cm="1">
        <f t="array" aca="1" ref="J76" ca="1">_xlfn.LET(_xlpm.link,IFERROR(INDEX(_xlfn.ANCHORARRAY($AA$11),ROW()-10,10),""),IF(_xlpm.link="","",HYPERLINK(_xlpm.link,"Jira")))</f>
        <v/>
      </c>
      <c r="K76" s="22" t="str" cm="1">
        <f t="array" aca="1" ref="K76" ca="1">_xlfn.LET(_xlpm.link,IFERROR(INDEX(_xlfn.ANCHORARRAY($AA$11),ROW()-10,11),""),IF(_xlpm.link="","",HYPERLINK(_xlpm.link,"ClickUp")))</f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 cm="1">
        <f t="array" aca="1" ref="J77" ca="1">_xlfn.LET(_xlpm.link,IFERROR(INDEX(_xlfn.ANCHORARRAY($AA$11),ROW()-10,10),""),IF(_xlpm.link="","",HYPERLINK(_xlpm.link,"Jira")))</f>
        <v/>
      </c>
      <c r="K77" s="22" t="str" cm="1">
        <f t="array" aca="1" ref="K77" ca="1">_xlfn.LET(_xlpm.link,IFERROR(INDEX(_xlfn.ANCHORARRAY($AA$11),ROW()-10,11),""),IF(_xlpm.link="","",HYPERLINK(_xlpm.link,"ClickUp")))</f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 cm="1">
        <f t="array" aca="1" ref="J78" ca="1">_xlfn.LET(_xlpm.link,IFERROR(INDEX(_xlfn.ANCHORARRAY($AA$11),ROW()-10,10),""),IF(_xlpm.link="","",HYPERLINK(_xlpm.link,"Jira")))</f>
        <v/>
      </c>
      <c r="K78" s="22" t="str" cm="1">
        <f t="array" aca="1" ref="K78" ca="1">_xlfn.LET(_xlpm.link,IFERROR(INDEX(_xlfn.ANCHORARRAY($AA$11),ROW()-10,11),""),IF(_xlpm.link="","",HYPERLINK(_xlpm.link,"ClickUp")))</f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 cm="1">
        <f t="array" aca="1" ref="J79" ca="1">_xlfn.LET(_xlpm.link,IFERROR(INDEX(_xlfn.ANCHORARRAY($AA$11),ROW()-10,10),""),IF(_xlpm.link="","",HYPERLINK(_xlpm.link,"Jira")))</f>
        <v/>
      </c>
      <c r="K79" s="22" t="str" cm="1">
        <f t="array" aca="1" ref="K79" ca="1">_xlfn.LET(_xlpm.link,IFERROR(INDEX(_xlfn.ANCHORARRAY($AA$11),ROW()-10,11),""),IF(_xlpm.link="","",HYPERLINK(_xlpm.link,"ClickUp")))</f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 cm="1">
        <f t="array" aca="1" ref="J80" ca="1">_xlfn.LET(_xlpm.link,IFERROR(INDEX(_xlfn.ANCHORARRAY($AA$11),ROW()-10,10),""),IF(_xlpm.link="","",HYPERLINK(_xlpm.link,"Jira")))</f>
        <v/>
      </c>
      <c r="K80" s="22" t="str" cm="1">
        <f t="array" aca="1" ref="K80" ca="1">_xlfn.LET(_xlpm.link,IFERROR(INDEX(_xlfn.ANCHORARRAY($AA$11),ROW()-10,11),""),IF(_xlpm.link="","",HYPERLINK(_xlpm.link,"ClickUp")))</f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 cm="1">
        <f t="array" aca="1" ref="J81" ca="1">_xlfn.LET(_xlpm.link,IFERROR(INDEX(_xlfn.ANCHORARRAY($AA$11),ROW()-10,10),""),IF(_xlpm.link="","",HYPERLINK(_xlpm.link,"Jira")))</f>
        <v/>
      </c>
      <c r="K81" s="22" t="str" cm="1">
        <f t="array" aca="1" ref="K81" ca="1">_xlfn.LET(_xlpm.link,IFERROR(INDEX(_xlfn.ANCHORARRAY($AA$11),ROW()-10,11),""),IF(_xlpm.link="","",HYPERLINK(_xlpm.link,"ClickUp")))</f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 cm="1">
        <f t="array" aca="1" ref="J82" ca="1">_xlfn.LET(_xlpm.link,IFERROR(INDEX(_xlfn.ANCHORARRAY($AA$11),ROW()-10,10),""),IF(_xlpm.link="","",HYPERLINK(_xlpm.link,"Jira")))</f>
        <v/>
      </c>
      <c r="K82" s="22" t="str" cm="1">
        <f t="array" aca="1" ref="K82" ca="1">_xlfn.LET(_xlpm.link,IFERROR(INDEX(_xlfn.ANCHORARRAY($AA$11),ROW()-10,11),""),IF(_xlpm.link="","",HYPERLINK(_xlpm.link,"ClickUp")))</f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 cm="1">
        <f t="array" aca="1" ref="J83" ca="1">_xlfn.LET(_xlpm.link,IFERROR(INDEX(_xlfn.ANCHORARRAY($AA$11),ROW()-10,10),""),IF(_xlpm.link="","",HYPERLINK(_xlpm.link,"Jira")))</f>
        <v/>
      </c>
      <c r="K83" s="22" t="str" cm="1">
        <f t="array" aca="1" ref="K83" ca="1">_xlfn.LET(_xlpm.link,IFERROR(INDEX(_xlfn.ANCHORARRAY($AA$11),ROW()-10,11),""),IF(_xlpm.link="","",HYPERLINK(_xlpm.link,"ClickUp")))</f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 cm="1">
        <f t="array" aca="1" ref="J84" ca="1">_xlfn.LET(_xlpm.link,IFERROR(INDEX(_xlfn.ANCHORARRAY($AA$11),ROW()-10,10),""),IF(_xlpm.link="","",HYPERLINK(_xlpm.link,"Jira")))</f>
        <v/>
      </c>
      <c r="K84" s="22" t="str" cm="1">
        <f t="array" aca="1" ref="K84" ca="1">_xlfn.LET(_xlpm.link,IFERROR(INDEX(_xlfn.ANCHORARRAY($AA$11),ROW()-10,11),""),IF(_xlpm.link="","",HYPERLINK(_xlpm.link,"ClickUp")))</f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 cm="1">
        <f t="array" aca="1" ref="J85" ca="1">_xlfn.LET(_xlpm.link,IFERROR(INDEX(_xlfn.ANCHORARRAY($AA$11),ROW()-10,10),""),IF(_xlpm.link="","",HYPERLINK(_xlpm.link,"Jira")))</f>
        <v/>
      </c>
      <c r="K85" s="22" t="str" cm="1">
        <f t="array" aca="1" ref="K85" ca="1">_xlfn.LET(_xlpm.link,IFERROR(INDEX(_xlfn.ANCHORARRAY($AA$11),ROW()-10,11),""),IF(_xlpm.link="","",HYPERLINK(_xlpm.link,"ClickUp")))</f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 cm="1">
        <f t="array" aca="1" ref="J86" ca="1">_xlfn.LET(_xlpm.link,IFERROR(INDEX(_xlfn.ANCHORARRAY($AA$11),ROW()-10,10),""),IF(_xlpm.link="","",HYPERLINK(_xlpm.link,"Jira")))</f>
        <v/>
      </c>
      <c r="K86" s="22" t="str" cm="1">
        <f t="array" aca="1" ref="K86" ca="1">_xlfn.LET(_xlpm.link,IFERROR(INDEX(_xlfn.ANCHORARRAY($AA$11),ROW()-10,11),""),IF(_xlpm.link="","",HYPERLINK(_xlpm.link,"ClickUp")))</f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 cm="1">
        <f t="array" aca="1" ref="J87" ca="1">_xlfn.LET(_xlpm.link,IFERROR(INDEX(_xlfn.ANCHORARRAY($AA$11),ROW()-10,10),""),IF(_xlpm.link="","",HYPERLINK(_xlpm.link,"Jira")))</f>
        <v/>
      </c>
      <c r="K87" s="22" t="str" cm="1">
        <f t="array" aca="1" ref="K87" ca="1">_xlfn.LET(_xlpm.link,IFERROR(INDEX(_xlfn.ANCHORARRAY($AA$11),ROW()-10,11),""),IF(_xlpm.link="","",HYPERLINK(_xlpm.link,"ClickUp")))</f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 cm="1">
        <f t="array" aca="1" ref="J88" ca="1">_xlfn.LET(_xlpm.link,IFERROR(INDEX(_xlfn.ANCHORARRAY($AA$11),ROW()-10,10),""),IF(_xlpm.link="","",HYPERLINK(_xlpm.link,"Jira")))</f>
        <v/>
      </c>
      <c r="K88" s="22" t="str" cm="1">
        <f t="array" aca="1" ref="K88" ca="1">_xlfn.LET(_xlpm.link,IFERROR(INDEX(_xlfn.ANCHORARRAY($AA$11),ROW()-10,11),""),IF(_xlpm.link="","",HYPERLINK(_xlpm.link,"ClickUp")))</f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 cm="1">
        <f t="array" aca="1" ref="J89" ca="1">_xlfn.LET(_xlpm.link,IFERROR(INDEX(_xlfn.ANCHORARRAY($AA$11),ROW()-10,10),""),IF(_xlpm.link="","",HYPERLINK(_xlpm.link,"Jira")))</f>
        <v/>
      </c>
      <c r="K89" s="22" t="str" cm="1">
        <f t="array" aca="1" ref="K89" ca="1">_xlfn.LET(_xlpm.link,IFERROR(INDEX(_xlfn.ANCHORARRAY($AA$11),ROW()-10,11),""),IF(_xlpm.link="","",HYPERLINK(_xlpm.link,"ClickUp")))</f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 cm="1">
        <f t="array" aca="1" ref="J90" ca="1">_xlfn.LET(_xlpm.link,IFERROR(INDEX(_xlfn.ANCHORARRAY($AA$11),ROW()-10,10),""),IF(_xlpm.link="","",HYPERLINK(_xlpm.link,"Jira")))</f>
        <v/>
      </c>
      <c r="K90" s="22" t="str" cm="1">
        <f t="array" aca="1" ref="K90" ca="1">_xlfn.LET(_xlpm.link,IFERROR(INDEX(_xlfn.ANCHORARRAY($AA$11),ROW()-10,11),""),IF(_xlpm.link="","",HYPERLINK(_xlpm.link,"ClickUp")))</f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 cm="1">
        <f t="array" aca="1" ref="J91" ca="1">_xlfn.LET(_xlpm.link,IFERROR(INDEX(_xlfn.ANCHORARRAY($AA$11),ROW()-10,10),""),IF(_xlpm.link="","",HYPERLINK(_xlpm.link,"Jira")))</f>
        <v/>
      </c>
      <c r="K91" s="22" t="str" cm="1">
        <f t="array" aca="1" ref="K91" ca="1">_xlfn.LET(_xlpm.link,IFERROR(INDEX(_xlfn.ANCHORARRAY($AA$11),ROW()-10,11),""),IF(_xlpm.link="","",HYPERLINK(_xlpm.link,"ClickUp")))</f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 cm="1">
        <f t="array" aca="1" ref="J92" ca="1">_xlfn.LET(_xlpm.link,IFERROR(INDEX(_xlfn.ANCHORARRAY($AA$11),ROW()-10,10),""),IF(_xlpm.link="","",HYPERLINK(_xlpm.link,"Jira")))</f>
        <v/>
      </c>
      <c r="K92" s="22" t="str" cm="1">
        <f t="array" aca="1" ref="K92" ca="1">_xlfn.LET(_xlpm.link,IFERROR(INDEX(_xlfn.ANCHORARRAY($AA$11),ROW()-10,11),""),IF(_xlpm.link="","",HYPERLINK(_xlpm.link,"ClickUp")))</f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 cm="1">
        <f t="array" aca="1" ref="J93" ca="1">_xlfn.LET(_xlpm.link,IFERROR(INDEX(_xlfn.ANCHORARRAY($AA$11),ROW()-10,10),""),IF(_xlpm.link="","",HYPERLINK(_xlpm.link,"Jira")))</f>
        <v/>
      </c>
      <c r="K93" s="22" t="str" cm="1">
        <f t="array" aca="1" ref="K93" ca="1">_xlfn.LET(_xlpm.link,IFERROR(INDEX(_xlfn.ANCHORARRAY($AA$11),ROW()-10,11),""),IF(_xlpm.link="","",HYPERLINK(_xlpm.link,"ClickUp")))</f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 cm="1">
        <f t="array" aca="1" ref="J94" ca="1">_xlfn.LET(_xlpm.link,IFERROR(INDEX(_xlfn.ANCHORARRAY($AA$11),ROW()-10,10),""),IF(_xlpm.link="","",HYPERLINK(_xlpm.link,"Jira")))</f>
        <v/>
      </c>
      <c r="K94" s="22" t="str" cm="1">
        <f t="array" aca="1" ref="K94" ca="1">_xlfn.LET(_xlpm.link,IFERROR(INDEX(_xlfn.ANCHORARRAY($AA$11),ROW()-10,11),""),IF(_xlpm.link="","",HYPERLINK(_xlpm.link,"ClickUp")))</f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 cm="1">
        <f t="array" aca="1" ref="J95" ca="1">_xlfn.LET(_xlpm.link,IFERROR(INDEX(_xlfn.ANCHORARRAY($AA$11),ROW()-10,10),""),IF(_xlpm.link="","",HYPERLINK(_xlpm.link,"Jira")))</f>
        <v/>
      </c>
      <c r="K95" s="22" t="str" cm="1">
        <f t="array" aca="1" ref="K95" ca="1">_xlfn.LET(_xlpm.link,IFERROR(INDEX(_xlfn.ANCHORARRAY($AA$11),ROW()-10,11),""),IF(_xlpm.link="","",HYPERLINK(_xlpm.link,"ClickUp")))</f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 cm="1">
        <f t="array" aca="1" ref="J96" ca="1">_xlfn.LET(_xlpm.link,IFERROR(INDEX(_xlfn.ANCHORARRAY($AA$11),ROW()-10,10),""),IF(_xlpm.link="","",HYPERLINK(_xlpm.link,"Jira")))</f>
        <v/>
      </c>
      <c r="K96" s="22" t="str" cm="1">
        <f t="array" aca="1" ref="K96" ca="1">_xlfn.LET(_xlpm.link,IFERROR(INDEX(_xlfn.ANCHORARRAY($AA$11),ROW()-10,11),""),IF(_xlpm.link="","",HYPERLINK(_xlpm.link,"ClickUp")))</f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 cm="1">
        <f t="array" aca="1" ref="J97" ca="1">_xlfn.LET(_xlpm.link,IFERROR(INDEX(_xlfn.ANCHORARRAY($AA$11),ROW()-10,10),""),IF(_xlpm.link="","",HYPERLINK(_xlpm.link,"Jira")))</f>
        <v/>
      </c>
      <c r="K97" s="22" t="str" cm="1">
        <f t="array" aca="1" ref="K97" ca="1">_xlfn.LET(_xlpm.link,IFERROR(INDEX(_xlfn.ANCHORARRAY($AA$11),ROW()-10,11),""),IF(_xlpm.link="","",HYPERLINK(_xlpm.link,"ClickUp")))</f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 cm="1">
        <f t="array" aca="1" ref="J98" ca="1">_xlfn.LET(_xlpm.link,IFERROR(INDEX(_xlfn.ANCHORARRAY($AA$11),ROW()-10,10),""),IF(_xlpm.link="","",HYPERLINK(_xlpm.link,"Jira")))</f>
        <v/>
      </c>
      <c r="K98" s="22" t="str" cm="1">
        <f t="array" aca="1" ref="K98" ca="1">_xlfn.LET(_xlpm.link,IFERROR(INDEX(_xlfn.ANCHORARRAY($AA$11),ROW()-10,11),""),IF(_xlpm.link="","",HYPERLINK(_xlpm.link,"ClickUp")))</f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 cm="1">
        <f t="array" aca="1" ref="J99" ca="1">_xlfn.LET(_xlpm.link,IFERROR(INDEX(_xlfn.ANCHORARRAY($AA$11),ROW()-10,10),""),IF(_xlpm.link="","",HYPERLINK(_xlpm.link,"Jira")))</f>
        <v/>
      </c>
      <c r="K99" s="22" t="str" cm="1">
        <f t="array" aca="1" ref="K99" ca="1">_xlfn.LET(_xlpm.link,IFERROR(INDEX(_xlfn.ANCHORARRAY($AA$11),ROW()-10,11),""),IF(_xlpm.link="","",HYPERLINK(_xlpm.link,"ClickUp")))</f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 cm="1">
        <f t="array" aca="1" ref="J100" ca="1">_xlfn.LET(_xlpm.link,IFERROR(INDEX(_xlfn.ANCHORARRAY($AA$11),ROW()-10,10),""),IF(_xlpm.link="","",HYPERLINK(_xlpm.link,"Jira")))</f>
        <v/>
      </c>
      <c r="K100" s="22" t="str" cm="1">
        <f t="array" aca="1" ref="K100" ca="1">_xlfn.LET(_xlpm.link,IFERROR(INDEX(_xlfn.ANCHORARRAY($AA$11),ROW()-10,11),""),IF(_xlpm.link="","",HYPERLINK(_xlpm.link,"ClickUp")))</f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 cm="1">
        <f t="array" aca="1" ref="J101" ca="1">_xlfn.LET(_xlpm.link,IFERROR(INDEX(_xlfn.ANCHORARRAY($AA$11),ROW()-10,10),""),IF(_xlpm.link="","",HYPERLINK(_xlpm.link,"Jira")))</f>
        <v/>
      </c>
      <c r="K101" s="22" t="str" cm="1">
        <f t="array" aca="1" ref="K101" ca="1">_xlfn.LET(_xlpm.link,IFERROR(INDEX(_xlfn.ANCHORARRAY($AA$11),ROW()-10,11),""),IF(_xlpm.link="","",HYPERLINK(_xlpm.link,"ClickUp")))</f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 cm="1">
        <f t="array" aca="1" ref="J102" ca="1">_xlfn.LET(_xlpm.link,IFERROR(INDEX(_xlfn.ANCHORARRAY($AA$11),ROW()-10,10),""),IF(_xlpm.link="","",HYPERLINK(_xlpm.link,"Jira")))</f>
        <v/>
      </c>
      <c r="K102" s="22" t="str" cm="1">
        <f t="array" aca="1" ref="K102" ca="1">_xlfn.LET(_xlpm.link,IFERROR(INDEX(_xlfn.ANCHORARRAY($AA$11),ROW()-10,11),""),IF(_xlpm.link="","",HYPERLINK(_xlpm.link,"ClickUp")))</f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 cm="1">
        <f t="array" aca="1" ref="J103" ca="1">_xlfn.LET(_xlpm.link,IFERROR(INDEX(_xlfn.ANCHORARRAY($AA$11),ROW()-10,10),""),IF(_xlpm.link="","",HYPERLINK(_xlpm.link,"Jira")))</f>
        <v/>
      </c>
      <c r="K103" s="22" t="str" cm="1">
        <f t="array" aca="1" ref="K103" ca="1">_xlfn.LET(_xlpm.link,IFERROR(INDEX(_xlfn.ANCHORARRAY($AA$11),ROW()-10,11),""),IF(_xlpm.link="","",HYPERLINK(_xlpm.link,"ClickUp")))</f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 cm="1">
        <f t="array" aca="1" ref="J104" ca="1">_xlfn.LET(_xlpm.link,IFERROR(INDEX(_xlfn.ANCHORARRAY($AA$11),ROW()-10,10),""),IF(_xlpm.link="","",HYPERLINK(_xlpm.link,"Jira")))</f>
        <v/>
      </c>
      <c r="K104" s="22" t="str" cm="1">
        <f t="array" aca="1" ref="K104" ca="1">_xlfn.LET(_xlpm.link,IFERROR(INDEX(_xlfn.ANCHORARRAY($AA$11),ROW()-10,11),""),IF(_xlpm.link="","",HYPERLINK(_xlpm.link,"ClickUp")))</f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 cm="1">
        <f t="array" aca="1" ref="J105" ca="1">_xlfn.LET(_xlpm.link,IFERROR(INDEX(_xlfn.ANCHORARRAY($AA$11),ROW()-10,10),""),IF(_xlpm.link="","",HYPERLINK(_xlpm.link,"Jira")))</f>
        <v/>
      </c>
      <c r="K105" s="22" t="str" cm="1">
        <f t="array" aca="1" ref="K105" ca="1">_xlfn.LET(_xlpm.link,IFERROR(INDEX(_xlfn.ANCHORARRAY($AA$11),ROW()-10,11),""),IF(_xlpm.link="","",HYPERLINK(_xlpm.link,"ClickUp")))</f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 cm="1">
        <f t="array" aca="1" ref="J106" ca="1">_xlfn.LET(_xlpm.link,IFERROR(INDEX(_xlfn.ANCHORARRAY($AA$11),ROW()-10,10),""),IF(_xlpm.link="","",HYPERLINK(_xlpm.link,"Jira")))</f>
        <v/>
      </c>
      <c r="K106" s="22" t="str" cm="1">
        <f t="array" aca="1" ref="K106" ca="1">_xlfn.LET(_xlpm.link,IFERROR(INDEX(_xlfn.ANCHORARRAY($AA$11),ROW()-10,11),""),IF(_xlpm.link="","",HYPERLINK(_xlpm.link,"ClickUp")))</f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 cm="1">
        <f t="array" aca="1" ref="J107" ca="1">_xlfn.LET(_xlpm.link,IFERROR(INDEX(_xlfn.ANCHORARRAY($AA$11),ROW()-10,10),""),IF(_xlpm.link="","",HYPERLINK(_xlpm.link,"Jira")))</f>
        <v/>
      </c>
      <c r="K107" s="22" t="str" cm="1">
        <f t="array" aca="1" ref="K107" ca="1">_xlfn.LET(_xlpm.link,IFERROR(INDEX(_xlfn.ANCHORARRAY($AA$11),ROW()-10,11),""),IF(_xlpm.link="","",HYPERLINK(_xlpm.link,"ClickUp")))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 cm="1">
        <f t="array" aca="1" ref="J108" ca="1">_xlfn.LET(_xlpm.link,IFERROR(INDEX(_xlfn.ANCHORARRAY($AA$11),ROW()-10,10),""),IF(_xlpm.link="","",HYPERLINK(_xlpm.link,"Jira")))</f>
        <v/>
      </c>
      <c r="K108" s="22" t="str" cm="1">
        <f t="array" aca="1" ref="K108" ca="1">_xlfn.LET(_xlpm.link,IFERROR(INDEX(_xlfn.ANCHORARRAY($AA$11),ROW()-10,11),""),IF(_xlpm.link="","",HYPERLINK(_xlpm.link,"ClickUp")))</f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 cm="1">
        <f t="array" aca="1" ref="J109" ca="1">_xlfn.LET(_xlpm.link,IFERROR(INDEX(_xlfn.ANCHORARRAY($AA$11),ROW()-10,10),""),IF(_xlpm.link="","",HYPERLINK(_xlpm.link,"Jira")))</f>
        <v/>
      </c>
      <c r="K109" s="22" t="str" cm="1">
        <f t="array" aca="1" ref="K109" ca="1">_xlfn.LET(_xlpm.link,IFERROR(INDEX(_xlfn.ANCHORARRAY($AA$11),ROW()-10,11),""),IF(_xlpm.link="","",HYPERLINK(_xlpm.link,"ClickUp")))</f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 cm="1">
        <f t="array" aca="1" ref="J110" ca="1">_xlfn.LET(_xlpm.link,IFERROR(INDEX(_xlfn.ANCHORARRAY($AA$11),ROW()-10,10),""),IF(_xlpm.link="","",HYPERLINK(_xlpm.link,"Jira")))</f>
        <v/>
      </c>
      <c r="K110" s="22" t="str" cm="1">
        <f t="array" aca="1" ref="K110" ca="1">_xlfn.LET(_xlpm.link,IFERROR(INDEX(_xlfn.ANCHORARRAY($AA$11),ROW()-10,11),""),IF(_xlpm.link="","",HYPERLINK(_xlpm.link,"ClickUp")))</f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 cm="1">
        <f t="array" aca="1" ref="J111" ca="1">_xlfn.LET(_xlpm.link,IFERROR(INDEX(_xlfn.ANCHORARRAY($AA$11),ROW()-10,10),""),IF(_xlpm.link="","",HYPERLINK(_xlpm.link,"Jira")))</f>
        <v/>
      </c>
      <c r="K111" s="22" t="str" cm="1">
        <f t="array" aca="1" ref="K111" ca="1">_xlfn.LET(_xlpm.link,IFERROR(INDEX(_xlfn.ANCHORARRAY($AA$11),ROW()-10,11),""),IF(_xlpm.link="","",HYPERLINK(_xlpm.link,"ClickUp")))</f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 cm="1">
        <f t="array" aca="1" ref="J112" ca="1">_xlfn.LET(_xlpm.link,IFERROR(INDEX(_xlfn.ANCHORARRAY($AA$11),ROW()-10,10),""),IF(_xlpm.link="","",HYPERLINK(_xlpm.link,"Jira")))</f>
        <v/>
      </c>
      <c r="K112" s="22" t="str" cm="1">
        <f t="array" aca="1" ref="K112" ca="1">_xlfn.LET(_xlpm.link,IFERROR(INDEX(_xlfn.ANCHORARRAY($AA$11),ROW()-10,11),""),IF(_xlpm.link="","",HYPERLINK(_xlpm.link,"ClickUp")))</f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 cm="1">
        <f t="array" aca="1" ref="J113" ca="1">_xlfn.LET(_xlpm.link,IFERROR(INDEX(_xlfn.ANCHORARRAY($AA$11),ROW()-10,10),""),IF(_xlpm.link="","",HYPERLINK(_xlpm.link,"Jira")))</f>
        <v/>
      </c>
      <c r="K113" s="22" t="str" cm="1">
        <f t="array" aca="1" ref="K113" ca="1">_xlfn.LET(_xlpm.link,IFERROR(INDEX(_xlfn.ANCHORARRAY($AA$11),ROW()-10,11),""),IF(_xlpm.link="","",HYPERLINK(_xlpm.link,"ClickUp")))</f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 cm="1">
        <f t="array" aca="1" ref="J114" ca="1">_xlfn.LET(_xlpm.link,IFERROR(INDEX(_xlfn.ANCHORARRAY($AA$11),ROW()-10,10),""),IF(_xlpm.link="","",HYPERLINK(_xlpm.link,"Jira")))</f>
        <v/>
      </c>
      <c r="K114" s="22" t="str" cm="1">
        <f t="array" aca="1" ref="K114" ca="1">_xlfn.LET(_xlpm.link,IFERROR(INDEX(_xlfn.ANCHORARRAY($AA$11),ROW()-10,11),""),IF(_xlpm.link="","",HYPERLINK(_xlpm.link,"ClickUp")))</f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 cm="1">
        <f t="array" aca="1" ref="J115" ca="1">_xlfn.LET(_xlpm.link,IFERROR(INDEX(_xlfn.ANCHORARRAY($AA$11),ROW()-10,10),""),IF(_xlpm.link="","",HYPERLINK(_xlpm.link,"Jira")))</f>
        <v/>
      </c>
      <c r="K115" s="22" t="str" cm="1">
        <f t="array" aca="1" ref="K115" ca="1">_xlfn.LET(_xlpm.link,IFERROR(INDEX(_xlfn.ANCHORARRAY($AA$11),ROW()-10,11),""),IF(_xlpm.link="","",HYPERLINK(_xlpm.link,"ClickUp")))</f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 cm="1">
        <f t="array" aca="1" ref="J116" ca="1">_xlfn.LET(_xlpm.link,IFERROR(INDEX(_xlfn.ANCHORARRAY($AA$11),ROW()-10,10),""),IF(_xlpm.link="","",HYPERLINK(_xlpm.link,"Jira")))</f>
        <v/>
      </c>
      <c r="K116" s="22" t="str" cm="1">
        <f t="array" aca="1" ref="K116" ca="1">_xlfn.LET(_xlpm.link,IFERROR(INDEX(_xlfn.ANCHORARRAY($AA$11),ROW()-10,11),""),IF(_xlpm.link="","",HYPERLINK(_xlpm.link,"ClickUp")))</f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 cm="1">
        <f t="array" aca="1" ref="J117" ca="1">_xlfn.LET(_xlpm.link,IFERROR(INDEX(_xlfn.ANCHORARRAY($AA$11),ROW()-10,10),""),IF(_xlpm.link="","",HYPERLINK(_xlpm.link,"Jira")))</f>
        <v/>
      </c>
      <c r="K117" s="22" t="str" cm="1">
        <f t="array" aca="1" ref="K117" ca="1">_xlfn.LET(_xlpm.link,IFERROR(INDEX(_xlfn.ANCHORARRAY($AA$11),ROW()-10,11),""),IF(_xlpm.link="","",HYPERLINK(_xlpm.link,"ClickUp")))</f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 cm="1">
        <f t="array" aca="1" ref="J118" ca="1">_xlfn.LET(_xlpm.link,IFERROR(INDEX(_xlfn.ANCHORARRAY($AA$11),ROW()-10,10),""),IF(_xlpm.link="","",HYPERLINK(_xlpm.link,"Jira")))</f>
        <v/>
      </c>
      <c r="K118" s="22" t="str" cm="1">
        <f t="array" aca="1" ref="K118" ca="1">_xlfn.LET(_xlpm.link,IFERROR(INDEX(_xlfn.ANCHORARRAY($AA$11),ROW()-10,11),""),IF(_xlpm.link="","",HYPERLINK(_xlpm.link,"ClickUp")))</f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 cm="1">
        <f t="array" aca="1" ref="J119" ca="1">_xlfn.LET(_xlpm.link,IFERROR(INDEX(_xlfn.ANCHORARRAY($AA$11),ROW()-10,10),""),IF(_xlpm.link="","",HYPERLINK(_xlpm.link,"Jira")))</f>
        <v/>
      </c>
      <c r="K119" s="22" t="str" cm="1">
        <f t="array" aca="1" ref="K119" ca="1">_xlfn.LET(_xlpm.link,IFERROR(INDEX(_xlfn.ANCHORARRAY($AA$11),ROW()-10,11),""),IF(_xlpm.link="","",HYPERLINK(_xlpm.link,"ClickUp")))</f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 cm="1">
        <f t="array" aca="1" ref="J120" ca="1">_xlfn.LET(_xlpm.link,IFERROR(INDEX(_xlfn.ANCHORARRAY($AA$11),ROW()-10,10),""),IF(_xlpm.link="","",HYPERLINK(_xlpm.link,"Jira")))</f>
        <v/>
      </c>
      <c r="K120" s="22" t="str" cm="1">
        <f t="array" aca="1" ref="K120" ca="1">_xlfn.LET(_xlpm.link,IFERROR(INDEX(_xlfn.ANCHORARRAY($AA$11),ROW()-10,11),""),IF(_xlpm.link="","",HYPERLINK(_xlpm.link,"ClickUp")))</f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 cm="1">
        <f t="array" aca="1" ref="J121" ca="1">_xlfn.LET(_xlpm.link,IFERROR(INDEX(_xlfn.ANCHORARRAY($AA$11),ROW()-10,10),""),IF(_xlpm.link="","",HYPERLINK(_xlpm.link,"Jira")))</f>
        <v/>
      </c>
      <c r="K121" s="22" t="str" cm="1">
        <f t="array" aca="1" ref="K121" ca="1">_xlfn.LET(_xlpm.link,IFERROR(INDEX(_xlfn.ANCHORARRAY($AA$11),ROW()-10,11),""),IF(_xlpm.link="","",HYPERLINK(_xlpm.link,"ClickUp")))</f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 cm="1">
        <f t="array" aca="1" ref="J122" ca="1">_xlfn.LET(_xlpm.link,IFERROR(INDEX(_xlfn.ANCHORARRAY($AA$11),ROW()-10,10),""),IF(_xlpm.link="","",HYPERLINK(_xlpm.link,"Jira")))</f>
        <v/>
      </c>
      <c r="K122" s="22" t="str" cm="1">
        <f t="array" aca="1" ref="K122" ca="1">_xlfn.LET(_xlpm.link,IFERROR(INDEX(_xlfn.ANCHORARRAY($AA$11),ROW()-10,11),""),IF(_xlpm.link="","",HYPERLINK(_xlpm.link,"ClickUp")))</f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 cm="1">
        <f t="array" aca="1" ref="J123" ca="1">_xlfn.LET(_xlpm.link,IFERROR(INDEX(_xlfn.ANCHORARRAY($AA$11),ROW()-10,10),""),IF(_xlpm.link="","",HYPERLINK(_xlpm.link,"Jira")))</f>
        <v/>
      </c>
      <c r="K123" s="22" t="str" cm="1">
        <f t="array" aca="1" ref="K123" ca="1">_xlfn.LET(_xlpm.link,IFERROR(INDEX(_xlfn.ANCHORARRAY($AA$11),ROW()-10,11),""),IF(_xlpm.link="","",HYPERLINK(_xlpm.link,"ClickUp")))</f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 cm="1">
        <f t="array" aca="1" ref="J124" ca="1">_xlfn.LET(_xlpm.link,IFERROR(INDEX(_xlfn.ANCHORARRAY($AA$11),ROW()-10,10),""),IF(_xlpm.link="","",HYPERLINK(_xlpm.link,"Jira")))</f>
        <v/>
      </c>
      <c r="K124" s="22" t="str" cm="1">
        <f t="array" aca="1" ref="K124" ca="1">_xlfn.LET(_xlpm.link,IFERROR(INDEX(_xlfn.ANCHORARRAY($AA$11),ROW()-10,11),""),IF(_xlpm.link="","",HYPERLINK(_xlpm.link,"ClickUp")))</f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 cm="1">
        <f t="array" aca="1" ref="J125" ca="1">_xlfn.LET(_xlpm.link,IFERROR(INDEX(_xlfn.ANCHORARRAY($AA$11),ROW()-10,10),""),IF(_xlpm.link="","",HYPERLINK(_xlpm.link,"Jira")))</f>
        <v/>
      </c>
      <c r="K125" s="22" t="str" cm="1">
        <f t="array" aca="1" ref="K125" ca="1">_xlfn.LET(_xlpm.link,IFERROR(INDEX(_xlfn.ANCHORARRAY($AA$11),ROW()-10,11),""),IF(_xlpm.link="","",HYPERLINK(_xlpm.link,"ClickUp")))</f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 cm="1">
        <f t="array" aca="1" ref="J126" ca="1">_xlfn.LET(_xlpm.link,IFERROR(INDEX(_xlfn.ANCHORARRAY($AA$11),ROW()-10,10),""),IF(_xlpm.link="","",HYPERLINK(_xlpm.link,"Jira")))</f>
        <v/>
      </c>
      <c r="K126" s="22" t="str" cm="1">
        <f t="array" aca="1" ref="K126" ca="1">_xlfn.LET(_xlpm.link,IFERROR(INDEX(_xlfn.ANCHORARRAY($AA$11),ROW()-10,11),""),IF(_xlpm.link="","",HYPERLINK(_xlpm.link,"ClickUp")))</f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 cm="1">
        <f t="array" aca="1" ref="J127" ca="1">_xlfn.LET(_xlpm.link,IFERROR(INDEX(_xlfn.ANCHORARRAY($AA$11),ROW()-10,10),""),IF(_xlpm.link="","",HYPERLINK(_xlpm.link,"Jira")))</f>
        <v/>
      </c>
      <c r="K127" s="22" t="str" cm="1">
        <f t="array" aca="1" ref="K127" ca="1">_xlfn.LET(_xlpm.link,IFERROR(INDEX(_xlfn.ANCHORARRAY($AA$11),ROW()-10,11),""),IF(_xlpm.link="","",HYPERLINK(_xlpm.link,"ClickUp")))</f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 cm="1">
        <f t="array" aca="1" ref="J128" ca="1">_xlfn.LET(_xlpm.link,IFERROR(INDEX(_xlfn.ANCHORARRAY($AA$11),ROW()-10,10),""),IF(_xlpm.link="","",HYPERLINK(_xlpm.link,"Jira")))</f>
        <v/>
      </c>
      <c r="K128" s="22" t="str" cm="1">
        <f t="array" aca="1" ref="K128" ca="1">_xlfn.LET(_xlpm.link,IFERROR(INDEX(_xlfn.ANCHORARRAY($AA$11),ROW()-10,11),""),IF(_xlpm.link="","",HYPERLINK(_xlpm.link,"ClickUp")))</f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 cm="1">
        <f t="array" aca="1" ref="J129" ca="1">_xlfn.LET(_xlpm.link,IFERROR(INDEX(_xlfn.ANCHORARRAY($AA$11),ROW()-10,10),""),IF(_xlpm.link="","",HYPERLINK(_xlpm.link,"Jira")))</f>
        <v/>
      </c>
      <c r="K129" s="22" t="str" cm="1">
        <f t="array" aca="1" ref="K129" ca="1">_xlfn.LET(_xlpm.link,IFERROR(INDEX(_xlfn.ANCHORARRAY($AA$11),ROW()-10,11),""),IF(_xlpm.link="","",HYPERLINK(_xlpm.link,"ClickUp")))</f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 cm="1">
        <f t="array" aca="1" ref="J130" ca="1">_xlfn.LET(_xlpm.link,IFERROR(INDEX(_xlfn.ANCHORARRAY($AA$11),ROW()-10,10),""),IF(_xlpm.link="","",HYPERLINK(_xlpm.link,"Jira")))</f>
        <v/>
      </c>
      <c r="K130" s="22" t="str" cm="1">
        <f t="array" aca="1" ref="K130" ca="1">_xlfn.LET(_xlpm.link,IFERROR(INDEX(_xlfn.ANCHORARRAY($AA$11),ROW()-10,11),""),IF(_xlpm.link="","",HYPERLINK(_xlpm.link,"ClickUp")))</f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 cm="1">
        <f t="array" aca="1" ref="J131" ca="1">_xlfn.LET(_xlpm.link,IFERROR(INDEX(_xlfn.ANCHORARRAY($AA$11),ROW()-10,10),""),IF(_xlpm.link="","",HYPERLINK(_xlpm.link,"Jira")))</f>
        <v/>
      </c>
      <c r="K131" s="22" t="str" cm="1">
        <f t="array" aca="1" ref="K131" ca="1">_xlfn.LET(_xlpm.link,IFERROR(INDEX(_xlfn.ANCHORARRAY($AA$11),ROW()-10,11),""),IF(_xlpm.link="","",HYPERLINK(_xlpm.link,"ClickUp")))</f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 cm="1">
        <f t="array" aca="1" ref="J132" ca="1">_xlfn.LET(_xlpm.link,IFERROR(INDEX(_xlfn.ANCHORARRAY($AA$11),ROW()-10,10),""),IF(_xlpm.link="","",HYPERLINK(_xlpm.link,"Jira")))</f>
        <v/>
      </c>
      <c r="K132" s="22" t="str" cm="1">
        <f t="array" aca="1" ref="K132" ca="1">_xlfn.LET(_xlpm.link,IFERROR(INDEX(_xlfn.ANCHORARRAY($AA$11),ROW()-10,11),""),IF(_xlpm.link="","",HYPERLINK(_xlpm.link,"ClickUp")))</f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 cm="1">
        <f t="array" aca="1" ref="J133" ca="1">_xlfn.LET(_xlpm.link,IFERROR(INDEX(_xlfn.ANCHORARRAY($AA$11),ROW()-10,10),""),IF(_xlpm.link="","",HYPERLINK(_xlpm.link,"Jira")))</f>
        <v/>
      </c>
      <c r="K133" s="22" t="str" cm="1">
        <f t="array" aca="1" ref="K133" ca="1">_xlfn.LET(_xlpm.link,IFERROR(INDEX(_xlfn.ANCHORARRAY($AA$11),ROW()-10,11),""),IF(_xlpm.link="","",HYPERLINK(_xlpm.link,"ClickUp")))</f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 cm="1">
        <f t="array" aca="1" ref="J134" ca="1">_xlfn.LET(_xlpm.link,IFERROR(INDEX(_xlfn.ANCHORARRAY($AA$11),ROW()-10,10),""),IF(_xlpm.link="","",HYPERLINK(_xlpm.link,"Jira")))</f>
        <v/>
      </c>
      <c r="K134" s="22" t="str" cm="1">
        <f t="array" aca="1" ref="K134" ca="1">_xlfn.LET(_xlpm.link,IFERROR(INDEX(_xlfn.ANCHORARRAY($AA$11),ROW()-10,11),""),IF(_xlpm.link="","",HYPERLINK(_xlpm.link,"ClickUp")))</f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 cm="1">
        <f t="array" aca="1" ref="J135" ca="1">_xlfn.LET(_xlpm.link,IFERROR(INDEX(_xlfn.ANCHORARRAY($AA$11),ROW()-10,10),""),IF(_xlpm.link="","",HYPERLINK(_xlpm.link,"Jira")))</f>
        <v/>
      </c>
      <c r="K135" s="22" t="str" cm="1">
        <f t="array" aca="1" ref="K135" ca="1">_xlfn.LET(_xlpm.link,IFERROR(INDEX(_xlfn.ANCHORARRAY($AA$11),ROW()-10,11),""),IF(_xlpm.link="","",HYPERLINK(_xlpm.link,"ClickUp")))</f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 cm="1">
        <f t="array" aca="1" ref="J136" ca="1">_xlfn.LET(_xlpm.link,IFERROR(INDEX(_xlfn.ANCHORARRAY($AA$11),ROW()-10,10),""),IF(_xlpm.link="","",HYPERLINK(_xlpm.link,"Jira")))</f>
        <v/>
      </c>
      <c r="K136" s="22" t="str" cm="1">
        <f t="array" aca="1" ref="K136" ca="1">_xlfn.LET(_xlpm.link,IFERROR(INDEX(_xlfn.ANCHORARRAY($AA$11),ROW()-10,11),""),IF(_xlpm.link="","",HYPERLINK(_xlpm.link,"ClickUp")))</f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 cm="1">
        <f t="array" aca="1" ref="J137" ca="1">_xlfn.LET(_xlpm.link,IFERROR(INDEX(_xlfn.ANCHORARRAY($AA$11),ROW()-10,10),""),IF(_xlpm.link="","",HYPERLINK(_xlpm.link,"Jira")))</f>
        <v/>
      </c>
      <c r="K137" s="22" t="str" cm="1">
        <f t="array" aca="1" ref="K137" ca="1">_xlfn.LET(_xlpm.link,IFERROR(INDEX(_xlfn.ANCHORARRAY($AA$11),ROW()-10,11),""),IF(_xlpm.link="","",HYPERLINK(_xlpm.link,"ClickUp")))</f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 cm="1">
        <f t="array" aca="1" ref="J138" ca="1">_xlfn.LET(_xlpm.link,IFERROR(INDEX(_xlfn.ANCHORARRAY($AA$11),ROW()-10,10),""),IF(_xlpm.link="","",HYPERLINK(_xlpm.link,"Jira")))</f>
        <v/>
      </c>
      <c r="K138" s="22" t="str" cm="1">
        <f t="array" aca="1" ref="K138" ca="1">_xlfn.LET(_xlpm.link,IFERROR(INDEX(_xlfn.ANCHORARRAY($AA$11),ROW()-10,11),""),IF(_xlpm.link="","",HYPERLINK(_xlpm.link,"ClickUp")))</f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 cm="1">
        <f t="array" aca="1" ref="J139" ca="1">_xlfn.LET(_xlpm.link,IFERROR(INDEX(_xlfn.ANCHORARRAY($AA$11),ROW()-10,10),""),IF(_xlpm.link="","",HYPERLINK(_xlpm.link,"Jira")))</f>
        <v/>
      </c>
      <c r="K139" s="22" t="str" cm="1">
        <f t="array" aca="1" ref="K139" ca="1">_xlfn.LET(_xlpm.link,IFERROR(INDEX(_xlfn.ANCHORARRAY($AA$11),ROW()-10,11),""),IF(_xlpm.link="","",HYPERLINK(_xlpm.link,"ClickUp")))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 cm="1">
        <f t="array" aca="1" ref="J140" ca="1">_xlfn.LET(_xlpm.link,IFERROR(INDEX(_xlfn.ANCHORARRAY($AA$11),ROW()-10,10),""),IF(_xlpm.link="","",HYPERLINK(_xlpm.link,"Jira")))</f>
        <v/>
      </c>
      <c r="K140" s="22" t="str" cm="1">
        <f t="array" aca="1" ref="K140" ca="1">_xlfn.LET(_xlpm.link,IFERROR(INDEX(_xlfn.ANCHORARRAY($AA$11),ROW()-10,11),""),IF(_xlpm.link="","",HYPERLINK(_xlpm.link,"ClickUp")))</f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 cm="1">
        <f t="array" aca="1" ref="J141" ca="1">_xlfn.LET(_xlpm.link,IFERROR(INDEX(_xlfn.ANCHORARRAY($AA$11),ROW()-10,10),""),IF(_xlpm.link="","",HYPERLINK(_xlpm.link,"Jira")))</f>
        <v/>
      </c>
      <c r="K141" s="22" t="str" cm="1">
        <f t="array" aca="1" ref="K141" ca="1">_xlfn.LET(_xlpm.link,IFERROR(INDEX(_xlfn.ANCHORARRAY($AA$11),ROW()-10,11),""),IF(_xlpm.link="","",HYPERLINK(_xlpm.link,"ClickUp")))</f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 cm="1">
        <f t="array" aca="1" ref="J142" ca="1">_xlfn.LET(_xlpm.link,IFERROR(INDEX(_xlfn.ANCHORARRAY($AA$11),ROW()-10,10),""),IF(_xlpm.link="","",HYPERLINK(_xlpm.link,"Jira")))</f>
        <v/>
      </c>
      <c r="K142" s="22" t="str" cm="1">
        <f t="array" aca="1" ref="K142" ca="1">_xlfn.LET(_xlpm.link,IFERROR(INDEX(_xlfn.ANCHORARRAY($AA$11),ROW()-10,11),""),IF(_xlpm.link="","",HYPERLINK(_xlpm.link,"ClickUp")))</f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 cm="1">
        <f t="array" aca="1" ref="J143" ca="1">_xlfn.LET(_xlpm.link,IFERROR(INDEX(_xlfn.ANCHORARRAY($AA$11),ROW()-10,10),""),IF(_xlpm.link="","",HYPERLINK(_xlpm.link,"Jira")))</f>
        <v/>
      </c>
      <c r="K143" s="22" t="str" cm="1">
        <f t="array" aca="1" ref="K143" ca="1">_xlfn.LET(_xlpm.link,IFERROR(INDEX(_xlfn.ANCHORARRAY($AA$11),ROW()-10,11),""),IF(_xlpm.link="","",HYPERLINK(_xlpm.link,"ClickUp")))</f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 cm="1">
        <f t="array" aca="1" ref="J144" ca="1">_xlfn.LET(_xlpm.link,IFERROR(INDEX(_xlfn.ANCHORARRAY($AA$11),ROW()-10,10),""),IF(_xlpm.link="","",HYPERLINK(_xlpm.link,"Jira")))</f>
        <v/>
      </c>
      <c r="K144" s="22" t="str" cm="1">
        <f t="array" aca="1" ref="K144" ca="1">_xlfn.LET(_xlpm.link,IFERROR(INDEX(_xlfn.ANCHORARRAY($AA$11),ROW()-10,11),""),IF(_xlpm.link="","",HYPERLINK(_xlpm.link,"ClickUp")))</f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 cm="1">
        <f t="array" aca="1" ref="J145" ca="1">_xlfn.LET(_xlpm.link,IFERROR(INDEX(_xlfn.ANCHORARRAY($AA$11),ROW()-10,10),""),IF(_xlpm.link="","",HYPERLINK(_xlpm.link,"Jira")))</f>
        <v/>
      </c>
      <c r="K145" s="22" t="str" cm="1">
        <f t="array" aca="1" ref="K145" ca="1">_xlfn.LET(_xlpm.link,IFERROR(INDEX(_xlfn.ANCHORARRAY($AA$11),ROW()-10,11),""),IF(_xlpm.link="","",HYPERLINK(_xlpm.link,"ClickUp")))</f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 cm="1">
        <f t="array" aca="1" ref="J146" ca="1">_xlfn.LET(_xlpm.link,IFERROR(INDEX(_xlfn.ANCHORARRAY($AA$11),ROW()-10,10),""),IF(_xlpm.link="","",HYPERLINK(_xlpm.link,"Jira")))</f>
        <v/>
      </c>
      <c r="K146" s="22" t="str" cm="1">
        <f t="array" aca="1" ref="K146" ca="1">_xlfn.LET(_xlpm.link,IFERROR(INDEX(_xlfn.ANCHORARRAY($AA$11),ROW()-10,11),""),IF(_xlpm.link="","",HYPERLINK(_xlpm.link,"ClickUp")))</f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 cm="1">
        <f t="array" aca="1" ref="J147" ca="1">_xlfn.LET(_xlpm.link,IFERROR(INDEX(_xlfn.ANCHORARRAY($AA$11),ROW()-10,10),""),IF(_xlpm.link="","",HYPERLINK(_xlpm.link,"Jira")))</f>
        <v/>
      </c>
      <c r="K147" s="22" t="str" cm="1">
        <f t="array" aca="1" ref="K147" ca="1">_xlfn.LET(_xlpm.link,IFERROR(INDEX(_xlfn.ANCHORARRAY($AA$11),ROW()-10,11),""),IF(_xlpm.link="","",HYPERLINK(_xlpm.link,"ClickUp")))</f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 cm="1">
        <f t="array" aca="1" ref="J148" ca="1">_xlfn.LET(_xlpm.link,IFERROR(INDEX(_xlfn.ANCHORARRAY($AA$11),ROW()-10,10),""),IF(_xlpm.link="","",HYPERLINK(_xlpm.link,"Jira")))</f>
        <v/>
      </c>
      <c r="K148" s="22" t="str" cm="1">
        <f t="array" aca="1" ref="K148" ca="1">_xlfn.LET(_xlpm.link,IFERROR(INDEX(_xlfn.ANCHORARRAY($AA$11),ROW()-10,11),""),IF(_xlpm.link="","",HYPERLINK(_xlpm.link,"ClickUp")))</f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 cm="1">
        <f t="array" aca="1" ref="J149" ca="1">_xlfn.LET(_xlpm.link,IFERROR(INDEX(_xlfn.ANCHORARRAY($AA$11),ROW()-10,10),""),IF(_xlpm.link="","",HYPERLINK(_xlpm.link,"Jira")))</f>
        <v/>
      </c>
      <c r="K149" s="22" t="str" cm="1">
        <f t="array" aca="1" ref="K149" ca="1">_xlfn.LET(_xlpm.link,IFERROR(INDEX(_xlfn.ANCHORARRAY($AA$11),ROW()-10,11),""),IF(_xlpm.link="","",HYPERLINK(_xlpm.link,"ClickUp")))</f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 cm="1">
        <f t="array" aca="1" ref="J150" ca="1">_xlfn.LET(_xlpm.link,IFERROR(INDEX(_xlfn.ANCHORARRAY($AA$11),ROW()-10,10),""),IF(_xlpm.link="","",HYPERLINK(_xlpm.link,"Jira")))</f>
        <v/>
      </c>
      <c r="K150" s="22" t="str" cm="1">
        <f t="array" aca="1" ref="K150" ca="1">_xlfn.LET(_xlpm.link,IFERROR(INDEX(_xlfn.ANCHORARRAY($AA$11),ROW()-10,11),""),IF(_xlpm.link="","",HYPERLINK(_xlpm.link,"ClickUp")))</f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 cm="1">
        <f t="array" aca="1" ref="J151" ca="1">_xlfn.LET(_xlpm.link,IFERROR(INDEX(_xlfn.ANCHORARRAY($AA$11),ROW()-10,10),""),IF(_xlpm.link="","",HYPERLINK(_xlpm.link,"Jira")))</f>
        <v/>
      </c>
      <c r="K151" s="22" t="str" cm="1">
        <f t="array" aca="1" ref="K151" ca="1">_xlfn.LET(_xlpm.link,IFERROR(INDEX(_xlfn.ANCHORARRAY($AA$11),ROW()-10,11),""),IF(_xlpm.link="","",HYPERLINK(_xlpm.link,"ClickUp")))</f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 cm="1">
        <f t="array" aca="1" ref="J152" ca="1">_xlfn.LET(_xlpm.link,IFERROR(INDEX(_xlfn.ANCHORARRAY($AA$11),ROW()-10,10),""),IF(_xlpm.link="","",HYPERLINK(_xlpm.link,"Jira")))</f>
        <v/>
      </c>
      <c r="K152" s="22" t="str" cm="1">
        <f t="array" aca="1" ref="K152" ca="1">_xlfn.LET(_xlpm.link,IFERROR(INDEX(_xlfn.ANCHORARRAY($AA$11),ROW()-10,11),""),IF(_xlpm.link="","",HYPERLINK(_xlpm.link,"ClickUp")))</f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 cm="1">
        <f t="array" aca="1" ref="J153" ca="1">_xlfn.LET(_xlpm.link,IFERROR(INDEX(_xlfn.ANCHORARRAY($AA$11),ROW()-10,10),""),IF(_xlpm.link="","",HYPERLINK(_xlpm.link,"Jira")))</f>
        <v/>
      </c>
      <c r="K153" s="22" t="str" cm="1">
        <f t="array" aca="1" ref="K153" ca="1">_xlfn.LET(_xlpm.link,IFERROR(INDEX(_xlfn.ANCHORARRAY($AA$11),ROW()-10,11),""),IF(_xlpm.link="","",HYPERLINK(_xlpm.link,"ClickUp")))</f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 cm="1">
        <f t="array" aca="1" ref="J154" ca="1">_xlfn.LET(_xlpm.link,IFERROR(INDEX(_xlfn.ANCHORARRAY($AA$11),ROW()-10,10),""),IF(_xlpm.link="","",HYPERLINK(_xlpm.link,"Jira")))</f>
        <v/>
      </c>
      <c r="K154" s="22" t="str" cm="1">
        <f t="array" aca="1" ref="K154" ca="1">_xlfn.LET(_xlpm.link,IFERROR(INDEX(_xlfn.ANCHORARRAY($AA$11),ROW()-10,11),""),IF(_xlpm.link="","",HYPERLINK(_xlpm.link,"ClickUp")))</f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 cm="1">
        <f t="array" aca="1" ref="J155" ca="1">_xlfn.LET(_xlpm.link,IFERROR(INDEX(_xlfn.ANCHORARRAY($AA$11),ROW()-10,10),""),IF(_xlpm.link="","",HYPERLINK(_xlpm.link,"Jira")))</f>
        <v/>
      </c>
      <c r="K155" s="22" t="str" cm="1">
        <f t="array" aca="1" ref="K155" ca="1">_xlfn.LET(_xlpm.link,IFERROR(INDEX(_xlfn.ANCHORARRAY($AA$11),ROW()-10,11),""),IF(_xlpm.link="","",HYPERLINK(_xlpm.link,"ClickUp")))</f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 cm="1">
        <f t="array" aca="1" ref="J156" ca="1">_xlfn.LET(_xlpm.link,IFERROR(INDEX(_xlfn.ANCHORARRAY($AA$11),ROW()-10,10),""),IF(_xlpm.link="","",HYPERLINK(_xlpm.link,"Jira")))</f>
        <v/>
      </c>
      <c r="K156" s="22" t="str" cm="1">
        <f t="array" aca="1" ref="K156" ca="1">_xlfn.LET(_xlpm.link,IFERROR(INDEX(_xlfn.ANCHORARRAY($AA$11),ROW()-10,11),""),IF(_xlpm.link="","",HYPERLINK(_xlpm.link,"ClickUp")))</f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 cm="1">
        <f t="array" aca="1" ref="J157" ca="1">_xlfn.LET(_xlpm.link,IFERROR(INDEX(_xlfn.ANCHORARRAY($AA$11),ROW()-10,10),""),IF(_xlpm.link="","",HYPERLINK(_xlpm.link,"Jira")))</f>
        <v/>
      </c>
      <c r="K157" s="22" t="str" cm="1">
        <f t="array" aca="1" ref="K157" ca="1">_xlfn.LET(_xlpm.link,IFERROR(INDEX(_xlfn.ANCHORARRAY($AA$11),ROW()-10,11),""),IF(_xlpm.link="","",HYPERLINK(_xlpm.link,"ClickUp")))</f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 cm="1">
        <f t="array" aca="1" ref="J158" ca="1">_xlfn.LET(_xlpm.link,IFERROR(INDEX(_xlfn.ANCHORARRAY($AA$11),ROW()-10,10),""),IF(_xlpm.link="","",HYPERLINK(_xlpm.link,"Jira")))</f>
        <v/>
      </c>
      <c r="K158" s="22" t="str" cm="1">
        <f t="array" aca="1" ref="K158" ca="1">_xlfn.LET(_xlpm.link,IFERROR(INDEX(_xlfn.ANCHORARRAY($AA$11),ROW()-10,11),""),IF(_xlpm.link="","",HYPERLINK(_xlpm.link,"ClickUp")))</f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 cm="1">
        <f t="array" aca="1" ref="J159" ca="1">_xlfn.LET(_xlpm.link,IFERROR(INDEX(_xlfn.ANCHORARRAY($AA$11),ROW()-10,10),""),IF(_xlpm.link="","",HYPERLINK(_xlpm.link,"Jira")))</f>
        <v/>
      </c>
      <c r="K159" s="22" t="str" cm="1">
        <f t="array" aca="1" ref="K159" ca="1">_xlfn.LET(_xlpm.link,IFERROR(INDEX(_xlfn.ANCHORARRAY($AA$11),ROW()-10,11),""),IF(_xlpm.link="","",HYPERLINK(_xlpm.link,"ClickUp")))</f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 cm="1">
        <f t="array" aca="1" ref="J160" ca="1">_xlfn.LET(_xlpm.link,IFERROR(INDEX(_xlfn.ANCHORARRAY($AA$11),ROW()-10,10),""),IF(_xlpm.link="","",HYPERLINK(_xlpm.link,"Jira")))</f>
        <v/>
      </c>
      <c r="K160" s="22" t="str" cm="1">
        <f t="array" aca="1" ref="K160" ca="1">_xlfn.LET(_xlpm.link,IFERROR(INDEX(_xlfn.ANCHORARRAY($AA$11),ROW()-10,11),""),IF(_xlpm.link="","",HYPERLINK(_xlpm.link,"ClickUp")))</f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4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5" t="s">
        <v>103</v>
      </c>
      <c r="B162" s="32" t="s">
        <v>104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105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6" t="s">
        <v>65</v>
      </c>
      <c r="B163" s="34" t="s">
        <v>106</v>
      </c>
      <c r="C163" s="35">
        <f>COUNTIFS('Email Campaigns'!$C$2:$C$205,"&lt;&gt;",'Email Campaigns'!$S$2:$S$205,"&lt;=0")</f>
        <v>0</v>
      </c>
      <c r="D163" s="35" t="s">
        <v>107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7" t="s">
        <v>66</v>
      </c>
      <c r="B164" s="36" t="s">
        <v>106</v>
      </c>
      <c r="C164" s="37">
        <f>COUNTIFS('SMS Campaigns'!$C$2:$C$201,"&lt;&gt;",'SMS Campaigns'!$N$2:$N$201,"&lt;=0")</f>
        <v>0</v>
      </c>
      <c r="D164" s="37" t="s">
        <v>108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6" t="s">
        <v>67</v>
      </c>
      <c r="B165" s="34" t="s">
        <v>104</v>
      </c>
      <c r="C165" s="35">
        <f>COUNTIFS('Email Campaigns'!$C$2:$C$205,"&lt;&gt;",'Email Campaigns'!$M$2:$M$205,FALSE)+COUNTIFS('SMS Campaigns'!$C$2:$C$201,"&lt;&gt;",'SMS Campaigns'!$I$2:$I$201,FALSE)</f>
        <v>1</v>
      </c>
      <c r="D165" s="35" t="s">
        <v>109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7" t="s">
        <v>68</v>
      </c>
      <c r="B166" s="36" t="s">
        <v>110</v>
      </c>
      <c r="C166" s="37">
        <f>COUNTIF('Email Campaigns'!$S$2:$S$205,"&gt;0")+COUNTIF('SMS Campaigns'!$N$2:$N$201,"&gt;0")</f>
        <v>10</v>
      </c>
      <c r="D166" s="37" t="s">
        <v>111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4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4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4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4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4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4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4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4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4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4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4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4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4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4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8"/>
    </row>
    <row r="182" spans="1:38">
      <c r="A182" s="68"/>
    </row>
    <row r="183" spans="1:38">
      <c r="A183" s="68"/>
    </row>
    <row r="184" spans="1:38">
      <c r="A184" s="68"/>
    </row>
    <row r="185" spans="1:38">
      <c r="A185" s="68"/>
    </row>
    <row r="186" spans="1:38">
      <c r="A186" s="68"/>
    </row>
    <row r="187" spans="1:38">
      <c r="A187" s="68"/>
    </row>
    <row r="188" spans="1:38">
      <c r="A188" s="68"/>
    </row>
    <row r="189" spans="1:38">
      <c r="A189" s="68"/>
    </row>
    <row r="190" spans="1:38">
      <c r="A190" s="68"/>
    </row>
    <row r="191" spans="1:38">
      <c r="A191" s="68"/>
    </row>
    <row r="192" spans="1:38">
      <c r="A192" s="68"/>
    </row>
    <row r="193" spans="1:1">
      <c r="A193" s="68"/>
    </row>
    <row r="194" spans="1:1">
      <c r="A194" s="68"/>
    </row>
    <row r="195" spans="1:1">
      <c r="A195" s="68"/>
    </row>
    <row r="196" spans="1:1">
      <c r="A196" s="68"/>
    </row>
    <row r="197" spans="1:1">
      <c r="A197" s="68"/>
    </row>
    <row r="198" spans="1:1">
      <c r="A198" s="68"/>
    </row>
    <row r="199" spans="1:1">
      <c r="A199" s="68"/>
    </row>
    <row r="200" spans="1:1">
      <c r="A200" s="68"/>
    </row>
    <row r="201" spans="1:1">
      <c r="A201" s="68"/>
    </row>
    <row r="202" spans="1:1">
      <c r="A202" s="68"/>
    </row>
    <row r="203" spans="1:1">
      <c r="A203" s="68"/>
    </row>
    <row r="204" spans="1:1">
      <c r="A204" s="68"/>
    </row>
    <row r="205" spans="1:1">
      <c r="A205" s="68"/>
    </row>
    <row r="206" spans="1:1">
      <c r="A206" s="68"/>
    </row>
    <row r="207" spans="1:1">
      <c r="A207" s="68"/>
    </row>
    <row r="208" spans="1:1">
      <c r="A208" s="68"/>
    </row>
    <row r="209" spans="1:1">
      <c r="A209" s="68"/>
    </row>
    <row r="210" spans="1:1">
      <c r="A210" s="68"/>
    </row>
    <row r="211" spans="1:1">
      <c r="A211" s="68"/>
    </row>
    <row r="212" spans="1:1">
      <c r="A212" s="68"/>
    </row>
    <row r="213" spans="1:1">
      <c r="A213" s="68"/>
    </row>
    <row r="214" spans="1:1">
      <c r="A214" s="68"/>
    </row>
    <row r="215" spans="1:1">
      <c r="A215" s="68"/>
    </row>
    <row r="216" spans="1:1">
      <c r="A216" s="68"/>
    </row>
    <row r="217" spans="1:1">
      <c r="A217" s="68"/>
    </row>
    <row r="218" spans="1:1">
      <c r="A218" s="68"/>
    </row>
    <row r="219" spans="1:1">
      <c r="A219" s="68"/>
    </row>
    <row r="220" spans="1:1">
      <c r="A220" s="68"/>
    </row>
    <row r="221" spans="1:1">
      <c r="A221" s="68"/>
    </row>
    <row r="222" spans="1:1">
      <c r="A222" s="68"/>
    </row>
    <row r="223" spans="1:1">
      <c r="A223" s="68"/>
    </row>
    <row r="224" spans="1:1">
      <c r="A224" s="68"/>
    </row>
    <row r="225" spans="1:1">
      <c r="A225" s="68"/>
    </row>
    <row r="226" spans="1:1">
      <c r="A226" s="68"/>
    </row>
    <row r="227" spans="1:1">
      <c r="A227" s="68"/>
    </row>
    <row r="228" spans="1:1">
      <c r="A228" s="68"/>
    </row>
    <row r="229" spans="1:1">
      <c r="A229" s="68"/>
    </row>
    <row r="230" spans="1:1">
      <c r="A230" s="68"/>
    </row>
    <row r="231" spans="1:1">
      <c r="A231" s="68"/>
    </row>
    <row r="232" spans="1:1">
      <c r="A232" s="68"/>
    </row>
    <row r="233" spans="1:1">
      <c r="A233" s="68"/>
    </row>
    <row r="234" spans="1:1">
      <c r="A234" s="68"/>
    </row>
    <row r="235" spans="1:1">
      <c r="A235" s="68"/>
    </row>
    <row r="236" spans="1:1">
      <c r="A236" s="68"/>
    </row>
    <row r="237" spans="1:1">
      <c r="A237" s="68"/>
    </row>
    <row r="238" spans="1:1">
      <c r="A238" s="68"/>
    </row>
    <row r="239" spans="1:1">
      <c r="A239" s="68"/>
    </row>
    <row r="240" spans="1:1">
      <c r="A240" s="68"/>
    </row>
    <row r="241" spans="1:1">
      <c r="A241" s="68"/>
    </row>
    <row r="242" spans="1:1">
      <c r="A242" s="68"/>
    </row>
    <row r="243" spans="1:1">
      <c r="A243" s="68"/>
    </row>
    <row r="244" spans="1:1">
      <c r="A244" s="68"/>
    </row>
    <row r="245" spans="1:1">
      <c r="A245" s="68"/>
    </row>
    <row r="246" spans="1:1">
      <c r="A246" s="68"/>
    </row>
    <row r="247" spans="1:1">
      <c r="A247" s="68"/>
    </row>
    <row r="248" spans="1:1">
      <c r="A248" s="68"/>
    </row>
    <row r="249" spans="1:1">
      <c r="A249" s="68"/>
    </row>
    <row r="250" spans="1:1">
      <c r="A250" s="68"/>
    </row>
    <row r="251" spans="1:1">
      <c r="A251" s="68"/>
    </row>
    <row r="252" spans="1:1">
      <c r="A252" s="68"/>
    </row>
    <row r="253" spans="1:1">
      <c r="A253" s="68"/>
    </row>
    <row r="254" spans="1:1">
      <c r="A254" s="68"/>
    </row>
    <row r="255" spans="1:1">
      <c r="A255" s="68"/>
    </row>
    <row r="256" spans="1:1">
      <c r="A256" s="68"/>
    </row>
    <row r="257" spans="1:1">
      <c r="A257" s="68"/>
    </row>
    <row r="258" spans="1:1">
      <c r="A258" s="68"/>
    </row>
    <row r="259" spans="1:1">
      <c r="A259" s="68"/>
    </row>
    <row r="260" spans="1:1">
      <c r="A260" s="68"/>
    </row>
    <row r="261" spans="1:1">
      <c r="A261" s="68"/>
    </row>
    <row r="262" spans="1:1">
      <c r="A262" s="68"/>
    </row>
    <row r="263" spans="1:1">
      <c r="A263" s="68"/>
    </row>
    <row r="264" spans="1:1">
      <c r="A264" s="68"/>
    </row>
    <row r="265" spans="1:1">
      <c r="A265" s="68"/>
    </row>
    <row r="266" spans="1:1">
      <c r="A266" s="68"/>
    </row>
    <row r="267" spans="1:1">
      <c r="A267" s="68"/>
    </row>
    <row r="268" spans="1:1">
      <c r="A268" s="68"/>
    </row>
    <row r="269" spans="1:1">
      <c r="A269" s="68"/>
    </row>
    <row r="270" spans="1:1">
      <c r="A270" s="68"/>
    </row>
    <row r="271" spans="1:1">
      <c r="A271" s="68"/>
    </row>
    <row r="272" spans="1:1">
      <c r="A272" s="68"/>
    </row>
    <row r="273" spans="1:1">
      <c r="A273" s="68"/>
    </row>
    <row r="274" spans="1:1">
      <c r="A274" s="68"/>
    </row>
    <row r="275" spans="1:1">
      <c r="A275" s="68"/>
    </row>
    <row r="276" spans="1:1">
      <c r="A276" s="68"/>
    </row>
    <row r="277" spans="1:1">
      <c r="A277" s="68"/>
    </row>
    <row r="278" spans="1:1">
      <c r="A278" s="68"/>
    </row>
    <row r="279" spans="1:1">
      <c r="A279" s="68"/>
    </row>
    <row r="280" spans="1:1">
      <c r="A280" s="68"/>
    </row>
    <row r="281" spans="1:1">
      <c r="A281" s="68"/>
    </row>
    <row r="282" spans="1:1">
      <c r="A282" s="68"/>
    </row>
    <row r="283" spans="1:1">
      <c r="A283" s="68"/>
    </row>
    <row r="284" spans="1:1">
      <c r="A284" s="68"/>
    </row>
    <row r="285" spans="1:1">
      <c r="A285" s="68"/>
    </row>
    <row r="286" spans="1:1">
      <c r="A286" s="68"/>
    </row>
    <row r="287" spans="1:1">
      <c r="A287" s="68"/>
    </row>
    <row r="288" spans="1:1">
      <c r="A288" s="68"/>
    </row>
    <row r="289" spans="1:1">
      <c r="A289" s="68"/>
    </row>
    <row r="290" spans="1:1">
      <c r="A290" s="68"/>
    </row>
    <row r="291" spans="1:1">
      <c r="A291" s="68"/>
    </row>
    <row r="292" spans="1:1">
      <c r="A292" s="68"/>
    </row>
    <row r="293" spans="1:1">
      <c r="A293" s="68"/>
    </row>
    <row r="294" spans="1:1">
      <c r="A294" s="68"/>
    </row>
    <row r="295" spans="1:1">
      <c r="A295" s="68"/>
    </row>
    <row r="296" spans="1:1">
      <c r="A296" s="68"/>
    </row>
    <row r="297" spans="1:1">
      <c r="A297" s="68"/>
    </row>
    <row r="298" spans="1:1">
      <c r="A298" s="68"/>
    </row>
    <row r="299" spans="1:1">
      <c r="A299" s="68"/>
    </row>
    <row r="300" spans="1:1">
      <c r="A300" s="68"/>
    </row>
    <row r="301" spans="1:1">
      <c r="A301" s="68"/>
    </row>
    <row r="302" spans="1:1">
      <c r="A302" s="68"/>
    </row>
    <row r="303" spans="1:1">
      <c r="A303" s="68"/>
    </row>
    <row r="304" spans="1:1">
      <c r="A304" s="68"/>
    </row>
    <row r="305" spans="1:1">
      <c r="A305" s="68"/>
    </row>
    <row r="306" spans="1:1">
      <c r="A306" s="68"/>
    </row>
    <row r="307" spans="1:1">
      <c r="A307" s="68"/>
    </row>
    <row r="308" spans="1:1">
      <c r="A308" s="68"/>
    </row>
    <row r="309" spans="1:1">
      <c r="A309" s="68"/>
    </row>
    <row r="310" spans="1:1">
      <c r="A310" s="68"/>
    </row>
    <row r="311" spans="1:1">
      <c r="A311" s="68"/>
    </row>
    <row r="312" spans="1:1">
      <c r="A312" s="68"/>
    </row>
    <row r="313" spans="1:1">
      <c r="A313" s="68"/>
    </row>
    <row r="314" spans="1:1">
      <c r="A314" s="68"/>
    </row>
    <row r="315" spans="1:1">
      <c r="A315" s="68"/>
    </row>
    <row r="316" spans="1:1">
      <c r="A316" s="68"/>
    </row>
    <row r="317" spans="1:1">
      <c r="A317" s="68"/>
    </row>
    <row r="318" spans="1:1">
      <c r="A318" s="68"/>
    </row>
    <row r="319" spans="1:1">
      <c r="A319" s="68"/>
    </row>
    <row r="320" spans="1:1">
      <c r="A320" s="68"/>
    </row>
    <row r="321" spans="1:1">
      <c r="A321" s="68"/>
    </row>
    <row r="322" spans="1:1">
      <c r="A322" s="68"/>
    </row>
    <row r="323" spans="1:1">
      <c r="A323" s="68"/>
    </row>
    <row r="324" spans="1:1">
      <c r="A324" s="68"/>
    </row>
    <row r="325" spans="1:1">
      <c r="A325" s="68"/>
    </row>
    <row r="326" spans="1:1">
      <c r="A326" s="68"/>
    </row>
    <row r="327" spans="1:1">
      <c r="A327" s="68"/>
    </row>
    <row r="328" spans="1:1">
      <c r="A328" s="68"/>
    </row>
    <row r="329" spans="1:1">
      <c r="A329" s="68"/>
    </row>
    <row r="330" spans="1:1">
      <c r="A330" s="68"/>
    </row>
    <row r="331" spans="1:1">
      <c r="A331" s="68"/>
    </row>
    <row r="332" spans="1:1">
      <c r="A332" s="68"/>
    </row>
    <row r="333" spans="1:1">
      <c r="A333" s="68"/>
    </row>
    <row r="334" spans="1:1">
      <c r="A334" s="68"/>
    </row>
    <row r="335" spans="1:1">
      <c r="A335" s="68"/>
    </row>
    <row r="336" spans="1:1">
      <c r="A336" s="68"/>
    </row>
    <row r="337" spans="1:1">
      <c r="A337" s="68"/>
    </row>
    <row r="338" spans="1:1">
      <c r="A338" s="68"/>
    </row>
    <row r="339" spans="1:1">
      <c r="A339" s="68"/>
    </row>
    <row r="340" spans="1:1">
      <c r="A340" s="68"/>
    </row>
    <row r="341" spans="1:1">
      <c r="A341" s="68"/>
    </row>
    <row r="342" spans="1:1">
      <c r="A342" s="68"/>
    </row>
    <row r="343" spans="1:1">
      <c r="A343" s="68"/>
    </row>
    <row r="344" spans="1:1">
      <c r="A344" s="68"/>
    </row>
    <row r="345" spans="1:1">
      <c r="A345" s="68"/>
    </row>
    <row r="346" spans="1:1">
      <c r="A346" s="68"/>
    </row>
    <row r="347" spans="1:1">
      <c r="A347" s="68"/>
    </row>
    <row r="348" spans="1:1">
      <c r="A348" s="68"/>
    </row>
    <row r="349" spans="1:1">
      <c r="A349" s="68"/>
    </row>
    <row r="350" spans="1:1">
      <c r="A350" s="68"/>
    </row>
    <row r="351" spans="1:1">
      <c r="A351" s="68"/>
    </row>
    <row r="352" spans="1:1">
      <c r="A352" s="68"/>
    </row>
    <row r="353" spans="1:1">
      <c r="A353" s="68"/>
    </row>
    <row r="354" spans="1:1">
      <c r="A354" s="68"/>
    </row>
    <row r="355" spans="1:1">
      <c r="A355" s="68"/>
    </row>
    <row r="356" spans="1:1">
      <c r="A356" s="68"/>
    </row>
    <row r="357" spans="1:1">
      <c r="A357" s="68"/>
    </row>
    <row r="358" spans="1:1">
      <c r="A358" s="68"/>
    </row>
    <row r="359" spans="1:1">
      <c r="A359" s="68"/>
    </row>
    <row r="360" spans="1:1">
      <c r="A360" s="68"/>
    </row>
    <row r="361" spans="1:1">
      <c r="A361" s="68"/>
    </row>
    <row r="362" spans="1:1">
      <c r="A362" s="68"/>
    </row>
    <row r="363" spans="1:1">
      <c r="A363" s="68"/>
    </row>
    <row r="364" spans="1:1">
      <c r="A364" s="68"/>
    </row>
    <row r="365" spans="1:1">
      <c r="A365" s="68"/>
    </row>
    <row r="366" spans="1:1">
      <c r="A366" s="68"/>
    </row>
    <row r="367" spans="1:1">
      <c r="A367" s="68"/>
    </row>
    <row r="368" spans="1:1">
      <c r="A368" s="68"/>
    </row>
    <row r="369" spans="1:1">
      <c r="A369" s="68"/>
    </row>
    <row r="370" spans="1:1">
      <c r="A370" s="68"/>
    </row>
    <row r="371" spans="1:1">
      <c r="A371" s="68"/>
    </row>
    <row r="372" spans="1:1">
      <c r="A372" s="68"/>
    </row>
    <row r="373" spans="1:1">
      <c r="A373" s="68"/>
    </row>
    <row r="374" spans="1:1">
      <c r="A374" s="68"/>
    </row>
    <row r="375" spans="1:1">
      <c r="A375" s="68"/>
    </row>
    <row r="376" spans="1:1">
      <c r="A376" s="68"/>
    </row>
    <row r="377" spans="1:1">
      <c r="A377" s="68"/>
    </row>
    <row r="378" spans="1:1">
      <c r="A378" s="68"/>
    </row>
    <row r="379" spans="1:1">
      <c r="A379" s="68"/>
    </row>
    <row r="380" spans="1:1">
      <c r="A380" s="68"/>
    </row>
    <row r="381" spans="1:1">
      <c r="A381" s="68"/>
    </row>
    <row r="382" spans="1:1">
      <c r="A382" s="68"/>
    </row>
    <row r="383" spans="1:1">
      <c r="A383" s="68"/>
    </row>
    <row r="384" spans="1:1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</sheetData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46" priority="1" operator="greaterThan">
      <formula>0</formula>
    </cfRule>
  </conditionalFormatting>
  <conditionalFormatting sqref="B8">
    <cfRule type="cellIs" dxfId="145" priority="2" operator="greaterThan">
      <formula>0</formula>
    </cfRule>
  </conditionalFormatting>
  <conditionalFormatting sqref="B9">
    <cfRule type="cellIs" dxfId="144" priority="3" operator="greaterThan">
      <formula>0</formula>
    </cfRule>
  </conditionalFormatting>
  <conditionalFormatting sqref="E11:E160">
    <cfRule type="expression" dxfId="143" priority="10">
      <formula>E11="Scheduled"</formula>
    </cfRule>
    <cfRule type="expression" dxfId="142" priority="11">
      <formula>E11="Sent"</formula>
    </cfRule>
    <cfRule type="expression" dxfId="141" priority="12">
      <formula>E11="Blocked"</formula>
    </cfRule>
  </conditionalFormatting>
  <conditionalFormatting sqref="G11:G160">
    <cfRule type="expression" dxfId="140" priority="4">
      <formula>G11="Critical"</formula>
    </cfRule>
    <cfRule type="expression" dxfId="139" priority="5">
      <formula>G11="High Risk"</formula>
    </cfRule>
    <cfRule type="expression" dxfId="138" priority="6">
      <formula>G11="At Risk"</formula>
    </cfRule>
    <cfRule type="expression" dxfId="137" priority="7">
      <formula>G11="Blocked"</formula>
    </cfRule>
    <cfRule type="expression" dxfId="136" priority="8">
      <formula>G11="Ready"</formula>
    </cfRule>
    <cfRule type="expression" dxfId="135" priority="9">
      <formula>G11="Complete"</formula>
    </cfRule>
  </conditionalFormatting>
  <conditionalFormatting sqref="H11:H160">
    <cfRule type="cellIs" dxfId="134" priority="129" stopIfTrue="1" operator="equal">
      <formula>"Done"</formula>
    </cfRule>
  </conditionalFormatting>
  <conditionalFormatting sqref="H11:H160">
    <cfRule type="cellIs" dxfId="133" priority="130" stopIfTrue="1" operator="equal">
      <formula>"Not Yet"</formula>
    </cfRule>
  </conditionalFormatting>
  <conditionalFormatting sqref="I11:I160">
    <cfRule type="cellIs" dxfId="132" priority="131" stopIfTrue="1" operator="equal">
      <formula>"Provided"</formula>
    </cfRule>
  </conditionalFormatting>
  <conditionalFormatting sqref="I11:I160">
    <cfRule type="cellIs" dxfId="131" priority="132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zoomScale="85" zoomScaleNormal="85" workbookViewId="0">
      <selection activeCell="V1" sqref="V1:V1048576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91</v>
      </c>
      <c r="B1" s="17" t="s">
        <v>112</v>
      </c>
      <c r="C1" s="17" t="s">
        <v>113</v>
      </c>
      <c r="D1" s="17" t="s">
        <v>114</v>
      </c>
      <c r="E1" s="17" t="s">
        <v>115</v>
      </c>
      <c r="F1" s="17" t="s">
        <v>97</v>
      </c>
      <c r="G1" s="17" t="s">
        <v>116</v>
      </c>
      <c r="H1" s="17" t="s">
        <v>117</v>
      </c>
      <c r="I1" s="17" t="s">
        <v>118</v>
      </c>
      <c r="J1" s="17" t="s">
        <v>119</v>
      </c>
      <c r="K1" s="17" t="s">
        <v>120</v>
      </c>
      <c r="L1" s="17" t="s">
        <v>121</v>
      </c>
      <c r="M1" s="17" t="s">
        <v>98</v>
      </c>
      <c r="N1" s="17" t="s">
        <v>99</v>
      </c>
      <c r="O1" s="17" t="s">
        <v>122</v>
      </c>
      <c r="P1" s="17" t="s">
        <v>123</v>
      </c>
      <c r="Q1" s="17" t="s">
        <v>124</v>
      </c>
      <c r="R1" s="17" t="s">
        <v>125</v>
      </c>
      <c r="S1" s="17" t="s">
        <v>126</v>
      </c>
      <c r="T1" s="17" t="s">
        <v>127</v>
      </c>
      <c r="U1" s="17" t="s">
        <v>128</v>
      </c>
      <c r="V1" s="17" t="s">
        <v>129</v>
      </c>
    </row>
    <row r="2" spans="1:22" s="7" customFormat="1" ht="71.25">
      <c r="A2" s="60">
        <v>46174</v>
      </c>
      <c r="B2" s="18" t="s">
        <v>130</v>
      </c>
      <c r="C2" s="6" t="s">
        <v>131</v>
      </c>
      <c r="D2" s="6" t="s">
        <v>132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133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8" t="s">
        <v>134</v>
      </c>
      <c r="P2" s="48" t="s">
        <v>135</v>
      </c>
      <c r="Q2" s="48" t="s">
        <v>136</v>
      </c>
      <c r="R2" s="43">
        <v>1034750</v>
      </c>
      <c r="S2" s="43">
        <v>1146014</v>
      </c>
      <c r="T2" s="44">
        <v>46180.898900462962</v>
      </c>
      <c r="U2" s="39" t="s">
        <v>137</v>
      </c>
      <c r="V2" s="39"/>
    </row>
    <row r="3" spans="1:22" s="7" customFormat="1" ht="71.25">
      <c r="A3" s="60">
        <v>46175</v>
      </c>
      <c r="B3" s="18" t="s">
        <v>130</v>
      </c>
      <c r="C3" s="6" t="s">
        <v>138</v>
      </c>
      <c r="D3" s="6" t="s">
        <v>139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133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8" t="s">
        <v>140</v>
      </c>
      <c r="P3" s="48" t="s">
        <v>141</v>
      </c>
      <c r="Q3" s="48" t="s">
        <v>142</v>
      </c>
      <c r="R3" s="43">
        <v>23414</v>
      </c>
      <c r="S3" s="43">
        <v>23461</v>
      </c>
      <c r="T3" s="44">
        <v>46180.920636574076</v>
      </c>
      <c r="U3" s="39" t="s">
        <v>137</v>
      </c>
      <c r="V3" s="39"/>
    </row>
    <row r="4" spans="1:22" s="7" customFormat="1" ht="71.25">
      <c r="A4" s="60">
        <v>46175</v>
      </c>
      <c r="B4" s="18" t="s">
        <v>130</v>
      </c>
      <c r="C4" s="6" t="s">
        <v>143</v>
      </c>
      <c r="D4" s="6" t="s">
        <v>139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133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8" t="s">
        <v>144</v>
      </c>
      <c r="P4" s="48" t="s">
        <v>145</v>
      </c>
      <c r="Q4" s="48" t="s">
        <v>146</v>
      </c>
      <c r="R4" s="43">
        <v>17521</v>
      </c>
      <c r="S4" s="43">
        <v>17922</v>
      </c>
      <c r="T4" s="44">
        <v>46180.923391203702</v>
      </c>
      <c r="U4" s="39" t="s">
        <v>137</v>
      </c>
      <c r="V4" s="39"/>
    </row>
    <row r="5" spans="1:22" s="7" customFormat="1" ht="71.25">
      <c r="A5" s="60">
        <v>46175</v>
      </c>
      <c r="B5" s="18" t="s">
        <v>130</v>
      </c>
      <c r="C5" s="6" t="s">
        <v>147</v>
      </c>
      <c r="D5" s="6" t="s">
        <v>139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133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8" t="s">
        <v>148</v>
      </c>
      <c r="P5" s="48" t="s">
        <v>149</v>
      </c>
      <c r="Q5" s="48" t="s">
        <v>150</v>
      </c>
      <c r="R5" s="43">
        <v>2587</v>
      </c>
      <c r="S5" s="43">
        <v>2651</v>
      </c>
      <c r="T5" s="44">
        <v>46180.921400462961</v>
      </c>
      <c r="U5" s="39" t="s">
        <v>137</v>
      </c>
      <c r="V5" s="39"/>
    </row>
    <row r="6" spans="1:22" s="7" customFormat="1" ht="71.25">
      <c r="A6" s="60">
        <v>46176</v>
      </c>
      <c r="B6" s="18" t="s">
        <v>130</v>
      </c>
      <c r="C6" s="6" t="s">
        <v>151</v>
      </c>
      <c r="D6" s="6" t="s">
        <v>152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153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8" t="s">
        <v>154</v>
      </c>
      <c r="P6" s="48" t="s">
        <v>155</v>
      </c>
      <c r="Q6" s="48" t="s">
        <v>156</v>
      </c>
      <c r="R6" s="43">
        <v>455800</v>
      </c>
      <c r="S6" s="43">
        <v>466728</v>
      </c>
      <c r="T6" s="44">
        <v>46180.896527777775</v>
      </c>
      <c r="U6" s="39" t="s">
        <v>137</v>
      </c>
      <c r="V6" s="39"/>
    </row>
    <row r="7" spans="1:22" s="7" customFormat="1" ht="71.25">
      <c r="A7" s="61">
        <v>46177</v>
      </c>
      <c r="B7" s="49" t="s">
        <v>130</v>
      </c>
      <c r="C7" s="50" t="s">
        <v>157</v>
      </c>
      <c r="D7" s="50" t="s">
        <v>139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Segments</v>
      </c>
      <c r="F7" s="51" t="s">
        <v>153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0</v>
      </c>
      <c r="N7" s="52" t="b">
        <v>1</v>
      </c>
      <c r="O7" s="53" t="s">
        <v>158</v>
      </c>
      <c r="P7" s="53" t="s">
        <v>159</v>
      </c>
      <c r="Q7" s="53" t="s">
        <v>160</v>
      </c>
      <c r="R7" s="54"/>
      <c r="S7" s="54"/>
      <c r="T7" s="55">
        <v>46180.896620370368</v>
      </c>
      <c r="U7" s="51" t="s">
        <v>137</v>
      </c>
      <c r="V7" s="51" t="s">
        <v>161</v>
      </c>
    </row>
    <row r="8" spans="1:22" s="7" customFormat="1" ht="71.25">
      <c r="A8" s="60">
        <v>46178</v>
      </c>
      <c r="B8" s="18">
        <v>0.33333333333333331</v>
      </c>
      <c r="C8" s="6" t="s">
        <v>162</v>
      </c>
      <c r="D8" s="6" t="s">
        <v>132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133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8" t="s">
        <v>163</v>
      </c>
      <c r="P8" s="48" t="s">
        <v>164</v>
      </c>
      <c r="Q8" s="48" t="s">
        <v>165</v>
      </c>
      <c r="R8" s="43"/>
      <c r="S8" s="43"/>
      <c r="T8" s="44">
        <v>46180.896539351852</v>
      </c>
      <c r="U8" s="39" t="s">
        <v>137</v>
      </c>
      <c r="V8" s="39"/>
    </row>
    <row r="9" spans="1:22" s="7" customFormat="1" ht="71.25">
      <c r="A9" s="60">
        <v>46178</v>
      </c>
      <c r="B9" s="18">
        <v>0.375</v>
      </c>
      <c r="C9" s="6" t="s">
        <v>166</v>
      </c>
      <c r="D9" s="6" t="s">
        <v>132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133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8" t="s">
        <v>167</v>
      </c>
      <c r="P9" s="48" t="s">
        <v>168</v>
      </c>
      <c r="Q9" s="48" t="s">
        <v>169</v>
      </c>
      <c r="R9" s="43">
        <v>202658</v>
      </c>
      <c r="S9" s="43">
        <v>205619</v>
      </c>
      <c r="T9" s="44"/>
      <c r="U9" s="39"/>
      <c r="V9" s="39"/>
    </row>
    <row r="10" spans="1:22" s="7" customFormat="1" ht="71.25">
      <c r="A10" s="60">
        <v>46178</v>
      </c>
      <c r="B10" s="18">
        <v>0.41666666666666669</v>
      </c>
      <c r="C10" s="6" t="s">
        <v>170</v>
      </c>
      <c r="D10" s="6" t="s">
        <v>132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133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8" t="s">
        <v>171</v>
      </c>
      <c r="P10" s="48" t="s">
        <v>172</v>
      </c>
      <c r="Q10" s="48" t="s">
        <v>173</v>
      </c>
      <c r="R10" s="43">
        <v>904918</v>
      </c>
      <c r="S10" s="43">
        <v>880888</v>
      </c>
      <c r="T10" s="44"/>
      <c r="U10" s="39"/>
      <c r="V10" s="39"/>
    </row>
    <row r="11" spans="1:22" s="7" customFormat="1" ht="71.25">
      <c r="A11" s="60">
        <v>46179</v>
      </c>
      <c r="B11" s="18">
        <v>0.91666666666666663</v>
      </c>
      <c r="C11" s="6" t="s">
        <v>174</v>
      </c>
      <c r="D11" s="6" t="s">
        <v>175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153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8" t="s">
        <v>176</v>
      </c>
      <c r="P11" s="48" t="s">
        <v>177</v>
      </c>
      <c r="Q11" s="48" t="s">
        <v>178</v>
      </c>
      <c r="R11" s="43">
        <v>244728</v>
      </c>
      <c r="S11" s="43">
        <v>211870</v>
      </c>
      <c r="T11" s="44">
        <v>46180.899062500001</v>
      </c>
      <c r="U11" s="39" t="s">
        <v>137</v>
      </c>
      <c r="V11" s="39"/>
    </row>
    <row r="12" spans="1:22" s="7" customFormat="1" ht="71.25">
      <c r="A12" s="60">
        <v>46180</v>
      </c>
      <c r="B12" s="18" t="s">
        <v>130</v>
      </c>
      <c r="C12" s="6" t="s">
        <v>179</v>
      </c>
      <c r="D12" s="6" t="s">
        <v>180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133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8" t="s">
        <v>181</v>
      </c>
      <c r="P12" s="48" t="s">
        <v>182</v>
      </c>
      <c r="Q12" s="48" t="s">
        <v>183</v>
      </c>
      <c r="R12" s="43">
        <v>24502</v>
      </c>
      <c r="S12" s="43">
        <v>22703</v>
      </c>
      <c r="T12" s="44">
        <v>46180.898344907408</v>
      </c>
      <c r="U12" s="39" t="s">
        <v>137</v>
      </c>
      <c r="V12" s="39"/>
    </row>
    <row r="13" spans="1:22" s="7" customFormat="1" ht="15.75">
      <c r="A13" s="60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137</v>
      </c>
      <c r="V13" s="39"/>
    </row>
    <row r="14" spans="1:22" ht="15.75">
      <c r="A14" s="60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60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60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60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60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60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60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60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60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60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60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60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60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60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60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60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60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60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60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60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60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60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60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60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60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60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60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60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60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60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60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60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60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60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60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60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60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60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60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60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60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60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60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60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60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60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60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60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60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60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60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60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60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60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60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60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60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60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60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60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60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60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60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60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60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60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60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60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60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60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60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60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60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60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60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60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60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60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60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60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60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60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60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60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60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60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60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60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60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60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60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60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60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60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60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60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60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60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60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60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60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60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60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60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60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60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60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60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60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60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60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60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60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60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60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60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60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60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60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60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60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60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60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60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60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60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60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60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60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60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60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60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60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60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60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60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60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60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60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60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60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60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60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60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60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60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60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60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60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60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60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60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60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60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60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60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60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60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60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60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60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60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60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60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60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60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60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60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60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60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60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60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60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60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60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60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60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60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60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60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60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60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60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60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60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60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60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60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60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60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60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60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62"/>
    </row>
    <row r="207" spans="1:22">
      <c r="A207" s="62"/>
    </row>
    <row r="208" spans="1:22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F2:F205 O2:V205 A2:D205">
    <cfRule type="expression" dxfId="101" priority="67">
      <formula>#REF!="Critical"</formula>
    </cfRule>
    <cfRule type="expression" dxfId="100" priority="68">
      <formula>#REF!="High Risk"</formula>
    </cfRule>
    <cfRule type="expression" dxfId="99" priority="69">
      <formula>#REF!="At Risk"</formula>
    </cfRule>
    <cfRule type="expression" dxfId="98" priority="70">
      <formula>#REF!="Blocked"</formula>
    </cfRule>
    <cfRule type="expression" dxfId="97" priority="71">
      <formula>#REF!="Ready"</formula>
    </cfRule>
    <cfRule type="expression" dxfId="96" priority="72">
      <formula>#REF!="Complete"</formula>
    </cfRule>
  </conditionalFormatting>
  <conditionalFormatting sqref="E2:E205">
    <cfRule type="containsText" dxfId="95" priority="73" stopIfTrue="1" operator="containsText" text="Checked:">
      <formula>NOT(ISERROR(SEARCH("Checked:",E2)))</formula>
    </cfRule>
    <cfRule type="cellIs" dxfId="94" priority="74" stopIfTrue="1" operator="equal">
      <formula>"No checklist items checked"</formula>
    </cfRule>
    <cfRule type="cellIs" dxfId="93" priority="75" stopIfTrue="1" operator="equal">
      <formula>"Sent"</formula>
    </cfRule>
    <cfRule type="cellIs" dxfId="92" priority="76" stopIfTrue="1" operator="equal">
      <formula>"Scheduled"</formula>
    </cfRule>
    <cfRule type="cellIs" dxfId="91" priority="77" stopIfTrue="1" operator="equal">
      <formula>"Ready to Schedule"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tabSelected="1" zoomScale="85" zoomScaleNormal="85" workbookViewId="0">
      <selection activeCell="L13" sqref="L13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25.625" style="5" customWidth="1"/>
    <col min="16" max="16" width="20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91</v>
      </c>
      <c r="B1" s="6" t="s">
        <v>112</v>
      </c>
      <c r="C1" s="6" t="s">
        <v>113</v>
      </c>
      <c r="D1" s="6" t="s">
        <v>114</v>
      </c>
      <c r="E1" s="6" t="s">
        <v>115</v>
      </c>
      <c r="F1" s="6" t="s">
        <v>97</v>
      </c>
      <c r="G1" s="6" t="s">
        <v>184</v>
      </c>
      <c r="H1" s="6" t="s">
        <v>185</v>
      </c>
      <c r="I1" s="6" t="s">
        <v>98</v>
      </c>
      <c r="J1" s="6" t="s">
        <v>99</v>
      </c>
      <c r="K1" s="6" t="s">
        <v>285</v>
      </c>
      <c r="L1" s="6" t="s">
        <v>124</v>
      </c>
      <c r="M1" s="6" t="s">
        <v>125</v>
      </c>
      <c r="N1" s="6" t="s">
        <v>126</v>
      </c>
      <c r="O1" s="6" t="s">
        <v>127</v>
      </c>
      <c r="P1" s="6" t="s">
        <v>128</v>
      </c>
      <c r="Q1" s="6" t="s">
        <v>129</v>
      </c>
    </row>
    <row r="2" spans="1:17" s="7" customFormat="1" ht="99.75">
      <c r="A2" s="60">
        <v>46174</v>
      </c>
      <c r="B2" s="18">
        <v>0.45833333333333331</v>
      </c>
      <c r="C2" s="6" t="s">
        <v>186</v>
      </c>
      <c r="D2" s="6" t="s">
        <v>152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133</v>
      </c>
      <c r="G2" s="40" t="b">
        <v>1</v>
      </c>
      <c r="H2" s="40" t="b">
        <v>1</v>
      </c>
      <c r="I2" s="40" t="b">
        <v>1</v>
      </c>
      <c r="J2" s="40" t="b">
        <v>1</v>
      </c>
      <c r="K2" s="6"/>
      <c r="L2" s="69" t="s">
        <v>187</v>
      </c>
      <c r="M2" s="43">
        <v>64277</v>
      </c>
      <c r="N2" s="43">
        <v>63900</v>
      </c>
      <c r="O2" s="41">
        <v>46181.003645833334</v>
      </c>
      <c r="P2" s="39" t="s">
        <v>188</v>
      </c>
      <c r="Q2" s="39"/>
    </row>
    <row r="3" spans="1:17" s="7" customFormat="1">
      <c r="A3" s="60">
        <v>46178</v>
      </c>
      <c r="B3" s="18">
        <v>0.45833333333333331</v>
      </c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" s="39"/>
      <c r="G3" s="40" t="b">
        <v>0</v>
      </c>
      <c r="H3" s="40" t="b">
        <v>0</v>
      </c>
      <c r="I3" s="40" t="b">
        <v>0</v>
      </c>
      <c r="J3" s="40" t="b">
        <v>0</v>
      </c>
      <c r="K3" s="6"/>
      <c r="L3" s="6"/>
      <c r="M3" s="6"/>
      <c r="N3" s="6"/>
      <c r="O3" s="41">
        <v>46181.003645833334</v>
      </c>
      <c r="P3" s="39" t="s">
        <v>188</v>
      </c>
      <c r="Q3" s="39"/>
    </row>
    <row r="4" spans="1:17" s="7" customFormat="1">
      <c r="A4" s="60">
        <v>46178</v>
      </c>
      <c r="B4" s="18">
        <v>0.65625</v>
      </c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" s="39"/>
      <c r="G4" s="40" t="b">
        <v>0</v>
      </c>
      <c r="H4" s="40" t="b">
        <v>0</v>
      </c>
      <c r="I4" s="40" t="b">
        <v>0</v>
      </c>
      <c r="J4" s="40" t="b">
        <v>0</v>
      </c>
      <c r="K4" s="6"/>
      <c r="L4" s="6"/>
      <c r="M4" s="6"/>
      <c r="N4" s="6"/>
      <c r="O4" s="41">
        <v>46181.003645833334</v>
      </c>
      <c r="P4" s="39" t="s">
        <v>188</v>
      </c>
      <c r="Q4" s="39"/>
    </row>
    <row r="5" spans="1:17" s="7" customFormat="1">
      <c r="A5" s="60"/>
      <c r="B5" s="18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" s="39"/>
      <c r="G5" s="40" t="b">
        <v>0</v>
      </c>
      <c r="H5" s="40" t="b">
        <v>0</v>
      </c>
      <c r="I5" s="40" t="b">
        <v>0</v>
      </c>
      <c r="J5" s="40" t="b">
        <v>0</v>
      </c>
      <c r="K5" s="6"/>
      <c r="L5" s="6"/>
      <c r="M5" s="6"/>
      <c r="N5" s="6"/>
      <c r="O5" s="41">
        <v>46181.003645833334</v>
      </c>
      <c r="P5" s="39" t="s">
        <v>188</v>
      </c>
      <c r="Q5" s="39"/>
    </row>
    <row r="6" spans="1:17" s="7" customFormat="1">
      <c r="A6" s="60"/>
      <c r="B6" s="18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" s="39"/>
      <c r="G6" s="40" t="b">
        <v>0</v>
      </c>
      <c r="H6" s="40" t="b">
        <v>0</v>
      </c>
      <c r="I6" s="40" t="b">
        <v>0</v>
      </c>
      <c r="J6" s="40" t="b">
        <v>0</v>
      </c>
      <c r="K6" s="6"/>
      <c r="L6" s="6"/>
      <c r="M6" s="6"/>
      <c r="N6" s="6"/>
      <c r="O6" s="41">
        <v>46181.003645833334</v>
      </c>
      <c r="P6" s="39" t="s">
        <v>188</v>
      </c>
      <c r="Q6" s="39"/>
    </row>
    <row r="7" spans="1:17" s="7" customFormat="1">
      <c r="A7" s="60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188</v>
      </c>
      <c r="Q7" s="39"/>
    </row>
    <row r="8" spans="1:17" s="7" customFormat="1">
      <c r="A8" s="60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188</v>
      </c>
      <c r="Q8" s="39"/>
    </row>
    <row r="9" spans="1:17" s="7" customFormat="1">
      <c r="A9" s="60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188</v>
      </c>
      <c r="Q9" s="39"/>
    </row>
    <row r="10" spans="1:17" s="7" customFormat="1">
      <c r="A10" s="60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188</v>
      </c>
      <c r="Q10" s="39"/>
    </row>
    <row r="11" spans="1:17" s="7" customFormat="1">
      <c r="A11" s="60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188</v>
      </c>
      <c r="Q11" s="39"/>
    </row>
    <row r="12" spans="1:17" s="7" customFormat="1">
      <c r="A12" s="60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188</v>
      </c>
      <c r="Q12" s="39"/>
    </row>
    <row r="13" spans="1:17" s="7" customFormat="1">
      <c r="A13" s="60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188</v>
      </c>
      <c r="Q13" s="39"/>
    </row>
    <row r="14" spans="1:17" s="7" customFormat="1">
      <c r="A14" s="60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188</v>
      </c>
      <c r="Q14" s="39"/>
    </row>
    <row r="15" spans="1:17" s="7" customFormat="1">
      <c r="A15" s="60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188</v>
      </c>
      <c r="Q15" s="39"/>
    </row>
    <row r="16" spans="1:17" s="7" customFormat="1">
      <c r="A16" s="60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188</v>
      </c>
      <c r="Q16" s="39"/>
    </row>
    <row r="17" spans="1:17" s="7" customFormat="1">
      <c r="A17" s="60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188</v>
      </c>
      <c r="Q17" s="39"/>
    </row>
    <row r="18" spans="1:17" s="7" customFormat="1">
      <c r="A18" s="60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188</v>
      </c>
      <c r="Q18" s="39"/>
    </row>
    <row r="19" spans="1:17" s="7" customFormat="1">
      <c r="A19" s="60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188</v>
      </c>
      <c r="Q19" s="39"/>
    </row>
    <row r="20" spans="1:17" s="7" customFormat="1">
      <c r="A20" s="60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188</v>
      </c>
      <c r="Q20" s="39"/>
    </row>
    <row r="21" spans="1:17" s="7" customFormat="1">
      <c r="A21" s="60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188</v>
      </c>
      <c r="Q21" s="39"/>
    </row>
    <row r="22" spans="1:17" s="7" customFormat="1">
      <c r="A22" s="60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188</v>
      </c>
      <c r="Q22" s="39"/>
    </row>
    <row r="23" spans="1:17" s="7" customFormat="1">
      <c r="A23" s="60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188</v>
      </c>
      <c r="Q23" s="39"/>
    </row>
    <row r="24" spans="1:17" s="7" customFormat="1">
      <c r="A24" s="60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188</v>
      </c>
      <c r="Q24" s="39"/>
    </row>
    <row r="25" spans="1:17" s="7" customFormat="1">
      <c r="A25" s="60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188</v>
      </c>
      <c r="Q25" s="39"/>
    </row>
    <row r="26" spans="1:17" s="7" customFormat="1">
      <c r="A26" s="60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188</v>
      </c>
      <c r="Q26" s="39"/>
    </row>
    <row r="27" spans="1:17" s="7" customFormat="1">
      <c r="A27" s="60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188</v>
      </c>
      <c r="Q27" s="39"/>
    </row>
    <row r="28" spans="1:17" s="7" customFormat="1">
      <c r="A28" s="60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188</v>
      </c>
      <c r="Q28" s="39"/>
    </row>
    <row r="29" spans="1:17" s="7" customFormat="1">
      <c r="A29" s="60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188</v>
      </c>
      <c r="Q29" s="39"/>
    </row>
    <row r="30" spans="1:17" s="7" customFormat="1">
      <c r="A30" s="60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188</v>
      </c>
      <c r="Q30" s="39"/>
    </row>
    <row r="31" spans="1:17" s="7" customFormat="1">
      <c r="A31" s="60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188</v>
      </c>
      <c r="Q31" s="39"/>
    </row>
    <row r="32" spans="1:17" s="7" customFormat="1">
      <c r="A32" s="60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188</v>
      </c>
      <c r="Q32" s="39"/>
    </row>
    <row r="33" spans="1:17" s="7" customFormat="1">
      <c r="A33" s="60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188</v>
      </c>
      <c r="Q33" s="39"/>
    </row>
    <row r="34" spans="1:17" s="7" customFormat="1">
      <c r="A34" s="60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188</v>
      </c>
      <c r="Q34" s="39"/>
    </row>
    <row r="35" spans="1:17" s="7" customFormat="1">
      <c r="A35" s="60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188</v>
      </c>
      <c r="Q35" s="39"/>
    </row>
    <row r="36" spans="1:17" s="7" customFormat="1">
      <c r="A36" s="60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188</v>
      </c>
      <c r="Q36" s="39"/>
    </row>
    <row r="37" spans="1:17" s="7" customFormat="1">
      <c r="A37" s="60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188</v>
      </c>
      <c r="Q37" s="39"/>
    </row>
    <row r="38" spans="1:17" s="7" customFormat="1">
      <c r="A38" s="60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188</v>
      </c>
      <c r="Q38" s="39"/>
    </row>
    <row r="39" spans="1:17" s="7" customFormat="1">
      <c r="A39" s="60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188</v>
      </c>
      <c r="Q39" s="39"/>
    </row>
    <row r="40" spans="1:17" s="7" customFormat="1">
      <c r="A40" s="60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188</v>
      </c>
      <c r="Q40" s="39"/>
    </row>
    <row r="41" spans="1:17" s="7" customFormat="1">
      <c r="A41" s="60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188</v>
      </c>
      <c r="Q41" s="39"/>
    </row>
    <row r="42" spans="1:17" s="7" customFormat="1">
      <c r="A42" s="60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188</v>
      </c>
      <c r="Q42" s="39"/>
    </row>
    <row r="43" spans="1:17" s="7" customFormat="1">
      <c r="A43" s="60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188</v>
      </c>
      <c r="Q43" s="39"/>
    </row>
    <row r="44" spans="1:17" s="7" customFormat="1">
      <c r="A44" s="60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188</v>
      </c>
      <c r="Q44" s="39"/>
    </row>
    <row r="45" spans="1:17" s="7" customFormat="1">
      <c r="A45" s="60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188</v>
      </c>
      <c r="Q45" s="39"/>
    </row>
    <row r="46" spans="1:17" s="7" customFormat="1">
      <c r="A46" s="60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188</v>
      </c>
      <c r="Q46" s="39"/>
    </row>
    <row r="47" spans="1:17" s="7" customFormat="1">
      <c r="A47" s="60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188</v>
      </c>
      <c r="Q47" s="39"/>
    </row>
    <row r="48" spans="1:17" s="7" customFormat="1">
      <c r="A48" s="60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188</v>
      </c>
      <c r="Q48" s="39"/>
    </row>
    <row r="49" spans="1:17" s="7" customFormat="1">
      <c r="A49" s="60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188</v>
      </c>
      <c r="Q49" s="39"/>
    </row>
    <row r="50" spans="1:17" s="7" customFormat="1">
      <c r="A50" s="60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188</v>
      </c>
      <c r="Q50" s="39"/>
    </row>
    <row r="51" spans="1:17" s="7" customFormat="1">
      <c r="A51" s="60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188</v>
      </c>
      <c r="Q51" s="39"/>
    </row>
    <row r="52" spans="1:17" s="7" customFormat="1">
      <c r="A52" s="60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188</v>
      </c>
      <c r="Q52" s="39"/>
    </row>
    <row r="53" spans="1:17" s="7" customFormat="1">
      <c r="A53" s="60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188</v>
      </c>
      <c r="Q53" s="39"/>
    </row>
    <row r="54" spans="1:17" s="7" customFormat="1">
      <c r="A54" s="60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188</v>
      </c>
      <c r="Q54" s="39"/>
    </row>
    <row r="55" spans="1:17" s="7" customFormat="1">
      <c r="A55" s="60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188</v>
      </c>
      <c r="Q55" s="39"/>
    </row>
    <row r="56" spans="1:17" s="7" customFormat="1">
      <c r="A56" s="60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188</v>
      </c>
      <c r="Q56" s="39"/>
    </row>
    <row r="57" spans="1:17" s="7" customFormat="1">
      <c r="A57" s="60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188</v>
      </c>
      <c r="Q57" s="39"/>
    </row>
    <row r="58" spans="1:17" s="7" customFormat="1">
      <c r="A58" s="60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188</v>
      </c>
      <c r="Q58" s="39"/>
    </row>
    <row r="59" spans="1:17" s="7" customFormat="1">
      <c r="A59" s="60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188</v>
      </c>
      <c r="Q59" s="39"/>
    </row>
    <row r="60" spans="1:17" s="7" customFormat="1">
      <c r="A60" s="60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188</v>
      </c>
      <c r="Q60" s="39"/>
    </row>
    <row r="61" spans="1:17" s="7" customFormat="1">
      <c r="A61" s="60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188</v>
      </c>
      <c r="Q61" s="39"/>
    </row>
    <row r="62" spans="1:17" s="7" customFormat="1">
      <c r="A62" s="60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188</v>
      </c>
      <c r="Q62" s="39"/>
    </row>
    <row r="63" spans="1:17" s="7" customFormat="1">
      <c r="A63" s="60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188</v>
      </c>
      <c r="Q63" s="39"/>
    </row>
    <row r="64" spans="1:17" s="7" customFormat="1">
      <c r="A64" s="60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188</v>
      </c>
      <c r="Q64" s="39"/>
    </row>
    <row r="65" spans="1:17" s="7" customFormat="1">
      <c r="A65" s="60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188</v>
      </c>
      <c r="Q65" s="39"/>
    </row>
    <row r="66" spans="1:17" s="7" customFormat="1">
      <c r="A66" s="60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188</v>
      </c>
      <c r="Q66" s="39"/>
    </row>
    <row r="67" spans="1:17" s="7" customFormat="1">
      <c r="A67" s="60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188</v>
      </c>
      <c r="Q67" s="39"/>
    </row>
    <row r="68" spans="1:17" s="7" customFormat="1">
      <c r="A68" s="60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188</v>
      </c>
      <c r="Q68" s="39"/>
    </row>
    <row r="69" spans="1:17" s="7" customFormat="1">
      <c r="A69" s="60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188</v>
      </c>
      <c r="Q69" s="39"/>
    </row>
    <row r="70" spans="1:17" s="7" customFormat="1">
      <c r="A70" s="60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188</v>
      </c>
      <c r="Q70" s="39"/>
    </row>
    <row r="71" spans="1:17" s="7" customFormat="1">
      <c r="A71" s="60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188</v>
      </c>
      <c r="Q71" s="39"/>
    </row>
    <row r="72" spans="1:17" s="7" customFormat="1">
      <c r="A72" s="60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188</v>
      </c>
      <c r="Q72" s="39"/>
    </row>
    <row r="73" spans="1:17" s="7" customFormat="1">
      <c r="A73" s="60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188</v>
      </c>
      <c r="Q73" s="39"/>
    </row>
    <row r="74" spans="1:17" s="7" customFormat="1">
      <c r="A74" s="60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188</v>
      </c>
      <c r="Q74" s="39"/>
    </row>
    <row r="75" spans="1:17" s="7" customFormat="1">
      <c r="A75" s="60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188</v>
      </c>
      <c r="Q75" s="39"/>
    </row>
    <row r="76" spans="1:17" s="7" customFormat="1">
      <c r="A76" s="60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188</v>
      </c>
      <c r="Q76" s="39"/>
    </row>
    <row r="77" spans="1:17" s="7" customFormat="1">
      <c r="A77" s="60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188</v>
      </c>
      <c r="Q77" s="39"/>
    </row>
    <row r="78" spans="1:17" s="7" customFormat="1">
      <c r="A78" s="60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188</v>
      </c>
      <c r="Q78" s="39"/>
    </row>
    <row r="79" spans="1:17" s="7" customFormat="1">
      <c r="A79" s="60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188</v>
      </c>
      <c r="Q79" s="39"/>
    </row>
    <row r="80" spans="1:17" s="7" customFormat="1">
      <c r="A80" s="60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188</v>
      </c>
      <c r="Q80" s="39"/>
    </row>
    <row r="81" spans="1:17" s="7" customFormat="1">
      <c r="A81" s="60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188</v>
      </c>
      <c r="Q81" s="39"/>
    </row>
    <row r="82" spans="1:17" s="7" customFormat="1">
      <c r="A82" s="60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188</v>
      </c>
      <c r="Q82" s="39"/>
    </row>
    <row r="83" spans="1:17" s="7" customFormat="1">
      <c r="A83" s="60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188</v>
      </c>
      <c r="Q83" s="39"/>
    </row>
    <row r="84" spans="1:17" s="7" customFormat="1">
      <c r="A84" s="60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188</v>
      </c>
      <c r="Q84" s="39"/>
    </row>
    <row r="85" spans="1:17" s="7" customFormat="1">
      <c r="A85" s="60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188</v>
      </c>
      <c r="Q85" s="39"/>
    </row>
    <row r="86" spans="1:17" s="7" customFormat="1">
      <c r="A86" s="60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188</v>
      </c>
      <c r="Q86" s="39"/>
    </row>
    <row r="87" spans="1:17" s="7" customFormat="1">
      <c r="A87" s="60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188</v>
      </c>
      <c r="Q87" s="39"/>
    </row>
    <row r="88" spans="1:17" s="7" customFormat="1">
      <c r="A88" s="60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188</v>
      </c>
      <c r="Q88" s="39"/>
    </row>
    <row r="89" spans="1:17" s="7" customFormat="1">
      <c r="A89" s="60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188</v>
      </c>
      <c r="Q89" s="39"/>
    </row>
    <row r="90" spans="1:17" s="7" customFormat="1">
      <c r="A90" s="60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188</v>
      </c>
      <c r="Q90" s="39"/>
    </row>
    <row r="91" spans="1:17" s="7" customFormat="1">
      <c r="A91" s="60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188</v>
      </c>
      <c r="Q91" s="39"/>
    </row>
    <row r="92" spans="1:17" s="7" customFormat="1">
      <c r="A92" s="60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188</v>
      </c>
      <c r="Q92" s="39"/>
    </row>
    <row r="93" spans="1:17" s="7" customFormat="1">
      <c r="A93" s="60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188</v>
      </c>
      <c r="Q93" s="39"/>
    </row>
    <row r="94" spans="1:17" s="7" customFormat="1">
      <c r="A94" s="60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188</v>
      </c>
      <c r="Q94" s="39"/>
    </row>
    <row r="95" spans="1:17" s="7" customFormat="1">
      <c r="A95" s="60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188</v>
      </c>
      <c r="Q95" s="39"/>
    </row>
    <row r="96" spans="1:17" s="7" customFormat="1">
      <c r="A96" s="60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188</v>
      </c>
      <c r="Q96" s="39"/>
    </row>
    <row r="97" spans="1:17" s="7" customFormat="1">
      <c r="A97" s="60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188</v>
      </c>
      <c r="Q97" s="39"/>
    </row>
    <row r="98" spans="1:17" s="7" customFormat="1">
      <c r="A98" s="60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188</v>
      </c>
      <c r="Q98" s="39"/>
    </row>
    <row r="99" spans="1:17" s="7" customFormat="1">
      <c r="A99" s="60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188</v>
      </c>
      <c r="Q99" s="39"/>
    </row>
    <row r="100" spans="1:17" s="7" customFormat="1">
      <c r="A100" s="60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188</v>
      </c>
      <c r="Q100" s="39"/>
    </row>
    <row r="101" spans="1:17" s="7" customFormat="1">
      <c r="A101" s="60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188</v>
      </c>
      <c r="Q101" s="39"/>
    </row>
    <row r="102" spans="1:17" s="7" customFormat="1">
      <c r="A102" s="60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188</v>
      </c>
      <c r="Q102" s="39"/>
    </row>
    <row r="103" spans="1:17" s="7" customFormat="1">
      <c r="A103" s="60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188</v>
      </c>
      <c r="Q103" s="39"/>
    </row>
    <row r="104" spans="1:17" s="7" customFormat="1">
      <c r="A104" s="60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188</v>
      </c>
      <c r="Q104" s="39"/>
    </row>
    <row r="105" spans="1:17" s="7" customFormat="1">
      <c r="A105" s="60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188</v>
      </c>
      <c r="Q105" s="39"/>
    </row>
    <row r="106" spans="1:17" s="7" customFormat="1">
      <c r="A106" s="60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188</v>
      </c>
      <c r="Q106" s="39"/>
    </row>
    <row r="107" spans="1:17" s="7" customFormat="1">
      <c r="A107" s="60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188</v>
      </c>
      <c r="Q107" s="39"/>
    </row>
    <row r="108" spans="1:17" s="7" customFormat="1">
      <c r="A108" s="60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188</v>
      </c>
      <c r="Q108" s="39"/>
    </row>
    <row r="109" spans="1:17" s="7" customFormat="1">
      <c r="A109" s="60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188</v>
      </c>
      <c r="Q109" s="39"/>
    </row>
    <row r="110" spans="1:17" s="7" customFormat="1">
      <c r="A110" s="60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188</v>
      </c>
      <c r="Q110" s="39"/>
    </row>
    <row r="111" spans="1:17" s="7" customFormat="1">
      <c r="A111" s="60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188</v>
      </c>
      <c r="Q111" s="39"/>
    </row>
    <row r="112" spans="1:17" s="7" customFormat="1">
      <c r="A112" s="60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188</v>
      </c>
      <c r="Q112" s="39"/>
    </row>
    <row r="113" spans="1:17" s="7" customFormat="1">
      <c r="A113" s="60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188</v>
      </c>
      <c r="Q113" s="39"/>
    </row>
    <row r="114" spans="1:17" s="7" customFormat="1">
      <c r="A114" s="60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188</v>
      </c>
      <c r="Q114" s="39"/>
    </row>
    <row r="115" spans="1:17" s="7" customFormat="1">
      <c r="A115" s="60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188</v>
      </c>
      <c r="Q115" s="39"/>
    </row>
    <row r="116" spans="1:17" s="7" customFormat="1">
      <c r="A116" s="60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188</v>
      </c>
      <c r="Q116" s="39"/>
    </row>
    <row r="117" spans="1:17" s="7" customFormat="1">
      <c r="A117" s="60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188</v>
      </c>
      <c r="Q117" s="39"/>
    </row>
    <row r="118" spans="1:17" s="7" customFormat="1">
      <c r="A118" s="60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188</v>
      </c>
      <c r="Q118" s="39"/>
    </row>
    <row r="119" spans="1:17" s="7" customFormat="1">
      <c r="A119" s="60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188</v>
      </c>
      <c r="Q119" s="39"/>
    </row>
    <row r="120" spans="1:17" s="7" customFormat="1">
      <c r="A120" s="60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188</v>
      </c>
      <c r="Q120" s="39"/>
    </row>
    <row r="121" spans="1:17" s="7" customFormat="1">
      <c r="A121" s="60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188</v>
      </c>
      <c r="Q121" s="39"/>
    </row>
    <row r="122" spans="1:17" s="7" customFormat="1">
      <c r="A122" s="60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188</v>
      </c>
      <c r="Q122" s="39"/>
    </row>
    <row r="123" spans="1:17" s="7" customFormat="1">
      <c r="A123" s="60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188</v>
      </c>
      <c r="Q123" s="39"/>
    </row>
    <row r="124" spans="1:17" s="7" customFormat="1">
      <c r="A124" s="60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188</v>
      </c>
      <c r="Q124" s="39"/>
    </row>
    <row r="125" spans="1:17" s="7" customFormat="1">
      <c r="A125" s="60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188</v>
      </c>
      <c r="Q125" s="39"/>
    </row>
    <row r="126" spans="1:17" s="7" customFormat="1">
      <c r="A126" s="60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188</v>
      </c>
      <c r="Q126" s="39"/>
    </row>
    <row r="127" spans="1:17" s="7" customFormat="1">
      <c r="A127" s="60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188</v>
      </c>
      <c r="Q127" s="39"/>
    </row>
    <row r="128" spans="1:17" s="7" customFormat="1">
      <c r="A128" s="60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188</v>
      </c>
      <c r="Q128" s="39"/>
    </row>
    <row r="129" spans="1:17" s="7" customFormat="1">
      <c r="A129" s="60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188</v>
      </c>
      <c r="Q129" s="39"/>
    </row>
    <row r="130" spans="1:17" s="7" customFormat="1">
      <c r="A130" s="60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188</v>
      </c>
      <c r="Q130" s="39"/>
    </row>
    <row r="131" spans="1:17" s="7" customFormat="1">
      <c r="A131" s="60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188</v>
      </c>
      <c r="Q131" s="39"/>
    </row>
    <row r="132" spans="1:17" s="7" customFormat="1">
      <c r="A132" s="60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188</v>
      </c>
      <c r="Q132" s="39"/>
    </row>
    <row r="133" spans="1:17" s="7" customFormat="1">
      <c r="A133" s="60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188</v>
      </c>
      <c r="Q133" s="39"/>
    </row>
    <row r="134" spans="1:17" s="7" customFormat="1">
      <c r="A134" s="60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188</v>
      </c>
      <c r="Q134" s="39"/>
    </row>
    <row r="135" spans="1:17" s="7" customFormat="1">
      <c r="A135" s="60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188</v>
      </c>
      <c r="Q135" s="39"/>
    </row>
    <row r="136" spans="1:17" s="7" customFormat="1">
      <c r="A136" s="60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188</v>
      </c>
      <c r="Q136" s="39"/>
    </row>
    <row r="137" spans="1:17" s="7" customFormat="1">
      <c r="A137" s="60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188</v>
      </c>
      <c r="Q137" s="39"/>
    </row>
    <row r="138" spans="1:17" s="7" customFormat="1">
      <c r="A138" s="60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188</v>
      </c>
      <c r="Q138" s="39"/>
    </row>
    <row r="139" spans="1:17" s="7" customFormat="1">
      <c r="A139" s="60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188</v>
      </c>
      <c r="Q139" s="39"/>
    </row>
    <row r="140" spans="1:17" s="7" customFormat="1">
      <c r="A140" s="60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188</v>
      </c>
      <c r="Q140" s="39"/>
    </row>
    <row r="141" spans="1:17" s="7" customFormat="1">
      <c r="A141" s="60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188</v>
      </c>
      <c r="Q141" s="39"/>
    </row>
    <row r="142" spans="1:17" s="7" customFormat="1">
      <c r="A142" s="60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188</v>
      </c>
      <c r="Q142" s="39"/>
    </row>
    <row r="143" spans="1:17" s="7" customFormat="1">
      <c r="A143" s="60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188</v>
      </c>
      <c r="Q143" s="39"/>
    </row>
    <row r="144" spans="1:17" s="7" customFormat="1">
      <c r="A144" s="60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188</v>
      </c>
      <c r="Q144" s="39"/>
    </row>
    <row r="145" spans="1:17" s="7" customFormat="1">
      <c r="A145" s="60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188</v>
      </c>
      <c r="Q145" s="39"/>
    </row>
    <row r="146" spans="1:17" s="7" customFormat="1">
      <c r="A146" s="60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188</v>
      </c>
      <c r="Q146" s="39"/>
    </row>
    <row r="147" spans="1:17" s="7" customFormat="1">
      <c r="A147" s="60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188</v>
      </c>
      <c r="Q147" s="39"/>
    </row>
    <row r="148" spans="1:17" s="7" customFormat="1">
      <c r="A148" s="60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188</v>
      </c>
      <c r="Q148" s="39"/>
    </row>
    <row r="149" spans="1:17" s="7" customFormat="1">
      <c r="A149" s="60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188</v>
      </c>
      <c r="Q149" s="39"/>
    </row>
    <row r="150" spans="1:17" s="7" customFormat="1">
      <c r="A150" s="60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188</v>
      </c>
      <c r="Q150" s="39"/>
    </row>
    <row r="151" spans="1:17" s="7" customFormat="1">
      <c r="A151" s="60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188</v>
      </c>
      <c r="Q151" s="39"/>
    </row>
    <row r="152" spans="1:17" s="7" customFormat="1">
      <c r="A152" s="60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188</v>
      </c>
      <c r="Q152" s="39"/>
    </row>
    <row r="153" spans="1:17" s="7" customFormat="1">
      <c r="A153" s="60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188</v>
      </c>
      <c r="Q153" s="39"/>
    </row>
    <row r="154" spans="1:17" s="7" customFormat="1">
      <c r="A154" s="60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188</v>
      </c>
      <c r="Q154" s="39"/>
    </row>
    <row r="155" spans="1:17" s="7" customFormat="1">
      <c r="A155" s="60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188</v>
      </c>
      <c r="Q155" s="39"/>
    </row>
    <row r="156" spans="1:17" s="7" customFormat="1">
      <c r="A156" s="60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188</v>
      </c>
      <c r="Q156" s="39"/>
    </row>
    <row r="157" spans="1:17" s="7" customFormat="1">
      <c r="A157" s="60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188</v>
      </c>
      <c r="Q157" s="39"/>
    </row>
    <row r="158" spans="1:17" s="7" customFormat="1">
      <c r="A158" s="60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188</v>
      </c>
      <c r="Q158" s="39"/>
    </row>
    <row r="159" spans="1:17" s="7" customFormat="1">
      <c r="A159" s="60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188</v>
      </c>
      <c r="Q159" s="39"/>
    </row>
    <row r="160" spans="1:17" s="7" customFormat="1">
      <c r="A160" s="60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188</v>
      </c>
      <c r="Q160" s="39"/>
    </row>
    <row r="161" spans="1:17" s="7" customFormat="1">
      <c r="A161" s="60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188</v>
      </c>
      <c r="Q161" s="39"/>
    </row>
    <row r="162" spans="1:17" s="7" customFormat="1">
      <c r="A162" s="60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188</v>
      </c>
      <c r="Q162" s="39"/>
    </row>
    <row r="163" spans="1:17" s="7" customFormat="1">
      <c r="A163" s="60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188</v>
      </c>
      <c r="Q163" s="39"/>
    </row>
    <row r="164" spans="1:17" s="7" customFormat="1">
      <c r="A164" s="60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188</v>
      </c>
      <c r="Q164" s="39"/>
    </row>
    <row r="165" spans="1:17" s="7" customFormat="1">
      <c r="A165" s="60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188</v>
      </c>
      <c r="Q165" s="39"/>
    </row>
    <row r="166" spans="1:17" s="7" customFormat="1">
      <c r="A166" s="60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188</v>
      </c>
      <c r="Q166" s="39"/>
    </row>
    <row r="167" spans="1:17" s="7" customFormat="1">
      <c r="A167" s="60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188</v>
      </c>
      <c r="Q167" s="39"/>
    </row>
    <row r="168" spans="1:17" s="7" customFormat="1">
      <c r="A168" s="60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188</v>
      </c>
      <c r="Q168" s="39"/>
    </row>
    <row r="169" spans="1:17" s="7" customFormat="1">
      <c r="A169" s="60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188</v>
      </c>
      <c r="Q169" s="39"/>
    </row>
    <row r="170" spans="1:17" s="7" customFormat="1">
      <c r="A170" s="60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188</v>
      </c>
      <c r="Q170" s="39"/>
    </row>
    <row r="171" spans="1:17" s="7" customFormat="1">
      <c r="A171" s="60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188</v>
      </c>
      <c r="Q171" s="39"/>
    </row>
    <row r="172" spans="1:17" s="7" customFormat="1">
      <c r="A172" s="60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188</v>
      </c>
      <c r="Q172" s="39"/>
    </row>
    <row r="173" spans="1:17" s="7" customFormat="1">
      <c r="A173" s="60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188</v>
      </c>
      <c r="Q173" s="39"/>
    </row>
    <row r="174" spans="1:17" s="7" customFormat="1">
      <c r="A174" s="60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188</v>
      </c>
      <c r="Q174" s="39"/>
    </row>
    <row r="175" spans="1:17" s="7" customFormat="1">
      <c r="A175" s="60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188</v>
      </c>
      <c r="Q175" s="39"/>
    </row>
    <row r="176" spans="1:17" s="7" customFormat="1">
      <c r="A176" s="60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188</v>
      </c>
      <c r="Q176" s="39"/>
    </row>
    <row r="177" spans="1:17" s="7" customFormat="1">
      <c r="A177" s="60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188</v>
      </c>
      <c r="Q177" s="39"/>
    </row>
    <row r="178" spans="1:17" s="7" customFormat="1">
      <c r="A178" s="60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188</v>
      </c>
      <c r="Q178" s="39"/>
    </row>
    <row r="179" spans="1:17" s="7" customFormat="1">
      <c r="A179" s="60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188</v>
      </c>
      <c r="Q179" s="39"/>
    </row>
    <row r="180" spans="1:17" s="7" customFormat="1">
      <c r="A180" s="60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188</v>
      </c>
      <c r="Q180" s="39"/>
    </row>
    <row r="181" spans="1:17" s="7" customFormat="1">
      <c r="A181" s="60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188</v>
      </c>
      <c r="Q181" s="39"/>
    </row>
    <row r="182" spans="1:17" s="7" customFormat="1">
      <c r="A182" s="60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188</v>
      </c>
      <c r="Q182" s="39"/>
    </row>
    <row r="183" spans="1:17" s="7" customFormat="1">
      <c r="A183" s="60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188</v>
      </c>
      <c r="Q183" s="39"/>
    </row>
    <row r="184" spans="1:17" s="7" customFormat="1">
      <c r="A184" s="60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188</v>
      </c>
      <c r="Q184" s="39"/>
    </row>
    <row r="185" spans="1:17" s="7" customFormat="1">
      <c r="A185" s="60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188</v>
      </c>
      <c r="Q185" s="39"/>
    </row>
    <row r="186" spans="1:17" s="7" customFormat="1">
      <c r="A186" s="60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188</v>
      </c>
      <c r="Q186" s="39"/>
    </row>
    <row r="187" spans="1:17" s="7" customFormat="1">
      <c r="A187" s="60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188</v>
      </c>
      <c r="Q187" s="39"/>
    </row>
    <row r="188" spans="1:17" s="7" customFormat="1">
      <c r="A188" s="60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188</v>
      </c>
      <c r="Q188" s="39"/>
    </row>
    <row r="189" spans="1:17" s="7" customFormat="1">
      <c r="A189" s="60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188</v>
      </c>
      <c r="Q189" s="39"/>
    </row>
    <row r="190" spans="1:17" s="7" customFormat="1">
      <c r="A190" s="60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188</v>
      </c>
      <c r="Q190" s="39"/>
    </row>
    <row r="191" spans="1:17" s="7" customFormat="1">
      <c r="A191" s="60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188</v>
      </c>
      <c r="Q191" s="39"/>
    </row>
    <row r="192" spans="1:17" s="7" customFormat="1">
      <c r="A192" s="60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188</v>
      </c>
      <c r="Q192" s="39"/>
    </row>
    <row r="193" spans="1:17" s="7" customFormat="1">
      <c r="A193" s="60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188</v>
      </c>
      <c r="Q193" s="39"/>
    </row>
    <row r="194" spans="1:17" s="7" customFormat="1">
      <c r="A194" s="60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188</v>
      </c>
      <c r="Q194" s="39"/>
    </row>
    <row r="195" spans="1:17" s="7" customFormat="1">
      <c r="A195" s="60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188</v>
      </c>
      <c r="Q195" s="39"/>
    </row>
    <row r="196" spans="1:17" s="7" customFormat="1">
      <c r="A196" s="60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188</v>
      </c>
      <c r="Q196" s="39"/>
    </row>
    <row r="197" spans="1:17" s="7" customFormat="1">
      <c r="A197" s="60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188</v>
      </c>
      <c r="Q197" s="39"/>
    </row>
    <row r="198" spans="1:17" s="7" customFormat="1">
      <c r="A198" s="60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188</v>
      </c>
      <c r="Q198" s="39"/>
    </row>
    <row r="199" spans="1:17" s="7" customFormat="1">
      <c r="A199" s="60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188</v>
      </c>
      <c r="Q199" s="39"/>
    </row>
    <row r="200" spans="1:17" s="7" customFormat="1">
      <c r="A200" s="60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188</v>
      </c>
      <c r="Q200" s="39"/>
    </row>
    <row r="201" spans="1:17" s="7" customFormat="1">
      <c r="A201" s="60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188</v>
      </c>
      <c r="Q201" s="39"/>
    </row>
    <row r="202" spans="1:17">
      <c r="A202" s="62"/>
    </row>
    <row r="203" spans="1:17">
      <c r="A203" s="62"/>
    </row>
    <row r="204" spans="1:17">
      <c r="A204" s="62"/>
    </row>
    <row r="205" spans="1:17">
      <c r="A205" s="62"/>
    </row>
    <row r="206" spans="1:17">
      <c r="A206" s="62"/>
    </row>
    <row r="207" spans="1:17">
      <c r="A207" s="62"/>
    </row>
    <row r="208" spans="1:17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E2:E201">
    <cfRule type="containsText" dxfId="64" priority="19" stopIfTrue="1" operator="containsText" text="Checked:">
      <formula>NOT(ISERROR(SEARCH("Checked:",E2)))</formula>
    </cfRule>
    <cfRule type="cellIs" dxfId="63" priority="20" stopIfTrue="1" operator="equal">
      <formula>"No checklist items checked"</formula>
    </cfRule>
    <cfRule type="cellIs" dxfId="62" priority="21" stopIfTrue="1" operator="equal">
      <formula>"Sent"</formula>
    </cfRule>
    <cfRule type="cellIs" dxfId="61" priority="22" stopIfTrue="1" operator="equal">
      <formula>"Scheduled"</formula>
    </cfRule>
    <cfRule type="cellIs" dxfId="60" priority="23" stopIfTrue="1" operator="equal">
      <formula>"Ready to Schedule"</formula>
    </cfRule>
  </conditionalFormatting>
  <hyperlinks>
    <hyperlink ref="L2" r:id="rId1" xr:uid="{1F207CA6-50DE-4740-AA24-6B24F23A3253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TEXT(DATE(YEAR(TODAY()),1,1),"mmmm yyyy")&amp;" Campaign Calendar"</f>
        <v>January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193</v>
      </c>
      <c r="G3" s="12" t="s">
        <v>194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7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9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7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9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7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9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7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9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7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9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7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TEXT(DATE(YEAR(TODAY()),2,1),"mmmm yyyy")&amp;" Campaign Calendar"</f>
        <v>February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205</v>
      </c>
      <c r="G3" s="12" t="s">
        <v>206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7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9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7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9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7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9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7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9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7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9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7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TEXT(DATE(YEAR(TODAY()),3,1),"mmmm yyyy")&amp;" Campaign Calendar"</f>
        <v>March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207</v>
      </c>
      <c r="G3" s="12" t="s">
        <v>208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7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9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7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9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7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9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7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9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7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9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7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TEXT(DATE(YEAR(TODAY()),4,1),"mmmm yyyy")&amp;" Campaign Calendar"</f>
        <v>April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209</v>
      </c>
      <c r="G3" s="12" t="s">
        <v>210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7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9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7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9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7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9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7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9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7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9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7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TEXT(DATE(YEAR(TODAY()),5,1),"mmmm yyyy")&amp;" Campaign Calendar"</f>
        <v>May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211</v>
      </c>
      <c r="G3" s="12" t="s">
        <v>212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7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9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7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9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7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9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7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9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7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9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7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8" t="str">
        <f t="shared" ca="1" si="0"/>
        <v>Week 23</v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D21" sqref="D2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TEXT(DATE(YEAR(TODAY()),6,1),"mmmm yyyy")&amp;" Campaign Calendar"</f>
        <v>June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213</v>
      </c>
      <c r="G3" s="12" t="s">
        <v>214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 ht="162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5
• Email | 060526-08AM-Promo-EM1-Gaming-P-P-NA-GLP
• Email | 060526-09AM-Promo-EM2-Weekend-Deals-Video-P-P-NA-GLP
• Email | 060526-10AM-Promo-EM3-Weekend-Deals-Photo-and-Other-Categories-P-P-NA-GLP
• SMS | 
• SMS | </v>
      </c>
      <c r="G6" s="57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9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67.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7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9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7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9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7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9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7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9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7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TEXT(DATE(YEAR(TODAY()),7,1),"mmmm yyyy")&amp;" Campaign Calendar"</f>
        <v>July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215</v>
      </c>
      <c r="G3" s="12" t="s">
        <v>216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7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9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7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9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7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9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7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9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7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9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7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8" priority="1" stopIfTrue="1">
      <formula>ISNUMBER(SEARCH(CHAR(10),A6))</formula>
    </cfRule>
    <cfRule type="expression" dxfId="14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TEXT(DATE(YEAR(TODAY()),8,1),"mmmm yyyy")&amp;" Campaign Calendar"</f>
        <v>August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217</v>
      </c>
      <c r="G3" s="12" t="s">
        <v>218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7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9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7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9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7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9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7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9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7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9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7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8" t="str">
        <f t="shared" ca="1" si="0"/>
        <v>Week 36</v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TEXT(DATE(YEAR(TODAY()),9,1),"mmmm yyyy")&amp;" Campaign Calendar"</f>
        <v>September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219</v>
      </c>
      <c r="G3" s="12" t="s">
        <v>220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7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9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7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9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7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9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7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9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7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9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7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TEXT(DATE(YEAR(TODAY()),10,1),"mmmm yyyy")&amp;" Campaign Calendar"</f>
        <v>October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221</v>
      </c>
      <c r="G3" s="12" t="s">
        <v>222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7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9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7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9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7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9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7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9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7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9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7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TEXT(DATE(YEAR(TODAY()),11,1),"mmmm yyyy")&amp;" Campaign Calendar"</f>
        <v>November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223</v>
      </c>
      <c r="G3" s="12" t="s">
        <v>224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7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9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7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9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7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9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7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9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7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9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7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TEXT(DATE(YEAR(TODAY()),12,1),"mmmm yyyy")&amp;" Campaign Calendar"</f>
        <v>December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225</v>
      </c>
      <c r="G3" s="12" t="s">
        <v>226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7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9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7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9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7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9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7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9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7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9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7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114</v>
      </c>
      <c r="B1" s="16" t="s">
        <v>115</v>
      </c>
      <c r="C1" s="16" t="s">
        <v>227</v>
      </c>
      <c r="D1" s="16" t="s">
        <v>228</v>
      </c>
      <c r="E1" s="16" t="s">
        <v>229</v>
      </c>
    </row>
    <row r="2" spans="1:5">
      <c r="A2" s="14" t="s">
        <v>132</v>
      </c>
      <c r="B2" s="14" t="s">
        <v>230</v>
      </c>
      <c r="C2" s="14" t="s">
        <v>37</v>
      </c>
      <c r="D2" s="14" t="s">
        <v>231</v>
      </c>
      <c r="E2" s="14" t="s">
        <v>232</v>
      </c>
    </row>
    <row r="3" spans="1:5">
      <c r="A3" s="14" t="s">
        <v>152</v>
      </c>
      <c r="B3" s="14" t="s">
        <v>233</v>
      </c>
      <c r="C3" s="14" t="s">
        <v>230</v>
      </c>
      <c r="D3" s="14" t="s">
        <v>234</v>
      </c>
      <c r="E3" s="14" t="s">
        <v>235</v>
      </c>
    </row>
    <row r="4" spans="1:5">
      <c r="A4" s="14" t="s">
        <v>139</v>
      </c>
      <c r="B4" s="14" t="s">
        <v>236</v>
      </c>
      <c r="C4" s="14" t="s">
        <v>237</v>
      </c>
      <c r="D4" s="14" t="s">
        <v>238</v>
      </c>
      <c r="E4" s="14" t="s">
        <v>239</v>
      </c>
    </row>
    <row r="5" spans="1:5">
      <c r="A5" s="14" t="s">
        <v>175</v>
      </c>
      <c r="B5" s="14" t="s">
        <v>240</v>
      </c>
      <c r="C5" s="14" t="s">
        <v>241</v>
      </c>
      <c r="D5" s="14" t="s">
        <v>242</v>
      </c>
      <c r="E5" s="14" t="s">
        <v>243</v>
      </c>
    </row>
    <row r="6" spans="1:5">
      <c r="A6" s="14" t="s">
        <v>180</v>
      </c>
      <c r="B6" s="14" t="s">
        <v>244</v>
      </c>
      <c r="C6" s="14" t="s">
        <v>245</v>
      </c>
      <c r="D6" s="14" t="s">
        <v>246</v>
      </c>
      <c r="E6" s="14" t="s">
        <v>247</v>
      </c>
    </row>
    <row r="7" spans="1:5">
      <c r="A7" s="14" t="s">
        <v>248</v>
      </c>
      <c r="B7" s="14" t="s">
        <v>249</v>
      </c>
      <c r="C7" s="14" t="s">
        <v>250</v>
      </c>
      <c r="D7" s="14" t="s">
        <v>251</v>
      </c>
      <c r="E7" s="14" t="s">
        <v>252</v>
      </c>
    </row>
    <row r="8" spans="1:5">
      <c r="A8" s="14" t="s">
        <v>253</v>
      </c>
      <c r="B8" s="14" t="s">
        <v>254</v>
      </c>
      <c r="C8" s="14" t="s">
        <v>255</v>
      </c>
      <c r="D8" s="14" t="s">
        <v>256</v>
      </c>
      <c r="E8" s="14" t="s">
        <v>257</v>
      </c>
    </row>
    <row r="9" spans="1:5">
      <c r="A9" s="14"/>
      <c r="B9" s="14" t="s">
        <v>258</v>
      </c>
      <c r="C9" s="14" t="s">
        <v>251</v>
      </c>
      <c r="D9" s="14"/>
      <c r="E9" s="14"/>
    </row>
    <row r="10" spans="1:5">
      <c r="A10" s="14"/>
      <c r="B10" s="14" t="s">
        <v>259</v>
      </c>
      <c r="C10" s="14" t="s">
        <v>260</v>
      </c>
      <c r="D10" s="14"/>
      <c r="E10" s="14"/>
    </row>
    <row r="11" spans="1:5">
      <c r="A11" s="14"/>
      <c r="B11" s="14" t="s">
        <v>261</v>
      </c>
      <c r="C11" s="14" t="s">
        <v>262</v>
      </c>
      <c r="D11" s="14"/>
      <c r="E11" s="14"/>
    </row>
    <row r="12" spans="1:5">
      <c r="A12" s="14"/>
      <c r="B12" s="14" t="s">
        <v>263</v>
      </c>
      <c r="C12" s="14" t="s">
        <v>264</v>
      </c>
      <c r="D12" s="14"/>
      <c r="E12" s="14"/>
    </row>
    <row r="13" spans="1:5">
      <c r="A13" s="14"/>
      <c r="B13" s="14" t="s">
        <v>265</v>
      </c>
      <c r="C13" s="14" t="s">
        <v>266</v>
      </c>
      <c r="D13" s="14"/>
      <c r="E13" s="14"/>
    </row>
    <row r="14" spans="1:5">
      <c r="A14" s="14"/>
      <c r="B14" s="14" t="s">
        <v>68</v>
      </c>
      <c r="C14" s="14" t="s">
        <v>68</v>
      </c>
      <c r="D14" s="14"/>
      <c r="E14" s="14"/>
    </row>
    <row r="15" spans="1:5">
      <c r="A15" s="14"/>
      <c r="B15" s="14" t="s">
        <v>246</v>
      </c>
      <c r="C15" s="14" t="s">
        <v>265</v>
      </c>
      <c r="D15" s="14"/>
      <c r="E15" s="14"/>
    </row>
    <row r="16" spans="1:5">
      <c r="A16" s="14"/>
      <c r="B16" s="14" t="s">
        <v>161</v>
      </c>
      <c r="C16" s="14" t="s">
        <v>246</v>
      </c>
      <c r="D16" s="14"/>
      <c r="E16" s="14"/>
    </row>
    <row r="17" spans="1:5">
      <c r="A17" s="14"/>
      <c r="B17" s="14"/>
      <c r="C17" s="14" t="s">
        <v>161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267</v>
      </c>
      <c r="B1" s="16" t="s">
        <v>268</v>
      </c>
      <c r="C1" s="16" t="s">
        <v>269</v>
      </c>
      <c r="D1" s="16" t="s">
        <v>270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188</v>
      </c>
      <c r="C201" s="14" t="s">
        <v>271</v>
      </c>
      <c r="D201" s="14" t="s">
        <v>272</v>
      </c>
    </row>
    <row r="202" spans="1:4" ht="99.75">
      <c r="A202" s="15">
        <v>46179.29378472222</v>
      </c>
      <c r="B202" s="14" t="s">
        <v>188</v>
      </c>
      <c r="C202" s="14" t="s">
        <v>273</v>
      </c>
      <c r="D202" s="14" t="s">
        <v>274</v>
      </c>
    </row>
    <row r="203" spans="1:4">
      <c r="A203" s="15">
        <v>46179.296273148146</v>
      </c>
      <c r="B203" s="14" t="s">
        <v>188</v>
      </c>
      <c r="C203" s="14" t="s">
        <v>271</v>
      </c>
      <c r="D203" s="14" t="s">
        <v>272</v>
      </c>
    </row>
    <row r="204" spans="1:4">
      <c r="A204" s="15">
        <v>46179.297199074077</v>
      </c>
      <c r="B204" s="14" t="s">
        <v>188</v>
      </c>
      <c r="C204" s="14" t="s">
        <v>271</v>
      </c>
      <c r="D204" s="14" t="s">
        <v>272</v>
      </c>
    </row>
    <row r="205" spans="1:4" ht="99.75">
      <c r="A205" s="15">
        <v>46179.297199074077</v>
      </c>
      <c r="B205" s="14" t="s">
        <v>188</v>
      </c>
      <c r="C205" s="14" t="s">
        <v>273</v>
      </c>
      <c r="D205" s="14" t="s">
        <v>275</v>
      </c>
    </row>
    <row r="206" spans="1:4" ht="57">
      <c r="A206" s="15">
        <v>46179.309106956018</v>
      </c>
      <c r="B206" s="14" t="s">
        <v>188</v>
      </c>
      <c r="C206" s="14" t="s">
        <v>276</v>
      </c>
      <c r="D206" s="14" t="s">
        <v>277</v>
      </c>
    </row>
    <row r="207" spans="1:4" ht="28.5">
      <c r="A207" s="15">
        <v>46180.086365740739</v>
      </c>
      <c r="B207" s="14" t="s">
        <v>188</v>
      </c>
      <c r="C207" s="14" t="s">
        <v>278</v>
      </c>
      <c r="D207" s="14" t="s">
        <v>279</v>
      </c>
    </row>
    <row r="208" spans="1:4" ht="28.5">
      <c r="A208" s="15">
        <v>46180.08730324074</v>
      </c>
      <c r="B208" s="14" t="s">
        <v>188</v>
      </c>
      <c r="C208" s="14" t="s">
        <v>278</v>
      </c>
      <c r="D208" s="14" t="s">
        <v>279</v>
      </c>
    </row>
    <row r="209" spans="1:4" ht="28.5">
      <c r="A209" s="15">
        <v>46180.089432870373</v>
      </c>
      <c r="B209" s="14" t="s">
        <v>188</v>
      </c>
      <c r="C209" s="14" t="s">
        <v>278</v>
      </c>
      <c r="D209" s="14" t="s">
        <v>279</v>
      </c>
    </row>
    <row r="210" spans="1:4" ht="28.5">
      <c r="A210" s="15">
        <v>46180.090289351851</v>
      </c>
      <c r="B210" s="14" t="s">
        <v>188</v>
      </c>
      <c r="C210" s="14" t="s">
        <v>278</v>
      </c>
      <c r="D210" s="14" t="s">
        <v>279</v>
      </c>
    </row>
    <row r="211" spans="1:4" ht="28.5">
      <c r="A211" s="15">
        <v>46180.091238425928</v>
      </c>
      <c r="B211" s="14" t="s">
        <v>188</v>
      </c>
      <c r="C211" s="14" t="s">
        <v>278</v>
      </c>
      <c r="D211" s="14" t="s">
        <v>279</v>
      </c>
    </row>
    <row r="212" spans="1:4" ht="28.5">
      <c r="A212" s="15">
        <v>46180.092314814814</v>
      </c>
      <c r="B212" s="14" t="s">
        <v>188</v>
      </c>
      <c r="C212" s="14" t="s">
        <v>278</v>
      </c>
      <c r="D212" s="14" t="s">
        <v>279</v>
      </c>
    </row>
    <row r="213" spans="1:4" ht="28.5">
      <c r="A213" s="15">
        <v>46180.093182870369</v>
      </c>
      <c r="B213" s="14" t="s">
        <v>188</v>
      </c>
      <c r="C213" s="14" t="s">
        <v>278</v>
      </c>
      <c r="D213" s="14" t="s">
        <v>279</v>
      </c>
    </row>
    <row r="214" spans="1:4" ht="28.5">
      <c r="A214" s="15">
        <v>46180.094050925924</v>
      </c>
      <c r="B214" s="14" t="s">
        <v>188</v>
      </c>
      <c r="C214" s="14" t="s">
        <v>278</v>
      </c>
      <c r="D214" s="14" t="s">
        <v>279</v>
      </c>
    </row>
    <row r="215" spans="1:4" ht="28.5">
      <c r="A215" s="15">
        <v>46180.110868055555</v>
      </c>
      <c r="B215" s="14" t="s">
        <v>188</v>
      </c>
      <c r="C215" s="14" t="s">
        <v>280</v>
      </c>
      <c r="D215" s="14" t="s">
        <v>281</v>
      </c>
    </row>
    <row r="216" spans="1:4" ht="28.5">
      <c r="A216" s="15">
        <v>46180.12090277778</v>
      </c>
      <c r="B216" s="14" t="s">
        <v>188</v>
      </c>
      <c r="C216" s="14" t="s">
        <v>280</v>
      </c>
      <c r="D216" s="14" t="s">
        <v>281</v>
      </c>
    </row>
    <row r="217" spans="1:4" ht="28.5">
      <c r="A217" s="15">
        <v>46180.132349537038</v>
      </c>
      <c r="B217" s="14" t="s">
        <v>188</v>
      </c>
      <c r="C217" s="14" t="s">
        <v>280</v>
      </c>
      <c r="D217" s="14" t="s">
        <v>281</v>
      </c>
    </row>
    <row r="218" spans="1:4" ht="28.5">
      <c r="A218" s="15">
        <v>46180.13616898148</v>
      </c>
      <c r="B218" s="14" t="s">
        <v>188</v>
      </c>
      <c r="C218" s="14" t="s">
        <v>280</v>
      </c>
      <c r="D218" s="14" t="s">
        <v>281</v>
      </c>
    </row>
    <row r="219" spans="1:4" ht="28.5">
      <c r="A219" s="15">
        <v>46180.139490740738</v>
      </c>
      <c r="B219" s="14" t="s">
        <v>188</v>
      </c>
      <c r="C219" s="14" t="s">
        <v>280</v>
      </c>
      <c r="D219" s="14" t="s">
        <v>281</v>
      </c>
    </row>
    <row r="220" spans="1:4" ht="28.5">
      <c r="A220" s="15">
        <v>46180.174479166664</v>
      </c>
      <c r="B220" s="14" t="s">
        <v>188</v>
      </c>
      <c r="C220" s="14" t="s">
        <v>280</v>
      </c>
      <c r="D220" s="14" t="s">
        <v>281</v>
      </c>
    </row>
    <row r="221" spans="1:4" ht="28.5">
      <c r="A221" s="15">
        <v>46180.177430555559</v>
      </c>
      <c r="B221" s="14" t="s">
        <v>188</v>
      </c>
      <c r="C221" s="14" t="s">
        <v>280</v>
      </c>
      <c r="D221" s="14" t="s">
        <v>281</v>
      </c>
    </row>
    <row r="222" spans="1:4" ht="28.5">
      <c r="A222" s="15">
        <v>46180.178344907406</v>
      </c>
      <c r="B222" s="14" t="s">
        <v>188</v>
      </c>
      <c r="C222" s="14" t="s">
        <v>280</v>
      </c>
      <c r="D222" s="14" t="s">
        <v>281</v>
      </c>
    </row>
    <row r="223" spans="1:4" ht="28.5">
      <c r="A223" s="15">
        <v>46180.302488425928</v>
      </c>
      <c r="B223" s="14" t="s">
        <v>188</v>
      </c>
      <c r="C223" s="14" t="s">
        <v>278</v>
      </c>
      <c r="D223" s="14" t="s">
        <v>279</v>
      </c>
    </row>
    <row r="224" spans="1:4" ht="28.5">
      <c r="A224" s="15">
        <v>46180.318576388891</v>
      </c>
      <c r="B224" s="14" t="s">
        <v>188</v>
      </c>
      <c r="C224" s="14" t="s">
        <v>282</v>
      </c>
      <c r="D224" s="14" t="s">
        <v>283</v>
      </c>
    </row>
    <row r="225" spans="1:4" ht="28.5">
      <c r="A225" s="15">
        <v>46180.31858796296</v>
      </c>
      <c r="B225" s="14" t="s">
        <v>188</v>
      </c>
      <c r="C225" s="14" t="s">
        <v>278</v>
      </c>
      <c r="D225" s="14" t="s">
        <v>279</v>
      </c>
    </row>
    <row r="226" spans="1:4" ht="28.5">
      <c r="A226" s="15">
        <v>46180.336423611108</v>
      </c>
      <c r="B226" s="14" t="s">
        <v>188</v>
      </c>
      <c r="C226" s="14" t="s">
        <v>282</v>
      </c>
      <c r="D226" s="14" t="s">
        <v>283</v>
      </c>
    </row>
    <row r="227" spans="1:4" ht="28.5">
      <c r="A227" s="15">
        <v>46180.336423611108</v>
      </c>
      <c r="B227" s="14" t="s">
        <v>188</v>
      </c>
      <c r="C227" s="14" t="s">
        <v>278</v>
      </c>
      <c r="D227" s="14" t="s">
        <v>279</v>
      </c>
    </row>
    <row r="228" spans="1:4" ht="28.5">
      <c r="A228" s="15">
        <v>46180.340729166666</v>
      </c>
      <c r="B228" s="14" t="s">
        <v>188</v>
      </c>
      <c r="C228" s="14" t="s">
        <v>282</v>
      </c>
      <c r="D228" s="14" t="s">
        <v>283</v>
      </c>
    </row>
    <row r="229" spans="1:4" ht="28.5">
      <c r="A229" s="15">
        <v>46180.340729166666</v>
      </c>
      <c r="B229" s="14" t="s">
        <v>188</v>
      </c>
      <c r="C229" s="14" t="s">
        <v>278</v>
      </c>
      <c r="D229" s="14" t="s">
        <v>279</v>
      </c>
    </row>
    <row r="230" spans="1:4" ht="28.5">
      <c r="A230" s="15">
        <v>46180.342013888891</v>
      </c>
      <c r="B230" s="14" t="s">
        <v>188</v>
      </c>
      <c r="C230" s="14" t="s">
        <v>282</v>
      </c>
      <c r="D230" s="14" t="s">
        <v>283</v>
      </c>
    </row>
    <row r="231" spans="1:4" ht="28.5">
      <c r="A231" s="15">
        <v>46180.342013888891</v>
      </c>
      <c r="B231" s="14" t="s">
        <v>188</v>
      </c>
      <c r="C231" s="14" t="s">
        <v>278</v>
      </c>
      <c r="D231" s="14" t="s">
        <v>279</v>
      </c>
    </row>
    <row r="232" spans="1:4" ht="28.5">
      <c r="A232" s="15">
        <v>46180.343206018515</v>
      </c>
      <c r="B232" s="14" t="s">
        <v>188</v>
      </c>
      <c r="C232" s="14" t="s">
        <v>282</v>
      </c>
      <c r="D232" s="14" t="s">
        <v>283</v>
      </c>
    </row>
    <row r="233" spans="1:4" ht="28.5">
      <c r="A233" s="15">
        <v>46180.343206018515</v>
      </c>
      <c r="B233" s="14" t="s">
        <v>188</v>
      </c>
      <c r="C233" s="14" t="s">
        <v>278</v>
      </c>
      <c r="D233" s="14" t="s">
        <v>279</v>
      </c>
    </row>
    <row r="234" spans="1:4" ht="28.5">
      <c r="A234" s="15">
        <v>46180.357268518521</v>
      </c>
      <c r="B234" s="14" t="s">
        <v>188</v>
      </c>
      <c r="C234" s="14" t="s">
        <v>280</v>
      </c>
      <c r="D234" s="14" t="s">
        <v>284</v>
      </c>
    </row>
    <row r="235" spans="1:4" ht="28.5">
      <c r="A235" s="15">
        <v>46180.543217592596</v>
      </c>
      <c r="B235" s="14" t="s">
        <v>188</v>
      </c>
      <c r="C235" s="14" t="s">
        <v>282</v>
      </c>
      <c r="D235" s="14" t="s">
        <v>283</v>
      </c>
    </row>
    <row r="236" spans="1:4" ht="28.5">
      <c r="A236" s="15">
        <v>46180.543217592596</v>
      </c>
      <c r="B236" s="14" t="s">
        <v>188</v>
      </c>
      <c r="C236" s="14" t="s">
        <v>278</v>
      </c>
      <c r="D236" s="14" t="s">
        <v>279</v>
      </c>
    </row>
    <row r="237" spans="1:4" ht="28.5">
      <c r="A237" s="15">
        <v>46180.545231481483</v>
      </c>
      <c r="B237" s="14" t="s">
        <v>188</v>
      </c>
      <c r="C237" s="14" t="s">
        <v>282</v>
      </c>
      <c r="D237" s="14" t="s">
        <v>283</v>
      </c>
    </row>
    <row r="238" spans="1:4" ht="28.5">
      <c r="A238" s="15">
        <v>46180.545243055552</v>
      </c>
      <c r="B238" s="14" t="s">
        <v>188</v>
      </c>
      <c r="C238" s="14" t="s">
        <v>278</v>
      </c>
      <c r="D238" s="14" t="s">
        <v>279</v>
      </c>
    </row>
    <row r="239" spans="1:4" ht="28.5">
      <c r="A239" s="15">
        <v>46180.547777777778</v>
      </c>
      <c r="B239" s="14" t="s">
        <v>188</v>
      </c>
      <c r="C239" s="14" t="s">
        <v>280</v>
      </c>
      <c r="D239" s="14" t="s">
        <v>284</v>
      </c>
    </row>
    <row r="240" spans="1:4" ht="28.5">
      <c r="A240" s="15">
        <v>46180.568738425929</v>
      </c>
      <c r="B240" s="14" t="s">
        <v>188</v>
      </c>
      <c r="C240" s="14" t="s">
        <v>282</v>
      </c>
      <c r="D240" s="14" t="s">
        <v>283</v>
      </c>
    </row>
    <row r="241" spans="1:4" ht="28.5">
      <c r="A241" s="15">
        <v>46180.568749999999</v>
      </c>
      <c r="B241" s="14" t="s">
        <v>188</v>
      </c>
      <c r="C241" s="14" t="s">
        <v>278</v>
      </c>
      <c r="D241" s="14" t="s">
        <v>279</v>
      </c>
    </row>
    <row r="242" spans="1:4" ht="28.5">
      <c r="A242" s="15">
        <v>46180.571203703701</v>
      </c>
      <c r="B242" s="14" t="s">
        <v>188</v>
      </c>
      <c r="C242" s="14" t="s">
        <v>280</v>
      </c>
      <c r="D242" s="14" t="s">
        <v>284</v>
      </c>
    </row>
    <row r="243" spans="1:4" ht="28.5">
      <c r="A243" s="15">
        <v>46180.584131944444</v>
      </c>
      <c r="B243" s="14" t="s">
        <v>188</v>
      </c>
      <c r="C243" s="14" t="s">
        <v>282</v>
      </c>
      <c r="D243" s="14" t="s">
        <v>283</v>
      </c>
    </row>
    <row r="244" spans="1:4" ht="28.5">
      <c r="A244" s="15">
        <v>46180.584131944444</v>
      </c>
      <c r="B244" s="14" t="s">
        <v>188</v>
      </c>
      <c r="C244" s="14" t="s">
        <v>278</v>
      </c>
      <c r="D244" s="14" t="s">
        <v>279</v>
      </c>
    </row>
    <row r="245" spans="1:4" ht="28.5">
      <c r="A245" s="15">
        <v>46180.589571759258</v>
      </c>
      <c r="B245" s="14" t="s">
        <v>188</v>
      </c>
      <c r="C245" s="14" t="s">
        <v>282</v>
      </c>
      <c r="D245" s="14" t="s">
        <v>283</v>
      </c>
    </row>
    <row r="246" spans="1:4" ht="28.5">
      <c r="A246" s="15">
        <v>46180.589583333334</v>
      </c>
      <c r="B246" s="14" t="s">
        <v>188</v>
      </c>
      <c r="C246" s="14" t="s">
        <v>278</v>
      </c>
      <c r="D246" s="14" t="s">
        <v>279</v>
      </c>
    </row>
    <row r="247" spans="1:4" ht="28.5">
      <c r="A247" s="15">
        <v>46180.59103009259</v>
      </c>
      <c r="B247" s="14" t="s">
        <v>188</v>
      </c>
      <c r="C247" s="14" t="s">
        <v>280</v>
      </c>
      <c r="D247" s="14" t="s">
        <v>284</v>
      </c>
    </row>
    <row r="248" spans="1:4" ht="28.5">
      <c r="A248" s="15">
        <v>46180.595023148147</v>
      </c>
      <c r="B248" s="14" t="s">
        <v>188</v>
      </c>
      <c r="C248" s="14" t="s">
        <v>280</v>
      </c>
      <c r="D248" s="14" t="s">
        <v>284</v>
      </c>
    </row>
    <row r="249" spans="1:4" ht="28.5">
      <c r="A249" s="15">
        <v>46180.621550925927</v>
      </c>
      <c r="B249" s="14" t="s">
        <v>188</v>
      </c>
      <c r="C249" s="14" t="s">
        <v>280</v>
      </c>
      <c r="D249" s="14" t="s">
        <v>284</v>
      </c>
    </row>
    <row r="250" spans="1:4" ht="28.5">
      <c r="A250" s="15">
        <v>46180.639062499999</v>
      </c>
      <c r="B250" s="14" t="s">
        <v>188</v>
      </c>
      <c r="C250" s="14" t="s">
        <v>280</v>
      </c>
      <c r="D250" s="14" t="s">
        <v>284</v>
      </c>
    </row>
    <row r="251" spans="1:4" ht="28.5">
      <c r="A251" s="15">
        <v>46180.642175925925</v>
      </c>
      <c r="B251" s="14" t="s">
        <v>188</v>
      </c>
      <c r="C251" s="14" t="s">
        <v>280</v>
      </c>
      <c r="D251" s="14" t="s">
        <v>284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2026-06-08T04:12:06Z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