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DCABC795-3847-4DC3-9DDC-ED6BECBE4713}" xr6:coauthVersionLast="47" xr6:coauthVersionMax="47" xr10:uidLastSave="{00000000-0000-0000-0000-000000000000}"/>
  <bookViews>
    <workbookView xWindow="0" yWindow="2505" windowWidth="21600" windowHeight="11505" activeTab="3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2" l="1"/>
  <c r="L6" i="19"/>
  <c r="L5" i="19"/>
  <c r="L4" i="19"/>
  <c r="L3" i="19"/>
  <c r="L2" i="19"/>
  <c r="K5" i="19"/>
  <c r="K3" i="19"/>
  <c r="K2" i="19"/>
  <c r="Q12" i="1"/>
  <c r="Q11" i="1"/>
  <c r="Q10" i="1"/>
  <c r="Q9" i="1"/>
  <c r="Q8" i="1"/>
  <c r="Q7" i="1"/>
  <c r="Q6" i="1"/>
  <c r="Q5" i="1"/>
  <c r="Q4" i="1"/>
  <c r="Q3" i="1"/>
  <c r="Q2" i="1"/>
  <c r="P12" i="1"/>
  <c r="P11" i="1"/>
  <c r="P10" i="1"/>
  <c r="P9" i="1"/>
  <c r="P8" i="1"/>
  <c r="P7" i="1"/>
  <c r="P6" i="1"/>
  <c r="P5" i="1"/>
  <c r="P4" i="1"/>
  <c r="P3" i="1"/>
  <c r="P2" i="1"/>
  <c r="O12" i="1"/>
  <c r="O11" i="1"/>
  <c r="O10" i="1"/>
  <c r="O9" i="1"/>
  <c r="O8" i="1"/>
  <c r="O7" i="1"/>
  <c r="O6" i="1"/>
  <c r="O5" i="1"/>
  <c r="O4" i="1"/>
  <c r="O3" i="1"/>
  <c r="O2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G5" i="2" l="1" a="1"/>
  <c r="C164" i="2" s="1"/>
  <c r="E5" i="2" a="1"/>
  <c r="K5" i="2" a="1"/>
  <c r="C166" i="2" s="1"/>
  <c r="C5" i="2" a="1"/>
  <c r="C162" i="2" s="1"/>
  <c r="I5" i="2" a="1"/>
  <c r="C165" i="2" s="1"/>
  <c r="AA11" i="2" a="1"/>
  <c r="C163" i="2" l="1"/>
  <c r="A5" i="2"/>
  <c r="J17" i="2"/>
  <c r="J31" i="2"/>
  <c r="J33" i="2"/>
  <c r="J37" i="2"/>
  <c r="J39" i="2"/>
  <c r="J41" i="2"/>
  <c r="J43" i="2"/>
  <c r="J48" i="2"/>
  <c r="J77" i="2"/>
  <c r="J82" i="2"/>
  <c r="J117" i="2"/>
  <c r="J155" i="2"/>
  <c r="J49" i="2"/>
  <c r="J50" i="2"/>
  <c r="J51" i="2"/>
  <c r="J52" i="2"/>
  <c r="J53" i="2"/>
  <c r="J54" i="2"/>
  <c r="J55" i="2"/>
  <c r="J56" i="2"/>
  <c r="J63" i="2"/>
  <c r="J100" i="2"/>
  <c r="J57" i="2"/>
  <c r="J58" i="2"/>
  <c r="J59" i="2"/>
  <c r="J60" i="2"/>
  <c r="J61" i="2"/>
  <c r="J62" i="2"/>
  <c r="J97" i="2"/>
  <c r="J67" i="2"/>
  <c r="J68" i="2"/>
  <c r="J69" i="2"/>
  <c r="J70" i="2"/>
  <c r="J71" i="2"/>
  <c r="J72" i="2"/>
  <c r="J73" i="2"/>
  <c r="J75" i="2"/>
  <c r="J81" i="2"/>
  <c r="J114" i="2"/>
  <c r="J122" i="2"/>
  <c r="J160" i="2"/>
  <c r="J87" i="2"/>
  <c r="J88" i="2"/>
  <c r="J89" i="2"/>
  <c r="J90" i="2"/>
  <c r="J91" i="2"/>
  <c r="J92" i="2"/>
  <c r="J93" i="2"/>
  <c r="J94" i="2"/>
  <c r="J98" i="2"/>
  <c r="J104" i="2"/>
  <c r="J105" i="2"/>
  <c r="J106" i="2"/>
  <c r="J107" i="2"/>
  <c r="J108" i="2"/>
  <c r="J109" i="2"/>
  <c r="J110" i="2"/>
  <c r="J111" i="2"/>
  <c r="J112" i="2"/>
  <c r="J129" i="2"/>
  <c r="J131" i="2"/>
  <c r="J134" i="2"/>
  <c r="J135" i="2"/>
  <c r="J138" i="2"/>
  <c r="J140" i="2"/>
  <c r="J143" i="2"/>
  <c r="J146" i="2"/>
  <c r="J150" i="2"/>
  <c r="J36" i="2"/>
  <c r="J11" i="2"/>
  <c r="J18" i="2"/>
  <c r="J25" i="2"/>
  <c r="J66" i="2"/>
  <c r="J102" i="2"/>
  <c r="J113" i="2"/>
  <c r="J116" i="2"/>
  <c r="J123" i="2"/>
  <c r="J125" i="2"/>
  <c r="J126" i="2"/>
  <c r="J127" i="2"/>
  <c r="J128" i="2"/>
  <c r="J130" i="2"/>
  <c r="J133" i="2"/>
  <c r="J136" i="2"/>
  <c r="J139" i="2"/>
  <c r="J142" i="2"/>
  <c r="J145" i="2"/>
  <c r="J148" i="2"/>
  <c r="J42" i="2"/>
  <c r="J76" i="2"/>
  <c r="J14" i="2"/>
  <c r="J21" i="2"/>
  <c r="J65" i="2"/>
  <c r="J132" i="2"/>
  <c r="J137" i="2"/>
  <c r="J141" i="2"/>
  <c r="J144" i="2"/>
  <c r="J147" i="2"/>
  <c r="J40" i="2"/>
  <c r="J46" i="2"/>
  <c r="J13" i="2"/>
  <c r="J20" i="2"/>
  <c r="J29" i="2"/>
  <c r="J99" i="2"/>
  <c r="J149" i="2"/>
  <c r="J151" i="2"/>
  <c r="J152" i="2"/>
  <c r="J153" i="2"/>
  <c r="J154" i="2"/>
  <c r="J28" i="2"/>
  <c r="J45" i="2"/>
  <c r="J79" i="2"/>
  <c r="J86" i="2"/>
  <c r="J120" i="2"/>
  <c r="J158" i="2"/>
  <c r="J157" i="2"/>
  <c r="J12" i="2"/>
  <c r="J19" i="2"/>
  <c r="J26" i="2"/>
  <c r="J95" i="2"/>
  <c r="J103" i="2"/>
  <c r="J22" i="2"/>
  <c r="J27" i="2"/>
  <c r="J30" i="2"/>
  <c r="J32" i="2"/>
  <c r="J34" i="2"/>
  <c r="J38" i="2"/>
  <c r="J44" i="2"/>
  <c r="J83" i="2"/>
  <c r="J15" i="2"/>
  <c r="J23" i="2"/>
  <c r="J64" i="2"/>
  <c r="J101" i="2"/>
  <c r="J74" i="2"/>
  <c r="J80" i="2"/>
  <c r="J85" i="2"/>
  <c r="J119" i="2"/>
  <c r="J118" i="2"/>
  <c r="J16" i="2"/>
  <c r="J24" i="2"/>
  <c r="J96" i="2"/>
  <c r="J156" i="2"/>
  <c r="J35" i="2"/>
  <c r="J78" i="2"/>
  <c r="J115" i="2"/>
  <c r="J124" i="2"/>
  <c r="J47" i="2"/>
  <c r="J121" i="2"/>
  <c r="J159" i="2"/>
  <c r="J84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108" i="2" l="1"/>
  <c r="M94" i="2"/>
  <c r="M114" i="2"/>
  <c r="M83" i="2"/>
  <c r="M89" i="2"/>
  <c r="M99" i="2"/>
  <c r="M104" i="2"/>
  <c r="M126" i="2"/>
  <c r="M116" i="2"/>
  <c r="M134" i="2"/>
  <c r="M68" i="2"/>
  <c r="M71" i="2"/>
  <c r="M74" i="2"/>
  <c r="M77" i="2"/>
  <c r="M80" i="2"/>
  <c r="M85" i="2"/>
  <c r="M90" i="2"/>
  <c r="M95" i="2"/>
  <c r="M100" i="2"/>
  <c r="M106" i="2"/>
  <c r="M111" i="2"/>
  <c r="M121" i="2"/>
  <c r="M130" i="2"/>
  <c r="M145" i="2"/>
  <c r="M144" i="2"/>
  <c r="M119" i="2"/>
  <c r="M124" i="2"/>
  <c r="M128" i="2"/>
  <c r="M135" i="2"/>
  <c r="M140" i="2"/>
  <c r="M82" i="2"/>
  <c r="M87" i="2"/>
  <c r="M92" i="2"/>
  <c r="M97" i="2"/>
  <c r="M102" i="2"/>
  <c r="M65" i="2"/>
  <c r="M149" i="2"/>
  <c r="M155" i="2"/>
  <c r="M159" i="2"/>
  <c r="M64" i="2"/>
  <c r="M66" i="2"/>
  <c r="M69" i="2"/>
  <c r="M72" i="2"/>
  <c r="M75" i="2"/>
  <c r="M78" i="2"/>
  <c r="M81" i="2"/>
  <c r="M86" i="2"/>
  <c r="M91" i="2"/>
  <c r="M96" i="2"/>
  <c r="M101" i="2"/>
  <c r="M105" i="2"/>
  <c r="M110" i="2"/>
  <c r="M113" i="2"/>
  <c r="M118" i="2"/>
  <c r="M123" i="2"/>
  <c r="M129" i="2"/>
  <c r="M131" i="2"/>
  <c r="M137" i="2"/>
  <c r="M151" i="2"/>
  <c r="M157" i="2"/>
  <c r="M107" i="2"/>
  <c r="M67" i="2"/>
  <c r="M70" i="2"/>
  <c r="M112" i="2"/>
  <c r="M117" i="2"/>
  <c r="M63" i="2"/>
  <c r="M76" i="2"/>
  <c r="M79" i="2"/>
  <c r="M84" i="2"/>
  <c r="M88" i="2"/>
  <c r="M93" i="2"/>
  <c r="M122" i="2"/>
  <c r="M73" i="2"/>
  <c r="M127" i="2"/>
  <c r="M59" i="2"/>
  <c r="M62" i="2"/>
  <c r="M133" i="2"/>
  <c r="M138" i="2"/>
  <c r="M153" i="2"/>
  <c r="M61" i="2"/>
  <c r="M60" i="2"/>
  <c r="M158" i="2"/>
  <c r="M154" i="2"/>
  <c r="M148" i="2"/>
  <c r="M143" i="2"/>
  <c r="M24" i="2"/>
  <c r="M26" i="2"/>
  <c r="M28" i="2"/>
  <c r="M30" i="2"/>
  <c r="M32" i="2"/>
  <c r="M34" i="2"/>
  <c r="M36" i="2"/>
  <c r="M38" i="2"/>
  <c r="M40" i="2"/>
  <c r="M44" i="2"/>
  <c r="M47" i="2"/>
  <c r="M48" i="2"/>
  <c r="M51" i="2"/>
  <c r="M54" i="2"/>
  <c r="M57" i="2"/>
  <c r="M139" i="2"/>
  <c r="M150" i="2"/>
  <c r="M25" i="2"/>
  <c r="M27" i="2"/>
  <c r="M29" i="2"/>
  <c r="M31" i="2"/>
  <c r="M33" i="2"/>
  <c r="M35" i="2"/>
  <c r="M37" i="2"/>
  <c r="M39" i="2"/>
  <c r="M42" i="2"/>
  <c r="M45" i="2"/>
  <c r="M50" i="2"/>
  <c r="M53" i="2"/>
  <c r="M56" i="2"/>
  <c r="M141" i="2"/>
  <c r="M98" i="2"/>
  <c r="M103" i="2"/>
  <c r="M109" i="2"/>
  <c r="M115" i="2"/>
  <c r="M120" i="2"/>
  <c r="M125" i="2"/>
  <c r="M132" i="2"/>
  <c r="M136" i="2"/>
  <c r="M142" i="2"/>
  <c r="M147" i="2"/>
  <c r="M152" i="2"/>
  <c r="M156" i="2"/>
  <c r="M160" i="2"/>
  <c r="M12" i="2"/>
  <c r="M13" i="2"/>
  <c r="M14" i="2"/>
  <c r="M15" i="2"/>
  <c r="M16" i="2"/>
  <c r="M17" i="2"/>
  <c r="M18" i="2"/>
  <c r="M19" i="2"/>
  <c r="M20" i="2"/>
  <c r="M21" i="2"/>
  <c r="M22" i="2"/>
  <c r="M23" i="2"/>
  <c r="M41" i="2"/>
  <c r="M43" i="2"/>
  <c r="M46" i="2"/>
  <c r="M49" i="2"/>
  <c r="M52" i="2"/>
  <c r="M55" i="2"/>
  <c r="M58" i="2"/>
  <c r="M146" i="2"/>
  <c r="A11" i="2" a="1"/>
  <c r="M1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<sst xmlns="http://schemas.openxmlformats.org/spreadsheetml/2006/main" count="693" uniqueCount="252">
  <si>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</si>
  <si>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</si>
  <si>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</si>
  <si>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</si>
  <si>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</si>
  <si>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</si>
  <si>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</si>
  <si>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</si>
  <si>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</si>
  <si>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</si>
  <si>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</si>
  <si>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</si>
  <si>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</si>
  <si>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</si>
  <si>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</si>
  <si>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</si>
  <si>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</si>
  <si>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</si>
  <si>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</si>
  <si>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</si>
  <si>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</si>
  <si>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</si>
  <si>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</si>
  <si>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</si>
  <si>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</si>
  <si>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</si>
  <si>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</si>
  <si>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</si>
  <si>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</si>
  <si>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</si>
  <si>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</si>
  <si>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</si>
  <si>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</si>
  <si>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</si>
  <si>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</si>
  <si>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</si>
  <si>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</si>
  <si>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</si>
  <si>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</si>
  <si>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</si>
  <si>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</si>
  <si>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</si>
  <si>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</si>
  <si>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</si>
  <si>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</si>
  <si>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</si>
  <si>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</si>
  <si>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</si>
  <si>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</si>
  <si>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</si>
  <si>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</si>
  <si>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</si>
  <si>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</si>
  <si>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</si>
  <si>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</si>
  <si>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</si>
  <si>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</si>
  <si>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</si>
  <si>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</si>
  <si>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</si>
  <si>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</si>
  <si>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</si>
  <si>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</si>
  <si>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</si>
  <si>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Archim Pameroyan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</si>
  <si>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</si>
  <si>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</si>
  <si>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</si>
  <si>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</si>
  <si>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</si>
  <si>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</si>
  <si>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</si>
  <si>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</si>
  <si>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</si>
  <si>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</si>
  <si>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</si>
  <si>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</si>
  <si>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</si>
  <si>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</si>
  <si>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</si>
  <si>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</si>
  <si>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</si>
  <si>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</si>
  <si>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</si>
  <si>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</si>
  <si>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</si>
  <si>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</si>
  <si>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</si>
  <si>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</si>
  <si>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</si>
  <si>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</si>
  <si>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</si>
  <si>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</si>
  <si>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</si>
  <si>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</si>
  <si>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</si>
  <si>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</si>
  <si>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</si>
  <si>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</si>
  <si>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</si>
  <si>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</si>
  <si>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</si>
  <si>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</si>
  <si>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</si>
  <si>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</si>
  <si>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</si>
  <si>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</si>
  <si>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</si>
  <si>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</si>
  <si>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</si>
  <si>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</si>
  <si>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</si>
  <si>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</si>
  <si>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</si>
  <si>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</si>
  <si>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</si>
  <si>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</si>
  <si>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</si>
  <si>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</si>
  <si>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</si>
  <si>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</si>
  <si>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</si>
  <si>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</si>
  <si>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</si>
  <si>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</si>
  <si>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</si>
  <si>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</si>
  <si>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</si>
  <si>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</si>
  <si>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</si>
  <si>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</si>
  <si>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</si>
  <si>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</si>
  <si>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</si>
  <si>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</si>
  <si>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</si>
  <si>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</si>
  <si>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</si>
  <si>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</si>
  <si>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</si>
  <si>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</si>
  <si>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</si>
  <si>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</si>
  <si>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</si>
  <si>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</si>
  <si>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</si>
  <si>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</si>
  <si>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</si>
  <si>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</si>
  <si>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</si>
  <si>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</si>
  <si>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</si>
  <si>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</si>
  <si>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</si>
  <si>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</si>
  <si>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</si>
  <si>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</si>
  <si>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</si>
  <si>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</si>
  <si>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</si>
  <si>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</si>
  <si>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</si>
  <si>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</si>
  <si>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</si>
  <si>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</si>
  <si>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</si>
  <si>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</si>
  <si>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</si>
  <si>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</si>
  <si>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The dropdown source is maintained on the hidden Dropdowns sheet. Do not change its range or delete the sheet.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</si>
  <si>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</si>
  <si>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</si>
  <si>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</si>
  <si>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</si>
  <si>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</si>
  <si>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</si>
  <si>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</si>
  <si>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</si>
  <si>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</si>
  <si>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</si>
  <si>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</si>
  <si>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</si>
  <si>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</si>
  <si>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</si>
  <si>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</si>
  <si>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</si>
  <si>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</si>
  <si>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</si>
  <si>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</si>
  <si>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</si>
  <si>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</si>
  <si>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</si>
  <si>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</si>
  <si>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</si>
  <si>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</si>
  <si>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</si>
  <si>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</si>
  <si>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</si>
  <si>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</si>
  <si>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</si>
  <si>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</si>
  <si>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</si>
  <si>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</si>
  <si>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</si>
  <si>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</si>
  <si>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</si>
  <si>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</si>
  <si>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</si>
  <si>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</si>
  <si>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</si>
  <si>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</si>
  <si>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</si>
  <si>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</si>
  <si>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</si>
  <si>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</si>
  <si>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</si>
  <si>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</si>
  <si>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</si>
  <si>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</si>
  <si>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</si>
  <si>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</si>
  <si>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</si>
  <si>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</si>
  <si>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</si>
  <si>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Administrative password: adorama2024. Reprotect the sheet after intentional maintenance.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</si>
  <si>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</si>
  <si>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</si>
  <si>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</si>
  <si>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</si>
  <si>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</si>
  <si>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</si>
  <si>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</si>
  <si>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</si>
  <si>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</si>
  <si>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</si>
  <si>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</si>
  <si>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Week Number</t>
  </si>
  <si>
    <t>Current + next week (Sun-Sat)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</si>
  <si>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</si>
  <si>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</si>
  <si>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</si>
  <si>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</si>
  <si>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</si>
  <si>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</si>
  <si>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</si>
  <si>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Updates automatically with the system date in desktop Excel and Excel for the web.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</si>
  <si>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</si>
  <si>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</si>
  <si>
    <t>Loyalty</t>
  </si>
  <si>
    <t>PLCC</t>
  </si>
  <si>
    <t>Use Promo, Services, Loyalty, PLCC, Newsletters, Events, NPA, Others, or blank. Loyalty and PLCC are separate options. Choose Others to enter a custom type in a pop-up (desktop Excel); it fills that row only.</t>
  </si>
  <si>
    <t>Custom entries fill that row only and are not added permanently to the dropdown list.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</si>
</sst>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:mm\ AM/PM"/>
    <numFmt numFmtId="165" formatCode="dddd\,\ mm/dd/yyyy"/>
    <numFmt numFmtId="166" formatCode="dddd\,\ mmmm\ d\,\ yyyy"/>
  </numFmts>
  <fonts count="18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3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2" xfId="0" applyNumberFormat="1" applyFont="1" applyFill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18" fontId="4" fillId="0" borderId="2" xfId="0" applyNumberFormat="1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18" fontId="4" fillId="13" borderId="2" xfId="0" applyNumberFormat="1" applyFont="1" applyFill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8" fontId="4" fillId="14" borderId="0" xfId="0" applyNumberFormat="1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 wrapText="1"/>
    </xf>
    <xf numFmtId="49" fontId="4" fillId="14" borderId="0" xfId="0" applyNumberFormat="1" applyFont="1" applyFill="1" applyAlignment="1">
      <alignment horizontal="center" vertical="center" wrapText="1"/>
    </xf>
    <xf numFmtId="0" fontId="12" fillId="14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4" borderId="0" xfId="1" applyFill="1" applyAlignment="1">
      <alignment horizontal="center" vertical="center" wrapText="1"/>
    </xf>
    <xf numFmtId="3" fontId="4" fillId="14" borderId="0" xfId="0" applyNumberFormat="1" applyFont="1" applyFill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left" vertical="center" wrapText="1"/>
    </xf>
    <xf numFmtId="165" fontId="4" fillId="12" borderId="2" xfId="0" applyNumberFormat="1" applyFont="1" applyFill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165" fontId="4" fillId="13" borderId="2" xfId="0" applyNumberFormat="1" applyFont="1" applyFill="1" applyBorder="1" applyAlignment="1">
      <alignment horizontal="left" vertical="center" wrapText="1"/>
    </xf>
    <xf numFmtId="0" fontId="2" fillId="0" borderId="1" xfId="1" applyFill="1" applyBorder="1" applyAlignment="1">
      <alignment horizontal="center" vertical="center" wrapText="1"/>
    </xf>
    <xf numFmtId="164" fontId="4" fillId="0" borderId="0" xfId="0" applyNumberFormat="1" applyFont="1" applyAlignment="1">
      <alignment horizontal="left" vertical="center" wrapText="1"/>
    </xf>
    <xf numFmtId="164" fontId="4" fillId="14" borderId="0" xfId="0" applyNumberFormat="1" applyFont="1" applyFill="1" applyAlignment="1">
      <alignment horizontal="left" vertical="center" wrapText="1"/>
    </xf>
    <xf numFmtId="164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14" borderId="0" xfId="0" applyNumberFormat="1" applyFont="1" applyFill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" fontId="4" fillId="12" borderId="2" xfId="0" applyNumberFormat="1" applyFont="1" applyFill="1" applyBorder="1" applyAlignment="1">
      <alignment horizontal="left" vertical="center" wrapText="1"/>
    </xf>
    <xf numFmtId="1" fontId="4" fillId="0" borderId="2" xfId="0" applyNumberFormat="1" applyFont="1" applyBorder="1" applyAlignment="1">
      <alignment horizontal="left" vertical="center" wrapText="1"/>
    </xf>
    <xf numFmtId="1" fontId="4" fillId="13" borderId="2" xfId="0" applyNumberFormat="1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17" fillId="16" borderId="4" xfId="0" applyFont="1" applyFill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6" fillId="15" borderId="0" xfId="0" applyFont="1" applyFill="1" applyAlignment="1">
      <alignment horizontal="center" vertical="top" wrapText="1"/>
    </xf>
    <xf numFmtId="0" fontId="6" fillId="8" borderId="2" xfId="0" applyFont="1" applyFill="1" applyBorder="1" applyAlignment="1">
      <alignment horizontal="left" vertical="center" wrapText="1"/>
    </xf>
    <xf numFmtId="1" fontId="14" fillId="8" borderId="2" xfId="0" applyNumberFormat="1" applyFont="1" applyFill="1" applyBorder="1" applyAlignment="1">
      <alignment horizontal="left" vertical="center" wrapText="1"/>
    </xf>
    <xf numFmtId="0" fontId="14" fillId="8" borderId="2" xfId="0" applyFont="1" applyFill="1" applyBorder="1" applyAlignment="1">
      <alignment horizontal="left" vertical="center" wrapText="1"/>
    </xf>
    <xf numFmtId="0" fontId="7" fillId="8" borderId="2" xfId="0" applyFont="1" applyFill="1" applyBorder="1" applyAlignment="1">
      <alignment horizontal="left" vertical="center" wrapText="1"/>
    </xf>
    <xf numFmtId="0" fontId="9" fillId="10" borderId="1" xfId="0" applyFont="1" applyFill="1" applyBorder="1" applyAlignment="1">
      <alignment horizontal="left" vertical="center" wrapText="1"/>
    </xf>
    <xf numFmtId="1" fontId="9" fillId="10" borderId="1" xfId="0" applyNumberFormat="1" applyFont="1" applyFill="1" applyBorder="1" applyAlignment="1">
      <alignment horizontal="left" vertical="center" wrapText="1"/>
    </xf>
    <xf numFmtId="0" fontId="9" fillId="10" borderId="0" xfId="0" applyFont="1" applyFill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6" fillId="4" borderId="2" xfId="0" applyFont="1" applyFill="1" applyBorder="1" applyAlignment="1">
      <alignment horizontal="left" vertical="center" wrapText="1"/>
    </xf>
    <xf numFmtId="0" fontId="8" fillId="9" borderId="1" xfId="0" applyFont="1" applyFill="1" applyBorder="1" applyAlignment="1">
      <alignment horizontal="left" vertical="center" wrapText="1"/>
    </xf>
    <xf numFmtId="1" fontId="8" fillId="9" borderId="1" xfId="0" applyNumberFormat="1" applyFont="1" applyFill="1" applyBorder="1" applyAlignment="1">
      <alignment horizontal="left" vertical="center" wrapText="1"/>
    </xf>
    <xf numFmtId="0" fontId="8" fillId="9" borderId="0" xfId="0" applyFont="1" applyFill="1" applyAlignment="1">
      <alignment horizontal="left" vertical="center" wrapText="1"/>
    </xf>
    <xf numFmtId="0" fontId="13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1" fontId="6" fillId="4" borderId="2" xfId="0" applyNumberFormat="1" applyFont="1" applyFill="1" applyBorder="1" applyAlignment="1">
      <alignment horizontal="left" vertical="center" wrapText="1"/>
    </xf>
    <xf numFmtId="1" fontId="14" fillId="4" borderId="2" xfId="0" applyNumberFormat="1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1" fontId="14" fillId="5" borderId="2" xfId="0" applyNumberFormat="1" applyFont="1" applyFill="1" applyBorder="1" applyAlignment="1">
      <alignment horizontal="left" vertical="center" wrapText="1"/>
    </xf>
    <xf numFmtId="0" fontId="14" fillId="5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" fontId="14" fillId="6" borderId="2" xfId="0" applyNumberFormat="1" applyFont="1" applyFill="1" applyBorder="1" applyAlignment="1">
      <alignment horizontal="left" vertical="center" wrapText="1"/>
    </xf>
    <xf numFmtId="0" fontId="14" fillId="6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1" fontId="14" fillId="7" borderId="2" xfId="0" applyNumberFormat="1" applyFont="1" applyFill="1" applyBorder="1" applyAlignment="1">
      <alignment horizontal="left"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24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000000"/>
      </font>
      <fill>
        <patternFill>
          <bgColor rgb="FFFFFF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98" dataDxfId="97" totalsRowDxfId="96">
  <tableColumns count="12">
    <tableColumn id="1" xr3:uid="{00000000-0010-0000-0100-000001000000}" name="Send Date" dataDxfId="95">
      <calculatedColumnFormula array="1">IFERROR(INDEX(_xlfn.ANCHORARRAY($AA$11),ROW()-10,1),"")</calculatedColumnFormula>
    </tableColumn>
    <tableColumn id="2" xr3:uid="{00000000-0010-0000-0100-000002000000}" name="Time" dataDxfId="94">
      <calculatedColumnFormula array="1">IFERROR(INDEX(_xlfn.ANCHORARRAY($AA$11),ROW()-10,2),"")</calculatedColumnFormula>
    </tableColumn>
    <tableColumn id="3" xr3:uid="{00000000-0010-0000-0100-000003000000}" name="Channel" dataDxfId="93">
      <calculatedColumnFormula array="1">IFERROR(INDEX(_xlfn.ANCHORARRAY($AA$11),ROW()-10,3),"")</calculatedColumnFormula>
    </tableColumn>
    <tableColumn id="4" xr3:uid="{00000000-0010-0000-0100-000004000000}" name="Campaign" dataDxfId="92">
      <calculatedColumnFormula array="1">IFERROR(INDEX(_xlfn.ANCHORARRAY($AA$11),ROW()-10,4),"")</calculatedColumnFormula>
    </tableColumn>
    <tableColumn id="5" xr3:uid="{00000000-0010-0000-0100-000005000000}" name="Type" dataDxfId="91">
      <calculatedColumnFormula array="1">IFERROR(INDEX(_xlfn.ANCHORARRAY($AA$11),ROW()-10,5),"")</calculatedColumnFormula>
    </tableColumn>
    <tableColumn id="6" xr3:uid="{00000000-0010-0000-0100-000006000000}" name="Stage" dataDxfId="90">
      <calculatedColumnFormula array="1">IFERROR(INDEX(_xlfn.ANCHORARRAY($AA$11),ROW()-10,6),"")</calculatedColumnFormula>
    </tableColumn>
    <tableColumn id="7" xr3:uid="{00000000-0010-0000-0100-000007000000}" name="Owner" dataDxfId="89">
      <calculatedColumnFormula array="1">IFERROR(INDEX(_xlfn.ANCHORARRAY($AA$11),ROW()-10,7),"")</calculatedColumnFormula>
    </tableColumn>
    <tableColumn id="8" xr3:uid="{00000000-0010-0000-0100-000008000000}" name="Approval" dataDxfId="88">
      <calculatedColumnFormula array="1">IFERROR(INDEX(_xlfn.ANCHORARRAY($AA$11),ROW()-10,8),"")</calculatedColumnFormula>
    </tableColumn>
    <tableColumn id="9" xr3:uid="{00000000-0010-0000-0100-000009000000}" name="Segments" dataDxfId="87">
      <calculatedColumnFormula array="1">IFERROR(INDEX(_xlfn.ANCHORARRAY($AA$11),ROW()-10,9),"")</calculatedColumnFormula>
    </tableColumn>
    <tableColumn id="10" xr3:uid="{00000000-0010-0000-0100-00000A000000}" name="Jira" dataDxfId="8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8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8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70" dataDxfId="69" totalsRowDxfId="68">
  <autoFilter ref="A1:V205" xr:uid="{00000000-000C-0000-FFFF-FFFF00000000}"/>
  <tableColumns count="22">
    <tableColumn id="2" xr3:uid="{00000000-0010-0000-0000-000002000000}" name="Send Date" dataDxfId="67"/>
    <tableColumn id="3" xr3:uid="{00000000-0010-0000-0000-000003000000}" name="Send Time" dataDxfId="66"/>
    <tableColumn id="4" xr3:uid="{00000000-0010-0000-0000-000004000000}" name="Campaign Name" dataDxfId="65"/>
    <tableColumn id="5" xr3:uid="{00000000-0010-0000-0000-000005000000}" name="Campaign Type" dataDxfId="64"/>
    <tableColumn id="6" xr3:uid="{00000000-0010-0000-0000-000006000000}" name="Current Stage" dataDxfId="63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62"/>
    <tableColumn id="1" xr3:uid="{B2077B23-1D1A-459D-9583-F63147D6D936}" name="Campaign Name and UTM Parameter (Source Code)" dataDxfId="61"/>
    <tableColumn id="8" xr3:uid="{63A16BD6-6B10-4AD5-B57D-B92EA2935F36}" name="Creative Brief, SL &amp; PH" dataDxfId="60"/>
    <tableColumn id="9" xr3:uid="{23EAD37F-5B0E-461E-85FF-0AAFD24BAA68}" name="SKUs" dataDxfId="59"/>
    <tableColumn id="10" xr3:uid="{9640EB9F-78BB-44D9-B70D-05FDE06036E4}" name="In-Design" dataDxfId="58"/>
    <tableColumn id="11" xr3:uid="{ADDF4395-0E99-41A9-BED7-3DBCF6006F91}" name="Build, QA" dataDxfId="57"/>
    <tableColumn id="12" xr3:uid="{6DF2B722-97C3-4902-87DE-A2A9727C8024}" name="Route" dataDxfId="56"/>
    <tableColumn id="14" xr3:uid="{2C5B824E-A4DE-4EA9-87E9-7663BB92F9D4}" name="Approval" dataDxfId="55"/>
    <tableColumn id="15" xr3:uid="{4CE14FFB-3FFB-4445-B89C-5D3C3D24D6C0}" name="Segments" dataDxfId="54"/>
    <tableColumn id="17" xr3:uid="{00000000-0010-0000-0000-000011000000}" name="Jira Link" dataDxfId="53"/>
    <tableColumn id="18" xr3:uid="{00000000-0010-0000-0000-000012000000}" name="ClickUp Link" dataDxfId="52"/>
    <tableColumn id="19" xr3:uid="{00000000-0010-0000-0000-000013000000}" name="Bluecore/Attentive Link" dataDxfId="51"/>
    <tableColumn id="20" xr3:uid="{00000000-0010-0000-0000-000014000000}" name="Est. Audience" dataDxfId="50"/>
    <tableColumn id="21" xr3:uid="{00000000-0010-0000-0000-000015000000}" name="Delivered" dataDxfId="49"/>
    <tableColumn id="23" xr3:uid="{00000000-0010-0000-0000-000017000000}" name="Last Updated" dataDxfId="48"/>
    <tableColumn id="13" xr3:uid="{6717C158-5D55-49BD-B0A1-8EF5E6BE7E59}" name="Last Updated By" dataDxfId="47"/>
    <tableColumn id="16" xr3:uid="{45C4D116-AEA5-4484-9652-2029E5D3A263}" name="Notes" dataDxfId="46" totalsRow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25" dataDxfId="24">
  <autoFilter ref="A1:Q201" xr:uid="{5BA5B085-3B5F-4682-B501-752F9044F617}"/>
  <tableColumns count="17">
    <tableColumn id="1" xr3:uid="{A00F9C46-9585-47C9-83D4-D97802A976D5}" name="Send Date" dataDxfId="23"/>
    <tableColumn id="2" xr3:uid="{FA54A5FD-1AB7-4749-AF9C-A820CCD54864}" name="Send Time" dataDxfId="22"/>
    <tableColumn id="3" xr3:uid="{D8232C60-1B45-4E39-B4FB-F7D15854588A}" name="Campaign Name" dataDxfId="21"/>
    <tableColumn id="4" xr3:uid="{488CC129-7AB9-4CDE-A0F4-708CCF476FDC}" name="Campaign Type" dataDxfId="20"/>
    <tableColumn id="5" xr3:uid="{60402621-821D-4B42-BBBF-04ECD600240D}" name="Current Stage" dataDxfId="19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18"/>
    <tableColumn id="7" xr3:uid="{C602E6A7-154A-4913-82F7-B1297F8FB4AA}" name="Send SMS Options" dataDxfId="17"/>
    <tableColumn id="8" xr3:uid="{050AA88E-4FCE-418E-B3E4-7BADF355F594}" name="Send Test" dataDxfId="16"/>
    <tableColumn id="9" xr3:uid="{CD7DB146-3A9F-407E-8AE2-FB08A35D3255}" name="Approval" dataDxfId="15"/>
    <tableColumn id="10" xr3:uid="{85A3C652-A90B-4131-9C59-60C896B66276}" name="Segments" dataDxfId="14"/>
    <tableColumn id="11" xr3:uid="{E3A201AA-BB4D-46BF-87B3-3EC3AB5D84A8}" name="Proof of Schedule" dataDxfId="13"/>
    <tableColumn id="13" xr3:uid="{F3B86E58-9B1C-4BE7-ACD4-4A17ABF9CF1F}" name="Bluecore/Attentive Link" dataDxfId="12"/>
    <tableColumn id="14" xr3:uid="{AB05A972-8E88-4F0F-A2C0-E592CA11CF69}" name="Est. Audience" dataDxfId="11"/>
    <tableColumn id="15" xr3:uid="{031FC6D8-9EA2-4822-8ABB-1D691F532C78}" name="Delivered" dataDxfId="10"/>
    <tableColumn id="16" xr3:uid="{677491C6-5902-44D9-B11E-9456715084CA}" name="Last Updated" dataDxfId="9"/>
    <tableColumn id="17" xr3:uid="{D2166D60-5145-4BCB-A4C1-8E83A65F8013}" name="Last Updated By" dataDxfId="8"/>
    <tableColumn id="18" xr3:uid="{98F5A958-53CF-45DE-B03D-F670270697A7}" name="Notes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5E59F2-8581-40C7-928F-7BA58BBE6B50}" name="NotesTable" displayName="NotesTable" ref="A3:E23" totalsRowShown="0" headerRowDxfId="123" dataDxfId="122">
  <autoFilter ref="A3:E23" xr:uid="{5D5E59F2-8581-40C7-928F-7BA58BBE6B50}"/>
  <tableColumns count="5">
    <tableColumn id="1" xr3:uid="{741F742D-336F-4E12-A068-66F96F96B6AF}" name="Component" dataDxfId="121"/>
    <tableColumn id="2" xr3:uid="{652E1418-2314-4776-8C1D-5C54DF3EBD35}" name="Action" dataDxfId="120"/>
    <tableColumn id="3" xr3:uid="{62FD2DDB-12E2-4A65-AF94-734A4F374FDE}" name="How It Works" dataDxfId="119"/>
    <tableColumn id="4" xr3:uid="{3454F053-3A76-4A5D-9282-5C712C16BA85}" name="Required / Avoid" dataDxfId="118"/>
    <tableColumn id="5" xr3:uid="{89339746-135F-4D9A-9F57-7B9DF557D0E0}" name="Compatibility Notes" dataDxfId="117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2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M11" sqref="M11:M160"/>
    </sheetView>
  </sheetViews>
  <sheetFormatPr defaultRowHeight="15"/>
  <cols>
    <col min="1" max="1" width="28.625" style="31" customWidth="1"/>
    <col min="2" max="2" width="24.625" style="31" customWidth="1"/>
    <col min="3" max="3" width="15.625" style="31" customWidth="1"/>
    <col min="4" max="4" width="32.625" style="31" customWidth="1"/>
    <col min="5" max="5" width="14.625" style="31" customWidth="1"/>
    <col min="6" max="6" width="42.625" style="16" customWidth="1"/>
    <col min="7" max="7" width="16.625" style="31" customWidth="1"/>
    <col min="8" max="9" width="12.625" style="31" customWidth="1"/>
    <col min="10" max="12" width="11.625" style="31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5" t="s">
        <v>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"/>
      <c r="N1" s="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76" t="s">
        <v>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"/>
      <c r="N2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3" t="s">
        <v>5</v>
      </c>
      <c r="B3" s="13" t="str">
        <f ca="1">TEXT(NOW(),"m/d/yyyy h:mm AM/PM")</f>
        <v>6/15/2026 2:27 pm</v>
      </c>
      <c r="C3" s="14" t="s">
        <v>6</v>
      </c>
      <c r="D3" s="15" t="str">
        <f>$AA$3</f>
        <v>Kim Chim</v>
      </c>
      <c r="E3" s="16"/>
      <c r="G3" s="16"/>
      <c r="H3" s="16"/>
      <c r="I3" s="16"/>
      <c r="J3" s="16"/>
      <c r="K3" s="16"/>
      <c r="L3" s="16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71" t="s">
        <v>7</v>
      </c>
      <c r="B4" s="78"/>
      <c r="C4" s="80" t="s">
        <v>8</v>
      </c>
      <c r="D4" s="80"/>
      <c r="E4" s="84" t="s">
        <v>9</v>
      </c>
      <c r="F4" s="84"/>
      <c r="G4" s="88" t="s">
        <v>10</v>
      </c>
      <c r="H4" s="88"/>
      <c r="I4" s="71" t="s">
        <v>11</v>
      </c>
      <c r="J4" s="71"/>
      <c r="K4" s="63" t="s">
        <v>12</v>
      </c>
      <c r="L4" s="63"/>
      <c r="M4" s="63" t="s">
        <v>236</v>
      </c>
      <c r="N4" s="63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79">
        <f>E5+G5</f>
        <v>1</v>
      </c>
      <c r="B5" s="79"/>
      <c r="C5" s="81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82"/>
      <c r="E5" s="85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1</v>
      </c>
      <c r="F5" s="86"/>
      <c r="G5" s="89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H5" s="90"/>
      <c r="I5" s="79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92"/>
      <c r="K5" s="64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14</v>
      </c>
      <c r="L5" s="65"/>
      <c r="M5" s="64" t="str">
        <f ca="1">WEEKNUM(TODAY(),1)&amp;"-"&amp;WEEKNUM(TODAY()+7,1)</f>
        <v>25-26</v>
      </c>
      <c r="N5" s="65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70" t="s">
        <v>13</v>
      </c>
      <c r="B6" s="78"/>
      <c r="C6" s="83" t="s">
        <v>14</v>
      </c>
      <c r="D6" s="80"/>
      <c r="E6" s="87" t="s">
        <v>15</v>
      </c>
      <c r="F6" s="84"/>
      <c r="G6" s="91" t="s">
        <v>16</v>
      </c>
      <c r="H6" s="88"/>
      <c r="I6" s="70" t="s">
        <v>17</v>
      </c>
      <c r="J6" s="71"/>
      <c r="K6" s="66" t="s">
        <v>18</v>
      </c>
      <c r="L6" s="63"/>
      <c r="M6" s="66" t="s">
        <v>237</v>
      </c>
      <c r="N6" s="63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>
      <c r="A8" s="72" t="s">
        <v>19</v>
      </c>
      <c r="B8" s="73"/>
      <c r="C8" s="74"/>
      <c r="D8" s="74"/>
      <c r="E8" s="74"/>
      <c r="F8" s="74"/>
      <c r="G8" s="74"/>
      <c r="H8" s="74"/>
      <c r="I8" s="74"/>
      <c r="J8" s="74"/>
      <c r="K8" s="74"/>
      <c r="L8" s="74"/>
      <c r="M8" s="7"/>
      <c r="N8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>
      <c r="A9" s="67" t="s">
        <v>20</v>
      </c>
      <c r="B9" s="68"/>
      <c r="C9" s="69"/>
      <c r="D9" s="69"/>
      <c r="E9" s="69"/>
      <c r="F9" s="69"/>
      <c r="G9" s="69"/>
      <c r="H9" s="69"/>
      <c r="I9" s="69"/>
      <c r="J9" s="69"/>
      <c r="K9" s="69"/>
      <c r="L9" s="69"/>
      <c r="M9" s="7"/>
      <c r="N9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7" t="s">
        <v>21</v>
      </c>
      <c r="B10" s="18" t="s">
        <v>22</v>
      </c>
      <c r="C10" s="17" t="s">
        <v>23</v>
      </c>
      <c r="D10" s="17" t="s">
        <v>24</v>
      </c>
      <c r="E10" s="17" t="s">
        <v>25</v>
      </c>
      <c r="F10" s="17" t="s">
        <v>26</v>
      </c>
      <c r="G10" s="17" t="s">
        <v>27</v>
      </c>
      <c r="H10" s="17" t="s">
        <v>28</v>
      </c>
      <c r="I10" s="17" t="s">
        <v>29</v>
      </c>
      <c r="J10" s="17" t="s">
        <v>30</v>
      </c>
      <c r="K10" s="17" t="s">
        <v>31</v>
      </c>
      <c r="L10" s="17" t="s">
        <v>32</v>
      </c>
      <c r="M10" s="59" t="s">
        <v>236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54" t="str" cm="1">
        <f t="array" aca="1" ref="A11" ca="1">IFERROR(INDEX(_xlfn.ANCHORARRAY($AA$11),ROW()-10,1),"")</f>
        <v/>
      </c>
      <c r="B11" s="19" t="str" cm="1">
        <f t="array" aca="1" ref="B11" ca="1">IFERROR(INDEX(_xlfn.ANCHORARRAY($AA$11),ROW()-10,2),"")</f>
        <v/>
      </c>
      <c r="C11" s="20" t="str" cm="1">
        <f t="array" aca="1" ref="C11" ca="1">IFERROR(INDEX(_xlfn.ANCHORARRAY($AA$11),ROW()-10,3),"")</f>
        <v/>
      </c>
      <c r="D11" s="20" t="str" cm="1">
        <f t="array" aca="1" ref="D11" ca="1">IFERROR(INDEX(_xlfn.ANCHORARRAY($AA$11),ROW()-10,4),"")</f>
        <v/>
      </c>
      <c r="E11" s="20" t="str" cm="1">
        <f t="array" aca="1" ref="E11" ca="1">IFERROR(INDEX(_xlfn.ANCHORARRAY($AA$11),ROW()-10,5),"")</f>
        <v/>
      </c>
      <c r="F11" s="20" t="str" cm="1">
        <f t="array" aca="1" ref="F11" ca="1">IFERROR(INDEX(_xlfn.ANCHORARRAY($AA$11),ROW()-10,6),"")</f>
        <v/>
      </c>
      <c r="G11" s="20" t="str" cm="1">
        <f t="array" aca="1" ref="G11" ca="1">IFERROR(INDEX(_xlfn.ANCHORARRAY($AA$11),ROW()-10,7),"")</f>
        <v/>
      </c>
      <c r="H11" s="20" t="str" cm="1">
        <f t="array" aca="1" ref="H11" ca="1">IFERROR(INDEX(_xlfn.ANCHORARRAY($AA$11),ROW()-10,8),"")</f>
        <v/>
      </c>
      <c r="I11" s="20" t="str" cm="1">
        <f t="array" aca="1" ref="I11" ca="1">IFERROR(INDEX(_xlfn.ANCHORARRAY($AA$11),ROW()-10,9),"")</f>
        <v/>
      </c>
      <c r="J11" s="21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1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1" t="str" cm="1">
        <f t="array" aca="1" ref="L11" ca="1">_xlfn.LET(_xlpm.link,IFERROR(INDEX(_xlfn.ANCHORARRAY($AA$11),ROW()-10,12),""),IF(_xlpm.link="","",HYPERLINK(_xlpm.link,"Bluecore/Attentive")))</f>
        <v/>
      </c>
      <c r="M11" s="60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t="str" cm="1">
        <f t="array" aca="1" ref="AA11" ca="1">_xlfn.LET(_xlpm.ws,TODAY()-WEEKDAY(TODAY(),1)+1,_xlpm.we,_xlpm.ws+13,_xlpm.empty,_xlfn.HSTACK("","","","","","","","","","","",""),_xlpm.eCancel,((LOWER(TRIM(EmailCampaignsTable[Current Stage]))="cancelled")+(LOWER(TRIM(EmailCampaignsTable[Current Stage]))="canceled")+(LOWER(TRIM(EmailCampaignsTable[Notes]))="cancelled")+(LOWER(TRIM(EmailCampaignsTable[Notes]))="canceled"))&gt;0,_xlpm.email,_xlfn._xlws.FILTER(_xlfn.HSTACK(EmailCampaignsTable[Send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Date]),0)&lt;=_xlpm.we)*(_xlpm.eCancel=FALSE),_xlpm.empty),_xlpm.sCancel,((LOWER(TRIM(SMSCampaignsTable[Current Stage]))="cancelled")+(LOWER(TRIM(SMSCampaignsTable[Current Stage]))="canceled")+(LOWER(TRIM(SMSCampaignsTable[Notes]))="cancelled")+(LOWER(TRIM(SMSCampaignsTable[Notes]))="canceled"))&gt;0,_xlpm.sms,_xlfn._xlws.FILTER(_xlfn.HSTACK(SMSCampaignsTable[Send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_xlpm.sCancel=FALS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54" t="str" cm="1">
        <f t="array" aca="1" ref="A12" ca="1">IFERROR(INDEX(_xlfn.ANCHORARRAY($AA$11),ROW()-10,1),"")</f>
        <v/>
      </c>
      <c r="B12" s="19" t="str" cm="1">
        <f t="array" aca="1" ref="B12" ca="1">IFERROR(INDEX(_xlfn.ANCHORARRAY($AA$11),ROW()-10,2),"")</f>
        <v/>
      </c>
      <c r="C12" s="16" t="str" cm="1">
        <f t="array" aca="1" ref="C12" ca="1">IFERROR(INDEX(_xlfn.ANCHORARRAY($AA$11),ROW()-10,3),"")</f>
        <v/>
      </c>
      <c r="D12" s="16" t="str" cm="1">
        <f t="array" aca="1" ref="D12" ca="1">IFERROR(INDEX(_xlfn.ANCHORARRAY($AA$11),ROW()-10,4),"")</f>
        <v/>
      </c>
      <c r="E12" s="16" t="str" cm="1">
        <f t="array" aca="1" ref="E12" ca="1">IFERROR(INDEX(_xlfn.ANCHORARRAY($AA$11),ROW()-10,5),"")</f>
        <v/>
      </c>
      <c r="F12" s="16" t="str" cm="1">
        <f t="array" aca="1" ref="F12" ca="1">IFERROR(INDEX(_xlfn.ANCHORARRAY($AA$11),ROW()-10,6),"")</f>
        <v/>
      </c>
      <c r="G12" s="16" t="str" cm="1">
        <f t="array" aca="1" ref="G12" ca="1">IFERROR(INDEX(_xlfn.ANCHORARRAY($AA$11),ROW()-10,7),"")</f>
        <v/>
      </c>
      <c r="H12" s="16" t="str" cm="1">
        <f t="array" aca="1" ref="H12" ca="1">IFERROR(INDEX(_xlfn.ANCHORARRAY($AA$11),ROW()-10,8),"")</f>
        <v/>
      </c>
      <c r="I12" s="16" t="str" cm="1">
        <f t="array" aca="1" ref="I12" ca="1">IFERROR(INDEX(_xlfn.ANCHORARRAY($AA$11),ROW()-10,9),"")</f>
        <v/>
      </c>
      <c r="J12" s="21" t="str">
        <f t="shared" ca="1" si="0"/>
        <v/>
      </c>
      <c r="K12" s="20" t="str">
        <f t="shared" ca="1" si="1"/>
        <v/>
      </c>
      <c r="L12" s="20" t="str" cm="1">
        <f t="array" aca="1" ref="L12" ca="1">_xlfn.LET(_xlpm.link,IFERROR(INDEX(_xlfn.ANCHORARRAY($AA$11),ROW()-10,12),""),IF(_xlpm.link="","",HYPERLINK(_xlpm.link,"Bluecore/Attentive")))</f>
        <v/>
      </c>
      <c r="M12" s="61" t="str">
        <f t="shared" ca="1" si="2"/>
        <v/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54" t="str" cm="1">
        <f t="array" aca="1" ref="A13" ca="1">IFERROR(INDEX(_xlfn.ANCHORARRAY($AA$11),ROW()-10,1),"")</f>
        <v/>
      </c>
      <c r="B13" s="19" t="str" cm="1">
        <f t="array" aca="1" ref="B13" ca="1">IFERROR(INDEX(_xlfn.ANCHORARRAY($AA$11),ROW()-10,2),"")</f>
        <v/>
      </c>
      <c r="C13" s="16" t="str" cm="1">
        <f t="array" aca="1" ref="C13" ca="1">IFERROR(INDEX(_xlfn.ANCHORARRAY($AA$11),ROW()-10,3),"")</f>
        <v/>
      </c>
      <c r="D13" s="16" t="str" cm="1">
        <f t="array" aca="1" ref="D13" ca="1">IFERROR(INDEX(_xlfn.ANCHORARRAY($AA$11),ROW()-10,4),"")</f>
        <v/>
      </c>
      <c r="E13" s="16" t="str" cm="1">
        <f t="array" aca="1" ref="E13" ca="1">IFERROR(INDEX(_xlfn.ANCHORARRAY($AA$11),ROW()-10,5),"")</f>
        <v/>
      </c>
      <c r="F13" s="16" t="str" cm="1">
        <f t="array" aca="1" ref="F13" ca="1">IFERROR(INDEX(_xlfn.ANCHORARRAY($AA$11),ROW()-10,6),"")</f>
        <v/>
      </c>
      <c r="G13" s="16" t="str" cm="1">
        <f t="array" aca="1" ref="G13" ca="1">IFERROR(INDEX(_xlfn.ANCHORARRAY($AA$11),ROW()-10,7),"")</f>
        <v/>
      </c>
      <c r="H13" s="16" t="str" cm="1">
        <f t="array" aca="1" ref="H13" ca="1">IFERROR(INDEX(_xlfn.ANCHORARRAY($AA$11),ROW()-10,8),"")</f>
        <v/>
      </c>
      <c r="I13" s="16" t="str" cm="1">
        <f t="array" aca="1" ref="I13" ca="1">IFERROR(INDEX(_xlfn.ANCHORARRAY($AA$11),ROW()-10,9),"")</f>
        <v/>
      </c>
      <c r="J13" s="21" t="str">
        <f t="shared" ca="1" si="0"/>
        <v/>
      </c>
      <c r="K13" s="22" t="str">
        <f t="shared" ca="1" si="1"/>
        <v/>
      </c>
      <c r="L13" s="22" t="str" cm="1">
        <f t="array" aca="1" ref="L13" ca="1">_xlfn.LET(_xlpm.link,IFERROR(INDEX(_xlfn.ANCHORARRAY($AA$11),ROW()-10,12),""),IF(_xlpm.link="","",HYPERLINK(_xlpm.link,"Bluecore/Attentive")))</f>
        <v/>
      </c>
      <c r="M13" s="60" t="str">
        <f t="shared" ca="1" si="2"/>
        <v/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54" t="str" cm="1">
        <f t="array" aca="1" ref="A14" ca="1">IFERROR(INDEX(_xlfn.ANCHORARRAY($AA$11),ROW()-10,1),"")</f>
        <v/>
      </c>
      <c r="B14" s="19" t="str" cm="1">
        <f t="array" aca="1" ref="B14" ca="1">IFERROR(INDEX(_xlfn.ANCHORARRAY($AA$11),ROW()-10,2),"")</f>
        <v/>
      </c>
      <c r="C14" s="16" t="str" cm="1">
        <f t="array" aca="1" ref="C14" ca="1">IFERROR(INDEX(_xlfn.ANCHORARRAY($AA$11),ROW()-10,3),"")</f>
        <v/>
      </c>
      <c r="D14" s="16" t="str" cm="1">
        <f t="array" aca="1" ref="D14" ca="1">IFERROR(INDEX(_xlfn.ANCHORARRAY($AA$11),ROW()-10,4),"")</f>
        <v/>
      </c>
      <c r="E14" s="16" t="str" cm="1">
        <f t="array" aca="1" ref="E14" ca="1">IFERROR(INDEX(_xlfn.ANCHORARRAY($AA$11),ROW()-10,5),"")</f>
        <v/>
      </c>
      <c r="F14" s="16" t="str" cm="1">
        <f t="array" aca="1" ref="F14" ca="1">IFERROR(INDEX(_xlfn.ANCHORARRAY($AA$11),ROW()-10,6),"")</f>
        <v/>
      </c>
      <c r="G14" s="16" t="str" cm="1">
        <f t="array" aca="1" ref="G14" ca="1">IFERROR(INDEX(_xlfn.ANCHORARRAY($AA$11),ROW()-10,7),"")</f>
        <v/>
      </c>
      <c r="H14" s="16" t="str" cm="1">
        <f t="array" aca="1" ref="H14" ca="1">IFERROR(INDEX(_xlfn.ANCHORARRAY($AA$11),ROW()-10,8),"")</f>
        <v/>
      </c>
      <c r="I14" s="16" t="str" cm="1">
        <f t="array" aca="1" ref="I14" ca="1">IFERROR(INDEX(_xlfn.ANCHORARRAY($AA$11),ROW()-10,9),"")</f>
        <v/>
      </c>
      <c r="J14" s="21" t="str">
        <f t="shared" ca="1" si="0"/>
        <v/>
      </c>
      <c r="K14" s="23" t="str">
        <f t="shared" ca="1" si="1"/>
        <v/>
      </c>
      <c r="L14" s="23" t="str" cm="1">
        <f t="array" aca="1" ref="L14" ca="1">_xlfn.LET(_xlpm.link,IFERROR(INDEX(_xlfn.ANCHORARRAY($AA$11),ROW()-10,12),""),IF(_xlpm.link="","",HYPERLINK(_xlpm.link,"Bluecore/Attentive")))</f>
        <v/>
      </c>
      <c r="M14" s="61" t="str">
        <f t="shared" ca="1" si="2"/>
        <v/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54" t="str" cm="1">
        <f t="array" aca="1" ref="A15" ca="1">IFERROR(INDEX(_xlfn.ANCHORARRAY($AA$11),ROW()-10,1),"")</f>
        <v/>
      </c>
      <c r="B15" s="19" t="str" cm="1">
        <f t="array" aca="1" ref="B15" ca="1">IFERROR(INDEX(_xlfn.ANCHORARRAY($AA$11),ROW()-10,2),"")</f>
        <v/>
      </c>
      <c r="C15" s="16" t="str" cm="1">
        <f t="array" aca="1" ref="C15" ca="1">IFERROR(INDEX(_xlfn.ANCHORARRAY($AA$11),ROW()-10,3),"")</f>
        <v/>
      </c>
      <c r="D15" s="16" t="str" cm="1">
        <f t="array" aca="1" ref="D15" ca="1">IFERROR(INDEX(_xlfn.ANCHORARRAY($AA$11),ROW()-10,4),"")</f>
        <v/>
      </c>
      <c r="E15" s="16" t="str" cm="1">
        <f t="array" aca="1" ref="E15" ca="1">IFERROR(INDEX(_xlfn.ANCHORARRAY($AA$11),ROW()-10,5),"")</f>
        <v/>
      </c>
      <c r="F15" s="16" t="str" cm="1">
        <f t="array" aca="1" ref="F15" ca="1">IFERROR(INDEX(_xlfn.ANCHORARRAY($AA$11),ROW()-10,6),"")</f>
        <v/>
      </c>
      <c r="G15" s="16" t="str" cm="1">
        <f t="array" aca="1" ref="G15" ca="1">IFERROR(INDEX(_xlfn.ANCHORARRAY($AA$11),ROW()-10,7),"")</f>
        <v/>
      </c>
      <c r="H15" s="16" t="str" cm="1">
        <f t="array" aca="1" ref="H15" ca="1">IFERROR(INDEX(_xlfn.ANCHORARRAY($AA$11),ROW()-10,8),"")</f>
        <v/>
      </c>
      <c r="I15" s="16" t="str" cm="1">
        <f t="array" aca="1" ref="I15" ca="1">IFERROR(INDEX(_xlfn.ANCHORARRAY($AA$11),ROW()-10,9),"")</f>
        <v/>
      </c>
      <c r="J15" s="21" t="str">
        <f t="shared" ca="1" si="0"/>
        <v/>
      </c>
      <c r="K15" s="20" t="str">
        <f t="shared" ca="1" si="1"/>
        <v/>
      </c>
      <c r="L15" s="20" t="str" cm="1">
        <f t="array" aca="1" ref="L15" ca="1">_xlfn.LET(_xlpm.link,IFERROR(INDEX(_xlfn.ANCHORARRAY($AA$11),ROW()-10,12),""),IF(_xlpm.link="","",HYPERLINK(_xlpm.link,"Bluecore/Attentive")))</f>
        <v/>
      </c>
      <c r="M15" s="60" t="str">
        <f t="shared" ca="1" si="2"/>
        <v/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55" t="str" cm="1">
        <f t="array" aca="1" ref="A16" ca="1">IFERROR(INDEX(_xlfn.ANCHORARRAY($AA$11),ROW()-10,1),"")</f>
        <v/>
      </c>
      <c r="B16" s="24" t="str" cm="1">
        <f t="array" aca="1" ref="B16" ca="1">IFERROR(INDEX(_xlfn.ANCHORARRAY($AA$11),ROW()-10,2),"")</f>
        <v/>
      </c>
      <c r="C16" s="16" t="str" cm="1">
        <f t="array" aca="1" ref="C16" ca="1">IFERROR(INDEX(_xlfn.ANCHORARRAY($AA$11),ROW()-10,3),"")</f>
        <v/>
      </c>
      <c r="D16" s="16" t="str" cm="1">
        <f t="array" aca="1" ref="D16" ca="1">IFERROR(INDEX(_xlfn.ANCHORARRAY($AA$11),ROW()-10,4),"")</f>
        <v/>
      </c>
      <c r="E16" s="16" t="str" cm="1">
        <f t="array" aca="1" ref="E16" ca="1">IFERROR(INDEX(_xlfn.ANCHORARRAY($AA$11),ROW()-10,5),"")</f>
        <v/>
      </c>
      <c r="F16" s="16" t="str" cm="1">
        <f t="array" aca="1" ref="F16" ca="1">IFERROR(INDEX(_xlfn.ANCHORARRAY($AA$11),ROW()-10,6),"")</f>
        <v/>
      </c>
      <c r="G16" s="16" t="str" cm="1">
        <f t="array" aca="1" ref="G16" ca="1">IFERROR(INDEX(_xlfn.ANCHORARRAY($AA$11),ROW()-10,7),"")</f>
        <v/>
      </c>
      <c r="H16" s="16" t="str" cm="1">
        <f t="array" aca="1" ref="H16" ca="1">IFERROR(INDEX(_xlfn.ANCHORARRAY($AA$11),ROW()-10,8),"")</f>
        <v/>
      </c>
      <c r="I16" s="16" t="str" cm="1">
        <f t="array" aca="1" ref="I16" ca="1">IFERROR(INDEX(_xlfn.ANCHORARRAY($AA$11),ROW()-10,9),"")</f>
        <v/>
      </c>
      <c r="J16" s="21" t="str">
        <f t="shared" ca="1" si="0"/>
        <v/>
      </c>
      <c r="K16" s="23" t="str">
        <f t="shared" ca="1" si="1"/>
        <v/>
      </c>
      <c r="L16" s="23" t="str" cm="1">
        <f t="array" aca="1" ref="L16" ca="1">_xlfn.LET(_xlpm.link,IFERROR(INDEX(_xlfn.ANCHORARRAY($AA$11),ROW()-10,12),""),IF(_xlpm.link="","",HYPERLINK(_xlpm.link,"Bluecore/Attentive")))</f>
        <v/>
      </c>
      <c r="M16" s="61" t="str">
        <f t="shared" ca="1" si="2"/>
        <v/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55" t="str" cm="1">
        <f t="array" aca="1" ref="A17" ca="1">IFERROR(INDEX(_xlfn.ANCHORARRAY($AA$11),ROW()-10,1),"")</f>
        <v/>
      </c>
      <c r="B17" s="24" t="str" cm="1">
        <f t="array" aca="1" ref="B17" ca="1">IFERROR(INDEX(_xlfn.ANCHORARRAY($AA$11),ROW()-10,2),"")</f>
        <v/>
      </c>
      <c r="C17" s="16" t="str" cm="1">
        <f t="array" aca="1" ref="C17" ca="1">IFERROR(INDEX(_xlfn.ANCHORARRAY($AA$11),ROW()-10,3),"")</f>
        <v/>
      </c>
      <c r="D17" s="16" t="str" cm="1">
        <f t="array" aca="1" ref="D17" ca="1">IFERROR(INDEX(_xlfn.ANCHORARRAY($AA$11),ROW()-10,4),"")</f>
        <v/>
      </c>
      <c r="E17" s="16" t="str" cm="1">
        <f t="array" aca="1" ref="E17" ca="1">IFERROR(INDEX(_xlfn.ANCHORARRAY($AA$11),ROW()-10,5),"")</f>
        <v/>
      </c>
      <c r="F17" s="16" t="str" cm="1">
        <f t="array" aca="1" ref="F17" ca="1">IFERROR(INDEX(_xlfn.ANCHORARRAY($AA$11),ROW()-10,6),"")</f>
        <v/>
      </c>
      <c r="G17" s="16" t="str" cm="1">
        <f t="array" aca="1" ref="G17" ca="1">IFERROR(INDEX(_xlfn.ANCHORARRAY($AA$11),ROW()-10,7),"")</f>
        <v/>
      </c>
      <c r="H17" s="16" t="str" cm="1">
        <f t="array" aca="1" ref="H17" ca="1">IFERROR(INDEX(_xlfn.ANCHORARRAY($AA$11),ROW()-10,8),"")</f>
        <v/>
      </c>
      <c r="I17" s="16" t="str" cm="1">
        <f t="array" aca="1" ref="I17" ca="1">IFERROR(INDEX(_xlfn.ANCHORARRAY($AA$11),ROW()-10,9),"")</f>
        <v/>
      </c>
      <c r="J17" s="16" t="str">
        <f t="shared" ca="1" si="0"/>
        <v/>
      </c>
      <c r="K17" s="16" t="str">
        <f t="shared" ca="1" si="1"/>
        <v/>
      </c>
      <c r="L17" s="16" t="str" cm="1">
        <f t="array" aca="1" ref="L17" ca="1">_xlfn.LET(_xlpm.link,IFERROR(INDEX(_xlfn.ANCHORARRAY($AA$11),ROW()-10,12),""),IF(_xlpm.link="","",HYPERLINK(_xlpm.link,"Bluecore/Attentive")))</f>
        <v/>
      </c>
      <c r="M17" s="60" t="str">
        <f t="shared" ca="1" si="2"/>
        <v/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55" t="str" cm="1">
        <f t="array" aca="1" ref="A18" ca="1">IFERROR(INDEX(_xlfn.ANCHORARRAY($AA$11),ROW()-10,1),"")</f>
        <v/>
      </c>
      <c r="B18" s="24" t="str" cm="1">
        <f t="array" aca="1" ref="B18" ca="1">IFERROR(INDEX(_xlfn.ANCHORARRAY($AA$11),ROW()-10,2),"")</f>
        <v/>
      </c>
      <c r="C18" s="16" t="str" cm="1">
        <f t="array" aca="1" ref="C18" ca="1">IFERROR(INDEX(_xlfn.ANCHORARRAY($AA$11),ROW()-10,3),"")</f>
        <v/>
      </c>
      <c r="D18" s="16" t="str" cm="1">
        <f t="array" aca="1" ref="D18" ca="1">IFERROR(INDEX(_xlfn.ANCHORARRAY($AA$11),ROW()-10,4),"")</f>
        <v/>
      </c>
      <c r="E18" s="16" t="str" cm="1">
        <f t="array" aca="1" ref="E18" ca="1">IFERROR(INDEX(_xlfn.ANCHORARRAY($AA$11),ROW()-10,5),"")</f>
        <v/>
      </c>
      <c r="F18" s="16" t="str" cm="1">
        <f t="array" aca="1" ref="F18" ca="1">IFERROR(INDEX(_xlfn.ANCHORARRAY($AA$11),ROW()-10,6),"")</f>
        <v/>
      </c>
      <c r="G18" s="16" t="str" cm="1">
        <f t="array" aca="1" ref="G18" ca="1">IFERROR(INDEX(_xlfn.ANCHORARRAY($AA$11),ROW()-10,7),"")</f>
        <v/>
      </c>
      <c r="H18" s="16" t="str" cm="1">
        <f t="array" aca="1" ref="H18" ca="1">IFERROR(INDEX(_xlfn.ANCHORARRAY($AA$11),ROW()-10,8),"")</f>
        <v/>
      </c>
      <c r="I18" s="16" t="str" cm="1">
        <f t="array" aca="1" ref="I18" ca="1">IFERROR(INDEX(_xlfn.ANCHORARRAY($AA$11),ROW()-10,9),"")</f>
        <v/>
      </c>
      <c r="J18" s="16" t="str">
        <f t="shared" ca="1" si="0"/>
        <v/>
      </c>
      <c r="K18" s="16" t="str">
        <f t="shared" ca="1" si="1"/>
        <v/>
      </c>
      <c r="L18" s="16" t="str" cm="1">
        <f t="array" aca="1" ref="L18" ca="1">_xlfn.LET(_xlpm.link,IFERROR(INDEX(_xlfn.ANCHORARRAY($AA$11),ROW()-10,12),""),IF(_xlpm.link="","",HYPERLINK(_xlpm.link,"Bluecore/Attentive")))</f>
        <v/>
      </c>
      <c r="M18" s="61" t="str">
        <f t="shared" ca="1" si="2"/>
        <v/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55" t="str" cm="1">
        <f t="array" aca="1" ref="A19" ca="1">IFERROR(INDEX(_xlfn.ANCHORARRAY($AA$11),ROW()-10,1),"")</f>
        <v/>
      </c>
      <c r="B19" s="24" t="str" cm="1">
        <f t="array" aca="1" ref="B19" ca="1">IFERROR(INDEX(_xlfn.ANCHORARRAY($AA$11),ROW()-10,2),"")</f>
        <v/>
      </c>
      <c r="C19" s="16" t="str" cm="1">
        <f t="array" aca="1" ref="C19" ca="1">IFERROR(INDEX(_xlfn.ANCHORARRAY($AA$11),ROW()-10,3),"")</f>
        <v/>
      </c>
      <c r="D19" s="16" t="str" cm="1">
        <f t="array" aca="1" ref="D19" ca="1">IFERROR(INDEX(_xlfn.ANCHORARRAY($AA$11),ROW()-10,4),"")</f>
        <v/>
      </c>
      <c r="E19" s="16" t="str" cm="1">
        <f t="array" aca="1" ref="E19" ca="1">IFERROR(INDEX(_xlfn.ANCHORARRAY($AA$11),ROW()-10,5),"")</f>
        <v/>
      </c>
      <c r="F19" s="16" t="str" cm="1">
        <f t="array" aca="1" ref="F19" ca="1">IFERROR(INDEX(_xlfn.ANCHORARRAY($AA$11),ROW()-10,6),"")</f>
        <v/>
      </c>
      <c r="G19" s="16" t="str" cm="1">
        <f t="array" aca="1" ref="G19" ca="1">IFERROR(INDEX(_xlfn.ANCHORARRAY($AA$11),ROW()-10,7),"")</f>
        <v/>
      </c>
      <c r="H19" s="16" t="str" cm="1">
        <f t="array" aca="1" ref="H19" ca="1">IFERROR(INDEX(_xlfn.ANCHORARRAY($AA$11),ROW()-10,8),"")</f>
        <v/>
      </c>
      <c r="I19" s="16" t="str" cm="1">
        <f t="array" aca="1" ref="I19" ca="1">IFERROR(INDEX(_xlfn.ANCHORARRAY($AA$11),ROW()-10,9),"")</f>
        <v/>
      </c>
      <c r="J19" s="16" t="str">
        <f t="shared" ca="1" si="0"/>
        <v/>
      </c>
      <c r="K19" s="16" t="str">
        <f t="shared" ca="1" si="1"/>
        <v/>
      </c>
      <c r="L19" s="16" t="str" cm="1">
        <f t="array" aca="1" ref="L19" ca="1">_xlfn.LET(_xlpm.link,IFERROR(INDEX(_xlfn.ANCHORARRAY($AA$11),ROW()-10,12),""),IF(_xlpm.link="","",HYPERLINK(_xlpm.link,"Bluecore/Attentive")))</f>
        <v/>
      </c>
      <c r="M19" s="60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55" t="str" cm="1">
        <f t="array" aca="1" ref="A20" ca="1">IFERROR(INDEX(_xlfn.ANCHORARRAY($AA$11),ROW()-10,1),"")</f>
        <v/>
      </c>
      <c r="B20" s="24" t="str" cm="1">
        <f t="array" aca="1" ref="B20" ca="1">IFERROR(INDEX(_xlfn.ANCHORARRAY($AA$11),ROW()-10,2),"")</f>
        <v/>
      </c>
      <c r="C20" s="16" t="str" cm="1">
        <f t="array" aca="1" ref="C20" ca="1">IFERROR(INDEX(_xlfn.ANCHORARRAY($AA$11),ROW()-10,3),"")</f>
        <v/>
      </c>
      <c r="D20" s="16" t="str" cm="1">
        <f t="array" aca="1" ref="D20" ca="1">IFERROR(INDEX(_xlfn.ANCHORARRAY($AA$11),ROW()-10,4),"")</f>
        <v/>
      </c>
      <c r="E20" s="16" t="str" cm="1">
        <f t="array" aca="1" ref="E20" ca="1">IFERROR(INDEX(_xlfn.ANCHORARRAY($AA$11),ROW()-10,5),"")</f>
        <v/>
      </c>
      <c r="F20" s="16" t="str" cm="1">
        <f t="array" aca="1" ref="F20" ca="1">IFERROR(INDEX(_xlfn.ANCHORARRAY($AA$11),ROW()-10,6),"")</f>
        <v/>
      </c>
      <c r="G20" s="16" t="str" cm="1">
        <f t="array" aca="1" ref="G20" ca="1">IFERROR(INDEX(_xlfn.ANCHORARRAY($AA$11),ROW()-10,7),"")</f>
        <v/>
      </c>
      <c r="H20" s="16" t="str" cm="1">
        <f t="array" aca="1" ref="H20" ca="1">IFERROR(INDEX(_xlfn.ANCHORARRAY($AA$11),ROW()-10,8),"")</f>
        <v/>
      </c>
      <c r="I20" s="16" t="str" cm="1">
        <f t="array" aca="1" ref="I20" ca="1">IFERROR(INDEX(_xlfn.ANCHORARRAY($AA$11),ROW()-10,9),"")</f>
        <v/>
      </c>
      <c r="J20" s="16" t="str">
        <f t="shared" ca="1" si="0"/>
        <v/>
      </c>
      <c r="K20" s="16" t="str">
        <f t="shared" ca="1" si="1"/>
        <v/>
      </c>
      <c r="L20" s="16" t="str" cm="1">
        <f t="array" aca="1" ref="L20" ca="1">_xlfn.LET(_xlpm.link,IFERROR(INDEX(_xlfn.ANCHORARRAY($AA$11),ROW()-10,12),""),IF(_xlpm.link="","",HYPERLINK(_xlpm.link,"Bluecore/Attentive")))</f>
        <v/>
      </c>
      <c r="M20" s="61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55" t="str" cm="1">
        <f t="array" aca="1" ref="A21" ca="1">IFERROR(INDEX(_xlfn.ANCHORARRAY($AA$11),ROW()-10,1),"")</f>
        <v/>
      </c>
      <c r="B21" s="24" t="str" cm="1">
        <f t="array" aca="1" ref="B21" ca="1">IFERROR(INDEX(_xlfn.ANCHORARRAY($AA$11),ROW()-10,2),"")</f>
        <v/>
      </c>
      <c r="C21" s="16" t="str" cm="1">
        <f t="array" aca="1" ref="C21" ca="1">IFERROR(INDEX(_xlfn.ANCHORARRAY($AA$11),ROW()-10,3),"")</f>
        <v/>
      </c>
      <c r="D21" s="16" t="str" cm="1">
        <f t="array" aca="1" ref="D21" ca="1">IFERROR(INDEX(_xlfn.ANCHORARRAY($AA$11),ROW()-10,4),"")</f>
        <v/>
      </c>
      <c r="E21" s="16" t="str" cm="1">
        <f t="array" aca="1" ref="E21" ca="1">IFERROR(INDEX(_xlfn.ANCHORARRAY($AA$11),ROW()-10,5),"")</f>
        <v/>
      </c>
      <c r="F21" s="16" t="str" cm="1">
        <f t="array" aca="1" ref="F21" ca="1">IFERROR(INDEX(_xlfn.ANCHORARRAY($AA$11),ROW()-10,6),"")</f>
        <v/>
      </c>
      <c r="G21" s="16" t="str" cm="1">
        <f t="array" aca="1" ref="G21" ca="1">IFERROR(INDEX(_xlfn.ANCHORARRAY($AA$11),ROW()-10,7),"")</f>
        <v/>
      </c>
      <c r="H21" s="16" t="str" cm="1">
        <f t="array" aca="1" ref="H21" ca="1">IFERROR(INDEX(_xlfn.ANCHORARRAY($AA$11),ROW()-10,8),"")</f>
        <v/>
      </c>
      <c r="I21" s="16" t="str" cm="1">
        <f t="array" aca="1" ref="I21" ca="1">IFERROR(INDEX(_xlfn.ANCHORARRAY($AA$11),ROW()-10,9),"")</f>
        <v/>
      </c>
      <c r="J21" s="16" t="str">
        <f t="shared" ca="1" si="0"/>
        <v/>
      </c>
      <c r="K21" s="16" t="str">
        <f t="shared" ca="1" si="1"/>
        <v/>
      </c>
      <c r="L21" s="16" t="str" cm="1">
        <f t="array" aca="1" ref="L21" ca="1">_xlfn.LET(_xlpm.link,IFERROR(INDEX(_xlfn.ANCHORARRAY($AA$11),ROW()-10,12),""),IF(_xlpm.link="","",HYPERLINK(_xlpm.link,"Bluecore/Attentive")))</f>
        <v/>
      </c>
      <c r="M21" s="60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55" t="str" cm="1">
        <f t="array" aca="1" ref="A22" ca="1">IFERROR(INDEX(_xlfn.ANCHORARRAY($AA$11),ROW()-10,1),"")</f>
        <v/>
      </c>
      <c r="B22" s="24" t="str" cm="1">
        <f t="array" aca="1" ref="B22" ca="1">IFERROR(INDEX(_xlfn.ANCHORARRAY($AA$11),ROW()-10,2),"")</f>
        <v/>
      </c>
      <c r="C22" s="16" t="str" cm="1">
        <f t="array" aca="1" ref="C22" ca="1">IFERROR(INDEX(_xlfn.ANCHORARRAY($AA$11),ROW()-10,3),"")</f>
        <v/>
      </c>
      <c r="D22" s="16" t="str" cm="1">
        <f t="array" aca="1" ref="D22" ca="1">IFERROR(INDEX(_xlfn.ANCHORARRAY($AA$11),ROW()-10,4),"")</f>
        <v/>
      </c>
      <c r="E22" s="16" t="str" cm="1">
        <f t="array" aca="1" ref="E22" ca="1">IFERROR(INDEX(_xlfn.ANCHORARRAY($AA$11),ROW()-10,5),"")</f>
        <v/>
      </c>
      <c r="F22" s="16" t="str" cm="1">
        <f t="array" aca="1" ref="F22" ca="1">IFERROR(INDEX(_xlfn.ANCHORARRAY($AA$11),ROW()-10,6),"")</f>
        <v/>
      </c>
      <c r="G22" s="16" t="str" cm="1">
        <f t="array" aca="1" ref="G22" ca="1">IFERROR(INDEX(_xlfn.ANCHORARRAY($AA$11),ROW()-10,7),"")</f>
        <v/>
      </c>
      <c r="H22" s="16" t="str" cm="1">
        <f t="array" aca="1" ref="H22" ca="1">IFERROR(INDEX(_xlfn.ANCHORARRAY($AA$11),ROW()-10,8),"")</f>
        <v/>
      </c>
      <c r="I22" s="16" t="str" cm="1">
        <f t="array" aca="1" ref="I22" ca="1">IFERROR(INDEX(_xlfn.ANCHORARRAY($AA$11),ROW()-10,9),"")</f>
        <v/>
      </c>
      <c r="J22" s="16" t="str">
        <f t="shared" ca="1" si="0"/>
        <v/>
      </c>
      <c r="K22" s="16" t="str">
        <f t="shared" ca="1" si="1"/>
        <v/>
      </c>
      <c r="L22" s="16" t="str" cm="1">
        <f t="array" aca="1" ref="L22" ca="1">_xlfn.LET(_xlpm.link,IFERROR(INDEX(_xlfn.ANCHORARRAY($AA$11),ROW()-10,12),""),IF(_xlpm.link="","",HYPERLINK(_xlpm.link,"Bluecore/Attentive")))</f>
        <v/>
      </c>
      <c r="M22" s="61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55" t="str" cm="1">
        <f t="array" aca="1" ref="A23" ca="1">IFERROR(INDEX(_xlfn.ANCHORARRAY($AA$11),ROW()-10,1),"")</f>
        <v/>
      </c>
      <c r="B23" s="24" t="str" cm="1">
        <f t="array" aca="1" ref="B23" ca="1">IFERROR(INDEX(_xlfn.ANCHORARRAY($AA$11),ROW()-10,2),"")</f>
        <v/>
      </c>
      <c r="C23" s="16" t="str" cm="1">
        <f t="array" aca="1" ref="C23" ca="1">IFERROR(INDEX(_xlfn.ANCHORARRAY($AA$11),ROW()-10,3),"")</f>
        <v/>
      </c>
      <c r="D23" s="16" t="str" cm="1">
        <f t="array" aca="1" ref="D23" ca="1">IFERROR(INDEX(_xlfn.ANCHORARRAY($AA$11),ROW()-10,4),"")</f>
        <v/>
      </c>
      <c r="E23" s="16" t="str" cm="1">
        <f t="array" aca="1" ref="E23" ca="1">IFERROR(INDEX(_xlfn.ANCHORARRAY($AA$11),ROW()-10,5),"")</f>
        <v/>
      </c>
      <c r="F23" s="16" t="str" cm="1">
        <f t="array" aca="1" ref="F23" ca="1">IFERROR(INDEX(_xlfn.ANCHORARRAY($AA$11),ROW()-10,6),"")</f>
        <v/>
      </c>
      <c r="G23" s="16" t="str" cm="1">
        <f t="array" aca="1" ref="G23" ca="1">IFERROR(INDEX(_xlfn.ANCHORARRAY($AA$11),ROW()-10,7),"")</f>
        <v/>
      </c>
      <c r="H23" s="16" t="str" cm="1">
        <f t="array" aca="1" ref="H23" ca="1">IFERROR(INDEX(_xlfn.ANCHORARRAY($AA$11),ROW()-10,8),"")</f>
        <v/>
      </c>
      <c r="I23" s="16" t="str" cm="1">
        <f t="array" aca="1" ref="I23" ca="1">IFERROR(INDEX(_xlfn.ANCHORARRAY($AA$11),ROW()-10,9),"")</f>
        <v/>
      </c>
      <c r="J23" s="16" t="str">
        <f t="shared" ca="1" si="0"/>
        <v/>
      </c>
      <c r="K23" s="16" t="str">
        <f t="shared" ca="1" si="1"/>
        <v/>
      </c>
      <c r="L23" s="16" t="str" cm="1">
        <f t="array" aca="1" ref="L23" ca="1">_xlfn.LET(_xlpm.link,IFERROR(INDEX(_xlfn.ANCHORARRAY($AA$11),ROW()-10,12),""),IF(_xlpm.link="","",HYPERLINK(_xlpm.link,"Bluecore/Attentive")))</f>
        <v/>
      </c>
      <c r="M23" s="60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55" t="str" cm="1">
        <f t="array" aca="1" ref="A24" ca="1">IFERROR(INDEX(_xlfn.ANCHORARRAY($AA$11),ROW()-10,1),"")</f>
        <v/>
      </c>
      <c r="B24" s="24" t="str" cm="1">
        <f t="array" aca="1" ref="B24" ca="1">IFERROR(INDEX(_xlfn.ANCHORARRAY($AA$11),ROW()-10,2),"")</f>
        <v/>
      </c>
      <c r="C24" s="16" t="str" cm="1">
        <f t="array" aca="1" ref="C24" ca="1">IFERROR(INDEX(_xlfn.ANCHORARRAY($AA$11),ROW()-10,3),"")</f>
        <v/>
      </c>
      <c r="D24" s="16" t="str" cm="1">
        <f t="array" aca="1" ref="D24" ca="1">IFERROR(INDEX(_xlfn.ANCHORARRAY($AA$11),ROW()-10,4),"")</f>
        <v/>
      </c>
      <c r="E24" s="16" t="str" cm="1">
        <f t="array" aca="1" ref="E24" ca="1">IFERROR(INDEX(_xlfn.ANCHORARRAY($AA$11),ROW()-10,5),"")</f>
        <v/>
      </c>
      <c r="F24" s="16" t="str" cm="1">
        <f t="array" aca="1" ref="F24" ca="1">IFERROR(INDEX(_xlfn.ANCHORARRAY($AA$11),ROW()-10,6),"")</f>
        <v/>
      </c>
      <c r="G24" s="16" t="str" cm="1">
        <f t="array" aca="1" ref="G24" ca="1">IFERROR(INDEX(_xlfn.ANCHORARRAY($AA$11),ROW()-10,7),"")</f>
        <v/>
      </c>
      <c r="H24" s="16" t="str" cm="1">
        <f t="array" aca="1" ref="H24" ca="1">IFERROR(INDEX(_xlfn.ANCHORARRAY($AA$11),ROW()-10,8),"")</f>
        <v/>
      </c>
      <c r="I24" s="16" t="str" cm="1">
        <f t="array" aca="1" ref="I24" ca="1">IFERROR(INDEX(_xlfn.ANCHORARRAY($AA$11),ROW()-10,9),"")</f>
        <v/>
      </c>
      <c r="J24" s="16" t="str">
        <f t="shared" ca="1" si="0"/>
        <v/>
      </c>
      <c r="K24" s="16" t="str">
        <f t="shared" ca="1" si="1"/>
        <v/>
      </c>
      <c r="L24" s="16" t="str" cm="1">
        <f t="array" aca="1" ref="L24" ca="1">_xlfn.LET(_xlpm.link,IFERROR(INDEX(_xlfn.ANCHORARRAY($AA$11),ROW()-10,12),""),IF(_xlpm.link="","",HYPERLINK(_xlpm.link,"Bluecore/Attentive")))</f>
        <v/>
      </c>
      <c r="M24" s="61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55" t="str" cm="1">
        <f t="array" aca="1" ref="A25" ca="1">IFERROR(INDEX(_xlfn.ANCHORARRAY($AA$11),ROW()-10,1),"")</f>
        <v/>
      </c>
      <c r="B25" s="24" t="str" cm="1">
        <f t="array" aca="1" ref="B25" ca="1">IFERROR(INDEX(_xlfn.ANCHORARRAY($AA$11),ROW()-10,2),"")</f>
        <v/>
      </c>
      <c r="C25" s="16" t="str" cm="1">
        <f t="array" aca="1" ref="C25" ca="1">IFERROR(INDEX(_xlfn.ANCHORARRAY($AA$11),ROW()-10,3),"")</f>
        <v/>
      </c>
      <c r="D25" s="16" t="str" cm="1">
        <f t="array" aca="1" ref="D25" ca="1">IFERROR(INDEX(_xlfn.ANCHORARRAY($AA$11),ROW()-10,4),"")</f>
        <v/>
      </c>
      <c r="E25" s="16" t="str" cm="1">
        <f t="array" aca="1" ref="E25" ca="1">IFERROR(INDEX(_xlfn.ANCHORARRAY($AA$11),ROW()-10,5),"")</f>
        <v/>
      </c>
      <c r="F25" s="16" t="str" cm="1">
        <f t="array" aca="1" ref="F25" ca="1">IFERROR(INDEX(_xlfn.ANCHORARRAY($AA$11),ROW()-10,6),"")</f>
        <v/>
      </c>
      <c r="G25" s="16" t="str" cm="1">
        <f t="array" aca="1" ref="G25" ca="1">IFERROR(INDEX(_xlfn.ANCHORARRAY($AA$11),ROW()-10,7),"")</f>
        <v/>
      </c>
      <c r="H25" s="16" t="str" cm="1">
        <f t="array" aca="1" ref="H25" ca="1">IFERROR(INDEX(_xlfn.ANCHORARRAY($AA$11),ROW()-10,8),"")</f>
        <v/>
      </c>
      <c r="I25" s="16" t="str" cm="1">
        <f t="array" aca="1" ref="I25" ca="1">IFERROR(INDEX(_xlfn.ANCHORARRAY($AA$11),ROW()-10,9),"")</f>
        <v/>
      </c>
      <c r="J25" s="16" t="str">
        <f t="shared" ca="1" si="0"/>
        <v/>
      </c>
      <c r="K25" s="16" t="str">
        <f t="shared" ca="1" si="1"/>
        <v/>
      </c>
      <c r="L25" s="16" t="str" cm="1">
        <f t="array" aca="1" ref="L25" ca="1">_xlfn.LET(_xlpm.link,IFERROR(INDEX(_xlfn.ANCHORARRAY($AA$11),ROW()-10,12),""),IF(_xlpm.link="","",HYPERLINK(_xlpm.link,"Bluecore/Attentive")))</f>
        <v/>
      </c>
      <c r="M25" s="60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55" t="str" cm="1">
        <f t="array" aca="1" ref="A26" ca="1">IFERROR(INDEX(_xlfn.ANCHORARRAY($AA$11),ROW()-10,1),"")</f>
        <v/>
      </c>
      <c r="B26" s="24" t="str" cm="1">
        <f t="array" aca="1" ref="B26" ca="1">IFERROR(INDEX(_xlfn.ANCHORARRAY($AA$11),ROW()-10,2),"")</f>
        <v/>
      </c>
      <c r="C26" s="16" t="str" cm="1">
        <f t="array" aca="1" ref="C26" ca="1">IFERROR(INDEX(_xlfn.ANCHORARRAY($AA$11),ROW()-10,3),"")</f>
        <v/>
      </c>
      <c r="D26" s="16" t="str" cm="1">
        <f t="array" aca="1" ref="D26" ca="1">IFERROR(INDEX(_xlfn.ANCHORARRAY($AA$11),ROW()-10,4),"")</f>
        <v/>
      </c>
      <c r="E26" s="16" t="str" cm="1">
        <f t="array" aca="1" ref="E26" ca="1">IFERROR(INDEX(_xlfn.ANCHORARRAY($AA$11),ROW()-10,5),"")</f>
        <v/>
      </c>
      <c r="F26" s="16" t="str" cm="1">
        <f t="array" aca="1" ref="F26" ca="1">IFERROR(INDEX(_xlfn.ANCHORARRAY($AA$11),ROW()-10,6),"")</f>
        <v/>
      </c>
      <c r="G26" s="16" t="str" cm="1">
        <f t="array" aca="1" ref="G26" ca="1">IFERROR(INDEX(_xlfn.ANCHORARRAY($AA$11),ROW()-10,7),"")</f>
        <v/>
      </c>
      <c r="H26" s="16" t="str" cm="1">
        <f t="array" aca="1" ref="H26" ca="1">IFERROR(INDEX(_xlfn.ANCHORARRAY($AA$11),ROW()-10,8),"")</f>
        <v/>
      </c>
      <c r="I26" s="16" t="str" cm="1">
        <f t="array" aca="1" ref="I26" ca="1">IFERROR(INDEX(_xlfn.ANCHORARRAY($AA$11),ROW()-10,9),"")</f>
        <v/>
      </c>
      <c r="J26" s="16" t="str">
        <f t="shared" ca="1" si="0"/>
        <v/>
      </c>
      <c r="K26" s="16" t="str">
        <f t="shared" ca="1" si="1"/>
        <v/>
      </c>
      <c r="L26" s="16" t="str" cm="1">
        <f t="array" aca="1" ref="L26" ca="1">_xlfn.LET(_xlpm.link,IFERROR(INDEX(_xlfn.ANCHORARRAY($AA$11),ROW()-10,12),""),IF(_xlpm.link="","",HYPERLINK(_xlpm.link,"Bluecore/Attentive")))</f>
        <v/>
      </c>
      <c r="M26" s="61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55" t="str" cm="1">
        <f t="array" aca="1" ref="A27" ca="1">IFERROR(INDEX(_xlfn.ANCHORARRAY($AA$11),ROW()-10,1),"")</f>
        <v/>
      </c>
      <c r="B27" s="24" t="str" cm="1">
        <f t="array" aca="1" ref="B27" ca="1">IFERROR(INDEX(_xlfn.ANCHORARRAY($AA$11),ROW()-10,2),"")</f>
        <v/>
      </c>
      <c r="C27" s="16" t="str" cm="1">
        <f t="array" aca="1" ref="C27" ca="1">IFERROR(INDEX(_xlfn.ANCHORARRAY($AA$11),ROW()-10,3),"")</f>
        <v/>
      </c>
      <c r="D27" s="16" t="str" cm="1">
        <f t="array" aca="1" ref="D27" ca="1">IFERROR(INDEX(_xlfn.ANCHORARRAY($AA$11),ROW()-10,4),"")</f>
        <v/>
      </c>
      <c r="E27" s="16" t="str" cm="1">
        <f t="array" aca="1" ref="E27" ca="1">IFERROR(INDEX(_xlfn.ANCHORARRAY($AA$11),ROW()-10,5),"")</f>
        <v/>
      </c>
      <c r="F27" s="16" t="str" cm="1">
        <f t="array" aca="1" ref="F27" ca="1">IFERROR(INDEX(_xlfn.ANCHORARRAY($AA$11),ROW()-10,6),"")</f>
        <v/>
      </c>
      <c r="G27" s="16" t="str" cm="1">
        <f t="array" aca="1" ref="G27" ca="1">IFERROR(INDEX(_xlfn.ANCHORARRAY($AA$11),ROW()-10,7),"")</f>
        <v/>
      </c>
      <c r="H27" s="16" t="str" cm="1">
        <f t="array" aca="1" ref="H27" ca="1">IFERROR(INDEX(_xlfn.ANCHORARRAY($AA$11),ROW()-10,8),"")</f>
        <v/>
      </c>
      <c r="I27" s="16" t="str" cm="1">
        <f t="array" aca="1" ref="I27" ca="1">IFERROR(INDEX(_xlfn.ANCHORARRAY($AA$11),ROW()-10,9),"")</f>
        <v/>
      </c>
      <c r="J27" s="16" t="str">
        <f t="shared" ca="1" si="0"/>
        <v/>
      </c>
      <c r="K27" s="16" t="str">
        <f t="shared" ca="1" si="1"/>
        <v/>
      </c>
      <c r="L27" s="16" t="str" cm="1">
        <f t="array" aca="1" ref="L27" ca="1">_xlfn.LET(_xlpm.link,IFERROR(INDEX(_xlfn.ANCHORARRAY($AA$11),ROW()-10,12),""),IF(_xlpm.link="","",HYPERLINK(_xlpm.link,"Bluecore/Attentive")))</f>
        <v/>
      </c>
      <c r="M27" s="60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55" t="str" cm="1">
        <f t="array" aca="1" ref="A28" ca="1">IFERROR(INDEX(_xlfn.ANCHORARRAY($AA$11),ROW()-10,1),"")</f>
        <v/>
      </c>
      <c r="B28" s="24" t="str" cm="1">
        <f t="array" aca="1" ref="B28" ca="1">IFERROR(INDEX(_xlfn.ANCHORARRAY($AA$11),ROW()-10,2),"")</f>
        <v/>
      </c>
      <c r="C28" s="16" t="str" cm="1">
        <f t="array" aca="1" ref="C28" ca="1">IFERROR(INDEX(_xlfn.ANCHORARRAY($AA$11),ROW()-10,3),"")</f>
        <v/>
      </c>
      <c r="D28" s="16" t="str" cm="1">
        <f t="array" aca="1" ref="D28" ca="1">IFERROR(INDEX(_xlfn.ANCHORARRAY($AA$11),ROW()-10,4),"")</f>
        <v/>
      </c>
      <c r="E28" s="16" t="str" cm="1">
        <f t="array" aca="1" ref="E28" ca="1">IFERROR(INDEX(_xlfn.ANCHORARRAY($AA$11),ROW()-10,5),"")</f>
        <v/>
      </c>
      <c r="F28" s="16" t="str" cm="1">
        <f t="array" aca="1" ref="F28" ca="1">IFERROR(INDEX(_xlfn.ANCHORARRAY($AA$11),ROW()-10,6),"")</f>
        <v/>
      </c>
      <c r="G28" s="16" t="str" cm="1">
        <f t="array" aca="1" ref="G28" ca="1">IFERROR(INDEX(_xlfn.ANCHORARRAY($AA$11),ROW()-10,7),"")</f>
        <v/>
      </c>
      <c r="H28" s="16" t="str" cm="1">
        <f t="array" aca="1" ref="H28" ca="1">IFERROR(INDEX(_xlfn.ANCHORARRAY($AA$11),ROW()-10,8),"")</f>
        <v/>
      </c>
      <c r="I28" s="16" t="str" cm="1">
        <f t="array" aca="1" ref="I28" ca="1">IFERROR(INDEX(_xlfn.ANCHORARRAY($AA$11),ROW()-10,9),"")</f>
        <v/>
      </c>
      <c r="J28" s="16" t="str">
        <f t="shared" ca="1" si="0"/>
        <v/>
      </c>
      <c r="K28" s="16" t="str">
        <f t="shared" ca="1" si="1"/>
        <v/>
      </c>
      <c r="L28" s="16" t="str" cm="1">
        <f t="array" aca="1" ref="L28" ca="1">_xlfn.LET(_xlpm.link,IFERROR(INDEX(_xlfn.ANCHORARRAY($AA$11),ROW()-10,12),""),IF(_xlpm.link="","",HYPERLINK(_xlpm.link,"Bluecore/Attentive")))</f>
        <v/>
      </c>
      <c r="M28" s="61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55" t="str" cm="1">
        <f t="array" aca="1" ref="A29" ca="1">IFERROR(INDEX(_xlfn.ANCHORARRAY($AA$11),ROW()-10,1),"")</f>
        <v/>
      </c>
      <c r="B29" s="24" t="str" cm="1">
        <f t="array" aca="1" ref="B29" ca="1">IFERROR(INDEX(_xlfn.ANCHORARRAY($AA$11),ROW()-10,2),"")</f>
        <v/>
      </c>
      <c r="C29" s="16" t="str" cm="1">
        <f t="array" aca="1" ref="C29" ca="1">IFERROR(INDEX(_xlfn.ANCHORARRAY($AA$11),ROW()-10,3),"")</f>
        <v/>
      </c>
      <c r="D29" s="16" t="str" cm="1">
        <f t="array" aca="1" ref="D29" ca="1">IFERROR(INDEX(_xlfn.ANCHORARRAY($AA$11),ROW()-10,4),"")</f>
        <v/>
      </c>
      <c r="E29" s="16" t="str" cm="1">
        <f t="array" aca="1" ref="E29" ca="1">IFERROR(INDEX(_xlfn.ANCHORARRAY($AA$11),ROW()-10,5),"")</f>
        <v/>
      </c>
      <c r="F29" s="16" t="str" cm="1">
        <f t="array" aca="1" ref="F29" ca="1">IFERROR(INDEX(_xlfn.ANCHORARRAY($AA$11),ROW()-10,6),"")</f>
        <v/>
      </c>
      <c r="G29" s="16" t="str" cm="1">
        <f t="array" aca="1" ref="G29" ca="1">IFERROR(INDEX(_xlfn.ANCHORARRAY($AA$11),ROW()-10,7),"")</f>
        <v/>
      </c>
      <c r="H29" s="16" t="str" cm="1">
        <f t="array" aca="1" ref="H29" ca="1">IFERROR(INDEX(_xlfn.ANCHORARRAY($AA$11),ROW()-10,8),"")</f>
        <v/>
      </c>
      <c r="I29" s="16" t="str" cm="1">
        <f t="array" aca="1" ref="I29" ca="1">IFERROR(INDEX(_xlfn.ANCHORARRAY($AA$11),ROW()-10,9),"")</f>
        <v/>
      </c>
      <c r="J29" s="16" t="str">
        <f t="shared" ca="1" si="0"/>
        <v/>
      </c>
      <c r="K29" s="16" t="str">
        <f t="shared" ca="1" si="1"/>
        <v/>
      </c>
      <c r="L29" s="16" t="str" cm="1">
        <f t="array" aca="1" ref="L29" ca="1">_xlfn.LET(_xlpm.link,IFERROR(INDEX(_xlfn.ANCHORARRAY($AA$11),ROW()-10,12),""),IF(_xlpm.link="","",HYPERLINK(_xlpm.link,"Bluecore/Attentive")))</f>
        <v/>
      </c>
      <c r="M29" s="60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55" t="str" cm="1">
        <f t="array" aca="1" ref="A30" ca="1">IFERROR(INDEX(_xlfn.ANCHORARRAY($AA$11),ROW()-10,1),"")</f>
        <v/>
      </c>
      <c r="B30" s="24" t="str" cm="1">
        <f t="array" aca="1" ref="B30" ca="1">IFERROR(INDEX(_xlfn.ANCHORARRAY($AA$11),ROW()-10,2),"")</f>
        <v/>
      </c>
      <c r="C30" s="16" t="str" cm="1">
        <f t="array" aca="1" ref="C30" ca="1">IFERROR(INDEX(_xlfn.ANCHORARRAY($AA$11),ROW()-10,3),"")</f>
        <v/>
      </c>
      <c r="D30" s="16" t="str" cm="1">
        <f t="array" aca="1" ref="D30" ca="1">IFERROR(INDEX(_xlfn.ANCHORARRAY($AA$11),ROW()-10,4),"")</f>
        <v/>
      </c>
      <c r="E30" s="16" t="str" cm="1">
        <f t="array" aca="1" ref="E30" ca="1">IFERROR(INDEX(_xlfn.ANCHORARRAY($AA$11),ROW()-10,5),"")</f>
        <v/>
      </c>
      <c r="F30" s="16" t="str" cm="1">
        <f t="array" aca="1" ref="F30" ca="1">IFERROR(INDEX(_xlfn.ANCHORARRAY($AA$11),ROW()-10,6),"")</f>
        <v/>
      </c>
      <c r="G30" s="16" t="str" cm="1">
        <f t="array" aca="1" ref="G30" ca="1">IFERROR(INDEX(_xlfn.ANCHORARRAY($AA$11),ROW()-10,7),"")</f>
        <v/>
      </c>
      <c r="H30" s="16" t="str" cm="1">
        <f t="array" aca="1" ref="H30" ca="1">IFERROR(INDEX(_xlfn.ANCHORARRAY($AA$11),ROW()-10,8),"")</f>
        <v/>
      </c>
      <c r="I30" s="16" t="str" cm="1">
        <f t="array" aca="1" ref="I30" ca="1">IFERROR(INDEX(_xlfn.ANCHORARRAY($AA$11),ROW()-10,9),"")</f>
        <v/>
      </c>
      <c r="J30" s="16" t="str">
        <f t="shared" ca="1" si="0"/>
        <v/>
      </c>
      <c r="K30" s="16" t="str">
        <f t="shared" ca="1" si="1"/>
        <v/>
      </c>
      <c r="L30" s="16" t="str" cm="1">
        <f t="array" aca="1" ref="L30" ca="1">_xlfn.LET(_xlpm.link,IFERROR(INDEX(_xlfn.ANCHORARRAY($AA$11),ROW()-10,12),""),IF(_xlpm.link="","",HYPERLINK(_xlpm.link,"Bluecore/Attentive")))</f>
        <v/>
      </c>
      <c r="M30" s="61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55" t="str" cm="1">
        <f t="array" aca="1" ref="A31" ca="1">IFERROR(INDEX(_xlfn.ANCHORARRAY($AA$11),ROW()-10,1),"")</f>
        <v/>
      </c>
      <c r="B31" s="24" t="str" cm="1">
        <f t="array" aca="1" ref="B31" ca="1">IFERROR(INDEX(_xlfn.ANCHORARRAY($AA$11),ROW()-10,2),"")</f>
        <v/>
      </c>
      <c r="C31" s="16" t="str" cm="1">
        <f t="array" aca="1" ref="C31" ca="1">IFERROR(INDEX(_xlfn.ANCHORARRAY($AA$11),ROW()-10,3),"")</f>
        <v/>
      </c>
      <c r="D31" s="16" t="str" cm="1">
        <f t="array" aca="1" ref="D31" ca="1">IFERROR(INDEX(_xlfn.ANCHORARRAY($AA$11),ROW()-10,4),"")</f>
        <v/>
      </c>
      <c r="E31" s="16" t="str" cm="1">
        <f t="array" aca="1" ref="E31" ca="1">IFERROR(INDEX(_xlfn.ANCHORARRAY($AA$11),ROW()-10,5),"")</f>
        <v/>
      </c>
      <c r="F31" s="16" t="str" cm="1">
        <f t="array" aca="1" ref="F31" ca="1">IFERROR(INDEX(_xlfn.ANCHORARRAY($AA$11),ROW()-10,6),"")</f>
        <v/>
      </c>
      <c r="G31" s="16" t="str" cm="1">
        <f t="array" aca="1" ref="G31" ca="1">IFERROR(INDEX(_xlfn.ANCHORARRAY($AA$11),ROW()-10,7),"")</f>
        <v/>
      </c>
      <c r="H31" s="16" t="str" cm="1">
        <f t="array" aca="1" ref="H31" ca="1">IFERROR(INDEX(_xlfn.ANCHORARRAY($AA$11),ROW()-10,8),"")</f>
        <v/>
      </c>
      <c r="I31" s="16" t="str" cm="1">
        <f t="array" aca="1" ref="I31" ca="1">IFERROR(INDEX(_xlfn.ANCHORARRAY($AA$11),ROW()-10,9),"")</f>
        <v/>
      </c>
      <c r="J31" s="16" t="str">
        <f t="shared" ca="1" si="0"/>
        <v/>
      </c>
      <c r="K31" s="16" t="str">
        <f t="shared" ca="1" si="1"/>
        <v/>
      </c>
      <c r="L31" s="16" t="str" cm="1">
        <f t="array" aca="1" ref="L31" ca="1">_xlfn.LET(_xlpm.link,IFERROR(INDEX(_xlfn.ANCHORARRAY($AA$11),ROW()-10,12),""),IF(_xlpm.link="","",HYPERLINK(_xlpm.link,"Bluecore/Attentive")))</f>
        <v/>
      </c>
      <c r="M31" s="60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55" t="str" cm="1">
        <f t="array" aca="1" ref="A32" ca="1">IFERROR(INDEX(_xlfn.ANCHORARRAY($AA$11),ROW()-10,1),"")</f>
        <v/>
      </c>
      <c r="B32" s="24" t="str" cm="1">
        <f t="array" aca="1" ref="B32" ca="1">IFERROR(INDEX(_xlfn.ANCHORARRAY($AA$11),ROW()-10,2),"")</f>
        <v/>
      </c>
      <c r="C32" s="16" t="str" cm="1">
        <f t="array" aca="1" ref="C32" ca="1">IFERROR(INDEX(_xlfn.ANCHORARRAY($AA$11),ROW()-10,3),"")</f>
        <v/>
      </c>
      <c r="D32" s="16" t="str" cm="1">
        <f t="array" aca="1" ref="D32" ca="1">IFERROR(INDEX(_xlfn.ANCHORARRAY($AA$11),ROW()-10,4),"")</f>
        <v/>
      </c>
      <c r="E32" s="16" t="str" cm="1">
        <f t="array" aca="1" ref="E32" ca="1">IFERROR(INDEX(_xlfn.ANCHORARRAY($AA$11),ROW()-10,5),"")</f>
        <v/>
      </c>
      <c r="F32" s="16" t="str" cm="1">
        <f t="array" aca="1" ref="F32" ca="1">IFERROR(INDEX(_xlfn.ANCHORARRAY($AA$11),ROW()-10,6),"")</f>
        <v/>
      </c>
      <c r="G32" s="16" t="str" cm="1">
        <f t="array" aca="1" ref="G32" ca="1">IFERROR(INDEX(_xlfn.ANCHORARRAY($AA$11),ROW()-10,7),"")</f>
        <v/>
      </c>
      <c r="H32" s="16" t="str" cm="1">
        <f t="array" aca="1" ref="H32" ca="1">IFERROR(INDEX(_xlfn.ANCHORARRAY($AA$11),ROW()-10,8),"")</f>
        <v/>
      </c>
      <c r="I32" s="16" t="str" cm="1">
        <f t="array" aca="1" ref="I32" ca="1">IFERROR(INDEX(_xlfn.ANCHORARRAY($AA$11),ROW()-10,9),"")</f>
        <v/>
      </c>
      <c r="J32" s="16" t="str">
        <f t="shared" ca="1" si="0"/>
        <v/>
      </c>
      <c r="K32" s="16" t="str">
        <f t="shared" ca="1" si="1"/>
        <v/>
      </c>
      <c r="L32" s="16" t="str" cm="1">
        <f t="array" aca="1" ref="L32" ca="1">_xlfn.LET(_xlpm.link,IFERROR(INDEX(_xlfn.ANCHORARRAY($AA$11),ROW()-10,12),""),IF(_xlpm.link="","",HYPERLINK(_xlpm.link,"Bluecore/Attentive")))</f>
        <v/>
      </c>
      <c r="M32" s="61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55" t="str" cm="1">
        <f t="array" aca="1" ref="A33" ca="1">IFERROR(INDEX(_xlfn.ANCHORARRAY($AA$11),ROW()-10,1),"")</f>
        <v/>
      </c>
      <c r="B33" s="24" t="str" cm="1">
        <f t="array" aca="1" ref="B33" ca="1">IFERROR(INDEX(_xlfn.ANCHORARRAY($AA$11),ROW()-10,2),"")</f>
        <v/>
      </c>
      <c r="C33" s="16" t="str" cm="1">
        <f t="array" aca="1" ref="C33" ca="1">IFERROR(INDEX(_xlfn.ANCHORARRAY($AA$11),ROW()-10,3),"")</f>
        <v/>
      </c>
      <c r="D33" s="16" t="str" cm="1">
        <f t="array" aca="1" ref="D33" ca="1">IFERROR(INDEX(_xlfn.ANCHORARRAY($AA$11),ROW()-10,4),"")</f>
        <v/>
      </c>
      <c r="E33" s="16" t="str" cm="1">
        <f t="array" aca="1" ref="E33" ca="1">IFERROR(INDEX(_xlfn.ANCHORARRAY($AA$11),ROW()-10,5),"")</f>
        <v/>
      </c>
      <c r="F33" s="16" t="str" cm="1">
        <f t="array" aca="1" ref="F33" ca="1">IFERROR(INDEX(_xlfn.ANCHORARRAY($AA$11),ROW()-10,6),"")</f>
        <v/>
      </c>
      <c r="G33" s="16" t="str" cm="1">
        <f t="array" aca="1" ref="G33" ca="1">IFERROR(INDEX(_xlfn.ANCHORARRAY($AA$11),ROW()-10,7),"")</f>
        <v/>
      </c>
      <c r="H33" s="16" t="str" cm="1">
        <f t="array" aca="1" ref="H33" ca="1">IFERROR(INDEX(_xlfn.ANCHORARRAY($AA$11),ROW()-10,8),"")</f>
        <v/>
      </c>
      <c r="I33" s="16" t="str" cm="1">
        <f t="array" aca="1" ref="I33" ca="1">IFERROR(INDEX(_xlfn.ANCHORARRAY($AA$11),ROW()-10,9),"")</f>
        <v/>
      </c>
      <c r="J33" s="16" t="str">
        <f t="shared" ca="1" si="0"/>
        <v/>
      </c>
      <c r="K33" s="16" t="str">
        <f t="shared" ca="1" si="1"/>
        <v/>
      </c>
      <c r="L33" s="16" t="str" cm="1">
        <f t="array" aca="1" ref="L33" ca="1">_xlfn.LET(_xlpm.link,IFERROR(INDEX(_xlfn.ANCHORARRAY($AA$11),ROW()-10,12),""),IF(_xlpm.link="","",HYPERLINK(_xlpm.link,"Bluecore/Attentive")))</f>
        <v/>
      </c>
      <c r="M33" s="60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55" t="str" cm="1">
        <f t="array" aca="1" ref="A34" ca="1">IFERROR(INDEX(_xlfn.ANCHORARRAY($AA$11),ROW()-10,1),"")</f>
        <v/>
      </c>
      <c r="B34" s="24" t="str" cm="1">
        <f t="array" aca="1" ref="B34" ca="1">IFERROR(INDEX(_xlfn.ANCHORARRAY($AA$11),ROW()-10,2),"")</f>
        <v/>
      </c>
      <c r="C34" s="16" t="str" cm="1">
        <f t="array" aca="1" ref="C34" ca="1">IFERROR(INDEX(_xlfn.ANCHORARRAY($AA$11),ROW()-10,3),"")</f>
        <v/>
      </c>
      <c r="D34" s="16" t="str" cm="1">
        <f t="array" aca="1" ref="D34" ca="1">IFERROR(INDEX(_xlfn.ANCHORARRAY($AA$11),ROW()-10,4),"")</f>
        <v/>
      </c>
      <c r="E34" s="16" t="str" cm="1">
        <f t="array" aca="1" ref="E34" ca="1">IFERROR(INDEX(_xlfn.ANCHORARRAY($AA$11),ROW()-10,5),"")</f>
        <v/>
      </c>
      <c r="F34" s="16" t="str" cm="1">
        <f t="array" aca="1" ref="F34" ca="1">IFERROR(INDEX(_xlfn.ANCHORARRAY($AA$11),ROW()-10,6),"")</f>
        <v/>
      </c>
      <c r="G34" s="16" t="str" cm="1">
        <f t="array" aca="1" ref="G34" ca="1">IFERROR(INDEX(_xlfn.ANCHORARRAY($AA$11),ROW()-10,7),"")</f>
        <v/>
      </c>
      <c r="H34" s="16" t="str" cm="1">
        <f t="array" aca="1" ref="H34" ca="1">IFERROR(INDEX(_xlfn.ANCHORARRAY($AA$11),ROW()-10,8),"")</f>
        <v/>
      </c>
      <c r="I34" s="16" t="str" cm="1">
        <f t="array" aca="1" ref="I34" ca="1">IFERROR(INDEX(_xlfn.ANCHORARRAY($AA$11),ROW()-10,9),"")</f>
        <v/>
      </c>
      <c r="J34" s="16" t="str">
        <f t="shared" ca="1" si="0"/>
        <v/>
      </c>
      <c r="K34" s="16" t="str">
        <f t="shared" ca="1" si="1"/>
        <v/>
      </c>
      <c r="L34" s="16" t="str" cm="1">
        <f t="array" aca="1" ref="L34" ca="1">_xlfn.LET(_xlpm.link,IFERROR(INDEX(_xlfn.ANCHORARRAY($AA$11),ROW()-10,12),""),IF(_xlpm.link="","",HYPERLINK(_xlpm.link,"Bluecore/Attentive")))</f>
        <v/>
      </c>
      <c r="M34" s="61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55" t="str" cm="1">
        <f t="array" aca="1" ref="A35" ca="1">IFERROR(INDEX(_xlfn.ANCHORARRAY($AA$11),ROW()-10,1),"")</f>
        <v/>
      </c>
      <c r="B35" s="24" t="str" cm="1">
        <f t="array" aca="1" ref="B35" ca="1">IFERROR(INDEX(_xlfn.ANCHORARRAY($AA$11),ROW()-10,2),"")</f>
        <v/>
      </c>
      <c r="C35" s="16" t="str" cm="1">
        <f t="array" aca="1" ref="C35" ca="1">IFERROR(INDEX(_xlfn.ANCHORARRAY($AA$11),ROW()-10,3),"")</f>
        <v/>
      </c>
      <c r="D35" s="16" t="str" cm="1">
        <f t="array" aca="1" ref="D35" ca="1">IFERROR(INDEX(_xlfn.ANCHORARRAY($AA$11),ROW()-10,4),"")</f>
        <v/>
      </c>
      <c r="E35" s="16" t="str" cm="1">
        <f t="array" aca="1" ref="E35" ca="1">IFERROR(INDEX(_xlfn.ANCHORARRAY($AA$11),ROW()-10,5),"")</f>
        <v/>
      </c>
      <c r="F35" s="16" t="str" cm="1">
        <f t="array" aca="1" ref="F35" ca="1">IFERROR(INDEX(_xlfn.ANCHORARRAY($AA$11),ROW()-10,6),"")</f>
        <v/>
      </c>
      <c r="G35" s="16" t="str" cm="1">
        <f t="array" aca="1" ref="G35" ca="1">IFERROR(INDEX(_xlfn.ANCHORARRAY($AA$11),ROW()-10,7),"")</f>
        <v/>
      </c>
      <c r="H35" s="16" t="str" cm="1">
        <f t="array" aca="1" ref="H35" ca="1">IFERROR(INDEX(_xlfn.ANCHORARRAY($AA$11),ROW()-10,8),"")</f>
        <v/>
      </c>
      <c r="I35" s="16" t="str" cm="1">
        <f t="array" aca="1" ref="I35" ca="1">IFERROR(INDEX(_xlfn.ANCHORARRAY($AA$11),ROW()-10,9),"")</f>
        <v/>
      </c>
      <c r="J35" s="16" t="str">
        <f t="shared" ca="1" si="0"/>
        <v/>
      </c>
      <c r="K35" s="16" t="str">
        <f t="shared" ca="1" si="1"/>
        <v/>
      </c>
      <c r="L35" s="16" t="str" cm="1">
        <f t="array" aca="1" ref="L35" ca="1">_xlfn.LET(_xlpm.link,IFERROR(INDEX(_xlfn.ANCHORARRAY($AA$11),ROW()-10,12),""),IF(_xlpm.link="","",HYPERLINK(_xlpm.link,"Bluecore/Attentive")))</f>
        <v/>
      </c>
      <c r="M35" s="60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55" t="str" cm="1">
        <f t="array" aca="1" ref="A36" ca="1">IFERROR(INDEX(_xlfn.ANCHORARRAY($AA$11),ROW()-10,1),"")</f>
        <v/>
      </c>
      <c r="B36" s="24" t="str" cm="1">
        <f t="array" aca="1" ref="B36" ca="1">IFERROR(INDEX(_xlfn.ANCHORARRAY($AA$11),ROW()-10,2),"")</f>
        <v/>
      </c>
      <c r="C36" s="16" t="str" cm="1">
        <f t="array" aca="1" ref="C36" ca="1">IFERROR(INDEX(_xlfn.ANCHORARRAY($AA$11),ROW()-10,3),"")</f>
        <v/>
      </c>
      <c r="D36" s="16" t="str" cm="1">
        <f t="array" aca="1" ref="D36" ca="1">IFERROR(INDEX(_xlfn.ANCHORARRAY($AA$11),ROW()-10,4),"")</f>
        <v/>
      </c>
      <c r="E36" s="16" t="str" cm="1">
        <f t="array" aca="1" ref="E36" ca="1">IFERROR(INDEX(_xlfn.ANCHORARRAY($AA$11),ROW()-10,5),"")</f>
        <v/>
      </c>
      <c r="F36" s="16" t="str" cm="1">
        <f t="array" aca="1" ref="F36" ca="1">IFERROR(INDEX(_xlfn.ANCHORARRAY($AA$11),ROW()-10,6),"")</f>
        <v/>
      </c>
      <c r="G36" s="16" t="str" cm="1">
        <f t="array" aca="1" ref="G36" ca="1">IFERROR(INDEX(_xlfn.ANCHORARRAY($AA$11),ROW()-10,7),"")</f>
        <v/>
      </c>
      <c r="H36" s="16" t="str" cm="1">
        <f t="array" aca="1" ref="H36" ca="1">IFERROR(INDEX(_xlfn.ANCHORARRAY($AA$11),ROW()-10,8),"")</f>
        <v/>
      </c>
      <c r="I36" s="16" t="str" cm="1">
        <f t="array" aca="1" ref="I36" ca="1">IFERROR(INDEX(_xlfn.ANCHORARRAY($AA$11),ROW()-10,9),"")</f>
        <v/>
      </c>
      <c r="J36" s="16" t="str">
        <f t="shared" ca="1" si="0"/>
        <v/>
      </c>
      <c r="K36" s="16" t="str">
        <f t="shared" ca="1" si="1"/>
        <v/>
      </c>
      <c r="L36" s="16" t="str" cm="1">
        <f t="array" aca="1" ref="L36" ca="1">_xlfn.LET(_xlpm.link,IFERROR(INDEX(_xlfn.ANCHORARRAY($AA$11),ROW()-10,12),""),IF(_xlpm.link="","",HYPERLINK(_xlpm.link,"Bluecore/Attentive")))</f>
        <v/>
      </c>
      <c r="M36" s="61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55" t="str" cm="1">
        <f t="array" aca="1" ref="A37" ca="1">IFERROR(INDEX(_xlfn.ANCHORARRAY($AA$11),ROW()-10,1),"")</f>
        <v/>
      </c>
      <c r="B37" s="24" t="str" cm="1">
        <f t="array" aca="1" ref="B37" ca="1">IFERROR(INDEX(_xlfn.ANCHORARRAY($AA$11),ROW()-10,2),"")</f>
        <v/>
      </c>
      <c r="C37" s="16" t="str" cm="1">
        <f t="array" aca="1" ref="C37" ca="1">IFERROR(INDEX(_xlfn.ANCHORARRAY($AA$11),ROW()-10,3),"")</f>
        <v/>
      </c>
      <c r="D37" s="16" t="str" cm="1">
        <f t="array" aca="1" ref="D37" ca="1">IFERROR(INDEX(_xlfn.ANCHORARRAY($AA$11),ROW()-10,4),"")</f>
        <v/>
      </c>
      <c r="E37" s="16" t="str" cm="1">
        <f t="array" aca="1" ref="E37" ca="1">IFERROR(INDEX(_xlfn.ANCHORARRAY($AA$11),ROW()-10,5),"")</f>
        <v/>
      </c>
      <c r="F37" s="16" t="str" cm="1">
        <f t="array" aca="1" ref="F37" ca="1">IFERROR(INDEX(_xlfn.ANCHORARRAY($AA$11),ROW()-10,6),"")</f>
        <v/>
      </c>
      <c r="G37" s="16" t="str" cm="1">
        <f t="array" aca="1" ref="G37" ca="1">IFERROR(INDEX(_xlfn.ANCHORARRAY($AA$11),ROW()-10,7),"")</f>
        <v/>
      </c>
      <c r="H37" s="16" t="str" cm="1">
        <f t="array" aca="1" ref="H37" ca="1">IFERROR(INDEX(_xlfn.ANCHORARRAY($AA$11),ROW()-10,8),"")</f>
        <v/>
      </c>
      <c r="I37" s="16" t="str" cm="1">
        <f t="array" aca="1" ref="I37" ca="1">IFERROR(INDEX(_xlfn.ANCHORARRAY($AA$11),ROW()-10,9),"")</f>
        <v/>
      </c>
      <c r="J37" s="16" t="str">
        <f t="shared" ca="1" si="0"/>
        <v/>
      </c>
      <c r="K37" s="16" t="str">
        <f t="shared" ca="1" si="1"/>
        <v/>
      </c>
      <c r="L37" s="16" t="str" cm="1">
        <f t="array" aca="1" ref="L37" ca="1">_xlfn.LET(_xlpm.link,IFERROR(INDEX(_xlfn.ANCHORARRAY($AA$11),ROW()-10,12),""),IF(_xlpm.link="","",HYPERLINK(_xlpm.link,"Bluecore/Attentive")))</f>
        <v/>
      </c>
      <c r="M37" s="60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55" t="str" cm="1">
        <f t="array" aca="1" ref="A38" ca="1">IFERROR(INDEX(_xlfn.ANCHORARRAY($AA$11),ROW()-10,1),"")</f>
        <v/>
      </c>
      <c r="B38" s="24" t="str" cm="1">
        <f t="array" aca="1" ref="B38" ca="1">IFERROR(INDEX(_xlfn.ANCHORARRAY($AA$11),ROW()-10,2),"")</f>
        <v/>
      </c>
      <c r="C38" s="16" t="str" cm="1">
        <f t="array" aca="1" ref="C38" ca="1">IFERROR(INDEX(_xlfn.ANCHORARRAY($AA$11),ROW()-10,3),"")</f>
        <v/>
      </c>
      <c r="D38" s="16" t="str" cm="1">
        <f t="array" aca="1" ref="D38" ca="1">IFERROR(INDEX(_xlfn.ANCHORARRAY($AA$11),ROW()-10,4),"")</f>
        <v/>
      </c>
      <c r="E38" s="16" t="str" cm="1">
        <f t="array" aca="1" ref="E38" ca="1">IFERROR(INDEX(_xlfn.ANCHORARRAY($AA$11),ROW()-10,5),"")</f>
        <v/>
      </c>
      <c r="F38" s="16" t="str" cm="1">
        <f t="array" aca="1" ref="F38" ca="1">IFERROR(INDEX(_xlfn.ANCHORARRAY($AA$11),ROW()-10,6),"")</f>
        <v/>
      </c>
      <c r="G38" s="16" t="str" cm="1">
        <f t="array" aca="1" ref="G38" ca="1">IFERROR(INDEX(_xlfn.ANCHORARRAY($AA$11),ROW()-10,7),"")</f>
        <v/>
      </c>
      <c r="H38" s="16" t="str" cm="1">
        <f t="array" aca="1" ref="H38" ca="1">IFERROR(INDEX(_xlfn.ANCHORARRAY($AA$11),ROW()-10,8),"")</f>
        <v/>
      </c>
      <c r="I38" s="16" t="str" cm="1">
        <f t="array" aca="1" ref="I38" ca="1">IFERROR(INDEX(_xlfn.ANCHORARRAY($AA$11),ROW()-10,9),"")</f>
        <v/>
      </c>
      <c r="J38" s="16" t="str">
        <f t="shared" ca="1" si="0"/>
        <v/>
      </c>
      <c r="K38" s="16" t="str">
        <f t="shared" ca="1" si="1"/>
        <v/>
      </c>
      <c r="L38" s="16" t="str" cm="1">
        <f t="array" aca="1" ref="L38" ca="1">_xlfn.LET(_xlpm.link,IFERROR(INDEX(_xlfn.ANCHORARRAY($AA$11),ROW()-10,12),""),IF(_xlpm.link="","",HYPERLINK(_xlpm.link,"Bluecore/Attentive")))</f>
        <v/>
      </c>
      <c r="M38" s="61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55" t="str" cm="1">
        <f t="array" aca="1" ref="A39" ca="1">IFERROR(INDEX(_xlfn.ANCHORARRAY($AA$11),ROW()-10,1),"")</f>
        <v/>
      </c>
      <c r="B39" s="24" t="str" cm="1">
        <f t="array" aca="1" ref="B39" ca="1">IFERROR(INDEX(_xlfn.ANCHORARRAY($AA$11),ROW()-10,2),"")</f>
        <v/>
      </c>
      <c r="C39" s="16" t="str" cm="1">
        <f t="array" aca="1" ref="C39" ca="1">IFERROR(INDEX(_xlfn.ANCHORARRAY($AA$11),ROW()-10,3),"")</f>
        <v/>
      </c>
      <c r="D39" s="16" t="str" cm="1">
        <f t="array" aca="1" ref="D39" ca="1">IFERROR(INDEX(_xlfn.ANCHORARRAY($AA$11),ROW()-10,4),"")</f>
        <v/>
      </c>
      <c r="E39" s="16" t="str" cm="1">
        <f t="array" aca="1" ref="E39" ca="1">IFERROR(INDEX(_xlfn.ANCHORARRAY($AA$11),ROW()-10,5),"")</f>
        <v/>
      </c>
      <c r="F39" s="16" t="str" cm="1">
        <f t="array" aca="1" ref="F39" ca="1">IFERROR(INDEX(_xlfn.ANCHORARRAY($AA$11),ROW()-10,6),"")</f>
        <v/>
      </c>
      <c r="G39" s="16" t="str" cm="1">
        <f t="array" aca="1" ref="G39" ca="1">IFERROR(INDEX(_xlfn.ANCHORARRAY($AA$11),ROW()-10,7),"")</f>
        <v/>
      </c>
      <c r="H39" s="16" t="str" cm="1">
        <f t="array" aca="1" ref="H39" ca="1">IFERROR(INDEX(_xlfn.ANCHORARRAY($AA$11),ROW()-10,8),"")</f>
        <v/>
      </c>
      <c r="I39" s="16" t="str" cm="1">
        <f t="array" aca="1" ref="I39" ca="1">IFERROR(INDEX(_xlfn.ANCHORARRAY($AA$11),ROW()-10,9),"")</f>
        <v/>
      </c>
      <c r="J39" s="16" t="str">
        <f t="shared" ca="1" si="0"/>
        <v/>
      </c>
      <c r="K39" s="16" t="str">
        <f t="shared" ca="1" si="1"/>
        <v/>
      </c>
      <c r="L39" s="16" t="str" cm="1">
        <f t="array" aca="1" ref="L39" ca="1">_xlfn.LET(_xlpm.link,IFERROR(INDEX(_xlfn.ANCHORARRAY($AA$11),ROW()-10,12),""),IF(_xlpm.link="","",HYPERLINK(_xlpm.link,"Bluecore/Attentive")))</f>
        <v/>
      </c>
      <c r="M39" s="60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55" t="str" cm="1">
        <f t="array" aca="1" ref="A40" ca="1">IFERROR(INDEX(_xlfn.ANCHORARRAY($AA$11),ROW()-10,1),"")</f>
        <v/>
      </c>
      <c r="B40" s="24" t="str" cm="1">
        <f t="array" aca="1" ref="B40" ca="1">IFERROR(INDEX(_xlfn.ANCHORARRAY($AA$11),ROW()-10,2),"")</f>
        <v/>
      </c>
      <c r="C40" s="16" t="str" cm="1">
        <f t="array" aca="1" ref="C40" ca="1">IFERROR(INDEX(_xlfn.ANCHORARRAY($AA$11),ROW()-10,3),"")</f>
        <v/>
      </c>
      <c r="D40" s="16" t="str" cm="1">
        <f t="array" aca="1" ref="D40" ca="1">IFERROR(INDEX(_xlfn.ANCHORARRAY($AA$11),ROW()-10,4),"")</f>
        <v/>
      </c>
      <c r="E40" s="16" t="str" cm="1">
        <f t="array" aca="1" ref="E40" ca="1">IFERROR(INDEX(_xlfn.ANCHORARRAY($AA$11),ROW()-10,5),"")</f>
        <v/>
      </c>
      <c r="F40" s="16" t="str" cm="1">
        <f t="array" aca="1" ref="F40" ca="1">IFERROR(INDEX(_xlfn.ANCHORARRAY($AA$11),ROW()-10,6),"")</f>
        <v/>
      </c>
      <c r="G40" s="16" t="str" cm="1">
        <f t="array" aca="1" ref="G40" ca="1">IFERROR(INDEX(_xlfn.ANCHORARRAY($AA$11),ROW()-10,7),"")</f>
        <v/>
      </c>
      <c r="H40" s="16" t="str" cm="1">
        <f t="array" aca="1" ref="H40" ca="1">IFERROR(INDEX(_xlfn.ANCHORARRAY($AA$11),ROW()-10,8),"")</f>
        <v/>
      </c>
      <c r="I40" s="16" t="str" cm="1">
        <f t="array" aca="1" ref="I40" ca="1">IFERROR(INDEX(_xlfn.ANCHORARRAY($AA$11),ROW()-10,9),"")</f>
        <v/>
      </c>
      <c r="J40" s="16" t="str">
        <f t="shared" ca="1" si="0"/>
        <v/>
      </c>
      <c r="K40" s="16" t="str">
        <f t="shared" ca="1" si="1"/>
        <v/>
      </c>
      <c r="L40" s="16" t="str" cm="1">
        <f t="array" aca="1" ref="L40" ca="1">_xlfn.LET(_xlpm.link,IFERROR(INDEX(_xlfn.ANCHORARRAY($AA$11),ROW()-10,12),""),IF(_xlpm.link="","",HYPERLINK(_xlpm.link,"Bluecore/Attentive")))</f>
        <v/>
      </c>
      <c r="M40" s="61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55" t="str" cm="1">
        <f t="array" aca="1" ref="A41" ca="1">IFERROR(INDEX(_xlfn.ANCHORARRAY($AA$11),ROW()-10,1),"")</f>
        <v/>
      </c>
      <c r="B41" s="24" t="str" cm="1">
        <f t="array" aca="1" ref="B41" ca="1">IFERROR(INDEX(_xlfn.ANCHORARRAY($AA$11),ROW()-10,2),"")</f>
        <v/>
      </c>
      <c r="C41" s="16" t="str" cm="1">
        <f t="array" aca="1" ref="C41" ca="1">IFERROR(INDEX(_xlfn.ANCHORARRAY($AA$11),ROW()-10,3),"")</f>
        <v/>
      </c>
      <c r="D41" s="16" t="str" cm="1">
        <f t="array" aca="1" ref="D41" ca="1">IFERROR(INDEX(_xlfn.ANCHORARRAY($AA$11),ROW()-10,4),"")</f>
        <v/>
      </c>
      <c r="E41" s="16" t="str" cm="1">
        <f t="array" aca="1" ref="E41" ca="1">IFERROR(INDEX(_xlfn.ANCHORARRAY($AA$11),ROW()-10,5),"")</f>
        <v/>
      </c>
      <c r="F41" s="16" t="str" cm="1">
        <f t="array" aca="1" ref="F41" ca="1">IFERROR(INDEX(_xlfn.ANCHORARRAY($AA$11),ROW()-10,6),"")</f>
        <v/>
      </c>
      <c r="G41" s="16" t="str" cm="1">
        <f t="array" aca="1" ref="G41" ca="1">IFERROR(INDEX(_xlfn.ANCHORARRAY($AA$11),ROW()-10,7),"")</f>
        <v/>
      </c>
      <c r="H41" s="16" t="str" cm="1">
        <f t="array" aca="1" ref="H41" ca="1">IFERROR(INDEX(_xlfn.ANCHORARRAY($AA$11),ROW()-10,8),"")</f>
        <v/>
      </c>
      <c r="I41" s="16" t="str" cm="1">
        <f t="array" aca="1" ref="I41" ca="1">IFERROR(INDEX(_xlfn.ANCHORARRAY($AA$11),ROW()-10,9),"")</f>
        <v/>
      </c>
      <c r="J41" s="16" t="str">
        <f t="shared" ca="1" si="0"/>
        <v/>
      </c>
      <c r="K41" s="16" t="str">
        <f t="shared" ca="1" si="1"/>
        <v/>
      </c>
      <c r="L41" s="16" t="str" cm="1">
        <f t="array" aca="1" ref="L41" ca="1">_xlfn.LET(_xlpm.link,IFERROR(INDEX(_xlfn.ANCHORARRAY($AA$11),ROW()-10,12),""),IF(_xlpm.link="","",HYPERLINK(_xlpm.link,"Bluecore/Attentive")))</f>
        <v/>
      </c>
      <c r="M41" s="60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55" t="str" cm="1">
        <f t="array" aca="1" ref="A42" ca="1">IFERROR(INDEX(_xlfn.ANCHORARRAY($AA$11),ROW()-10,1),"")</f>
        <v/>
      </c>
      <c r="B42" s="24" t="str" cm="1">
        <f t="array" aca="1" ref="B42" ca="1">IFERROR(INDEX(_xlfn.ANCHORARRAY($AA$11),ROW()-10,2),"")</f>
        <v/>
      </c>
      <c r="C42" s="16" t="str" cm="1">
        <f t="array" aca="1" ref="C42" ca="1">IFERROR(INDEX(_xlfn.ANCHORARRAY($AA$11),ROW()-10,3),"")</f>
        <v/>
      </c>
      <c r="D42" s="16" t="str" cm="1">
        <f t="array" aca="1" ref="D42" ca="1">IFERROR(INDEX(_xlfn.ANCHORARRAY($AA$11),ROW()-10,4),"")</f>
        <v/>
      </c>
      <c r="E42" s="16" t="str" cm="1">
        <f t="array" aca="1" ref="E42" ca="1">IFERROR(INDEX(_xlfn.ANCHORARRAY($AA$11),ROW()-10,5),"")</f>
        <v/>
      </c>
      <c r="F42" s="16" t="str" cm="1">
        <f t="array" aca="1" ref="F42" ca="1">IFERROR(INDEX(_xlfn.ANCHORARRAY($AA$11),ROW()-10,6),"")</f>
        <v/>
      </c>
      <c r="G42" s="16" t="str" cm="1">
        <f t="array" aca="1" ref="G42" ca="1">IFERROR(INDEX(_xlfn.ANCHORARRAY($AA$11),ROW()-10,7),"")</f>
        <v/>
      </c>
      <c r="H42" s="16" t="str" cm="1">
        <f t="array" aca="1" ref="H42" ca="1">IFERROR(INDEX(_xlfn.ANCHORARRAY($AA$11),ROW()-10,8),"")</f>
        <v/>
      </c>
      <c r="I42" s="16" t="str" cm="1">
        <f t="array" aca="1" ref="I42" ca="1">IFERROR(INDEX(_xlfn.ANCHORARRAY($AA$11),ROW()-10,9),"")</f>
        <v/>
      </c>
      <c r="J42" s="16" t="str">
        <f t="shared" ca="1" si="0"/>
        <v/>
      </c>
      <c r="K42" s="16" t="str">
        <f t="shared" ca="1" si="1"/>
        <v/>
      </c>
      <c r="L42" s="16" t="str" cm="1">
        <f t="array" aca="1" ref="L42" ca="1">_xlfn.LET(_xlpm.link,IFERROR(INDEX(_xlfn.ANCHORARRAY($AA$11),ROW()-10,12),""),IF(_xlpm.link="","",HYPERLINK(_xlpm.link,"Bluecore/Attentive")))</f>
        <v/>
      </c>
      <c r="M42" s="61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55" t="str" cm="1">
        <f t="array" aca="1" ref="A43" ca="1">IFERROR(INDEX(_xlfn.ANCHORARRAY($AA$11),ROW()-10,1),"")</f>
        <v/>
      </c>
      <c r="B43" s="24" t="str" cm="1">
        <f t="array" aca="1" ref="B43" ca="1">IFERROR(INDEX(_xlfn.ANCHORARRAY($AA$11),ROW()-10,2),"")</f>
        <v/>
      </c>
      <c r="C43" s="16" t="str" cm="1">
        <f t="array" aca="1" ref="C43" ca="1">IFERROR(INDEX(_xlfn.ANCHORARRAY($AA$11),ROW()-10,3),"")</f>
        <v/>
      </c>
      <c r="D43" s="16" t="str" cm="1">
        <f t="array" aca="1" ref="D43" ca="1">IFERROR(INDEX(_xlfn.ANCHORARRAY($AA$11),ROW()-10,4),"")</f>
        <v/>
      </c>
      <c r="E43" s="16" t="str" cm="1">
        <f t="array" aca="1" ref="E43" ca="1">IFERROR(INDEX(_xlfn.ANCHORARRAY($AA$11),ROW()-10,5),"")</f>
        <v/>
      </c>
      <c r="F43" s="16" t="str" cm="1">
        <f t="array" aca="1" ref="F43" ca="1">IFERROR(INDEX(_xlfn.ANCHORARRAY($AA$11),ROW()-10,6),"")</f>
        <v/>
      </c>
      <c r="G43" s="16" t="str" cm="1">
        <f t="array" aca="1" ref="G43" ca="1">IFERROR(INDEX(_xlfn.ANCHORARRAY($AA$11),ROW()-10,7),"")</f>
        <v/>
      </c>
      <c r="H43" s="16" t="str" cm="1">
        <f t="array" aca="1" ref="H43" ca="1">IFERROR(INDEX(_xlfn.ANCHORARRAY($AA$11),ROW()-10,8),"")</f>
        <v/>
      </c>
      <c r="I43" s="16" t="str" cm="1">
        <f t="array" aca="1" ref="I43" ca="1">IFERROR(INDEX(_xlfn.ANCHORARRAY($AA$11),ROW()-10,9),"")</f>
        <v/>
      </c>
      <c r="J43" s="16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16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16" t="str" cm="1">
        <f t="array" aca="1" ref="L43" ca="1">_xlfn.LET(_xlpm.link,IFERROR(INDEX(_xlfn.ANCHORARRAY($AA$11),ROW()-10,12),""),IF(_xlpm.link="","",HYPERLINK(_xlpm.link,"Bluecore/Attentive")))</f>
        <v/>
      </c>
      <c r="M43" s="60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55" t="str" cm="1">
        <f t="array" aca="1" ref="A44" ca="1">IFERROR(INDEX(_xlfn.ANCHORARRAY($AA$11),ROW()-10,1),"")</f>
        <v/>
      </c>
      <c r="B44" s="24" t="str" cm="1">
        <f t="array" aca="1" ref="B44" ca="1">IFERROR(INDEX(_xlfn.ANCHORARRAY($AA$11),ROW()-10,2),"")</f>
        <v/>
      </c>
      <c r="C44" s="16" t="str" cm="1">
        <f t="array" aca="1" ref="C44" ca="1">IFERROR(INDEX(_xlfn.ANCHORARRAY($AA$11),ROW()-10,3),"")</f>
        <v/>
      </c>
      <c r="D44" s="16" t="str" cm="1">
        <f t="array" aca="1" ref="D44" ca="1">IFERROR(INDEX(_xlfn.ANCHORARRAY($AA$11),ROW()-10,4),"")</f>
        <v/>
      </c>
      <c r="E44" s="16" t="str" cm="1">
        <f t="array" aca="1" ref="E44" ca="1">IFERROR(INDEX(_xlfn.ANCHORARRAY($AA$11),ROW()-10,5),"")</f>
        <v/>
      </c>
      <c r="F44" s="16" t="str" cm="1">
        <f t="array" aca="1" ref="F44" ca="1">IFERROR(INDEX(_xlfn.ANCHORARRAY($AA$11),ROW()-10,6),"")</f>
        <v/>
      </c>
      <c r="G44" s="16" t="str" cm="1">
        <f t="array" aca="1" ref="G44" ca="1">IFERROR(INDEX(_xlfn.ANCHORARRAY($AA$11),ROW()-10,7),"")</f>
        <v/>
      </c>
      <c r="H44" s="16" t="str" cm="1">
        <f t="array" aca="1" ref="H44" ca="1">IFERROR(INDEX(_xlfn.ANCHORARRAY($AA$11),ROW()-10,8),"")</f>
        <v/>
      </c>
      <c r="I44" s="16" t="str" cm="1">
        <f t="array" aca="1" ref="I44" ca="1">IFERROR(INDEX(_xlfn.ANCHORARRAY($AA$11),ROW()-10,9),"")</f>
        <v/>
      </c>
      <c r="J44" s="16" t="str">
        <f t="shared" ca="1" si="3"/>
        <v/>
      </c>
      <c r="K44" s="16" t="str">
        <f t="shared" ca="1" si="4"/>
        <v/>
      </c>
      <c r="L44" s="16" t="str" cm="1">
        <f t="array" aca="1" ref="L44" ca="1">_xlfn.LET(_xlpm.link,IFERROR(INDEX(_xlfn.ANCHORARRAY($AA$11),ROW()-10,12),""),IF(_xlpm.link="","",HYPERLINK(_xlpm.link,"Bluecore/Attentive")))</f>
        <v/>
      </c>
      <c r="M44" s="61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55" t="str" cm="1">
        <f t="array" aca="1" ref="A45" ca="1">IFERROR(INDEX(_xlfn.ANCHORARRAY($AA$11),ROW()-10,1),"")</f>
        <v/>
      </c>
      <c r="B45" s="24" t="str" cm="1">
        <f t="array" aca="1" ref="B45" ca="1">IFERROR(INDEX(_xlfn.ANCHORARRAY($AA$11),ROW()-10,2),"")</f>
        <v/>
      </c>
      <c r="C45" s="16" t="str" cm="1">
        <f t="array" aca="1" ref="C45" ca="1">IFERROR(INDEX(_xlfn.ANCHORARRAY($AA$11),ROW()-10,3),"")</f>
        <v/>
      </c>
      <c r="D45" s="16" t="str" cm="1">
        <f t="array" aca="1" ref="D45" ca="1">IFERROR(INDEX(_xlfn.ANCHORARRAY($AA$11),ROW()-10,4),"")</f>
        <v/>
      </c>
      <c r="E45" s="16" t="str" cm="1">
        <f t="array" aca="1" ref="E45" ca="1">IFERROR(INDEX(_xlfn.ANCHORARRAY($AA$11),ROW()-10,5),"")</f>
        <v/>
      </c>
      <c r="F45" s="16" t="str" cm="1">
        <f t="array" aca="1" ref="F45" ca="1">IFERROR(INDEX(_xlfn.ANCHORARRAY($AA$11),ROW()-10,6),"")</f>
        <v/>
      </c>
      <c r="G45" s="16" t="str" cm="1">
        <f t="array" aca="1" ref="G45" ca="1">IFERROR(INDEX(_xlfn.ANCHORARRAY($AA$11),ROW()-10,7),"")</f>
        <v/>
      </c>
      <c r="H45" s="16" t="str" cm="1">
        <f t="array" aca="1" ref="H45" ca="1">IFERROR(INDEX(_xlfn.ANCHORARRAY($AA$11),ROW()-10,8),"")</f>
        <v/>
      </c>
      <c r="I45" s="16" t="str" cm="1">
        <f t="array" aca="1" ref="I45" ca="1">IFERROR(INDEX(_xlfn.ANCHORARRAY($AA$11),ROW()-10,9),"")</f>
        <v/>
      </c>
      <c r="J45" s="16" t="str">
        <f t="shared" ca="1" si="3"/>
        <v/>
      </c>
      <c r="K45" s="16" t="str">
        <f t="shared" ca="1" si="4"/>
        <v/>
      </c>
      <c r="L45" s="16" t="str" cm="1">
        <f t="array" aca="1" ref="L45" ca="1">_xlfn.LET(_xlpm.link,IFERROR(INDEX(_xlfn.ANCHORARRAY($AA$11),ROW()-10,12),""),IF(_xlpm.link="","",HYPERLINK(_xlpm.link,"Bluecore/Attentive")))</f>
        <v/>
      </c>
      <c r="M45" s="60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55" t="str" cm="1">
        <f t="array" aca="1" ref="A46" ca="1">IFERROR(INDEX(_xlfn.ANCHORARRAY($AA$11),ROW()-10,1),"")</f>
        <v/>
      </c>
      <c r="B46" s="24" t="str" cm="1">
        <f t="array" aca="1" ref="B46" ca="1">IFERROR(INDEX(_xlfn.ANCHORARRAY($AA$11),ROW()-10,2),"")</f>
        <v/>
      </c>
      <c r="C46" s="16" t="str" cm="1">
        <f t="array" aca="1" ref="C46" ca="1">IFERROR(INDEX(_xlfn.ANCHORARRAY($AA$11),ROW()-10,3),"")</f>
        <v/>
      </c>
      <c r="D46" s="16" t="str" cm="1">
        <f t="array" aca="1" ref="D46" ca="1">IFERROR(INDEX(_xlfn.ANCHORARRAY($AA$11),ROW()-10,4),"")</f>
        <v/>
      </c>
      <c r="E46" s="16" t="str" cm="1">
        <f t="array" aca="1" ref="E46" ca="1">IFERROR(INDEX(_xlfn.ANCHORARRAY($AA$11),ROW()-10,5),"")</f>
        <v/>
      </c>
      <c r="F46" s="16" t="str" cm="1">
        <f t="array" aca="1" ref="F46" ca="1">IFERROR(INDEX(_xlfn.ANCHORARRAY($AA$11),ROW()-10,6),"")</f>
        <v/>
      </c>
      <c r="G46" s="16" t="str" cm="1">
        <f t="array" aca="1" ref="G46" ca="1">IFERROR(INDEX(_xlfn.ANCHORARRAY($AA$11),ROW()-10,7),"")</f>
        <v/>
      </c>
      <c r="H46" s="16" t="str" cm="1">
        <f t="array" aca="1" ref="H46" ca="1">IFERROR(INDEX(_xlfn.ANCHORARRAY($AA$11),ROW()-10,8),"")</f>
        <v/>
      </c>
      <c r="I46" s="16" t="str" cm="1">
        <f t="array" aca="1" ref="I46" ca="1">IFERROR(INDEX(_xlfn.ANCHORARRAY($AA$11),ROW()-10,9),"")</f>
        <v/>
      </c>
      <c r="J46" s="16" t="str">
        <f t="shared" ca="1" si="3"/>
        <v/>
      </c>
      <c r="K46" s="16" t="str">
        <f t="shared" ca="1" si="4"/>
        <v/>
      </c>
      <c r="L46" s="16" t="str" cm="1">
        <f t="array" aca="1" ref="L46" ca="1">_xlfn.LET(_xlpm.link,IFERROR(INDEX(_xlfn.ANCHORARRAY($AA$11),ROW()-10,12),""),IF(_xlpm.link="","",HYPERLINK(_xlpm.link,"Bluecore/Attentive")))</f>
        <v/>
      </c>
      <c r="M46" s="61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55" t="str" cm="1">
        <f t="array" aca="1" ref="A47" ca="1">IFERROR(INDEX(_xlfn.ANCHORARRAY($AA$11),ROW()-10,1),"")</f>
        <v/>
      </c>
      <c r="B47" s="24" t="str" cm="1">
        <f t="array" aca="1" ref="B47" ca="1">IFERROR(INDEX(_xlfn.ANCHORARRAY($AA$11),ROW()-10,2),"")</f>
        <v/>
      </c>
      <c r="C47" s="16" t="str" cm="1">
        <f t="array" aca="1" ref="C47" ca="1">IFERROR(INDEX(_xlfn.ANCHORARRAY($AA$11),ROW()-10,3),"")</f>
        <v/>
      </c>
      <c r="D47" s="16" t="str" cm="1">
        <f t="array" aca="1" ref="D47" ca="1">IFERROR(INDEX(_xlfn.ANCHORARRAY($AA$11),ROW()-10,4),"")</f>
        <v/>
      </c>
      <c r="E47" s="16" t="str" cm="1">
        <f t="array" aca="1" ref="E47" ca="1">IFERROR(INDEX(_xlfn.ANCHORARRAY($AA$11),ROW()-10,5),"")</f>
        <v/>
      </c>
      <c r="F47" s="16" t="str" cm="1">
        <f t="array" aca="1" ref="F47" ca="1">IFERROR(INDEX(_xlfn.ANCHORARRAY($AA$11),ROW()-10,6),"")</f>
        <v/>
      </c>
      <c r="G47" s="16" t="str" cm="1">
        <f t="array" aca="1" ref="G47" ca="1">IFERROR(INDEX(_xlfn.ANCHORARRAY($AA$11),ROW()-10,7),"")</f>
        <v/>
      </c>
      <c r="H47" s="16" t="str" cm="1">
        <f t="array" aca="1" ref="H47" ca="1">IFERROR(INDEX(_xlfn.ANCHORARRAY($AA$11),ROW()-10,8),"")</f>
        <v/>
      </c>
      <c r="I47" s="16" t="str" cm="1">
        <f t="array" aca="1" ref="I47" ca="1">IFERROR(INDEX(_xlfn.ANCHORARRAY($AA$11),ROW()-10,9),"")</f>
        <v/>
      </c>
      <c r="J47" s="16" t="str">
        <f t="shared" ca="1" si="3"/>
        <v/>
      </c>
      <c r="K47" s="16" t="str">
        <f t="shared" ca="1" si="4"/>
        <v/>
      </c>
      <c r="L47" s="16" t="str" cm="1">
        <f t="array" aca="1" ref="L47" ca="1">_xlfn.LET(_xlpm.link,IFERROR(INDEX(_xlfn.ANCHORARRAY($AA$11),ROW()-10,12),""),IF(_xlpm.link="","",HYPERLINK(_xlpm.link,"Bluecore/Attentive")))</f>
        <v/>
      </c>
      <c r="M47" s="60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55" t="str" cm="1">
        <f t="array" aca="1" ref="A48" ca="1">IFERROR(INDEX(_xlfn.ANCHORARRAY($AA$11),ROW()-10,1),"")</f>
        <v/>
      </c>
      <c r="B48" s="24" t="str" cm="1">
        <f t="array" aca="1" ref="B48" ca="1">IFERROR(INDEX(_xlfn.ANCHORARRAY($AA$11),ROW()-10,2),"")</f>
        <v/>
      </c>
      <c r="C48" s="16" t="str" cm="1">
        <f t="array" aca="1" ref="C48" ca="1">IFERROR(INDEX(_xlfn.ANCHORARRAY($AA$11),ROW()-10,3),"")</f>
        <v/>
      </c>
      <c r="D48" s="16" t="str" cm="1">
        <f t="array" aca="1" ref="D48" ca="1">IFERROR(INDEX(_xlfn.ANCHORARRAY($AA$11),ROW()-10,4),"")</f>
        <v/>
      </c>
      <c r="E48" s="16" t="str" cm="1">
        <f t="array" aca="1" ref="E48" ca="1">IFERROR(INDEX(_xlfn.ANCHORARRAY($AA$11),ROW()-10,5),"")</f>
        <v/>
      </c>
      <c r="F48" s="16" t="str" cm="1">
        <f t="array" aca="1" ref="F48" ca="1">IFERROR(INDEX(_xlfn.ANCHORARRAY($AA$11),ROW()-10,6),"")</f>
        <v/>
      </c>
      <c r="G48" s="16" t="str" cm="1">
        <f t="array" aca="1" ref="G48" ca="1">IFERROR(INDEX(_xlfn.ANCHORARRAY($AA$11),ROW()-10,7),"")</f>
        <v/>
      </c>
      <c r="H48" s="16" t="str" cm="1">
        <f t="array" aca="1" ref="H48" ca="1">IFERROR(INDEX(_xlfn.ANCHORARRAY($AA$11),ROW()-10,8),"")</f>
        <v/>
      </c>
      <c r="I48" s="16" t="str" cm="1">
        <f t="array" aca="1" ref="I48" ca="1">IFERROR(INDEX(_xlfn.ANCHORARRAY($AA$11),ROW()-10,9),"")</f>
        <v/>
      </c>
      <c r="J48" s="16" t="str">
        <f t="shared" ca="1" si="3"/>
        <v/>
      </c>
      <c r="K48" s="16" t="str">
        <f t="shared" ca="1" si="4"/>
        <v/>
      </c>
      <c r="L48" s="16" t="str" cm="1">
        <f t="array" aca="1" ref="L48" ca="1">_xlfn.LET(_xlpm.link,IFERROR(INDEX(_xlfn.ANCHORARRAY($AA$11),ROW()-10,12),""),IF(_xlpm.link="","",HYPERLINK(_xlpm.link,"Bluecore/Attentive")))</f>
        <v/>
      </c>
      <c r="M48" s="61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55" t="str" cm="1">
        <f t="array" aca="1" ref="A49" ca="1">IFERROR(INDEX(_xlfn.ANCHORARRAY($AA$11),ROW()-10,1),"")</f>
        <v/>
      </c>
      <c r="B49" s="24" t="str" cm="1">
        <f t="array" aca="1" ref="B49" ca="1">IFERROR(INDEX(_xlfn.ANCHORARRAY($AA$11),ROW()-10,2),"")</f>
        <v/>
      </c>
      <c r="C49" s="16" t="str" cm="1">
        <f t="array" aca="1" ref="C49" ca="1">IFERROR(INDEX(_xlfn.ANCHORARRAY($AA$11),ROW()-10,3),"")</f>
        <v/>
      </c>
      <c r="D49" s="16" t="str" cm="1">
        <f t="array" aca="1" ref="D49" ca="1">IFERROR(INDEX(_xlfn.ANCHORARRAY($AA$11),ROW()-10,4),"")</f>
        <v/>
      </c>
      <c r="E49" s="16" t="str" cm="1">
        <f t="array" aca="1" ref="E49" ca="1">IFERROR(INDEX(_xlfn.ANCHORARRAY($AA$11),ROW()-10,5),"")</f>
        <v/>
      </c>
      <c r="F49" s="16" t="str" cm="1">
        <f t="array" aca="1" ref="F49" ca="1">IFERROR(INDEX(_xlfn.ANCHORARRAY($AA$11),ROW()-10,6),"")</f>
        <v/>
      </c>
      <c r="G49" s="16" t="str" cm="1">
        <f t="array" aca="1" ref="G49" ca="1">IFERROR(INDEX(_xlfn.ANCHORARRAY($AA$11),ROW()-10,7),"")</f>
        <v/>
      </c>
      <c r="H49" s="16" t="str" cm="1">
        <f t="array" aca="1" ref="H49" ca="1">IFERROR(INDEX(_xlfn.ANCHORARRAY($AA$11),ROW()-10,8),"")</f>
        <v/>
      </c>
      <c r="I49" s="16" t="str" cm="1">
        <f t="array" aca="1" ref="I49" ca="1">IFERROR(INDEX(_xlfn.ANCHORARRAY($AA$11),ROW()-10,9),"")</f>
        <v/>
      </c>
      <c r="J49" s="16" t="str">
        <f t="shared" ca="1" si="3"/>
        <v/>
      </c>
      <c r="K49" s="16" t="str">
        <f t="shared" ca="1" si="4"/>
        <v/>
      </c>
      <c r="L49" s="16" t="str" cm="1">
        <f t="array" aca="1" ref="L49" ca="1">_xlfn.LET(_xlpm.link,IFERROR(INDEX(_xlfn.ANCHORARRAY($AA$11),ROW()-10,12),""),IF(_xlpm.link="","",HYPERLINK(_xlpm.link,"Bluecore/Attentive")))</f>
        <v/>
      </c>
      <c r="M49" s="60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5" t="str" cm="1">
        <f t="array" aca="1" ref="A50" ca="1">IFERROR(INDEX(_xlfn.ANCHORARRAY($AA$11),ROW()-10,1),"")</f>
        <v/>
      </c>
      <c r="B50" s="24" t="str" cm="1">
        <f t="array" aca="1" ref="B50" ca="1">IFERROR(INDEX(_xlfn.ANCHORARRAY($AA$11),ROW()-10,2),"")</f>
        <v/>
      </c>
      <c r="C50" s="16" t="str" cm="1">
        <f t="array" aca="1" ref="C50" ca="1">IFERROR(INDEX(_xlfn.ANCHORARRAY($AA$11),ROW()-10,3),"")</f>
        <v/>
      </c>
      <c r="D50" s="16" t="str" cm="1">
        <f t="array" aca="1" ref="D50" ca="1">IFERROR(INDEX(_xlfn.ANCHORARRAY($AA$11),ROW()-10,4),"")</f>
        <v/>
      </c>
      <c r="E50" s="16" t="str" cm="1">
        <f t="array" aca="1" ref="E50" ca="1">IFERROR(INDEX(_xlfn.ANCHORARRAY($AA$11),ROW()-10,5),"")</f>
        <v/>
      </c>
      <c r="F50" s="16" t="str" cm="1">
        <f t="array" aca="1" ref="F50" ca="1">IFERROR(INDEX(_xlfn.ANCHORARRAY($AA$11),ROW()-10,6),"")</f>
        <v/>
      </c>
      <c r="G50" s="16" t="str" cm="1">
        <f t="array" aca="1" ref="G50" ca="1">IFERROR(INDEX(_xlfn.ANCHORARRAY($AA$11),ROW()-10,7),"")</f>
        <v/>
      </c>
      <c r="H50" s="16" t="str" cm="1">
        <f t="array" aca="1" ref="H50" ca="1">IFERROR(INDEX(_xlfn.ANCHORARRAY($AA$11),ROW()-10,8),"")</f>
        <v/>
      </c>
      <c r="I50" s="16" t="str" cm="1">
        <f t="array" aca="1" ref="I50" ca="1">IFERROR(INDEX(_xlfn.ANCHORARRAY($AA$11),ROW()-10,9),"")</f>
        <v/>
      </c>
      <c r="J50" s="16" t="str">
        <f t="shared" ca="1" si="3"/>
        <v/>
      </c>
      <c r="K50" s="16" t="str">
        <f t="shared" ca="1" si="4"/>
        <v/>
      </c>
      <c r="L50" s="16" t="str" cm="1">
        <f t="array" aca="1" ref="L50" ca="1">_xlfn.LET(_xlpm.link,IFERROR(INDEX(_xlfn.ANCHORARRAY($AA$11),ROW()-10,12),""),IF(_xlpm.link="","",HYPERLINK(_xlpm.link,"Bluecore/Attentive")))</f>
        <v/>
      </c>
      <c r="M50" s="61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5" t="str" cm="1">
        <f t="array" aca="1" ref="A51" ca="1">IFERROR(INDEX(_xlfn.ANCHORARRAY($AA$11),ROW()-10,1),"")</f>
        <v/>
      </c>
      <c r="B51" s="24" t="str" cm="1">
        <f t="array" aca="1" ref="B51" ca="1">IFERROR(INDEX(_xlfn.ANCHORARRAY($AA$11),ROW()-10,2),"")</f>
        <v/>
      </c>
      <c r="C51" s="16" t="str" cm="1">
        <f t="array" aca="1" ref="C51" ca="1">IFERROR(INDEX(_xlfn.ANCHORARRAY($AA$11),ROW()-10,3),"")</f>
        <v/>
      </c>
      <c r="D51" s="16" t="str" cm="1">
        <f t="array" aca="1" ref="D51" ca="1">IFERROR(INDEX(_xlfn.ANCHORARRAY($AA$11),ROW()-10,4),"")</f>
        <v/>
      </c>
      <c r="E51" s="16" t="str" cm="1">
        <f t="array" aca="1" ref="E51" ca="1">IFERROR(INDEX(_xlfn.ANCHORARRAY($AA$11),ROW()-10,5),"")</f>
        <v/>
      </c>
      <c r="F51" s="16" t="str" cm="1">
        <f t="array" aca="1" ref="F51" ca="1">IFERROR(INDEX(_xlfn.ANCHORARRAY($AA$11),ROW()-10,6),"")</f>
        <v/>
      </c>
      <c r="G51" s="16" t="str" cm="1">
        <f t="array" aca="1" ref="G51" ca="1">IFERROR(INDEX(_xlfn.ANCHORARRAY($AA$11),ROW()-10,7),"")</f>
        <v/>
      </c>
      <c r="H51" s="16" t="str" cm="1">
        <f t="array" aca="1" ref="H51" ca="1">IFERROR(INDEX(_xlfn.ANCHORARRAY($AA$11),ROW()-10,8),"")</f>
        <v/>
      </c>
      <c r="I51" s="16" t="str" cm="1">
        <f t="array" aca="1" ref="I51" ca="1">IFERROR(INDEX(_xlfn.ANCHORARRAY($AA$11),ROW()-10,9),"")</f>
        <v/>
      </c>
      <c r="J51" s="16" t="str">
        <f t="shared" ca="1" si="3"/>
        <v/>
      </c>
      <c r="K51" s="16" t="str">
        <f t="shared" ca="1" si="4"/>
        <v/>
      </c>
      <c r="L51" s="16" t="str" cm="1">
        <f t="array" aca="1" ref="L51" ca="1">_xlfn.LET(_xlpm.link,IFERROR(INDEX(_xlfn.ANCHORARRAY($AA$11),ROW()-10,12),""),IF(_xlpm.link="","",HYPERLINK(_xlpm.link,"Bluecore/Attentive")))</f>
        <v/>
      </c>
      <c r="M51" s="60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5" t="str" cm="1">
        <f t="array" aca="1" ref="A52" ca="1">IFERROR(INDEX(_xlfn.ANCHORARRAY($AA$11),ROW()-10,1),"")</f>
        <v/>
      </c>
      <c r="B52" s="24" t="str" cm="1">
        <f t="array" aca="1" ref="B52" ca="1">IFERROR(INDEX(_xlfn.ANCHORARRAY($AA$11),ROW()-10,2),"")</f>
        <v/>
      </c>
      <c r="C52" s="16" t="str" cm="1">
        <f t="array" aca="1" ref="C52" ca="1">IFERROR(INDEX(_xlfn.ANCHORARRAY($AA$11),ROW()-10,3),"")</f>
        <v/>
      </c>
      <c r="D52" s="16" t="str" cm="1">
        <f t="array" aca="1" ref="D52" ca="1">IFERROR(INDEX(_xlfn.ANCHORARRAY($AA$11),ROW()-10,4),"")</f>
        <v/>
      </c>
      <c r="E52" s="16" t="str" cm="1">
        <f t="array" aca="1" ref="E52" ca="1">IFERROR(INDEX(_xlfn.ANCHORARRAY($AA$11),ROW()-10,5),"")</f>
        <v/>
      </c>
      <c r="F52" s="16" t="str" cm="1">
        <f t="array" aca="1" ref="F52" ca="1">IFERROR(INDEX(_xlfn.ANCHORARRAY($AA$11),ROW()-10,6),"")</f>
        <v/>
      </c>
      <c r="G52" s="16" t="str" cm="1">
        <f t="array" aca="1" ref="G52" ca="1">IFERROR(INDEX(_xlfn.ANCHORARRAY($AA$11),ROW()-10,7),"")</f>
        <v/>
      </c>
      <c r="H52" s="16" t="str" cm="1">
        <f t="array" aca="1" ref="H52" ca="1">IFERROR(INDEX(_xlfn.ANCHORARRAY($AA$11),ROW()-10,8),"")</f>
        <v/>
      </c>
      <c r="I52" s="16" t="str" cm="1">
        <f t="array" aca="1" ref="I52" ca="1">IFERROR(INDEX(_xlfn.ANCHORARRAY($AA$11),ROW()-10,9),"")</f>
        <v/>
      </c>
      <c r="J52" s="16" t="str">
        <f t="shared" ca="1" si="3"/>
        <v/>
      </c>
      <c r="K52" s="16" t="str">
        <f t="shared" ca="1" si="4"/>
        <v/>
      </c>
      <c r="L52" s="16" t="str" cm="1">
        <f t="array" aca="1" ref="L52" ca="1">_xlfn.LET(_xlpm.link,IFERROR(INDEX(_xlfn.ANCHORARRAY($AA$11),ROW()-10,12),""),IF(_xlpm.link="","",HYPERLINK(_xlpm.link,"Bluecore/Attentive")))</f>
        <v/>
      </c>
      <c r="M52" s="61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5" t="str" cm="1">
        <f t="array" aca="1" ref="A53" ca="1">IFERROR(INDEX(_xlfn.ANCHORARRAY($AA$11),ROW()-10,1),"")</f>
        <v/>
      </c>
      <c r="B53" s="24" t="str" cm="1">
        <f t="array" aca="1" ref="B53" ca="1">IFERROR(INDEX(_xlfn.ANCHORARRAY($AA$11),ROW()-10,2),"")</f>
        <v/>
      </c>
      <c r="C53" s="16" t="str" cm="1">
        <f t="array" aca="1" ref="C53" ca="1">IFERROR(INDEX(_xlfn.ANCHORARRAY($AA$11),ROW()-10,3),"")</f>
        <v/>
      </c>
      <c r="D53" s="16" t="str" cm="1">
        <f t="array" aca="1" ref="D53" ca="1">IFERROR(INDEX(_xlfn.ANCHORARRAY($AA$11),ROW()-10,4),"")</f>
        <v/>
      </c>
      <c r="E53" s="16" t="str" cm="1">
        <f t="array" aca="1" ref="E53" ca="1">IFERROR(INDEX(_xlfn.ANCHORARRAY($AA$11),ROW()-10,5),"")</f>
        <v/>
      </c>
      <c r="F53" s="16" t="str" cm="1">
        <f t="array" aca="1" ref="F53" ca="1">IFERROR(INDEX(_xlfn.ANCHORARRAY($AA$11),ROW()-10,6),"")</f>
        <v/>
      </c>
      <c r="G53" s="16" t="str" cm="1">
        <f t="array" aca="1" ref="G53" ca="1">IFERROR(INDEX(_xlfn.ANCHORARRAY($AA$11),ROW()-10,7),"")</f>
        <v/>
      </c>
      <c r="H53" s="16" t="str" cm="1">
        <f t="array" aca="1" ref="H53" ca="1">IFERROR(INDEX(_xlfn.ANCHORARRAY($AA$11),ROW()-10,8),"")</f>
        <v/>
      </c>
      <c r="I53" s="16" t="str" cm="1">
        <f t="array" aca="1" ref="I53" ca="1">IFERROR(INDEX(_xlfn.ANCHORARRAY($AA$11),ROW()-10,9),"")</f>
        <v/>
      </c>
      <c r="J53" s="16" t="str">
        <f t="shared" ca="1" si="3"/>
        <v/>
      </c>
      <c r="K53" s="16" t="str">
        <f t="shared" ca="1" si="4"/>
        <v/>
      </c>
      <c r="L53" s="16" t="str" cm="1">
        <f t="array" aca="1" ref="L53" ca="1">_xlfn.LET(_xlpm.link,IFERROR(INDEX(_xlfn.ANCHORARRAY($AA$11),ROW()-10,12),""),IF(_xlpm.link="","",HYPERLINK(_xlpm.link,"Bluecore/Attentive")))</f>
        <v/>
      </c>
      <c r="M53" s="60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5" t="str" cm="1">
        <f t="array" aca="1" ref="A54" ca="1">IFERROR(INDEX(_xlfn.ANCHORARRAY($AA$11),ROW()-10,1),"")</f>
        <v/>
      </c>
      <c r="B54" s="24" t="str" cm="1">
        <f t="array" aca="1" ref="B54" ca="1">IFERROR(INDEX(_xlfn.ANCHORARRAY($AA$11),ROW()-10,2),"")</f>
        <v/>
      </c>
      <c r="C54" s="16" t="str" cm="1">
        <f t="array" aca="1" ref="C54" ca="1">IFERROR(INDEX(_xlfn.ANCHORARRAY($AA$11),ROW()-10,3),"")</f>
        <v/>
      </c>
      <c r="D54" s="16" t="str" cm="1">
        <f t="array" aca="1" ref="D54" ca="1">IFERROR(INDEX(_xlfn.ANCHORARRAY($AA$11),ROW()-10,4),"")</f>
        <v/>
      </c>
      <c r="E54" s="16" t="str" cm="1">
        <f t="array" aca="1" ref="E54" ca="1">IFERROR(INDEX(_xlfn.ANCHORARRAY($AA$11),ROW()-10,5),"")</f>
        <v/>
      </c>
      <c r="F54" s="16" t="str" cm="1">
        <f t="array" aca="1" ref="F54" ca="1">IFERROR(INDEX(_xlfn.ANCHORARRAY($AA$11),ROW()-10,6),"")</f>
        <v/>
      </c>
      <c r="G54" s="16" t="str" cm="1">
        <f t="array" aca="1" ref="G54" ca="1">IFERROR(INDEX(_xlfn.ANCHORARRAY($AA$11),ROW()-10,7),"")</f>
        <v/>
      </c>
      <c r="H54" s="16" t="str" cm="1">
        <f t="array" aca="1" ref="H54" ca="1">IFERROR(INDEX(_xlfn.ANCHORARRAY($AA$11),ROW()-10,8),"")</f>
        <v/>
      </c>
      <c r="I54" s="16" t="str" cm="1">
        <f t="array" aca="1" ref="I54" ca="1">IFERROR(INDEX(_xlfn.ANCHORARRAY($AA$11),ROW()-10,9),"")</f>
        <v/>
      </c>
      <c r="J54" s="16" t="str">
        <f t="shared" ca="1" si="3"/>
        <v/>
      </c>
      <c r="K54" s="16" t="str">
        <f t="shared" ca="1" si="4"/>
        <v/>
      </c>
      <c r="L54" s="16" t="str" cm="1">
        <f t="array" aca="1" ref="L54" ca="1">_xlfn.LET(_xlpm.link,IFERROR(INDEX(_xlfn.ANCHORARRAY($AA$11),ROW()-10,12),""),IF(_xlpm.link="","",HYPERLINK(_xlpm.link,"Bluecore/Attentive")))</f>
        <v/>
      </c>
      <c r="M54" s="61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5" t="str" cm="1">
        <f t="array" aca="1" ref="A55" ca="1">IFERROR(INDEX(_xlfn.ANCHORARRAY($AA$11),ROW()-10,1),"")</f>
        <v/>
      </c>
      <c r="B55" s="24" t="str" cm="1">
        <f t="array" aca="1" ref="B55" ca="1">IFERROR(INDEX(_xlfn.ANCHORARRAY($AA$11),ROW()-10,2),"")</f>
        <v/>
      </c>
      <c r="C55" s="16" t="str" cm="1">
        <f t="array" aca="1" ref="C55" ca="1">IFERROR(INDEX(_xlfn.ANCHORARRAY($AA$11),ROW()-10,3),"")</f>
        <v/>
      </c>
      <c r="D55" s="16" t="str" cm="1">
        <f t="array" aca="1" ref="D55" ca="1">IFERROR(INDEX(_xlfn.ANCHORARRAY($AA$11),ROW()-10,4),"")</f>
        <v/>
      </c>
      <c r="E55" s="16" t="str" cm="1">
        <f t="array" aca="1" ref="E55" ca="1">IFERROR(INDEX(_xlfn.ANCHORARRAY($AA$11),ROW()-10,5),"")</f>
        <v/>
      </c>
      <c r="F55" s="16" t="str" cm="1">
        <f t="array" aca="1" ref="F55" ca="1">IFERROR(INDEX(_xlfn.ANCHORARRAY($AA$11),ROW()-10,6),"")</f>
        <v/>
      </c>
      <c r="G55" s="16" t="str" cm="1">
        <f t="array" aca="1" ref="G55" ca="1">IFERROR(INDEX(_xlfn.ANCHORARRAY($AA$11),ROW()-10,7),"")</f>
        <v/>
      </c>
      <c r="H55" s="16" t="str" cm="1">
        <f t="array" aca="1" ref="H55" ca="1">IFERROR(INDEX(_xlfn.ANCHORARRAY($AA$11),ROW()-10,8),"")</f>
        <v/>
      </c>
      <c r="I55" s="16" t="str" cm="1">
        <f t="array" aca="1" ref="I55" ca="1">IFERROR(INDEX(_xlfn.ANCHORARRAY($AA$11),ROW()-10,9),"")</f>
        <v/>
      </c>
      <c r="J55" s="16" t="str">
        <f t="shared" ca="1" si="3"/>
        <v/>
      </c>
      <c r="K55" s="16" t="str">
        <f t="shared" ca="1" si="4"/>
        <v/>
      </c>
      <c r="L55" s="16" t="str" cm="1">
        <f t="array" aca="1" ref="L55" ca="1">_xlfn.LET(_xlpm.link,IFERROR(INDEX(_xlfn.ANCHORARRAY($AA$11),ROW()-10,12),""),IF(_xlpm.link="","",HYPERLINK(_xlpm.link,"Bluecore/Attentive")))</f>
        <v/>
      </c>
      <c r="M55" s="60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55" t="str" cm="1">
        <f t="array" aca="1" ref="A56" ca="1">IFERROR(INDEX(_xlfn.ANCHORARRAY($AA$11),ROW()-10,1),"")</f>
        <v/>
      </c>
      <c r="B56" s="24" t="str" cm="1">
        <f t="array" aca="1" ref="B56" ca="1">IFERROR(INDEX(_xlfn.ANCHORARRAY($AA$11),ROW()-10,2),"")</f>
        <v/>
      </c>
      <c r="C56" s="16" t="str" cm="1">
        <f t="array" aca="1" ref="C56" ca="1">IFERROR(INDEX(_xlfn.ANCHORARRAY($AA$11),ROW()-10,3),"")</f>
        <v/>
      </c>
      <c r="D56" s="16" t="str" cm="1">
        <f t="array" aca="1" ref="D56" ca="1">IFERROR(INDEX(_xlfn.ANCHORARRAY($AA$11),ROW()-10,4),"")</f>
        <v/>
      </c>
      <c r="E56" s="16" t="str" cm="1">
        <f t="array" aca="1" ref="E56" ca="1">IFERROR(INDEX(_xlfn.ANCHORARRAY($AA$11),ROW()-10,5),"")</f>
        <v/>
      </c>
      <c r="F56" s="16" t="str" cm="1">
        <f t="array" aca="1" ref="F56" ca="1">IFERROR(INDEX(_xlfn.ANCHORARRAY($AA$11),ROW()-10,6),"")</f>
        <v/>
      </c>
      <c r="G56" s="16" t="str" cm="1">
        <f t="array" aca="1" ref="G56" ca="1">IFERROR(INDEX(_xlfn.ANCHORARRAY($AA$11),ROW()-10,7),"")</f>
        <v/>
      </c>
      <c r="H56" s="16" t="str" cm="1">
        <f t="array" aca="1" ref="H56" ca="1">IFERROR(INDEX(_xlfn.ANCHORARRAY($AA$11),ROW()-10,8),"")</f>
        <v/>
      </c>
      <c r="I56" s="16" t="str" cm="1">
        <f t="array" aca="1" ref="I56" ca="1">IFERROR(INDEX(_xlfn.ANCHORARRAY($AA$11),ROW()-10,9),"")</f>
        <v/>
      </c>
      <c r="J56" s="16" t="str">
        <f t="shared" ca="1" si="3"/>
        <v/>
      </c>
      <c r="K56" s="16" t="str">
        <f t="shared" ca="1" si="4"/>
        <v/>
      </c>
      <c r="L56" s="16" t="str" cm="1">
        <f t="array" aca="1" ref="L56" ca="1">_xlfn.LET(_xlpm.link,IFERROR(INDEX(_xlfn.ANCHORARRAY($AA$11),ROW()-10,12),""),IF(_xlpm.link="","",HYPERLINK(_xlpm.link,"Bluecore/Attentive")))</f>
        <v/>
      </c>
      <c r="M56" s="61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55" t="str" cm="1">
        <f t="array" aca="1" ref="A57" ca="1">IFERROR(INDEX(_xlfn.ANCHORARRAY($AA$11),ROW()-10,1),"")</f>
        <v/>
      </c>
      <c r="B57" s="24" t="str" cm="1">
        <f t="array" aca="1" ref="B57" ca="1">IFERROR(INDEX(_xlfn.ANCHORARRAY($AA$11),ROW()-10,2),"")</f>
        <v/>
      </c>
      <c r="C57" s="16" t="str" cm="1">
        <f t="array" aca="1" ref="C57" ca="1">IFERROR(INDEX(_xlfn.ANCHORARRAY($AA$11),ROW()-10,3),"")</f>
        <v/>
      </c>
      <c r="D57" s="16" t="str" cm="1">
        <f t="array" aca="1" ref="D57" ca="1">IFERROR(INDEX(_xlfn.ANCHORARRAY($AA$11),ROW()-10,4),"")</f>
        <v/>
      </c>
      <c r="E57" s="16" t="str" cm="1">
        <f t="array" aca="1" ref="E57" ca="1">IFERROR(INDEX(_xlfn.ANCHORARRAY($AA$11),ROW()-10,5),"")</f>
        <v/>
      </c>
      <c r="F57" s="16" t="str" cm="1">
        <f t="array" aca="1" ref="F57" ca="1">IFERROR(INDEX(_xlfn.ANCHORARRAY($AA$11),ROW()-10,6),"")</f>
        <v/>
      </c>
      <c r="G57" s="16" t="str" cm="1">
        <f t="array" aca="1" ref="G57" ca="1">IFERROR(INDEX(_xlfn.ANCHORARRAY($AA$11),ROW()-10,7),"")</f>
        <v/>
      </c>
      <c r="H57" s="16" t="str" cm="1">
        <f t="array" aca="1" ref="H57" ca="1">IFERROR(INDEX(_xlfn.ANCHORARRAY($AA$11),ROW()-10,8),"")</f>
        <v/>
      </c>
      <c r="I57" s="16" t="str" cm="1">
        <f t="array" aca="1" ref="I57" ca="1">IFERROR(INDEX(_xlfn.ANCHORARRAY($AA$11),ROW()-10,9),"")</f>
        <v/>
      </c>
      <c r="J57" s="16" t="str">
        <f t="shared" ca="1" si="3"/>
        <v/>
      </c>
      <c r="K57" s="16" t="str">
        <f t="shared" ca="1" si="4"/>
        <v/>
      </c>
      <c r="L57" s="16" t="str" cm="1">
        <f t="array" aca="1" ref="L57" ca="1">_xlfn.LET(_xlpm.link,IFERROR(INDEX(_xlfn.ANCHORARRAY($AA$11),ROW()-10,12),""),IF(_xlpm.link="","",HYPERLINK(_xlpm.link,"Bluecore/Attentive")))</f>
        <v/>
      </c>
      <c r="M57" s="60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55" t="str" cm="1">
        <f t="array" aca="1" ref="A58" ca="1">IFERROR(INDEX(_xlfn.ANCHORARRAY($AA$11),ROW()-10,1),"")</f>
        <v/>
      </c>
      <c r="B58" s="24" t="str" cm="1">
        <f t="array" aca="1" ref="B58" ca="1">IFERROR(INDEX(_xlfn.ANCHORARRAY($AA$11),ROW()-10,2),"")</f>
        <v/>
      </c>
      <c r="C58" s="16" t="str" cm="1">
        <f t="array" aca="1" ref="C58" ca="1">IFERROR(INDEX(_xlfn.ANCHORARRAY($AA$11),ROW()-10,3),"")</f>
        <v/>
      </c>
      <c r="D58" s="16" t="str" cm="1">
        <f t="array" aca="1" ref="D58" ca="1">IFERROR(INDEX(_xlfn.ANCHORARRAY($AA$11),ROW()-10,4),"")</f>
        <v/>
      </c>
      <c r="E58" s="16" t="str" cm="1">
        <f t="array" aca="1" ref="E58" ca="1">IFERROR(INDEX(_xlfn.ANCHORARRAY($AA$11),ROW()-10,5),"")</f>
        <v/>
      </c>
      <c r="F58" s="16" t="str" cm="1">
        <f t="array" aca="1" ref="F58" ca="1">IFERROR(INDEX(_xlfn.ANCHORARRAY($AA$11),ROW()-10,6),"")</f>
        <v/>
      </c>
      <c r="G58" s="16" t="str" cm="1">
        <f t="array" aca="1" ref="G58" ca="1">IFERROR(INDEX(_xlfn.ANCHORARRAY($AA$11),ROW()-10,7),"")</f>
        <v/>
      </c>
      <c r="H58" s="16" t="str" cm="1">
        <f t="array" aca="1" ref="H58" ca="1">IFERROR(INDEX(_xlfn.ANCHORARRAY($AA$11),ROW()-10,8),"")</f>
        <v/>
      </c>
      <c r="I58" s="16" t="str" cm="1">
        <f t="array" aca="1" ref="I58" ca="1">IFERROR(INDEX(_xlfn.ANCHORARRAY($AA$11),ROW()-10,9),"")</f>
        <v/>
      </c>
      <c r="J58" s="16" t="str">
        <f t="shared" ca="1" si="3"/>
        <v/>
      </c>
      <c r="K58" s="16" t="str">
        <f t="shared" ca="1" si="4"/>
        <v/>
      </c>
      <c r="L58" s="16" t="str" cm="1">
        <f t="array" aca="1" ref="L58" ca="1">_xlfn.LET(_xlpm.link,IFERROR(INDEX(_xlfn.ANCHORARRAY($AA$11),ROW()-10,12),""),IF(_xlpm.link="","",HYPERLINK(_xlpm.link,"Bluecore/Attentive")))</f>
        <v/>
      </c>
      <c r="M58" s="61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55" t="str" cm="1">
        <f t="array" aca="1" ref="A59" ca="1">IFERROR(INDEX(_xlfn.ANCHORARRAY($AA$11),ROW()-10,1),"")</f>
        <v/>
      </c>
      <c r="B59" s="24" t="str" cm="1">
        <f t="array" aca="1" ref="B59" ca="1">IFERROR(INDEX(_xlfn.ANCHORARRAY($AA$11),ROW()-10,2),"")</f>
        <v/>
      </c>
      <c r="C59" s="16" t="str" cm="1">
        <f t="array" aca="1" ref="C59" ca="1">IFERROR(INDEX(_xlfn.ANCHORARRAY($AA$11),ROW()-10,3),"")</f>
        <v/>
      </c>
      <c r="D59" s="16" t="str" cm="1">
        <f t="array" aca="1" ref="D59" ca="1">IFERROR(INDEX(_xlfn.ANCHORARRAY($AA$11),ROW()-10,4),"")</f>
        <v/>
      </c>
      <c r="E59" s="16" t="str" cm="1">
        <f t="array" aca="1" ref="E59" ca="1">IFERROR(INDEX(_xlfn.ANCHORARRAY($AA$11),ROW()-10,5),"")</f>
        <v/>
      </c>
      <c r="F59" s="16" t="str" cm="1">
        <f t="array" aca="1" ref="F59" ca="1">IFERROR(INDEX(_xlfn.ANCHORARRAY($AA$11),ROW()-10,6),"")</f>
        <v/>
      </c>
      <c r="G59" s="16" t="str" cm="1">
        <f t="array" aca="1" ref="G59" ca="1">IFERROR(INDEX(_xlfn.ANCHORARRAY($AA$11),ROW()-10,7),"")</f>
        <v/>
      </c>
      <c r="H59" s="16" t="str" cm="1">
        <f t="array" aca="1" ref="H59" ca="1">IFERROR(INDEX(_xlfn.ANCHORARRAY($AA$11),ROW()-10,8),"")</f>
        <v/>
      </c>
      <c r="I59" s="16" t="str" cm="1">
        <f t="array" aca="1" ref="I59" ca="1">IFERROR(INDEX(_xlfn.ANCHORARRAY($AA$11),ROW()-10,9),"")</f>
        <v/>
      </c>
      <c r="J59" s="16" t="str">
        <f t="shared" ca="1" si="3"/>
        <v/>
      </c>
      <c r="K59" s="16" t="str">
        <f t="shared" ca="1" si="4"/>
        <v/>
      </c>
      <c r="L59" s="16" t="str" cm="1">
        <f t="array" aca="1" ref="L59" ca="1">_xlfn.LET(_xlpm.link,IFERROR(INDEX(_xlfn.ANCHORARRAY($AA$11),ROW()-10,12),""),IF(_xlpm.link="","",HYPERLINK(_xlpm.link,"Bluecore/Attentive")))</f>
        <v/>
      </c>
      <c r="M59" s="60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55" t="str" cm="1">
        <f t="array" aca="1" ref="A60" ca="1">IFERROR(INDEX(_xlfn.ANCHORARRAY($AA$11),ROW()-10,1),"")</f>
        <v/>
      </c>
      <c r="B60" s="24" t="str" cm="1">
        <f t="array" aca="1" ref="B60" ca="1">IFERROR(INDEX(_xlfn.ANCHORARRAY($AA$11),ROW()-10,2),"")</f>
        <v/>
      </c>
      <c r="C60" s="16" t="str" cm="1">
        <f t="array" aca="1" ref="C60" ca="1">IFERROR(INDEX(_xlfn.ANCHORARRAY($AA$11),ROW()-10,3),"")</f>
        <v/>
      </c>
      <c r="D60" s="16" t="str" cm="1">
        <f t="array" aca="1" ref="D60" ca="1">IFERROR(INDEX(_xlfn.ANCHORARRAY($AA$11),ROW()-10,4),"")</f>
        <v/>
      </c>
      <c r="E60" s="16" t="str" cm="1">
        <f t="array" aca="1" ref="E60" ca="1">IFERROR(INDEX(_xlfn.ANCHORARRAY($AA$11),ROW()-10,5),"")</f>
        <v/>
      </c>
      <c r="F60" s="16" t="str" cm="1">
        <f t="array" aca="1" ref="F60" ca="1">IFERROR(INDEX(_xlfn.ANCHORARRAY($AA$11),ROW()-10,6),"")</f>
        <v/>
      </c>
      <c r="G60" s="16" t="str" cm="1">
        <f t="array" aca="1" ref="G60" ca="1">IFERROR(INDEX(_xlfn.ANCHORARRAY($AA$11),ROW()-10,7),"")</f>
        <v/>
      </c>
      <c r="H60" s="16" t="str" cm="1">
        <f t="array" aca="1" ref="H60" ca="1">IFERROR(INDEX(_xlfn.ANCHORARRAY($AA$11),ROW()-10,8),"")</f>
        <v/>
      </c>
      <c r="I60" s="16" t="str" cm="1">
        <f t="array" aca="1" ref="I60" ca="1">IFERROR(INDEX(_xlfn.ANCHORARRAY($AA$11),ROW()-10,9),"")</f>
        <v/>
      </c>
      <c r="J60" s="16" t="str">
        <f t="shared" ca="1" si="3"/>
        <v/>
      </c>
      <c r="K60" s="16" t="str">
        <f t="shared" ca="1" si="4"/>
        <v/>
      </c>
      <c r="L60" s="16" t="str" cm="1">
        <f t="array" aca="1" ref="L60" ca="1">_xlfn.LET(_xlpm.link,IFERROR(INDEX(_xlfn.ANCHORARRAY($AA$11),ROW()-10,12),""),IF(_xlpm.link="","",HYPERLINK(_xlpm.link,"Bluecore/Attentive")))</f>
        <v/>
      </c>
      <c r="M60" s="61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55" t="str" cm="1">
        <f t="array" aca="1" ref="A61" ca="1">IFERROR(INDEX(_xlfn.ANCHORARRAY($AA$11),ROW()-10,1),"")</f>
        <v/>
      </c>
      <c r="B61" s="24" t="str" cm="1">
        <f t="array" aca="1" ref="B61" ca="1">IFERROR(INDEX(_xlfn.ANCHORARRAY($AA$11),ROW()-10,2),"")</f>
        <v/>
      </c>
      <c r="C61" s="16" t="str" cm="1">
        <f t="array" aca="1" ref="C61" ca="1">IFERROR(INDEX(_xlfn.ANCHORARRAY($AA$11),ROW()-10,3),"")</f>
        <v/>
      </c>
      <c r="D61" s="16" t="str" cm="1">
        <f t="array" aca="1" ref="D61" ca="1">IFERROR(INDEX(_xlfn.ANCHORARRAY($AA$11),ROW()-10,4),"")</f>
        <v/>
      </c>
      <c r="E61" s="16" t="str" cm="1">
        <f t="array" aca="1" ref="E61" ca="1">IFERROR(INDEX(_xlfn.ANCHORARRAY($AA$11),ROW()-10,5),"")</f>
        <v/>
      </c>
      <c r="F61" s="16" t="str" cm="1">
        <f t="array" aca="1" ref="F61" ca="1">IFERROR(INDEX(_xlfn.ANCHORARRAY($AA$11),ROW()-10,6),"")</f>
        <v/>
      </c>
      <c r="G61" s="16" t="str" cm="1">
        <f t="array" aca="1" ref="G61" ca="1">IFERROR(INDEX(_xlfn.ANCHORARRAY($AA$11),ROW()-10,7),"")</f>
        <v/>
      </c>
      <c r="H61" s="16" t="str" cm="1">
        <f t="array" aca="1" ref="H61" ca="1">IFERROR(INDEX(_xlfn.ANCHORARRAY($AA$11),ROW()-10,8),"")</f>
        <v/>
      </c>
      <c r="I61" s="16" t="str" cm="1">
        <f t="array" aca="1" ref="I61" ca="1">IFERROR(INDEX(_xlfn.ANCHORARRAY($AA$11),ROW()-10,9),"")</f>
        <v/>
      </c>
      <c r="J61" s="16" t="str">
        <f t="shared" ca="1" si="3"/>
        <v/>
      </c>
      <c r="K61" s="16" t="str">
        <f t="shared" ca="1" si="4"/>
        <v/>
      </c>
      <c r="L61" s="16" t="str" cm="1">
        <f t="array" aca="1" ref="L61" ca="1">_xlfn.LET(_xlpm.link,IFERROR(INDEX(_xlfn.ANCHORARRAY($AA$11),ROW()-10,12),""),IF(_xlpm.link="","",HYPERLINK(_xlpm.link,"Bluecore/Attentive")))</f>
        <v/>
      </c>
      <c r="M61" s="60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55" t="str" cm="1">
        <f t="array" aca="1" ref="A62" ca="1">IFERROR(INDEX(_xlfn.ANCHORARRAY($AA$11),ROW()-10,1),"")</f>
        <v/>
      </c>
      <c r="B62" s="24" t="str" cm="1">
        <f t="array" aca="1" ref="B62" ca="1">IFERROR(INDEX(_xlfn.ANCHORARRAY($AA$11),ROW()-10,2),"")</f>
        <v/>
      </c>
      <c r="C62" s="16" t="str" cm="1">
        <f t="array" aca="1" ref="C62" ca="1">IFERROR(INDEX(_xlfn.ANCHORARRAY($AA$11),ROW()-10,3),"")</f>
        <v/>
      </c>
      <c r="D62" s="16" t="str" cm="1">
        <f t="array" aca="1" ref="D62" ca="1">IFERROR(INDEX(_xlfn.ANCHORARRAY($AA$11),ROW()-10,4),"")</f>
        <v/>
      </c>
      <c r="E62" s="16" t="str" cm="1">
        <f t="array" aca="1" ref="E62" ca="1">IFERROR(INDEX(_xlfn.ANCHORARRAY($AA$11),ROW()-10,5),"")</f>
        <v/>
      </c>
      <c r="F62" s="16" t="str" cm="1">
        <f t="array" aca="1" ref="F62" ca="1">IFERROR(INDEX(_xlfn.ANCHORARRAY($AA$11),ROW()-10,6),"")</f>
        <v/>
      </c>
      <c r="G62" s="16" t="str" cm="1">
        <f t="array" aca="1" ref="G62" ca="1">IFERROR(INDEX(_xlfn.ANCHORARRAY($AA$11),ROW()-10,7),"")</f>
        <v/>
      </c>
      <c r="H62" s="16" t="str" cm="1">
        <f t="array" aca="1" ref="H62" ca="1">IFERROR(INDEX(_xlfn.ANCHORARRAY($AA$11),ROW()-10,8),"")</f>
        <v/>
      </c>
      <c r="I62" s="16" t="str" cm="1">
        <f t="array" aca="1" ref="I62" ca="1">IFERROR(INDEX(_xlfn.ANCHORARRAY($AA$11),ROW()-10,9),"")</f>
        <v/>
      </c>
      <c r="J62" s="16" t="str">
        <f t="shared" ca="1" si="3"/>
        <v/>
      </c>
      <c r="K62" s="16" t="str">
        <f t="shared" ca="1" si="4"/>
        <v/>
      </c>
      <c r="L62" s="16" t="str" cm="1">
        <f t="array" aca="1" ref="L62" ca="1">_xlfn.LET(_xlpm.link,IFERROR(INDEX(_xlfn.ANCHORARRAY($AA$11),ROW()-10,12),""),IF(_xlpm.link="","",HYPERLINK(_xlpm.link,"Bluecore/Attentive")))</f>
        <v/>
      </c>
      <c r="M62" s="61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55" t="str" cm="1">
        <f t="array" aca="1" ref="A63" ca="1">IFERROR(INDEX(_xlfn.ANCHORARRAY($AA$11),ROW()-10,1),"")</f>
        <v/>
      </c>
      <c r="B63" s="24" t="str" cm="1">
        <f t="array" aca="1" ref="B63" ca="1">IFERROR(INDEX(_xlfn.ANCHORARRAY($AA$11),ROW()-10,2),"")</f>
        <v/>
      </c>
      <c r="C63" s="16" t="str" cm="1">
        <f t="array" aca="1" ref="C63" ca="1">IFERROR(INDEX(_xlfn.ANCHORARRAY($AA$11),ROW()-10,3),"")</f>
        <v/>
      </c>
      <c r="D63" s="16" t="str" cm="1">
        <f t="array" aca="1" ref="D63" ca="1">IFERROR(INDEX(_xlfn.ANCHORARRAY($AA$11),ROW()-10,4),"")</f>
        <v/>
      </c>
      <c r="E63" s="16" t="str" cm="1">
        <f t="array" aca="1" ref="E63" ca="1">IFERROR(INDEX(_xlfn.ANCHORARRAY($AA$11),ROW()-10,5),"")</f>
        <v/>
      </c>
      <c r="F63" s="16" t="str" cm="1">
        <f t="array" aca="1" ref="F63" ca="1">IFERROR(INDEX(_xlfn.ANCHORARRAY($AA$11),ROW()-10,6),"")</f>
        <v/>
      </c>
      <c r="G63" s="16" t="str" cm="1">
        <f t="array" aca="1" ref="G63" ca="1">IFERROR(INDEX(_xlfn.ANCHORARRAY($AA$11),ROW()-10,7),"")</f>
        <v/>
      </c>
      <c r="H63" s="16" t="str" cm="1">
        <f t="array" aca="1" ref="H63" ca="1">IFERROR(INDEX(_xlfn.ANCHORARRAY($AA$11),ROW()-10,8),"")</f>
        <v/>
      </c>
      <c r="I63" s="16" t="str" cm="1">
        <f t="array" aca="1" ref="I63" ca="1">IFERROR(INDEX(_xlfn.ANCHORARRAY($AA$11),ROW()-10,9),"")</f>
        <v/>
      </c>
      <c r="J63" s="16" t="str">
        <f t="shared" ca="1" si="3"/>
        <v/>
      </c>
      <c r="K63" s="16" t="str">
        <f t="shared" ca="1" si="4"/>
        <v/>
      </c>
      <c r="L63" s="16" t="str" cm="1">
        <f t="array" aca="1" ref="L63" ca="1">_xlfn.LET(_xlpm.link,IFERROR(INDEX(_xlfn.ANCHORARRAY($AA$11),ROW()-10,12),""),IF(_xlpm.link="","",HYPERLINK(_xlpm.link,"Bluecore/Attentive")))</f>
        <v/>
      </c>
      <c r="M63" s="60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55" t="str" cm="1">
        <f t="array" aca="1" ref="A64" ca="1">IFERROR(INDEX(_xlfn.ANCHORARRAY($AA$11),ROW()-10,1),"")</f>
        <v/>
      </c>
      <c r="B64" s="24" t="str" cm="1">
        <f t="array" aca="1" ref="B64" ca="1">IFERROR(INDEX(_xlfn.ANCHORARRAY($AA$11),ROW()-10,2),"")</f>
        <v/>
      </c>
      <c r="C64" s="16" t="str" cm="1">
        <f t="array" aca="1" ref="C64" ca="1">IFERROR(INDEX(_xlfn.ANCHORARRAY($AA$11),ROW()-10,3),"")</f>
        <v/>
      </c>
      <c r="D64" s="16" t="str" cm="1">
        <f t="array" aca="1" ref="D64" ca="1">IFERROR(INDEX(_xlfn.ANCHORARRAY($AA$11),ROW()-10,4),"")</f>
        <v/>
      </c>
      <c r="E64" s="16" t="str" cm="1">
        <f t="array" aca="1" ref="E64" ca="1">IFERROR(INDEX(_xlfn.ANCHORARRAY($AA$11),ROW()-10,5),"")</f>
        <v/>
      </c>
      <c r="F64" s="16" t="str" cm="1">
        <f t="array" aca="1" ref="F64" ca="1">IFERROR(INDEX(_xlfn.ANCHORARRAY($AA$11),ROW()-10,6),"")</f>
        <v/>
      </c>
      <c r="G64" s="16" t="str" cm="1">
        <f t="array" aca="1" ref="G64" ca="1">IFERROR(INDEX(_xlfn.ANCHORARRAY($AA$11),ROW()-10,7),"")</f>
        <v/>
      </c>
      <c r="H64" s="16" t="str" cm="1">
        <f t="array" aca="1" ref="H64" ca="1">IFERROR(INDEX(_xlfn.ANCHORARRAY($AA$11),ROW()-10,8),"")</f>
        <v/>
      </c>
      <c r="I64" s="16" t="str" cm="1">
        <f t="array" aca="1" ref="I64" ca="1">IFERROR(INDEX(_xlfn.ANCHORARRAY($AA$11),ROW()-10,9),"")</f>
        <v/>
      </c>
      <c r="J64" s="16" t="str">
        <f t="shared" ca="1" si="3"/>
        <v/>
      </c>
      <c r="K64" s="16" t="str">
        <f t="shared" ca="1" si="4"/>
        <v/>
      </c>
      <c r="L64" s="16" t="str" cm="1">
        <f t="array" aca="1" ref="L64" ca="1">_xlfn.LET(_xlpm.link,IFERROR(INDEX(_xlfn.ANCHORARRAY($AA$11),ROW()-10,12),""),IF(_xlpm.link="","",HYPERLINK(_xlpm.link,"Bluecore/Attentive")))</f>
        <v/>
      </c>
      <c r="M64" s="61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55" t="str" cm="1">
        <f t="array" aca="1" ref="A65" ca="1">IFERROR(INDEX(_xlfn.ANCHORARRAY($AA$11),ROW()-10,1),"")</f>
        <v/>
      </c>
      <c r="B65" s="24" t="str" cm="1">
        <f t="array" aca="1" ref="B65" ca="1">IFERROR(INDEX(_xlfn.ANCHORARRAY($AA$11),ROW()-10,2),"")</f>
        <v/>
      </c>
      <c r="C65" s="16" t="str" cm="1">
        <f t="array" aca="1" ref="C65" ca="1">IFERROR(INDEX(_xlfn.ANCHORARRAY($AA$11),ROW()-10,3),"")</f>
        <v/>
      </c>
      <c r="D65" s="16" t="str" cm="1">
        <f t="array" aca="1" ref="D65" ca="1">IFERROR(INDEX(_xlfn.ANCHORARRAY($AA$11),ROW()-10,4),"")</f>
        <v/>
      </c>
      <c r="E65" s="16" t="str" cm="1">
        <f t="array" aca="1" ref="E65" ca="1">IFERROR(INDEX(_xlfn.ANCHORARRAY($AA$11),ROW()-10,5),"")</f>
        <v/>
      </c>
      <c r="F65" s="16" t="str" cm="1">
        <f t="array" aca="1" ref="F65" ca="1">IFERROR(INDEX(_xlfn.ANCHORARRAY($AA$11),ROW()-10,6),"")</f>
        <v/>
      </c>
      <c r="G65" s="16" t="str" cm="1">
        <f t="array" aca="1" ref="G65" ca="1">IFERROR(INDEX(_xlfn.ANCHORARRAY($AA$11),ROW()-10,7),"")</f>
        <v/>
      </c>
      <c r="H65" s="16" t="str" cm="1">
        <f t="array" aca="1" ref="H65" ca="1">IFERROR(INDEX(_xlfn.ANCHORARRAY($AA$11),ROW()-10,8),"")</f>
        <v/>
      </c>
      <c r="I65" s="16" t="str" cm="1">
        <f t="array" aca="1" ref="I65" ca="1">IFERROR(INDEX(_xlfn.ANCHORARRAY($AA$11),ROW()-10,9),"")</f>
        <v/>
      </c>
      <c r="J65" s="16" t="str">
        <f t="shared" ca="1" si="3"/>
        <v/>
      </c>
      <c r="K65" s="16" t="str">
        <f t="shared" ca="1" si="4"/>
        <v/>
      </c>
      <c r="L65" s="16" t="str" cm="1">
        <f t="array" aca="1" ref="L65" ca="1">_xlfn.LET(_xlpm.link,IFERROR(INDEX(_xlfn.ANCHORARRAY($AA$11),ROW()-10,12),""),IF(_xlpm.link="","",HYPERLINK(_xlpm.link,"Bluecore/Attentive")))</f>
        <v/>
      </c>
      <c r="M65" s="60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55" t="str" cm="1">
        <f t="array" aca="1" ref="A66" ca="1">IFERROR(INDEX(_xlfn.ANCHORARRAY($AA$11),ROW()-10,1),"")</f>
        <v/>
      </c>
      <c r="B66" s="24" t="str" cm="1">
        <f t="array" aca="1" ref="B66" ca="1">IFERROR(INDEX(_xlfn.ANCHORARRAY($AA$11),ROW()-10,2),"")</f>
        <v/>
      </c>
      <c r="C66" s="16" t="str" cm="1">
        <f t="array" aca="1" ref="C66" ca="1">IFERROR(INDEX(_xlfn.ANCHORARRAY($AA$11),ROW()-10,3),"")</f>
        <v/>
      </c>
      <c r="D66" s="16" t="str" cm="1">
        <f t="array" aca="1" ref="D66" ca="1">IFERROR(INDEX(_xlfn.ANCHORARRAY($AA$11),ROW()-10,4),"")</f>
        <v/>
      </c>
      <c r="E66" s="16" t="str" cm="1">
        <f t="array" aca="1" ref="E66" ca="1">IFERROR(INDEX(_xlfn.ANCHORARRAY($AA$11),ROW()-10,5),"")</f>
        <v/>
      </c>
      <c r="F66" s="16" t="str" cm="1">
        <f t="array" aca="1" ref="F66" ca="1">IFERROR(INDEX(_xlfn.ANCHORARRAY($AA$11),ROW()-10,6),"")</f>
        <v/>
      </c>
      <c r="G66" s="16" t="str" cm="1">
        <f t="array" aca="1" ref="G66" ca="1">IFERROR(INDEX(_xlfn.ANCHORARRAY($AA$11),ROW()-10,7),"")</f>
        <v/>
      </c>
      <c r="H66" s="16" t="str" cm="1">
        <f t="array" aca="1" ref="H66" ca="1">IFERROR(INDEX(_xlfn.ANCHORARRAY($AA$11),ROW()-10,8),"")</f>
        <v/>
      </c>
      <c r="I66" s="16" t="str" cm="1">
        <f t="array" aca="1" ref="I66" ca="1">IFERROR(INDEX(_xlfn.ANCHORARRAY($AA$11),ROW()-10,9),"")</f>
        <v/>
      </c>
      <c r="J66" s="16" t="str">
        <f t="shared" ca="1" si="3"/>
        <v/>
      </c>
      <c r="K66" s="16" t="str">
        <f t="shared" ca="1" si="4"/>
        <v/>
      </c>
      <c r="L66" s="16" t="str" cm="1">
        <f t="array" aca="1" ref="L66" ca="1">_xlfn.LET(_xlpm.link,IFERROR(INDEX(_xlfn.ANCHORARRAY($AA$11),ROW()-10,12),""),IF(_xlpm.link="","",HYPERLINK(_xlpm.link,"Bluecore/Attentive")))</f>
        <v/>
      </c>
      <c r="M66" s="61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55" t="str" cm="1">
        <f t="array" aca="1" ref="A67" ca="1">IFERROR(INDEX(_xlfn.ANCHORARRAY($AA$11),ROW()-10,1),"")</f>
        <v/>
      </c>
      <c r="B67" s="24" t="str" cm="1">
        <f t="array" aca="1" ref="B67" ca="1">IFERROR(INDEX(_xlfn.ANCHORARRAY($AA$11),ROW()-10,2),"")</f>
        <v/>
      </c>
      <c r="C67" s="16" t="str" cm="1">
        <f t="array" aca="1" ref="C67" ca="1">IFERROR(INDEX(_xlfn.ANCHORARRAY($AA$11),ROW()-10,3),"")</f>
        <v/>
      </c>
      <c r="D67" s="16" t="str" cm="1">
        <f t="array" aca="1" ref="D67" ca="1">IFERROR(INDEX(_xlfn.ANCHORARRAY($AA$11),ROW()-10,4),"")</f>
        <v/>
      </c>
      <c r="E67" s="16" t="str" cm="1">
        <f t="array" aca="1" ref="E67" ca="1">IFERROR(INDEX(_xlfn.ANCHORARRAY($AA$11),ROW()-10,5),"")</f>
        <v/>
      </c>
      <c r="F67" s="16" t="str" cm="1">
        <f t="array" aca="1" ref="F67" ca="1">IFERROR(INDEX(_xlfn.ANCHORARRAY($AA$11),ROW()-10,6),"")</f>
        <v/>
      </c>
      <c r="G67" s="16" t="str" cm="1">
        <f t="array" aca="1" ref="G67" ca="1">IFERROR(INDEX(_xlfn.ANCHORARRAY($AA$11),ROW()-10,7),"")</f>
        <v/>
      </c>
      <c r="H67" s="16" t="str" cm="1">
        <f t="array" aca="1" ref="H67" ca="1">IFERROR(INDEX(_xlfn.ANCHORARRAY($AA$11),ROW()-10,8),"")</f>
        <v/>
      </c>
      <c r="I67" s="16" t="str" cm="1">
        <f t="array" aca="1" ref="I67" ca="1">IFERROR(INDEX(_xlfn.ANCHORARRAY($AA$11),ROW()-10,9),"")</f>
        <v/>
      </c>
      <c r="J67" s="16" t="str">
        <f t="shared" ca="1" si="3"/>
        <v/>
      </c>
      <c r="K67" s="16" t="str">
        <f t="shared" ca="1" si="4"/>
        <v/>
      </c>
      <c r="L67" s="16" t="str" cm="1">
        <f t="array" aca="1" ref="L67" ca="1">_xlfn.LET(_xlpm.link,IFERROR(INDEX(_xlfn.ANCHORARRAY($AA$11),ROW()-10,12),""),IF(_xlpm.link="","",HYPERLINK(_xlpm.link,"Bluecore/Attentive")))</f>
        <v/>
      </c>
      <c r="M67" s="60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55" t="str" cm="1">
        <f t="array" aca="1" ref="A68" ca="1">IFERROR(INDEX(_xlfn.ANCHORARRAY($AA$11),ROW()-10,1),"")</f>
        <v/>
      </c>
      <c r="B68" s="24" t="str" cm="1">
        <f t="array" aca="1" ref="B68" ca="1">IFERROR(INDEX(_xlfn.ANCHORARRAY($AA$11),ROW()-10,2),"")</f>
        <v/>
      </c>
      <c r="C68" s="16" t="str" cm="1">
        <f t="array" aca="1" ref="C68" ca="1">IFERROR(INDEX(_xlfn.ANCHORARRAY($AA$11),ROW()-10,3),"")</f>
        <v/>
      </c>
      <c r="D68" s="16" t="str" cm="1">
        <f t="array" aca="1" ref="D68" ca="1">IFERROR(INDEX(_xlfn.ANCHORARRAY($AA$11),ROW()-10,4),"")</f>
        <v/>
      </c>
      <c r="E68" s="16" t="str" cm="1">
        <f t="array" aca="1" ref="E68" ca="1">IFERROR(INDEX(_xlfn.ANCHORARRAY($AA$11),ROW()-10,5),"")</f>
        <v/>
      </c>
      <c r="F68" s="16" t="str" cm="1">
        <f t="array" aca="1" ref="F68" ca="1">IFERROR(INDEX(_xlfn.ANCHORARRAY($AA$11),ROW()-10,6),"")</f>
        <v/>
      </c>
      <c r="G68" s="16" t="str" cm="1">
        <f t="array" aca="1" ref="G68" ca="1">IFERROR(INDEX(_xlfn.ANCHORARRAY($AA$11),ROW()-10,7),"")</f>
        <v/>
      </c>
      <c r="H68" s="16" t="str" cm="1">
        <f t="array" aca="1" ref="H68" ca="1">IFERROR(INDEX(_xlfn.ANCHORARRAY($AA$11),ROW()-10,8),"")</f>
        <v/>
      </c>
      <c r="I68" s="16" t="str" cm="1">
        <f t="array" aca="1" ref="I68" ca="1">IFERROR(INDEX(_xlfn.ANCHORARRAY($AA$11),ROW()-10,9),"")</f>
        <v/>
      </c>
      <c r="J68" s="16" t="str">
        <f t="shared" ca="1" si="3"/>
        <v/>
      </c>
      <c r="K68" s="16" t="str">
        <f t="shared" ca="1" si="4"/>
        <v/>
      </c>
      <c r="L68" s="16" t="str" cm="1">
        <f t="array" aca="1" ref="L68" ca="1">_xlfn.LET(_xlpm.link,IFERROR(INDEX(_xlfn.ANCHORARRAY($AA$11),ROW()-10,12),""),IF(_xlpm.link="","",HYPERLINK(_xlpm.link,"Bluecore/Attentive")))</f>
        <v/>
      </c>
      <c r="M68" s="61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55" t="str" cm="1">
        <f t="array" aca="1" ref="A69" ca="1">IFERROR(INDEX(_xlfn.ANCHORARRAY($AA$11),ROW()-10,1),"")</f>
        <v/>
      </c>
      <c r="B69" s="24" t="str" cm="1">
        <f t="array" aca="1" ref="B69" ca="1">IFERROR(INDEX(_xlfn.ANCHORARRAY($AA$11),ROW()-10,2),"")</f>
        <v/>
      </c>
      <c r="C69" s="16" t="str" cm="1">
        <f t="array" aca="1" ref="C69" ca="1">IFERROR(INDEX(_xlfn.ANCHORARRAY($AA$11),ROW()-10,3),"")</f>
        <v/>
      </c>
      <c r="D69" s="16" t="str" cm="1">
        <f t="array" aca="1" ref="D69" ca="1">IFERROR(INDEX(_xlfn.ANCHORARRAY($AA$11),ROW()-10,4),"")</f>
        <v/>
      </c>
      <c r="E69" s="16" t="str" cm="1">
        <f t="array" aca="1" ref="E69" ca="1">IFERROR(INDEX(_xlfn.ANCHORARRAY($AA$11),ROW()-10,5),"")</f>
        <v/>
      </c>
      <c r="F69" s="16" t="str" cm="1">
        <f t="array" aca="1" ref="F69" ca="1">IFERROR(INDEX(_xlfn.ANCHORARRAY($AA$11),ROW()-10,6),"")</f>
        <v/>
      </c>
      <c r="G69" s="16" t="str" cm="1">
        <f t="array" aca="1" ref="G69" ca="1">IFERROR(INDEX(_xlfn.ANCHORARRAY($AA$11),ROW()-10,7),"")</f>
        <v/>
      </c>
      <c r="H69" s="16" t="str" cm="1">
        <f t="array" aca="1" ref="H69" ca="1">IFERROR(INDEX(_xlfn.ANCHORARRAY($AA$11),ROW()-10,8),"")</f>
        <v/>
      </c>
      <c r="I69" s="16" t="str" cm="1">
        <f t="array" aca="1" ref="I69" ca="1">IFERROR(INDEX(_xlfn.ANCHORARRAY($AA$11),ROW()-10,9),"")</f>
        <v/>
      </c>
      <c r="J69" s="16" t="str">
        <f t="shared" ca="1" si="3"/>
        <v/>
      </c>
      <c r="K69" s="16" t="str">
        <f t="shared" ca="1" si="4"/>
        <v/>
      </c>
      <c r="L69" s="16" t="str" cm="1">
        <f t="array" aca="1" ref="L69" ca="1">_xlfn.LET(_xlpm.link,IFERROR(INDEX(_xlfn.ANCHORARRAY($AA$11),ROW()-10,12),""),IF(_xlpm.link="","",HYPERLINK(_xlpm.link,"Bluecore/Attentive")))</f>
        <v/>
      </c>
      <c r="M69" s="60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55" t="str" cm="1">
        <f t="array" aca="1" ref="A70" ca="1">IFERROR(INDEX(_xlfn.ANCHORARRAY($AA$11),ROW()-10,1),"")</f>
        <v/>
      </c>
      <c r="B70" s="24" t="str" cm="1">
        <f t="array" aca="1" ref="B70" ca="1">IFERROR(INDEX(_xlfn.ANCHORARRAY($AA$11),ROW()-10,2),"")</f>
        <v/>
      </c>
      <c r="C70" s="16" t="str" cm="1">
        <f t="array" aca="1" ref="C70" ca="1">IFERROR(INDEX(_xlfn.ANCHORARRAY($AA$11),ROW()-10,3),"")</f>
        <v/>
      </c>
      <c r="D70" s="16" t="str" cm="1">
        <f t="array" aca="1" ref="D70" ca="1">IFERROR(INDEX(_xlfn.ANCHORARRAY($AA$11),ROW()-10,4),"")</f>
        <v/>
      </c>
      <c r="E70" s="16" t="str" cm="1">
        <f t="array" aca="1" ref="E70" ca="1">IFERROR(INDEX(_xlfn.ANCHORARRAY($AA$11),ROW()-10,5),"")</f>
        <v/>
      </c>
      <c r="F70" s="16" t="str" cm="1">
        <f t="array" aca="1" ref="F70" ca="1">IFERROR(INDEX(_xlfn.ANCHORARRAY($AA$11),ROW()-10,6),"")</f>
        <v/>
      </c>
      <c r="G70" s="16" t="str" cm="1">
        <f t="array" aca="1" ref="G70" ca="1">IFERROR(INDEX(_xlfn.ANCHORARRAY($AA$11),ROW()-10,7),"")</f>
        <v/>
      </c>
      <c r="H70" s="16" t="str" cm="1">
        <f t="array" aca="1" ref="H70" ca="1">IFERROR(INDEX(_xlfn.ANCHORARRAY($AA$11),ROW()-10,8),"")</f>
        <v/>
      </c>
      <c r="I70" s="16" t="str" cm="1">
        <f t="array" aca="1" ref="I70" ca="1">IFERROR(INDEX(_xlfn.ANCHORARRAY($AA$11),ROW()-10,9),"")</f>
        <v/>
      </c>
      <c r="J70" s="16" t="str">
        <f t="shared" ca="1" si="3"/>
        <v/>
      </c>
      <c r="K70" s="16" t="str">
        <f t="shared" ca="1" si="4"/>
        <v/>
      </c>
      <c r="L70" s="16" t="str" cm="1">
        <f t="array" aca="1" ref="L70" ca="1">_xlfn.LET(_xlpm.link,IFERROR(INDEX(_xlfn.ANCHORARRAY($AA$11),ROW()-10,12),""),IF(_xlpm.link="","",HYPERLINK(_xlpm.link,"Bluecore/Attentive")))</f>
        <v/>
      </c>
      <c r="M70" s="61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55" t="str" cm="1">
        <f t="array" aca="1" ref="A71" ca="1">IFERROR(INDEX(_xlfn.ANCHORARRAY($AA$11),ROW()-10,1),"")</f>
        <v/>
      </c>
      <c r="B71" s="24" t="str" cm="1">
        <f t="array" aca="1" ref="B71" ca="1">IFERROR(INDEX(_xlfn.ANCHORARRAY($AA$11),ROW()-10,2),"")</f>
        <v/>
      </c>
      <c r="C71" s="16" t="str" cm="1">
        <f t="array" aca="1" ref="C71" ca="1">IFERROR(INDEX(_xlfn.ANCHORARRAY($AA$11),ROW()-10,3),"")</f>
        <v/>
      </c>
      <c r="D71" s="16" t="str" cm="1">
        <f t="array" aca="1" ref="D71" ca="1">IFERROR(INDEX(_xlfn.ANCHORARRAY($AA$11),ROW()-10,4),"")</f>
        <v/>
      </c>
      <c r="E71" s="16" t="str" cm="1">
        <f t="array" aca="1" ref="E71" ca="1">IFERROR(INDEX(_xlfn.ANCHORARRAY($AA$11),ROW()-10,5),"")</f>
        <v/>
      </c>
      <c r="F71" s="16" t="str" cm="1">
        <f t="array" aca="1" ref="F71" ca="1">IFERROR(INDEX(_xlfn.ANCHORARRAY($AA$11),ROW()-10,6),"")</f>
        <v/>
      </c>
      <c r="G71" s="16" t="str" cm="1">
        <f t="array" aca="1" ref="G71" ca="1">IFERROR(INDEX(_xlfn.ANCHORARRAY($AA$11),ROW()-10,7),"")</f>
        <v/>
      </c>
      <c r="H71" s="16" t="str" cm="1">
        <f t="array" aca="1" ref="H71" ca="1">IFERROR(INDEX(_xlfn.ANCHORARRAY($AA$11),ROW()-10,8),"")</f>
        <v/>
      </c>
      <c r="I71" s="16" t="str" cm="1">
        <f t="array" aca="1" ref="I71" ca="1">IFERROR(INDEX(_xlfn.ANCHORARRAY($AA$11),ROW()-10,9),"")</f>
        <v/>
      </c>
      <c r="J71" s="16" t="str">
        <f t="shared" ca="1" si="3"/>
        <v/>
      </c>
      <c r="K71" s="16" t="str">
        <f t="shared" ca="1" si="4"/>
        <v/>
      </c>
      <c r="L71" s="16" t="str" cm="1">
        <f t="array" aca="1" ref="L71" ca="1">_xlfn.LET(_xlpm.link,IFERROR(INDEX(_xlfn.ANCHORARRAY($AA$11),ROW()-10,12),""),IF(_xlpm.link="","",HYPERLINK(_xlpm.link,"Bluecore/Attentive")))</f>
        <v/>
      </c>
      <c r="M71" s="60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55" t="str" cm="1">
        <f t="array" aca="1" ref="A72" ca="1">IFERROR(INDEX(_xlfn.ANCHORARRAY($AA$11),ROW()-10,1),"")</f>
        <v/>
      </c>
      <c r="B72" s="24" t="str" cm="1">
        <f t="array" aca="1" ref="B72" ca="1">IFERROR(INDEX(_xlfn.ANCHORARRAY($AA$11),ROW()-10,2),"")</f>
        <v/>
      </c>
      <c r="C72" s="16" t="str" cm="1">
        <f t="array" aca="1" ref="C72" ca="1">IFERROR(INDEX(_xlfn.ANCHORARRAY($AA$11),ROW()-10,3),"")</f>
        <v/>
      </c>
      <c r="D72" s="16" t="str" cm="1">
        <f t="array" aca="1" ref="D72" ca="1">IFERROR(INDEX(_xlfn.ANCHORARRAY($AA$11),ROW()-10,4),"")</f>
        <v/>
      </c>
      <c r="E72" s="16" t="str" cm="1">
        <f t="array" aca="1" ref="E72" ca="1">IFERROR(INDEX(_xlfn.ANCHORARRAY($AA$11),ROW()-10,5),"")</f>
        <v/>
      </c>
      <c r="F72" s="16" t="str" cm="1">
        <f t="array" aca="1" ref="F72" ca="1">IFERROR(INDEX(_xlfn.ANCHORARRAY($AA$11),ROW()-10,6),"")</f>
        <v/>
      </c>
      <c r="G72" s="16" t="str" cm="1">
        <f t="array" aca="1" ref="G72" ca="1">IFERROR(INDEX(_xlfn.ANCHORARRAY($AA$11),ROW()-10,7),"")</f>
        <v/>
      </c>
      <c r="H72" s="16" t="str" cm="1">
        <f t="array" aca="1" ref="H72" ca="1">IFERROR(INDEX(_xlfn.ANCHORARRAY($AA$11),ROW()-10,8),"")</f>
        <v/>
      </c>
      <c r="I72" s="16" t="str" cm="1">
        <f t="array" aca="1" ref="I72" ca="1">IFERROR(INDEX(_xlfn.ANCHORARRAY($AA$11),ROW()-10,9),"")</f>
        <v/>
      </c>
      <c r="J72" s="16" t="str">
        <f t="shared" ca="1" si="3"/>
        <v/>
      </c>
      <c r="K72" s="16" t="str">
        <f t="shared" ca="1" si="4"/>
        <v/>
      </c>
      <c r="L72" s="16" t="str" cm="1">
        <f t="array" aca="1" ref="L72" ca="1">_xlfn.LET(_xlpm.link,IFERROR(INDEX(_xlfn.ANCHORARRAY($AA$11),ROW()-10,12),""),IF(_xlpm.link="","",HYPERLINK(_xlpm.link,"Bluecore/Attentive")))</f>
        <v/>
      </c>
      <c r="M72" s="61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55" t="str" cm="1">
        <f t="array" aca="1" ref="A73" ca="1">IFERROR(INDEX(_xlfn.ANCHORARRAY($AA$11),ROW()-10,1),"")</f>
        <v/>
      </c>
      <c r="B73" s="24" t="str" cm="1">
        <f t="array" aca="1" ref="B73" ca="1">IFERROR(INDEX(_xlfn.ANCHORARRAY($AA$11),ROW()-10,2),"")</f>
        <v/>
      </c>
      <c r="C73" s="16" t="str" cm="1">
        <f t="array" aca="1" ref="C73" ca="1">IFERROR(INDEX(_xlfn.ANCHORARRAY($AA$11),ROW()-10,3),"")</f>
        <v/>
      </c>
      <c r="D73" s="16" t="str" cm="1">
        <f t="array" aca="1" ref="D73" ca="1">IFERROR(INDEX(_xlfn.ANCHORARRAY($AA$11),ROW()-10,4),"")</f>
        <v/>
      </c>
      <c r="E73" s="16" t="str" cm="1">
        <f t="array" aca="1" ref="E73" ca="1">IFERROR(INDEX(_xlfn.ANCHORARRAY($AA$11),ROW()-10,5),"")</f>
        <v/>
      </c>
      <c r="F73" s="16" t="str" cm="1">
        <f t="array" aca="1" ref="F73" ca="1">IFERROR(INDEX(_xlfn.ANCHORARRAY($AA$11),ROW()-10,6),"")</f>
        <v/>
      </c>
      <c r="G73" s="16" t="str" cm="1">
        <f t="array" aca="1" ref="G73" ca="1">IFERROR(INDEX(_xlfn.ANCHORARRAY($AA$11),ROW()-10,7),"")</f>
        <v/>
      </c>
      <c r="H73" s="16" t="str" cm="1">
        <f t="array" aca="1" ref="H73" ca="1">IFERROR(INDEX(_xlfn.ANCHORARRAY($AA$11),ROW()-10,8),"")</f>
        <v/>
      </c>
      <c r="I73" s="16" t="str" cm="1">
        <f t="array" aca="1" ref="I73" ca="1">IFERROR(INDEX(_xlfn.ANCHORARRAY($AA$11),ROW()-10,9),"")</f>
        <v/>
      </c>
      <c r="J73" s="16" t="str">
        <f t="shared" ca="1" si="3"/>
        <v/>
      </c>
      <c r="K73" s="16" t="str">
        <f t="shared" ca="1" si="4"/>
        <v/>
      </c>
      <c r="L73" s="16" t="str" cm="1">
        <f t="array" aca="1" ref="L73" ca="1">_xlfn.LET(_xlpm.link,IFERROR(INDEX(_xlfn.ANCHORARRAY($AA$11),ROW()-10,12),""),IF(_xlpm.link="","",HYPERLINK(_xlpm.link,"Bluecore/Attentive")))</f>
        <v/>
      </c>
      <c r="M73" s="60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55" t="str" cm="1">
        <f t="array" aca="1" ref="A74" ca="1">IFERROR(INDEX(_xlfn.ANCHORARRAY($AA$11),ROW()-10,1),"")</f>
        <v/>
      </c>
      <c r="B74" s="24" t="str" cm="1">
        <f t="array" aca="1" ref="B74" ca="1">IFERROR(INDEX(_xlfn.ANCHORARRAY($AA$11),ROW()-10,2),"")</f>
        <v/>
      </c>
      <c r="C74" s="16" t="str" cm="1">
        <f t="array" aca="1" ref="C74" ca="1">IFERROR(INDEX(_xlfn.ANCHORARRAY($AA$11),ROW()-10,3),"")</f>
        <v/>
      </c>
      <c r="D74" s="16" t="str" cm="1">
        <f t="array" aca="1" ref="D74" ca="1">IFERROR(INDEX(_xlfn.ANCHORARRAY($AA$11),ROW()-10,4),"")</f>
        <v/>
      </c>
      <c r="E74" s="16" t="str" cm="1">
        <f t="array" aca="1" ref="E74" ca="1">IFERROR(INDEX(_xlfn.ANCHORARRAY($AA$11),ROW()-10,5),"")</f>
        <v/>
      </c>
      <c r="F74" s="16" t="str" cm="1">
        <f t="array" aca="1" ref="F74" ca="1">IFERROR(INDEX(_xlfn.ANCHORARRAY($AA$11),ROW()-10,6),"")</f>
        <v/>
      </c>
      <c r="G74" s="16" t="str" cm="1">
        <f t="array" aca="1" ref="G74" ca="1">IFERROR(INDEX(_xlfn.ANCHORARRAY($AA$11),ROW()-10,7),"")</f>
        <v/>
      </c>
      <c r="H74" s="16" t="str" cm="1">
        <f t="array" aca="1" ref="H74" ca="1">IFERROR(INDEX(_xlfn.ANCHORARRAY($AA$11),ROW()-10,8),"")</f>
        <v/>
      </c>
      <c r="I74" s="16" t="str" cm="1">
        <f t="array" aca="1" ref="I74" ca="1">IFERROR(INDEX(_xlfn.ANCHORARRAY($AA$11),ROW()-10,9),"")</f>
        <v/>
      </c>
      <c r="J74" s="16" t="str">
        <f t="shared" ca="1" si="3"/>
        <v/>
      </c>
      <c r="K74" s="16" t="str">
        <f t="shared" ca="1" si="4"/>
        <v/>
      </c>
      <c r="L74" s="16" t="str" cm="1">
        <f t="array" aca="1" ref="L74" ca="1">_xlfn.LET(_xlpm.link,IFERROR(INDEX(_xlfn.ANCHORARRAY($AA$11),ROW()-10,12),""),IF(_xlpm.link="","",HYPERLINK(_xlpm.link,"Bluecore/Attentive")))</f>
        <v/>
      </c>
      <c r="M74" s="61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55" t="str" cm="1">
        <f t="array" aca="1" ref="A75" ca="1">IFERROR(INDEX(_xlfn.ANCHORARRAY($AA$11),ROW()-10,1),"")</f>
        <v/>
      </c>
      <c r="B75" s="24" t="str" cm="1">
        <f t="array" aca="1" ref="B75" ca="1">IFERROR(INDEX(_xlfn.ANCHORARRAY($AA$11),ROW()-10,2),"")</f>
        <v/>
      </c>
      <c r="C75" s="16" t="str" cm="1">
        <f t="array" aca="1" ref="C75" ca="1">IFERROR(INDEX(_xlfn.ANCHORARRAY($AA$11),ROW()-10,3),"")</f>
        <v/>
      </c>
      <c r="D75" s="16" t="str" cm="1">
        <f t="array" aca="1" ref="D75" ca="1">IFERROR(INDEX(_xlfn.ANCHORARRAY($AA$11),ROW()-10,4),"")</f>
        <v/>
      </c>
      <c r="E75" s="16" t="str" cm="1">
        <f t="array" aca="1" ref="E75" ca="1">IFERROR(INDEX(_xlfn.ANCHORARRAY($AA$11),ROW()-10,5),"")</f>
        <v/>
      </c>
      <c r="F75" s="16" t="str" cm="1">
        <f t="array" aca="1" ref="F75" ca="1">IFERROR(INDEX(_xlfn.ANCHORARRAY($AA$11),ROW()-10,6),"")</f>
        <v/>
      </c>
      <c r="G75" s="16" t="str" cm="1">
        <f t="array" aca="1" ref="G75" ca="1">IFERROR(INDEX(_xlfn.ANCHORARRAY($AA$11),ROW()-10,7),"")</f>
        <v/>
      </c>
      <c r="H75" s="16" t="str" cm="1">
        <f t="array" aca="1" ref="H75" ca="1">IFERROR(INDEX(_xlfn.ANCHORARRAY($AA$11),ROW()-10,8),"")</f>
        <v/>
      </c>
      <c r="I75" s="16" t="str" cm="1">
        <f t="array" aca="1" ref="I75" ca="1">IFERROR(INDEX(_xlfn.ANCHORARRAY($AA$11),ROW()-10,9),"")</f>
        <v/>
      </c>
      <c r="J75" s="16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16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16" t="str" cm="1">
        <f t="array" aca="1" ref="L75" ca="1">_xlfn.LET(_xlpm.link,IFERROR(INDEX(_xlfn.ANCHORARRAY($AA$11),ROW()-10,12),""),IF(_xlpm.link="","",HYPERLINK(_xlpm.link,"Bluecore/Attentive")))</f>
        <v/>
      </c>
      <c r="M75" s="60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55" t="str" cm="1">
        <f t="array" aca="1" ref="A76" ca="1">IFERROR(INDEX(_xlfn.ANCHORARRAY($AA$11),ROW()-10,1),"")</f>
        <v/>
      </c>
      <c r="B76" s="24" t="str" cm="1">
        <f t="array" aca="1" ref="B76" ca="1">IFERROR(INDEX(_xlfn.ANCHORARRAY($AA$11),ROW()-10,2),"")</f>
        <v/>
      </c>
      <c r="C76" s="16" t="str" cm="1">
        <f t="array" aca="1" ref="C76" ca="1">IFERROR(INDEX(_xlfn.ANCHORARRAY($AA$11),ROW()-10,3),"")</f>
        <v/>
      </c>
      <c r="D76" s="16" t="str" cm="1">
        <f t="array" aca="1" ref="D76" ca="1">IFERROR(INDEX(_xlfn.ANCHORARRAY($AA$11),ROW()-10,4),"")</f>
        <v/>
      </c>
      <c r="E76" s="16" t="str" cm="1">
        <f t="array" aca="1" ref="E76" ca="1">IFERROR(INDEX(_xlfn.ANCHORARRAY($AA$11),ROW()-10,5),"")</f>
        <v/>
      </c>
      <c r="F76" s="16" t="str" cm="1">
        <f t="array" aca="1" ref="F76" ca="1">IFERROR(INDEX(_xlfn.ANCHORARRAY($AA$11),ROW()-10,6),"")</f>
        <v/>
      </c>
      <c r="G76" s="16" t="str" cm="1">
        <f t="array" aca="1" ref="G76" ca="1">IFERROR(INDEX(_xlfn.ANCHORARRAY($AA$11),ROW()-10,7),"")</f>
        <v/>
      </c>
      <c r="H76" s="16" t="str" cm="1">
        <f t="array" aca="1" ref="H76" ca="1">IFERROR(INDEX(_xlfn.ANCHORARRAY($AA$11),ROW()-10,8),"")</f>
        <v/>
      </c>
      <c r="I76" s="16" t="str" cm="1">
        <f t="array" aca="1" ref="I76" ca="1">IFERROR(INDEX(_xlfn.ANCHORARRAY($AA$11),ROW()-10,9),"")</f>
        <v/>
      </c>
      <c r="J76" s="16" t="str">
        <f t="shared" ca="1" si="6"/>
        <v/>
      </c>
      <c r="K76" s="16" t="str">
        <f t="shared" ca="1" si="7"/>
        <v/>
      </c>
      <c r="L76" s="16" t="str" cm="1">
        <f t="array" aca="1" ref="L76" ca="1">_xlfn.LET(_xlpm.link,IFERROR(INDEX(_xlfn.ANCHORARRAY($AA$11),ROW()-10,12),""),IF(_xlpm.link="","",HYPERLINK(_xlpm.link,"Bluecore/Attentive")))</f>
        <v/>
      </c>
      <c r="M76" s="61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55" t="str" cm="1">
        <f t="array" aca="1" ref="A77" ca="1">IFERROR(INDEX(_xlfn.ANCHORARRAY($AA$11),ROW()-10,1),"")</f>
        <v/>
      </c>
      <c r="B77" s="24" t="str" cm="1">
        <f t="array" aca="1" ref="B77" ca="1">IFERROR(INDEX(_xlfn.ANCHORARRAY($AA$11),ROW()-10,2),"")</f>
        <v/>
      </c>
      <c r="C77" s="16" t="str" cm="1">
        <f t="array" aca="1" ref="C77" ca="1">IFERROR(INDEX(_xlfn.ANCHORARRAY($AA$11),ROW()-10,3),"")</f>
        <v/>
      </c>
      <c r="D77" s="16" t="str" cm="1">
        <f t="array" aca="1" ref="D77" ca="1">IFERROR(INDEX(_xlfn.ANCHORARRAY($AA$11),ROW()-10,4),"")</f>
        <v/>
      </c>
      <c r="E77" s="16" t="str" cm="1">
        <f t="array" aca="1" ref="E77" ca="1">IFERROR(INDEX(_xlfn.ANCHORARRAY($AA$11),ROW()-10,5),"")</f>
        <v/>
      </c>
      <c r="F77" s="16" t="str" cm="1">
        <f t="array" aca="1" ref="F77" ca="1">IFERROR(INDEX(_xlfn.ANCHORARRAY($AA$11),ROW()-10,6),"")</f>
        <v/>
      </c>
      <c r="G77" s="16" t="str" cm="1">
        <f t="array" aca="1" ref="G77" ca="1">IFERROR(INDEX(_xlfn.ANCHORARRAY($AA$11),ROW()-10,7),"")</f>
        <v/>
      </c>
      <c r="H77" s="16" t="str" cm="1">
        <f t="array" aca="1" ref="H77" ca="1">IFERROR(INDEX(_xlfn.ANCHORARRAY($AA$11),ROW()-10,8),"")</f>
        <v/>
      </c>
      <c r="I77" s="16" t="str" cm="1">
        <f t="array" aca="1" ref="I77" ca="1">IFERROR(INDEX(_xlfn.ANCHORARRAY($AA$11),ROW()-10,9),"")</f>
        <v/>
      </c>
      <c r="J77" s="16" t="str">
        <f t="shared" ca="1" si="6"/>
        <v/>
      </c>
      <c r="K77" s="16" t="str">
        <f t="shared" ca="1" si="7"/>
        <v/>
      </c>
      <c r="L77" s="16" t="str" cm="1">
        <f t="array" aca="1" ref="L77" ca="1">_xlfn.LET(_xlpm.link,IFERROR(INDEX(_xlfn.ANCHORARRAY($AA$11),ROW()-10,12),""),IF(_xlpm.link="","",HYPERLINK(_xlpm.link,"Bluecore/Attentive")))</f>
        <v/>
      </c>
      <c r="M77" s="60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55" t="str" cm="1">
        <f t="array" aca="1" ref="A78" ca="1">IFERROR(INDEX(_xlfn.ANCHORARRAY($AA$11),ROW()-10,1),"")</f>
        <v/>
      </c>
      <c r="B78" s="24" t="str" cm="1">
        <f t="array" aca="1" ref="B78" ca="1">IFERROR(INDEX(_xlfn.ANCHORARRAY($AA$11),ROW()-10,2),"")</f>
        <v/>
      </c>
      <c r="C78" s="16" t="str" cm="1">
        <f t="array" aca="1" ref="C78" ca="1">IFERROR(INDEX(_xlfn.ANCHORARRAY($AA$11),ROW()-10,3),"")</f>
        <v/>
      </c>
      <c r="D78" s="16" t="str" cm="1">
        <f t="array" aca="1" ref="D78" ca="1">IFERROR(INDEX(_xlfn.ANCHORARRAY($AA$11),ROW()-10,4),"")</f>
        <v/>
      </c>
      <c r="E78" s="16" t="str" cm="1">
        <f t="array" aca="1" ref="E78" ca="1">IFERROR(INDEX(_xlfn.ANCHORARRAY($AA$11),ROW()-10,5),"")</f>
        <v/>
      </c>
      <c r="F78" s="16" t="str" cm="1">
        <f t="array" aca="1" ref="F78" ca="1">IFERROR(INDEX(_xlfn.ANCHORARRAY($AA$11),ROW()-10,6),"")</f>
        <v/>
      </c>
      <c r="G78" s="16" t="str" cm="1">
        <f t="array" aca="1" ref="G78" ca="1">IFERROR(INDEX(_xlfn.ANCHORARRAY($AA$11),ROW()-10,7),"")</f>
        <v/>
      </c>
      <c r="H78" s="16" t="str" cm="1">
        <f t="array" aca="1" ref="H78" ca="1">IFERROR(INDEX(_xlfn.ANCHORARRAY($AA$11),ROW()-10,8),"")</f>
        <v/>
      </c>
      <c r="I78" s="16" t="str" cm="1">
        <f t="array" aca="1" ref="I78" ca="1">IFERROR(INDEX(_xlfn.ANCHORARRAY($AA$11),ROW()-10,9),"")</f>
        <v/>
      </c>
      <c r="J78" s="16" t="str">
        <f t="shared" ca="1" si="6"/>
        <v/>
      </c>
      <c r="K78" s="16" t="str">
        <f t="shared" ca="1" si="7"/>
        <v/>
      </c>
      <c r="L78" s="16" t="str" cm="1">
        <f t="array" aca="1" ref="L78" ca="1">_xlfn.LET(_xlpm.link,IFERROR(INDEX(_xlfn.ANCHORARRAY($AA$11),ROW()-10,12),""),IF(_xlpm.link="","",HYPERLINK(_xlpm.link,"Bluecore/Attentive")))</f>
        <v/>
      </c>
      <c r="M78" s="61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55" t="str" cm="1">
        <f t="array" aca="1" ref="A79" ca="1">IFERROR(INDEX(_xlfn.ANCHORARRAY($AA$11),ROW()-10,1),"")</f>
        <v/>
      </c>
      <c r="B79" s="24" t="str" cm="1">
        <f t="array" aca="1" ref="B79" ca="1">IFERROR(INDEX(_xlfn.ANCHORARRAY($AA$11),ROW()-10,2),"")</f>
        <v/>
      </c>
      <c r="C79" s="16" t="str" cm="1">
        <f t="array" aca="1" ref="C79" ca="1">IFERROR(INDEX(_xlfn.ANCHORARRAY($AA$11),ROW()-10,3),"")</f>
        <v/>
      </c>
      <c r="D79" s="16" t="str" cm="1">
        <f t="array" aca="1" ref="D79" ca="1">IFERROR(INDEX(_xlfn.ANCHORARRAY($AA$11),ROW()-10,4),"")</f>
        <v/>
      </c>
      <c r="E79" s="16" t="str" cm="1">
        <f t="array" aca="1" ref="E79" ca="1">IFERROR(INDEX(_xlfn.ANCHORARRAY($AA$11),ROW()-10,5),"")</f>
        <v/>
      </c>
      <c r="F79" s="16" t="str" cm="1">
        <f t="array" aca="1" ref="F79" ca="1">IFERROR(INDEX(_xlfn.ANCHORARRAY($AA$11),ROW()-10,6),"")</f>
        <v/>
      </c>
      <c r="G79" s="16" t="str" cm="1">
        <f t="array" aca="1" ref="G79" ca="1">IFERROR(INDEX(_xlfn.ANCHORARRAY($AA$11),ROW()-10,7),"")</f>
        <v/>
      </c>
      <c r="H79" s="16" t="str" cm="1">
        <f t="array" aca="1" ref="H79" ca="1">IFERROR(INDEX(_xlfn.ANCHORARRAY($AA$11),ROW()-10,8),"")</f>
        <v/>
      </c>
      <c r="I79" s="16" t="str" cm="1">
        <f t="array" aca="1" ref="I79" ca="1">IFERROR(INDEX(_xlfn.ANCHORARRAY($AA$11),ROW()-10,9),"")</f>
        <v/>
      </c>
      <c r="J79" s="16" t="str">
        <f t="shared" ca="1" si="6"/>
        <v/>
      </c>
      <c r="K79" s="16" t="str">
        <f t="shared" ca="1" si="7"/>
        <v/>
      </c>
      <c r="L79" s="16" t="str" cm="1">
        <f t="array" aca="1" ref="L79" ca="1">_xlfn.LET(_xlpm.link,IFERROR(INDEX(_xlfn.ANCHORARRAY($AA$11),ROW()-10,12),""),IF(_xlpm.link="","",HYPERLINK(_xlpm.link,"Bluecore/Attentive")))</f>
        <v/>
      </c>
      <c r="M79" s="60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55" t="str" cm="1">
        <f t="array" aca="1" ref="A80" ca="1">IFERROR(INDEX(_xlfn.ANCHORARRAY($AA$11),ROW()-10,1),"")</f>
        <v/>
      </c>
      <c r="B80" s="24" t="str" cm="1">
        <f t="array" aca="1" ref="B80" ca="1">IFERROR(INDEX(_xlfn.ANCHORARRAY($AA$11),ROW()-10,2),"")</f>
        <v/>
      </c>
      <c r="C80" s="16" t="str" cm="1">
        <f t="array" aca="1" ref="C80" ca="1">IFERROR(INDEX(_xlfn.ANCHORARRAY($AA$11),ROW()-10,3),"")</f>
        <v/>
      </c>
      <c r="D80" s="16" t="str" cm="1">
        <f t="array" aca="1" ref="D80" ca="1">IFERROR(INDEX(_xlfn.ANCHORARRAY($AA$11),ROW()-10,4),"")</f>
        <v/>
      </c>
      <c r="E80" s="16" t="str" cm="1">
        <f t="array" aca="1" ref="E80" ca="1">IFERROR(INDEX(_xlfn.ANCHORARRAY($AA$11),ROW()-10,5),"")</f>
        <v/>
      </c>
      <c r="F80" s="16" t="str" cm="1">
        <f t="array" aca="1" ref="F80" ca="1">IFERROR(INDEX(_xlfn.ANCHORARRAY($AA$11),ROW()-10,6),"")</f>
        <v/>
      </c>
      <c r="G80" s="16" t="str" cm="1">
        <f t="array" aca="1" ref="G80" ca="1">IFERROR(INDEX(_xlfn.ANCHORARRAY($AA$11),ROW()-10,7),"")</f>
        <v/>
      </c>
      <c r="H80" s="16" t="str" cm="1">
        <f t="array" aca="1" ref="H80" ca="1">IFERROR(INDEX(_xlfn.ANCHORARRAY($AA$11),ROW()-10,8),"")</f>
        <v/>
      </c>
      <c r="I80" s="16" t="str" cm="1">
        <f t="array" aca="1" ref="I80" ca="1">IFERROR(INDEX(_xlfn.ANCHORARRAY($AA$11),ROW()-10,9),"")</f>
        <v/>
      </c>
      <c r="J80" s="16" t="str">
        <f t="shared" ca="1" si="6"/>
        <v/>
      </c>
      <c r="K80" s="16" t="str">
        <f t="shared" ca="1" si="7"/>
        <v/>
      </c>
      <c r="L80" s="16" t="str" cm="1">
        <f t="array" aca="1" ref="L80" ca="1">_xlfn.LET(_xlpm.link,IFERROR(INDEX(_xlfn.ANCHORARRAY($AA$11),ROW()-10,12),""),IF(_xlpm.link="","",HYPERLINK(_xlpm.link,"Bluecore/Attentive")))</f>
        <v/>
      </c>
      <c r="M80" s="61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55" t="str" cm="1">
        <f t="array" aca="1" ref="A81" ca="1">IFERROR(INDEX(_xlfn.ANCHORARRAY($AA$11),ROW()-10,1),"")</f>
        <v/>
      </c>
      <c r="B81" s="24" t="str" cm="1">
        <f t="array" aca="1" ref="B81" ca="1">IFERROR(INDEX(_xlfn.ANCHORARRAY($AA$11),ROW()-10,2),"")</f>
        <v/>
      </c>
      <c r="C81" s="16" t="str" cm="1">
        <f t="array" aca="1" ref="C81" ca="1">IFERROR(INDEX(_xlfn.ANCHORARRAY($AA$11),ROW()-10,3),"")</f>
        <v/>
      </c>
      <c r="D81" s="16" t="str" cm="1">
        <f t="array" aca="1" ref="D81" ca="1">IFERROR(INDEX(_xlfn.ANCHORARRAY($AA$11),ROW()-10,4),"")</f>
        <v/>
      </c>
      <c r="E81" s="16" t="str" cm="1">
        <f t="array" aca="1" ref="E81" ca="1">IFERROR(INDEX(_xlfn.ANCHORARRAY($AA$11),ROW()-10,5),"")</f>
        <v/>
      </c>
      <c r="F81" s="16" t="str" cm="1">
        <f t="array" aca="1" ref="F81" ca="1">IFERROR(INDEX(_xlfn.ANCHORARRAY($AA$11),ROW()-10,6),"")</f>
        <v/>
      </c>
      <c r="G81" s="16" t="str" cm="1">
        <f t="array" aca="1" ref="G81" ca="1">IFERROR(INDEX(_xlfn.ANCHORARRAY($AA$11),ROW()-10,7),"")</f>
        <v/>
      </c>
      <c r="H81" s="16" t="str" cm="1">
        <f t="array" aca="1" ref="H81" ca="1">IFERROR(INDEX(_xlfn.ANCHORARRAY($AA$11),ROW()-10,8),"")</f>
        <v/>
      </c>
      <c r="I81" s="16" t="str" cm="1">
        <f t="array" aca="1" ref="I81" ca="1">IFERROR(INDEX(_xlfn.ANCHORARRAY($AA$11),ROW()-10,9),"")</f>
        <v/>
      </c>
      <c r="J81" s="16" t="str">
        <f t="shared" ca="1" si="6"/>
        <v/>
      </c>
      <c r="K81" s="16" t="str">
        <f t="shared" ca="1" si="7"/>
        <v/>
      </c>
      <c r="L81" s="16" t="str" cm="1">
        <f t="array" aca="1" ref="L81" ca="1">_xlfn.LET(_xlpm.link,IFERROR(INDEX(_xlfn.ANCHORARRAY($AA$11),ROW()-10,12),""),IF(_xlpm.link="","",HYPERLINK(_xlpm.link,"Bluecore/Attentive")))</f>
        <v/>
      </c>
      <c r="M81" s="60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55" t="str" cm="1">
        <f t="array" aca="1" ref="A82" ca="1">IFERROR(INDEX(_xlfn.ANCHORARRAY($AA$11),ROW()-10,1),"")</f>
        <v/>
      </c>
      <c r="B82" s="24" t="str" cm="1">
        <f t="array" aca="1" ref="B82" ca="1">IFERROR(INDEX(_xlfn.ANCHORARRAY($AA$11),ROW()-10,2),"")</f>
        <v/>
      </c>
      <c r="C82" s="16" t="str" cm="1">
        <f t="array" aca="1" ref="C82" ca="1">IFERROR(INDEX(_xlfn.ANCHORARRAY($AA$11),ROW()-10,3),"")</f>
        <v/>
      </c>
      <c r="D82" s="16" t="str" cm="1">
        <f t="array" aca="1" ref="D82" ca="1">IFERROR(INDEX(_xlfn.ANCHORARRAY($AA$11),ROW()-10,4),"")</f>
        <v/>
      </c>
      <c r="E82" s="16" t="str" cm="1">
        <f t="array" aca="1" ref="E82" ca="1">IFERROR(INDEX(_xlfn.ANCHORARRAY($AA$11),ROW()-10,5),"")</f>
        <v/>
      </c>
      <c r="F82" s="16" t="str" cm="1">
        <f t="array" aca="1" ref="F82" ca="1">IFERROR(INDEX(_xlfn.ANCHORARRAY($AA$11),ROW()-10,6),"")</f>
        <v/>
      </c>
      <c r="G82" s="16" t="str" cm="1">
        <f t="array" aca="1" ref="G82" ca="1">IFERROR(INDEX(_xlfn.ANCHORARRAY($AA$11),ROW()-10,7),"")</f>
        <v/>
      </c>
      <c r="H82" s="16" t="str" cm="1">
        <f t="array" aca="1" ref="H82" ca="1">IFERROR(INDEX(_xlfn.ANCHORARRAY($AA$11),ROW()-10,8),"")</f>
        <v/>
      </c>
      <c r="I82" s="16" t="str" cm="1">
        <f t="array" aca="1" ref="I82" ca="1">IFERROR(INDEX(_xlfn.ANCHORARRAY($AA$11),ROW()-10,9),"")</f>
        <v/>
      </c>
      <c r="J82" s="16" t="str">
        <f t="shared" ca="1" si="6"/>
        <v/>
      </c>
      <c r="K82" s="16" t="str">
        <f t="shared" ca="1" si="7"/>
        <v/>
      </c>
      <c r="L82" s="16" t="str" cm="1">
        <f t="array" aca="1" ref="L82" ca="1">_xlfn.LET(_xlpm.link,IFERROR(INDEX(_xlfn.ANCHORARRAY($AA$11),ROW()-10,12),""),IF(_xlpm.link="","",HYPERLINK(_xlpm.link,"Bluecore/Attentive")))</f>
        <v/>
      </c>
      <c r="M82" s="61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55" t="str" cm="1">
        <f t="array" aca="1" ref="A83" ca="1">IFERROR(INDEX(_xlfn.ANCHORARRAY($AA$11),ROW()-10,1),"")</f>
        <v/>
      </c>
      <c r="B83" s="24" t="str" cm="1">
        <f t="array" aca="1" ref="B83" ca="1">IFERROR(INDEX(_xlfn.ANCHORARRAY($AA$11),ROW()-10,2),"")</f>
        <v/>
      </c>
      <c r="C83" s="16" t="str" cm="1">
        <f t="array" aca="1" ref="C83" ca="1">IFERROR(INDEX(_xlfn.ANCHORARRAY($AA$11),ROW()-10,3),"")</f>
        <v/>
      </c>
      <c r="D83" s="16" t="str" cm="1">
        <f t="array" aca="1" ref="D83" ca="1">IFERROR(INDEX(_xlfn.ANCHORARRAY($AA$11),ROW()-10,4),"")</f>
        <v/>
      </c>
      <c r="E83" s="16" t="str" cm="1">
        <f t="array" aca="1" ref="E83" ca="1">IFERROR(INDEX(_xlfn.ANCHORARRAY($AA$11),ROW()-10,5),"")</f>
        <v/>
      </c>
      <c r="F83" s="16" t="str" cm="1">
        <f t="array" aca="1" ref="F83" ca="1">IFERROR(INDEX(_xlfn.ANCHORARRAY($AA$11),ROW()-10,6),"")</f>
        <v/>
      </c>
      <c r="G83" s="16" t="str" cm="1">
        <f t="array" aca="1" ref="G83" ca="1">IFERROR(INDEX(_xlfn.ANCHORARRAY($AA$11),ROW()-10,7),"")</f>
        <v/>
      </c>
      <c r="H83" s="16" t="str" cm="1">
        <f t="array" aca="1" ref="H83" ca="1">IFERROR(INDEX(_xlfn.ANCHORARRAY($AA$11),ROW()-10,8),"")</f>
        <v/>
      </c>
      <c r="I83" s="16" t="str" cm="1">
        <f t="array" aca="1" ref="I83" ca="1">IFERROR(INDEX(_xlfn.ANCHORARRAY($AA$11),ROW()-10,9),"")</f>
        <v/>
      </c>
      <c r="J83" s="16" t="str">
        <f t="shared" ca="1" si="6"/>
        <v/>
      </c>
      <c r="K83" s="16" t="str">
        <f t="shared" ca="1" si="7"/>
        <v/>
      </c>
      <c r="L83" s="16" t="str" cm="1">
        <f t="array" aca="1" ref="L83" ca="1">_xlfn.LET(_xlpm.link,IFERROR(INDEX(_xlfn.ANCHORARRAY($AA$11),ROW()-10,12),""),IF(_xlpm.link="","",HYPERLINK(_xlpm.link,"Bluecore/Attentive")))</f>
        <v/>
      </c>
      <c r="M83" s="60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55" t="str" cm="1">
        <f t="array" aca="1" ref="A84" ca="1">IFERROR(INDEX(_xlfn.ANCHORARRAY($AA$11),ROW()-10,1),"")</f>
        <v/>
      </c>
      <c r="B84" s="24" t="str" cm="1">
        <f t="array" aca="1" ref="B84" ca="1">IFERROR(INDEX(_xlfn.ANCHORARRAY($AA$11),ROW()-10,2),"")</f>
        <v/>
      </c>
      <c r="C84" s="16" t="str" cm="1">
        <f t="array" aca="1" ref="C84" ca="1">IFERROR(INDEX(_xlfn.ANCHORARRAY($AA$11),ROW()-10,3),"")</f>
        <v/>
      </c>
      <c r="D84" s="16" t="str" cm="1">
        <f t="array" aca="1" ref="D84" ca="1">IFERROR(INDEX(_xlfn.ANCHORARRAY($AA$11),ROW()-10,4),"")</f>
        <v/>
      </c>
      <c r="E84" s="16" t="str" cm="1">
        <f t="array" aca="1" ref="E84" ca="1">IFERROR(INDEX(_xlfn.ANCHORARRAY($AA$11),ROW()-10,5),"")</f>
        <v/>
      </c>
      <c r="F84" s="16" t="str" cm="1">
        <f t="array" aca="1" ref="F84" ca="1">IFERROR(INDEX(_xlfn.ANCHORARRAY($AA$11),ROW()-10,6),"")</f>
        <v/>
      </c>
      <c r="G84" s="16" t="str" cm="1">
        <f t="array" aca="1" ref="G84" ca="1">IFERROR(INDEX(_xlfn.ANCHORARRAY($AA$11),ROW()-10,7),"")</f>
        <v/>
      </c>
      <c r="H84" s="16" t="str" cm="1">
        <f t="array" aca="1" ref="H84" ca="1">IFERROR(INDEX(_xlfn.ANCHORARRAY($AA$11),ROW()-10,8),"")</f>
        <v/>
      </c>
      <c r="I84" s="16" t="str" cm="1">
        <f t="array" aca="1" ref="I84" ca="1">IFERROR(INDEX(_xlfn.ANCHORARRAY($AA$11),ROW()-10,9),"")</f>
        <v/>
      </c>
      <c r="J84" s="16" t="str">
        <f t="shared" ca="1" si="6"/>
        <v/>
      </c>
      <c r="K84" s="16" t="str">
        <f t="shared" ca="1" si="7"/>
        <v/>
      </c>
      <c r="L84" s="16" t="str" cm="1">
        <f t="array" aca="1" ref="L84" ca="1">_xlfn.LET(_xlpm.link,IFERROR(INDEX(_xlfn.ANCHORARRAY($AA$11),ROW()-10,12),""),IF(_xlpm.link="","",HYPERLINK(_xlpm.link,"Bluecore/Attentive")))</f>
        <v/>
      </c>
      <c r="M84" s="61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55" t="str" cm="1">
        <f t="array" aca="1" ref="A85" ca="1">IFERROR(INDEX(_xlfn.ANCHORARRAY($AA$11),ROW()-10,1),"")</f>
        <v/>
      </c>
      <c r="B85" s="24" t="str" cm="1">
        <f t="array" aca="1" ref="B85" ca="1">IFERROR(INDEX(_xlfn.ANCHORARRAY($AA$11),ROW()-10,2),"")</f>
        <v/>
      </c>
      <c r="C85" s="16" t="str" cm="1">
        <f t="array" aca="1" ref="C85" ca="1">IFERROR(INDEX(_xlfn.ANCHORARRAY($AA$11),ROW()-10,3),"")</f>
        <v/>
      </c>
      <c r="D85" s="16" t="str" cm="1">
        <f t="array" aca="1" ref="D85" ca="1">IFERROR(INDEX(_xlfn.ANCHORARRAY($AA$11),ROW()-10,4),"")</f>
        <v/>
      </c>
      <c r="E85" s="16" t="str" cm="1">
        <f t="array" aca="1" ref="E85" ca="1">IFERROR(INDEX(_xlfn.ANCHORARRAY($AA$11),ROW()-10,5),"")</f>
        <v/>
      </c>
      <c r="F85" s="16" t="str" cm="1">
        <f t="array" aca="1" ref="F85" ca="1">IFERROR(INDEX(_xlfn.ANCHORARRAY($AA$11),ROW()-10,6),"")</f>
        <v/>
      </c>
      <c r="G85" s="16" t="str" cm="1">
        <f t="array" aca="1" ref="G85" ca="1">IFERROR(INDEX(_xlfn.ANCHORARRAY($AA$11),ROW()-10,7),"")</f>
        <v/>
      </c>
      <c r="H85" s="16" t="str" cm="1">
        <f t="array" aca="1" ref="H85" ca="1">IFERROR(INDEX(_xlfn.ANCHORARRAY($AA$11),ROW()-10,8),"")</f>
        <v/>
      </c>
      <c r="I85" s="16" t="str" cm="1">
        <f t="array" aca="1" ref="I85" ca="1">IFERROR(INDEX(_xlfn.ANCHORARRAY($AA$11),ROW()-10,9),"")</f>
        <v/>
      </c>
      <c r="J85" s="16" t="str">
        <f t="shared" ca="1" si="6"/>
        <v/>
      </c>
      <c r="K85" s="16" t="str">
        <f t="shared" ca="1" si="7"/>
        <v/>
      </c>
      <c r="L85" s="16" t="str" cm="1">
        <f t="array" aca="1" ref="L85" ca="1">_xlfn.LET(_xlpm.link,IFERROR(INDEX(_xlfn.ANCHORARRAY($AA$11),ROW()-10,12),""),IF(_xlpm.link="","",HYPERLINK(_xlpm.link,"Bluecore/Attentive")))</f>
        <v/>
      </c>
      <c r="M85" s="60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55" t="str" cm="1">
        <f t="array" aca="1" ref="A86" ca="1">IFERROR(INDEX(_xlfn.ANCHORARRAY($AA$11),ROW()-10,1),"")</f>
        <v/>
      </c>
      <c r="B86" s="24" t="str" cm="1">
        <f t="array" aca="1" ref="B86" ca="1">IFERROR(INDEX(_xlfn.ANCHORARRAY($AA$11),ROW()-10,2),"")</f>
        <v/>
      </c>
      <c r="C86" s="16" t="str" cm="1">
        <f t="array" aca="1" ref="C86" ca="1">IFERROR(INDEX(_xlfn.ANCHORARRAY($AA$11),ROW()-10,3),"")</f>
        <v/>
      </c>
      <c r="D86" s="16" t="str" cm="1">
        <f t="array" aca="1" ref="D86" ca="1">IFERROR(INDEX(_xlfn.ANCHORARRAY($AA$11),ROW()-10,4),"")</f>
        <v/>
      </c>
      <c r="E86" s="16" t="str" cm="1">
        <f t="array" aca="1" ref="E86" ca="1">IFERROR(INDEX(_xlfn.ANCHORARRAY($AA$11),ROW()-10,5),"")</f>
        <v/>
      </c>
      <c r="F86" s="16" t="str" cm="1">
        <f t="array" aca="1" ref="F86" ca="1">IFERROR(INDEX(_xlfn.ANCHORARRAY($AA$11),ROW()-10,6),"")</f>
        <v/>
      </c>
      <c r="G86" s="16" t="str" cm="1">
        <f t="array" aca="1" ref="G86" ca="1">IFERROR(INDEX(_xlfn.ANCHORARRAY($AA$11),ROW()-10,7),"")</f>
        <v/>
      </c>
      <c r="H86" s="16" t="str" cm="1">
        <f t="array" aca="1" ref="H86" ca="1">IFERROR(INDEX(_xlfn.ANCHORARRAY($AA$11),ROW()-10,8),"")</f>
        <v/>
      </c>
      <c r="I86" s="16" t="str" cm="1">
        <f t="array" aca="1" ref="I86" ca="1">IFERROR(INDEX(_xlfn.ANCHORARRAY($AA$11),ROW()-10,9),"")</f>
        <v/>
      </c>
      <c r="J86" s="16" t="str">
        <f t="shared" ca="1" si="6"/>
        <v/>
      </c>
      <c r="K86" s="16" t="str">
        <f t="shared" ca="1" si="7"/>
        <v/>
      </c>
      <c r="L86" s="16" t="str" cm="1">
        <f t="array" aca="1" ref="L86" ca="1">_xlfn.LET(_xlpm.link,IFERROR(INDEX(_xlfn.ANCHORARRAY($AA$11),ROW()-10,12),""),IF(_xlpm.link="","",HYPERLINK(_xlpm.link,"Bluecore/Attentive")))</f>
        <v/>
      </c>
      <c r="M86" s="61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55" t="str" cm="1">
        <f t="array" aca="1" ref="A87" ca="1">IFERROR(INDEX(_xlfn.ANCHORARRAY($AA$11),ROW()-10,1),"")</f>
        <v/>
      </c>
      <c r="B87" s="24" t="str" cm="1">
        <f t="array" aca="1" ref="B87" ca="1">IFERROR(INDEX(_xlfn.ANCHORARRAY($AA$11),ROW()-10,2),"")</f>
        <v/>
      </c>
      <c r="C87" s="16" t="str" cm="1">
        <f t="array" aca="1" ref="C87" ca="1">IFERROR(INDEX(_xlfn.ANCHORARRAY($AA$11),ROW()-10,3),"")</f>
        <v/>
      </c>
      <c r="D87" s="16" t="str" cm="1">
        <f t="array" aca="1" ref="D87" ca="1">IFERROR(INDEX(_xlfn.ANCHORARRAY($AA$11),ROW()-10,4),"")</f>
        <v/>
      </c>
      <c r="E87" s="16" t="str" cm="1">
        <f t="array" aca="1" ref="E87" ca="1">IFERROR(INDEX(_xlfn.ANCHORARRAY($AA$11),ROW()-10,5),"")</f>
        <v/>
      </c>
      <c r="F87" s="16" t="str" cm="1">
        <f t="array" aca="1" ref="F87" ca="1">IFERROR(INDEX(_xlfn.ANCHORARRAY($AA$11),ROW()-10,6),"")</f>
        <v/>
      </c>
      <c r="G87" s="16" t="str" cm="1">
        <f t="array" aca="1" ref="G87" ca="1">IFERROR(INDEX(_xlfn.ANCHORARRAY($AA$11),ROW()-10,7),"")</f>
        <v/>
      </c>
      <c r="H87" s="16" t="str" cm="1">
        <f t="array" aca="1" ref="H87" ca="1">IFERROR(INDEX(_xlfn.ANCHORARRAY($AA$11),ROW()-10,8),"")</f>
        <v/>
      </c>
      <c r="I87" s="16" t="str" cm="1">
        <f t="array" aca="1" ref="I87" ca="1">IFERROR(INDEX(_xlfn.ANCHORARRAY($AA$11),ROW()-10,9),"")</f>
        <v/>
      </c>
      <c r="J87" s="16" t="str">
        <f t="shared" ca="1" si="6"/>
        <v/>
      </c>
      <c r="K87" s="16" t="str">
        <f t="shared" ca="1" si="7"/>
        <v/>
      </c>
      <c r="L87" s="16" t="str" cm="1">
        <f t="array" aca="1" ref="L87" ca="1">_xlfn.LET(_xlpm.link,IFERROR(INDEX(_xlfn.ANCHORARRAY($AA$11),ROW()-10,12),""),IF(_xlpm.link="","",HYPERLINK(_xlpm.link,"Bluecore/Attentive")))</f>
        <v/>
      </c>
      <c r="M87" s="60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55" t="str" cm="1">
        <f t="array" aca="1" ref="A88" ca="1">IFERROR(INDEX(_xlfn.ANCHORARRAY($AA$11),ROW()-10,1),"")</f>
        <v/>
      </c>
      <c r="B88" s="24" t="str" cm="1">
        <f t="array" aca="1" ref="B88" ca="1">IFERROR(INDEX(_xlfn.ANCHORARRAY($AA$11),ROW()-10,2),"")</f>
        <v/>
      </c>
      <c r="C88" s="16" t="str" cm="1">
        <f t="array" aca="1" ref="C88" ca="1">IFERROR(INDEX(_xlfn.ANCHORARRAY($AA$11),ROW()-10,3),"")</f>
        <v/>
      </c>
      <c r="D88" s="16" t="str" cm="1">
        <f t="array" aca="1" ref="D88" ca="1">IFERROR(INDEX(_xlfn.ANCHORARRAY($AA$11),ROW()-10,4),"")</f>
        <v/>
      </c>
      <c r="E88" s="16" t="str" cm="1">
        <f t="array" aca="1" ref="E88" ca="1">IFERROR(INDEX(_xlfn.ANCHORARRAY($AA$11),ROW()-10,5),"")</f>
        <v/>
      </c>
      <c r="F88" s="16" t="str" cm="1">
        <f t="array" aca="1" ref="F88" ca="1">IFERROR(INDEX(_xlfn.ANCHORARRAY($AA$11),ROW()-10,6),"")</f>
        <v/>
      </c>
      <c r="G88" s="16" t="str" cm="1">
        <f t="array" aca="1" ref="G88" ca="1">IFERROR(INDEX(_xlfn.ANCHORARRAY($AA$11),ROW()-10,7),"")</f>
        <v/>
      </c>
      <c r="H88" s="16" t="str" cm="1">
        <f t="array" aca="1" ref="H88" ca="1">IFERROR(INDEX(_xlfn.ANCHORARRAY($AA$11),ROW()-10,8),"")</f>
        <v/>
      </c>
      <c r="I88" s="16" t="str" cm="1">
        <f t="array" aca="1" ref="I88" ca="1">IFERROR(INDEX(_xlfn.ANCHORARRAY($AA$11),ROW()-10,9),"")</f>
        <v/>
      </c>
      <c r="J88" s="16" t="str">
        <f t="shared" ca="1" si="6"/>
        <v/>
      </c>
      <c r="K88" s="16" t="str">
        <f t="shared" ca="1" si="7"/>
        <v/>
      </c>
      <c r="L88" s="16" t="str" cm="1">
        <f t="array" aca="1" ref="L88" ca="1">_xlfn.LET(_xlpm.link,IFERROR(INDEX(_xlfn.ANCHORARRAY($AA$11),ROW()-10,12),""),IF(_xlpm.link="","",HYPERLINK(_xlpm.link,"Bluecore/Attentive")))</f>
        <v/>
      </c>
      <c r="M88" s="61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55" t="str" cm="1">
        <f t="array" aca="1" ref="A89" ca="1">IFERROR(INDEX(_xlfn.ANCHORARRAY($AA$11),ROW()-10,1),"")</f>
        <v/>
      </c>
      <c r="B89" s="24" t="str" cm="1">
        <f t="array" aca="1" ref="B89" ca="1">IFERROR(INDEX(_xlfn.ANCHORARRAY($AA$11),ROW()-10,2),"")</f>
        <v/>
      </c>
      <c r="C89" s="16" t="str" cm="1">
        <f t="array" aca="1" ref="C89" ca="1">IFERROR(INDEX(_xlfn.ANCHORARRAY($AA$11),ROW()-10,3),"")</f>
        <v/>
      </c>
      <c r="D89" s="16" t="str" cm="1">
        <f t="array" aca="1" ref="D89" ca="1">IFERROR(INDEX(_xlfn.ANCHORARRAY($AA$11),ROW()-10,4),"")</f>
        <v/>
      </c>
      <c r="E89" s="16" t="str" cm="1">
        <f t="array" aca="1" ref="E89" ca="1">IFERROR(INDEX(_xlfn.ANCHORARRAY($AA$11),ROW()-10,5),"")</f>
        <v/>
      </c>
      <c r="F89" s="16" t="str" cm="1">
        <f t="array" aca="1" ref="F89" ca="1">IFERROR(INDEX(_xlfn.ANCHORARRAY($AA$11),ROW()-10,6),"")</f>
        <v/>
      </c>
      <c r="G89" s="16" t="str" cm="1">
        <f t="array" aca="1" ref="G89" ca="1">IFERROR(INDEX(_xlfn.ANCHORARRAY($AA$11),ROW()-10,7),"")</f>
        <v/>
      </c>
      <c r="H89" s="16" t="str" cm="1">
        <f t="array" aca="1" ref="H89" ca="1">IFERROR(INDEX(_xlfn.ANCHORARRAY($AA$11),ROW()-10,8),"")</f>
        <v/>
      </c>
      <c r="I89" s="16" t="str" cm="1">
        <f t="array" aca="1" ref="I89" ca="1">IFERROR(INDEX(_xlfn.ANCHORARRAY($AA$11),ROW()-10,9),"")</f>
        <v/>
      </c>
      <c r="J89" s="16" t="str">
        <f t="shared" ca="1" si="6"/>
        <v/>
      </c>
      <c r="K89" s="16" t="str">
        <f t="shared" ca="1" si="7"/>
        <v/>
      </c>
      <c r="L89" s="16" t="str" cm="1">
        <f t="array" aca="1" ref="L89" ca="1">_xlfn.LET(_xlpm.link,IFERROR(INDEX(_xlfn.ANCHORARRAY($AA$11),ROW()-10,12),""),IF(_xlpm.link="","",HYPERLINK(_xlpm.link,"Bluecore/Attentive")))</f>
        <v/>
      </c>
      <c r="M89" s="60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55" t="str" cm="1">
        <f t="array" aca="1" ref="A90" ca="1">IFERROR(INDEX(_xlfn.ANCHORARRAY($AA$11),ROW()-10,1),"")</f>
        <v/>
      </c>
      <c r="B90" s="24" t="str" cm="1">
        <f t="array" aca="1" ref="B90" ca="1">IFERROR(INDEX(_xlfn.ANCHORARRAY($AA$11),ROW()-10,2),"")</f>
        <v/>
      </c>
      <c r="C90" s="16" t="str" cm="1">
        <f t="array" aca="1" ref="C90" ca="1">IFERROR(INDEX(_xlfn.ANCHORARRAY($AA$11),ROW()-10,3),"")</f>
        <v/>
      </c>
      <c r="D90" s="16" t="str" cm="1">
        <f t="array" aca="1" ref="D90" ca="1">IFERROR(INDEX(_xlfn.ANCHORARRAY($AA$11),ROW()-10,4),"")</f>
        <v/>
      </c>
      <c r="E90" s="16" t="str" cm="1">
        <f t="array" aca="1" ref="E90" ca="1">IFERROR(INDEX(_xlfn.ANCHORARRAY($AA$11),ROW()-10,5),"")</f>
        <v/>
      </c>
      <c r="F90" s="16" t="str" cm="1">
        <f t="array" aca="1" ref="F90" ca="1">IFERROR(INDEX(_xlfn.ANCHORARRAY($AA$11),ROW()-10,6),"")</f>
        <v/>
      </c>
      <c r="G90" s="16" t="str" cm="1">
        <f t="array" aca="1" ref="G90" ca="1">IFERROR(INDEX(_xlfn.ANCHORARRAY($AA$11),ROW()-10,7),"")</f>
        <v/>
      </c>
      <c r="H90" s="16" t="str" cm="1">
        <f t="array" aca="1" ref="H90" ca="1">IFERROR(INDEX(_xlfn.ANCHORARRAY($AA$11),ROW()-10,8),"")</f>
        <v/>
      </c>
      <c r="I90" s="16" t="str" cm="1">
        <f t="array" aca="1" ref="I90" ca="1">IFERROR(INDEX(_xlfn.ANCHORARRAY($AA$11),ROW()-10,9),"")</f>
        <v/>
      </c>
      <c r="J90" s="16" t="str">
        <f t="shared" ca="1" si="6"/>
        <v/>
      </c>
      <c r="K90" s="16" t="str">
        <f t="shared" ca="1" si="7"/>
        <v/>
      </c>
      <c r="L90" s="16" t="str" cm="1">
        <f t="array" aca="1" ref="L90" ca="1">_xlfn.LET(_xlpm.link,IFERROR(INDEX(_xlfn.ANCHORARRAY($AA$11),ROW()-10,12),""),IF(_xlpm.link="","",HYPERLINK(_xlpm.link,"Bluecore/Attentive")))</f>
        <v/>
      </c>
      <c r="M90" s="61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55" t="str" cm="1">
        <f t="array" aca="1" ref="A91" ca="1">IFERROR(INDEX(_xlfn.ANCHORARRAY($AA$11),ROW()-10,1),"")</f>
        <v/>
      </c>
      <c r="B91" s="24" t="str" cm="1">
        <f t="array" aca="1" ref="B91" ca="1">IFERROR(INDEX(_xlfn.ANCHORARRAY($AA$11),ROW()-10,2),"")</f>
        <v/>
      </c>
      <c r="C91" s="16" t="str" cm="1">
        <f t="array" aca="1" ref="C91" ca="1">IFERROR(INDEX(_xlfn.ANCHORARRAY($AA$11),ROW()-10,3),"")</f>
        <v/>
      </c>
      <c r="D91" s="16" t="str" cm="1">
        <f t="array" aca="1" ref="D91" ca="1">IFERROR(INDEX(_xlfn.ANCHORARRAY($AA$11),ROW()-10,4),"")</f>
        <v/>
      </c>
      <c r="E91" s="16" t="str" cm="1">
        <f t="array" aca="1" ref="E91" ca="1">IFERROR(INDEX(_xlfn.ANCHORARRAY($AA$11),ROW()-10,5),"")</f>
        <v/>
      </c>
      <c r="F91" s="16" t="str" cm="1">
        <f t="array" aca="1" ref="F91" ca="1">IFERROR(INDEX(_xlfn.ANCHORARRAY($AA$11),ROW()-10,6),"")</f>
        <v/>
      </c>
      <c r="G91" s="16" t="str" cm="1">
        <f t="array" aca="1" ref="G91" ca="1">IFERROR(INDEX(_xlfn.ANCHORARRAY($AA$11),ROW()-10,7),"")</f>
        <v/>
      </c>
      <c r="H91" s="16" t="str" cm="1">
        <f t="array" aca="1" ref="H91" ca="1">IFERROR(INDEX(_xlfn.ANCHORARRAY($AA$11),ROW()-10,8),"")</f>
        <v/>
      </c>
      <c r="I91" s="16" t="str" cm="1">
        <f t="array" aca="1" ref="I91" ca="1">IFERROR(INDEX(_xlfn.ANCHORARRAY($AA$11),ROW()-10,9),"")</f>
        <v/>
      </c>
      <c r="J91" s="16" t="str">
        <f t="shared" ca="1" si="6"/>
        <v/>
      </c>
      <c r="K91" s="16" t="str">
        <f t="shared" ca="1" si="7"/>
        <v/>
      </c>
      <c r="L91" s="16" t="str" cm="1">
        <f t="array" aca="1" ref="L91" ca="1">_xlfn.LET(_xlpm.link,IFERROR(INDEX(_xlfn.ANCHORARRAY($AA$11),ROW()-10,12),""),IF(_xlpm.link="","",HYPERLINK(_xlpm.link,"Bluecore/Attentive")))</f>
        <v/>
      </c>
      <c r="M91" s="60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55" t="str" cm="1">
        <f t="array" aca="1" ref="A92" ca="1">IFERROR(INDEX(_xlfn.ANCHORARRAY($AA$11),ROW()-10,1),"")</f>
        <v/>
      </c>
      <c r="B92" s="24" t="str" cm="1">
        <f t="array" aca="1" ref="B92" ca="1">IFERROR(INDEX(_xlfn.ANCHORARRAY($AA$11),ROW()-10,2),"")</f>
        <v/>
      </c>
      <c r="C92" s="16" t="str" cm="1">
        <f t="array" aca="1" ref="C92" ca="1">IFERROR(INDEX(_xlfn.ANCHORARRAY($AA$11),ROW()-10,3),"")</f>
        <v/>
      </c>
      <c r="D92" s="16" t="str" cm="1">
        <f t="array" aca="1" ref="D92" ca="1">IFERROR(INDEX(_xlfn.ANCHORARRAY($AA$11),ROW()-10,4),"")</f>
        <v/>
      </c>
      <c r="E92" s="16" t="str" cm="1">
        <f t="array" aca="1" ref="E92" ca="1">IFERROR(INDEX(_xlfn.ANCHORARRAY($AA$11),ROW()-10,5),"")</f>
        <v/>
      </c>
      <c r="F92" s="16" t="str" cm="1">
        <f t="array" aca="1" ref="F92" ca="1">IFERROR(INDEX(_xlfn.ANCHORARRAY($AA$11),ROW()-10,6),"")</f>
        <v/>
      </c>
      <c r="G92" s="16" t="str" cm="1">
        <f t="array" aca="1" ref="G92" ca="1">IFERROR(INDEX(_xlfn.ANCHORARRAY($AA$11),ROW()-10,7),"")</f>
        <v/>
      </c>
      <c r="H92" s="16" t="str" cm="1">
        <f t="array" aca="1" ref="H92" ca="1">IFERROR(INDEX(_xlfn.ANCHORARRAY($AA$11),ROW()-10,8),"")</f>
        <v/>
      </c>
      <c r="I92" s="16" t="str" cm="1">
        <f t="array" aca="1" ref="I92" ca="1">IFERROR(INDEX(_xlfn.ANCHORARRAY($AA$11),ROW()-10,9),"")</f>
        <v/>
      </c>
      <c r="J92" s="16" t="str">
        <f t="shared" ca="1" si="6"/>
        <v/>
      </c>
      <c r="K92" s="16" t="str">
        <f t="shared" ca="1" si="7"/>
        <v/>
      </c>
      <c r="L92" s="16" t="str" cm="1">
        <f t="array" aca="1" ref="L92" ca="1">_xlfn.LET(_xlpm.link,IFERROR(INDEX(_xlfn.ANCHORARRAY($AA$11),ROW()-10,12),""),IF(_xlpm.link="","",HYPERLINK(_xlpm.link,"Bluecore/Attentive")))</f>
        <v/>
      </c>
      <c r="M92" s="61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55" t="str" cm="1">
        <f t="array" aca="1" ref="A93" ca="1">IFERROR(INDEX(_xlfn.ANCHORARRAY($AA$11),ROW()-10,1),"")</f>
        <v/>
      </c>
      <c r="B93" s="24" t="str" cm="1">
        <f t="array" aca="1" ref="B93" ca="1">IFERROR(INDEX(_xlfn.ANCHORARRAY($AA$11),ROW()-10,2),"")</f>
        <v/>
      </c>
      <c r="C93" s="16" t="str" cm="1">
        <f t="array" aca="1" ref="C93" ca="1">IFERROR(INDEX(_xlfn.ANCHORARRAY($AA$11),ROW()-10,3),"")</f>
        <v/>
      </c>
      <c r="D93" s="16" t="str" cm="1">
        <f t="array" aca="1" ref="D93" ca="1">IFERROR(INDEX(_xlfn.ANCHORARRAY($AA$11),ROW()-10,4),"")</f>
        <v/>
      </c>
      <c r="E93" s="16" t="str" cm="1">
        <f t="array" aca="1" ref="E93" ca="1">IFERROR(INDEX(_xlfn.ANCHORARRAY($AA$11),ROW()-10,5),"")</f>
        <v/>
      </c>
      <c r="F93" s="16" t="str" cm="1">
        <f t="array" aca="1" ref="F93" ca="1">IFERROR(INDEX(_xlfn.ANCHORARRAY($AA$11),ROW()-10,6),"")</f>
        <v/>
      </c>
      <c r="G93" s="16" t="str" cm="1">
        <f t="array" aca="1" ref="G93" ca="1">IFERROR(INDEX(_xlfn.ANCHORARRAY($AA$11),ROW()-10,7),"")</f>
        <v/>
      </c>
      <c r="H93" s="16" t="str" cm="1">
        <f t="array" aca="1" ref="H93" ca="1">IFERROR(INDEX(_xlfn.ANCHORARRAY($AA$11),ROW()-10,8),"")</f>
        <v/>
      </c>
      <c r="I93" s="16" t="str" cm="1">
        <f t="array" aca="1" ref="I93" ca="1">IFERROR(INDEX(_xlfn.ANCHORARRAY($AA$11),ROW()-10,9),"")</f>
        <v/>
      </c>
      <c r="J93" s="16" t="str">
        <f t="shared" ca="1" si="6"/>
        <v/>
      </c>
      <c r="K93" s="16" t="str">
        <f t="shared" ca="1" si="7"/>
        <v/>
      </c>
      <c r="L93" s="16" t="str" cm="1">
        <f t="array" aca="1" ref="L93" ca="1">_xlfn.LET(_xlpm.link,IFERROR(INDEX(_xlfn.ANCHORARRAY($AA$11),ROW()-10,12),""),IF(_xlpm.link="","",HYPERLINK(_xlpm.link,"Bluecore/Attentive")))</f>
        <v/>
      </c>
      <c r="M93" s="60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55" t="str" cm="1">
        <f t="array" aca="1" ref="A94" ca="1">IFERROR(INDEX(_xlfn.ANCHORARRAY($AA$11),ROW()-10,1),"")</f>
        <v/>
      </c>
      <c r="B94" s="24" t="str" cm="1">
        <f t="array" aca="1" ref="B94" ca="1">IFERROR(INDEX(_xlfn.ANCHORARRAY($AA$11),ROW()-10,2),"")</f>
        <v/>
      </c>
      <c r="C94" s="16" t="str" cm="1">
        <f t="array" aca="1" ref="C94" ca="1">IFERROR(INDEX(_xlfn.ANCHORARRAY($AA$11),ROW()-10,3),"")</f>
        <v/>
      </c>
      <c r="D94" s="16" t="str" cm="1">
        <f t="array" aca="1" ref="D94" ca="1">IFERROR(INDEX(_xlfn.ANCHORARRAY($AA$11),ROW()-10,4),"")</f>
        <v/>
      </c>
      <c r="E94" s="16" t="str" cm="1">
        <f t="array" aca="1" ref="E94" ca="1">IFERROR(INDEX(_xlfn.ANCHORARRAY($AA$11),ROW()-10,5),"")</f>
        <v/>
      </c>
      <c r="F94" s="16" t="str" cm="1">
        <f t="array" aca="1" ref="F94" ca="1">IFERROR(INDEX(_xlfn.ANCHORARRAY($AA$11),ROW()-10,6),"")</f>
        <v/>
      </c>
      <c r="G94" s="16" t="str" cm="1">
        <f t="array" aca="1" ref="G94" ca="1">IFERROR(INDEX(_xlfn.ANCHORARRAY($AA$11),ROW()-10,7),"")</f>
        <v/>
      </c>
      <c r="H94" s="16" t="str" cm="1">
        <f t="array" aca="1" ref="H94" ca="1">IFERROR(INDEX(_xlfn.ANCHORARRAY($AA$11),ROW()-10,8),"")</f>
        <v/>
      </c>
      <c r="I94" s="16" t="str" cm="1">
        <f t="array" aca="1" ref="I94" ca="1">IFERROR(INDEX(_xlfn.ANCHORARRAY($AA$11),ROW()-10,9),"")</f>
        <v/>
      </c>
      <c r="J94" s="16" t="str">
        <f t="shared" ca="1" si="6"/>
        <v/>
      </c>
      <c r="K94" s="16" t="str">
        <f t="shared" ca="1" si="7"/>
        <v/>
      </c>
      <c r="L94" s="16" t="str" cm="1">
        <f t="array" aca="1" ref="L94" ca="1">_xlfn.LET(_xlpm.link,IFERROR(INDEX(_xlfn.ANCHORARRAY($AA$11),ROW()-10,12),""),IF(_xlpm.link="","",HYPERLINK(_xlpm.link,"Bluecore/Attentive")))</f>
        <v/>
      </c>
      <c r="M94" s="61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55" t="str" cm="1">
        <f t="array" aca="1" ref="A95" ca="1">IFERROR(INDEX(_xlfn.ANCHORARRAY($AA$11),ROW()-10,1),"")</f>
        <v/>
      </c>
      <c r="B95" s="24" t="str" cm="1">
        <f t="array" aca="1" ref="B95" ca="1">IFERROR(INDEX(_xlfn.ANCHORARRAY($AA$11),ROW()-10,2),"")</f>
        <v/>
      </c>
      <c r="C95" s="16" t="str" cm="1">
        <f t="array" aca="1" ref="C95" ca="1">IFERROR(INDEX(_xlfn.ANCHORARRAY($AA$11),ROW()-10,3),"")</f>
        <v/>
      </c>
      <c r="D95" s="16" t="str" cm="1">
        <f t="array" aca="1" ref="D95" ca="1">IFERROR(INDEX(_xlfn.ANCHORARRAY($AA$11),ROW()-10,4),"")</f>
        <v/>
      </c>
      <c r="E95" s="16" t="str" cm="1">
        <f t="array" aca="1" ref="E95" ca="1">IFERROR(INDEX(_xlfn.ANCHORARRAY($AA$11),ROW()-10,5),"")</f>
        <v/>
      </c>
      <c r="F95" s="16" t="str" cm="1">
        <f t="array" aca="1" ref="F95" ca="1">IFERROR(INDEX(_xlfn.ANCHORARRAY($AA$11),ROW()-10,6),"")</f>
        <v/>
      </c>
      <c r="G95" s="16" t="str" cm="1">
        <f t="array" aca="1" ref="G95" ca="1">IFERROR(INDEX(_xlfn.ANCHORARRAY($AA$11),ROW()-10,7),"")</f>
        <v/>
      </c>
      <c r="H95" s="16" t="str" cm="1">
        <f t="array" aca="1" ref="H95" ca="1">IFERROR(INDEX(_xlfn.ANCHORARRAY($AA$11),ROW()-10,8),"")</f>
        <v/>
      </c>
      <c r="I95" s="16" t="str" cm="1">
        <f t="array" aca="1" ref="I95" ca="1">IFERROR(INDEX(_xlfn.ANCHORARRAY($AA$11),ROW()-10,9),"")</f>
        <v/>
      </c>
      <c r="J95" s="16" t="str">
        <f t="shared" ca="1" si="6"/>
        <v/>
      </c>
      <c r="K95" s="16" t="str">
        <f t="shared" ca="1" si="7"/>
        <v/>
      </c>
      <c r="L95" s="16" t="str" cm="1">
        <f t="array" aca="1" ref="L95" ca="1">_xlfn.LET(_xlpm.link,IFERROR(INDEX(_xlfn.ANCHORARRAY($AA$11),ROW()-10,12),""),IF(_xlpm.link="","",HYPERLINK(_xlpm.link,"Bluecore/Attentive")))</f>
        <v/>
      </c>
      <c r="M95" s="60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55" t="str" cm="1">
        <f t="array" aca="1" ref="A96" ca="1">IFERROR(INDEX(_xlfn.ANCHORARRAY($AA$11),ROW()-10,1),"")</f>
        <v/>
      </c>
      <c r="B96" s="24" t="str" cm="1">
        <f t="array" aca="1" ref="B96" ca="1">IFERROR(INDEX(_xlfn.ANCHORARRAY($AA$11),ROW()-10,2),"")</f>
        <v/>
      </c>
      <c r="C96" s="16" t="str" cm="1">
        <f t="array" aca="1" ref="C96" ca="1">IFERROR(INDEX(_xlfn.ANCHORARRAY($AA$11),ROW()-10,3),"")</f>
        <v/>
      </c>
      <c r="D96" s="16" t="str" cm="1">
        <f t="array" aca="1" ref="D96" ca="1">IFERROR(INDEX(_xlfn.ANCHORARRAY($AA$11),ROW()-10,4),"")</f>
        <v/>
      </c>
      <c r="E96" s="16" t="str" cm="1">
        <f t="array" aca="1" ref="E96" ca="1">IFERROR(INDEX(_xlfn.ANCHORARRAY($AA$11),ROW()-10,5),"")</f>
        <v/>
      </c>
      <c r="F96" s="16" t="str" cm="1">
        <f t="array" aca="1" ref="F96" ca="1">IFERROR(INDEX(_xlfn.ANCHORARRAY($AA$11),ROW()-10,6),"")</f>
        <v/>
      </c>
      <c r="G96" s="16" t="str" cm="1">
        <f t="array" aca="1" ref="G96" ca="1">IFERROR(INDEX(_xlfn.ANCHORARRAY($AA$11),ROW()-10,7),"")</f>
        <v/>
      </c>
      <c r="H96" s="16" t="str" cm="1">
        <f t="array" aca="1" ref="H96" ca="1">IFERROR(INDEX(_xlfn.ANCHORARRAY($AA$11),ROW()-10,8),"")</f>
        <v/>
      </c>
      <c r="I96" s="16" t="str" cm="1">
        <f t="array" aca="1" ref="I96" ca="1">IFERROR(INDEX(_xlfn.ANCHORARRAY($AA$11),ROW()-10,9),"")</f>
        <v/>
      </c>
      <c r="J96" s="16" t="str">
        <f t="shared" ca="1" si="6"/>
        <v/>
      </c>
      <c r="K96" s="16" t="str">
        <f t="shared" ca="1" si="7"/>
        <v/>
      </c>
      <c r="L96" s="16" t="str" cm="1">
        <f t="array" aca="1" ref="L96" ca="1">_xlfn.LET(_xlpm.link,IFERROR(INDEX(_xlfn.ANCHORARRAY($AA$11),ROW()-10,12),""),IF(_xlpm.link="","",HYPERLINK(_xlpm.link,"Bluecore/Attentive")))</f>
        <v/>
      </c>
      <c r="M96" s="61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55" t="str" cm="1">
        <f t="array" aca="1" ref="A97" ca="1">IFERROR(INDEX(_xlfn.ANCHORARRAY($AA$11),ROW()-10,1),"")</f>
        <v/>
      </c>
      <c r="B97" s="24" t="str" cm="1">
        <f t="array" aca="1" ref="B97" ca="1">IFERROR(INDEX(_xlfn.ANCHORARRAY($AA$11),ROW()-10,2),"")</f>
        <v/>
      </c>
      <c r="C97" s="16" t="str" cm="1">
        <f t="array" aca="1" ref="C97" ca="1">IFERROR(INDEX(_xlfn.ANCHORARRAY($AA$11),ROW()-10,3),"")</f>
        <v/>
      </c>
      <c r="D97" s="16" t="str" cm="1">
        <f t="array" aca="1" ref="D97" ca="1">IFERROR(INDEX(_xlfn.ANCHORARRAY($AA$11),ROW()-10,4),"")</f>
        <v/>
      </c>
      <c r="E97" s="16" t="str" cm="1">
        <f t="array" aca="1" ref="E97" ca="1">IFERROR(INDEX(_xlfn.ANCHORARRAY($AA$11),ROW()-10,5),"")</f>
        <v/>
      </c>
      <c r="F97" s="16" t="str" cm="1">
        <f t="array" aca="1" ref="F97" ca="1">IFERROR(INDEX(_xlfn.ANCHORARRAY($AA$11),ROW()-10,6),"")</f>
        <v/>
      </c>
      <c r="G97" s="16" t="str" cm="1">
        <f t="array" aca="1" ref="G97" ca="1">IFERROR(INDEX(_xlfn.ANCHORARRAY($AA$11),ROW()-10,7),"")</f>
        <v/>
      </c>
      <c r="H97" s="16" t="str" cm="1">
        <f t="array" aca="1" ref="H97" ca="1">IFERROR(INDEX(_xlfn.ANCHORARRAY($AA$11),ROW()-10,8),"")</f>
        <v/>
      </c>
      <c r="I97" s="16" t="str" cm="1">
        <f t="array" aca="1" ref="I97" ca="1">IFERROR(INDEX(_xlfn.ANCHORARRAY($AA$11),ROW()-10,9),"")</f>
        <v/>
      </c>
      <c r="J97" s="16" t="str">
        <f t="shared" ca="1" si="6"/>
        <v/>
      </c>
      <c r="K97" s="16" t="str">
        <f t="shared" ca="1" si="7"/>
        <v/>
      </c>
      <c r="L97" s="16" t="str" cm="1">
        <f t="array" aca="1" ref="L97" ca="1">_xlfn.LET(_xlpm.link,IFERROR(INDEX(_xlfn.ANCHORARRAY($AA$11),ROW()-10,12),""),IF(_xlpm.link="","",HYPERLINK(_xlpm.link,"Bluecore/Attentive")))</f>
        <v/>
      </c>
      <c r="M97" s="60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55" t="str" cm="1">
        <f t="array" aca="1" ref="A98" ca="1">IFERROR(INDEX(_xlfn.ANCHORARRAY($AA$11),ROW()-10,1),"")</f>
        <v/>
      </c>
      <c r="B98" s="24" t="str" cm="1">
        <f t="array" aca="1" ref="B98" ca="1">IFERROR(INDEX(_xlfn.ANCHORARRAY($AA$11),ROW()-10,2),"")</f>
        <v/>
      </c>
      <c r="C98" s="16" t="str" cm="1">
        <f t="array" aca="1" ref="C98" ca="1">IFERROR(INDEX(_xlfn.ANCHORARRAY($AA$11),ROW()-10,3),"")</f>
        <v/>
      </c>
      <c r="D98" s="16" t="str" cm="1">
        <f t="array" aca="1" ref="D98" ca="1">IFERROR(INDEX(_xlfn.ANCHORARRAY($AA$11),ROW()-10,4),"")</f>
        <v/>
      </c>
      <c r="E98" s="16" t="str" cm="1">
        <f t="array" aca="1" ref="E98" ca="1">IFERROR(INDEX(_xlfn.ANCHORARRAY($AA$11),ROW()-10,5),"")</f>
        <v/>
      </c>
      <c r="F98" s="16" t="str" cm="1">
        <f t="array" aca="1" ref="F98" ca="1">IFERROR(INDEX(_xlfn.ANCHORARRAY($AA$11),ROW()-10,6),"")</f>
        <v/>
      </c>
      <c r="G98" s="16" t="str" cm="1">
        <f t="array" aca="1" ref="G98" ca="1">IFERROR(INDEX(_xlfn.ANCHORARRAY($AA$11),ROW()-10,7),"")</f>
        <v/>
      </c>
      <c r="H98" s="16" t="str" cm="1">
        <f t="array" aca="1" ref="H98" ca="1">IFERROR(INDEX(_xlfn.ANCHORARRAY($AA$11),ROW()-10,8),"")</f>
        <v/>
      </c>
      <c r="I98" s="16" t="str" cm="1">
        <f t="array" aca="1" ref="I98" ca="1">IFERROR(INDEX(_xlfn.ANCHORARRAY($AA$11),ROW()-10,9),"")</f>
        <v/>
      </c>
      <c r="J98" s="16" t="str">
        <f t="shared" ca="1" si="6"/>
        <v/>
      </c>
      <c r="K98" s="16" t="str">
        <f t="shared" ca="1" si="7"/>
        <v/>
      </c>
      <c r="L98" s="16" t="str" cm="1">
        <f t="array" aca="1" ref="L98" ca="1">_xlfn.LET(_xlpm.link,IFERROR(INDEX(_xlfn.ANCHORARRAY($AA$11),ROW()-10,12),""),IF(_xlpm.link="","",HYPERLINK(_xlpm.link,"Bluecore/Attentive")))</f>
        <v/>
      </c>
      <c r="M98" s="61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55" t="str" cm="1">
        <f t="array" aca="1" ref="A99" ca="1">IFERROR(INDEX(_xlfn.ANCHORARRAY($AA$11),ROW()-10,1),"")</f>
        <v/>
      </c>
      <c r="B99" s="24" t="str" cm="1">
        <f t="array" aca="1" ref="B99" ca="1">IFERROR(INDEX(_xlfn.ANCHORARRAY($AA$11),ROW()-10,2),"")</f>
        <v/>
      </c>
      <c r="C99" s="16" t="str" cm="1">
        <f t="array" aca="1" ref="C99" ca="1">IFERROR(INDEX(_xlfn.ANCHORARRAY($AA$11),ROW()-10,3),"")</f>
        <v/>
      </c>
      <c r="D99" s="16" t="str" cm="1">
        <f t="array" aca="1" ref="D99" ca="1">IFERROR(INDEX(_xlfn.ANCHORARRAY($AA$11),ROW()-10,4),"")</f>
        <v/>
      </c>
      <c r="E99" s="16" t="str" cm="1">
        <f t="array" aca="1" ref="E99" ca="1">IFERROR(INDEX(_xlfn.ANCHORARRAY($AA$11),ROW()-10,5),"")</f>
        <v/>
      </c>
      <c r="F99" s="16" t="str" cm="1">
        <f t="array" aca="1" ref="F99" ca="1">IFERROR(INDEX(_xlfn.ANCHORARRAY($AA$11),ROW()-10,6),"")</f>
        <v/>
      </c>
      <c r="G99" s="16" t="str" cm="1">
        <f t="array" aca="1" ref="G99" ca="1">IFERROR(INDEX(_xlfn.ANCHORARRAY($AA$11),ROW()-10,7),"")</f>
        <v/>
      </c>
      <c r="H99" s="16" t="str" cm="1">
        <f t="array" aca="1" ref="H99" ca="1">IFERROR(INDEX(_xlfn.ANCHORARRAY($AA$11),ROW()-10,8),"")</f>
        <v/>
      </c>
      <c r="I99" s="16" t="str" cm="1">
        <f t="array" aca="1" ref="I99" ca="1">IFERROR(INDEX(_xlfn.ANCHORARRAY($AA$11),ROW()-10,9),"")</f>
        <v/>
      </c>
      <c r="J99" s="16" t="str">
        <f t="shared" ca="1" si="6"/>
        <v/>
      </c>
      <c r="K99" s="16" t="str">
        <f t="shared" ca="1" si="7"/>
        <v/>
      </c>
      <c r="L99" s="16" t="str" cm="1">
        <f t="array" aca="1" ref="L99" ca="1">_xlfn.LET(_xlpm.link,IFERROR(INDEX(_xlfn.ANCHORARRAY($AA$11),ROW()-10,12),""),IF(_xlpm.link="","",HYPERLINK(_xlpm.link,"Bluecore/Attentive")))</f>
        <v/>
      </c>
      <c r="M99" s="60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55" t="str" cm="1">
        <f t="array" aca="1" ref="A100" ca="1">IFERROR(INDEX(_xlfn.ANCHORARRAY($AA$11),ROW()-10,1),"")</f>
        <v/>
      </c>
      <c r="B100" s="24" t="str" cm="1">
        <f t="array" aca="1" ref="B100" ca="1">IFERROR(INDEX(_xlfn.ANCHORARRAY($AA$11),ROW()-10,2),"")</f>
        <v/>
      </c>
      <c r="C100" s="16" t="str" cm="1">
        <f t="array" aca="1" ref="C100" ca="1">IFERROR(INDEX(_xlfn.ANCHORARRAY($AA$11),ROW()-10,3),"")</f>
        <v/>
      </c>
      <c r="D100" s="16" t="str" cm="1">
        <f t="array" aca="1" ref="D100" ca="1">IFERROR(INDEX(_xlfn.ANCHORARRAY($AA$11),ROW()-10,4),"")</f>
        <v/>
      </c>
      <c r="E100" s="16" t="str" cm="1">
        <f t="array" aca="1" ref="E100" ca="1">IFERROR(INDEX(_xlfn.ANCHORARRAY($AA$11),ROW()-10,5),"")</f>
        <v/>
      </c>
      <c r="F100" s="16" t="str" cm="1">
        <f t="array" aca="1" ref="F100" ca="1">IFERROR(INDEX(_xlfn.ANCHORARRAY($AA$11),ROW()-10,6),"")</f>
        <v/>
      </c>
      <c r="G100" s="16" t="str" cm="1">
        <f t="array" aca="1" ref="G100" ca="1">IFERROR(INDEX(_xlfn.ANCHORARRAY($AA$11),ROW()-10,7),"")</f>
        <v/>
      </c>
      <c r="H100" s="16" t="str" cm="1">
        <f t="array" aca="1" ref="H100" ca="1">IFERROR(INDEX(_xlfn.ANCHORARRAY($AA$11),ROW()-10,8),"")</f>
        <v/>
      </c>
      <c r="I100" s="16" t="str" cm="1">
        <f t="array" aca="1" ref="I100" ca="1">IFERROR(INDEX(_xlfn.ANCHORARRAY($AA$11),ROW()-10,9),"")</f>
        <v/>
      </c>
      <c r="J100" s="16" t="str">
        <f t="shared" ca="1" si="6"/>
        <v/>
      </c>
      <c r="K100" s="16" t="str">
        <f t="shared" ca="1" si="7"/>
        <v/>
      </c>
      <c r="L100" s="16" t="str" cm="1">
        <f t="array" aca="1" ref="L100" ca="1">_xlfn.LET(_xlpm.link,IFERROR(INDEX(_xlfn.ANCHORARRAY($AA$11),ROW()-10,12),""),IF(_xlpm.link="","",HYPERLINK(_xlpm.link,"Bluecore/Attentive")))</f>
        <v/>
      </c>
      <c r="M100" s="61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55" t="str" cm="1">
        <f t="array" aca="1" ref="A101" ca="1">IFERROR(INDEX(_xlfn.ANCHORARRAY($AA$11),ROW()-10,1),"")</f>
        <v/>
      </c>
      <c r="B101" s="24" t="str" cm="1">
        <f t="array" aca="1" ref="B101" ca="1">IFERROR(INDEX(_xlfn.ANCHORARRAY($AA$11),ROW()-10,2),"")</f>
        <v/>
      </c>
      <c r="C101" s="16" t="str" cm="1">
        <f t="array" aca="1" ref="C101" ca="1">IFERROR(INDEX(_xlfn.ANCHORARRAY($AA$11),ROW()-10,3),"")</f>
        <v/>
      </c>
      <c r="D101" s="16" t="str" cm="1">
        <f t="array" aca="1" ref="D101" ca="1">IFERROR(INDEX(_xlfn.ANCHORARRAY($AA$11),ROW()-10,4),"")</f>
        <v/>
      </c>
      <c r="E101" s="16" t="str" cm="1">
        <f t="array" aca="1" ref="E101" ca="1">IFERROR(INDEX(_xlfn.ANCHORARRAY($AA$11),ROW()-10,5),"")</f>
        <v/>
      </c>
      <c r="F101" s="16" t="str" cm="1">
        <f t="array" aca="1" ref="F101" ca="1">IFERROR(INDEX(_xlfn.ANCHORARRAY($AA$11),ROW()-10,6),"")</f>
        <v/>
      </c>
      <c r="G101" s="16" t="str" cm="1">
        <f t="array" aca="1" ref="G101" ca="1">IFERROR(INDEX(_xlfn.ANCHORARRAY($AA$11),ROW()-10,7),"")</f>
        <v/>
      </c>
      <c r="H101" s="16" t="str" cm="1">
        <f t="array" aca="1" ref="H101" ca="1">IFERROR(INDEX(_xlfn.ANCHORARRAY($AA$11),ROW()-10,8),"")</f>
        <v/>
      </c>
      <c r="I101" s="16" t="str" cm="1">
        <f t="array" aca="1" ref="I101" ca="1">IFERROR(INDEX(_xlfn.ANCHORARRAY($AA$11),ROW()-10,9),"")</f>
        <v/>
      </c>
      <c r="J101" s="16" t="str">
        <f t="shared" ca="1" si="6"/>
        <v/>
      </c>
      <c r="K101" s="16" t="str">
        <f t="shared" ca="1" si="7"/>
        <v/>
      </c>
      <c r="L101" s="16" t="str" cm="1">
        <f t="array" aca="1" ref="L101" ca="1">_xlfn.LET(_xlpm.link,IFERROR(INDEX(_xlfn.ANCHORARRAY($AA$11),ROW()-10,12),""),IF(_xlpm.link="","",HYPERLINK(_xlpm.link,"Bluecore/Attentive")))</f>
        <v/>
      </c>
      <c r="M101" s="60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55" t="str" cm="1">
        <f t="array" aca="1" ref="A102" ca="1">IFERROR(INDEX(_xlfn.ANCHORARRAY($AA$11),ROW()-10,1),"")</f>
        <v/>
      </c>
      <c r="B102" s="24" t="str" cm="1">
        <f t="array" aca="1" ref="B102" ca="1">IFERROR(INDEX(_xlfn.ANCHORARRAY($AA$11),ROW()-10,2),"")</f>
        <v/>
      </c>
      <c r="C102" s="16" t="str" cm="1">
        <f t="array" aca="1" ref="C102" ca="1">IFERROR(INDEX(_xlfn.ANCHORARRAY($AA$11),ROW()-10,3),"")</f>
        <v/>
      </c>
      <c r="D102" s="16" t="str" cm="1">
        <f t="array" aca="1" ref="D102" ca="1">IFERROR(INDEX(_xlfn.ANCHORARRAY($AA$11),ROW()-10,4),"")</f>
        <v/>
      </c>
      <c r="E102" s="16" t="str" cm="1">
        <f t="array" aca="1" ref="E102" ca="1">IFERROR(INDEX(_xlfn.ANCHORARRAY($AA$11),ROW()-10,5),"")</f>
        <v/>
      </c>
      <c r="F102" s="16" t="str" cm="1">
        <f t="array" aca="1" ref="F102" ca="1">IFERROR(INDEX(_xlfn.ANCHORARRAY($AA$11),ROW()-10,6),"")</f>
        <v/>
      </c>
      <c r="G102" s="16" t="str" cm="1">
        <f t="array" aca="1" ref="G102" ca="1">IFERROR(INDEX(_xlfn.ANCHORARRAY($AA$11),ROW()-10,7),"")</f>
        <v/>
      </c>
      <c r="H102" s="16" t="str" cm="1">
        <f t="array" aca="1" ref="H102" ca="1">IFERROR(INDEX(_xlfn.ANCHORARRAY($AA$11),ROW()-10,8),"")</f>
        <v/>
      </c>
      <c r="I102" s="16" t="str" cm="1">
        <f t="array" aca="1" ref="I102" ca="1">IFERROR(INDEX(_xlfn.ANCHORARRAY($AA$11),ROW()-10,9),"")</f>
        <v/>
      </c>
      <c r="J102" s="16" t="str">
        <f t="shared" ca="1" si="6"/>
        <v/>
      </c>
      <c r="K102" s="16" t="str">
        <f t="shared" ca="1" si="7"/>
        <v/>
      </c>
      <c r="L102" s="16" t="str" cm="1">
        <f t="array" aca="1" ref="L102" ca="1">_xlfn.LET(_xlpm.link,IFERROR(INDEX(_xlfn.ANCHORARRAY($AA$11),ROW()-10,12),""),IF(_xlpm.link="","",HYPERLINK(_xlpm.link,"Bluecore/Attentive")))</f>
        <v/>
      </c>
      <c r="M102" s="61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55" t="str" cm="1">
        <f t="array" aca="1" ref="A103" ca="1">IFERROR(INDEX(_xlfn.ANCHORARRAY($AA$11),ROW()-10,1),"")</f>
        <v/>
      </c>
      <c r="B103" s="24" t="str" cm="1">
        <f t="array" aca="1" ref="B103" ca="1">IFERROR(INDEX(_xlfn.ANCHORARRAY($AA$11),ROW()-10,2),"")</f>
        <v/>
      </c>
      <c r="C103" s="16" t="str" cm="1">
        <f t="array" aca="1" ref="C103" ca="1">IFERROR(INDEX(_xlfn.ANCHORARRAY($AA$11),ROW()-10,3),"")</f>
        <v/>
      </c>
      <c r="D103" s="16" t="str" cm="1">
        <f t="array" aca="1" ref="D103" ca="1">IFERROR(INDEX(_xlfn.ANCHORARRAY($AA$11),ROW()-10,4),"")</f>
        <v/>
      </c>
      <c r="E103" s="16" t="str" cm="1">
        <f t="array" aca="1" ref="E103" ca="1">IFERROR(INDEX(_xlfn.ANCHORARRAY($AA$11),ROW()-10,5),"")</f>
        <v/>
      </c>
      <c r="F103" s="16" t="str" cm="1">
        <f t="array" aca="1" ref="F103" ca="1">IFERROR(INDEX(_xlfn.ANCHORARRAY($AA$11),ROW()-10,6),"")</f>
        <v/>
      </c>
      <c r="G103" s="16" t="str" cm="1">
        <f t="array" aca="1" ref="G103" ca="1">IFERROR(INDEX(_xlfn.ANCHORARRAY($AA$11),ROW()-10,7),"")</f>
        <v/>
      </c>
      <c r="H103" s="16" t="str" cm="1">
        <f t="array" aca="1" ref="H103" ca="1">IFERROR(INDEX(_xlfn.ANCHORARRAY($AA$11),ROW()-10,8),"")</f>
        <v/>
      </c>
      <c r="I103" s="16" t="str" cm="1">
        <f t="array" aca="1" ref="I103" ca="1">IFERROR(INDEX(_xlfn.ANCHORARRAY($AA$11),ROW()-10,9),"")</f>
        <v/>
      </c>
      <c r="J103" s="16" t="str">
        <f t="shared" ca="1" si="6"/>
        <v/>
      </c>
      <c r="K103" s="16" t="str">
        <f t="shared" ca="1" si="7"/>
        <v/>
      </c>
      <c r="L103" s="16" t="str" cm="1">
        <f t="array" aca="1" ref="L103" ca="1">_xlfn.LET(_xlpm.link,IFERROR(INDEX(_xlfn.ANCHORARRAY($AA$11),ROW()-10,12),""),IF(_xlpm.link="","",HYPERLINK(_xlpm.link,"Bluecore/Attentive")))</f>
        <v/>
      </c>
      <c r="M103" s="60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55" t="str" cm="1">
        <f t="array" aca="1" ref="A104" ca="1">IFERROR(INDEX(_xlfn.ANCHORARRAY($AA$11),ROW()-10,1),"")</f>
        <v/>
      </c>
      <c r="B104" s="24" t="str" cm="1">
        <f t="array" aca="1" ref="B104" ca="1">IFERROR(INDEX(_xlfn.ANCHORARRAY($AA$11),ROW()-10,2),"")</f>
        <v/>
      </c>
      <c r="C104" s="16" t="str" cm="1">
        <f t="array" aca="1" ref="C104" ca="1">IFERROR(INDEX(_xlfn.ANCHORARRAY($AA$11),ROW()-10,3),"")</f>
        <v/>
      </c>
      <c r="D104" s="16" t="str" cm="1">
        <f t="array" aca="1" ref="D104" ca="1">IFERROR(INDEX(_xlfn.ANCHORARRAY($AA$11),ROW()-10,4),"")</f>
        <v/>
      </c>
      <c r="E104" s="16" t="str" cm="1">
        <f t="array" aca="1" ref="E104" ca="1">IFERROR(INDEX(_xlfn.ANCHORARRAY($AA$11),ROW()-10,5),"")</f>
        <v/>
      </c>
      <c r="F104" s="16" t="str" cm="1">
        <f t="array" aca="1" ref="F104" ca="1">IFERROR(INDEX(_xlfn.ANCHORARRAY($AA$11),ROW()-10,6),"")</f>
        <v/>
      </c>
      <c r="G104" s="16" t="str" cm="1">
        <f t="array" aca="1" ref="G104" ca="1">IFERROR(INDEX(_xlfn.ANCHORARRAY($AA$11),ROW()-10,7),"")</f>
        <v/>
      </c>
      <c r="H104" s="16" t="str" cm="1">
        <f t="array" aca="1" ref="H104" ca="1">IFERROR(INDEX(_xlfn.ANCHORARRAY($AA$11),ROW()-10,8),"")</f>
        <v/>
      </c>
      <c r="I104" s="16" t="str" cm="1">
        <f t="array" aca="1" ref="I104" ca="1">IFERROR(INDEX(_xlfn.ANCHORARRAY($AA$11),ROW()-10,9),"")</f>
        <v/>
      </c>
      <c r="J104" s="16" t="str">
        <f t="shared" ca="1" si="6"/>
        <v/>
      </c>
      <c r="K104" s="16" t="str">
        <f t="shared" ca="1" si="7"/>
        <v/>
      </c>
      <c r="L104" s="16" t="str" cm="1">
        <f t="array" aca="1" ref="L104" ca="1">_xlfn.LET(_xlpm.link,IFERROR(INDEX(_xlfn.ANCHORARRAY($AA$11),ROW()-10,12),""),IF(_xlpm.link="","",HYPERLINK(_xlpm.link,"Bluecore/Attentive")))</f>
        <v/>
      </c>
      <c r="M104" s="61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55" t="str" cm="1">
        <f t="array" aca="1" ref="A105" ca="1">IFERROR(INDEX(_xlfn.ANCHORARRAY($AA$11),ROW()-10,1),"")</f>
        <v/>
      </c>
      <c r="B105" s="24" t="str" cm="1">
        <f t="array" aca="1" ref="B105" ca="1">IFERROR(INDEX(_xlfn.ANCHORARRAY($AA$11),ROW()-10,2),"")</f>
        <v/>
      </c>
      <c r="C105" s="16" t="str" cm="1">
        <f t="array" aca="1" ref="C105" ca="1">IFERROR(INDEX(_xlfn.ANCHORARRAY($AA$11),ROW()-10,3),"")</f>
        <v/>
      </c>
      <c r="D105" s="16" t="str" cm="1">
        <f t="array" aca="1" ref="D105" ca="1">IFERROR(INDEX(_xlfn.ANCHORARRAY($AA$11),ROW()-10,4),"")</f>
        <v/>
      </c>
      <c r="E105" s="16" t="str" cm="1">
        <f t="array" aca="1" ref="E105" ca="1">IFERROR(INDEX(_xlfn.ANCHORARRAY($AA$11),ROW()-10,5),"")</f>
        <v/>
      </c>
      <c r="F105" s="16" t="str" cm="1">
        <f t="array" aca="1" ref="F105" ca="1">IFERROR(INDEX(_xlfn.ANCHORARRAY($AA$11),ROW()-10,6),"")</f>
        <v/>
      </c>
      <c r="G105" s="16" t="str" cm="1">
        <f t="array" aca="1" ref="G105" ca="1">IFERROR(INDEX(_xlfn.ANCHORARRAY($AA$11),ROW()-10,7),"")</f>
        <v/>
      </c>
      <c r="H105" s="16" t="str" cm="1">
        <f t="array" aca="1" ref="H105" ca="1">IFERROR(INDEX(_xlfn.ANCHORARRAY($AA$11),ROW()-10,8),"")</f>
        <v/>
      </c>
      <c r="I105" s="16" t="str" cm="1">
        <f t="array" aca="1" ref="I105" ca="1">IFERROR(INDEX(_xlfn.ANCHORARRAY($AA$11),ROW()-10,9),"")</f>
        <v/>
      </c>
      <c r="J105" s="16" t="str">
        <f t="shared" ca="1" si="6"/>
        <v/>
      </c>
      <c r="K105" s="16" t="str">
        <f t="shared" ca="1" si="7"/>
        <v/>
      </c>
      <c r="L105" s="16" t="str" cm="1">
        <f t="array" aca="1" ref="L105" ca="1">_xlfn.LET(_xlpm.link,IFERROR(INDEX(_xlfn.ANCHORARRAY($AA$11),ROW()-10,12),""),IF(_xlpm.link="","",HYPERLINK(_xlpm.link,"Bluecore/Attentive")))</f>
        <v/>
      </c>
      <c r="M105" s="60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55" t="str" cm="1">
        <f t="array" aca="1" ref="A106" ca="1">IFERROR(INDEX(_xlfn.ANCHORARRAY($AA$11),ROW()-10,1),"")</f>
        <v/>
      </c>
      <c r="B106" s="24" t="str" cm="1">
        <f t="array" aca="1" ref="B106" ca="1">IFERROR(INDEX(_xlfn.ANCHORARRAY($AA$11),ROW()-10,2),"")</f>
        <v/>
      </c>
      <c r="C106" s="16" t="str" cm="1">
        <f t="array" aca="1" ref="C106" ca="1">IFERROR(INDEX(_xlfn.ANCHORARRAY($AA$11),ROW()-10,3),"")</f>
        <v/>
      </c>
      <c r="D106" s="16" t="str" cm="1">
        <f t="array" aca="1" ref="D106" ca="1">IFERROR(INDEX(_xlfn.ANCHORARRAY($AA$11),ROW()-10,4),"")</f>
        <v/>
      </c>
      <c r="E106" s="16" t="str" cm="1">
        <f t="array" aca="1" ref="E106" ca="1">IFERROR(INDEX(_xlfn.ANCHORARRAY($AA$11),ROW()-10,5),"")</f>
        <v/>
      </c>
      <c r="F106" s="16" t="str" cm="1">
        <f t="array" aca="1" ref="F106" ca="1">IFERROR(INDEX(_xlfn.ANCHORARRAY($AA$11),ROW()-10,6),"")</f>
        <v/>
      </c>
      <c r="G106" s="16" t="str" cm="1">
        <f t="array" aca="1" ref="G106" ca="1">IFERROR(INDEX(_xlfn.ANCHORARRAY($AA$11),ROW()-10,7),"")</f>
        <v/>
      </c>
      <c r="H106" s="16" t="str" cm="1">
        <f t="array" aca="1" ref="H106" ca="1">IFERROR(INDEX(_xlfn.ANCHORARRAY($AA$11),ROW()-10,8),"")</f>
        <v/>
      </c>
      <c r="I106" s="16" t="str" cm="1">
        <f t="array" aca="1" ref="I106" ca="1">IFERROR(INDEX(_xlfn.ANCHORARRAY($AA$11),ROW()-10,9),"")</f>
        <v/>
      </c>
      <c r="J106" s="16" t="str">
        <f t="shared" ca="1" si="6"/>
        <v/>
      </c>
      <c r="K106" s="16" t="str">
        <f t="shared" ca="1" si="7"/>
        <v/>
      </c>
      <c r="L106" s="16" t="str" cm="1">
        <f t="array" aca="1" ref="L106" ca="1">_xlfn.LET(_xlpm.link,IFERROR(INDEX(_xlfn.ANCHORARRAY($AA$11),ROW()-10,12),""),IF(_xlpm.link="","",HYPERLINK(_xlpm.link,"Bluecore/Attentive")))</f>
        <v/>
      </c>
      <c r="M106" s="61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55" t="str" cm="1">
        <f t="array" aca="1" ref="A107" ca="1">IFERROR(INDEX(_xlfn.ANCHORARRAY($AA$11),ROW()-10,1),"")</f>
        <v/>
      </c>
      <c r="B107" s="24" t="str" cm="1">
        <f t="array" aca="1" ref="B107" ca="1">IFERROR(INDEX(_xlfn.ANCHORARRAY($AA$11),ROW()-10,2),"")</f>
        <v/>
      </c>
      <c r="C107" s="16" t="str" cm="1">
        <f t="array" aca="1" ref="C107" ca="1">IFERROR(INDEX(_xlfn.ANCHORARRAY($AA$11),ROW()-10,3),"")</f>
        <v/>
      </c>
      <c r="D107" s="16" t="str" cm="1">
        <f t="array" aca="1" ref="D107" ca="1">IFERROR(INDEX(_xlfn.ANCHORARRAY($AA$11),ROW()-10,4),"")</f>
        <v/>
      </c>
      <c r="E107" s="16" t="str" cm="1">
        <f t="array" aca="1" ref="E107" ca="1">IFERROR(INDEX(_xlfn.ANCHORARRAY($AA$11),ROW()-10,5),"")</f>
        <v/>
      </c>
      <c r="F107" s="16" t="str" cm="1">
        <f t="array" aca="1" ref="F107" ca="1">IFERROR(INDEX(_xlfn.ANCHORARRAY($AA$11),ROW()-10,6),"")</f>
        <v/>
      </c>
      <c r="G107" s="16" t="str" cm="1">
        <f t="array" aca="1" ref="G107" ca="1">IFERROR(INDEX(_xlfn.ANCHORARRAY($AA$11),ROW()-10,7),"")</f>
        <v/>
      </c>
      <c r="H107" s="16" t="str" cm="1">
        <f t="array" aca="1" ref="H107" ca="1">IFERROR(INDEX(_xlfn.ANCHORARRAY($AA$11),ROW()-10,8),"")</f>
        <v/>
      </c>
      <c r="I107" s="16" t="str" cm="1">
        <f t="array" aca="1" ref="I107" ca="1">IFERROR(INDEX(_xlfn.ANCHORARRAY($AA$11),ROW()-10,9),"")</f>
        <v/>
      </c>
      <c r="J107" s="16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16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16" t="str" cm="1">
        <f t="array" aca="1" ref="L107" ca="1">_xlfn.LET(_xlpm.link,IFERROR(INDEX(_xlfn.ANCHORARRAY($AA$11),ROW()-10,12),""),IF(_xlpm.link="","",HYPERLINK(_xlpm.link,"Bluecore/Attentive")))</f>
        <v/>
      </c>
      <c r="M107" s="60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55" t="str" cm="1">
        <f t="array" aca="1" ref="A108" ca="1">IFERROR(INDEX(_xlfn.ANCHORARRAY($AA$11),ROW()-10,1),"")</f>
        <v/>
      </c>
      <c r="B108" s="24" t="str" cm="1">
        <f t="array" aca="1" ref="B108" ca="1">IFERROR(INDEX(_xlfn.ANCHORARRAY($AA$11),ROW()-10,2),"")</f>
        <v/>
      </c>
      <c r="C108" s="16" t="str" cm="1">
        <f t="array" aca="1" ref="C108" ca="1">IFERROR(INDEX(_xlfn.ANCHORARRAY($AA$11),ROW()-10,3),"")</f>
        <v/>
      </c>
      <c r="D108" s="16" t="str" cm="1">
        <f t="array" aca="1" ref="D108" ca="1">IFERROR(INDEX(_xlfn.ANCHORARRAY($AA$11),ROW()-10,4),"")</f>
        <v/>
      </c>
      <c r="E108" s="16" t="str" cm="1">
        <f t="array" aca="1" ref="E108" ca="1">IFERROR(INDEX(_xlfn.ANCHORARRAY($AA$11),ROW()-10,5),"")</f>
        <v/>
      </c>
      <c r="F108" s="16" t="str" cm="1">
        <f t="array" aca="1" ref="F108" ca="1">IFERROR(INDEX(_xlfn.ANCHORARRAY($AA$11),ROW()-10,6),"")</f>
        <v/>
      </c>
      <c r="G108" s="16" t="str" cm="1">
        <f t="array" aca="1" ref="G108" ca="1">IFERROR(INDEX(_xlfn.ANCHORARRAY($AA$11),ROW()-10,7),"")</f>
        <v/>
      </c>
      <c r="H108" s="16" t="str" cm="1">
        <f t="array" aca="1" ref="H108" ca="1">IFERROR(INDEX(_xlfn.ANCHORARRAY($AA$11),ROW()-10,8),"")</f>
        <v/>
      </c>
      <c r="I108" s="16" t="str" cm="1">
        <f t="array" aca="1" ref="I108" ca="1">IFERROR(INDEX(_xlfn.ANCHORARRAY($AA$11),ROW()-10,9),"")</f>
        <v/>
      </c>
      <c r="J108" s="16" t="str">
        <f t="shared" ca="1" si="9"/>
        <v/>
      </c>
      <c r="K108" s="16" t="str">
        <f t="shared" ca="1" si="10"/>
        <v/>
      </c>
      <c r="L108" s="16" t="str" cm="1">
        <f t="array" aca="1" ref="L108" ca="1">_xlfn.LET(_xlpm.link,IFERROR(INDEX(_xlfn.ANCHORARRAY($AA$11),ROW()-10,12),""),IF(_xlpm.link="","",HYPERLINK(_xlpm.link,"Bluecore/Attentive")))</f>
        <v/>
      </c>
      <c r="M108" s="61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55" t="str" cm="1">
        <f t="array" aca="1" ref="A109" ca="1">IFERROR(INDEX(_xlfn.ANCHORARRAY($AA$11),ROW()-10,1),"")</f>
        <v/>
      </c>
      <c r="B109" s="24" t="str" cm="1">
        <f t="array" aca="1" ref="B109" ca="1">IFERROR(INDEX(_xlfn.ANCHORARRAY($AA$11),ROW()-10,2),"")</f>
        <v/>
      </c>
      <c r="C109" s="16" t="str" cm="1">
        <f t="array" aca="1" ref="C109" ca="1">IFERROR(INDEX(_xlfn.ANCHORARRAY($AA$11),ROW()-10,3),"")</f>
        <v/>
      </c>
      <c r="D109" s="16" t="str" cm="1">
        <f t="array" aca="1" ref="D109" ca="1">IFERROR(INDEX(_xlfn.ANCHORARRAY($AA$11),ROW()-10,4),"")</f>
        <v/>
      </c>
      <c r="E109" s="16" t="str" cm="1">
        <f t="array" aca="1" ref="E109" ca="1">IFERROR(INDEX(_xlfn.ANCHORARRAY($AA$11),ROW()-10,5),"")</f>
        <v/>
      </c>
      <c r="F109" s="16" t="str" cm="1">
        <f t="array" aca="1" ref="F109" ca="1">IFERROR(INDEX(_xlfn.ANCHORARRAY($AA$11),ROW()-10,6),"")</f>
        <v/>
      </c>
      <c r="G109" s="16" t="str" cm="1">
        <f t="array" aca="1" ref="G109" ca="1">IFERROR(INDEX(_xlfn.ANCHORARRAY($AA$11),ROW()-10,7),"")</f>
        <v/>
      </c>
      <c r="H109" s="16" t="str" cm="1">
        <f t="array" aca="1" ref="H109" ca="1">IFERROR(INDEX(_xlfn.ANCHORARRAY($AA$11),ROW()-10,8),"")</f>
        <v/>
      </c>
      <c r="I109" s="16" t="str" cm="1">
        <f t="array" aca="1" ref="I109" ca="1">IFERROR(INDEX(_xlfn.ANCHORARRAY($AA$11),ROW()-10,9),"")</f>
        <v/>
      </c>
      <c r="J109" s="16" t="str">
        <f t="shared" ca="1" si="9"/>
        <v/>
      </c>
      <c r="K109" s="16" t="str">
        <f t="shared" ca="1" si="10"/>
        <v/>
      </c>
      <c r="L109" s="16" t="str" cm="1">
        <f t="array" aca="1" ref="L109" ca="1">_xlfn.LET(_xlpm.link,IFERROR(INDEX(_xlfn.ANCHORARRAY($AA$11),ROW()-10,12),""),IF(_xlpm.link="","",HYPERLINK(_xlpm.link,"Bluecore/Attentive")))</f>
        <v/>
      </c>
      <c r="M109" s="60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55" t="str" cm="1">
        <f t="array" aca="1" ref="A110" ca="1">IFERROR(INDEX(_xlfn.ANCHORARRAY($AA$11),ROW()-10,1),"")</f>
        <v/>
      </c>
      <c r="B110" s="24" t="str" cm="1">
        <f t="array" aca="1" ref="B110" ca="1">IFERROR(INDEX(_xlfn.ANCHORARRAY($AA$11),ROW()-10,2),"")</f>
        <v/>
      </c>
      <c r="C110" s="16" t="str" cm="1">
        <f t="array" aca="1" ref="C110" ca="1">IFERROR(INDEX(_xlfn.ANCHORARRAY($AA$11),ROW()-10,3),"")</f>
        <v/>
      </c>
      <c r="D110" s="16" t="str" cm="1">
        <f t="array" aca="1" ref="D110" ca="1">IFERROR(INDEX(_xlfn.ANCHORARRAY($AA$11),ROW()-10,4),"")</f>
        <v/>
      </c>
      <c r="E110" s="16" t="str" cm="1">
        <f t="array" aca="1" ref="E110" ca="1">IFERROR(INDEX(_xlfn.ANCHORARRAY($AA$11),ROW()-10,5),"")</f>
        <v/>
      </c>
      <c r="F110" s="16" t="str" cm="1">
        <f t="array" aca="1" ref="F110" ca="1">IFERROR(INDEX(_xlfn.ANCHORARRAY($AA$11),ROW()-10,6),"")</f>
        <v/>
      </c>
      <c r="G110" s="16" t="str" cm="1">
        <f t="array" aca="1" ref="G110" ca="1">IFERROR(INDEX(_xlfn.ANCHORARRAY($AA$11),ROW()-10,7),"")</f>
        <v/>
      </c>
      <c r="H110" s="16" t="str" cm="1">
        <f t="array" aca="1" ref="H110" ca="1">IFERROR(INDEX(_xlfn.ANCHORARRAY($AA$11),ROW()-10,8),"")</f>
        <v/>
      </c>
      <c r="I110" s="16" t="str" cm="1">
        <f t="array" aca="1" ref="I110" ca="1">IFERROR(INDEX(_xlfn.ANCHORARRAY($AA$11),ROW()-10,9),"")</f>
        <v/>
      </c>
      <c r="J110" s="16" t="str">
        <f t="shared" ca="1" si="9"/>
        <v/>
      </c>
      <c r="K110" s="16" t="str">
        <f t="shared" ca="1" si="10"/>
        <v/>
      </c>
      <c r="L110" s="16" t="str" cm="1">
        <f t="array" aca="1" ref="L110" ca="1">_xlfn.LET(_xlpm.link,IFERROR(INDEX(_xlfn.ANCHORARRAY($AA$11),ROW()-10,12),""),IF(_xlpm.link="","",HYPERLINK(_xlpm.link,"Bluecore/Attentive")))</f>
        <v/>
      </c>
      <c r="M110" s="61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55" t="str" cm="1">
        <f t="array" aca="1" ref="A111" ca="1">IFERROR(INDEX(_xlfn.ANCHORARRAY($AA$11),ROW()-10,1),"")</f>
        <v/>
      </c>
      <c r="B111" s="24" t="str" cm="1">
        <f t="array" aca="1" ref="B111" ca="1">IFERROR(INDEX(_xlfn.ANCHORARRAY($AA$11),ROW()-10,2),"")</f>
        <v/>
      </c>
      <c r="C111" s="16" t="str" cm="1">
        <f t="array" aca="1" ref="C111" ca="1">IFERROR(INDEX(_xlfn.ANCHORARRAY($AA$11),ROW()-10,3),"")</f>
        <v/>
      </c>
      <c r="D111" s="16" t="str" cm="1">
        <f t="array" aca="1" ref="D111" ca="1">IFERROR(INDEX(_xlfn.ANCHORARRAY($AA$11),ROW()-10,4),"")</f>
        <v/>
      </c>
      <c r="E111" s="16" t="str" cm="1">
        <f t="array" aca="1" ref="E111" ca="1">IFERROR(INDEX(_xlfn.ANCHORARRAY($AA$11),ROW()-10,5),"")</f>
        <v/>
      </c>
      <c r="F111" s="16" t="str" cm="1">
        <f t="array" aca="1" ref="F111" ca="1">IFERROR(INDEX(_xlfn.ANCHORARRAY($AA$11),ROW()-10,6),"")</f>
        <v/>
      </c>
      <c r="G111" s="16" t="str" cm="1">
        <f t="array" aca="1" ref="G111" ca="1">IFERROR(INDEX(_xlfn.ANCHORARRAY($AA$11),ROW()-10,7),"")</f>
        <v/>
      </c>
      <c r="H111" s="16" t="str" cm="1">
        <f t="array" aca="1" ref="H111" ca="1">IFERROR(INDEX(_xlfn.ANCHORARRAY($AA$11),ROW()-10,8),"")</f>
        <v/>
      </c>
      <c r="I111" s="16" t="str" cm="1">
        <f t="array" aca="1" ref="I111" ca="1">IFERROR(INDEX(_xlfn.ANCHORARRAY($AA$11),ROW()-10,9),"")</f>
        <v/>
      </c>
      <c r="J111" s="16" t="str">
        <f t="shared" ca="1" si="9"/>
        <v/>
      </c>
      <c r="K111" s="16" t="str">
        <f t="shared" ca="1" si="10"/>
        <v/>
      </c>
      <c r="L111" s="16" t="str" cm="1">
        <f t="array" aca="1" ref="L111" ca="1">_xlfn.LET(_xlpm.link,IFERROR(INDEX(_xlfn.ANCHORARRAY($AA$11),ROW()-10,12),""),IF(_xlpm.link="","",HYPERLINK(_xlpm.link,"Bluecore/Attentive")))</f>
        <v/>
      </c>
      <c r="M111" s="60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55" t="str" cm="1">
        <f t="array" aca="1" ref="A112" ca="1">IFERROR(INDEX(_xlfn.ANCHORARRAY($AA$11),ROW()-10,1),"")</f>
        <v/>
      </c>
      <c r="B112" s="24" t="str" cm="1">
        <f t="array" aca="1" ref="B112" ca="1">IFERROR(INDEX(_xlfn.ANCHORARRAY($AA$11),ROW()-10,2),"")</f>
        <v/>
      </c>
      <c r="C112" s="16" t="str" cm="1">
        <f t="array" aca="1" ref="C112" ca="1">IFERROR(INDEX(_xlfn.ANCHORARRAY($AA$11),ROW()-10,3),"")</f>
        <v/>
      </c>
      <c r="D112" s="16" t="str" cm="1">
        <f t="array" aca="1" ref="D112" ca="1">IFERROR(INDEX(_xlfn.ANCHORARRAY($AA$11),ROW()-10,4),"")</f>
        <v/>
      </c>
      <c r="E112" s="16" t="str" cm="1">
        <f t="array" aca="1" ref="E112" ca="1">IFERROR(INDEX(_xlfn.ANCHORARRAY($AA$11),ROW()-10,5),"")</f>
        <v/>
      </c>
      <c r="F112" s="16" t="str" cm="1">
        <f t="array" aca="1" ref="F112" ca="1">IFERROR(INDEX(_xlfn.ANCHORARRAY($AA$11),ROW()-10,6),"")</f>
        <v/>
      </c>
      <c r="G112" s="16" t="str" cm="1">
        <f t="array" aca="1" ref="G112" ca="1">IFERROR(INDEX(_xlfn.ANCHORARRAY($AA$11),ROW()-10,7),"")</f>
        <v/>
      </c>
      <c r="H112" s="16" t="str" cm="1">
        <f t="array" aca="1" ref="H112" ca="1">IFERROR(INDEX(_xlfn.ANCHORARRAY($AA$11),ROW()-10,8),"")</f>
        <v/>
      </c>
      <c r="I112" s="16" t="str" cm="1">
        <f t="array" aca="1" ref="I112" ca="1">IFERROR(INDEX(_xlfn.ANCHORARRAY($AA$11),ROW()-10,9),"")</f>
        <v/>
      </c>
      <c r="J112" s="16" t="str">
        <f t="shared" ca="1" si="9"/>
        <v/>
      </c>
      <c r="K112" s="16" t="str">
        <f t="shared" ca="1" si="10"/>
        <v/>
      </c>
      <c r="L112" s="16" t="str" cm="1">
        <f t="array" aca="1" ref="L112" ca="1">_xlfn.LET(_xlpm.link,IFERROR(INDEX(_xlfn.ANCHORARRAY($AA$11),ROW()-10,12),""),IF(_xlpm.link="","",HYPERLINK(_xlpm.link,"Bluecore/Attentive")))</f>
        <v/>
      </c>
      <c r="M112" s="61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55" t="str" cm="1">
        <f t="array" aca="1" ref="A113" ca="1">IFERROR(INDEX(_xlfn.ANCHORARRAY($AA$11),ROW()-10,1),"")</f>
        <v/>
      </c>
      <c r="B113" s="24" t="str" cm="1">
        <f t="array" aca="1" ref="B113" ca="1">IFERROR(INDEX(_xlfn.ANCHORARRAY($AA$11),ROW()-10,2),"")</f>
        <v/>
      </c>
      <c r="C113" s="16" t="str" cm="1">
        <f t="array" aca="1" ref="C113" ca="1">IFERROR(INDEX(_xlfn.ANCHORARRAY($AA$11),ROW()-10,3),"")</f>
        <v/>
      </c>
      <c r="D113" s="16" t="str" cm="1">
        <f t="array" aca="1" ref="D113" ca="1">IFERROR(INDEX(_xlfn.ANCHORARRAY($AA$11),ROW()-10,4),"")</f>
        <v/>
      </c>
      <c r="E113" s="16" t="str" cm="1">
        <f t="array" aca="1" ref="E113" ca="1">IFERROR(INDEX(_xlfn.ANCHORARRAY($AA$11),ROW()-10,5),"")</f>
        <v/>
      </c>
      <c r="F113" s="16" t="str" cm="1">
        <f t="array" aca="1" ref="F113" ca="1">IFERROR(INDEX(_xlfn.ANCHORARRAY($AA$11),ROW()-10,6),"")</f>
        <v/>
      </c>
      <c r="G113" s="16" t="str" cm="1">
        <f t="array" aca="1" ref="G113" ca="1">IFERROR(INDEX(_xlfn.ANCHORARRAY($AA$11),ROW()-10,7),"")</f>
        <v/>
      </c>
      <c r="H113" s="16" t="str" cm="1">
        <f t="array" aca="1" ref="H113" ca="1">IFERROR(INDEX(_xlfn.ANCHORARRAY($AA$11),ROW()-10,8),"")</f>
        <v/>
      </c>
      <c r="I113" s="16" t="str" cm="1">
        <f t="array" aca="1" ref="I113" ca="1">IFERROR(INDEX(_xlfn.ANCHORARRAY($AA$11),ROW()-10,9),"")</f>
        <v/>
      </c>
      <c r="J113" s="16" t="str">
        <f t="shared" ca="1" si="9"/>
        <v/>
      </c>
      <c r="K113" s="16" t="str">
        <f t="shared" ca="1" si="10"/>
        <v/>
      </c>
      <c r="L113" s="16" t="str" cm="1">
        <f t="array" aca="1" ref="L113" ca="1">_xlfn.LET(_xlpm.link,IFERROR(INDEX(_xlfn.ANCHORARRAY($AA$11),ROW()-10,12),""),IF(_xlpm.link="","",HYPERLINK(_xlpm.link,"Bluecore/Attentive")))</f>
        <v/>
      </c>
      <c r="M113" s="60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55" t="str" cm="1">
        <f t="array" aca="1" ref="A114" ca="1">IFERROR(INDEX(_xlfn.ANCHORARRAY($AA$11),ROW()-10,1),"")</f>
        <v/>
      </c>
      <c r="B114" s="24" t="str" cm="1">
        <f t="array" aca="1" ref="B114" ca="1">IFERROR(INDEX(_xlfn.ANCHORARRAY($AA$11),ROW()-10,2),"")</f>
        <v/>
      </c>
      <c r="C114" s="16" t="str" cm="1">
        <f t="array" aca="1" ref="C114" ca="1">IFERROR(INDEX(_xlfn.ANCHORARRAY($AA$11),ROW()-10,3),"")</f>
        <v/>
      </c>
      <c r="D114" s="16" t="str" cm="1">
        <f t="array" aca="1" ref="D114" ca="1">IFERROR(INDEX(_xlfn.ANCHORARRAY($AA$11),ROW()-10,4),"")</f>
        <v/>
      </c>
      <c r="E114" s="16" t="str" cm="1">
        <f t="array" aca="1" ref="E114" ca="1">IFERROR(INDEX(_xlfn.ANCHORARRAY($AA$11),ROW()-10,5),"")</f>
        <v/>
      </c>
      <c r="F114" s="16" t="str" cm="1">
        <f t="array" aca="1" ref="F114" ca="1">IFERROR(INDEX(_xlfn.ANCHORARRAY($AA$11),ROW()-10,6),"")</f>
        <v/>
      </c>
      <c r="G114" s="16" t="str" cm="1">
        <f t="array" aca="1" ref="G114" ca="1">IFERROR(INDEX(_xlfn.ANCHORARRAY($AA$11),ROW()-10,7),"")</f>
        <v/>
      </c>
      <c r="H114" s="16" t="str" cm="1">
        <f t="array" aca="1" ref="H114" ca="1">IFERROR(INDEX(_xlfn.ANCHORARRAY($AA$11),ROW()-10,8),"")</f>
        <v/>
      </c>
      <c r="I114" s="16" t="str" cm="1">
        <f t="array" aca="1" ref="I114" ca="1">IFERROR(INDEX(_xlfn.ANCHORARRAY($AA$11),ROW()-10,9),"")</f>
        <v/>
      </c>
      <c r="J114" s="16" t="str">
        <f t="shared" ca="1" si="9"/>
        <v/>
      </c>
      <c r="K114" s="16" t="str">
        <f t="shared" ca="1" si="10"/>
        <v/>
      </c>
      <c r="L114" s="16" t="str" cm="1">
        <f t="array" aca="1" ref="L114" ca="1">_xlfn.LET(_xlpm.link,IFERROR(INDEX(_xlfn.ANCHORARRAY($AA$11),ROW()-10,12),""),IF(_xlpm.link="","",HYPERLINK(_xlpm.link,"Bluecore/Attentive")))</f>
        <v/>
      </c>
      <c r="M114" s="61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55" t="str" cm="1">
        <f t="array" aca="1" ref="A115" ca="1">IFERROR(INDEX(_xlfn.ANCHORARRAY($AA$11),ROW()-10,1),"")</f>
        <v/>
      </c>
      <c r="B115" s="24" t="str" cm="1">
        <f t="array" aca="1" ref="B115" ca="1">IFERROR(INDEX(_xlfn.ANCHORARRAY($AA$11),ROW()-10,2),"")</f>
        <v/>
      </c>
      <c r="C115" s="16" t="str" cm="1">
        <f t="array" aca="1" ref="C115" ca="1">IFERROR(INDEX(_xlfn.ANCHORARRAY($AA$11),ROW()-10,3),"")</f>
        <v/>
      </c>
      <c r="D115" s="16" t="str" cm="1">
        <f t="array" aca="1" ref="D115" ca="1">IFERROR(INDEX(_xlfn.ANCHORARRAY($AA$11),ROW()-10,4),"")</f>
        <v/>
      </c>
      <c r="E115" s="16" t="str" cm="1">
        <f t="array" aca="1" ref="E115" ca="1">IFERROR(INDEX(_xlfn.ANCHORARRAY($AA$11),ROW()-10,5),"")</f>
        <v/>
      </c>
      <c r="F115" s="16" t="str" cm="1">
        <f t="array" aca="1" ref="F115" ca="1">IFERROR(INDEX(_xlfn.ANCHORARRAY($AA$11),ROW()-10,6),"")</f>
        <v/>
      </c>
      <c r="G115" s="16" t="str" cm="1">
        <f t="array" aca="1" ref="G115" ca="1">IFERROR(INDEX(_xlfn.ANCHORARRAY($AA$11),ROW()-10,7),"")</f>
        <v/>
      </c>
      <c r="H115" s="16" t="str" cm="1">
        <f t="array" aca="1" ref="H115" ca="1">IFERROR(INDEX(_xlfn.ANCHORARRAY($AA$11),ROW()-10,8),"")</f>
        <v/>
      </c>
      <c r="I115" s="16" t="str" cm="1">
        <f t="array" aca="1" ref="I115" ca="1">IFERROR(INDEX(_xlfn.ANCHORARRAY($AA$11),ROW()-10,9),"")</f>
        <v/>
      </c>
      <c r="J115" s="16" t="str">
        <f t="shared" ca="1" si="9"/>
        <v/>
      </c>
      <c r="K115" s="16" t="str">
        <f t="shared" ca="1" si="10"/>
        <v/>
      </c>
      <c r="L115" s="16" t="str" cm="1">
        <f t="array" aca="1" ref="L115" ca="1">_xlfn.LET(_xlpm.link,IFERROR(INDEX(_xlfn.ANCHORARRAY($AA$11),ROW()-10,12),""),IF(_xlpm.link="","",HYPERLINK(_xlpm.link,"Bluecore/Attentive")))</f>
        <v/>
      </c>
      <c r="M115" s="60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55" t="str" cm="1">
        <f t="array" aca="1" ref="A116" ca="1">IFERROR(INDEX(_xlfn.ANCHORARRAY($AA$11),ROW()-10,1),"")</f>
        <v/>
      </c>
      <c r="B116" s="24" t="str" cm="1">
        <f t="array" aca="1" ref="B116" ca="1">IFERROR(INDEX(_xlfn.ANCHORARRAY($AA$11),ROW()-10,2),"")</f>
        <v/>
      </c>
      <c r="C116" s="16" t="str" cm="1">
        <f t="array" aca="1" ref="C116" ca="1">IFERROR(INDEX(_xlfn.ANCHORARRAY($AA$11),ROW()-10,3),"")</f>
        <v/>
      </c>
      <c r="D116" s="16" t="str" cm="1">
        <f t="array" aca="1" ref="D116" ca="1">IFERROR(INDEX(_xlfn.ANCHORARRAY($AA$11),ROW()-10,4),"")</f>
        <v/>
      </c>
      <c r="E116" s="16" t="str" cm="1">
        <f t="array" aca="1" ref="E116" ca="1">IFERROR(INDEX(_xlfn.ANCHORARRAY($AA$11),ROW()-10,5),"")</f>
        <v/>
      </c>
      <c r="F116" s="16" t="str" cm="1">
        <f t="array" aca="1" ref="F116" ca="1">IFERROR(INDEX(_xlfn.ANCHORARRAY($AA$11),ROW()-10,6),"")</f>
        <v/>
      </c>
      <c r="G116" s="16" t="str" cm="1">
        <f t="array" aca="1" ref="G116" ca="1">IFERROR(INDEX(_xlfn.ANCHORARRAY($AA$11),ROW()-10,7),"")</f>
        <v/>
      </c>
      <c r="H116" s="16" t="str" cm="1">
        <f t="array" aca="1" ref="H116" ca="1">IFERROR(INDEX(_xlfn.ANCHORARRAY($AA$11),ROW()-10,8),"")</f>
        <v/>
      </c>
      <c r="I116" s="16" t="str" cm="1">
        <f t="array" aca="1" ref="I116" ca="1">IFERROR(INDEX(_xlfn.ANCHORARRAY($AA$11),ROW()-10,9),"")</f>
        <v/>
      </c>
      <c r="J116" s="16" t="str">
        <f t="shared" ca="1" si="9"/>
        <v/>
      </c>
      <c r="K116" s="16" t="str">
        <f t="shared" ca="1" si="10"/>
        <v/>
      </c>
      <c r="L116" s="16" t="str" cm="1">
        <f t="array" aca="1" ref="L116" ca="1">_xlfn.LET(_xlpm.link,IFERROR(INDEX(_xlfn.ANCHORARRAY($AA$11),ROW()-10,12),""),IF(_xlpm.link="","",HYPERLINK(_xlpm.link,"Bluecore/Attentive")))</f>
        <v/>
      </c>
      <c r="M116" s="61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55" t="str" cm="1">
        <f t="array" aca="1" ref="A117" ca="1">IFERROR(INDEX(_xlfn.ANCHORARRAY($AA$11),ROW()-10,1),"")</f>
        <v/>
      </c>
      <c r="B117" s="24" t="str" cm="1">
        <f t="array" aca="1" ref="B117" ca="1">IFERROR(INDEX(_xlfn.ANCHORARRAY($AA$11),ROW()-10,2),"")</f>
        <v/>
      </c>
      <c r="C117" s="16" t="str" cm="1">
        <f t="array" aca="1" ref="C117" ca="1">IFERROR(INDEX(_xlfn.ANCHORARRAY($AA$11),ROW()-10,3),"")</f>
        <v/>
      </c>
      <c r="D117" s="16" t="str" cm="1">
        <f t="array" aca="1" ref="D117" ca="1">IFERROR(INDEX(_xlfn.ANCHORARRAY($AA$11),ROW()-10,4),"")</f>
        <v/>
      </c>
      <c r="E117" s="16" t="str" cm="1">
        <f t="array" aca="1" ref="E117" ca="1">IFERROR(INDEX(_xlfn.ANCHORARRAY($AA$11),ROW()-10,5),"")</f>
        <v/>
      </c>
      <c r="F117" s="16" t="str" cm="1">
        <f t="array" aca="1" ref="F117" ca="1">IFERROR(INDEX(_xlfn.ANCHORARRAY($AA$11),ROW()-10,6),"")</f>
        <v/>
      </c>
      <c r="G117" s="16" t="str" cm="1">
        <f t="array" aca="1" ref="G117" ca="1">IFERROR(INDEX(_xlfn.ANCHORARRAY($AA$11),ROW()-10,7),"")</f>
        <v/>
      </c>
      <c r="H117" s="16" t="str" cm="1">
        <f t="array" aca="1" ref="H117" ca="1">IFERROR(INDEX(_xlfn.ANCHORARRAY($AA$11),ROW()-10,8),"")</f>
        <v/>
      </c>
      <c r="I117" s="16" t="str" cm="1">
        <f t="array" aca="1" ref="I117" ca="1">IFERROR(INDEX(_xlfn.ANCHORARRAY($AA$11),ROW()-10,9),"")</f>
        <v/>
      </c>
      <c r="J117" s="16" t="str">
        <f t="shared" ca="1" si="9"/>
        <v/>
      </c>
      <c r="K117" s="16" t="str">
        <f t="shared" ca="1" si="10"/>
        <v/>
      </c>
      <c r="L117" s="16" t="str" cm="1">
        <f t="array" aca="1" ref="L117" ca="1">_xlfn.LET(_xlpm.link,IFERROR(INDEX(_xlfn.ANCHORARRAY($AA$11),ROW()-10,12),""),IF(_xlpm.link="","",HYPERLINK(_xlpm.link,"Bluecore/Attentive")))</f>
        <v/>
      </c>
      <c r="M117" s="60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55" t="str" cm="1">
        <f t="array" aca="1" ref="A118" ca="1">IFERROR(INDEX(_xlfn.ANCHORARRAY($AA$11),ROW()-10,1),"")</f>
        <v/>
      </c>
      <c r="B118" s="24" t="str" cm="1">
        <f t="array" aca="1" ref="B118" ca="1">IFERROR(INDEX(_xlfn.ANCHORARRAY($AA$11),ROW()-10,2),"")</f>
        <v/>
      </c>
      <c r="C118" s="16" t="str" cm="1">
        <f t="array" aca="1" ref="C118" ca="1">IFERROR(INDEX(_xlfn.ANCHORARRAY($AA$11),ROW()-10,3),"")</f>
        <v/>
      </c>
      <c r="D118" s="16" t="str" cm="1">
        <f t="array" aca="1" ref="D118" ca="1">IFERROR(INDEX(_xlfn.ANCHORARRAY($AA$11),ROW()-10,4),"")</f>
        <v/>
      </c>
      <c r="E118" s="16" t="str" cm="1">
        <f t="array" aca="1" ref="E118" ca="1">IFERROR(INDEX(_xlfn.ANCHORARRAY($AA$11),ROW()-10,5),"")</f>
        <v/>
      </c>
      <c r="F118" s="16" t="str" cm="1">
        <f t="array" aca="1" ref="F118" ca="1">IFERROR(INDEX(_xlfn.ANCHORARRAY($AA$11),ROW()-10,6),"")</f>
        <v/>
      </c>
      <c r="G118" s="16" t="str" cm="1">
        <f t="array" aca="1" ref="G118" ca="1">IFERROR(INDEX(_xlfn.ANCHORARRAY($AA$11),ROW()-10,7),"")</f>
        <v/>
      </c>
      <c r="H118" s="16" t="str" cm="1">
        <f t="array" aca="1" ref="H118" ca="1">IFERROR(INDEX(_xlfn.ANCHORARRAY($AA$11),ROW()-10,8),"")</f>
        <v/>
      </c>
      <c r="I118" s="16" t="str" cm="1">
        <f t="array" aca="1" ref="I118" ca="1">IFERROR(INDEX(_xlfn.ANCHORARRAY($AA$11),ROW()-10,9),"")</f>
        <v/>
      </c>
      <c r="J118" s="16" t="str">
        <f t="shared" ca="1" si="9"/>
        <v/>
      </c>
      <c r="K118" s="16" t="str">
        <f t="shared" ca="1" si="10"/>
        <v/>
      </c>
      <c r="L118" s="16" t="str" cm="1">
        <f t="array" aca="1" ref="L118" ca="1">_xlfn.LET(_xlpm.link,IFERROR(INDEX(_xlfn.ANCHORARRAY($AA$11),ROW()-10,12),""),IF(_xlpm.link="","",HYPERLINK(_xlpm.link,"Bluecore/Attentive")))</f>
        <v/>
      </c>
      <c r="M118" s="61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55" t="str" cm="1">
        <f t="array" aca="1" ref="A119" ca="1">IFERROR(INDEX(_xlfn.ANCHORARRAY($AA$11),ROW()-10,1),"")</f>
        <v/>
      </c>
      <c r="B119" s="24" t="str" cm="1">
        <f t="array" aca="1" ref="B119" ca="1">IFERROR(INDEX(_xlfn.ANCHORARRAY($AA$11),ROW()-10,2),"")</f>
        <v/>
      </c>
      <c r="C119" s="16" t="str" cm="1">
        <f t="array" aca="1" ref="C119" ca="1">IFERROR(INDEX(_xlfn.ANCHORARRAY($AA$11),ROW()-10,3),"")</f>
        <v/>
      </c>
      <c r="D119" s="16" t="str" cm="1">
        <f t="array" aca="1" ref="D119" ca="1">IFERROR(INDEX(_xlfn.ANCHORARRAY($AA$11),ROW()-10,4),"")</f>
        <v/>
      </c>
      <c r="E119" s="16" t="str" cm="1">
        <f t="array" aca="1" ref="E119" ca="1">IFERROR(INDEX(_xlfn.ANCHORARRAY($AA$11),ROW()-10,5),"")</f>
        <v/>
      </c>
      <c r="F119" s="16" t="str" cm="1">
        <f t="array" aca="1" ref="F119" ca="1">IFERROR(INDEX(_xlfn.ANCHORARRAY($AA$11),ROW()-10,6),"")</f>
        <v/>
      </c>
      <c r="G119" s="16" t="str" cm="1">
        <f t="array" aca="1" ref="G119" ca="1">IFERROR(INDEX(_xlfn.ANCHORARRAY($AA$11),ROW()-10,7),"")</f>
        <v/>
      </c>
      <c r="H119" s="16" t="str" cm="1">
        <f t="array" aca="1" ref="H119" ca="1">IFERROR(INDEX(_xlfn.ANCHORARRAY($AA$11),ROW()-10,8),"")</f>
        <v/>
      </c>
      <c r="I119" s="16" t="str" cm="1">
        <f t="array" aca="1" ref="I119" ca="1">IFERROR(INDEX(_xlfn.ANCHORARRAY($AA$11),ROW()-10,9),"")</f>
        <v/>
      </c>
      <c r="J119" s="16" t="str">
        <f t="shared" ca="1" si="9"/>
        <v/>
      </c>
      <c r="K119" s="16" t="str">
        <f t="shared" ca="1" si="10"/>
        <v/>
      </c>
      <c r="L119" s="16" t="str" cm="1">
        <f t="array" aca="1" ref="L119" ca="1">_xlfn.LET(_xlpm.link,IFERROR(INDEX(_xlfn.ANCHORARRAY($AA$11),ROW()-10,12),""),IF(_xlpm.link="","",HYPERLINK(_xlpm.link,"Bluecore/Attentive")))</f>
        <v/>
      </c>
      <c r="M119" s="60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55" t="str" cm="1">
        <f t="array" aca="1" ref="A120" ca="1">IFERROR(INDEX(_xlfn.ANCHORARRAY($AA$11),ROW()-10,1),"")</f>
        <v/>
      </c>
      <c r="B120" s="24" t="str" cm="1">
        <f t="array" aca="1" ref="B120" ca="1">IFERROR(INDEX(_xlfn.ANCHORARRAY($AA$11),ROW()-10,2),"")</f>
        <v/>
      </c>
      <c r="C120" s="16" t="str" cm="1">
        <f t="array" aca="1" ref="C120" ca="1">IFERROR(INDEX(_xlfn.ANCHORARRAY($AA$11),ROW()-10,3),"")</f>
        <v/>
      </c>
      <c r="D120" s="16" t="str" cm="1">
        <f t="array" aca="1" ref="D120" ca="1">IFERROR(INDEX(_xlfn.ANCHORARRAY($AA$11),ROW()-10,4),"")</f>
        <v/>
      </c>
      <c r="E120" s="16" t="str" cm="1">
        <f t="array" aca="1" ref="E120" ca="1">IFERROR(INDEX(_xlfn.ANCHORARRAY($AA$11),ROW()-10,5),"")</f>
        <v/>
      </c>
      <c r="F120" s="16" t="str" cm="1">
        <f t="array" aca="1" ref="F120" ca="1">IFERROR(INDEX(_xlfn.ANCHORARRAY($AA$11),ROW()-10,6),"")</f>
        <v/>
      </c>
      <c r="G120" s="16" t="str" cm="1">
        <f t="array" aca="1" ref="G120" ca="1">IFERROR(INDEX(_xlfn.ANCHORARRAY($AA$11),ROW()-10,7),"")</f>
        <v/>
      </c>
      <c r="H120" s="16" t="str" cm="1">
        <f t="array" aca="1" ref="H120" ca="1">IFERROR(INDEX(_xlfn.ANCHORARRAY($AA$11),ROW()-10,8),"")</f>
        <v/>
      </c>
      <c r="I120" s="16" t="str" cm="1">
        <f t="array" aca="1" ref="I120" ca="1">IFERROR(INDEX(_xlfn.ANCHORARRAY($AA$11),ROW()-10,9),"")</f>
        <v/>
      </c>
      <c r="J120" s="16" t="str">
        <f t="shared" ca="1" si="9"/>
        <v/>
      </c>
      <c r="K120" s="16" t="str">
        <f t="shared" ca="1" si="10"/>
        <v/>
      </c>
      <c r="L120" s="16" t="str" cm="1">
        <f t="array" aca="1" ref="L120" ca="1">_xlfn.LET(_xlpm.link,IFERROR(INDEX(_xlfn.ANCHORARRAY($AA$11),ROW()-10,12),""),IF(_xlpm.link="","",HYPERLINK(_xlpm.link,"Bluecore/Attentive")))</f>
        <v/>
      </c>
      <c r="M120" s="61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55" t="str" cm="1">
        <f t="array" aca="1" ref="A121" ca="1">IFERROR(INDEX(_xlfn.ANCHORARRAY($AA$11),ROW()-10,1),"")</f>
        <v/>
      </c>
      <c r="B121" s="24" t="str" cm="1">
        <f t="array" aca="1" ref="B121" ca="1">IFERROR(INDEX(_xlfn.ANCHORARRAY($AA$11),ROW()-10,2),"")</f>
        <v/>
      </c>
      <c r="C121" s="16" t="str" cm="1">
        <f t="array" aca="1" ref="C121" ca="1">IFERROR(INDEX(_xlfn.ANCHORARRAY($AA$11),ROW()-10,3),"")</f>
        <v/>
      </c>
      <c r="D121" s="16" t="str" cm="1">
        <f t="array" aca="1" ref="D121" ca="1">IFERROR(INDEX(_xlfn.ANCHORARRAY($AA$11),ROW()-10,4),"")</f>
        <v/>
      </c>
      <c r="E121" s="16" t="str" cm="1">
        <f t="array" aca="1" ref="E121" ca="1">IFERROR(INDEX(_xlfn.ANCHORARRAY($AA$11),ROW()-10,5),"")</f>
        <v/>
      </c>
      <c r="F121" s="16" t="str" cm="1">
        <f t="array" aca="1" ref="F121" ca="1">IFERROR(INDEX(_xlfn.ANCHORARRAY($AA$11),ROW()-10,6),"")</f>
        <v/>
      </c>
      <c r="G121" s="16" t="str" cm="1">
        <f t="array" aca="1" ref="G121" ca="1">IFERROR(INDEX(_xlfn.ANCHORARRAY($AA$11),ROW()-10,7),"")</f>
        <v/>
      </c>
      <c r="H121" s="16" t="str" cm="1">
        <f t="array" aca="1" ref="H121" ca="1">IFERROR(INDEX(_xlfn.ANCHORARRAY($AA$11),ROW()-10,8),"")</f>
        <v/>
      </c>
      <c r="I121" s="16" t="str" cm="1">
        <f t="array" aca="1" ref="I121" ca="1">IFERROR(INDEX(_xlfn.ANCHORARRAY($AA$11),ROW()-10,9),"")</f>
        <v/>
      </c>
      <c r="J121" s="16" t="str">
        <f t="shared" ca="1" si="9"/>
        <v/>
      </c>
      <c r="K121" s="16" t="str">
        <f t="shared" ca="1" si="10"/>
        <v/>
      </c>
      <c r="L121" s="16" t="str" cm="1">
        <f t="array" aca="1" ref="L121" ca="1">_xlfn.LET(_xlpm.link,IFERROR(INDEX(_xlfn.ANCHORARRAY($AA$11),ROW()-10,12),""),IF(_xlpm.link="","",HYPERLINK(_xlpm.link,"Bluecore/Attentive")))</f>
        <v/>
      </c>
      <c r="M121" s="60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55" t="str" cm="1">
        <f t="array" aca="1" ref="A122" ca="1">IFERROR(INDEX(_xlfn.ANCHORARRAY($AA$11),ROW()-10,1),"")</f>
        <v/>
      </c>
      <c r="B122" s="24" t="str" cm="1">
        <f t="array" aca="1" ref="B122" ca="1">IFERROR(INDEX(_xlfn.ANCHORARRAY($AA$11),ROW()-10,2),"")</f>
        <v/>
      </c>
      <c r="C122" s="16" t="str" cm="1">
        <f t="array" aca="1" ref="C122" ca="1">IFERROR(INDEX(_xlfn.ANCHORARRAY($AA$11),ROW()-10,3),"")</f>
        <v/>
      </c>
      <c r="D122" s="16" t="str" cm="1">
        <f t="array" aca="1" ref="D122" ca="1">IFERROR(INDEX(_xlfn.ANCHORARRAY($AA$11),ROW()-10,4),"")</f>
        <v/>
      </c>
      <c r="E122" s="16" t="str" cm="1">
        <f t="array" aca="1" ref="E122" ca="1">IFERROR(INDEX(_xlfn.ANCHORARRAY($AA$11),ROW()-10,5),"")</f>
        <v/>
      </c>
      <c r="F122" s="16" t="str" cm="1">
        <f t="array" aca="1" ref="F122" ca="1">IFERROR(INDEX(_xlfn.ANCHORARRAY($AA$11),ROW()-10,6),"")</f>
        <v/>
      </c>
      <c r="G122" s="16" t="str" cm="1">
        <f t="array" aca="1" ref="G122" ca="1">IFERROR(INDEX(_xlfn.ANCHORARRAY($AA$11),ROW()-10,7),"")</f>
        <v/>
      </c>
      <c r="H122" s="16" t="str" cm="1">
        <f t="array" aca="1" ref="H122" ca="1">IFERROR(INDEX(_xlfn.ANCHORARRAY($AA$11),ROW()-10,8),"")</f>
        <v/>
      </c>
      <c r="I122" s="16" t="str" cm="1">
        <f t="array" aca="1" ref="I122" ca="1">IFERROR(INDEX(_xlfn.ANCHORARRAY($AA$11),ROW()-10,9),"")</f>
        <v/>
      </c>
      <c r="J122" s="16" t="str">
        <f t="shared" ca="1" si="9"/>
        <v/>
      </c>
      <c r="K122" s="16" t="str">
        <f t="shared" ca="1" si="10"/>
        <v/>
      </c>
      <c r="L122" s="16" t="str" cm="1">
        <f t="array" aca="1" ref="L122" ca="1">_xlfn.LET(_xlpm.link,IFERROR(INDEX(_xlfn.ANCHORARRAY($AA$11),ROW()-10,12),""),IF(_xlpm.link="","",HYPERLINK(_xlpm.link,"Bluecore/Attentive")))</f>
        <v/>
      </c>
      <c r="M122" s="61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55" t="str" cm="1">
        <f t="array" aca="1" ref="A123" ca="1">IFERROR(INDEX(_xlfn.ANCHORARRAY($AA$11),ROW()-10,1),"")</f>
        <v/>
      </c>
      <c r="B123" s="24" t="str" cm="1">
        <f t="array" aca="1" ref="B123" ca="1">IFERROR(INDEX(_xlfn.ANCHORARRAY($AA$11),ROW()-10,2),"")</f>
        <v/>
      </c>
      <c r="C123" s="16" t="str" cm="1">
        <f t="array" aca="1" ref="C123" ca="1">IFERROR(INDEX(_xlfn.ANCHORARRAY($AA$11),ROW()-10,3),"")</f>
        <v/>
      </c>
      <c r="D123" s="16" t="str" cm="1">
        <f t="array" aca="1" ref="D123" ca="1">IFERROR(INDEX(_xlfn.ANCHORARRAY($AA$11),ROW()-10,4),"")</f>
        <v/>
      </c>
      <c r="E123" s="16" t="str" cm="1">
        <f t="array" aca="1" ref="E123" ca="1">IFERROR(INDEX(_xlfn.ANCHORARRAY($AA$11),ROW()-10,5),"")</f>
        <v/>
      </c>
      <c r="F123" s="16" t="str" cm="1">
        <f t="array" aca="1" ref="F123" ca="1">IFERROR(INDEX(_xlfn.ANCHORARRAY($AA$11),ROW()-10,6),"")</f>
        <v/>
      </c>
      <c r="G123" s="16" t="str" cm="1">
        <f t="array" aca="1" ref="G123" ca="1">IFERROR(INDEX(_xlfn.ANCHORARRAY($AA$11),ROW()-10,7),"")</f>
        <v/>
      </c>
      <c r="H123" s="16" t="str" cm="1">
        <f t="array" aca="1" ref="H123" ca="1">IFERROR(INDEX(_xlfn.ANCHORARRAY($AA$11),ROW()-10,8),"")</f>
        <v/>
      </c>
      <c r="I123" s="16" t="str" cm="1">
        <f t="array" aca="1" ref="I123" ca="1">IFERROR(INDEX(_xlfn.ANCHORARRAY($AA$11),ROW()-10,9),"")</f>
        <v/>
      </c>
      <c r="J123" s="16" t="str">
        <f t="shared" ca="1" si="9"/>
        <v/>
      </c>
      <c r="K123" s="16" t="str">
        <f t="shared" ca="1" si="10"/>
        <v/>
      </c>
      <c r="L123" s="16" t="str" cm="1">
        <f t="array" aca="1" ref="L123" ca="1">_xlfn.LET(_xlpm.link,IFERROR(INDEX(_xlfn.ANCHORARRAY($AA$11),ROW()-10,12),""),IF(_xlpm.link="","",HYPERLINK(_xlpm.link,"Bluecore/Attentive")))</f>
        <v/>
      </c>
      <c r="M123" s="60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55" t="str" cm="1">
        <f t="array" aca="1" ref="A124" ca="1">IFERROR(INDEX(_xlfn.ANCHORARRAY($AA$11),ROW()-10,1),"")</f>
        <v/>
      </c>
      <c r="B124" s="24" t="str" cm="1">
        <f t="array" aca="1" ref="B124" ca="1">IFERROR(INDEX(_xlfn.ANCHORARRAY($AA$11),ROW()-10,2),"")</f>
        <v/>
      </c>
      <c r="C124" s="16" t="str" cm="1">
        <f t="array" aca="1" ref="C124" ca="1">IFERROR(INDEX(_xlfn.ANCHORARRAY($AA$11),ROW()-10,3),"")</f>
        <v/>
      </c>
      <c r="D124" s="16" t="str" cm="1">
        <f t="array" aca="1" ref="D124" ca="1">IFERROR(INDEX(_xlfn.ANCHORARRAY($AA$11),ROW()-10,4),"")</f>
        <v/>
      </c>
      <c r="E124" s="16" t="str" cm="1">
        <f t="array" aca="1" ref="E124" ca="1">IFERROR(INDEX(_xlfn.ANCHORARRAY($AA$11),ROW()-10,5),"")</f>
        <v/>
      </c>
      <c r="F124" s="16" t="str" cm="1">
        <f t="array" aca="1" ref="F124" ca="1">IFERROR(INDEX(_xlfn.ANCHORARRAY($AA$11),ROW()-10,6),"")</f>
        <v/>
      </c>
      <c r="G124" s="16" t="str" cm="1">
        <f t="array" aca="1" ref="G124" ca="1">IFERROR(INDEX(_xlfn.ANCHORARRAY($AA$11),ROW()-10,7),"")</f>
        <v/>
      </c>
      <c r="H124" s="16" t="str" cm="1">
        <f t="array" aca="1" ref="H124" ca="1">IFERROR(INDEX(_xlfn.ANCHORARRAY($AA$11),ROW()-10,8),"")</f>
        <v/>
      </c>
      <c r="I124" s="16" t="str" cm="1">
        <f t="array" aca="1" ref="I124" ca="1">IFERROR(INDEX(_xlfn.ANCHORARRAY($AA$11),ROW()-10,9),"")</f>
        <v/>
      </c>
      <c r="J124" s="16" t="str">
        <f t="shared" ca="1" si="9"/>
        <v/>
      </c>
      <c r="K124" s="16" t="str">
        <f t="shared" ca="1" si="10"/>
        <v/>
      </c>
      <c r="L124" s="16" t="str" cm="1">
        <f t="array" aca="1" ref="L124" ca="1">_xlfn.LET(_xlpm.link,IFERROR(INDEX(_xlfn.ANCHORARRAY($AA$11),ROW()-10,12),""),IF(_xlpm.link="","",HYPERLINK(_xlpm.link,"Bluecore/Attentive")))</f>
        <v/>
      </c>
      <c r="M124" s="61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55" t="str" cm="1">
        <f t="array" aca="1" ref="A125" ca="1">IFERROR(INDEX(_xlfn.ANCHORARRAY($AA$11),ROW()-10,1),"")</f>
        <v/>
      </c>
      <c r="B125" s="24" t="str" cm="1">
        <f t="array" aca="1" ref="B125" ca="1">IFERROR(INDEX(_xlfn.ANCHORARRAY($AA$11),ROW()-10,2),"")</f>
        <v/>
      </c>
      <c r="C125" s="16" t="str" cm="1">
        <f t="array" aca="1" ref="C125" ca="1">IFERROR(INDEX(_xlfn.ANCHORARRAY($AA$11),ROW()-10,3),"")</f>
        <v/>
      </c>
      <c r="D125" s="16" t="str" cm="1">
        <f t="array" aca="1" ref="D125" ca="1">IFERROR(INDEX(_xlfn.ANCHORARRAY($AA$11),ROW()-10,4),"")</f>
        <v/>
      </c>
      <c r="E125" s="16" t="str" cm="1">
        <f t="array" aca="1" ref="E125" ca="1">IFERROR(INDEX(_xlfn.ANCHORARRAY($AA$11),ROW()-10,5),"")</f>
        <v/>
      </c>
      <c r="F125" s="16" t="str" cm="1">
        <f t="array" aca="1" ref="F125" ca="1">IFERROR(INDEX(_xlfn.ANCHORARRAY($AA$11),ROW()-10,6),"")</f>
        <v/>
      </c>
      <c r="G125" s="16" t="str" cm="1">
        <f t="array" aca="1" ref="G125" ca="1">IFERROR(INDEX(_xlfn.ANCHORARRAY($AA$11),ROW()-10,7),"")</f>
        <v/>
      </c>
      <c r="H125" s="16" t="str" cm="1">
        <f t="array" aca="1" ref="H125" ca="1">IFERROR(INDEX(_xlfn.ANCHORARRAY($AA$11),ROW()-10,8),"")</f>
        <v/>
      </c>
      <c r="I125" s="16" t="str" cm="1">
        <f t="array" aca="1" ref="I125" ca="1">IFERROR(INDEX(_xlfn.ANCHORARRAY($AA$11),ROW()-10,9),"")</f>
        <v/>
      </c>
      <c r="J125" s="16" t="str">
        <f t="shared" ca="1" si="9"/>
        <v/>
      </c>
      <c r="K125" s="16" t="str">
        <f t="shared" ca="1" si="10"/>
        <v/>
      </c>
      <c r="L125" s="16" t="str" cm="1">
        <f t="array" aca="1" ref="L125" ca="1">_xlfn.LET(_xlpm.link,IFERROR(INDEX(_xlfn.ANCHORARRAY($AA$11),ROW()-10,12),""),IF(_xlpm.link="","",HYPERLINK(_xlpm.link,"Bluecore/Attentive")))</f>
        <v/>
      </c>
      <c r="M125" s="60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55" t="str" cm="1">
        <f t="array" aca="1" ref="A126" ca="1">IFERROR(INDEX(_xlfn.ANCHORARRAY($AA$11),ROW()-10,1),"")</f>
        <v/>
      </c>
      <c r="B126" s="24" t="str" cm="1">
        <f t="array" aca="1" ref="B126" ca="1">IFERROR(INDEX(_xlfn.ANCHORARRAY($AA$11),ROW()-10,2),"")</f>
        <v/>
      </c>
      <c r="C126" s="16" t="str" cm="1">
        <f t="array" aca="1" ref="C126" ca="1">IFERROR(INDEX(_xlfn.ANCHORARRAY($AA$11),ROW()-10,3),"")</f>
        <v/>
      </c>
      <c r="D126" s="16" t="str" cm="1">
        <f t="array" aca="1" ref="D126" ca="1">IFERROR(INDEX(_xlfn.ANCHORARRAY($AA$11),ROW()-10,4),"")</f>
        <v/>
      </c>
      <c r="E126" s="16" t="str" cm="1">
        <f t="array" aca="1" ref="E126" ca="1">IFERROR(INDEX(_xlfn.ANCHORARRAY($AA$11),ROW()-10,5),"")</f>
        <v/>
      </c>
      <c r="F126" s="16" t="str" cm="1">
        <f t="array" aca="1" ref="F126" ca="1">IFERROR(INDEX(_xlfn.ANCHORARRAY($AA$11),ROW()-10,6),"")</f>
        <v/>
      </c>
      <c r="G126" s="16" t="str" cm="1">
        <f t="array" aca="1" ref="G126" ca="1">IFERROR(INDEX(_xlfn.ANCHORARRAY($AA$11),ROW()-10,7),"")</f>
        <v/>
      </c>
      <c r="H126" s="16" t="str" cm="1">
        <f t="array" aca="1" ref="H126" ca="1">IFERROR(INDEX(_xlfn.ANCHORARRAY($AA$11),ROW()-10,8),"")</f>
        <v/>
      </c>
      <c r="I126" s="16" t="str" cm="1">
        <f t="array" aca="1" ref="I126" ca="1">IFERROR(INDEX(_xlfn.ANCHORARRAY($AA$11),ROW()-10,9),"")</f>
        <v/>
      </c>
      <c r="J126" s="16" t="str">
        <f t="shared" ca="1" si="9"/>
        <v/>
      </c>
      <c r="K126" s="16" t="str">
        <f t="shared" ca="1" si="10"/>
        <v/>
      </c>
      <c r="L126" s="16" t="str" cm="1">
        <f t="array" aca="1" ref="L126" ca="1">_xlfn.LET(_xlpm.link,IFERROR(INDEX(_xlfn.ANCHORARRAY($AA$11),ROW()-10,12),""),IF(_xlpm.link="","",HYPERLINK(_xlpm.link,"Bluecore/Attentive")))</f>
        <v/>
      </c>
      <c r="M126" s="61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55" t="str" cm="1">
        <f t="array" aca="1" ref="A127" ca="1">IFERROR(INDEX(_xlfn.ANCHORARRAY($AA$11),ROW()-10,1),"")</f>
        <v/>
      </c>
      <c r="B127" s="24" t="str" cm="1">
        <f t="array" aca="1" ref="B127" ca="1">IFERROR(INDEX(_xlfn.ANCHORARRAY($AA$11),ROW()-10,2),"")</f>
        <v/>
      </c>
      <c r="C127" s="16" t="str" cm="1">
        <f t="array" aca="1" ref="C127" ca="1">IFERROR(INDEX(_xlfn.ANCHORARRAY($AA$11),ROW()-10,3),"")</f>
        <v/>
      </c>
      <c r="D127" s="16" t="str" cm="1">
        <f t="array" aca="1" ref="D127" ca="1">IFERROR(INDEX(_xlfn.ANCHORARRAY($AA$11),ROW()-10,4),"")</f>
        <v/>
      </c>
      <c r="E127" s="16" t="str" cm="1">
        <f t="array" aca="1" ref="E127" ca="1">IFERROR(INDEX(_xlfn.ANCHORARRAY($AA$11),ROW()-10,5),"")</f>
        <v/>
      </c>
      <c r="F127" s="16" t="str" cm="1">
        <f t="array" aca="1" ref="F127" ca="1">IFERROR(INDEX(_xlfn.ANCHORARRAY($AA$11),ROW()-10,6),"")</f>
        <v/>
      </c>
      <c r="G127" s="16" t="str" cm="1">
        <f t="array" aca="1" ref="G127" ca="1">IFERROR(INDEX(_xlfn.ANCHORARRAY($AA$11),ROW()-10,7),"")</f>
        <v/>
      </c>
      <c r="H127" s="16" t="str" cm="1">
        <f t="array" aca="1" ref="H127" ca="1">IFERROR(INDEX(_xlfn.ANCHORARRAY($AA$11),ROW()-10,8),"")</f>
        <v/>
      </c>
      <c r="I127" s="16" t="str" cm="1">
        <f t="array" aca="1" ref="I127" ca="1">IFERROR(INDEX(_xlfn.ANCHORARRAY($AA$11),ROW()-10,9),"")</f>
        <v/>
      </c>
      <c r="J127" s="16" t="str">
        <f t="shared" ca="1" si="9"/>
        <v/>
      </c>
      <c r="K127" s="16" t="str">
        <f t="shared" ca="1" si="10"/>
        <v/>
      </c>
      <c r="L127" s="16" t="str" cm="1">
        <f t="array" aca="1" ref="L127" ca="1">_xlfn.LET(_xlpm.link,IFERROR(INDEX(_xlfn.ANCHORARRAY($AA$11),ROW()-10,12),""),IF(_xlpm.link="","",HYPERLINK(_xlpm.link,"Bluecore/Attentive")))</f>
        <v/>
      </c>
      <c r="M127" s="60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55" t="str" cm="1">
        <f t="array" aca="1" ref="A128" ca="1">IFERROR(INDEX(_xlfn.ANCHORARRAY($AA$11),ROW()-10,1),"")</f>
        <v/>
      </c>
      <c r="B128" s="24" t="str" cm="1">
        <f t="array" aca="1" ref="B128" ca="1">IFERROR(INDEX(_xlfn.ANCHORARRAY($AA$11),ROW()-10,2),"")</f>
        <v/>
      </c>
      <c r="C128" s="16" t="str" cm="1">
        <f t="array" aca="1" ref="C128" ca="1">IFERROR(INDEX(_xlfn.ANCHORARRAY($AA$11),ROW()-10,3),"")</f>
        <v/>
      </c>
      <c r="D128" s="16" t="str" cm="1">
        <f t="array" aca="1" ref="D128" ca="1">IFERROR(INDEX(_xlfn.ANCHORARRAY($AA$11),ROW()-10,4),"")</f>
        <v/>
      </c>
      <c r="E128" s="16" t="str" cm="1">
        <f t="array" aca="1" ref="E128" ca="1">IFERROR(INDEX(_xlfn.ANCHORARRAY($AA$11),ROW()-10,5),"")</f>
        <v/>
      </c>
      <c r="F128" s="16" t="str" cm="1">
        <f t="array" aca="1" ref="F128" ca="1">IFERROR(INDEX(_xlfn.ANCHORARRAY($AA$11),ROW()-10,6),"")</f>
        <v/>
      </c>
      <c r="G128" s="16" t="str" cm="1">
        <f t="array" aca="1" ref="G128" ca="1">IFERROR(INDEX(_xlfn.ANCHORARRAY($AA$11),ROW()-10,7),"")</f>
        <v/>
      </c>
      <c r="H128" s="16" t="str" cm="1">
        <f t="array" aca="1" ref="H128" ca="1">IFERROR(INDEX(_xlfn.ANCHORARRAY($AA$11),ROW()-10,8),"")</f>
        <v/>
      </c>
      <c r="I128" s="16" t="str" cm="1">
        <f t="array" aca="1" ref="I128" ca="1">IFERROR(INDEX(_xlfn.ANCHORARRAY($AA$11),ROW()-10,9),"")</f>
        <v/>
      </c>
      <c r="J128" s="16" t="str">
        <f t="shared" ca="1" si="9"/>
        <v/>
      </c>
      <c r="K128" s="16" t="str">
        <f t="shared" ca="1" si="10"/>
        <v/>
      </c>
      <c r="L128" s="16" t="str" cm="1">
        <f t="array" aca="1" ref="L128" ca="1">_xlfn.LET(_xlpm.link,IFERROR(INDEX(_xlfn.ANCHORARRAY($AA$11),ROW()-10,12),""),IF(_xlpm.link="","",HYPERLINK(_xlpm.link,"Bluecore/Attentive")))</f>
        <v/>
      </c>
      <c r="M128" s="61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55" t="str" cm="1">
        <f t="array" aca="1" ref="A129" ca="1">IFERROR(INDEX(_xlfn.ANCHORARRAY($AA$11),ROW()-10,1),"")</f>
        <v/>
      </c>
      <c r="B129" s="24" t="str" cm="1">
        <f t="array" aca="1" ref="B129" ca="1">IFERROR(INDEX(_xlfn.ANCHORARRAY($AA$11),ROW()-10,2),"")</f>
        <v/>
      </c>
      <c r="C129" s="16" t="str" cm="1">
        <f t="array" aca="1" ref="C129" ca="1">IFERROR(INDEX(_xlfn.ANCHORARRAY($AA$11),ROW()-10,3),"")</f>
        <v/>
      </c>
      <c r="D129" s="16" t="str" cm="1">
        <f t="array" aca="1" ref="D129" ca="1">IFERROR(INDEX(_xlfn.ANCHORARRAY($AA$11),ROW()-10,4),"")</f>
        <v/>
      </c>
      <c r="E129" s="16" t="str" cm="1">
        <f t="array" aca="1" ref="E129" ca="1">IFERROR(INDEX(_xlfn.ANCHORARRAY($AA$11),ROW()-10,5),"")</f>
        <v/>
      </c>
      <c r="F129" s="16" t="str" cm="1">
        <f t="array" aca="1" ref="F129" ca="1">IFERROR(INDEX(_xlfn.ANCHORARRAY($AA$11),ROW()-10,6),"")</f>
        <v/>
      </c>
      <c r="G129" s="16" t="str" cm="1">
        <f t="array" aca="1" ref="G129" ca="1">IFERROR(INDEX(_xlfn.ANCHORARRAY($AA$11),ROW()-10,7),"")</f>
        <v/>
      </c>
      <c r="H129" s="16" t="str" cm="1">
        <f t="array" aca="1" ref="H129" ca="1">IFERROR(INDEX(_xlfn.ANCHORARRAY($AA$11),ROW()-10,8),"")</f>
        <v/>
      </c>
      <c r="I129" s="16" t="str" cm="1">
        <f t="array" aca="1" ref="I129" ca="1">IFERROR(INDEX(_xlfn.ANCHORARRAY($AA$11),ROW()-10,9),"")</f>
        <v/>
      </c>
      <c r="J129" s="16" t="str">
        <f t="shared" ca="1" si="9"/>
        <v/>
      </c>
      <c r="K129" s="16" t="str">
        <f t="shared" ca="1" si="10"/>
        <v/>
      </c>
      <c r="L129" s="16" t="str" cm="1">
        <f t="array" aca="1" ref="L129" ca="1">_xlfn.LET(_xlpm.link,IFERROR(INDEX(_xlfn.ANCHORARRAY($AA$11),ROW()-10,12),""),IF(_xlpm.link="","",HYPERLINK(_xlpm.link,"Bluecore/Attentive")))</f>
        <v/>
      </c>
      <c r="M129" s="60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55" t="str" cm="1">
        <f t="array" aca="1" ref="A130" ca="1">IFERROR(INDEX(_xlfn.ANCHORARRAY($AA$11),ROW()-10,1),"")</f>
        <v/>
      </c>
      <c r="B130" s="24" t="str" cm="1">
        <f t="array" aca="1" ref="B130" ca="1">IFERROR(INDEX(_xlfn.ANCHORARRAY($AA$11),ROW()-10,2),"")</f>
        <v/>
      </c>
      <c r="C130" s="16" t="str" cm="1">
        <f t="array" aca="1" ref="C130" ca="1">IFERROR(INDEX(_xlfn.ANCHORARRAY($AA$11),ROW()-10,3),"")</f>
        <v/>
      </c>
      <c r="D130" s="16" t="str" cm="1">
        <f t="array" aca="1" ref="D130" ca="1">IFERROR(INDEX(_xlfn.ANCHORARRAY($AA$11),ROW()-10,4),"")</f>
        <v/>
      </c>
      <c r="E130" s="16" t="str" cm="1">
        <f t="array" aca="1" ref="E130" ca="1">IFERROR(INDEX(_xlfn.ANCHORARRAY($AA$11),ROW()-10,5),"")</f>
        <v/>
      </c>
      <c r="F130" s="16" t="str" cm="1">
        <f t="array" aca="1" ref="F130" ca="1">IFERROR(INDEX(_xlfn.ANCHORARRAY($AA$11),ROW()-10,6),"")</f>
        <v/>
      </c>
      <c r="G130" s="16" t="str" cm="1">
        <f t="array" aca="1" ref="G130" ca="1">IFERROR(INDEX(_xlfn.ANCHORARRAY($AA$11),ROW()-10,7),"")</f>
        <v/>
      </c>
      <c r="H130" s="16" t="str" cm="1">
        <f t="array" aca="1" ref="H130" ca="1">IFERROR(INDEX(_xlfn.ANCHORARRAY($AA$11),ROW()-10,8),"")</f>
        <v/>
      </c>
      <c r="I130" s="16" t="str" cm="1">
        <f t="array" aca="1" ref="I130" ca="1">IFERROR(INDEX(_xlfn.ANCHORARRAY($AA$11),ROW()-10,9),"")</f>
        <v/>
      </c>
      <c r="J130" s="16" t="str">
        <f t="shared" ca="1" si="9"/>
        <v/>
      </c>
      <c r="K130" s="16" t="str">
        <f t="shared" ca="1" si="10"/>
        <v/>
      </c>
      <c r="L130" s="16" t="str" cm="1">
        <f t="array" aca="1" ref="L130" ca="1">_xlfn.LET(_xlpm.link,IFERROR(INDEX(_xlfn.ANCHORARRAY($AA$11),ROW()-10,12),""),IF(_xlpm.link="","",HYPERLINK(_xlpm.link,"Bluecore/Attentive")))</f>
        <v/>
      </c>
      <c r="M130" s="61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55" t="str" cm="1">
        <f t="array" aca="1" ref="A131" ca="1">IFERROR(INDEX(_xlfn.ANCHORARRAY($AA$11),ROW()-10,1),"")</f>
        <v/>
      </c>
      <c r="B131" s="24" t="str" cm="1">
        <f t="array" aca="1" ref="B131" ca="1">IFERROR(INDEX(_xlfn.ANCHORARRAY($AA$11),ROW()-10,2),"")</f>
        <v/>
      </c>
      <c r="C131" s="16" t="str" cm="1">
        <f t="array" aca="1" ref="C131" ca="1">IFERROR(INDEX(_xlfn.ANCHORARRAY($AA$11),ROW()-10,3),"")</f>
        <v/>
      </c>
      <c r="D131" s="16" t="str" cm="1">
        <f t="array" aca="1" ref="D131" ca="1">IFERROR(INDEX(_xlfn.ANCHORARRAY($AA$11),ROW()-10,4),"")</f>
        <v/>
      </c>
      <c r="E131" s="16" t="str" cm="1">
        <f t="array" aca="1" ref="E131" ca="1">IFERROR(INDEX(_xlfn.ANCHORARRAY($AA$11),ROW()-10,5),"")</f>
        <v/>
      </c>
      <c r="F131" s="16" t="str" cm="1">
        <f t="array" aca="1" ref="F131" ca="1">IFERROR(INDEX(_xlfn.ANCHORARRAY($AA$11),ROW()-10,6),"")</f>
        <v/>
      </c>
      <c r="G131" s="16" t="str" cm="1">
        <f t="array" aca="1" ref="G131" ca="1">IFERROR(INDEX(_xlfn.ANCHORARRAY($AA$11),ROW()-10,7),"")</f>
        <v/>
      </c>
      <c r="H131" s="16" t="str" cm="1">
        <f t="array" aca="1" ref="H131" ca="1">IFERROR(INDEX(_xlfn.ANCHORARRAY($AA$11),ROW()-10,8),"")</f>
        <v/>
      </c>
      <c r="I131" s="16" t="str" cm="1">
        <f t="array" aca="1" ref="I131" ca="1">IFERROR(INDEX(_xlfn.ANCHORARRAY($AA$11),ROW()-10,9),"")</f>
        <v/>
      </c>
      <c r="J131" s="16" t="str">
        <f t="shared" ca="1" si="9"/>
        <v/>
      </c>
      <c r="K131" s="16" t="str">
        <f t="shared" ca="1" si="10"/>
        <v/>
      </c>
      <c r="L131" s="16" t="str" cm="1">
        <f t="array" aca="1" ref="L131" ca="1">_xlfn.LET(_xlpm.link,IFERROR(INDEX(_xlfn.ANCHORARRAY($AA$11),ROW()-10,12),""),IF(_xlpm.link="","",HYPERLINK(_xlpm.link,"Bluecore/Attentive")))</f>
        <v/>
      </c>
      <c r="M131" s="60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55" t="str" cm="1">
        <f t="array" aca="1" ref="A132" ca="1">IFERROR(INDEX(_xlfn.ANCHORARRAY($AA$11),ROW()-10,1),"")</f>
        <v/>
      </c>
      <c r="B132" s="24" t="str" cm="1">
        <f t="array" aca="1" ref="B132" ca="1">IFERROR(INDEX(_xlfn.ANCHORARRAY($AA$11),ROW()-10,2),"")</f>
        <v/>
      </c>
      <c r="C132" s="16" t="str" cm="1">
        <f t="array" aca="1" ref="C132" ca="1">IFERROR(INDEX(_xlfn.ANCHORARRAY($AA$11),ROW()-10,3),"")</f>
        <v/>
      </c>
      <c r="D132" s="16" t="str" cm="1">
        <f t="array" aca="1" ref="D132" ca="1">IFERROR(INDEX(_xlfn.ANCHORARRAY($AA$11),ROW()-10,4),"")</f>
        <v/>
      </c>
      <c r="E132" s="16" t="str" cm="1">
        <f t="array" aca="1" ref="E132" ca="1">IFERROR(INDEX(_xlfn.ANCHORARRAY($AA$11),ROW()-10,5),"")</f>
        <v/>
      </c>
      <c r="F132" s="16" t="str" cm="1">
        <f t="array" aca="1" ref="F132" ca="1">IFERROR(INDEX(_xlfn.ANCHORARRAY($AA$11),ROW()-10,6),"")</f>
        <v/>
      </c>
      <c r="G132" s="16" t="str" cm="1">
        <f t="array" aca="1" ref="G132" ca="1">IFERROR(INDEX(_xlfn.ANCHORARRAY($AA$11),ROW()-10,7),"")</f>
        <v/>
      </c>
      <c r="H132" s="16" t="str" cm="1">
        <f t="array" aca="1" ref="H132" ca="1">IFERROR(INDEX(_xlfn.ANCHORARRAY($AA$11),ROW()-10,8),"")</f>
        <v/>
      </c>
      <c r="I132" s="16" t="str" cm="1">
        <f t="array" aca="1" ref="I132" ca="1">IFERROR(INDEX(_xlfn.ANCHORARRAY($AA$11),ROW()-10,9),"")</f>
        <v/>
      </c>
      <c r="J132" s="16" t="str">
        <f t="shared" ca="1" si="9"/>
        <v/>
      </c>
      <c r="K132" s="16" t="str">
        <f t="shared" ca="1" si="10"/>
        <v/>
      </c>
      <c r="L132" s="16" t="str" cm="1">
        <f t="array" aca="1" ref="L132" ca="1">_xlfn.LET(_xlpm.link,IFERROR(INDEX(_xlfn.ANCHORARRAY($AA$11),ROW()-10,12),""),IF(_xlpm.link="","",HYPERLINK(_xlpm.link,"Bluecore/Attentive")))</f>
        <v/>
      </c>
      <c r="M132" s="61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55" t="str" cm="1">
        <f t="array" aca="1" ref="A133" ca="1">IFERROR(INDEX(_xlfn.ANCHORARRAY($AA$11),ROW()-10,1),"")</f>
        <v/>
      </c>
      <c r="B133" s="24" t="str" cm="1">
        <f t="array" aca="1" ref="B133" ca="1">IFERROR(INDEX(_xlfn.ANCHORARRAY($AA$11),ROW()-10,2),"")</f>
        <v/>
      </c>
      <c r="C133" s="16" t="str" cm="1">
        <f t="array" aca="1" ref="C133" ca="1">IFERROR(INDEX(_xlfn.ANCHORARRAY($AA$11),ROW()-10,3),"")</f>
        <v/>
      </c>
      <c r="D133" s="16" t="str" cm="1">
        <f t="array" aca="1" ref="D133" ca="1">IFERROR(INDEX(_xlfn.ANCHORARRAY($AA$11),ROW()-10,4),"")</f>
        <v/>
      </c>
      <c r="E133" s="16" t="str" cm="1">
        <f t="array" aca="1" ref="E133" ca="1">IFERROR(INDEX(_xlfn.ANCHORARRAY($AA$11),ROW()-10,5),"")</f>
        <v/>
      </c>
      <c r="F133" s="16" t="str" cm="1">
        <f t="array" aca="1" ref="F133" ca="1">IFERROR(INDEX(_xlfn.ANCHORARRAY($AA$11),ROW()-10,6),"")</f>
        <v/>
      </c>
      <c r="G133" s="16" t="str" cm="1">
        <f t="array" aca="1" ref="G133" ca="1">IFERROR(INDEX(_xlfn.ANCHORARRAY($AA$11),ROW()-10,7),"")</f>
        <v/>
      </c>
      <c r="H133" s="16" t="str" cm="1">
        <f t="array" aca="1" ref="H133" ca="1">IFERROR(INDEX(_xlfn.ANCHORARRAY($AA$11),ROW()-10,8),"")</f>
        <v/>
      </c>
      <c r="I133" s="16" t="str" cm="1">
        <f t="array" aca="1" ref="I133" ca="1">IFERROR(INDEX(_xlfn.ANCHORARRAY($AA$11),ROW()-10,9),"")</f>
        <v/>
      </c>
      <c r="J133" s="16" t="str">
        <f t="shared" ca="1" si="9"/>
        <v/>
      </c>
      <c r="K133" s="16" t="str">
        <f t="shared" ca="1" si="10"/>
        <v/>
      </c>
      <c r="L133" s="16" t="str" cm="1">
        <f t="array" aca="1" ref="L133" ca="1">_xlfn.LET(_xlpm.link,IFERROR(INDEX(_xlfn.ANCHORARRAY($AA$11),ROW()-10,12),""),IF(_xlpm.link="","",HYPERLINK(_xlpm.link,"Bluecore/Attentive")))</f>
        <v/>
      </c>
      <c r="M133" s="60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55" t="str" cm="1">
        <f t="array" aca="1" ref="A134" ca="1">IFERROR(INDEX(_xlfn.ANCHORARRAY($AA$11),ROW()-10,1),"")</f>
        <v/>
      </c>
      <c r="B134" s="24" t="str" cm="1">
        <f t="array" aca="1" ref="B134" ca="1">IFERROR(INDEX(_xlfn.ANCHORARRAY($AA$11),ROW()-10,2),"")</f>
        <v/>
      </c>
      <c r="C134" s="16" t="str" cm="1">
        <f t="array" aca="1" ref="C134" ca="1">IFERROR(INDEX(_xlfn.ANCHORARRAY($AA$11),ROW()-10,3),"")</f>
        <v/>
      </c>
      <c r="D134" s="16" t="str" cm="1">
        <f t="array" aca="1" ref="D134" ca="1">IFERROR(INDEX(_xlfn.ANCHORARRAY($AA$11),ROW()-10,4),"")</f>
        <v/>
      </c>
      <c r="E134" s="16" t="str" cm="1">
        <f t="array" aca="1" ref="E134" ca="1">IFERROR(INDEX(_xlfn.ANCHORARRAY($AA$11),ROW()-10,5),"")</f>
        <v/>
      </c>
      <c r="F134" s="16" t="str" cm="1">
        <f t="array" aca="1" ref="F134" ca="1">IFERROR(INDEX(_xlfn.ANCHORARRAY($AA$11),ROW()-10,6),"")</f>
        <v/>
      </c>
      <c r="G134" s="16" t="str" cm="1">
        <f t="array" aca="1" ref="G134" ca="1">IFERROR(INDEX(_xlfn.ANCHORARRAY($AA$11),ROW()-10,7),"")</f>
        <v/>
      </c>
      <c r="H134" s="16" t="str" cm="1">
        <f t="array" aca="1" ref="H134" ca="1">IFERROR(INDEX(_xlfn.ANCHORARRAY($AA$11),ROW()-10,8),"")</f>
        <v/>
      </c>
      <c r="I134" s="16" t="str" cm="1">
        <f t="array" aca="1" ref="I134" ca="1">IFERROR(INDEX(_xlfn.ANCHORARRAY($AA$11),ROW()-10,9),"")</f>
        <v/>
      </c>
      <c r="J134" s="16" t="str">
        <f t="shared" ca="1" si="9"/>
        <v/>
      </c>
      <c r="K134" s="16" t="str">
        <f t="shared" ca="1" si="10"/>
        <v/>
      </c>
      <c r="L134" s="16" t="str" cm="1">
        <f t="array" aca="1" ref="L134" ca="1">_xlfn.LET(_xlpm.link,IFERROR(INDEX(_xlfn.ANCHORARRAY($AA$11),ROW()-10,12),""),IF(_xlpm.link="","",HYPERLINK(_xlpm.link,"Bluecore/Attentive")))</f>
        <v/>
      </c>
      <c r="M134" s="61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55" t="str" cm="1">
        <f t="array" aca="1" ref="A135" ca="1">IFERROR(INDEX(_xlfn.ANCHORARRAY($AA$11),ROW()-10,1),"")</f>
        <v/>
      </c>
      <c r="B135" s="24" t="str" cm="1">
        <f t="array" aca="1" ref="B135" ca="1">IFERROR(INDEX(_xlfn.ANCHORARRAY($AA$11),ROW()-10,2),"")</f>
        <v/>
      </c>
      <c r="C135" s="16" t="str" cm="1">
        <f t="array" aca="1" ref="C135" ca="1">IFERROR(INDEX(_xlfn.ANCHORARRAY($AA$11),ROW()-10,3),"")</f>
        <v/>
      </c>
      <c r="D135" s="16" t="str" cm="1">
        <f t="array" aca="1" ref="D135" ca="1">IFERROR(INDEX(_xlfn.ANCHORARRAY($AA$11),ROW()-10,4),"")</f>
        <v/>
      </c>
      <c r="E135" s="16" t="str" cm="1">
        <f t="array" aca="1" ref="E135" ca="1">IFERROR(INDEX(_xlfn.ANCHORARRAY($AA$11),ROW()-10,5),"")</f>
        <v/>
      </c>
      <c r="F135" s="16" t="str" cm="1">
        <f t="array" aca="1" ref="F135" ca="1">IFERROR(INDEX(_xlfn.ANCHORARRAY($AA$11),ROW()-10,6),"")</f>
        <v/>
      </c>
      <c r="G135" s="16" t="str" cm="1">
        <f t="array" aca="1" ref="G135" ca="1">IFERROR(INDEX(_xlfn.ANCHORARRAY($AA$11),ROW()-10,7),"")</f>
        <v/>
      </c>
      <c r="H135" s="16" t="str" cm="1">
        <f t="array" aca="1" ref="H135" ca="1">IFERROR(INDEX(_xlfn.ANCHORARRAY($AA$11),ROW()-10,8),"")</f>
        <v/>
      </c>
      <c r="I135" s="16" t="str" cm="1">
        <f t="array" aca="1" ref="I135" ca="1">IFERROR(INDEX(_xlfn.ANCHORARRAY($AA$11),ROW()-10,9),"")</f>
        <v/>
      </c>
      <c r="J135" s="16" t="str">
        <f t="shared" ca="1" si="9"/>
        <v/>
      </c>
      <c r="K135" s="16" t="str">
        <f t="shared" ca="1" si="10"/>
        <v/>
      </c>
      <c r="L135" s="16" t="str" cm="1">
        <f t="array" aca="1" ref="L135" ca="1">_xlfn.LET(_xlpm.link,IFERROR(INDEX(_xlfn.ANCHORARRAY($AA$11),ROW()-10,12),""),IF(_xlpm.link="","",HYPERLINK(_xlpm.link,"Bluecore/Attentive")))</f>
        <v/>
      </c>
      <c r="M135" s="60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55" t="str" cm="1">
        <f t="array" aca="1" ref="A136" ca="1">IFERROR(INDEX(_xlfn.ANCHORARRAY($AA$11),ROW()-10,1),"")</f>
        <v/>
      </c>
      <c r="B136" s="24" t="str" cm="1">
        <f t="array" aca="1" ref="B136" ca="1">IFERROR(INDEX(_xlfn.ANCHORARRAY($AA$11),ROW()-10,2),"")</f>
        <v/>
      </c>
      <c r="C136" s="16" t="str" cm="1">
        <f t="array" aca="1" ref="C136" ca="1">IFERROR(INDEX(_xlfn.ANCHORARRAY($AA$11),ROW()-10,3),"")</f>
        <v/>
      </c>
      <c r="D136" s="16" t="str" cm="1">
        <f t="array" aca="1" ref="D136" ca="1">IFERROR(INDEX(_xlfn.ANCHORARRAY($AA$11),ROW()-10,4),"")</f>
        <v/>
      </c>
      <c r="E136" s="16" t="str" cm="1">
        <f t="array" aca="1" ref="E136" ca="1">IFERROR(INDEX(_xlfn.ANCHORARRAY($AA$11),ROW()-10,5),"")</f>
        <v/>
      </c>
      <c r="F136" s="16" t="str" cm="1">
        <f t="array" aca="1" ref="F136" ca="1">IFERROR(INDEX(_xlfn.ANCHORARRAY($AA$11),ROW()-10,6),"")</f>
        <v/>
      </c>
      <c r="G136" s="16" t="str" cm="1">
        <f t="array" aca="1" ref="G136" ca="1">IFERROR(INDEX(_xlfn.ANCHORARRAY($AA$11),ROW()-10,7),"")</f>
        <v/>
      </c>
      <c r="H136" s="16" t="str" cm="1">
        <f t="array" aca="1" ref="H136" ca="1">IFERROR(INDEX(_xlfn.ANCHORARRAY($AA$11),ROW()-10,8),"")</f>
        <v/>
      </c>
      <c r="I136" s="16" t="str" cm="1">
        <f t="array" aca="1" ref="I136" ca="1">IFERROR(INDEX(_xlfn.ANCHORARRAY($AA$11),ROW()-10,9),"")</f>
        <v/>
      </c>
      <c r="J136" s="16" t="str">
        <f t="shared" ca="1" si="9"/>
        <v/>
      </c>
      <c r="K136" s="16" t="str">
        <f t="shared" ca="1" si="10"/>
        <v/>
      </c>
      <c r="L136" s="16" t="str" cm="1">
        <f t="array" aca="1" ref="L136" ca="1">_xlfn.LET(_xlpm.link,IFERROR(INDEX(_xlfn.ANCHORARRAY($AA$11),ROW()-10,12),""),IF(_xlpm.link="","",HYPERLINK(_xlpm.link,"Bluecore/Attentive")))</f>
        <v/>
      </c>
      <c r="M136" s="61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55" t="str" cm="1">
        <f t="array" aca="1" ref="A137" ca="1">IFERROR(INDEX(_xlfn.ANCHORARRAY($AA$11),ROW()-10,1),"")</f>
        <v/>
      </c>
      <c r="B137" s="24" t="str" cm="1">
        <f t="array" aca="1" ref="B137" ca="1">IFERROR(INDEX(_xlfn.ANCHORARRAY($AA$11),ROW()-10,2),"")</f>
        <v/>
      </c>
      <c r="C137" s="16" t="str" cm="1">
        <f t="array" aca="1" ref="C137" ca="1">IFERROR(INDEX(_xlfn.ANCHORARRAY($AA$11),ROW()-10,3),"")</f>
        <v/>
      </c>
      <c r="D137" s="16" t="str" cm="1">
        <f t="array" aca="1" ref="D137" ca="1">IFERROR(INDEX(_xlfn.ANCHORARRAY($AA$11),ROW()-10,4),"")</f>
        <v/>
      </c>
      <c r="E137" s="16" t="str" cm="1">
        <f t="array" aca="1" ref="E137" ca="1">IFERROR(INDEX(_xlfn.ANCHORARRAY($AA$11),ROW()-10,5),"")</f>
        <v/>
      </c>
      <c r="F137" s="16" t="str" cm="1">
        <f t="array" aca="1" ref="F137" ca="1">IFERROR(INDEX(_xlfn.ANCHORARRAY($AA$11),ROW()-10,6),"")</f>
        <v/>
      </c>
      <c r="G137" s="16" t="str" cm="1">
        <f t="array" aca="1" ref="G137" ca="1">IFERROR(INDEX(_xlfn.ANCHORARRAY($AA$11),ROW()-10,7),"")</f>
        <v/>
      </c>
      <c r="H137" s="16" t="str" cm="1">
        <f t="array" aca="1" ref="H137" ca="1">IFERROR(INDEX(_xlfn.ANCHORARRAY($AA$11),ROW()-10,8),"")</f>
        <v/>
      </c>
      <c r="I137" s="16" t="str" cm="1">
        <f t="array" aca="1" ref="I137" ca="1">IFERROR(INDEX(_xlfn.ANCHORARRAY($AA$11),ROW()-10,9),"")</f>
        <v/>
      </c>
      <c r="J137" s="16" t="str">
        <f t="shared" ca="1" si="9"/>
        <v/>
      </c>
      <c r="K137" s="16" t="str">
        <f t="shared" ca="1" si="10"/>
        <v/>
      </c>
      <c r="L137" s="16" t="str" cm="1">
        <f t="array" aca="1" ref="L137" ca="1">_xlfn.LET(_xlpm.link,IFERROR(INDEX(_xlfn.ANCHORARRAY($AA$11),ROW()-10,12),""),IF(_xlpm.link="","",HYPERLINK(_xlpm.link,"Bluecore/Attentive")))</f>
        <v/>
      </c>
      <c r="M137" s="60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55" t="str" cm="1">
        <f t="array" aca="1" ref="A138" ca="1">IFERROR(INDEX(_xlfn.ANCHORARRAY($AA$11),ROW()-10,1),"")</f>
        <v/>
      </c>
      <c r="B138" s="24" t="str" cm="1">
        <f t="array" aca="1" ref="B138" ca="1">IFERROR(INDEX(_xlfn.ANCHORARRAY($AA$11),ROW()-10,2),"")</f>
        <v/>
      </c>
      <c r="C138" s="16" t="str" cm="1">
        <f t="array" aca="1" ref="C138" ca="1">IFERROR(INDEX(_xlfn.ANCHORARRAY($AA$11),ROW()-10,3),"")</f>
        <v/>
      </c>
      <c r="D138" s="16" t="str" cm="1">
        <f t="array" aca="1" ref="D138" ca="1">IFERROR(INDEX(_xlfn.ANCHORARRAY($AA$11),ROW()-10,4),"")</f>
        <v/>
      </c>
      <c r="E138" s="16" t="str" cm="1">
        <f t="array" aca="1" ref="E138" ca="1">IFERROR(INDEX(_xlfn.ANCHORARRAY($AA$11),ROW()-10,5),"")</f>
        <v/>
      </c>
      <c r="F138" s="16" t="str" cm="1">
        <f t="array" aca="1" ref="F138" ca="1">IFERROR(INDEX(_xlfn.ANCHORARRAY($AA$11),ROW()-10,6),"")</f>
        <v/>
      </c>
      <c r="G138" s="16" t="str" cm="1">
        <f t="array" aca="1" ref="G138" ca="1">IFERROR(INDEX(_xlfn.ANCHORARRAY($AA$11),ROW()-10,7),"")</f>
        <v/>
      </c>
      <c r="H138" s="16" t="str" cm="1">
        <f t="array" aca="1" ref="H138" ca="1">IFERROR(INDEX(_xlfn.ANCHORARRAY($AA$11),ROW()-10,8),"")</f>
        <v/>
      </c>
      <c r="I138" s="16" t="str" cm="1">
        <f t="array" aca="1" ref="I138" ca="1">IFERROR(INDEX(_xlfn.ANCHORARRAY($AA$11),ROW()-10,9),"")</f>
        <v/>
      </c>
      <c r="J138" s="16" t="str">
        <f t="shared" ca="1" si="9"/>
        <v/>
      </c>
      <c r="K138" s="16" t="str">
        <f t="shared" ca="1" si="10"/>
        <v/>
      </c>
      <c r="L138" s="16" t="str" cm="1">
        <f t="array" aca="1" ref="L138" ca="1">_xlfn.LET(_xlpm.link,IFERROR(INDEX(_xlfn.ANCHORARRAY($AA$11),ROW()-10,12),""),IF(_xlpm.link="","",HYPERLINK(_xlpm.link,"Bluecore/Attentive")))</f>
        <v/>
      </c>
      <c r="M138" s="61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55" t="str" cm="1">
        <f t="array" aca="1" ref="A139" ca="1">IFERROR(INDEX(_xlfn.ANCHORARRAY($AA$11),ROW()-10,1),"")</f>
        <v/>
      </c>
      <c r="B139" s="24" t="str" cm="1">
        <f t="array" aca="1" ref="B139" ca="1">IFERROR(INDEX(_xlfn.ANCHORARRAY($AA$11),ROW()-10,2),"")</f>
        <v/>
      </c>
      <c r="C139" s="16" t="str" cm="1">
        <f t="array" aca="1" ref="C139" ca="1">IFERROR(INDEX(_xlfn.ANCHORARRAY($AA$11),ROW()-10,3),"")</f>
        <v/>
      </c>
      <c r="D139" s="16" t="str" cm="1">
        <f t="array" aca="1" ref="D139" ca="1">IFERROR(INDEX(_xlfn.ANCHORARRAY($AA$11),ROW()-10,4),"")</f>
        <v/>
      </c>
      <c r="E139" s="16" t="str" cm="1">
        <f t="array" aca="1" ref="E139" ca="1">IFERROR(INDEX(_xlfn.ANCHORARRAY($AA$11),ROW()-10,5),"")</f>
        <v/>
      </c>
      <c r="F139" s="16" t="str" cm="1">
        <f t="array" aca="1" ref="F139" ca="1">IFERROR(INDEX(_xlfn.ANCHORARRAY($AA$11),ROW()-10,6),"")</f>
        <v/>
      </c>
      <c r="G139" s="16" t="str" cm="1">
        <f t="array" aca="1" ref="G139" ca="1">IFERROR(INDEX(_xlfn.ANCHORARRAY($AA$11),ROW()-10,7),"")</f>
        <v/>
      </c>
      <c r="H139" s="16" t="str" cm="1">
        <f t="array" aca="1" ref="H139" ca="1">IFERROR(INDEX(_xlfn.ANCHORARRAY($AA$11),ROW()-10,8),"")</f>
        <v/>
      </c>
      <c r="I139" s="16" t="str" cm="1">
        <f t="array" aca="1" ref="I139" ca="1">IFERROR(INDEX(_xlfn.ANCHORARRAY($AA$11),ROW()-10,9),"")</f>
        <v/>
      </c>
      <c r="J139" s="16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16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16" t="str" cm="1">
        <f t="array" aca="1" ref="L139" ca="1">_xlfn.LET(_xlpm.link,IFERROR(INDEX(_xlfn.ANCHORARRAY($AA$11),ROW()-10,12),""),IF(_xlpm.link="","",HYPERLINK(_xlpm.link,"Bluecore/Attentive")))</f>
        <v/>
      </c>
      <c r="M139" s="60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55" t="str" cm="1">
        <f t="array" aca="1" ref="A140" ca="1">IFERROR(INDEX(_xlfn.ANCHORARRAY($AA$11),ROW()-10,1),"")</f>
        <v/>
      </c>
      <c r="B140" s="24" t="str" cm="1">
        <f t="array" aca="1" ref="B140" ca="1">IFERROR(INDEX(_xlfn.ANCHORARRAY($AA$11),ROW()-10,2),"")</f>
        <v/>
      </c>
      <c r="C140" s="16" t="str" cm="1">
        <f t="array" aca="1" ref="C140" ca="1">IFERROR(INDEX(_xlfn.ANCHORARRAY($AA$11),ROW()-10,3),"")</f>
        <v/>
      </c>
      <c r="D140" s="16" t="str" cm="1">
        <f t="array" aca="1" ref="D140" ca="1">IFERROR(INDEX(_xlfn.ANCHORARRAY($AA$11),ROW()-10,4),"")</f>
        <v/>
      </c>
      <c r="E140" s="16" t="str" cm="1">
        <f t="array" aca="1" ref="E140" ca="1">IFERROR(INDEX(_xlfn.ANCHORARRAY($AA$11),ROW()-10,5),"")</f>
        <v/>
      </c>
      <c r="F140" s="16" t="str" cm="1">
        <f t="array" aca="1" ref="F140" ca="1">IFERROR(INDEX(_xlfn.ANCHORARRAY($AA$11),ROW()-10,6),"")</f>
        <v/>
      </c>
      <c r="G140" s="16" t="str" cm="1">
        <f t="array" aca="1" ref="G140" ca="1">IFERROR(INDEX(_xlfn.ANCHORARRAY($AA$11),ROW()-10,7),"")</f>
        <v/>
      </c>
      <c r="H140" s="16" t="str" cm="1">
        <f t="array" aca="1" ref="H140" ca="1">IFERROR(INDEX(_xlfn.ANCHORARRAY($AA$11),ROW()-10,8),"")</f>
        <v/>
      </c>
      <c r="I140" s="16" t="str" cm="1">
        <f t="array" aca="1" ref="I140" ca="1">IFERROR(INDEX(_xlfn.ANCHORARRAY($AA$11),ROW()-10,9),"")</f>
        <v/>
      </c>
      <c r="J140" s="16" t="str">
        <f t="shared" ca="1" si="12"/>
        <v/>
      </c>
      <c r="K140" s="16" t="str">
        <f t="shared" ca="1" si="13"/>
        <v/>
      </c>
      <c r="L140" s="16" t="str" cm="1">
        <f t="array" aca="1" ref="L140" ca="1">_xlfn.LET(_xlpm.link,IFERROR(INDEX(_xlfn.ANCHORARRAY($AA$11),ROW()-10,12),""),IF(_xlpm.link="","",HYPERLINK(_xlpm.link,"Bluecore/Attentive")))</f>
        <v/>
      </c>
      <c r="M140" s="61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55" t="str" cm="1">
        <f t="array" aca="1" ref="A141" ca="1">IFERROR(INDEX(_xlfn.ANCHORARRAY($AA$11),ROW()-10,1),"")</f>
        <v/>
      </c>
      <c r="B141" s="24" t="str" cm="1">
        <f t="array" aca="1" ref="B141" ca="1">IFERROR(INDEX(_xlfn.ANCHORARRAY($AA$11),ROW()-10,2),"")</f>
        <v/>
      </c>
      <c r="C141" s="16" t="str" cm="1">
        <f t="array" aca="1" ref="C141" ca="1">IFERROR(INDEX(_xlfn.ANCHORARRAY($AA$11),ROW()-10,3),"")</f>
        <v/>
      </c>
      <c r="D141" s="16" t="str" cm="1">
        <f t="array" aca="1" ref="D141" ca="1">IFERROR(INDEX(_xlfn.ANCHORARRAY($AA$11),ROW()-10,4),"")</f>
        <v/>
      </c>
      <c r="E141" s="16" t="str" cm="1">
        <f t="array" aca="1" ref="E141" ca="1">IFERROR(INDEX(_xlfn.ANCHORARRAY($AA$11),ROW()-10,5),"")</f>
        <v/>
      </c>
      <c r="F141" s="16" t="str" cm="1">
        <f t="array" aca="1" ref="F141" ca="1">IFERROR(INDEX(_xlfn.ANCHORARRAY($AA$11),ROW()-10,6),"")</f>
        <v/>
      </c>
      <c r="G141" s="16" t="str" cm="1">
        <f t="array" aca="1" ref="G141" ca="1">IFERROR(INDEX(_xlfn.ANCHORARRAY($AA$11),ROW()-10,7),"")</f>
        <v/>
      </c>
      <c r="H141" s="16" t="str" cm="1">
        <f t="array" aca="1" ref="H141" ca="1">IFERROR(INDEX(_xlfn.ANCHORARRAY($AA$11),ROW()-10,8),"")</f>
        <v/>
      </c>
      <c r="I141" s="16" t="str" cm="1">
        <f t="array" aca="1" ref="I141" ca="1">IFERROR(INDEX(_xlfn.ANCHORARRAY($AA$11),ROW()-10,9),"")</f>
        <v/>
      </c>
      <c r="J141" s="16" t="str">
        <f t="shared" ca="1" si="12"/>
        <v/>
      </c>
      <c r="K141" s="16" t="str">
        <f t="shared" ca="1" si="13"/>
        <v/>
      </c>
      <c r="L141" s="16" t="str" cm="1">
        <f t="array" aca="1" ref="L141" ca="1">_xlfn.LET(_xlpm.link,IFERROR(INDEX(_xlfn.ANCHORARRAY($AA$11),ROW()-10,12),""),IF(_xlpm.link="","",HYPERLINK(_xlpm.link,"Bluecore/Attentive")))</f>
        <v/>
      </c>
      <c r="M141" s="60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55" t="str" cm="1">
        <f t="array" aca="1" ref="A142" ca="1">IFERROR(INDEX(_xlfn.ANCHORARRAY($AA$11),ROW()-10,1),"")</f>
        <v/>
      </c>
      <c r="B142" s="24" t="str" cm="1">
        <f t="array" aca="1" ref="B142" ca="1">IFERROR(INDEX(_xlfn.ANCHORARRAY($AA$11),ROW()-10,2),"")</f>
        <v/>
      </c>
      <c r="C142" s="16" t="str" cm="1">
        <f t="array" aca="1" ref="C142" ca="1">IFERROR(INDEX(_xlfn.ANCHORARRAY($AA$11),ROW()-10,3),"")</f>
        <v/>
      </c>
      <c r="D142" s="16" t="str" cm="1">
        <f t="array" aca="1" ref="D142" ca="1">IFERROR(INDEX(_xlfn.ANCHORARRAY($AA$11),ROW()-10,4),"")</f>
        <v/>
      </c>
      <c r="E142" s="16" t="str" cm="1">
        <f t="array" aca="1" ref="E142" ca="1">IFERROR(INDEX(_xlfn.ANCHORARRAY($AA$11),ROW()-10,5),"")</f>
        <v/>
      </c>
      <c r="F142" s="16" t="str" cm="1">
        <f t="array" aca="1" ref="F142" ca="1">IFERROR(INDEX(_xlfn.ANCHORARRAY($AA$11),ROW()-10,6),"")</f>
        <v/>
      </c>
      <c r="G142" s="16" t="str" cm="1">
        <f t="array" aca="1" ref="G142" ca="1">IFERROR(INDEX(_xlfn.ANCHORARRAY($AA$11),ROW()-10,7),"")</f>
        <v/>
      </c>
      <c r="H142" s="16" t="str" cm="1">
        <f t="array" aca="1" ref="H142" ca="1">IFERROR(INDEX(_xlfn.ANCHORARRAY($AA$11),ROW()-10,8),"")</f>
        <v/>
      </c>
      <c r="I142" s="16" t="str" cm="1">
        <f t="array" aca="1" ref="I142" ca="1">IFERROR(INDEX(_xlfn.ANCHORARRAY($AA$11),ROW()-10,9),"")</f>
        <v/>
      </c>
      <c r="J142" s="16" t="str">
        <f t="shared" ca="1" si="12"/>
        <v/>
      </c>
      <c r="K142" s="16" t="str">
        <f t="shared" ca="1" si="13"/>
        <v/>
      </c>
      <c r="L142" s="16" t="str" cm="1">
        <f t="array" aca="1" ref="L142" ca="1">_xlfn.LET(_xlpm.link,IFERROR(INDEX(_xlfn.ANCHORARRAY($AA$11),ROW()-10,12),""),IF(_xlpm.link="","",HYPERLINK(_xlpm.link,"Bluecore/Attentive")))</f>
        <v/>
      </c>
      <c r="M142" s="61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55" t="str" cm="1">
        <f t="array" aca="1" ref="A143" ca="1">IFERROR(INDEX(_xlfn.ANCHORARRAY($AA$11),ROW()-10,1),"")</f>
        <v/>
      </c>
      <c r="B143" s="24" t="str" cm="1">
        <f t="array" aca="1" ref="B143" ca="1">IFERROR(INDEX(_xlfn.ANCHORARRAY($AA$11),ROW()-10,2),"")</f>
        <v/>
      </c>
      <c r="C143" s="16" t="str" cm="1">
        <f t="array" aca="1" ref="C143" ca="1">IFERROR(INDEX(_xlfn.ANCHORARRAY($AA$11),ROW()-10,3),"")</f>
        <v/>
      </c>
      <c r="D143" s="16" t="str" cm="1">
        <f t="array" aca="1" ref="D143" ca="1">IFERROR(INDEX(_xlfn.ANCHORARRAY($AA$11),ROW()-10,4),"")</f>
        <v/>
      </c>
      <c r="E143" s="16" t="str" cm="1">
        <f t="array" aca="1" ref="E143" ca="1">IFERROR(INDEX(_xlfn.ANCHORARRAY($AA$11),ROW()-10,5),"")</f>
        <v/>
      </c>
      <c r="F143" s="16" t="str" cm="1">
        <f t="array" aca="1" ref="F143" ca="1">IFERROR(INDEX(_xlfn.ANCHORARRAY($AA$11),ROW()-10,6),"")</f>
        <v/>
      </c>
      <c r="G143" s="16" t="str" cm="1">
        <f t="array" aca="1" ref="G143" ca="1">IFERROR(INDEX(_xlfn.ANCHORARRAY($AA$11),ROW()-10,7),"")</f>
        <v/>
      </c>
      <c r="H143" s="16" t="str" cm="1">
        <f t="array" aca="1" ref="H143" ca="1">IFERROR(INDEX(_xlfn.ANCHORARRAY($AA$11),ROW()-10,8),"")</f>
        <v/>
      </c>
      <c r="I143" s="16" t="str" cm="1">
        <f t="array" aca="1" ref="I143" ca="1">IFERROR(INDEX(_xlfn.ANCHORARRAY($AA$11),ROW()-10,9),"")</f>
        <v/>
      </c>
      <c r="J143" s="16" t="str">
        <f t="shared" ca="1" si="12"/>
        <v/>
      </c>
      <c r="K143" s="16" t="str">
        <f t="shared" ca="1" si="13"/>
        <v/>
      </c>
      <c r="L143" s="16" t="str" cm="1">
        <f t="array" aca="1" ref="L143" ca="1">_xlfn.LET(_xlpm.link,IFERROR(INDEX(_xlfn.ANCHORARRAY($AA$11),ROW()-10,12),""),IF(_xlpm.link="","",HYPERLINK(_xlpm.link,"Bluecore/Attentive")))</f>
        <v/>
      </c>
      <c r="M143" s="60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55" t="str" cm="1">
        <f t="array" aca="1" ref="A144" ca="1">IFERROR(INDEX(_xlfn.ANCHORARRAY($AA$11),ROW()-10,1),"")</f>
        <v/>
      </c>
      <c r="B144" s="24" t="str" cm="1">
        <f t="array" aca="1" ref="B144" ca="1">IFERROR(INDEX(_xlfn.ANCHORARRAY($AA$11),ROW()-10,2),"")</f>
        <v/>
      </c>
      <c r="C144" s="16" t="str" cm="1">
        <f t="array" aca="1" ref="C144" ca="1">IFERROR(INDEX(_xlfn.ANCHORARRAY($AA$11),ROW()-10,3),"")</f>
        <v/>
      </c>
      <c r="D144" s="16" t="str" cm="1">
        <f t="array" aca="1" ref="D144" ca="1">IFERROR(INDEX(_xlfn.ANCHORARRAY($AA$11),ROW()-10,4),"")</f>
        <v/>
      </c>
      <c r="E144" s="16" t="str" cm="1">
        <f t="array" aca="1" ref="E144" ca="1">IFERROR(INDEX(_xlfn.ANCHORARRAY($AA$11),ROW()-10,5),"")</f>
        <v/>
      </c>
      <c r="F144" s="16" t="str" cm="1">
        <f t="array" aca="1" ref="F144" ca="1">IFERROR(INDEX(_xlfn.ANCHORARRAY($AA$11),ROW()-10,6),"")</f>
        <v/>
      </c>
      <c r="G144" s="16" t="str" cm="1">
        <f t="array" aca="1" ref="G144" ca="1">IFERROR(INDEX(_xlfn.ANCHORARRAY($AA$11),ROW()-10,7),"")</f>
        <v/>
      </c>
      <c r="H144" s="16" t="str" cm="1">
        <f t="array" aca="1" ref="H144" ca="1">IFERROR(INDEX(_xlfn.ANCHORARRAY($AA$11),ROW()-10,8),"")</f>
        <v/>
      </c>
      <c r="I144" s="16" t="str" cm="1">
        <f t="array" aca="1" ref="I144" ca="1">IFERROR(INDEX(_xlfn.ANCHORARRAY($AA$11),ROW()-10,9),"")</f>
        <v/>
      </c>
      <c r="J144" s="16" t="str">
        <f t="shared" ca="1" si="12"/>
        <v/>
      </c>
      <c r="K144" s="16" t="str">
        <f t="shared" ca="1" si="13"/>
        <v/>
      </c>
      <c r="L144" s="16" t="str" cm="1">
        <f t="array" aca="1" ref="L144" ca="1">_xlfn.LET(_xlpm.link,IFERROR(INDEX(_xlfn.ANCHORARRAY($AA$11),ROW()-10,12),""),IF(_xlpm.link="","",HYPERLINK(_xlpm.link,"Bluecore/Attentive")))</f>
        <v/>
      </c>
      <c r="M144" s="61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55" t="str" cm="1">
        <f t="array" aca="1" ref="A145" ca="1">IFERROR(INDEX(_xlfn.ANCHORARRAY($AA$11),ROW()-10,1),"")</f>
        <v/>
      </c>
      <c r="B145" s="24" t="str" cm="1">
        <f t="array" aca="1" ref="B145" ca="1">IFERROR(INDEX(_xlfn.ANCHORARRAY($AA$11),ROW()-10,2),"")</f>
        <v/>
      </c>
      <c r="C145" s="16" t="str" cm="1">
        <f t="array" aca="1" ref="C145" ca="1">IFERROR(INDEX(_xlfn.ANCHORARRAY($AA$11),ROW()-10,3),"")</f>
        <v/>
      </c>
      <c r="D145" s="16" t="str" cm="1">
        <f t="array" aca="1" ref="D145" ca="1">IFERROR(INDEX(_xlfn.ANCHORARRAY($AA$11),ROW()-10,4),"")</f>
        <v/>
      </c>
      <c r="E145" s="16" t="str" cm="1">
        <f t="array" aca="1" ref="E145" ca="1">IFERROR(INDEX(_xlfn.ANCHORARRAY($AA$11),ROW()-10,5),"")</f>
        <v/>
      </c>
      <c r="F145" s="16" t="str" cm="1">
        <f t="array" aca="1" ref="F145" ca="1">IFERROR(INDEX(_xlfn.ANCHORARRAY($AA$11),ROW()-10,6),"")</f>
        <v/>
      </c>
      <c r="G145" s="16" t="str" cm="1">
        <f t="array" aca="1" ref="G145" ca="1">IFERROR(INDEX(_xlfn.ANCHORARRAY($AA$11),ROW()-10,7),"")</f>
        <v/>
      </c>
      <c r="H145" s="16" t="str" cm="1">
        <f t="array" aca="1" ref="H145" ca="1">IFERROR(INDEX(_xlfn.ANCHORARRAY($AA$11),ROW()-10,8),"")</f>
        <v/>
      </c>
      <c r="I145" s="16" t="str" cm="1">
        <f t="array" aca="1" ref="I145" ca="1">IFERROR(INDEX(_xlfn.ANCHORARRAY($AA$11),ROW()-10,9),"")</f>
        <v/>
      </c>
      <c r="J145" s="16" t="str">
        <f t="shared" ca="1" si="12"/>
        <v/>
      </c>
      <c r="K145" s="16" t="str">
        <f t="shared" ca="1" si="13"/>
        <v/>
      </c>
      <c r="L145" s="16" t="str" cm="1">
        <f t="array" aca="1" ref="L145" ca="1">_xlfn.LET(_xlpm.link,IFERROR(INDEX(_xlfn.ANCHORARRAY($AA$11),ROW()-10,12),""),IF(_xlpm.link="","",HYPERLINK(_xlpm.link,"Bluecore/Attentive")))</f>
        <v/>
      </c>
      <c r="M145" s="60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55" t="str" cm="1">
        <f t="array" aca="1" ref="A146" ca="1">IFERROR(INDEX(_xlfn.ANCHORARRAY($AA$11),ROW()-10,1),"")</f>
        <v/>
      </c>
      <c r="B146" s="24" t="str" cm="1">
        <f t="array" aca="1" ref="B146" ca="1">IFERROR(INDEX(_xlfn.ANCHORARRAY($AA$11),ROW()-10,2),"")</f>
        <v/>
      </c>
      <c r="C146" s="16" t="str" cm="1">
        <f t="array" aca="1" ref="C146" ca="1">IFERROR(INDEX(_xlfn.ANCHORARRAY($AA$11),ROW()-10,3),"")</f>
        <v/>
      </c>
      <c r="D146" s="16" t="str" cm="1">
        <f t="array" aca="1" ref="D146" ca="1">IFERROR(INDEX(_xlfn.ANCHORARRAY($AA$11),ROW()-10,4),"")</f>
        <v/>
      </c>
      <c r="E146" s="16" t="str" cm="1">
        <f t="array" aca="1" ref="E146" ca="1">IFERROR(INDEX(_xlfn.ANCHORARRAY($AA$11),ROW()-10,5),"")</f>
        <v/>
      </c>
      <c r="F146" s="16" t="str" cm="1">
        <f t="array" aca="1" ref="F146" ca="1">IFERROR(INDEX(_xlfn.ANCHORARRAY($AA$11),ROW()-10,6),"")</f>
        <v/>
      </c>
      <c r="G146" s="16" t="str" cm="1">
        <f t="array" aca="1" ref="G146" ca="1">IFERROR(INDEX(_xlfn.ANCHORARRAY($AA$11),ROW()-10,7),"")</f>
        <v/>
      </c>
      <c r="H146" s="16" t="str" cm="1">
        <f t="array" aca="1" ref="H146" ca="1">IFERROR(INDEX(_xlfn.ANCHORARRAY($AA$11),ROW()-10,8),"")</f>
        <v/>
      </c>
      <c r="I146" s="16" t="str" cm="1">
        <f t="array" aca="1" ref="I146" ca="1">IFERROR(INDEX(_xlfn.ANCHORARRAY($AA$11),ROW()-10,9),"")</f>
        <v/>
      </c>
      <c r="J146" s="16" t="str">
        <f t="shared" ca="1" si="12"/>
        <v/>
      </c>
      <c r="K146" s="16" t="str">
        <f t="shared" ca="1" si="13"/>
        <v/>
      </c>
      <c r="L146" s="16" t="str" cm="1">
        <f t="array" aca="1" ref="L146" ca="1">_xlfn.LET(_xlpm.link,IFERROR(INDEX(_xlfn.ANCHORARRAY($AA$11),ROW()-10,12),""),IF(_xlpm.link="","",HYPERLINK(_xlpm.link,"Bluecore/Attentive")))</f>
        <v/>
      </c>
      <c r="M146" s="61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55" t="str" cm="1">
        <f t="array" aca="1" ref="A147" ca="1">IFERROR(INDEX(_xlfn.ANCHORARRAY($AA$11),ROW()-10,1),"")</f>
        <v/>
      </c>
      <c r="B147" s="24" t="str" cm="1">
        <f t="array" aca="1" ref="B147" ca="1">IFERROR(INDEX(_xlfn.ANCHORARRAY($AA$11),ROW()-10,2),"")</f>
        <v/>
      </c>
      <c r="C147" s="16" t="str" cm="1">
        <f t="array" aca="1" ref="C147" ca="1">IFERROR(INDEX(_xlfn.ANCHORARRAY($AA$11),ROW()-10,3),"")</f>
        <v/>
      </c>
      <c r="D147" s="16" t="str" cm="1">
        <f t="array" aca="1" ref="D147" ca="1">IFERROR(INDEX(_xlfn.ANCHORARRAY($AA$11),ROW()-10,4),"")</f>
        <v/>
      </c>
      <c r="E147" s="16" t="str" cm="1">
        <f t="array" aca="1" ref="E147" ca="1">IFERROR(INDEX(_xlfn.ANCHORARRAY($AA$11),ROW()-10,5),"")</f>
        <v/>
      </c>
      <c r="F147" s="16" t="str" cm="1">
        <f t="array" aca="1" ref="F147" ca="1">IFERROR(INDEX(_xlfn.ANCHORARRAY($AA$11),ROW()-10,6),"")</f>
        <v/>
      </c>
      <c r="G147" s="16" t="str" cm="1">
        <f t="array" aca="1" ref="G147" ca="1">IFERROR(INDEX(_xlfn.ANCHORARRAY($AA$11),ROW()-10,7),"")</f>
        <v/>
      </c>
      <c r="H147" s="16" t="str" cm="1">
        <f t="array" aca="1" ref="H147" ca="1">IFERROR(INDEX(_xlfn.ANCHORARRAY($AA$11),ROW()-10,8),"")</f>
        <v/>
      </c>
      <c r="I147" s="16" t="str" cm="1">
        <f t="array" aca="1" ref="I147" ca="1">IFERROR(INDEX(_xlfn.ANCHORARRAY($AA$11),ROW()-10,9),"")</f>
        <v/>
      </c>
      <c r="J147" s="16" t="str">
        <f t="shared" ca="1" si="12"/>
        <v/>
      </c>
      <c r="K147" s="16" t="str">
        <f t="shared" ca="1" si="13"/>
        <v/>
      </c>
      <c r="L147" s="16" t="str" cm="1">
        <f t="array" aca="1" ref="L147" ca="1">_xlfn.LET(_xlpm.link,IFERROR(INDEX(_xlfn.ANCHORARRAY($AA$11),ROW()-10,12),""),IF(_xlpm.link="","",HYPERLINK(_xlpm.link,"Bluecore/Attentive")))</f>
        <v/>
      </c>
      <c r="M147" s="60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55" t="str" cm="1">
        <f t="array" aca="1" ref="A148" ca="1">IFERROR(INDEX(_xlfn.ANCHORARRAY($AA$11),ROW()-10,1),"")</f>
        <v/>
      </c>
      <c r="B148" s="24" t="str" cm="1">
        <f t="array" aca="1" ref="B148" ca="1">IFERROR(INDEX(_xlfn.ANCHORARRAY($AA$11),ROW()-10,2),"")</f>
        <v/>
      </c>
      <c r="C148" s="16" t="str" cm="1">
        <f t="array" aca="1" ref="C148" ca="1">IFERROR(INDEX(_xlfn.ANCHORARRAY($AA$11),ROW()-10,3),"")</f>
        <v/>
      </c>
      <c r="D148" s="16" t="str" cm="1">
        <f t="array" aca="1" ref="D148" ca="1">IFERROR(INDEX(_xlfn.ANCHORARRAY($AA$11),ROW()-10,4),"")</f>
        <v/>
      </c>
      <c r="E148" s="16" t="str" cm="1">
        <f t="array" aca="1" ref="E148" ca="1">IFERROR(INDEX(_xlfn.ANCHORARRAY($AA$11),ROW()-10,5),"")</f>
        <v/>
      </c>
      <c r="F148" s="16" t="str" cm="1">
        <f t="array" aca="1" ref="F148" ca="1">IFERROR(INDEX(_xlfn.ANCHORARRAY($AA$11),ROW()-10,6),"")</f>
        <v/>
      </c>
      <c r="G148" s="16" t="str" cm="1">
        <f t="array" aca="1" ref="G148" ca="1">IFERROR(INDEX(_xlfn.ANCHORARRAY($AA$11),ROW()-10,7),"")</f>
        <v/>
      </c>
      <c r="H148" s="16" t="str" cm="1">
        <f t="array" aca="1" ref="H148" ca="1">IFERROR(INDEX(_xlfn.ANCHORARRAY($AA$11),ROW()-10,8),"")</f>
        <v/>
      </c>
      <c r="I148" s="16" t="str" cm="1">
        <f t="array" aca="1" ref="I148" ca="1">IFERROR(INDEX(_xlfn.ANCHORARRAY($AA$11),ROW()-10,9),"")</f>
        <v/>
      </c>
      <c r="J148" s="16" t="str">
        <f t="shared" ca="1" si="12"/>
        <v/>
      </c>
      <c r="K148" s="16" t="str">
        <f t="shared" ca="1" si="13"/>
        <v/>
      </c>
      <c r="L148" s="16" t="str" cm="1">
        <f t="array" aca="1" ref="L148" ca="1">_xlfn.LET(_xlpm.link,IFERROR(INDEX(_xlfn.ANCHORARRAY($AA$11),ROW()-10,12),""),IF(_xlpm.link="","",HYPERLINK(_xlpm.link,"Bluecore/Attentive")))</f>
        <v/>
      </c>
      <c r="M148" s="61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55" t="str" cm="1">
        <f t="array" aca="1" ref="A149" ca="1">IFERROR(INDEX(_xlfn.ANCHORARRAY($AA$11),ROW()-10,1),"")</f>
        <v/>
      </c>
      <c r="B149" s="24" t="str" cm="1">
        <f t="array" aca="1" ref="B149" ca="1">IFERROR(INDEX(_xlfn.ANCHORARRAY($AA$11),ROW()-10,2),"")</f>
        <v/>
      </c>
      <c r="C149" s="16" t="str" cm="1">
        <f t="array" aca="1" ref="C149" ca="1">IFERROR(INDEX(_xlfn.ANCHORARRAY($AA$11),ROW()-10,3),"")</f>
        <v/>
      </c>
      <c r="D149" s="16" t="str" cm="1">
        <f t="array" aca="1" ref="D149" ca="1">IFERROR(INDEX(_xlfn.ANCHORARRAY($AA$11),ROW()-10,4),"")</f>
        <v/>
      </c>
      <c r="E149" s="16" t="str" cm="1">
        <f t="array" aca="1" ref="E149" ca="1">IFERROR(INDEX(_xlfn.ANCHORARRAY($AA$11),ROW()-10,5),"")</f>
        <v/>
      </c>
      <c r="F149" s="16" t="str" cm="1">
        <f t="array" aca="1" ref="F149" ca="1">IFERROR(INDEX(_xlfn.ANCHORARRAY($AA$11),ROW()-10,6),"")</f>
        <v/>
      </c>
      <c r="G149" s="16" t="str" cm="1">
        <f t="array" aca="1" ref="G149" ca="1">IFERROR(INDEX(_xlfn.ANCHORARRAY($AA$11),ROW()-10,7),"")</f>
        <v/>
      </c>
      <c r="H149" s="16" t="str" cm="1">
        <f t="array" aca="1" ref="H149" ca="1">IFERROR(INDEX(_xlfn.ANCHORARRAY($AA$11),ROW()-10,8),"")</f>
        <v/>
      </c>
      <c r="I149" s="16" t="str" cm="1">
        <f t="array" aca="1" ref="I149" ca="1">IFERROR(INDEX(_xlfn.ANCHORARRAY($AA$11),ROW()-10,9),"")</f>
        <v/>
      </c>
      <c r="J149" s="16" t="str">
        <f t="shared" ca="1" si="12"/>
        <v/>
      </c>
      <c r="K149" s="16" t="str">
        <f t="shared" ca="1" si="13"/>
        <v/>
      </c>
      <c r="L149" s="16" t="str" cm="1">
        <f t="array" aca="1" ref="L149" ca="1">_xlfn.LET(_xlpm.link,IFERROR(INDEX(_xlfn.ANCHORARRAY($AA$11),ROW()-10,12),""),IF(_xlpm.link="","",HYPERLINK(_xlpm.link,"Bluecore/Attentive")))</f>
        <v/>
      </c>
      <c r="M149" s="60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55" t="str" cm="1">
        <f t="array" aca="1" ref="A150" ca="1">IFERROR(INDEX(_xlfn.ANCHORARRAY($AA$11),ROW()-10,1),"")</f>
        <v/>
      </c>
      <c r="B150" s="24" t="str" cm="1">
        <f t="array" aca="1" ref="B150" ca="1">IFERROR(INDEX(_xlfn.ANCHORARRAY($AA$11),ROW()-10,2),"")</f>
        <v/>
      </c>
      <c r="C150" s="16" t="str" cm="1">
        <f t="array" aca="1" ref="C150" ca="1">IFERROR(INDEX(_xlfn.ANCHORARRAY($AA$11),ROW()-10,3),"")</f>
        <v/>
      </c>
      <c r="D150" s="16" t="str" cm="1">
        <f t="array" aca="1" ref="D150" ca="1">IFERROR(INDEX(_xlfn.ANCHORARRAY($AA$11),ROW()-10,4),"")</f>
        <v/>
      </c>
      <c r="E150" s="16" t="str" cm="1">
        <f t="array" aca="1" ref="E150" ca="1">IFERROR(INDEX(_xlfn.ANCHORARRAY($AA$11),ROW()-10,5),"")</f>
        <v/>
      </c>
      <c r="F150" s="16" t="str" cm="1">
        <f t="array" aca="1" ref="F150" ca="1">IFERROR(INDEX(_xlfn.ANCHORARRAY($AA$11),ROW()-10,6),"")</f>
        <v/>
      </c>
      <c r="G150" s="16" t="str" cm="1">
        <f t="array" aca="1" ref="G150" ca="1">IFERROR(INDEX(_xlfn.ANCHORARRAY($AA$11),ROW()-10,7),"")</f>
        <v/>
      </c>
      <c r="H150" s="16" t="str" cm="1">
        <f t="array" aca="1" ref="H150" ca="1">IFERROR(INDEX(_xlfn.ANCHORARRAY($AA$11),ROW()-10,8),"")</f>
        <v/>
      </c>
      <c r="I150" s="16" t="str" cm="1">
        <f t="array" aca="1" ref="I150" ca="1">IFERROR(INDEX(_xlfn.ANCHORARRAY($AA$11),ROW()-10,9),"")</f>
        <v/>
      </c>
      <c r="J150" s="16" t="str">
        <f t="shared" ca="1" si="12"/>
        <v/>
      </c>
      <c r="K150" s="16" t="str">
        <f t="shared" ca="1" si="13"/>
        <v/>
      </c>
      <c r="L150" s="16" t="str" cm="1">
        <f t="array" aca="1" ref="L150" ca="1">_xlfn.LET(_xlpm.link,IFERROR(INDEX(_xlfn.ANCHORARRAY($AA$11),ROW()-10,12),""),IF(_xlpm.link="","",HYPERLINK(_xlpm.link,"Bluecore/Attentive")))</f>
        <v/>
      </c>
      <c r="M150" s="61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55" t="str" cm="1">
        <f t="array" aca="1" ref="A151" ca="1">IFERROR(INDEX(_xlfn.ANCHORARRAY($AA$11),ROW()-10,1),"")</f>
        <v/>
      </c>
      <c r="B151" s="24" t="str" cm="1">
        <f t="array" aca="1" ref="B151" ca="1">IFERROR(INDEX(_xlfn.ANCHORARRAY($AA$11),ROW()-10,2),"")</f>
        <v/>
      </c>
      <c r="C151" s="16" t="str" cm="1">
        <f t="array" aca="1" ref="C151" ca="1">IFERROR(INDEX(_xlfn.ANCHORARRAY($AA$11),ROW()-10,3),"")</f>
        <v/>
      </c>
      <c r="D151" s="16" t="str" cm="1">
        <f t="array" aca="1" ref="D151" ca="1">IFERROR(INDEX(_xlfn.ANCHORARRAY($AA$11),ROW()-10,4),"")</f>
        <v/>
      </c>
      <c r="E151" s="16" t="str" cm="1">
        <f t="array" aca="1" ref="E151" ca="1">IFERROR(INDEX(_xlfn.ANCHORARRAY($AA$11),ROW()-10,5),"")</f>
        <v/>
      </c>
      <c r="F151" s="16" t="str" cm="1">
        <f t="array" aca="1" ref="F151" ca="1">IFERROR(INDEX(_xlfn.ANCHORARRAY($AA$11),ROW()-10,6),"")</f>
        <v/>
      </c>
      <c r="G151" s="16" t="str" cm="1">
        <f t="array" aca="1" ref="G151" ca="1">IFERROR(INDEX(_xlfn.ANCHORARRAY($AA$11),ROW()-10,7),"")</f>
        <v/>
      </c>
      <c r="H151" s="16" t="str" cm="1">
        <f t="array" aca="1" ref="H151" ca="1">IFERROR(INDEX(_xlfn.ANCHORARRAY($AA$11),ROW()-10,8),"")</f>
        <v/>
      </c>
      <c r="I151" s="16" t="str" cm="1">
        <f t="array" aca="1" ref="I151" ca="1">IFERROR(INDEX(_xlfn.ANCHORARRAY($AA$11),ROW()-10,9),"")</f>
        <v/>
      </c>
      <c r="J151" s="16" t="str">
        <f t="shared" ca="1" si="12"/>
        <v/>
      </c>
      <c r="K151" s="16" t="str">
        <f t="shared" ca="1" si="13"/>
        <v/>
      </c>
      <c r="L151" s="16" t="str" cm="1">
        <f t="array" aca="1" ref="L151" ca="1">_xlfn.LET(_xlpm.link,IFERROR(INDEX(_xlfn.ANCHORARRAY($AA$11),ROW()-10,12),""),IF(_xlpm.link="","",HYPERLINK(_xlpm.link,"Bluecore/Attentive")))</f>
        <v/>
      </c>
      <c r="M151" s="60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55" t="str" cm="1">
        <f t="array" aca="1" ref="A152" ca="1">IFERROR(INDEX(_xlfn.ANCHORARRAY($AA$11),ROW()-10,1),"")</f>
        <v/>
      </c>
      <c r="B152" s="24" t="str" cm="1">
        <f t="array" aca="1" ref="B152" ca="1">IFERROR(INDEX(_xlfn.ANCHORARRAY($AA$11),ROW()-10,2),"")</f>
        <v/>
      </c>
      <c r="C152" s="16" t="str" cm="1">
        <f t="array" aca="1" ref="C152" ca="1">IFERROR(INDEX(_xlfn.ANCHORARRAY($AA$11),ROW()-10,3),"")</f>
        <v/>
      </c>
      <c r="D152" s="16" t="str" cm="1">
        <f t="array" aca="1" ref="D152" ca="1">IFERROR(INDEX(_xlfn.ANCHORARRAY($AA$11),ROW()-10,4),"")</f>
        <v/>
      </c>
      <c r="E152" s="16" t="str" cm="1">
        <f t="array" aca="1" ref="E152" ca="1">IFERROR(INDEX(_xlfn.ANCHORARRAY($AA$11),ROW()-10,5),"")</f>
        <v/>
      </c>
      <c r="F152" s="16" t="str" cm="1">
        <f t="array" aca="1" ref="F152" ca="1">IFERROR(INDEX(_xlfn.ANCHORARRAY($AA$11),ROW()-10,6),"")</f>
        <v/>
      </c>
      <c r="G152" s="16" t="str" cm="1">
        <f t="array" aca="1" ref="G152" ca="1">IFERROR(INDEX(_xlfn.ANCHORARRAY($AA$11),ROW()-10,7),"")</f>
        <v/>
      </c>
      <c r="H152" s="16" t="str" cm="1">
        <f t="array" aca="1" ref="H152" ca="1">IFERROR(INDEX(_xlfn.ANCHORARRAY($AA$11),ROW()-10,8),"")</f>
        <v/>
      </c>
      <c r="I152" s="16" t="str" cm="1">
        <f t="array" aca="1" ref="I152" ca="1">IFERROR(INDEX(_xlfn.ANCHORARRAY($AA$11),ROW()-10,9),"")</f>
        <v/>
      </c>
      <c r="J152" s="16" t="str">
        <f t="shared" ca="1" si="12"/>
        <v/>
      </c>
      <c r="K152" s="16" t="str">
        <f t="shared" ca="1" si="13"/>
        <v/>
      </c>
      <c r="L152" s="16" t="str" cm="1">
        <f t="array" aca="1" ref="L152" ca="1">_xlfn.LET(_xlpm.link,IFERROR(INDEX(_xlfn.ANCHORARRAY($AA$11),ROW()-10,12),""),IF(_xlpm.link="","",HYPERLINK(_xlpm.link,"Bluecore/Attentive")))</f>
        <v/>
      </c>
      <c r="M152" s="61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55" t="str" cm="1">
        <f t="array" aca="1" ref="A153" ca="1">IFERROR(INDEX(_xlfn.ANCHORARRAY($AA$11),ROW()-10,1),"")</f>
        <v/>
      </c>
      <c r="B153" s="24" t="str" cm="1">
        <f t="array" aca="1" ref="B153" ca="1">IFERROR(INDEX(_xlfn.ANCHORARRAY($AA$11),ROW()-10,2),"")</f>
        <v/>
      </c>
      <c r="C153" s="16" t="str" cm="1">
        <f t="array" aca="1" ref="C153" ca="1">IFERROR(INDEX(_xlfn.ANCHORARRAY($AA$11),ROW()-10,3),"")</f>
        <v/>
      </c>
      <c r="D153" s="16" t="str" cm="1">
        <f t="array" aca="1" ref="D153" ca="1">IFERROR(INDEX(_xlfn.ANCHORARRAY($AA$11),ROW()-10,4),"")</f>
        <v/>
      </c>
      <c r="E153" s="16" t="str" cm="1">
        <f t="array" aca="1" ref="E153" ca="1">IFERROR(INDEX(_xlfn.ANCHORARRAY($AA$11),ROW()-10,5),"")</f>
        <v/>
      </c>
      <c r="F153" s="16" t="str" cm="1">
        <f t="array" aca="1" ref="F153" ca="1">IFERROR(INDEX(_xlfn.ANCHORARRAY($AA$11),ROW()-10,6),"")</f>
        <v/>
      </c>
      <c r="G153" s="16" t="str" cm="1">
        <f t="array" aca="1" ref="G153" ca="1">IFERROR(INDEX(_xlfn.ANCHORARRAY($AA$11),ROW()-10,7),"")</f>
        <v/>
      </c>
      <c r="H153" s="16" t="str" cm="1">
        <f t="array" aca="1" ref="H153" ca="1">IFERROR(INDEX(_xlfn.ANCHORARRAY($AA$11),ROW()-10,8),"")</f>
        <v/>
      </c>
      <c r="I153" s="16" t="str" cm="1">
        <f t="array" aca="1" ref="I153" ca="1">IFERROR(INDEX(_xlfn.ANCHORARRAY($AA$11),ROW()-10,9),"")</f>
        <v/>
      </c>
      <c r="J153" s="16" t="str">
        <f t="shared" ca="1" si="12"/>
        <v/>
      </c>
      <c r="K153" s="16" t="str">
        <f t="shared" ca="1" si="13"/>
        <v/>
      </c>
      <c r="L153" s="16" t="str" cm="1">
        <f t="array" aca="1" ref="L153" ca="1">_xlfn.LET(_xlpm.link,IFERROR(INDEX(_xlfn.ANCHORARRAY($AA$11),ROW()-10,12),""),IF(_xlpm.link="","",HYPERLINK(_xlpm.link,"Bluecore/Attentive")))</f>
        <v/>
      </c>
      <c r="M153" s="60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55" t="str" cm="1">
        <f t="array" aca="1" ref="A154" ca="1">IFERROR(INDEX(_xlfn.ANCHORARRAY($AA$11),ROW()-10,1),"")</f>
        <v/>
      </c>
      <c r="B154" s="24" t="str" cm="1">
        <f t="array" aca="1" ref="B154" ca="1">IFERROR(INDEX(_xlfn.ANCHORARRAY($AA$11),ROW()-10,2),"")</f>
        <v/>
      </c>
      <c r="C154" s="16" t="str" cm="1">
        <f t="array" aca="1" ref="C154" ca="1">IFERROR(INDEX(_xlfn.ANCHORARRAY($AA$11),ROW()-10,3),"")</f>
        <v/>
      </c>
      <c r="D154" s="16" t="str" cm="1">
        <f t="array" aca="1" ref="D154" ca="1">IFERROR(INDEX(_xlfn.ANCHORARRAY($AA$11),ROW()-10,4),"")</f>
        <v/>
      </c>
      <c r="E154" s="16" t="str" cm="1">
        <f t="array" aca="1" ref="E154" ca="1">IFERROR(INDEX(_xlfn.ANCHORARRAY($AA$11),ROW()-10,5),"")</f>
        <v/>
      </c>
      <c r="F154" s="16" t="str" cm="1">
        <f t="array" aca="1" ref="F154" ca="1">IFERROR(INDEX(_xlfn.ANCHORARRAY($AA$11),ROW()-10,6),"")</f>
        <v/>
      </c>
      <c r="G154" s="16" t="str" cm="1">
        <f t="array" aca="1" ref="G154" ca="1">IFERROR(INDEX(_xlfn.ANCHORARRAY($AA$11),ROW()-10,7),"")</f>
        <v/>
      </c>
      <c r="H154" s="16" t="str" cm="1">
        <f t="array" aca="1" ref="H154" ca="1">IFERROR(INDEX(_xlfn.ANCHORARRAY($AA$11),ROW()-10,8),"")</f>
        <v/>
      </c>
      <c r="I154" s="16" t="str" cm="1">
        <f t="array" aca="1" ref="I154" ca="1">IFERROR(INDEX(_xlfn.ANCHORARRAY($AA$11),ROW()-10,9),"")</f>
        <v/>
      </c>
      <c r="J154" s="16" t="str">
        <f t="shared" ca="1" si="12"/>
        <v/>
      </c>
      <c r="K154" s="16" t="str">
        <f t="shared" ca="1" si="13"/>
        <v/>
      </c>
      <c r="L154" s="16" t="str" cm="1">
        <f t="array" aca="1" ref="L154" ca="1">_xlfn.LET(_xlpm.link,IFERROR(INDEX(_xlfn.ANCHORARRAY($AA$11),ROW()-10,12),""),IF(_xlpm.link="","",HYPERLINK(_xlpm.link,"Bluecore/Attentive")))</f>
        <v/>
      </c>
      <c r="M154" s="61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55" t="str" cm="1">
        <f t="array" aca="1" ref="A155" ca="1">IFERROR(INDEX(_xlfn.ANCHORARRAY($AA$11),ROW()-10,1),"")</f>
        <v/>
      </c>
      <c r="B155" s="24" t="str" cm="1">
        <f t="array" aca="1" ref="B155" ca="1">IFERROR(INDEX(_xlfn.ANCHORARRAY($AA$11),ROW()-10,2),"")</f>
        <v/>
      </c>
      <c r="C155" s="16" t="str" cm="1">
        <f t="array" aca="1" ref="C155" ca="1">IFERROR(INDEX(_xlfn.ANCHORARRAY($AA$11),ROW()-10,3),"")</f>
        <v/>
      </c>
      <c r="D155" s="16" t="str" cm="1">
        <f t="array" aca="1" ref="D155" ca="1">IFERROR(INDEX(_xlfn.ANCHORARRAY($AA$11),ROW()-10,4),"")</f>
        <v/>
      </c>
      <c r="E155" s="16" t="str" cm="1">
        <f t="array" aca="1" ref="E155" ca="1">IFERROR(INDEX(_xlfn.ANCHORARRAY($AA$11),ROW()-10,5),"")</f>
        <v/>
      </c>
      <c r="F155" s="16" t="str" cm="1">
        <f t="array" aca="1" ref="F155" ca="1">IFERROR(INDEX(_xlfn.ANCHORARRAY($AA$11),ROW()-10,6),"")</f>
        <v/>
      </c>
      <c r="G155" s="16" t="str" cm="1">
        <f t="array" aca="1" ref="G155" ca="1">IFERROR(INDEX(_xlfn.ANCHORARRAY($AA$11),ROW()-10,7),"")</f>
        <v/>
      </c>
      <c r="H155" s="16" t="str" cm="1">
        <f t="array" aca="1" ref="H155" ca="1">IFERROR(INDEX(_xlfn.ANCHORARRAY($AA$11),ROW()-10,8),"")</f>
        <v/>
      </c>
      <c r="I155" s="16" t="str" cm="1">
        <f t="array" aca="1" ref="I155" ca="1">IFERROR(INDEX(_xlfn.ANCHORARRAY($AA$11),ROW()-10,9),"")</f>
        <v/>
      </c>
      <c r="J155" s="16" t="str">
        <f t="shared" ca="1" si="12"/>
        <v/>
      </c>
      <c r="K155" s="16" t="str">
        <f t="shared" ca="1" si="13"/>
        <v/>
      </c>
      <c r="L155" s="16" t="str" cm="1">
        <f t="array" aca="1" ref="L155" ca="1">_xlfn.LET(_xlpm.link,IFERROR(INDEX(_xlfn.ANCHORARRAY($AA$11),ROW()-10,12),""),IF(_xlpm.link="","",HYPERLINK(_xlpm.link,"Bluecore/Attentive")))</f>
        <v/>
      </c>
      <c r="M155" s="60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55" t="str" cm="1">
        <f t="array" aca="1" ref="A156" ca="1">IFERROR(INDEX(_xlfn.ANCHORARRAY($AA$11),ROW()-10,1),"")</f>
        <v/>
      </c>
      <c r="B156" s="24" t="str" cm="1">
        <f t="array" aca="1" ref="B156" ca="1">IFERROR(INDEX(_xlfn.ANCHORARRAY($AA$11),ROW()-10,2),"")</f>
        <v/>
      </c>
      <c r="C156" s="16" t="str" cm="1">
        <f t="array" aca="1" ref="C156" ca="1">IFERROR(INDEX(_xlfn.ANCHORARRAY($AA$11),ROW()-10,3),"")</f>
        <v/>
      </c>
      <c r="D156" s="16" t="str" cm="1">
        <f t="array" aca="1" ref="D156" ca="1">IFERROR(INDEX(_xlfn.ANCHORARRAY($AA$11),ROW()-10,4),"")</f>
        <v/>
      </c>
      <c r="E156" s="16" t="str" cm="1">
        <f t="array" aca="1" ref="E156" ca="1">IFERROR(INDEX(_xlfn.ANCHORARRAY($AA$11),ROW()-10,5),"")</f>
        <v/>
      </c>
      <c r="F156" s="16" t="str" cm="1">
        <f t="array" aca="1" ref="F156" ca="1">IFERROR(INDEX(_xlfn.ANCHORARRAY($AA$11),ROW()-10,6),"")</f>
        <v/>
      </c>
      <c r="G156" s="16" t="str" cm="1">
        <f t="array" aca="1" ref="G156" ca="1">IFERROR(INDEX(_xlfn.ANCHORARRAY($AA$11),ROW()-10,7),"")</f>
        <v/>
      </c>
      <c r="H156" s="16" t="str" cm="1">
        <f t="array" aca="1" ref="H156" ca="1">IFERROR(INDEX(_xlfn.ANCHORARRAY($AA$11),ROW()-10,8),"")</f>
        <v/>
      </c>
      <c r="I156" s="16" t="str" cm="1">
        <f t="array" aca="1" ref="I156" ca="1">IFERROR(INDEX(_xlfn.ANCHORARRAY($AA$11),ROW()-10,9),"")</f>
        <v/>
      </c>
      <c r="J156" s="16" t="str">
        <f t="shared" ca="1" si="12"/>
        <v/>
      </c>
      <c r="K156" s="16" t="str">
        <f t="shared" ca="1" si="13"/>
        <v/>
      </c>
      <c r="L156" s="16" t="str" cm="1">
        <f t="array" aca="1" ref="L156" ca="1">_xlfn.LET(_xlpm.link,IFERROR(INDEX(_xlfn.ANCHORARRAY($AA$11),ROW()-10,12),""),IF(_xlpm.link="","",HYPERLINK(_xlpm.link,"Bluecore/Attentive")))</f>
        <v/>
      </c>
      <c r="M156" s="61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55" t="str" cm="1">
        <f t="array" aca="1" ref="A157" ca="1">IFERROR(INDEX(_xlfn.ANCHORARRAY($AA$11),ROW()-10,1),"")</f>
        <v/>
      </c>
      <c r="B157" s="24" t="str" cm="1">
        <f t="array" aca="1" ref="B157" ca="1">IFERROR(INDEX(_xlfn.ANCHORARRAY($AA$11),ROW()-10,2),"")</f>
        <v/>
      </c>
      <c r="C157" s="16" t="str" cm="1">
        <f t="array" aca="1" ref="C157" ca="1">IFERROR(INDEX(_xlfn.ANCHORARRAY($AA$11),ROW()-10,3),"")</f>
        <v/>
      </c>
      <c r="D157" s="16" t="str" cm="1">
        <f t="array" aca="1" ref="D157" ca="1">IFERROR(INDEX(_xlfn.ANCHORARRAY($AA$11),ROW()-10,4),"")</f>
        <v/>
      </c>
      <c r="E157" s="16" t="str" cm="1">
        <f t="array" aca="1" ref="E157" ca="1">IFERROR(INDEX(_xlfn.ANCHORARRAY($AA$11),ROW()-10,5),"")</f>
        <v/>
      </c>
      <c r="F157" s="16" t="str" cm="1">
        <f t="array" aca="1" ref="F157" ca="1">IFERROR(INDEX(_xlfn.ANCHORARRAY($AA$11),ROW()-10,6),"")</f>
        <v/>
      </c>
      <c r="G157" s="16" t="str" cm="1">
        <f t="array" aca="1" ref="G157" ca="1">IFERROR(INDEX(_xlfn.ANCHORARRAY($AA$11),ROW()-10,7),"")</f>
        <v/>
      </c>
      <c r="H157" s="16" t="str" cm="1">
        <f t="array" aca="1" ref="H157" ca="1">IFERROR(INDEX(_xlfn.ANCHORARRAY($AA$11),ROW()-10,8),"")</f>
        <v/>
      </c>
      <c r="I157" s="16" t="str" cm="1">
        <f t="array" aca="1" ref="I157" ca="1">IFERROR(INDEX(_xlfn.ANCHORARRAY($AA$11),ROW()-10,9),"")</f>
        <v/>
      </c>
      <c r="J157" s="16" t="str">
        <f t="shared" ca="1" si="12"/>
        <v/>
      </c>
      <c r="K157" s="16" t="str">
        <f t="shared" ca="1" si="13"/>
        <v/>
      </c>
      <c r="L157" s="16" t="str" cm="1">
        <f t="array" aca="1" ref="L157" ca="1">_xlfn.LET(_xlpm.link,IFERROR(INDEX(_xlfn.ANCHORARRAY($AA$11),ROW()-10,12),""),IF(_xlpm.link="","",HYPERLINK(_xlpm.link,"Bluecore/Attentive")))</f>
        <v/>
      </c>
      <c r="M157" s="60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55" t="str" cm="1">
        <f t="array" aca="1" ref="A158" ca="1">IFERROR(INDEX(_xlfn.ANCHORARRAY($AA$11),ROW()-10,1),"")</f>
        <v/>
      </c>
      <c r="B158" s="24" t="str" cm="1">
        <f t="array" aca="1" ref="B158" ca="1">IFERROR(INDEX(_xlfn.ANCHORARRAY($AA$11),ROW()-10,2),"")</f>
        <v/>
      </c>
      <c r="C158" s="16" t="str" cm="1">
        <f t="array" aca="1" ref="C158" ca="1">IFERROR(INDEX(_xlfn.ANCHORARRAY($AA$11),ROW()-10,3),"")</f>
        <v/>
      </c>
      <c r="D158" s="16" t="str" cm="1">
        <f t="array" aca="1" ref="D158" ca="1">IFERROR(INDEX(_xlfn.ANCHORARRAY($AA$11),ROW()-10,4),"")</f>
        <v/>
      </c>
      <c r="E158" s="16" t="str" cm="1">
        <f t="array" aca="1" ref="E158" ca="1">IFERROR(INDEX(_xlfn.ANCHORARRAY($AA$11),ROW()-10,5),"")</f>
        <v/>
      </c>
      <c r="F158" s="16" t="str" cm="1">
        <f t="array" aca="1" ref="F158" ca="1">IFERROR(INDEX(_xlfn.ANCHORARRAY($AA$11),ROW()-10,6),"")</f>
        <v/>
      </c>
      <c r="G158" s="16" t="str" cm="1">
        <f t="array" aca="1" ref="G158" ca="1">IFERROR(INDEX(_xlfn.ANCHORARRAY($AA$11),ROW()-10,7),"")</f>
        <v/>
      </c>
      <c r="H158" s="16" t="str" cm="1">
        <f t="array" aca="1" ref="H158" ca="1">IFERROR(INDEX(_xlfn.ANCHORARRAY($AA$11),ROW()-10,8),"")</f>
        <v/>
      </c>
      <c r="I158" s="16" t="str" cm="1">
        <f t="array" aca="1" ref="I158" ca="1">IFERROR(INDEX(_xlfn.ANCHORARRAY($AA$11),ROW()-10,9),"")</f>
        <v/>
      </c>
      <c r="J158" s="16" t="str">
        <f t="shared" ca="1" si="12"/>
        <v/>
      </c>
      <c r="K158" s="16" t="str">
        <f t="shared" ca="1" si="13"/>
        <v/>
      </c>
      <c r="L158" s="16" t="str" cm="1">
        <f t="array" aca="1" ref="L158" ca="1">_xlfn.LET(_xlpm.link,IFERROR(INDEX(_xlfn.ANCHORARRAY($AA$11),ROW()-10,12),""),IF(_xlpm.link="","",HYPERLINK(_xlpm.link,"Bluecore/Attentive")))</f>
        <v/>
      </c>
      <c r="M158" s="61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55" t="str" cm="1">
        <f t="array" aca="1" ref="A159" ca="1">IFERROR(INDEX(_xlfn.ANCHORARRAY($AA$11),ROW()-10,1),"")</f>
        <v/>
      </c>
      <c r="B159" s="24" t="str" cm="1">
        <f t="array" aca="1" ref="B159" ca="1">IFERROR(INDEX(_xlfn.ANCHORARRAY($AA$11),ROW()-10,2),"")</f>
        <v/>
      </c>
      <c r="C159" s="16" t="str" cm="1">
        <f t="array" aca="1" ref="C159" ca="1">IFERROR(INDEX(_xlfn.ANCHORARRAY($AA$11),ROW()-10,3),"")</f>
        <v/>
      </c>
      <c r="D159" s="16" t="str" cm="1">
        <f t="array" aca="1" ref="D159" ca="1">IFERROR(INDEX(_xlfn.ANCHORARRAY($AA$11),ROW()-10,4),"")</f>
        <v/>
      </c>
      <c r="E159" s="16" t="str" cm="1">
        <f t="array" aca="1" ref="E159" ca="1">IFERROR(INDEX(_xlfn.ANCHORARRAY($AA$11),ROW()-10,5),"")</f>
        <v/>
      </c>
      <c r="F159" s="16" t="str" cm="1">
        <f t="array" aca="1" ref="F159" ca="1">IFERROR(INDEX(_xlfn.ANCHORARRAY($AA$11),ROW()-10,6),"")</f>
        <v/>
      </c>
      <c r="G159" s="16" t="str" cm="1">
        <f t="array" aca="1" ref="G159" ca="1">IFERROR(INDEX(_xlfn.ANCHORARRAY($AA$11),ROW()-10,7),"")</f>
        <v/>
      </c>
      <c r="H159" s="16" t="str" cm="1">
        <f t="array" aca="1" ref="H159" ca="1">IFERROR(INDEX(_xlfn.ANCHORARRAY($AA$11),ROW()-10,8),"")</f>
        <v/>
      </c>
      <c r="I159" s="16" t="str" cm="1">
        <f t="array" aca="1" ref="I159" ca="1">IFERROR(INDEX(_xlfn.ANCHORARRAY($AA$11),ROW()-10,9),"")</f>
        <v/>
      </c>
      <c r="J159" s="16" t="str">
        <f t="shared" ca="1" si="12"/>
        <v/>
      </c>
      <c r="K159" s="16" t="str">
        <f t="shared" ca="1" si="13"/>
        <v/>
      </c>
      <c r="L159" s="16" t="str" cm="1">
        <f t="array" aca="1" ref="L159" ca="1">_xlfn.LET(_xlpm.link,IFERROR(INDEX(_xlfn.ANCHORARRAY($AA$11),ROW()-10,12),""),IF(_xlpm.link="","",HYPERLINK(_xlpm.link,"Bluecore/Attentive")))</f>
        <v/>
      </c>
      <c r="M159" s="60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55" t="str" cm="1">
        <f t="array" aca="1" ref="A160" ca="1">IFERROR(INDEX(_xlfn.ANCHORARRAY($AA$11),ROW()-10,1),"")</f>
        <v/>
      </c>
      <c r="B160" s="24" t="str" cm="1">
        <f t="array" aca="1" ref="B160" ca="1">IFERROR(INDEX(_xlfn.ANCHORARRAY($AA$11),ROW()-10,2),"")</f>
        <v/>
      </c>
      <c r="C160" s="16" t="str" cm="1">
        <f t="array" aca="1" ref="C160" ca="1">IFERROR(INDEX(_xlfn.ANCHORARRAY($AA$11),ROW()-10,3),"")</f>
        <v/>
      </c>
      <c r="D160" s="16" t="str" cm="1">
        <f t="array" aca="1" ref="D160" ca="1">IFERROR(INDEX(_xlfn.ANCHORARRAY($AA$11),ROW()-10,4),"")</f>
        <v/>
      </c>
      <c r="E160" s="16" t="str" cm="1">
        <f t="array" aca="1" ref="E160" ca="1">IFERROR(INDEX(_xlfn.ANCHORARRAY($AA$11),ROW()-10,5),"")</f>
        <v/>
      </c>
      <c r="F160" s="16" t="str" cm="1">
        <f t="array" aca="1" ref="F160" ca="1">IFERROR(INDEX(_xlfn.ANCHORARRAY($AA$11),ROW()-10,6),"")</f>
        <v/>
      </c>
      <c r="G160" s="16" t="str" cm="1">
        <f t="array" aca="1" ref="G160" ca="1">IFERROR(INDEX(_xlfn.ANCHORARRAY($AA$11),ROW()-10,7),"")</f>
        <v/>
      </c>
      <c r="H160" s="16" t="str" cm="1">
        <f t="array" aca="1" ref="H160" ca="1">IFERROR(INDEX(_xlfn.ANCHORARRAY($AA$11),ROW()-10,8),"")</f>
        <v/>
      </c>
      <c r="I160" s="16" t="str" cm="1">
        <f t="array" aca="1" ref="I160" ca="1">IFERROR(INDEX(_xlfn.ANCHORARRAY($AA$11),ROW()-10,9),"")</f>
        <v/>
      </c>
      <c r="J160" s="16" t="str">
        <f t="shared" ca="1" si="12"/>
        <v/>
      </c>
      <c r="K160" s="16" t="str">
        <f t="shared" ca="1" si="13"/>
        <v/>
      </c>
      <c r="L160" s="16" t="str" cm="1">
        <f t="array" aca="1" ref="L160" ca="1">_xlfn.LET(_xlpm.link,IFERROR(INDEX(_xlfn.ANCHORARRAY($AA$11),ROW()-10,12),""),IF(_xlpm.link="","",HYPERLINK(_xlpm.link,"Bluecore/Attentive")))</f>
        <v/>
      </c>
      <c r="M160" s="61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44"/>
      <c r="B161" s="24"/>
      <c r="C161" s="16"/>
      <c r="D161" s="16"/>
      <c r="E161" s="16"/>
      <c r="G161" s="16"/>
      <c r="H161" s="16"/>
      <c r="I161" s="16"/>
      <c r="J161" s="16"/>
      <c r="K161" s="16"/>
      <c r="L161" s="16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5" t="s">
        <v>33</v>
      </c>
      <c r="B162" s="25" t="s">
        <v>34</v>
      </c>
      <c r="C162" s="56">
        <f ca="1">C5</f>
        <v>0</v>
      </c>
      <c r="D162" s="26" t="s">
        <v>35</v>
      </c>
      <c r="E162" s="16"/>
      <c r="G162" s="16"/>
      <c r="H162" s="16"/>
      <c r="I162" s="16"/>
      <c r="J162" s="16"/>
      <c r="K162" s="16"/>
      <c r="L162" s="16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9</v>
      </c>
      <c r="B163" s="27" t="s">
        <v>36</v>
      </c>
      <c r="C163" s="57">
        <f>E5</f>
        <v>1</v>
      </c>
      <c r="D163" s="28" t="s">
        <v>37</v>
      </c>
      <c r="E163" s="16"/>
      <c r="G163" s="16"/>
      <c r="H163" s="16"/>
      <c r="I163" s="16"/>
      <c r="J163" s="16"/>
      <c r="K163" s="16"/>
      <c r="L163" s="16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7" t="s">
        <v>10</v>
      </c>
      <c r="B164" s="29" t="s">
        <v>36</v>
      </c>
      <c r="C164" s="58">
        <f>G5</f>
        <v>0</v>
      </c>
      <c r="D164" s="30" t="s">
        <v>38</v>
      </c>
      <c r="E164" s="16"/>
      <c r="G164" s="16"/>
      <c r="H164" s="16"/>
      <c r="I164" s="16"/>
      <c r="J164" s="16"/>
      <c r="K164" s="16"/>
      <c r="L164" s="16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11</v>
      </c>
      <c r="B165" s="27" t="s">
        <v>34</v>
      </c>
      <c r="C165" s="57">
        <f>I5</f>
        <v>0</v>
      </c>
      <c r="D165" s="28" t="s">
        <v>39</v>
      </c>
      <c r="E165" s="16"/>
      <c r="G165" s="16"/>
      <c r="H165" s="16"/>
      <c r="I165" s="16"/>
      <c r="J165" s="16"/>
      <c r="K165" s="16"/>
      <c r="L165" s="16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7" t="s">
        <v>12</v>
      </c>
      <c r="B166" s="29" t="s">
        <v>40</v>
      </c>
      <c r="C166" s="58">
        <f>K5</f>
        <v>14</v>
      </c>
      <c r="D166" s="30" t="s">
        <v>41</v>
      </c>
      <c r="E166" s="16"/>
      <c r="G166" s="16"/>
      <c r="H166" s="16"/>
      <c r="I166" s="16"/>
      <c r="J166" s="16"/>
      <c r="K166" s="16"/>
      <c r="L166" s="16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mergeCells count="25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M4:N4"/>
    <mergeCell ref="M5:N5"/>
    <mergeCell ref="M6:N6"/>
    <mergeCell ref="A9:L9"/>
    <mergeCell ref="I6:J6"/>
    <mergeCell ref="K4:L4"/>
    <mergeCell ref="K5:L5"/>
    <mergeCell ref="K6:L6"/>
    <mergeCell ref="A8:L8"/>
  </mergeCells>
  <conditionalFormatting sqref="B6 B8">
    <cfRule type="cellIs" dxfId="116" priority="2" operator="greaterThan">
      <formula>0</formula>
    </cfRule>
  </conditionalFormatting>
  <conditionalFormatting sqref="B8">
    <cfRule type="cellIs" dxfId="115" priority="3" operator="greaterThan">
      <formula>0</formula>
    </cfRule>
  </conditionalFormatting>
  <conditionalFormatting sqref="B9">
    <cfRule type="cellIs" dxfId="114" priority="4" operator="greaterThan">
      <formula>0</formula>
    </cfRule>
  </conditionalFormatting>
  <conditionalFormatting sqref="E11:E160">
    <cfRule type="expression" dxfId="113" priority="11">
      <formula>E11="Scheduled"</formula>
    </cfRule>
    <cfRule type="expression" dxfId="112" priority="12">
      <formula>E11="Sent"</formula>
    </cfRule>
    <cfRule type="expression" dxfId="111" priority="13">
      <formula>E11="Blocked"</formula>
    </cfRule>
  </conditionalFormatting>
  <conditionalFormatting sqref="G11:G160">
    <cfRule type="expression" dxfId="110" priority="5">
      <formula>G11="Critical"</formula>
    </cfRule>
    <cfRule type="expression" dxfId="109" priority="6">
      <formula>G11="High Risk"</formula>
    </cfRule>
    <cfRule type="expression" dxfId="108" priority="7">
      <formula>G11="At Risk"</formula>
    </cfRule>
    <cfRule type="expression" dxfId="107" priority="8">
      <formula>G11="Blocked"</formula>
    </cfRule>
    <cfRule type="expression" dxfId="106" priority="9">
      <formula>G11="Ready"</formula>
    </cfRule>
    <cfRule type="expression" dxfId="105" priority="10">
      <formula>G11="Complete"</formula>
    </cfRule>
  </conditionalFormatting>
  <conditionalFormatting sqref="H11:H160">
    <cfRule type="cellIs" dxfId="104" priority="130" stopIfTrue="1" operator="equal">
      <formula>"Done"</formula>
    </cfRule>
  </conditionalFormatting>
  <conditionalFormatting sqref="H11:H160">
    <cfRule type="cellIs" dxfId="103" priority="131" stopIfTrue="1" operator="equal">
      <formula>"Not Yet"</formula>
    </cfRule>
  </conditionalFormatting>
  <conditionalFormatting sqref="I11:I160">
    <cfRule type="cellIs" dxfId="102" priority="132" stopIfTrue="1" operator="equal">
      <formula>"Provided"</formula>
    </cfRule>
  </conditionalFormatting>
  <conditionalFormatting sqref="I11:I160">
    <cfRule type="cellIs" dxfId="101" priority="133" stopIfTrue="1" operator="equal">
      <formula>"Pending"</formula>
    </cfRule>
  </conditionalFormatting>
  <conditionalFormatting sqref="A11:L45">
    <cfRule type="expression" dxfId="100" priority="134">
      <formula>LEFT($D11,9)="CANCELLED"</formula>
    </cfRule>
  </conditionalFormatting>
  <conditionalFormatting sqref="M11:M45">
    <cfRule type="expression" dxfId="99" priority="1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22.625" style="3" customWidth="1"/>
    <col min="8" max="8" width="20.625" style="3" customWidth="1"/>
    <col min="9" max="9" width="12.625" style="3" customWidth="1"/>
    <col min="10" max="11" width="13.625" style="3" customWidth="1"/>
    <col min="12" max="12" width="12.625" style="3" customWidth="1"/>
    <col min="13" max="14" width="13.625" style="3" customWidth="1"/>
    <col min="15" max="18" width="14.625" style="3" customWidth="1"/>
    <col min="19" max="19" width="12.625" style="3" customWidth="1"/>
    <col min="20" max="20" width="20.625" style="3" hidden="1" customWidth="1"/>
    <col min="21" max="21" width="18.625" style="3" hidden="1" customWidth="1"/>
    <col min="22" max="22" width="50.625" style="3" customWidth="1"/>
    <col min="23" max="23" width="19" style="1" customWidth="1"/>
    <col min="24" max="16384" width="9" style="1"/>
  </cols>
  <sheetData>
    <row r="1" spans="1:22" s="2" customFormat="1" ht="45">
      <c r="A1" s="11" t="s">
        <v>21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27</v>
      </c>
      <c r="G1" s="11" t="s">
        <v>46</v>
      </c>
      <c r="H1" s="11" t="s">
        <v>47</v>
      </c>
      <c r="I1" s="11" t="s">
        <v>48</v>
      </c>
      <c r="J1" s="11" t="s">
        <v>49</v>
      </c>
      <c r="K1" s="11" t="s">
        <v>50</v>
      </c>
      <c r="L1" s="11" t="s">
        <v>51</v>
      </c>
      <c r="M1" s="11" t="s">
        <v>28</v>
      </c>
      <c r="N1" s="11" t="s">
        <v>29</v>
      </c>
      <c r="O1" s="11" t="s">
        <v>52</v>
      </c>
      <c r="P1" s="11" t="s">
        <v>53</v>
      </c>
      <c r="Q1" s="11" t="s">
        <v>54</v>
      </c>
      <c r="R1" s="11" t="s">
        <v>55</v>
      </c>
      <c r="S1" s="11" t="s">
        <v>56</v>
      </c>
      <c r="T1" s="11" t="s">
        <v>57</v>
      </c>
      <c r="U1" s="11" t="s">
        <v>58</v>
      </c>
      <c r="V1" s="11" t="s">
        <v>59</v>
      </c>
    </row>
    <row r="2" spans="1:22" s="5" customFormat="1" ht="45">
      <c r="A2" s="52">
        <v>46174</v>
      </c>
      <c r="B2" s="12" t="s">
        <v>60</v>
      </c>
      <c r="C2" s="4" t="s">
        <v>61</v>
      </c>
      <c r="D2" s="4" t="s">
        <v>62</v>
      </c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2" t="s">
        <v>63</v>
      </c>
      <c r="G2" s="34" t="b">
        <v>1</v>
      </c>
      <c r="H2" s="34" t="b">
        <v>1</v>
      </c>
      <c r="I2" s="34" t="b">
        <v>1</v>
      </c>
      <c r="J2" s="34" t="b">
        <v>1</v>
      </c>
      <c r="K2" s="34" t="b">
        <v>1</v>
      </c>
      <c r="L2" s="34" t="b">
        <v>1</v>
      </c>
      <c r="M2" s="34" t="b">
        <v>1</v>
      </c>
      <c r="N2" s="34" t="b">
        <v>1</v>
      </c>
      <c r="O2" s="36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P2" s="36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Q2" s="36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R2" s="35">
        <v>1034750</v>
      </c>
      <c r="S2" s="35">
        <v>1146014</v>
      </c>
      <c r="T2" s="49">
        <v>46180.898900462962</v>
      </c>
      <c r="U2" s="32" t="s">
        <v>64</v>
      </c>
      <c r="V2" s="32"/>
    </row>
    <row r="3" spans="1:22" s="5" customFormat="1" ht="45">
      <c r="A3" s="52">
        <v>46175</v>
      </c>
      <c r="B3" s="12" t="s">
        <v>60</v>
      </c>
      <c r="C3" s="4" t="s">
        <v>65</v>
      </c>
      <c r="D3" s="4" t="s">
        <v>66</v>
      </c>
      <c r="E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2" t="s">
        <v>63</v>
      </c>
      <c r="G3" s="34" t="b">
        <v>1</v>
      </c>
      <c r="H3" s="34" t="b">
        <v>1</v>
      </c>
      <c r="I3" s="34" t="b">
        <v>1</v>
      </c>
      <c r="J3" s="34" t="b">
        <v>1</v>
      </c>
      <c r="K3" s="34" t="b">
        <v>1</v>
      </c>
      <c r="L3" s="34" t="b">
        <v>1</v>
      </c>
      <c r="M3" s="34" t="b">
        <v>1</v>
      </c>
      <c r="N3" s="34" t="b">
        <v>1</v>
      </c>
      <c r="O3" s="36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P3" s="36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Q3" s="36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R3" s="35">
        <v>23414</v>
      </c>
      <c r="S3" s="35">
        <v>23461</v>
      </c>
      <c r="T3" s="49">
        <v>46180.920636574076</v>
      </c>
      <c r="U3" s="32" t="s">
        <v>64</v>
      </c>
      <c r="V3" s="32"/>
    </row>
    <row r="4" spans="1:22" s="5" customFormat="1" ht="45">
      <c r="A4" s="52">
        <v>46175</v>
      </c>
      <c r="B4" s="12" t="s">
        <v>60</v>
      </c>
      <c r="C4" s="4" t="s">
        <v>67</v>
      </c>
      <c r="D4" s="4" t="s">
        <v>66</v>
      </c>
      <c r="E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2" t="s">
        <v>63</v>
      </c>
      <c r="G4" s="34" t="b">
        <v>1</v>
      </c>
      <c r="H4" s="34" t="b">
        <v>1</v>
      </c>
      <c r="I4" s="34" t="b">
        <v>1</v>
      </c>
      <c r="J4" s="34" t="b">
        <v>1</v>
      </c>
      <c r="K4" s="34" t="b">
        <v>1</v>
      </c>
      <c r="L4" s="34" t="b">
        <v>1</v>
      </c>
      <c r="M4" s="34" t="b">
        <v>1</v>
      </c>
      <c r="N4" s="34" t="b">
        <v>1</v>
      </c>
      <c r="O4" s="36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P4" s="36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Q4" s="36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R4" s="35">
        <v>17521</v>
      </c>
      <c r="S4" s="35">
        <v>17922</v>
      </c>
      <c r="T4" s="49">
        <v>46180.923391203702</v>
      </c>
      <c r="U4" s="32" t="s">
        <v>64</v>
      </c>
      <c r="V4" s="32"/>
    </row>
    <row r="5" spans="1:22" s="5" customFormat="1" ht="45">
      <c r="A5" s="52">
        <v>46175</v>
      </c>
      <c r="B5" s="12" t="s">
        <v>60</v>
      </c>
      <c r="C5" s="4" t="s">
        <v>68</v>
      </c>
      <c r="D5" s="4" t="s">
        <v>66</v>
      </c>
      <c r="E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2" t="s">
        <v>63</v>
      </c>
      <c r="G5" s="34" t="b">
        <v>1</v>
      </c>
      <c r="H5" s="34" t="b">
        <v>1</v>
      </c>
      <c r="I5" s="34" t="b">
        <v>1</v>
      </c>
      <c r="J5" s="34" t="b">
        <v>1</v>
      </c>
      <c r="K5" s="34" t="b">
        <v>1</v>
      </c>
      <c r="L5" s="34" t="b">
        <v>1</v>
      </c>
      <c r="M5" s="34" t="b">
        <v>1</v>
      </c>
      <c r="N5" s="34" t="b">
        <v>1</v>
      </c>
      <c r="O5" s="36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P5" s="36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Q5" s="36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R5" s="35">
        <v>2587</v>
      </c>
      <c r="S5" s="35">
        <v>2651</v>
      </c>
      <c r="T5" s="49">
        <v>46180.921400462961</v>
      </c>
      <c r="U5" s="32" t="s">
        <v>64</v>
      </c>
      <c r="V5" s="32"/>
    </row>
    <row r="6" spans="1:22" s="5" customFormat="1" ht="45">
      <c r="A6" s="52">
        <v>46176</v>
      </c>
      <c r="B6" s="12" t="s">
        <v>60</v>
      </c>
      <c r="C6" s="4" t="s">
        <v>69</v>
      </c>
      <c r="D6" s="4" t="s">
        <v>70</v>
      </c>
      <c r="E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2" t="s">
        <v>71</v>
      </c>
      <c r="G6" s="34" t="b">
        <v>1</v>
      </c>
      <c r="H6" s="34" t="b">
        <v>1</v>
      </c>
      <c r="I6" s="34" t="b">
        <v>1</v>
      </c>
      <c r="J6" s="34" t="b">
        <v>1</v>
      </c>
      <c r="K6" s="34" t="b">
        <v>1</v>
      </c>
      <c r="L6" s="34" t="b">
        <v>1</v>
      </c>
      <c r="M6" s="34" t="b">
        <v>1</v>
      </c>
      <c r="N6" s="34" t="b">
        <v>1</v>
      </c>
      <c r="O6" s="36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P6" s="36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Q6" s="36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R6" s="35">
        <v>455800</v>
      </c>
      <c r="S6" s="35">
        <v>466728</v>
      </c>
      <c r="T6" s="49">
        <v>46180.896527777775</v>
      </c>
      <c r="U6" s="32" t="s">
        <v>64</v>
      </c>
      <c r="V6" s="32"/>
    </row>
    <row r="7" spans="1:22" s="5" customFormat="1" ht="45">
      <c r="A7" s="53">
        <v>46177</v>
      </c>
      <c r="B7" s="37" t="s">
        <v>60</v>
      </c>
      <c r="C7" s="38" t="s">
        <v>72</v>
      </c>
      <c r="D7" s="38" t="s">
        <v>66</v>
      </c>
      <c r="E7" s="38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39" t="s">
        <v>71</v>
      </c>
      <c r="G7" s="40" t="b">
        <v>1</v>
      </c>
      <c r="H7" s="40" t="b">
        <v>1</v>
      </c>
      <c r="I7" s="40" t="b">
        <v>1</v>
      </c>
      <c r="J7" s="40" t="b">
        <v>1</v>
      </c>
      <c r="K7" s="40" t="b">
        <v>1</v>
      </c>
      <c r="L7" s="40" t="b">
        <v>1</v>
      </c>
      <c r="M7" s="40" t="b">
        <v>1</v>
      </c>
      <c r="N7" s="40" t="b">
        <v>1</v>
      </c>
      <c r="O7" s="41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P7" s="41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Q7" s="41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R7" s="42"/>
      <c r="S7" s="42"/>
      <c r="T7" s="50">
        <v>46180.896620370368</v>
      </c>
      <c r="U7" s="39" t="s">
        <v>64</v>
      </c>
      <c r="V7" s="39" t="s">
        <v>73</v>
      </c>
    </row>
    <row r="8" spans="1:22" s="5" customFormat="1" ht="45">
      <c r="A8" s="52">
        <v>46178</v>
      </c>
      <c r="B8" s="12">
        <v>0.33333333333333331</v>
      </c>
      <c r="C8" s="4" t="s">
        <v>74</v>
      </c>
      <c r="D8" s="4" t="s">
        <v>62</v>
      </c>
      <c r="E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2" t="s">
        <v>63</v>
      </c>
      <c r="G8" s="34" t="b">
        <v>1</v>
      </c>
      <c r="H8" s="34" t="b">
        <v>1</v>
      </c>
      <c r="I8" s="34" t="b">
        <v>1</v>
      </c>
      <c r="J8" s="34" t="b">
        <v>1</v>
      </c>
      <c r="K8" s="34" t="b">
        <v>1</v>
      </c>
      <c r="L8" s="34" t="b">
        <v>1</v>
      </c>
      <c r="M8" s="34" t="b">
        <v>1</v>
      </c>
      <c r="N8" s="34" t="b">
        <v>1</v>
      </c>
      <c r="O8" s="36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P8" s="36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Q8" s="36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R8" s="35"/>
      <c r="S8" s="35"/>
      <c r="T8" s="49">
        <v>46180.896539351852</v>
      </c>
      <c r="U8" s="32" t="s">
        <v>64</v>
      </c>
      <c r="V8" s="32"/>
    </row>
    <row r="9" spans="1:22" s="5" customFormat="1" ht="45">
      <c r="A9" s="52">
        <v>46178</v>
      </c>
      <c r="B9" s="12">
        <v>0.375</v>
      </c>
      <c r="C9" s="4" t="s">
        <v>75</v>
      </c>
      <c r="D9" s="4" t="s">
        <v>62</v>
      </c>
      <c r="E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2" t="s">
        <v>63</v>
      </c>
      <c r="G9" s="34" t="b">
        <v>1</v>
      </c>
      <c r="H9" s="34" t="b">
        <v>1</v>
      </c>
      <c r="I9" s="34" t="b">
        <v>1</v>
      </c>
      <c r="J9" s="34" t="b">
        <v>1</v>
      </c>
      <c r="K9" s="34" t="b">
        <v>1</v>
      </c>
      <c r="L9" s="34" t="b">
        <v>1</v>
      </c>
      <c r="M9" s="34" t="b">
        <v>1</v>
      </c>
      <c r="N9" s="34" t="b">
        <v>1</v>
      </c>
      <c r="O9" s="36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P9" s="36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Q9" s="36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R9" s="35">
        <v>202658</v>
      </c>
      <c r="S9" s="35">
        <v>205619</v>
      </c>
      <c r="T9" s="49">
        <v>46181.053553240738</v>
      </c>
      <c r="U9" s="32" t="s">
        <v>81</v>
      </c>
      <c r="V9" s="32"/>
    </row>
    <row r="10" spans="1:22" s="5" customFormat="1" ht="45">
      <c r="A10" s="52">
        <v>46178</v>
      </c>
      <c r="B10" s="12">
        <v>0.41666666666666669</v>
      </c>
      <c r="C10" s="4" t="s">
        <v>76</v>
      </c>
      <c r="D10" s="4" t="s">
        <v>62</v>
      </c>
      <c r="E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2" t="s">
        <v>63</v>
      </c>
      <c r="G10" s="34" t="b">
        <v>1</v>
      </c>
      <c r="H10" s="34" t="b">
        <v>1</v>
      </c>
      <c r="I10" s="34" t="b">
        <v>1</v>
      </c>
      <c r="J10" s="34" t="b">
        <v>1</v>
      </c>
      <c r="K10" s="34" t="b">
        <v>1</v>
      </c>
      <c r="L10" s="34" t="b">
        <v>1</v>
      </c>
      <c r="M10" s="34" t="b">
        <v>1</v>
      </c>
      <c r="N10" s="34" t="b">
        <v>1</v>
      </c>
      <c r="O10" s="36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P10" s="36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Q10" s="36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R10" s="35">
        <v>904918</v>
      </c>
      <c r="S10" s="35">
        <v>880888</v>
      </c>
      <c r="T10" s="49">
        <v>46181.053541666668</v>
      </c>
      <c r="U10" s="32" t="s">
        <v>81</v>
      </c>
      <c r="V10" s="32"/>
    </row>
    <row r="11" spans="1:22" s="5" customFormat="1" ht="45">
      <c r="A11" s="52">
        <v>46179</v>
      </c>
      <c r="B11" s="12">
        <v>0.91666666666666663</v>
      </c>
      <c r="C11" s="4" t="s">
        <v>77</v>
      </c>
      <c r="D11" s="4" t="s">
        <v>78</v>
      </c>
      <c r="E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2" t="s">
        <v>71</v>
      </c>
      <c r="G11" s="34" t="b">
        <v>1</v>
      </c>
      <c r="H11" s="34" t="b">
        <v>1</v>
      </c>
      <c r="I11" s="34" t="b">
        <v>1</v>
      </c>
      <c r="J11" s="34" t="b">
        <v>1</v>
      </c>
      <c r="K11" s="34" t="b">
        <v>1</v>
      </c>
      <c r="L11" s="34" t="b">
        <v>1</v>
      </c>
      <c r="M11" s="34" t="b">
        <v>1</v>
      </c>
      <c r="N11" s="34" t="b">
        <v>1</v>
      </c>
      <c r="O11" s="36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P11" s="36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Q11" s="36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R11" s="35">
        <v>244728</v>
      </c>
      <c r="S11" s="35">
        <v>211870</v>
      </c>
      <c r="T11" s="49">
        <v>46180.899062500001</v>
      </c>
      <c r="U11" s="32" t="s">
        <v>64</v>
      </c>
      <c r="V11" s="32"/>
    </row>
    <row r="12" spans="1:22" s="5" customFormat="1" ht="45">
      <c r="A12" s="52">
        <v>46180</v>
      </c>
      <c r="B12" s="12" t="s">
        <v>60</v>
      </c>
      <c r="C12" s="4" t="s">
        <v>79</v>
      </c>
      <c r="D12" s="4" t="s">
        <v>80</v>
      </c>
      <c r="E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2" t="s">
        <v>63</v>
      </c>
      <c r="G12" s="34" t="b">
        <v>1</v>
      </c>
      <c r="H12" s="34" t="b">
        <v>1</v>
      </c>
      <c r="I12" s="34" t="b">
        <v>1</v>
      </c>
      <c r="J12" s="34" t="b">
        <v>1</v>
      </c>
      <c r="K12" s="34" t="b">
        <v>1</v>
      </c>
      <c r="L12" s="34" t="b">
        <v>1</v>
      </c>
      <c r="M12" s="34" t="b">
        <v>1</v>
      </c>
      <c r="N12" s="34" t="b">
        <v>1</v>
      </c>
      <c r="O12" s="36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P12" s="36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Q12" s="36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R12" s="35">
        <v>24502</v>
      </c>
      <c r="S12" s="35">
        <v>22703</v>
      </c>
      <c r="T12" s="49">
        <v>46181.057708333334</v>
      </c>
      <c r="U12" s="32" t="s">
        <v>81</v>
      </c>
      <c r="V12" s="32"/>
    </row>
    <row r="13" spans="1:22" s="5" customFormat="1" ht="15.75">
      <c r="A13" s="52"/>
      <c r="B13" s="12"/>
      <c r="C13" s="4"/>
      <c r="D13" s="4"/>
      <c r="E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32"/>
      <c r="G13" s="34" t="b">
        <v>0</v>
      </c>
      <c r="H13" s="34" t="b">
        <v>0</v>
      </c>
      <c r="I13" s="34" t="b">
        <v>0</v>
      </c>
      <c r="J13" s="34" t="b">
        <v>0</v>
      </c>
      <c r="K13" s="34" t="b">
        <v>0</v>
      </c>
      <c r="L13" s="34" t="b">
        <v>0</v>
      </c>
      <c r="M13" s="34" t="b">
        <v>0</v>
      </c>
      <c r="N13" s="34" t="b">
        <v>0</v>
      </c>
      <c r="O13" s="4"/>
      <c r="P13" s="4"/>
      <c r="Q13" s="4"/>
      <c r="R13" s="35"/>
      <c r="S13" s="35"/>
      <c r="T13" s="49">
        <v>46180.622777777775</v>
      </c>
      <c r="U13" s="32" t="s">
        <v>64</v>
      </c>
      <c r="V13" s="32"/>
    </row>
    <row r="14" spans="1:22" ht="15.75">
      <c r="A14" s="52"/>
      <c r="B14" s="12"/>
      <c r="C14" s="4"/>
      <c r="D14" s="4"/>
      <c r="E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32"/>
      <c r="G14" s="34" t="b">
        <v>0</v>
      </c>
      <c r="H14" s="34" t="b">
        <v>0</v>
      </c>
      <c r="I14" s="34" t="b">
        <v>0</v>
      </c>
      <c r="J14" s="34" t="b">
        <v>0</v>
      </c>
      <c r="K14" s="34" t="b">
        <v>0</v>
      </c>
      <c r="L14" s="34" t="b">
        <v>0</v>
      </c>
      <c r="M14" s="34" t="b">
        <v>0</v>
      </c>
      <c r="N14" s="34" t="b">
        <v>0</v>
      </c>
      <c r="O14" s="4"/>
      <c r="P14" s="4"/>
      <c r="Q14" s="4"/>
      <c r="R14" s="35"/>
      <c r="S14" s="35"/>
      <c r="T14" s="49"/>
      <c r="U14" s="32"/>
      <c r="V14" s="32"/>
    </row>
    <row r="15" spans="1:22" ht="15.75">
      <c r="A15" s="52"/>
      <c r="B15" s="12"/>
      <c r="C15" s="4"/>
      <c r="D15" s="4"/>
      <c r="E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32"/>
      <c r="G15" s="34" t="b">
        <v>0</v>
      </c>
      <c r="H15" s="34" t="b">
        <v>0</v>
      </c>
      <c r="I15" s="34" t="b">
        <v>0</v>
      </c>
      <c r="J15" s="34" t="b">
        <v>0</v>
      </c>
      <c r="K15" s="34" t="b">
        <v>0</v>
      </c>
      <c r="L15" s="34" t="b">
        <v>0</v>
      </c>
      <c r="M15" s="34" t="b">
        <v>0</v>
      </c>
      <c r="N15" s="34" t="b">
        <v>0</v>
      </c>
      <c r="O15" s="4"/>
      <c r="P15" s="4"/>
      <c r="Q15" s="4"/>
      <c r="R15" s="35"/>
      <c r="S15" s="35"/>
      <c r="T15" s="49"/>
      <c r="U15" s="32"/>
      <c r="V15" s="32"/>
    </row>
    <row r="16" spans="1:22" ht="15.75">
      <c r="A16" s="52"/>
      <c r="B16" s="12"/>
      <c r="C16" s="4"/>
      <c r="D16" s="4"/>
      <c r="E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32"/>
      <c r="G16" s="34" t="b">
        <v>0</v>
      </c>
      <c r="H16" s="34" t="b">
        <v>0</v>
      </c>
      <c r="I16" s="34" t="b">
        <v>0</v>
      </c>
      <c r="J16" s="34" t="b">
        <v>0</v>
      </c>
      <c r="K16" s="34" t="b">
        <v>0</v>
      </c>
      <c r="L16" s="34" t="b">
        <v>0</v>
      </c>
      <c r="M16" s="34" t="b">
        <v>0</v>
      </c>
      <c r="N16" s="34" t="b">
        <v>0</v>
      </c>
      <c r="O16" s="4"/>
      <c r="P16" s="4"/>
      <c r="Q16" s="4"/>
      <c r="R16" s="35"/>
      <c r="S16" s="35"/>
      <c r="T16" s="49"/>
      <c r="U16" s="32"/>
      <c r="V16" s="32"/>
    </row>
    <row r="17" spans="1:22" ht="15.75">
      <c r="A17" s="52"/>
      <c r="B17" s="12"/>
      <c r="C17" s="4"/>
      <c r="D17" s="4"/>
      <c r="E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32"/>
      <c r="G17" s="34" t="b">
        <v>0</v>
      </c>
      <c r="H17" s="34" t="b">
        <v>0</v>
      </c>
      <c r="I17" s="34" t="b">
        <v>0</v>
      </c>
      <c r="J17" s="34" t="b">
        <v>0</v>
      </c>
      <c r="K17" s="34" t="b">
        <v>0</v>
      </c>
      <c r="L17" s="34" t="b">
        <v>0</v>
      </c>
      <c r="M17" s="34" t="b">
        <v>0</v>
      </c>
      <c r="N17" s="34" t="b">
        <v>0</v>
      </c>
      <c r="O17" s="4"/>
      <c r="P17" s="4"/>
      <c r="Q17" s="4"/>
      <c r="R17" s="35"/>
      <c r="S17" s="35"/>
      <c r="T17" s="49"/>
      <c r="U17" s="32"/>
      <c r="V17" s="32"/>
    </row>
    <row r="18" spans="1:22" ht="15.75">
      <c r="A18" s="52"/>
      <c r="B18" s="12"/>
      <c r="C18" s="4"/>
      <c r="D18" s="4"/>
      <c r="E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32"/>
      <c r="G18" s="34" t="b">
        <v>0</v>
      </c>
      <c r="H18" s="34" t="b">
        <v>0</v>
      </c>
      <c r="I18" s="34" t="b">
        <v>0</v>
      </c>
      <c r="J18" s="34" t="b">
        <v>0</v>
      </c>
      <c r="K18" s="34" t="b">
        <v>0</v>
      </c>
      <c r="L18" s="34" t="b">
        <v>0</v>
      </c>
      <c r="M18" s="34" t="b">
        <v>0</v>
      </c>
      <c r="N18" s="34" t="b">
        <v>0</v>
      </c>
      <c r="O18" s="4"/>
      <c r="P18" s="4"/>
      <c r="Q18" s="4"/>
      <c r="R18" s="35"/>
      <c r="S18" s="35"/>
      <c r="T18" s="49"/>
      <c r="U18" s="32"/>
      <c r="V18" s="32"/>
    </row>
    <row r="19" spans="1:22" ht="15.75">
      <c r="A19" s="52"/>
      <c r="B19" s="12"/>
      <c r="C19" s="4"/>
      <c r="D19" s="4"/>
      <c r="E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32"/>
      <c r="G19" s="34" t="b">
        <v>0</v>
      </c>
      <c r="H19" s="34" t="b">
        <v>0</v>
      </c>
      <c r="I19" s="34" t="b">
        <v>0</v>
      </c>
      <c r="J19" s="34" t="b">
        <v>0</v>
      </c>
      <c r="K19" s="34" t="b">
        <v>0</v>
      </c>
      <c r="L19" s="34" t="b">
        <v>0</v>
      </c>
      <c r="M19" s="34" t="b">
        <v>0</v>
      </c>
      <c r="N19" s="34" t="b">
        <v>0</v>
      </c>
      <c r="O19" s="4"/>
      <c r="P19" s="4"/>
      <c r="Q19" s="4"/>
      <c r="R19" s="35"/>
      <c r="S19" s="35"/>
      <c r="T19" s="49"/>
      <c r="U19" s="32"/>
      <c r="V19" s="32"/>
    </row>
    <row r="20" spans="1:22" ht="15.75">
      <c r="A20" s="52"/>
      <c r="B20" s="12"/>
      <c r="C20" s="4"/>
      <c r="D20" s="4"/>
      <c r="E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32"/>
      <c r="G20" s="34" t="b">
        <v>0</v>
      </c>
      <c r="H20" s="34" t="b">
        <v>0</v>
      </c>
      <c r="I20" s="34" t="b">
        <v>0</v>
      </c>
      <c r="J20" s="34" t="b">
        <v>0</v>
      </c>
      <c r="K20" s="34" t="b">
        <v>0</v>
      </c>
      <c r="L20" s="34" t="b">
        <v>0</v>
      </c>
      <c r="M20" s="34" t="b">
        <v>0</v>
      </c>
      <c r="N20" s="34" t="b">
        <v>0</v>
      </c>
      <c r="O20" s="4"/>
      <c r="P20" s="4"/>
      <c r="Q20" s="4"/>
      <c r="R20" s="35"/>
      <c r="S20" s="35"/>
      <c r="T20" s="49"/>
      <c r="U20" s="32"/>
      <c r="V20" s="32"/>
    </row>
    <row r="21" spans="1:22" ht="15.75">
      <c r="A21" s="52"/>
      <c r="B21" s="12"/>
      <c r="C21" s="4"/>
      <c r="D21" s="4"/>
      <c r="E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32"/>
      <c r="G21" s="34" t="b">
        <v>0</v>
      </c>
      <c r="H21" s="34" t="b">
        <v>0</v>
      </c>
      <c r="I21" s="34" t="b">
        <v>0</v>
      </c>
      <c r="J21" s="34" t="b">
        <v>0</v>
      </c>
      <c r="K21" s="34" t="b">
        <v>0</v>
      </c>
      <c r="L21" s="34" t="b">
        <v>0</v>
      </c>
      <c r="M21" s="34" t="b">
        <v>0</v>
      </c>
      <c r="N21" s="34" t="b">
        <v>0</v>
      </c>
      <c r="O21" s="4"/>
      <c r="P21" s="4"/>
      <c r="Q21" s="4"/>
      <c r="R21" s="35"/>
      <c r="S21" s="35"/>
      <c r="T21" s="49"/>
      <c r="U21" s="32"/>
      <c r="V21" s="32"/>
    </row>
    <row r="22" spans="1:22" ht="15.75">
      <c r="A22" s="52"/>
      <c r="B22" s="12"/>
      <c r="C22" s="4"/>
      <c r="D22" s="4"/>
      <c r="E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32"/>
      <c r="G22" s="34" t="b">
        <v>0</v>
      </c>
      <c r="H22" s="34" t="b">
        <v>0</v>
      </c>
      <c r="I22" s="34" t="b">
        <v>0</v>
      </c>
      <c r="J22" s="34" t="b">
        <v>0</v>
      </c>
      <c r="K22" s="34" t="b">
        <v>0</v>
      </c>
      <c r="L22" s="34" t="b">
        <v>0</v>
      </c>
      <c r="M22" s="34" t="b">
        <v>0</v>
      </c>
      <c r="N22" s="34" t="b">
        <v>0</v>
      </c>
      <c r="O22" s="4"/>
      <c r="P22" s="4"/>
      <c r="Q22" s="4"/>
      <c r="R22" s="35"/>
      <c r="S22" s="35"/>
      <c r="T22" s="49"/>
      <c r="U22" s="32"/>
      <c r="V22" s="32"/>
    </row>
    <row r="23" spans="1:22" ht="15.75">
      <c r="A23" s="52"/>
      <c r="B23" s="12"/>
      <c r="C23" s="4"/>
      <c r="D23" s="4"/>
      <c r="E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32"/>
      <c r="G23" s="34" t="b">
        <v>0</v>
      </c>
      <c r="H23" s="34" t="b">
        <v>0</v>
      </c>
      <c r="I23" s="34" t="b">
        <v>0</v>
      </c>
      <c r="J23" s="34" t="b">
        <v>0</v>
      </c>
      <c r="K23" s="34" t="b">
        <v>0</v>
      </c>
      <c r="L23" s="34" t="b">
        <v>0</v>
      </c>
      <c r="M23" s="34" t="b">
        <v>0</v>
      </c>
      <c r="N23" s="34" t="b">
        <v>0</v>
      </c>
      <c r="O23" s="4"/>
      <c r="P23" s="4"/>
      <c r="Q23" s="4"/>
      <c r="R23" s="35"/>
      <c r="S23" s="35"/>
      <c r="T23" s="49"/>
      <c r="U23" s="32"/>
      <c r="V23" s="32"/>
    </row>
    <row r="24" spans="1:22" ht="15.75">
      <c r="A24" s="52"/>
      <c r="B24" s="12"/>
      <c r="C24" s="4"/>
      <c r="D24" s="4"/>
      <c r="E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32"/>
      <c r="G24" s="34" t="b">
        <v>0</v>
      </c>
      <c r="H24" s="34" t="b">
        <v>0</v>
      </c>
      <c r="I24" s="34" t="b">
        <v>0</v>
      </c>
      <c r="J24" s="34" t="b">
        <v>0</v>
      </c>
      <c r="K24" s="34" t="b">
        <v>0</v>
      </c>
      <c r="L24" s="34" t="b">
        <v>0</v>
      </c>
      <c r="M24" s="34" t="b">
        <v>0</v>
      </c>
      <c r="N24" s="34" t="b">
        <v>0</v>
      </c>
      <c r="O24" s="4"/>
      <c r="P24" s="4"/>
      <c r="Q24" s="4"/>
      <c r="R24" s="35"/>
      <c r="S24" s="35"/>
      <c r="T24" s="49"/>
      <c r="U24" s="32"/>
      <c r="V24" s="32"/>
    </row>
    <row r="25" spans="1:22" ht="15.75">
      <c r="A25" s="52"/>
      <c r="B25" s="12"/>
      <c r="C25" s="4"/>
      <c r="D25" s="4"/>
      <c r="E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32"/>
      <c r="G25" s="34" t="b">
        <v>0</v>
      </c>
      <c r="H25" s="34" t="b">
        <v>0</v>
      </c>
      <c r="I25" s="34" t="b">
        <v>0</v>
      </c>
      <c r="J25" s="34" t="b">
        <v>0</v>
      </c>
      <c r="K25" s="34" t="b">
        <v>0</v>
      </c>
      <c r="L25" s="34" t="b">
        <v>0</v>
      </c>
      <c r="M25" s="34" t="b">
        <v>0</v>
      </c>
      <c r="N25" s="34" t="b">
        <v>0</v>
      </c>
      <c r="O25" s="4"/>
      <c r="P25" s="4"/>
      <c r="Q25" s="4"/>
      <c r="R25" s="35"/>
      <c r="S25" s="35"/>
      <c r="T25" s="49"/>
      <c r="U25" s="32"/>
      <c r="V25" s="32"/>
    </row>
    <row r="26" spans="1:22" ht="15.75">
      <c r="A26" s="52"/>
      <c r="B26" s="12"/>
      <c r="C26" s="4"/>
      <c r="D26" s="4"/>
      <c r="E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32"/>
      <c r="G26" s="34" t="b">
        <v>0</v>
      </c>
      <c r="H26" s="34" t="b">
        <v>0</v>
      </c>
      <c r="I26" s="34" t="b">
        <v>0</v>
      </c>
      <c r="J26" s="34" t="b">
        <v>0</v>
      </c>
      <c r="K26" s="34" t="b">
        <v>0</v>
      </c>
      <c r="L26" s="34" t="b">
        <v>0</v>
      </c>
      <c r="M26" s="34" t="b">
        <v>0</v>
      </c>
      <c r="N26" s="34" t="b">
        <v>0</v>
      </c>
      <c r="O26" s="4"/>
      <c r="P26" s="4"/>
      <c r="Q26" s="4"/>
      <c r="R26" s="35"/>
      <c r="S26" s="35"/>
      <c r="T26" s="49"/>
      <c r="U26" s="32"/>
      <c r="V26" s="32"/>
    </row>
    <row r="27" spans="1:22" ht="15.75">
      <c r="A27" s="52"/>
      <c r="B27" s="12"/>
      <c r="C27" s="4"/>
      <c r="D27" s="4"/>
      <c r="E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32"/>
      <c r="G27" s="34" t="b">
        <v>0</v>
      </c>
      <c r="H27" s="34" t="b">
        <v>0</v>
      </c>
      <c r="I27" s="34" t="b">
        <v>0</v>
      </c>
      <c r="J27" s="34" t="b">
        <v>0</v>
      </c>
      <c r="K27" s="34" t="b">
        <v>0</v>
      </c>
      <c r="L27" s="34" t="b">
        <v>0</v>
      </c>
      <c r="M27" s="34" t="b">
        <v>0</v>
      </c>
      <c r="N27" s="34" t="b">
        <v>0</v>
      </c>
      <c r="O27" s="4"/>
      <c r="P27" s="4"/>
      <c r="Q27" s="4"/>
      <c r="R27" s="35"/>
      <c r="S27" s="35"/>
      <c r="T27" s="49"/>
      <c r="U27" s="32"/>
      <c r="V27" s="32"/>
    </row>
    <row r="28" spans="1:22" ht="15.75">
      <c r="A28" s="52"/>
      <c r="B28" s="12"/>
      <c r="C28" s="4"/>
      <c r="D28" s="4"/>
      <c r="E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32"/>
      <c r="G28" s="34" t="b">
        <v>0</v>
      </c>
      <c r="H28" s="34" t="b">
        <v>0</v>
      </c>
      <c r="I28" s="34" t="b">
        <v>0</v>
      </c>
      <c r="J28" s="34" t="b">
        <v>0</v>
      </c>
      <c r="K28" s="34" t="b">
        <v>0</v>
      </c>
      <c r="L28" s="34" t="b">
        <v>0</v>
      </c>
      <c r="M28" s="34" t="b">
        <v>0</v>
      </c>
      <c r="N28" s="34" t="b">
        <v>0</v>
      </c>
      <c r="O28" s="4"/>
      <c r="P28" s="4"/>
      <c r="Q28" s="4"/>
      <c r="R28" s="35"/>
      <c r="S28" s="35"/>
      <c r="T28" s="49"/>
      <c r="U28" s="32"/>
      <c r="V28" s="32"/>
    </row>
    <row r="29" spans="1:22" ht="15.75">
      <c r="A29" s="52"/>
      <c r="B29" s="12"/>
      <c r="C29" s="4"/>
      <c r="D29" s="4"/>
      <c r="E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32"/>
      <c r="G29" s="34" t="b">
        <v>0</v>
      </c>
      <c r="H29" s="34" t="b">
        <v>0</v>
      </c>
      <c r="I29" s="34" t="b">
        <v>0</v>
      </c>
      <c r="J29" s="34" t="b">
        <v>0</v>
      </c>
      <c r="K29" s="34" t="b">
        <v>0</v>
      </c>
      <c r="L29" s="34" t="b">
        <v>0</v>
      </c>
      <c r="M29" s="34" t="b">
        <v>0</v>
      </c>
      <c r="N29" s="34" t="b">
        <v>0</v>
      </c>
      <c r="O29" s="4"/>
      <c r="P29" s="4"/>
      <c r="Q29" s="4"/>
      <c r="R29" s="35"/>
      <c r="S29" s="35"/>
      <c r="T29" s="49"/>
      <c r="U29" s="32"/>
      <c r="V29" s="32"/>
    </row>
    <row r="30" spans="1:22" ht="15.75">
      <c r="A30" s="52"/>
      <c r="B30" s="12"/>
      <c r="C30" s="4"/>
      <c r="D30" s="4"/>
      <c r="E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2"/>
      <c r="G30" s="34" t="b">
        <v>0</v>
      </c>
      <c r="H30" s="34" t="b">
        <v>0</v>
      </c>
      <c r="I30" s="34" t="b">
        <v>0</v>
      </c>
      <c r="J30" s="34" t="b">
        <v>0</v>
      </c>
      <c r="K30" s="34" t="b">
        <v>0</v>
      </c>
      <c r="L30" s="34" t="b">
        <v>0</v>
      </c>
      <c r="M30" s="34" t="b">
        <v>0</v>
      </c>
      <c r="N30" s="34" t="b">
        <v>0</v>
      </c>
      <c r="O30" s="4"/>
      <c r="P30" s="4"/>
      <c r="Q30" s="4"/>
      <c r="R30" s="35"/>
      <c r="S30" s="35"/>
      <c r="T30" s="49"/>
      <c r="U30" s="32"/>
      <c r="V30" s="32"/>
    </row>
    <row r="31" spans="1:22" ht="15.75">
      <c r="A31" s="52"/>
      <c r="B31" s="12"/>
      <c r="C31" s="4"/>
      <c r="D31" s="4"/>
      <c r="E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2"/>
      <c r="G31" s="34" t="b">
        <v>0</v>
      </c>
      <c r="H31" s="34" t="b">
        <v>0</v>
      </c>
      <c r="I31" s="34" t="b">
        <v>0</v>
      </c>
      <c r="J31" s="34" t="b">
        <v>0</v>
      </c>
      <c r="K31" s="34" t="b">
        <v>0</v>
      </c>
      <c r="L31" s="34" t="b">
        <v>0</v>
      </c>
      <c r="M31" s="34" t="b">
        <v>0</v>
      </c>
      <c r="N31" s="34" t="b">
        <v>0</v>
      </c>
      <c r="O31" s="4"/>
      <c r="P31" s="4"/>
      <c r="Q31" s="4"/>
      <c r="R31" s="35"/>
      <c r="S31" s="35"/>
      <c r="T31" s="49"/>
      <c r="U31" s="32"/>
      <c r="V31" s="32"/>
    </row>
    <row r="32" spans="1:22" ht="15.75">
      <c r="A32" s="52"/>
      <c r="B32" s="12"/>
      <c r="C32" s="4"/>
      <c r="D32" s="4"/>
      <c r="E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2"/>
      <c r="G32" s="34" t="b">
        <v>0</v>
      </c>
      <c r="H32" s="34" t="b">
        <v>0</v>
      </c>
      <c r="I32" s="34" t="b">
        <v>0</v>
      </c>
      <c r="J32" s="34" t="b">
        <v>0</v>
      </c>
      <c r="K32" s="34" t="b">
        <v>0</v>
      </c>
      <c r="L32" s="34" t="b">
        <v>0</v>
      </c>
      <c r="M32" s="34" t="b">
        <v>0</v>
      </c>
      <c r="N32" s="34" t="b">
        <v>0</v>
      </c>
      <c r="O32" s="4"/>
      <c r="P32" s="4"/>
      <c r="Q32" s="4"/>
      <c r="R32" s="35"/>
      <c r="S32" s="35"/>
      <c r="T32" s="49"/>
      <c r="U32" s="32"/>
      <c r="V32" s="32"/>
    </row>
    <row r="33" spans="1:22" ht="15.75">
      <c r="A33" s="52"/>
      <c r="B33" s="12"/>
      <c r="C33" s="4"/>
      <c r="D33" s="4"/>
      <c r="E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2"/>
      <c r="G33" s="34" t="b">
        <v>0</v>
      </c>
      <c r="H33" s="34" t="b">
        <v>0</v>
      </c>
      <c r="I33" s="34" t="b">
        <v>0</v>
      </c>
      <c r="J33" s="34" t="b">
        <v>0</v>
      </c>
      <c r="K33" s="34" t="b">
        <v>0</v>
      </c>
      <c r="L33" s="34" t="b">
        <v>0</v>
      </c>
      <c r="M33" s="34" t="b">
        <v>0</v>
      </c>
      <c r="N33" s="34" t="b">
        <v>0</v>
      </c>
      <c r="O33" s="4"/>
      <c r="P33" s="4"/>
      <c r="Q33" s="4"/>
      <c r="R33" s="35"/>
      <c r="S33" s="35"/>
      <c r="T33" s="49"/>
      <c r="U33" s="32"/>
      <c r="V33" s="32"/>
    </row>
    <row r="34" spans="1:22" ht="15.75">
      <c r="A34" s="52"/>
      <c r="B34" s="12"/>
      <c r="C34" s="4"/>
      <c r="D34" s="4"/>
      <c r="E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2"/>
      <c r="G34" s="34" t="b">
        <v>0</v>
      </c>
      <c r="H34" s="34" t="b">
        <v>0</v>
      </c>
      <c r="I34" s="34" t="b">
        <v>0</v>
      </c>
      <c r="J34" s="34" t="b">
        <v>0</v>
      </c>
      <c r="K34" s="34" t="b">
        <v>0</v>
      </c>
      <c r="L34" s="34" t="b">
        <v>0</v>
      </c>
      <c r="M34" s="34" t="b">
        <v>0</v>
      </c>
      <c r="N34" s="34" t="b">
        <v>0</v>
      </c>
      <c r="O34" s="4"/>
      <c r="P34" s="4"/>
      <c r="Q34" s="4"/>
      <c r="R34" s="35"/>
      <c r="S34" s="35"/>
      <c r="T34" s="49"/>
      <c r="U34" s="32"/>
      <c r="V34" s="32"/>
    </row>
    <row r="35" spans="1:22" ht="15.75">
      <c r="A35" s="52"/>
      <c r="B35" s="12"/>
      <c r="C35" s="4"/>
      <c r="D35" s="4"/>
      <c r="E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2"/>
      <c r="G35" s="34" t="b">
        <v>0</v>
      </c>
      <c r="H35" s="34" t="b">
        <v>0</v>
      </c>
      <c r="I35" s="34" t="b">
        <v>0</v>
      </c>
      <c r="J35" s="34" t="b">
        <v>0</v>
      </c>
      <c r="K35" s="34" t="b">
        <v>0</v>
      </c>
      <c r="L35" s="34" t="b">
        <v>0</v>
      </c>
      <c r="M35" s="34" t="b">
        <v>0</v>
      </c>
      <c r="N35" s="34" t="b">
        <v>0</v>
      </c>
      <c r="O35" s="4"/>
      <c r="P35" s="4"/>
      <c r="Q35" s="4"/>
      <c r="R35" s="35"/>
      <c r="S35" s="35"/>
      <c r="T35" s="49"/>
      <c r="U35" s="32"/>
      <c r="V35" s="32"/>
    </row>
    <row r="36" spans="1:22" ht="15.75">
      <c r="A36" s="52"/>
      <c r="B36" s="12"/>
      <c r="C36" s="4"/>
      <c r="D36" s="4"/>
      <c r="E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2"/>
      <c r="G36" s="34" t="b">
        <v>0</v>
      </c>
      <c r="H36" s="34" t="b">
        <v>0</v>
      </c>
      <c r="I36" s="34" t="b">
        <v>0</v>
      </c>
      <c r="J36" s="34" t="b">
        <v>0</v>
      </c>
      <c r="K36" s="34" t="b">
        <v>0</v>
      </c>
      <c r="L36" s="34" t="b">
        <v>0</v>
      </c>
      <c r="M36" s="34" t="b">
        <v>0</v>
      </c>
      <c r="N36" s="34" t="b">
        <v>0</v>
      </c>
      <c r="O36" s="4"/>
      <c r="P36" s="4"/>
      <c r="Q36" s="4"/>
      <c r="R36" s="35"/>
      <c r="S36" s="35"/>
      <c r="T36" s="49"/>
      <c r="U36" s="32"/>
      <c r="V36" s="32"/>
    </row>
    <row r="37" spans="1:22" ht="15.75">
      <c r="A37" s="52"/>
      <c r="B37" s="12"/>
      <c r="C37" s="4"/>
      <c r="D37" s="4"/>
      <c r="E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2"/>
      <c r="G37" s="34" t="b">
        <v>0</v>
      </c>
      <c r="H37" s="34" t="b">
        <v>0</v>
      </c>
      <c r="I37" s="34" t="b">
        <v>0</v>
      </c>
      <c r="J37" s="34" t="b">
        <v>0</v>
      </c>
      <c r="K37" s="34" t="b">
        <v>0</v>
      </c>
      <c r="L37" s="34" t="b">
        <v>0</v>
      </c>
      <c r="M37" s="34" t="b">
        <v>0</v>
      </c>
      <c r="N37" s="34" t="b">
        <v>0</v>
      </c>
      <c r="O37" s="4"/>
      <c r="P37" s="4"/>
      <c r="Q37" s="4"/>
      <c r="R37" s="35"/>
      <c r="S37" s="35"/>
      <c r="T37" s="49"/>
      <c r="U37" s="32"/>
      <c r="V37" s="32"/>
    </row>
    <row r="38" spans="1:22" ht="15.75">
      <c r="A38" s="52"/>
      <c r="B38" s="12"/>
      <c r="C38" s="4"/>
      <c r="D38" s="4"/>
      <c r="E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2"/>
      <c r="G38" s="34" t="b">
        <v>0</v>
      </c>
      <c r="H38" s="34" t="b">
        <v>0</v>
      </c>
      <c r="I38" s="34" t="b">
        <v>0</v>
      </c>
      <c r="J38" s="34" t="b">
        <v>0</v>
      </c>
      <c r="K38" s="34" t="b">
        <v>0</v>
      </c>
      <c r="L38" s="34" t="b">
        <v>0</v>
      </c>
      <c r="M38" s="34" t="b">
        <v>0</v>
      </c>
      <c r="N38" s="34" t="b">
        <v>0</v>
      </c>
      <c r="O38" s="4"/>
      <c r="P38" s="4"/>
      <c r="Q38" s="4"/>
      <c r="R38" s="35"/>
      <c r="S38" s="35"/>
      <c r="T38" s="49"/>
      <c r="U38" s="32"/>
      <c r="V38" s="32"/>
    </row>
    <row r="39" spans="1:22" ht="15.75">
      <c r="A39" s="52"/>
      <c r="B39" s="12"/>
      <c r="C39" s="4"/>
      <c r="D39" s="4"/>
      <c r="E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2"/>
      <c r="G39" s="34" t="b">
        <v>0</v>
      </c>
      <c r="H39" s="34" t="b">
        <v>0</v>
      </c>
      <c r="I39" s="34" t="b">
        <v>0</v>
      </c>
      <c r="J39" s="34" t="b">
        <v>0</v>
      </c>
      <c r="K39" s="34" t="b">
        <v>0</v>
      </c>
      <c r="L39" s="34" t="b">
        <v>0</v>
      </c>
      <c r="M39" s="34" t="b">
        <v>0</v>
      </c>
      <c r="N39" s="34" t="b">
        <v>0</v>
      </c>
      <c r="O39" s="4"/>
      <c r="P39" s="4"/>
      <c r="Q39" s="4"/>
      <c r="R39" s="35"/>
      <c r="S39" s="35"/>
      <c r="T39" s="49"/>
      <c r="U39" s="32"/>
      <c r="V39" s="32"/>
    </row>
    <row r="40" spans="1:22" ht="15.75">
      <c r="A40" s="52"/>
      <c r="B40" s="12"/>
      <c r="C40" s="4"/>
      <c r="D40" s="4"/>
      <c r="E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2"/>
      <c r="G40" s="34" t="b">
        <v>0</v>
      </c>
      <c r="H40" s="34" t="b">
        <v>0</v>
      </c>
      <c r="I40" s="34" t="b">
        <v>0</v>
      </c>
      <c r="J40" s="34" t="b">
        <v>0</v>
      </c>
      <c r="K40" s="34" t="b">
        <v>0</v>
      </c>
      <c r="L40" s="34" t="b">
        <v>0</v>
      </c>
      <c r="M40" s="34" t="b">
        <v>0</v>
      </c>
      <c r="N40" s="34" t="b">
        <v>0</v>
      </c>
      <c r="O40" s="4"/>
      <c r="P40" s="4"/>
      <c r="Q40" s="4"/>
      <c r="R40" s="35"/>
      <c r="S40" s="35"/>
      <c r="T40" s="49"/>
      <c r="U40" s="32"/>
      <c r="V40" s="32"/>
    </row>
    <row r="41" spans="1:22" ht="15.75">
      <c r="A41" s="52"/>
      <c r="B41" s="12"/>
      <c r="C41" s="4"/>
      <c r="D41" s="4"/>
      <c r="E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2"/>
      <c r="G41" s="34" t="b">
        <v>0</v>
      </c>
      <c r="H41" s="34" t="b">
        <v>0</v>
      </c>
      <c r="I41" s="34" t="b">
        <v>0</v>
      </c>
      <c r="J41" s="34" t="b">
        <v>0</v>
      </c>
      <c r="K41" s="34" t="b">
        <v>0</v>
      </c>
      <c r="L41" s="34" t="b">
        <v>0</v>
      </c>
      <c r="M41" s="34" t="b">
        <v>0</v>
      </c>
      <c r="N41" s="34" t="b">
        <v>0</v>
      </c>
      <c r="O41" s="4"/>
      <c r="P41" s="4"/>
      <c r="Q41" s="4"/>
      <c r="R41" s="35"/>
      <c r="S41" s="35"/>
      <c r="T41" s="49"/>
      <c r="U41" s="32"/>
      <c r="V41" s="32"/>
    </row>
    <row r="42" spans="1:22" ht="15.75">
      <c r="A42" s="52"/>
      <c r="B42" s="12"/>
      <c r="C42" s="4"/>
      <c r="D42" s="4"/>
      <c r="E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2"/>
      <c r="G42" s="34" t="b">
        <v>0</v>
      </c>
      <c r="H42" s="34" t="b">
        <v>0</v>
      </c>
      <c r="I42" s="34" t="b">
        <v>0</v>
      </c>
      <c r="J42" s="34" t="b">
        <v>0</v>
      </c>
      <c r="K42" s="34" t="b">
        <v>0</v>
      </c>
      <c r="L42" s="34" t="b">
        <v>0</v>
      </c>
      <c r="M42" s="34" t="b">
        <v>0</v>
      </c>
      <c r="N42" s="34" t="b">
        <v>0</v>
      </c>
      <c r="O42" s="4"/>
      <c r="P42" s="4"/>
      <c r="Q42" s="4"/>
      <c r="R42" s="35"/>
      <c r="S42" s="35"/>
      <c r="T42" s="49"/>
      <c r="U42" s="32"/>
      <c r="V42" s="32"/>
    </row>
    <row r="43" spans="1:22" ht="15.75">
      <c r="A43" s="52"/>
      <c r="B43" s="12"/>
      <c r="C43" s="4"/>
      <c r="D43" s="4"/>
      <c r="E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2"/>
      <c r="G43" s="34" t="b">
        <v>0</v>
      </c>
      <c r="H43" s="34" t="b">
        <v>0</v>
      </c>
      <c r="I43" s="34" t="b">
        <v>0</v>
      </c>
      <c r="J43" s="34" t="b">
        <v>0</v>
      </c>
      <c r="K43" s="34" t="b">
        <v>0</v>
      </c>
      <c r="L43" s="34" t="b">
        <v>0</v>
      </c>
      <c r="M43" s="34" t="b">
        <v>0</v>
      </c>
      <c r="N43" s="34" t="b">
        <v>0</v>
      </c>
      <c r="O43" s="4"/>
      <c r="P43" s="4"/>
      <c r="Q43" s="4"/>
      <c r="R43" s="35"/>
      <c r="S43" s="35"/>
      <c r="T43" s="49"/>
      <c r="U43" s="32"/>
      <c r="V43" s="32"/>
    </row>
    <row r="44" spans="1:22" ht="15.75">
      <c r="A44" s="52"/>
      <c r="B44" s="12"/>
      <c r="C44" s="4"/>
      <c r="D44" s="4"/>
      <c r="E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2"/>
      <c r="G44" s="34" t="b">
        <v>0</v>
      </c>
      <c r="H44" s="34" t="b">
        <v>0</v>
      </c>
      <c r="I44" s="34" t="b">
        <v>0</v>
      </c>
      <c r="J44" s="34" t="b">
        <v>0</v>
      </c>
      <c r="K44" s="34" t="b">
        <v>0</v>
      </c>
      <c r="L44" s="34" t="b">
        <v>0</v>
      </c>
      <c r="M44" s="34" t="b">
        <v>0</v>
      </c>
      <c r="N44" s="34" t="b">
        <v>0</v>
      </c>
      <c r="O44" s="4"/>
      <c r="P44" s="4"/>
      <c r="Q44" s="4"/>
      <c r="R44" s="35"/>
      <c r="S44" s="35"/>
      <c r="T44" s="49"/>
      <c r="U44" s="32"/>
      <c r="V44" s="32"/>
    </row>
    <row r="45" spans="1:22" ht="15.75">
      <c r="A45" s="52"/>
      <c r="B45" s="12"/>
      <c r="C45" s="4"/>
      <c r="D45" s="4"/>
      <c r="E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2"/>
      <c r="G45" s="34" t="b">
        <v>0</v>
      </c>
      <c r="H45" s="34" t="b">
        <v>0</v>
      </c>
      <c r="I45" s="34" t="b">
        <v>0</v>
      </c>
      <c r="J45" s="34" t="b">
        <v>0</v>
      </c>
      <c r="K45" s="34" t="b">
        <v>0</v>
      </c>
      <c r="L45" s="34" t="b">
        <v>0</v>
      </c>
      <c r="M45" s="34" t="b">
        <v>0</v>
      </c>
      <c r="N45" s="34" t="b">
        <v>0</v>
      </c>
      <c r="O45" s="4"/>
      <c r="P45" s="4"/>
      <c r="Q45" s="4"/>
      <c r="R45" s="35"/>
      <c r="S45" s="35"/>
      <c r="T45" s="49"/>
      <c r="U45" s="32"/>
      <c r="V45" s="32"/>
    </row>
    <row r="46" spans="1:22" ht="15.75">
      <c r="A46" s="52"/>
      <c r="B46" s="12"/>
      <c r="C46" s="4"/>
      <c r="D46" s="4"/>
      <c r="E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2"/>
      <c r="G46" s="34" t="b">
        <v>0</v>
      </c>
      <c r="H46" s="34" t="b">
        <v>0</v>
      </c>
      <c r="I46" s="34" t="b">
        <v>0</v>
      </c>
      <c r="J46" s="34" t="b">
        <v>0</v>
      </c>
      <c r="K46" s="34" t="b">
        <v>0</v>
      </c>
      <c r="L46" s="34" t="b">
        <v>0</v>
      </c>
      <c r="M46" s="34" t="b">
        <v>0</v>
      </c>
      <c r="N46" s="34" t="b">
        <v>0</v>
      </c>
      <c r="O46" s="4"/>
      <c r="P46" s="4"/>
      <c r="Q46" s="4"/>
      <c r="R46" s="35"/>
      <c r="S46" s="35"/>
      <c r="T46" s="49"/>
      <c r="U46" s="32"/>
      <c r="V46" s="32"/>
    </row>
    <row r="47" spans="1:22" ht="15.75">
      <c r="A47" s="52"/>
      <c r="B47" s="12"/>
      <c r="C47" s="4"/>
      <c r="D47" s="4"/>
      <c r="E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2"/>
      <c r="G47" s="34" t="b">
        <v>0</v>
      </c>
      <c r="H47" s="34" t="b">
        <v>0</v>
      </c>
      <c r="I47" s="34" t="b">
        <v>0</v>
      </c>
      <c r="J47" s="34" t="b">
        <v>0</v>
      </c>
      <c r="K47" s="34" t="b">
        <v>0</v>
      </c>
      <c r="L47" s="34" t="b">
        <v>0</v>
      </c>
      <c r="M47" s="34" t="b">
        <v>0</v>
      </c>
      <c r="N47" s="34" t="b">
        <v>0</v>
      </c>
      <c r="O47" s="4"/>
      <c r="P47" s="4"/>
      <c r="Q47" s="4"/>
      <c r="R47" s="35"/>
      <c r="S47" s="35"/>
      <c r="T47" s="49"/>
      <c r="U47" s="32"/>
      <c r="V47" s="32"/>
    </row>
    <row r="48" spans="1:22" ht="15.75">
      <c r="A48" s="52"/>
      <c r="B48" s="12"/>
      <c r="C48" s="4"/>
      <c r="D48" s="4"/>
      <c r="E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2"/>
      <c r="G48" s="34" t="b">
        <v>0</v>
      </c>
      <c r="H48" s="34" t="b">
        <v>0</v>
      </c>
      <c r="I48" s="34" t="b">
        <v>0</v>
      </c>
      <c r="J48" s="34" t="b">
        <v>0</v>
      </c>
      <c r="K48" s="34" t="b">
        <v>0</v>
      </c>
      <c r="L48" s="34" t="b">
        <v>0</v>
      </c>
      <c r="M48" s="34" t="b">
        <v>0</v>
      </c>
      <c r="N48" s="34" t="b">
        <v>0</v>
      </c>
      <c r="O48" s="4"/>
      <c r="P48" s="4"/>
      <c r="Q48" s="4"/>
      <c r="R48" s="35"/>
      <c r="S48" s="35"/>
      <c r="T48" s="49"/>
      <c r="U48" s="32"/>
      <c r="V48" s="32"/>
    </row>
    <row r="49" spans="1:22" ht="15.75">
      <c r="A49" s="52"/>
      <c r="B49" s="12"/>
      <c r="C49" s="4"/>
      <c r="D49" s="4"/>
      <c r="E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2"/>
      <c r="G49" s="34" t="b">
        <v>0</v>
      </c>
      <c r="H49" s="34" t="b">
        <v>0</v>
      </c>
      <c r="I49" s="34" t="b">
        <v>0</v>
      </c>
      <c r="J49" s="34" t="b">
        <v>0</v>
      </c>
      <c r="K49" s="34" t="b">
        <v>0</v>
      </c>
      <c r="L49" s="34" t="b">
        <v>0</v>
      </c>
      <c r="M49" s="34" t="b">
        <v>0</v>
      </c>
      <c r="N49" s="34" t="b">
        <v>0</v>
      </c>
      <c r="O49" s="4"/>
      <c r="P49" s="4"/>
      <c r="Q49" s="4"/>
      <c r="R49" s="35"/>
      <c r="S49" s="35"/>
      <c r="T49" s="49"/>
      <c r="U49" s="32"/>
      <c r="V49" s="32"/>
    </row>
    <row r="50" spans="1:22" ht="15.75">
      <c r="A50" s="52"/>
      <c r="B50" s="12"/>
      <c r="C50" s="4"/>
      <c r="D50" s="4"/>
      <c r="E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2"/>
      <c r="G50" s="34" t="b">
        <v>0</v>
      </c>
      <c r="H50" s="34" t="b">
        <v>0</v>
      </c>
      <c r="I50" s="34" t="b">
        <v>0</v>
      </c>
      <c r="J50" s="34" t="b">
        <v>0</v>
      </c>
      <c r="K50" s="34" t="b">
        <v>0</v>
      </c>
      <c r="L50" s="34" t="b">
        <v>0</v>
      </c>
      <c r="M50" s="34" t="b">
        <v>0</v>
      </c>
      <c r="N50" s="34" t="b">
        <v>0</v>
      </c>
      <c r="O50" s="4"/>
      <c r="P50" s="4"/>
      <c r="Q50" s="4"/>
      <c r="R50" s="35"/>
      <c r="S50" s="35"/>
      <c r="T50" s="49"/>
      <c r="U50" s="32"/>
      <c r="V50" s="32"/>
    </row>
    <row r="51" spans="1:22" ht="15.75">
      <c r="A51" s="52"/>
      <c r="B51" s="12"/>
      <c r="C51" s="4"/>
      <c r="D51" s="4"/>
      <c r="E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2"/>
      <c r="G51" s="34" t="b">
        <v>0</v>
      </c>
      <c r="H51" s="34" t="b">
        <v>0</v>
      </c>
      <c r="I51" s="34" t="b">
        <v>0</v>
      </c>
      <c r="J51" s="34" t="b">
        <v>0</v>
      </c>
      <c r="K51" s="34" t="b">
        <v>0</v>
      </c>
      <c r="L51" s="34" t="b">
        <v>0</v>
      </c>
      <c r="M51" s="34" t="b">
        <v>0</v>
      </c>
      <c r="N51" s="34" t="b">
        <v>0</v>
      </c>
      <c r="O51" s="4"/>
      <c r="P51" s="4"/>
      <c r="Q51" s="4"/>
      <c r="R51" s="35"/>
      <c r="S51" s="35"/>
      <c r="T51" s="49"/>
      <c r="U51" s="32"/>
      <c r="V51" s="32"/>
    </row>
    <row r="52" spans="1:22" ht="15.75">
      <c r="A52" s="52"/>
      <c r="B52" s="12"/>
      <c r="C52" s="4"/>
      <c r="D52" s="4"/>
      <c r="E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2"/>
      <c r="G52" s="34" t="b">
        <v>0</v>
      </c>
      <c r="H52" s="34" t="b">
        <v>0</v>
      </c>
      <c r="I52" s="34" t="b">
        <v>0</v>
      </c>
      <c r="J52" s="34" t="b">
        <v>0</v>
      </c>
      <c r="K52" s="34" t="b">
        <v>0</v>
      </c>
      <c r="L52" s="34" t="b">
        <v>0</v>
      </c>
      <c r="M52" s="34" t="b">
        <v>0</v>
      </c>
      <c r="N52" s="34" t="b">
        <v>0</v>
      </c>
      <c r="O52" s="4"/>
      <c r="P52" s="4"/>
      <c r="Q52" s="4"/>
      <c r="R52" s="35"/>
      <c r="S52" s="35"/>
      <c r="T52" s="49"/>
      <c r="U52" s="32"/>
      <c r="V52" s="32"/>
    </row>
    <row r="53" spans="1:22" ht="15.75">
      <c r="A53" s="52"/>
      <c r="B53" s="12"/>
      <c r="C53" s="4"/>
      <c r="D53" s="4"/>
      <c r="E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2"/>
      <c r="G53" s="34" t="b">
        <v>0</v>
      </c>
      <c r="H53" s="34" t="b">
        <v>0</v>
      </c>
      <c r="I53" s="34" t="b">
        <v>0</v>
      </c>
      <c r="J53" s="34" t="b">
        <v>0</v>
      </c>
      <c r="K53" s="34" t="b">
        <v>0</v>
      </c>
      <c r="L53" s="34" t="b">
        <v>0</v>
      </c>
      <c r="M53" s="34" t="b">
        <v>0</v>
      </c>
      <c r="N53" s="34" t="b">
        <v>0</v>
      </c>
      <c r="O53" s="4"/>
      <c r="P53" s="4"/>
      <c r="Q53" s="4"/>
      <c r="R53" s="35"/>
      <c r="S53" s="35"/>
      <c r="T53" s="49"/>
      <c r="U53" s="32"/>
      <c r="V53" s="32"/>
    </row>
    <row r="54" spans="1:22" ht="15.75">
      <c r="A54" s="52"/>
      <c r="B54" s="12"/>
      <c r="C54" s="4"/>
      <c r="D54" s="4"/>
      <c r="E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2"/>
      <c r="G54" s="34" t="b">
        <v>0</v>
      </c>
      <c r="H54" s="34" t="b">
        <v>0</v>
      </c>
      <c r="I54" s="34" t="b">
        <v>0</v>
      </c>
      <c r="J54" s="34" t="b">
        <v>0</v>
      </c>
      <c r="K54" s="34" t="b">
        <v>0</v>
      </c>
      <c r="L54" s="34" t="b">
        <v>0</v>
      </c>
      <c r="M54" s="34" t="b">
        <v>0</v>
      </c>
      <c r="N54" s="34" t="b">
        <v>0</v>
      </c>
      <c r="O54" s="4"/>
      <c r="P54" s="4"/>
      <c r="Q54" s="4"/>
      <c r="R54" s="35"/>
      <c r="S54" s="35"/>
      <c r="T54" s="49"/>
      <c r="U54" s="32"/>
      <c r="V54" s="32"/>
    </row>
    <row r="55" spans="1:22" ht="15.75">
      <c r="A55" s="52"/>
      <c r="B55" s="12"/>
      <c r="C55" s="4"/>
      <c r="D55" s="4"/>
      <c r="E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2"/>
      <c r="G55" s="34" t="b">
        <v>0</v>
      </c>
      <c r="H55" s="34" t="b">
        <v>0</v>
      </c>
      <c r="I55" s="34" t="b">
        <v>0</v>
      </c>
      <c r="J55" s="34" t="b">
        <v>0</v>
      </c>
      <c r="K55" s="34" t="b">
        <v>0</v>
      </c>
      <c r="L55" s="34" t="b">
        <v>0</v>
      </c>
      <c r="M55" s="34" t="b">
        <v>0</v>
      </c>
      <c r="N55" s="34" t="b">
        <v>0</v>
      </c>
      <c r="O55" s="4"/>
      <c r="P55" s="4"/>
      <c r="Q55" s="4"/>
      <c r="R55" s="35"/>
      <c r="S55" s="35"/>
      <c r="T55" s="49"/>
      <c r="U55" s="32"/>
      <c r="V55" s="32"/>
    </row>
    <row r="56" spans="1:22" ht="15.75">
      <c r="A56" s="52"/>
      <c r="B56" s="12"/>
      <c r="C56" s="4"/>
      <c r="D56" s="4"/>
      <c r="E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2"/>
      <c r="G56" s="34" t="b">
        <v>0</v>
      </c>
      <c r="H56" s="34" t="b">
        <v>0</v>
      </c>
      <c r="I56" s="34" t="b">
        <v>0</v>
      </c>
      <c r="J56" s="34" t="b">
        <v>0</v>
      </c>
      <c r="K56" s="34" t="b">
        <v>0</v>
      </c>
      <c r="L56" s="34" t="b">
        <v>0</v>
      </c>
      <c r="M56" s="34" t="b">
        <v>0</v>
      </c>
      <c r="N56" s="34" t="b">
        <v>0</v>
      </c>
      <c r="O56" s="4"/>
      <c r="P56" s="4"/>
      <c r="Q56" s="4"/>
      <c r="R56" s="35"/>
      <c r="S56" s="35"/>
      <c r="T56" s="49"/>
      <c r="U56" s="32"/>
      <c r="V56" s="32"/>
    </row>
    <row r="57" spans="1:22" ht="15.75">
      <c r="A57" s="52"/>
      <c r="B57" s="12"/>
      <c r="C57" s="4"/>
      <c r="D57" s="4"/>
      <c r="E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2"/>
      <c r="G57" s="34" t="b">
        <v>0</v>
      </c>
      <c r="H57" s="34" t="b">
        <v>0</v>
      </c>
      <c r="I57" s="34" t="b">
        <v>0</v>
      </c>
      <c r="J57" s="34" t="b">
        <v>0</v>
      </c>
      <c r="K57" s="34" t="b">
        <v>0</v>
      </c>
      <c r="L57" s="34" t="b">
        <v>0</v>
      </c>
      <c r="M57" s="34" t="b">
        <v>0</v>
      </c>
      <c r="N57" s="34" t="b">
        <v>0</v>
      </c>
      <c r="O57" s="4"/>
      <c r="P57" s="4"/>
      <c r="Q57" s="4"/>
      <c r="R57" s="35"/>
      <c r="S57" s="35"/>
      <c r="T57" s="49"/>
      <c r="U57" s="32"/>
      <c r="V57" s="32"/>
    </row>
    <row r="58" spans="1:22" ht="15.75">
      <c r="A58" s="52"/>
      <c r="B58" s="12"/>
      <c r="C58" s="4"/>
      <c r="D58" s="4"/>
      <c r="E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2"/>
      <c r="G58" s="34" t="b">
        <v>0</v>
      </c>
      <c r="H58" s="34" t="b">
        <v>0</v>
      </c>
      <c r="I58" s="34" t="b">
        <v>0</v>
      </c>
      <c r="J58" s="34" t="b">
        <v>0</v>
      </c>
      <c r="K58" s="34" t="b">
        <v>0</v>
      </c>
      <c r="L58" s="34" t="b">
        <v>0</v>
      </c>
      <c r="M58" s="34" t="b">
        <v>0</v>
      </c>
      <c r="N58" s="34" t="b">
        <v>0</v>
      </c>
      <c r="O58" s="4"/>
      <c r="P58" s="4"/>
      <c r="Q58" s="4"/>
      <c r="R58" s="35"/>
      <c r="S58" s="35"/>
      <c r="T58" s="49"/>
      <c r="U58" s="32"/>
      <c r="V58" s="32"/>
    </row>
    <row r="59" spans="1:22" ht="15.75">
      <c r="A59" s="52"/>
      <c r="B59" s="12"/>
      <c r="C59" s="4"/>
      <c r="D59" s="4"/>
      <c r="E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2"/>
      <c r="G59" s="34" t="b">
        <v>0</v>
      </c>
      <c r="H59" s="34" t="b">
        <v>0</v>
      </c>
      <c r="I59" s="34" t="b">
        <v>0</v>
      </c>
      <c r="J59" s="34" t="b">
        <v>0</v>
      </c>
      <c r="K59" s="34" t="b">
        <v>0</v>
      </c>
      <c r="L59" s="34" t="b">
        <v>0</v>
      </c>
      <c r="M59" s="34" t="b">
        <v>0</v>
      </c>
      <c r="N59" s="34" t="b">
        <v>0</v>
      </c>
      <c r="O59" s="4"/>
      <c r="P59" s="4"/>
      <c r="Q59" s="4"/>
      <c r="R59" s="35"/>
      <c r="S59" s="35"/>
      <c r="T59" s="49"/>
      <c r="U59" s="32"/>
      <c r="V59" s="32"/>
    </row>
    <row r="60" spans="1:22" ht="15.75">
      <c r="A60" s="52"/>
      <c r="B60" s="12"/>
      <c r="C60" s="4"/>
      <c r="D60" s="4"/>
      <c r="E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2"/>
      <c r="G60" s="34" t="b">
        <v>0</v>
      </c>
      <c r="H60" s="34" t="b">
        <v>0</v>
      </c>
      <c r="I60" s="34" t="b">
        <v>0</v>
      </c>
      <c r="J60" s="34" t="b">
        <v>0</v>
      </c>
      <c r="K60" s="34" t="b">
        <v>0</v>
      </c>
      <c r="L60" s="34" t="b">
        <v>0</v>
      </c>
      <c r="M60" s="34" t="b">
        <v>0</v>
      </c>
      <c r="N60" s="34" t="b">
        <v>0</v>
      </c>
      <c r="O60" s="4"/>
      <c r="P60" s="4"/>
      <c r="Q60" s="4"/>
      <c r="R60" s="35"/>
      <c r="S60" s="35"/>
      <c r="T60" s="49"/>
      <c r="U60" s="32"/>
      <c r="V60" s="32"/>
    </row>
    <row r="61" spans="1:22" ht="15.75">
      <c r="A61" s="52"/>
      <c r="B61" s="12"/>
      <c r="C61" s="4"/>
      <c r="D61" s="4"/>
      <c r="E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2"/>
      <c r="G61" s="34" t="b">
        <v>0</v>
      </c>
      <c r="H61" s="34" t="b">
        <v>0</v>
      </c>
      <c r="I61" s="34" t="b">
        <v>0</v>
      </c>
      <c r="J61" s="34" t="b">
        <v>0</v>
      </c>
      <c r="K61" s="34" t="b">
        <v>0</v>
      </c>
      <c r="L61" s="34" t="b">
        <v>0</v>
      </c>
      <c r="M61" s="34" t="b">
        <v>0</v>
      </c>
      <c r="N61" s="34" t="b">
        <v>0</v>
      </c>
      <c r="O61" s="4"/>
      <c r="P61" s="4"/>
      <c r="Q61" s="4"/>
      <c r="R61" s="35"/>
      <c r="S61" s="35"/>
      <c r="T61" s="49"/>
      <c r="U61" s="32"/>
      <c r="V61" s="32"/>
    </row>
    <row r="62" spans="1:22" ht="15.75">
      <c r="A62" s="52"/>
      <c r="B62" s="12"/>
      <c r="C62" s="4"/>
      <c r="D62" s="4"/>
      <c r="E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2"/>
      <c r="G62" s="34" t="b">
        <v>0</v>
      </c>
      <c r="H62" s="34" t="b">
        <v>0</v>
      </c>
      <c r="I62" s="34" t="b">
        <v>0</v>
      </c>
      <c r="J62" s="34" t="b">
        <v>0</v>
      </c>
      <c r="K62" s="34" t="b">
        <v>0</v>
      </c>
      <c r="L62" s="34" t="b">
        <v>0</v>
      </c>
      <c r="M62" s="34" t="b">
        <v>0</v>
      </c>
      <c r="N62" s="34" t="b">
        <v>0</v>
      </c>
      <c r="O62" s="4"/>
      <c r="P62" s="4"/>
      <c r="Q62" s="4"/>
      <c r="R62" s="35"/>
      <c r="S62" s="35"/>
      <c r="T62" s="49"/>
      <c r="U62" s="32"/>
      <c r="V62" s="32"/>
    </row>
    <row r="63" spans="1:22" ht="15.75">
      <c r="A63" s="52"/>
      <c r="B63" s="12"/>
      <c r="C63" s="4"/>
      <c r="D63" s="4"/>
      <c r="E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2"/>
      <c r="G63" s="34" t="b">
        <v>0</v>
      </c>
      <c r="H63" s="34" t="b">
        <v>0</v>
      </c>
      <c r="I63" s="34" t="b">
        <v>0</v>
      </c>
      <c r="J63" s="34" t="b">
        <v>0</v>
      </c>
      <c r="K63" s="34" t="b">
        <v>0</v>
      </c>
      <c r="L63" s="34" t="b">
        <v>0</v>
      </c>
      <c r="M63" s="34" t="b">
        <v>0</v>
      </c>
      <c r="N63" s="34" t="b">
        <v>0</v>
      </c>
      <c r="O63" s="4"/>
      <c r="P63" s="4"/>
      <c r="Q63" s="4"/>
      <c r="R63" s="35"/>
      <c r="S63" s="35"/>
      <c r="T63" s="49"/>
      <c r="U63" s="32"/>
      <c r="V63" s="32"/>
    </row>
    <row r="64" spans="1:22" ht="15.75">
      <c r="A64" s="52"/>
      <c r="B64" s="12"/>
      <c r="C64" s="4"/>
      <c r="D64" s="4"/>
      <c r="E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2"/>
      <c r="G64" s="34" t="b">
        <v>0</v>
      </c>
      <c r="H64" s="34" t="b">
        <v>0</v>
      </c>
      <c r="I64" s="34" t="b">
        <v>0</v>
      </c>
      <c r="J64" s="34" t="b">
        <v>0</v>
      </c>
      <c r="K64" s="34" t="b">
        <v>0</v>
      </c>
      <c r="L64" s="34" t="b">
        <v>0</v>
      </c>
      <c r="M64" s="34" t="b">
        <v>0</v>
      </c>
      <c r="N64" s="34" t="b">
        <v>0</v>
      </c>
      <c r="O64" s="4"/>
      <c r="P64" s="4"/>
      <c r="Q64" s="4"/>
      <c r="R64" s="35"/>
      <c r="S64" s="35"/>
      <c r="T64" s="49"/>
      <c r="U64" s="32"/>
      <c r="V64" s="32"/>
    </row>
    <row r="65" spans="1:22" ht="15.75">
      <c r="A65" s="52"/>
      <c r="B65" s="12"/>
      <c r="C65" s="4"/>
      <c r="D65" s="4"/>
      <c r="E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2"/>
      <c r="G65" s="34" t="b">
        <v>0</v>
      </c>
      <c r="H65" s="34" t="b">
        <v>0</v>
      </c>
      <c r="I65" s="34" t="b">
        <v>0</v>
      </c>
      <c r="J65" s="34" t="b">
        <v>0</v>
      </c>
      <c r="K65" s="34" t="b">
        <v>0</v>
      </c>
      <c r="L65" s="34" t="b">
        <v>0</v>
      </c>
      <c r="M65" s="34" t="b">
        <v>0</v>
      </c>
      <c r="N65" s="34" t="b">
        <v>0</v>
      </c>
      <c r="O65" s="4"/>
      <c r="P65" s="4"/>
      <c r="Q65" s="4"/>
      <c r="R65" s="35"/>
      <c r="S65" s="35"/>
      <c r="T65" s="49"/>
      <c r="U65" s="32"/>
      <c r="V65" s="32"/>
    </row>
    <row r="66" spans="1:22" ht="15.75">
      <c r="A66" s="52"/>
      <c r="B66" s="12"/>
      <c r="C66" s="4"/>
      <c r="D66" s="4"/>
      <c r="E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2"/>
      <c r="G66" s="34" t="b">
        <v>0</v>
      </c>
      <c r="H66" s="34" t="b">
        <v>0</v>
      </c>
      <c r="I66" s="34" t="b">
        <v>0</v>
      </c>
      <c r="J66" s="34" t="b">
        <v>0</v>
      </c>
      <c r="K66" s="34" t="b">
        <v>0</v>
      </c>
      <c r="L66" s="34" t="b">
        <v>0</v>
      </c>
      <c r="M66" s="34" t="b">
        <v>0</v>
      </c>
      <c r="N66" s="34" t="b">
        <v>0</v>
      </c>
      <c r="O66" s="4"/>
      <c r="P66" s="4"/>
      <c r="Q66" s="4"/>
      <c r="R66" s="35"/>
      <c r="S66" s="35"/>
      <c r="T66" s="49"/>
      <c r="U66" s="32"/>
      <c r="V66" s="32"/>
    </row>
    <row r="67" spans="1:22" ht="15.75">
      <c r="A67" s="52"/>
      <c r="B67" s="12"/>
      <c r="C67" s="4"/>
      <c r="D67" s="4"/>
      <c r="E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2"/>
      <c r="G67" s="34" t="b">
        <v>0</v>
      </c>
      <c r="H67" s="34" t="b">
        <v>0</v>
      </c>
      <c r="I67" s="34" t="b">
        <v>0</v>
      </c>
      <c r="J67" s="34" t="b">
        <v>0</v>
      </c>
      <c r="K67" s="34" t="b">
        <v>0</v>
      </c>
      <c r="L67" s="34" t="b">
        <v>0</v>
      </c>
      <c r="M67" s="34" t="b">
        <v>0</v>
      </c>
      <c r="N67" s="34" t="b">
        <v>0</v>
      </c>
      <c r="O67" s="4"/>
      <c r="P67" s="4"/>
      <c r="Q67" s="4"/>
      <c r="R67" s="35"/>
      <c r="S67" s="35"/>
      <c r="T67" s="49"/>
      <c r="U67" s="32"/>
      <c r="V67" s="32"/>
    </row>
    <row r="68" spans="1:22" ht="15.75">
      <c r="A68" s="52"/>
      <c r="B68" s="12"/>
      <c r="C68" s="4"/>
      <c r="D68" s="4"/>
      <c r="E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2"/>
      <c r="G68" s="34" t="b">
        <v>0</v>
      </c>
      <c r="H68" s="34" t="b">
        <v>0</v>
      </c>
      <c r="I68" s="34" t="b">
        <v>0</v>
      </c>
      <c r="J68" s="34" t="b">
        <v>0</v>
      </c>
      <c r="K68" s="34" t="b">
        <v>0</v>
      </c>
      <c r="L68" s="34" t="b">
        <v>0</v>
      </c>
      <c r="M68" s="34" t="b">
        <v>0</v>
      </c>
      <c r="N68" s="34" t="b">
        <v>0</v>
      </c>
      <c r="O68" s="4"/>
      <c r="P68" s="4"/>
      <c r="Q68" s="4"/>
      <c r="R68" s="35"/>
      <c r="S68" s="35"/>
      <c r="T68" s="49"/>
      <c r="U68" s="32"/>
      <c r="V68" s="32"/>
    </row>
    <row r="69" spans="1:22" ht="15.75">
      <c r="A69" s="52"/>
      <c r="B69" s="12"/>
      <c r="C69" s="4"/>
      <c r="D69" s="4"/>
      <c r="E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2"/>
      <c r="G69" s="34" t="b">
        <v>0</v>
      </c>
      <c r="H69" s="34" t="b">
        <v>0</v>
      </c>
      <c r="I69" s="34" t="b">
        <v>0</v>
      </c>
      <c r="J69" s="34" t="b">
        <v>0</v>
      </c>
      <c r="K69" s="34" t="b">
        <v>0</v>
      </c>
      <c r="L69" s="34" t="b">
        <v>0</v>
      </c>
      <c r="M69" s="34" t="b">
        <v>0</v>
      </c>
      <c r="N69" s="34" t="b">
        <v>0</v>
      </c>
      <c r="O69" s="4"/>
      <c r="P69" s="4"/>
      <c r="Q69" s="4"/>
      <c r="R69" s="35"/>
      <c r="S69" s="35"/>
      <c r="T69" s="49"/>
      <c r="U69" s="32"/>
      <c r="V69" s="32"/>
    </row>
    <row r="70" spans="1:22" ht="15.75">
      <c r="A70" s="52"/>
      <c r="B70" s="12"/>
      <c r="C70" s="4"/>
      <c r="D70" s="4"/>
      <c r="E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2"/>
      <c r="G70" s="34" t="b">
        <v>0</v>
      </c>
      <c r="H70" s="34" t="b">
        <v>0</v>
      </c>
      <c r="I70" s="34" t="b">
        <v>0</v>
      </c>
      <c r="J70" s="34" t="b">
        <v>0</v>
      </c>
      <c r="K70" s="34" t="b">
        <v>0</v>
      </c>
      <c r="L70" s="34" t="b">
        <v>0</v>
      </c>
      <c r="M70" s="34" t="b">
        <v>0</v>
      </c>
      <c r="N70" s="34" t="b">
        <v>0</v>
      </c>
      <c r="O70" s="4"/>
      <c r="P70" s="4"/>
      <c r="Q70" s="4"/>
      <c r="R70" s="35"/>
      <c r="S70" s="35"/>
      <c r="T70" s="49"/>
      <c r="U70" s="32"/>
      <c r="V70" s="32"/>
    </row>
    <row r="71" spans="1:22" ht="15.75">
      <c r="A71" s="52"/>
      <c r="B71" s="12"/>
      <c r="C71" s="4"/>
      <c r="D71" s="4"/>
      <c r="E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2"/>
      <c r="G71" s="34" t="b">
        <v>0</v>
      </c>
      <c r="H71" s="34" t="b">
        <v>0</v>
      </c>
      <c r="I71" s="34" t="b">
        <v>0</v>
      </c>
      <c r="J71" s="34" t="b">
        <v>0</v>
      </c>
      <c r="K71" s="34" t="b">
        <v>0</v>
      </c>
      <c r="L71" s="34" t="b">
        <v>0</v>
      </c>
      <c r="M71" s="34" t="b">
        <v>0</v>
      </c>
      <c r="N71" s="34" t="b">
        <v>0</v>
      </c>
      <c r="O71" s="4"/>
      <c r="P71" s="4"/>
      <c r="Q71" s="4"/>
      <c r="R71" s="35"/>
      <c r="S71" s="35"/>
      <c r="T71" s="49"/>
      <c r="U71" s="32"/>
      <c r="V71" s="32"/>
    </row>
    <row r="72" spans="1:22" ht="15.75">
      <c r="A72" s="52"/>
      <c r="B72" s="12"/>
      <c r="C72" s="4"/>
      <c r="D72" s="4"/>
      <c r="E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2"/>
      <c r="G72" s="34" t="b">
        <v>0</v>
      </c>
      <c r="H72" s="34" t="b">
        <v>0</v>
      </c>
      <c r="I72" s="34" t="b">
        <v>0</v>
      </c>
      <c r="J72" s="34" t="b">
        <v>0</v>
      </c>
      <c r="K72" s="34" t="b">
        <v>0</v>
      </c>
      <c r="L72" s="34" t="b">
        <v>0</v>
      </c>
      <c r="M72" s="34" t="b">
        <v>0</v>
      </c>
      <c r="N72" s="34" t="b">
        <v>0</v>
      </c>
      <c r="O72" s="4"/>
      <c r="P72" s="4"/>
      <c r="Q72" s="4"/>
      <c r="R72" s="35"/>
      <c r="S72" s="35"/>
      <c r="T72" s="49"/>
      <c r="U72" s="32"/>
      <c r="V72" s="32"/>
    </row>
    <row r="73" spans="1:22" ht="15.75">
      <c r="A73" s="52"/>
      <c r="B73" s="12"/>
      <c r="C73" s="4"/>
      <c r="D73" s="4"/>
      <c r="E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2"/>
      <c r="G73" s="34" t="b">
        <v>0</v>
      </c>
      <c r="H73" s="34" t="b">
        <v>0</v>
      </c>
      <c r="I73" s="34" t="b">
        <v>0</v>
      </c>
      <c r="J73" s="34" t="b">
        <v>0</v>
      </c>
      <c r="K73" s="34" t="b">
        <v>0</v>
      </c>
      <c r="L73" s="34" t="b">
        <v>0</v>
      </c>
      <c r="M73" s="34" t="b">
        <v>0</v>
      </c>
      <c r="N73" s="34" t="b">
        <v>0</v>
      </c>
      <c r="O73" s="4"/>
      <c r="P73" s="4"/>
      <c r="Q73" s="4"/>
      <c r="R73" s="35"/>
      <c r="S73" s="35"/>
      <c r="T73" s="49"/>
      <c r="U73" s="32"/>
      <c r="V73" s="32"/>
    </row>
    <row r="74" spans="1:22" ht="15.75">
      <c r="A74" s="52"/>
      <c r="B74" s="12"/>
      <c r="C74" s="4"/>
      <c r="D74" s="4"/>
      <c r="E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2"/>
      <c r="G74" s="34" t="b">
        <v>0</v>
      </c>
      <c r="H74" s="34" t="b">
        <v>0</v>
      </c>
      <c r="I74" s="34" t="b">
        <v>0</v>
      </c>
      <c r="J74" s="34" t="b">
        <v>0</v>
      </c>
      <c r="K74" s="34" t="b">
        <v>0</v>
      </c>
      <c r="L74" s="34" t="b">
        <v>0</v>
      </c>
      <c r="M74" s="34" t="b">
        <v>0</v>
      </c>
      <c r="N74" s="34" t="b">
        <v>0</v>
      </c>
      <c r="O74" s="4"/>
      <c r="P74" s="4"/>
      <c r="Q74" s="4"/>
      <c r="R74" s="35"/>
      <c r="S74" s="35"/>
      <c r="T74" s="49"/>
      <c r="U74" s="32"/>
      <c r="V74" s="32"/>
    </row>
    <row r="75" spans="1:22" ht="15.75">
      <c r="A75" s="52"/>
      <c r="B75" s="12"/>
      <c r="C75" s="4"/>
      <c r="D75" s="4"/>
      <c r="E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2"/>
      <c r="G75" s="34" t="b">
        <v>0</v>
      </c>
      <c r="H75" s="34" t="b">
        <v>0</v>
      </c>
      <c r="I75" s="34" t="b">
        <v>0</v>
      </c>
      <c r="J75" s="34" t="b">
        <v>0</v>
      </c>
      <c r="K75" s="34" t="b">
        <v>0</v>
      </c>
      <c r="L75" s="34" t="b">
        <v>0</v>
      </c>
      <c r="M75" s="34" t="b">
        <v>0</v>
      </c>
      <c r="N75" s="34" t="b">
        <v>0</v>
      </c>
      <c r="O75" s="4"/>
      <c r="P75" s="4"/>
      <c r="Q75" s="4"/>
      <c r="R75" s="35"/>
      <c r="S75" s="35"/>
      <c r="T75" s="49"/>
      <c r="U75" s="32"/>
      <c r="V75" s="32"/>
    </row>
    <row r="76" spans="1:22" ht="15.75">
      <c r="A76" s="52"/>
      <c r="B76" s="12"/>
      <c r="C76" s="4"/>
      <c r="D76" s="4"/>
      <c r="E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2"/>
      <c r="G76" s="34" t="b">
        <v>0</v>
      </c>
      <c r="H76" s="34" t="b">
        <v>0</v>
      </c>
      <c r="I76" s="34" t="b">
        <v>0</v>
      </c>
      <c r="J76" s="34" t="b">
        <v>0</v>
      </c>
      <c r="K76" s="34" t="b">
        <v>0</v>
      </c>
      <c r="L76" s="34" t="b">
        <v>0</v>
      </c>
      <c r="M76" s="34" t="b">
        <v>0</v>
      </c>
      <c r="N76" s="34" t="b">
        <v>0</v>
      </c>
      <c r="O76" s="4"/>
      <c r="P76" s="4"/>
      <c r="Q76" s="4"/>
      <c r="R76" s="35"/>
      <c r="S76" s="35"/>
      <c r="T76" s="49"/>
      <c r="U76" s="32"/>
      <c r="V76" s="32"/>
    </row>
    <row r="77" spans="1:22" ht="15.75">
      <c r="A77" s="52"/>
      <c r="B77" s="12"/>
      <c r="C77" s="4"/>
      <c r="D77" s="4"/>
      <c r="E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2"/>
      <c r="G77" s="34" t="b">
        <v>0</v>
      </c>
      <c r="H77" s="34" t="b">
        <v>0</v>
      </c>
      <c r="I77" s="34" t="b">
        <v>0</v>
      </c>
      <c r="J77" s="34" t="b">
        <v>0</v>
      </c>
      <c r="K77" s="34" t="b">
        <v>0</v>
      </c>
      <c r="L77" s="34" t="b">
        <v>0</v>
      </c>
      <c r="M77" s="34" t="b">
        <v>0</v>
      </c>
      <c r="N77" s="34" t="b">
        <v>0</v>
      </c>
      <c r="O77" s="4"/>
      <c r="P77" s="4"/>
      <c r="Q77" s="4"/>
      <c r="R77" s="35"/>
      <c r="S77" s="35"/>
      <c r="T77" s="49"/>
      <c r="U77" s="32"/>
      <c r="V77" s="32"/>
    </row>
    <row r="78" spans="1:22" ht="15.75">
      <c r="A78" s="52"/>
      <c r="B78" s="12"/>
      <c r="C78" s="4"/>
      <c r="D78" s="4"/>
      <c r="E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2"/>
      <c r="G78" s="34" t="b">
        <v>0</v>
      </c>
      <c r="H78" s="34" t="b">
        <v>0</v>
      </c>
      <c r="I78" s="34" t="b">
        <v>0</v>
      </c>
      <c r="J78" s="34" t="b">
        <v>0</v>
      </c>
      <c r="K78" s="34" t="b">
        <v>0</v>
      </c>
      <c r="L78" s="34" t="b">
        <v>0</v>
      </c>
      <c r="M78" s="34" t="b">
        <v>0</v>
      </c>
      <c r="N78" s="34" t="b">
        <v>0</v>
      </c>
      <c r="O78" s="4"/>
      <c r="P78" s="4"/>
      <c r="Q78" s="4"/>
      <c r="R78" s="35"/>
      <c r="S78" s="35"/>
      <c r="T78" s="49"/>
      <c r="U78" s="32"/>
      <c r="V78" s="32"/>
    </row>
    <row r="79" spans="1:22" ht="15.75">
      <c r="A79" s="52"/>
      <c r="B79" s="12"/>
      <c r="C79" s="4"/>
      <c r="D79" s="4"/>
      <c r="E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2"/>
      <c r="G79" s="34" t="b">
        <v>0</v>
      </c>
      <c r="H79" s="34" t="b">
        <v>0</v>
      </c>
      <c r="I79" s="34" t="b">
        <v>0</v>
      </c>
      <c r="J79" s="34" t="b">
        <v>0</v>
      </c>
      <c r="K79" s="34" t="b">
        <v>0</v>
      </c>
      <c r="L79" s="34" t="b">
        <v>0</v>
      </c>
      <c r="M79" s="34" t="b">
        <v>0</v>
      </c>
      <c r="N79" s="34" t="b">
        <v>0</v>
      </c>
      <c r="O79" s="4"/>
      <c r="P79" s="4"/>
      <c r="Q79" s="4"/>
      <c r="R79" s="35"/>
      <c r="S79" s="35"/>
      <c r="T79" s="49"/>
      <c r="U79" s="32"/>
      <c r="V79" s="32"/>
    </row>
    <row r="80" spans="1:22" ht="15.75">
      <c r="A80" s="52"/>
      <c r="B80" s="12"/>
      <c r="C80" s="4"/>
      <c r="D80" s="4"/>
      <c r="E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2"/>
      <c r="G80" s="34" t="b">
        <v>0</v>
      </c>
      <c r="H80" s="34" t="b">
        <v>0</v>
      </c>
      <c r="I80" s="34" t="b">
        <v>0</v>
      </c>
      <c r="J80" s="34" t="b">
        <v>0</v>
      </c>
      <c r="K80" s="34" t="b">
        <v>0</v>
      </c>
      <c r="L80" s="34" t="b">
        <v>0</v>
      </c>
      <c r="M80" s="34" t="b">
        <v>0</v>
      </c>
      <c r="N80" s="34" t="b">
        <v>0</v>
      </c>
      <c r="O80" s="4"/>
      <c r="P80" s="4"/>
      <c r="Q80" s="4"/>
      <c r="R80" s="35"/>
      <c r="S80" s="35"/>
      <c r="T80" s="49"/>
      <c r="U80" s="32"/>
      <c r="V80" s="32"/>
    </row>
    <row r="81" spans="1:22" ht="15.75">
      <c r="A81" s="52"/>
      <c r="B81" s="12"/>
      <c r="C81" s="4"/>
      <c r="D81" s="4"/>
      <c r="E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2"/>
      <c r="G81" s="34" t="b">
        <v>0</v>
      </c>
      <c r="H81" s="34" t="b">
        <v>0</v>
      </c>
      <c r="I81" s="34" t="b">
        <v>0</v>
      </c>
      <c r="J81" s="34" t="b">
        <v>0</v>
      </c>
      <c r="K81" s="34" t="b">
        <v>0</v>
      </c>
      <c r="L81" s="34" t="b">
        <v>0</v>
      </c>
      <c r="M81" s="34" t="b">
        <v>0</v>
      </c>
      <c r="N81" s="34" t="b">
        <v>0</v>
      </c>
      <c r="O81" s="4"/>
      <c r="P81" s="4"/>
      <c r="Q81" s="4"/>
      <c r="R81" s="35"/>
      <c r="S81" s="35"/>
      <c r="T81" s="49"/>
      <c r="U81" s="32"/>
      <c r="V81" s="32"/>
    </row>
    <row r="82" spans="1:22" ht="15.75">
      <c r="A82" s="52"/>
      <c r="B82" s="12"/>
      <c r="C82" s="4"/>
      <c r="D82" s="4"/>
      <c r="E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2"/>
      <c r="G82" s="34" t="b">
        <v>0</v>
      </c>
      <c r="H82" s="34" t="b">
        <v>0</v>
      </c>
      <c r="I82" s="34" t="b">
        <v>0</v>
      </c>
      <c r="J82" s="34" t="b">
        <v>0</v>
      </c>
      <c r="K82" s="34" t="b">
        <v>0</v>
      </c>
      <c r="L82" s="34" t="b">
        <v>0</v>
      </c>
      <c r="M82" s="34" t="b">
        <v>0</v>
      </c>
      <c r="N82" s="34" t="b">
        <v>0</v>
      </c>
      <c r="O82" s="4"/>
      <c r="P82" s="4"/>
      <c r="Q82" s="4"/>
      <c r="R82" s="35"/>
      <c r="S82" s="35"/>
      <c r="T82" s="49"/>
      <c r="U82" s="32"/>
      <c r="V82" s="32"/>
    </row>
    <row r="83" spans="1:22" ht="15.75">
      <c r="A83" s="52"/>
      <c r="B83" s="12"/>
      <c r="C83" s="4"/>
      <c r="D83" s="4"/>
      <c r="E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2"/>
      <c r="G83" s="34" t="b">
        <v>0</v>
      </c>
      <c r="H83" s="34" t="b">
        <v>0</v>
      </c>
      <c r="I83" s="34" t="b">
        <v>0</v>
      </c>
      <c r="J83" s="34" t="b">
        <v>0</v>
      </c>
      <c r="K83" s="34" t="b">
        <v>0</v>
      </c>
      <c r="L83" s="34" t="b">
        <v>0</v>
      </c>
      <c r="M83" s="34" t="b">
        <v>0</v>
      </c>
      <c r="N83" s="34" t="b">
        <v>0</v>
      </c>
      <c r="O83" s="4"/>
      <c r="P83" s="4"/>
      <c r="Q83" s="4"/>
      <c r="R83" s="35"/>
      <c r="S83" s="35"/>
      <c r="T83" s="49"/>
      <c r="U83" s="32"/>
      <c r="V83" s="32"/>
    </row>
    <row r="84" spans="1:22" ht="15.75">
      <c r="A84" s="52"/>
      <c r="B84" s="12"/>
      <c r="C84" s="4"/>
      <c r="D84" s="4"/>
      <c r="E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2"/>
      <c r="G84" s="34" t="b">
        <v>0</v>
      </c>
      <c r="H84" s="34" t="b">
        <v>0</v>
      </c>
      <c r="I84" s="34" t="b">
        <v>0</v>
      </c>
      <c r="J84" s="34" t="b">
        <v>0</v>
      </c>
      <c r="K84" s="34" t="b">
        <v>0</v>
      </c>
      <c r="L84" s="34" t="b">
        <v>0</v>
      </c>
      <c r="M84" s="34" t="b">
        <v>0</v>
      </c>
      <c r="N84" s="34" t="b">
        <v>0</v>
      </c>
      <c r="O84" s="4"/>
      <c r="P84" s="4"/>
      <c r="Q84" s="4"/>
      <c r="R84" s="35"/>
      <c r="S84" s="35"/>
      <c r="T84" s="49"/>
      <c r="U84" s="32"/>
      <c r="V84" s="32"/>
    </row>
    <row r="85" spans="1:22" ht="15.75">
      <c r="A85" s="52"/>
      <c r="B85" s="12"/>
      <c r="C85" s="4"/>
      <c r="D85" s="4"/>
      <c r="E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2"/>
      <c r="G85" s="34" t="b">
        <v>0</v>
      </c>
      <c r="H85" s="34" t="b">
        <v>0</v>
      </c>
      <c r="I85" s="34" t="b">
        <v>0</v>
      </c>
      <c r="J85" s="34" t="b">
        <v>0</v>
      </c>
      <c r="K85" s="34" t="b">
        <v>0</v>
      </c>
      <c r="L85" s="34" t="b">
        <v>0</v>
      </c>
      <c r="M85" s="34" t="b">
        <v>0</v>
      </c>
      <c r="N85" s="34" t="b">
        <v>0</v>
      </c>
      <c r="O85" s="4"/>
      <c r="P85" s="4"/>
      <c r="Q85" s="4"/>
      <c r="R85" s="35"/>
      <c r="S85" s="35"/>
      <c r="T85" s="49"/>
      <c r="U85" s="32"/>
      <c r="V85" s="32"/>
    </row>
    <row r="86" spans="1:22" ht="15.75">
      <c r="A86" s="52"/>
      <c r="B86" s="12"/>
      <c r="C86" s="4"/>
      <c r="D86" s="4"/>
      <c r="E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2"/>
      <c r="G86" s="34" t="b">
        <v>0</v>
      </c>
      <c r="H86" s="34" t="b">
        <v>0</v>
      </c>
      <c r="I86" s="34" t="b">
        <v>0</v>
      </c>
      <c r="J86" s="34" t="b">
        <v>0</v>
      </c>
      <c r="K86" s="34" t="b">
        <v>0</v>
      </c>
      <c r="L86" s="34" t="b">
        <v>0</v>
      </c>
      <c r="M86" s="34" t="b">
        <v>0</v>
      </c>
      <c r="N86" s="34" t="b">
        <v>0</v>
      </c>
      <c r="O86" s="4"/>
      <c r="P86" s="4"/>
      <c r="Q86" s="4"/>
      <c r="R86" s="35"/>
      <c r="S86" s="35"/>
      <c r="T86" s="49"/>
      <c r="U86" s="32"/>
      <c r="V86" s="32"/>
    </row>
    <row r="87" spans="1:22" ht="15.75">
      <c r="A87" s="52"/>
      <c r="B87" s="12"/>
      <c r="C87" s="4"/>
      <c r="D87" s="4"/>
      <c r="E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2"/>
      <c r="G87" s="34" t="b">
        <v>0</v>
      </c>
      <c r="H87" s="34" t="b">
        <v>0</v>
      </c>
      <c r="I87" s="34" t="b">
        <v>0</v>
      </c>
      <c r="J87" s="34" t="b">
        <v>0</v>
      </c>
      <c r="K87" s="34" t="b">
        <v>0</v>
      </c>
      <c r="L87" s="34" t="b">
        <v>0</v>
      </c>
      <c r="M87" s="34" t="b">
        <v>0</v>
      </c>
      <c r="N87" s="34" t="b">
        <v>0</v>
      </c>
      <c r="O87" s="4"/>
      <c r="P87" s="4"/>
      <c r="Q87" s="4"/>
      <c r="R87" s="35"/>
      <c r="S87" s="35"/>
      <c r="T87" s="49"/>
      <c r="U87" s="32"/>
      <c r="V87" s="32"/>
    </row>
    <row r="88" spans="1:22" ht="15.75">
      <c r="A88" s="52"/>
      <c r="B88" s="12"/>
      <c r="C88" s="4"/>
      <c r="D88" s="4"/>
      <c r="E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2"/>
      <c r="G88" s="34" t="b">
        <v>0</v>
      </c>
      <c r="H88" s="34" t="b">
        <v>0</v>
      </c>
      <c r="I88" s="34" t="b">
        <v>0</v>
      </c>
      <c r="J88" s="34" t="b">
        <v>0</v>
      </c>
      <c r="K88" s="34" t="b">
        <v>0</v>
      </c>
      <c r="L88" s="34" t="b">
        <v>0</v>
      </c>
      <c r="M88" s="34" t="b">
        <v>0</v>
      </c>
      <c r="N88" s="34" t="b">
        <v>0</v>
      </c>
      <c r="O88" s="4"/>
      <c r="P88" s="4"/>
      <c r="Q88" s="4"/>
      <c r="R88" s="35"/>
      <c r="S88" s="35"/>
      <c r="T88" s="49"/>
      <c r="U88" s="32"/>
      <c r="V88" s="32"/>
    </row>
    <row r="89" spans="1:22" ht="15.75">
      <c r="A89" s="52"/>
      <c r="B89" s="12"/>
      <c r="C89" s="4"/>
      <c r="D89" s="4"/>
      <c r="E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2"/>
      <c r="G89" s="34" t="b">
        <v>0</v>
      </c>
      <c r="H89" s="34" t="b">
        <v>0</v>
      </c>
      <c r="I89" s="34" t="b">
        <v>0</v>
      </c>
      <c r="J89" s="34" t="b">
        <v>0</v>
      </c>
      <c r="K89" s="34" t="b">
        <v>0</v>
      </c>
      <c r="L89" s="34" t="b">
        <v>0</v>
      </c>
      <c r="M89" s="34" t="b">
        <v>0</v>
      </c>
      <c r="N89" s="34" t="b">
        <v>0</v>
      </c>
      <c r="O89" s="4"/>
      <c r="P89" s="4"/>
      <c r="Q89" s="4"/>
      <c r="R89" s="35"/>
      <c r="S89" s="35"/>
      <c r="T89" s="49"/>
      <c r="U89" s="32"/>
      <c r="V89" s="32"/>
    </row>
    <row r="90" spans="1:22" ht="15.75">
      <c r="A90" s="52"/>
      <c r="B90" s="12"/>
      <c r="C90" s="4"/>
      <c r="D90" s="4"/>
      <c r="E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2"/>
      <c r="G90" s="34" t="b">
        <v>0</v>
      </c>
      <c r="H90" s="34" t="b">
        <v>0</v>
      </c>
      <c r="I90" s="34" t="b">
        <v>0</v>
      </c>
      <c r="J90" s="34" t="b">
        <v>0</v>
      </c>
      <c r="K90" s="34" t="b">
        <v>0</v>
      </c>
      <c r="L90" s="34" t="b">
        <v>0</v>
      </c>
      <c r="M90" s="34" t="b">
        <v>0</v>
      </c>
      <c r="N90" s="34" t="b">
        <v>0</v>
      </c>
      <c r="O90" s="4"/>
      <c r="P90" s="4"/>
      <c r="Q90" s="4"/>
      <c r="R90" s="35"/>
      <c r="S90" s="35"/>
      <c r="T90" s="49"/>
      <c r="U90" s="32"/>
      <c r="V90" s="32"/>
    </row>
    <row r="91" spans="1:22" ht="15.75">
      <c r="A91" s="52"/>
      <c r="B91" s="12"/>
      <c r="C91" s="4"/>
      <c r="D91" s="4"/>
      <c r="E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2"/>
      <c r="G91" s="34" t="b">
        <v>0</v>
      </c>
      <c r="H91" s="34" t="b">
        <v>0</v>
      </c>
      <c r="I91" s="34" t="b">
        <v>0</v>
      </c>
      <c r="J91" s="34" t="b">
        <v>0</v>
      </c>
      <c r="K91" s="34" t="b">
        <v>0</v>
      </c>
      <c r="L91" s="34" t="b">
        <v>0</v>
      </c>
      <c r="M91" s="34" t="b">
        <v>0</v>
      </c>
      <c r="N91" s="34" t="b">
        <v>0</v>
      </c>
      <c r="O91" s="4"/>
      <c r="P91" s="4"/>
      <c r="Q91" s="4"/>
      <c r="R91" s="35"/>
      <c r="S91" s="35"/>
      <c r="T91" s="49"/>
      <c r="U91" s="32"/>
      <c r="V91" s="32"/>
    </row>
    <row r="92" spans="1:22" ht="15.75">
      <c r="A92" s="52"/>
      <c r="B92" s="12"/>
      <c r="C92" s="4"/>
      <c r="D92" s="4"/>
      <c r="E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2"/>
      <c r="G92" s="34" t="b">
        <v>0</v>
      </c>
      <c r="H92" s="34" t="b">
        <v>0</v>
      </c>
      <c r="I92" s="34" t="b">
        <v>0</v>
      </c>
      <c r="J92" s="34" t="b">
        <v>0</v>
      </c>
      <c r="K92" s="34" t="b">
        <v>0</v>
      </c>
      <c r="L92" s="34" t="b">
        <v>0</v>
      </c>
      <c r="M92" s="34" t="b">
        <v>0</v>
      </c>
      <c r="N92" s="34" t="b">
        <v>0</v>
      </c>
      <c r="O92" s="4"/>
      <c r="P92" s="4"/>
      <c r="Q92" s="4"/>
      <c r="R92" s="35"/>
      <c r="S92" s="35"/>
      <c r="T92" s="49"/>
      <c r="U92" s="32"/>
      <c r="V92" s="32"/>
    </row>
    <row r="93" spans="1:22" ht="15.75">
      <c r="A93" s="52"/>
      <c r="B93" s="12"/>
      <c r="C93" s="4"/>
      <c r="D93" s="4"/>
      <c r="E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2"/>
      <c r="G93" s="34" t="b">
        <v>0</v>
      </c>
      <c r="H93" s="34" t="b">
        <v>0</v>
      </c>
      <c r="I93" s="34" t="b">
        <v>0</v>
      </c>
      <c r="J93" s="34" t="b">
        <v>0</v>
      </c>
      <c r="K93" s="34" t="b">
        <v>0</v>
      </c>
      <c r="L93" s="34" t="b">
        <v>0</v>
      </c>
      <c r="M93" s="34" t="b">
        <v>0</v>
      </c>
      <c r="N93" s="34" t="b">
        <v>0</v>
      </c>
      <c r="O93" s="4"/>
      <c r="P93" s="4"/>
      <c r="Q93" s="4"/>
      <c r="R93" s="35"/>
      <c r="S93" s="35"/>
      <c r="T93" s="49"/>
      <c r="U93" s="32"/>
      <c r="V93" s="32"/>
    </row>
    <row r="94" spans="1:22" ht="15.75">
      <c r="A94" s="52"/>
      <c r="B94" s="12"/>
      <c r="C94" s="4"/>
      <c r="D94" s="4"/>
      <c r="E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2"/>
      <c r="G94" s="34" t="b">
        <v>0</v>
      </c>
      <c r="H94" s="34" t="b">
        <v>0</v>
      </c>
      <c r="I94" s="34" t="b">
        <v>0</v>
      </c>
      <c r="J94" s="34" t="b">
        <v>0</v>
      </c>
      <c r="K94" s="34" t="b">
        <v>0</v>
      </c>
      <c r="L94" s="34" t="b">
        <v>0</v>
      </c>
      <c r="M94" s="34" t="b">
        <v>0</v>
      </c>
      <c r="N94" s="34" t="b">
        <v>0</v>
      </c>
      <c r="O94" s="4"/>
      <c r="P94" s="4"/>
      <c r="Q94" s="4"/>
      <c r="R94" s="35"/>
      <c r="S94" s="35"/>
      <c r="T94" s="49"/>
      <c r="U94" s="32"/>
      <c r="V94" s="32"/>
    </row>
    <row r="95" spans="1:22" ht="15.75">
      <c r="A95" s="52"/>
      <c r="B95" s="12"/>
      <c r="C95" s="4"/>
      <c r="D95" s="4"/>
      <c r="E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2"/>
      <c r="G95" s="34" t="b">
        <v>0</v>
      </c>
      <c r="H95" s="34" t="b">
        <v>0</v>
      </c>
      <c r="I95" s="34" t="b">
        <v>0</v>
      </c>
      <c r="J95" s="34" t="b">
        <v>0</v>
      </c>
      <c r="K95" s="34" t="b">
        <v>0</v>
      </c>
      <c r="L95" s="34" t="b">
        <v>0</v>
      </c>
      <c r="M95" s="34" t="b">
        <v>0</v>
      </c>
      <c r="N95" s="34" t="b">
        <v>0</v>
      </c>
      <c r="O95" s="4"/>
      <c r="P95" s="4"/>
      <c r="Q95" s="4"/>
      <c r="R95" s="35"/>
      <c r="S95" s="35"/>
      <c r="T95" s="49"/>
      <c r="U95" s="32"/>
      <c r="V95" s="32"/>
    </row>
    <row r="96" spans="1:22" ht="15.75">
      <c r="A96" s="52"/>
      <c r="B96" s="12"/>
      <c r="C96" s="4"/>
      <c r="D96" s="4"/>
      <c r="E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2"/>
      <c r="G96" s="34" t="b">
        <v>0</v>
      </c>
      <c r="H96" s="34" t="b">
        <v>0</v>
      </c>
      <c r="I96" s="34" t="b">
        <v>0</v>
      </c>
      <c r="J96" s="34" t="b">
        <v>0</v>
      </c>
      <c r="K96" s="34" t="b">
        <v>0</v>
      </c>
      <c r="L96" s="34" t="b">
        <v>0</v>
      </c>
      <c r="M96" s="34" t="b">
        <v>0</v>
      </c>
      <c r="N96" s="34" t="b">
        <v>0</v>
      </c>
      <c r="O96" s="4"/>
      <c r="P96" s="4"/>
      <c r="Q96" s="4"/>
      <c r="R96" s="35"/>
      <c r="S96" s="35"/>
      <c r="T96" s="49"/>
      <c r="U96" s="32"/>
      <c r="V96" s="32"/>
    </row>
    <row r="97" spans="1:22" ht="15.75">
      <c r="A97" s="52"/>
      <c r="B97" s="12"/>
      <c r="C97" s="4"/>
      <c r="D97" s="4"/>
      <c r="E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2"/>
      <c r="G97" s="34" t="b">
        <v>0</v>
      </c>
      <c r="H97" s="34" t="b">
        <v>0</v>
      </c>
      <c r="I97" s="34" t="b">
        <v>0</v>
      </c>
      <c r="J97" s="34" t="b">
        <v>0</v>
      </c>
      <c r="K97" s="34" t="b">
        <v>0</v>
      </c>
      <c r="L97" s="34" t="b">
        <v>0</v>
      </c>
      <c r="M97" s="34" t="b">
        <v>0</v>
      </c>
      <c r="N97" s="34" t="b">
        <v>0</v>
      </c>
      <c r="O97" s="4"/>
      <c r="P97" s="4"/>
      <c r="Q97" s="4"/>
      <c r="R97" s="35"/>
      <c r="S97" s="35"/>
      <c r="T97" s="49"/>
      <c r="U97" s="32"/>
      <c r="V97" s="32"/>
    </row>
    <row r="98" spans="1:22" ht="15.75">
      <c r="A98" s="52"/>
      <c r="B98" s="12"/>
      <c r="C98" s="4"/>
      <c r="D98" s="4"/>
      <c r="E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2"/>
      <c r="G98" s="34" t="b">
        <v>0</v>
      </c>
      <c r="H98" s="34" t="b">
        <v>0</v>
      </c>
      <c r="I98" s="34" t="b">
        <v>0</v>
      </c>
      <c r="J98" s="34" t="b">
        <v>0</v>
      </c>
      <c r="K98" s="34" t="b">
        <v>0</v>
      </c>
      <c r="L98" s="34" t="b">
        <v>0</v>
      </c>
      <c r="M98" s="34" t="b">
        <v>0</v>
      </c>
      <c r="N98" s="34" t="b">
        <v>0</v>
      </c>
      <c r="O98" s="4"/>
      <c r="P98" s="4"/>
      <c r="Q98" s="4"/>
      <c r="R98" s="35"/>
      <c r="S98" s="35"/>
      <c r="T98" s="49"/>
      <c r="U98" s="32"/>
      <c r="V98" s="32"/>
    </row>
    <row r="99" spans="1:22" ht="15.75">
      <c r="A99" s="52"/>
      <c r="B99" s="12"/>
      <c r="C99" s="4"/>
      <c r="D99" s="4"/>
      <c r="E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2"/>
      <c r="G99" s="34" t="b">
        <v>0</v>
      </c>
      <c r="H99" s="34" t="b">
        <v>0</v>
      </c>
      <c r="I99" s="34" t="b">
        <v>0</v>
      </c>
      <c r="J99" s="34" t="b">
        <v>0</v>
      </c>
      <c r="K99" s="34" t="b">
        <v>0</v>
      </c>
      <c r="L99" s="34" t="b">
        <v>0</v>
      </c>
      <c r="M99" s="34" t="b">
        <v>0</v>
      </c>
      <c r="N99" s="34" t="b">
        <v>0</v>
      </c>
      <c r="O99" s="4"/>
      <c r="P99" s="4"/>
      <c r="Q99" s="4"/>
      <c r="R99" s="35"/>
      <c r="S99" s="35"/>
      <c r="T99" s="49"/>
      <c r="U99" s="32"/>
      <c r="V99" s="32"/>
    </row>
    <row r="100" spans="1:22" ht="15.75">
      <c r="A100" s="52"/>
      <c r="B100" s="12"/>
      <c r="C100" s="4"/>
      <c r="D100" s="4"/>
      <c r="E1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2"/>
      <c r="G100" s="34" t="b">
        <v>0</v>
      </c>
      <c r="H100" s="34" t="b">
        <v>0</v>
      </c>
      <c r="I100" s="34" t="b">
        <v>0</v>
      </c>
      <c r="J100" s="34" t="b">
        <v>0</v>
      </c>
      <c r="K100" s="34" t="b">
        <v>0</v>
      </c>
      <c r="L100" s="34" t="b">
        <v>0</v>
      </c>
      <c r="M100" s="34" t="b">
        <v>0</v>
      </c>
      <c r="N100" s="34" t="b">
        <v>0</v>
      </c>
      <c r="O100" s="4"/>
      <c r="P100" s="4"/>
      <c r="Q100" s="4"/>
      <c r="R100" s="35"/>
      <c r="S100" s="35"/>
      <c r="T100" s="49"/>
      <c r="U100" s="32"/>
      <c r="V100" s="32"/>
    </row>
    <row r="101" spans="1:22" ht="15.75">
      <c r="A101" s="52"/>
      <c r="B101" s="12"/>
      <c r="C101" s="4"/>
      <c r="D101" s="4"/>
      <c r="E1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2"/>
      <c r="G101" s="34" t="b">
        <v>0</v>
      </c>
      <c r="H101" s="34" t="b">
        <v>0</v>
      </c>
      <c r="I101" s="34" t="b">
        <v>0</v>
      </c>
      <c r="J101" s="34" t="b">
        <v>0</v>
      </c>
      <c r="K101" s="34" t="b">
        <v>0</v>
      </c>
      <c r="L101" s="34" t="b">
        <v>0</v>
      </c>
      <c r="M101" s="34" t="b">
        <v>0</v>
      </c>
      <c r="N101" s="34" t="b">
        <v>0</v>
      </c>
      <c r="O101" s="4"/>
      <c r="P101" s="4"/>
      <c r="Q101" s="4"/>
      <c r="R101" s="35"/>
      <c r="S101" s="35"/>
      <c r="T101" s="49"/>
      <c r="U101" s="32"/>
      <c r="V101" s="32"/>
    </row>
    <row r="102" spans="1:22" ht="15.75">
      <c r="A102" s="52"/>
      <c r="B102" s="12"/>
      <c r="C102" s="4"/>
      <c r="D102" s="4"/>
      <c r="E1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2"/>
      <c r="G102" s="34" t="b">
        <v>0</v>
      </c>
      <c r="H102" s="34" t="b">
        <v>0</v>
      </c>
      <c r="I102" s="34" t="b">
        <v>0</v>
      </c>
      <c r="J102" s="34" t="b">
        <v>0</v>
      </c>
      <c r="K102" s="34" t="b">
        <v>0</v>
      </c>
      <c r="L102" s="34" t="b">
        <v>0</v>
      </c>
      <c r="M102" s="34" t="b">
        <v>0</v>
      </c>
      <c r="N102" s="34" t="b">
        <v>0</v>
      </c>
      <c r="O102" s="4"/>
      <c r="P102" s="4"/>
      <c r="Q102" s="4"/>
      <c r="R102" s="35"/>
      <c r="S102" s="35"/>
      <c r="T102" s="49"/>
      <c r="U102" s="32"/>
      <c r="V102" s="32"/>
    </row>
    <row r="103" spans="1:22" ht="15.75">
      <c r="A103" s="52"/>
      <c r="B103" s="12"/>
      <c r="C103" s="4"/>
      <c r="D103" s="4"/>
      <c r="E1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2"/>
      <c r="G103" s="34" t="b">
        <v>0</v>
      </c>
      <c r="H103" s="34" t="b">
        <v>0</v>
      </c>
      <c r="I103" s="34" t="b">
        <v>0</v>
      </c>
      <c r="J103" s="34" t="b">
        <v>0</v>
      </c>
      <c r="K103" s="34" t="b">
        <v>0</v>
      </c>
      <c r="L103" s="34" t="b">
        <v>0</v>
      </c>
      <c r="M103" s="34" t="b">
        <v>0</v>
      </c>
      <c r="N103" s="34" t="b">
        <v>0</v>
      </c>
      <c r="O103" s="4"/>
      <c r="P103" s="4"/>
      <c r="Q103" s="4"/>
      <c r="R103" s="35"/>
      <c r="S103" s="35"/>
      <c r="T103" s="49"/>
      <c r="U103" s="32"/>
      <c r="V103" s="32"/>
    </row>
    <row r="104" spans="1:22" ht="15.75">
      <c r="A104" s="52"/>
      <c r="B104" s="12"/>
      <c r="C104" s="4"/>
      <c r="D104" s="4"/>
      <c r="E1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2"/>
      <c r="G104" s="34" t="b">
        <v>0</v>
      </c>
      <c r="H104" s="34" t="b">
        <v>0</v>
      </c>
      <c r="I104" s="34" t="b">
        <v>0</v>
      </c>
      <c r="J104" s="34" t="b">
        <v>0</v>
      </c>
      <c r="K104" s="34" t="b">
        <v>0</v>
      </c>
      <c r="L104" s="34" t="b">
        <v>0</v>
      </c>
      <c r="M104" s="34" t="b">
        <v>0</v>
      </c>
      <c r="N104" s="34" t="b">
        <v>0</v>
      </c>
      <c r="O104" s="4"/>
      <c r="P104" s="4"/>
      <c r="Q104" s="4"/>
      <c r="R104" s="35"/>
      <c r="S104" s="35"/>
      <c r="T104" s="49"/>
      <c r="U104" s="32"/>
      <c r="V104" s="32"/>
    </row>
    <row r="105" spans="1:22" ht="15.75">
      <c r="A105" s="52"/>
      <c r="B105" s="12"/>
      <c r="C105" s="4"/>
      <c r="D105" s="4"/>
      <c r="E1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2"/>
      <c r="G105" s="34" t="b">
        <v>0</v>
      </c>
      <c r="H105" s="34" t="b">
        <v>0</v>
      </c>
      <c r="I105" s="34" t="b">
        <v>0</v>
      </c>
      <c r="J105" s="34" t="b">
        <v>0</v>
      </c>
      <c r="K105" s="34" t="b">
        <v>0</v>
      </c>
      <c r="L105" s="34" t="b">
        <v>0</v>
      </c>
      <c r="M105" s="34" t="b">
        <v>0</v>
      </c>
      <c r="N105" s="34" t="b">
        <v>0</v>
      </c>
      <c r="O105" s="4"/>
      <c r="P105" s="4"/>
      <c r="Q105" s="4"/>
      <c r="R105" s="35"/>
      <c r="S105" s="35"/>
      <c r="T105" s="49"/>
      <c r="U105" s="32"/>
      <c r="V105" s="32"/>
    </row>
    <row r="106" spans="1:22" ht="15.75">
      <c r="A106" s="52"/>
      <c r="B106" s="12"/>
      <c r="C106" s="4"/>
      <c r="D106" s="4"/>
      <c r="E10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2"/>
      <c r="G106" s="34" t="b">
        <v>0</v>
      </c>
      <c r="H106" s="34" t="b">
        <v>0</v>
      </c>
      <c r="I106" s="34" t="b">
        <v>0</v>
      </c>
      <c r="J106" s="34" t="b">
        <v>0</v>
      </c>
      <c r="K106" s="34" t="b">
        <v>0</v>
      </c>
      <c r="L106" s="34" t="b">
        <v>0</v>
      </c>
      <c r="M106" s="34" t="b">
        <v>0</v>
      </c>
      <c r="N106" s="34" t="b">
        <v>0</v>
      </c>
      <c r="O106" s="4"/>
      <c r="P106" s="4"/>
      <c r="Q106" s="4"/>
      <c r="R106" s="35"/>
      <c r="S106" s="35"/>
      <c r="T106" s="49"/>
      <c r="U106" s="32"/>
      <c r="V106" s="32"/>
    </row>
    <row r="107" spans="1:22" ht="15.75">
      <c r="A107" s="52"/>
      <c r="B107" s="12"/>
      <c r="C107" s="4"/>
      <c r="D107" s="4"/>
      <c r="E10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2"/>
      <c r="G107" s="34" t="b">
        <v>0</v>
      </c>
      <c r="H107" s="34" t="b">
        <v>0</v>
      </c>
      <c r="I107" s="34" t="b">
        <v>0</v>
      </c>
      <c r="J107" s="34" t="b">
        <v>0</v>
      </c>
      <c r="K107" s="34" t="b">
        <v>0</v>
      </c>
      <c r="L107" s="34" t="b">
        <v>0</v>
      </c>
      <c r="M107" s="34" t="b">
        <v>0</v>
      </c>
      <c r="N107" s="34" t="b">
        <v>0</v>
      </c>
      <c r="O107" s="4"/>
      <c r="P107" s="4"/>
      <c r="Q107" s="4"/>
      <c r="R107" s="35"/>
      <c r="S107" s="35"/>
      <c r="T107" s="49"/>
      <c r="U107" s="32"/>
      <c r="V107" s="32"/>
    </row>
    <row r="108" spans="1:22" ht="15.75">
      <c r="A108" s="52"/>
      <c r="B108" s="12"/>
      <c r="C108" s="4"/>
      <c r="D108" s="4"/>
      <c r="E10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2"/>
      <c r="G108" s="34" t="b">
        <v>0</v>
      </c>
      <c r="H108" s="34" t="b">
        <v>0</v>
      </c>
      <c r="I108" s="34" t="b">
        <v>0</v>
      </c>
      <c r="J108" s="34" t="b">
        <v>0</v>
      </c>
      <c r="K108" s="34" t="b">
        <v>0</v>
      </c>
      <c r="L108" s="34" t="b">
        <v>0</v>
      </c>
      <c r="M108" s="34" t="b">
        <v>0</v>
      </c>
      <c r="N108" s="34" t="b">
        <v>0</v>
      </c>
      <c r="O108" s="4"/>
      <c r="P108" s="4"/>
      <c r="Q108" s="4"/>
      <c r="R108" s="35"/>
      <c r="S108" s="35"/>
      <c r="T108" s="49"/>
      <c r="U108" s="32"/>
      <c r="V108" s="32"/>
    </row>
    <row r="109" spans="1:22" ht="15.75">
      <c r="A109" s="52"/>
      <c r="B109" s="12"/>
      <c r="C109" s="4"/>
      <c r="D109" s="4"/>
      <c r="E10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2"/>
      <c r="G109" s="34" t="b">
        <v>0</v>
      </c>
      <c r="H109" s="34" t="b">
        <v>0</v>
      </c>
      <c r="I109" s="34" t="b">
        <v>0</v>
      </c>
      <c r="J109" s="34" t="b">
        <v>0</v>
      </c>
      <c r="K109" s="34" t="b">
        <v>0</v>
      </c>
      <c r="L109" s="34" t="b">
        <v>0</v>
      </c>
      <c r="M109" s="34" t="b">
        <v>0</v>
      </c>
      <c r="N109" s="34" t="b">
        <v>0</v>
      </c>
      <c r="O109" s="4"/>
      <c r="P109" s="4"/>
      <c r="Q109" s="4"/>
      <c r="R109" s="35"/>
      <c r="S109" s="35"/>
      <c r="T109" s="49"/>
      <c r="U109" s="32"/>
      <c r="V109" s="32"/>
    </row>
    <row r="110" spans="1:22" ht="15.75">
      <c r="A110" s="52"/>
      <c r="B110" s="12"/>
      <c r="C110" s="4"/>
      <c r="D110" s="4"/>
      <c r="E1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2"/>
      <c r="G110" s="34" t="b">
        <v>0</v>
      </c>
      <c r="H110" s="34" t="b">
        <v>0</v>
      </c>
      <c r="I110" s="34" t="b">
        <v>0</v>
      </c>
      <c r="J110" s="34" t="b">
        <v>0</v>
      </c>
      <c r="K110" s="34" t="b">
        <v>0</v>
      </c>
      <c r="L110" s="34" t="b">
        <v>0</v>
      </c>
      <c r="M110" s="34" t="b">
        <v>0</v>
      </c>
      <c r="N110" s="34" t="b">
        <v>0</v>
      </c>
      <c r="O110" s="4"/>
      <c r="P110" s="4"/>
      <c r="Q110" s="4"/>
      <c r="R110" s="35"/>
      <c r="S110" s="35"/>
      <c r="T110" s="49"/>
      <c r="U110" s="32"/>
      <c r="V110" s="32"/>
    </row>
    <row r="111" spans="1:22" ht="15.75">
      <c r="A111" s="52"/>
      <c r="B111" s="12"/>
      <c r="C111" s="4"/>
      <c r="D111" s="4"/>
      <c r="E1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2"/>
      <c r="G111" s="34" t="b">
        <v>0</v>
      </c>
      <c r="H111" s="34" t="b">
        <v>0</v>
      </c>
      <c r="I111" s="34" t="b">
        <v>0</v>
      </c>
      <c r="J111" s="34" t="b">
        <v>0</v>
      </c>
      <c r="K111" s="34" t="b">
        <v>0</v>
      </c>
      <c r="L111" s="34" t="b">
        <v>0</v>
      </c>
      <c r="M111" s="34" t="b">
        <v>0</v>
      </c>
      <c r="N111" s="34" t="b">
        <v>0</v>
      </c>
      <c r="O111" s="4"/>
      <c r="P111" s="4"/>
      <c r="Q111" s="4"/>
      <c r="R111" s="35"/>
      <c r="S111" s="35"/>
      <c r="T111" s="49"/>
      <c r="U111" s="32"/>
      <c r="V111" s="32"/>
    </row>
    <row r="112" spans="1:22" ht="15.75">
      <c r="A112" s="52"/>
      <c r="B112" s="12"/>
      <c r="C112" s="4"/>
      <c r="D112" s="4"/>
      <c r="E1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2"/>
      <c r="G112" s="34" t="b">
        <v>0</v>
      </c>
      <c r="H112" s="34" t="b">
        <v>0</v>
      </c>
      <c r="I112" s="34" t="b">
        <v>0</v>
      </c>
      <c r="J112" s="34" t="b">
        <v>0</v>
      </c>
      <c r="K112" s="34" t="b">
        <v>0</v>
      </c>
      <c r="L112" s="34" t="b">
        <v>0</v>
      </c>
      <c r="M112" s="34" t="b">
        <v>0</v>
      </c>
      <c r="N112" s="34" t="b">
        <v>0</v>
      </c>
      <c r="O112" s="4"/>
      <c r="P112" s="4"/>
      <c r="Q112" s="4"/>
      <c r="R112" s="35"/>
      <c r="S112" s="35"/>
      <c r="T112" s="49"/>
      <c r="U112" s="32"/>
      <c r="V112" s="32"/>
    </row>
    <row r="113" spans="1:22" ht="15.75">
      <c r="A113" s="52"/>
      <c r="B113" s="12"/>
      <c r="C113" s="4"/>
      <c r="D113" s="4"/>
      <c r="E1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2"/>
      <c r="G113" s="34" t="b">
        <v>0</v>
      </c>
      <c r="H113" s="34" t="b">
        <v>0</v>
      </c>
      <c r="I113" s="34" t="b">
        <v>0</v>
      </c>
      <c r="J113" s="34" t="b">
        <v>0</v>
      </c>
      <c r="K113" s="34" t="b">
        <v>0</v>
      </c>
      <c r="L113" s="34" t="b">
        <v>0</v>
      </c>
      <c r="M113" s="34" t="b">
        <v>0</v>
      </c>
      <c r="N113" s="34" t="b">
        <v>0</v>
      </c>
      <c r="O113" s="4"/>
      <c r="P113" s="4"/>
      <c r="Q113" s="4"/>
      <c r="R113" s="35"/>
      <c r="S113" s="35"/>
      <c r="T113" s="49"/>
      <c r="U113" s="32"/>
      <c r="V113" s="32"/>
    </row>
    <row r="114" spans="1:22" ht="15.75">
      <c r="A114" s="52"/>
      <c r="B114" s="12"/>
      <c r="C114" s="4"/>
      <c r="D114" s="4"/>
      <c r="E1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2"/>
      <c r="G114" s="34" t="b">
        <v>0</v>
      </c>
      <c r="H114" s="34" t="b">
        <v>0</v>
      </c>
      <c r="I114" s="34" t="b">
        <v>0</v>
      </c>
      <c r="J114" s="34" t="b">
        <v>0</v>
      </c>
      <c r="K114" s="34" t="b">
        <v>0</v>
      </c>
      <c r="L114" s="34" t="b">
        <v>0</v>
      </c>
      <c r="M114" s="34" t="b">
        <v>0</v>
      </c>
      <c r="N114" s="34" t="b">
        <v>0</v>
      </c>
      <c r="O114" s="4"/>
      <c r="P114" s="4"/>
      <c r="Q114" s="4"/>
      <c r="R114" s="35"/>
      <c r="S114" s="35"/>
      <c r="T114" s="49"/>
      <c r="U114" s="32"/>
      <c r="V114" s="32"/>
    </row>
    <row r="115" spans="1:22" ht="15.75">
      <c r="A115" s="52"/>
      <c r="B115" s="12"/>
      <c r="C115" s="4"/>
      <c r="D115" s="4"/>
      <c r="E1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2"/>
      <c r="G115" s="34" t="b">
        <v>0</v>
      </c>
      <c r="H115" s="34" t="b">
        <v>0</v>
      </c>
      <c r="I115" s="34" t="b">
        <v>0</v>
      </c>
      <c r="J115" s="34" t="b">
        <v>0</v>
      </c>
      <c r="K115" s="34" t="b">
        <v>0</v>
      </c>
      <c r="L115" s="34" t="b">
        <v>0</v>
      </c>
      <c r="M115" s="34" t="b">
        <v>0</v>
      </c>
      <c r="N115" s="34" t="b">
        <v>0</v>
      </c>
      <c r="O115" s="4"/>
      <c r="P115" s="4"/>
      <c r="Q115" s="4"/>
      <c r="R115" s="35"/>
      <c r="S115" s="35"/>
      <c r="T115" s="49"/>
      <c r="U115" s="32"/>
      <c r="V115" s="32"/>
    </row>
    <row r="116" spans="1:22" ht="15.75">
      <c r="A116" s="52"/>
      <c r="B116" s="12"/>
      <c r="C116" s="4"/>
      <c r="D116" s="4"/>
      <c r="E1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2"/>
      <c r="G116" s="34" t="b">
        <v>0</v>
      </c>
      <c r="H116" s="34" t="b">
        <v>0</v>
      </c>
      <c r="I116" s="34" t="b">
        <v>0</v>
      </c>
      <c r="J116" s="34" t="b">
        <v>0</v>
      </c>
      <c r="K116" s="34" t="b">
        <v>0</v>
      </c>
      <c r="L116" s="34" t="b">
        <v>0</v>
      </c>
      <c r="M116" s="34" t="b">
        <v>0</v>
      </c>
      <c r="N116" s="34" t="b">
        <v>0</v>
      </c>
      <c r="O116" s="4"/>
      <c r="P116" s="4"/>
      <c r="Q116" s="4"/>
      <c r="R116" s="35"/>
      <c r="S116" s="35"/>
      <c r="T116" s="49"/>
      <c r="U116" s="32"/>
      <c r="V116" s="32"/>
    </row>
    <row r="117" spans="1:22" ht="15.75">
      <c r="A117" s="52"/>
      <c r="B117" s="12"/>
      <c r="C117" s="4"/>
      <c r="D117" s="4"/>
      <c r="E1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2"/>
      <c r="G117" s="34" t="b">
        <v>0</v>
      </c>
      <c r="H117" s="34" t="b">
        <v>0</v>
      </c>
      <c r="I117" s="34" t="b">
        <v>0</v>
      </c>
      <c r="J117" s="34" t="b">
        <v>0</v>
      </c>
      <c r="K117" s="34" t="b">
        <v>0</v>
      </c>
      <c r="L117" s="34" t="b">
        <v>0</v>
      </c>
      <c r="M117" s="34" t="b">
        <v>0</v>
      </c>
      <c r="N117" s="34" t="b">
        <v>0</v>
      </c>
      <c r="O117" s="4"/>
      <c r="P117" s="4"/>
      <c r="Q117" s="4"/>
      <c r="R117" s="35"/>
      <c r="S117" s="35"/>
      <c r="T117" s="49"/>
      <c r="U117" s="32"/>
      <c r="V117" s="32"/>
    </row>
    <row r="118" spans="1:22" ht="15.75">
      <c r="A118" s="52"/>
      <c r="B118" s="12"/>
      <c r="C118" s="4"/>
      <c r="D118" s="4"/>
      <c r="E1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2"/>
      <c r="G118" s="34" t="b">
        <v>0</v>
      </c>
      <c r="H118" s="34" t="b">
        <v>0</v>
      </c>
      <c r="I118" s="34" t="b">
        <v>0</v>
      </c>
      <c r="J118" s="34" t="b">
        <v>0</v>
      </c>
      <c r="K118" s="34" t="b">
        <v>0</v>
      </c>
      <c r="L118" s="34" t="b">
        <v>0</v>
      </c>
      <c r="M118" s="34" t="b">
        <v>0</v>
      </c>
      <c r="N118" s="34" t="b">
        <v>0</v>
      </c>
      <c r="O118" s="4"/>
      <c r="P118" s="4"/>
      <c r="Q118" s="4"/>
      <c r="R118" s="35"/>
      <c r="S118" s="35"/>
      <c r="T118" s="49"/>
      <c r="U118" s="32"/>
      <c r="V118" s="32"/>
    </row>
    <row r="119" spans="1:22" ht="15.75">
      <c r="A119" s="52"/>
      <c r="B119" s="12"/>
      <c r="C119" s="4"/>
      <c r="D119" s="4"/>
      <c r="E1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2"/>
      <c r="G119" s="34" t="b">
        <v>0</v>
      </c>
      <c r="H119" s="34" t="b">
        <v>0</v>
      </c>
      <c r="I119" s="34" t="b">
        <v>0</v>
      </c>
      <c r="J119" s="34" t="b">
        <v>0</v>
      </c>
      <c r="K119" s="34" t="b">
        <v>0</v>
      </c>
      <c r="L119" s="34" t="b">
        <v>0</v>
      </c>
      <c r="M119" s="34" t="b">
        <v>0</v>
      </c>
      <c r="N119" s="34" t="b">
        <v>0</v>
      </c>
      <c r="O119" s="4"/>
      <c r="P119" s="4"/>
      <c r="Q119" s="4"/>
      <c r="R119" s="35"/>
      <c r="S119" s="35"/>
      <c r="T119" s="49"/>
      <c r="U119" s="32"/>
      <c r="V119" s="32"/>
    </row>
    <row r="120" spans="1:22" ht="15.75">
      <c r="A120" s="52"/>
      <c r="B120" s="12"/>
      <c r="C120" s="4"/>
      <c r="D120" s="4"/>
      <c r="E1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2"/>
      <c r="G120" s="34" t="b">
        <v>0</v>
      </c>
      <c r="H120" s="34" t="b">
        <v>0</v>
      </c>
      <c r="I120" s="34" t="b">
        <v>0</v>
      </c>
      <c r="J120" s="34" t="b">
        <v>0</v>
      </c>
      <c r="K120" s="34" t="b">
        <v>0</v>
      </c>
      <c r="L120" s="34" t="b">
        <v>0</v>
      </c>
      <c r="M120" s="34" t="b">
        <v>0</v>
      </c>
      <c r="N120" s="34" t="b">
        <v>0</v>
      </c>
      <c r="O120" s="4"/>
      <c r="P120" s="4"/>
      <c r="Q120" s="4"/>
      <c r="R120" s="35"/>
      <c r="S120" s="35"/>
      <c r="T120" s="49"/>
      <c r="U120" s="32"/>
      <c r="V120" s="32"/>
    </row>
    <row r="121" spans="1:22" ht="15.75">
      <c r="A121" s="52"/>
      <c r="B121" s="12"/>
      <c r="C121" s="4"/>
      <c r="D121" s="4"/>
      <c r="E1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2"/>
      <c r="G121" s="34" t="b">
        <v>0</v>
      </c>
      <c r="H121" s="34" t="b">
        <v>0</v>
      </c>
      <c r="I121" s="34" t="b">
        <v>0</v>
      </c>
      <c r="J121" s="34" t="b">
        <v>0</v>
      </c>
      <c r="K121" s="34" t="b">
        <v>0</v>
      </c>
      <c r="L121" s="34" t="b">
        <v>0</v>
      </c>
      <c r="M121" s="34" t="b">
        <v>0</v>
      </c>
      <c r="N121" s="34" t="b">
        <v>0</v>
      </c>
      <c r="O121" s="4"/>
      <c r="P121" s="4"/>
      <c r="Q121" s="4"/>
      <c r="R121" s="35"/>
      <c r="S121" s="35"/>
      <c r="T121" s="49"/>
      <c r="U121" s="32"/>
      <c r="V121" s="32"/>
    </row>
    <row r="122" spans="1:22" ht="15.75">
      <c r="A122" s="52"/>
      <c r="B122" s="12"/>
      <c r="C122" s="4"/>
      <c r="D122" s="4"/>
      <c r="E1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2"/>
      <c r="G122" s="34" t="b">
        <v>0</v>
      </c>
      <c r="H122" s="34" t="b">
        <v>0</v>
      </c>
      <c r="I122" s="34" t="b">
        <v>0</v>
      </c>
      <c r="J122" s="34" t="b">
        <v>0</v>
      </c>
      <c r="K122" s="34" t="b">
        <v>0</v>
      </c>
      <c r="L122" s="34" t="b">
        <v>0</v>
      </c>
      <c r="M122" s="34" t="b">
        <v>0</v>
      </c>
      <c r="N122" s="34" t="b">
        <v>0</v>
      </c>
      <c r="O122" s="4"/>
      <c r="P122" s="4"/>
      <c r="Q122" s="4"/>
      <c r="R122" s="35"/>
      <c r="S122" s="35"/>
      <c r="T122" s="49"/>
      <c r="U122" s="32"/>
      <c r="V122" s="32"/>
    </row>
    <row r="123" spans="1:22" ht="15.75">
      <c r="A123" s="52"/>
      <c r="B123" s="12"/>
      <c r="C123" s="4"/>
      <c r="D123" s="4"/>
      <c r="E1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2"/>
      <c r="G123" s="34" t="b">
        <v>0</v>
      </c>
      <c r="H123" s="34" t="b">
        <v>0</v>
      </c>
      <c r="I123" s="34" t="b">
        <v>0</v>
      </c>
      <c r="J123" s="34" t="b">
        <v>0</v>
      </c>
      <c r="K123" s="34" t="b">
        <v>0</v>
      </c>
      <c r="L123" s="34" t="b">
        <v>0</v>
      </c>
      <c r="M123" s="34" t="b">
        <v>0</v>
      </c>
      <c r="N123" s="34" t="b">
        <v>0</v>
      </c>
      <c r="O123" s="4"/>
      <c r="P123" s="4"/>
      <c r="Q123" s="4"/>
      <c r="R123" s="35"/>
      <c r="S123" s="35"/>
      <c r="T123" s="49"/>
      <c r="U123" s="32"/>
      <c r="V123" s="32"/>
    </row>
    <row r="124" spans="1:22" ht="15.75">
      <c r="A124" s="52"/>
      <c r="B124" s="12"/>
      <c r="C124" s="4"/>
      <c r="D124" s="4"/>
      <c r="E1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2"/>
      <c r="G124" s="34" t="b">
        <v>0</v>
      </c>
      <c r="H124" s="34" t="b">
        <v>0</v>
      </c>
      <c r="I124" s="34" t="b">
        <v>0</v>
      </c>
      <c r="J124" s="34" t="b">
        <v>0</v>
      </c>
      <c r="K124" s="34" t="b">
        <v>0</v>
      </c>
      <c r="L124" s="34" t="b">
        <v>0</v>
      </c>
      <c r="M124" s="34" t="b">
        <v>0</v>
      </c>
      <c r="N124" s="34" t="b">
        <v>0</v>
      </c>
      <c r="O124" s="4"/>
      <c r="P124" s="4"/>
      <c r="Q124" s="4"/>
      <c r="R124" s="35"/>
      <c r="S124" s="35"/>
      <c r="T124" s="49"/>
      <c r="U124" s="32"/>
      <c r="V124" s="32"/>
    </row>
    <row r="125" spans="1:22" ht="15.75">
      <c r="A125" s="52"/>
      <c r="B125" s="12"/>
      <c r="C125" s="4"/>
      <c r="D125" s="4"/>
      <c r="E1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2"/>
      <c r="G125" s="34" t="b">
        <v>0</v>
      </c>
      <c r="H125" s="34" t="b">
        <v>0</v>
      </c>
      <c r="I125" s="34" t="b">
        <v>0</v>
      </c>
      <c r="J125" s="34" t="b">
        <v>0</v>
      </c>
      <c r="K125" s="34" t="b">
        <v>0</v>
      </c>
      <c r="L125" s="34" t="b">
        <v>0</v>
      </c>
      <c r="M125" s="34" t="b">
        <v>0</v>
      </c>
      <c r="N125" s="34" t="b">
        <v>0</v>
      </c>
      <c r="O125" s="4"/>
      <c r="P125" s="4"/>
      <c r="Q125" s="4"/>
      <c r="R125" s="35"/>
      <c r="S125" s="35"/>
      <c r="T125" s="49"/>
      <c r="U125" s="32"/>
      <c r="V125" s="32"/>
    </row>
    <row r="126" spans="1:22" ht="15.75">
      <c r="A126" s="52"/>
      <c r="B126" s="12"/>
      <c r="C126" s="4"/>
      <c r="D126" s="4"/>
      <c r="E1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2"/>
      <c r="G126" s="34" t="b">
        <v>0</v>
      </c>
      <c r="H126" s="34" t="b">
        <v>0</v>
      </c>
      <c r="I126" s="34" t="b">
        <v>0</v>
      </c>
      <c r="J126" s="34" t="b">
        <v>0</v>
      </c>
      <c r="K126" s="34" t="b">
        <v>0</v>
      </c>
      <c r="L126" s="34" t="b">
        <v>0</v>
      </c>
      <c r="M126" s="34" t="b">
        <v>0</v>
      </c>
      <c r="N126" s="34" t="b">
        <v>0</v>
      </c>
      <c r="O126" s="4"/>
      <c r="P126" s="4"/>
      <c r="Q126" s="4"/>
      <c r="R126" s="35"/>
      <c r="S126" s="35"/>
      <c r="T126" s="49"/>
      <c r="U126" s="32"/>
      <c r="V126" s="32"/>
    </row>
    <row r="127" spans="1:22" ht="15.75">
      <c r="A127" s="52"/>
      <c r="B127" s="12"/>
      <c r="C127" s="4"/>
      <c r="D127" s="4"/>
      <c r="E1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2"/>
      <c r="G127" s="34" t="b">
        <v>0</v>
      </c>
      <c r="H127" s="34" t="b">
        <v>0</v>
      </c>
      <c r="I127" s="34" t="b">
        <v>0</v>
      </c>
      <c r="J127" s="34" t="b">
        <v>0</v>
      </c>
      <c r="K127" s="34" t="b">
        <v>0</v>
      </c>
      <c r="L127" s="34" t="b">
        <v>0</v>
      </c>
      <c r="M127" s="34" t="b">
        <v>0</v>
      </c>
      <c r="N127" s="34" t="b">
        <v>0</v>
      </c>
      <c r="O127" s="4"/>
      <c r="P127" s="4"/>
      <c r="Q127" s="4"/>
      <c r="R127" s="35"/>
      <c r="S127" s="35"/>
      <c r="T127" s="49"/>
      <c r="U127" s="32"/>
      <c r="V127" s="32"/>
    </row>
    <row r="128" spans="1:22" ht="15.75">
      <c r="A128" s="52"/>
      <c r="B128" s="12"/>
      <c r="C128" s="4"/>
      <c r="D128" s="4"/>
      <c r="E1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2"/>
      <c r="G128" s="34" t="b">
        <v>0</v>
      </c>
      <c r="H128" s="34" t="b">
        <v>0</v>
      </c>
      <c r="I128" s="34" t="b">
        <v>0</v>
      </c>
      <c r="J128" s="34" t="b">
        <v>0</v>
      </c>
      <c r="K128" s="34" t="b">
        <v>0</v>
      </c>
      <c r="L128" s="34" t="b">
        <v>0</v>
      </c>
      <c r="M128" s="34" t="b">
        <v>0</v>
      </c>
      <c r="N128" s="34" t="b">
        <v>0</v>
      </c>
      <c r="O128" s="4"/>
      <c r="P128" s="4"/>
      <c r="Q128" s="4"/>
      <c r="R128" s="35"/>
      <c r="S128" s="35"/>
      <c r="T128" s="49"/>
      <c r="U128" s="32"/>
      <c r="V128" s="32"/>
    </row>
    <row r="129" spans="1:22" ht="15.75">
      <c r="A129" s="52"/>
      <c r="B129" s="12"/>
      <c r="C129" s="4"/>
      <c r="D129" s="4"/>
      <c r="E1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2"/>
      <c r="G129" s="34" t="b">
        <v>0</v>
      </c>
      <c r="H129" s="34" t="b">
        <v>0</v>
      </c>
      <c r="I129" s="34" t="b">
        <v>0</v>
      </c>
      <c r="J129" s="34" t="b">
        <v>0</v>
      </c>
      <c r="K129" s="34" t="b">
        <v>0</v>
      </c>
      <c r="L129" s="34" t="b">
        <v>0</v>
      </c>
      <c r="M129" s="34" t="b">
        <v>0</v>
      </c>
      <c r="N129" s="34" t="b">
        <v>0</v>
      </c>
      <c r="O129" s="4"/>
      <c r="P129" s="4"/>
      <c r="Q129" s="4"/>
      <c r="R129" s="35"/>
      <c r="S129" s="35"/>
      <c r="T129" s="49"/>
      <c r="U129" s="32"/>
      <c r="V129" s="32"/>
    </row>
    <row r="130" spans="1:22" ht="15.75">
      <c r="A130" s="52"/>
      <c r="B130" s="12"/>
      <c r="C130" s="4"/>
      <c r="D130" s="4"/>
      <c r="E1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2"/>
      <c r="G130" s="34" t="b">
        <v>0</v>
      </c>
      <c r="H130" s="34" t="b">
        <v>0</v>
      </c>
      <c r="I130" s="34" t="b">
        <v>0</v>
      </c>
      <c r="J130" s="34" t="b">
        <v>0</v>
      </c>
      <c r="K130" s="34" t="b">
        <v>0</v>
      </c>
      <c r="L130" s="34" t="b">
        <v>0</v>
      </c>
      <c r="M130" s="34" t="b">
        <v>0</v>
      </c>
      <c r="N130" s="34" t="b">
        <v>0</v>
      </c>
      <c r="O130" s="4"/>
      <c r="P130" s="4"/>
      <c r="Q130" s="4"/>
      <c r="R130" s="35"/>
      <c r="S130" s="35"/>
      <c r="T130" s="49"/>
      <c r="U130" s="32"/>
      <c r="V130" s="32"/>
    </row>
    <row r="131" spans="1:22" ht="15.75">
      <c r="A131" s="52"/>
      <c r="B131" s="12"/>
      <c r="C131" s="4"/>
      <c r="D131" s="4"/>
      <c r="E1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2"/>
      <c r="G131" s="34" t="b">
        <v>0</v>
      </c>
      <c r="H131" s="34" t="b">
        <v>0</v>
      </c>
      <c r="I131" s="34" t="b">
        <v>0</v>
      </c>
      <c r="J131" s="34" t="b">
        <v>0</v>
      </c>
      <c r="K131" s="34" t="b">
        <v>0</v>
      </c>
      <c r="L131" s="34" t="b">
        <v>0</v>
      </c>
      <c r="M131" s="34" t="b">
        <v>0</v>
      </c>
      <c r="N131" s="34" t="b">
        <v>0</v>
      </c>
      <c r="O131" s="4"/>
      <c r="P131" s="4"/>
      <c r="Q131" s="4"/>
      <c r="R131" s="35"/>
      <c r="S131" s="35"/>
      <c r="T131" s="49"/>
      <c r="U131" s="32"/>
      <c r="V131" s="32"/>
    </row>
    <row r="132" spans="1:22" ht="15.75">
      <c r="A132" s="52"/>
      <c r="B132" s="12"/>
      <c r="C132" s="4"/>
      <c r="D132" s="4"/>
      <c r="E1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2"/>
      <c r="G132" s="34" t="b">
        <v>0</v>
      </c>
      <c r="H132" s="34" t="b">
        <v>0</v>
      </c>
      <c r="I132" s="34" t="b">
        <v>0</v>
      </c>
      <c r="J132" s="34" t="b">
        <v>0</v>
      </c>
      <c r="K132" s="34" t="b">
        <v>0</v>
      </c>
      <c r="L132" s="34" t="b">
        <v>0</v>
      </c>
      <c r="M132" s="34" t="b">
        <v>0</v>
      </c>
      <c r="N132" s="34" t="b">
        <v>0</v>
      </c>
      <c r="O132" s="4"/>
      <c r="P132" s="4"/>
      <c r="Q132" s="4"/>
      <c r="R132" s="35"/>
      <c r="S132" s="35"/>
      <c r="T132" s="49"/>
      <c r="U132" s="32"/>
      <c r="V132" s="32"/>
    </row>
    <row r="133" spans="1:22" ht="15.75">
      <c r="A133" s="52"/>
      <c r="B133" s="12"/>
      <c r="C133" s="4"/>
      <c r="D133" s="4"/>
      <c r="E1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2"/>
      <c r="G133" s="34" t="b">
        <v>0</v>
      </c>
      <c r="H133" s="34" t="b">
        <v>0</v>
      </c>
      <c r="I133" s="34" t="b">
        <v>0</v>
      </c>
      <c r="J133" s="34" t="b">
        <v>0</v>
      </c>
      <c r="K133" s="34" t="b">
        <v>0</v>
      </c>
      <c r="L133" s="34" t="b">
        <v>0</v>
      </c>
      <c r="M133" s="34" t="b">
        <v>0</v>
      </c>
      <c r="N133" s="34" t="b">
        <v>0</v>
      </c>
      <c r="O133" s="4"/>
      <c r="P133" s="4"/>
      <c r="Q133" s="4"/>
      <c r="R133" s="35"/>
      <c r="S133" s="35"/>
      <c r="T133" s="49"/>
      <c r="U133" s="32"/>
      <c r="V133" s="32"/>
    </row>
    <row r="134" spans="1:22" ht="15.75">
      <c r="A134" s="52"/>
      <c r="B134" s="12"/>
      <c r="C134" s="4"/>
      <c r="D134" s="4"/>
      <c r="E1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2"/>
      <c r="G134" s="34" t="b">
        <v>0</v>
      </c>
      <c r="H134" s="34" t="b">
        <v>0</v>
      </c>
      <c r="I134" s="34" t="b">
        <v>0</v>
      </c>
      <c r="J134" s="34" t="b">
        <v>0</v>
      </c>
      <c r="K134" s="34" t="b">
        <v>0</v>
      </c>
      <c r="L134" s="34" t="b">
        <v>0</v>
      </c>
      <c r="M134" s="34" t="b">
        <v>0</v>
      </c>
      <c r="N134" s="34" t="b">
        <v>0</v>
      </c>
      <c r="O134" s="4"/>
      <c r="P134" s="4"/>
      <c r="Q134" s="4"/>
      <c r="R134" s="35"/>
      <c r="S134" s="35"/>
      <c r="T134" s="49"/>
      <c r="U134" s="32"/>
      <c r="V134" s="32"/>
    </row>
    <row r="135" spans="1:22" ht="15.75">
      <c r="A135" s="52"/>
      <c r="B135" s="12"/>
      <c r="C135" s="4"/>
      <c r="D135" s="4"/>
      <c r="E1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2"/>
      <c r="G135" s="34" t="b">
        <v>0</v>
      </c>
      <c r="H135" s="34" t="b">
        <v>0</v>
      </c>
      <c r="I135" s="34" t="b">
        <v>0</v>
      </c>
      <c r="J135" s="34" t="b">
        <v>0</v>
      </c>
      <c r="K135" s="34" t="b">
        <v>0</v>
      </c>
      <c r="L135" s="34" t="b">
        <v>0</v>
      </c>
      <c r="M135" s="34" t="b">
        <v>0</v>
      </c>
      <c r="N135" s="34" t="b">
        <v>0</v>
      </c>
      <c r="O135" s="4"/>
      <c r="P135" s="4"/>
      <c r="Q135" s="4"/>
      <c r="R135" s="35"/>
      <c r="S135" s="35"/>
      <c r="T135" s="49"/>
      <c r="U135" s="32"/>
      <c r="V135" s="32"/>
    </row>
    <row r="136" spans="1:22" ht="15.75">
      <c r="A136" s="52"/>
      <c r="B136" s="12"/>
      <c r="C136" s="4"/>
      <c r="D136" s="4"/>
      <c r="E1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2"/>
      <c r="G136" s="34" t="b">
        <v>0</v>
      </c>
      <c r="H136" s="34" t="b">
        <v>0</v>
      </c>
      <c r="I136" s="34" t="b">
        <v>0</v>
      </c>
      <c r="J136" s="34" t="b">
        <v>0</v>
      </c>
      <c r="K136" s="34" t="b">
        <v>0</v>
      </c>
      <c r="L136" s="34" t="b">
        <v>0</v>
      </c>
      <c r="M136" s="34" t="b">
        <v>0</v>
      </c>
      <c r="N136" s="34" t="b">
        <v>0</v>
      </c>
      <c r="O136" s="4"/>
      <c r="P136" s="4"/>
      <c r="Q136" s="4"/>
      <c r="R136" s="35"/>
      <c r="S136" s="35"/>
      <c r="T136" s="49"/>
      <c r="U136" s="32"/>
      <c r="V136" s="32"/>
    </row>
    <row r="137" spans="1:22" ht="15.75">
      <c r="A137" s="52"/>
      <c r="B137" s="12"/>
      <c r="C137" s="4"/>
      <c r="D137" s="4"/>
      <c r="E1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2"/>
      <c r="G137" s="34" t="b">
        <v>0</v>
      </c>
      <c r="H137" s="34" t="b">
        <v>0</v>
      </c>
      <c r="I137" s="34" t="b">
        <v>0</v>
      </c>
      <c r="J137" s="34" t="b">
        <v>0</v>
      </c>
      <c r="K137" s="34" t="b">
        <v>0</v>
      </c>
      <c r="L137" s="34" t="b">
        <v>0</v>
      </c>
      <c r="M137" s="34" t="b">
        <v>0</v>
      </c>
      <c r="N137" s="34" t="b">
        <v>0</v>
      </c>
      <c r="O137" s="4"/>
      <c r="P137" s="4"/>
      <c r="Q137" s="4"/>
      <c r="R137" s="35"/>
      <c r="S137" s="35"/>
      <c r="T137" s="49"/>
      <c r="U137" s="32"/>
      <c r="V137" s="32"/>
    </row>
    <row r="138" spans="1:22" ht="15.75">
      <c r="A138" s="52"/>
      <c r="B138" s="12"/>
      <c r="C138" s="4"/>
      <c r="D138" s="4"/>
      <c r="E1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2"/>
      <c r="G138" s="34" t="b">
        <v>0</v>
      </c>
      <c r="H138" s="34" t="b">
        <v>0</v>
      </c>
      <c r="I138" s="34" t="b">
        <v>0</v>
      </c>
      <c r="J138" s="34" t="b">
        <v>0</v>
      </c>
      <c r="K138" s="34" t="b">
        <v>0</v>
      </c>
      <c r="L138" s="34" t="b">
        <v>0</v>
      </c>
      <c r="M138" s="34" t="b">
        <v>0</v>
      </c>
      <c r="N138" s="34" t="b">
        <v>0</v>
      </c>
      <c r="O138" s="4"/>
      <c r="P138" s="4"/>
      <c r="Q138" s="4"/>
      <c r="R138" s="35"/>
      <c r="S138" s="35"/>
      <c r="T138" s="49"/>
      <c r="U138" s="32"/>
      <c r="V138" s="32"/>
    </row>
    <row r="139" spans="1:22" ht="15.75">
      <c r="A139" s="52"/>
      <c r="B139" s="12"/>
      <c r="C139" s="4"/>
      <c r="D139" s="4"/>
      <c r="E1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2"/>
      <c r="G139" s="34" t="b">
        <v>0</v>
      </c>
      <c r="H139" s="34" t="b">
        <v>0</v>
      </c>
      <c r="I139" s="34" t="b">
        <v>0</v>
      </c>
      <c r="J139" s="34" t="b">
        <v>0</v>
      </c>
      <c r="K139" s="34" t="b">
        <v>0</v>
      </c>
      <c r="L139" s="34" t="b">
        <v>0</v>
      </c>
      <c r="M139" s="34" t="b">
        <v>0</v>
      </c>
      <c r="N139" s="34" t="b">
        <v>0</v>
      </c>
      <c r="O139" s="4"/>
      <c r="P139" s="4"/>
      <c r="Q139" s="4"/>
      <c r="R139" s="35"/>
      <c r="S139" s="35"/>
      <c r="T139" s="49"/>
      <c r="U139" s="32"/>
      <c r="V139" s="32"/>
    </row>
    <row r="140" spans="1:22" ht="15.75">
      <c r="A140" s="52"/>
      <c r="B140" s="12"/>
      <c r="C140" s="4"/>
      <c r="D140" s="4"/>
      <c r="E1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2"/>
      <c r="G140" s="34" t="b">
        <v>0</v>
      </c>
      <c r="H140" s="34" t="b">
        <v>0</v>
      </c>
      <c r="I140" s="34" t="b">
        <v>0</v>
      </c>
      <c r="J140" s="34" t="b">
        <v>0</v>
      </c>
      <c r="K140" s="34" t="b">
        <v>0</v>
      </c>
      <c r="L140" s="34" t="b">
        <v>0</v>
      </c>
      <c r="M140" s="34" t="b">
        <v>0</v>
      </c>
      <c r="N140" s="34" t="b">
        <v>0</v>
      </c>
      <c r="O140" s="4"/>
      <c r="P140" s="4"/>
      <c r="Q140" s="4"/>
      <c r="R140" s="35"/>
      <c r="S140" s="35"/>
      <c r="T140" s="49"/>
      <c r="U140" s="32"/>
      <c r="V140" s="32"/>
    </row>
    <row r="141" spans="1:22" ht="15.75">
      <c r="A141" s="52"/>
      <c r="B141" s="12"/>
      <c r="C141" s="4"/>
      <c r="D141" s="4"/>
      <c r="E1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2"/>
      <c r="G141" s="34" t="b">
        <v>0</v>
      </c>
      <c r="H141" s="34" t="b">
        <v>0</v>
      </c>
      <c r="I141" s="34" t="b">
        <v>0</v>
      </c>
      <c r="J141" s="34" t="b">
        <v>0</v>
      </c>
      <c r="K141" s="34" t="b">
        <v>0</v>
      </c>
      <c r="L141" s="34" t="b">
        <v>0</v>
      </c>
      <c r="M141" s="34" t="b">
        <v>0</v>
      </c>
      <c r="N141" s="34" t="b">
        <v>0</v>
      </c>
      <c r="O141" s="4"/>
      <c r="P141" s="4"/>
      <c r="Q141" s="4"/>
      <c r="R141" s="35"/>
      <c r="S141" s="35"/>
      <c r="T141" s="49"/>
      <c r="U141" s="32"/>
      <c r="V141" s="32"/>
    </row>
    <row r="142" spans="1:22" ht="15.75">
      <c r="A142" s="52"/>
      <c r="B142" s="12"/>
      <c r="C142" s="4"/>
      <c r="D142" s="4"/>
      <c r="E1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2"/>
      <c r="G142" s="34" t="b">
        <v>0</v>
      </c>
      <c r="H142" s="34" t="b">
        <v>0</v>
      </c>
      <c r="I142" s="34" t="b">
        <v>0</v>
      </c>
      <c r="J142" s="34" t="b">
        <v>0</v>
      </c>
      <c r="K142" s="34" t="b">
        <v>0</v>
      </c>
      <c r="L142" s="34" t="b">
        <v>0</v>
      </c>
      <c r="M142" s="34" t="b">
        <v>0</v>
      </c>
      <c r="N142" s="34" t="b">
        <v>0</v>
      </c>
      <c r="O142" s="4"/>
      <c r="P142" s="4"/>
      <c r="Q142" s="4"/>
      <c r="R142" s="35"/>
      <c r="S142" s="35"/>
      <c r="T142" s="49"/>
      <c r="U142" s="32"/>
      <c r="V142" s="32"/>
    </row>
    <row r="143" spans="1:22" ht="15.75">
      <c r="A143" s="52"/>
      <c r="B143" s="12"/>
      <c r="C143" s="4"/>
      <c r="D143" s="4"/>
      <c r="E1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2"/>
      <c r="G143" s="34" t="b">
        <v>0</v>
      </c>
      <c r="H143" s="34" t="b">
        <v>0</v>
      </c>
      <c r="I143" s="34" t="b">
        <v>0</v>
      </c>
      <c r="J143" s="34" t="b">
        <v>0</v>
      </c>
      <c r="K143" s="34" t="b">
        <v>0</v>
      </c>
      <c r="L143" s="34" t="b">
        <v>0</v>
      </c>
      <c r="M143" s="34" t="b">
        <v>0</v>
      </c>
      <c r="N143" s="34" t="b">
        <v>0</v>
      </c>
      <c r="O143" s="4"/>
      <c r="P143" s="4"/>
      <c r="Q143" s="4"/>
      <c r="R143" s="35"/>
      <c r="S143" s="35"/>
      <c r="T143" s="49"/>
      <c r="U143" s="32"/>
      <c r="V143" s="32"/>
    </row>
    <row r="144" spans="1:22" ht="15.75">
      <c r="A144" s="52"/>
      <c r="B144" s="12"/>
      <c r="C144" s="4"/>
      <c r="D144" s="4"/>
      <c r="E1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2"/>
      <c r="G144" s="34" t="b">
        <v>0</v>
      </c>
      <c r="H144" s="34" t="b">
        <v>0</v>
      </c>
      <c r="I144" s="34" t="b">
        <v>0</v>
      </c>
      <c r="J144" s="34" t="b">
        <v>0</v>
      </c>
      <c r="K144" s="34" t="b">
        <v>0</v>
      </c>
      <c r="L144" s="34" t="b">
        <v>0</v>
      </c>
      <c r="M144" s="34" t="b">
        <v>0</v>
      </c>
      <c r="N144" s="34" t="b">
        <v>0</v>
      </c>
      <c r="O144" s="4"/>
      <c r="P144" s="4"/>
      <c r="Q144" s="4"/>
      <c r="R144" s="35"/>
      <c r="S144" s="35"/>
      <c r="T144" s="49"/>
      <c r="U144" s="32"/>
      <c r="V144" s="32"/>
    </row>
    <row r="145" spans="1:22" ht="15.75">
      <c r="A145" s="52"/>
      <c r="B145" s="12"/>
      <c r="C145" s="4"/>
      <c r="D145" s="4"/>
      <c r="E1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2"/>
      <c r="G145" s="34" t="b">
        <v>0</v>
      </c>
      <c r="H145" s="34" t="b">
        <v>0</v>
      </c>
      <c r="I145" s="34" t="b">
        <v>0</v>
      </c>
      <c r="J145" s="34" t="b">
        <v>0</v>
      </c>
      <c r="K145" s="34" t="b">
        <v>0</v>
      </c>
      <c r="L145" s="34" t="b">
        <v>0</v>
      </c>
      <c r="M145" s="34" t="b">
        <v>0</v>
      </c>
      <c r="N145" s="34" t="b">
        <v>0</v>
      </c>
      <c r="O145" s="4"/>
      <c r="P145" s="4"/>
      <c r="Q145" s="4"/>
      <c r="R145" s="35"/>
      <c r="S145" s="35"/>
      <c r="T145" s="49"/>
      <c r="U145" s="32"/>
      <c r="V145" s="32"/>
    </row>
    <row r="146" spans="1:22" ht="15.75">
      <c r="A146" s="52"/>
      <c r="B146" s="12"/>
      <c r="C146" s="4"/>
      <c r="D146" s="4"/>
      <c r="E1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2"/>
      <c r="G146" s="34" t="b">
        <v>0</v>
      </c>
      <c r="H146" s="34" t="b">
        <v>0</v>
      </c>
      <c r="I146" s="34" t="b">
        <v>0</v>
      </c>
      <c r="J146" s="34" t="b">
        <v>0</v>
      </c>
      <c r="K146" s="34" t="b">
        <v>0</v>
      </c>
      <c r="L146" s="34" t="b">
        <v>0</v>
      </c>
      <c r="M146" s="34" t="b">
        <v>0</v>
      </c>
      <c r="N146" s="34" t="b">
        <v>0</v>
      </c>
      <c r="O146" s="4"/>
      <c r="P146" s="4"/>
      <c r="Q146" s="4"/>
      <c r="R146" s="35"/>
      <c r="S146" s="35"/>
      <c r="T146" s="49"/>
      <c r="U146" s="32"/>
      <c r="V146" s="32"/>
    </row>
    <row r="147" spans="1:22" ht="15.75">
      <c r="A147" s="52"/>
      <c r="B147" s="12"/>
      <c r="C147" s="4"/>
      <c r="D147" s="4"/>
      <c r="E1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2"/>
      <c r="G147" s="34" t="b">
        <v>0</v>
      </c>
      <c r="H147" s="34" t="b">
        <v>0</v>
      </c>
      <c r="I147" s="34" t="b">
        <v>0</v>
      </c>
      <c r="J147" s="34" t="b">
        <v>0</v>
      </c>
      <c r="K147" s="34" t="b">
        <v>0</v>
      </c>
      <c r="L147" s="34" t="b">
        <v>0</v>
      </c>
      <c r="M147" s="34" t="b">
        <v>0</v>
      </c>
      <c r="N147" s="34" t="b">
        <v>0</v>
      </c>
      <c r="O147" s="4"/>
      <c r="P147" s="4"/>
      <c r="Q147" s="4"/>
      <c r="R147" s="35"/>
      <c r="S147" s="35"/>
      <c r="T147" s="49"/>
      <c r="U147" s="32"/>
      <c r="V147" s="32"/>
    </row>
    <row r="148" spans="1:22" ht="15.75">
      <c r="A148" s="52"/>
      <c r="B148" s="12"/>
      <c r="C148" s="4"/>
      <c r="D148" s="4"/>
      <c r="E1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2"/>
      <c r="G148" s="34" t="b">
        <v>0</v>
      </c>
      <c r="H148" s="34" t="b">
        <v>0</v>
      </c>
      <c r="I148" s="34" t="b">
        <v>0</v>
      </c>
      <c r="J148" s="34" t="b">
        <v>0</v>
      </c>
      <c r="K148" s="34" t="b">
        <v>0</v>
      </c>
      <c r="L148" s="34" t="b">
        <v>0</v>
      </c>
      <c r="M148" s="34" t="b">
        <v>0</v>
      </c>
      <c r="N148" s="34" t="b">
        <v>0</v>
      </c>
      <c r="O148" s="4"/>
      <c r="P148" s="4"/>
      <c r="Q148" s="4"/>
      <c r="R148" s="35"/>
      <c r="S148" s="35"/>
      <c r="T148" s="49"/>
      <c r="U148" s="32"/>
      <c r="V148" s="32"/>
    </row>
    <row r="149" spans="1:22" ht="15.75">
      <c r="A149" s="52"/>
      <c r="B149" s="12"/>
      <c r="C149" s="4"/>
      <c r="D149" s="4"/>
      <c r="E1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2"/>
      <c r="G149" s="34" t="b">
        <v>0</v>
      </c>
      <c r="H149" s="34" t="b">
        <v>0</v>
      </c>
      <c r="I149" s="34" t="b">
        <v>0</v>
      </c>
      <c r="J149" s="34" t="b">
        <v>0</v>
      </c>
      <c r="K149" s="34" t="b">
        <v>0</v>
      </c>
      <c r="L149" s="34" t="b">
        <v>0</v>
      </c>
      <c r="M149" s="34" t="b">
        <v>0</v>
      </c>
      <c r="N149" s="34" t="b">
        <v>0</v>
      </c>
      <c r="O149" s="4"/>
      <c r="P149" s="4"/>
      <c r="Q149" s="4"/>
      <c r="R149" s="35"/>
      <c r="S149" s="35"/>
      <c r="T149" s="49"/>
      <c r="U149" s="32"/>
      <c r="V149" s="32"/>
    </row>
    <row r="150" spans="1:22" ht="15.75">
      <c r="A150" s="52"/>
      <c r="B150" s="12"/>
      <c r="C150" s="4"/>
      <c r="D150" s="4"/>
      <c r="E1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2"/>
      <c r="G150" s="34" t="b">
        <v>0</v>
      </c>
      <c r="H150" s="34" t="b">
        <v>0</v>
      </c>
      <c r="I150" s="34" t="b">
        <v>0</v>
      </c>
      <c r="J150" s="34" t="b">
        <v>0</v>
      </c>
      <c r="K150" s="34" t="b">
        <v>0</v>
      </c>
      <c r="L150" s="34" t="b">
        <v>0</v>
      </c>
      <c r="M150" s="34" t="b">
        <v>0</v>
      </c>
      <c r="N150" s="34" t="b">
        <v>0</v>
      </c>
      <c r="O150" s="4"/>
      <c r="P150" s="4"/>
      <c r="Q150" s="4"/>
      <c r="R150" s="35"/>
      <c r="S150" s="35"/>
      <c r="T150" s="49"/>
      <c r="U150" s="32"/>
      <c r="V150" s="32"/>
    </row>
    <row r="151" spans="1:22" ht="15.75">
      <c r="A151" s="52"/>
      <c r="B151" s="12"/>
      <c r="C151" s="4"/>
      <c r="D151" s="4"/>
      <c r="E1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2"/>
      <c r="G151" s="34" t="b">
        <v>0</v>
      </c>
      <c r="H151" s="34" t="b">
        <v>0</v>
      </c>
      <c r="I151" s="34" t="b">
        <v>0</v>
      </c>
      <c r="J151" s="34" t="b">
        <v>0</v>
      </c>
      <c r="K151" s="34" t="b">
        <v>0</v>
      </c>
      <c r="L151" s="34" t="b">
        <v>0</v>
      </c>
      <c r="M151" s="34" t="b">
        <v>0</v>
      </c>
      <c r="N151" s="34" t="b">
        <v>0</v>
      </c>
      <c r="O151" s="4"/>
      <c r="P151" s="4"/>
      <c r="Q151" s="4"/>
      <c r="R151" s="35"/>
      <c r="S151" s="35"/>
      <c r="T151" s="49"/>
      <c r="U151" s="32"/>
      <c r="V151" s="32"/>
    </row>
    <row r="152" spans="1:22" ht="15.75">
      <c r="A152" s="52"/>
      <c r="B152" s="12"/>
      <c r="C152" s="4"/>
      <c r="D152" s="4"/>
      <c r="E1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2"/>
      <c r="G152" s="34" t="b">
        <v>0</v>
      </c>
      <c r="H152" s="34" t="b">
        <v>0</v>
      </c>
      <c r="I152" s="34" t="b">
        <v>0</v>
      </c>
      <c r="J152" s="34" t="b">
        <v>0</v>
      </c>
      <c r="K152" s="34" t="b">
        <v>0</v>
      </c>
      <c r="L152" s="34" t="b">
        <v>0</v>
      </c>
      <c r="M152" s="34" t="b">
        <v>0</v>
      </c>
      <c r="N152" s="34" t="b">
        <v>0</v>
      </c>
      <c r="O152" s="4"/>
      <c r="P152" s="4"/>
      <c r="Q152" s="4"/>
      <c r="R152" s="35"/>
      <c r="S152" s="35"/>
      <c r="T152" s="49"/>
      <c r="U152" s="32"/>
      <c r="V152" s="32"/>
    </row>
    <row r="153" spans="1:22" ht="15.75">
      <c r="A153" s="52"/>
      <c r="B153" s="12"/>
      <c r="C153" s="4"/>
      <c r="D153" s="4"/>
      <c r="E1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2"/>
      <c r="G153" s="34" t="b">
        <v>0</v>
      </c>
      <c r="H153" s="34" t="b">
        <v>0</v>
      </c>
      <c r="I153" s="34" t="b">
        <v>0</v>
      </c>
      <c r="J153" s="34" t="b">
        <v>0</v>
      </c>
      <c r="K153" s="34" t="b">
        <v>0</v>
      </c>
      <c r="L153" s="34" t="b">
        <v>0</v>
      </c>
      <c r="M153" s="34" t="b">
        <v>0</v>
      </c>
      <c r="N153" s="34" t="b">
        <v>0</v>
      </c>
      <c r="O153" s="4"/>
      <c r="P153" s="4"/>
      <c r="Q153" s="4"/>
      <c r="R153" s="35"/>
      <c r="S153" s="35"/>
      <c r="T153" s="49"/>
      <c r="U153" s="32"/>
      <c r="V153" s="32"/>
    </row>
    <row r="154" spans="1:22" ht="15.75">
      <c r="A154" s="52"/>
      <c r="B154" s="12"/>
      <c r="C154" s="4"/>
      <c r="D154" s="4"/>
      <c r="E1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2"/>
      <c r="G154" s="34" t="b">
        <v>0</v>
      </c>
      <c r="H154" s="34" t="b">
        <v>0</v>
      </c>
      <c r="I154" s="34" t="b">
        <v>0</v>
      </c>
      <c r="J154" s="34" t="b">
        <v>0</v>
      </c>
      <c r="K154" s="34" t="b">
        <v>0</v>
      </c>
      <c r="L154" s="34" t="b">
        <v>0</v>
      </c>
      <c r="M154" s="34" t="b">
        <v>0</v>
      </c>
      <c r="N154" s="34" t="b">
        <v>0</v>
      </c>
      <c r="O154" s="4"/>
      <c r="P154" s="4"/>
      <c r="Q154" s="4"/>
      <c r="R154" s="35"/>
      <c r="S154" s="35"/>
      <c r="T154" s="49"/>
      <c r="U154" s="32"/>
      <c r="V154" s="32"/>
    </row>
    <row r="155" spans="1:22" ht="15.75">
      <c r="A155" s="52"/>
      <c r="B155" s="12"/>
      <c r="C155" s="4"/>
      <c r="D155" s="4"/>
      <c r="E1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2"/>
      <c r="G155" s="34" t="b">
        <v>0</v>
      </c>
      <c r="H155" s="34" t="b">
        <v>0</v>
      </c>
      <c r="I155" s="34" t="b">
        <v>0</v>
      </c>
      <c r="J155" s="34" t="b">
        <v>0</v>
      </c>
      <c r="K155" s="34" t="b">
        <v>0</v>
      </c>
      <c r="L155" s="34" t="b">
        <v>0</v>
      </c>
      <c r="M155" s="34" t="b">
        <v>0</v>
      </c>
      <c r="N155" s="34" t="b">
        <v>0</v>
      </c>
      <c r="O155" s="4"/>
      <c r="P155" s="4"/>
      <c r="Q155" s="4"/>
      <c r="R155" s="35"/>
      <c r="S155" s="35"/>
      <c r="T155" s="49"/>
      <c r="U155" s="32"/>
      <c r="V155" s="32"/>
    </row>
    <row r="156" spans="1:22" ht="15.75">
      <c r="A156" s="52"/>
      <c r="B156" s="12"/>
      <c r="C156" s="4"/>
      <c r="D156" s="4"/>
      <c r="E1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2"/>
      <c r="G156" s="34" t="b">
        <v>0</v>
      </c>
      <c r="H156" s="34" t="b">
        <v>0</v>
      </c>
      <c r="I156" s="34" t="b">
        <v>0</v>
      </c>
      <c r="J156" s="34" t="b">
        <v>0</v>
      </c>
      <c r="K156" s="34" t="b">
        <v>0</v>
      </c>
      <c r="L156" s="34" t="b">
        <v>0</v>
      </c>
      <c r="M156" s="34" t="b">
        <v>0</v>
      </c>
      <c r="N156" s="34" t="b">
        <v>0</v>
      </c>
      <c r="O156" s="4"/>
      <c r="P156" s="4"/>
      <c r="Q156" s="4"/>
      <c r="R156" s="35"/>
      <c r="S156" s="35"/>
      <c r="T156" s="49"/>
      <c r="U156" s="32"/>
      <c r="V156" s="32"/>
    </row>
    <row r="157" spans="1:22" ht="15.75">
      <c r="A157" s="52"/>
      <c r="B157" s="12"/>
      <c r="C157" s="4"/>
      <c r="D157" s="4"/>
      <c r="E1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2"/>
      <c r="G157" s="34" t="b">
        <v>0</v>
      </c>
      <c r="H157" s="34" t="b">
        <v>0</v>
      </c>
      <c r="I157" s="34" t="b">
        <v>0</v>
      </c>
      <c r="J157" s="34" t="b">
        <v>0</v>
      </c>
      <c r="K157" s="34" t="b">
        <v>0</v>
      </c>
      <c r="L157" s="34" t="b">
        <v>0</v>
      </c>
      <c r="M157" s="34" t="b">
        <v>0</v>
      </c>
      <c r="N157" s="34" t="b">
        <v>0</v>
      </c>
      <c r="O157" s="4"/>
      <c r="P157" s="4"/>
      <c r="Q157" s="4"/>
      <c r="R157" s="35"/>
      <c r="S157" s="35"/>
      <c r="T157" s="49"/>
      <c r="U157" s="32"/>
      <c r="V157" s="32"/>
    </row>
    <row r="158" spans="1:22" ht="15.75">
      <c r="A158" s="52"/>
      <c r="B158" s="12"/>
      <c r="C158" s="4"/>
      <c r="D158" s="4"/>
      <c r="E1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2"/>
      <c r="G158" s="34" t="b">
        <v>0</v>
      </c>
      <c r="H158" s="34" t="b">
        <v>0</v>
      </c>
      <c r="I158" s="34" t="b">
        <v>0</v>
      </c>
      <c r="J158" s="34" t="b">
        <v>0</v>
      </c>
      <c r="K158" s="34" t="b">
        <v>0</v>
      </c>
      <c r="L158" s="34" t="b">
        <v>0</v>
      </c>
      <c r="M158" s="34" t="b">
        <v>0</v>
      </c>
      <c r="N158" s="34" t="b">
        <v>0</v>
      </c>
      <c r="O158" s="4"/>
      <c r="P158" s="4"/>
      <c r="Q158" s="4"/>
      <c r="R158" s="35"/>
      <c r="S158" s="35"/>
      <c r="T158" s="49"/>
      <c r="U158" s="32"/>
      <c r="V158" s="32"/>
    </row>
    <row r="159" spans="1:22" ht="15.75">
      <c r="A159" s="52"/>
      <c r="B159" s="12"/>
      <c r="C159" s="4"/>
      <c r="D159" s="4"/>
      <c r="E1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2"/>
      <c r="G159" s="34" t="b">
        <v>0</v>
      </c>
      <c r="H159" s="34" t="b">
        <v>0</v>
      </c>
      <c r="I159" s="34" t="b">
        <v>0</v>
      </c>
      <c r="J159" s="34" t="b">
        <v>0</v>
      </c>
      <c r="K159" s="34" t="b">
        <v>0</v>
      </c>
      <c r="L159" s="34" t="b">
        <v>0</v>
      </c>
      <c r="M159" s="34" t="b">
        <v>0</v>
      </c>
      <c r="N159" s="34" t="b">
        <v>0</v>
      </c>
      <c r="O159" s="4"/>
      <c r="P159" s="4"/>
      <c r="Q159" s="4"/>
      <c r="R159" s="35"/>
      <c r="S159" s="35"/>
      <c r="T159" s="49"/>
      <c r="U159" s="32"/>
      <c r="V159" s="32"/>
    </row>
    <row r="160" spans="1:22" ht="15.75">
      <c r="A160" s="52"/>
      <c r="B160" s="12"/>
      <c r="C160" s="4"/>
      <c r="D160" s="4"/>
      <c r="E1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2"/>
      <c r="G160" s="34" t="b">
        <v>0</v>
      </c>
      <c r="H160" s="34" t="b">
        <v>0</v>
      </c>
      <c r="I160" s="34" t="b">
        <v>0</v>
      </c>
      <c r="J160" s="34" t="b">
        <v>0</v>
      </c>
      <c r="K160" s="34" t="b">
        <v>0</v>
      </c>
      <c r="L160" s="34" t="b">
        <v>0</v>
      </c>
      <c r="M160" s="34" t="b">
        <v>0</v>
      </c>
      <c r="N160" s="34" t="b">
        <v>0</v>
      </c>
      <c r="O160" s="4"/>
      <c r="P160" s="4"/>
      <c r="Q160" s="4"/>
      <c r="R160" s="35"/>
      <c r="S160" s="35"/>
      <c r="T160" s="49"/>
      <c r="U160" s="32"/>
      <c r="V160" s="32"/>
    </row>
    <row r="161" spans="1:22" ht="15.75">
      <c r="A161" s="52"/>
      <c r="B161" s="12"/>
      <c r="C161" s="4"/>
      <c r="D161" s="4"/>
      <c r="E1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2"/>
      <c r="G161" s="34" t="b">
        <v>0</v>
      </c>
      <c r="H161" s="34" t="b">
        <v>0</v>
      </c>
      <c r="I161" s="34" t="b">
        <v>0</v>
      </c>
      <c r="J161" s="34" t="b">
        <v>0</v>
      </c>
      <c r="K161" s="34" t="b">
        <v>0</v>
      </c>
      <c r="L161" s="34" t="b">
        <v>0</v>
      </c>
      <c r="M161" s="34" t="b">
        <v>0</v>
      </c>
      <c r="N161" s="34" t="b">
        <v>0</v>
      </c>
      <c r="O161" s="4"/>
      <c r="P161" s="4"/>
      <c r="Q161" s="4"/>
      <c r="R161" s="35"/>
      <c r="S161" s="35"/>
      <c r="T161" s="49"/>
      <c r="U161" s="32"/>
      <c r="V161" s="32"/>
    </row>
    <row r="162" spans="1:22" ht="15.75">
      <c r="A162" s="52"/>
      <c r="B162" s="12"/>
      <c r="C162" s="4"/>
      <c r="D162" s="4"/>
      <c r="E1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2"/>
      <c r="G162" s="34" t="b">
        <v>0</v>
      </c>
      <c r="H162" s="34" t="b">
        <v>0</v>
      </c>
      <c r="I162" s="34" t="b">
        <v>0</v>
      </c>
      <c r="J162" s="34" t="b">
        <v>0</v>
      </c>
      <c r="K162" s="34" t="b">
        <v>0</v>
      </c>
      <c r="L162" s="34" t="b">
        <v>0</v>
      </c>
      <c r="M162" s="34" t="b">
        <v>0</v>
      </c>
      <c r="N162" s="34" t="b">
        <v>0</v>
      </c>
      <c r="O162" s="4"/>
      <c r="P162" s="4"/>
      <c r="Q162" s="4"/>
      <c r="R162" s="35"/>
      <c r="S162" s="35"/>
      <c r="T162" s="49"/>
      <c r="U162" s="32"/>
      <c r="V162" s="32"/>
    </row>
    <row r="163" spans="1:22" ht="15.75">
      <c r="A163" s="52"/>
      <c r="B163" s="12"/>
      <c r="C163" s="4"/>
      <c r="D163" s="4"/>
      <c r="E1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2"/>
      <c r="G163" s="34" t="b">
        <v>0</v>
      </c>
      <c r="H163" s="34" t="b">
        <v>0</v>
      </c>
      <c r="I163" s="34" t="b">
        <v>0</v>
      </c>
      <c r="J163" s="34" t="b">
        <v>0</v>
      </c>
      <c r="K163" s="34" t="b">
        <v>0</v>
      </c>
      <c r="L163" s="34" t="b">
        <v>0</v>
      </c>
      <c r="M163" s="34" t="b">
        <v>0</v>
      </c>
      <c r="N163" s="34" t="b">
        <v>0</v>
      </c>
      <c r="O163" s="4"/>
      <c r="P163" s="4"/>
      <c r="Q163" s="4"/>
      <c r="R163" s="35"/>
      <c r="S163" s="35"/>
      <c r="T163" s="49"/>
      <c r="U163" s="32"/>
      <c r="V163" s="32"/>
    </row>
    <row r="164" spans="1:22" ht="15.75">
      <c r="A164" s="52"/>
      <c r="B164" s="12"/>
      <c r="C164" s="4"/>
      <c r="D164" s="4"/>
      <c r="E1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2"/>
      <c r="G164" s="34" t="b">
        <v>0</v>
      </c>
      <c r="H164" s="34" t="b">
        <v>0</v>
      </c>
      <c r="I164" s="34" t="b">
        <v>0</v>
      </c>
      <c r="J164" s="34" t="b">
        <v>0</v>
      </c>
      <c r="K164" s="34" t="b">
        <v>0</v>
      </c>
      <c r="L164" s="34" t="b">
        <v>0</v>
      </c>
      <c r="M164" s="34" t="b">
        <v>0</v>
      </c>
      <c r="N164" s="34" t="b">
        <v>0</v>
      </c>
      <c r="O164" s="4"/>
      <c r="P164" s="4"/>
      <c r="Q164" s="4"/>
      <c r="R164" s="35"/>
      <c r="S164" s="35"/>
      <c r="T164" s="49"/>
      <c r="U164" s="32"/>
      <c r="V164" s="32"/>
    </row>
    <row r="165" spans="1:22" ht="15.75">
      <c r="A165" s="52"/>
      <c r="B165" s="12"/>
      <c r="C165" s="4"/>
      <c r="D165" s="4"/>
      <c r="E1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2"/>
      <c r="G165" s="34" t="b">
        <v>0</v>
      </c>
      <c r="H165" s="34" t="b">
        <v>0</v>
      </c>
      <c r="I165" s="34" t="b">
        <v>0</v>
      </c>
      <c r="J165" s="34" t="b">
        <v>0</v>
      </c>
      <c r="K165" s="34" t="b">
        <v>0</v>
      </c>
      <c r="L165" s="34" t="b">
        <v>0</v>
      </c>
      <c r="M165" s="34" t="b">
        <v>0</v>
      </c>
      <c r="N165" s="34" t="b">
        <v>0</v>
      </c>
      <c r="O165" s="4"/>
      <c r="P165" s="4"/>
      <c r="Q165" s="4"/>
      <c r="R165" s="35"/>
      <c r="S165" s="35"/>
      <c r="T165" s="49"/>
      <c r="U165" s="32"/>
      <c r="V165" s="32"/>
    </row>
    <row r="166" spans="1:22" ht="15.75">
      <c r="A166" s="52"/>
      <c r="B166" s="12"/>
      <c r="C166" s="4"/>
      <c r="D166" s="4"/>
      <c r="E1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2"/>
      <c r="G166" s="34" t="b">
        <v>0</v>
      </c>
      <c r="H166" s="34" t="b">
        <v>0</v>
      </c>
      <c r="I166" s="34" t="b">
        <v>0</v>
      </c>
      <c r="J166" s="34" t="b">
        <v>0</v>
      </c>
      <c r="K166" s="34" t="b">
        <v>0</v>
      </c>
      <c r="L166" s="34" t="b">
        <v>0</v>
      </c>
      <c r="M166" s="34" t="b">
        <v>0</v>
      </c>
      <c r="N166" s="34" t="b">
        <v>0</v>
      </c>
      <c r="O166" s="4"/>
      <c r="P166" s="4"/>
      <c r="Q166" s="4"/>
      <c r="R166" s="35"/>
      <c r="S166" s="35"/>
      <c r="T166" s="49"/>
      <c r="U166" s="32"/>
      <c r="V166" s="32"/>
    </row>
    <row r="167" spans="1:22" ht="15.75">
      <c r="A167" s="52"/>
      <c r="B167" s="12"/>
      <c r="C167" s="4"/>
      <c r="D167" s="4"/>
      <c r="E1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2"/>
      <c r="G167" s="34" t="b">
        <v>0</v>
      </c>
      <c r="H167" s="34" t="b">
        <v>0</v>
      </c>
      <c r="I167" s="34" t="b">
        <v>0</v>
      </c>
      <c r="J167" s="34" t="b">
        <v>0</v>
      </c>
      <c r="K167" s="34" t="b">
        <v>0</v>
      </c>
      <c r="L167" s="34" t="b">
        <v>0</v>
      </c>
      <c r="M167" s="34" t="b">
        <v>0</v>
      </c>
      <c r="N167" s="34" t="b">
        <v>0</v>
      </c>
      <c r="O167" s="4"/>
      <c r="P167" s="4"/>
      <c r="Q167" s="4"/>
      <c r="R167" s="35"/>
      <c r="S167" s="35"/>
      <c r="T167" s="49"/>
      <c r="U167" s="32"/>
      <c r="V167" s="32"/>
    </row>
    <row r="168" spans="1:22" ht="15.75">
      <c r="A168" s="52"/>
      <c r="B168" s="12"/>
      <c r="C168" s="4"/>
      <c r="D168" s="4"/>
      <c r="E1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2"/>
      <c r="G168" s="34" t="b">
        <v>0</v>
      </c>
      <c r="H168" s="34" t="b">
        <v>0</v>
      </c>
      <c r="I168" s="34" t="b">
        <v>0</v>
      </c>
      <c r="J168" s="34" t="b">
        <v>0</v>
      </c>
      <c r="K168" s="34" t="b">
        <v>0</v>
      </c>
      <c r="L168" s="34" t="b">
        <v>0</v>
      </c>
      <c r="M168" s="34" t="b">
        <v>0</v>
      </c>
      <c r="N168" s="34" t="b">
        <v>0</v>
      </c>
      <c r="O168" s="4"/>
      <c r="P168" s="4"/>
      <c r="Q168" s="4"/>
      <c r="R168" s="35"/>
      <c r="S168" s="35"/>
      <c r="T168" s="49"/>
      <c r="U168" s="32"/>
      <c r="V168" s="32"/>
    </row>
    <row r="169" spans="1:22" ht="15.75">
      <c r="A169" s="52"/>
      <c r="B169" s="12"/>
      <c r="C169" s="4"/>
      <c r="D169" s="4"/>
      <c r="E1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2"/>
      <c r="G169" s="34" t="b">
        <v>0</v>
      </c>
      <c r="H169" s="34" t="b">
        <v>0</v>
      </c>
      <c r="I169" s="34" t="b">
        <v>0</v>
      </c>
      <c r="J169" s="34" t="b">
        <v>0</v>
      </c>
      <c r="K169" s="34" t="b">
        <v>0</v>
      </c>
      <c r="L169" s="34" t="b">
        <v>0</v>
      </c>
      <c r="M169" s="34" t="b">
        <v>0</v>
      </c>
      <c r="N169" s="34" t="b">
        <v>0</v>
      </c>
      <c r="O169" s="4"/>
      <c r="P169" s="4"/>
      <c r="Q169" s="4"/>
      <c r="R169" s="35"/>
      <c r="S169" s="35"/>
      <c r="T169" s="49"/>
      <c r="U169" s="32"/>
      <c r="V169" s="32"/>
    </row>
    <row r="170" spans="1:22" ht="15.75">
      <c r="A170" s="52"/>
      <c r="B170" s="12"/>
      <c r="C170" s="4"/>
      <c r="D170" s="4"/>
      <c r="E1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2"/>
      <c r="G170" s="34" t="b">
        <v>0</v>
      </c>
      <c r="H170" s="34" t="b">
        <v>0</v>
      </c>
      <c r="I170" s="34" t="b">
        <v>0</v>
      </c>
      <c r="J170" s="34" t="b">
        <v>0</v>
      </c>
      <c r="K170" s="34" t="b">
        <v>0</v>
      </c>
      <c r="L170" s="34" t="b">
        <v>0</v>
      </c>
      <c r="M170" s="34" t="b">
        <v>0</v>
      </c>
      <c r="N170" s="34" t="b">
        <v>0</v>
      </c>
      <c r="O170" s="4"/>
      <c r="P170" s="4"/>
      <c r="Q170" s="4"/>
      <c r="R170" s="35"/>
      <c r="S170" s="35"/>
      <c r="T170" s="49"/>
      <c r="U170" s="32"/>
      <c r="V170" s="32"/>
    </row>
    <row r="171" spans="1:22" ht="15.75">
      <c r="A171" s="52"/>
      <c r="B171" s="12"/>
      <c r="C171" s="4"/>
      <c r="D171" s="4"/>
      <c r="E1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2"/>
      <c r="G171" s="34" t="b">
        <v>0</v>
      </c>
      <c r="H171" s="34" t="b">
        <v>0</v>
      </c>
      <c r="I171" s="34" t="b">
        <v>0</v>
      </c>
      <c r="J171" s="34" t="b">
        <v>0</v>
      </c>
      <c r="K171" s="34" t="b">
        <v>0</v>
      </c>
      <c r="L171" s="34" t="b">
        <v>0</v>
      </c>
      <c r="M171" s="34" t="b">
        <v>0</v>
      </c>
      <c r="N171" s="34" t="b">
        <v>0</v>
      </c>
      <c r="O171" s="4"/>
      <c r="P171" s="4"/>
      <c r="Q171" s="4"/>
      <c r="R171" s="35"/>
      <c r="S171" s="35"/>
      <c r="T171" s="49"/>
      <c r="U171" s="32"/>
      <c r="V171" s="32"/>
    </row>
    <row r="172" spans="1:22" ht="15.75">
      <c r="A172" s="52"/>
      <c r="B172" s="12"/>
      <c r="C172" s="4"/>
      <c r="D172" s="4"/>
      <c r="E1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2"/>
      <c r="G172" s="34" t="b">
        <v>0</v>
      </c>
      <c r="H172" s="34" t="b">
        <v>0</v>
      </c>
      <c r="I172" s="34" t="b">
        <v>0</v>
      </c>
      <c r="J172" s="34" t="b">
        <v>0</v>
      </c>
      <c r="K172" s="34" t="b">
        <v>0</v>
      </c>
      <c r="L172" s="34" t="b">
        <v>0</v>
      </c>
      <c r="M172" s="34" t="b">
        <v>0</v>
      </c>
      <c r="N172" s="34" t="b">
        <v>0</v>
      </c>
      <c r="O172" s="4"/>
      <c r="P172" s="4"/>
      <c r="Q172" s="4"/>
      <c r="R172" s="35"/>
      <c r="S172" s="35"/>
      <c r="T172" s="49"/>
      <c r="U172" s="32"/>
      <c r="V172" s="32"/>
    </row>
    <row r="173" spans="1:22" ht="15.75">
      <c r="A173" s="52"/>
      <c r="B173" s="12"/>
      <c r="C173" s="4"/>
      <c r="D173" s="4"/>
      <c r="E1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2"/>
      <c r="G173" s="34" t="b">
        <v>0</v>
      </c>
      <c r="H173" s="34" t="b">
        <v>0</v>
      </c>
      <c r="I173" s="34" t="b">
        <v>0</v>
      </c>
      <c r="J173" s="34" t="b">
        <v>0</v>
      </c>
      <c r="K173" s="34" t="b">
        <v>0</v>
      </c>
      <c r="L173" s="34" t="b">
        <v>0</v>
      </c>
      <c r="M173" s="34" t="b">
        <v>0</v>
      </c>
      <c r="N173" s="34" t="b">
        <v>0</v>
      </c>
      <c r="O173" s="4"/>
      <c r="P173" s="4"/>
      <c r="Q173" s="4"/>
      <c r="R173" s="35"/>
      <c r="S173" s="35"/>
      <c r="T173" s="49"/>
      <c r="U173" s="32"/>
      <c r="V173" s="32"/>
    </row>
    <row r="174" spans="1:22" ht="15.75">
      <c r="A174" s="52"/>
      <c r="B174" s="12"/>
      <c r="C174" s="4"/>
      <c r="D174" s="4"/>
      <c r="E1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2"/>
      <c r="G174" s="34" t="b">
        <v>0</v>
      </c>
      <c r="H174" s="34" t="b">
        <v>0</v>
      </c>
      <c r="I174" s="34" t="b">
        <v>0</v>
      </c>
      <c r="J174" s="34" t="b">
        <v>0</v>
      </c>
      <c r="K174" s="34" t="b">
        <v>0</v>
      </c>
      <c r="L174" s="34" t="b">
        <v>0</v>
      </c>
      <c r="M174" s="34" t="b">
        <v>0</v>
      </c>
      <c r="N174" s="34" t="b">
        <v>0</v>
      </c>
      <c r="O174" s="4"/>
      <c r="P174" s="4"/>
      <c r="Q174" s="4"/>
      <c r="R174" s="35"/>
      <c r="S174" s="35"/>
      <c r="T174" s="49"/>
      <c r="U174" s="32"/>
      <c r="V174" s="32"/>
    </row>
    <row r="175" spans="1:22" ht="15.75">
      <c r="A175" s="52"/>
      <c r="B175" s="12"/>
      <c r="C175" s="4"/>
      <c r="D175" s="4"/>
      <c r="E1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2"/>
      <c r="G175" s="34" t="b">
        <v>0</v>
      </c>
      <c r="H175" s="34" t="b">
        <v>0</v>
      </c>
      <c r="I175" s="34" t="b">
        <v>0</v>
      </c>
      <c r="J175" s="34" t="b">
        <v>0</v>
      </c>
      <c r="K175" s="34" t="b">
        <v>0</v>
      </c>
      <c r="L175" s="34" t="b">
        <v>0</v>
      </c>
      <c r="M175" s="34" t="b">
        <v>0</v>
      </c>
      <c r="N175" s="34" t="b">
        <v>0</v>
      </c>
      <c r="O175" s="4"/>
      <c r="P175" s="4"/>
      <c r="Q175" s="4"/>
      <c r="R175" s="35"/>
      <c r="S175" s="35"/>
      <c r="T175" s="49"/>
      <c r="U175" s="32"/>
      <c r="V175" s="32"/>
    </row>
    <row r="176" spans="1:22" ht="15.75">
      <c r="A176" s="52"/>
      <c r="B176" s="12"/>
      <c r="C176" s="4"/>
      <c r="D176" s="4"/>
      <c r="E1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2"/>
      <c r="G176" s="34" t="b">
        <v>0</v>
      </c>
      <c r="H176" s="34" t="b">
        <v>0</v>
      </c>
      <c r="I176" s="34" t="b">
        <v>0</v>
      </c>
      <c r="J176" s="34" t="b">
        <v>0</v>
      </c>
      <c r="K176" s="34" t="b">
        <v>0</v>
      </c>
      <c r="L176" s="34" t="b">
        <v>0</v>
      </c>
      <c r="M176" s="34" t="b">
        <v>0</v>
      </c>
      <c r="N176" s="34" t="b">
        <v>0</v>
      </c>
      <c r="O176" s="4"/>
      <c r="P176" s="4"/>
      <c r="Q176" s="4"/>
      <c r="R176" s="35"/>
      <c r="S176" s="35"/>
      <c r="T176" s="49"/>
      <c r="U176" s="32"/>
      <c r="V176" s="32"/>
    </row>
    <row r="177" spans="1:22" ht="15.75">
      <c r="A177" s="52"/>
      <c r="B177" s="12"/>
      <c r="C177" s="4"/>
      <c r="D177" s="4"/>
      <c r="E1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2"/>
      <c r="G177" s="34" t="b">
        <v>0</v>
      </c>
      <c r="H177" s="34" t="b">
        <v>0</v>
      </c>
      <c r="I177" s="34" t="b">
        <v>0</v>
      </c>
      <c r="J177" s="34" t="b">
        <v>0</v>
      </c>
      <c r="K177" s="34" t="b">
        <v>0</v>
      </c>
      <c r="L177" s="34" t="b">
        <v>0</v>
      </c>
      <c r="M177" s="34" t="b">
        <v>0</v>
      </c>
      <c r="N177" s="34" t="b">
        <v>0</v>
      </c>
      <c r="O177" s="4"/>
      <c r="P177" s="4"/>
      <c r="Q177" s="4"/>
      <c r="R177" s="35"/>
      <c r="S177" s="35"/>
      <c r="T177" s="49"/>
      <c r="U177" s="32"/>
      <c r="V177" s="32"/>
    </row>
    <row r="178" spans="1:22" ht="15.75">
      <c r="A178" s="52"/>
      <c r="B178" s="12"/>
      <c r="C178" s="4"/>
      <c r="D178" s="4"/>
      <c r="E1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2"/>
      <c r="G178" s="34" t="b">
        <v>0</v>
      </c>
      <c r="H178" s="34" t="b">
        <v>0</v>
      </c>
      <c r="I178" s="34" t="b">
        <v>0</v>
      </c>
      <c r="J178" s="34" t="b">
        <v>0</v>
      </c>
      <c r="K178" s="34" t="b">
        <v>0</v>
      </c>
      <c r="L178" s="34" t="b">
        <v>0</v>
      </c>
      <c r="M178" s="34" t="b">
        <v>0</v>
      </c>
      <c r="N178" s="34" t="b">
        <v>0</v>
      </c>
      <c r="O178" s="4"/>
      <c r="P178" s="4"/>
      <c r="Q178" s="4"/>
      <c r="R178" s="35"/>
      <c r="S178" s="35"/>
      <c r="T178" s="49"/>
      <c r="U178" s="32"/>
      <c r="V178" s="32"/>
    </row>
    <row r="179" spans="1:22" ht="15.75">
      <c r="A179" s="52"/>
      <c r="B179" s="12"/>
      <c r="C179" s="4"/>
      <c r="D179" s="4"/>
      <c r="E1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2"/>
      <c r="G179" s="34" t="b">
        <v>0</v>
      </c>
      <c r="H179" s="34" t="b">
        <v>0</v>
      </c>
      <c r="I179" s="34" t="b">
        <v>0</v>
      </c>
      <c r="J179" s="34" t="b">
        <v>0</v>
      </c>
      <c r="K179" s="34" t="b">
        <v>0</v>
      </c>
      <c r="L179" s="34" t="b">
        <v>0</v>
      </c>
      <c r="M179" s="34" t="b">
        <v>0</v>
      </c>
      <c r="N179" s="34" t="b">
        <v>0</v>
      </c>
      <c r="O179" s="4"/>
      <c r="P179" s="4"/>
      <c r="Q179" s="4"/>
      <c r="R179" s="35"/>
      <c r="S179" s="35"/>
      <c r="T179" s="49"/>
      <c r="U179" s="32"/>
      <c r="V179" s="32"/>
    </row>
    <row r="180" spans="1:22" ht="15.75">
      <c r="A180" s="52"/>
      <c r="B180" s="12"/>
      <c r="C180" s="4"/>
      <c r="D180" s="4"/>
      <c r="E1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2"/>
      <c r="G180" s="34" t="b">
        <v>0</v>
      </c>
      <c r="H180" s="34" t="b">
        <v>0</v>
      </c>
      <c r="I180" s="34" t="b">
        <v>0</v>
      </c>
      <c r="J180" s="34" t="b">
        <v>0</v>
      </c>
      <c r="K180" s="34" t="b">
        <v>0</v>
      </c>
      <c r="L180" s="34" t="b">
        <v>0</v>
      </c>
      <c r="M180" s="34" t="b">
        <v>0</v>
      </c>
      <c r="N180" s="34" t="b">
        <v>0</v>
      </c>
      <c r="O180" s="4"/>
      <c r="P180" s="4"/>
      <c r="Q180" s="4"/>
      <c r="R180" s="35"/>
      <c r="S180" s="35"/>
      <c r="T180" s="49"/>
      <c r="U180" s="32"/>
      <c r="V180" s="32"/>
    </row>
    <row r="181" spans="1:22" ht="15.75">
      <c r="A181" s="52"/>
      <c r="B181" s="12"/>
      <c r="C181" s="4"/>
      <c r="D181" s="4"/>
      <c r="E1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2"/>
      <c r="G181" s="34" t="b">
        <v>0</v>
      </c>
      <c r="H181" s="34" t="b">
        <v>0</v>
      </c>
      <c r="I181" s="34" t="b">
        <v>0</v>
      </c>
      <c r="J181" s="34" t="b">
        <v>0</v>
      </c>
      <c r="K181" s="34" t="b">
        <v>0</v>
      </c>
      <c r="L181" s="34" t="b">
        <v>0</v>
      </c>
      <c r="M181" s="34" t="b">
        <v>0</v>
      </c>
      <c r="N181" s="34" t="b">
        <v>0</v>
      </c>
      <c r="O181" s="4"/>
      <c r="P181" s="4"/>
      <c r="Q181" s="4"/>
      <c r="R181" s="35"/>
      <c r="S181" s="35"/>
      <c r="T181" s="49"/>
      <c r="U181" s="32"/>
      <c r="V181" s="32"/>
    </row>
    <row r="182" spans="1:22" ht="15.75">
      <c r="A182" s="52"/>
      <c r="B182" s="12"/>
      <c r="C182" s="4"/>
      <c r="D182" s="4"/>
      <c r="E1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2"/>
      <c r="G182" s="34" t="b">
        <v>0</v>
      </c>
      <c r="H182" s="34" t="b">
        <v>0</v>
      </c>
      <c r="I182" s="34" t="b">
        <v>0</v>
      </c>
      <c r="J182" s="34" t="b">
        <v>0</v>
      </c>
      <c r="K182" s="34" t="b">
        <v>0</v>
      </c>
      <c r="L182" s="34" t="b">
        <v>0</v>
      </c>
      <c r="M182" s="34" t="b">
        <v>0</v>
      </c>
      <c r="N182" s="34" t="b">
        <v>0</v>
      </c>
      <c r="O182" s="4"/>
      <c r="P182" s="4"/>
      <c r="Q182" s="4"/>
      <c r="R182" s="35"/>
      <c r="S182" s="35"/>
      <c r="T182" s="49"/>
      <c r="U182" s="32"/>
      <c r="V182" s="32"/>
    </row>
    <row r="183" spans="1:22" ht="15.75">
      <c r="A183" s="52"/>
      <c r="B183" s="12"/>
      <c r="C183" s="4"/>
      <c r="D183" s="4"/>
      <c r="E1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2"/>
      <c r="G183" s="34" t="b">
        <v>0</v>
      </c>
      <c r="H183" s="34" t="b">
        <v>0</v>
      </c>
      <c r="I183" s="34" t="b">
        <v>0</v>
      </c>
      <c r="J183" s="34" t="b">
        <v>0</v>
      </c>
      <c r="K183" s="34" t="b">
        <v>0</v>
      </c>
      <c r="L183" s="34" t="b">
        <v>0</v>
      </c>
      <c r="M183" s="34" t="b">
        <v>0</v>
      </c>
      <c r="N183" s="34" t="b">
        <v>0</v>
      </c>
      <c r="O183" s="4"/>
      <c r="P183" s="4"/>
      <c r="Q183" s="4"/>
      <c r="R183" s="35"/>
      <c r="S183" s="35"/>
      <c r="T183" s="49"/>
      <c r="U183" s="32"/>
      <c r="V183" s="32"/>
    </row>
    <row r="184" spans="1:22" ht="15.75">
      <c r="A184" s="52"/>
      <c r="B184" s="12"/>
      <c r="C184" s="4"/>
      <c r="D184" s="4"/>
      <c r="E1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2"/>
      <c r="G184" s="34" t="b">
        <v>0</v>
      </c>
      <c r="H184" s="34" t="b">
        <v>0</v>
      </c>
      <c r="I184" s="34" t="b">
        <v>0</v>
      </c>
      <c r="J184" s="34" t="b">
        <v>0</v>
      </c>
      <c r="K184" s="34" t="b">
        <v>0</v>
      </c>
      <c r="L184" s="34" t="b">
        <v>0</v>
      </c>
      <c r="M184" s="34" t="b">
        <v>0</v>
      </c>
      <c r="N184" s="34" t="b">
        <v>0</v>
      </c>
      <c r="O184" s="4"/>
      <c r="P184" s="4"/>
      <c r="Q184" s="4"/>
      <c r="R184" s="35"/>
      <c r="S184" s="35"/>
      <c r="T184" s="49"/>
      <c r="U184" s="32"/>
      <c r="V184" s="32"/>
    </row>
    <row r="185" spans="1:22" ht="15.75">
      <c r="A185" s="52"/>
      <c r="B185" s="12"/>
      <c r="C185" s="4"/>
      <c r="D185" s="4"/>
      <c r="E1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2"/>
      <c r="G185" s="34" t="b">
        <v>0</v>
      </c>
      <c r="H185" s="34" t="b">
        <v>0</v>
      </c>
      <c r="I185" s="34" t="b">
        <v>0</v>
      </c>
      <c r="J185" s="34" t="b">
        <v>0</v>
      </c>
      <c r="K185" s="34" t="b">
        <v>0</v>
      </c>
      <c r="L185" s="34" t="b">
        <v>0</v>
      </c>
      <c r="M185" s="34" t="b">
        <v>0</v>
      </c>
      <c r="N185" s="34" t="b">
        <v>0</v>
      </c>
      <c r="O185" s="4"/>
      <c r="P185" s="4"/>
      <c r="Q185" s="4"/>
      <c r="R185" s="35"/>
      <c r="S185" s="35"/>
      <c r="T185" s="49"/>
      <c r="U185" s="32"/>
      <c r="V185" s="32"/>
    </row>
    <row r="186" spans="1:22" ht="15.75">
      <c r="A186" s="52"/>
      <c r="B186" s="12"/>
      <c r="C186" s="4"/>
      <c r="D186" s="4"/>
      <c r="E1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2"/>
      <c r="G186" s="34" t="b">
        <v>0</v>
      </c>
      <c r="H186" s="34" t="b">
        <v>0</v>
      </c>
      <c r="I186" s="34" t="b">
        <v>0</v>
      </c>
      <c r="J186" s="34" t="b">
        <v>0</v>
      </c>
      <c r="K186" s="34" t="b">
        <v>0</v>
      </c>
      <c r="L186" s="34" t="b">
        <v>0</v>
      </c>
      <c r="M186" s="34" t="b">
        <v>0</v>
      </c>
      <c r="N186" s="34" t="b">
        <v>0</v>
      </c>
      <c r="O186" s="4"/>
      <c r="P186" s="4"/>
      <c r="Q186" s="4"/>
      <c r="R186" s="35"/>
      <c r="S186" s="35"/>
      <c r="T186" s="49"/>
      <c r="U186" s="32"/>
      <c r="V186" s="32"/>
    </row>
    <row r="187" spans="1:22" ht="15.75">
      <c r="A187" s="52"/>
      <c r="B187" s="12"/>
      <c r="C187" s="4"/>
      <c r="D187" s="4"/>
      <c r="E1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2"/>
      <c r="G187" s="34" t="b">
        <v>0</v>
      </c>
      <c r="H187" s="34" t="b">
        <v>0</v>
      </c>
      <c r="I187" s="34" t="b">
        <v>0</v>
      </c>
      <c r="J187" s="34" t="b">
        <v>0</v>
      </c>
      <c r="K187" s="34" t="b">
        <v>0</v>
      </c>
      <c r="L187" s="34" t="b">
        <v>0</v>
      </c>
      <c r="M187" s="34" t="b">
        <v>0</v>
      </c>
      <c r="N187" s="34" t="b">
        <v>0</v>
      </c>
      <c r="O187" s="4"/>
      <c r="P187" s="4"/>
      <c r="Q187" s="4"/>
      <c r="R187" s="35"/>
      <c r="S187" s="35"/>
      <c r="T187" s="49"/>
      <c r="U187" s="32"/>
      <c r="V187" s="32"/>
    </row>
    <row r="188" spans="1:22" ht="15.75">
      <c r="A188" s="52"/>
      <c r="B188" s="12"/>
      <c r="C188" s="4"/>
      <c r="D188" s="4"/>
      <c r="E1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2"/>
      <c r="G188" s="34" t="b">
        <v>0</v>
      </c>
      <c r="H188" s="34" t="b">
        <v>0</v>
      </c>
      <c r="I188" s="34" t="b">
        <v>0</v>
      </c>
      <c r="J188" s="34" t="b">
        <v>0</v>
      </c>
      <c r="K188" s="34" t="b">
        <v>0</v>
      </c>
      <c r="L188" s="34" t="b">
        <v>0</v>
      </c>
      <c r="M188" s="34" t="b">
        <v>0</v>
      </c>
      <c r="N188" s="34" t="b">
        <v>0</v>
      </c>
      <c r="O188" s="4"/>
      <c r="P188" s="4"/>
      <c r="Q188" s="4"/>
      <c r="R188" s="35"/>
      <c r="S188" s="35"/>
      <c r="T188" s="49"/>
      <c r="U188" s="32"/>
      <c r="V188" s="32"/>
    </row>
    <row r="189" spans="1:22" ht="15.75">
      <c r="A189" s="52"/>
      <c r="B189" s="12"/>
      <c r="C189" s="4"/>
      <c r="D189" s="4"/>
      <c r="E1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2"/>
      <c r="G189" s="34" t="b">
        <v>0</v>
      </c>
      <c r="H189" s="34" t="b">
        <v>0</v>
      </c>
      <c r="I189" s="34" t="b">
        <v>0</v>
      </c>
      <c r="J189" s="34" t="b">
        <v>0</v>
      </c>
      <c r="K189" s="34" t="b">
        <v>0</v>
      </c>
      <c r="L189" s="34" t="b">
        <v>0</v>
      </c>
      <c r="M189" s="34" t="b">
        <v>0</v>
      </c>
      <c r="N189" s="34" t="b">
        <v>0</v>
      </c>
      <c r="O189" s="4"/>
      <c r="P189" s="4"/>
      <c r="Q189" s="4"/>
      <c r="R189" s="35"/>
      <c r="S189" s="35"/>
      <c r="T189" s="49"/>
      <c r="U189" s="32"/>
      <c r="V189" s="32"/>
    </row>
    <row r="190" spans="1:22" ht="15.75">
      <c r="A190" s="52"/>
      <c r="B190" s="12"/>
      <c r="C190" s="4"/>
      <c r="D190" s="4"/>
      <c r="E1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2"/>
      <c r="G190" s="34" t="b">
        <v>0</v>
      </c>
      <c r="H190" s="34" t="b">
        <v>0</v>
      </c>
      <c r="I190" s="34" t="b">
        <v>0</v>
      </c>
      <c r="J190" s="34" t="b">
        <v>0</v>
      </c>
      <c r="K190" s="34" t="b">
        <v>0</v>
      </c>
      <c r="L190" s="34" t="b">
        <v>0</v>
      </c>
      <c r="M190" s="34" t="b">
        <v>0</v>
      </c>
      <c r="N190" s="34" t="b">
        <v>0</v>
      </c>
      <c r="O190" s="4"/>
      <c r="P190" s="4"/>
      <c r="Q190" s="4"/>
      <c r="R190" s="35"/>
      <c r="S190" s="35"/>
      <c r="T190" s="49"/>
      <c r="U190" s="32"/>
      <c r="V190" s="32"/>
    </row>
    <row r="191" spans="1:22" ht="15.75">
      <c r="A191" s="52"/>
      <c r="B191" s="12"/>
      <c r="C191" s="4"/>
      <c r="D191" s="4"/>
      <c r="E1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2"/>
      <c r="G191" s="34" t="b">
        <v>0</v>
      </c>
      <c r="H191" s="34" t="b">
        <v>0</v>
      </c>
      <c r="I191" s="34" t="b">
        <v>0</v>
      </c>
      <c r="J191" s="34" t="b">
        <v>0</v>
      </c>
      <c r="K191" s="34" t="b">
        <v>0</v>
      </c>
      <c r="L191" s="34" t="b">
        <v>0</v>
      </c>
      <c r="M191" s="34" t="b">
        <v>0</v>
      </c>
      <c r="N191" s="34" t="b">
        <v>0</v>
      </c>
      <c r="O191" s="4"/>
      <c r="P191" s="4"/>
      <c r="Q191" s="4"/>
      <c r="R191" s="35"/>
      <c r="S191" s="35"/>
      <c r="T191" s="49"/>
      <c r="U191" s="32"/>
      <c r="V191" s="32"/>
    </row>
    <row r="192" spans="1:22" ht="15.75">
      <c r="A192" s="52"/>
      <c r="B192" s="12"/>
      <c r="C192" s="4"/>
      <c r="D192" s="4"/>
      <c r="E1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2"/>
      <c r="G192" s="34" t="b">
        <v>0</v>
      </c>
      <c r="H192" s="34" t="b">
        <v>0</v>
      </c>
      <c r="I192" s="34" t="b">
        <v>0</v>
      </c>
      <c r="J192" s="34" t="b">
        <v>0</v>
      </c>
      <c r="K192" s="34" t="b">
        <v>0</v>
      </c>
      <c r="L192" s="34" t="b">
        <v>0</v>
      </c>
      <c r="M192" s="34" t="b">
        <v>0</v>
      </c>
      <c r="N192" s="34" t="b">
        <v>0</v>
      </c>
      <c r="O192" s="4"/>
      <c r="P192" s="4"/>
      <c r="Q192" s="4"/>
      <c r="R192" s="35"/>
      <c r="S192" s="35"/>
      <c r="T192" s="49"/>
      <c r="U192" s="32"/>
      <c r="V192" s="32"/>
    </row>
    <row r="193" spans="1:24" ht="15.75">
      <c r="A193" s="52"/>
      <c r="B193" s="12"/>
      <c r="C193" s="4"/>
      <c r="D193" s="4"/>
      <c r="E1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2"/>
      <c r="G193" s="34" t="b">
        <v>0</v>
      </c>
      <c r="H193" s="34" t="b">
        <v>0</v>
      </c>
      <c r="I193" s="34" t="b">
        <v>0</v>
      </c>
      <c r="J193" s="34" t="b">
        <v>0</v>
      </c>
      <c r="K193" s="34" t="b">
        <v>0</v>
      </c>
      <c r="L193" s="34" t="b">
        <v>0</v>
      </c>
      <c r="M193" s="34" t="b">
        <v>0</v>
      </c>
      <c r="N193" s="34" t="b">
        <v>0</v>
      </c>
      <c r="O193" s="4"/>
      <c r="P193" s="4"/>
      <c r="Q193" s="4"/>
      <c r="R193" s="35"/>
      <c r="S193" s="35"/>
      <c r="T193" s="49"/>
      <c r="U193" s="32"/>
      <c r="V193" s="32"/>
    </row>
    <row r="194" spans="1:24" ht="15.75">
      <c r="A194" s="52"/>
      <c r="B194" s="12"/>
      <c r="C194" s="4"/>
      <c r="D194" s="4"/>
      <c r="E1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2"/>
      <c r="G194" s="34" t="b">
        <v>0</v>
      </c>
      <c r="H194" s="34" t="b">
        <v>0</v>
      </c>
      <c r="I194" s="34" t="b">
        <v>0</v>
      </c>
      <c r="J194" s="34" t="b">
        <v>0</v>
      </c>
      <c r="K194" s="34" t="b">
        <v>0</v>
      </c>
      <c r="L194" s="34" t="b">
        <v>0</v>
      </c>
      <c r="M194" s="34" t="b">
        <v>0</v>
      </c>
      <c r="N194" s="34" t="b">
        <v>0</v>
      </c>
      <c r="O194" s="4"/>
      <c r="P194" s="4"/>
      <c r="Q194" s="4"/>
      <c r="R194" s="35"/>
      <c r="S194" s="35"/>
      <c r="T194" s="49"/>
      <c r="U194" s="32"/>
      <c r="V194" s="32"/>
    </row>
    <row r="195" spans="1:24" ht="15.75">
      <c r="A195" s="52"/>
      <c r="B195" s="12"/>
      <c r="C195" s="4"/>
      <c r="D195" s="4"/>
      <c r="E1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2"/>
      <c r="G195" s="34" t="b">
        <v>0</v>
      </c>
      <c r="H195" s="34" t="b">
        <v>0</v>
      </c>
      <c r="I195" s="34" t="b">
        <v>0</v>
      </c>
      <c r="J195" s="34" t="b">
        <v>0</v>
      </c>
      <c r="K195" s="34" t="b">
        <v>0</v>
      </c>
      <c r="L195" s="34" t="b">
        <v>0</v>
      </c>
      <c r="M195" s="34" t="b">
        <v>0</v>
      </c>
      <c r="N195" s="34" t="b">
        <v>0</v>
      </c>
      <c r="O195" s="4"/>
      <c r="P195" s="4"/>
      <c r="Q195" s="4"/>
      <c r="R195" s="35"/>
      <c r="S195" s="35"/>
      <c r="T195" s="49"/>
      <c r="U195" s="32"/>
      <c r="V195" s="32"/>
    </row>
    <row r="196" spans="1:24" ht="15.75">
      <c r="A196" s="52"/>
      <c r="B196" s="12"/>
      <c r="C196" s="4"/>
      <c r="D196" s="4"/>
      <c r="E1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2"/>
      <c r="G196" s="34" t="b">
        <v>0</v>
      </c>
      <c r="H196" s="34" t="b">
        <v>0</v>
      </c>
      <c r="I196" s="34" t="b">
        <v>0</v>
      </c>
      <c r="J196" s="34" t="b">
        <v>0</v>
      </c>
      <c r="K196" s="34" t="b">
        <v>0</v>
      </c>
      <c r="L196" s="34" t="b">
        <v>0</v>
      </c>
      <c r="M196" s="34" t="b">
        <v>0</v>
      </c>
      <c r="N196" s="34" t="b">
        <v>0</v>
      </c>
      <c r="O196" s="4"/>
      <c r="P196" s="4"/>
      <c r="Q196" s="4"/>
      <c r="R196" s="35"/>
      <c r="S196" s="35"/>
      <c r="T196" s="49"/>
      <c r="U196" s="32"/>
      <c r="V196" s="32"/>
    </row>
    <row r="197" spans="1:24" ht="15.75">
      <c r="A197" s="52"/>
      <c r="B197" s="12"/>
      <c r="C197" s="4"/>
      <c r="D197" s="4"/>
      <c r="E1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2"/>
      <c r="G197" s="34" t="b">
        <v>0</v>
      </c>
      <c r="H197" s="34" t="b">
        <v>0</v>
      </c>
      <c r="I197" s="34" t="b">
        <v>0</v>
      </c>
      <c r="J197" s="34" t="b">
        <v>0</v>
      </c>
      <c r="K197" s="34" t="b">
        <v>0</v>
      </c>
      <c r="L197" s="34" t="b">
        <v>0</v>
      </c>
      <c r="M197" s="34" t="b">
        <v>0</v>
      </c>
      <c r="N197" s="34" t="b">
        <v>0</v>
      </c>
      <c r="O197" s="4"/>
      <c r="P197" s="4"/>
      <c r="Q197" s="4"/>
      <c r="R197" s="35"/>
      <c r="S197" s="35"/>
      <c r="T197" s="49"/>
      <c r="U197" s="32"/>
      <c r="V197" s="32"/>
    </row>
    <row r="198" spans="1:24" ht="15.75">
      <c r="A198" s="52"/>
      <c r="B198" s="12"/>
      <c r="C198" s="4"/>
      <c r="D198" s="4"/>
      <c r="E1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2"/>
      <c r="G198" s="34" t="b">
        <v>0</v>
      </c>
      <c r="H198" s="34" t="b">
        <v>0</v>
      </c>
      <c r="I198" s="34" t="b">
        <v>0</v>
      </c>
      <c r="J198" s="34" t="b">
        <v>0</v>
      </c>
      <c r="K198" s="34" t="b">
        <v>0</v>
      </c>
      <c r="L198" s="34" t="b">
        <v>0</v>
      </c>
      <c r="M198" s="34" t="b">
        <v>0</v>
      </c>
      <c r="N198" s="34" t="b">
        <v>0</v>
      </c>
      <c r="O198" s="4"/>
      <c r="P198" s="4"/>
      <c r="Q198" s="4"/>
      <c r="R198" s="35"/>
      <c r="S198" s="35"/>
      <c r="T198" s="49"/>
      <c r="U198" s="32"/>
      <c r="V198" s="32"/>
    </row>
    <row r="199" spans="1:24" ht="15.75">
      <c r="A199" s="52"/>
      <c r="B199" s="12"/>
      <c r="C199" s="4"/>
      <c r="D199" s="4"/>
      <c r="E1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2"/>
      <c r="G199" s="34" t="b">
        <v>0</v>
      </c>
      <c r="H199" s="34" t="b">
        <v>0</v>
      </c>
      <c r="I199" s="34" t="b">
        <v>0</v>
      </c>
      <c r="J199" s="34" t="b">
        <v>0</v>
      </c>
      <c r="K199" s="34" t="b">
        <v>0</v>
      </c>
      <c r="L199" s="34" t="b">
        <v>0</v>
      </c>
      <c r="M199" s="34" t="b">
        <v>0</v>
      </c>
      <c r="N199" s="34" t="b">
        <v>0</v>
      </c>
      <c r="O199" s="4"/>
      <c r="P199" s="4"/>
      <c r="Q199" s="4"/>
      <c r="R199" s="35"/>
      <c r="S199" s="35"/>
      <c r="T199" s="49"/>
      <c r="U199" s="32"/>
      <c r="V199" s="32"/>
    </row>
    <row r="200" spans="1:24" ht="15.75">
      <c r="A200" s="52"/>
      <c r="B200" s="12"/>
      <c r="C200" s="4"/>
      <c r="D200" s="4"/>
      <c r="E2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2"/>
      <c r="G200" s="34" t="b">
        <v>0</v>
      </c>
      <c r="H200" s="34" t="b">
        <v>0</v>
      </c>
      <c r="I200" s="34" t="b">
        <v>0</v>
      </c>
      <c r="J200" s="34" t="b">
        <v>0</v>
      </c>
      <c r="K200" s="34" t="b">
        <v>0</v>
      </c>
      <c r="L200" s="34" t="b">
        <v>0</v>
      </c>
      <c r="M200" s="34" t="b">
        <v>0</v>
      </c>
      <c r="N200" s="34" t="b">
        <v>0</v>
      </c>
      <c r="O200" s="4"/>
      <c r="P200" s="4"/>
      <c r="Q200" s="4"/>
      <c r="R200" s="35"/>
      <c r="S200" s="35"/>
      <c r="T200" s="49"/>
      <c r="U200" s="32"/>
      <c r="V200" s="32"/>
    </row>
    <row r="201" spans="1:24" ht="15.75">
      <c r="A201" s="52"/>
      <c r="B201" s="12"/>
      <c r="C201" s="4"/>
      <c r="D201" s="4"/>
      <c r="E2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2"/>
      <c r="G201" s="34" t="b">
        <v>0</v>
      </c>
      <c r="H201" s="34" t="b">
        <v>0</v>
      </c>
      <c r="I201" s="34" t="b">
        <v>0</v>
      </c>
      <c r="J201" s="34" t="b">
        <v>0</v>
      </c>
      <c r="K201" s="34" t="b">
        <v>0</v>
      </c>
      <c r="L201" s="34" t="b">
        <v>0</v>
      </c>
      <c r="M201" s="34" t="b">
        <v>0</v>
      </c>
      <c r="N201" s="34" t="b">
        <v>0</v>
      </c>
      <c r="O201" s="4"/>
      <c r="P201" s="4"/>
      <c r="Q201" s="4"/>
      <c r="R201" s="35"/>
      <c r="S201" s="35"/>
      <c r="T201" s="49"/>
      <c r="U201" s="32"/>
      <c r="V201" s="32"/>
    </row>
    <row r="202" spans="1:24" ht="15.75">
      <c r="A202" s="52"/>
      <c r="B202" s="12"/>
      <c r="C202" s="4"/>
      <c r="D202" s="4"/>
      <c r="E2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2"/>
      <c r="G202" s="34" t="b">
        <v>0</v>
      </c>
      <c r="H202" s="34" t="b">
        <v>0</v>
      </c>
      <c r="I202" s="34" t="b">
        <v>0</v>
      </c>
      <c r="J202" s="34" t="b">
        <v>0</v>
      </c>
      <c r="K202" s="34" t="b">
        <v>0</v>
      </c>
      <c r="L202" s="34" t="b">
        <v>0</v>
      </c>
      <c r="M202" s="34" t="b">
        <v>0</v>
      </c>
      <c r="N202" s="34" t="b">
        <v>0</v>
      </c>
      <c r="O202" s="4"/>
      <c r="P202" s="4"/>
      <c r="Q202" s="4"/>
      <c r="R202" s="35"/>
      <c r="S202" s="35"/>
      <c r="T202" s="49"/>
      <c r="U202" s="32"/>
      <c r="V202" s="32"/>
    </row>
    <row r="203" spans="1:24" ht="15.75">
      <c r="A203" s="52"/>
      <c r="B203" s="12"/>
      <c r="C203" s="4"/>
      <c r="D203" s="4"/>
      <c r="E2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2"/>
      <c r="G203" s="34" t="b">
        <v>0</v>
      </c>
      <c r="H203" s="34" t="b">
        <v>0</v>
      </c>
      <c r="I203" s="34" t="b">
        <v>0</v>
      </c>
      <c r="J203" s="34" t="b">
        <v>0</v>
      </c>
      <c r="K203" s="34" t="b">
        <v>0</v>
      </c>
      <c r="L203" s="34" t="b">
        <v>0</v>
      </c>
      <c r="M203" s="34" t="b">
        <v>0</v>
      </c>
      <c r="N203" s="34" t="b">
        <v>0</v>
      </c>
      <c r="O203" s="4"/>
      <c r="P203" s="4"/>
      <c r="Q203" s="4"/>
      <c r="R203" s="35"/>
      <c r="S203" s="35"/>
      <c r="T203" s="49"/>
      <c r="U203" s="32"/>
      <c r="V203" s="32"/>
    </row>
    <row r="204" spans="1:24" ht="15.75">
      <c r="A204" s="52"/>
      <c r="B204" s="12"/>
      <c r="C204" s="4"/>
      <c r="D204" s="4"/>
      <c r="E2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2"/>
      <c r="G204" s="34" t="b">
        <v>0</v>
      </c>
      <c r="H204" s="34" t="b">
        <v>0</v>
      </c>
      <c r="I204" s="34" t="b">
        <v>0</v>
      </c>
      <c r="J204" s="34" t="b">
        <v>0</v>
      </c>
      <c r="K204" s="34" t="b">
        <v>0</v>
      </c>
      <c r="L204" s="34" t="b">
        <v>0</v>
      </c>
      <c r="M204" s="34" t="b">
        <v>0</v>
      </c>
      <c r="N204" s="34" t="b">
        <v>0</v>
      </c>
      <c r="O204" s="4"/>
      <c r="P204" s="4"/>
      <c r="Q204" s="4"/>
      <c r="R204" s="35"/>
      <c r="S204" s="35"/>
      <c r="T204" s="49"/>
      <c r="U204" s="32"/>
      <c r="V204" s="32"/>
    </row>
    <row r="205" spans="1:24" ht="15.75">
      <c r="A205" s="52"/>
      <c r="B205" s="12"/>
      <c r="C205" s="4"/>
      <c r="D205" s="4"/>
      <c r="E2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2"/>
      <c r="G205" s="34" t="b">
        <v>0</v>
      </c>
      <c r="H205" s="34" t="b">
        <v>0</v>
      </c>
      <c r="I205" s="34" t="b">
        <v>0</v>
      </c>
      <c r="J205" s="34" t="b">
        <v>0</v>
      </c>
      <c r="K205" s="34" t="b">
        <v>0</v>
      </c>
      <c r="L205" s="34" t="b">
        <v>0</v>
      </c>
      <c r="M205" s="34" t="b">
        <v>0</v>
      </c>
      <c r="N205" s="34" t="b">
        <v>0</v>
      </c>
      <c r="O205" s="4"/>
      <c r="P205" s="4"/>
      <c r="Q205" s="4"/>
      <c r="R205" s="35"/>
      <c r="S205" s="35"/>
      <c r="T205" s="49"/>
      <c r="U205" s="32"/>
      <c r="V205" s="32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  <row r="798" spans="1:2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</row>
    <row r="799" spans="1:2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</row>
    <row r="800" spans="1:2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</row>
    <row r="801" spans="1:2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</row>
    <row r="802" spans="1:2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</row>
    <row r="803" spans="1:2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</row>
    <row r="804" spans="1:2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</row>
    <row r="805" spans="1:2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</row>
    <row r="806" spans="1:2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</row>
    <row r="807" spans="1:2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</row>
    <row r="808" spans="1:2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</row>
    <row r="809" spans="1:2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</row>
    <row r="810" spans="1:2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</row>
    <row r="811" spans="1:2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</row>
    <row r="812" spans="1:2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</row>
    <row r="813" spans="1:2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</row>
    <row r="814" spans="1:2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</row>
    <row r="815" spans="1:2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</row>
    <row r="816" spans="1:2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</row>
    <row r="817" spans="1:2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</row>
    <row r="818" spans="1:2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</row>
    <row r="819" spans="1:2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</row>
    <row r="820" spans="1:2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</row>
    <row r="821" spans="1:2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</row>
    <row r="822" spans="1:2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</row>
    <row r="823" spans="1:2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</row>
    <row r="824" spans="1:2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</row>
    <row r="825" spans="1:2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</row>
    <row r="826" spans="1:2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</row>
    <row r="827" spans="1:2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</row>
    <row r="828" spans="1:2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</row>
    <row r="829" spans="1:2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</row>
    <row r="830" spans="1:2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</row>
    <row r="831" spans="1:2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</row>
    <row r="832" spans="1:2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</row>
    <row r="833" spans="1:2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</row>
    <row r="834" spans="1:2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</row>
    <row r="835" spans="1:2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</row>
    <row r="836" spans="1:2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</row>
    <row r="837" spans="1:2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</row>
    <row r="838" spans="1:2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</row>
    <row r="839" spans="1:2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</row>
    <row r="840" spans="1:2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</row>
    <row r="841" spans="1:2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</row>
    <row r="842" spans="1:2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</row>
    <row r="843" spans="1:2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</row>
    <row r="844" spans="1:2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</row>
    <row r="845" spans="1:2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</row>
    <row r="846" spans="1:2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</row>
    <row r="847" spans="1:2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</row>
    <row r="848" spans="1:2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</row>
    <row r="849" spans="1:2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</row>
    <row r="850" spans="1:2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</row>
    <row r="851" spans="1:2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</row>
    <row r="852" spans="1:2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</row>
    <row r="853" spans="1:2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</row>
    <row r="854" spans="1:2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</row>
    <row r="855" spans="1:2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</row>
    <row r="856" spans="1:2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</row>
    <row r="857" spans="1:2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</row>
    <row r="858" spans="1:2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</row>
    <row r="859" spans="1:2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</row>
    <row r="860" spans="1:2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</row>
    <row r="861" spans="1:2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</row>
    <row r="862" spans="1:2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</row>
    <row r="863" spans="1:2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</row>
    <row r="864" spans="1:2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</row>
    <row r="865" spans="1:2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</row>
    <row r="866" spans="1:2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</row>
    <row r="867" spans="1:2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</row>
    <row r="868" spans="1:2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</row>
    <row r="869" spans="1:2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</row>
    <row r="870" spans="1:2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</row>
    <row r="871" spans="1:2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</row>
    <row r="872" spans="1:2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</row>
    <row r="873" spans="1:2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</row>
    <row r="874" spans="1:2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</row>
    <row r="875" spans="1:2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</row>
    <row r="876" spans="1:2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</row>
    <row r="877" spans="1:2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</row>
    <row r="878" spans="1:2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</row>
    <row r="879" spans="1:2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</row>
    <row r="880" spans="1:2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</row>
    <row r="881" spans="1:2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</row>
    <row r="882" spans="1:2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</row>
    <row r="883" spans="1:2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</row>
    <row r="884" spans="1:2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</row>
    <row r="885" spans="1:2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</row>
    <row r="886" spans="1:2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</row>
    <row r="887" spans="1:2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</row>
    <row r="888" spans="1:2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</row>
    <row r="889" spans="1:2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</row>
    <row r="890" spans="1:2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</row>
    <row r="891" spans="1:2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</row>
    <row r="892" spans="1:2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</row>
    <row r="893" spans="1:2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</row>
    <row r="894" spans="1:2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</row>
    <row r="895" spans="1:2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</row>
    <row r="896" spans="1:2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</row>
    <row r="897" spans="1:2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</row>
    <row r="898" spans="1:2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</row>
    <row r="899" spans="1:2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</row>
    <row r="900" spans="1:2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</row>
    <row r="901" spans="1:2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</row>
    <row r="902" spans="1:2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</row>
    <row r="903" spans="1:2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</row>
    <row r="904" spans="1:2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</row>
    <row r="905" spans="1:2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</row>
    <row r="906" spans="1:2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</row>
    <row r="907" spans="1:2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</row>
    <row r="908" spans="1:2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</row>
    <row r="909" spans="1:2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</row>
    <row r="910" spans="1:2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</row>
    <row r="911" spans="1:2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</row>
    <row r="912" spans="1:2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</row>
    <row r="913" spans="1:2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</row>
    <row r="914" spans="1:2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</row>
    <row r="915" spans="1:2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</row>
    <row r="916" spans="1:2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</row>
    <row r="917" spans="1:2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</row>
    <row r="918" spans="1:2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</row>
    <row r="919" spans="1:2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</row>
    <row r="920" spans="1:2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</row>
    <row r="921" spans="1:2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</row>
    <row r="922" spans="1:2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</row>
    <row r="923" spans="1:2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</row>
    <row r="924" spans="1:2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</row>
    <row r="925" spans="1:2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</row>
    <row r="926" spans="1:2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</row>
    <row r="927" spans="1:2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</row>
    <row r="928" spans="1:2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</row>
    <row r="929" spans="1:2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</row>
    <row r="930" spans="1:2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</row>
    <row r="931" spans="1:2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</row>
    <row r="932" spans="1:2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</row>
    <row r="933" spans="1:2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</row>
    <row r="934" spans="1:2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</row>
    <row r="935" spans="1:2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</row>
    <row r="936" spans="1:2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</row>
    <row r="937" spans="1:2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</row>
    <row r="938" spans="1:2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</row>
    <row r="939" spans="1:2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</row>
    <row r="940" spans="1:2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</row>
    <row r="941" spans="1:2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</row>
    <row r="942" spans="1:2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</row>
    <row r="943" spans="1:2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</row>
    <row r="944" spans="1:2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</row>
    <row r="945" spans="1:2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</row>
    <row r="946" spans="1:2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</row>
    <row r="947" spans="1:2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</row>
    <row r="948" spans="1:2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</row>
    <row r="949" spans="1:2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</row>
    <row r="950" spans="1:2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</row>
    <row r="951" spans="1:2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</row>
    <row r="952" spans="1:2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</row>
    <row r="953" spans="1:2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</row>
    <row r="954" spans="1:2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</row>
    <row r="955" spans="1:2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</row>
    <row r="956" spans="1:2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</row>
    <row r="957" spans="1:2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</row>
    <row r="958" spans="1:2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</row>
    <row r="959" spans="1:2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</row>
    <row r="960" spans="1:2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</row>
    <row r="961" spans="1:2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</row>
    <row r="962" spans="1:2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</row>
    <row r="963" spans="1:2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</row>
    <row r="964" spans="1:2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</row>
    <row r="965" spans="1:2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</row>
    <row r="966" spans="1:2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</row>
    <row r="967" spans="1:2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</row>
    <row r="968" spans="1:2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</row>
    <row r="969" spans="1:2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</row>
    <row r="970" spans="1:2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</row>
    <row r="971" spans="1:2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</row>
    <row r="972" spans="1:2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</row>
    <row r="973" spans="1:2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</row>
    <row r="974" spans="1:2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</row>
    <row r="975" spans="1:2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</row>
    <row r="976" spans="1:2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</row>
    <row r="977" spans="1:2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</row>
    <row r="978" spans="1:2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</row>
    <row r="979" spans="1:2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</row>
    <row r="980" spans="1:2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</row>
    <row r="981" spans="1:2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</row>
    <row r="982" spans="1:2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</row>
    <row r="983" spans="1:2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</row>
    <row r="984" spans="1:2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</row>
    <row r="985" spans="1:2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</row>
    <row r="986" spans="1:2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</row>
    <row r="987" spans="1:2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</row>
    <row r="988" spans="1:2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</row>
    <row r="989" spans="1:2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</row>
    <row r="990" spans="1:2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</row>
    <row r="991" spans="1:2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</row>
    <row r="992" spans="1:2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</row>
    <row r="993" spans="1:2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</row>
    <row r="994" spans="1:2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</row>
    <row r="995" spans="1:2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</row>
    <row r="996" spans="1:2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</row>
    <row r="997" spans="1:2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</row>
    <row r="998" spans="1:2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</row>
    <row r="999" spans="1:2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</row>
    <row r="1000" spans="1:2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</row>
  </sheetData>
  <conditionalFormatting sqref="F2:F205 O2:V205 A2:D205">
    <cfRule type="expression" dxfId="83" priority="68">
      <formula>#REF!="Critical"</formula>
    </cfRule>
    <cfRule type="expression" dxfId="82" priority="69">
      <formula>#REF!="High Risk"</formula>
    </cfRule>
    <cfRule type="expression" dxfId="81" priority="70">
      <formula>#REF!="At Risk"</formula>
    </cfRule>
    <cfRule type="expression" dxfId="80" priority="71">
      <formula>#REF!="Blocked"</formula>
    </cfRule>
    <cfRule type="expression" dxfId="79" priority="72">
      <formula>#REF!="Ready"</formula>
    </cfRule>
    <cfRule type="expression" dxfId="78" priority="73">
      <formula>#REF!="Complete"</formula>
    </cfRule>
  </conditionalFormatting>
  <conditionalFormatting sqref="E2:E205">
    <cfRule type="containsText" dxfId="77" priority="74" stopIfTrue="1" operator="containsText" text="Checked:">
      <formula>NOT(ISERROR(SEARCH("Checked:",E2)))</formula>
    </cfRule>
    <cfRule type="cellIs" dxfId="76" priority="75" stopIfTrue="1" operator="equal">
      <formula>"No checklist items checked"</formula>
    </cfRule>
    <cfRule type="cellIs" dxfId="75" priority="76" stopIfTrue="1" operator="equal">
      <formula>"Sent"</formula>
    </cfRule>
    <cfRule type="cellIs" dxfId="74" priority="77" stopIfTrue="1" operator="equal">
      <formula>"Scheduled"</formula>
    </cfRule>
    <cfRule type="cellIs" dxfId="73" priority="78" stopIfTrue="1" operator="equal">
      <formula>"Ready to Schedule"</formula>
    </cfRule>
  </conditionalFormatting>
  <conditionalFormatting sqref="A2:V205">
    <cfRule type="expression" dxfId="72" priority="79">
      <formula>OR(LOWER(TRIM($V2))="cancelled",LOWER(TRIM($V2))="canceled")</formula>
    </cfRule>
  </conditionalFormatting>
  <conditionalFormatting sqref="A2:W207">
    <cfRule type="expression" dxfId="71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hyperlinks>
    <hyperlink ref="Q2" r:id="rId1" display="https://app.bluecore.com/admin/campaigns/adorama/4944513273290752/edit" xr:uid="{C5DF3CD9-356F-4F67-BCB5-9075C8876417}"/>
    <hyperlink ref="P2" r:id="rId2" display="https://app.clickup.com/t/86ahrpf3e" xr:uid="{B1EF741D-FA6B-469E-A107-001E60AF842B}"/>
    <hyperlink ref="O2" r:id="rId3" display="https://jira.adorama.com/browse/MKT-102959" xr:uid="{63D10160-7DBC-4480-94A9-9BCCE1521E32}"/>
    <hyperlink ref="Q3" r:id="rId4" display="https://app.bluecore.com/admin/campaigns/adorama/6259984043991040" xr:uid="{2A4D7B20-798C-4036-B23C-C569FDC01C40}"/>
    <hyperlink ref="O3" r:id="rId5" display="https://jira.adorama.com/browse/MKT-102651" xr:uid="{4F340113-BAB1-4DD2-B68B-7C6424233332}"/>
    <hyperlink ref="P3" r:id="rId6" display="https://app.clickup.com/t/86ahjqzqj" xr:uid="{9539E592-B14A-4E82-BEAE-7C799482AF2D}"/>
    <hyperlink ref="Q4" r:id="rId7" display="https://app.bluecore.com/admin/campaigns/adorama/4905183754444800" xr:uid="{8064FD5E-EB6D-4EB8-8AC3-06061A90AEF7}"/>
    <hyperlink ref="P4" r:id="rId8" display="https://app.clickup.com/t/86ahjqzr0" xr:uid="{38A4E510-C938-41AD-8656-7B53DBB7BB85}"/>
    <hyperlink ref="O4" r:id="rId9" display="https://jira.adorama.com/browse/MKT-102790" xr:uid="{C8AA0763-87FD-444C-ABFF-95F236FF7C64}"/>
    <hyperlink ref="Q5" r:id="rId10" display="https://app.bluecore.com/admin/campaigns/adorama/5627261038223360" xr:uid="{1CB85F16-BF36-45F9-9095-A3FCCD87B68B}"/>
    <hyperlink ref="O5" r:id="rId11" display="https://jira.adorama.com/browse/MKT-102791" xr:uid="{153F4F96-47F6-4CF4-B545-A2B0AB8654A6}"/>
    <hyperlink ref="P5" r:id="rId12" display="https://app.clickup.com/t/86ahjqzra" xr:uid="{41648654-B226-48C6-A696-1E77F15E636A}"/>
    <hyperlink ref="O6" r:id="rId13" display="https://jira.adorama.com/browse/MKT-103036" xr:uid="{B0AA15BA-DFC8-4665-B493-962462B47CFB}"/>
    <hyperlink ref="P6" r:id="rId14" display="https://app.clickup.com/t/86ahrpf3t" xr:uid="{5B3DB452-49BC-46F0-B74A-FB3766A847FA}"/>
    <hyperlink ref="Q6" r:id="rId15" display="https://app.bluecore.com/admin/campaigns/adorama/6601684654350336v" xr:uid="{AF0DE29B-80C2-4569-80B1-E9ECBFB56639}"/>
    <hyperlink ref="Q7" r:id="rId16" display="https://app.bluecore.com/admin/campaigns/adorama/5230301059866624/edit" xr:uid="{84026660-6DCC-4007-97AC-BB4B1B932ED1}"/>
    <hyperlink ref="P7" r:id="rId17" display="https://app.clickup.com/t/9010122869/86ahrpf44" xr:uid="{1FFA060D-9CFA-49E8-AC98-CB536EBE22A1}"/>
    <hyperlink ref="O7" r:id="rId18" display="https://jira.adorama.com/browse/MKT-102007" xr:uid="{D760E562-5AC1-45AA-93D7-2629329C4F9A}"/>
    <hyperlink ref="Q8" r:id="rId19" display="https://app.bluecore.com/admin/campaigns/adorama/4956572627099648" xr:uid="{D4112957-6000-4F0C-8CB9-7ED4B826A770}"/>
    <hyperlink ref="O8" r:id="rId20" display="https://jira.adorama.com/browse/MKT-103040" xr:uid="{9941AB6F-6696-4C72-B32A-A2DCC36BC1B9}"/>
    <hyperlink ref="P8" r:id="rId21" display="https://app.clickup.com/t/9010122869/86ahrpf48" xr:uid="{C968AD82-E1BB-4704-9605-704690756FB7}"/>
    <hyperlink ref="O9" r:id="rId22" display="https://jira.adorama.com/browse/MKT-103041" xr:uid="{2EAAC10A-BADA-49AA-A92E-06C35B2D5657}"/>
    <hyperlink ref="P9" r:id="rId23" display="https://app.clickup.com/t/9010122869/86ahrpf4c" xr:uid="{BBD00424-AF59-4F1C-90E6-E2F66E750CC0}"/>
    <hyperlink ref="Q9" r:id="rId24" display="https://app.bluecore.com/admin/campaigns/adorama/6658156696297472" xr:uid="{9DC1FBA9-0C09-4ADD-8582-878945AEE195}"/>
    <hyperlink ref="Q11" r:id="rId25" display="https://app.bluecore.com/admin/campaigns/adorama/4539315346333696" xr:uid="{9169CA49-8AE7-4207-92BA-22C3996630C5}"/>
    <hyperlink ref="O11" r:id="rId26" display="https://jira.adorama.com/browse/MKT-102434" xr:uid="{F00572BE-49EE-47FD-90CD-EDE0ADD450EF}"/>
    <hyperlink ref="P11" r:id="rId27" display="https://app.clickup.com/t/9010122869/86ahrpf4z" xr:uid="{62C54C11-0082-459C-91C0-610365CF8B3B}"/>
    <hyperlink ref="Q10" r:id="rId28" display="https://app.bluecore.com/admin/campaigns/adorama/6125956057915392/edit" xr:uid="{161D3DCB-0DB5-4B36-8A9F-C0D17042621C}"/>
    <hyperlink ref="O10" r:id="rId29" display="https://app.clickup.com/t/9010122869/86ahrpf4k" xr:uid="{D73D7744-FA91-4BE5-9C7D-AD2A673AD192}"/>
    <hyperlink ref="P10" r:id="rId30" display="https://jira.adorama.com/browse/MKT-103042" xr:uid="{88D2ED1A-4B36-4810-B23B-72353C3059A8}"/>
    <hyperlink ref="Q12" r:id="rId31" display="https://app.bluecore.com/admin/campaigns/adorama/5531449167831040" xr:uid="{B0CA81DE-255E-4D5E-A412-0853F00DA487}"/>
    <hyperlink ref="O12" r:id="rId32" display="https://jira.adorama.com/browse/MKT-103104" xr:uid="{CBACD36F-A730-41D2-B747-C0A2E632862D}"/>
    <hyperlink ref="P12" r:id="rId33" display="https://app.clickup.com/t/9010122869/86ahv69f4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DA642F7A-74B9-4C28-85E2-C9E922AB840F}">
          <x14:formula1>
            <xm:f>Dropdowns!$A$2:$A$10</xm:f>
          </x14:formula1>
          <xm:sqref>D2:D205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7" sqref="C17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13.625" style="3" customWidth="1"/>
    <col min="8" max="8" width="12.625" style="3" customWidth="1"/>
    <col min="9" max="9" width="13.625" style="3" customWidth="1"/>
    <col min="10" max="10" width="13.75" style="3" bestFit="1" customWidth="1"/>
    <col min="11" max="11" width="13.5" style="3" bestFit="1" customWidth="1"/>
    <col min="12" max="12" width="19.25" style="3" bestFit="1" customWidth="1"/>
    <col min="13" max="14" width="14.625" style="3" customWidth="1"/>
    <col min="15" max="15" width="18.25" style="3" hidden="1" customWidth="1"/>
    <col min="16" max="16" width="18.625" style="3" hidden="1" customWidth="1"/>
    <col min="17" max="17" width="50.625" style="3" customWidth="1"/>
    <col min="18" max="18" width="36.625" style="3" customWidth="1"/>
    <col min="19" max="16384" width="9" style="1"/>
  </cols>
  <sheetData>
    <row r="1" spans="1:17" s="2" customFormat="1" ht="30">
      <c r="A1" s="4" t="s">
        <v>21</v>
      </c>
      <c r="B1" s="4" t="s">
        <v>42</v>
      </c>
      <c r="C1" s="4" t="s">
        <v>43</v>
      </c>
      <c r="D1" s="4" t="s">
        <v>44</v>
      </c>
      <c r="E1" s="4" t="s">
        <v>45</v>
      </c>
      <c r="F1" s="4" t="s">
        <v>27</v>
      </c>
      <c r="G1" s="4" t="s">
        <v>82</v>
      </c>
      <c r="H1" s="4" t="s">
        <v>83</v>
      </c>
      <c r="I1" s="4" t="s">
        <v>28</v>
      </c>
      <c r="J1" s="4" t="s">
        <v>29</v>
      </c>
      <c r="K1" s="4" t="s">
        <v>84</v>
      </c>
      <c r="L1" s="4" t="s">
        <v>54</v>
      </c>
      <c r="M1" s="4" t="s">
        <v>55</v>
      </c>
      <c r="N1" s="4" t="s">
        <v>56</v>
      </c>
      <c r="O1" s="4" t="s">
        <v>57</v>
      </c>
      <c r="P1" s="4" t="s">
        <v>58</v>
      </c>
      <c r="Q1" s="4" t="s">
        <v>59</v>
      </c>
    </row>
    <row r="2" spans="1:17" s="5" customFormat="1" ht="30">
      <c r="A2" s="52">
        <v>46174</v>
      </c>
      <c r="B2" s="12" t="s">
        <v>85</v>
      </c>
      <c r="C2" s="4" t="s">
        <v>86</v>
      </c>
      <c r="D2" s="4" t="s">
        <v>70</v>
      </c>
      <c r="E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2" t="s">
        <v>63</v>
      </c>
      <c r="G2" s="33" t="b">
        <v>1</v>
      </c>
      <c r="H2" s="33" t="b">
        <v>1</v>
      </c>
      <c r="I2" s="33" t="b">
        <v>1</v>
      </c>
      <c r="J2" s="33" t="b">
        <v>1</v>
      </c>
      <c r="K2" s="36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L2" s="48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M2" s="35">
        <v>64277</v>
      </c>
      <c r="N2" s="35">
        <v>63900</v>
      </c>
      <c r="O2" s="51">
        <v>46181.032453703701</v>
      </c>
      <c r="P2" s="32" t="s">
        <v>81</v>
      </c>
      <c r="Q2" s="32"/>
    </row>
    <row r="3" spans="1:17" s="5" customFormat="1" ht="30">
      <c r="A3" s="52">
        <v>46178</v>
      </c>
      <c r="B3" s="12" t="s">
        <v>85</v>
      </c>
      <c r="C3" s="4" t="s">
        <v>87</v>
      </c>
      <c r="D3" s="4" t="s">
        <v>62</v>
      </c>
      <c r="E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2" t="s">
        <v>63</v>
      </c>
      <c r="G3" s="33" t="b">
        <v>1</v>
      </c>
      <c r="H3" s="33" t="b">
        <v>1</v>
      </c>
      <c r="I3" s="33" t="b">
        <v>1</v>
      </c>
      <c r="J3" s="33" t="b">
        <v>1</v>
      </c>
      <c r="K3" s="36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L3" s="36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M3" s="35">
        <v>56545</v>
      </c>
      <c r="N3" s="35">
        <v>56423</v>
      </c>
      <c r="O3" s="51">
        <v>46181.003645833334</v>
      </c>
      <c r="P3" s="32" t="s">
        <v>81</v>
      </c>
      <c r="Q3" s="32"/>
    </row>
    <row r="4" spans="1:17" s="5" customFormat="1" ht="30">
      <c r="A4" s="52">
        <v>46178</v>
      </c>
      <c r="B4" s="12" t="s">
        <v>88</v>
      </c>
      <c r="C4" s="4" t="s">
        <v>89</v>
      </c>
      <c r="D4" s="4" t="s">
        <v>62</v>
      </c>
      <c r="E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2" t="s">
        <v>71</v>
      </c>
      <c r="G4" s="33" t="b">
        <v>1</v>
      </c>
      <c r="H4" s="33" t="b">
        <v>1</v>
      </c>
      <c r="I4" s="33" t="b">
        <v>1</v>
      </c>
      <c r="J4" s="33" t="b">
        <v>1</v>
      </c>
      <c r="K4" s="4"/>
      <c r="L4" s="36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M4" s="4"/>
      <c r="N4" s="35">
        <v>101474</v>
      </c>
      <c r="O4" s="51">
        <v>46181.003645833334</v>
      </c>
      <c r="P4" s="32" t="s">
        <v>81</v>
      </c>
      <c r="Q4" s="32"/>
    </row>
    <row r="5" spans="1:17" s="5" customFormat="1" ht="30">
      <c r="A5" s="52">
        <v>46180</v>
      </c>
      <c r="B5" s="12" t="s">
        <v>85</v>
      </c>
      <c r="C5" s="4" t="s">
        <v>90</v>
      </c>
      <c r="D5" s="4" t="s">
        <v>80</v>
      </c>
      <c r="E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2" t="s">
        <v>63</v>
      </c>
      <c r="G5" s="33" t="b">
        <v>1</v>
      </c>
      <c r="H5" s="33" t="b">
        <v>1</v>
      </c>
      <c r="I5" s="33" t="b">
        <v>1</v>
      </c>
      <c r="J5" s="33" t="b">
        <v>1</v>
      </c>
      <c r="K5" s="36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L5" s="36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M5" s="35">
        <v>20163</v>
      </c>
      <c r="N5" s="35">
        <v>9980</v>
      </c>
      <c r="O5" s="51">
        <v>46181.003645833334</v>
      </c>
      <c r="P5" s="32" t="s">
        <v>81</v>
      </c>
      <c r="Q5" s="32"/>
    </row>
    <row r="6" spans="1:17" s="5" customFormat="1" ht="30">
      <c r="A6" s="52">
        <v>46180</v>
      </c>
      <c r="B6" s="12" t="s">
        <v>91</v>
      </c>
      <c r="C6" s="4" t="s">
        <v>89</v>
      </c>
      <c r="D6" s="4" t="s">
        <v>62</v>
      </c>
      <c r="E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2" t="s">
        <v>92</v>
      </c>
      <c r="G6" s="33" t="b">
        <v>1</v>
      </c>
      <c r="H6" s="33" t="b">
        <v>1</v>
      </c>
      <c r="I6" s="33" t="b">
        <v>1</v>
      </c>
      <c r="J6" s="33" t="b">
        <v>1</v>
      </c>
      <c r="K6" s="4"/>
      <c r="L6" s="36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M6" s="35">
        <v>28616</v>
      </c>
      <c r="N6" s="35">
        <v>20362</v>
      </c>
      <c r="O6" s="51">
        <v>46181.053379629629</v>
      </c>
      <c r="P6" s="32" t="s">
        <v>81</v>
      </c>
      <c r="Q6" s="32"/>
    </row>
    <row r="7" spans="1:17" s="5" customFormat="1">
      <c r="A7" s="52"/>
      <c r="B7" s="12"/>
      <c r="C7" s="4"/>
      <c r="D7" s="4"/>
      <c r="E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32"/>
      <c r="G7" s="33" t="b">
        <v>0</v>
      </c>
      <c r="H7" s="33" t="b">
        <v>0</v>
      </c>
      <c r="I7" s="33" t="b">
        <v>0</v>
      </c>
      <c r="J7" s="33" t="b">
        <v>0</v>
      </c>
      <c r="K7" s="4"/>
      <c r="L7" s="4"/>
      <c r="M7" s="4"/>
      <c r="N7" s="4"/>
      <c r="O7" s="51">
        <v>46181.003645833334</v>
      </c>
      <c r="P7" s="32" t="s">
        <v>81</v>
      </c>
      <c r="Q7" s="32"/>
    </row>
    <row r="8" spans="1:17" s="5" customFormat="1">
      <c r="A8" s="52"/>
      <c r="B8" s="12"/>
      <c r="C8" s="4"/>
      <c r="D8" s="4"/>
      <c r="E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32"/>
      <c r="G8" s="33" t="b">
        <v>0</v>
      </c>
      <c r="H8" s="33" t="b">
        <v>0</v>
      </c>
      <c r="I8" s="33" t="b">
        <v>0</v>
      </c>
      <c r="J8" s="33" t="b">
        <v>0</v>
      </c>
      <c r="K8" s="4"/>
      <c r="L8" s="4"/>
      <c r="M8" s="4"/>
      <c r="N8" s="4"/>
      <c r="O8" s="51">
        <v>46181.003645833334</v>
      </c>
      <c r="P8" s="32" t="s">
        <v>81</v>
      </c>
      <c r="Q8" s="32"/>
    </row>
    <row r="9" spans="1:17" s="5" customFormat="1">
      <c r="A9" s="52"/>
      <c r="B9" s="12"/>
      <c r="C9" s="4"/>
      <c r="D9" s="4"/>
      <c r="E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32"/>
      <c r="G9" s="33" t="b">
        <v>0</v>
      </c>
      <c r="H9" s="33" t="b">
        <v>0</v>
      </c>
      <c r="I9" s="33" t="b">
        <v>0</v>
      </c>
      <c r="J9" s="33" t="b">
        <v>0</v>
      </c>
      <c r="K9" s="4"/>
      <c r="L9" s="4"/>
      <c r="M9" s="4"/>
      <c r="N9" s="4"/>
      <c r="O9" s="51">
        <v>46181.003645833334</v>
      </c>
      <c r="P9" s="32" t="s">
        <v>81</v>
      </c>
      <c r="Q9" s="32"/>
    </row>
    <row r="10" spans="1:17" s="5" customFormat="1">
      <c r="A10" s="52"/>
      <c r="B10" s="12"/>
      <c r="C10" s="4"/>
      <c r="D10" s="4"/>
      <c r="E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32"/>
      <c r="G10" s="33" t="b">
        <v>0</v>
      </c>
      <c r="H10" s="33" t="b">
        <v>0</v>
      </c>
      <c r="I10" s="33" t="b">
        <v>0</v>
      </c>
      <c r="J10" s="33" t="b">
        <v>0</v>
      </c>
      <c r="K10" s="4"/>
      <c r="L10" s="4"/>
      <c r="M10" s="4"/>
      <c r="N10" s="4"/>
      <c r="O10" s="51">
        <v>46181.003645833334</v>
      </c>
      <c r="P10" s="32" t="s">
        <v>81</v>
      </c>
      <c r="Q10" s="32"/>
    </row>
    <row r="11" spans="1:17" s="5" customFormat="1">
      <c r="A11" s="52"/>
      <c r="B11" s="12"/>
      <c r="C11" s="4"/>
      <c r="D11" s="4"/>
      <c r="E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2"/>
      <c r="G11" s="33" t="b">
        <v>0</v>
      </c>
      <c r="H11" s="33" t="b">
        <v>0</v>
      </c>
      <c r="I11" s="33" t="b">
        <v>0</v>
      </c>
      <c r="J11" s="33" t="b">
        <v>0</v>
      </c>
      <c r="K11" s="4"/>
      <c r="L11" s="4"/>
      <c r="M11" s="4"/>
      <c r="N11" s="4"/>
      <c r="O11" s="51">
        <v>46181.003645833334</v>
      </c>
      <c r="P11" s="32" t="s">
        <v>81</v>
      </c>
      <c r="Q11" s="32"/>
    </row>
    <row r="12" spans="1:17" s="5" customFormat="1">
      <c r="A12" s="52"/>
      <c r="B12" s="12"/>
      <c r="C12" s="4"/>
      <c r="D12" s="4"/>
      <c r="E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2"/>
      <c r="G12" s="33" t="b">
        <v>0</v>
      </c>
      <c r="H12" s="33" t="b">
        <v>0</v>
      </c>
      <c r="I12" s="33" t="b">
        <v>0</v>
      </c>
      <c r="J12" s="33" t="b">
        <v>0</v>
      </c>
      <c r="K12" s="4"/>
      <c r="L12" s="4"/>
      <c r="M12" s="4"/>
      <c r="N12" s="4"/>
      <c r="O12" s="51">
        <v>46181.003645833334</v>
      </c>
      <c r="P12" s="32" t="s">
        <v>81</v>
      </c>
      <c r="Q12" s="32"/>
    </row>
    <row r="13" spans="1:17" s="5" customFormat="1">
      <c r="A13" s="52"/>
      <c r="B13" s="12"/>
      <c r="C13" s="4"/>
      <c r="D13" s="4"/>
      <c r="E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2"/>
      <c r="G13" s="33" t="b">
        <v>0</v>
      </c>
      <c r="H13" s="33" t="b">
        <v>0</v>
      </c>
      <c r="I13" s="33" t="b">
        <v>0</v>
      </c>
      <c r="J13" s="33" t="b">
        <v>0</v>
      </c>
      <c r="K13" s="4"/>
      <c r="L13" s="4"/>
      <c r="M13" s="4"/>
      <c r="N13" s="4"/>
      <c r="O13" s="51">
        <v>46181.003645833334</v>
      </c>
      <c r="P13" s="32" t="s">
        <v>81</v>
      </c>
      <c r="Q13" s="32"/>
    </row>
    <row r="14" spans="1:17" s="5" customFormat="1">
      <c r="A14" s="52"/>
      <c r="B14" s="12"/>
      <c r="C14" s="4"/>
      <c r="D14" s="4"/>
      <c r="E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2"/>
      <c r="G14" s="33" t="b">
        <v>0</v>
      </c>
      <c r="H14" s="33" t="b">
        <v>0</v>
      </c>
      <c r="I14" s="33" t="b">
        <v>0</v>
      </c>
      <c r="J14" s="33" t="b">
        <v>0</v>
      </c>
      <c r="K14" s="4"/>
      <c r="L14" s="4"/>
      <c r="M14" s="4"/>
      <c r="N14" s="4"/>
      <c r="O14" s="51">
        <v>46181.003645833334</v>
      </c>
      <c r="P14" s="32" t="s">
        <v>81</v>
      </c>
      <c r="Q14" s="32"/>
    </row>
    <row r="15" spans="1:17" s="5" customFormat="1">
      <c r="A15" s="52"/>
      <c r="B15" s="12"/>
      <c r="C15" s="4"/>
      <c r="D15" s="4"/>
      <c r="E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2"/>
      <c r="G15" s="33" t="b">
        <v>0</v>
      </c>
      <c r="H15" s="33" t="b">
        <v>0</v>
      </c>
      <c r="I15" s="33" t="b">
        <v>0</v>
      </c>
      <c r="J15" s="33" t="b">
        <v>0</v>
      </c>
      <c r="K15" s="4"/>
      <c r="L15" s="4"/>
      <c r="M15" s="4"/>
      <c r="N15" s="4"/>
      <c r="O15" s="51">
        <v>46181.003645833334</v>
      </c>
      <c r="P15" s="32" t="s">
        <v>81</v>
      </c>
      <c r="Q15" s="32"/>
    </row>
    <row r="16" spans="1:17" s="5" customFormat="1">
      <c r="A16" s="52"/>
      <c r="B16" s="12"/>
      <c r="C16" s="4"/>
      <c r="D16" s="4"/>
      <c r="E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2"/>
      <c r="G16" s="33" t="b">
        <v>0</v>
      </c>
      <c r="H16" s="33" t="b">
        <v>0</v>
      </c>
      <c r="I16" s="33" t="b">
        <v>0</v>
      </c>
      <c r="J16" s="33" t="b">
        <v>0</v>
      </c>
      <c r="K16" s="4"/>
      <c r="L16" s="4"/>
      <c r="M16" s="4"/>
      <c r="N16" s="4"/>
      <c r="O16" s="51">
        <v>46181.003645833334</v>
      </c>
      <c r="P16" s="32" t="s">
        <v>81</v>
      </c>
      <c r="Q16" s="32"/>
    </row>
    <row r="17" spans="1:17" s="5" customFormat="1">
      <c r="A17" s="52"/>
      <c r="B17" s="12"/>
      <c r="C17" s="4"/>
      <c r="D17" s="4"/>
      <c r="E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2"/>
      <c r="G17" s="33" t="b">
        <v>0</v>
      </c>
      <c r="H17" s="33" t="b">
        <v>0</v>
      </c>
      <c r="I17" s="33" t="b">
        <v>0</v>
      </c>
      <c r="J17" s="33" t="b">
        <v>0</v>
      </c>
      <c r="K17" s="4"/>
      <c r="L17" s="4"/>
      <c r="M17" s="4"/>
      <c r="N17" s="4"/>
      <c r="O17" s="51">
        <v>46181.003645833334</v>
      </c>
      <c r="P17" s="32" t="s">
        <v>81</v>
      </c>
      <c r="Q17" s="32"/>
    </row>
    <row r="18" spans="1:17" s="5" customFormat="1">
      <c r="A18" s="52"/>
      <c r="B18" s="12"/>
      <c r="C18" s="4"/>
      <c r="D18" s="4"/>
      <c r="E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2"/>
      <c r="G18" s="33" t="b">
        <v>0</v>
      </c>
      <c r="H18" s="33" t="b">
        <v>0</v>
      </c>
      <c r="I18" s="33" t="b">
        <v>0</v>
      </c>
      <c r="J18" s="33" t="b">
        <v>0</v>
      </c>
      <c r="K18" s="4"/>
      <c r="L18" s="4"/>
      <c r="M18" s="4"/>
      <c r="N18" s="4"/>
      <c r="O18" s="51">
        <v>46181.003657407404</v>
      </c>
      <c r="P18" s="32" t="s">
        <v>81</v>
      </c>
      <c r="Q18" s="32"/>
    </row>
    <row r="19" spans="1:17" s="5" customFormat="1">
      <c r="A19" s="52"/>
      <c r="B19" s="12"/>
      <c r="C19" s="4"/>
      <c r="D19" s="4"/>
      <c r="E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2"/>
      <c r="G19" s="33" t="b">
        <v>0</v>
      </c>
      <c r="H19" s="33" t="b">
        <v>0</v>
      </c>
      <c r="I19" s="33" t="b">
        <v>0</v>
      </c>
      <c r="J19" s="33" t="b">
        <v>0</v>
      </c>
      <c r="K19" s="4"/>
      <c r="L19" s="4"/>
      <c r="M19" s="4"/>
      <c r="N19" s="4"/>
      <c r="O19" s="51">
        <v>46181.003657407404</v>
      </c>
      <c r="P19" s="32" t="s">
        <v>81</v>
      </c>
      <c r="Q19" s="32"/>
    </row>
    <row r="20" spans="1:17" s="5" customFormat="1">
      <c r="A20" s="52"/>
      <c r="B20" s="12"/>
      <c r="C20" s="4"/>
      <c r="D20" s="4"/>
      <c r="E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2"/>
      <c r="G20" s="33" t="b">
        <v>0</v>
      </c>
      <c r="H20" s="33" t="b">
        <v>0</v>
      </c>
      <c r="I20" s="33" t="b">
        <v>0</v>
      </c>
      <c r="J20" s="33" t="b">
        <v>0</v>
      </c>
      <c r="K20" s="4"/>
      <c r="L20" s="4"/>
      <c r="M20" s="4"/>
      <c r="N20" s="4"/>
      <c r="O20" s="51">
        <v>46181.003657407404</v>
      </c>
      <c r="P20" s="32" t="s">
        <v>81</v>
      </c>
      <c r="Q20" s="32"/>
    </row>
    <row r="21" spans="1:17" s="5" customFormat="1">
      <c r="A21" s="52"/>
      <c r="B21" s="12"/>
      <c r="C21" s="4"/>
      <c r="D21" s="4"/>
      <c r="E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2"/>
      <c r="G21" s="33" t="b">
        <v>0</v>
      </c>
      <c r="H21" s="33" t="b">
        <v>0</v>
      </c>
      <c r="I21" s="33" t="b">
        <v>0</v>
      </c>
      <c r="J21" s="33" t="b">
        <v>0</v>
      </c>
      <c r="K21" s="4"/>
      <c r="L21" s="4"/>
      <c r="M21" s="4"/>
      <c r="N21" s="4"/>
      <c r="O21" s="51">
        <v>46181.003657407404</v>
      </c>
      <c r="P21" s="32" t="s">
        <v>81</v>
      </c>
      <c r="Q21" s="32"/>
    </row>
    <row r="22" spans="1:17" s="5" customFormat="1">
      <c r="A22" s="52"/>
      <c r="B22" s="12"/>
      <c r="C22" s="4"/>
      <c r="D22" s="4"/>
      <c r="E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2"/>
      <c r="G22" s="33" t="b">
        <v>0</v>
      </c>
      <c r="H22" s="33" t="b">
        <v>0</v>
      </c>
      <c r="I22" s="33" t="b">
        <v>0</v>
      </c>
      <c r="J22" s="33" t="b">
        <v>0</v>
      </c>
      <c r="K22" s="4"/>
      <c r="L22" s="4"/>
      <c r="M22" s="4"/>
      <c r="N22" s="4"/>
      <c r="O22" s="51">
        <v>46181.003657407404</v>
      </c>
      <c r="P22" s="32" t="s">
        <v>81</v>
      </c>
      <c r="Q22" s="32"/>
    </row>
    <row r="23" spans="1:17" s="5" customFormat="1">
      <c r="A23" s="52"/>
      <c r="B23" s="12"/>
      <c r="C23" s="4"/>
      <c r="D23" s="4"/>
      <c r="E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2"/>
      <c r="G23" s="33" t="b">
        <v>0</v>
      </c>
      <c r="H23" s="33" t="b">
        <v>0</v>
      </c>
      <c r="I23" s="33" t="b">
        <v>0</v>
      </c>
      <c r="J23" s="33" t="b">
        <v>0</v>
      </c>
      <c r="K23" s="4"/>
      <c r="L23" s="4"/>
      <c r="M23" s="4"/>
      <c r="N23" s="4"/>
      <c r="O23" s="51">
        <v>46181.003657407404</v>
      </c>
      <c r="P23" s="32" t="s">
        <v>81</v>
      </c>
      <c r="Q23" s="32"/>
    </row>
    <row r="24" spans="1:17" s="5" customFormat="1">
      <c r="A24" s="52"/>
      <c r="B24" s="12"/>
      <c r="C24" s="4"/>
      <c r="D24" s="4"/>
      <c r="E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2"/>
      <c r="G24" s="33" t="b">
        <v>0</v>
      </c>
      <c r="H24" s="33" t="b">
        <v>0</v>
      </c>
      <c r="I24" s="33" t="b">
        <v>0</v>
      </c>
      <c r="J24" s="33" t="b">
        <v>0</v>
      </c>
      <c r="K24" s="4"/>
      <c r="L24" s="4"/>
      <c r="M24" s="4"/>
      <c r="N24" s="4"/>
      <c r="O24" s="51">
        <v>46181.003657407404</v>
      </c>
      <c r="P24" s="32" t="s">
        <v>81</v>
      </c>
      <c r="Q24" s="32"/>
    </row>
    <row r="25" spans="1:17" s="5" customFormat="1">
      <c r="A25" s="52"/>
      <c r="B25" s="12"/>
      <c r="C25" s="4"/>
      <c r="D25" s="4"/>
      <c r="E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2"/>
      <c r="G25" s="33" t="b">
        <v>0</v>
      </c>
      <c r="H25" s="33" t="b">
        <v>0</v>
      </c>
      <c r="I25" s="33" t="b">
        <v>0</v>
      </c>
      <c r="J25" s="33" t="b">
        <v>0</v>
      </c>
      <c r="K25" s="4"/>
      <c r="L25" s="4"/>
      <c r="M25" s="4"/>
      <c r="N25" s="4"/>
      <c r="O25" s="51">
        <v>46181.003657407404</v>
      </c>
      <c r="P25" s="32" t="s">
        <v>81</v>
      </c>
      <c r="Q25" s="32"/>
    </row>
    <row r="26" spans="1:17" s="5" customFormat="1">
      <c r="A26" s="52"/>
      <c r="B26" s="12"/>
      <c r="C26" s="4"/>
      <c r="D26" s="4"/>
      <c r="E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2"/>
      <c r="G26" s="33" t="b">
        <v>0</v>
      </c>
      <c r="H26" s="33" t="b">
        <v>0</v>
      </c>
      <c r="I26" s="33" t="b">
        <v>0</v>
      </c>
      <c r="J26" s="33" t="b">
        <v>0</v>
      </c>
      <c r="K26" s="4"/>
      <c r="L26" s="4"/>
      <c r="M26" s="4"/>
      <c r="N26" s="4"/>
      <c r="O26" s="51">
        <v>46181.003657407404</v>
      </c>
      <c r="P26" s="32" t="s">
        <v>81</v>
      </c>
      <c r="Q26" s="32"/>
    </row>
    <row r="27" spans="1:17" s="5" customFormat="1">
      <c r="A27" s="52"/>
      <c r="B27" s="12"/>
      <c r="C27" s="4"/>
      <c r="D27" s="4"/>
      <c r="E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2"/>
      <c r="G27" s="33" t="b">
        <v>0</v>
      </c>
      <c r="H27" s="33" t="b">
        <v>0</v>
      </c>
      <c r="I27" s="33" t="b">
        <v>0</v>
      </c>
      <c r="J27" s="33" t="b">
        <v>0</v>
      </c>
      <c r="K27" s="4"/>
      <c r="L27" s="4"/>
      <c r="M27" s="4"/>
      <c r="N27" s="4"/>
      <c r="O27" s="51">
        <v>46181.003657407404</v>
      </c>
      <c r="P27" s="32" t="s">
        <v>81</v>
      </c>
      <c r="Q27" s="32"/>
    </row>
    <row r="28" spans="1:17" s="5" customFormat="1">
      <c r="A28" s="52"/>
      <c r="B28" s="12"/>
      <c r="C28" s="4"/>
      <c r="D28" s="4"/>
      <c r="E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2"/>
      <c r="G28" s="33" t="b">
        <v>0</v>
      </c>
      <c r="H28" s="33" t="b">
        <v>0</v>
      </c>
      <c r="I28" s="33" t="b">
        <v>0</v>
      </c>
      <c r="J28" s="33" t="b">
        <v>0</v>
      </c>
      <c r="K28" s="4"/>
      <c r="L28" s="4"/>
      <c r="M28" s="4"/>
      <c r="N28" s="4"/>
      <c r="O28" s="51">
        <v>46181.003657407404</v>
      </c>
      <c r="P28" s="32" t="s">
        <v>81</v>
      </c>
      <c r="Q28" s="32"/>
    </row>
    <row r="29" spans="1:17" s="5" customFormat="1">
      <c r="A29" s="52"/>
      <c r="B29" s="12"/>
      <c r="C29" s="4"/>
      <c r="D29" s="4"/>
      <c r="E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2"/>
      <c r="G29" s="33" t="b">
        <v>0</v>
      </c>
      <c r="H29" s="33" t="b">
        <v>0</v>
      </c>
      <c r="I29" s="33" t="b">
        <v>0</v>
      </c>
      <c r="J29" s="33" t="b">
        <v>0</v>
      </c>
      <c r="K29" s="4"/>
      <c r="L29" s="4"/>
      <c r="M29" s="4"/>
      <c r="N29" s="4"/>
      <c r="O29" s="51">
        <v>46181.003657407404</v>
      </c>
      <c r="P29" s="32" t="s">
        <v>81</v>
      </c>
      <c r="Q29" s="32"/>
    </row>
    <row r="30" spans="1:17" s="5" customFormat="1">
      <c r="A30" s="52"/>
      <c r="B30" s="12"/>
      <c r="C30" s="4"/>
      <c r="D30" s="4"/>
      <c r="E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2"/>
      <c r="G30" s="33" t="b">
        <v>0</v>
      </c>
      <c r="H30" s="33" t="b">
        <v>0</v>
      </c>
      <c r="I30" s="33" t="b">
        <v>0</v>
      </c>
      <c r="J30" s="33" t="b">
        <v>0</v>
      </c>
      <c r="K30" s="4"/>
      <c r="L30" s="4"/>
      <c r="M30" s="4"/>
      <c r="N30" s="4"/>
      <c r="O30" s="51">
        <v>46181.003657407404</v>
      </c>
      <c r="P30" s="32" t="s">
        <v>81</v>
      </c>
      <c r="Q30" s="32"/>
    </row>
    <row r="31" spans="1:17" s="5" customFormat="1">
      <c r="A31" s="52"/>
      <c r="B31" s="12"/>
      <c r="C31" s="4"/>
      <c r="D31" s="4"/>
      <c r="E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2"/>
      <c r="G31" s="33" t="b">
        <v>0</v>
      </c>
      <c r="H31" s="33" t="b">
        <v>0</v>
      </c>
      <c r="I31" s="33" t="b">
        <v>0</v>
      </c>
      <c r="J31" s="33" t="b">
        <v>0</v>
      </c>
      <c r="K31" s="4"/>
      <c r="L31" s="4"/>
      <c r="M31" s="4"/>
      <c r="N31" s="4"/>
      <c r="O31" s="51">
        <v>46181.003657407404</v>
      </c>
      <c r="P31" s="32" t="s">
        <v>81</v>
      </c>
      <c r="Q31" s="32"/>
    </row>
    <row r="32" spans="1:17" s="5" customFormat="1">
      <c r="A32" s="52"/>
      <c r="B32" s="12"/>
      <c r="C32" s="4"/>
      <c r="D32" s="4"/>
      <c r="E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2"/>
      <c r="G32" s="33" t="b">
        <v>0</v>
      </c>
      <c r="H32" s="33" t="b">
        <v>0</v>
      </c>
      <c r="I32" s="33" t="b">
        <v>0</v>
      </c>
      <c r="J32" s="33" t="b">
        <v>0</v>
      </c>
      <c r="K32" s="4"/>
      <c r="L32" s="4"/>
      <c r="M32" s="4"/>
      <c r="N32" s="4"/>
      <c r="O32" s="51">
        <v>46181.003657407404</v>
      </c>
      <c r="P32" s="32" t="s">
        <v>81</v>
      </c>
      <c r="Q32" s="32"/>
    </row>
    <row r="33" spans="1:17" s="5" customFormat="1">
      <c r="A33" s="52"/>
      <c r="B33" s="12"/>
      <c r="C33" s="4"/>
      <c r="D33" s="4"/>
      <c r="E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2"/>
      <c r="G33" s="33" t="b">
        <v>0</v>
      </c>
      <c r="H33" s="33" t="b">
        <v>0</v>
      </c>
      <c r="I33" s="33" t="b">
        <v>0</v>
      </c>
      <c r="J33" s="33" t="b">
        <v>0</v>
      </c>
      <c r="K33" s="4"/>
      <c r="L33" s="4"/>
      <c r="M33" s="4"/>
      <c r="N33" s="4"/>
      <c r="O33" s="51">
        <v>46181.003657407404</v>
      </c>
      <c r="P33" s="32" t="s">
        <v>81</v>
      </c>
      <c r="Q33" s="32"/>
    </row>
    <row r="34" spans="1:17" s="5" customFormat="1">
      <c r="A34" s="52"/>
      <c r="B34" s="12"/>
      <c r="C34" s="4"/>
      <c r="D34" s="4"/>
      <c r="E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2"/>
      <c r="G34" s="33" t="b">
        <v>0</v>
      </c>
      <c r="H34" s="33" t="b">
        <v>0</v>
      </c>
      <c r="I34" s="33" t="b">
        <v>0</v>
      </c>
      <c r="J34" s="33" t="b">
        <v>0</v>
      </c>
      <c r="K34" s="4"/>
      <c r="L34" s="4"/>
      <c r="M34" s="4"/>
      <c r="N34" s="4"/>
      <c r="O34" s="51">
        <v>46181.003657407404</v>
      </c>
      <c r="P34" s="32" t="s">
        <v>81</v>
      </c>
      <c r="Q34" s="32"/>
    </row>
    <row r="35" spans="1:17" s="5" customFormat="1">
      <c r="A35" s="52"/>
      <c r="B35" s="12"/>
      <c r="C35" s="4"/>
      <c r="D35" s="4"/>
      <c r="E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2"/>
      <c r="G35" s="33" t="b">
        <v>0</v>
      </c>
      <c r="H35" s="33" t="b">
        <v>0</v>
      </c>
      <c r="I35" s="33" t="b">
        <v>0</v>
      </c>
      <c r="J35" s="33" t="b">
        <v>0</v>
      </c>
      <c r="K35" s="4"/>
      <c r="L35" s="4"/>
      <c r="M35" s="4"/>
      <c r="N35" s="4"/>
      <c r="O35" s="51">
        <v>46181.003657407404</v>
      </c>
      <c r="P35" s="32" t="s">
        <v>81</v>
      </c>
      <c r="Q35" s="32"/>
    </row>
    <row r="36" spans="1:17" s="5" customFormat="1">
      <c r="A36" s="52"/>
      <c r="B36" s="12"/>
      <c r="C36" s="4"/>
      <c r="D36" s="4"/>
      <c r="E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2"/>
      <c r="G36" s="33" t="b">
        <v>0</v>
      </c>
      <c r="H36" s="33" t="b">
        <v>0</v>
      </c>
      <c r="I36" s="33" t="b">
        <v>0</v>
      </c>
      <c r="J36" s="33" t="b">
        <v>0</v>
      </c>
      <c r="K36" s="4"/>
      <c r="L36" s="4"/>
      <c r="M36" s="4"/>
      <c r="N36" s="4"/>
      <c r="O36" s="51">
        <v>46181.003657407404</v>
      </c>
      <c r="P36" s="32" t="s">
        <v>81</v>
      </c>
      <c r="Q36" s="32"/>
    </row>
    <row r="37" spans="1:17" s="5" customFormat="1">
      <c r="A37" s="52"/>
      <c r="B37" s="12"/>
      <c r="C37" s="4"/>
      <c r="D37" s="4"/>
      <c r="E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2"/>
      <c r="G37" s="33" t="b">
        <v>0</v>
      </c>
      <c r="H37" s="33" t="b">
        <v>0</v>
      </c>
      <c r="I37" s="33" t="b">
        <v>0</v>
      </c>
      <c r="J37" s="33" t="b">
        <v>0</v>
      </c>
      <c r="K37" s="4"/>
      <c r="L37" s="4"/>
      <c r="M37" s="4"/>
      <c r="N37" s="4"/>
      <c r="O37" s="51">
        <v>46181.003657407404</v>
      </c>
      <c r="P37" s="32" t="s">
        <v>81</v>
      </c>
      <c r="Q37" s="32"/>
    </row>
    <row r="38" spans="1:17" s="5" customFormat="1">
      <c r="A38" s="52"/>
      <c r="B38" s="12"/>
      <c r="C38" s="4"/>
      <c r="D38" s="4"/>
      <c r="E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2"/>
      <c r="G38" s="33" t="b">
        <v>0</v>
      </c>
      <c r="H38" s="33" t="b">
        <v>0</v>
      </c>
      <c r="I38" s="33" t="b">
        <v>0</v>
      </c>
      <c r="J38" s="33" t="b">
        <v>0</v>
      </c>
      <c r="K38" s="4"/>
      <c r="L38" s="4"/>
      <c r="M38" s="4"/>
      <c r="N38" s="4"/>
      <c r="O38" s="51">
        <v>46181.003657407404</v>
      </c>
      <c r="P38" s="32" t="s">
        <v>81</v>
      </c>
      <c r="Q38" s="32"/>
    </row>
    <row r="39" spans="1:17" s="5" customFormat="1">
      <c r="A39" s="52"/>
      <c r="B39" s="12"/>
      <c r="C39" s="4"/>
      <c r="D39" s="4"/>
      <c r="E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2"/>
      <c r="G39" s="33" t="b">
        <v>0</v>
      </c>
      <c r="H39" s="33" t="b">
        <v>0</v>
      </c>
      <c r="I39" s="33" t="b">
        <v>0</v>
      </c>
      <c r="J39" s="33" t="b">
        <v>0</v>
      </c>
      <c r="K39" s="4"/>
      <c r="L39" s="4"/>
      <c r="M39" s="4"/>
      <c r="N39" s="4"/>
      <c r="O39" s="51">
        <v>46181.003657407404</v>
      </c>
      <c r="P39" s="32" t="s">
        <v>81</v>
      </c>
      <c r="Q39" s="32"/>
    </row>
    <row r="40" spans="1:17" s="5" customFormat="1">
      <c r="A40" s="52"/>
      <c r="B40" s="12"/>
      <c r="C40" s="4"/>
      <c r="D40" s="4"/>
      <c r="E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2"/>
      <c r="G40" s="33" t="b">
        <v>0</v>
      </c>
      <c r="H40" s="33" t="b">
        <v>0</v>
      </c>
      <c r="I40" s="33" t="b">
        <v>0</v>
      </c>
      <c r="J40" s="33" t="b">
        <v>0</v>
      </c>
      <c r="K40" s="4"/>
      <c r="L40" s="4"/>
      <c r="M40" s="4"/>
      <c r="N40" s="4"/>
      <c r="O40" s="51">
        <v>46181.003668981481</v>
      </c>
      <c r="P40" s="32" t="s">
        <v>81</v>
      </c>
      <c r="Q40" s="32"/>
    </row>
    <row r="41" spans="1:17" s="5" customFormat="1">
      <c r="A41" s="52"/>
      <c r="B41" s="12"/>
      <c r="C41" s="4"/>
      <c r="D41" s="4"/>
      <c r="E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2"/>
      <c r="G41" s="33" t="b">
        <v>0</v>
      </c>
      <c r="H41" s="33" t="b">
        <v>0</v>
      </c>
      <c r="I41" s="33" t="b">
        <v>0</v>
      </c>
      <c r="J41" s="33" t="b">
        <v>0</v>
      </c>
      <c r="K41" s="4"/>
      <c r="L41" s="4"/>
      <c r="M41" s="4"/>
      <c r="N41" s="4"/>
      <c r="O41" s="51">
        <v>46181.003668981481</v>
      </c>
      <c r="P41" s="32" t="s">
        <v>81</v>
      </c>
      <c r="Q41" s="32"/>
    </row>
    <row r="42" spans="1:17" s="5" customFormat="1">
      <c r="A42" s="52"/>
      <c r="B42" s="12"/>
      <c r="C42" s="4"/>
      <c r="D42" s="4"/>
      <c r="E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2"/>
      <c r="G42" s="33" t="b">
        <v>0</v>
      </c>
      <c r="H42" s="33" t="b">
        <v>0</v>
      </c>
      <c r="I42" s="33" t="b">
        <v>0</v>
      </c>
      <c r="J42" s="33" t="b">
        <v>0</v>
      </c>
      <c r="K42" s="4"/>
      <c r="L42" s="4"/>
      <c r="M42" s="4"/>
      <c r="N42" s="4"/>
      <c r="O42" s="51">
        <v>46181.003668981481</v>
      </c>
      <c r="P42" s="32" t="s">
        <v>81</v>
      </c>
      <c r="Q42" s="32"/>
    </row>
    <row r="43" spans="1:17" s="5" customFormat="1">
      <c r="A43" s="52"/>
      <c r="B43" s="12"/>
      <c r="C43" s="4"/>
      <c r="D43" s="4"/>
      <c r="E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2"/>
      <c r="G43" s="33" t="b">
        <v>0</v>
      </c>
      <c r="H43" s="33" t="b">
        <v>0</v>
      </c>
      <c r="I43" s="33" t="b">
        <v>0</v>
      </c>
      <c r="J43" s="33" t="b">
        <v>0</v>
      </c>
      <c r="K43" s="4"/>
      <c r="L43" s="4"/>
      <c r="M43" s="4"/>
      <c r="N43" s="4"/>
      <c r="O43" s="51">
        <v>46181.003668981481</v>
      </c>
      <c r="P43" s="32" t="s">
        <v>81</v>
      </c>
      <c r="Q43" s="32"/>
    </row>
    <row r="44" spans="1:17" s="5" customFormat="1">
      <c r="A44" s="52"/>
      <c r="B44" s="12"/>
      <c r="C44" s="4"/>
      <c r="D44" s="4"/>
      <c r="E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2"/>
      <c r="G44" s="33" t="b">
        <v>0</v>
      </c>
      <c r="H44" s="33" t="b">
        <v>0</v>
      </c>
      <c r="I44" s="33" t="b">
        <v>0</v>
      </c>
      <c r="J44" s="33" t="b">
        <v>0</v>
      </c>
      <c r="K44" s="4"/>
      <c r="L44" s="4"/>
      <c r="M44" s="4"/>
      <c r="N44" s="4"/>
      <c r="O44" s="51">
        <v>46181.003668981481</v>
      </c>
      <c r="P44" s="32" t="s">
        <v>81</v>
      </c>
      <c r="Q44" s="32"/>
    </row>
    <row r="45" spans="1:17" s="5" customFormat="1">
      <c r="A45" s="52"/>
      <c r="B45" s="12"/>
      <c r="C45" s="4"/>
      <c r="D45" s="4"/>
      <c r="E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2"/>
      <c r="G45" s="33" t="b">
        <v>0</v>
      </c>
      <c r="H45" s="33" t="b">
        <v>0</v>
      </c>
      <c r="I45" s="33" t="b">
        <v>0</v>
      </c>
      <c r="J45" s="33" t="b">
        <v>0</v>
      </c>
      <c r="K45" s="4"/>
      <c r="L45" s="4"/>
      <c r="M45" s="4"/>
      <c r="N45" s="4"/>
      <c r="O45" s="51">
        <v>46181.003668981481</v>
      </c>
      <c r="P45" s="32" t="s">
        <v>81</v>
      </c>
      <c r="Q45" s="32"/>
    </row>
    <row r="46" spans="1:17" s="5" customFormat="1">
      <c r="A46" s="52"/>
      <c r="B46" s="12"/>
      <c r="C46" s="4"/>
      <c r="D46" s="4"/>
      <c r="E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2"/>
      <c r="G46" s="33" t="b">
        <v>0</v>
      </c>
      <c r="H46" s="33" t="b">
        <v>0</v>
      </c>
      <c r="I46" s="33" t="b">
        <v>0</v>
      </c>
      <c r="J46" s="33" t="b">
        <v>0</v>
      </c>
      <c r="K46" s="4"/>
      <c r="L46" s="4"/>
      <c r="M46" s="4"/>
      <c r="N46" s="4"/>
      <c r="O46" s="51">
        <v>46181.003668981481</v>
      </c>
      <c r="P46" s="32" t="s">
        <v>81</v>
      </c>
      <c r="Q46" s="32"/>
    </row>
    <row r="47" spans="1:17" s="5" customFormat="1">
      <c r="A47" s="52"/>
      <c r="B47" s="12"/>
      <c r="C47" s="4"/>
      <c r="D47" s="4"/>
      <c r="E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2"/>
      <c r="G47" s="33" t="b">
        <v>0</v>
      </c>
      <c r="H47" s="33" t="b">
        <v>0</v>
      </c>
      <c r="I47" s="33" t="b">
        <v>0</v>
      </c>
      <c r="J47" s="33" t="b">
        <v>0</v>
      </c>
      <c r="K47" s="4"/>
      <c r="L47" s="4"/>
      <c r="M47" s="4"/>
      <c r="N47" s="4"/>
      <c r="O47" s="51">
        <v>46181.003668981481</v>
      </c>
      <c r="P47" s="32" t="s">
        <v>81</v>
      </c>
      <c r="Q47" s="32"/>
    </row>
    <row r="48" spans="1:17" s="5" customFormat="1">
      <c r="A48" s="52"/>
      <c r="B48" s="12"/>
      <c r="C48" s="4"/>
      <c r="D48" s="4"/>
      <c r="E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2"/>
      <c r="G48" s="33" t="b">
        <v>0</v>
      </c>
      <c r="H48" s="33" t="b">
        <v>0</v>
      </c>
      <c r="I48" s="33" t="b">
        <v>0</v>
      </c>
      <c r="J48" s="33" t="b">
        <v>0</v>
      </c>
      <c r="K48" s="4"/>
      <c r="L48" s="4"/>
      <c r="M48" s="4"/>
      <c r="N48" s="4"/>
      <c r="O48" s="51">
        <v>46181.003668981481</v>
      </c>
      <c r="P48" s="32" t="s">
        <v>81</v>
      </c>
      <c r="Q48" s="32"/>
    </row>
    <row r="49" spans="1:17" s="5" customFormat="1">
      <c r="A49" s="52"/>
      <c r="B49" s="12"/>
      <c r="C49" s="4"/>
      <c r="D49" s="4"/>
      <c r="E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2"/>
      <c r="G49" s="33" t="b">
        <v>0</v>
      </c>
      <c r="H49" s="33" t="b">
        <v>0</v>
      </c>
      <c r="I49" s="33" t="b">
        <v>0</v>
      </c>
      <c r="J49" s="33" t="b">
        <v>0</v>
      </c>
      <c r="K49" s="4"/>
      <c r="L49" s="4"/>
      <c r="M49" s="4"/>
      <c r="N49" s="4"/>
      <c r="O49" s="51">
        <v>46181.003668981481</v>
      </c>
      <c r="P49" s="32" t="s">
        <v>81</v>
      </c>
      <c r="Q49" s="32"/>
    </row>
    <row r="50" spans="1:17" s="5" customFormat="1">
      <c r="A50" s="52"/>
      <c r="B50" s="12"/>
      <c r="C50" s="4"/>
      <c r="D50" s="4"/>
      <c r="E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2"/>
      <c r="G50" s="33" t="b">
        <v>0</v>
      </c>
      <c r="H50" s="33" t="b">
        <v>0</v>
      </c>
      <c r="I50" s="33" t="b">
        <v>0</v>
      </c>
      <c r="J50" s="33" t="b">
        <v>0</v>
      </c>
      <c r="K50" s="4"/>
      <c r="L50" s="4"/>
      <c r="M50" s="4"/>
      <c r="N50" s="4"/>
      <c r="O50" s="51">
        <v>46181.003668981481</v>
      </c>
      <c r="P50" s="32" t="s">
        <v>81</v>
      </c>
      <c r="Q50" s="32"/>
    </row>
    <row r="51" spans="1:17" s="5" customFormat="1">
      <c r="A51" s="52"/>
      <c r="B51" s="12"/>
      <c r="C51" s="4"/>
      <c r="D51" s="4"/>
      <c r="E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2"/>
      <c r="G51" s="33" t="b">
        <v>0</v>
      </c>
      <c r="H51" s="33" t="b">
        <v>0</v>
      </c>
      <c r="I51" s="33" t="b">
        <v>0</v>
      </c>
      <c r="J51" s="33" t="b">
        <v>0</v>
      </c>
      <c r="K51" s="4"/>
      <c r="L51" s="4"/>
      <c r="M51" s="4"/>
      <c r="N51" s="4"/>
      <c r="O51" s="51">
        <v>46181.003668981481</v>
      </c>
      <c r="P51" s="32" t="s">
        <v>81</v>
      </c>
      <c r="Q51" s="32"/>
    </row>
    <row r="52" spans="1:17" s="5" customFormat="1">
      <c r="A52" s="52"/>
      <c r="B52" s="12"/>
      <c r="C52" s="4"/>
      <c r="D52" s="4"/>
      <c r="E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2"/>
      <c r="G52" s="33" t="b">
        <v>0</v>
      </c>
      <c r="H52" s="33" t="b">
        <v>0</v>
      </c>
      <c r="I52" s="33" t="b">
        <v>0</v>
      </c>
      <c r="J52" s="33" t="b">
        <v>0</v>
      </c>
      <c r="K52" s="4"/>
      <c r="L52" s="4"/>
      <c r="M52" s="4"/>
      <c r="N52" s="4"/>
      <c r="O52" s="51">
        <v>46181.003668981481</v>
      </c>
      <c r="P52" s="32" t="s">
        <v>81</v>
      </c>
      <c r="Q52" s="32"/>
    </row>
    <row r="53" spans="1:17" s="5" customFormat="1">
      <c r="A53" s="52"/>
      <c r="B53" s="12"/>
      <c r="C53" s="4"/>
      <c r="D53" s="4"/>
      <c r="E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2"/>
      <c r="G53" s="33" t="b">
        <v>0</v>
      </c>
      <c r="H53" s="33" t="b">
        <v>0</v>
      </c>
      <c r="I53" s="33" t="b">
        <v>0</v>
      </c>
      <c r="J53" s="33" t="b">
        <v>0</v>
      </c>
      <c r="K53" s="4"/>
      <c r="L53" s="4"/>
      <c r="M53" s="4"/>
      <c r="N53" s="4"/>
      <c r="O53" s="51">
        <v>46181.003668981481</v>
      </c>
      <c r="P53" s="32" t="s">
        <v>81</v>
      </c>
      <c r="Q53" s="32"/>
    </row>
    <row r="54" spans="1:17" s="5" customFormat="1">
      <c r="A54" s="52"/>
      <c r="B54" s="12"/>
      <c r="C54" s="4"/>
      <c r="D54" s="4"/>
      <c r="E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2"/>
      <c r="G54" s="33" t="b">
        <v>0</v>
      </c>
      <c r="H54" s="33" t="b">
        <v>0</v>
      </c>
      <c r="I54" s="33" t="b">
        <v>0</v>
      </c>
      <c r="J54" s="33" t="b">
        <v>0</v>
      </c>
      <c r="K54" s="4"/>
      <c r="L54" s="4"/>
      <c r="M54" s="4"/>
      <c r="N54" s="4"/>
      <c r="O54" s="51">
        <v>46181.003668981481</v>
      </c>
      <c r="P54" s="32" t="s">
        <v>81</v>
      </c>
      <c r="Q54" s="32"/>
    </row>
    <row r="55" spans="1:17" s="5" customFormat="1">
      <c r="A55" s="52"/>
      <c r="B55" s="12"/>
      <c r="C55" s="4"/>
      <c r="D55" s="4"/>
      <c r="E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2"/>
      <c r="G55" s="33" t="b">
        <v>0</v>
      </c>
      <c r="H55" s="33" t="b">
        <v>0</v>
      </c>
      <c r="I55" s="33" t="b">
        <v>0</v>
      </c>
      <c r="J55" s="33" t="b">
        <v>0</v>
      </c>
      <c r="K55" s="4"/>
      <c r="L55" s="4"/>
      <c r="M55" s="4"/>
      <c r="N55" s="4"/>
      <c r="O55" s="51">
        <v>46181.003668981481</v>
      </c>
      <c r="P55" s="32" t="s">
        <v>81</v>
      </c>
      <c r="Q55" s="32"/>
    </row>
    <row r="56" spans="1:17" s="5" customFormat="1">
      <c r="A56" s="52"/>
      <c r="B56" s="12"/>
      <c r="C56" s="4"/>
      <c r="D56" s="4"/>
      <c r="E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2"/>
      <c r="G56" s="33" t="b">
        <v>0</v>
      </c>
      <c r="H56" s="33" t="b">
        <v>0</v>
      </c>
      <c r="I56" s="33" t="b">
        <v>0</v>
      </c>
      <c r="J56" s="33" t="b">
        <v>0</v>
      </c>
      <c r="K56" s="4"/>
      <c r="L56" s="4"/>
      <c r="M56" s="4"/>
      <c r="N56" s="4"/>
      <c r="O56" s="51">
        <v>46181.003668981481</v>
      </c>
      <c r="P56" s="32" t="s">
        <v>81</v>
      </c>
      <c r="Q56" s="32"/>
    </row>
    <row r="57" spans="1:17" s="5" customFormat="1">
      <c r="A57" s="52"/>
      <c r="B57" s="12"/>
      <c r="C57" s="4"/>
      <c r="D57" s="4"/>
      <c r="E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2"/>
      <c r="G57" s="33" t="b">
        <v>0</v>
      </c>
      <c r="H57" s="33" t="b">
        <v>0</v>
      </c>
      <c r="I57" s="33" t="b">
        <v>0</v>
      </c>
      <c r="J57" s="33" t="b">
        <v>0</v>
      </c>
      <c r="K57" s="4"/>
      <c r="L57" s="4"/>
      <c r="M57" s="4"/>
      <c r="N57" s="4"/>
      <c r="O57" s="51">
        <v>46181.003680555557</v>
      </c>
      <c r="P57" s="32" t="s">
        <v>81</v>
      </c>
      <c r="Q57" s="32"/>
    </row>
    <row r="58" spans="1:17" s="5" customFormat="1">
      <c r="A58" s="52"/>
      <c r="B58" s="12"/>
      <c r="C58" s="4"/>
      <c r="D58" s="4"/>
      <c r="E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2"/>
      <c r="G58" s="33" t="b">
        <v>0</v>
      </c>
      <c r="H58" s="33" t="b">
        <v>0</v>
      </c>
      <c r="I58" s="33" t="b">
        <v>0</v>
      </c>
      <c r="J58" s="33" t="b">
        <v>0</v>
      </c>
      <c r="K58" s="4"/>
      <c r="L58" s="4"/>
      <c r="M58" s="4"/>
      <c r="N58" s="4"/>
      <c r="O58" s="51">
        <v>46181.003680555557</v>
      </c>
      <c r="P58" s="32" t="s">
        <v>81</v>
      </c>
      <c r="Q58" s="32"/>
    </row>
    <row r="59" spans="1:17" s="5" customFormat="1">
      <c r="A59" s="52"/>
      <c r="B59" s="12"/>
      <c r="C59" s="4"/>
      <c r="D59" s="4"/>
      <c r="E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2"/>
      <c r="G59" s="33" t="b">
        <v>0</v>
      </c>
      <c r="H59" s="33" t="b">
        <v>0</v>
      </c>
      <c r="I59" s="33" t="b">
        <v>0</v>
      </c>
      <c r="J59" s="33" t="b">
        <v>0</v>
      </c>
      <c r="K59" s="4"/>
      <c r="L59" s="4"/>
      <c r="M59" s="4"/>
      <c r="N59" s="4"/>
      <c r="O59" s="51">
        <v>46181.003680555557</v>
      </c>
      <c r="P59" s="32" t="s">
        <v>81</v>
      </c>
      <c r="Q59" s="32"/>
    </row>
    <row r="60" spans="1:17" s="5" customFormat="1">
      <c r="A60" s="52"/>
      <c r="B60" s="12"/>
      <c r="C60" s="4"/>
      <c r="D60" s="4"/>
      <c r="E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2"/>
      <c r="G60" s="33" t="b">
        <v>0</v>
      </c>
      <c r="H60" s="33" t="b">
        <v>0</v>
      </c>
      <c r="I60" s="33" t="b">
        <v>0</v>
      </c>
      <c r="J60" s="33" t="b">
        <v>0</v>
      </c>
      <c r="K60" s="4"/>
      <c r="L60" s="4"/>
      <c r="M60" s="4"/>
      <c r="N60" s="4"/>
      <c r="O60" s="51">
        <v>46181.003680555557</v>
      </c>
      <c r="P60" s="32" t="s">
        <v>81</v>
      </c>
      <c r="Q60" s="32"/>
    </row>
    <row r="61" spans="1:17" s="5" customFormat="1">
      <c r="A61" s="52"/>
      <c r="B61" s="12"/>
      <c r="C61" s="4"/>
      <c r="D61" s="4"/>
      <c r="E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2"/>
      <c r="G61" s="33" t="b">
        <v>0</v>
      </c>
      <c r="H61" s="33" t="b">
        <v>0</v>
      </c>
      <c r="I61" s="33" t="b">
        <v>0</v>
      </c>
      <c r="J61" s="33" t="b">
        <v>0</v>
      </c>
      <c r="K61" s="4"/>
      <c r="L61" s="4"/>
      <c r="M61" s="4"/>
      <c r="N61" s="4"/>
      <c r="O61" s="51">
        <v>46181.003680555557</v>
      </c>
      <c r="P61" s="32" t="s">
        <v>81</v>
      </c>
      <c r="Q61" s="32"/>
    </row>
    <row r="62" spans="1:17" s="5" customFormat="1">
      <c r="A62" s="52"/>
      <c r="B62" s="12"/>
      <c r="C62" s="4"/>
      <c r="D62" s="4"/>
      <c r="E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2"/>
      <c r="G62" s="33" t="b">
        <v>0</v>
      </c>
      <c r="H62" s="33" t="b">
        <v>0</v>
      </c>
      <c r="I62" s="33" t="b">
        <v>0</v>
      </c>
      <c r="J62" s="33" t="b">
        <v>0</v>
      </c>
      <c r="K62" s="4"/>
      <c r="L62" s="4"/>
      <c r="M62" s="4"/>
      <c r="N62" s="4"/>
      <c r="O62" s="51">
        <v>46181.003680555557</v>
      </c>
      <c r="P62" s="32" t="s">
        <v>81</v>
      </c>
      <c r="Q62" s="32"/>
    </row>
    <row r="63" spans="1:17" s="5" customFormat="1">
      <c r="A63" s="52"/>
      <c r="B63" s="12"/>
      <c r="C63" s="4"/>
      <c r="D63" s="4"/>
      <c r="E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2"/>
      <c r="G63" s="33" t="b">
        <v>0</v>
      </c>
      <c r="H63" s="33" t="b">
        <v>0</v>
      </c>
      <c r="I63" s="33" t="b">
        <v>0</v>
      </c>
      <c r="J63" s="33" t="b">
        <v>0</v>
      </c>
      <c r="K63" s="4"/>
      <c r="L63" s="4"/>
      <c r="M63" s="4"/>
      <c r="N63" s="4"/>
      <c r="O63" s="51">
        <v>46181.003680555557</v>
      </c>
      <c r="P63" s="32" t="s">
        <v>81</v>
      </c>
      <c r="Q63" s="32"/>
    </row>
    <row r="64" spans="1:17" s="5" customFormat="1">
      <c r="A64" s="52"/>
      <c r="B64" s="12"/>
      <c r="C64" s="4"/>
      <c r="D64" s="4"/>
      <c r="E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2"/>
      <c r="G64" s="33" t="b">
        <v>0</v>
      </c>
      <c r="H64" s="33" t="b">
        <v>0</v>
      </c>
      <c r="I64" s="33" t="b">
        <v>0</v>
      </c>
      <c r="J64" s="33" t="b">
        <v>0</v>
      </c>
      <c r="K64" s="4"/>
      <c r="L64" s="4"/>
      <c r="M64" s="4"/>
      <c r="N64" s="4"/>
      <c r="O64" s="51">
        <v>46181.003680555557</v>
      </c>
      <c r="P64" s="32" t="s">
        <v>81</v>
      </c>
      <c r="Q64" s="32"/>
    </row>
    <row r="65" spans="1:17" s="5" customFormat="1">
      <c r="A65" s="52"/>
      <c r="B65" s="12"/>
      <c r="C65" s="4"/>
      <c r="D65" s="4"/>
      <c r="E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2"/>
      <c r="G65" s="33" t="b">
        <v>0</v>
      </c>
      <c r="H65" s="33" t="b">
        <v>0</v>
      </c>
      <c r="I65" s="33" t="b">
        <v>0</v>
      </c>
      <c r="J65" s="33" t="b">
        <v>0</v>
      </c>
      <c r="K65" s="4"/>
      <c r="L65" s="4"/>
      <c r="M65" s="4"/>
      <c r="N65" s="4"/>
      <c r="O65" s="51">
        <v>46181.003680555557</v>
      </c>
      <c r="P65" s="32" t="s">
        <v>81</v>
      </c>
      <c r="Q65" s="32"/>
    </row>
    <row r="66" spans="1:17" s="5" customFormat="1">
      <c r="A66" s="52"/>
      <c r="B66" s="12"/>
      <c r="C66" s="4"/>
      <c r="D66" s="4"/>
      <c r="E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2"/>
      <c r="G66" s="33" t="b">
        <v>0</v>
      </c>
      <c r="H66" s="33" t="b">
        <v>0</v>
      </c>
      <c r="I66" s="33" t="b">
        <v>0</v>
      </c>
      <c r="J66" s="33" t="b">
        <v>0</v>
      </c>
      <c r="K66" s="4"/>
      <c r="L66" s="4"/>
      <c r="M66" s="4"/>
      <c r="N66" s="4"/>
      <c r="O66" s="51">
        <v>46181.003680555557</v>
      </c>
      <c r="P66" s="32" t="s">
        <v>81</v>
      </c>
      <c r="Q66" s="32"/>
    </row>
    <row r="67" spans="1:17" s="5" customFormat="1">
      <c r="A67" s="52"/>
      <c r="B67" s="12"/>
      <c r="C67" s="4"/>
      <c r="D67" s="4"/>
      <c r="E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2"/>
      <c r="G67" s="33" t="b">
        <v>0</v>
      </c>
      <c r="H67" s="33" t="b">
        <v>0</v>
      </c>
      <c r="I67" s="33" t="b">
        <v>0</v>
      </c>
      <c r="J67" s="33" t="b">
        <v>0</v>
      </c>
      <c r="K67" s="4"/>
      <c r="L67" s="4"/>
      <c r="M67" s="4"/>
      <c r="N67" s="4"/>
      <c r="O67" s="51">
        <v>46181.003680555557</v>
      </c>
      <c r="P67" s="32" t="s">
        <v>81</v>
      </c>
      <c r="Q67" s="32"/>
    </row>
    <row r="68" spans="1:17" s="5" customFormat="1">
      <c r="A68" s="52"/>
      <c r="B68" s="12"/>
      <c r="C68" s="4"/>
      <c r="D68" s="4"/>
      <c r="E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2"/>
      <c r="G68" s="33" t="b">
        <v>0</v>
      </c>
      <c r="H68" s="33" t="b">
        <v>0</v>
      </c>
      <c r="I68" s="33" t="b">
        <v>0</v>
      </c>
      <c r="J68" s="33" t="b">
        <v>0</v>
      </c>
      <c r="K68" s="4"/>
      <c r="L68" s="4"/>
      <c r="M68" s="4"/>
      <c r="N68" s="4"/>
      <c r="O68" s="51">
        <v>46181.003680555557</v>
      </c>
      <c r="P68" s="32" t="s">
        <v>81</v>
      </c>
      <c r="Q68" s="32"/>
    </row>
    <row r="69" spans="1:17" s="5" customFormat="1">
      <c r="A69" s="52"/>
      <c r="B69" s="12"/>
      <c r="C69" s="4"/>
      <c r="D69" s="4"/>
      <c r="E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2"/>
      <c r="G69" s="33" t="b">
        <v>0</v>
      </c>
      <c r="H69" s="33" t="b">
        <v>0</v>
      </c>
      <c r="I69" s="33" t="b">
        <v>0</v>
      </c>
      <c r="J69" s="33" t="b">
        <v>0</v>
      </c>
      <c r="K69" s="4"/>
      <c r="L69" s="4"/>
      <c r="M69" s="4"/>
      <c r="N69" s="4"/>
      <c r="O69" s="51">
        <v>46181.003680555557</v>
      </c>
      <c r="P69" s="32" t="s">
        <v>81</v>
      </c>
      <c r="Q69" s="32"/>
    </row>
    <row r="70" spans="1:17" s="5" customFormat="1">
      <c r="A70" s="52"/>
      <c r="B70" s="12"/>
      <c r="C70" s="4"/>
      <c r="D70" s="4"/>
      <c r="E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2"/>
      <c r="G70" s="33" t="b">
        <v>0</v>
      </c>
      <c r="H70" s="33" t="b">
        <v>0</v>
      </c>
      <c r="I70" s="33" t="b">
        <v>0</v>
      </c>
      <c r="J70" s="33" t="b">
        <v>0</v>
      </c>
      <c r="K70" s="4"/>
      <c r="L70" s="4"/>
      <c r="M70" s="4"/>
      <c r="N70" s="4"/>
      <c r="O70" s="51">
        <v>46181.003680555557</v>
      </c>
      <c r="P70" s="32" t="s">
        <v>81</v>
      </c>
      <c r="Q70" s="32"/>
    </row>
    <row r="71" spans="1:17" s="5" customFormat="1">
      <c r="A71" s="52"/>
      <c r="B71" s="12"/>
      <c r="C71" s="4"/>
      <c r="D71" s="4"/>
      <c r="E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2"/>
      <c r="G71" s="33" t="b">
        <v>0</v>
      </c>
      <c r="H71" s="33" t="b">
        <v>0</v>
      </c>
      <c r="I71" s="33" t="b">
        <v>0</v>
      </c>
      <c r="J71" s="33" t="b">
        <v>0</v>
      </c>
      <c r="K71" s="4"/>
      <c r="L71" s="4"/>
      <c r="M71" s="4"/>
      <c r="N71" s="4"/>
      <c r="O71" s="51">
        <v>46181.003680555557</v>
      </c>
      <c r="P71" s="32" t="s">
        <v>81</v>
      </c>
      <c r="Q71" s="32"/>
    </row>
    <row r="72" spans="1:17" s="5" customFormat="1">
      <c r="A72" s="52"/>
      <c r="B72" s="12"/>
      <c r="C72" s="4"/>
      <c r="D72" s="4"/>
      <c r="E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2"/>
      <c r="G72" s="33" t="b">
        <v>0</v>
      </c>
      <c r="H72" s="33" t="b">
        <v>0</v>
      </c>
      <c r="I72" s="33" t="b">
        <v>0</v>
      </c>
      <c r="J72" s="33" t="b">
        <v>0</v>
      </c>
      <c r="K72" s="4"/>
      <c r="L72" s="4"/>
      <c r="M72" s="4"/>
      <c r="N72" s="4"/>
      <c r="O72" s="51">
        <v>46181.003680555557</v>
      </c>
      <c r="P72" s="32" t="s">
        <v>81</v>
      </c>
      <c r="Q72" s="32"/>
    </row>
    <row r="73" spans="1:17" s="5" customFormat="1">
      <c r="A73" s="52"/>
      <c r="B73" s="12"/>
      <c r="C73" s="4"/>
      <c r="D73" s="4"/>
      <c r="E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2"/>
      <c r="G73" s="33" t="b">
        <v>0</v>
      </c>
      <c r="H73" s="33" t="b">
        <v>0</v>
      </c>
      <c r="I73" s="33" t="b">
        <v>0</v>
      </c>
      <c r="J73" s="33" t="b">
        <v>0</v>
      </c>
      <c r="K73" s="4"/>
      <c r="L73" s="4"/>
      <c r="M73" s="4"/>
      <c r="N73" s="4"/>
      <c r="O73" s="51">
        <v>46181.003680555557</v>
      </c>
      <c r="P73" s="32" t="s">
        <v>81</v>
      </c>
      <c r="Q73" s="32"/>
    </row>
    <row r="74" spans="1:17" s="5" customFormat="1">
      <c r="A74" s="52"/>
      <c r="B74" s="12"/>
      <c r="C74" s="4"/>
      <c r="D74" s="4"/>
      <c r="E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2"/>
      <c r="G74" s="33" t="b">
        <v>0</v>
      </c>
      <c r="H74" s="33" t="b">
        <v>0</v>
      </c>
      <c r="I74" s="33" t="b">
        <v>0</v>
      </c>
      <c r="J74" s="33" t="b">
        <v>0</v>
      </c>
      <c r="K74" s="4"/>
      <c r="L74" s="4"/>
      <c r="M74" s="4"/>
      <c r="N74" s="4"/>
      <c r="O74" s="51">
        <v>46181.003680555557</v>
      </c>
      <c r="P74" s="32" t="s">
        <v>81</v>
      </c>
      <c r="Q74" s="32"/>
    </row>
    <row r="75" spans="1:17" s="5" customFormat="1">
      <c r="A75" s="52"/>
      <c r="B75" s="12"/>
      <c r="C75" s="4"/>
      <c r="D75" s="4"/>
      <c r="E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2"/>
      <c r="G75" s="33" t="b">
        <v>0</v>
      </c>
      <c r="H75" s="33" t="b">
        <v>0</v>
      </c>
      <c r="I75" s="33" t="b">
        <v>0</v>
      </c>
      <c r="J75" s="33" t="b">
        <v>0</v>
      </c>
      <c r="K75" s="4"/>
      <c r="L75" s="4"/>
      <c r="M75" s="4"/>
      <c r="N75" s="4"/>
      <c r="O75" s="51">
        <v>46181.003680555557</v>
      </c>
      <c r="P75" s="32" t="s">
        <v>81</v>
      </c>
      <c r="Q75" s="32"/>
    </row>
    <row r="76" spans="1:17" s="5" customFormat="1">
      <c r="A76" s="52"/>
      <c r="B76" s="12"/>
      <c r="C76" s="4"/>
      <c r="D76" s="4"/>
      <c r="E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2"/>
      <c r="G76" s="33" t="b">
        <v>0</v>
      </c>
      <c r="H76" s="33" t="b">
        <v>0</v>
      </c>
      <c r="I76" s="33" t="b">
        <v>0</v>
      </c>
      <c r="J76" s="33" t="b">
        <v>0</v>
      </c>
      <c r="K76" s="4"/>
      <c r="L76" s="4"/>
      <c r="M76" s="4"/>
      <c r="N76" s="4"/>
      <c r="O76" s="51">
        <v>46181.003692129627</v>
      </c>
      <c r="P76" s="32" t="s">
        <v>81</v>
      </c>
      <c r="Q76" s="32"/>
    </row>
    <row r="77" spans="1:17" s="5" customFormat="1">
      <c r="A77" s="52"/>
      <c r="B77" s="12"/>
      <c r="C77" s="4"/>
      <c r="D77" s="4"/>
      <c r="E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2"/>
      <c r="G77" s="33" t="b">
        <v>0</v>
      </c>
      <c r="H77" s="33" t="b">
        <v>0</v>
      </c>
      <c r="I77" s="33" t="b">
        <v>0</v>
      </c>
      <c r="J77" s="33" t="b">
        <v>0</v>
      </c>
      <c r="K77" s="4"/>
      <c r="L77" s="4"/>
      <c r="M77" s="4"/>
      <c r="N77" s="4"/>
      <c r="O77" s="51">
        <v>46181.003692129627</v>
      </c>
      <c r="P77" s="32" t="s">
        <v>81</v>
      </c>
      <c r="Q77" s="32"/>
    </row>
    <row r="78" spans="1:17" s="5" customFormat="1">
      <c r="A78" s="52"/>
      <c r="B78" s="12"/>
      <c r="C78" s="4"/>
      <c r="D78" s="4"/>
      <c r="E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2"/>
      <c r="G78" s="33" t="b">
        <v>0</v>
      </c>
      <c r="H78" s="33" t="b">
        <v>0</v>
      </c>
      <c r="I78" s="33" t="b">
        <v>0</v>
      </c>
      <c r="J78" s="33" t="b">
        <v>0</v>
      </c>
      <c r="K78" s="4"/>
      <c r="L78" s="4"/>
      <c r="M78" s="4"/>
      <c r="N78" s="4"/>
      <c r="O78" s="51">
        <v>46181.003692129627</v>
      </c>
      <c r="P78" s="32" t="s">
        <v>81</v>
      </c>
      <c r="Q78" s="32"/>
    </row>
    <row r="79" spans="1:17" s="5" customFormat="1">
      <c r="A79" s="52"/>
      <c r="B79" s="12"/>
      <c r="C79" s="4"/>
      <c r="D79" s="4"/>
      <c r="E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2"/>
      <c r="G79" s="33" t="b">
        <v>0</v>
      </c>
      <c r="H79" s="33" t="b">
        <v>0</v>
      </c>
      <c r="I79" s="33" t="b">
        <v>0</v>
      </c>
      <c r="J79" s="33" t="b">
        <v>0</v>
      </c>
      <c r="K79" s="4"/>
      <c r="L79" s="4"/>
      <c r="M79" s="4"/>
      <c r="N79" s="4"/>
      <c r="O79" s="51">
        <v>46181.003692129627</v>
      </c>
      <c r="P79" s="32" t="s">
        <v>81</v>
      </c>
      <c r="Q79" s="32"/>
    </row>
    <row r="80" spans="1:17" s="5" customFormat="1">
      <c r="A80" s="52"/>
      <c r="B80" s="12"/>
      <c r="C80" s="4"/>
      <c r="D80" s="4"/>
      <c r="E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2"/>
      <c r="G80" s="33" t="b">
        <v>0</v>
      </c>
      <c r="H80" s="33" t="b">
        <v>0</v>
      </c>
      <c r="I80" s="33" t="b">
        <v>0</v>
      </c>
      <c r="J80" s="33" t="b">
        <v>0</v>
      </c>
      <c r="K80" s="4"/>
      <c r="L80" s="4"/>
      <c r="M80" s="4"/>
      <c r="N80" s="4"/>
      <c r="O80" s="51">
        <v>46181.003692129627</v>
      </c>
      <c r="P80" s="32" t="s">
        <v>81</v>
      </c>
      <c r="Q80" s="32"/>
    </row>
    <row r="81" spans="1:17" s="5" customFormat="1">
      <c r="A81" s="52"/>
      <c r="B81" s="12"/>
      <c r="C81" s="4"/>
      <c r="D81" s="4"/>
      <c r="E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2"/>
      <c r="G81" s="33" t="b">
        <v>0</v>
      </c>
      <c r="H81" s="33" t="b">
        <v>0</v>
      </c>
      <c r="I81" s="33" t="b">
        <v>0</v>
      </c>
      <c r="J81" s="33" t="b">
        <v>0</v>
      </c>
      <c r="K81" s="4"/>
      <c r="L81" s="4"/>
      <c r="M81" s="4"/>
      <c r="N81" s="4"/>
      <c r="O81" s="51">
        <v>46181.003692129627</v>
      </c>
      <c r="P81" s="32" t="s">
        <v>81</v>
      </c>
      <c r="Q81" s="32"/>
    </row>
    <row r="82" spans="1:17" s="5" customFormat="1">
      <c r="A82" s="52"/>
      <c r="B82" s="12"/>
      <c r="C82" s="4"/>
      <c r="D82" s="4"/>
      <c r="E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2"/>
      <c r="G82" s="33" t="b">
        <v>0</v>
      </c>
      <c r="H82" s="33" t="b">
        <v>0</v>
      </c>
      <c r="I82" s="33" t="b">
        <v>0</v>
      </c>
      <c r="J82" s="33" t="b">
        <v>0</v>
      </c>
      <c r="K82" s="4"/>
      <c r="L82" s="4"/>
      <c r="M82" s="4"/>
      <c r="N82" s="4"/>
      <c r="O82" s="51">
        <v>46181.003692129627</v>
      </c>
      <c r="P82" s="32" t="s">
        <v>81</v>
      </c>
      <c r="Q82" s="32"/>
    </row>
    <row r="83" spans="1:17" s="5" customFormat="1">
      <c r="A83" s="52"/>
      <c r="B83" s="12"/>
      <c r="C83" s="4"/>
      <c r="D83" s="4"/>
      <c r="E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2"/>
      <c r="G83" s="33" t="b">
        <v>0</v>
      </c>
      <c r="H83" s="33" t="b">
        <v>0</v>
      </c>
      <c r="I83" s="33" t="b">
        <v>0</v>
      </c>
      <c r="J83" s="33" t="b">
        <v>0</v>
      </c>
      <c r="K83" s="4"/>
      <c r="L83" s="4"/>
      <c r="M83" s="4"/>
      <c r="N83" s="4"/>
      <c r="O83" s="51">
        <v>46181.003692129627</v>
      </c>
      <c r="P83" s="32" t="s">
        <v>81</v>
      </c>
      <c r="Q83" s="32"/>
    </row>
    <row r="84" spans="1:17" s="5" customFormat="1">
      <c r="A84" s="52"/>
      <c r="B84" s="12"/>
      <c r="C84" s="4"/>
      <c r="D84" s="4"/>
      <c r="E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2"/>
      <c r="G84" s="33" t="b">
        <v>0</v>
      </c>
      <c r="H84" s="33" t="b">
        <v>0</v>
      </c>
      <c r="I84" s="33" t="b">
        <v>0</v>
      </c>
      <c r="J84" s="33" t="b">
        <v>0</v>
      </c>
      <c r="K84" s="4"/>
      <c r="L84" s="4"/>
      <c r="M84" s="4"/>
      <c r="N84" s="4"/>
      <c r="O84" s="51">
        <v>46181.003692129627</v>
      </c>
      <c r="P84" s="32" t="s">
        <v>81</v>
      </c>
      <c r="Q84" s="32"/>
    </row>
    <row r="85" spans="1:17" s="5" customFormat="1">
      <c r="A85" s="52"/>
      <c r="B85" s="12"/>
      <c r="C85" s="4"/>
      <c r="D85" s="4"/>
      <c r="E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2"/>
      <c r="G85" s="33" t="b">
        <v>0</v>
      </c>
      <c r="H85" s="33" t="b">
        <v>0</v>
      </c>
      <c r="I85" s="33" t="b">
        <v>0</v>
      </c>
      <c r="J85" s="33" t="b">
        <v>0</v>
      </c>
      <c r="K85" s="4"/>
      <c r="L85" s="4"/>
      <c r="M85" s="4"/>
      <c r="N85" s="4"/>
      <c r="O85" s="51">
        <v>46181.003692129627</v>
      </c>
      <c r="P85" s="32" t="s">
        <v>81</v>
      </c>
      <c r="Q85" s="32"/>
    </row>
    <row r="86" spans="1:17" s="5" customFormat="1">
      <c r="A86" s="52"/>
      <c r="B86" s="12"/>
      <c r="C86" s="4"/>
      <c r="D86" s="4"/>
      <c r="E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2"/>
      <c r="G86" s="33" t="b">
        <v>0</v>
      </c>
      <c r="H86" s="33" t="b">
        <v>0</v>
      </c>
      <c r="I86" s="33" t="b">
        <v>0</v>
      </c>
      <c r="J86" s="33" t="b">
        <v>0</v>
      </c>
      <c r="K86" s="4"/>
      <c r="L86" s="4"/>
      <c r="M86" s="4"/>
      <c r="N86" s="4"/>
      <c r="O86" s="51">
        <v>46181.003692129627</v>
      </c>
      <c r="P86" s="32" t="s">
        <v>81</v>
      </c>
      <c r="Q86" s="32"/>
    </row>
    <row r="87" spans="1:17" s="5" customFormat="1">
      <c r="A87" s="52"/>
      <c r="B87" s="12"/>
      <c r="C87" s="4"/>
      <c r="D87" s="4"/>
      <c r="E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2"/>
      <c r="G87" s="33" t="b">
        <v>0</v>
      </c>
      <c r="H87" s="33" t="b">
        <v>0</v>
      </c>
      <c r="I87" s="33" t="b">
        <v>0</v>
      </c>
      <c r="J87" s="33" t="b">
        <v>0</v>
      </c>
      <c r="K87" s="4"/>
      <c r="L87" s="4"/>
      <c r="M87" s="4"/>
      <c r="N87" s="4"/>
      <c r="O87" s="51">
        <v>46181.003692129627</v>
      </c>
      <c r="P87" s="32" t="s">
        <v>81</v>
      </c>
      <c r="Q87" s="32"/>
    </row>
    <row r="88" spans="1:17" s="5" customFormat="1">
      <c r="A88" s="52"/>
      <c r="B88" s="12"/>
      <c r="C88" s="4"/>
      <c r="D88" s="4"/>
      <c r="E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2"/>
      <c r="G88" s="33" t="b">
        <v>0</v>
      </c>
      <c r="H88" s="33" t="b">
        <v>0</v>
      </c>
      <c r="I88" s="33" t="b">
        <v>0</v>
      </c>
      <c r="J88" s="33" t="b">
        <v>0</v>
      </c>
      <c r="K88" s="4"/>
      <c r="L88" s="4"/>
      <c r="M88" s="4"/>
      <c r="N88" s="4"/>
      <c r="O88" s="51">
        <v>46181.003692129627</v>
      </c>
      <c r="P88" s="32" t="s">
        <v>81</v>
      </c>
      <c r="Q88" s="32"/>
    </row>
    <row r="89" spans="1:17" s="5" customFormat="1">
      <c r="A89" s="52"/>
      <c r="B89" s="12"/>
      <c r="C89" s="4"/>
      <c r="D89" s="4"/>
      <c r="E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2"/>
      <c r="G89" s="33" t="b">
        <v>0</v>
      </c>
      <c r="H89" s="33" t="b">
        <v>0</v>
      </c>
      <c r="I89" s="33" t="b">
        <v>0</v>
      </c>
      <c r="J89" s="33" t="b">
        <v>0</v>
      </c>
      <c r="K89" s="4"/>
      <c r="L89" s="4"/>
      <c r="M89" s="4"/>
      <c r="N89" s="4"/>
      <c r="O89" s="51">
        <v>46181.003692129627</v>
      </c>
      <c r="P89" s="32" t="s">
        <v>81</v>
      </c>
      <c r="Q89" s="32"/>
    </row>
    <row r="90" spans="1:17" s="5" customFormat="1">
      <c r="A90" s="52"/>
      <c r="B90" s="12"/>
      <c r="C90" s="4"/>
      <c r="D90" s="4"/>
      <c r="E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2"/>
      <c r="G90" s="33" t="b">
        <v>0</v>
      </c>
      <c r="H90" s="33" t="b">
        <v>0</v>
      </c>
      <c r="I90" s="33" t="b">
        <v>0</v>
      </c>
      <c r="J90" s="33" t="b">
        <v>0</v>
      </c>
      <c r="K90" s="4"/>
      <c r="L90" s="4"/>
      <c r="M90" s="4"/>
      <c r="N90" s="4"/>
      <c r="O90" s="51">
        <v>46181.003692129627</v>
      </c>
      <c r="P90" s="32" t="s">
        <v>81</v>
      </c>
      <c r="Q90" s="32"/>
    </row>
    <row r="91" spans="1:17" s="5" customFormat="1">
      <c r="A91" s="52"/>
      <c r="B91" s="12"/>
      <c r="C91" s="4"/>
      <c r="D91" s="4"/>
      <c r="E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2"/>
      <c r="G91" s="33" t="b">
        <v>0</v>
      </c>
      <c r="H91" s="33" t="b">
        <v>0</v>
      </c>
      <c r="I91" s="33" t="b">
        <v>0</v>
      </c>
      <c r="J91" s="33" t="b">
        <v>0</v>
      </c>
      <c r="K91" s="4"/>
      <c r="L91" s="4"/>
      <c r="M91" s="4"/>
      <c r="N91" s="4"/>
      <c r="O91" s="51">
        <v>46181.003692129627</v>
      </c>
      <c r="P91" s="32" t="s">
        <v>81</v>
      </c>
      <c r="Q91" s="32"/>
    </row>
    <row r="92" spans="1:17" s="5" customFormat="1">
      <c r="A92" s="52"/>
      <c r="B92" s="12"/>
      <c r="C92" s="4"/>
      <c r="D92" s="4"/>
      <c r="E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2"/>
      <c r="G92" s="33" t="b">
        <v>0</v>
      </c>
      <c r="H92" s="33" t="b">
        <v>0</v>
      </c>
      <c r="I92" s="33" t="b">
        <v>0</v>
      </c>
      <c r="J92" s="33" t="b">
        <v>0</v>
      </c>
      <c r="K92" s="4"/>
      <c r="L92" s="4"/>
      <c r="M92" s="4"/>
      <c r="N92" s="4"/>
      <c r="O92" s="51">
        <v>46181.003692129627</v>
      </c>
      <c r="P92" s="32" t="s">
        <v>81</v>
      </c>
      <c r="Q92" s="32"/>
    </row>
    <row r="93" spans="1:17" s="5" customFormat="1">
      <c r="A93" s="52"/>
      <c r="B93" s="12"/>
      <c r="C93" s="4"/>
      <c r="D93" s="4"/>
      <c r="E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2"/>
      <c r="G93" s="33" t="b">
        <v>0</v>
      </c>
      <c r="H93" s="33" t="b">
        <v>0</v>
      </c>
      <c r="I93" s="33" t="b">
        <v>0</v>
      </c>
      <c r="J93" s="33" t="b">
        <v>0</v>
      </c>
      <c r="K93" s="4"/>
      <c r="L93" s="4"/>
      <c r="M93" s="4"/>
      <c r="N93" s="4"/>
      <c r="O93" s="51">
        <v>46181.003692129627</v>
      </c>
      <c r="P93" s="32" t="s">
        <v>81</v>
      </c>
      <c r="Q93" s="32"/>
    </row>
    <row r="94" spans="1:17" s="5" customFormat="1">
      <c r="A94" s="52"/>
      <c r="B94" s="12"/>
      <c r="C94" s="4"/>
      <c r="D94" s="4"/>
      <c r="E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2"/>
      <c r="G94" s="33" t="b">
        <v>0</v>
      </c>
      <c r="H94" s="33" t="b">
        <v>0</v>
      </c>
      <c r="I94" s="33" t="b">
        <v>0</v>
      </c>
      <c r="J94" s="33" t="b">
        <v>0</v>
      </c>
      <c r="K94" s="4"/>
      <c r="L94" s="4"/>
      <c r="M94" s="4"/>
      <c r="N94" s="4"/>
      <c r="O94" s="51">
        <v>46181.003692129627</v>
      </c>
      <c r="P94" s="32" t="s">
        <v>81</v>
      </c>
      <c r="Q94" s="32"/>
    </row>
    <row r="95" spans="1:17" s="5" customFormat="1">
      <c r="A95" s="52"/>
      <c r="B95" s="12"/>
      <c r="C95" s="4"/>
      <c r="D95" s="4"/>
      <c r="E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2"/>
      <c r="G95" s="33" t="b">
        <v>0</v>
      </c>
      <c r="H95" s="33" t="b">
        <v>0</v>
      </c>
      <c r="I95" s="33" t="b">
        <v>0</v>
      </c>
      <c r="J95" s="33" t="b">
        <v>0</v>
      </c>
      <c r="K95" s="4"/>
      <c r="L95" s="4"/>
      <c r="M95" s="4"/>
      <c r="N95" s="4"/>
      <c r="O95" s="51">
        <v>46181.003692129627</v>
      </c>
      <c r="P95" s="32" t="s">
        <v>81</v>
      </c>
      <c r="Q95" s="32"/>
    </row>
    <row r="96" spans="1:17" s="5" customFormat="1">
      <c r="A96" s="52"/>
      <c r="B96" s="12"/>
      <c r="C96" s="4"/>
      <c r="D96" s="4"/>
      <c r="E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2"/>
      <c r="G96" s="33" t="b">
        <v>0</v>
      </c>
      <c r="H96" s="33" t="b">
        <v>0</v>
      </c>
      <c r="I96" s="33" t="b">
        <v>0</v>
      </c>
      <c r="J96" s="33" t="b">
        <v>0</v>
      </c>
      <c r="K96" s="4"/>
      <c r="L96" s="4"/>
      <c r="M96" s="4"/>
      <c r="N96" s="4"/>
      <c r="O96" s="51">
        <v>46181.003692129627</v>
      </c>
      <c r="P96" s="32" t="s">
        <v>81</v>
      </c>
      <c r="Q96" s="32"/>
    </row>
    <row r="97" spans="1:17" s="5" customFormat="1">
      <c r="A97" s="52"/>
      <c r="B97" s="12"/>
      <c r="C97" s="4"/>
      <c r="D97" s="4"/>
      <c r="E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2"/>
      <c r="G97" s="33" t="b">
        <v>0</v>
      </c>
      <c r="H97" s="33" t="b">
        <v>0</v>
      </c>
      <c r="I97" s="33" t="b">
        <v>0</v>
      </c>
      <c r="J97" s="33" t="b">
        <v>0</v>
      </c>
      <c r="K97" s="4"/>
      <c r="L97" s="4"/>
      <c r="M97" s="4"/>
      <c r="N97" s="4"/>
      <c r="O97" s="51">
        <v>46181.003692129627</v>
      </c>
      <c r="P97" s="32" t="s">
        <v>81</v>
      </c>
      <c r="Q97" s="32"/>
    </row>
    <row r="98" spans="1:17" s="5" customFormat="1">
      <c r="A98" s="52"/>
      <c r="B98" s="12"/>
      <c r="C98" s="4"/>
      <c r="D98" s="4"/>
      <c r="E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2"/>
      <c r="G98" s="33" t="b">
        <v>0</v>
      </c>
      <c r="H98" s="33" t="b">
        <v>0</v>
      </c>
      <c r="I98" s="33" t="b">
        <v>0</v>
      </c>
      <c r="J98" s="33" t="b">
        <v>0</v>
      </c>
      <c r="K98" s="4"/>
      <c r="L98" s="4"/>
      <c r="M98" s="4"/>
      <c r="N98" s="4"/>
      <c r="O98" s="51">
        <v>46181.003692129627</v>
      </c>
      <c r="P98" s="32" t="s">
        <v>81</v>
      </c>
      <c r="Q98" s="32"/>
    </row>
    <row r="99" spans="1:17" s="5" customFormat="1">
      <c r="A99" s="52"/>
      <c r="B99" s="12"/>
      <c r="C99" s="4"/>
      <c r="D99" s="4"/>
      <c r="E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2"/>
      <c r="G99" s="33" t="b">
        <v>0</v>
      </c>
      <c r="H99" s="33" t="b">
        <v>0</v>
      </c>
      <c r="I99" s="33" t="b">
        <v>0</v>
      </c>
      <c r="J99" s="33" t="b">
        <v>0</v>
      </c>
      <c r="K99" s="4"/>
      <c r="L99" s="4"/>
      <c r="M99" s="4"/>
      <c r="N99" s="4"/>
      <c r="O99" s="51">
        <v>46181.003703703704</v>
      </c>
      <c r="P99" s="32" t="s">
        <v>81</v>
      </c>
      <c r="Q99" s="32"/>
    </row>
    <row r="100" spans="1:17" s="5" customFormat="1">
      <c r="A100" s="52"/>
      <c r="B100" s="12"/>
      <c r="C100" s="4"/>
      <c r="D100" s="4"/>
      <c r="E1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2"/>
      <c r="G100" s="33" t="b">
        <v>0</v>
      </c>
      <c r="H100" s="33" t="b">
        <v>0</v>
      </c>
      <c r="I100" s="33" t="b">
        <v>0</v>
      </c>
      <c r="J100" s="33" t="b">
        <v>0</v>
      </c>
      <c r="K100" s="4"/>
      <c r="L100" s="4"/>
      <c r="M100" s="4"/>
      <c r="N100" s="4"/>
      <c r="O100" s="51">
        <v>46181.003703703704</v>
      </c>
      <c r="P100" s="32" t="s">
        <v>81</v>
      </c>
      <c r="Q100" s="32"/>
    </row>
    <row r="101" spans="1:17" s="5" customFormat="1">
      <c r="A101" s="52"/>
      <c r="B101" s="12"/>
      <c r="C101" s="4"/>
      <c r="D101" s="4"/>
      <c r="E1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2"/>
      <c r="G101" s="33" t="b">
        <v>0</v>
      </c>
      <c r="H101" s="33" t="b">
        <v>0</v>
      </c>
      <c r="I101" s="33" t="b">
        <v>0</v>
      </c>
      <c r="J101" s="33" t="b">
        <v>0</v>
      </c>
      <c r="K101" s="4"/>
      <c r="L101" s="4"/>
      <c r="M101" s="4"/>
      <c r="N101" s="4"/>
      <c r="O101" s="51">
        <v>46181.003703703704</v>
      </c>
      <c r="P101" s="32" t="s">
        <v>81</v>
      </c>
      <c r="Q101" s="32"/>
    </row>
    <row r="102" spans="1:17" s="5" customFormat="1">
      <c r="A102" s="52"/>
      <c r="B102" s="12"/>
      <c r="C102" s="4"/>
      <c r="D102" s="4"/>
      <c r="E10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2"/>
      <c r="G102" s="33" t="b">
        <v>0</v>
      </c>
      <c r="H102" s="33" t="b">
        <v>0</v>
      </c>
      <c r="I102" s="33" t="b">
        <v>0</v>
      </c>
      <c r="J102" s="33" t="b">
        <v>0</v>
      </c>
      <c r="K102" s="4"/>
      <c r="L102" s="4"/>
      <c r="M102" s="4"/>
      <c r="N102" s="4"/>
      <c r="O102" s="51">
        <v>46181.003703703704</v>
      </c>
      <c r="P102" s="32" t="s">
        <v>81</v>
      </c>
      <c r="Q102" s="32"/>
    </row>
    <row r="103" spans="1:17" s="5" customFormat="1">
      <c r="A103" s="52"/>
      <c r="B103" s="12"/>
      <c r="C103" s="4"/>
      <c r="D103" s="4"/>
      <c r="E10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2"/>
      <c r="G103" s="33" t="b">
        <v>0</v>
      </c>
      <c r="H103" s="33" t="b">
        <v>0</v>
      </c>
      <c r="I103" s="33" t="b">
        <v>0</v>
      </c>
      <c r="J103" s="33" t="b">
        <v>0</v>
      </c>
      <c r="K103" s="4"/>
      <c r="L103" s="4"/>
      <c r="M103" s="4"/>
      <c r="N103" s="4"/>
      <c r="O103" s="51">
        <v>46181.003703703704</v>
      </c>
      <c r="P103" s="32" t="s">
        <v>81</v>
      </c>
      <c r="Q103" s="32"/>
    </row>
    <row r="104" spans="1:17" s="5" customFormat="1">
      <c r="A104" s="52"/>
      <c r="B104" s="12"/>
      <c r="C104" s="4"/>
      <c r="D104" s="4"/>
      <c r="E10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2"/>
      <c r="G104" s="33" t="b">
        <v>0</v>
      </c>
      <c r="H104" s="33" t="b">
        <v>0</v>
      </c>
      <c r="I104" s="33" t="b">
        <v>0</v>
      </c>
      <c r="J104" s="33" t="b">
        <v>0</v>
      </c>
      <c r="K104" s="4"/>
      <c r="L104" s="4"/>
      <c r="M104" s="4"/>
      <c r="N104" s="4"/>
      <c r="O104" s="51">
        <v>46181.003703703704</v>
      </c>
      <c r="P104" s="32" t="s">
        <v>81</v>
      </c>
      <c r="Q104" s="32"/>
    </row>
    <row r="105" spans="1:17" s="5" customFormat="1">
      <c r="A105" s="52"/>
      <c r="B105" s="12"/>
      <c r="C105" s="4"/>
      <c r="D105" s="4"/>
      <c r="E10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2"/>
      <c r="G105" s="33" t="b">
        <v>0</v>
      </c>
      <c r="H105" s="33" t="b">
        <v>0</v>
      </c>
      <c r="I105" s="33" t="b">
        <v>0</v>
      </c>
      <c r="J105" s="33" t="b">
        <v>0</v>
      </c>
      <c r="K105" s="4"/>
      <c r="L105" s="4"/>
      <c r="M105" s="4"/>
      <c r="N105" s="4"/>
      <c r="O105" s="51">
        <v>46181.003703703704</v>
      </c>
      <c r="P105" s="32" t="s">
        <v>81</v>
      </c>
      <c r="Q105" s="32"/>
    </row>
    <row r="106" spans="1:17" s="5" customFormat="1">
      <c r="A106" s="52"/>
      <c r="B106" s="12"/>
      <c r="C106" s="4"/>
      <c r="D106" s="4"/>
      <c r="E10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2"/>
      <c r="G106" s="33" t="b">
        <v>0</v>
      </c>
      <c r="H106" s="33" t="b">
        <v>0</v>
      </c>
      <c r="I106" s="33" t="b">
        <v>0</v>
      </c>
      <c r="J106" s="33" t="b">
        <v>0</v>
      </c>
      <c r="K106" s="4"/>
      <c r="L106" s="4"/>
      <c r="M106" s="4"/>
      <c r="N106" s="4"/>
      <c r="O106" s="51">
        <v>46181.003703703704</v>
      </c>
      <c r="P106" s="32" t="s">
        <v>81</v>
      </c>
      <c r="Q106" s="32"/>
    </row>
    <row r="107" spans="1:17" s="5" customFormat="1">
      <c r="A107" s="52"/>
      <c r="B107" s="12"/>
      <c r="C107" s="4"/>
      <c r="D107" s="4"/>
      <c r="E10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2"/>
      <c r="G107" s="33" t="b">
        <v>0</v>
      </c>
      <c r="H107" s="33" t="b">
        <v>0</v>
      </c>
      <c r="I107" s="33" t="b">
        <v>0</v>
      </c>
      <c r="J107" s="33" t="b">
        <v>0</v>
      </c>
      <c r="K107" s="4"/>
      <c r="L107" s="4"/>
      <c r="M107" s="4"/>
      <c r="N107" s="4"/>
      <c r="O107" s="51">
        <v>46181.003703703704</v>
      </c>
      <c r="P107" s="32" t="s">
        <v>81</v>
      </c>
      <c r="Q107" s="32"/>
    </row>
    <row r="108" spans="1:17" s="5" customFormat="1">
      <c r="A108" s="52"/>
      <c r="B108" s="12"/>
      <c r="C108" s="4"/>
      <c r="D108" s="4"/>
      <c r="E10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2"/>
      <c r="G108" s="33" t="b">
        <v>0</v>
      </c>
      <c r="H108" s="33" t="b">
        <v>0</v>
      </c>
      <c r="I108" s="33" t="b">
        <v>0</v>
      </c>
      <c r="J108" s="33" t="b">
        <v>0</v>
      </c>
      <c r="K108" s="4"/>
      <c r="L108" s="4"/>
      <c r="M108" s="4"/>
      <c r="N108" s="4"/>
      <c r="O108" s="51">
        <v>46181.003703703704</v>
      </c>
      <c r="P108" s="32" t="s">
        <v>81</v>
      </c>
      <c r="Q108" s="32"/>
    </row>
    <row r="109" spans="1:17" s="5" customFormat="1">
      <c r="A109" s="52"/>
      <c r="B109" s="12"/>
      <c r="C109" s="4"/>
      <c r="D109" s="4"/>
      <c r="E10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2"/>
      <c r="G109" s="33" t="b">
        <v>0</v>
      </c>
      <c r="H109" s="33" t="b">
        <v>0</v>
      </c>
      <c r="I109" s="33" t="b">
        <v>0</v>
      </c>
      <c r="J109" s="33" t="b">
        <v>0</v>
      </c>
      <c r="K109" s="4"/>
      <c r="L109" s="4"/>
      <c r="M109" s="4"/>
      <c r="N109" s="4"/>
      <c r="O109" s="51">
        <v>46181.003703703704</v>
      </c>
      <c r="P109" s="32" t="s">
        <v>81</v>
      </c>
      <c r="Q109" s="32"/>
    </row>
    <row r="110" spans="1:17" s="5" customFormat="1">
      <c r="A110" s="52"/>
      <c r="B110" s="12"/>
      <c r="C110" s="4"/>
      <c r="D110" s="4"/>
      <c r="E1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2"/>
      <c r="G110" s="33" t="b">
        <v>0</v>
      </c>
      <c r="H110" s="33" t="b">
        <v>0</v>
      </c>
      <c r="I110" s="33" t="b">
        <v>0</v>
      </c>
      <c r="J110" s="33" t="b">
        <v>0</v>
      </c>
      <c r="K110" s="4"/>
      <c r="L110" s="4"/>
      <c r="M110" s="4"/>
      <c r="N110" s="4"/>
      <c r="O110" s="51">
        <v>46181.003703703704</v>
      </c>
      <c r="P110" s="32" t="s">
        <v>81</v>
      </c>
      <c r="Q110" s="32"/>
    </row>
    <row r="111" spans="1:17" s="5" customFormat="1">
      <c r="A111" s="52"/>
      <c r="B111" s="12"/>
      <c r="C111" s="4"/>
      <c r="D111" s="4"/>
      <c r="E1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2"/>
      <c r="G111" s="33" t="b">
        <v>0</v>
      </c>
      <c r="H111" s="33" t="b">
        <v>0</v>
      </c>
      <c r="I111" s="33" t="b">
        <v>0</v>
      </c>
      <c r="J111" s="33" t="b">
        <v>0</v>
      </c>
      <c r="K111" s="4"/>
      <c r="L111" s="4"/>
      <c r="M111" s="4"/>
      <c r="N111" s="4"/>
      <c r="O111" s="51">
        <v>46181.003703703704</v>
      </c>
      <c r="P111" s="32" t="s">
        <v>81</v>
      </c>
      <c r="Q111" s="32"/>
    </row>
    <row r="112" spans="1:17" s="5" customFormat="1">
      <c r="A112" s="52"/>
      <c r="B112" s="12"/>
      <c r="C112" s="4"/>
      <c r="D112" s="4"/>
      <c r="E1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2"/>
      <c r="G112" s="33" t="b">
        <v>0</v>
      </c>
      <c r="H112" s="33" t="b">
        <v>0</v>
      </c>
      <c r="I112" s="33" t="b">
        <v>0</v>
      </c>
      <c r="J112" s="33" t="b">
        <v>0</v>
      </c>
      <c r="K112" s="4"/>
      <c r="L112" s="4"/>
      <c r="M112" s="4"/>
      <c r="N112" s="4"/>
      <c r="O112" s="51">
        <v>46181.003703703704</v>
      </c>
      <c r="P112" s="32" t="s">
        <v>81</v>
      </c>
      <c r="Q112" s="32"/>
    </row>
    <row r="113" spans="1:17" s="5" customFormat="1">
      <c r="A113" s="52"/>
      <c r="B113" s="12"/>
      <c r="C113" s="4"/>
      <c r="D113" s="4"/>
      <c r="E1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2"/>
      <c r="G113" s="33" t="b">
        <v>0</v>
      </c>
      <c r="H113" s="33" t="b">
        <v>0</v>
      </c>
      <c r="I113" s="33" t="b">
        <v>0</v>
      </c>
      <c r="J113" s="33" t="b">
        <v>0</v>
      </c>
      <c r="K113" s="4"/>
      <c r="L113" s="4"/>
      <c r="M113" s="4"/>
      <c r="N113" s="4"/>
      <c r="O113" s="51">
        <v>46181.003703703704</v>
      </c>
      <c r="P113" s="32" t="s">
        <v>81</v>
      </c>
      <c r="Q113" s="32"/>
    </row>
    <row r="114" spans="1:17" s="5" customFormat="1">
      <c r="A114" s="52"/>
      <c r="B114" s="12"/>
      <c r="C114" s="4"/>
      <c r="D114" s="4"/>
      <c r="E1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2"/>
      <c r="G114" s="33" t="b">
        <v>0</v>
      </c>
      <c r="H114" s="33" t="b">
        <v>0</v>
      </c>
      <c r="I114" s="33" t="b">
        <v>0</v>
      </c>
      <c r="J114" s="33" t="b">
        <v>0</v>
      </c>
      <c r="K114" s="4"/>
      <c r="L114" s="4"/>
      <c r="M114" s="4"/>
      <c r="N114" s="4"/>
      <c r="O114" s="51">
        <v>46181.003703703704</v>
      </c>
      <c r="P114" s="32" t="s">
        <v>81</v>
      </c>
      <c r="Q114" s="32"/>
    </row>
    <row r="115" spans="1:17" s="5" customFormat="1">
      <c r="A115" s="52"/>
      <c r="B115" s="12"/>
      <c r="C115" s="4"/>
      <c r="D115" s="4"/>
      <c r="E1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2"/>
      <c r="G115" s="33" t="b">
        <v>0</v>
      </c>
      <c r="H115" s="33" t="b">
        <v>0</v>
      </c>
      <c r="I115" s="33" t="b">
        <v>0</v>
      </c>
      <c r="J115" s="33" t="b">
        <v>0</v>
      </c>
      <c r="K115" s="4"/>
      <c r="L115" s="4"/>
      <c r="M115" s="4"/>
      <c r="N115" s="4"/>
      <c r="O115" s="51">
        <v>46181.003703703704</v>
      </c>
      <c r="P115" s="32" t="s">
        <v>81</v>
      </c>
      <c r="Q115" s="32"/>
    </row>
    <row r="116" spans="1:17" s="5" customFormat="1">
      <c r="A116" s="52"/>
      <c r="B116" s="12"/>
      <c r="C116" s="4"/>
      <c r="D116" s="4"/>
      <c r="E1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2"/>
      <c r="G116" s="33" t="b">
        <v>0</v>
      </c>
      <c r="H116" s="33" t="b">
        <v>0</v>
      </c>
      <c r="I116" s="33" t="b">
        <v>0</v>
      </c>
      <c r="J116" s="33" t="b">
        <v>0</v>
      </c>
      <c r="K116" s="4"/>
      <c r="L116" s="4"/>
      <c r="M116" s="4"/>
      <c r="N116" s="4"/>
      <c r="O116" s="51">
        <v>46181.003703703704</v>
      </c>
      <c r="P116" s="32" t="s">
        <v>81</v>
      </c>
      <c r="Q116" s="32"/>
    </row>
    <row r="117" spans="1:17" s="5" customFormat="1">
      <c r="A117" s="52"/>
      <c r="B117" s="12"/>
      <c r="C117" s="4"/>
      <c r="D117" s="4"/>
      <c r="E1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2"/>
      <c r="G117" s="33" t="b">
        <v>0</v>
      </c>
      <c r="H117" s="33" t="b">
        <v>0</v>
      </c>
      <c r="I117" s="33" t="b">
        <v>0</v>
      </c>
      <c r="J117" s="33" t="b">
        <v>0</v>
      </c>
      <c r="K117" s="4"/>
      <c r="L117" s="4"/>
      <c r="M117" s="4"/>
      <c r="N117" s="4"/>
      <c r="O117" s="51">
        <v>46181.003703703704</v>
      </c>
      <c r="P117" s="32" t="s">
        <v>81</v>
      </c>
      <c r="Q117" s="32"/>
    </row>
    <row r="118" spans="1:17" s="5" customFormat="1">
      <c r="A118" s="52"/>
      <c r="B118" s="12"/>
      <c r="C118" s="4"/>
      <c r="D118" s="4"/>
      <c r="E1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2"/>
      <c r="G118" s="33" t="b">
        <v>0</v>
      </c>
      <c r="H118" s="33" t="b">
        <v>0</v>
      </c>
      <c r="I118" s="33" t="b">
        <v>0</v>
      </c>
      <c r="J118" s="33" t="b">
        <v>0</v>
      </c>
      <c r="K118" s="4"/>
      <c r="L118" s="4"/>
      <c r="M118" s="4"/>
      <c r="N118" s="4"/>
      <c r="O118" s="51">
        <v>46181.003703703704</v>
      </c>
      <c r="P118" s="32" t="s">
        <v>81</v>
      </c>
      <c r="Q118" s="32"/>
    </row>
    <row r="119" spans="1:17" s="5" customFormat="1">
      <c r="A119" s="52"/>
      <c r="B119" s="12"/>
      <c r="C119" s="4"/>
      <c r="D119" s="4"/>
      <c r="E1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2"/>
      <c r="G119" s="33" t="b">
        <v>0</v>
      </c>
      <c r="H119" s="33" t="b">
        <v>0</v>
      </c>
      <c r="I119" s="33" t="b">
        <v>0</v>
      </c>
      <c r="J119" s="33" t="b">
        <v>0</v>
      </c>
      <c r="K119" s="4"/>
      <c r="L119" s="4"/>
      <c r="M119" s="4"/>
      <c r="N119" s="4"/>
      <c r="O119" s="51">
        <v>46181.003703703704</v>
      </c>
      <c r="P119" s="32" t="s">
        <v>81</v>
      </c>
      <c r="Q119" s="32"/>
    </row>
    <row r="120" spans="1:17" s="5" customFormat="1">
      <c r="A120" s="52"/>
      <c r="B120" s="12"/>
      <c r="C120" s="4"/>
      <c r="D120" s="4"/>
      <c r="E1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2"/>
      <c r="G120" s="33" t="b">
        <v>0</v>
      </c>
      <c r="H120" s="33" t="b">
        <v>0</v>
      </c>
      <c r="I120" s="33" t="b">
        <v>0</v>
      </c>
      <c r="J120" s="33" t="b">
        <v>0</v>
      </c>
      <c r="K120" s="4"/>
      <c r="L120" s="4"/>
      <c r="M120" s="4"/>
      <c r="N120" s="4"/>
      <c r="O120" s="51">
        <v>46181.003703703704</v>
      </c>
      <c r="P120" s="32" t="s">
        <v>81</v>
      </c>
      <c r="Q120" s="32"/>
    </row>
    <row r="121" spans="1:17" s="5" customFormat="1">
      <c r="A121" s="52"/>
      <c r="B121" s="12"/>
      <c r="C121" s="4"/>
      <c r="D121" s="4"/>
      <c r="E1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2"/>
      <c r="G121" s="33" t="b">
        <v>0</v>
      </c>
      <c r="H121" s="33" t="b">
        <v>0</v>
      </c>
      <c r="I121" s="33" t="b">
        <v>0</v>
      </c>
      <c r="J121" s="33" t="b">
        <v>0</v>
      </c>
      <c r="K121" s="4"/>
      <c r="L121" s="4"/>
      <c r="M121" s="4"/>
      <c r="N121" s="4"/>
      <c r="O121" s="51">
        <v>46181.003703703704</v>
      </c>
      <c r="P121" s="32" t="s">
        <v>81</v>
      </c>
      <c r="Q121" s="32"/>
    </row>
    <row r="122" spans="1:17" s="5" customFormat="1">
      <c r="A122" s="52"/>
      <c r="B122" s="12"/>
      <c r="C122" s="4"/>
      <c r="D122" s="4"/>
      <c r="E1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2"/>
      <c r="G122" s="33" t="b">
        <v>0</v>
      </c>
      <c r="H122" s="33" t="b">
        <v>0</v>
      </c>
      <c r="I122" s="33" t="b">
        <v>0</v>
      </c>
      <c r="J122" s="33" t="b">
        <v>0</v>
      </c>
      <c r="K122" s="4"/>
      <c r="L122" s="4"/>
      <c r="M122" s="4"/>
      <c r="N122" s="4"/>
      <c r="O122" s="51">
        <v>46181.003703703704</v>
      </c>
      <c r="P122" s="32" t="s">
        <v>81</v>
      </c>
      <c r="Q122" s="32"/>
    </row>
    <row r="123" spans="1:17" s="5" customFormat="1">
      <c r="A123" s="52"/>
      <c r="B123" s="12"/>
      <c r="C123" s="4"/>
      <c r="D123" s="4"/>
      <c r="E1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2"/>
      <c r="G123" s="33" t="b">
        <v>0</v>
      </c>
      <c r="H123" s="33" t="b">
        <v>0</v>
      </c>
      <c r="I123" s="33" t="b">
        <v>0</v>
      </c>
      <c r="J123" s="33" t="b">
        <v>0</v>
      </c>
      <c r="K123" s="4"/>
      <c r="L123" s="4"/>
      <c r="M123" s="4"/>
      <c r="N123" s="4"/>
      <c r="O123" s="51">
        <v>46181.003703703704</v>
      </c>
      <c r="P123" s="32" t="s">
        <v>81</v>
      </c>
      <c r="Q123" s="32"/>
    </row>
    <row r="124" spans="1:17" s="5" customFormat="1">
      <c r="A124" s="52"/>
      <c r="B124" s="12"/>
      <c r="C124" s="4"/>
      <c r="D124" s="4"/>
      <c r="E1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2"/>
      <c r="G124" s="33" t="b">
        <v>0</v>
      </c>
      <c r="H124" s="33" t="b">
        <v>0</v>
      </c>
      <c r="I124" s="33" t="b">
        <v>0</v>
      </c>
      <c r="J124" s="33" t="b">
        <v>0</v>
      </c>
      <c r="K124" s="4"/>
      <c r="L124" s="4"/>
      <c r="M124" s="4"/>
      <c r="N124" s="4"/>
      <c r="O124" s="51">
        <v>46181.00371527778</v>
      </c>
      <c r="P124" s="32" t="s">
        <v>81</v>
      </c>
      <c r="Q124" s="32"/>
    </row>
    <row r="125" spans="1:17" s="5" customFormat="1">
      <c r="A125" s="52"/>
      <c r="B125" s="12"/>
      <c r="C125" s="4"/>
      <c r="D125" s="4"/>
      <c r="E1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2"/>
      <c r="G125" s="33" t="b">
        <v>0</v>
      </c>
      <c r="H125" s="33" t="b">
        <v>0</v>
      </c>
      <c r="I125" s="33" t="b">
        <v>0</v>
      </c>
      <c r="J125" s="33" t="b">
        <v>0</v>
      </c>
      <c r="K125" s="4"/>
      <c r="L125" s="4"/>
      <c r="M125" s="4"/>
      <c r="N125" s="4"/>
      <c r="O125" s="51">
        <v>46181.00371527778</v>
      </c>
      <c r="P125" s="32" t="s">
        <v>81</v>
      </c>
      <c r="Q125" s="32"/>
    </row>
    <row r="126" spans="1:17" s="5" customFormat="1">
      <c r="A126" s="52"/>
      <c r="B126" s="12"/>
      <c r="C126" s="4"/>
      <c r="D126" s="4"/>
      <c r="E1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2"/>
      <c r="G126" s="33" t="b">
        <v>0</v>
      </c>
      <c r="H126" s="33" t="b">
        <v>0</v>
      </c>
      <c r="I126" s="33" t="b">
        <v>0</v>
      </c>
      <c r="J126" s="33" t="b">
        <v>0</v>
      </c>
      <c r="K126" s="4"/>
      <c r="L126" s="4"/>
      <c r="M126" s="4"/>
      <c r="N126" s="4"/>
      <c r="O126" s="51">
        <v>46181.00371527778</v>
      </c>
      <c r="P126" s="32" t="s">
        <v>81</v>
      </c>
      <c r="Q126" s="32"/>
    </row>
    <row r="127" spans="1:17" s="5" customFormat="1">
      <c r="A127" s="52"/>
      <c r="B127" s="12"/>
      <c r="C127" s="4"/>
      <c r="D127" s="4"/>
      <c r="E1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2"/>
      <c r="G127" s="33" t="b">
        <v>0</v>
      </c>
      <c r="H127" s="33" t="b">
        <v>0</v>
      </c>
      <c r="I127" s="33" t="b">
        <v>0</v>
      </c>
      <c r="J127" s="33" t="b">
        <v>0</v>
      </c>
      <c r="K127" s="4"/>
      <c r="L127" s="4"/>
      <c r="M127" s="4"/>
      <c r="N127" s="4"/>
      <c r="O127" s="51">
        <v>46181.00371527778</v>
      </c>
      <c r="P127" s="32" t="s">
        <v>81</v>
      </c>
      <c r="Q127" s="32"/>
    </row>
    <row r="128" spans="1:17" s="5" customFormat="1">
      <c r="A128" s="52"/>
      <c r="B128" s="12"/>
      <c r="C128" s="4"/>
      <c r="D128" s="4"/>
      <c r="E1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2"/>
      <c r="G128" s="33" t="b">
        <v>0</v>
      </c>
      <c r="H128" s="33" t="b">
        <v>0</v>
      </c>
      <c r="I128" s="33" t="b">
        <v>0</v>
      </c>
      <c r="J128" s="33" t="b">
        <v>0</v>
      </c>
      <c r="K128" s="4"/>
      <c r="L128" s="4"/>
      <c r="M128" s="4"/>
      <c r="N128" s="4"/>
      <c r="O128" s="51">
        <v>46181.00371527778</v>
      </c>
      <c r="P128" s="32" t="s">
        <v>81</v>
      </c>
      <c r="Q128" s="32"/>
    </row>
    <row r="129" spans="1:17" s="5" customFormat="1">
      <c r="A129" s="52"/>
      <c r="B129" s="12"/>
      <c r="C129" s="4"/>
      <c r="D129" s="4"/>
      <c r="E1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2"/>
      <c r="G129" s="33" t="b">
        <v>0</v>
      </c>
      <c r="H129" s="33" t="b">
        <v>0</v>
      </c>
      <c r="I129" s="33" t="b">
        <v>0</v>
      </c>
      <c r="J129" s="33" t="b">
        <v>0</v>
      </c>
      <c r="K129" s="4"/>
      <c r="L129" s="4"/>
      <c r="M129" s="4"/>
      <c r="N129" s="4"/>
      <c r="O129" s="51">
        <v>46181.00371527778</v>
      </c>
      <c r="P129" s="32" t="s">
        <v>81</v>
      </c>
      <c r="Q129" s="32"/>
    </row>
    <row r="130" spans="1:17" s="5" customFormat="1">
      <c r="A130" s="52"/>
      <c r="B130" s="12"/>
      <c r="C130" s="4"/>
      <c r="D130" s="4"/>
      <c r="E1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2"/>
      <c r="G130" s="33" t="b">
        <v>0</v>
      </c>
      <c r="H130" s="33" t="b">
        <v>0</v>
      </c>
      <c r="I130" s="33" t="b">
        <v>0</v>
      </c>
      <c r="J130" s="33" t="b">
        <v>0</v>
      </c>
      <c r="K130" s="4"/>
      <c r="L130" s="4"/>
      <c r="M130" s="4"/>
      <c r="N130" s="4"/>
      <c r="O130" s="51">
        <v>46181.00371527778</v>
      </c>
      <c r="P130" s="32" t="s">
        <v>81</v>
      </c>
      <c r="Q130" s="32"/>
    </row>
    <row r="131" spans="1:17" s="5" customFormat="1">
      <c r="A131" s="52"/>
      <c r="B131" s="12"/>
      <c r="C131" s="4"/>
      <c r="D131" s="4"/>
      <c r="E1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2"/>
      <c r="G131" s="33" t="b">
        <v>0</v>
      </c>
      <c r="H131" s="33" t="b">
        <v>0</v>
      </c>
      <c r="I131" s="33" t="b">
        <v>0</v>
      </c>
      <c r="J131" s="33" t="b">
        <v>0</v>
      </c>
      <c r="K131" s="4"/>
      <c r="L131" s="4"/>
      <c r="M131" s="4"/>
      <c r="N131" s="4"/>
      <c r="O131" s="51">
        <v>46181.00371527778</v>
      </c>
      <c r="P131" s="32" t="s">
        <v>81</v>
      </c>
      <c r="Q131" s="32"/>
    </row>
    <row r="132" spans="1:17" s="5" customFormat="1">
      <c r="A132" s="52"/>
      <c r="B132" s="12"/>
      <c r="C132" s="4"/>
      <c r="D132" s="4"/>
      <c r="E1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2"/>
      <c r="G132" s="33" t="b">
        <v>0</v>
      </c>
      <c r="H132" s="33" t="b">
        <v>0</v>
      </c>
      <c r="I132" s="33" t="b">
        <v>0</v>
      </c>
      <c r="J132" s="33" t="b">
        <v>0</v>
      </c>
      <c r="K132" s="4"/>
      <c r="L132" s="4"/>
      <c r="M132" s="4"/>
      <c r="N132" s="4"/>
      <c r="O132" s="51">
        <v>46181.00371527778</v>
      </c>
      <c r="P132" s="32" t="s">
        <v>81</v>
      </c>
      <c r="Q132" s="32"/>
    </row>
    <row r="133" spans="1:17" s="5" customFormat="1">
      <c r="A133" s="52"/>
      <c r="B133" s="12"/>
      <c r="C133" s="4"/>
      <c r="D133" s="4"/>
      <c r="E1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2"/>
      <c r="G133" s="33" t="b">
        <v>0</v>
      </c>
      <c r="H133" s="33" t="b">
        <v>0</v>
      </c>
      <c r="I133" s="33" t="b">
        <v>0</v>
      </c>
      <c r="J133" s="33" t="b">
        <v>0</v>
      </c>
      <c r="K133" s="4"/>
      <c r="L133" s="4"/>
      <c r="M133" s="4"/>
      <c r="N133" s="4"/>
      <c r="O133" s="51">
        <v>46181.00371527778</v>
      </c>
      <c r="P133" s="32" t="s">
        <v>81</v>
      </c>
      <c r="Q133" s="32"/>
    </row>
    <row r="134" spans="1:17" s="5" customFormat="1">
      <c r="A134" s="52"/>
      <c r="B134" s="12"/>
      <c r="C134" s="4"/>
      <c r="D134" s="4"/>
      <c r="E1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2"/>
      <c r="G134" s="33" t="b">
        <v>0</v>
      </c>
      <c r="H134" s="33" t="b">
        <v>0</v>
      </c>
      <c r="I134" s="33" t="b">
        <v>0</v>
      </c>
      <c r="J134" s="33" t="b">
        <v>0</v>
      </c>
      <c r="K134" s="4"/>
      <c r="L134" s="4"/>
      <c r="M134" s="4"/>
      <c r="N134" s="4"/>
      <c r="O134" s="51">
        <v>46181.00371527778</v>
      </c>
      <c r="P134" s="32" t="s">
        <v>81</v>
      </c>
      <c r="Q134" s="32"/>
    </row>
    <row r="135" spans="1:17" s="5" customFormat="1">
      <c r="A135" s="52"/>
      <c r="B135" s="12"/>
      <c r="C135" s="4"/>
      <c r="D135" s="4"/>
      <c r="E1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2"/>
      <c r="G135" s="33" t="b">
        <v>0</v>
      </c>
      <c r="H135" s="33" t="b">
        <v>0</v>
      </c>
      <c r="I135" s="33" t="b">
        <v>0</v>
      </c>
      <c r="J135" s="33" t="b">
        <v>0</v>
      </c>
      <c r="K135" s="4"/>
      <c r="L135" s="4"/>
      <c r="M135" s="4"/>
      <c r="N135" s="4"/>
      <c r="O135" s="51">
        <v>46181.00371527778</v>
      </c>
      <c r="P135" s="32" t="s">
        <v>81</v>
      </c>
      <c r="Q135" s="32"/>
    </row>
    <row r="136" spans="1:17" s="5" customFormat="1">
      <c r="A136" s="52"/>
      <c r="B136" s="12"/>
      <c r="C136" s="4"/>
      <c r="D136" s="4"/>
      <c r="E1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2"/>
      <c r="G136" s="33" t="b">
        <v>0</v>
      </c>
      <c r="H136" s="33" t="b">
        <v>0</v>
      </c>
      <c r="I136" s="33" t="b">
        <v>0</v>
      </c>
      <c r="J136" s="33" t="b">
        <v>0</v>
      </c>
      <c r="K136" s="4"/>
      <c r="L136" s="4"/>
      <c r="M136" s="4"/>
      <c r="N136" s="4"/>
      <c r="O136" s="51">
        <v>46181.00371527778</v>
      </c>
      <c r="P136" s="32" t="s">
        <v>81</v>
      </c>
      <c r="Q136" s="32"/>
    </row>
    <row r="137" spans="1:17" s="5" customFormat="1">
      <c r="A137" s="52"/>
      <c r="B137" s="12"/>
      <c r="C137" s="4"/>
      <c r="D137" s="4"/>
      <c r="E1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2"/>
      <c r="G137" s="33" t="b">
        <v>0</v>
      </c>
      <c r="H137" s="33" t="b">
        <v>0</v>
      </c>
      <c r="I137" s="33" t="b">
        <v>0</v>
      </c>
      <c r="J137" s="33" t="b">
        <v>0</v>
      </c>
      <c r="K137" s="4"/>
      <c r="L137" s="4"/>
      <c r="M137" s="4"/>
      <c r="N137" s="4"/>
      <c r="O137" s="51">
        <v>46181.00371527778</v>
      </c>
      <c r="P137" s="32" t="s">
        <v>81</v>
      </c>
      <c r="Q137" s="32"/>
    </row>
    <row r="138" spans="1:17" s="5" customFormat="1">
      <c r="A138" s="52"/>
      <c r="B138" s="12"/>
      <c r="C138" s="4"/>
      <c r="D138" s="4"/>
      <c r="E1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2"/>
      <c r="G138" s="33" t="b">
        <v>0</v>
      </c>
      <c r="H138" s="33" t="b">
        <v>0</v>
      </c>
      <c r="I138" s="33" t="b">
        <v>0</v>
      </c>
      <c r="J138" s="33" t="b">
        <v>0</v>
      </c>
      <c r="K138" s="4"/>
      <c r="L138" s="4"/>
      <c r="M138" s="4"/>
      <c r="N138" s="4"/>
      <c r="O138" s="51">
        <v>46181.00371527778</v>
      </c>
      <c r="P138" s="32" t="s">
        <v>81</v>
      </c>
      <c r="Q138" s="32"/>
    </row>
    <row r="139" spans="1:17" s="5" customFormat="1">
      <c r="A139" s="52"/>
      <c r="B139" s="12"/>
      <c r="C139" s="4"/>
      <c r="D139" s="4"/>
      <c r="E1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2"/>
      <c r="G139" s="33" t="b">
        <v>0</v>
      </c>
      <c r="H139" s="33" t="b">
        <v>0</v>
      </c>
      <c r="I139" s="33" t="b">
        <v>0</v>
      </c>
      <c r="J139" s="33" t="b">
        <v>0</v>
      </c>
      <c r="K139" s="4"/>
      <c r="L139" s="4"/>
      <c r="M139" s="4"/>
      <c r="N139" s="4"/>
      <c r="O139" s="51">
        <v>46181.00371527778</v>
      </c>
      <c r="P139" s="32" t="s">
        <v>81</v>
      </c>
      <c r="Q139" s="32"/>
    </row>
    <row r="140" spans="1:17" s="5" customFormat="1">
      <c r="A140" s="52"/>
      <c r="B140" s="12"/>
      <c r="C140" s="4"/>
      <c r="D140" s="4"/>
      <c r="E1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2"/>
      <c r="G140" s="33" t="b">
        <v>0</v>
      </c>
      <c r="H140" s="33" t="b">
        <v>0</v>
      </c>
      <c r="I140" s="33" t="b">
        <v>0</v>
      </c>
      <c r="J140" s="33" t="b">
        <v>0</v>
      </c>
      <c r="K140" s="4"/>
      <c r="L140" s="4"/>
      <c r="M140" s="4"/>
      <c r="N140" s="4"/>
      <c r="O140" s="51">
        <v>46181.00371527778</v>
      </c>
      <c r="P140" s="32" t="s">
        <v>81</v>
      </c>
      <c r="Q140" s="32"/>
    </row>
    <row r="141" spans="1:17" s="5" customFormat="1">
      <c r="A141" s="52"/>
      <c r="B141" s="12"/>
      <c r="C141" s="4"/>
      <c r="D141" s="4"/>
      <c r="E1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2"/>
      <c r="G141" s="33" t="b">
        <v>0</v>
      </c>
      <c r="H141" s="33" t="b">
        <v>0</v>
      </c>
      <c r="I141" s="33" t="b">
        <v>0</v>
      </c>
      <c r="J141" s="33" t="b">
        <v>0</v>
      </c>
      <c r="K141" s="4"/>
      <c r="L141" s="4"/>
      <c r="M141" s="4"/>
      <c r="N141" s="4"/>
      <c r="O141" s="51">
        <v>46181.00371527778</v>
      </c>
      <c r="P141" s="32" t="s">
        <v>81</v>
      </c>
      <c r="Q141" s="32"/>
    </row>
    <row r="142" spans="1:17" s="5" customFormat="1">
      <c r="A142" s="52"/>
      <c r="B142" s="12"/>
      <c r="C142" s="4"/>
      <c r="D142" s="4"/>
      <c r="E1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2"/>
      <c r="G142" s="33" t="b">
        <v>0</v>
      </c>
      <c r="H142" s="33" t="b">
        <v>0</v>
      </c>
      <c r="I142" s="33" t="b">
        <v>0</v>
      </c>
      <c r="J142" s="33" t="b">
        <v>0</v>
      </c>
      <c r="K142" s="4"/>
      <c r="L142" s="4"/>
      <c r="M142" s="4"/>
      <c r="N142" s="4"/>
      <c r="O142" s="51">
        <v>46181.00371527778</v>
      </c>
      <c r="P142" s="32" t="s">
        <v>81</v>
      </c>
      <c r="Q142" s="32"/>
    </row>
    <row r="143" spans="1:17" s="5" customFormat="1">
      <c r="A143" s="52"/>
      <c r="B143" s="12"/>
      <c r="C143" s="4"/>
      <c r="D143" s="4"/>
      <c r="E1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2"/>
      <c r="G143" s="33" t="b">
        <v>0</v>
      </c>
      <c r="H143" s="33" t="b">
        <v>0</v>
      </c>
      <c r="I143" s="33" t="b">
        <v>0</v>
      </c>
      <c r="J143" s="33" t="b">
        <v>0</v>
      </c>
      <c r="K143" s="4"/>
      <c r="L143" s="4"/>
      <c r="M143" s="4"/>
      <c r="N143" s="4"/>
      <c r="O143" s="51">
        <v>46181.00371527778</v>
      </c>
      <c r="P143" s="32" t="s">
        <v>81</v>
      </c>
      <c r="Q143" s="32"/>
    </row>
    <row r="144" spans="1:17" s="5" customFormat="1">
      <c r="A144" s="52"/>
      <c r="B144" s="12"/>
      <c r="C144" s="4"/>
      <c r="D144" s="4"/>
      <c r="E1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2"/>
      <c r="G144" s="33" t="b">
        <v>0</v>
      </c>
      <c r="H144" s="33" t="b">
        <v>0</v>
      </c>
      <c r="I144" s="33" t="b">
        <v>0</v>
      </c>
      <c r="J144" s="33" t="b">
        <v>0</v>
      </c>
      <c r="K144" s="4"/>
      <c r="L144" s="4"/>
      <c r="M144" s="4"/>
      <c r="N144" s="4"/>
      <c r="O144" s="51">
        <v>46181.00371527778</v>
      </c>
      <c r="P144" s="32" t="s">
        <v>81</v>
      </c>
      <c r="Q144" s="32"/>
    </row>
    <row r="145" spans="1:17" s="5" customFormat="1">
      <c r="A145" s="52"/>
      <c r="B145" s="12"/>
      <c r="C145" s="4"/>
      <c r="D145" s="4"/>
      <c r="E1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2"/>
      <c r="G145" s="33" t="b">
        <v>0</v>
      </c>
      <c r="H145" s="33" t="b">
        <v>0</v>
      </c>
      <c r="I145" s="33" t="b">
        <v>0</v>
      </c>
      <c r="J145" s="33" t="b">
        <v>0</v>
      </c>
      <c r="K145" s="4"/>
      <c r="L145" s="4"/>
      <c r="M145" s="4"/>
      <c r="N145" s="4"/>
      <c r="O145" s="51">
        <v>46181.00371527778</v>
      </c>
      <c r="P145" s="32" t="s">
        <v>81</v>
      </c>
      <c r="Q145" s="32"/>
    </row>
    <row r="146" spans="1:17" s="5" customFormat="1">
      <c r="A146" s="52"/>
      <c r="B146" s="12"/>
      <c r="C146" s="4"/>
      <c r="D146" s="4"/>
      <c r="E1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2"/>
      <c r="G146" s="33" t="b">
        <v>0</v>
      </c>
      <c r="H146" s="33" t="b">
        <v>0</v>
      </c>
      <c r="I146" s="33" t="b">
        <v>0</v>
      </c>
      <c r="J146" s="33" t="b">
        <v>0</v>
      </c>
      <c r="K146" s="4"/>
      <c r="L146" s="4"/>
      <c r="M146" s="4"/>
      <c r="N146" s="4"/>
      <c r="O146" s="51">
        <v>46181.00371527778</v>
      </c>
      <c r="P146" s="32" t="s">
        <v>81</v>
      </c>
      <c r="Q146" s="32"/>
    </row>
    <row r="147" spans="1:17" s="5" customFormat="1">
      <c r="A147" s="52"/>
      <c r="B147" s="12"/>
      <c r="C147" s="4"/>
      <c r="D147" s="4"/>
      <c r="E1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2"/>
      <c r="G147" s="33" t="b">
        <v>0</v>
      </c>
      <c r="H147" s="33" t="b">
        <v>0</v>
      </c>
      <c r="I147" s="33" t="b">
        <v>0</v>
      </c>
      <c r="J147" s="33" t="b">
        <v>0</v>
      </c>
      <c r="K147" s="4"/>
      <c r="L147" s="4"/>
      <c r="M147" s="4"/>
      <c r="N147" s="4"/>
      <c r="O147" s="51">
        <v>46181.00371527778</v>
      </c>
      <c r="P147" s="32" t="s">
        <v>81</v>
      </c>
      <c r="Q147" s="32"/>
    </row>
    <row r="148" spans="1:17" s="5" customFormat="1">
      <c r="A148" s="52"/>
      <c r="B148" s="12"/>
      <c r="C148" s="4"/>
      <c r="D148" s="4"/>
      <c r="E1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2"/>
      <c r="G148" s="33" t="b">
        <v>0</v>
      </c>
      <c r="H148" s="33" t="b">
        <v>0</v>
      </c>
      <c r="I148" s="33" t="b">
        <v>0</v>
      </c>
      <c r="J148" s="33" t="b">
        <v>0</v>
      </c>
      <c r="K148" s="4"/>
      <c r="L148" s="4"/>
      <c r="M148" s="4"/>
      <c r="N148" s="4"/>
      <c r="O148" s="51">
        <v>46181.00371527778</v>
      </c>
      <c r="P148" s="32" t="s">
        <v>81</v>
      </c>
      <c r="Q148" s="32"/>
    </row>
    <row r="149" spans="1:17" s="5" customFormat="1">
      <c r="A149" s="52"/>
      <c r="B149" s="12"/>
      <c r="C149" s="4"/>
      <c r="D149" s="4"/>
      <c r="E1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2"/>
      <c r="G149" s="33" t="b">
        <v>0</v>
      </c>
      <c r="H149" s="33" t="b">
        <v>0</v>
      </c>
      <c r="I149" s="33" t="b">
        <v>0</v>
      </c>
      <c r="J149" s="33" t="b">
        <v>0</v>
      </c>
      <c r="K149" s="4"/>
      <c r="L149" s="4"/>
      <c r="M149" s="4"/>
      <c r="N149" s="4"/>
      <c r="O149" s="51">
        <v>46181.00372685185</v>
      </c>
      <c r="P149" s="32" t="s">
        <v>81</v>
      </c>
      <c r="Q149" s="32"/>
    </row>
    <row r="150" spans="1:17" s="5" customFormat="1">
      <c r="A150" s="52"/>
      <c r="B150" s="12"/>
      <c r="C150" s="4"/>
      <c r="D150" s="4"/>
      <c r="E1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2"/>
      <c r="G150" s="33" t="b">
        <v>0</v>
      </c>
      <c r="H150" s="33" t="b">
        <v>0</v>
      </c>
      <c r="I150" s="33" t="b">
        <v>0</v>
      </c>
      <c r="J150" s="33" t="b">
        <v>0</v>
      </c>
      <c r="K150" s="4"/>
      <c r="L150" s="4"/>
      <c r="M150" s="4"/>
      <c r="N150" s="4"/>
      <c r="O150" s="51">
        <v>46181.00372685185</v>
      </c>
      <c r="P150" s="32" t="s">
        <v>81</v>
      </c>
      <c r="Q150" s="32"/>
    </row>
    <row r="151" spans="1:17" s="5" customFormat="1">
      <c r="A151" s="52"/>
      <c r="B151" s="12"/>
      <c r="C151" s="4"/>
      <c r="D151" s="4"/>
      <c r="E1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2"/>
      <c r="G151" s="33" t="b">
        <v>0</v>
      </c>
      <c r="H151" s="33" t="b">
        <v>0</v>
      </c>
      <c r="I151" s="33" t="b">
        <v>0</v>
      </c>
      <c r="J151" s="33" t="b">
        <v>0</v>
      </c>
      <c r="K151" s="4"/>
      <c r="L151" s="4"/>
      <c r="M151" s="4"/>
      <c r="N151" s="4"/>
      <c r="O151" s="51">
        <v>46181.00372685185</v>
      </c>
      <c r="P151" s="32" t="s">
        <v>81</v>
      </c>
      <c r="Q151" s="32"/>
    </row>
    <row r="152" spans="1:17" s="5" customFormat="1">
      <c r="A152" s="52"/>
      <c r="B152" s="12"/>
      <c r="C152" s="4"/>
      <c r="D152" s="4"/>
      <c r="E1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2"/>
      <c r="G152" s="33" t="b">
        <v>0</v>
      </c>
      <c r="H152" s="33" t="b">
        <v>0</v>
      </c>
      <c r="I152" s="33" t="b">
        <v>0</v>
      </c>
      <c r="J152" s="33" t="b">
        <v>0</v>
      </c>
      <c r="K152" s="4"/>
      <c r="L152" s="4"/>
      <c r="M152" s="4"/>
      <c r="N152" s="4"/>
      <c r="O152" s="51">
        <v>46181.00372685185</v>
      </c>
      <c r="P152" s="32" t="s">
        <v>81</v>
      </c>
      <c r="Q152" s="32"/>
    </row>
    <row r="153" spans="1:17" s="5" customFormat="1">
      <c r="A153" s="52"/>
      <c r="B153" s="12"/>
      <c r="C153" s="4"/>
      <c r="D153" s="4"/>
      <c r="E1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2"/>
      <c r="G153" s="33" t="b">
        <v>0</v>
      </c>
      <c r="H153" s="33" t="b">
        <v>0</v>
      </c>
      <c r="I153" s="33" t="b">
        <v>0</v>
      </c>
      <c r="J153" s="33" t="b">
        <v>0</v>
      </c>
      <c r="K153" s="4"/>
      <c r="L153" s="4"/>
      <c r="M153" s="4"/>
      <c r="N153" s="4"/>
      <c r="O153" s="51">
        <v>46181.00372685185</v>
      </c>
      <c r="P153" s="32" t="s">
        <v>81</v>
      </c>
      <c r="Q153" s="32"/>
    </row>
    <row r="154" spans="1:17" s="5" customFormat="1">
      <c r="A154" s="52"/>
      <c r="B154" s="12"/>
      <c r="C154" s="4"/>
      <c r="D154" s="4"/>
      <c r="E1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2"/>
      <c r="G154" s="33" t="b">
        <v>0</v>
      </c>
      <c r="H154" s="33" t="b">
        <v>0</v>
      </c>
      <c r="I154" s="33" t="b">
        <v>0</v>
      </c>
      <c r="J154" s="33" t="b">
        <v>0</v>
      </c>
      <c r="K154" s="4"/>
      <c r="L154" s="4"/>
      <c r="M154" s="4"/>
      <c r="N154" s="4"/>
      <c r="O154" s="51">
        <v>46181.00372685185</v>
      </c>
      <c r="P154" s="32" t="s">
        <v>81</v>
      </c>
      <c r="Q154" s="32"/>
    </row>
    <row r="155" spans="1:17" s="5" customFormat="1">
      <c r="A155" s="52"/>
      <c r="B155" s="12"/>
      <c r="C155" s="4"/>
      <c r="D155" s="4"/>
      <c r="E1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2"/>
      <c r="G155" s="33" t="b">
        <v>0</v>
      </c>
      <c r="H155" s="33" t="b">
        <v>0</v>
      </c>
      <c r="I155" s="33" t="b">
        <v>0</v>
      </c>
      <c r="J155" s="33" t="b">
        <v>0</v>
      </c>
      <c r="K155" s="4"/>
      <c r="L155" s="4"/>
      <c r="M155" s="4"/>
      <c r="N155" s="4"/>
      <c r="O155" s="51">
        <v>46181.00372685185</v>
      </c>
      <c r="P155" s="32" t="s">
        <v>81</v>
      </c>
      <c r="Q155" s="32"/>
    </row>
    <row r="156" spans="1:17" s="5" customFormat="1">
      <c r="A156" s="52"/>
      <c r="B156" s="12"/>
      <c r="C156" s="4"/>
      <c r="D156" s="4"/>
      <c r="E1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2"/>
      <c r="G156" s="33" t="b">
        <v>0</v>
      </c>
      <c r="H156" s="33" t="b">
        <v>0</v>
      </c>
      <c r="I156" s="33" t="b">
        <v>0</v>
      </c>
      <c r="J156" s="33" t="b">
        <v>0</v>
      </c>
      <c r="K156" s="4"/>
      <c r="L156" s="4"/>
      <c r="M156" s="4"/>
      <c r="N156" s="4"/>
      <c r="O156" s="51">
        <v>46181.00372685185</v>
      </c>
      <c r="P156" s="32" t="s">
        <v>81</v>
      </c>
      <c r="Q156" s="32"/>
    </row>
    <row r="157" spans="1:17" s="5" customFormat="1">
      <c r="A157" s="52"/>
      <c r="B157" s="12"/>
      <c r="C157" s="4"/>
      <c r="D157" s="4"/>
      <c r="E1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2"/>
      <c r="G157" s="33" t="b">
        <v>0</v>
      </c>
      <c r="H157" s="33" t="b">
        <v>0</v>
      </c>
      <c r="I157" s="33" t="b">
        <v>0</v>
      </c>
      <c r="J157" s="33" t="b">
        <v>0</v>
      </c>
      <c r="K157" s="4"/>
      <c r="L157" s="4"/>
      <c r="M157" s="4"/>
      <c r="N157" s="4"/>
      <c r="O157" s="51">
        <v>46181.00372685185</v>
      </c>
      <c r="P157" s="32" t="s">
        <v>81</v>
      </c>
      <c r="Q157" s="32"/>
    </row>
    <row r="158" spans="1:17" s="5" customFormat="1">
      <c r="A158" s="52"/>
      <c r="B158" s="12"/>
      <c r="C158" s="4"/>
      <c r="D158" s="4"/>
      <c r="E1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2"/>
      <c r="G158" s="33" t="b">
        <v>0</v>
      </c>
      <c r="H158" s="33" t="b">
        <v>0</v>
      </c>
      <c r="I158" s="33" t="b">
        <v>0</v>
      </c>
      <c r="J158" s="33" t="b">
        <v>0</v>
      </c>
      <c r="K158" s="4"/>
      <c r="L158" s="4"/>
      <c r="M158" s="4"/>
      <c r="N158" s="4"/>
      <c r="O158" s="51">
        <v>46181.00372685185</v>
      </c>
      <c r="P158" s="32" t="s">
        <v>81</v>
      </c>
      <c r="Q158" s="32"/>
    </row>
    <row r="159" spans="1:17" s="5" customFormat="1">
      <c r="A159" s="52"/>
      <c r="B159" s="12"/>
      <c r="C159" s="4"/>
      <c r="D159" s="4"/>
      <c r="E1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2"/>
      <c r="G159" s="33" t="b">
        <v>0</v>
      </c>
      <c r="H159" s="33" t="b">
        <v>0</v>
      </c>
      <c r="I159" s="33" t="b">
        <v>0</v>
      </c>
      <c r="J159" s="33" t="b">
        <v>0</v>
      </c>
      <c r="K159" s="4"/>
      <c r="L159" s="4"/>
      <c r="M159" s="4"/>
      <c r="N159" s="4"/>
      <c r="O159" s="51">
        <v>46181.00372685185</v>
      </c>
      <c r="P159" s="32" t="s">
        <v>81</v>
      </c>
      <c r="Q159" s="32"/>
    </row>
    <row r="160" spans="1:17" s="5" customFormat="1">
      <c r="A160" s="52"/>
      <c r="B160" s="12"/>
      <c r="C160" s="4"/>
      <c r="D160" s="4"/>
      <c r="E1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2"/>
      <c r="G160" s="33" t="b">
        <v>0</v>
      </c>
      <c r="H160" s="33" t="b">
        <v>0</v>
      </c>
      <c r="I160" s="33" t="b">
        <v>0</v>
      </c>
      <c r="J160" s="33" t="b">
        <v>0</v>
      </c>
      <c r="K160" s="4"/>
      <c r="L160" s="4"/>
      <c r="M160" s="4"/>
      <c r="N160" s="4"/>
      <c r="O160" s="51">
        <v>46181.00372685185</v>
      </c>
      <c r="P160" s="32" t="s">
        <v>81</v>
      </c>
      <c r="Q160" s="32"/>
    </row>
    <row r="161" spans="1:17" s="5" customFormat="1">
      <c r="A161" s="52"/>
      <c r="B161" s="12"/>
      <c r="C161" s="4"/>
      <c r="D161" s="4"/>
      <c r="E1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2"/>
      <c r="G161" s="33" t="b">
        <v>0</v>
      </c>
      <c r="H161" s="33" t="b">
        <v>0</v>
      </c>
      <c r="I161" s="33" t="b">
        <v>0</v>
      </c>
      <c r="J161" s="33" t="b">
        <v>0</v>
      </c>
      <c r="K161" s="4"/>
      <c r="L161" s="4"/>
      <c r="M161" s="4"/>
      <c r="N161" s="4"/>
      <c r="O161" s="51">
        <v>46181.00372685185</v>
      </c>
      <c r="P161" s="32" t="s">
        <v>81</v>
      </c>
      <c r="Q161" s="32"/>
    </row>
    <row r="162" spans="1:17" s="5" customFormat="1">
      <c r="A162" s="52"/>
      <c r="B162" s="12"/>
      <c r="C162" s="4"/>
      <c r="D162" s="4"/>
      <c r="E1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2"/>
      <c r="G162" s="33" t="b">
        <v>0</v>
      </c>
      <c r="H162" s="33" t="b">
        <v>0</v>
      </c>
      <c r="I162" s="33" t="b">
        <v>0</v>
      </c>
      <c r="J162" s="33" t="b">
        <v>0</v>
      </c>
      <c r="K162" s="4"/>
      <c r="L162" s="4"/>
      <c r="M162" s="4"/>
      <c r="N162" s="4"/>
      <c r="O162" s="51">
        <v>46181.00372685185</v>
      </c>
      <c r="P162" s="32" t="s">
        <v>81</v>
      </c>
      <c r="Q162" s="32"/>
    </row>
    <row r="163" spans="1:17" s="5" customFormat="1">
      <c r="A163" s="52"/>
      <c r="B163" s="12"/>
      <c r="C163" s="4"/>
      <c r="D163" s="4"/>
      <c r="E1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2"/>
      <c r="G163" s="33" t="b">
        <v>0</v>
      </c>
      <c r="H163" s="33" t="b">
        <v>0</v>
      </c>
      <c r="I163" s="33" t="b">
        <v>0</v>
      </c>
      <c r="J163" s="33" t="b">
        <v>0</v>
      </c>
      <c r="K163" s="4"/>
      <c r="L163" s="4"/>
      <c r="M163" s="4"/>
      <c r="N163" s="4"/>
      <c r="O163" s="51">
        <v>46181.00372685185</v>
      </c>
      <c r="P163" s="32" t="s">
        <v>81</v>
      </c>
      <c r="Q163" s="32"/>
    </row>
    <row r="164" spans="1:17" s="5" customFormat="1">
      <c r="A164" s="52"/>
      <c r="B164" s="12"/>
      <c r="C164" s="4"/>
      <c r="D164" s="4"/>
      <c r="E1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2"/>
      <c r="G164" s="33" t="b">
        <v>0</v>
      </c>
      <c r="H164" s="33" t="b">
        <v>0</v>
      </c>
      <c r="I164" s="33" t="b">
        <v>0</v>
      </c>
      <c r="J164" s="33" t="b">
        <v>0</v>
      </c>
      <c r="K164" s="4"/>
      <c r="L164" s="4"/>
      <c r="M164" s="4"/>
      <c r="N164" s="4"/>
      <c r="O164" s="51">
        <v>46181.00372685185</v>
      </c>
      <c r="P164" s="32" t="s">
        <v>81</v>
      </c>
      <c r="Q164" s="32"/>
    </row>
    <row r="165" spans="1:17" s="5" customFormat="1">
      <c r="A165" s="52"/>
      <c r="B165" s="12"/>
      <c r="C165" s="4"/>
      <c r="D165" s="4"/>
      <c r="E1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2"/>
      <c r="G165" s="33" t="b">
        <v>0</v>
      </c>
      <c r="H165" s="33" t="b">
        <v>0</v>
      </c>
      <c r="I165" s="33" t="b">
        <v>0</v>
      </c>
      <c r="J165" s="33" t="b">
        <v>0</v>
      </c>
      <c r="K165" s="4"/>
      <c r="L165" s="4"/>
      <c r="M165" s="4"/>
      <c r="N165" s="4"/>
      <c r="O165" s="51">
        <v>46181.00372685185</v>
      </c>
      <c r="P165" s="32" t="s">
        <v>81</v>
      </c>
      <c r="Q165" s="32"/>
    </row>
    <row r="166" spans="1:17" s="5" customFormat="1">
      <c r="A166" s="52"/>
      <c r="B166" s="12"/>
      <c r="C166" s="4"/>
      <c r="D166" s="4"/>
      <c r="E1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2"/>
      <c r="G166" s="33" t="b">
        <v>0</v>
      </c>
      <c r="H166" s="33" t="b">
        <v>0</v>
      </c>
      <c r="I166" s="33" t="b">
        <v>0</v>
      </c>
      <c r="J166" s="33" t="b">
        <v>0</v>
      </c>
      <c r="K166" s="4"/>
      <c r="L166" s="4"/>
      <c r="M166" s="4"/>
      <c r="N166" s="4"/>
      <c r="O166" s="51">
        <v>46181.00372685185</v>
      </c>
      <c r="P166" s="32" t="s">
        <v>81</v>
      </c>
      <c r="Q166" s="32"/>
    </row>
    <row r="167" spans="1:17" s="5" customFormat="1">
      <c r="A167" s="52"/>
      <c r="B167" s="12"/>
      <c r="C167" s="4"/>
      <c r="D167" s="4"/>
      <c r="E1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2"/>
      <c r="G167" s="33" t="b">
        <v>0</v>
      </c>
      <c r="H167" s="33" t="b">
        <v>0</v>
      </c>
      <c r="I167" s="33" t="b">
        <v>0</v>
      </c>
      <c r="J167" s="33" t="b">
        <v>0</v>
      </c>
      <c r="K167" s="4"/>
      <c r="L167" s="4"/>
      <c r="M167" s="4"/>
      <c r="N167" s="4"/>
      <c r="O167" s="51">
        <v>46181.00372685185</v>
      </c>
      <c r="P167" s="32" t="s">
        <v>81</v>
      </c>
      <c r="Q167" s="32"/>
    </row>
    <row r="168" spans="1:17" s="5" customFormat="1">
      <c r="A168" s="52"/>
      <c r="B168" s="12"/>
      <c r="C168" s="4"/>
      <c r="D168" s="4"/>
      <c r="E1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2"/>
      <c r="G168" s="33" t="b">
        <v>0</v>
      </c>
      <c r="H168" s="33" t="b">
        <v>0</v>
      </c>
      <c r="I168" s="33" t="b">
        <v>0</v>
      </c>
      <c r="J168" s="33" t="b">
        <v>0</v>
      </c>
      <c r="K168" s="4"/>
      <c r="L168" s="4"/>
      <c r="M168" s="4"/>
      <c r="N168" s="4"/>
      <c r="O168" s="51">
        <v>46181.00372685185</v>
      </c>
      <c r="P168" s="32" t="s">
        <v>81</v>
      </c>
      <c r="Q168" s="32"/>
    </row>
    <row r="169" spans="1:17" s="5" customFormat="1">
      <c r="A169" s="52"/>
      <c r="B169" s="12"/>
      <c r="C169" s="4"/>
      <c r="D169" s="4"/>
      <c r="E1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2"/>
      <c r="G169" s="33" t="b">
        <v>0</v>
      </c>
      <c r="H169" s="33" t="b">
        <v>0</v>
      </c>
      <c r="I169" s="33" t="b">
        <v>0</v>
      </c>
      <c r="J169" s="33" t="b">
        <v>0</v>
      </c>
      <c r="K169" s="4"/>
      <c r="L169" s="4"/>
      <c r="M169" s="4"/>
      <c r="N169" s="4"/>
      <c r="O169" s="51">
        <v>46181.00372685185</v>
      </c>
      <c r="P169" s="32" t="s">
        <v>81</v>
      </c>
      <c r="Q169" s="32"/>
    </row>
    <row r="170" spans="1:17" s="5" customFormat="1">
      <c r="A170" s="52"/>
      <c r="B170" s="12"/>
      <c r="C170" s="4"/>
      <c r="D170" s="4"/>
      <c r="E1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2"/>
      <c r="G170" s="33" t="b">
        <v>0</v>
      </c>
      <c r="H170" s="33" t="b">
        <v>0</v>
      </c>
      <c r="I170" s="33" t="b">
        <v>0</v>
      </c>
      <c r="J170" s="33" t="b">
        <v>0</v>
      </c>
      <c r="K170" s="4"/>
      <c r="L170" s="4"/>
      <c r="M170" s="4"/>
      <c r="N170" s="4"/>
      <c r="O170" s="51">
        <v>46181.00372685185</v>
      </c>
      <c r="P170" s="32" t="s">
        <v>81</v>
      </c>
      <c r="Q170" s="32"/>
    </row>
    <row r="171" spans="1:17" s="5" customFormat="1">
      <c r="A171" s="52"/>
      <c r="B171" s="12"/>
      <c r="C171" s="4"/>
      <c r="D171" s="4"/>
      <c r="E1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2"/>
      <c r="G171" s="33" t="b">
        <v>0</v>
      </c>
      <c r="H171" s="33" t="b">
        <v>0</v>
      </c>
      <c r="I171" s="33" t="b">
        <v>0</v>
      </c>
      <c r="J171" s="33" t="b">
        <v>0</v>
      </c>
      <c r="K171" s="4"/>
      <c r="L171" s="4"/>
      <c r="M171" s="4"/>
      <c r="N171" s="4"/>
      <c r="O171" s="51">
        <v>46181.00372685185</v>
      </c>
      <c r="P171" s="32" t="s">
        <v>81</v>
      </c>
      <c r="Q171" s="32"/>
    </row>
    <row r="172" spans="1:17" s="5" customFormat="1">
      <c r="A172" s="52"/>
      <c r="B172" s="12"/>
      <c r="C172" s="4"/>
      <c r="D172" s="4"/>
      <c r="E1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2"/>
      <c r="G172" s="33" t="b">
        <v>0</v>
      </c>
      <c r="H172" s="33" t="b">
        <v>0</v>
      </c>
      <c r="I172" s="33" t="b">
        <v>0</v>
      </c>
      <c r="J172" s="33" t="b">
        <v>0</v>
      </c>
      <c r="K172" s="4"/>
      <c r="L172" s="4"/>
      <c r="M172" s="4"/>
      <c r="N172" s="4"/>
      <c r="O172" s="51">
        <v>46181.003738425927</v>
      </c>
      <c r="P172" s="32" t="s">
        <v>81</v>
      </c>
      <c r="Q172" s="32"/>
    </row>
    <row r="173" spans="1:17" s="5" customFormat="1">
      <c r="A173" s="52"/>
      <c r="B173" s="12"/>
      <c r="C173" s="4"/>
      <c r="D173" s="4"/>
      <c r="E1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2"/>
      <c r="G173" s="33" t="b">
        <v>0</v>
      </c>
      <c r="H173" s="33" t="b">
        <v>0</v>
      </c>
      <c r="I173" s="33" t="b">
        <v>0</v>
      </c>
      <c r="J173" s="33" t="b">
        <v>0</v>
      </c>
      <c r="K173" s="4"/>
      <c r="L173" s="4"/>
      <c r="M173" s="4"/>
      <c r="N173" s="4"/>
      <c r="O173" s="51">
        <v>46181.003738425927</v>
      </c>
      <c r="P173" s="32" t="s">
        <v>81</v>
      </c>
      <c r="Q173" s="32"/>
    </row>
    <row r="174" spans="1:17" s="5" customFormat="1">
      <c r="A174" s="52"/>
      <c r="B174" s="12"/>
      <c r="C174" s="4"/>
      <c r="D174" s="4"/>
      <c r="E1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2"/>
      <c r="G174" s="33" t="b">
        <v>0</v>
      </c>
      <c r="H174" s="33" t="b">
        <v>0</v>
      </c>
      <c r="I174" s="33" t="b">
        <v>0</v>
      </c>
      <c r="J174" s="33" t="b">
        <v>0</v>
      </c>
      <c r="K174" s="4"/>
      <c r="L174" s="4"/>
      <c r="M174" s="4"/>
      <c r="N174" s="4"/>
      <c r="O174" s="51">
        <v>46181.003738425927</v>
      </c>
      <c r="P174" s="32" t="s">
        <v>81</v>
      </c>
      <c r="Q174" s="32"/>
    </row>
    <row r="175" spans="1:17" s="5" customFormat="1">
      <c r="A175" s="52"/>
      <c r="B175" s="12"/>
      <c r="C175" s="4"/>
      <c r="D175" s="4"/>
      <c r="E1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2"/>
      <c r="G175" s="33" t="b">
        <v>0</v>
      </c>
      <c r="H175" s="33" t="b">
        <v>0</v>
      </c>
      <c r="I175" s="33" t="b">
        <v>0</v>
      </c>
      <c r="J175" s="33" t="b">
        <v>0</v>
      </c>
      <c r="K175" s="4"/>
      <c r="L175" s="4"/>
      <c r="M175" s="4"/>
      <c r="N175" s="4"/>
      <c r="O175" s="51">
        <v>46181.003738425927</v>
      </c>
      <c r="P175" s="32" t="s">
        <v>81</v>
      </c>
      <c r="Q175" s="32"/>
    </row>
    <row r="176" spans="1:17" s="5" customFormat="1">
      <c r="A176" s="52"/>
      <c r="B176" s="12"/>
      <c r="C176" s="4"/>
      <c r="D176" s="4"/>
      <c r="E1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2"/>
      <c r="G176" s="33" t="b">
        <v>0</v>
      </c>
      <c r="H176" s="33" t="b">
        <v>0</v>
      </c>
      <c r="I176" s="33" t="b">
        <v>0</v>
      </c>
      <c r="J176" s="33" t="b">
        <v>0</v>
      </c>
      <c r="K176" s="4"/>
      <c r="L176" s="4"/>
      <c r="M176" s="4"/>
      <c r="N176" s="4"/>
      <c r="O176" s="51">
        <v>46181.003738425927</v>
      </c>
      <c r="P176" s="32" t="s">
        <v>81</v>
      </c>
      <c r="Q176" s="32"/>
    </row>
    <row r="177" spans="1:17" s="5" customFormat="1">
      <c r="A177" s="52"/>
      <c r="B177" s="12"/>
      <c r="C177" s="4"/>
      <c r="D177" s="4"/>
      <c r="E1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2"/>
      <c r="G177" s="33" t="b">
        <v>0</v>
      </c>
      <c r="H177" s="33" t="b">
        <v>0</v>
      </c>
      <c r="I177" s="33" t="b">
        <v>0</v>
      </c>
      <c r="J177" s="33" t="b">
        <v>0</v>
      </c>
      <c r="K177" s="4"/>
      <c r="L177" s="4"/>
      <c r="M177" s="4"/>
      <c r="N177" s="4"/>
      <c r="O177" s="51">
        <v>46181.003738425927</v>
      </c>
      <c r="P177" s="32" t="s">
        <v>81</v>
      </c>
      <c r="Q177" s="32"/>
    </row>
    <row r="178" spans="1:17" s="5" customFormat="1">
      <c r="A178" s="52"/>
      <c r="B178" s="12"/>
      <c r="C178" s="4"/>
      <c r="D178" s="4"/>
      <c r="E1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2"/>
      <c r="G178" s="33" t="b">
        <v>0</v>
      </c>
      <c r="H178" s="33" t="b">
        <v>0</v>
      </c>
      <c r="I178" s="33" t="b">
        <v>0</v>
      </c>
      <c r="J178" s="33" t="b">
        <v>0</v>
      </c>
      <c r="K178" s="4"/>
      <c r="L178" s="4"/>
      <c r="M178" s="4"/>
      <c r="N178" s="4"/>
      <c r="O178" s="51">
        <v>46181.003738425927</v>
      </c>
      <c r="P178" s="32" t="s">
        <v>81</v>
      </c>
      <c r="Q178" s="32"/>
    </row>
    <row r="179" spans="1:17" s="5" customFormat="1">
      <c r="A179" s="52"/>
      <c r="B179" s="12"/>
      <c r="C179" s="4"/>
      <c r="D179" s="4"/>
      <c r="E1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2"/>
      <c r="G179" s="33" t="b">
        <v>0</v>
      </c>
      <c r="H179" s="33" t="b">
        <v>0</v>
      </c>
      <c r="I179" s="33" t="b">
        <v>0</v>
      </c>
      <c r="J179" s="33" t="b">
        <v>0</v>
      </c>
      <c r="K179" s="4"/>
      <c r="L179" s="4"/>
      <c r="M179" s="4"/>
      <c r="N179" s="4"/>
      <c r="O179" s="51">
        <v>46181.003738425927</v>
      </c>
      <c r="P179" s="32" t="s">
        <v>81</v>
      </c>
      <c r="Q179" s="32"/>
    </row>
    <row r="180" spans="1:17" s="5" customFormat="1">
      <c r="A180" s="52"/>
      <c r="B180" s="12"/>
      <c r="C180" s="4"/>
      <c r="D180" s="4"/>
      <c r="E1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2"/>
      <c r="G180" s="33" t="b">
        <v>0</v>
      </c>
      <c r="H180" s="33" t="b">
        <v>0</v>
      </c>
      <c r="I180" s="33" t="b">
        <v>0</v>
      </c>
      <c r="J180" s="33" t="b">
        <v>0</v>
      </c>
      <c r="K180" s="4"/>
      <c r="L180" s="4"/>
      <c r="M180" s="4"/>
      <c r="N180" s="4"/>
      <c r="O180" s="51">
        <v>46181.003738425927</v>
      </c>
      <c r="P180" s="32" t="s">
        <v>81</v>
      </c>
      <c r="Q180" s="32"/>
    </row>
    <row r="181" spans="1:17" s="5" customFormat="1">
      <c r="A181" s="52"/>
      <c r="B181" s="12"/>
      <c r="C181" s="4"/>
      <c r="D181" s="4"/>
      <c r="E1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2"/>
      <c r="G181" s="33" t="b">
        <v>0</v>
      </c>
      <c r="H181" s="33" t="b">
        <v>0</v>
      </c>
      <c r="I181" s="33" t="b">
        <v>0</v>
      </c>
      <c r="J181" s="33" t="b">
        <v>0</v>
      </c>
      <c r="K181" s="4"/>
      <c r="L181" s="4"/>
      <c r="M181" s="4"/>
      <c r="N181" s="4"/>
      <c r="O181" s="51">
        <v>46181.003738425927</v>
      </c>
      <c r="P181" s="32" t="s">
        <v>81</v>
      </c>
      <c r="Q181" s="32"/>
    </row>
    <row r="182" spans="1:17" s="5" customFormat="1">
      <c r="A182" s="52"/>
      <c r="B182" s="12"/>
      <c r="C182" s="4"/>
      <c r="D182" s="4"/>
      <c r="E1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2"/>
      <c r="G182" s="33" t="b">
        <v>0</v>
      </c>
      <c r="H182" s="33" t="b">
        <v>0</v>
      </c>
      <c r="I182" s="33" t="b">
        <v>0</v>
      </c>
      <c r="J182" s="33" t="b">
        <v>0</v>
      </c>
      <c r="K182" s="4"/>
      <c r="L182" s="4"/>
      <c r="M182" s="4"/>
      <c r="N182" s="4"/>
      <c r="O182" s="51">
        <v>46181.003738425927</v>
      </c>
      <c r="P182" s="32" t="s">
        <v>81</v>
      </c>
      <c r="Q182" s="32"/>
    </row>
    <row r="183" spans="1:17" s="5" customFormat="1">
      <c r="A183" s="52"/>
      <c r="B183" s="12"/>
      <c r="C183" s="4"/>
      <c r="D183" s="4"/>
      <c r="E1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2"/>
      <c r="G183" s="33" t="b">
        <v>0</v>
      </c>
      <c r="H183" s="33" t="b">
        <v>0</v>
      </c>
      <c r="I183" s="33" t="b">
        <v>0</v>
      </c>
      <c r="J183" s="33" t="b">
        <v>0</v>
      </c>
      <c r="K183" s="4"/>
      <c r="L183" s="4"/>
      <c r="M183" s="4"/>
      <c r="N183" s="4"/>
      <c r="O183" s="51">
        <v>46181.003738425927</v>
      </c>
      <c r="P183" s="32" t="s">
        <v>81</v>
      </c>
      <c r="Q183" s="32"/>
    </row>
    <row r="184" spans="1:17" s="5" customFormat="1">
      <c r="A184" s="52"/>
      <c r="B184" s="12"/>
      <c r="C184" s="4"/>
      <c r="D184" s="4"/>
      <c r="E1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2"/>
      <c r="G184" s="33" t="b">
        <v>0</v>
      </c>
      <c r="H184" s="33" t="b">
        <v>0</v>
      </c>
      <c r="I184" s="33" t="b">
        <v>0</v>
      </c>
      <c r="J184" s="33" t="b">
        <v>0</v>
      </c>
      <c r="K184" s="4"/>
      <c r="L184" s="4"/>
      <c r="M184" s="4"/>
      <c r="N184" s="4"/>
      <c r="O184" s="51">
        <v>46181.003738425927</v>
      </c>
      <c r="P184" s="32" t="s">
        <v>81</v>
      </c>
      <c r="Q184" s="32"/>
    </row>
    <row r="185" spans="1:17" s="5" customFormat="1">
      <c r="A185" s="52"/>
      <c r="B185" s="12"/>
      <c r="C185" s="4"/>
      <c r="D185" s="4"/>
      <c r="E1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2"/>
      <c r="G185" s="33" t="b">
        <v>0</v>
      </c>
      <c r="H185" s="33" t="b">
        <v>0</v>
      </c>
      <c r="I185" s="33" t="b">
        <v>0</v>
      </c>
      <c r="J185" s="33" t="b">
        <v>0</v>
      </c>
      <c r="K185" s="4"/>
      <c r="L185" s="4"/>
      <c r="M185" s="4"/>
      <c r="N185" s="4"/>
      <c r="O185" s="51">
        <v>46181.003738425927</v>
      </c>
      <c r="P185" s="32" t="s">
        <v>81</v>
      </c>
      <c r="Q185" s="32"/>
    </row>
    <row r="186" spans="1:17" s="5" customFormat="1">
      <c r="A186" s="52"/>
      <c r="B186" s="12"/>
      <c r="C186" s="4"/>
      <c r="D186" s="4"/>
      <c r="E1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2"/>
      <c r="G186" s="33" t="b">
        <v>0</v>
      </c>
      <c r="H186" s="33" t="b">
        <v>0</v>
      </c>
      <c r="I186" s="33" t="b">
        <v>0</v>
      </c>
      <c r="J186" s="33" t="b">
        <v>0</v>
      </c>
      <c r="K186" s="4"/>
      <c r="L186" s="4"/>
      <c r="M186" s="4"/>
      <c r="N186" s="4"/>
      <c r="O186" s="51">
        <v>46181.003738425927</v>
      </c>
      <c r="P186" s="32" t="s">
        <v>81</v>
      </c>
      <c r="Q186" s="32"/>
    </row>
    <row r="187" spans="1:17" s="5" customFormat="1">
      <c r="A187" s="52"/>
      <c r="B187" s="12"/>
      <c r="C187" s="4"/>
      <c r="D187" s="4"/>
      <c r="E1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2"/>
      <c r="G187" s="33" t="b">
        <v>0</v>
      </c>
      <c r="H187" s="33" t="b">
        <v>0</v>
      </c>
      <c r="I187" s="33" t="b">
        <v>0</v>
      </c>
      <c r="J187" s="33" t="b">
        <v>0</v>
      </c>
      <c r="K187" s="4"/>
      <c r="L187" s="4"/>
      <c r="M187" s="4"/>
      <c r="N187" s="4"/>
      <c r="O187" s="51">
        <v>46181.003738425927</v>
      </c>
      <c r="P187" s="32" t="s">
        <v>81</v>
      </c>
      <c r="Q187" s="32"/>
    </row>
    <row r="188" spans="1:17" s="5" customFormat="1">
      <c r="A188" s="52"/>
      <c r="B188" s="12"/>
      <c r="C188" s="4"/>
      <c r="D188" s="4"/>
      <c r="E1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2"/>
      <c r="G188" s="33" t="b">
        <v>0</v>
      </c>
      <c r="H188" s="33" t="b">
        <v>0</v>
      </c>
      <c r="I188" s="33" t="b">
        <v>0</v>
      </c>
      <c r="J188" s="33" t="b">
        <v>0</v>
      </c>
      <c r="K188" s="4"/>
      <c r="L188" s="4"/>
      <c r="M188" s="4"/>
      <c r="N188" s="4"/>
      <c r="O188" s="51">
        <v>46181.003738425927</v>
      </c>
      <c r="P188" s="32" t="s">
        <v>81</v>
      </c>
      <c r="Q188" s="32"/>
    </row>
    <row r="189" spans="1:17" s="5" customFormat="1">
      <c r="A189" s="52"/>
      <c r="B189" s="12"/>
      <c r="C189" s="4"/>
      <c r="D189" s="4"/>
      <c r="E1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2"/>
      <c r="G189" s="33" t="b">
        <v>0</v>
      </c>
      <c r="H189" s="33" t="b">
        <v>0</v>
      </c>
      <c r="I189" s="33" t="b">
        <v>0</v>
      </c>
      <c r="J189" s="33" t="b">
        <v>0</v>
      </c>
      <c r="K189" s="4"/>
      <c r="L189" s="4"/>
      <c r="M189" s="4"/>
      <c r="N189" s="4"/>
      <c r="O189" s="51">
        <v>46181.003738425927</v>
      </c>
      <c r="P189" s="32" t="s">
        <v>81</v>
      </c>
      <c r="Q189" s="32"/>
    </row>
    <row r="190" spans="1:17" s="5" customFormat="1">
      <c r="A190" s="52"/>
      <c r="B190" s="12"/>
      <c r="C190" s="4"/>
      <c r="D190" s="4"/>
      <c r="E1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2"/>
      <c r="G190" s="33" t="b">
        <v>0</v>
      </c>
      <c r="H190" s="33" t="b">
        <v>0</v>
      </c>
      <c r="I190" s="33" t="b">
        <v>0</v>
      </c>
      <c r="J190" s="33" t="b">
        <v>0</v>
      </c>
      <c r="K190" s="4"/>
      <c r="L190" s="4"/>
      <c r="M190" s="4"/>
      <c r="N190" s="4"/>
      <c r="O190" s="51">
        <v>46181.003738425927</v>
      </c>
      <c r="P190" s="32" t="s">
        <v>81</v>
      </c>
      <c r="Q190" s="32"/>
    </row>
    <row r="191" spans="1:17" s="5" customFormat="1">
      <c r="A191" s="52"/>
      <c r="B191" s="12"/>
      <c r="C191" s="4"/>
      <c r="D191" s="4"/>
      <c r="E1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2"/>
      <c r="G191" s="33" t="b">
        <v>0</v>
      </c>
      <c r="H191" s="33" t="b">
        <v>0</v>
      </c>
      <c r="I191" s="33" t="b">
        <v>0</v>
      </c>
      <c r="J191" s="33" t="b">
        <v>0</v>
      </c>
      <c r="K191" s="4"/>
      <c r="L191" s="4"/>
      <c r="M191" s="4"/>
      <c r="N191" s="4"/>
      <c r="O191" s="51">
        <v>46181.003738425927</v>
      </c>
      <c r="P191" s="32" t="s">
        <v>81</v>
      </c>
      <c r="Q191" s="32"/>
    </row>
    <row r="192" spans="1:17" s="5" customFormat="1">
      <c r="A192" s="52"/>
      <c r="B192" s="12"/>
      <c r="C192" s="4"/>
      <c r="D192" s="4"/>
      <c r="E1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2"/>
      <c r="G192" s="33" t="b">
        <v>0</v>
      </c>
      <c r="H192" s="33" t="b">
        <v>0</v>
      </c>
      <c r="I192" s="33" t="b">
        <v>0</v>
      </c>
      <c r="J192" s="33" t="b">
        <v>0</v>
      </c>
      <c r="K192" s="4"/>
      <c r="L192" s="4"/>
      <c r="M192" s="4"/>
      <c r="N192" s="4"/>
      <c r="O192" s="51">
        <v>46181.003738425927</v>
      </c>
      <c r="P192" s="32" t="s">
        <v>81</v>
      </c>
      <c r="Q192" s="32"/>
    </row>
    <row r="193" spans="1:17" s="5" customFormat="1">
      <c r="A193" s="52"/>
      <c r="B193" s="12"/>
      <c r="C193" s="4"/>
      <c r="D193" s="4"/>
      <c r="E1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2"/>
      <c r="G193" s="33" t="b">
        <v>0</v>
      </c>
      <c r="H193" s="33" t="b">
        <v>0</v>
      </c>
      <c r="I193" s="33" t="b">
        <v>0</v>
      </c>
      <c r="J193" s="33" t="b">
        <v>0</v>
      </c>
      <c r="K193" s="4"/>
      <c r="L193" s="4"/>
      <c r="M193" s="4"/>
      <c r="N193" s="4"/>
      <c r="O193" s="51">
        <v>46181.003738425927</v>
      </c>
      <c r="P193" s="32" t="s">
        <v>81</v>
      </c>
      <c r="Q193" s="32"/>
    </row>
    <row r="194" spans="1:17" s="5" customFormat="1">
      <c r="A194" s="52"/>
      <c r="B194" s="12"/>
      <c r="C194" s="4"/>
      <c r="D194" s="4"/>
      <c r="E1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2"/>
      <c r="G194" s="33" t="b">
        <v>0</v>
      </c>
      <c r="H194" s="33" t="b">
        <v>0</v>
      </c>
      <c r="I194" s="33" t="b">
        <v>0</v>
      </c>
      <c r="J194" s="33" t="b">
        <v>0</v>
      </c>
      <c r="K194" s="4"/>
      <c r="L194" s="4"/>
      <c r="M194" s="4"/>
      <c r="N194" s="4"/>
      <c r="O194" s="51">
        <v>46181.003738425927</v>
      </c>
      <c r="P194" s="32" t="s">
        <v>81</v>
      </c>
      <c r="Q194" s="32"/>
    </row>
    <row r="195" spans="1:17" s="5" customFormat="1">
      <c r="A195" s="52"/>
      <c r="B195" s="12"/>
      <c r="C195" s="4"/>
      <c r="D195" s="4"/>
      <c r="E1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2"/>
      <c r="G195" s="33" t="b">
        <v>0</v>
      </c>
      <c r="H195" s="33" t="b">
        <v>0</v>
      </c>
      <c r="I195" s="33" t="b">
        <v>0</v>
      </c>
      <c r="J195" s="33" t="b">
        <v>0</v>
      </c>
      <c r="K195" s="4"/>
      <c r="L195" s="4"/>
      <c r="M195" s="4"/>
      <c r="N195" s="4"/>
      <c r="O195" s="51">
        <v>46181.003750000003</v>
      </c>
      <c r="P195" s="32" t="s">
        <v>81</v>
      </c>
      <c r="Q195" s="32"/>
    </row>
    <row r="196" spans="1:17" s="5" customFormat="1">
      <c r="A196" s="52"/>
      <c r="B196" s="12"/>
      <c r="C196" s="4"/>
      <c r="D196" s="4"/>
      <c r="E1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2"/>
      <c r="G196" s="33" t="b">
        <v>0</v>
      </c>
      <c r="H196" s="33" t="b">
        <v>0</v>
      </c>
      <c r="I196" s="33" t="b">
        <v>0</v>
      </c>
      <c r="J196" s="33" t="b">
        <v>0</v>
      </c>
      <c r="K196" s="4"/>
      <c r="L196" s="4"/>
      <c r="M196" s="4"/>
      <c r="N196" s="4"/>
      <c r="O196" s="51">
        <v>46181.003750000003</v>
      </c>
      <c r="P196" s="32" t="s">
        <v>81</v>
      </c>
      <c r="Q196" s="32"/>
    </row>
    <row r="197" spans="1:17" s="5" customFormat="1">
      <c r="A197" s="52"/>
      <c r="B197" s="12"/>
      <c r="C197" s="4"/>
      <c r="D197" s="4"/>
      <c r="E1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2"/>
      <c r="G197" s="33" t="b">
        <v>0</v>
      </c>
      <c r="H197" s="33" t="b">
        <v>0</v>
      </c>
      <c r="I197" s="33" t="b">
        <v>0</v>
      </c>
      <c r="J197" s="33" t="b">
        <v>0</v>
      </c>
      <c r="K197" s="4"/>
      <c r="L197" s="4"/>
      <c r="M197" s="4"/>
      <c r="N197" s="4"/>
      <c r="O197" s="51">
        <v>46181.003750000003</v>
      </c>
      <c r="P197" s="32" t="s">
        <v>81</v>
      </c>
      <c r="Q197" s="32"/>
    </row>
    <row r="198" spans="1:17" s="5" customFormat="1">
      <c r="A198" s="52"/>
      <c r="B198" s="12"/>
      <c r="C198" s="4"/>
      <c r="D198" s="4"/>
      <c r="E1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2"/>
      <c r="G198" s="33" t="b">
        <v>0</v>
      </c>
      <c r="H198" s="33" t="b">
        <v>0</v>
      </c>
      <c r="I198" s="33" t="b">
        <v>0</v>
      </c>
      <c r="J198" s="33" t="b">
        <v>0</v>
      </c>
      <c r="K198" s="4"/>
      <c r="L198" s="4"/>
      <c r="M198" s="4"/>
      <c r="N198" s="4"/>
      <c r="O198" s="51">
        <v>46181.003750000003</v>
      </c>
      <c r="P198" s="32" t="s">
        <v>81</v>
      </c>
      <c r="Q198" s="32"/>
    </row>
    <row r="199" spans="1:17" s="5" customFormat="1">
      <c r="A199" s="52"/>
      <c r="B199" s="12"/>
      <c r="C199" s="4"/>
      <c r="D199" s="4"/>
      <c r="E1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2"/>
      <c r="G199" s="33" t="b">
        <v>0</v>
      </c>
      <c r="H199" s="33" t="b">
        <v>0</v>
      </c>
      <c r="I199" s="33" t="b">
        <v>0</v>
      </c>
      <c r="J199" s="33" t="b">
        <v>0</v>
      </c>
      <c r="K199" s="4"/>
      <c r="L199" s="4"/>
      <c r="M199" s="4"/>
      <c r="N199" s="4"/>
      <c r="O199" s="51">
        <v>46181.003750000003</v>
      </c>
      <c r="P199" s="32" t="s">
        <v>81</v>
      </c>
      <c r="Q199" s="32"/>
    </row>
    <row r="200" spans="1:17" s="5" customFormat="1">
      <c r="A200" s="52"/>
      <c r="B200" s="12"/>
      <c r="C200" s="4"/>
      <c r="D200" s="4"/>
      <c r="E2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2"/>
      <c r="G200" s="33" t="b">
        <v>0</v>
      </c>
      <c r="H200" s="33" t="b">
        <v>0</v>
      </c>
      <c r="I200" s="33" t="b">
        <v>0</v>
      </c>
      <c r="J200" s="33" t="b">
        <v>0</v>
      </c>
      <c r="K200" s="4"/>
      <c r="L200" s="4"/>
      <c r="M200" s="4"/>
      <c r="N200" s="4"/>
      <c r="O200" s="51">
        <v>46181.003750000003</v>
      </c>
      <c r="P200" s="32" t="s">
        <v>81</v>
      </c>
      <c r="Q200" s="32"/>
    </row>
    <row r="201" spans="1:17" s="5" customFormat="1">
      <c r="A201" s="52"/>
      <c r="B201" s="12"/>
      <c r="C201" s="4"/>
      <c r="D201" s="4"/>
      <c r="E2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2"/>
      <c r="G201" s="33" t="b">
        <v>0</v>
      </c>
      <c r="H201" s="33" t="b">
        <v>0</v>
      </c>
      <c r="I201" s="33" t="b">
        <v>0</v>
      </c>
      <c r="J201" s="33" t="b">
        <v>0</v>
      </c>
      <c r="K201" s="4"/>
      <c r="L201" s="4"/>
      <c r="M201" s="4"/>
      <c r="N201" s="4"/>
      <c r="O201" s="51">
        <v>46181.003750000003</v>
      </c>
      <c r="P201" s="32" t="s">
        <v>81</v>
      </c>
      <c r="Q201" s="32"/>
    </row>
    <row r="202" spans="1:17">
      <c r="A202" s="43"/>
    </row>
    <row r="203" spans="1:17">
      <c r="A203" s="43"/>
    </row>
    <row r="204" spans="1:17">
      <c r="A204" s="43"/>
    </row>
    <row r="205" spans="1:17">
      <c r="A205" s="43"/>
    </row>
    <row r="206" spans="1:17">
      <c r="A206" s="43"/>
    </row>
    <row r="207" spans="1:17">
      <c r="A207" s="43"/>
    </row>
    <row r="208" spans="1:17">
      <c r="A208" s="43"/>
    </row>
    <row r="209" spans="1:1">
      <c r="A209" s="43"/>
    </row>
    <row r="210" spans="1:1">
      <c r="A210" s="43"/>
    </row>
    <row r="211" spans="1:1">
      <c r="A211" s="43"/>
    </row>
    <row r="212" spans="1:1">
      <c r="A212" s="43"/>
    </row>
    <row r="213" spans="1:1">
      <c r="A213" s="43"/>
    </row>
    <row r="214" spans="1:1">
      <c r="A214" s="43"/>
    </row>
    <row r="215" spans="1:1">
      <c r="A215" s="43"/>
    </row>
    <row r="216" spans="1:1">
      <c r="A216" s="43"/>
    </row>
    <row r="217" spans="1:1">
      <c r="A217" s="43"/>
    </row>
    <row r="218" spans="1:1">
      <c r="A218" s="43"/>
    </row>
    <row r="219" spans="1:1">
      <c r="A219" s="43"/>
    </row>
    <row r="220" spans="1:1">
      <c r="A220" s="43"/>
    </row>
    <row r="221" spans="1:1">
      <c r="A221" s="43"/>
    </row>
    <row r="222" spans="1:1">
      <c r="A222" s="43"/>
    </row>
    <row r="223" spans="1:1">
      <c r="A223" s="43"/>
    </row>
    <row r="224" spans="1:1">
      <c r="A224" s="43"/>
    </row>
    <row r="225" spans="1:1">
      <c r="A225" s="43"/>
    </row>
    <row r="226" spans="1:1">
      <c r="A226" s="43"/>
    </row>
    <row r="227" spans="1:1">
      <c r="A227" s="43"/>
    </row>
    <row r="228" spans="1:1">
      <c r="A228" s="43"/>
    </row>
    <row r="229" spans="1:1">
      <c r="A229" s="43"/>
    </row>
    <row r="230" spans="1:1">
      <c r="A230" s="43"/>
    </row>
    <row r="231" spans="1:1">
      <c r="A231" s="43"/>
    </row>
    <row r="232" spans="1:1">
      <c r="A232" s="43"/>
    </row>
    <row r="233" spans="1:1">
      <c r="A233" s="43"/>
    </row>
    <row r="234" spans="1:1">
      <c r="A234" s="43"/>
    </row>
    <row r="235" spans="1:1">
      <c r="A235" s="43"/>
    </row>
    <row r="236" spans="1:1">
      <c r="A236" s="43"/>
    </row>
    <row r="237" spans="1:1">
      <c r="A237" s="43"/>
    </row>
    <row r="238" spans="1:1">
      <c r="A238" s="43"/>
    </row>
    <row r="239" spans="1:1">
      <c r="A239" s="43"/>
    </row>
    <row r="240" spans="1:1">
      <c r="A240" s="43"/>
    </row>
    <row r="241" spans="1:1">
      <c r="A241" s="43"/>
    </row>
    <row r="242" spans="1:1">
      <c r="A242" s="43"/>
    </row>
    <row r="243" spans="1:1">
      <c r="A243" s="43"/>
    </row>
    <row r="244" spans="1:1">
      <c r="A244" s="43"/>
    </row>
    <row r="245" spans="1:1">
      <c r="A245" s="43"/>
    </row>
    <row r="246" spans="1:1">
      <c r="A246" s="43"/>
    </row>
    <row r="247" spans="1:1">
      <c r="A247" s="43"/>
    </row>
    <row r="248" spans="1:1">
      <c r="A248" s="43"/>
    </row>
    <row r="249" spans="1:1">
      <c r="A249" s="43"/>
    </row>
    <row r="250" spans="1:1">
      <c r="A250" s="43"/>
    </row>
    <row r="251" spans="1:1">
      <c r="A251" s="43"/>
    </row>
    <row r="252" spans="1:1">
      <c r="A252" s="43"/>
    </row>
    <row r="253" spans="1:1">
      <c r="A253" s="43"/>
    </row>
    <row r="254" spans="1:1">
      <c r="A254" s="43"/>
    </row>
    <row r="255" spans="1:1">
      <c r="A255" s="43"/>
    </row>
    <row r="256" spans="1:1">
      <c r="A256" s="43"/>
    </row>
    <row r="257" spans="1:1">
      <c r="A257" s="43"/>
    </row>
    <row r="258" spans="1:1">
      <c r="A258" s="43"/>
    </row>
    <row r="259" spans="1:1">
      <c r="A259" s="43"/>
    </row>
    <row r="260" spans="1:1">
      <c r="A260" s="43"/>
    </row>
    <row r="261" spans="1:1">
      <c r="A261" s="43"/>
    </row>
    <row r="262" spans="1:1">
      <c r="A262" s="43"/>
    </row>
    <row r="263" spans="1:1">
      <c r="A263" s="43"/>
    </row>
    <row r="264" spans="1:1">
      <c r="A264" s="43"/>
    </row>
    <row r="265" spans="1:1">
      <c r="A265" s="43"/>
    </row>
    <row r="266" spans="1:1">
      <c r="A266" s="43"/>
    </row>
    <row r="267" spans="1:1">
      <c r="A267" s="43"/>
    </row>
    <row r="268" spans="1:1">
      <c r="A268" s="43"/>
    </row>
    <row r="269" spans="1:1">
      <c r="A269" s="43"/>
    </row>
    <row r="270" spans="1:1">
      <c r="A270" s="43"/>
    </row>
    <row r="271" spans="1:1">
      <c r="A271" s="43"/>
    </row>
    <row r="272" spans="1:1">
      <c r="A272" s="43"/>
    </row>
    <row r="273" spans="1:1">
      <c r="A273" s="43"/>
    </row>
    <row r="274" spans="1:1">
      <c r="A274" s="43"/>
    </row>
    <row r="275" spans="1:1">
      <c r="A275" s="43"/>
    </row>
    <row r="276" spans="1:1">
      <c r="A276" s="43"/>
    </row>
    <row r="277" spans="1:1">
      <c r="A277" s="43"/>
    </row>
    <row r="278" spans="1:1">
      <c r="A278" s="43"/>
    </row>
    <row r="279" spans="1:1">
      <c r="A279" s="43"/>
    </row>
    <row r="280" spans="1:1">
      <c r="A280" s="43"/>
    </row>
    <row r="281" spans="1:1">
      <c r="A281" s="43"/>
    </row>
    <row r="282" spans="1:1">
      <c r="A282" s="43"/>
    </row>
    <row r="283" spans="1:1">
      <c r="A283" s="43"/>
    </row>
    <row r="284" spans="1:1">
      <c r="A284" s="43"/>
    </row>
    <row r="285" spans="1:1">
      <c r="A285" s="43"/>
    </row>
    <row r="286" spans="1:1">
      <c r="A286" s="43"/>
    </row>
    <row r="287" spans="1:1">
      <c r="A287" s="43"/>
    </row>
    <row r="288" spans="1:1">
      <c r="A288" s="43"/>
    </row>
    <row r="289" spans="1:1">
      <c r="A289" s="43"/>
    </row>
    <row r="290" spans="1:1">
      <c r="A290" s="43"/>
    </row>
    <row r="291" spans="1:1">
      <c r="A291" s="43"/>
    </row>
    <row r="292" spans="1:1">
      <c r="A292" s="43"/>
    </row>
    <row r="293" spans="1:1">
      <c r="A293" s="43"/>
    </row>
    <row r="294" spans="1:1">
      <c r="A294" s="43"/>
    </row>
    <row r="295" spans="1:1">
      <c r="A295" s="43"/>
    </row>
    <row r="296" spans="1:1">
      <c r="A296" s="43"/>
    </row>
    <row r="297" spans="1:1">
      <c r="A297" s="43"/>
    </row>
    <row r="298" spans="1:1">
      <c r="A298" s="43"/>
    </row>
    <row r="299" spans="1:1">
      <c r="A299" s="43"/>
    </row>
    <row r="300" spans="1:1">
      <c r="A300" s="43"/>
    </row>
    <row r="301" spans="1:1">
      <c r="A301" s="43"/>
    </row>
    <row r="302" spans="1:1">
      <c r="A302" s="43"/>
    </row>
    <row r="303" spans="1:1">
      <c r="A303" s="43"/>
    </row>
    <row r="304" spans="1:1">
      <c r="A304" s="43"/>
    </row>
    <row r="305" spans="1:1">
      <c r="A305" s="43"/>
    </row>
    <row r="306" spans="1:1">
      <c r="A306" s="43"/>
    </row>
    <row r="307" spans="1:1">
      <c r="A307" s="43"/>
    </row>
    <row r="308" spans="1:1">
      <c r="A308" s="43"/>
    </row>
    <row r="309" spans="1:1">
      <c r="A309" s="43"/>
    </row>
    <row r="310" spans="1:1">
      <c r="A310" s="43"/>
    </row>
    <row r="311" spans="1:1">
      <c r="A311" s="43"/>
    </row>
    <row r="312" spans="1:1">
      <c r="A312" s="43"/>
    </row>
    <row r="313" spans="1:1">
      <c r="A313" s="43"/>
    </row>
    <row r="314" spans="1:1">
      <c r="A314" s="43"/>
    </row>
    <row r="315" spans="1:1">
      <c r="A315" s="43"/>
    </row>
    <row r="316" spans="1:1">
      <c r="A316" s="43"/>
    </row>
    <row r="317" spans="1:1">
      <c r="A317" s="43"/>
    </row>
    <row r="318" spans="1:1">
      <c r="A318" s="43"/>
    </row>
    <row r="319" spans="1:1">
      <c r="A319" s="43"/>
    </row>
    <row r="320" spans="1:1">
      <c r="A320" s="43"/>
    </row>
    <row r="321" spans="1:1">
      <c r="A321" s="43"/>
    </row>
    <row r="322" spans="1:1">
      <c r="A322" s="43"/>
    </row>
    <row r="323" spans="1:1">
      <c r="A323" s="43"/>
    </row>
    <row r="324" spans="1:1">
      <c r="A324" s="43"/>
    </row>
    <row r="325" spans="1:1">
      <c r="A325" s="43"/>
    </row>
    <row r="326" spans="1:1">
      <c r="A326" s="43"/>
    </row>
    <row r="327" spans="1:1">
      <c r="A327" s="43"/>
    </row>
    <row r="328" spans="1:1">
      <c r="A328" s="43"/>
    </row>
    <row r="329" spans="1:1">
      <c r="A329" s="43"/>
    </row>
    <row r="330" spans="1:1">
      <c r="A330" s="43"/>
    </row>
    <row r="331" spans="1:1">
      <c r="A331" s="43"/>
    </row>
    <row r="332" spans="1:1">
      <c r="A332" s="43"/>
    </row>
    <row r="333" spans="1:1">
      <c r="A333" s="43"/>
    </row>
    <row r="334" spans="1:1">
      <c r="A334" s="43"/>
    </row>
    <row r="335" spans="1:1">
      <c r="A335" s="43"/>
    </row>
    <row r="336" spans="1:1">
      <c r="A336" s="43"/>
    </row>
    <row r="337" spans="1:1">
      <c r="A337" s="43"/>
    </row>
    <row r="338" spans="1:1">
      <c r="A338" s="43"/>
    </row>
    <row r="339" spans="1:1">
      <c r="A339" s="43"/>
    </row>
    <row r="340" spans="1:1">
      <c r="A340" s="43"/>
    </row>
    <row r="341" spans="1:1">
      <c r="A341" s="43"/>
    </row>
    <row r="342" spans="1:1">
      <c r="A342" s="43"/>
    </row>
    <row r="343" spans="1:1">
      <c r="A343" s="43"/>
    </row>
    <row r="344" spans="1:1">
      <c r="A344" s="43"/>
    </row>
    <row r="345" spans="1:1">
      <c r="A345" s="43"/>
    </row>
    <row r="346" spans="1:1">
      <c r="A346" s="43"/>
    </row>
    <row r="347" spans="1:1">
      <c r="A347" s="43"/>
    </row>
    <row r="348" spans="1:1">
      <c r="A348" s="43"/>
    </row>
    <row r="349" spans="1:1">
      <c r="A349" s="43"/>
    </row>
    <row r="350" spans="1:1">
      <c r="A350" s="43"/>
    </row>
    <row r="351" spans="1:1">
      <c r="A351" s="43"/>
    </row>
    <row r="352" spans="1:1">
      <c r="A352" s="43"/>
    </row>
    <row r="353" spans="1:1">
      <c r="A353" s="43"/>
    </row>
    <row r="354" spans="1:1">
      <c r="A354" s="43"/>
    </row>
    <row r="355" spans="1:1">
      <c r="A355" s="43"/>
    </row>
    <row r="356" spans="1:1">
      <c r="A356" s="43"/>
    </row>
    <row r="357" spans="1:1">
      <c r="A357" s="43"/>
    </row>
    <row r="358" spans="1:1">
      <c r="A358" s="43"/>
    </row>
    <row r="359" spans="1:1">
      <c r="A359" s="43"/>
    </row>
    <row r="360" spans="1:1">
      <c r="A360" s="43"/>
    </row>
    <row r="361" spans="1:1">
      <c r="A361" s="43"/>
    </row>
    <row r="362" spans="1:1">
      <c r="A362" s="43"/>
    </row>
    <row r="363" spans="1:1">
      <c r="A363" s="43"/>
    </row>
    <row r="364" spans="1:1">
      <c r="A364" s="43"/>
    </row>
    <row r="365" spans="1:1">
      <c r="A365" s="43"/>
    </row>
    <row r="366" spans="1:1">
      <c r="A366" s="43"/>
    </row>
    <row r="367" spans="1:1">
      <c r="A367" s="43"/>
    </row>
    <row r="368" spans="1:1">
      <c r="A368" s="43"/>
    </row>
    <row r="369" spans="1:1">
      <c r="A369" s="43"/>
    </row>
    <row r="370" spans="1:1">
      <c r="A370" s="43"/>
    </row>
    <row r="371" spans="1:1">
      <c r="A371" s="43"/>
    </row>
    <row r="372" spans="1:1">
      <c r="A372" s="43"/>
    </row>
    <row r="373" spans="1:1">
      <c r="A373" s="43"/>
    </row>
    <row r="374" spans="1:1">
      <c r="A374" s="43"/>
    </row>
    <row r="375" spans="1:1">
      <c r="A375" s="43"/>
    </row>
    <row r="376" spans="1:1">
      <c r="A376" s="43"/>
    </row>
    <row r="377" spans="1:1">
      <c r="A377" s="43"/>
    </row>
    <row r="378" spans="1:1">
      <c r="A378" s="43"/>
    </row>
    <row r="379" spans="1:1">
      <c r="A379" s="43"/>
    </row>
    <row r="380" spans="1:1">
      <c r="A380" s="43"/>
    </row>
    <row r="381" spans="1:1">
      <c r="A381" s="43"/>
    </row>
    <row r="382" spans="1:1">
      <c r="A382" s="43"/>
    </row>
    <row r="383" spans="1:1">
      <c r="A383" s="43"/>
    </row>
    <row r="384" spans="1:1">
      <c r="A384" s="43"/>
    </row>
    <row r="385" spans="1:1">
      <c r="A385" s="43"/>
    </row>
    <row r="386" spans="1:1">
      <c r="A386" s="43"/>
    </row>
    <row r="387" spans="1:1">
      <c r="A387" s="43"/>
    </row>
    <row r="388" spans="1:1">
      <c r="A388" s="43"/>
    </row>
    <row r="389" spans="1:1">
      <c r="A389" s="43"/>
    </row>
    <row r="390" spans="1:1">
      <c r="A390" s="43"/>
    </row>
    <row r="391" spans="1:1">
      <c r="A391" s="43"/>
    </row>
    <row r="392" spans="1:1">
      <c r="A392" s="43"/>
    </row>
    <row r="393" spans="1:1">
      <c r="A393" s="43"/>
    </row>
    <row r="394" spans="1:1">
      <c r="A394" s="43"/>
    </row>
    <row r="395" spans="1:1">
      <c r="A395" s="43"/>
    </row>
    <row r="396" spans="1:1">
      <c r="A396" s="43"/>
    </row>
    <row r="397" spans="1:1">
      <c r="A397" s="43"/>
    </row>
    <row r="398" spans="1:1">
      <c r="A398" s="43"/>
    </row>
    <row r="399" spans="1:1">
      <c r="A399" s="43"/>
    </row>
    <row r="400" spans="1:1">
      <c r="A400" s="43"/>
    </row>
    <row r="401" spans="1:1">
      <c r="A401" s="43"/>
    </row>
    <row r="402" spans="1:1">
      <c r="A402" s="43"/>
    </row>
    <row r="403" spans="1:1">
      <c r="A403" s="43"/>
    </row>
    <row r="404" spans="1:1">
      <c r="A404" s="43"/>
    </row>
    <row r="405" spans="1:1">
      <c r="A405" s="43"/>
    </row>
    <row r="406" spans="1:1">
      <c r="A406" s="43"/>
    </row>
    <row r="407" spans="1:1">
      <c r="A407" s="43"/>
    </row>
    <row r="408" spans="1:1">
      <c r="A408" s="43"/>
    </row>
    <row r="409" spans="1:1">
      <c r="A409" s="43"/>
    </row>
    <row r="410" spans="1:1">
      <c r="A410" s="43"/>
    </row>
    <row r="411" spans="1:1">
      <c r="A411" s="43"/>
    </row>
    <row r="412" spans="1:1">
      <c r="A412" s="43"/>
    </row>
    <row r="413" spans="1:1">
      <c r="A413" s="43"/>
    </row>
    <row r="414" spans="1:1">
      <c r="A414" s="43"/>
    </row>
    <row r="415" spans="1:1">
      <c r="A415" s="43"/>
    </row>
    <row r="416" spans="1:1">
      <c r="A416" s="43"/>
    </row>
    <row r="417" spans="1:1">
      <c r="A417" s="43"/>
    </row>
    <row r="418" spans="1:1">
      <c r="A418" s="43"/>
    </row>
    <row r="419" spans="1:1">
      <c r="A419" s="43"/>
    </row>
    <row r="420" spans="1:1">
      <c r="A420" s="43"/>
    </row>
    <row r="421" spans="1:1">
      <c r="A421" s="43"/>
    </row>
    <row r="422" spans="1:1">
      <c r="A422" s="43"/>
    </row>
    <row r="423" spans="1:1">
      <c r="A423" s="43"/>
    </row>
    <row r="424" spans="1:1">
      <c r="A424" s="43"/>
    </row>
    <row r="425" spans="1:1">
      <c r="A425" s="43"/>
    </row>
    <row r="426" spans="1:1">
      <c r="A426" s="43"/>
    </row>
    <row r="427" spans="1:1">
      <c r="A427" s="43"/>
    </row>
    <row r="428" spans="1:1">
      <c r="A428" s="43"/>
    </row>
    <row r="429" spans="1:1">
      <c r="A429" s="43"/>
    </row>
    <row r="430" spans="1:1">
      <c r="A430" s="43"/>
    </row>
    <row r="431" spans="1:1">
      <c r="A431" s="43"/>
    </row>
    <row r="432" spans="1:1">
      <c r="A432" s="43"/>
    </row>
    <row r="433" spans="1:1">
      <c r="A433" s="43"/>
    </row>
    <row r="434" spans="1:1">
      <c r="A434" s="43"/>
    </row>
    <row r="435" spans="1:1">
      <c r="A435" s="43"/>
    </row>
    <row r="436" spans="1:1">
      <c r="A436" s="43"/>
    </row>
    <row r="437" spans="1:1">
      <c r="A437" s="43"/>
    </row>
    <row r="438" spans="1:1">
      <c r="A438" s="43"/>
    </row>
    <row r="439" spans="1:1">
      <c r="A439" s="43"/>
    </row>
    <row r="440" spans="1:1">
      <c r="A440" s="43"/>
    </row>
    <row r="441" spans="1:1">
      <c r="A441" s="43"/>
    </row>
    <row r="442" spans="1:1">
      <c r="A442" s="43"/>
    </row>
    <row r="443" spans="1:1">
      <c r="A443" s="43"/>
    </row>
    <row r="444" spans="1:1">
      <c r="A444" s="43"/>
    </row>
    <row r="445" spans="1:1">
      <c r="A445" s="43"/>
    </row>
    <row r="446" spans="1:1">
      <c r="A446" s="43"/>
    </row>
    <row r="447" spans="1:1">
      <c r="A447" s="43"/>
    </row>
    <row r="448" spans="1:1">
      <c r="A448" s="43"/>
    </row>
    <row r="449" spans="1:1">
      <c r="A449" s="43"/>
    </row>
    <row r="450" spans="1:1">
      <c r="A450" s="43"/>
    </row>
    <row r="451" spans="1:1">
      <c r="A451" s="43"/>
    </row>
    <row r="452" spans="1:1">
      <c r="A452" s="43"/>
    </row>
    <row r="453" spans="1:1">
      <c r="A453" s="43"/>
    </row>
    <row r="454" spans="1:1">
      <c r="A454" s="43"/>
    </row>
    <row r="455" spans="1:1">
      <c r="A455" s="43"/>
    </row>
    <row r="456" spans="1:1">
      <c r="A456" s="43"/>
    </row>
    <row r="457" spans="1:1">
      <c r="A457" s="43"/>
    </row>
    <row r="458" spans="1:1">
      <c r="A458" s="43"/>
    </row>
    <row r="459" spans="1:1">
      <c r="A459" s="43"/>
    </row>
    <row r="460" spans="1:1">
      <c r="A460" s="43"/>
    </row>
    <row r="461" spans="1:1">
      <c r="A461" s="43"/>
    </row>
    <row r="462" spans="1:1">
      <c r="A462" s="43"/>
    </row>
    <row r="463" spans="1:1">
      <c r="A463" s="43"/>
    </row>
    <row r="464" spans="1:1">
      <c r="A464" s="43"/>
    </row>
    <row r="465" spans="1:1">
      <c r="A465" s="43"/>
    </row>
    <row r="466" spans="1:1">
      <c r="A466" s="43"/>
    </row>
    <row r="467" spans="1:1">
      <c r="A467" s="43"/>
    </row>
    <row r="468" spans="1:1">
      <c r="A468" s="43"/>
    </row>
    <row r="469" spans="1:1">
      <c r="A469" s="43"/>
    </row>
    <row r="470" spans="1:1">
      <c r="A470" s="43"/>
    </row>
    <row r="471" spans="1:1">
      <c r="A471" s="43"/>
    </row>
    <row r="472" spans="1:1">
      <c r="A472" s="43"/>
    </row>
    <row r="473" spans="1:1">
      <c r="A473" s="43"/>
    </row>
    <row r="474" spans="1:1">
      <c r="A474" s="43"/>
    </row>
    <row r="475" spans="1:1">
      <c r="A475" s="43"/>
    </row>
    <row r="476" spans="1:1">
      <c r="A476" s="43"/>
    </row>
    <row r="477" spans="1:1">
      <c r="A477" s="43"/>
    </row>
    <row r="478" spans="1:1">
      <c r="A478" s="43"/>
    </row>
    <row r="479" spans="1:1">
      <c r="A479" s="43"/>
    </row>
    <row r="480" spans="1:1">
      <c r="A480" s="43"/>
    </row>
    <row r="481" spans="1:1">
      <c r="A481" s="43"/>
    </row>
    <row r="482" spans="1:1">
      <c r="A482" s="43"/>
    </row>
    <row r="483" spans="1:1">
      <c r="A483" s="43"/>
    </row>
    <row r="484" spans="1:1">
      <c r="A484" s="43"/>
    </row>
    <row r="485" spans="1:1">
      <c r="A485" s="43"/>
    </row>
    <row r="486" spans="1:1">
      <c r="A486" s="43"/>
    </row>
    <row r="487" spans="1:1">
      <c r="A487" s="43"/>
    </row>
    <row r="488" spans="1:1">
      <c r="A488" s="43"/>
    </row>
    <row r="489" spans="1:1">
      <c r="A489" s="43"/>
    </row>
    <row r="490" spans="1:1">
      <c r="A490" s="43"/>
    </row>
    <row r="491" spans="1:1">
      <c r="A491" s="43"/>
    </row>
    <row r="492" spans="1:1">
      <c r="A492" s="43"/>
    </row>
    <row r="493" spans="1:1">
      <c r="A493" s="43"/>
    </row>
    <row r="494" spans="1:1">
      <c r="A494" s="43"/>
    </row>
    <row r="495" spans="1:1">
      <c r="A495" s="43"/>
    </row>
    <row r="496" spans="1:1">
      <c r="A496" s="43"/>
    </row>
    <row r="497" spans="1:1">
      <c r="A497" s="43"/>
    </row>
    <row r="498" spans="1:1">
      <c r="A498" s="43"/>
    </row>
    <row r="499" spans="1:1">
      <c r="A499" s="43"/>
    </row>
    <row r="500" spans="1:1">
      <c r="A500" s="43"/>
    </row>
    <row r="501" spans="1:1">
      <c r="A501" s="43"/>
    </row>
    <row r="502" spans="1:1">
      <c r="A502" s="43"/>
    </row>
    <row r="503" spans="1:1">
      <c r="A503" s="43"/>
    </row>
    <row r="504" spans="1:1">
      <c r="A504" s="43"/>
    </row>
    <row r="505" spans="1:1">
      <c r="A505" s="43"/>
    </row>
    <row r="506" spans="1:1">
      <c r="A506" s="43"/>
    </row>
    <row r="507" spans="1:1">
      <c r="A507" s="43"/>
    </row>
    <row r="508" spans="1:1">
      <c r="A508" s="43"/>
    </row>
    <row r="509" spans="1:1">
      <c r="A509" s="43"/>
    </row>
    <row r="510" spans="1:1">
      <c r="A510" s="43"/>
    </row>
    <row r="511" spans="1:1">
      <c r="A511" s="43"/>
    </row>
    <row r="512" spans="1:1">
      <c r="A512" s="43"/>
    </row>
    <row r="513" spans="1:1">
      <c r="A513" s="43"/>
    </row>
    <row r="514" spans="1:1">
      <c r="A514" s="43"/>
    </row>
    <row r="515" spans="1:1">
      <c r="A515" s="43"/>
    </row>
    <row r="516" spans="1:1">
      <c r="A516" s="43"/>
    </row>
    <row r="517" spans="1:1">
      <c r="A517" s="43"/>
    </row>
    <row r="518" spans="1:1">
      <c r="A518" s="43"/>
    </row>
    <row r="519" spans="1:1">
      <c r="A519" s="43"/>
    </row>
    <row r="520" spans="1:1">
      <c r="A520" s="43"/>
    </row>
    <row r="521" spans="1:1">
      <c r="A521" s="43"/>
    </row>
    <row r="522" spans="1:1">
      <c r="A522" s="43"/>
    </row>
    <row r="523" spans="1:1">
      <c r="A523" s="43"/>
    </row>
    <row r="524" spans="1:1">
      <c r="A524" s="43"/>
    </row>
    <row r="525" spans="1:1">
      <c r="A525" s="43"/>
    </row>
    <row r="526" spans="1:1">
      <c r="A526" s="43"/>
    </row>
    <row r="527" spans="1:1">
      <c r="A527" s="43"/>
    </row>
    <row r="528" spans="1:1">
      <c r="A528" s="43"/>
    </row>
    <row r="529" spans="1:1">
      <c r="A529" s="43"/>
    </row>
    <row r="530" spans="1:1">
      <c r="A530" s="43"/>
    </row>
    <row r="531" spans="1:1">
      <c r="A531" s="43"/>
    </row>
    <row r="532" spans="1:1">
      <c r="A532" s="43"/>
    </row>
    <row r="533" spans="1:1">
      <c r="A533" s="43"/>
    </row>
    <row r="534" spans="1:1">
      <c r="A534" s="43"/>
    </row>
    <row r="535" spans="1:1">
      <c r="A535" s="43"/>
    </row>
    <row r="536" spans="1:1">
      <c r="A536" s="43"/>
    </row>
    <row r="537" spans="1:1">
      <c r="A537" s="43"/>
    </row>
    <row r="538" spans="1:1">
      <c r="A538" s="43"/>
    </row>
    <row r="539" spans="1:1">
      <c r="A539" s="43"/>
    </row>
    <row r="540" spans="1:1">
      <c r="A540" s="43"/>
    </row>
    <row r="541" spans="1:1">
      <c r="A541" s="43"/>
    </row>
    <row r="542" spans="1:1">
      <c r="A542" s="43"/>
    </row>
    <row r="543" spans="1:1">
      <c r="A543" s="43"/>
    </row>
    <row r="544" spans="1:1">
      <c r="A544" s="43"/>
    </row>
    <row r="545" spans="1:1">
      <c r="A545" s="43"/>
    </row>
    <row r="546" spans="1:1">
      <c r="A546" s="43"/>
    </row>
    <row r="547" spans="1:1">
      <c r="A547" s="43"/>
    </row>
    <row r="548" spans="1:1">
      <c r="A548" s="43"/>
    </row>
    <row r="549" spans="1:1">
      <c r="A549" s="43"/>
    </row>
    <row r="550" spans="1:1">
      <c r="A550" s="43"/>
    </row>
    <row r="551" spans="1:1">
      <c r="A551" s="43"/>
    </row>
    <row r="552" spans="1:1">
      <c r="A552" s="43"/>
    </row>
    <row r="553" spans="1:1">
      <c r="A553" s="43"/>
    </row>
    <row r="554" spans="1:1">
      <c r="A554" s="43"/>
    </row>
    <row r="555" spans="1:1">
      <c r="A555" s="43"/>
    </row>
    <row r="556" spans="1:1">
      <c r="A556" s="43"/>
    </row>
    <row r="557" spans="1:1">
      <c r="A557" s="43"/>
    </row>
    <row r="558" spans="1:1">
      <c r="A558" s="43"/>
    </row>
    <row r="559" spans="1:1">
      <c r="A559" s="43"/>
    </row>
    <row r="560" spans="1:1">
      <c r="A560" s="43"/>
    </row>
    <row r="561" spans="1:1">
      <c r="A561" s="43"/>
    </row>
    <row r="562" spans="1:1">
      <c r="A562" s="43"/>
    </row>
    <row r="563" spans="1:1">
      <c r="A563" s="43"/>
    </row>
    <row r="564" spans="1:1">
      <c r="A564" s="43"/>
    </row>
    <row r="565" spans="1:1">
      <c r="A565" s="43"/>
    </row>
    <row r="566" spans="1:1">
      <c r="A566" s="43"/>
    </row>
    <row r="567" spans="1:1">
      <c r="A567" s="43"/>
    </row>
    <row r="568" spans="1:1">
      <c r="A568" s="43"/>
    </row>
    <row r="569" spans="1:1">
      <c r="A569" s="43"/>
    </row>
    <row r="570" spans="1:1">
      <c r="A570" s="43"/>
    </row>
    <row r="571" spans="1:1">
      <c r="A571" s="43"/>
    </row>
    <row r="572" spans="1:1">
      <c r="A572" s="43"/>
    </row>
    <row r="573" spans="1:1">
      <c r="A573" s="43"/>
    </row>
    <row r="574" spans="1:1">
      <c r="A574" s="43"/>
    </row>
    <row r="575" spans="1:1">
      <c r="A575" s="43"/>
    </row>
    <row r="576" spans="1:1">
      <c r="A576" s="43"/>
    </row>
    <row r="577" spans="1:1">
      <c r="A577" s="43"/>
    </row>
    <row r="578" spans="1:1">
      <c r="A578" s="43"/>
    </row>
    <row r="579" spans="1:1">
      <c r="A579" s="43"/>
    </row>
    <row r="580" spans="1:1">
      <c r="A580" s="43"/>
    </row>
    <row r="581" spans="1:1">
      <c r="A581" s="43"/>
    </row>
    <row r="582" spans="1:1">
      <c r="A582" s="43"/>
    </row>
    <row r="583" spans="1:1">
      <c r="A583" s="43"/>
    </row>
    <row r="584" spans="1:1">
      <c r="A584" s="43"/>
    </row>
    <row r="585" spans="1:1">
      <c r="A585" s="43"/>
    </row>
    <row r="586" spans="1:1">
      <c r="A586" s="43"/>
    </row>
    <row r="587" spans="1:1">
      <c r="A587" s="43"/>
    </row>
    <row r="588" spans="1:1">
      <c r="A588" s="43"/>
    </row>
    <row r="589" spans="1:1">
      <c r="A589" s="43"/>
    </row>
    <row r="590" spans="1:1">
      <c r="A590" s="43"/>
    </row>
    <row r="591" spans="1:1">
      <c r="A591" s="43"/>
    </row>
    <row r="592" spans="1:1">
      <c r="A592" s="43"/>
    </row>
    <row r="593" spans="1:1">
      <c r="A593" s="43"/>
    </row>
    <row r="594" spans="1:1">
      <c r="A594" s="43"/>
    </row>
    <row r="595" spans="1:1">
      <c r="A595" s="43"/>
    </row>
    <row r="596" spans="1:1">
      <c r="A596" s="43"/>
    </row>
    <row r="597" spans="1:1">
      <c r="A597" s="43"/>
    </row>
    <row r="598" spans="1:1">
      <c r="A598" s="43"/>
    </row>
    <row r="599" spans="1:1">
      <c r="A599" s="43"/>
    </row>
    <row r="600" spans="1:1">
      <c r="A600" s="43"/>
    </row>
    <row r="601" spans="1:1">
      <c r="A601" s="43"/>
    </row>
    <row r="602" spans="1:1">
      <c r="A602" s="43"/>
    </row>
    <row r="603" spans="1:1">
      <c r="A603" s="43"/>
    </row>
    <row r="604" spans="1:1">
      <c r="A604" s="43"/>
    </row>
    <row r="605" spans="1:1">
      <c r="A605" s="43"/>
    </row>
    <row r="606" spans="1:1">
      <c r="A606" s="43"/>
    </row>
    <row r="607" spans="1:1">
      <c r="A607" s="43"/>
    </row>
    <row r="608" spans="1:1">
      <c r="A608" s="43"/>
    </row>
    <row r="609" spans="1:1">
      <c r="A609" s="43"/>
    </row>
    <row r="610" spans="1:1">
      <c r="A610" s="43"/>
    </row>
    <row r="611" spans="1:1">
      <c r="A611" s="43"/>
    </row>
    <row r="612" spans="1:1">
      <c r="A612" s="43"/>
    </row>
    <row r="613" spans="1:1">
      <c r="A613" s="43"/>
    </row>
    <row r="614" spans="1:1">
      <c r="A614" s="43"/>
    </row>
    <row r="615" spans="1:1">
      <c r="A615" s="43"/>
    </row>
    <row r="616" spans="1:1">
      <c r="A616" s="43"/>
    </row>
    <row r="617" spans="1:1">
      <c r="A617" s="43"/>
    </row>
    <row r="618" spans="1:1">
      <c r="A618" s="43"/>
    </row>
    <row r="619" spans="1:1">
      <c r="A619" s="43"/>
    </row>
    <row r="620" spans="1:1">
      <c r="A620" s="43"/>
    </row>
    <row r="621" spans="1:1">
      <c r="A621" s="43"/>
    </row>
    <row r="622" spans="1:1">
      <c r="A622" s="43"/>
    </row>
    <row r="623" spans="1:1">
      <c r="A623" s="43"/>
    </row>
    <row r="624" spans="1:1">
      <c r="A624" s="43"/>
    </row>
    <row r="625" spans="1:1">
      <c r="A625" s="43"/>
    </row>
    <row r="626" spans="1:1">
      <c r="A626" s="43"/>
    </row>
    <row r="627" spans="1:1">
      <c r="A627" s="43"/>
    </row>
    <row r="628" spans="1:1">
      <c r="A628" s="43"/>
    </row>
    <row r="629" spans="1:1">
      <c r="A629" s="43"/>
    </row>
    <row r="630" spans="1:1">
      <c r="A630" s="43"/>
    </row>
    <row r="631" spans="1:1">
      <c r="A631" s="43"/>
    </row>
    <row r="632" spans="1:1">
      <c r="A632" s="43"/>
    </row>
    <row r="633" spans="1:1">
      <c r="A633" s="43"/>
    </row>
    <row r="634" spans="1:1">
      <c r="A634" s="43"/>
    </row>
    <row r="635" spans="1:1">
      <c r="A635" s="43"/>
    </row>
    <row r="636" spans="1:1">
      <c r="A636" s="43"/>
    </row>
    <row r="637" spans="1:1">
      <c r="A637" s="43"/>
    </row>
    <row r="638" spans="1:1">
      <c r="A638" s="43"/>
    </row>
    <row r="639" spans="1:1">
      <c r="A639" s="43"/>
    </row>
    <row r="640" spans="1:1">
      <c r="A640" s="43"/>
    </row>
    <row r="641" spans="1:1">
      <c r="A641" s="43"/>
    </row>
    <row r="642" spans="1:1">
      <c r="A642" s="43"/>
    </row>
    <row r="643" spans="1:1">
      <c r="A643" s="43"/>
    </row>
    <row r="644" spans="1:1">
      <c r="A644" s="43"/>
    </row>
    <row r="645" spans="1:1">
      <c r="A645" s="43"/>
    </row>
    <row r="646" spans="1:1">
      <c r="A646" s="43"/>
    </row>
    <row r="647" spans="1:1">
      <c r="A647" s="43"/>
    </row>
    <row r="648" spans="1:1">
      <c r="A648" s="43"/>
    </row>
    <row r="649" spans="1:1">
      <c r="A649" s="43"/>
    </row>
    <row r="650" spans="1:1">
      <c r="A650" s="43"/>
    </row>
    <row r="651" spans="1:1">
      <c r="A651" s="43"/>
    </row>
    <row r="652" spans="1:1">
      <c r="A652" s="43"/>
    </row>
    <row r="653" spans="1:1">
      <c r="A653" s="43"/>
    </row>
    <row r="654" spans="1:1">
      <c r="A654" s="43"/>
    </row>
    <row r="655" spans="1:1">
      <c r="A655" s="43"/>
    </row>
    <row r="656" spans="1:1">
      <c r="A656" s="43"/>
    </row>
    <row r="657" spans="1:1">
      <c r="A657" s="43"/>
    </row>
    <row r="658" spans="1:1">
      <c r="A658" s="43"/>
    </row>
    <row r="659" spans="1:1">
      <c r="A659" s="43"/>
    </row>
    <row r="660" spans="1:1">
      <c r="A660" s="43"/>
    </row>
    <row r="661" spans="1:1">
      <c r="A661" s="43"/>
    </row>
    <row r="662" spans="1:1">
      <c r="A662" s="43"/>
    </row>
    <row r="663" spans="1:1">
      <c r="A663" s="43"/>
    </row>
    <row r="664" spans="1:1">
      <c r="A664" s="43"/>
    </row>
    <row r="665" spans="1:1">
      <c r="A665" s="43"/>
    </row>
    <row r="666" spans="1:1">
      <c r="A666" s="43"/>
    </row>
    <row r="667" spans="1:1">
      <c r="A667" s="43"/>
    </row>
    <row r="668" spans="1:1">
      <c r="A668" s="43"/>
    </row>
    <row r="669" spans="1:1">
      <c r="A669" s="43"/>
    </row>
    <row r="670" spans="1:1">
      <c r="A670" s="43"/>
    </row>
    <row r="671" spans="1:1">
      <c r="A671" s="43"/>
    </row>
    <row r="672" spans="1:1">
      <c r="A672" s="43"/>
    </row>
    <row r="673" spans="1:1">
      <c r="A673" s="43"/>
    </row>
    <row r="674" spans="1:1">
      <c r="A674" s="43"/>
    </row>
    <row r="675" spans="1:1">
      <c r="A675" s="43"/>
    </row>
    <row r="676" spans="1:1">
      <c r="A676" s="43"/>
    </row>
    <row r="677" spans="1:1">
      <c r="A677" s="43"/>
    </row>
    <row r="678" spans="1:1">
      <c r="A678" s="43"/>
    </row>
    <row r="679" spans="1:1">
      <c r="A679" s="43"/>
    </row>
    <row r="680" spans="1:1">
      <c r="A680" s="43"/>
    </row>
    <row r="681" spans="1:1">
      <c r="A681" s="43"/>
    </row>
    <row r="682" spans="1:1">
      <c r="A682" s="43"/>
    </row>
    <row r="683" spans="1:1">
      <c r="A683" s="43"/>
    </row>
    <row r="684" spans="1:1">
      <c r="A684" s="43"/>
    </row>
    <row r="685" spans="1:1">
      <c r="A685" s="43"/>
    </row>
    <row r="686" spans="1:1">
      <c r="A686" s="43"/>
    </row>
    <row r="687" spans="1:1">
      <c r="A687" s="43"/>
    </row>
    <row r="688" spans="1:1">
      <c r="A688" s="43"/>
    </row>
    <row r="689" spans="1:1">
      <c r="A689" s="43"/>
    </row>
    <row r="690" spans="1:1">
      <c r="A690" s="43"/>
    </row>
    <row r="691" spans="1:1">
      <c r="A691" s="43"/>
    </row>
    <row r="692" spans="1:1">
      <c r="A692" s="43"/>
    </row>
    <row r="693" spans="1:1">
      <c r="A693" s="43"/>
    </row>
    <row r="694" spans="1:1">
      <c r="A694" s="43"/>
    </row>
    <row r="695" spans="1:1">
      <c r="A695" s="43"/>
    </row>
    <row r="696" spans="1:1">
      <c r="A696" s="43"/>
    </row>
    <row r="697" spans="1:1">
      <c r="A697" s="43"/>
    </row>
    <row r="698" spans="1:1">
      <c r="A698" s="43"/>
    </row>
    <row r="699" spans="1:1">
      <c r="A699" s="43"/>
    </row>
    <row r="700" spans="1:1">
      <c r="A700" s="43"/>
    </row>
    <row r="701" spans="1:1">
      <c r="A701" s="43"/>
    </row>
    <row r="702" spans="1:1">
      <c r="A702" s="43"/>
    </row>
    <row r="703" spans="1:1">
      <c r="A703" s="43"/>
    </row>
    <row r="704" spans="1:1">
      <c r="A704" s="43"/>
    </row>
    <row r="705" spans="1:1">
      <c r="A705" s="43"/>
    </row>
    <row r="706" spans="1:1">
      <c r="A706" s="43"/>
    </row>
    <row r="707" spans="1:1">
      <c r="A707" s="43"/>
    </row>
    <row r="708" spans="1:1">
      <c r="A708" s="43"/>
    </row>
    <row r="709" spans="1:1">
      <c r="A709" s="43"/>
    </row>
    <row r="710" spans="1:1">
      <c r="A710" s="43"/>
    </row>
    <row r="711" spans="1:1">
      <c r="A711" s="43"/>
    </row>
    <row r="712" spans="1:1">
      <c r="A712" s="43"/>
    </row>
    <row r="713" spans="1:1">
      <c r="A713" s="43"/>
    </row>
    <row r="714" spans="1:1">
      <c r="A714" s="43"/>
    </row>
    <row r="715" spans="1:1">
      <c r="A715" s="43"/>
    </row>
    <row r="716" spans="1:1">
      <c r="A716" s="43"/>
    </row>
    <row r="717" spans="1:1">
      <c r="A717" s="43"/>
    </row>
    <row r="718" spans="1:1">
      <c r="A718" s="43"/>
    </row>
    <row r="719" spans="1:1">
      <c r="A719" s="43"/>
    </row>
    <row r="720" spans="1:1">
      <c r="A720" s="43"/>
    </row>
    <row r="721" spans="1:1">
      <c r="A721" s="43"/>
    </row>
    <row r="722" spans="1:1">
      <c r="A722" s="43"/>
    </row>
    <row r="723" spans="1:1">
      <c r="A723" s="43"/>
    </row>
    <row r="724" spans="1:1">
      <c r="A724" s="43"/>
    </row>
    <row r="725" spans="1:1">
      <c r="A725" s="43"/>
    </row>
    <row r="726" spans="1:1">
      <c r="A726" s="43"/>
    </row>
    <row r="727" spans="1:1">
      <c r="A727" s="43"/>
    </row>
    <row r="728" spans="1:1">
      <c r="A728" s="43"/>
    </row>
    <row r="729" spans="1:1">
      <c r="A729" s="43"/>
    </row>
    <row r="730" spans="1:1">
      <c r="A730" s="43"/>
    </row>
    <row r="731" spans="1:1">
      <c r="A731" s="43"/>
    </row>
    <row r="732" spans="1:1">
      <c r="A732" s="43"/>
    </row>
    <row r="733" spans="1:1">
      <c r="A733" s="43"/>
    </row>
    <row r="734" spans="1:1">
      <c r="A734" s="43"/>
    </row>
    <row r="735" spans="1:1">
      <c r="A735" s="43"/>
    </row>
    <row r="736" spans="1:1">
      <c r="A736" s="43"/>
    </row>
    <row r="737" spans="1:1">
      <c r="A737" s="43"/>
    </row>
    <row r="738" spans="1:1">
      <c r="A738" s="43"/>
    </row>
    <row r="739" spans="1:1">
      <c r="A739" s="43"/>
    </row>
    <row r="740" spans="1:1">
      <c r="A740" s="43"/>
    </row>
    <row r="741" spans="1:1">
      <c r="A741" s="43"/>
    </row>
    <row r="742" spans="1:1">
      <c r="A742" s="43"/>
    </row>
    <row r="743" spans="1:1">
      <c r="A743" s="43"/>
    </row>
    <row r="744" spans="1:1">
      <c r="A744" s="43"/>
    </row>
    <row r="745" spans="1:1">
      <c r="A745" s="43"/>
    </row>
    <row r="746" spans="1:1">
      <c r="A746" s="43"/>
    </row>
    <row r="747" spans="1:1">
      <c r="A747" s="43"/>
    </row>
    <row r="748" spans="1:1">
      <c r="A748" s="43"/>
    </row>
    <row r="749" spans="1:1">
      <c r="A749" s="43"/>
    </row>
    <row r="750" spans="1:1">
      <c r="A750" s="43"/>
    </row>
    <row r="751" spans="1:1">
      <c r="A751" s="43"/>
    </row>
    <row r="752" spans="1:1">
      <c r="A752" s="43"/>
    </row>
    <row r="753" spans="1:1">
      <c r="A753" s="43"/>
    </row>
    <row r="754" spans="1:1">
      <c r="A754" s="43"/>
    </row>
    <row r="755" spans="1:1">
      <c r="A755" s="43"/>
    </row>
    <row r="756" spans="1:1">
      <c r="A756" s="43"/>
    </row>
    <row r="757" spans="1:1">
      <c r="A757" s="43"/>
    </row>
    <row r="758" spans="1:1">
      <c r="A758" s="43"/>
    </row>
    <row r="759" spans="1:1">
      <c r="A759" s="43"/>
    </row>
    <row r="760" spans="1:1">
      <c r="A760" s="43"/>
    </row>
    <row r="761" spans="1:1">
      <c r="A761" s="43"/>
    </row>
    <row r="762" spans="1:1">
      <c r="A762" s="43"/>
    </row>
    <row r="763" spans="1:1">
      <c r="A763" s="43"/>
    </row>
    <row r="764" spans="1:1">
      <c r="A764" s="43"/>
    </row>
    <row r="765" spans="1:1">
      <c r="A765" s="43"/>
    </row>
    <row r="766" spans="1:1">
      <c r="A766" s="43"/>
    </row>
    <row r="767" spans="1:1">
      <c r="A767" s="43"/>
    </row>
    <row r="768" spans="1:1">
      <c r="A768" s="43"/>
    </row>
    <row r="769" spans="1:1">
      <c r="A769" s="43"/>
    </row>
    <row r="770" spans="1:1">
      <c r="A770" s="43"/>
    </row>
    <row r="771" spans="1:1">
      <c r="A771" s="43"/>
    </row>
    <row r="772" spans="1:1">
      <c r="A772" s="43"/>
    </row>
    <row r="773" spans="1:1">
      <c r="A773" s="43"/>
    </row>
    <row r="774" spans="1:1">
      <c r="A774" s="43"/>
    </row>
    <row r="775" spans="1:1">
      <c r="A775" s="43"/>
    </row>
    <row r="776" spans="1:1">
      <c r="A776" s="43"/>
    </row>
    <row r="777" spans="1:1">
      <c r="A777" s="43"/>
    </row>
    <row r="778" spans="1:1">
      <c r="A778" s="43"/>
    </row>
    <row r="779" spans="1:1">
      <c r="A779" s="43"/>
    </row>
    <row r="780" spans="1:1">
      <c r="A780" s="43"/>
    </row>
    <row r="781" spans="1:1">
      <c r="A781" s="43"/>
    </row>
    <row r="782" spans="1:1">
      <c r="A782" s="43"/>
    </row>
    <row r="783" spans="1:1">
      <c r="A783" s="43"/>
    </row>
    <row r="784" spans="1:1">
      <c r="A784" s="43"/>
    </row>
    <row r="785" spans="1:1">
      <c r="A785" s="43"/>
    </row>
    <row r="786" spans="1:1">
      <c r="A786" s="43"/>
    </row>
    <row r="787" spans="1:1">
      <c r="A787" s="43"/>
    </row>
    <row r="788" spans="1:1">
      <c r="A788" s="43"/>
    </row>
    <row r="789" spans="1:1">
      <c r="A789" s="43"/>
    </row>
    <row r="790" spans="1:1">
      <c r="A790" s="43"/>
    </row>
    <row r="791" spans="1:1">
      <c r="A791" s="43"/>
    </row>
    <row r="792" spans="1:1">
      <c r="A792" s="43"/>
    </row>
    <row r="793" spans="1:1">
      <c r="A793" s="43"/>
    </row>
    <row r="794" spans="1:1">
      <c r="A794" s="43"/>
    </row>
    <row r="795" spans="1:1">
      <c r="A795" s="43"/>
    </row>
    <row r="796" spans="1:1">
      <c r="A796" s="43"/>
    </row>
    <row r="797" spans="1:1">
      <c r="A797" s="43"/>
    </row>
    <row r="798" spans="1:1">
      <c r="A798" s="43"/>
    </row>
    <row r="799" spans="1:1">
      <c r="A799" s="43"/>
    </row>
    <row r="800" spans="1:1">
      <c r="A800" s="43"/>
    </row>
    <row r="801" spans="1:1">
      <c r="A801" s="43"/>
    </row>
    <row r="802" spans="1:1">
      <c r="A802" s="43"/>
    </row>
    <row r="803" spans="1:1">
      <c r="A803" s="43"/>
    </row>
    <row r="804" spans="1:1">
      <c r="A804" s="43"/>
    </row>
    <row r="805" spans="1:1">
      <c r="A805" s="43"/>
    </row>
    <row r="806" spans="1:1">
      <c r="A806" s="43"/>
    </row>
    <row r="807" spans="1:1">
      <c r="A807" s="43"/>
    </row>
    <row r="808" spans="1:1">
      <c r="A808" s="43"/>
    </row>
    <row r="809" spans="1:1">
      <c r="A809" s="43"/>
    </row>
    <row r="810" spans="1:1">
      <c r="A810" s="43"/>
    </row>
    <row r="811" spans="1:1">
      <c r="A811" s="43"/>
    </row>
    <row r="812" spans="1:1">
      <c r="A812" s="43"/>
    </row>
    <row r="813" spans="1:1">
      <c r="A813" s="43"/>
    </row>
    <row r="814" spans="1:1">
      <c r="A814" s="43"/>
    </row>
    <row r="815" spans="1:1">
      <c r="A815" s="43"/>
    </row>
    <row r="816" spans="1:1">
      <c r="A816" s="43"/>
    </row>
    <row r="817" spans="1:1">
      <c r="A817" s="43"/>
    </row>
    <row r="818" spans="1:1">
      <c r="A818" s="43"/>
    </row>
    <row r="819" spans="1:1">
      <c r="A819" s="43"/>
    </row>
    <row r="820" spans="1:1">
      <c r="A820" s="43"/>
    </row>
    <row r="821" spans="1:1">
      <c r="A821" s="43"/>
    </row>
    <row r="822" spans="1:1">
      <c r="A822" s="43"/>
    </row>
    <row r="823" spans="1:1">
      <c r="A823" s="43"/>
    </row>
    <row r="824" spans="1:1">
      <c r="A824" s="43"/>
    </row>
    <row r="825" spans="1:1">
      <c r="A825" s="43"/>
    </row>
    <row r="826" spans="1:1">
      <c r="A826" s="43"/>
    </row>
    <row r="827" spans="1:1">
      <c r="A827" s="43"/>
    </row>
    <row r="828" spans="1:1">
      <c r="A828" s="43"/>
    </row>
    <row r="829" spans="1:1">
      <c r="A829" s="43"/>
    </row>
    <row r="830" spans="1:1">
      <c r="A830" s="43"/>
    </row>
    <row r="831" spans="1:1">
      <c r="A831" s="43"/>
    </row>
    <row r="832" spans="1:1">
      <c r="A832" s="43"/>
    </row>
    <row r="833" spans="1:1">
      <c r="A833" s="43"/>
    </row>
    <row r="834" spans="1:1">
      <c r="A834" s="43"/>
    </row>
    <row r="835" spans="1:1">
      <c r="A835" s="43"/>
    </row>
    <row r="836" spans="1:1">
      <c r="A836" s="43"/>
    </row>
    <row r="837" spans="1:1">
      <c r="A837" s="43"/>
    </row>
    <row r="838" spans="1:1">
      <c r="A838" s="43"/>
    </row>
    <row r="839" spans="1:1">
      <c r="A839" s="43"/>
    </row>
    <row r="840" spans="1:1">
      <c r="A840" s="43"/>
    </row>
    <row r="841" spans="1:1">
      <c r="A841" s="43"/>
    </row>
    <row r="842" spans="1:1">
      <c r="A842" s="43"/>
    </row>
    <row r="843" spans="1:1">
      <c r="A843" s="43"/>
    </row>
    <row r="844" spans="1:1">
      <c r="A844" s="43"/>
    </row>
    <row r="845" spans="1:1">
      <c r="A845" s="43"/>
    </row>
    <row r="846" spans="1:1">
      <c r="A846" s="43"/>
    </row>
    <row r="847" spans="1:1">
      <c r="A847" s="43"/>
    </row>
    <row r="848" spans="1:1">
      <c r="A848" s="43"/>
    </row>
    <row r="849" spans="1:1">
      <c r="A849" s="43"/>
    </row>
    <row r="850" spans="1:1">
      <c r="A850" s="43"/>
    </row>
    <row r="851" spans="1:1">
      <c r="A851" s="43"/>
    </row>
    <row r="852" spans="1:1">
      <c r="A852" s="43"/>
    </row>
    <row r="853" spans="1:1">
      <c r="A853" s="43"/>
    </row>
    <row r="854" spans="1:1">
      <c r="A854" s="43"/>
    </row>
    <row r="855" spans="1:1">
      <c r="A855" s="43"/>
    </row>
    <row r="856" spans="1:1">
      <c r="A856" s="43"/>
    </row>
    <row r="857" spans="1:1">
      <c r="A857" s="43"/>
    </row>
    <row r="858" spans="1:1">
      <c r="A858" s="43"/>
    </row>
    <row r="859" spans="1:1">
      <c r="A859" s="43"/>
    </row>
    <row r="860" spans="1:1">
      <c r="A860" s="43"/>
    </row>
    <row r="861" spans="1:1">
      <c r="A861" s="43"/>
    </row>
    <row r="862" spans="1:1">
      <c r="A862" s="43"/>
    </row>
    <row r="863" spans="1:1">
      <c r="A863" s="43"/>
    </row>
    <row r="864" spans="1:1">
      <c r="A864" s="43"/>
    </row>
    <row r="865" spans="1:1">
      <c r="A865" s="43"/>
    </row>
    <row r="866" spans="1:1">
      <c r="A866" s="43"/>
    </row>
    <row r="867" spans="1:1">
      <c r="A867" s="43"/>
    </row>
    <row r="868" spans="1:1">
      <c r="A868" s="43"/>
    </row>
    <row r="869" spans="1:1">
      <c r="A869" s="43"/>
    </row>
    <row r="870" spans="1:1">
      <c r="A870" s="43"/>
    </row>
    <row r="871" spans="1:1">
      <c r="A871" s="43"/>
    </row>
    <row r="872" spans="1:1">
      <c r="A872" s="43"/>
    </row>
    <row r="873" spans="1:1">
      <c r="A873" s="43"/>
    </row>
    <row r="874" spans="1:1">
      <c r="A874" s="43"/>
    </row>
    <row r="875" spans="1:1">
      <c r="A875" s="43"/>
    </row>
    <row r="876" spans="1:1">
      <c r="A876" s="43"/>
    </row>
    <row r="877" spans="1:1">
      <c r="A877" s="43"/>
    </row>
    <row r="878" spans="1:1">
      <c r="A878" s="43"/>
    </row>
    <row r="879" spans="1:1">
      <c r="A879" s="43"/>
    </row>
    <row r="880" spans="1:1">
      <c r="A880" s="43"/>
    </row>
    <row r="881" spans="1:1">
      <c r="A881" s="43"/>
    </row>
    <row r="882" spans="1:1">
      <c r="A882" s="43"/>
    </row>
    <row r="883" spans="1:1">
      <c r="A883" s="43"/>
    </row>
    <row r="884" spans="1:1">
      <c r="A884" s="43"/>
    </row>
    <row r="885" spans="1:1">
      <c r="A885" s="43"/>
    </row>
    <row r="886" spans="1:1">
      <c r="A886" s="43"/>
    </row>
    <row r="887" spans="1:1">
      <c r="A887" s="43"/>
    </row>
    <row r="888" spans="1:1">
      <c r="A888" s="43"/>
    </row>
    <row r="889" spans="1:1">
      <c r="A889" s="43"/>
    </row>
    <row r="890" spans="1:1">
      <c r="A890" s="43"/>
    </row>
    <row r="891" spans="1:1">
      <c r="A891" s="43"/>
    </row>
    <row r="892" spans="1:1">
      <c r="A892" s="43"/>
    </row>
    <row r="893" spans="1:1">
      <c r="A893" s="43"/>
    </row>
    <row r="894" spans="1:1">
      <c r="A894" s="43"/>
    </row>
    <row r="895" spans="1:1">
      <c r="A895" s="43"/>
    </row>
    <row r="896" spans="1:1">
      <c r="A896" s="43"/>
    </row>
    <row r="897" spans="1:1">
      <c r="A897" s="43"/>
    </row>
    <row r="898" spans="1:1">
      <c r="A898" s="43"/>
    </row>
    <row r="899" spans="1:1">
      <c r="A899" s="43"/>
    </row>
    <row r="900" spans="1:1">
      <c r="A900" s="43"/>
    </row>
    <row r="901" spans="1:1">
      <c r="A901" s="43"/>
    </row>
    <row r="902" spans="1:1">
      <c r="A902" s="43"/>
    </row>
    <row r="903" spans="1:1">
      <c r="A903" s="43"/>
    </row>
    <row r="904" spans="1:1">
      <c r="A904" s="43"/>
    </row>
    <row r="905" spans="1:1">
      <c r="A905" s="43"/>
    </row>
    <row r="906" spans="1:1">
      <c r="A906" s="43"/>
    </row>
    <row r="907" spans="1:1">
      <c r="A907" s="43"/>
    </row>
    <row r="908" spans="1:1">
      <c r="A908" s="43"/>
    </row>
    <row r="909" spans="1:1">
      <c r="A909" s="43"/>
    </row>
    <row r="910" spans="1:1">
      <c r="A910" s="43"/>
    </row>
    <row r="911" spans="1:1">
      <c r="A911" s="43"/>
    </row>
    <row r="912" spans="1:1">
      <c r="A912" s="43"/>
    </row>
    <row r="913" spans="1:1">
      <c r="A913" s="43"/>
    </row>
    <row r="914" spans="1:1">
      <c r="A914" s="43"/>
    </row>
    <row r="915" spans="1:1">
      <c r="A915" s="43"/>
    </row>
    <row r="916" spans="1:1">
      <c r="A916" s="43"/>
    </row>
    <row r="917" spans="1:1">
      <c r="A917" s="43"/>
    </row>
    <row r="918" spans="1:1">
      <c r="A918" s="43"/>
    </row>
    <row r="919" spans="1:1">
      <c r="A919" s="43"/>
    </row>
    <row r="920" spans="1:1">
      <c r="A920" s="43"/>
    </row>
    <row r="921" spans="1:1">
      <c r="A921" s="43"/>
    </row>
    <row r="922" spans="1:1">
      <c r="A922" s="43"/>
    </row>
    <row r="923" spans="1:1">
      <c r="A923" s="43"/>
    </row>
    <row r="924" spans="1:1">
      <c r="A924" s="43"/>
    </row>
    <row r="925" spans="1:1">
      <c r="A925" s="43"/>
    </row>
    <row r="926" spans="1:1">
      <c r="A926" s="43"/>
    </row>
    <row r="927" spans="1:1">
      <c r="A927" s="43"/>
    </row>
    <row r="928" spans="1:1">
      <c r="A928" s="43"/>
    </row>
    <row r="929" spans="1:1">
      <c r="A929" s="43"/>
    </row>
    <row r="930" spans="1:1">
      <c r="A930" s="43"/>
    </row>
    <row r="931" spans="1:1">
      <c r="A931" s="43"/>
    </row>
    <row r="932" spans="1:1">
      <c r="A932" s="43"/>
    </row>
    <row r="933" spans="1:1">
      <c r="A933" s="43"/>
    </row>
    <row r="934" spans="1:1">
      <c r="A934" s="43"/>
    </row>
    <row r="935" spans="1:1">
      <c r="A935" s="43"/>
    </row>
    <row r="936" spans="1:1">
      <c r="A936" s="43"/>
    </row>
    <row r="937" spans="1:1">
      <c r="A937" s="43"/>
    </row>
    <row r="938" spans="1:1">
      <c r="A938" s="43"/>
    </row>
    <row r="939" spans="1:1">
      <c r="A939" s="43"/>
    </row>
    <row r="940" spans="1:1">
      <c r="A940" s="43"/>
    </row>
    <row r="941" spans="1:1">
      <c r="A941" s="43"/>
    </row>
    <row r="942" spans="1:1">
      <c r="A942" s="43"/>
    </row>
    <row r="943" spans="1:1">
      <c r="A943" s="43"/>
    </row>
    <row r="944" spans="1:1">
      <c r="A944" s="43"/>
    </row>
    <row r="945" spans="1:1">
      <c r="A945" s="43"/>
    </row>
    <row r="946" spans="1:1">
      <c r="A946" s="43"/>
    </row>
    <row r="947" spans="1:1">
      <c r="A947" s="43"/>
    </row>
    <row r="948" spans="1:1">
      <c r="A948" s="43"/>
    </row>
    <row r="949" spans="1:1">
      <c r="A949" s="43"/>
    </row>
    <row r="950" spans="1:1">
      <c r="A950" s="43"/>
    </row>
    <row r="951" spans="1:1">
      <c r="A951" s="43"/>
    </row>
    <row r="952" spans="1:1">
      <c r="A952" s="43"/>
    </row>
    <row r="953" spans="1:1">
      <c r="A953" s="43"/>
    </row>
    <row r="954" spans="1:1">
      <c r="A954" s="43"/>
    </row>
    <row r="955" spans="1:1">
      <c r="A955" s="43"/>
    </row>
    <row r="956" spans="1:1">
      <c r="A956" s="43"/>
    </row>
    <row r="957" spans="1:1">
      <c r="A957" s="43"/>
    </row>
    <row r="958" spans="1:1">
      <c r="A958" s="43"/>
    </row>
    <row r="959" spans="1:1">
      <c r="A959" s="43"/>
    </row>
    <row r="960" spans="1:1">
      <c r="A960" s="43"/>
    </row>
    <row r="961" spans="1:1">
      <c r="A961" s="43"/>
    </row>
    <row r="962" spans="1:1">
      <c r="A962" s="43"/>
    </row>
    <row r="963" spans="1:1">
      <c r="A963" s="43"/>
    </row>
    <row r="964" spans="1:1">
      <c r="A964" s="43"/>
    </row>
    <row r="965" spans="1:1">
      <c r="A965" s="43"/>
    </row>
    <row r="966" spans="1:1">
      <c r="A966" s="43"/>
    </row>
    <row r="967" spans="1:1">
      <c r="A967" s="43"/>
    </row>
    <row r="968" spans="1:1">
      <c r="A968" s="43"/>
    </row>
    <row r="969" spans="1:1">
      <c r="A969" s="43"/>
    </row>
    <row r="970" spans="1:1">
      <c r="A970" s="43"/>
    </row>
    <row r="971" spans="1:1">
      <c r="A971" s="43"/>
    </row>
    <row r="972" spans="1:1">
      <c r="A972" s="43"/>
    </row>
    <row r="973" spans="1:1">
      <c r="A973" s="43"/>
    </row>
    <row r="974" spans="1:1">
      <c r="A974" s="43"/>
    </row>
    <row r="975" spans="1:1">
      <c r="A975" s="43"/>
    </row>
    <row r="976" spans="1:1">
      <c r="A976" s="43"/>
    </row>
    <row r="977" spans="1:1">
      <c r="A977" s="43"/>
    </row>
    <row r="978" spans="1:1">
      <c r="A978" s="43"/>
    </row>
    <row r="979" spans="1:1">
      <c r="A979" s="43"/>
    </row>
    <row r="980" spans="1:1">
      <c r="A980" s="43"/>
    </row>
    <row r="981" spans="1:1">
      <c r="A981" s="43"/>
    </row>
    <row r="982" spans="1:1">
      <c r="A982" s="43"/>
    </row>
    <row r="983" spans="1:1">
      <c r="A983" s="43"/>
    </row>
    <row r="984" spans="1:1">
      <c r="A984" s="43"/>
    </row>
    <row r="985" spans="1:1">
      <c r="A985" s="43"/>
    </row>
    <row r="986" spans="1:1">
      <c r="A986" s="43"/>
    </row>
    <row r="987" spans="1:1">
      <c r="A987" s="43"/>
    </row>
    <row r="988" spans="1:1">
      <c r="A988" s="43"/>
    </row>
    <row r="989" spans="1:1">
      <c r="A989" s="43"/>
    </row>
    <row r="990" spans="1:1">
      <c r="A990" s="43"/>
    </row>
    <row r="991" spans="1:1">
      <c r="A991" s="43"/>
    </row>
    <row r="992" spans="1:1">
      <c r="A992" s="43"/>
    </row>
    <row r="993" spans="1:1">
      <c r="A993" s="43"/>
    </row>
    <row r="994" spans="1:1">
      <c r="A994" s="43"/>
    </row>
    <row r="995" spans="1:1">
      <c r="A995" s="43"/>
    </row>
    <row r="996" spans="1:1">
      <c r="A996" s="43"/>
    </row>
    <row r="997" spans="1:1">
      <c r="A997" s="43"/>
    </row>
    <row r="998" spans="1:1">
      <c r="A998" s="43"/>
    </row>
    <row r="999" spans="1:1">
      <c r="A999" s="43"/>
    </row>
    <row r="1000" spans="1:1">
      <c r="A1000" s="43"/>
    </row>
  </sheetData>
  <conditionalFormatting sqref="E2:E201">
    <cfRule type="containsText" dxfId="44" priority="20" stopIfTrue="1" operator="containsText" text="Checked:">
      <formula>NOT(ISERROR(SEARCH("Checked:",E2)))</formula>
    </cfRule>
    <cfRule type="cellIs" dxfId="43" priority="21" stopIfTrue="1" operator="equal">
      <formula>"No checklist items checked"</formula>
    </cfRule>
    <cfRule type="cellIs" dxfId="42" priority="22" stopIfTrue="1" operator="equal">
      <formula>"Sent"</formula>
    </cfRule>
    <cfRule type="cellIs" dxfId="41" priority="23" stopIfTrue="1" operator="equal">
      <formula>"Scheduled"</formula>
    </cfRule>
    <cfRule type="cellIs" dxfId="40" priority="24" stopIfTrue="1" operator="equal">
      <formula>"Ready to Schedule"</formula>
    </cfRule>
  </conditionalFormatting>
  <conditionalFormatting sqref="A2:Q201">
    <cfRule type="expression" dxfId="39" priority="25">
      <formula>OR(LOWER(TRIM($Q2))="cancelled",LOWER(TRIM($Q2))="canceled")</formula>
    </cfRule>
  </conditionalFormatting>
  <conditionalFormatting sqref="A2:R201">
    <cfRule type="expression" dxfId="38" priority="1">
      <formula>AND($C2&lt;&gt;"",$K2&lt;&gt;TRUE,IFERROR(INT($A2),0)&gt;=TODAY()+1,IFERROR(INT($A2),0)&lt;=TODAY()+IF(WEEKDAY(TODAY(),1)=6,3,1),NOT(OR(LOWER(TRIM($R2))="cancelled",LOWER(TRIM($R2))="canceled")))</formula>
    </cfRule>
  </conditionalFormatting>
  <hyperlinks>
    <hyperlink ref="L2" r:id="rId1" display="https://ui.attentivemobile.com/campaigns/messages/MTQ6Q29tcG9zZU1lc3NhZ2UxMTE1MDg4NQ/overview" xr:uid="{1F207CA6-50DE-4740-AA24-6B24F23A3253}"/>
    <hyperlink ref="K2" r:id="rId2" display="https://teams.microsoft.com/l/message/19:e8e45d54914640ea878fe0171aa48fdc@thread.v2/1780080460120?context=%7B%22contextType%22%3A%22chat%22%7D" xr:uid="{82397C6C-D119-4ACF-A92F-FC209CBA521F}"/>
    <hyperlink ref="L3" r:id="rId3" display="https://ui.attentivemobile.com/campaigns/messages/MTQ6Q29tcG9zZU1lc3NhZ2UxMTE3MzA5Mw/overview" xr:uid="{264A0BD8-011A-466D-B6BB-D3413CCCAD6E}"/>
    <hyperlink ref="K3" r:id="rId4" display="https://teams.microsoft.com/l/message/19:e8e45d54914640ea878fe0171aa48fdc@thread.v2/1780585124630?context=%7B%22contextType%22%3A%22chat%22%7D" xr:uid="{A0A4AFA5-2E96-4854-B2C4-E7EA7DB9FCD7}"/>
    <hyperlink ref="L4" r:id="rId5" display="https://ui.attentivemobile.com/campaigns/messages/MTQ6Q29tcG9zZU1lc3NhZ2UxMTIxNDU2OA/overview" xr:uid="{9A8CD086-5C1E-4482-93DB-36C360C0C8F8}"/>
    <hyperlink ref="L5" r:id="rId6" display="https://ui.attentivemobile.com/campaigns/messages/MTQ6Q29tcG9zZU1lc3NhZ2UxMTE4NTU0NQ/overview" xr:uid="{947C0771-439B-422F-86B8-2C0C39A18FD5}"/>
    <hyperlink ref="K5" r:id="rId7" display="https://teams.microsoft.com/l/message/19:e8e45d54914640ea878fe0171aa48fdc@thread.v2/1780504108170?context=%7B%22contextType%22%3A%22chat%22%7D" xr:uid="{8131D788-B790-42C0-8601-DDB3B480D850}"/>
    <hyperlink ref="L6" r:id="rId8" display="https://ui.attentivemobile.com/campaigns/messages/MTQ6Q29tcG9zZU1lc3NhZ2UxMTIxMTM3Nw/overview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5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6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7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8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9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2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3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4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5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6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7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D6817943-D2ED-4B56-8478-3B717F0D1DFA}">
          <x14:formula1>
            <xm:f>Dropdowns!$A$2:$A$10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C530B-39E9-4AA3-A1E9-5365F17D34B9}">
  <sheetPr codeName="Sheet3">
    <tabColor rgb="FF002060"/>
  </sheetPr>
  <dimension ref="A1:E23"/>
  <sheetViews>
    <sheetView tabSelected="1" topLeftCell="A15" workbookViewId="0">
      <selection activeCell="A23" sqref="A23:E2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62" t="s">
        <v>0</v>
      </c>
      <c r="B1" s="62"/>
      <c r="C1" s="62"/>
      <c r="D1" s="62"/>
      <c r="E1" s="62"/>
    </row>
    <row r="2" spans="1:5" ht="14.25">
      <c r="A2" s="62"/>
      <c r="B2" s="62"/>
      <c r="C2" s="62"/>
      <c r="D2" s="62"/>
      <c r="E2" s="62"/>
    </row>
    <row r="3" spans="1:5">
      <c r="A3" s="6" t="s">
        <v>1</v>
      </c>
      <c r="B3" s="6" t="s">
        <v>136</v>
      </c>
      <c r="C3" s="6" t="s">
        <v>152</v>
      </c>
      <c r="D3" s="6" t="s">
        <v>153</v>
      </c>
      <c r="E3" s="6" t="s">
        <v>154</v>
      </c>
    </row>
    <row r="4" spans="1:5" ht="45">
      <c r="A4" s="6" t="s">
        <v>155</v>
      </c>
      <c r="B4" s="6" t="s">
        <v>156</v>
      </c>
      <c r="C4" s="6" t="s">
        <v>157</v>
      </c>
      <c r="D4" s="6" t="s">
        <v>158</v>
      </c>
      <c r="E4" s="6" t="s">
        <v>159</v>
      </c>
    </row>
    <row r="5" spans="1:5" ht="45">
      <c r="A5" s="6" t="s">
        <v>155</v>
      </c>
      <c r="B5" s="6" t="s">
        <v>160</v>
      </c>
      <c r="C5" s="6" t="s">
        <v>161</v>
      </c>
      <c r="D5" s="6" t="s">
        <v>162</v>
      </c>
      <c r="E5" s="6" t="s">
        <v>163</v>
      </c>
    </row>
    <row r="6" spans="1:5" ht="45">
      <c r="A6" s="6" t="s">
        <v>164</v>
      </c>
      <c r="B6" s="6" t="s">
        <v>156</v>
      </c>
      <c r="C6" s="6" t="s">
        <v>165</v>
      </c>
      <c r="D6" s="6" t="s">
        <v>166</v>
      </c>
      <c r="E6" s="6" t="s">
        <v>167</v>
      </c>
    </row>
    <row r="7" spans="1:5" ht="60">
      <c r="A7" s="6" t="s">
        <v>44</v>
      </c>
      <c r="B7" s="6" t="s">
        <v>168</v>
      </c>
      <c r="C7" s="6" t="s">
        <v>250</v>
      </c>
      <c r="D7" s="6" t="s">
        <v>169</v>
      </c>
      <c r="E7" s="6" t="s">
        <v>251</v>
      </c>
    </row>
    <row r="8" spans="1:5" ht="30">
      <c r="A8" s="6" t="s">
        <v>170</v>
      </c>
      <c r="B8" s="6" t="s">
        <v>171</v>
      </c>
      <c r="C8" s="6" t="s">
        <v>172</v>
      </c>
      <c r="D8" s="6" t="s">
        <v>173</v>
      </c>
      <c r="E8" s="6" t="s">
        <v>174</v>
      </c>
    </row>
    <row r="9" spans="1:5" ht="45">
      <c r="A9" s="6" t="s">
        <v>93</v>
      </c>
      <c r="B9" s="6" t="s">
        <v>175</v>
      </c>
      <c r="C9" s="6" t="s">
        <v>176</v>
      </c>
      <c r="D9" s="6" t="s">
        <v>177</v>
      </c>
      <c r="E9" s="6" t="s">
        <v>178</v>
      </c>
    </row>
    <row r="10" spans="1:5" ht="30">
      <c r="A10" s="6" t="s">
        <v>93</v>
      </c>
      <c r="B10" s="6" t="s">
        <v>179</v>
      </c>
      <c r="C10" s="6" t="s">
        <v>180</v>
      </c>
      <c r="D10" s="6" t="s">
        <v>181</v>
      </c>
      <c r="E10" s="6" t="s">
        <v>182</v>
      </c>
    </row>
    <row r="11" spans="1:5" ht="45">
      <c r="A11" s="6" t="s">
        <v>183</v>
      </c>
      <c r="B11" s="6" t="s">
        <v>184</v>
      </c>
      <c r="C11" s="6" t="s">
        <v>185</v>
      </c>
      <c r="D11" s="6" t="s">
        <v>186</v>
      </c>
      <c r="E11" s="6" t="s">
        <v>187</v>
      </c>
    </row>
    <row r="12" spans="1:5" ht="45">
      <c r="A12" s="6" t="s">
        <v>188</v>
      </c>
      <c r="B12" s="6" t="s">
        <v>189</v>
      </c>
      <c r="C12" s="6" t="s">
        <v>190</v>
      </c>
      <c r="D12" s="6" t="s">
        <v>191</v>
      </c>
      <c r="E12" s="6" t="s">
        <v>192</v>
      </c>
    </row>
    <row r="13" spans="1:5" ht="45">
      <c r="A13" s="6" t="s">
        <v>193</v>
      </c>
      <c r="B13" s="6" t="s">
        <v>194</v>
      </c>
      <c r="C13" s="6" t="s">
        <v>195</v>
      </c>
      <c r="D13" s="6" t="s">
        <v>196</v>
      </c>
      <c r="E13" s="6" t="s">
        <v>197</v>
      </c>
    </row>
    <row r="14" spans="1:5" ht="45">
      <c r="A14" s="6" t="s">
        <v>198</v>
      </c>
      <c r="B14" s="6" t="s">
        <v>199</v>
      </c>
      <c r="C14" s="6" t="s">
        <v>200</v>
      </c>
      <c r="D14" s="6" t="s">
        <v>201</v>
      </c>
      <c r="E14" s="6" t="s">
        <v>202</v>
      </c>
    </row>
    <row r="15" spans="1:5" ht="45">
      <c r="A15" s="6" t="s">
        <v>21</v>
      </c>
      <c r="B15" s="6" t="s">
        <v>203</v>
      </c>
      <c r="C15" s="6" t="s">
        <v>204</v>
      </c>
      <c r="D15" s="6" t="s">
        <v>205</v>
      </c>
      <c r="E15" s="6" t="s">
        <v>206</v>
      </c>
    </row>
    <row r="16" spans="1:5" ht="45">
      <c r="A16" s="6" t="s">
        <v>42</v>
      </c>
      <c r="B16" s="6" t="s">
        <v>207</v>
      </c>
      <c r="C16" s="6" t="s">
        <v>208</v>
      </c>
      <c r="D16" s="6" t="s">
        <v>209</v>
      </c>
      <c r="E16" s="6" t="s">
        <v>210</v>
      </c>
    </row>
    <row r="17" spans="1:5" ht="45">
      <c r="A17" s="6" t="s">
        <v>226</v>
      </c>
      <c r="B17" s="6" t="s">
        <v>227</v>
      </c>
      <c r="C17" s="6" t="s">
        <v>228</v>
      </c>
      <c r="D17" s="6" t="s">
        <v>229</v>
      </c>
      <c r="E17" s="6" t="s">
        <v>230</v>
      </c>
    </row>
    <row r="18" spans="1:5" ht="60">
      <c r="A18" s="6" t="s">
        <v>231</v>
      </c>
      <c r="B18" s="6" t="s">
        <v>232</v>
      </c>
      <c r="C18" s="6" t="s">
        <v>233</v>
      </c>
      <c r="D18" s="6" t="s">
        <v>234</v>
      </c>
      <c r="E18" s="6" t="s">
        <v>235</v>
      </c>
    </row>
    <row r="19" spans="1:5" ht="45">
      <c r="A19" s="6" t="s">
        <v>211</v>
      </c>
      <c r="B19" s="6" t="s">
        <v>212</v>
      </c>
      <c r="C19" s="6" t="s">
        <v>213</v>
      </c>
      <c r="D19" s="6" t="s">
        <v>214</v>
      </c>
      <c r="E19" s="6" t="s">
        <v>215</v>
      </c>
    </row>
    <row r="20" spans="1:5" ht="45">
      <c r="A20" s="6" t="s">
        <v>216</v>
      </c>
      <c r="B20" s="6" t="s">
        <v>217</v>
      </c>
      <c r="C20" s="6" t="s">
        <v>218</v>
      </c>
      <c r="D20" s="6" t="s">
        <v>219</v>
      </c>
      <c r="E20" s="6" t="s">
        <v>220</v>
      </c>
    </row>
    <row r="21" spans="1:5" ht="30">
      <c r="A21" s="6" t="s">
        <v>221</v>
      </c>
      <c r="B21" s="6" t="s">
        <v>222</v>
      </c>
      <c r="C21" s="6" t="s">
        <v>223</v>
      </c>
      <c r="D21" s="6" t="s">
        <v>224</v>
      </c>
      <c r="E21" s="6" t="s">
        <v>225</v>
      </c>
    </row>
    <row r="22" spans="1:5" ht="75">
      <c r="A22" s="6" t="s">
        <v>238</v>
      </c>
      <c r="B22" s="6" t="s">
        <v>239</v>
      </c>
      <c r="C22" s="6" t="s">
        <v>240</v>
      </c>
      <c r="D22" s="6" t="s">
        <v>241</v>
      </c>
      <c r="E22" s="6" t="s">
        <v>242</v>
      </c>
    </row>
    <row r="23" spans="1:5" ht="120">
      <c r="A23" s="6" t="s">
        <v>243</v>
      </c>
      <c r="B23" s="6" t="s">
        <v>244</v>
      </c>
      <c r="C23" s="6" t="s">
        <v>246</v>
      </c>
      <c r="D23" s="6" t="s">
        <v>247</v>
      </c>
      <c r="E23" s="6" t="s">
        <v>245</v>
      </c>
    </row>
  </sheetData>
  <sheetProtection algorithmName="SHA-512" hashValue="XUMaauXB970016fjPZYvLqWUoWlDrcRzNqR4A0ABbSCHyOA0z8yZdR4amNHML3qOhCWvOkk+jrAuDqfs/tK6rw==" saltValue="Yk8fwlJRWZ7jQJIdLaDRHQ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94</v>
      </c>
      <c r="D1" s="10" t="s">
        <v>95</v>
      </c>
      <c r="E1" s="10" t="s">
        <v>96</v>
      </c>
    </row>
    <row r="2" spans="1:5">
      <c r="A2" s="8" t="s">
        <v>62</v>
      </c>
      <c r="B2" s="8" t="s">
        <v>97</v>
      </c>
      <c r="C2" s="8" t="s">
        <v>2</v>
      </c>
      <c r="D2" s="8" t="s">
        <v>98</v>
      </c>
      <c r="E2" s="8" t="s">
        <v>99</v>
      </c>
    </row>
    <row r="3" spans="1:5">
      <c r="A3" s="8" t="s">
        <v>70</v>
      </c>
      <c r="B3" s="8" t="s">
        <v>100</v>
      </c>
      <c r="C3" s="8" t="s">
        <v>97</v>
      </c>
      <c r="D3" s="8" t="s">
        <v>101</v>
      </c>
      <c r="E3" s="8" t="s">
        <v>102</v>
      </c>
    </row>
    <row r="4" spans="1:5">
      <c r="A4" s="8" t="s">
        <v>248</v>
      </c>
      <c r="B4" s="8" t="s">
        <v>103</v>
      </c>
      <c r="C4" s="8" t="s">
        <v>104</v>
      </c>
      <c r="D4" s="8" t="s">
        <v>105</v>
      </c>
      <c r="E4" s="8" t="s">
        <v>106</v>
      </c>
    </row>
    <row r="5" spans="1:5">
      <c r="A5" s="8" t="s">
        <v>249</v>
      </c>
      <c r="B5" s="8" t="s">
        <v>107</v>
      </c>
      <c r="C5" s="8" t="s">
        <v>108</v>
      </c>
      <c r="D5" s="8" t="s">
        <v>109</v>
      </c>
      <c r="E5" s="8" t="s">
        <v>110</v>
      </c>
    </row>
    <row r="6" spans="1:5">
      <c r="A6" s="8" t="s">
        <v>78</v>
      </c>
      <c r="B6" s="8" t="s">
        <v>111</v>
      </c>
      <c r="C6" s="8" t="s">
        <v>112</v>
      </c>
      <c r="D6" s="8" t="s">
        <v>113</v>
      </c>
      <c r="E6" s="8" t="s">
        <v>114</v>
      </c>
    </row>
    <row r="7" spans="1:5">
      <c r="A7" s="8" t="s">
        <v>80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>
      <c r="A8" s="8" t="s">
        <v>115</v>
      </c>
      <c r="B8" s="8" t="s">
        <v>121</v>
      </c>
      <c r="C8" s="8" t="s">
        <v>122</v>
      </c>
      <c r="D8" s="8" t="s">
        <v>123</v>
      </c>
      <c r="E8" s="8" t="s">
        <v>124</v>
      </c>
    </row>
    <row r="9" spans="1:5">
      <c r="A9" s="8" t="s">
        <v>120</v>
      </c>
      <c r="B9" s="8" t="s">
        <v>125</v>
      </c>
      <c r="C9" s="8" t="s">
        <v>118</v>
      </c>
      <c r="D9" s="8"/>
      <c r="E9" s="8"/>
    </row>
    <row r="10" spans="1:5">
      <c r="A10" s="8"/>
      <c r="B10" s="8" t="s">
        <v>126</v>
      </c>
      <c r="C10" s="8" t="s">
        <v>127</v>
      </c>
      <c r="D10" s="8"/>
      <c r="E10" s="8"/>
    </row>
    <row r="11" spans="1:5">
      <c r="A11" s="8"/>
      <c r="B11" s="8" t="s">
        <v>128</v>
      </c>
      <c r="C11" s="8" t="s">
        <v>129</v>
      </c>
      <c r="D11" s="8"/>
      <c r="E11" s="8"/>
    </row>
    <row r="12" spans="1:5">
      <c r="A12" s="8"/>
      <c r="B12" s="8" t="s">
        <v>130</v>
      </c>
      <c r="C12" s="8" t="s">
        <v>131</v>
      </c>
      <c r="D12" s="8"/>
      <c r="E12" s="8"/>
    </row>
    <row r="13" spans="1:5">
      <c r="A13" s="8"/>
      <c r="B13" s="8" t="s">
        <v>132</v>
      </c>
      <c r="C13" s="8" t="s">
        <v>133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113</v>
      </c>
      <c r="C15" s="8" t="s">
        <v>132</v>
      </c>
      <c r="D15" s="8"/>
      <c r="E15" s="8"/>
    </row>
    <row r="16" spans="1:5">
      <c r="A16" s="8"/>
      <c r="B16" s="8" t="s">
        <v>73</v>
      </c>
      <c r="C16" s="8" t="s">
        <v>113</v>
      </c>
      <c r="D16" s="8"/>
      <c r="E16" s="8"/>
    </row>
    <row r="17" spans="1:5">
      <c r="A17" s="8"/>
      <c r="B17" s="8"/>
      <c r="C17" s="8" t="s">
        <v>73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134</v>
      </c>
      <c r="B1" s="10" t="s">
        <v>135</v>
      </c>
      <c r="C1" s="10" t="s">
        <v>136</v>
      </c>
      <c r="D1" s="10" t="s">
        <v>137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81</v>
      </c>
      <c r="C201" s="8" t="s">
        <v>138</v>
      </c>
      <c r="D201" s="8" t="s">
        <v>139</v>
      </c>
    </row>
    <row r="202" spans="1:4" ht="99.75">
      <c r="A202" s="9">
        <v>46179.29378472222</v>
      </c>
      <c r="B202" s="8" t="s">
        <v>81</v>
      </c>
      <c r="C202" s="8" t="s">
        <v>140</v>
      </c>
      <c r="D202" s="8" t="s">
        <v>141</v>
      </c>
    </row>
    <row r="203" spans="1:4">
      <c r="A203" s="9">
        <v>46179.296273148146</v>
      </c>
      <c r="B203" s="8" t="s">
        <v>81</v>
      </c>
      <c r="C203" s="8" t="s">
        <v>138</v>
      </c>
      <c r="D203" s="8" t="s">
        <v>139</v>
      </c>
    </row>
    <row r="204" spans="1:4">
      <c r="A204" s="9">
        <v>46179.297199074077</v>
      </c>
      <c r="B204" s="8" t="s">
        <v>81</v>
      </c>
      <c r="C204" s="8" t="s">
        <v>138</v>
      </c>
      <c r="D204" s="8" t="s">
        <v>139</v>
      </c>
    </row>
    <row r="205" spans="1:4" ht="99.75">
      <c r="A205" s="9">
        <v>46179.297199074077</v>
      </c>
      <c r="B205" s="8" t="s">
        <v>81</v>
      </c>
      <c r="C205" s="8" t="s">
        <v>140</v>
      </c>
      <c r="D205" s="8" t="s">
        <v>142</v>
      </c>
    </row>
    <row r="206" spans="1:4" ht="57">
      <c r="A206" s="9">
        <v>46179.309106956018</v>
      </c>
      <c r="B206" s="8" t="s">
        <v>81</v>
      </c>
      <c r="C206" s="8" t="s">
        <v>143</v>
      </c>
      <c r="D206" s="8" t="s">
        <v>144</v>
      </c>
    </row>
    <row r="207" spans="1:4" ht="28.5">
      <c r="A207" s="9">
        <v>46180.086365740739</v>
      </c>
      <c r="B207" s="8" t="s">
        <v>81</v>
      </c>
      <c r="C207" s="8" t="s">
        <v>145</v>
      </c>
      <c r="D207" s="8" t="s">
        <v>146</v>
      </c>
    </row>
    <row r="208" spans="1:4" ht="28.5">
      <c r="A208" s="9">
        <v>46180.08730324074</v>
      </c>
      <c r="B208" s="8" t="s">
        <v>81</v>
      </c>
      <c r="C208" s="8" t="s">
        <v>145</v>
      </c>
      <c r="D208" s="8" t="s">
        <v>146</v>
      </c>
    </row>
    <row r="209" spans="1:4" ht="28.5">
      <c r="A209" s="9">
        <v>46180.089432870373</v>
      </c>
      <c r="B209" s="8" t="s">
        <v>81</v>
      </c>
      <c r="C209" s="8" t="s">
        <v>145</v>
      </c>
      <c r="D209" s="8" t="s">
        <v>146</v>
      </c>
    </row>
    <row r="210" spans="1:4" ht="28.5">
      <c r="A210" s="9">
        <v>46180.090289351851</v>
      </c>
      <c r="B210" s="8" t="s">
        <v>81</v>
      </c>
      <c r="C210" s="8" t="s">
        <v>145</v>
      </c>
      <c r="D210" s="8" t="s">
        <v>146</v>
      </c>
    </row>
    <row r="211" spans="1:4" ht="28.5">
      <c r="A211" s="9">
        <v>46180.091238425928</v>
      </c>
      <c r="B211" s="8" t="s">
        <v>81</v>
      </c>
      <c r="C211" s="8" t="s">
        <v>145</v>
      </c>
      <c r="D211" s="8" t="s">
        <v>146</v>
      </c>
    </row>
    <row r="212" spans="1:4" ht="28.5">
      <c r="A212" s="9">
        <v>46180.092314814814</v>
      </c>
      <c r="B212" s="8" t="s">
        <v>81</v>
      </c>
      <c r="C212" s="8" t="s">
        <v>145</v>
      </c>
      <c r="D212" s="8" t="s">
        <v>146</v>
      </c>
    </row>
    <row r="213" spans="1:4" ht="28.5">
      <c r="A213" s="9">
        <v>46180.093182870369</v>
      </c>
      <c r="B213" s="8" t="s">
        <v>81</v>
      </c>
      <c r="C213" s="8" t="s">
        <v>145</v>
      </c>
      <c r="D213" s="8" t="s">
        <v>146</v>
      </c>
    </row>
    <row r="214" spans="1:4" ht="28.5">
      <c r="A214" s="9">
        <v>46180.094050925924</v>
      </c>
      <c r="B214" s="8" t="s">
        <v>81</v>
      </c>
      <c r="C214" s="8" t="s">
        <v>145</v>
      </c>
      <c r="D214" s="8" t="s">
        <v>146</v>
      </c>
    </row>
    <row r="215" spans="1:4" ht="28.5">
      <c r="A215" s="9">
        <v>46180.110868055555</v>
      </c>
      <c r="B215" s="8" t="s">
        <v>81</v>
      </c>
      <c r="C215" s="8" t="s">
        <v>147</v>
      </c>
      <c r="D215" s="8" t="s">
        <v>148</v>
      </c>
    </row>
    <row r="216" spans="1:4" ht="28.5">
      <c r="A216" s="9">
        <v>46180.12090277778</v>
      </c>
      <c r="B216" s="8" t="s">
        <v>81</v>
      </c>
      <c r="C216" s="8" t="s">
        <v>147</v>
      </c>
      <c r="D216" s="8" t="s">
        <v>148</v>
      </c>
    </row>
    <row r="217" spans="1:4" ht="28.5">
      <c r="A217" s="9">
        <v>46180.132349537038</v>
      </c>
      <c r="B217" s="8" t="s">
        <v>81</v>
      </c>
      <c r="C217" s="8" t="s">
        <v>147</v>
      </c>
      <c r="D217" s="8" t="s">
        <v>148</v>
      </c>
    </row>
    <row r="218" spans="1:4" ht="28.5">
      <c r="A218" s="9">
        <v>46180.13616898148</v>
      </c>
      <c r="B218" s="8" t="s">
        <v>81</v>
      </c>
      <c r="C218" s="8" t="s">
        <v>147</v>
      </c>
      <c r="D218" s="8" t="s">
        <v>148</v>
      </c>
    </row>
    <row r="219" spans="1:4" ht="28.5">
      <c r="A219" s="9">
        <v>46180.139490740738</v>
      </c>
      <c r="B219" s="8" t="s">
        <v>81</v>
      </c>
      <c r="C219" s="8" t="s">
        <v>147</v>
      </c>
      <c r="D219" s="8" t="s">
        <v>148</v>
      </c>
    </row>
    <row r="220" spans="1:4" ht="28.5">
      <c r="A220" s="9">
        <v>46180.174479166664</v>
      </c>
      <c r="B220" s="8" t="s">
        <v>81</v>
      </c>
      <c r="C220" s="8" t="s">
        <v>147</v>
      </c>
      <c r="D220" s="8" t="s">
        <v>148</v>
      </c>
    </row>
    <row r="221" spans="1:4" ht="28.5">
      <c r="A221" s="9">
        <v>46180.177430555559</v>
      </c>
      <c r="B221" s="8" t="s">
        <v>81</v>
      </c>
      <c r="C221" s="8" t="s">
        <v>147</v>
      </c>
      <c r="D221" s="8" t="s">
        <v>148</v>
      </c>
    </row>
    <row r="222" spans="1:4" ht="28.5">
      <c r="A222" s="9">
        <v>46180.178344907406</v>
      </c>
      <c r="B222" s="8" t="s">
        <v>81</v>
      </c>
      <c r="C222" s="8" t="s">
        <v>147</v>
      </c>
      <c r="D222" s="8" t="s">
        <v>148</v>
      </c>
    </row>
    <row r="223" spans="1:4" ht="28.5">
      <c r="A223" s="9">
        <v>46180.302488425928</v>
      </c>
      <c r="B223" s="8" t="s">
        <v>81</v>
      </c>
      <c r="C223" s="8" t="s">
        <v>145</v>
      </c>
      <c r="D223" s="8" t="s">
        <v>146</v>
      </c>
    </row>
    <row r="224" spans="1:4" ht="28.5">
      <c r="A224" s="9">
        <v>46180.318576388891</v>
      </c>
      <c r="B224" s="8" t="s">
        <v>81</v>
      </c>
      <c r="C224" s="8" t="s">
        <v>149</v>
      </c>
      <c r="D224" s="8" t="s">
        <v>150</v>
      </c>
    </row>
    <row r="225" spans="1:4" ht="28.5">
      <c r="A225" s="9">
        <v>46180.31858796296</v>
      </c>
      <c r="B225" s="8" t="s">
        <v>81</v>
      </c>
      <c r="C225" s="8" t="s">
        <v>145</v>
      </c>
      <c r="D225" s="8" t="s">
        <v>146</v>
      </c>
    </row>
    <row r="226" spans="1:4" ht="28.5">
      <c r="A226" s="9">
        <v>46180.336423611108</v>
      </c>
      <c r="B226" s="8" t="s">
        <v>81</v>
      </c>
      <c r="C226" s="8" t="s">
        <v>149</v>
      </c>
      <c r="D226" s="8" t="s">
        <v>150</v>
      </c>
    </row>
    <row r="227" spans="1:4" ht="28.5">
      <c r="A227" s="9">
        <v>46180.336423611108</v>
      </c>
      <c r="B227" s="8" t="s">
        <v>81</v>
      </c>
      <c r="C227" s="8" t="s">
        <v>145</v>
      </c>
      <c r="D227" s="8" t="s">
        <v>146</v>
      </c>
    </row>
    <row r="228" spans="1:4" ht="28.5">
      <c r="A228" s="9">
        <v>46180.340729166666</v>
      </c>
      <c r="B228" s="8" t="s">
        <v>81</v>
      </c>
      <c r="C228" s="8" t="s">
        <v>149</v>
      </c>
      <c r="D228" s="8" t="s">
        <v>150</v>
      </c>
    </row>
    <row r="229" spans="1:4" ht="28.5">
      <c r="A229" s="9">
        <v>46180.340729166666</v>
      </c>
      <c r="B229" s="8" t="s">
        <v>81</v>
      </c>
      <c r="C229" s="8" t="s">
        <v>145</v>
      </c>
      <c r="D229" s="8" t="s">
        <v>146</v>
      </c>
    </row>
    <row r="230" spans="1:4" ht="28.5">
      <c r="A230" s="9">
        <v>46180.342013888891</v>
      </c>
      <c r="B230" s="8" t="s">
        <v>81</v>
      </c>
      <c r="C230" s="8" t="s">
        <v>149</v>
      </c>
      <c r="D230" s="8" t="s">
        <v>150</v>
      </c>
    </row>
    <row r="231" spans="1:4" ht="28.5">
      <c r="A231" s="9">
        <v>46180.342013888891</v>
      </c>
      <c r="B231" s="8" t="s">
        <v>81</v>
      </c>
      <c r="C231" s="8" t="s">
        <v>145</v>
      </c>
      <c r="D231" s="8" t="s">
        <v>146</v>
      </c>
    </row>
    <row r="232" spans="1:4" ht="28.5">
      <c r="A232" s="9">
        <v>46180.343206018515</v>
      </c>
      <c r="B232" s="8" t="s">
        <v>81</v>
      </c>
      <c r="C232" s="8" t="s">
        <v>149</v>
      </c>
      <c r="D232" s="8" t="s">
        <v>150</v>
      </c>
    </row>
    <row r="233" spans="1:4" ht="28.5">
      <c r="A233" s="9">
        <v>46180.343206018515</v>
      </c>
      <c r="B233" s="8" t="s">
        <v>81</v>
      </c>
      <c r="C233" s="8" t="s">
        <v>145</v>
      </c>
      <c r="D233" s="8" t="s">
        <v>146</v>
      </c>
    </row>
    <row r="234" spans="1:4" ht="28.5">
      <c r="A234" s="9">
        <v>46180.357268518521</v>
      </c>
      <c r="B234" s="8" t="s">
        <v>81</v>
      </c>
      <c r="C234" s="8" t="s">
        <v>147</v>
      </c>
      <c r="D234" s="8" t="s">
        <v>151</v>
      </c>
    </row>
    <row r="235" spans="1:4" ht="28.5">
      <c r="A235" s="9">
        <v>46180.543217592596</v>
      </c>
      <c r="B235" s="8" t="s">
        <v>81</v>
      </c>
      <c r="C235" s="8" t="s">
        <v>149</v>
      </c>
      <c r="D235" s="8" t="s">
        <v>150</v>
      </c>
    </row>
    <row r="236" spans="1:4" ht="28.5">
      <c r="A236" s="9">
        <v>46180.543217592596</v>
      </c>
      <c r="B236" s="8" t="s">
        <v>81</v>
      </c>
      <c r="C236" s="8" t="s">
        <v>145</v>
      </c>
      <c r="D236" s="8" t="s">
        <v>146</v>
      </c>
    </row>
    <row r="237" spans="1:4" ht="28.5">
      <c r="A237" s="9">
        <v>46180.545231481483</v>
      </c>
      <c r="B237" s="8" t="s">
        <v>81</v>
      </c>
      <c r="C237" s="8" t="s">
        <v>149</v>
      </c>
      <c r="D237" s="8" t="s">
        <v>150</v>
      </c>
    </row>
    <row r="238" spans="1:4" ht="28.5">
      <c r="A238" s="9">
        <v>46180.545243055552</v>
      </c>
      <c r="B238" s="8" t="s">
        <v>81</v>
      </c>
      <c r="C238" s="8" t="s">
        <v>145</v>
      </c>
      <c r="D238" s="8" t="s">
        <v>146</v>
      </c>
    </row>
    <row r="239" spans="1:4" ht="28.5">
      <c r="A239" s="9">
        <v>46180.547777777778</v>
      </c>
      <c r="B239" s="8" t="s">
        <v>81</v>
      </c>
      <c r="C239" s="8" t="s">
        <v>147</v>
      </c>
      <c r="D239" s="8" t="s">
        <v>151</v>
      </c>
    </row>
    <row r="240" spans="1:4" ht="28.5">
      <c r="A240" s="9">
        <v>46180.568738425929</v>
      </c>
      <c r="B240" s="8" t="s">
        <v>81</v>
      </c>
      <c r="C240" s="8" t="s">
        <v>149</v>
      </c>
      <c r="D240" s="8" t="s">
        <v>150</v>
      </c>
    </row>
    <row r="241" spans="1:4" ht="28.5">
      <c r="A241" s="9">
        <v>46180.568749999999</v>
      </c>
      <c r="B241" s="8" t="s">
        <v>81</v>
      </c>
      <c r="C241" s="8" t="s">
        <v>145</v>
      </c>
      <c r="D241" s="8" t="s">
        <v>146</v>
      </c>
    </row>
    <row r="242" spans="1:4" ht="28.5">
      <c r="A242" s="9">
        <v>46180.571203703701</v>
      </c>
      <c r="B242" s="8" t="s">
        <v>81</v>
      </c>
      <c r="C242" s="8" t="s">
        <v>147</v>
      </c>
      <c r="D242" s="8" t="s">
        <v>151</v>
      </c>
    </row>
    <row r="243" spans="1:4" ht="28.5">
      <c r="A243" s="9">
        <v>46180.584131944444</v>
      </c>
      <c r="B243" s="8" t="s">
        <v>81</v>
      </c>
      <c r="C243" s="8" t="s">
        <v>149</v>
      </c>
      <c r="D243" s="8" t="s">
        <v>150</v>
      </c>
    </row>
    <row r="244" spans="1:4" ht="28.5">
      <c r="A244" s="9">
        <v>46180.584131944444</v>
      </c>
      <c r="B244" s="8" t="s">
        <v>81</v>
      </c>
      <c r="C244" s="8" t="s">
        <v>145</v>
      </c>
      <c r="D244" s="8" t="s">
        <v>146</v>
      </c>
    </row>
    <row r="245" spans="1:4" ht="28.5">
      <c r="A245" s="9">
        <v>46180.589571759258</v>
      </c>
      <c r="B245" s="8" t="s">
        <v>81</v>
      </c>
      <c r="C245" s="8" t="s">
        <v>149</v>
      </c>
      <c r="D245" s="8" t="s">
        <v>150</v>
      </c>
    </row>
    <row r="246" spans="1:4" ht="28.5">
      <c r="A246" s="9">
        <v>46180.589583333334</v>
      </c>
      <c r="B246" s="8" t="s">
        <v>81</v>
      </c>
      <c r="C246" s="8" t="s">
        <v>145</v>
      </c>
      <c r="D246" s="8" t="s">
        <v>146</v>
      </c>
    </row>
    <row r="247" spans="1:4" ht="28.5">
      <c r="A247" s="9">
        <v>46180.59103009259</v>
      </c>
      <c r="B247" s="8" t="s">
        <v>81</v>
      </c>
      <c r="C247" s="8" t="s">
        <v>147</v>
      </c>
      <c r="D247" s="8" t="s">
        <v>151</v>
      </c>
    </row>
    <row r="248" spans="1:4" ht="28.5">
      <c r="A248" s="9">
        <v>46180.595023148147</v>
      </c>
      <c r="B248" s="8" t="s">
        <v>81</v>
      </c>
      <c r="C248" s="8" t="s">
        <v>147</v>
      </c>
      <c r="D248" s="8" t="s">
        <v>151</v>
      </c>
    </row>
    <row r="249" spans="1:4" ht="28.5">
      <c r="A249" s="9">
        <v>46180.621550925927</v>
      </c>
      <c r="B249" s="8" t="s">
        <v>81</v>
      </c>
      <c r="C249" s="8" t="s">
        <v>147</v>
      </c>
      <c r="D249" s="8" t="s">
        <v>151</v>
      </c>
    </row>
    <row r="250" spans="1:4" ht="28.5">
      <c r="A250" s="9">
        <v>46180.639062499999</v>
      </c>
      <c r="B250" s="8" t="s">
        <v>81</v>
      </c>
      <c r="C250" s="8" t="s">
        <v>147</v>
      </c>
      <c r="D250" s="8" t="s">
        <v>151</v>
      </c>
    </row>
    <row r="251" spans="1:4" ht="28.5">
      <c r="A251" s="9">
        <v>46180.642175925925</v>
      </c>
      <c r="B251" s="8" t="s">
        <v>81</v>
      </c>
      <c r="C251" s="8" t="s">
        <v>147</v>
      </c>
      <c r="D251" s="8" t="s">
        <v>151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2026-06-15T18:27:20Z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