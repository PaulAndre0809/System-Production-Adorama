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E9CB8BF4-E1C7-4792-973A-5833E445A9BD}" xr6:coauthVersionLast="47" xr6:coauthVersionMax="47" xr10:uidLastSave="{00000000-0000-0000-0000-000000000000}"/>
  <bookViews>
    <workbookView xWindow="-120" yWindow="-120" windowWidth="29040" windowHeight="15990" activeTab="10" xr2:uid="{00000000-000D-0000-FFFF-FFFF00000000}"/>
  </bookViews>
  <sheets>
    <sheet name="Notes - Instructions" sheetId="20" r:id="rId1"/>
    <sheet name="Dashboard" sheetId="2" r:id="rId2"/>
    <sheet name="Email Campaigns" sheetId="1" r:id="rId3"/>
    <sheet name="SMS Campaigns" sheetId="19" r:id="rId4"/>
    <sheet name="January Calendar" sheetId="8" state="hidden" r:id="rId5"/>
    <sheet name="February Calendar" sheetId="9" state="hidden" r:id="rId6"/>
    <sheet name="March Calendar" sheetId="10" state="hidden" r:id="rId7"/>
    <sheet name="April Calendar" sheetId="11" state="hidden" r:id="rId8"/>
    <sheet name="May Calendar" sheetId="12" state="hidden" r:id="rId9"/>
    <sheet name="June Calendar" sheetId="3" r:id="rId10"/>
    <sheet name="July Calendar" sheetId="13" r:id="rId11"/>
    <sheet name="August Calendar" sheetId="14" state="hidden" r:id="rId12"/>
    <sheet name="September Calendar" sheetId="15" state="hidden" r:id="rId13"/>
    <sheet name="October Calendar" sheetId="16" state="hidden" r:id="rId14"/>
    <sheet name="November Calendar" sheetId="17" state="hidden" r:id="rId15"/>
    <sheet name="December Calendar" sheetId="18" state="hidden" r:id="rId16"/>
    <sheet name="Dropdowns" sheetId="4" state="veryHidden" r:id="rId17"/>
    <sheet name="Automation Log" sheetId="5" state="veryHidden" r:id="rId18"/>
  </sheets>
  <functionGroups builtInGroupCount="19"/>
  <definedNames>
    <definedName name="_xlpm.ch" hidden="1" xlm="1">#NAME?</definedName>
    <definedName name="_xlpm.checked" hidden="1" xlm="1">#NAME?</definedName>
    <definedName name="_xlpm.clean" hidden="1" xlm="1">#NAME?</definedName>
    <definedName name="_xlpm.d" hidden="1" xlm="1">#NAME?</definedName>
    <definedName name="_xlpm.data" hidden="1" xlm="1">#NAME?</definedName>
    <definedName name="_xlpm.e_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s_cancel" hidden="1" xlm="1">#NAME?</definedName>
    <definedName name="_xlpm.sMax" hidden="1" xlm="1">#NAME?</definedName>
    <definedName name="_xlpm.sms" hidden="1" xlm="1">#NAME?</definedName>
    <definedName name="_xlpm.we" hidden="1" xlm="1">#NAME?</definedName>
    <definedName name="_xlpm.ws" hidden="1" xlm="1">#NAME?</definedName>
    <definedName name="_xlnm.Print_Area" localSheetId="7">'April Calendar'!$A$1:$G$12</definedName>
    <definedName name="_xlnm.Print_Area" localSheetId="11">'August Calendar'!$A$1:$G$12</definedName>
    <definedName name="_xlnm.Print_Area" localSheetId="15">'December Calendar'!$A$1:$G$12</definedName>
    <definedName name="_xlnm.Print_Area" localSheetId="5">'February Calendar'!$A$1:$G$12</definedName>
    <definedName name="_xlnm.Print_Area" localSheetId="4">'January Calendar'!$A$1:$G$12</definedName>
    <definedName name="_xlnm.Print_Area" localSheetId="10">'July Calendar'!$A$1:$G$12</definedName>
    <definedName name="_xlnm.Print_Area" localSheetId="9">'June Calendar'!$A$1:$G$12</definedName>
    <definedName name="_xlnm.Print_Area" localSheetId="6">'March Calendar'!$A$1:$G$12</definedName>
    <definedName name="_xlnm.Print_Area" localSheetId="8">'May Calendar'!$A$1:$G$12</definedName>
    <definedName name="_xlnm.Print_Area" localSheetId="14">'November Calendar'!$A$1:$G$12</definedName>
    <definedName name="_xlnm.Print_Area" localSheetId="13">'October Calendar'!$A$1:$G$12</definedName>
    <definedName name="_xlnm.Print_Area" localSheetId="12">'September Calendar'!$A$1:$G$12</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7" i="2" l="1"/>
  <c r="O26" i="2"/>
  <c r="H11" i="18"/>
  <c r="H10" i="18"/>
  <c r="H9" i="18"/>
  <c r="H8" i="18"/>
  <c r="H7" i="18"/>
  <c r="H6" i="18"/>
  <c r="H11" i="17"/>
  <c r="H10" i="17"/>
  <c r="H9" i="17"/>
  <c r="H8" i="17"/>
  <c r="H7" i="17"/>
  <c r="H6" i="17"/>
  <c r="H11" i="16"/>
  <c r="H10" i="16"/>
  <c r="H9" i="16"/>
  <c r="H8" i="16"/>
  <c r="H7" i="16"/>
  <c r="H6" i="16"/>
  <c r="H11" i="15"/>
  <c r="H10" i="15"/>
  <c r="H9" i="15"/>
  <c r="H8" i="15"/>
  <c r="H7" i="15"/>
  <c r="H6" i="15"/>
  <c r="H11" i="14"/>
  <c r="H10" i="14"/>
  <c r="H9" i="14"/>
  <c r="H8" i="14"/>
  <c r="H7" i="14"/>
  <c r="H6" i="14"/>
  <c r="H11" i="13"/>
  <c r="H10" i="13"/>
  <c r="H9" i="13"/>
  <c r="H8" i="13"/>
  <c r="H7" i="13"/>
  <c r="H6" i="13"/>
  <c r="H11" i="3"/>
  <c r="H10" i="3"/>
  <c r="H9" i="3"/>
  <c r="H8" i="3"/>
  <c r="H7" i="3"/>
  <c r="H6" i="3"/>
  <c r="H11" i="12"/>
  <c r="H10" i="12"/>
  <c r="H9" i="12"/>
  <c r="H8" i="12"/>
  <c r="H7" i="12"/>
  <c r="H6" i="12"/>
  <c r="H11" i="11"/>
  <c r="H10" i="11"/>
  <c r="H9" i="11"/>
  <c r="H8" i="11"/>
  <c r="H7" i="11"/>
  <c r="H6" i="11"/>
  <c r="H11" i="10"/>
  <c r="H10" i="10"/>
  <c r="H9" i="10"/>
  <c r="H8" i="10"/>
  <c r="H7" i="10"/>
  <c r="H6" i="10"/>
  <c r="H11" i="9"/>
  <c r="H10" i="9"/>
  <c r="H9" i="9"/>
  <c r="H8" i="9"/>
  <c r="H7" i="9"/>
  <c r="H6" i="9"/>
  <c r="H11" i="8"/>
  <c r="H10" i="8"/>
  <c r="H9" i="8"/>
  <c r="H8" i="8"/>
  <c r="H7" i="8"/>
  <c r="H6" i="8"/>
  <c r="E9" i="1"/>
  <c r="E10" i="1"/>
  <c r="E5" i="1"/>
  <c r="E4" i="1"/>
  <c r="E2" i="19"/>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E105" i="19"/>
  <c r="E106" i="19"/>
  <c r="E107" i="19"/>
  <c r="E108" i="19"/>
  <c r="E109" i="19"/>
  <c r="E110" i="19"/>
  <c r="E111" i="19"/>
  <c r="E112" i="19"/>
  <c r="E113" i="19"/>
  <c r="E114" i="19"/>
  <c r="E115" i="19"/>
  <c r="E116" i="19"/>
  <c r="E117" i="19"/>
  <c r="E118" i="19"/>
  <c r="E119" i="19"/>
  <c r="E120" i="19"/>
  <c r="E121" i="19"/>
  <c r="E122" i="19"/>
  <c r="E123" i="19"/>
  <c r="E124" i="19"/>
  <c r="E125" i="19"/>
  <c r="E126" i="19"/>
  <c r="E127" i="19"/>
  <c r="E128" i="19"/>
  <c r="E129" i="19"/>
  <c r="E130" i="19"/>
  <c r="E131" i="19"/>
  <c r="E132" i="19"/>
  <c r="E133" i="19"/>
  <c r="E134" i="19"/>
  <c r="E135" i="19"/>
  <c r="E136" i="19"/>
  <c r="E137" i="19"/>
  <c r="E138" i="19"/>
  <c r="E139" i="19"/>
  <c r="E140" i="19"/>
  <c r="E141" i="19"/>
  <c r="E142" i="19"/>
  <c r="E143" i="19"/>
  <c r="E144" i="19"/>
  <c r="E145" i="19"/>
  <c r="E146" i="19"/>
  <c r="E147" i="19"/>
  <c r="E148" i="19"/>
  <c r="E149" i="19"/>
  <c r="E150" i="19"/>
  <c r="E151" i="19"/>
  <c r="E152" i="19"/>
  <c r="E153" i="19"/>
  <c r="E154" i="19"/>
  <c r="E155" i="19"/>
  <c r="E156" i="19"/>
  <c r="E157" i="19"/>
  <c r="E158" i="19"/>
  <c r="E159" i="19"/>
  <c r="E160" i="19"/>
  <c r="E161" i="19"/>
  <c r="E162" i="19"/>
  <c r="E163" i="19"/>
  <c r="E164" i="19"/>
  <c r="E165" i="19"/>
  <c r="E166" i="19"/>
  <c r="E167" i="19"/>
  <c r="E168" i="19"/>
  <c r="E169" i="19"/>
  <c r="E170" i="19"/>
  <c r="E171" i="19"/>
  <c r="E172" i="19"/>
  <c r="E173" i="19"/>
  <c r="E174" i="19"/>
  <c r="E175" i="19"/>
  <c r="E176" i="19"/>
  <c r="E177" i="19"/>
  <c r="E178" i="19"/>
  <c r="E179" i="19"/>
  <c r="E180" i="19"/>
  <c r="E181" i="19"/>
  <c r="E182" i="19"/>
  <c r="E183" i="19"/>
  <c r="E184" i="19"/>
  <c r="E185" i="19"/>
  <c r="E186" i="19"/>
  <c r="E187" i="19"/>
  <c r="E188" i="19"/>
  <c r="E189" i="19"/>
  <c r="E190" i="19"/>
  <c r="E191" i="19"/>
  <c r="E192" i="19"/>
  <c r="E193" i="19"/>
  <c r="E194" i="19"/>
  <c r="E195" i="19"/>
  <c r="E196" i="19"/>
  <c r="E197" i="19"/>
  <c r="E198" i="19"/>
  <c r="E199" i="19"/>
  <c r="E200" i="19"/>
  <c r="E201" i="19"/>
  <c r="E2" i="1"/>
  <c r="E3" i="1"/>
  <c r="E6" i="1"/>
  <c r="E7" i="1"/>
  <c r="E8"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AA3" i="2"/>
  <c r="D3" i="2" s="1"/>
  <c r="B3" i="2"/>
  <c r="O5" i="2"/>
  <c r="O4" i="2"/>
  <c r="C166" i="2"/>
  <c r="C165" i="2"/>
  <c r="C164" i="2"/>
  <c r="C163" i="2"/>
  <c r="C162" i="2"/>
  <c r="K5" i="2"/>
  <c r="I5" i="2"/>
  <c r="G5" i="2"/>
  <c r="E5" i="2"/>
  <c r="C5" i="2"/>
  <c r="A5" i="2"/>
  <c r="A6" i="18" a="1"/>
  <c r="B6" i="18" a="1"/>
  <c r="C6" i="18" a="1"/>
  <c r="D6" i="18" a="1"/>
  <c r="E6" i="18" a="1"/>
  <c r="F6" i="18" a="1"/>
  <c r="G6" i="18" a="1"/>
  <c r="A7" i="18" a="1"/>
  <c r="B7" i="18" a="1"/>
  <c r="C7" i="18" a="1"/>
  <c r="D7" i="18" a="1"/>
  <c r="E7" i="18" a="1"/>
  <c r="F7" i="18" a="1"/>
  <c r="G7" i="18" a="1"/>
  <c r="A8" i="18" a="1"/>
  <c r="B8" i="18" a="1"/>
  <c r="C8" i="18" a="1"/>
  <c r="D8" i="18" a="1"/>
  <c r="E8" i="18" a="1"/>
  <c r="F8" i="18" a="1"/>
  <c r="G8" i="18" a="1"/>
  <c r="A9" i="18" a="1"/>
  <c r="B9" i="18" a="1"/>
  <c r="C9" i="18" a="1"/>
  <c r="D9" i="18" a="1"/>
  <c r="E9" i="18" a="1"/>
  <c r="F9" i="18" a="1"/>
  <c r="G9" i="18" a="1"/>
  <c r="A10" i="18" a="1"/>
  <c r="B10" i="18" a="1"/>
  <c r="C10" i="18" a="1"/>
  <c r="D10" i="18" a="1"/>
  <c r="E10" i="18" a="1"/>
  <c r="F10" i="18" a="1"/>
  <c r="G10" i="18" a="1"/>
  <c r="A11" i="18" a="1"/>
  <c r="B11" i="18" a="1"/>
  <c r="C11" i="18" a="1"/>
  <c r="D11" i="18" a="1"/>
  <c r="E11" i="18" a="1"/>
  <c r="F11" i="18" a="1"/>
  <c r="G11" i="18" a="1"/>
  <c r="D3" i="18"/>
  <c r="A1" i="18"/>
  <c r="A6" i="17" a="1"/>
  <c r="B6" i="17" a="1"/>
  <c r="C6" i="17" a="1"/>
  <c r="D6" i="17" a="1"/>
  <c r="E6" i="17" a="1"/>
  <c r="F6" i="17" a="1"/>
  <c r="G6" i="17" a="1"/>
  <c r="A7" i="17" a="1"/>
  <c r="B7" i="17" a="1"/>
  <c r="C7" i="17" a="1"/>
  <c r="D7" i="17" a="1"/>
  <c r="E7" i="17" a="1"/>
  <c r="F7" i="17" a="1"/>
  <c r="G7" i="17" a="1"/>
  <c r="A8" i="17" a="1"/>
  <c r="B8" i="17" a="1"/>
  <c r="C8" i="17" a="1"/>
  <c r="D8" i="17" a="1"/>
  <c r="E8" i="17" a="1"/>
  <c r="F8" i="17" a="1"/>
  <c r="G8" i="17" a="1"/>
  <c r="A9" i="17" a="1"/>
  <c r="B9" i="17" a="1"/>
  <c r="C9" i="17" a="1"/>
  <c r="D9" i="17" a="1"/>
  <c r="E9" i="17" a="1"/>
  <c r="F9" i="17" a="1"/>
  <c r="G9" i="17" a="1"/>
  <c r="A10" i="17" a="1"/>
  <c r="B10" i="17" a="1"/>
  <c r="C10" i="17" a="1"/>
  <c r="D10" i="17" a="1"/>
  <c r="E10" i="17" a="1"/>
  <c r="F10" i="17" a="1"/>
  <c r="G10" i="17" a="1"/>
  <c r="A11" i="17" a="1"/>
  <c r="B11" i="17" a="1"/>
  <c r="C11" i="17" a="1"/>
  <c r="D11" i="17" a="1"/>
  <c r="E11" i="17" a="1"/>
  <c r="F11" i="17" a="1"/>
  <c r="G11" i="17" a="1"/>
  <c r="D3" i="17"/>
  <c r="A1" i="17"/>
  <c r="A6" i="16" a="1"/>
  <c r="B6" i="16" a="1"/>
  <c r="C6" i="16" a="1"/>
  <c r="D6" i="16" a="1"/>
  <c r="E6" i="16" a="1"/>
  <c r="F6" i="16" a="1"/>
  <c r="G6" i="16" a="1"/>
  <c r="A7" i="16" a="1"/>
  <c r="B7" i="16" a="1"/>
  <c r="C7" i="16" a="1"/>
  <c r="D7" i="16" a="1"/>
  <c r="E7" i="16" a="1"/>
  <c r="F7" i="16" a="1"/>
  <c r="G7" i="16" a="1"/>
  <c r="A8" i="16" a="1"/>
  <c r="B8" i="16" a="1"/>
  <c r="C8" i="16" a="1"/>
  <c r="D8" i="16" a="1"/>
  <c r="E8" i="16" a="1"/>
  <c r="F8" i="16" a="1"/>
  <c r="G8" i="16" a="1"/>
  <c r="A9" i="16" a="1"/>
  <c r="B9" i="16" a="1"/>
  <c r="C9" i="16" a="1"/>
  <c r="D9" i="16" a="1"/>
  <c r="E9" i="16" a="1"/>
  <c r="F9" i="16" a="1"/>
  <c r="G9" i="16" a="1"/>
  <c r="A10" i="16" a="1"/>
  <c r="B10" i="16" a="1"/>
  <c r="C10" i="16" a="1"/>
  <c r="D10" i="16" a="1"/>
  <c r="E10" i="16" a="1"/>
  <c r="F10" i="16" a="1"/>
  <c r="G10" i="16" a="1"/>
  <c r="A11" i="16" a="1"/>
  <c r="B11" i="16" a="1"/>
  <c r="C11" i="16" a="1"/>
  <c r="D11" i="16" a="1"/>
  <c r="E11" i="16" a="1"/>
  <c r="F11" i="16" a="1"/>
  <c r="G11" i="16" a="1"/>
  <c r="D3" i="16"/>
  <c r="A1" i="16"/>
  <c r="A6" i="15" a="1"/>
  <c r="B6" i="15" a="1"/>
  <c r="C6" i="15" a="1"/>
  <c r="D6" i="15" a="1"/>
  <c r="E6" i="15" a="1"/>
  <c r="F6" i="15" a="1"/>
  <c r="G6" i="15" a="1"/>
  <c r="A7" i="15" a="1"/>
  <c r="B7" i="15" a="1"/>
  <c r="C7" i="15" a="1"/>
  <c r="D7" i="15" a="1"/>
  <c r="E7" i="15" a="1"/>
  <c r="F7" i="15" a="1"/>
  <c r="G7" i="15" a="1"/>
  <c r="A8" i="15" a="1"/>
  <c r="B8" i="15" a="1"/>
  <c r="C8" i="15" a="1"/>
  <c r="D8" i="15" a="1"/>
  <c r="E8" i="15" a="1"/>
  <c r="F8" i="15" a="1"/>
  <c r="G8" i="15" a="1"/>
  <c r="A9" i="15" a="1"/>
  <c r="B9" i="15" a="1"/>
  <c r="C9" i="15" a="1"/>
  <c r="D9" i="15" a="1"/>
  <c r="E9" i="15" a="1"/>
  <c r="F9" i="15" a="1"/>
  <c r="G9" i="15" a="1"/>
  <c r="A10" i="15" a="1"/>
  <c r="B10" i="15" a="1"/>
  <c r="C10" i="15" a="1"/>
  <c r="D10" i="15" a="1"/>
  <c r="E10" i="15" a="1"/>
  <c r="F10" i="15" a="1"/>
  <c r="G10" i="15" a="1"/>
  <c r="A11" i="15" a="1"/>
  <c r="B11" i="15" a="1"/>
  <c r="C11" i="15" a="1"/>
  <c r="D11" i="15" a="1"/>
  <c r="E11" i="15" a="1"/>
  <c r="F11" i="15" a="1"/>
  <c r="G11" i="15" a="1"/>
  <c r="D3" i="15"/>
  <c r="A1" i="15"/>
  <c r="A6" i="14" a="1"/>
  <c r="B6" i="14" a="1"/>
  <c r="C6" i="14" a="1"/>
  <c r="D6" i="14" a="1"/>
  <c r="E6" i="14" a="1"/>
  <c r="F6" i="14" a="1"/>
  <c r="G6" i="14" a="1"/>
  <c r="A7" i="14" a="1"/>
  <c r="B7" i="14" a="1"/>
  <c r="C7" i="14" a="1"/>
  <c r="D7" i="14" a="1"/>
  <c r="E7" i="14" a="1"/>
  <c r="F7" i="14" a="1"/>
  <c r="G7" i="14" a="1"/>
  <c r="A8" i="14" a="1"/>
  <c r="B8" i="14" a="1"/>
  <c r="C8" i="14" a="1"/>
  <c r="D8" i="14" a="1"/>
  <c r="E8" i="14" a="1"/>
  <c r="F8" i="14" a="1"/>
  <c r="G8" i="14" a="1"/>
  <c r="A9" i="14" a="1"/>
  <c r="B9" i="14" a="1"/>
  <c r="C9" i="14" a="1"/>
  <c r="D9" i="14" a="1"/>
  <c r="E9" i="14" a="1"/>
  <c r="F9" i="14" a="1"/>
  <c r="G9" i="14" a="1"/>
  <c r="A10" i="14" a="1"/>
  <c r="B10" i="14" a="1"/>
  <c r="C10" i="14" a="1"/>
  <c r="D10" i="14" a="1"/>
  <c r="E10" i="14" a="1"/>
  <c r="F10" i="14" a="1"/>
  <c r="G10" i="14" a="1"/>
  <c r="A11" i="14" a="1"/>
  <c r="B11" i="14" a="1"/>
  <c r="C11" i="14" a="1"/>
  <c r="D11" i="14" a="1"/>
  <c r="E11" i="14" a="1"/>
  <c r="F11" i="14" a="1"/>
  <c r="G11" i="14" a="1"/>
  <c r="D3" i="14"/>
  <c r="A1" i="14"/>
  <c r="A6" i="13" a="1"/>
  <c r="B6" i="13" a="1"/>
  <c r="C6" i="13" a="1"/>
  <c r="D6" i="13" a="1"/>
  <c r="E6" i="13" a="1"/>
  <c r="F6" i="13" a="1"/>
  <c r="G6" i="13" a="1"/>
  <c r="A7" i="13" a="1"/>
  <c r="B7" i="13" a="1"/>
  <c r="C7" i="13" a="1"/>
  <c r="D7" i="13" a="1"/>
  <c r="E7" i="13" a="1"/>
  <c r="F7" i="13" a="1"/>
  <c r="G7" i="13" a="1"/>
  <c r="A8" i="13" a="1"/>
  <c r="B8" i="13" a="1"/>
  <c r="C8" i="13" a="1"/>
  <c r="D8" i="13" a="1"/>
  <c r="E8" i="13" a="1"/>
  <c r="F8" i="13" a="1"/>
  <c r="G8" i="13" a="1"/>
  <c r="A9" i="13" a="1"/>
  <c r="B9" i="13" a="1"/>
  <c r="C9" i="13" a="1"/>
  <c r="D9" i="13" a="1"/>
  <c r="E9" i="13" a="1"/>
  <c r="F9" i="13" a="1"/>
  <c r="G9" i="13" a="1"/>
  <c r="A10" i="13" a="1"/>
  <c r="B10" i="13" a="1"/>
  <c r="C10" i="13" a="1"/>
  <c r="D10" i="13" a="1"/>
  <c r="E10" i="13" a="1"/>
  <c r="F10" i="13" a="1"/>
  <c r="G10" i="13" a="1"/>
  <c r="A11" i="13" a="1"/>
  <c r="B11" i="13" a="1"/>
  <c r="C11" i="13" a="1"/>
  <c r="D11" i="13" a="1"/>
  <c r="E11" i="13" a="1"/>
  <c r="F11" i="13" a="1"/>
  <c r="G11" i="13" a="1"/>
  <c r="D3" i="13"/>
  <c r="A1" i="13"/>
  <c r="A6" i="3" a="1"/>
  <c r="B6" i="3" a="1"/>
  <c r="C6" i="3" a="1"/>
  <c r="D6" i="3" a="1"/>
  <c r="E6" i="3" a="1"/>
  <c r="F6" i="3" a="1"/>
  <c r="G6" i="3" a="1"/>
  <c r="A7" i="3" a="1"/>
  <c r="B7" i="3" a="1"/>
  <c r="C7" i="3" a="1"/>
  <c r="D7" i="3" a="1"/>
  <c r="E7" i="3" a="1"/>
  <c r="F7" i="3" a="1"/>
  <c r="G7" i="3" a="1"/>
  <c r="A8" i="3" a="1"/>
  <c r="B8" i="3" a="1"/>
  <c r="C8" i="3" a="1"/>
  <c r="D8" i="3" a="1"/>
  <c r="E8" i="3" a="1"/>
  <c r="F8" i="3" a="1"/>
  <c r="G8" i="3" a="1"/>
  <c r="A9" i="3" a="1"/>
  <c r="B9" i="3" a="1"/>
  <c r="C9" i="3" a="1"/>
  <c r="D9" i="3" a="1"/>
  <c r="E9" i="3" a="1"/>
  <c r="F9" i="3" a="1"/>
  <c r="G9" i="3" a="1"/>
  <c r="A10" i="3" a="1"/>
  <c r="B10" i="3" a="1"/>
  <c r="C10" i="3" a="1"/>
  <c r="D10" i="3" a="1"/>
  <c r="E10" i="3" a="1"/>
  <c r="F10" i="3" a="1"/>
  <c r="G10" i="3" a="1"/>
  <c r="A11" i="3" a="1"/>
  <c r="B11" i="3" a="1"/>
  <c r="C11" i="3" a="1"/>
  <c r="D11" i="3" a="1"/>
  <c r="E11" i="3" a="1"/>
  <c r="F11" i="3" a="1"/>
  <c r="G11" i="3" a="1"/>
  <c r="D3" i="3"/>
  <c r="A1" i="3"/>
  <c r="A6" i="12" a="1"/>
  <c r="B6" i="12" a="1"/>
  <c r="C6" i="12" a="1"/>
  <c r="D6" i="12" a="1"/>
  <c r="E6" i="12" a="1"/>
  <c r="F6" i="12" a="1"/>
  <c r="G6" i="12" a="1"/>
  <c r="A7" i="12" a="1"/>
  <c r="B7" i="12" a="1"/>
  <c r="C7" i="12" a="1"/>
  <c r="D7" i="12" a="1"/>
  <c r="E7" i="12" a="1"/>
  <c r="F7" i="12" a="1"/>
  <c r="G7" i="12" a="1"/>
  <c r="A8" i="12" a="1"/>
  <c r="B8" i="12" a="1"/>
  <c r="C8" i="12" a="1"/>
  <c r="D8" i="12" a="1"/>
  <c r="E8" i="12" a="1"/>
  <c r="F8" i="12" a="1"/>
  <c r="G8" i="12" a="1"/>
  <c r="A9" i="12" a="1"/>
  <c r="B9" i="12" a="1"/>
  <c r="C9" i="12" a="1"/>
  <c r="D9" i="12" a="1"/>
  <c r="E9" i="12" a="1"/>
  <c r="F9" i="12" a="1"/>
  <c r="G9" i="12" a="1"/>
  <c r="A10" i="12" a="1"/>
  <c r="B10" i="12" a="1"/>
  <c r="C10" i="12" a="1"/>
  <c r="D10" i="12" a="1"/>
  <c r="E10" i="12" a="1"/>
  <c r="F10" i="12" a="1"/>
  <c r="G10" i="12" a="1"/>
  <c r="A11" i="12" a="1"/>
  <c r="B11" i="12" a="1"/>
  <c r="C11" i="12" a="1"/>
  <c r="D11" i="12" a="1"/>
  <c r="E11" i="12" a="1"/>
  <c r="F11" i="12" a="1"/>
  <c r="G11" i="12" a="1"/>
  <c r="D3" i="12"/>
  <c r="A1" i="12"/>
  <c r="A6" i="11" a="1"/>
  <c r="B6" i="11" a="1"/>
  <c r="C6" i="11" a="1"/>
  <c r="D6" i="11" a="1"/>
  <c r="E6" i="11" a="1"/>
  <c r="F6" i="11" a="1"/>
  <c r="G6" i="11" a="1"/>
  <c r="A7" i="11" a="1"/>
  <c r="B7" i="11" a="1"/>
  <c r="C7" i="11" a="1"/>
  <c r="D7" i="11" a="1"/>
  <c r="E7" i="11" a="1"/>
  <c r="F7" i="11" a="1"/>
  <c r="G7" i="11" a="1"/>
  <c r="A8" i="11" a="1"/>
  <c r="B8" i="11" a="1"/>
  <c r="C8" i="11" a="1"/>
  <c r="D8" i="11" a="1"/>
  <c r="E8" i="11" a="1"/>
  <c r="F8" i="11" a="1"/>
  <c r="G8" i="11" a="1"/>
  <c r="A9" i="11" a="1"/>
  <c r="B9" i="11" a="1"/>
  <c r="C9" i="11" a="1"/>
  <c r="D9" i="11" a="1"/>
  <c r="E9" i="11" a="1"/>
  <c r="F9" i="11" a="1"/>
  <c r="G9" i="11" a="1"/>
  <c r="A10" i="11" a="1"/>
  <c r="B10" i="11" a="1"/>
  <c r="C10" i="11" a="1"/>
  <c r="D10" i="11" a="1"/>
  <c r="E10" i="11" a="1"/>
  <c r="F10" i="11" a="1"/>
  <c r="G10" i="11" a="1"/>
  <c r="A11" i="11" a="1"/>
  <c r="B11" i="11" a="1"/>
  <c r="C11" i="11" a="1"/>
  <c r="D11" i="11" a="1"/>
  <c r="E11" i="11" a="1"/>
  <c r="F11" i="11" a="1"/>
  <c r="G11" i="11" a="1"/>
  <c r="D3" i="11"/>
  <c r="A1" i="11"/>
  <c r="A6" i="10" a="1"/>
  <c r="B6" i="10" a="1"/>
  <c r="C6" i="10" a="1"/>
  <c r="D6" i="10" a="1"/>
  <c r="E6" i="10" a="1"/>
  <c r="F6" i="10" a="1"/>
  <c r="G6" i="10" a="1"/>
  <c r="A7" i="10" a="1"/>
  <c r="B7" i="10" a="1"/>
  <c r="C7" i="10" a="1"/>
  <c r="D7" i="10" a="1"/>
  <c r="E7" i="10" a="1"/>
  <c r="F7" i="10" a="1"/>
  <c r="G7" i="10" a="1"/>
  <c r="A8" i="10" a="1"/>
  <c r="B8" i="10" a="1"/>
  <c r="C8" i="10" a="1"/>
  <c r="D8" i="10" a="1"/>
  <c r="E8" i="10" a="1"/>
  <c r="F8" i="10" a="1"/>
  <c r="G8" i="10" a="1"/>
  <c r="A9" i="10" a="1"/>
  <c r="B9" i="10" a="1"/>
  <c r="C9" i="10" a="1"/>
  <c r="D9" i="10" a="1"/>
  <c r="E9" i="10" a="1"/>
  <c r="F9" i="10" a="1"/>
  <c r="G9" i="10" a="1"/>
  <c r="A10" i="10" a="1"/>
  <c r="B10" i="10" a="1"/>
  <c r="C10" i="10" a="1"/>
  <c r="D10" i="10" a="1"/>
  <c r="E10" i="10" a="1"/>
  <c r="F10" i="10" a="1"/>
  <c r="G10" i="10" a="1"/>
  <c r="A11" i="10" a="1"/>
  <c r="B11" i="10" a="1"/>
  <c r="C11" i="10" a="1"/>
  <c r="D11" i="10" a="1"/>
  <c r="E11" i="10" a="1"/>
  <c r="F11" i="10" a="1"/>
  <c r="G11" i="10" a="1"/>
  <c r="D3" i="10"/>
  <c r="A1" i="10"/>
  <c r="A6" i="9" a="1"/>
  <c r="B6" i="9" a="1"/>
  <c r="C6" i="9" a="1"/>
  <c r="D6" i="9" a="1"/>
  <c r="E6" i="9" a="1"/>
  <c r="F6" i="9" a="1"/>
  <c r="G6" i="9" a="1"/>
  <c r="A7" i="9" a="1"/>
  <c r="B7" i="9" a="1"/>
  <c r="C7" i="9" a="1"/>
  <c r="D7" i="9" a="1"/>
  <c r="E7" i="9" a="1"/>
  <c r="F7" i="9" a="1"/>
  <c r="G7" i="9" a="1"/>
  <c r="A8" i="9" a="1"/>
  <c r="B8" i="9" a="1"/>
  <c r="C8" i="9" a="1"/>
  <c r="D8" i="9" a="1"/>
  <c r="E8" i="9" a="1"/>
  <c r="F8" i="9" a="1"/>
  <c r="G8" i="9" a="1"/>
  <c r="A9" i="9" a="1"/>
  <c r="B9" i="9" a="1"/>
  <c r="C9" i="9" a="1"/>
  <c r="D9" i="9" a="1"/>
  <c r="E9" i="9" a="1"/>
  <c r="F9" i="9" a="1"/>
  <c r="G9" i="9" a="1"/>
  <c r="A10" i="9" a="1"/>
  <c r="B10" i="9" a="1"/>
  <c r="C10" i="9" a="1"/>
  <c r="D10" i="9" a="1"/>
  <c r="E10" i="9" a="1"/>
  <c r="F10" i="9" a="1"/>
  <c r="G10" i="9" a="1"/>
  <c r="A11" i="9" a="1"/>
  <c r="B11" i="9" a="1"/>
  <c r="C11" i="9" a="1"/>
  <c r="D11" i="9" a="1"/>
  <c r="E11" i="9" a="1"/>
  <c r="F11" i="9" a="1"/>
  <c r="G11" i="9" a="1"/>
  <c r="D3" i="9"/>
  <c r="A1" i="9"/>
  <c r="A6" i="8" a="1"/>
  <c r="B6" i="8" a="1"/>
  <c r="C6" i="8" a="1"/>
  <c r="D6" i="8" a="1"/>
  <c r="E6" i="8" a="1"/>
  <c r="F6" i="8" a="1"/>
  <c r="G6" i="8" a="1"/>
  <c r="A7" i="8" a="1"/>
  <c r="B7" i="8" a="1"/>
  <c r="C7" i="8" a="1"/>
  <c r="D7" i="8" a="1"/>
  <c r="E7" i="8" a="1"/>
  <c r="F7" i="8" a="1"/>
  <c r="G7" i="8" a="1"/>
  <c r="A8" i="8" a="1"/>
  <c r="B8" i="8" a="1"/>
  <c r="C8" i="8" a="1"/>
  <c r="D8" i="8" a="1"/>
  <c r="E8" i="8" a="1"/>
  <c r="F8" i="8" a="1"/>
  <c r="G8" i="8" a="1"/>
  <c r="A9" i="8" a="1"/>
  <c r="B9" i="8" a="1"/>
  <c r="C9" i="8" a="1"/>
  <c r="D9" i="8" a="1"/>
  <c r="E9" i="8" a="1"/>
  <c r="F9" i="8" a="1"/>
  <c r="G9" i="8" a="1"/>
  <c r="A10" i="8" a="1"/>
  <c r="B10" i="8" a="1"/>
  <c r="C10" i="8" a="1"/>
  <c r="D10" i="8" a="1"/>
  <c r="E10" i="8" a="1"/>
  <c r="F10" i="8" a="1"/>
  <c r="G10" i="8" a="1"/>
  <c r="A11" i="8" a="1"/>
  <c r="B11" i="8" a="1"/>
  <c r="C11" i="8" a="1"/>
  <c r="D11" i="8" a="1"/>
  <c r="E11" i="8" a="1"/>
  <c r="F11" i="8" a="1"/>
  <c r="G11" i="8" a="1"/>
  <c r="D3" i="8"/>
  <c r="A1" i="8"/>
  <c r="AA11" i="2" l="1" a="1"/>
  <c r="P27" i="2"/>
  <c r="Q27" i="2" s="1"/>
  <c r="P26" i="2"/>
  <c r="Q26" i="2" s="1"/>
  <c r="P5" i="2"/>
  <c r="Q5" i="2" s="1"/>
  <c r="P4" i="2"/>
  <c r="Q4" i="2" s="1"/>
  <c r="J45" i="2" l="1"/>
  <c r="K45" i="2"/>
  <c r="J44" i="2"/>
  <c r="K44" i="2"/>
  <c r="J43" i="2"/>
  <c r="K43" i="2"/>
  <c r="J42" i="2"/>
  <c r="K42" i="2"/>
  <c r="J41" i="2"/>
  <c r="K41" i="2"/>
  <c r="J40" i="2"/>
  <c r="K40" i="2"/>
  <c r="J39" i="2"/>
  <c r="K39" i="2"/>
  <c r="J38" i="2"/>
  <c r="K38" i="2"/>
  <c r="J37" i="2"/>
  <c r="K37" i="2"/>
  <c r="J36" i="2"/>
  <c r="K36" i="2"/>
  <c r="J35" i="2"/>
  <c r="K35" i="2"/>
  <c r="J34" i="2"/>
  <c r="K34" i="2"/>
  <c r="J33" i="2"/>
  <c r="K33" i="2"/>
  <c r="J32" i="2"/>
  <c r="K32" i="2"/>
  <c r="J31" i="2"/>
  <c r="K31" i="2"/>
  <c r="J30" i="2"/>
  <c r="K30" i="2"/>
  <c r="J29" i="2"/>
  <c r="K29" i="2"/>
  <c r="J28" i="2"/>
  <c r="K28" i="2"/>
  <c r="J27" i="2"/>
  <c r="K27" i="2"/>
  <c r="J26" i="2"/>
  <c r="K26" i="2"/>
  <c r="J25" i="2"/>
  <c r="K25" i="2"/>
  <c r="J24" i="2"/>
  <c r="K24" i="2"/>
  <c r="J23" i="2"/>
  <c r="K23" i="2"/>
  <c r="J22" i="2"/>
  <c r="K22" i="2"/>
  <c r="J21" i="2"/>
  <c r="K21" i="2"/>
  <c r="J20" i="2"/>
  <c r="K20" i="2"/>
  <c r="J19" i="2"/>
  <c r="K19" i="2"/>
  <c r="J18" i="2"/>
  <c r="K18" i="2"/>
  <c r="J17" i="2"/>
  <c r="K17" i="2"/>
  <c r="J16" i="2"/>
  <c r="K16" i="2"/>
  <c r="J15" i="2"/>
  <c r="K15" i="2"/>
  <c r="J14" i="2"/>
  <c r="K14" i="2"/>
  <c r="J13" i="2"/>
  <c r="K13" i="2"/>
  <c r="J12" i="2"/>
  <c r="K12"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J11"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R27"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R5" i="2"/>
  <c r="A11" i="2" l="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<sst xmlns="http://schemas.openxmlformats.org/spreadsheetml/2006/main" count="907" uniqueCount="310">
  <si>
    <t>Detailed Notes and Instructions</t>
  </si>
  <si>
    <t>Component</t>
  </si>
  <si>
    <t>Function</t>
  </si>
  <si>
    <t>Displayed Information</t>
  </si>
  <si>
    <t>Limitations</t>
  </si>
  <si>
    <t>Usage</t>
  </si>
  <si>
    <t>Email Campaigns Sheet</t>
  </si>
  <si>
    <t>Source table for all email-related tasks and tracking.</t>
  </si>
  <si>
    <t>Send Date, Send Time, Campaign Name, Campaign Type, Owner, Checklist items, Links (Jira, ClickUp, Bluecore/Attentive), Est. Audience, Delivered, Notes, Current Stage.</t>
  </si>
  <si>
    <t>Checkbox columns must not be converted to dropdowns. Headers must not be renamed. Do not delete table rows/columns outside normal table editing.</t>
  </si>
  <si>
    <t>Enter all email campaign details here. Check the boxes as tasks are completed.</t>
  </si>
  <si>
    <t>SMS Campaigns Sheet</t>
  </si>
  <si>
    <t>Source table for all SMS-related tasks and tracking.</t>
  </si>
  <si>
    <t>Send Date, Send Time, Campaign Name, Campaign Type, Owner, SMS Checklist, Proof of Schedule, Bluecore/Attentive Link, Est. Audience, Delivered, Notes, Current Stage.</t>
  </si>
  <si>
    <t>Headers must not be renamed. Formula and audit columns should not be manually typed over. Do not remove the Campaign Type dropdown.</t>
  </si>
  <si>
    <t>Enter all SMS campaign details here. Check the boxes as tasks are completed.</t>
  </si>
  <si>
    <t>Dashboard Sheet</t>
  </si>
  <si>
    <t>Summarizes the current week through next week Email and SMS campaigns.</t>
  </si>
  <si>
    <t>Upcoming campaigns, approval status (Done/Not Yet), Segments status (Provided/Pending), and Delivered comparison.</t>
  </si>
  <si>
    <t>Dashboard is formula-driven for web compatibility; formulas, charts, and generated table values should not be edited directly.</t>
  </si>
  <si>
    <t>View-only summary. Keep source campaign rows complete and dated so they appear correctly on the Dashboard.</t>
  </si>
  <si>
    <t>Calendar Sheets (Jan-Dec)</t>
  </si>
  <si>
    <t>Monthly visual layout of Email and SMS campaigns by Send Date.</t>
  </si>
  <si>
    <t>Campaigns listed on their scheduled Send Date. A 'Week No.' column automatically computes and displays the week number (e.g., 'Week 24'). Current month tab turns green automatically.</t>
  </si>
  <si>
    <t>Monthly sheets should not be deleted. Calendar formulas should not be overwritten.</t>
  </si>
  <si>
    <t>Automatically updates based on Send Dates in the campaign sheets. Do not edit directly.</t>
  </si>
  <si>
    <t>Current Stage Column</t>
  </si>
  <si>
    <t>Automatically concatenates and lists checked checklist items.</t>
  </si>
  <si>
    <t>Shows 'Done: [Item1], [Item2]' or 'No checklist items checked'.</t>
  </si>
  <si>
    <t>Driven by formulas. Cannot be manually overwritten.</t>
  </si>
  <si>
    <t>Do not edit directly. Update the corresponding checkboxes to change the Current Stage.</t>
  </si>
  <si>
    <t>Dropdowns</t>
  </si>
  <si>
    <t>Source list for Campaign Type dropdowns on the campaign sheets.</t>
  </si>
  <si>
    <t>Promo, Services, Loyalty &amp; PLCC, Newsletters, Events, NPA, Others.</t>
  </si>
  <si>
    <t>Custom values should not be added to the source list directly.</t>
  </si>
  <si>
    <t>If a type does not fit, choose 'Others' in the campaign sheet and then manually type the custom value over it in the cell.</t>
  </si>
  <si>
    <t>SharePoint / Collaboration</t>
  </si>
  <si>
    <t>Allows collaboration via SharePoint/Excel for the web.</t>
  </si>
  <si>
    <t>N/A</t>
  </si>
  <si>
    <t>Excel for the web does not run VBA macros, so macro-only automation requires desktop Excel.</t>
  </si>
  <si>
    <t>For macro refreshes and audit stamping, open in desktop Excel with macros enabled.</t>
  </si>
  <si>
    <t>Required Stability Rules</t>
  </si>
  <si>
    <t>Ensures automation finds columns correctly by header/table name.</t>
  </si>
  <si>
    <t>Avoid merged cells inside tables, external workbook links, protected sheets that block macros, and changing table names.</t>
  </si>
  <si>
    <t>Use real dates in Send Date, numbers in Delivered and Est. Audience, URLs in link fields, and plain text in Owner/Notes.</t>
  </si>
  <si>
    <t>Web Compatibility</t>
  </si>
  <si>
    <t>Ensures the workbook functions in web browsers without VBA.</t>
  </si>
  <si>
    <t>Last Refresh, Last Edited timestamps.</t>
  </si>
  <si>
    <t>Do not add freeze panes, external scripts, workbook links, or Python automation.</t>
  </si>
  <si>
    <t>Use normal table edits. Dashboard Last Refresh and Last Edited are NOW-based recalculation timestamps. Row-level Last Updated By is manual in the web version.</t>
  </si>
  <si>
    <t>Send Date Formatting</t>
  </si>
  <si>
    <t>Automatically enforces formatting for consistency across Email, SMS, and Dashboard sheets.</t>
  </si>
  <si>
    <t>Dates displayed as Day of Week, MM/DD/YYYY (e.g., Monday, 06/01/2026).</t>
  </si>
  <si>
    <t>Enter any valid date, and it will automatically snap to the required format.</t>
  </si>
  <si>
    <t>Cancellation Detection</t>
  </si>
  <si>
    <t>Automatically detects cancelled campaigns by checking the Notes column in Email Campaigns and SMS Campaigns sheets.</t>
  </si>
  <si>
    <t>If Notes contains only 'Cancelled' or 'Canceled' (case-insensitive, no extra text), the Dashboard displays 'CANCELLED - [Campaign Name]' in the Campaign column, sets Stage to 'Cancelled', and marks Approval and Segments as 'N/A'.</t>
  </si>
  <si>
    <t>Only exact single-word matches trigger cancellation. Notes like 'Cancelled due to rain' or 'Not Cancelled' will NOT trigger it.</t>
  </si>
  <si>
    <t>Type 'Cancelled' or 'Canceled' in the Notes column of any campaign row. The Dashboard will automatically reflect the cancellation status.</t>
  </si>
  <si>
    <t>Email &amp; SMS Campaign Summary</t>
  </si>
  <si>
    <t>Current week through next week Email and SMS campaigns.</t>
  </si>
  <si>
    <t>Last Week vs Current Week Delivered Emails (Sun-Sat)</t>
  </si>
  <si>
    <t>Last Refresh</t>
  </si>
  <si>
    <t>Last Edited By</t>
  </si>
  <si>
    <t>Period</t>
  </si>
  <si>
    <t>Start Date</t>
  </si>
  <si>
    <t>End Date</t>
  </si>
  <si>
    <t>Delivered Emails</t>
  </si>
  <si>
    <t>Change</t>
  </si>
  <si>
    <t>Active Work</t>
  </si>
  <si>
    <t>Sending Today</t>
  </si>
  <si>
    <t>Email Active</t>
  </si>
  <si>
    <t>SMS Active</t>
  </si>
  <si>
    <t>Approval Pending</t>
  </si>
  <si>
    <t>Sent</t>
  </si>
  <si>
    <t>Last Week</t>
  </si>
  <si>
    <t>Current Week</t>
  </si>
  <si>
    <t>Email + SMS not yet sent</t>
  </si>
  <si>
    <t>Email + SMS scheduled today</t>
  </si>
  <si>
    <t>Open email campaigns</t>
  </si>
  <si>
    <t>Open SMS campaigns</t>
  </si>
  <si>
    <t>Approval checkbox is open</t>
  </si>
  <si>
    <t>Campaigns with Delivered &gt; 0</t>
  </si>
  <si>
    <t>Jan</t>
  </si>
  <si>
    <t>Feb</t>
  </si>
  <si>
    <t>Mar</t>
  </si>
  <si>
    <t>Apr</t>
  </si>
  <si>
    <t>May</t>
  </si>
  <si>
    <t>Jun</t>
  </si>
  <si>
    <t>Jul</t>
  </si>
  <si>
    <t>Aug</t>
  </si>
  <si>
    <t>Sep</t>
  </si>
  <si>
    <t>Oct</t>
  </si>
  <si>
    <t>Nov</t>
  </si>
  <si>
    <t>Dec</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</si>
  <si>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</si>
  <si>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</si>
  <si>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</si>
  <si>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</si>
  <si>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</si>
  <si>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</si>
  <si>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</si>
  <si>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</si>
  <si>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</si>
  <si>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</si>
  <si>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</si>
  <si>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</si>
  <si>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</si>
  <si>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</si>
  <si>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Last Week vs Current Week Delivered SMS (Sun-Sat)</t>
  </si>
  <si>
    <t>Delivered SMS</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</si>
  <si>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</si>
  <si>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</si>
  <si>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</si>
  <si>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</si>
  <si>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</si>
  <si>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</si>
  <si>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</si>
  <si>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</si>
  <si>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</si>
  <si>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</si>
  <si>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</si>
  <si>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</si>
  <si>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</si>
  <si>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</si>
  <si>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</si>
  <si>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</si>
  <si>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</si>
  <si>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</si>
  <si>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</si>
  <si>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</si>
  <si>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</si>
  <si>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</si>
  <si>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</si>
  <si>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</si>
  <si>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</si>
  <si>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</si>
  <si>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</si>
  <si>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STO</t>
  </si>
  <si>
    <t>060126-STO-Promo-Bundle-and-Save-P-P-NA-GLP</t>
  </si>
  <si>
    <t>Promo</t>
  </si>
  <si>
    <t>Archim</t>
  </si>
  <si>
    <t>https://jira.adorama.com/browse/MKT-102959</t>
  </si>
  <si>
    <t>https://app.clickup.com/t/86ahrpf3e</t>
  </si>
  <si>
    <t>https://app.bluecore.com/admin/campaigns/adorama/4944513273290752/edit</t>
  </si>
  <si>
    <t>Archim Pameroyan</t>
  </si>
  <si>
    <t>060226-STO-Loyalty-V1-VIP-Rewards-P-P-NA-GLP</t>
  </si>
  <si>
    <t>Loyalty &amp; PLCC</t>
  </si>
  <si>
    <t>https://jira.adorama.com/browse/MKT-102651</t>
  </si>
  <si>
    <t>https://app.clickup.com/t/86ahjqzqj</t>
  </si>
  <si>
    <t>https://app.bluecore.com/admin/campaigns/adorama/6259984043991040</t>
  </si>
  <si>
    <t>060226-STO-Loyalty-V2-VIP-Perks-P-P-NA-GLP</t>
  </si>
  <si>
    <t>https://jira.adorama.com/browse/MKT-102790</t>
  </si>
  <si>
    <t>https://app.clickup.com/t/86ahjqzr0</t>
  </si>
  <si>
    <t>https://app.bluecore.com/admin/campaigns/adorama/4905183754444800</t>
  </si>
  <si>
    <t>060226-STO-Loyalty-V3-VIP-Pro-P-P-NA-GLP</t>
  </si>
  <si>
    <t>https://jira.adorama.com/browse/MKT-102791</t>
  </si>
  <si>
    <t>https://app.clickup.com/t/86ahjqzra</t>
  </si>
  <si>
    <t>https://app.bluecore.com/admin/campaigns/adorama/5627261038223360</t>
  </si>
  <si>
    <t>060326-STO-Services-Open-Box-P-P-NA-GLP</t>
  </si>
  <si>
    <t>Services</t>
  </si>
  <si>
    <t>Jed</t>
  </si>
  <si>
    <t>https://jira.adorama.com/browse/MKT-103036</t>
  </si>
  <si>
    <t>https://app.clickup.com/t/86ahrpf3t</t>
  </si>
  <si>
    <t>https://app.bluecore.com/admin/campaigns/adorama/6601684654350336v</t>
  </si>
  <si>
    <t>060426-STO-PLCC-Open-To-Buy-P-P-NA-GLP</t>
  </si>
  <si>
    <t>https://jira.adorama.com/browse/MKT-102007</t>
  </si>
  <si>
    <t>https://app.clickup.com/t/9010122869/86ahrpf44</t>
  </si>
  <si>
    <t>https://app.bluecore.com/admin/campaigns/adorama/5230301059866624/edit</t>
  </si>
  <si>
    <t>Cancelled</t>
  </si>
  <si>
    <t>060526-08AM-Promo-EM1-Gaming-P-P-NA-GLP</t>
  </si>
  <si>
    <t>https://jira.adorama.com/browse/MKT-103040</t>
  </si>
  <si>
    <t>https://app.clickup.com/t/9010122869/86ahrpf48</t>
  </si>
  <si>
    <t>https://app.bluecore.com/admin/campaigns/adorama/4956572627099648</t>
  </si>
  <si>
    <t>060526-09AM-Promo-EM2-Weekend-Deals-Video-P-P-NA-GLP</t>
  </si>
  <si>
    <t>https://jira.adorama.com/browse/MKT-103041</t>
  </si>
  <si>
    <t>https://app.clickup.com/t/9010122869/86ahrpf4c</t>
  </si>
  <si>
    <t>https://app.bluecore.com/admin/campaigns/adorama/6658156696297472</t>
  </si>
  <si>
    <t>060526-10AM-Promo-EM3-Weekend-Deals-Photo-and-Other-Categories-P-P-NA-GLP</t>
  </si>
  <si>
    <t>https://app.clickup.com/t/9010122869/86ahrpf4k</t>
  </si>
  <si>
    <t>https://jira.adorama.com/browse/MKT-103042</t>
  </si>
  <si>
    <t>https://app.bluecore.com/admin/campaigns/adorama/6125956057915392/edit</t>
  </si>
  <si>
    <t>060626-10PM-Newsletter-Creators-Huddle-P-G-NA-GLP</t>
  </si>
  <si>
    <t>Newsletters</t>
  </si>
  <si>
    <t>https://jira.adorama.com/browse/MKT-102434</t>
  </si>
  <si>
    <t>https://app.clickup.com/t/9010122869/86ahrpf4z</t>
  </si>
  <si>
    <t>https://app.bluecore.com/admin/campaigns/adorama/4539315346333696</t>
  </si>
  <si>
    <t>060726-STO-Event-JK-x-ADORAMA-NYC-WORKSHOP-Resend-P-G-NA-GLP</t>
  </si>
  <si>
    <t>Events</t>
  </si>
  <si>
    <t>https://jira.adorama.com/browse/MKT-103104</t>
  </si>
  <si>
    <t>https://app.clickup.com/t/9010122869/86ahv69f4</t>
  </si>
  <si>
    <t>https://app.bluecore.com/admin/campaigns/adorama/5531449167831040</t>
  </si>
  <si>
    <t>Kim Chim</t>
  </si>
  <si>
    <t>Send SMS Options</t>
  </si>
  <si>
    <t>Send Test</t>
  </si>
  <si>
    <t>Proof of Schedule</t>
  </si>
  <si>
    <t>11:00:00 AM Local Timezone</t>
  </si>
  <si>
    <t>Campaign 060126 Services Open Box</t>
  </si>
  <si>
    <t>https://teams.microsoft.com/l/message/19:e8e45d54914640ea878fe0171aa48fdc@thread.v2/1780080460120?context=%7B%22contextType%22%3A%22chat%22%7D</t>
  </si>
  <si>
    <t>https://ui.attentivemobile.com/campaigns/messages/MTQ6Q29tcG9zZU1lc3NhZ2UxMTE1MDg4NQ/overview</t>
  </si>
  <si>
    <t>Campaign 060526 Promo Top Deals</t>
  </si>
  <si>
    <t>https://teams.microsoft.com/l/message/19:e8e45d54914640ea878fe0171aa48fdc@thread.v2/1780585124630?context=%7B%22contextType%22%3A%22chat%22%7D</t>
  </si>
  <si>
    <t>https://ui.attentivemobile.com/campaigns/messages/MTQ6Q29tcG9zZU1lc3NhZ2UxMTE3MzA5Mw/overview</t>
  </si>
  <si>
    <t>3:45:00 PM Local Timezone</t>
  </si>
  <si>
    <t>Campaign 060726 Promo Sony a7R VI In-Stock</t>
  </si>
  <si>
    <t>https://ui.attentivemobile.com/campaigns/messages/MTQ6Q29tcG9zZU1lc3NhZ2UxMTIxNDU2OA/overview</t>
  </si>
  <si>
    <t>Campaign 060726 Event JK X Adorama NYC Workshop</t>
  </si>
  <si>
    <t>https://teams.microsoft.com/l/message/19:e8e45d54914640ea878fe0171aa48fdc@thread.v2/1780504108170?context=%7B%22contextType%22%3A%22chat%22%7D</t>
  </si>
  <si>
    <t>https://ui.attentivemobile.com/campaigns/messages/MTQ6Q29tcG9zZU1lc3NhZ2UxMTE4NTU0NQ/overview</t>
  </si>
  <si>
    <t>11:30:00 AM Local Timezone</t>
  </si>
  <si>
    <t>Archim/Sean</t>
  </si>
  <si>
    <t>https://ui.attentivemobile.com/campaigns/messages/MTQ6Q29tcG9zZU1lc3NhZ2UxMTIxMTM3Nw/overview</t>
  </si>
  <si>
    <t>Email and SMS campaigns update automatically from their send dates.</t>
  </si>
  <si>
    <t>Dashboard</t>
  </si>
  <si>
    <t>Email</t>
  </si>
  <si>
    <t>SMS</t>
  </si>
  <si>
    <t>&lt; December</t>
  </si>
  <si>
    <t>February &gt;</t>
  </si>
  <si>
    <t>Each campaign appears on its scheduled Send Date. Multiple campaigns are listed together.</t>
  </si>
  <si>
    <t>Sunday</t>
  </si>
  <si>
    <t>Monday</t>
  </si>
  <si>
    <t>Tuesday</t>
  </si>
  <si>
    <t>Wednesday</t>
  </si>
  <si>
    <t>Thursday</t>
  </si>
  <si>
    <t>Friday</t>
  </si>
  <si>
    <t>Saturday</t>
  </si>
  <si>
    <t>Week No.</t>
  </si>
  <si>
    <t>Update Send Date or Campaign Name in Email Campaigns or SMS Campaigns to refresh this calendar.</t>
  </si>
  <si>
    <t>&lt; January</t>
  </si>
  <si>
    <t>March &gt;</t>
  </si>
  <si>
    <t>&lt; February</t>
  </si>
  <si>
    <t>April &gt;</t>
  </si>
  <si>
    <t>&lt; March</t>
  </si>
  <si>
    <t>May &gt;</t>
  </si>
  <si>
    <t>&lt; April</t>
  </si>
  <si>
    <t>June &gt;</t>
  </si>
  <si>
    <t>&lt; May</t>
  </si>
  <si>
    <t>July &gt;</t>
  </si>
  <si>
    <t>&lt; June</t>
  </si>
  <si>
    <t>August &gt;</t>
  </si>
  <si>
    <t>&lt; July</t>
  </si>
  <si>
    <t>September &gt;</t>
  </si>
  <si>
    <t>&lt; August</t>
  </si>
  <si>
    <t>October &gt;</t>
  </si>
  <si>
    <t>&lt; September</t>
  </si>
  <si>
    <t>November &gt;</t>
  </si>
  <si>
    <t>&lt; October</t>
  </si>
  <si>
    <t>December &gt;</t>
  </si>
  <si>
    <t>&lt; November</t>
  </si>
  <si>
    <t>January &gt;</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</si>
  <si>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</si>
  <si>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</si>
  <si>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</si>
  <si>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</si>
  <si>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</si>
  <si>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</si>
  <si>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</si>
  <si>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</si>
  <si>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</si>
  <si>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</si>
  <si>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</si>
  <si>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</si>
  <si>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</si>
  <si>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</si>
  <si>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</si>
  <si>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</si>
  <si>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</si>
  <si>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</si>
  <si>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</si>
  <si>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</si>
  <si>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</si>
  <si>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</si>
  <si>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</si>
  <si>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</si>
  <si>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</si>
  <si>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</si>
  <si>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</si>
  <si>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</si>
  <si>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</si>
  <si>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</si>
  <si>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</si>
  <si>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</si>
  <si>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</si>
  <si>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</si>
  <si>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</si>
  <si>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</si>
  <si>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</si>
  <si>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</si>
  <si>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</si>
  <si>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</si>
  <si>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</si>
  <si>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</si>
  <si>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</si>
  <si>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</si>
  <si>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</si>
  <si>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</si>
  <si>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</si>
  <si>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</si>
  <si>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</si>
  <si>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</si>
  <si>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</si>
  <si>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</si>
  <si>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</si>
  <si>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</si>
  <si>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</si>
  <si>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</si>
  <si>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</si>
  <si>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</si>
  <si>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Link Auto-Formatting (Jira, ClickUp, Bluecore, Proof of Schedule)</t>
  </si>
  <si>
    <t>To make links easier to double-check during the build and QA process, the tracker automatically manages how links are displayed.
1. When you paste a link for an upcoming or recent campaign, it remains as a raw URL so you can easily read it and verify the destination.
2. Once a campaign has been sent (Delivered column has a value) AND it has been 7 days since the Send Date, the tracker cleans up the history.
3. The raw URLs will be automatically converted into clickable, clean buttons (e.g., 'Jira', 'ClickUp') to keep the tracker looking tidy.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</si>
</sst>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dddd\,\ mm/dd/yyyy"/>
  </numFmts>
  <fonts count="27">
    <font>
      <sz val="11"/>
      <name val="Carlito"/>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u/>
      <sz val="11"/>
      <color rgb="FFFFFFFF"/>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8"/>
      <color rgb="FFFFFFFF"/>
      <name val="Aptos"/>
      <family val="2"/>
    </font>
    <font>
      <sz val="11"/>
      <color rgb="FF595959"/>
      <name val="Aptos"/>
      <family val="2"/>
    </font>
    <font>
      <i/>
      <sz val="11"/>
      <color rgb="FF595959"/>
      <name val="Aptos"/>
      <family val="2"/>
    </font>
    <font>
      <b/>
      <u/>
      <sz val="11"/>
      <color theme="10"/>
      <name val="Aptos"/>
      <family val="2"/>
    </font>
    <font>
      <b/>
      <sz val="11"/>
      <name val="Aptos"/>
      <family val="2"/>
    </font>
    <font>
      <sz val="10"/>
      <name val="Aptos"/>
      <family val="2"/>
    </font>
    <font>
      <i/>
      <sz val="11"/>
      <color rgb="FFFFFFFF"/>
      <name val="Aptos"/>
      <family val="2"/>
    </font>
    <font>
      <b/>
      <sz val="11"/>
      <name val="Carlito"/>
    </font>
    <font>
      <b/>
      <sz val="16"/>
      <name val="Carlito"/>
    </font>
    <font>
      <i/>
      <sz val="10"/>
      <color rgb="FF595959"/>
      <name val="Aptos"/>
      <family val="2"/>
    </font>
    <font>
      <b/>
      <sz val="14"/>
      <name val="Carlito"/>
    </font>
  </fonts>
  <fills count="20">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5B9BD5"/>
        <bgColor indexed="64"/>
      </patternFill>
    </fill>
    <fill>
      <patternFill patternType="solid">
        <fgColor rgb="FFFFFFFF"/>
        <bgColor indexed="64"/>
      </patternFill>
    </fill>
    <fill>
      <patternFill patternType="solid">
        <fgColor rgb="FFEAF3F8"/>
        <bgColor indexed="64"/>
      </patternFill>
    </fill>
    <fill>
      <patternFill patternType="solid">
        <fgColor rgb="FFD9D9D9"/>
        <bgColor indexed="64"/>
      </patternFill>
    </fill>
    <fill>
      <patternFill patternType="solid">
        <fgColor rgb="FFFF9E9E"/>
        <bgColor indexed="64"/>
      </patternFill>
    </fill>
    <fill>
      <patternFill patternType="solid">
        <fgColor rgb="FF808080"/>
        <bgColor indexed="64"/>
      </patternFill>
    </fill>
  </fills>
  <borders count="8">
    <border>
      <left/>
      <right/>
      <top/>
      <bottom/>
      <diagonal/>
    </border>
    <border>
      <left/>
      <right/>
      <top/>
      <bottom/>
      <diagonal/>
    </border>
    <border>
      <left style="thin">
        <color indexed="64"/>
      </left>
      <right style="thin">
        <color indexed="64"/>
      </right>
      <top style="thin">
        <color indexed="64"/>
      </top>
      <bottom style="thin">
        <color indexed="64"/>
      </bottom>
      <diagonal/>
    </border>
    <border>
      <left style="thin">
        <color rgb="FFA6A6A6"/>
      </left>
      <right style="thin">
        <color rgb="FFA6A6A6"/>
      </right>
      <top style="thin">
        <color rgb="FFA6A6A6"/>
      </top>
      <bottom style="thin">
        <color rgb="FFA6A6A6"/>
      </bottom>
      <diagonal/>
    </border>
    <border>
      <left style="thin">
        <color rgb="FFD9E1F2"/>
      </left>
      <right style="thin">
        <color rgb="FFD9E1F2"/>
      </right>
      <top style="thin">
        <color rgb="FFD9E1F2"/>
      </top>
      <bottom style="thin">
        <color rgb="FFD9E1F2"/>
      </bottom>
      <diagonal/>
    </border>
    <border>
      <left style="thin">
        <color rgb="FFA6A6A6"/>
      </left>
      <right/>
      <top style="thin">
        <color rgb="FFA6A6A6"/>
      </top>
      <bottom style="thin">
        <color rgb="FFA6A6A6"/>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s>
  <cellStyleXfs count="2">
    <xf numFmtId="0" fontId="0" fillId="0" borderId="0"/>
    <xf numFmtId="0" fontId="2" fillId="0" borderId="0" applyNumberFormat="0" applyFill="0" applyBorder="0" applyAlignment="0" applyProtection="0"/>
  </cellStyleXfs>
  <cellXfs count="107">
    <xf numFmtId="0" fontId="0" fillId="0" borderId="0" xfId="0"/>
    <xf numFmtId="0" fontId="4" fillId="0" borderId="0" xfId="0" applyFont="1"/>
    <xf numFmtId="0" fontId="4" fillId="0" borderId="0" xfId="0" applyFont="1" applyAlignment="1">
      <alignment vertical="center" wrapText="1"/>
    </xf>
    <xf numFmtId="0" fontId="21" fillId="15" borderId="3" xfId="0" applyFont="1" applyFill="1" applyBorder="1" applyAlignment="1">
      <alignment horizontal="left" vertical="top" wrapText="1"/>
    </xf>
    <xf numFmtId="0" fontId="21" fillId="16" borderId="3" xfId="0" applyFont="1" applyFill="1" applyBorder="1" applyAlignment="1">
      <alignment horizontal="left" vertical="top" wrapText="1"/>
    </xf>
    <xf numFmtId="0" fontId="4" fillId="0" borderId="0" xfId="0" applyFont="1" applyAlignment="1">
      <alignment horizontal="center" vertical="center"/>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vertical="top" wrapText="1"/>
    </xf>
    <xf numFmtId="0" fontId="4" fillId="0" borderId="0" xfId="0" applyFont="1" applyAlignment="1">
      <alignment horizontal="center" vertical="top" wrapText="1"/>
    </xf>
    <xf numFmtId="164" fontId="4" fillId="0" borderId="0" xfId="0" applyNumberFormat="1" applyFont="1" applyAlignment="1">
      <alignment vertical="top" wrapText="1"/>
    </xf>
    <xf numFmtId="3" fontId="4" fillId="0" borderId="0" xfId="0" applyNumberFormat="1" applyFont="1" applyAlignment="1">
      <alignment vertical="top" wrapText="1"/>
    </xf>
    <xf numFmtId="0" fontId="19" fillId="12" borderId="0" xfId="1" applyFont="1" applyFill="1" applyAlignment="1">
      <alignment horizontal="center" vertical="top" wrapText="1"/>
    </xf>
    <xf numFmtId="0" fontId="3" fillId="14" borderId="3" xfId="0" applyFont="1" applyFill="1" applyBorder="1" applyAlignment="1">
      <alignment horizontal="center" vertical="top" wrapText="1"/>
    </xf>
    <xf numFmtId="0" fontId="0" fillId="0" borderId="0" xfId="0" applyAlignment="1">
      <alignment vertical="top" wrapText="1"/>
    </xf>
    <xf numFmtId="165" fontId="0" fillId="0" borderId="0" xfId="0" applyNumberFormat="1" applyAlignment="1">
      <alignment vertical="top" wrapText="1"/>
    </xf>
    <xf numFmtId="0" fontId="1" fillId="2" borderId="0" xfId="0" applyFont="1" applyFill="1" applyAlignment="1">
      <alignment horizontal="center" vertical="top" wrapText="1"/>
    </xf>
    <xf numFmtId="0" fontId="3" fillId="2" borderId="0" xfId="0" applyFont="1" applyFill="1" applyAlignment="1">
      <alignment horizontal="center" vertical="center" wrapText="1"/>
    </xf>
    <xf numFmtId="18" fontId="4" fillId="0" borderId="0" xfId="0" applyNumberFormat="1" applyFont="1" applyAlignment="1">
      <alignment horizontal="center" vertical="center" wrapText="1"/>
    </xf>
    <xf numFmtId="0" fontId="6" fillId="3" borderId="0" xfId="0" applyFont="1" applyFill="1" applyAlignment="1">
      <alignment horizontal="left" vertical="center" wrapText="1"/>
    </xf>
    <xf numFmtId="0" fontId="20" fillId="0" borderId="0" xfId="0" applyFont="1" applyAlignment="1">
      <alignment horizontal="left" vertical="center" wrapText="1"/>
    </xf>
    <xf numFmtId="0" fontId="3" fillId="0" borderId="0" xfId="0" applyFont="1" applyAlignment="1">
      <alignment horizontal="left" vertical="center" wrapText="1"/>
    </xf>
    <xf numFmtId="0" fontId="4" fillId="0" borderId="0" xfId="0" applyFont="1" applyAlignment="1">
      <alignment horizontal="left" vertical="center" wrapText="1"/>
    </xf>
    <xf numFmtId="0" fontId="8" fillId="11" borderId="2" xfId="1" applyFont="1" applyFill="1" applyBorder="1" applyAlignment="1">
      <alignment horizontal="left" vertical="center" wrapText="1"/>
    </xf>
    <xf numFmtId="0" fontId="3" fillId="2" borderId="1" xfId="0" applyFont="1" applyFill="1" applyBorder="1" applyAlignment="1">
      <alignment horizontal="left" vertical="center" wrapText="1"/>
    </xf>
    <xf numFmtId="1" fontId="3" fillId="2" borderId="1" xfId="0" applyNumberFormat="1" applyFont="1" applyFill="1" applyBorder="1" applyAlignment="1">
      <alignment horizontal="left" vertical="center" wrapText="1"/>
    </xf>
    <xf numFmtId="18"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0" fontId="11" fillId="0" borderId="1" xfId="1" applyFont="1" applyBorder="1" applyAlignment="1">
      <alignment horizontal="left" vertical="center" wrapText="1"/>
    </xf>
    <xf numFmtId="0" fontId="12" fillId="0" borderId="0" xfId="0" applyFont="1" applyAlignment="1">
      <alignment horizontal="left" vertical="center" wrapText="1"/>
    </xf>
    <xf numFmtId="0" fontId="11" fillId="0" borderId="0" xfId="1" applyFont="1" applyAlignment="1">
      <alignment horizontal="left" vertical="center" wrapText="1"/>
    </xf>
    <xf numFmtId="18" fontId="4" fillId="0" borderId="0" xfId="0" applyNumberFormat="1" applyFont="1" applyAlignment="1">
      <alignment horizontal="left" vertical="center" wrapText="1"/>
    </xf>
    <xf numFmtId="18" fontId="4" fillId="12" borderId="4" xfId="0" applyNumberFormat="1" applyFont="1" applyFill="1" applyBorder="1" applyAlignment="1">
      <alignment horizontal="left" vertical="center" wrapText="1"/>
    </xf>
    <xf numFmtId="0" fontId="4" fillId="12" borderId="4" xfId="0" applyFont="1" applyFill="1" applyBorder="1" applyAlignment="1">
      <alignment horizontal="left" vertical="center" wrapText="1"/>
    </xf>
    <xf numFmtId="18" fontId="4" fillId="0" borderId="4" xfId="0" applyNumberFormat="1" applyFont="1" applyBorder="1" applyAlignment="1">
      <alignment horizontal="left" vertical="center" wrapText="1"/>
    </xf>
    <xf numFmtId="0" fontId="4" fillId="0" borderId="4" xfId="0" applyFont="1" applyBorder="1" applyAlignment="1">
      <alignment horizontal="left" vertical="center" wrapText="1"/>
    </xf>
    <xf numFmtId="18" fontId="4" fillId="13" borderId="4" xfId="0" applyNumberFormat="1" applyFont="1" applyFill="1" applyBorder="1" applyAlignment="1">
      <alignment horizontal="left" vertical="center" wrapText="1"/>
    </xf>
    <xf numFmtId="0" fontId="4" fillId="13" borderId="4" xfId="0" applyFont="1" applyFill="1" applyBorder="1" applyAlignment="1">
      <alignment horizontal="left" vertical="center" wrapText="1"/>
    </xf>
    <xf numFmtId="0" fontId="4" fillId="0" borderId="0" xfId="0" applyFont="1" applyAlignment="1">
      <alignment horizontal="left" vertical="center"/>
    </xf>
    <xf numFmtId="49" fontId="4" fillId="0" borderId="0" xfId="0" applyNumberFormat="1" applyFont="1" applyAlignment="1">
      <alignment horizontal="center" vertical="center" wrapText="1"/>
    </xf>
    <xf numFmtId="0" fontId="4" fillId="0" borderId="0" xfId="0" applyFont="1" applyAlignment="1">
      <alignment horizontal="center" vertical="center" wrapText="1"/>
      <extLst>
        <ext xmlns:xfpb="http://schemas.microsoft.com/office/spreadsheetml/2022/featurepropertybag" uri="{C7286773-470A-42A8-94C5-96B5CB345126}">
          <xfpb:xfComplement i="0"/>
        </ext>
      </extLst>
    </xf>
    <xf numFmtId="165" fontId="4" fillId="0" borderId="0" xfId="0" applyNumberFormat="1" applyFont="1" applyAlignment="1">
      <alignment horizontal="center" vertical="center" wrapText="1"/>
    </xf>
    <xf numFmtId="0" fontId="13" fillId="0" borderId="0" xfId="0" applyFont="1" applyAlignment="1">
      <alignment horizontal="center" vertical="center" wrapText="1"/>
      <extLst>
        <ext xmlns:xfpb="http://schemas.microsoft.com/office/spreadsheetml/2022/featurepropertybag" uri="{C7286773-470A-42A8-94C5-96B5CB345126}">
          <xfpb:xfComplement i="0"/>
        </ext>
      </extLst>
    </xf>
    <xf numFmtId="3" fontId="4" fillId="0" borderId="0" xfId="0" applyNumberFormat="1" applyFont="1" applyAlignment="1">
      <alignment horizontal="center" vertical="center" wrapText="1"/>
    </xf>
    <xf numFmtId="165" fontId="4" fillId="0" borderId="0" xfId="0" applyNumberFormat="1" applyFont="1" applyAlignment="1">
      <alignment horizontal="left" vertical="center" wrapText="1"/>
    </xf>
    <xf numFmtId="0" fontId="24" fillId="0" borderId="0" xfId="0" applyFont="1"/>
    <xf numFmtId="0" fontId="23" fillId="17" borderId="0" xfId="0" applyFont="1" applyFill="1"/>
    <xf numFmtId="0" fontId="0" fillId="0" borderId="0" xfId="0" applyAlignment="1">
      <alignment wrapText="1"/>
    </xf>
    <xf numFmtId="0" fontId="2" fillId="0" borderId="0" xfId="1" applyAlignment="1">
      <alignment horizontal="center" vertical="center" wrapText="1"/>
    </xf>
    <xf numFmtId="18" fontId="4" fillId="18" borderId="0" xfId="0" applyNumberFormat="1" applyFont="1" applyFill="1" applyAlignment="1">
      <alignment horizontal="center" vertical="center" wrapText="1"/>
    </xf>
    <xf numFmtId="0" fontId="4" fillId="18" borderId="0" xfId="0" applyFont="1" applyFill="1" applyAlignment="1">
      <alignment horizontal="center" vertical="center" wrapText="1"/>
    </xf>
    <xf numFmtId="49" fontId="4" fillId="18" borderId="0" xfId="0" applyNumberFormat="1" applyFont="1" applyFill="1" applyAlignment="1">
      <alignment horizontal="center" vertical="center" wrapText="1"/>
    </xf>
    <xf numFmtId="0" fontId="13" fillId="18" borderId="0" xfId="0" applyFont="1" applyFill="1" applyAlignment="1">
      <alignment horizontal="center" vertical="center" wrapText="1"/>
      <extLst>
        <ext xmlns:xfpb="http://schemas.microsoft.com/office/spreadsheetml/2022/featurepropertybag" uri="{C7286773-470A-42A8-94C5-96B5CB345126}">
          <xfpb:xfComplement i="0"/>
        </ext>
      </extLst>
    </xf>
    <xf numFmtId="0" fontId="2" fillId="18" borderId="0" xfId="1" applyFill="1" applyAlignment="1">
      <alignment horizontal="center" vertical="center" wrapText="1"/>
    </xf>
    <xf numFmtId="3" fontId="4" fillId="18" borderId="0" xfId="0" applyNumberFormat="1" applyFont="1" applyFill="1" applyAlignment="1">
      <alignment horizontal="center" vertical="center" wrapText="1"/>
    </xf>
    <xf numFmtId="165" fontId="4" fillId="18" borderId="0" xfId="0" applyNumberFormat="1" applyFont="1" applyFill="1" applyAlignment="1">
      <alignment horizontal="left" vertical="center" wrapText="1"/>
    </xf>
    <xf numFmtId="0" fontId="3" fillId="19" borderId="0" xfId="0" applyFont="1" applyFill="1" applyAlignment="1">
      <alignment horizontal="center"/>
    </xf>
    <xf numFmtId="0" fontId="21" fillId="16" borderId="5" xfId="0" applyFont="1" applyFill="1" applyBorder="1" applyAlignment="1">
      <alignment horizontal="left" vertical="top" wrapText="1"/>
    </xf>
    <xf numFmtId="0" fontId="25" fillId="13" borderId="6" xfId="0" applyFont="1" applyFill="1" applyBorder="1" applyAlignment="1">
      <alignment horizontal="center" vertical="center"/>
    </xf>
    <xf numFmtId="0" fontId="25" fillId="13" borderId="7" xfId="0" applyFont="1" applyFill="1" applyBorder="1" applyAlignment="1">
      <alignment horizontal="center" vertical="center"/>
    </xf>
    <xf numFmtId="166" fontId="4" fillId="0" borderId="0" xfId="0" applyNumberFormat="1" applyFont="1" applyAlignment="1">
      <alignment horizontal="center" vertical="center" wrapText="1"/>
    </xf>
    <xf numFmtId="166" fontId="4" fillId="18" borderId="0" xfId="0" applyNumberFormat="1" applyFont="1" applyFill="1" applyAlignment="1">
      <alignment horizontal="center" vertical="center" wrapText="1"/>
    </xf>
    <xf numFmtId="166" fontId="4" fillId="0" borderId="0" xfId="0" applyNumberFormat="1" applyFont="1" applyAlignment="1">
      <alignment horizontal="center" vertical="center"/>
    </xf>
    <xf numFmtId="166" fontId="4" fillId="0" borderId="1" xfId="0" applyNumberFormat="1" applyFont="1" applyBorder="1" applyAlignment="1">
      <alignment horizontal="left" vertical="center" wrapText="1"/>
    </xf>
    <xf numFmtId="166" fontId="4" fillId="0" borderId="0" xfId="0" applyNumberFormat="1" applyFont="1" applyAlignment="1">
      <alignment horizontal="left" vertical="center" wrapText="1"/>
    </xf>
    <xf numFmtId="166" fontId="4" fillId="12" borderId="4" xfId="0" applyNumberFormat="1" applyFont="1" applyFill="1" applyBorder="1" applyAlignment="1">
      <alignment horizontal="left" vertical="center" wrapText="1"/>
    </xf>
    <xf numFmtId="166" fontId="4" fillId="0" borderId="4" xfId="0" applyNumberFormat="1" applyFont="1" applyBorder="1" applyAlignment="1">
      <alignment horizontal="left" vertical="center" wrapText="1"/>
    </xf>
    <xf numFmtId="166" fontId="4" fillId="13" borderId="4" xfId="0" applyNumberFormat="1" applyFont="1" applyFill="1" applyBorder="1" applyAlignment="1">
      <alignment horizontal="left" vertical="center" wrapText="1"/>
    </xf>
    <xf numFmtId="166" fontId="4" fillId="0" borderId="0" xfId="0" applyNumberFormat="1" applyFont="1" applyAlignment="1">
      <alignment horizontal="left" vertical="center"/>
    </xf>
    <xf numFmtId="0" fontId="2" fillId="0" borderId="1" xfId="1" applyFill="1" applyBorder="1" applyAlignment="1">
      <alignment horizontal="center" vertical="center" wrapText="1"/>
    </xf>
    <xf numFmtId="0" fontId="16" fillId="11" borderId="0" xfId="0" applyFont="1" applyFill="1" applyAlignment="1">
      <alignment horizontal="center" vertical="top" wrapText="1"/>
    </xf>
    <xf numFmtId="0" fontId="18" fillId="0" borderId="0" xfId="0" applyFont="1" applyAlignment="1">
      <alignment horizontal="center" vertical="top" wrapText="1"/>
    </xf>
    <xf numFmtId="0" fontId="17" fillId="13" borderId="0" xfId="0" applyFont="1" applyFill="1" applyAlignment="1">
      <alignment horizontal="center" vertical="top" wrapText="1"/>
    </xf>
    <xf numFmtId="0" fontId="22" fillId="11" borderId="0" xfId="0" applyFont="1" applyFill="1" applyAlignment="1">
      <alignment horizontal="center" vertical="top" wrapText="1"/>
    </xf>
    <xf numFmtId="0" fontId="20" fillId="13" borderId="0" xfId="0" applyFont="1" applyFill="1" applyAlignment="1">
      <alignment horizontal="center" vertical="top" wrapText="1"/>
    </xf>
    <xf numFmtId="0" fontId="3" fillId="11" borderId="0" xfId="0" applyFont="1" applyFill="1" applyAlignment="1">
      <alignment horizontal="center" vertical="top" wrapText="1"/>
    </xf>
    <xf numFmtId="0" fontId="14" fillId="11" borderId="0" xfId="0" applyFont="1" applyFill="1" applyAlignment="1">
      <alignment horizontal="left" vertical="center" wrapText="1"/>
    </xf>
    <xf numFmtId="0" fontId="5" fillId="2" borderId="0" xfId="0" applyFont="1" applyFill="1" applyAlignment="1">
      <alignment horizontal="left" vertical="center" wrapText="1"/>
    </xf>
    <xf numFmtId="0" fontId="3" fillId="2" borderId="0" xfId="0" applyFont="1" applyFill="1" applyAlignment="1">
      <alignment horizontal="left" vertical="center" wrapText="1"/>
    </xf>
    <xf numFmtId="0" fontId="6" fillId="4" borderId="4" xfId="0" applyFont="1" applyFill="1" applyBorder="1" applyAlignment="1">
      <alignment horizontal="left" vertical="center" wrapText="1"/>
    </xf>
    <xf numFmtId="1" fontId="6" fillId="4" borderId="4" xfId="0" applyNumberFormat="1" applyFont="1" applyFill="1" applyBorder="1" applyAlignment="1">
      <alignment horizontal="left" vertical="center" wrapText="1"/>
    </xf>
    <xf numFmtId="1" fontId="15" fillId="4" borderId="4" xfId="0" applyNumberFormat="1" applyFont="1" applyFill="1" applyBorder="1" applyAlignment="1">
      <alignment horizontal="left" vertical="center" wrapText="1"/>
    </xf>
    <xf numFmtId="0" fontId="7" fillId="4" borderId="4" xfId="0" applyFont="1" applyFill="1" applyBorder="1" applyAlignment="1">
      <alignment horizontal="left" vertical="center" wrapText="1"/>
    </xf>
    <xf numFmtId="0" fontId="6" fillId="5" borderId="4" xfId="0" applyFont="1" applyFill="1" applyBorder="1" applyAlignment="1">
      <alignment horizontal="left" vertical="center" wrapText="1"/>
    </xf>
    <xf numFmtId="1" fontId="15" fillId="5" borderId="4" xfId="0" applyNumberFormat="1" applyFont="1" applyFill="1" applyBorder="1" applyAlignment="1">
      <alignment horizontal="left" vertical="center" wrapText="1"/>
    </xf>
    <xf numFmtId="0" fontId="15" fillId="5" borderId="4" xfId="0" applyFont="1" applyFill="1" applyBorder="1" applyAlignment="1">
      <alignment horizontal="left" vertical="center" wrapText="1"/>
    </xf>
    <xf numFmtId="0" fontId="7" fillId="5" borderId="4" xfId="0" applyFont="1" applyFill="1" applyBorder="1" applyAlignment="1">
      <alignment horizontal="left" vertical="center" wrapText="1"/>
    </xf>
    <xf numFmtId="0" fontId="6" fillId="6" borderId="4" xfId="0" applyFont="1" applyFill="1" applyBorder="1" applyAlignment="1">
      <alignment horizontal="left" vertical="center" wrapText="1"/>
    </xf>
    <xf numFmtId="1" fontId="15" fillId="6" borderId="4" xfId="0" applyNumberFormat="1" applyFont="1" applyFill="1" applyBorder="1" applyAlignment="1">
      <alignment horizontal="left" vertical="center" wrapText="1"/>
    </xf>
    <xf numFmtId="0" fontId="15" fillId="6" borderId="4" xfId="0" applyFont="1" applyFill="1" applyBorder="1" applyAlignment="1">
      <alignment horizontal="left" vertical="center" wrapText="1"/>
    </xf>
    <xf numFmtId="0" fontId="7" fillId="6" borderId="4" xfId="0" applyFont="1" applyFill="1" applyBorder="1" applyAlignment="1">
      <alignment horizontal="left" vertical="center" wrapText="1"/>
    </xf>
    <xf numFmtId="0" fontId="6" fillId="7" borderId="4" xfId="0" applyFont="1" applyFill="1" applyBorder="1" applyAlignment="1">
      <alignment horizontal="left" vertical="center" wrapText="1"/>
    </xf>
    <xf numFmtId="1" fontId="15" fillId="7" borderId="4" xfId="0" applyNumberFormat="1" applyFont="1" applyFill="1" applyBorder="1" applyAlignment="1">
      <alignment horizontal="left" vertical="center" wrapText="1"/>
    </xf>
    <xf numFmtId="0" fontId="15" fillId="7" borderId="4" xfId="0" applyFont="1" applyFill="1" applyBorder="1" applyAlignment="1">
      <alignment horizontal="left" vertical="center" wrapText="1"/>
    </xf>
    <xf numFmtId="0" fontId="7" fillId="7" borderId="4" xfId="0" applyFont="1" applyFill="1" applyBorder="1" applyAlignment="1">
      <alignment horizontal="left" vertical="center" wrapText="1"/>
    </xf>
    <xf numFmtId="0" fontId="15" fillId="4" borderId="4" xfId="0" applyFont="1" applyFill="1" applyBorder="1" applyAlignment="1">
      <alignment horizontal="left" vertical="center" wrapText="1"/>
    </xf>
    <xf numFmtId="0" fontId="10" fillId="10" borderId="1" xfId="0" applyFont="1" applyFill="1" applyBorder="1" applyAlignment="1">
      <alignment horizontal="left" vertical="center" wrapText="1"/>
    </xf>
    <xf numFmtId="1" fontId="10" fillId="10" borderId="1" xfId="0" applyNumberFormat="1" applyFont="1" applyFill="1" applyBorder="1" applyAlignment="1">
      <alignment horizontal="left" vertical="center" wrapText="1"/>
    </xf>
    <xf numFmtId="0" fontId="10" fillId="10" borderId="0" xfId="0" applyFont="1" applyFill="1" applyAlignment="1">
      <alignment horizontal="left" vertical="center" wrapText="1"/>
    </xf>
    <xf numFmtId="0" fontId="6" fillId="8" borderId="4" xfId="0" applyFont="1" applyFill="1" applyBorder="1" applyAlignment="1">
      <alignment horizontal="left" vertical="center" wrapText="1"/>
    </xf>
    <xf numFmtId="1" fontId="15" fillId="8" borderId="4" xfId="0" applyNumberFormat="1" applyFont="1" applyFill="1" applyBorder="1" applyAlignment="1">
      <alignment horizontal="left" vertical="center" wrapText="1"/>
    </xf>
    <xf numFmtId="0" fontId="15" fillId="8" borderId="4" xfId="0" applyFont="1" applyFill="1" applyBorder="1" applyAlignment="1">
      <alignment horizontal="left" vertical="center" wrapText="1"/>
    </xf>
    <xf numFmtId="0" fontId="7" fillId="8" borderId="4" xfId="0" applyFont="1" applyFill="1" applyBorder="1" applyAlignment="1">
      <alignment horizontal="left" vertical="center" wrapText="1"/>
    </xf>
    <xf numFmtId="0" fontId="9" fillId="9" borderId="1" xfId="0"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0" fontId="9" fillId="9" borderId="0" xfId="0" applyFont="1" applyFill="1" applyAlignment="1">
      <alignment horizontal="left" vertical="center" wrapText="1"/>
    </xf>
    <xf numFmtId="0" fontId="26" fillId="0" borderId="0" xfId="0" applyFont="1"/>
  </cellXfs>
  <cellStyles count="2">
    <cellStyle name="Hyperlink" xfId="1" builtinId="8"/>
    <cellStyle name="Normal" xfId="0" builtinId="0"/>
  </cellStyles>
  <dxfs count="152">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5"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i val="0"/>
      </font>
      <fill>
        <patternFill>
          <bgColor rgb="FFFFEB9C"/>
        </patternFill>
      </fill>
    </dxf>
    <dxf>
      <fill>
        <patternFill>
          <bgColor rgb="FFE2EFDA"/>
        </patternFill>
      </fill>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5" formatCode="mm/dd/yyyy\ 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7" formatCode="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dd/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165" formatCode="mm/dd/yyyy\ h:mm\ AM/PM"/>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7" formatCode="h:mm\ AM/PM"/>
      <alignment horizontal="center" vertical="center" textRotation="0" wrapText="1" indent="0" justifyLastLine="0" shrinkToFit="0" readingOrder="0"/>
    </dxf>
    <dxf>
      <font>
        <strike val="0"/>
        <outline val="0"/>
        <shadow val="0"/>
        <vertAlign val="baseline"/>
        <name val="Aptos"/>
        <family val="2"/>
        <scheme val="none"/>
      </font>
      <numFmt numFmtId="166" formatCode="dddd\,\ mm/dd/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3" formatCode="#,##0"/>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numFmt numFmtId="164" formatCode="mm/dd/yyyy"/>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vertical="top"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167"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dd/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D9D2E9"/>
        </patternFill>
      </fill>
    </dxf>
    <dxf>
      <fill>
        <patternFill>
          <bgColor rgb="FFF4CCCC"/>
        </patternFill>
      </fill>
    </dxf>
    <dxf>
      <fill>
        <patternFill>
          <bgColor rgb="FFFFF2CC"/>
        </patternFill>
      </fill>
    </dxf>
    <dxf>
      <font>
        <b/>
        <i val="0"/>
      </font>
      <fill>
        <patternFill>
          <bgColor rgb="FFFFEB9C"/>
        </patternFill>
      </fill>
    </dxf>
    <dxf>
      <fill>
        <patternFill>
          <bgColor rgb="FFE2EFDA"/>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1/relationships/FeaturePropertyBag" Target="featurePropertyBag/featurePropertyBag.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Delivered Emails: Last Week vs Current Week (Sun-Sat)</a:t>
            </a:r>
          </a:p>
        </c:rich>
      </c:tx>
      <c:overlay val="0"/>
    </c:title>
    <c:autoTitleDeleted val="0"/>
    <c:plotArea>
      <c:layout/>
      <c:barChart>
        <c:barDir val="col"/>
        <c:grouping val="clustered"/>
        <c:varyColors val="0"/>
        <c:ser>
          <c:idx val="0"/>
          <c:order val="0"/>
          <c:tx>
            <c:strRef>
              <c:f>Dashboard!$Q$3</c:f>
              <c:strCache>
                <c:ptCount val="1"/>
                <c:pt idx="0">
                  <c:v>Delivered Emails</c:v>
                </c:pt>
              </c:strCache>
            </c:strRef>
          </c:tx>
          <c:spPr>
            <a:solidFill>
              <a:srgbClr val="5B9BD5"/>
            </a:solidFill>
          </c:spPr>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Dashboard!$N$4:$N$5</c:f>
              <c:strCache>
                <c:ptCount val="2"/>
                <c:pt idx="0">
                  <c:v>Last Week</c:v>
                </c:pt>
                <c:pt idx="1">
                  <c:v>Current Week</c:v>
                </c:pt>
              </c:strCache>
            </c:strRef>
          </c:cat>
          <c:val>
            <c:numRef>
              <c:f>Dashboard!$Q$4:$Q$5</c:f>
              <c:numCache>
                <c:formatCode>#,##0</c:formatCode>
                <c:ptCount val="2"/>
                <c:pt idx="0">
                  <c:v>2955153</c:v>
                </c:pt>
                <c:pt idx="1">
                  <c:v>22703</c:v>
                </c:pt>
              </c:numCache>
            </c:numRef>
          </c:val>
          <c:extLst>
            <c:ext xmlns:c16="http://schemas.microsoft.com/office/drawing/2014/chart" uri="{C3380CC4-5D6E-409C-BE32-E72D297353CC}">
              <c16:uniqueId val="{00000002-88B3-48E9-B9D5-B4361509B427}"/>
            </c:ext>
          </c:extLst>
        </c:ser>
        <c:dLbls>
          <c:showLegendKey val="0"/>
          <c:showVal val="0"/>
          <c:showCatName val="0"/>
          <c:showSerName val="0"/>
          <c:showPercent val="0"/>
          <c:showBubbleSize val="0"/>
        </c:dLbls>
        <c:gapWidth val="70"/>
        <c:axId val="1673056864"/>
        <c:axId val="1655533152"/>
      </c:barChart>
      <c:catAx>
        <c:axId val="1673056864"/>
        <c:scaling>
          <c:orientation val="minMax"/>
        </c:scaling>
        <c:delete val="0"/>
        <c:axPos val="b"/>
        <c:numFmt formatCode="General" sourceLinked="1"/>
        <c:majorTickMark val="out"/>
        <c:minorTickMark val="none"/>
        <c:tickLblPos val="nextTo"/>
        <c:txPr>
          <a:bodyPr/>
          <a:lstStyle/>
          <a:p>
            <a:pPr>
              <a:defRPr sz="1000"/>
            </a:pPr>
            <a:endParaRPr lang="en-US"/>
          </a:p>
        </c:txPr>
        <c:crossAx val="1655533152"/>
        <c:crosses val="autoZero"/>
        <c:auto val="1"/>
        <c:lblAlgn val="ctr"/>
        <c:lblOffset val="100"/>
        <c:noMultiLvlLbl val="0"/>
      </c:catAx>
      <c:valAx>
        <c:axId val="1655533152"/>
        <c:scaling>
          <c:orientation val="minMax"/>
        </c:scaling>
        <c:delete val="0"/>
        <c:axPos val="l"/>
        <c:majorGridlines/>
        <c:numFmt formatCode="#,##0" sourceLinked="0"/>
        <c:majorTickMark val="out"/>
        <c:minorTickMark val="none"/>
        <c:tickLblPos val="nextTo"/>
        <c:txPr>
          <a:bodyPr/>
          <a:lstStyle/>
          <a:p>
            <a:pPr>
              <a:defRPr sz="1000"/>
            </a:pPr>
            <a:endParaRPr lang="en-US"/>
          </a:p>
        </c:txPr>
        <c:crossAx val="1673056864"/>
        <c:crosses val="autoZero"/>
        <c:crossBetween val="between"/>
      </c:valAx>
      <c:spPr>
        <a:solidFill>
          <a:srgbClr val="F2F8FC"/>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Delivered SMS: Last Week vs Current Week (Sun-Sat)</a:t>
            </a:r>
          </a:p>
        </c:rich>
      </c:tx>
      <c:overlay val="0"/>
    </c:title>
    <c:autoTitleDeleted val="0"/>
    <c:plotArea>
      <c:layout/>
      <c:barChart>
        <c:barDir val="col"/>
        <c:grouping val="clustered"/>
        <c:varyColors val="0"/>
        <c:ser>
          <c:idx val="0"/>
          <c:order val="0"/>
          <c:tx>
            <c:strRef>
              <c:f>Dashboard!$Q$25</c:f>
              <c:strCache>
                <c:ptCount val="1"/>
                <c:pt idx="0">
                  <c:v>Delivered SMS</c:v>
                </c:pt>
              </c:strCache>
            </c:strRef>
          </c:tx>
          <c:invertIfNegative val="0"/>
          <c:cat>
            <c:strRef>
              <c:f>Dashboard!$N$26:$N$27</c:f>
              <c:strCache>
                <c:ptCount val="2"/>
                <c:pt idx="0">
                  <c:v>Last Week</c:v>
                </c:pt>
                <c:pt idx="1">
                  <c:v>Current Week</c:v>
                </c:pt>
              </c:strCache>
            </c:strRef>
          </c:cat>
          <c:val>
            <c:numRef>
              <c:f>Dashboard!$Q$26:$Q$27</c:f>
              <c:numCache>
                <c:formatCode>#,##0</c:formatCode>
                <c:ptCount val="2"/>
                <c:pt idx="0">
                  <c:v>221797</c:v>
                </c:pt>
                <c:pt idx="1">
                  <c:v>30342</c:v>
                </c:pt>
              </c:numCache>
            </c:numRef>
          </c:val>
          <c:extLst>
            <c:ext xmlns:c16="http://schemas.microsoft.com/office/drawing/2014/chart" uri="{C3380CC4-5D6E-409C-BE32-E72D297353CC}">
              <c16:uniqueId val="{00000000-9549-4146-8B9C-4959A551F900}"/>
            </c:ext>
          </c:extLst>
        </c:ser>
        <c:dLbls>
          <c:showLegendKey val="0"/>
          <c:showVal val="0"/>
          <c:showCatName val="0"/>
          <c:showSerName val="0"/>
          <c:showPercent val="0"/>
          <c:showBubbleSize val="0"/>
        </c:dLbls>
        <c:gapWidth val="70"/>
        <c:axId val="1673056864"/>
        <c:axId val="1655533152"/>
      </c:barChart>
      <c:catAx>
        <c:axId val="1673056864"/>
        <c:scaling>
          <c:orientation val="minMax"/>
        </c:scaling>
        <c:delete val="0"/>
        <c:axPos val="b"/>
        <c:numFmt formatCode="General" sourceLinked="1"/>
        <c:majorTickMark val="out"/>
        <c:minorTickMark val="none"/>
        <c:tickLblPos val="nextTo"/>
        <c:txPr>
          <a:bodyPr/>
          <a:lstStyle/>
          <a:p>
            <a:pPr>
              <a:defRPr sz="1000"/>
            </a:pPr>
            <a:endParaRPr lang="en-US"/>
          </a:p>
        </c:txPr>
        <c:crossAx val="1655533152"/>
        <c:crosses val="autoZero"/>
        <c:auto val="1"/>
        <c:lblAlgn val="ctr"/>
        <c:lblOffset val="100"/>
        <c:noMultiLvlLbl val="0"/>
      </c:catAx>
      <c:valAx>
        <c:axId val="1655533152"/>
        <c:scaling>
          <c:orientation val="minMax"/>
        </c:scaling>
        <c:delete val="0"/>
        <c:axPos val="l"/>
        <c:majorGridlines/>
        <c:numFmt formatCode="#,##0" sourceLinked="0"/>
        <c:majorTickMark val="out"/>
        <c:minorTickMark val="none"/>
        <c:tickLblPos val="nextTo"/>
        <c:txPr>
          <a:bodyPr/>
          <a:lstStyle/>
          <a:p>
            <a:pPr>
              <a:defRPr sz="1000"/>
            </a:pPr>
            <a:endParaRPr lang="en-US"/>
          </a:p>
        </c:txPr>
        <c:crossAx val="1673056864"/>
        <c:crosses val="autoZero"/>
        <c:crossBetween val="between"/>
      </c:valAx>
      <c:spPr>
        <a:solidFill>
          <a:srgbClr val="F2F8FC"/>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0</xdr:colOff>
      <xdr:row>6</xdr:row>
      <xdr:rowOff>0</xdr:rowOff>
    </xdr:from>
    <xdr:to>
      <xdr:col>18</xdr:col>
      <xdr:colOff>0</xdr:colOff>
      <xdr:row>20</xdr:row>
      <xdr:rowOff>0</xdr:rowOff>
    </xdr:to>
    <xdr:graphicFrame macro="">
      <xdr:nvGraphicFramePr>
        <xdr:cNvPr id="2" name="DeliveredEmailComparisonChart">
          <a:extLst>
            <a:ext uri="{FF2B5EF4-FFF2-40B4-BE49-F238E27FC236}">
              <a16:creationId xmlns:a16="http://schemas.microsoft.com/office/drawing/2014/main" id="{C85DD253-1B9E-661D-DC00-7BAED35186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14816</xdr:colOff>
      <xdr:row>27</xdr:row>
      <xdr:rowOff>160866</xdr:rowOff>
    </xdr:from>
    <xdr:to>
      <xdr:col>18</xdr:col>
      <xdr:colOff>14816</xdr:colOff>
      <xdr:row>43</xdr:row>
      <xdr:rowOff>2116</xdr:rowOff>
    </xdr:to>
    <xdr:graphicFrame macro="">
      <xdr:nvGraphicFramePr>
        <xdr:cNvPr id="3" name="DeliveredSMSComparisonChart">
          <a:extLst>
            <a:ext uri="{FF2B5EF4-FFF2-40B4-BE49-F238E27FC236}">
              <a16:creationId xmlns:a16="http://schemas.microsoft.com/office/drawing/2014/main" id="{4E394082-1E4A-48A0-AE67-F79C15876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132" dataDxfId="131" totalsRowDxfId="130">
  <tableColumns count="12">
    <tableColumn id="1" xr3:uid="{00000000-0010-0000-0100-000001000000}" name="Send Date" dataDxfId="129">
      <calculatedColumnFormula array="1">IFERROR(INDEX(_xlfn.ANCHORARRAY($AA$11),ROW()-10,1),"")</calculatedColumnFormula>
    </tableColumn>
    <tableColumn id="2" xr3:uid="{00000000-0010-0000-0100-000002000000}" name="Time" dataDxfId="128">
      <calculatedColumnFormula array="1">IFERROR(INDEX(_xlfn.ANCHORARRAY($AA$11),ROW()-10,2),"")</calculatedColumnFormula>
    </tableColumn>
    <tableColumn id="3" xr3:uid="{00000000-0010-0000-0100-000003000000}" name="Channel" dataDxfId="127">
      <calculatedColumnFormula array="1">IFERROR(INDEX(_xlfn.ANCHORARRAY($AA$11),ROW()-10,3),"")</calculatedColumnFormula>
    </tableColumn>
    <tableColumn id="4" xr3:uid="{00000000-0010-0000-0100-000004000000}" name="Campaign" dataDxfId="126">
      <calculatedColumnFormula array="1">IFERROR(INDEX(_xlfn.ANCHORARRAY($AA$11),ROW()-10,4),"")</calculatedColumnFormula>
    </tableColumn>
    <tableColumn id="5" xr3:uid="{00000000-0010-0000-0100-000005000000}" name="Type" dataDxfId="125">
      <calculatedColumnFormula array="1">IFERROR(INDEX(_xlfn.ANCHORARRAY($AA$11),ROW()-10,5),"")</calculatedColumnFormula>
    </tableColumn>
    <tableColumn id="6" xr3:uid="{00000000-0010-0000-0100-000006000000}" name="Stage" dataDxfId="124">
      <calculatedColumnFormula array="1">IFERROR(INDEX(_xlfn.ANCHORARRAY($AA$11),ROW()-10,6),"")</calculatedColumnFormula>
    </tableColumn>
    <tableColumn id="7" xr3:uid="{00000000-0010-0000-0100-000007000000}" name="Owner" dataDxfId="123">
      <calculatedColumnFormula array="1">IFERROR(INDEX(_xlfn.ANCHORARRAY($AA$11),ROW()-10,7),"")</calculatedColumnFormula>
    </tableColumn>
    <tableColumn id="8" xr3:uid="{00000000-0010-0000-0100-000008000000}" name="Approval" dataDxfId="122">
      <calculatedColumnFormula array="1">IFERROR(INDEX(_xlfn.ANCHORARRAY($AA$11),ROW()-10,8),"")</calculatedColumnFormula>
    </tableColumn>
    <tableColumn id="9" xr3:uid="{00000000-0010-0000-0100-000009000000}" name="Segments" dataDxfId="121">
      <calculatedColumnFormula array="1">IFERROR(INDEX(_xlfn.ANCHORARRAY($AA$11),ROW()-10,9),"")</calculatedColumnFormula>
    </tableColumn>
    <tableColumn id="10" xr3:uid="{00000000-0010-0000-0100-00000A000000}" name="Jira" dataDxfId="120">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119">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118">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CDBAD16-F50F-44E3-8B56-05CB919BD791}" name="DeliveredComparisonTable" displayName="DeliveredComparisonTable" ref="N3:R5" totalsRowShown="0" headerRowDxfId="117" dataDxfId="116">
  <autoFilter ref="N3:R5" xr:uid="{FCDBAD16-F50F-44E3-8B56-05CB919BD791}"/>
  <tableColumns count="5">
    <tableColumn id="1" xr3:uid="{594C57CF-C33E-420B-BAA5-753EF757526F}" name="Period" dataDxfId="115"/>
    <tableColumn id="2" xr3:uid="{CF840AC2-4E3F-48C5-A9F0-F353B78F7292}" name="Start Date" dataDxfId="114">
      <calculatedColumnFormula>TODAY()-WEEKDAY(TODAY(),1)+1</calculatedColumnFormula>
    </tableColumn>
    <tableColumn id="3" xr3:uid="{1370856B-0ABE-4682-9457-B8612BE4E13D}" name="End Date" dataDxfId="113">
      <calculatedColumnFormula>O4+6</calculatedColumnFormula>
    </tableColumn>
    <tableColumn id="4" xr3:uid="{63D4D649-EA01-4E8C-B21D-16C580FFB6F5}" name="Delivered Emails" dataDxfId="112">
      <calculatedColumnFormula>SUMIFS(EmailCampaignsTable[Delivered],EmailCampaignsTable[Send Date],"&gt;="&amp;O4,EmailCampaignsTable[Send Date],"&lt;"&amp;P4+1)</calculatedColumnFormula>
    </tableColumn>
    <tableColumn id="5" xr3:uid="{9AB2F67F-4B2D-4CC2-805A-A7B3908F7D6C}" name="Change" dataDxfId="111">
      <calculatedColumnFormula>Q4-Q3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99EB01-B05E-48A5-9EDA-5201FFC6BB1E}" name="DeliveredComparisonTable7" displayName="DeliveredComparisonTable7" ref="N25:R27" totalsRowShown="0" headerRowDxfId="110" dataDxfId="109">
  <autoFilter ref="N25:R27" xr:uid="{A299EB01-B05E-48A5-9EDA-5201FFC6BB1E}"/>
  <tableColumns count="5">
    <tableColumn id="1" xr3:uid="{25C41F7D-C154-4470-B043-7E74B71C7C73}" name="Period" dataDxfId="108"/>
    <tableColumn id="2" xr3:uid="{E7D620F6-85B2-47A3-94C3-5429CECB482D}" name="Start Date" dataDxfId="107">
      <calculatedColumnFormula>TODAY()-WEEKDAY(TODAY(),1)+1</calculatedColumnFormula>
    </tableColumn>
    <tableColumn id="3" xr3:uid="{A299A94B-F7A8-40C2-8410-8E72C1C2C48A}" name="End Date" dataDxfId="106">
      <calculatedColumnFormula>O26+6</calculatedColumnFormula>
    </tableColumn>
    <tableColumn id="4" xr3:uid="{B77D4F25-9247-4734-9DB6-EFB0DBD7D20D}" name="Delivered SMS" dataDxfId="105">
      <calculatedColumnFormula>SUMIFS(SMSCampaignsTable[Delivered],SMSCampaignsTable[Send Date],"&gt;="&amp;O26,SMSCampaignsTable[Send Date],"&lt;"&amp;P26+1)</calculatedColumnFormula>
    </tableColumn>
    <tableColumn id="5" xr3:uid="{8D454FF6-C74B-4A99-9511-6C160112436E}" name="Change" dataDxfId="104">
      <calculatedColumnFormula>Q26-Q25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V205" headerRowDxfId="91" dataDxfId="90" totalsRowDxfId="89">
  <autoFilter ref="A1:V205" xr:uid="{00000000-000C-0000-FFFF-FFFF00000000}"/>
  <tableColumns count="22">
    <tableColumn id="2" xr3:uid="{00000000-0010-0000-0000-000002000000}" name="Send Date" dataDxfId="88"/>
    <tableColumn id="3" xr3:uid="{00000000-0010-0000-0000-000003000000}" name="Send Time" dataDxfId="87"/>
    <tableColumn id="4" xr3:uid="{00000000-0010-0000-0000-000004000000}" name="Campaign Name" dataDxfId="86"/>
    <tableColumn id="5" xr3:uid="{00000000-0010-0000-0000-000005000000}" name="Campaign Type" dataDxfId="85"/>
    <tableColumn id="6" xr3:uid="{00000000-0010-0000-0000-000006000000}" name="Current Stage" dataDxfId="84">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calculatedColumnFormula>
    </tableColumn>
    <tableColumn id="7" xr3:uid="{00000000-0010-0000-0000-000007000000}" name="Owner" dataDxfId="83"/>
    <tableColumn id="1" xr3:uid="{B2077B23-1D1A-459D-9583-F63147D6D936}" name="Campaign Name and UTM Parameter (Source Code)" dataDxfId="82"/>
    <tableColumn id="8" xr3:uid="{63A16BD6-6B10-4AD5-B57D-B92EA2935F36}" name="Creative Brief, SL &amp; PH" dataDxfId="81"/>
    <tableColumn id="9" xr3:uid="{23EAD37F-5B0E-461E-85FF-0AAFD24BAA68}" name="SKUs" dataDxfId="80"/>
    <tableColumn id="10" xr3:uid="{9640EB9F-78BB-44D9-B70D-05FDE06036E4}" name="In-Design" dataDxfId="79"/>
    <tableColumn id="11" xr3:uid="{ADDF4395-0E99-41A9-BED7-3DBCF6006F91}" name="Build, QA" dataDxfId="78"/>
    <tableColumn id="12" xr3:uid="{6DF2B722-97C3-4902-87DE-A2A9727C8024}" name="Route" dataDxfId="77"/>
    <tableColumn id="14" xr3:uid="{2C5B824E-A4DE-4EA9-87E9-7663BB92F9D4}" name="Approval" dataDxfId="76"/>
    <tableColumn id="15" xr3:uid="{4CE14FFB-3FFB-4445-B89C-5D3C3D24D6C0}" name="Segments" dataDxfId="75"/>
    <tableColumn id="17" xr3:uid="{00000000-0010-0000-0000-000011000000}" name="Jira Link" dataDxfId="74"/>
    <tableColumn id="18" xr3:uid="{00000000-0010-0000-0000-000012000000}" name="ClickUp Link" dataDxfId="73"/>
    <tableColumn id="19" xr3:uid="{00000000-0010-0000-0000-000013000000}" name="Bluecore/Attentive Link" dataDxfId="72"/>
    <tableColumn id="20" xr3:uid="{00000000-0010-0000-0000-000014000000}" name="Est. Audience" dataDxfId="71"/>
    <tableColumn id="21" xr3:uid="{00000000-0010-0000-0000-000015000000}" name="Delivered" dataDxfId="70"/>
    <tableColumn id="23" xr3:uid="{00000000-0010-0000-0000-000017000000}" name="Last Updated" dataDxfId="69"/>
    <tableColumn id="13" xr3:uid="{6717C158-5D55-49BD-B0A1-8EF5E6BE7E59}" name="Last Updated By" dataDxfId="68"/>
    <tableColumn id="16" xr3:uid="{45C4D116-AEA5-4484-9652-2029E5D3A263}" name="Notes" dataDxfId="67" totalsRowDxfId="6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Q201" totalsRowShown="0" headerRowDxfId="47" dataDxfId="46">
  <autoFilter ref="A1:Q201" xr:uid="{5BA5B085-3B5F-4682-B501-752F9044F617}"/>
  <tableColumns count="17">
    <tableColumn id="1" xr3:uid="{A00F9C46-9585-47C9-83D4-D97802A976D5}" name="Send Date" dataDxfId="45"/>
    <tableColumn id="2" xr3:uid="{FA54A5FD-1AB7-4749-AF9C-A820CCD54864}" name="Send Time" dataDxfId="44"/>
    <tableColumn id="3" xr3:uid="{D8232C60-1B45-4E39-B4FB-F7D15854588A}" name="Campaign Name" dataDxfId="43"/>
    <tableColumn id="4" xr3:uid="{488CC129-7AB9-4CDE-A0F4-708CCF476FDC}" name="Campaign Type" dataDxfId="42"/>
    <tableColumn id="5" xr3:uid="{60402621-821D-4B42-BBBF-04ECD600240D}" name="Current Stage" dataDxfId="41">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calculatedColumnFormula>
    </tableColumn>
    <tableColumn id="6" xr3:uid="{BCB79FBA-6E48-4196-9FCA-87C1D34838D7}" name="Owner" dataDxfId="40"/>
    <tableColumn id="7" xr3:uid="{C602E6A7-154A-4913-82F7-B1297F8FB4AA}" name="Send SMS Options" dataDxfId="39"/>
    <tableColumn id="8" xr3:uid="{050AA88E-4FCE-418E-B3E4-7BADF355F594}" name="Send Test" dataDxfId="38"/>
    <tableColumn id="9" xr3:uid="{CD7DB146-3A9F-407E-8AE2-FB08A35D3255}" name="Approval" dataDxfId="37"/>
    <tableColumn id="10" xr3:uid="{85A3C652-A90B-4131-9C59-60C896B66276}" name="Segments" dataDxfId="36"/>
    <tableColumn id="11" xr3:uid="{E3A201AA-BB4D-46BF-87B3-3EC3AB5D84A8}" name="Proof of Schedule" dataDxfId="35"/>
    <tableColumn id="13" xr3:uid="{F3B86E58-9B1C-4BE7-ACD4-4A17ABF9CF1F}" name="Bluecore/Attentive Link" dataDxfId="34"/>
    <tableColumn id="14" xr3:uid="{AB05A972-8E88-4F0F-A2C0-E592CA11CF69}" name="Est. Audience" dataDxfId="33"/>
    <tableColumn id="15" xr3:uid="{031FC6D8-9EA2-4822-8ABB-1D691F532C78}" name="Delivered" dataDxfId="32"/>
    <tableColumn id="16" xr3:uid="{677491C6-5902-44D9-B11E-9456715084CA}" name="Last Updated" dataDxfId="31"/>
    <tableColumn id="17" xr3:uid="{D2166D60-5145-4BCB-A4C1-8E83A65F8013}" name="Last Updated By" dataDxfId="30"/>
    <tableColumn id="18" xr3:uid="{98F5A958-53CF-45DE-B03D-F670270697A7}" name="Notes"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51"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drawing" Target="../drawings/drawing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6" Type="http://schemas.openxmlformats.org/officeDocument/2006/relationships/table" Target="../tables/table3.xm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5" Type="http://schemas.openxmlformats.org/officeDocument/2006/relationships/table" Target="../tables/table2.xm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26" Type="http://schemas.openxmlformats.org/officeDocument/2006/relationships/hyperlink" Target="https://jira.adorama.com/browse/MKT-102434" TargetMode="External"/><Relationship Id="rId3" Type="http://schemas.openxmlformats.org/officeDocument/2006/relationships/hyperlink" Target="https://jira.adorama.com/browse/MKT-102959" TargetMode="External"/><Relationship Id="rId21" Type="http://schemas.openxmlformats.org/officeDocument/2006/relationships/hyperlink" Target="https://app.clickup.com/t/9010122869/86ahrpf48" TargetMode="External"/><Relationship Id="rId34" Type="http://schemas.openxmlformats.org/officeDocument/2006/relationships/table" Target="../tables/table4.xml"/><Relationship Id="rId7" Type="http://schemas.openxmlformats.org/officeDocument/2006/relationships/hyperlink" Target="https://app.bluecore.com/admin/campaigns/adorama/4905183754444800"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0" Type="http://schemas.openxmlformats.org/officeDocument/2006/relationships/hyperlink" Target="https://jira.adorama.com/browse/MKT-103040" TargetMode="External"/><Relationship Id="rId29" Type="http://schemas.openxmlformats.org/officeDocument/2006/relationships/hyperlink" Target="https://app.clickup.com/t/9010122869/86ahrpf4k"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5" Type="http://schemas.openxmlformats.org/officeDocument/2006/relationships/hyperlink" Target="https://jira.adorama.com/browse/MKT-102651"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10" Type="http://schemas.openxmlformats.org/officeDocument/2006/relationships/hyperlink" Target="https://app.bluecore.com/admin/campaigns/adorama/5627261038223360" TargetMode="External"/><Relationship Id="rId19" Type="http://schemas.openxmlformats.org/officeDocument/2006/relationships/hyperlink" Target="https://app.bluecore.com/admin/campaigns/adorama/4956572627099648" TargetMode="External"/><Relationship Id="rId31" Type="http://schemas.openxmlformats.org/officeDocument/2006/relationships/hyperlink" Target="https://app.bluecore.com/admin/campaigns/adorama/5531449167831040"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8" Type="http://schemas.openxmlformats.org/officeDocument/2006/relationships/hyperlink" Target="https://app.clickup.com/t/86ahjqzr0"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5" Type="http://schemas.openxmlformats.org/officeDocument/2006/relationships/hyperlink" Target="https://ui.attentivemobile.com/campaigns/messages/MTQ6Q29tcG9zZU1lc3NhZ2UxMTIxNDU2O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23C5E-05C8-4A6B-8973-7233951D5E6C}">
  <sheetPr codeName="Sheet18">
    <tabColor rgb="FF1F4E79"/>
  </sheetPr>
  <dimension ref="A1:E17"/>
  <sheetViews>
    <sheetView workbookViewId="0">
      <selection activeCell="I7" sqref="I7"/>
    </sheetView>
  </sheetViews>
  <sheetFormatPr defaultRowHeight="14.25"/>
  <cols>
    <col min="1" max="5" width="30.625" customWidth="1"/>
  </cols>
  <sheetData>
    <row r="1" spans="1:5" ht="35.25" customHeight="1">
      <c r="A1" s="45" t="s">
        <v>0</v>
      </c>
    </row>
    <row r="3" spans="1:5" ht="15">
      <c r="A3" s="46" t="s">
        <v>1</v>
      </c>
      <c r="B3" s="46" t="s">
        <v>2</v>
      </c>
      <c r="C3" s="46" t="s">
        <v>3</v>
      </c>
      <c r="D3" s="46" t="s">
        <v>4</v>
      </c>
      <c r="E3" s="46" t="s">
        <v>5</v>
      </c>
    </row>
    <row r="4" spans="1:5" ht="85.5">
      <c r="A4" s="47" t="s">
        <v>6</v>
      </c>
      <c r="B4" s="47" t="s">
        <v>7</v>
      </c>
      <c r="C4" s="47" t="s">
        <v>8</v>
      </c>
      <c r="D4" s="47" t="s">
        <v>9</v>
      </c>
      <c r="E4" s="47" t="s">
        <v>10</v>
      </c>
    </row>
    <row r="5" spans="1:5" ht="85.5">
      <c r="A5" s="47" t="s">
        <v>11</v>
      </c>
      <c r="B5" s="47" t="s">
        <v>12</v>
      </c>
      <c r="C5" s="47" t="s">
        <v>13</v>
      </c>
      <c r="D5" s="47" t="s">
        <v>14</v>
      </c>
      <c r="E5" s="47" t="s">
        <v>15</v>
      </c>
    </row>
    <row r="6" spans="1:5" ht="57">
      <c r="A6" s="47" t="s">
        <v>16</v>
      </c>
      <c r="B6" s="47" t="s">
        <v>17</v>
      </c>
      <c r="C6" s="47" t="s">
        <v>18</v>
      </c>
      <c r="D6" s="47" t="s">
        <v>19</v>
      </c>
      <c r="E6" s="47" t="s">
        <v>20</v>
      </c>
    </row>
    <row r="7" spans="1:5" ht="85.5">
      <c r="A7" s="47" t="s">
        <v>21</v>
      </c>
      <c r="B7" s="47" t="s">
        <v>22</v>
      </c>
      <c r="C7" s="47" t="s">
        <v>23</v>
      </c>
      <c r="D7" s="47" t="s">
        <v>24</v>
      </c>
      <c r="E7" s="47" t="s">
        <v>25</v>
      </c>
    </row>
    <row r="8" spans="1:5" ht="42.75">
      <c r="A8" s="47" t="s">
        <v>26</v>
      </c>
      <c r="B8" s="47" t="s">
        <v>27</v>
      </c>
      <c r="C8" s="47" t="s">
        <v>28</v>
      </c>
      <c r="D8" s="47" t="s">
        <v>29</v>
      </c>
      <c r="E8" s="47" t="s">
        <v>30</v>
      </c>
    </row>
    <row r="9" spans="1:5" ht="57">
      <c r="A9" s="47" t="s">
        <v>31</v>
      </c>
      <c r="B9" s="47" t="s">
        <v>32</v>
      </c>
      <c r="C9" s="47" t="s">
        <v>33</v>
      </c>
      <c r="D9" s="47" t="s">
        <v>34</v>
      </c>
      <c r="E9" s="47" t="s">
        <v>35</v>
      </c>
    </row>
    <row r="10" spans="1:5" ht="42.75">
      <c r="A10" s="47" t="s">
        <v>36</v>
      </c>
      <c r="B10" s="47" t="s">
        <v>37</v>
      </c>
      <c r="C10" s="47" t="s">
        <v>38</v>
      </c>
      <c r="D10" s="47" t="s">
        <v>39</v>
      </c>
      <c r="E10" s="47" t="s">
        <v>40</v>
      </c>
    </row>
    <row r="11" spans="1:5" ht="57">
      <c r="A11" s="47" t="s">
        <v>41</v>
      </c>
      <c r="B11" s="47" t="s">
        <v>42</v>
      </c>
      <c r="C11" s="47" t="s">
        <v>38</v>
      </c>
      <c r="D11" s="47" t="s">
        <v>43</v>
      </c>
      <c r="E11" s="47" t="s">
        <v>44</v>
      </c>
    </row>
    <row r="12" spans="1:5" ht="85.5">
      <c r="A12" s="47" t="s">
        <v>45</v>
      </c>
      <c r="B12" s="47" t="s">
        <v>46</v>
      </c>
      <c r="C12" s="47" t="s">
        <v>47</v>
      </c>
      <c r="D12" s="47" t="s">
        <v>48</v>
      </c>
      <c r="E12" s="47" t="s">
        <v>49</v>
      </c>
    </row>
    <row r="13" spans="1:5" ht="42.75">
      <c r="A13" s="47" t="s">
        <v>50</v>
      </c>
      <c r="B13" s="47" t="s">
        <v>51</v>
      </c>
      <c r="C13" s="47" t="s">
        <v>52</v>
      </c>
      <c r="D13" s="47" t="s">
        <v>38</v>
      </c>
      <c r="E13" s="47" t="s">
        <v>53</v>
      </c>
    </row>
    <row r="14" spans="1:5" ht="99.75">
      <c r="A14" s="47" t="s">
        <v>54</v>
      </c>
      <c r="B14" s="47" t="s">
        <v>55</v>
      </c>
      <c r="C14" s="47" t="s">
        <v>56</v>
      </c>
      <c r="D14" s="47" t="s">
        <v>57</v>
      </c>
      <c r="E14" s="47" t="s">
        <v>58</v>
      </c>
    </row>
    <row r="16" spans="1:5" ht="18">
      <c r="B16" s="106" t="s">
        <v>308</v>
      </c>
    </row>
    <row r="17" spans="2:2" ht="285">
      <c r="B17" s="47" t="s">
        <v>309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E23" sqref="E23"/>
    </sheetView>
  </sheetViews>
  <sheetFormatPr defaultRowHeight="15"/>
  <cols>
    <col min="1" max="1" width="25.625" style="38" customWidth="1"/>
    <col min="2" max="2" width="22.625" style="38" customWidth="1"/>
    <col min="3" max="3" width="15.625" style="38" customWidth="1"/>
    <col min="4" max="4" width="32.625" style="38" customWidth="1"/>
    <col min="5" max="5" width="14.625" style="38" customWidth="1"/>
    <col min="6" max="6" width="42.625" style="22" customWidth="1"/>
    <col min="7" max="7" width="16.625" style="38" customWidth="1"/>
    <col min="8" max="9" width="12.625" style="38" customWidth="1"/>
    <col min="10" max="12" width="11.625" style="38" customWidth="1"/>
    <col min="13" max="13" width="9" style="5"/>
    <col min="14" max="14" width="11.875" style="5" bestFit="1" customWidth="1"/>
    <col min="15" max="15" width="11.625" style="5" bestFit="1" customWidth="1"/>
    <col min="16" max="16" width="10.625" style="5" bestFit="1" customWidth="1"/>
    <col min="17" max="17" width="17.25" style="5" bestFit="1" customWidth="1"/>
    <col min="18" max="18" width="9.625" style="5" customWidth="1"/>
    <col min="19" max="26" width="9" style="1"/>
    <col min="27" max="38" width="0" style="1" hidden="1" customWidth="1"/>
    <col min="39" max="16384" width="9" style="1"/>
  </cols>
  <sheetData>
    <row r="1" spans="1:38" ht="26.25">
      <c r="A1" s="76" t="s">
        <v>59</v>
      </c>
      <c r="B1" s="76"/>
      <c r="C1" s="76"/>
      <c r="D1" s="76"/>
      <c r="E1" s="76"/>
      <c r="F1" s="76"/>
      <c r="G1" s="76"/>
      <c r="H1" s="76"/>
      <c r="I1" s="76"/>
      <c r="J1" s="76"/>
      <c r="K1" s="76"/>
      <c r="L1" s="76"/>
      <c r="M1" s="9"/>
      <c r="N1" s="9"/>
      <c r="O1" s="9"/>
      <c r="P1" s="9"/>
      <c r="Q1" s="9"/>
      <c r="R1" s="9"/>
      <c r="S1" s="8"/>
      <c r="T1" s="8"/>
      <c r="U1" s="8"/>
      <c r="V1" s="8"/>
      <c r="W1" s="8"/>
      <c r="X1" s="8"/>
      <c r="Y1" s="8"/>
      <c r="Z1" s="8"/>
      <c r="AA1" s="8"/>
      <c r="AB1" s="8"/>
      <c r="AC1" s="8"/>
      <c r="AD1" s="8"/>
      <c r="AE1" s="8"/>
      <c r="AF1" s="8"/>
      <c r="AG1" s="8"/>
      <c r="AH1" s="8"/>
      <c r="AI1" s="8"/>
      <c r="AJ1" s="8"/>
      <c r="AK1" s="8"/>
      <c r="AL1" s="8"/>
    </row>
    <row r="2" spans="1:38">
      <c r="A2" s="77" t="s">
        <v>60</v>
      </c>
      <c r="B2" s="78"/>
      <c r="C2" s="78"/>
      <c r="D2" s="78"/>
      <c r="E2" s="78"/>
      <c r="F2" s="78"/>
      <c r="G2" s="78"/>
      <c r="H2" s="78"/>
      <c r="I2" s="78"/>
      <c r="J2" s="78"/>
      <c r="K2" s="78"/>
      <c r="L2" s="78"/>
      <c r="M2" s="9"/>
      <c r="N2" s="75" t="s">
        <v>61</v>
      </c>
      <c r="O2" s="75"/>
      <c r="P2" s="75"/>
      <c r="Q2" s="75"/>
      <c r="R2" s="75"/>
      <c r="S2" s="8"/>
      <c r="T2" s="8"/>
      <c r="U2" s="8"/>
      <c r="V2" s="8"/>
      <c r="W2" s="8"/>
      <c r="X2" s="8"/>
      <c r="Y2" s="8"/>
      <c r="Z2" s="8"/>
      <c r="AA2" s="8"/>
      <c r="AB2" s="8"/>
      <c r="AC2" s="8"/>
      <c r="AD2" s="8"/>
      <c r="AE2" s="8"/>
      <c r="AF2" s="8"/>
      <c r="AG2" s="8"/>
      <c r="AH2" s="8"/>
      <c r="AI2" s="8"/>
      <c r="AJ2" s="8"/>
      <c r="AK2" s="8"/>
      <c r="AL2" s="8"/>
    </row>
    <row r="3" spans="1:38">
      <c r="A3" s="19" t="s">
        <v>62</v>
      </c>
      <c r="B3" s="19" t="str">
        <f ca="1">TEXT(NOW(),"m/d/yyyy h:mm AM/PM")</f>
        <v>6/8/2026 9:32 pm</v>
      </c>
      <c r="C3" s="20" t="s">
        <v>63</v>
      </c>
      <c r="D3" s="21" t="str">
        <f>$AA$3</f>
        <v>Kim Chim</v>
      </c>
      <c r="E3" s="22"/>
      <c r="G3" s="22"/>
      <c r="H3" s="22"/>
      <c r="I3" s="22"/>
      <c r="J3" s="22"/>
      <c r="K3" s="22"/>
      <c r="L3" s="22"/>
      <c r="M3" s="9"/>
      <c r="N3" s="8" t="s">
        <v>64</v>
      </c>
      <c r="O3" s="8" t="s">
        <v>65</v>
      </c>
      <c r="P3" s="8" t="s">
        <v>66</v>
      </c>
      <c r="Q3" s="8" t="s">
        <v>67</v>
      </c>
      <c r="R3" s="8" t="s">
        <v>68</v>
      </c>
      <c r="S3" s="8"/>
      <c r="T3" s="8"/>
      <c r="U3" s="8"/>
      <c r="V3" s="8"/>
      <c r="W3" s="8"/>
      <c r="X3" s="8"/>
      <c r="Y3" s="8"/>
      <c r="Z3" s="8"/>
      <c r="AA3" s="8"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8"/>
      <c r="AC3" s="8"/>
      <c r="AD3" s="8"/>
      <c r="AE3" s="8"/>
      <c r="AF3" s="8"/>
      <c r="AG3" s="8"/>
      <c r="AH3" s="8"/>
      <c r="AI3" s="8"/>
      <c r="AJ3" s="8"/>
      <c r="AK3" s="8"/>
      <c r="AL3" s="8"/>
    </row>
    <row r="4" spans="1:38">
      <c r="A4" s="79" t="s">
        <v>69</v>
      </c>
      <c r="B4" s="80"/>
      <c r="C4" s="83" t="s">
        <v>70</v>
      </c>
      <c r="D4" s="83"/>
      <c r="E4" s="87" t="s">
        <v>71</v>
      </c>
      <c r="F4" s="87"/>
      <c r="G4" s="91" t="s">
        <v>72</v>
      </c>
      <c r="H4" s="91"/>
      <c r="I4" s="79" t="s">
        <v>73</v>
      </c>
      <c r="J4" s="79"/>
      <c r="K4" s="99" t="s">
        <v>74</v>
      </c>
      <c r="L4" s="99"/>
      <c r="M4" s="9"/>
      <c r="N4" s="8" t="s">
        <v>75</v>
      </c>
      <c r="O4" s="10">
        <f ca="1">TODAY()-WEEKDAY(TODAY(),1)-6</f>
        <v>46173</v>
      </c>
      <c r="P4" s="10">
        <f ca="1">O4+6</f>
        <v>46179</v>
      </c>
      <c r="Q4" s="11">
        <f ca="1">SUMIFS(EmailCampaignsTable[Delivered],EmailCampaignsTable[Send Date],"&gt;="&amp;O4,EmailCampaignsTable[Send Date],"&lt;"&amp;P4+1)</f>
        <v>2955153</v>
      </c>
      <c r="R4" s="11"/>
      <c r="S4" s="8"/>
      <c r="T4" s="8"/>
      <c r="U4" s="8"/>
      <c r="V4" s="8"/>
      <c r="W4" s="8"/>
      <c r="X4" s="8"/>
      <c r="Y4" s="8"/>
      <c r="Z4" s="8"/>
      <c r="AA4" s="8"/>
      <c r="AB4" s="8"/>
      <c r="AC4" s="8"/>
      <c r="AD4" s="8"/>
      <c r="AE4" s="8"/>
      <c r="AF4" s="8"/>
      <c r="AG4" s="8"/>
      <c r="AH4" s="8"/>
      <c r="AI4" s="8"/>
      <c r="AJ4" s="8"/>
      <c r="AK4" s="8"/>
      <c r="AL4" s="8"/>
    </row>
    <row r="5" spans="1:38" ht="30">
      <c r="A5" s="81">
        <f>COUNTIFS('Email Campaigns'!$C$2:$C$205,"&lt;&gt;",'Email Campaigns'!$S$2:$S$205,"&lt;=0")+COUNTIFS('SMS Campaigns'!$C$2:$C$201,"&lt;&gt;",'SMS Campaigns'!$N$2:$N$201,"&lt;=0")</f>
        <v>0</v>
      </c>
      <c r="B5" s="81"/>
      <c r="C5" s="84">
        <f ca="1">COUNTIFS('Email Campaigns'!$A$2:$A$205,TODAY(),'Email Campaigns'!$C$2:$C$205,"&lt;&gt;")+COUNTIFS('SMS Campaigns'!$A$2:$A$201,TODAY(),'SMS Campaigns'!$C$2:$C$201,"&lt;&gt;")</f>
        <v>0</v>
      </c>
      <c r="D5" s="85"/>
      <c r="E5" s="88">
        <f>COUNTIFS('Email Campaigns'!$C$2:$C$205,"&lt;&gt;",'Email Campaigns'!$S$2:$S$205,"&lt;=0")</f>
        <v>0</v>
      </c>
      <c r="F5" s="89"/>
      <c r="G5" s="92">
        <f>COUNTIFS('SMS Campaigns'!$C$2:$C$201,"&lt;&gt;",'SMS Campaigns'!$N$2:$N$201,"&lt;=0")</f>
        <v>0</v>
      </c>
      <c r="H5" s="93"/>
      <c r="I5" s="81">
        <f>COUNTIFS('Email Campaigns'!$C$2:$C$205,"&lt;&gt;",'Email Campaigns'!$M$2:$M$205,FALSE)+COUNTIFS('SMS Campaigns'!$C$2:$C$201,"&lt;&gt;",'SMS Campaigns'!$I$2:$I$201,FALSE)</f>
        <v>0</v>
      </c>
      <c r="J5" s="95"/>
      <c r="K5" s="100">
        <f>COUNTIF('Email Campaigns'!$S$2:$S$205,"&gt;0")+COUNTIF('SMS Campaigns'!$N$2:$N$201,"&gt;0")</f>
        <v>14</v>
      </c>
      <c r="L5" s="101"/>
      <c r="M5" s="9"/>
      <c r="N5" s="8" t="s">
        <v>76</v>
      </c>
      <c r="O5" s="10">
        <f ca="1">TODAY()-WEEKDAY(TODAY(),1)+1</f>
        <v>46180</v>
      </c>
      <c r="P5" s="10">
        <f ca="1">O5+6</f>
        <v>46186</v>
      </c>
      <c r="Q5" s="11">
        <f ca="1">SUMIFS(EmailCampaignsTable[Delivered],EmailCampaignsTable[Send Date],"&gt;="&amp;O5,EmailCampaignsTable[Send Date],"&lt;"&amp;P5+1)</f>
        <v>22703</v>
      </c>
      <c r="R5" s="11">
        <f ca="1">Q5-Q4</f>
        <v>-2932450</v>
      </c>
      <c r="S5" s="8"/>
      <c r="T5" s="8"/>
      <c r="U5" s="8"/>
      <c r="V5" s="8"/>
      <c r="W5" s="8"/>
      <c r="X5" s="8"/>
      <c r="Y5" s="8"/>
      <c r="Z5" s="8"/>
      <c r="AA5" s="8"/>
      <c r="AB5" s="8"/>
      <c r="AC5" s="8"/>
      <c r="AD5" s="8"/>
      <c r="AE5" s="8"/>
      <c r="AF5" s="8"/>
      <c r="AG5" s="8"/>
      <c r="AH5" s="8"/>
      <c r="AI5" s="8"/>
      <c r="AJ5" s="8"/>
      <c r="AK5" s="8"/>
      <c r="AL5" s="8"/>
    </row>
    <row r="6" spans="1:38">
      <c r="A6" s="82" t="s">
        <v>77</v>
      </c>
      <c r="B6" s="80"/>
      <c r="C6" s="86" t="s">
        <v>78</v>
      </c>
      <c r="D6" s="83"/>
      <c r="E6" s="90" t="s">
        <v>79</v>
      </c>
      <c r="F6" s="87"/>
      <c r="G6" s="94" t="s">
        <v>80</v>
      </c>
      <c r="H6" s="91"/>
      <c r="I6" s="82" t="s">
        <v>81</v>
      </c>
      <c r="J6" s="79"/>
      <c r="K6" s="102" t="s">
        <v>82</v>
      </c>
      <c r="L6" s="99"/>
      <c r="M6" s="9"/>
      <c r="N6" s="8"/>
      <c r="O6" s="8"/>
      <c r="P6" s="8"/>
      <c r="Q6" s="8"/>
      <c r="R6" s="8"/>
      <c r="S6" s="8"/>
      <c r="T6" s="8"/>
      <c r="U6" s="8"/>
      <c r="V6" s="8"/>
      <c r="W6" s="8"/>
      <c r="X6" s="8"/>
      <c r="Y6" s="8"/>
      <c r="Z6" s="8"/>
      <c r="AA6" s="8"/>
      <c r="AB6" s="8"/>
      <c r="AC6" s="8"/>
      <c r="AD6" s="8"/>
      <c r="AE6" s="8"/>
      <c r="AF6" s="8"/>
      <c r="AG6" s="8"/>
      <c r="AH6" s="8"/>
      <c r="AI6" s="8"/>
      <c r="AJ6" s="8"/>
      <c r="AK6" s="8"/>
      <c r="AL6" s="8"/>
    </row>
    <row r="7" spans="1:38">
      <c r="A7" s="23" t="s">
        <v>83</v>
      </c>
      <c r="B7" s="23" t="s">
        <v>84</v>
      </c>
      <c r="C7" s="23" t="s">
        <v>85</v>
      </c>
      <c r="D7" s="23" t="s">
        <v>86</v>
      </c>
      <c r="E7" s="23" t="s">
        <v>87</v>
      </c>
      <c r="F7" s="23" t="s">
        <v>88</v>
      </c>
      <c r="G7" s="23" t="s">
        <v>89</v>
      </c>
      <c r="H7" s="23" t="s">
        <v>90</v>
      </c>
      <c r="I7" s="23" t="s">
        <v>91</v>
      </c>
      <c r="J7" s="23" t="s">
        <v>92</v>
      </c>
      <c r="K7" s="23" t="s">
        <v>93</v>
      </c>
      <c r="L7" s="23" t="s">
        <v>94</v>
      </c>
      <c r="M7" s="9"/>
      <c r="N7" s="8"/>
      <c r="O7" s="8"/>
      <c r="P7" s="8"/>
      <c r="Q7" s="8"/>
      <c r="R7" s="8"/>
      <c r="S7" s="8"/>
      <c r="T7" s="8"/>
      <c r="U7" s="8"/>
      <c r="V7" s="8"/>
      <c r="W7" s="8"/>
      <c r="X7" s="8"/>
      <c r="Y7" s="8"/>
      <c r="Z7" s="8"/>
      <c r="AA7" s="8"/>
      <c r="AB7" s="8"/>
      <c r="AC7" s="8"/>
      <c r="AD7" s="8"/>
      <c r="AE7" s="8"/>
      <c r="AF7" s="8"/>
      <c r="AG7" s="8"/>
      <c r="AH7" s="8"/>
      <c r="AI7" s="8"/>
      <c r="AJ7" s="8"/>
      <c r="AK7" s="8"/>
      <c r="AL7" s="8"/>
    </row>
    <row r="8" spans="1:38" ht="17.25">
      <c r="A8" s="103" t="s">
        <v>95</v>
      </c>
      <c r="B8" s="104"/>
      <c r="C8" s="105"/>
      <c r="D8" s="105"/>
      <c r="E8" s="105"/>
      <c r="F8" s="105"/>
      <c r="G8" s="105"/>
      <c r="H8" s="105"/>
      <c r="I8" s="105"/>
      <c r="J8" s="105"/>
      <c r="K8" s="105"/>
      <c r="L8" s="105"/>
      <c r="M8" s="9"/>
      <c r="N8" s="8"/>
      <c r="O8" s="8"/>
      <c r="P8" s="8"/>
      <c r="Q8" s="8"/>
      <c r="R8" s="8"/>
      <c r="S8" s="8"/>
      <c r="T8" s="8"/>
      <c r="U8" s="8"/>
      <c r="V8" s="8"/>
      <c r="W8" s="8"/>
      <c r="X8" s="8"/>
      <c r="Y8" s="8"/>
      <c r="Z8" s="8"/>
      <c r="AA8" s="8"/>
      <c r="AB8" s="8"/>
      <c r="AC8" s="8"/>
      <c r="AD8" s="8"/>
      <c r="AE8" s="8"/>
      <c r="AF8" s="8"/>
      <c r="AG8" s="8"/>
      <c r="AH8" s="8"/>
      <c r="AI8" s="8"/>
      <c r="AJ8" s="8"/>
      <c r="AK8" s="8"/>
      <c r="AL8" s="8"/>
    </row>
    <row r="9" spans="1:38">
      <c r="A9" s="96" t="s">
        <v>96</v>
      </c>
      <c r="B9" s="97"/>
      <c r="C9" s="98"/>
      <c r="D9" s="98"/>
      <c r="E9" s="98"/>
      <c r="F9" s="98"/>
      <c r="G9" s="98"/>
      <c r="H9" s="98"/>
      <c r="I9" s="98"/>
      <c r="J9" s="98"/>
      <c r="K9" s="98"/>
      <c r="L9" s="98"/>
      <c r="M9" s="9"/>
      <c r="N9" s="8"/>
      <c r="O9" s="8"/>
      <c r="P9" s="8"/>
      <c r="Q9" s="8"/>
      <c r="R9" s="8"/>
      <c r="S9" s="8"/>
      <c r="T9" s="8"/>
      <c r="U9" s="8"/>
      <c r="V9" s="8"/>
      <c r="W9" s="8"/>
      <c r="X9" s="8"/>
      <c r="Y9" s="8"/>
      <c r="Z9" s="8"/>
      <c r="AA9" s="8"/>
      <c r="AB9" s="8"/>
      <c r="AC9" s="8"/>
      <c r="AD9" s="8"/>
      <c r="AE9" s="8"/>
      <c r="AF9" s="8"/>
      <c r="AG9" s="8"/>
      <c r="AH9" s="8"/>
      <c r="AI9" s="8"/>
      <c r="AJ9" s="8"/>
      <c r="AK9" s="8"/>
      <c r="AL9" s="8"/>
    </row>
    <row r="10" spans="1:38" ht="30">
      <c r="A10" s="24" t="s">
        <v>97</v>
      </c>
      <c r="B10" s="25" t="s">
        <v>98</v>
      </c>
      <c r="C10" s="24" t="s">
        <v>99</v>
      </c>
      <c r="D10" s="24" t="s">
        <v>100</v>
      </c>
      <c r="E10" s="24" t="s">
        <v>101</v>
      </c>
      <c r="F10" s="24" t="s">
        <v>102</v>
      </c>
      <c r="G10" s="24" t="s">
        <v>103</v>
      </c>
      <c r="H10" s="24" t="s">
        <v>104</v>
      </c>
      <c r="I10" s="24" t="s">
        <v>105</v>
      </c>
      <c r="J10" s="24" t="s">
        <v>106</v>
      </c>
      <c r="K10" s="24" t="s">
        <v>107</v>
      </c>
      <c r="L10" s="24" t="s">
        <v>108</v>
      </c>
      <c r="M10" s="9"/>
      <c r="N10" s="8"/>
      <c r="O10" s="8"/>
      <c r="P10" s="8"/>
      <c r="Q10" s="8"/>
      <c r="R10" s="8"/>
      <c r="S10" s="8"/>
      <c r="T10" s="8"/>
      <c r="U10" s="8"/>
      <c r="V10" s="8"/>
      <c r="W10" s="8"/>
      <c r="X10" s="8"/>
      <c r="Y10" s="8"/>
      <c r="Z10" s="8"/>
      <c r="AA10" t="s">
        <v>97</v>
      </c>
      <c r="AB10" t="s">
        <v>98</v>
      </c>
      <c r="AC10" t="s">
        <v>99</v>
      </c>
      <c r="AD10" t="s">
        <v>100</v>
      </c>
      <c r="AE10" t="s">
        <v>101</v>
      </c>
      <c r="AF10" t="s">
        <v>102</v>
      </c>
      <c r="AG10" t="s">
        <v>103</v>
      </c>
      <c r="AH10" t="s">
        <v>104</v>
      </c>
      <c r="AI10" t="s">
        <v>105</v>
      </c>
      <c r="AJ10" t="s">
        <v>106</v>
      </c>
      <c r="AK10" t="s">
        <v>107</v>
      </c>
      <c r="AL10" t="s">
        <v>108</v>
      </c>
    </row>
    <row r="11" spans="1:38" ht="30">
      <c r="A11" s="63" cm="1">
        <f t="array" aca="1" ref="A11" ca="1">IFERROR(INDEX(_xlfn.ANCHORARRAY($AA$11),ROW()-10,1),"")</f>
        <v>46180</v>
      </c>
      <c r="B11" s="26" t="str" cm="1">
        <f t="array" aca="1" ref="B11" ca="1">IFERROR(INDEX(_xlfn.ANCHORARRAY($AA$11),ROW()-10,2),"")</f>
        <v>11:00:00 AM Local Timezone</v>
      </c>
      <c r="C11" s="27" t="str" cm="1">
        <f t="array" aca="1" ref="C11" ca="1">IFERROR(INDEX(_xlfn.ANCHORARRAY($AA$11),ROW()-10,3),"")</f>
        <v>SMS</v>
      </c>
      <c r="D11" s="27" t="str" cm="1">
        <f t="array" aca="1" ref="D11" ca="1">IFERROR(INDEX(_xlfn.ANCHORARRAY($AA$11),ROW()-10,4),"")</f>
        <v>Campaign 060726 Event JK X Adorama NYC Workshop</v>
      </c>
      <c r="E11" s="27" t="str" cm="1">
        <f t="array" aca="1" ref="E11" ca="1">IFERROR(INDEX(_xlfn.ANCHORARRAY($AA$11),ROW()-10,5),"")</f>
        <v>Events</v>
      </c>
      <c r="F11" s="27" t="str" cm="1">
        <f t="array" aca="1" ref="F11" ca="1">IFERROR(INDEX(_xlfn.ANCHORARRAY($AA$11),ROW()-10,6),"")</f>
        <v>Done: Send SMS Options, Send Test, Approval, Segments</v>
      </c>
      <c r="G11" s="27" t="str" cm="1">
        <f t="array" aca="1" ref="G11" ca="1">IFERROR(INDEX(_xlfn.ANCHORARRAY($AA$11),ROW()-10,7),"")</f>
        <v>Archim</v>
      </c>
      <c r="H11" s="27" t="str" cm="1">
        <f t="array" aca="1" ref="H11" ca="1">IFERROR(INDEX(_xlfn.ANCHORARRAY($AA$11),ROW()-10,8),"")</f>
        <v>Done</v>
      </c>
      <c r="I11" s="27" t="str" cm="1">
        <f t="array" aca="1" ref="I11" ca="1">IFERROR(INDEX(_xlfn.ANCHORARRAY($AA$11),ROW()-10,9),"")</f>
        <v>Provided</v>
      </c>
      <c r="J11" s="28" t="str">
        <f t="shared" ref="J11" ca="1" si="0">_xlfn.LET(_xlpm.ch,IFERROR(INDEX(_xlfn.ANCHORARRAY($AA$11),ROW()-10,3),""),_xlpm.link,IFERROR(INDEX(_xlfn.ANCHORARRAY($AA$11),ROW()-10,10),""),IF(OR(_xlpm.link="",_xlpm.ch="SMS"),"",HYPERLINK(_xlpm.link,"Jira")))</f>
        <v/>
      </c>
      <c r="K11" s="28" t="str">
        <f t="shared" ref="K11" ca="1" si="1">_xlfn.LET(_xlpm.ch,IFERROR(INDEX(_xlfn.ANCHORARRAY($AA$11),ROW()-10,3),""),_xlpm.link,IFERROR(INDEX(_xlfn.ANCHORARRAY($AA$11),ROW()-10,11),""),IF(OR(_xlpm.link="",_xlpm.ch="SMS"),"",HYPERLINK(_xlpm.link,"ClickUp")))</f>
        <v/>
      </c>
      <c r="L11" s="28" t="str" cm="1">
        <f t="array" aca="1" ref="L11" ca="1">_xlfn.LET(_xlpm.link,IFERROR(INDEX(_xlfn.ANCHORARRAY($AA$11),ROW()-10,12),""),IF(_xlpm.link="","",HYPERLINK(_xlpm.link,"Bluecore/Attentive")))</f>
        <v>Bluecore/Attentive</v>
      </c>
      <c r="M11" s="9"/>
      <c r="N11" s="8"/>
      <c r="O11" s="8"/>
      <c r="P11" s="8"/>
      <c r="Q11" s="8"/>
      <c r="R11" s="8"/>
      <c r="S11" s="8"/>
      <c r="T11" s="8"/>
      <c r="U11" s="8"/>
      <c r="V11" s="8"/>
      <c r="W11" s="8"/>
      <c r="X11" s="8"/>
      <c r="Y11" s="8"/>
      <c r="Z11" s="8"/>
      <c r="AA11" cm="1">
        <f t="array" aca="1" ref="AA11:AL13" ca="1">_xlfn.LET(_xlpm.ws,TODAY()-WEEKDAY(TODAY(),1)+1,_xlpm.we,_xlpm.ws+13,_xlpm.empty,_xlfn.HSTACK("","","","","","","","","","","",""),_xlpm.e_cancel,EXACT(LOWER(TRIM(EmailCampaignsTable[Notes])),"cancelled")+EXACT(LOWER(TRIM(EmailCampaignsTable[Notes])),"canceled"),_xlpm.email,_xlfn._xlws.FILTER(_xlfn.HSTACK(EmailCampaignsTable[Send Date],EmailCampaignsTable[Send Time],IF(EmailCampaignsTable[Campaign Name]&lt;&gt;"","Email",""),IF(_xlpm.e_cancel,"CANCELLED - "&amp;EmailCampaignsTable[Campaign Name],EmailCampaignsTable[Campaign Name]),EmailCampaignsTable[Campaign Type],IF(_xlpm.e_cancel,"Cancelled",EmailCampaignsTable[Current Stage]),EmailCampaignsTable[Owner],IF(_xlpm.e_cancel,"N/A",IF(EmailCampaignsTable[Approval],"Done","Not Yet")),IF(_xlpm.e_cancel,"N/A",IF(EmailCampaignsTable[Segments],"Provided","Pending")),EmailCampaignsTable[Jira Link],EmailCampaignsTable[ClickUp Link],EmailCampaignsTable[Bluecore/Attentive Link]),(EmailCampaignsTable[Campaign Name]&lt;&gt;"")*(IFERROR(INT(EmailCampaignsTable[Send Date]),0)&gt;=_xlpm.ws)*(IFERROR(INT(EmailCampaignsTable[Send Date]),0)&lt;=_xlpm.we),_xlpm.empty),_xlpm.s_cancel,EXACT(LOWER(TRIM(SMSCampaignsTable[Notes])),"cancelled")+EXACT(LOWER(TRIM(SMSCampaignsTable[Notes])),"canceled"),_xlpm.sms,_xlfn._xlws.FILTER(_xlfn.HSTACK(SMSCampaignsTable[Send Date],SMSCampaignsTable[Send Time],IF(SMSCampaignsTable[Campaign Name]&lt;&gt;"","SMS",""),IF(_xlpm.s_cancel,"CANCELLED - "&amp;SMSCampaignsTable[Campaign Name],SMSCampaignsTable[Campaign Name]),SMSCampaignsTable[Campaign Type],IF(_xlpm.s_cancel,"Cancelled",SMSCampaignsTable[Current Stage]),SMSCampaignsTable[Owner],IF(_xlpm.s_cancel,"N/A",IF(SMSCampaignsTable[Approval],"Done","Not Yet")),IF(_xlpm.s_cancel,"N/A",IF(SMSCampaignsTable[Segments],"Provided","Pending")),SMSCampaignsTable[Proof of Schedule],"",SMSCampaignsTable[Bluecore/Attentive Link]),(SMSCampaignsTable[Campaign Name]&lt;&gt;"")*(IFERROR(INT(SMSCampaignsTable[Send Date]),0)&gt;=_xlpm.ws)*(IFERROR(INT(SMSCampaignsTable[Send Date]),0)&lt;=_xlpm.we),_xlpm.empty),_xlpm.data,_xlfn.VSTACK(_xlpm.email,_xlpm.sms),_xlpm.clean,_xlfn._xlws.FILTER(_xlpm.data,_xlfn.CHOOSECOLS(_xlpm.data,4)&lt;&gt;""),IFERROR(_xlfn.SORTBY(_xlpm.clean,_xlfn.CHOOSECOLS(_xlpm.clean,1),1,_xlfn.CHOOSECOLS(_xlpm.clean,2),1,_xlfn.CHOOSECOLS(_xlpm.clean,3),1,_xlfn.CHOOSECOLS(_xlpm.clean,4),1),""))</f>
        <v>46180</v>
      </c>
      <c r="AB11" t="str">
        <f ca="1"/>
        <v>11:00:00 AM Local Timezone</v>
      </c>
      <c r="AC11" t="str">
        <f ca="1"/>
        <v>SMS</v>
      </c>
      <c r="AD11" t="str">
        <f ca="1"/>
        <v>Campaign 060726 Event JK X Adorama NYC Workshop</v>
      </c>
      <c r="AE11" t="str">
        <f ca="1"/>
        <v>Events</v>
      </c>
      <c r="AF11" t="str">
        <f ca="1"/>
        <v>Done: Send SMS Options, Send Test, Approval, Segments</v>
      </c>
      <c r="AG11" t="str">
        <f ca="1"/>
        <v>Archim</v>
      </c>
      <c r="AH11" t="str">
        <f ca="1"/>
        <v>Done</v>
      </c>
      <c r="AI11" t="str">
        <f ca="1"/>
        <v>Provided</v>
      </c>
      <c r="AJ11" t="str">
        <f ca="1"/>
        <v>https://teams.microsoft.com/l/message/19:e8e45d54914640ea878fe0171aa48fdc@thread.v2/1780504108170?context=%7B%22contextType%22%3A%22chat%22%7D</v>
      </c>
      <c r="AK11" t="str">
        <f ca="1"/>
        <v/>
      </c>
      <c r="AL11" t="str">
        <f ca="1"/>
        <v>https://ui.attentivemobile.com/campaigns/messages/MTQ6Q29tcG9zZU1lc3NhZ2UxMTE4NTU0NQ/overview</v>
      </c>
    </row>
    <row r="12" spans="1:38" ht="30">
      <c r="A12" s="63" cm="1">
        <f t="array" aca="1" ref="A12" ca="1">IFERROR(INDEX(_xlfn.ANCHORARRAY($AA$11),ROW()-10,1),"")</f>
        <v>46180</v>
      </c>
      <c r="B12" s="26" t="str" cm="1">
        <f t="array" aca="1" ref="B12" ca="1">IFERROR(INDEX(_xlfn.ANCHORARRAY($AA$11),ROW()-10,2),"")</f>
        <v>11:30:00 AM Local Timezone</v>
      </c>
      <c r="C12" s="22" t="str" cm="1">
        <f t="array" aca="1" ref="C12" ca="1">IFERROR(INDEX(_xlfn.ANCHORARRAY($AA$11),ROW()-10,3),"")</f>
        <v>SMS</v>
      </c>
      <c r="D12" s="22" t="str" cm="1">
        <f t="array" aca="1" ref="D12" ca="1">IFERROR(INDEX(_xlfn.ANCHORARRAY($AA$11),ROW()-10,4),"")</f>
        <v>Campaign 060726 Promo Sony a7R VI In-Stock</v>
      </c>
      <c r="E12" s="22" t="str" cm="1">
        <f t="array" aca="1" ref="E12" ca="1">IFERROR(INDEX(_xlfn.ANCHORARRAY($AA$11),ROW()-10,5),"")</f>
        <v>Promo</v>
      </c>
      <c r="F12" s="22" t="str" cm="1">
        <f t="array" aca="1" ref="F12" ca="1">IFERROR(INDEX(_xlfn.ANCHORARRAY($AA$11),ROW()-10,6),"")</f>
        <v>Done: Send SMS Options, Send Test, Approval, Segments</v>
      </c>
      <c r="G12" s="22" t="str" cm="1">
        <f t="array" aca="1" ref="G12" ca="1">IFERROR(INDEX(_xlfn.ANCHORARRAY($AA$11),ROW()-10,7),"")</f>
        <v>Archim/Sean</v>
      </c>
      <c r="H12" s="22" t="str" cm="1">
        <f t="array" aca="1" ref="H12" ca="1">IFERROR(INDEX(_xlfn.ANCHORARRAY($AA$11),ROW()-10,8),"")</f>
        <v>Done</v>
      </c>
      <c r="I12" s="22" t="str" cm="1">
        <f t="array" aca="1" ref="I12" ca="1">IFERROR(INDEX(_xlfn.ANCHORARRAY($AA$11),ROW()-10,9),"")</f>
        <v>Provided</v>
      </c>
      <c r="J12" s="28" t="str">
        <f t="shared" ref="J12:J45" ca="1" si="2">_xlfn.LET(_xlpm.ch,IFERROR(INDEX(_xlfn.ANCHORARRAY($AA$11),ROW()-10,3),""),_xlpm.link,IFERROR(INDEX(_xlfn.ANCHORARRAY($AA$11),ROW()-10,10),""),IF(OR(_xlpm.link="",_xlpm.ch="SMS"),"",HYPERLINK(_xlpm.link,"Jira")))</f>
        <v/>
      </c>
      <c r="K12" s="27" t="str">
        <f t="shared" ref="K12:K45" ca="1" si="3">_xlfn.LET(_xlpm.ch,IFERROR(INDEX(_xlfn.ANCHORARRAY($AA$11),ROW()-10,3),""),_xlpm.link,IFERROR(INDEX(_xlfn.ANCHORARRAY($AA$11),ROW()-10,11),""),IF(OR(_xlpm.link="",_xlpm.ch="SMS"),"",HYPERLINK(_xlpm.link,"ClickUp")))</f>
        <v/>
      </c>
      <c r="L12" s="27" t="str" cm="1">
        <f t="array" aca="1" ref="L12" ca="1">_xlfn.LET(_xlpm.link,IFERROR(INDEX(_xlfn.ANCHORARRAY($AA$11),ROW()-10,12),""),IF(_xlpm.link="","",HYPERLINK(_xlpm.link,"Bluecore/Attentive")))</f>
        <v>Bluecore/Attentive</v>
      </c>
      <c r="M12" s="9"/>
      <c r="N12" s="8"/>
      <c r="O12" s="8"/>
      <c r="P12" s="8"/>
      <c r="Q12" s="8"/>
      <c r="R12" s="8"/>
      <c r="S12" s="8"/>
      <c r="T12" s="8"/>
      <c r="U12" s="8"/>
      <c r="V12" s="8"/>
      <c r="W12" s="8"/>
      <c r="X12" s="8"/>
      <c r="Y12" s="8"/>
      <c r="Z12" s="8"/>
      <c r="AA12">
        <f ca="1"/>
        <v>46180</v>
      </c>
      <c r="AB12" t="str">
        <f ca="1"/>
        <v>11:30:00 AM Local Timezone</v>
      </c>
      <c r="AC12" t="str">
        <f ca="1"/>
        <v>SMS</v>
      </c>
      <c r="AD12" t="str">
        <f ca="1"/>
        <v>Campaign 060726 Promo Sony a7R VI In-Stock</v>
      </c>
      <c r="AE12" t="str">
        <f ca="1"/>
        <v>Promo</v>
      </c>
      <c r="AF12" t="str">
        <f ca="1"/>
        <v>Done: Send SMS Options, Send Test, Approval, Segments</v>
      </c>
      <c r="AG12" t="str">
        <f ca="1"/>
        <v>Archim/Sean</v>
      </c>
      <c r="AH12" t="str">
        <f ca="1"/>
        <v>Done</v>
      </c>
      <c r="AI12" t="str">
        <f ca="1"/>
        <v>Provided</v>
      </c>
      <c r="AJ12">
        <f ca="1"/>
        <v>0</v>
      </c>
      <c r="AK12" t="str">
        <f ca="1"/>
        <v/>
      </c>
      <c r="AL12" t="str">
        <f ca="1"/>
        <v>https://ui.attentivemobile.com/campaigns/messages/MTQ6Q29tcG9zZU1lc3NhZ2UxMTIxMTM3Nw/overview</v>
      </c>
    </row>
    <row r="13" spans="1:38" ht="45">
      <c r="A13" s="63" cm="1">
        <f t="array" aca="1" ref="A13" ca="1">IFERROR(INDEX(_xlfn.ANCHORARRAY($AA$11),ROW()-10,1),"")</f>
        <v>46180</v>
      </c>
      <c r="B13" s="26" t="str" cm="1">
        <f t="array" aca="1" ref="B13" ca="1">IFERROR(INDEX(_xlfn.ANCHORARRAY($AA$11),ROW()-10,2),"")</f>
        <v>STO</v>
      </c>
      <c r="C13" s="22" t="str" cm="1">
        <f t="array" aca="1" ref="C13" ca="1">IFERROR(INDEX(_xlfn.ANCHORARRAY($AA$11),ROW()-10,3),"")</f>
        <v>Email</v>
      </c>
      <c r="D13" s="22" t="str" cm="1">
        <f t="array" aca="1" ref="D13" ca="1">IFERROR(INDEX(_xlfn.ANCHORARRAY($AA$11),ROW()-10,4),"")</f>
        <v>060726-STO-Event-JK-x-ADORAMA-NYC-WORKSHOP-Resend-P-G-NA-GLP</v>
      </c>
      <c r="E13" s="22" t="str" cm="1">
        <f t="array" aca="1" ref="E13" ca="1">IFERROR(INDEX(_xlfn.ANCHORARRAY($AA$11),ROW()-10,5),"")</f>
        <v>Events</v>
      </c>
      <c r="F13" s="22" t="str" cm="1">
        <f t="array" aca="1" ref="F13" ca="1">IFERROR(INDEX(_xlfn.ANCHORARRAY($AA$11),ROW()-10,6),"")</f>
        <v>Done: Campaign Name and UTM Parameter (Source Code), Creative Brief, SL &amp; PH, SKUs, In-Design, Build, QA, Route, Approval, Segments</v>
      </c>
      <c r="G13" s="22" t="str" cm="1">
        <f t="array" aca="1" ref="G13" ca="1">IFERROR(INDEX(_xlfn.ANCHORARRAY($AA$11),ROW()-10,7),"")</f>
        <v>Archim</v>
      </c>
      <c r="H13" s="22" t="str" cm="1">
        <f t="array" aca="1" ref="H13" ca="1">IFERROR(INDEX(_xlfn.ANCHORARRAY($AA$11),ROW()-10,8),"")</f>
        <v>Done</v>
      </c>
      <c r="I13" s="22" t="str" cm="1">
        <f t="array" aca="1" ref="I13" ca="1">IFERROR(INDEX(_xlfn.ANCHORARRAY($AA$11),ROW()-10,9),"")</f>
        <v>Provided</v>
      </c>
      <c r="J13" s="28" t="str">
        <f t="shared" ca="1" si="2"/>
        <v>Jira</v>
      </c>
      <c r="K13" s="29" t="str">
        <f t="shared" ca="1" si="3"/>
        <v>ClickUp</v>
      </c>
      <c r="L13" s="29" t="str" cm="1">
        <f t="array" aca="1" ref="L13" ca="1">_xlfn.LET(_xlpm.link,IFERROR(INDEX(_xlfn.ANCHORARRAY($AA$11),ROW()-10,12),""),IF(_xlpm.link="","",HYPERLINK(_xlpm.link,"Bluecore/Attentive")))</f>
        <v>Bluecore/Attentive</v>
      </c>
      <c r="M13" s="9"/>
      <c r="N13" s="8"/>
      <c r="O13" s="8"/>
      <c r="P13" s="8"/>
      <c r="Q13" s="8"/>
      <c r="R13" s="8"/>
      <c r="S13" s="8"/>
      <c r="T13" s="8"/>
      <c r="U13" s="8"/>
      <c r="V13" s="8"/>
      <c r="W13" s="8"/>
      <c r="X13" s="8"/>
      <c r="Y13" s="8"/>
      <c r="Z13" s="8"/>
      <c r="AA13">
        <f ca="1"/>
        <v>46180</v>
      </c>
      <c r="AB13" t="str">
        <f ca="1"/>
        <v>STO</v>
      </c>
      <c r="AC13" t="str">
        <f ca="1"/>
        <v>Email</v>
      </c>
      <c r="AD13" t="str">
        <f ca="1"/>
        <v>060726-STO-Event-JK-x-ADORAMA-NYC-WORKSHOP-Resend-P-G-NA-GLP</v>
      </c>
      <c r="AE13" t="str">
        <f ca="1"/>
        <v>Events</v>
      </c>
      <c r="AF13" t="str">
        <f ca="1"/>
        <v>Done: Campaign Name and UTM Parameter (Source Code), Creative Brief, SL &amp; PH, SKUs, In-Design, Build, QA, Route, Approval, Segments</v>
      </c>
      <c r="AG13" t="str">
        <f ca="1"/>
        <v>Archim</v>
      </c>
      <c r="AH13" t="str">
        <f ca="1"/>
        <v>Done</v>
      </c>
      <c r="AI13" t="str">
        <f ca="1"/>
        <v>Provided</v>
      </c>
      <c r="AJ13" t="str">
        <f ca="1"/>
        <v>https://jira.adorama.com/browse/MKT-103104</v>
      </c>
      <c r="AK13" t="str">
        <f ca="1"/>
        <v>https://app.clickup.com/t/9010122869/86ahv69f4</v>
      </c>
      <c r="AL13" t="str">
        <f ca="1"/>
        <v>https://app.bluecore.com/admin/campaigns/adorama/5531449167831040</v>
      </c>
    </row>
    <row r="14" spans="1:38">
      <c r="A14" s="63" t="str" cm="1">
        <f t="array" aca="1" ref="A14" ca="1">IFERROR(INDEX(_xlfn.ANCHORARRAY($AA$11),ROW()-10,1),"")</f>
        <v/>
      </c>
      <c r="B14" s="26" t="str" cm="1">
        <f t="array" aca="1" ref="B14" ca="1">IFERROR(INDEX(_xlfn.ANCHORARRAY($AA$11),ROW()-10,2),"")</f>
        <v/>
      </c>
      <c r="C14" s="22" t="str" cm="1">
        <f t="array" aca="1" ref="C14" ca="1">IFERROR(INDEX(_xlfn.ANCHORARRAY($AA$11),ROW()-10,3),"")</f>
        <v/>
      </c>
      <c r="D14" s="22" t="str" cm="1">
        <f t="array" aca="1" ref="D14" ca="1">IFERROR(INDEX(_xlfn.ANCHORARRAY($AA$11),ROW()-10,4),"")</f>
        <v/>
      </c>
      <c r="E14" s="22" t="str" cm="1">
        <f t="array" aca="1" ref="E14" ca="1">IFERROR(INDEX(_xlfn.ANCHORARRAY($AA$11),ROW()-10,5),"")</f>
        <v/>
      </c>
      <c r="F14" s="22" t="str" cm="1">
        <f t="array" aca="1" ref="F14" ca="1">IFERROR(INDEX(_xlfn.ANCHORARRAY($AA$11),ROW()-10,6),"")</f>
        <v/>
      </c>
      <c r="G14" s="22" t="str" cm="1">
        <f t="array" aca="1" ref="G14" ca="1">IFERROR(INDEX(_xlfn.ANCHORARRAY($AA$11),ROW()-10,7),"")</f>
        <v/>
      </c>
      <c r="H14" s="22" t="str" cm="1">
        <f t="array" aca="1" ref="H14" ca="1">IFERROR(INDEX(_xlfn.ANCHORARRAY($AA$11),ROW()-10,8),"")</f>
        <v/>
      </c>
      <c r="I14" s="22" t="str" cm="1">
        <f t="array" aca="1" ref="I14" ca="1">IFERROR(INDEX(_xlfn.ANCHORARRAY($AA$11),ROW()-10,9),"")</f>
        <v/>
      </c>
      <c r="J14" s="28" t="str">
        <f t="shared" ca="1" si="2"/>
        <v/>
      </c>
      <c r="K14" s="30" t="str">
        <f t="shared" ca="1" si="3"/>
        <v/>
      </c>
      <c r="L14" s="30" t="str" cm="1">
        <f t="array" aca="1" ref="L14" ca="1">_xlfn.LET(_xlpm.link,IFERROR(INDEX(_xlfn.ANCHORARRAY($AA$11),ROW()-10,12),""),IF(_xlpm.link="","",HYPERLINK(_xlpm.link,"Bluecore/Attentive")))</f>
        <v/>
      </c>
      <c r="M14" s="9"/>
      <c r="N14" s="8"/>
      <c r="O14" s="8"/>
      <c r="P14" s="8"/>
      <c r="Q14" s="8"/>
      <c r="R14" s="8"/>
      <c r="S14" s="8"/>
      <c r="T14" s="8"/>
      <c r="U14" s="8"/>
      <c r="V14" s="8"/>
      <c r="W14" s="8"/>
      <c r="X14" s="8"/>
      <c r="Y14" s="8"/>
      <c r="Z14" s="8"/>
      <c r="AA14"/>
      <c r="AB14"/>
      <c r="AC14"/>
      <c r="AD14"/>
      <c r="AE14"/>
      <c r="AF14"/>
      <c r="AG14"/>
      <c r="AH14"/>
      <c r="AI14"/>
      <c r="AJ14"/>
      <c r="AK14"/>
      <c r="AL14"/>
    </row>
    <row r="15" spans="1:38">
      <c r="A15" s="63" t="str" cm="1">
        <f t="array" aca="1" ref="A15" ca="1">IFERROR(INDEX(_xlfn.ANCHORARRAY($AA$11),ROW()-10,1),"")</f>
        <v/>
      </c>
      <c r="B15" s="26" t="str" cm="1">
        <f t="array" aca="1" ref="B15" ca="1">IFERROR(INDEX(_xlfn.ANCHORARRAY($AA$11),ROW()-10,2),"")</f>
        <v/>
      </c>
      <c r="C15" s="22" t="str" cm="1">
        <f t="array" aca="1" ref="C15" ca="1">IFERROR(INDEX(_xlfn.ANCHORARRAY($AA$11),ROW()-10,3),"")</f>
        <v/>
      </c>
      <c r="D15" s="22" t="str" cm="1">
        <f t="array" aca="1" ref="D15" ca="1">IFERROR(INDEX(_xlfn.ANCHORARRAY($AA$11),ROW()-10,4),"")</f>
        <v/>
      </c>
      <c r="E15" s="22" t="str" cm="1">
        <f t="array" aca="1" ref="E15" ca="1">IFERROR(INDEX(_xlfn.ANCHORARRAY($AA$11),ROW()-10,5),"")</f>
        <v/>
      </c>
      <c r="F15" s="22" t="str" cm="1">
        <f t="array" aca="1" ref="F15" ca="1">IFERROR(INDEX(_xlfn.ANCHORARRAY($AA$11),ROW()-10,6),"")</f>
        <v/>
      </c>
      <c r="G15" s="22" t="str" cm="1">
        <f t="array" aca="1" ref="G15" ca="1">IFERROR(INDEX(_xlfn.ANCHORARRAY($AA$11),ROW()-10,7),"")</f>
        <v/>
      </c>
      <c r="H15" s="22" t="str" cm="1">
        <f t="array" aca="1" ref="H15" ca="1">IFERROR(INDEX(_xlfn.ANCHORARRAY($AA$11),ROW()-10,8),"")</f>
        <v/>
      </c>
      <c r="I15" s="22" t="str" cm="1">
        <f t="array" aca="1" ref="I15" ca="1">IFERROR(INDEX(_xlfn.ANCHORARRAY($AA$11),ROW()-10,9),"")</f>
        <v/>
      </c>
      <c r="J15" s="28" t="str">
        <f t="shared" ca="1" si="2"/>
        <v/>
      </c>
      <c r="K15" s="27" t="str">
        <f t="shared" ca="1" si="3"/>
        <v/>
      </c>
      <c r="L15" s="27" t="str" cm="1">
        <f t="array" aca="1" ref="L15" ca="1">_xlfn.LET(_xlpm.link,IFERROR(INDEX(_xlfn.ANCHORARRAY($AA$11),ROW()-10,12),""),IF(_xlpm.link="","",HYPERLINK(_xlpm.link,"Bluecore/Attentive")))</f>
        <v/>
      </c>
      <c r="M15" s="9"/>
      <c r="N15" s="8"/>
      <c r="O15" s="8"/>
      <c r="P15" s="8"/>
      <c r="Q15" s="8"/>
      <c r="R15" s="8"/>
      <c r="S15" s="8"/>
      <c r="T15" s="8"/>
      <c r="U15" s="8"/>
      <c r="V15" s="8"/>
      <c r="W15" s="8"/>
      <c r="X15" s="8"/>
      <c r="Y15" s="8"/>
      <c r="Z15" s="8"/>
      <c r="AA15"/>
      <c r="AB15"/>
      <c r="AC15"/>
      <c r="AD15"/>
      <c r="AE15"/>
      <c r="AF15"/>
      <c r="AG15"/>
      <c r="AH15"/>
      <c r="AI15"/>
      <c r="AJ15"/>
      <c r="AK15"/>
      <c r="AL15"/>
    </row>
    <row r="16" spans="1:38">
      <c r="A16" s="64" t="str" cm="1">
        <f t="array" aca="1" ref="A16" ca="1">IFERROR(INDEX(_xlfn.ANCHORARRAY($AA$11),ROW()-10,1),"")</f>
        <v/>
      </c>
      <c r="B16" s="31" t="str" cm="1">
        <f t="array" aca="1" ref="B16" ca="1">IFERROR(INDEX(_xlfn.ANCHORARRAY($AA$11),ROW()-10,2),"")</f>
        <v/>
      </c>
      <c r="C16" s="22" t="str" cm="1">
        <f t="array" aca="1" ref="C16" ca="1">IFERROR(INDEX(_xlfn.ANCHORARRAY($AA$11),ROW()-10,3),"")</f>
        <v/>
      </c>
      <c r="D16" s="22" t="str" cm="1">
        <f t="array" aca="1" ref="D16" ca="1">IFERROR(INDEX(_xlfn.ANCHORARRAY($AA$11),ROW()-10,4),"")</f>
        <v/>
      </c>
      <c r="E16" s="22" t="str" cm="1">
        <f t="array" aca="1" ref="E16" ca="1">IFERROR(INDEX(_xlfn.ANCHORARRAY($AA$11),ROW()-10,5),"")</f>
        <v/>
      </c>
      <c r="F16" s="22" t="str" cm="1">
        <f t="array" aca="1" ref="F16" ca="1">IFERROR(INDEX(_xlfn.ANCHORARRAY($AA$11),ROW()-10,6),"")</f>
        <v/>
      </c>
      <c r="G16" s="22" t="str" cm="1">
        <f t="array" aca="1" ref="G16" ca="1">IFERROR(INDEX(_xlfn.ANCHORARRAY($AA$11),ROW()-10,7),"")</f>
        <v/>
      </c>
      <c r="H16" s="22" t="str" cm="1">
        <f t="array" aca="1" ref="H16" ca="1">IFERROR(INDEX(_xlfn.ANCHORARRAY($AA$11),ROW()-10,8),"")</f>
        <v/>
      </c>
      <c r="I16" s="22" t="str" cm="1">
        <f t="array" aca="1" ref="I16" ca="1">IFERROR(INDEX(_xlfn.ANCHORARRAY($AA$11),ROW()-10,9),"")</f>
        <v/>
      </c>
      <c r="J16" s="28" t="str">
        <f t="shared" ca="1" si="2"/>
        <v/>
      </c>
      <c r="K16" s="30" t="str">
        <f t="shared" ca="1" si="3"/>
        <v/>
      </c>
      <c r="L16" s="30" t="str" cm="1">
        <f t="array" aca="1" ref="L16" ca="1">_xlfn.LET(_xlpm.link,IFERROR(INDEX(_xlfn.ANCHORARRAY($AA$11),ROW()-10,12),""),IF(_xlpm.link="","",HYPERLINK(_xlpm.link,"Bluecore/Attentive")))</f>
        <v/>
      </c>
      <c r="M16" s="9"/>
      <c r="N16" s="8"/>
      <c r="O16" s="8"/>
      <c r="P16" s="8"/>
      <c r="Q16" s="8"/>
      <c r="R16" s="8"/>
      <c r="S16" s="8"/>
      <c r="T16" s="8"/>
      <c r="U16" s="8"/>
      <c r="V16" s="8"/>
      <c r="W16" s="8"/>
      <c r="X16" s="8"/>
      <c r="Y16" s="8"/>
      <c r="Z16" s="8"/>
      <c r="AA16"/>
      <c r="AB16"/>
      <c r="AC16"/>
      <c r="AD16"/>
      <c r="AE16"/>
      <c r="AF16"/>
      <c r="AG16"/>
      <c r="AH16"/>
      <c r="AI16"/>
      <c r="AJ16"/>
      <c r="AK16"/>
      <c r="AL16"/>
    </row>
    <row r="17" spans="1:38">
      <c r="A17" s="64" t="str" cm="1">
        <f t="array" aca="1" ref="A17" ca="1">IFERROR(INDEX(_xlfn.ANCHORARRAY($AA$11),ROW()-10,1),"")</f>
        <v/>
      </c>
      <c r="B17" s="31" t="str" cm="1">
        <f t="array" aca="1" ref="B17" ca="1">IFERROR(INDEX(_xlfn.ANCHORARRAY($AA$11),ROW()-10,2),"")</f>
        <v/>
      </c>
      <c r="C17" s="22" t="str" cm="1">
        <f t="array" aca="1" ref="C17" ca="1">IFERROR(INDEX(_xlfn.ANCHORARRAY($AA$11),ROW()-10,3),"")</f>
        <v/>
      </c>
      <c r="D17" s="22" t="str" cm="1">
        <f t="array" aca="1" ref="D17" ca="1">IFERROR(INDEX(_xlfn.ANCHORARRAY($AA$11),ROW()-10,4),"")</f>
        <v/>
      </c>
      <c r="E17" s="22" t="str" cm="1">
        <f t="array" aca="1" ref="E17" ca="1">IFERROR(INDEX(_xlfn.ANCHORARRAY($AA$11),ROW()-10,5),"")</f>
        <v/>
      </c>
      <c r="F17" s="22" t="str" cm="1">
        <f t="array" aca="1" ref="F17" ca="1">IFERROR(INDEX(_xlfn.ANCHORARRAY($AA$11),ROW()-10,6),"")</f>
        <v/>
      </c>
      <c r="G17" s="22" t="str" cm="1">
        <f t="array" aca="1" ref="G17" ca="1">IFERROR(INDEX(_xlfn.ANCHORARRAY($AA$11),ROW()-10,7),"")</f>
        <v/>
      </c>
      <c r="H17" s="22" t="str" cm="1">
        <f t="array" aca="1" ref="H17" ca="1">IFERROR(INDEX(_xlfn.ANCHORARRAY($AA$11),ROW()-10,8),"")</f>
        <v/>
      </c>
      <c r="I17" s="22" t="str" cm="1">
        <f t="array" aca="1" ref="I17" ca="1">IFERROR(INDEX(_xlfn.ANCHORARRAY($AA$11),ROW()-10,9),"")</f>
        <v/>
      </c>
      <c r="J17" s="22" t="str">
        <f t="shared" ca="1" si="2"/>
        <v/>
      </c>
      <c r="K17" s="22" t="str">
        <f t="shared" ca="1" si="3"/>
        <v/>
      </c>
      <c r="L17" s="22" t="str" cm="1">
        <f t="array" aca="1" ref="L17" ca="1">_xlfn.LET(_xlpm.link,IFERROR(INDEX(_xlfn.ANCHORARRAY($AA$11),ROW()-10,12),""),IF(_xlpm.link="","",HYPERLINK(_xlpm.link,"Bluecore/Attentive")))</f>
        <v/>
      </c>
      <c r="M17" s="9"/>
      <c r="N17" s="8"/>
      <c r="O17" s="8"/>
      <c r="P17" s="8"/>
      <c r="Q17" s="8"/>
      <c r="R17" s="8"/>
      <c r="S17" s="8"/>
      <c r="T17" s="8"/>
      <c r="U17" s="8"/>
      <c r="V17" s="8"/>
      <c r="W17" s="8"/>
      <c r="X17" s="8"/>
      <c r="Y17" s="8"/>
      <c r="Z17" s="8"/>
      <c r="AA17"/>
      <c r="AB17"/>
      <c r="AC17"/>
      <c r="AD17"/>
      <c r="AE17"/>
      <c r="AF17"/>
      <c r="AG17"/>
      <c r="AH17"/>
      <c r="AI17"/>
      <c r="AJ17"/>
      <c r="AK17"/>
      <c r="AL17"/>
    </row>
    <row r="18" spans="1:38">
      <c r="A18" s="64" t="str" cm="1">
        <f t="array" aca="1" ref="A18" ca="1">IFERROR(INDEX(_xlfn.ANCHORARRAY($AA$11),ROW()-10,1),"")</f>
        <v/>
      </c>
      <c r="B18" s="31" t="str" cm="1">
        <f t="array" aca="1" ref="B18" ca="1">IFERROR(INDEX(_xlfn.ANCHORARRAY($AA$11),ROW()-10,2),"")</f>
        <v/>
      </c>
      <c r="C18" s="22" t="str" cm="1">
        <f t="array" aca="1" ref="C18" ca="1">IFERROR(INDEX(_xlfn.ANCHORARRAY($AA$11),ROW()-10,3),"")</f>
        <v/>
      </c>
      <c r="D18" s="22" t="str" cm="1">
        <f t="array" aca="1" ref="D18" ca="1">IFERROR(INDEX(_xlfn.ANCHORARRAY($AA$11),ROW()-10,4),"")</f>
        <v/>
      </c>
      <c r="E18" s="22" t="str" cm="1">
        <f t="array" aca="1" ref="E18" ca="1">IFERROR(INDEX(_xlfn.ANCHORARRAY($AA$11),ROW()-10,5),"")</f>
        <v/>
      </c>
      <c r="F18" s="22" t="str" cm="1">
        <f t="array" aca="1" ref="F18" ca="1">IFERROR(INDEX(_xlfn.ANCHORARRAY($AA$11),ROW()-10,6),"")</f>
        <v/>
      </c>
      <c r="G18" s="22" t="str" cm="1">
        <f t="array" aca="1" ref="G18" ca="1">IFERROR(INDEX(_xlfn.ANCHORARRAY($AA$11),ROW()-10,7),"")</f>
        <v/>
      </c>
      <c r="H18" s="22" t="str" cm="1">
        <f t="array" aca="1" ref="H18" ca="1">IFERROR(INDEX(_xlfn.ANCHORARRAY($AA$11),ROW()-10,8),"")</f>
        <v/>
      </c>
      <c r="I18" s="22" t="str" cm="1">
        <f t="array" aca="1" ref="I18" ca="1">IFERROR(INDEX(_xlfn.ANCHORARRAY($AA$11),ROW()-10,9),"")</f>
        <v/>
      </c>
      <c r="J18" s="22" t="str">
        <f t="shared" ca="1" si="2"/>
        <v/>
      </c>
      <c r="K18" s="22" t="str">
        <f t="shared" ca="1" si="3"/>
        <v/>
      </c>
      <c r="L18" s="22" t="str" cm="1">
        <f t="array" aca="1" ref="L18" ca="1">_xlfn.LET(_xlpm.link,IFERROR(INDEX(_xlfn.ANCHORARRAY($AA$11),ROW()-10,12),""),IF(_xlpm.link="","",HYPERLINK(_xlpm.link,"Bluecore/Attentive")))</f>
        <v/>
      </c>
      <c r="M18" s="9"/>
      <c r="N18" s="8"/>
      <c r="O18" s="8"/>
      <c r="P18" s="8"/>
      <c r="Q18" s="8"/>
      <c r="R18" s="8"/>
      <c r="S18" s="8"/>
      <c r="T18" s="8"/>
      <c r="U18" s="8"/>
      <c r="V18" s="8"/>
      <c r="W18" s="8"/>
      <c r="X18" s="8"/>
      <c r="Y18" s="8"/>
      <c r="Z18" s="8"/>
      <c r="AA18"/>
      <c r="AB18"/>
      <c r="AC18"/>
      <c r="AD18"/>
      <c r="AE18"/>
      <c r="AF18"/>
      <c r="AG18"/>
      <c r="AH18"/>
      <c r="AI18"/>
      <c r="AJ18"/>
      <c r="AK18"/>
      <c r="AL18"/>
    </row>
    <row r="19" spans="1:38">
      <c r="A19" s="64" t="str" cm="1">
        <f t="array" aca="1" ref="A19" ca="1">IFERROR(INDEX(_xlfn.ANCHORARRAY($AA$11),ROW()-10,1),"")</f>
        <v/>
      </c>
      <c r="B19" s="31" t="str" cm="1">
        <f t="array" aca="1" ref="B19" ca="1">IFERROR(INDEX(_xlfn.ANCHORARRAY($AA$11),ROW()-10,2),"")</f>
        <v/>
      </c>
      <c r="C19" s="22" t="str" cm="1">
        <f t="array" aca="1" ref="C19" ca="1">IFERROR(INDEX(_xlfn.ANCHORARRAY($AA$11),ROW()-10,3),"")</f>
        <v/>
      </c>
      <c r="D19" s="22" t="str" cm="1">
        <f t="array" aca="1" ref="D19" ca="1">IFERROR(INDEX(_xlfn.ANCHORARRAY($AA$11),ROW()-10,4),"")</f>
        <v/>
      </c>
      <c r="E19" s="22" t="str" cm="1">
        <f t="array" aca="1" ref="E19" ca="1">IFERROR(INDEX(_xlfn.ANCHORARRAY($AA$11),ROW()-10,5),"")</f>
        <v/>
      </c>
      <c r="F19" s="22" t="str" cm="1">
        <f t="array" aca="1" ref="F19" ca="1">IFERROR(INDEX(_xlfn.ANCHORARRAY($AA$11),ROW()-10,6),"")</f>
        <v/>
      </c>
      <c r="G19" s="22" t="str" cm="1">
        <f t="array" aca="1" ref="G19" ca="1">IFERROR(INDEX(_xlfn.ANCHORARRAY($AA$11),ROW()-10,7),"")</f>
        <v/>
      </c>
      <c r="H19" s="22" t="str" cm="1">
        <f t="array" aca="1" ref="H19" ca="1">IFERROR(INDEX(_xlfn.ANCHORARRAY($AA$11),ROW()-10,8),"")</f>
        <v/>
      </c>
      <c r="I19" s="22" t="str" cm="1">
        <f t="array" aca="1" ref="I19" ca="1">IFERROR(INDEX(_xlfn.ANCHORARRAY($AA$11),ROW()-10,9),"")</f>
        <v/>
      </c>
      <c r="J19" s="22" t="str">
        <f t="shared" ca="1" si="2"/>
        <v/>
      </c>
      <c r="K19" s="22" t="str">
        <f t="shared" ca="1" si="3"/>
        <v/>
      </c>
      <c r="L19" s="22" t="str" cm="1">
        <f t="array" aca="1" ref="L19" ca="1">_xlfn.LET(_xlpm.link,IFERROR(INDEX(_xlfn.ANCHORARRAY($AA$11),ROW()-10,12),""),IF(_xlpm.link="","",HYPERLINK(_xlpm.link,"Bluecore/Attentive")))</f>
        <v/>
      </c>
      <c r="M19" s="9"/>
      <c r="N19" s="8"/>
      <c r="O19" s="8"/>
      <c r="P19" s="8"/>
      <c r="Q19" s="8"/>
      <c r="R19" s="8"/>
      <c r="S19" s="8"/>
      <c r="T19" s="8"/>
      <c r="U19" s="8"/>
      <c r="V19" s="8"/>
      <c r="W19" s="8"/>
      <c r="X19" s="8"/>
      <c r="Y19" s="8"/>
      <c r="Z19" s="8"/>
      <c r="AA19"/>
      <c r="AB19"/>
      <c r="AC19"/>
      <c r="AD19"/>
      <c r="AE19"/>
      <c r="AF19"/>
      <c r="AG19"/>
      <c r="AH19"/>
      <c r="AI19"/>
      <c r="AJ19"/>
      <c r="AK19"/>
      <c r="AL19"/>
    </row>
    <row r="20" spans="1:38">
      <c r="A20" s="64" t="str" cm="1">
        <f t="array" aca="1" ref="A20" ca="1">IFERROR(INDEX(_xlfn.ANCHORARRAY($AA$11),ROW()-10,1),"")</f>
        <v/>
      </c>
      <c r="B20" s="31" t="str" cm="1">
        <f t="array" aca="1" ref="B20" ca="1">IFERROR(INDEX(_xlfn.ANCHORARRAY($AA$11),ROW()-10,2),"")</f>
        <v/>
      </c>
      <c r="C20" s="22" t="str" cm="1">
        <f t="array" aca="1" ref="C20" ca="1">IFERROR(INDEX(_xlfn.ANCHORARRAY($AA$11),ROW()-10,3),"")</f>
        <v/>
      </c>
      <c r="D20" s="22" t="str" cm="1">
        <f t="array" aca="1" ref="D20" ca="1">IFERROR(INDEX(_xlfn.ANCHORARRAY($AA$11),ROW()-10,4),"")</f>
        <v/>
      </c>
      <c r="E20" s="22" t="str" cm="1">
        <f t="array" aca="1" ref="E20" ca="1">IFERROR(INDEX(_xlfn.ANCHORARRAY($AA$11),ROW()-10,5),"")</f>
        <v/>
      </c>
      <c r="F20" s="22" t="str" cm="1">
        <f t="array" aca="1" ref="F20" ca="1">IFERROR(INDEX(_xlfn.ANCHORARRAY($AA$11),ROW()-10,6),"")</f>
        <v/>
      </c>
      <c r="G20" s="22" t="str" cm="1">
        <f t="array" aca="1" ref="G20" ca="1">IFERROR(INDEX(_xlfn.ANCHORARRAY($AA$11),ROW()-10,7),"")</f>
        <v/>
      </c>
      <c r="H20" s="22" t="str" cm="1">
        <f t="array" aca="1" ref="H20" ca="1">IFERROR(INDEX(_xlfn.ANCHORARRAY($AA$11),ROW()-10,8),"")</f>
        <v/>
      </c>
      <c r="I20" s="22" t="str" cm="1">
        <f t="array" aca="1" ref="I20" ca="1">IFERROR(INDEX(_xlfn.ANCHORARRAY($AA$11),ROW()-10,9),"")</f>
        <v/>
      </c>
      <c r="J20" s="22" t="str">
        <f t="shared" ca="1" si="2"/>
        <v/>
      </c>
      <c r="K20" s="22" t="str">
        <f t="shared" ca="1" si="3"/>
        <v/>
      </c>
      <c r="L20" s="22" t="str" cm="1">
        <f t="array" aca="1" ref="L20" ca="1">_xlfn.LET(_xlpm.link,IFERROR(INDEX(_xlfn.ANCHORARRAY($AA$11),ROW()-10,12),""),IF(_xlpm.link="","",HYPERLINK(_xlpm.link,"Bluecore/Attentive")))</f>
        <v/>
      </c>
      <c r="M20" s="9"/>
      <c r="N20" s="8"/>
      <c r="O20" s="8"/>
      <c r="P20" s="8"/>
      <c r="Q20" s="8"/>
      <c r="R20" s="8"/>
      <c r="S20" s="8"/>
      <c r="T20" s="8"/>
      <c r="U20" s="8"/>
      <c r="V20" s="8"/>
      <c r="W20" s="8"/>
      <c r="X20" s="8"/>
      <c r="Y20" s="8"/>
      <c r="Z20" s="8"/>
      <c r="AA20"/>
      <c r="AB20"/>
      <c r="AC20"/>
      <c r="AD20"/>
      <c r="AE20"/>
      <c r="AF20"/>
      <c r="AG20"/>
      <c r="AH20"/>
      <c r="AI20"/>
      <c r="AJ20"/>
      <c r="AK20"/>
      <c r="AL20"/>
    </row>
    <row r="21" spans="1:38">
      <c r="A21" s="64" t="str" cm="1">
        <f t="array" aca="1" ref="A21" ca="1">IFERROR(INDEX(_xlfn.ANCHORARRAY($AA$11),ROW()-10,1),"")</f>
        <v/>
      </c>
      <c r="B21" s="31" t="str" cm="1">
        <f t="array" aca="1" ref="B21" ca="1">IFERROR(INDEX(_xlfn.ANCHORARRAY($AA$11),ROW()-10,2),"")</f>
        <v/>
      </c>
      <c r="C21" s="22" t="str" cm="1">
        <f t="array" aca="1" ref="C21" ca="1">IFERROR(INDEX(_xlfn.ANCHORARRAY($AA$11),ROW()-10,3),"")</f>
        <v/>
      </c>
      <c r="D21" s="22" t="str" cm="1">
        <f t="array" aca="1" ref="D21" ca="1">IFERROR(INDEX(_xlfn.ANCHORARRAY($AA$11),ROW()-10,4),"")</f>
        <v/>
      </c>
      <c r="E21" s="22" t="str" cm="1">
        <f t="array" aca="1" ref="E21" ca="1">IFERROR(INDEX(_xlfn.ANCHORARRAY($AA$11),ROW()-10,5),"")</f>
        <v/>
      </c>
      <c r="F21" s="22" t="str" cm="1">
        <f t="array" aca="1" ref="F21" ca="1">IFERROR(INDEX(_xlfn.ANCHORARRAY($AA$11),ROW()-10,6),"")</f>
        <v/>
      </c>
      <c r="G21" s="22" t="str" cm="1">
        <f t="array" aca="1" ref="G21" ca="1">IFERROR(INDEX(_xlfn.ANCHORARRAY($AA$11),ROW()-10,7),"")</f>
        <v/>
      </c>
      <c r="H21" s="22" t="str" cm="1">
        <f t="array" aca="1" ref="H21" ca="1">IFERROR(INDEX(_xlfn.ANCHORARRAY($AA$11),ROW()-10,8),"")</f>
        <v/>
      </c>
      <c r="I21" s="22" t="str" cm="1">
        <f t="array" aca="1" ref="I21" ca="1">IFERROR(INDEX(_xlfn.ANCHORARRAY($AA$11),ROW()-10,9),"")</f>
        <v/>
      </c>
      <c r="J21" s="22" t="str">
        <f t="shared" ca="1" si="2"/>
        <v/>
      </c>
      <c r="K21" s="22" t="str">
        <f t="shared" ca="1" si="3"/>
        <v/>
      </c>
      <c r="L21" s="22" t="str" cm="1">
        <f t="array" aca="1" ref="L21" ca="1">_xlfn.LET(_xlpm.link,IFERROR(INDEX(_xlfn.ANCHORARRAY($AA$11),ROW()-10,12),""),IF(_xlpm.link="","",HYPERLINK(_xlpm.link,"Bluecore/Attentive")))</f>
        <v/>
      </c>
      <c r="M21" s="9"/>
      <c r="N21" s="9"/>
      <c r="O21" s="9"/>
      <c r="P21" s="9"/>
      <c r="Q21" s="9"/>
      <c r="R21" s="9"/>
      <c r="S21" s="8"/>
      <c r="T21" s="8"/>
      <c r="U21" s="8"/>
      <c r="V21" s="8"/>
      <c r="W21" s="8"/>
      <c r="X21" s="8"/>
      <c r="Y21" s="8"/>
      <c r="Z21" s="8"/>
      <c r="AA21"/>
      <c r="AB21"/>
      <c r="AC21"/>
      <c r="AD21"/>
      <c r="AE21"/>
      <c r="AF21"/>
      <c r="AG21"/>
      <c r="AH21"/>
      <c r="AI21"/>
      <c r="AJ21"/>
      <c r="AK21"/>
      <c r="AL21"/>
    </row>
    <row r="22" spans="1:38">
      <c r="A22" s="64" t="str" cm="1">
        <f t="array" aca="1" ref="A22" ca="1">IFERROR(INDEX(_xlfn.ANCHORARRAY($AA$11),ROW()-10,1),"")</f>
        <v/>
      </c>
      <c r="B22" s="31" t="str" cm="1">
        <f t="array" aca="1" ref="B22" ca="1">IFERROR(INDEX(_xlfn.ANCHORARRAY($AA$11),ROW()-10,2),"")</f>
        <v/>
      </c>
      <c r="C22" s="22" t="str" cm="1">
        <f t="array" aca="1" ref="C22" ca="1">IFERROR(INDEX(_xlfn.ANCHORARRAY($AA$11),ROW()-10,3),"")</f>
        <v/>
      </c>
      <c r="D22" s="22" t="str" cm="1">
        <f t="array" aca="1" ref="D22" ca="1">IFERROR(INDEX(_xlfn.ANCHORARRAY($AA$11),ROW()-10,4),"")</f>
        <v/>
      </c>
      <c r="E22" s="22" t="str" cm="1">
        <f t="array" aca="1" ref="E22" ca="1">IFERROR(INDEX(_xlfn.ANCHORARRAY($AA$11),ROW()-10,5),"")</f>
        <v/>
      </c>
      <c r="F22" s="22" t="str" cm="1">
        <f t="array" aca="1" ref="F22" ca="1">IFERROR(INDEX(_xlfn.ANCHORARRAY($AA$11),ROW()-10,6),"")</f>
        <v/>
      </c>
      <c r="G22" s="22" t="str" cm="1">
        <f t="array" aca="1" ref="G22" ca="1">IFERROR(INDEX(_xlfn.ANCHORARRAY($AA$11),ROW()-10,7),"")</f>
        <v/>
      </c>
      <c r="H22" s="22" t="str" cm="1">
        <f t="array" aca="1" ref="H22" ca="1">IFERROR(INDEX(_xlfn.ANCHORARRAY($AA$11),ROW()-10,8),"")</f>
        <v/>
      </c>
      <c r="I22" s="22" t="str" cm="1">
        <f t="array" aca="1" ref="I22" ca="1">IFERROR(INDEX(_xlfn.ANCHORARRAY($AA$11),ROW()-10,9),"")</f>
        <v/>
      </c>
      <c r="J22" s="22" t="str">
        <f t="shared" ca="1" si="2"/>
        <v/>
      </c>
      <c r="K22" s="22" t="str">
        <f t="shared" ca="1" si="3"/>
        <v/>
      </c>
      <c r="L22" s="22" t="str" cm="1">
        <f t="array" aca="1" ref="L22" ca="1">_xlfn.LET(_xlpm.link,IFERROR(INDEX(_xlfn.ANCHORARRAY($AA$11),ROW()-10,12),""),IF(_xlpm.link="","",HYPERLINK(_xlpm.link,"Bluecore/Attentive")))</f>
        <v/>
      </c>
      <c r="M22" s="9"/>
      <c r="N22" s="9"/>
      <c r="O22" s="9"/>
      <c r="P22" s="9"/>
      <c r="Q22" s="9"/>
      <c r="R22" s="9"/>
      <c r="S22" s="8"/>
      <c r="T22" s="8"/>
      <c r="U22" s="8"/>
      <c r="V22" s="8"/>
      <c r="W22" s="8"/>
      <c r="X22" s="8"/>
      <c r="Y22" s="8"/>
      <c r="Z22" s="8"/>
      <c r="AA22"/>
      <c r="AB22"/>
      <c r="AC22"/>
      <c r="AD22"/>
      <c r="AE22"/>
      <c r="AF22"/>
      <c r="AG22"/>
      <c r="AH22"/>
      <c r="AI22"/>
      <c r="AJ22"/>
      <c r="AK22"/>
      <c r="AL22"/>
    </row>
    <row r="23" spans="1:38">
      <c r="A23" s="64" t="str" cm="1">
        <f t="array" aca="1" ref="A23" ca="1">IFERROR(INDEX(_xlfn.ANCHORARRAY($AA$11),ROW()-10,1),"")</f>
        <v/>
      </c>
      <c r="B23" s="31" t="str" cm="1">
        <f t="array" aca="1" ref="B23" ca="1">IFERROR(INDEX(_xlfn.ANCHORARRAY($AA$11),ROW()-10,2),"")</f>
        <v/>
      </c>
      <c r="C23" s="22" t="str" cm="1">
        <f t="array" aca="1" ref="C23" ca="1">IFERROR(INDEX(_xlfn.ANCHORARRAY($AA$11),ROW()-10,3),"")</f>
        <v/>
      </c>
      <c r="D23" s="22" t="str" cm="1">
        <f t="array" aca="1" ref="D23" ca="1">IFERROR(INDEX(_xlfn.ANCHORARRAY($AA$11),ROW()-10,4),"")</f>
        <v/>
      </c>
      <c r="E23" s="22" t="str" cm="1">
        <f t="array" aca="1" ref="E23" ca="1">IFERROR(INDEX(_xlfn.ANCHORARRAY($AA$11),ROW()-10,5),"")</f>
        <v/>
      </c>
      <c r="F23" s="22" t="str" cm="1">
        <f t="array" aca="1" ref="F23" ca="1">IFERROR(INDEX(_xlfn.ANCHORARRAY($AA$11),ROW()-10,6),"")</f>
        <v/>
      </c>
      <c r="G23" s="22" t="str" cm="1">
        <f t="array" aca="1" ref="G23" ca="1">IFERROR(INDEX(_xlfn.ANCHORARRAY($AA$11),ROW()-10,7),"")</f>
        <v/>
      </c>
      <c r="H23" s="22" t="str" cm="1">
        <f t="array" aca="1" ref="H23" ca="1">IFERROR(INDEX(_xlfn.ANCHORARRAY($AA$11),ROW()-10,8),"")</f>
        <v/>
      </c>
      <c r="I23" s="22" t="str" cm="1">
        <f t="array" aca="1" ref="I23" ca="1">IFERROR(INDEX(_xlfn.ANCHORARRAY($AA$11),ROW()-10,9),"")</f>
        <v/>
      </c>
      <c r="J23" s="22" t="str">
        <f t="shared" ca="1" si="2"/>
        <v/>
      </c>
      <c r="K23" s="22" t="str">
        <f t="shared" ca="1" si="3"/>
        <v/>
      </c>
      <c r="L23" s="22" t="str" cm="1">
        <f t="array" aca="1" ref="L23" ca="1">_xlfn.LET(_xlpm.link,IFERROR(INDEX(_xlfn.ANCHORARRAY($AA$11),ROW()-10,12),""),IF(_xlpm.link="","",HYPERLINK(_xlpm.link,"Bluecore/Attentive")))</f>
        <v/>
      </c>
      <c r="M23" s="9"/>
      <c r="N23" s="9"/>
      <c r="O23" s="9"/>
      <c r="P23" s="9"/>
      <c r="Q23" s="9"/>
      <c r="R23" s="9"/>
      <c r="S23" s="8"/>
      <c r="T23" s="8"/>
      <c r="U23" s="8"/>
      <c r="V23" s="8"/>
      <c r="W23" s="8"/>
      <c r="X23" s="8"/>
      <c r="Y23" s="8"/>
      <c r="Z23" s="8"/>
      <c r="AA23"/>
      <c r="AB23"/>
      <c r="AC23"/>
      <c r="AD23"/>
      <c r="AE23"/>
      <c r="AF23"/>
      <c r="AG23"/>
      <c r="AH23"/>
      <c r="AI23"/>
      <c r="AJ23"/>
      <c r="AK23"/>
      <c r="AL23"/>
    </row>
    <row r="24" spans="1:38">
      <c r="A24" s="64" t="str" cm="1">
        <f t="array" aca="1" ref="A24" ca="1">IFERROR(INDEX(_xlfn.ANCHORARRAY($AA$11),ROW()-10,1),"")</f>
        <v/>
      </c>
      <c r="B24" s="31" t="str" cm="1">
        <f t="array" aca="1" ref="B24" ca="1">IFERROR(INDEX(_xlfn.ANCHORARRAY($AA$11),ROW()-10,2),"")</f>
        <v/>
      </c>
      <c r="C24" s="22" t="str" cm="1">
        <f t="array" aca="1" ref="C24" ca="1">IFERROR(INDEX(_xlfn.ANCHORARRAY($AA$11),ROW()-10,3),"")</f>
        <v/>
      </c>
      <c r="D24" s="22" t="str" cm="1">
        <f t="array" aca="1" ref="D24" ca="1">IFERROR(INDEX(_xlfn.ANCHORARRAY($AA$11),ROW()-10,4),"")</f>
        <v/>
      </c>
      <c r="E24" s="22" t="str" cm="1">
        <f t="array" aca="1" ref="E24" ca="1">IFERROR(INDEX(_xlfn.ANCHORARRAY($AA$11),ROW()-10,5),"")</f>
        <v/>
      </c>
      <c r="F24" s="22" t="str" cm="1">
        <f t="array" aca="1" ref="F24" ca="1">IFERROR(INDEX(_xlfn.ANCHORARRAY($AA$11),ROW()-10,6),"")</f>
        <v/>
      </c>
      <c r="G24" s="22" t="str" cm="1">
        <f t="array" aca="1" ref="G24" ca="1">IFERROR(INDEX(_xlfn.ANCHORARRAY($AA$11),ROW()-10,7),"")</f>
        <v/>
      </c>
      <c r="H24" s="22" t="str" cm="1">
        <f t="array" aca="1" ref="H24" ca="1">IFERROR(INDEX(_xlfn.ANCHORARRAY($AA$11),ROW()-10,8),"")</f>
        <v/>
      </c>
      <c r="I24" s="22" t="str" cm="1">
        <f t="array" aca="1" ref="I24" ca="1">IFERROR(INDEX(_xlfn.ANCHORARRAY($AA$11),ROW()-10,9),"")</f>
        <v/>
      </c>
      <c r="J24" s="22" t="str">
        <f t="shared" ca="1" si="2"/>
        <v/>
      </c>
      <c r="K24" s="22" t="str">
        <f t="shared" ca="1" si="3"/>
        <v/>
      </c>
      <c r="L24" s="22" t="str" cm="1">
        <f t="array" aca="1" ref="L24" ca="1">_xlfn.LET(_xlpm.link,IFERROR(INDEX(_xlfn.ANCHORARRAY($AA$11),ROW()-10,12),""),IF(_xlpm.link="","",HYPERLINK(_xlpm.link,"Bluecore/Attentive")))</f>
        <v/>
      </c>
      <c r="M24" s="9"/>
      <c r="N24" s="75" t="s">
        <v>109</v>
      </c>
      <c r="O24" s="75"/>
      <c r="P24" s="75"/>
      <c r="Q24" s="75"/>
      <c r="R24" s="75"/>
      <c r="S24" s="8"/>
      <c r="T24" s="8"/>
      <c r="U24" s="8"/>
      <c r="V24" s="8"/>
      <c r="W24" s="8"/>
      <c r="X24" s="8"/>
      <c r="Y24" s="8"/>
      <c r="Z24" s="8"/>
      <c r="AA24"/>
      <c r="AB24"/>
      <c r="AC24"/>
      <c r="AD24"/>
      <c r="AE24"/>
      <c r="AF24"/>
      <c r="AG24"/>
      <c r="AH24"/>
      <c r="AI24"/>
      <c r="AJ24"/>
      <c r="AK24"/>
      <c r="AL24"/>
    </row>
    <row r="25" spans="1:38">
      <c r="A25" s="64" t="str" cm="1">
        <f t="array" aca="1" ref="A25" ca="1">IFERROR(INDEX(_xlfn.ANCHORARRAY($AA$11),ROW()-10,1),"")</f>
        <v/>
      </c>
      <c r="B25" s="31" t="str" cm="1">
        <f t="array" aca="1" ref="B25" ca="1">IFERROR(INDEX(_xlfn.ANCHORARRAY($AA$11),ROW()-10,2),"")</f>
        <v/>
      </c>
      <c r="C25" s="22" t="str" cm="1">
        <f t="array" aca="1" ref="C25" ca="1">IFERROR(INDEX(_xlfn.ANCHORARRAY($AA$11),ROW()-10,3),"")</f>
        <v/>
      </c>
      <c r="D25" s="22" t="str" cm="1">
        <f t="array" aca="1" ref="D25" ca="1">IFERROR(INDEX(_xlfn.ANCHORARRAY($AA$11),ROW()-10,4),"")</f>
        <v/>
      </c>
      <c r="E25" s="22" t="str" cm="1">
        <f t="array" aca="1" ref="E25" ca="1">IFERROR(INDEX(_xlfn.ANCHORARRAY($AA$11),ROW()-10,5),"")</f>
        <v/>
      </c>
      <c r="F25" s="22" t="str" cm="1">
        <f t="array" aca="1" ref="F25" ca="1">IFERROR(INDEX(_xlfn.ANCHORARRAY($AA$11),ROW()-10,6),"")</f>
        <v/>
      </c>
      <c r="G25" s="22" t="str" cm="1">
        <f t="array" aca="1" ref="G25" ca="1">IFERROR(INDEX(_xlfn.ANCHORARRAY($AA$11),ROW()-10,7),"")</f>
        <v/>
      </c>
      <c r="H25" s="22" t="str" cm="1">
        <f t="array" aca="1" ref="H25" ca="1">IFERROR(INDEX(_xlfn.ANCHORARRAY($AA$11),ROW()-10,8),"")</f>
        <v/>
      </c>
      <c r="I25" s="22" t="str" cm="1">
        <f t="array" aca="1" ref="I25" ca="1">IFERROR(INDEX(_xlfn.ANCHORARRAY($AA$11),ROW()-10,9),"")</f>
        <v/>
      </c>
      <c r="J25" s="22" t="str">
        <f t="shared" ca="1" si="2"/>
        <v/>
      </c>
      <c r="K25" s="22" t="str">
        <f t="shared" ca="1" si="3"/>
        <v/>
      </c>
      <c r="L25" s="22" t="str" cm="1">
        <f t="array" aca="1" ref="L25" ca="1">_xlfn.LET(_xlpm.link,IFERROR(INDEX(_xlfn.ANCHORARRAY($AA$11),ROW()-10,12),""),IF(_xlpm.link="","",HYPERLINK(_xlpm.link,"Bluecore/Attentive")))</f>
        <v/>
      </c>
      <c r="M25" s="9"/>
      <c r="N25" s="8" t="s">
        <v>64</v>
      </c>
      <c r="O25" s="8" t="s">
        <v>65</v>
      </c>
      <c r="P25" s="8" t="s">
        <v>66</v>
      </c>
      <c r="Q25" s="8" t="s">
        <v>110</v>
      </c>
      <c r="R25" s="8" t="s">
        <v>68</v>
      </c>
      <c r="S25" s="8"/>
      <c r="T25" s="8"/>
      <c r="U25" s="8"/>
      <c r="V25" s="8"/>
      <c r="W25" s="8"/>
      <c r="X25" s="8"/>
      <c r="Y25" s="8"/>
      <c r="Z25" s="8"/>
      <c r="AA25"/>
      <c r="AB25"/>
      <c r="AC25"/>
      <c r="AD25"/>
      <c r="AE25"/>
      <c r="AF25"/>
      <c r="AG25"/>
      <c r="AH25"/>
      <c r="AI25"/>
      <c r="AJ25"/>
      <c r="AK25"/>
      <c r="AL25"/>
    </row>
    <row r="26" spans="1:38">
      <c r="A26" s="64" t="str" cm="1">
        <f t="array" aca="1" ref="A26" ca="1">IFERROR(INDEX(_xlfn.ANCHORARRAY($AA$11),ROW()-10,1),"")</f>
        <v/>
      </c>
      <c r="B26" s="31" t="str" cm="1">
        <f t="array" aca="1" ref="B26" ca="1">IFERROR(INDEX(_xlfn.ANCHORARRAY($AA$11),ROW()-10,2),"")</f>
        <v/>
      </c>
      <c r="C26" s="22" t="str" cm="1">
        <f t="array" aca="1" ref="C26" ca="1">IFERROR(INDEX(_xlfn.ANCHORARRAY($AA$11),ROW()-10,3),"")</f>
        <v/>
      </c>
      <c r="D26" s="22" t="str" cm="1">
        <f t="array" aca="1" ref="D26" ca="1">IFERROR(INDEX(_xlfn.ANCHORARRAY($AA$11),ROW()-10,4),"")</f>
        <v/>
      </c>
      <c r="E26" s="22" t="str" cm="1">
        <f t="array" aca="1" ref="E26" ca="1">IFERROR(INDEX(_xlfn.ANCHORARRAY($AA$11),ROW()-10,5),"")</f>
        <v/>
      </c>
      <c r="F26" s="22" t="str" cm="1">
        <f t="array" aca="1" ref="F26" ca="1">IFERROR(INDEX(_xlfn.ANCHORARRAY($AA$11),ROW()-10,6),"")</f>
        <v/>
      </c>
      <c r="G26" s="22" t="str" cm="1">
        <f t="array" aca="1" ref="G26" ca="1">IFERROR(INDEX(_xlfn.ANCHORARRAY($AA$11),ROW()-10,7),"")</f>
        <v/>
      </c>
      <c r="H26" s="22" t="str" cm="1">
        <f t="array" aca="1" ref="H26" ca="1">IFERROR(INDEX(_xlfn.ANCHORARRAY($AA$11),ROW()-10,8),"")</f>
        <v/>
      </c>
      <c r="I26" s="22" t="str" cm="1">
        <f t="array" aca="1" ref="I26" ca="1">IFERROR(INDEX(_xlfn.ANCHORARRAY($AA$11),ROW()-10,9),"")</f>
        <v/>
      </c>
      <c r="J26" s="22" t="str">
        <f t="shared" ca="1" si="2"/>
        <v/>
      </c>
      <c r="K26" s="22" t="str">
        <f t="shared" ca="1" si="3"/>
        <v/>
      </c>
      <c r="L26" s="22" t="str" cm="1">
        <f t="array" aca="1" ref="L26" ca="1">_xlfn.LET(_xlpm.link,IFERROR(INDEX(_xlfn.ANCHORARRAY($AA$11),ROW()-10,12),""),IF(_xlpm.link="","",HYPERLINK(_xlpm.link,"Bluecore/Attentive")))</f>
        <v/>
      </c>
      <c r="M26" s="9"/>
      <c r="N26" s="8" t="s">
        <v>75</v>
      </c>
      <c r="O26" s="10">
        <f ca="1">TODAY()-WEEKDAY(TODAY(),1)-6</f>
        <v>46173</v>
      </c>
      <c r="P26" s="10">
        <f ca="1">O26+6</f>
        <v>46179</v>
      </c>
      <c r="Q26" s="11">
        <f ca="1">SUMIFS(SMSCampaignsTable[Delivered],SMSCampaignsTable[Send Date],"&gt;="&amp;O26,SMSCampaignsTable[Send Date],"&lt;"&amp;P26+1)</f>
        <v>221797</v>
      </c>
      <c r="R26" s="11"/>
      <c r="S26" s="8"/>
      <c r="T26" s="8"/>
      <c r="U26" s="8"/>
      <c r="V26" s="8"/>
      <c r="W26" s="8"/>
      <c r="X26" s="8"/>
      <c r="Y26" s="8"/>
      <c r="Z26" s="8"/>
      <c r="AA26"/>
      <c r="AB26"/>
      <c r="AC26"/>
      <c r="AD26"/>
      <c r="AE26"/>
      <c r="AF26"/>
      <c r="AG26"/>
      <c r="AH26"/>
      <c r="AI26"/>
      <c r="AJ26"/>
      <c r="AK26"/>
      <c r="AL26"/>
    </row>
    <row r="27" spans="1:38" ht="30">
      <c r="A27" s="64" t="str" cm="1">
        <f t="array" aca="1" ref="A27" ca="1">IFERROR(INDEX(_xlfn.ANCHORARRAY($AA$11),ROW()-10,1),"")</f>
        <v/>
      </c>
      <c r="B27" s="31" t="str" cm="1">
        <f t="array" aca="1" ref="B27" ca="1">IFERROR(INDEX(_xlfn.ANCHORARRAY($AA$11),ROW()-10,2),"")</f>
        <v/>
      </c>
      <c r="C27" s="22" t="str" cm="1">
        <f t="array" aca="1" ref="C27" ca="1">IFERROR(INDEX(_xlfn.ANCHORARRAY($AA$11),ROW()-10,3),"")</f>
        <v/>
      </c>
      <c r="D27" s="22" t="str" cm="1">
        <f t="array" aca="1" ref="D27" ca="1">IFERROR(INDEX(_xlfn.ANCHORARRAY($AA$11),ROW()-10,4),"")</f>
        <v/>
      </c>
      <c r="E27" s="22" t="str" cm="1">
        <f t="array" aca="1" ref="E27" ca="1">IFERROR(INDEX(_xlfn.ANCHORARRAY($AA$11),ROW()-10,5),"")</f>
        <v/>
      </c>
      <c r="F27" s="22" t="str" cm="1">
        <f t="array" aca="1" ref="F27" ca="1">IFERROR(INDEX(_xlfn.ANCHORARRAY($AA$11),ROW()-10,6),"")</f>
        <v/>
      </c>
      <c r="G27" s="22" t="str" cm="1">
        <f t="array" aca="1" ref="G27" ca="1">IFERROR(INDEX(_xlfn.ANCHORARRAY($AA$11),ROW()-10,7),"")</f>
        <v/>
      </c>
      <c r="H27" s="22" t="str" cm="1">
        <f t="array" aca="1" ref="H27" ca="1">IFERROR(INDEX(_xlfn.ANCHORARRAY($AA$11),ROW()-10,8),"")</f>
        <v/>
      </c>
      <c r="I27" s="22" t="str" cm="1">
        <f t="array" aca="1" ref="I27" ca="1">IFERROR(INDEX(_xlfn.ANCHORARRAY($AA$11),ROW()-10,9),"")</f>
        <v/>
      </c>
      <c r="J27" s="22" t="str">
        <f t="shared" ca="1" si="2"/>
        <v/>
      </c>
      <c r="K27" s="22" t="str">
        <f t="shared" ca="1" si="3"/>
        <v/>
      </c>
      <c r="L27" s="22" t="str" cm="1">
        <f t="array" aca="1" ref="L27" ca="1">_xlfn.LET(_xlpm.link,IFERROR(INDEX(_xlfn.ANCHORARRAY($AA$11),ROW()-10,12),""),IF(_xlpm.link="","",HYPERLINK(_xlpm.link,"Bluecore/Attentive")))</f>
        <v/>
      </c>
      <c r="M27" s="9"/>
      <c r="N27" s="8" t="s">
        <v>76</v>
      </c>
      <c r="O27" s="10">
        <f ca="1">TODAY()-WEEKDAY(TODAY(),1)+1</f>
        <v>46180</v>
      </c>
      <c r="P27" s="10">
        <f ca="1">O27+6</f>
        <v>46186</v>
      </c>
      <c r="Q27" s="11">
        <f ca="1">SUMIFS(SMSCampaignsTable[Delivered],SMSCampaignsTable[Send Date],"&gt;="&amp;O27,SMSCampaignsTable[Send Date],"&lt;"&amp;P27+1)</f>
        <v>30342</v>
      </c>
      <c r="R27" s="11">
        <f ca="1">Q27-Q26</f>
        <v>-191455</v>
      </c>
      <c r="S27" s="8"/>
      <c r="T27" s="8"/>
      <c r="U27" s="8"/>
      <c r="V27" s="8"/>
      <c r="W27" s="8"/>
      <c r="X27" s="8"/>
      <c r="Y27" s="8"/>
      <c r="Z27" s="8"/>
      <c r="AA27"/>
      <c r="AB27"/>
      <c r="AC27"/>
      <c r="AD27"/>
      <c r="AE27"/>
      <c r="AF27"/>
      <c r="AG27"/>
      <c r="AH27"/>
      <c r="AI27"/>
      <c r="AJ27"/>
      <c r="AK27"/>
      <c r="AL27"/>
    </row>
    <row r="28" spans="1:38">
      <c r="A28" s="64" t="str" cm="1">
        <f t="array" aca="1" ref="A28" ca="1">IFERROR(INDEX(_xlfn.ANCHORARRAY($AA$11),ROW()-10,1),"")</f>
        <v/>
      </c>
      <c r="B28" s="31" t="str" cm="1">
        <f t="array" aca="1" ref="B28" ca="1">IFERROR(INDEX(_xlfn.ANCHORARRAY($AA$11),ROW()-10,2),"")</f>
        <v/>
      </c>
      <c r="C28" s="22" t="str" cm="1">
        <f t="array" aca="1" ref="C28" ca="1">IFERROR(INDEX(_xlfn.ANCHORARRAY($AA$11),ROW()-10,3),"")</f>
        <v/>
      </c>
      <c r="D28" s="22" t="str" cm="1">
        <f t="array" aca="1" ref="D28" ca="1">IFERROR(INDEX(_xlfn.ANCHORARRAY($AA$11),ROW()-10,4),"")</f>
        <v/>
      </c>
      <c r="E28" s="22" t="str" cm="1">
        <f t="array" aca="1" ref="E28" ca="1">IFERROR(INDEX(_xlfn.ANCHORARRAY($AA$11),ROW()-10,5),"")</f>
        <v/>
      </c>
      <c r="F28" s="22" t="str" cm="1">
        <f t="array" aca="1" ref="F28" ca="1">IFERROR(INDEX(_xlfn.ANCHORARRAY($AA$11),ROW()-10,6),"")</f>
        <v/>
      </c>
      <c r="G28" s="22" t="str" cm="1">
        <f t="array" aca="1" ref="G28" ca="1">IFERROR(INDEX(_xlfn.ANCHORARRAY($AA$11),ROW()-10,7),"")</f>
        <v/>
      </c>
      <c r="H28" s="22" t="str" cm="1">
        <f t="array" aca="1" ref="H28" ca="1">IFERROR(INDEX(_xlfn.ANCHORARRAY($AA$11),ROW()-10,8),"")</f>
        <v/>
      </c>
      <c r="I28" s="22" t="str" cm="1">
        <f t="array" aca="1" ref="I28" ca="1">IFERROR(INDEX(_xlfn.ANCHORARRAY($AA$11),ROW()-10,9),"")</f>
        <v/>
      </c>
      <c r="J28" s="22" t="str">
        <f t="shared" ca="1" si="2"/>
        <v/>
      </c>
      <c r="K28" s="22" t="str">
        <f t="shared" ca="1" si="3"/>
        <v/>
      </c>
      <c r="L28" s="22" t="str" cm="1">
        <f t="array" aca="1" ref="L28" ca="1">_xlfn.LET(_xlpm.link,IFERROR(INDEX(_xlfn.ANCHORARRAY($AA$11),ROW()-10,12),""),IF(_xlpm.link="","",HYPERLINK(_xlpm.link,"Bluecore/Attentive")))</f>
        <v/>
      </c>
      <c r="M28" s="9"/>
      <c r="N28" s="9"/>
      <c r="O28" s="9"/>
      <c r="P28" s="9"/>
      <c r="Q28" s="9"/>
      <c r="R28" s="9"/>
      <c r="S28" s="8"/>
      <c r="T28" s="8"/>
      <c r="U28" s="8"/>
      <c r="V28" s="8"/>
      <c r="W28" s="8"/>
      <c r="X28" s="8"/>
      <c r="Y28" s="8"/>
      <c r="Z28" s="8"/>
      <c r="AA28"/>
      <c r="AB28"/>
      <c r="AC28"/>
      <c r="AD28"/>
      <c r="AE28"/>
      <c r="AF28"/>
      <c r="AG28"/>
      <c r="AH28"/>
      <c r="AI28"/>
      <c r="AJ28"/>
      <c r="AK28"/>
      <c r="AL28"/>
    </row>
    <row r="29" spans="1:38">
      <c r="A29" s="64" t="str" cm="1">
        <f t="array" aca="1" ref="A29" ca="1">IFERROR(INDEX(_xlfn.ANCHORARRAY($AA$11),ROW()-10,1),"")</f>
        <v/>
      </c>
      <c r="B29" s="31" t="str" cm="1">
        <f t="array" aca="1" ref="B29" ca="1">IFERROR(INDEX(_xlfn.ANCHORARRAY($AA$11),ROW()-10,2),"")</f>
        <v/>
      </c>
      <c r="C29" s="22" t="str" cm="1">
        <f t="array" aca="1" ref="C29" ca="1">IFERROR(INDEX(_xlfn.ANCHORARRAY($AA$11),ROW()-10,3),"")</f>
        <v/>
      </c>
      <c r="D29" s="22" t="str" cm="1">
        <f t="array" aca="1" ref="D29" ca="1">IFERROR(INDEX(_xlfn.ANCHORARRAY($AA$11),ROW()-10,4),"")</f>
        <v/>
      </c>
      <c r="E29" s="22" t="str" cm="1">
        <f t="array" aca="1" ref="E29" ca="1">IFERROR(INDEX(_xlfn.ANCHORARRAY($AA$11),ROW()-10,5),"")</f>
        <v/>
      </c>
      <c r="F29" s="22" t="str" cm="1">
        <f t="array" aca="1" ref="F29" ca="1">IFERROR(INDEX(_xlfn.ANCHORARRAY($AA$11),ROW()-10,6),"")</f>
        <v/>
      </c>
      <c r="G29" s="22" t="str" cm="1">
        <f t="array" aca="1" ref="G29" ca="1">IFERROR(INDEX(_xlfn.ANCHORARRAY($AA$11),ROW()-10,7),"")</f>
        <v/>
      </c>
      <c r="H29" s="22" t="str" cm="1">
        <f t="array" aca="1" ref="H29" ca="1">IFERROR(INDEX(_xlfn.ANCHORARRAY($AA$11),ROW()-10,8),"")</f>
        <v/>
      </c>
      <c r="I29" s="22" t="str" cm="1">
        <f t="array" aca="1" ref="I29" ca="1">IFERROR(INDEX(_xlfn.ANCHORARRAY($AA$11),ROW()-10,9),"")</f>
        <v/>
      </c>
      <c r="J29" s="22" t="str">
        <f t="shared" ca="1" si="2"/>
        <v/>
      </c>
      <c r="K29" s="22" t="str">
        <f t="shared" ca="1" si="3"/>
        <v/>
      </c>
      <c r="L29" s="22" t="str" cm="1">
        <f t="array" aca="1" ref="L29" ca="1">_xlfn.LET(_xlpm.link,IFERROR(INDEX(_xlfn.ANCHORARRAY($AA$11),ROW()-10,12),""),IF(_xlpm.link="","",HYPERLINK(_xlpm.link,"Bluecore/Attentive")))</f>
        <v/>
      </c>
      <c r="M29" s="9"/>
      <c r="N29" s="9"/>
      <c r="O29" s="9"/>
      <c r="P29" s="9"/>
      <c r="Q29" s="9"/>
      <c r="R29" s="9"/>
      <c r="S29" s="8"/>
      <c r="T29" s="8"/>
      <c r="U29" s="8"/>
      <c r="V29" s="8"/>
      <c r="W29" s="8"/>
      <c r="X29" s="8"/>
      <c r="Y29" s="8"/>
      <c r="Z29" s="8"/>
      <c r="AA29"/>
      <c r="AB29"/>
      <c r="AC29"/>
      <c r="AD29"/>
      <c r="AE29"/>
      <c r="AF29"/>
      <c r="AG29"/>
      <c r="AH29"/>
      <c r="AI29"/>
      <c r="AJ29"/>
      <c r="AK29"/>
      <c r="AL29"/>
    </row>
    <row r="30" spans="1:38">
      <c r="A30" s="64" t="str" cm="1">
        <f t="array" aca="1" ref="A30" ca="1">IFERROR(INDEX(_xlfn.ANCHORARRAY($AA$11),ROW()-10,1),"")</f>
        <v/>
      </c>
      <c r="B30" s="31" t="str" cm="1">
        <f t="array" aca="1" ref="B30" ca="1">IFERROR(INDEX(_xlfn.ANCHORARRAY($AA$11),ROW()-10,2),"")</f>
        <v/>
      </c>
      <c r="C30" s="22" t="str" cm="1">
        <f t="array" aca="1" ref="C30" ca="1">IFERROR(INDEX(_xlfn.ANCHORARRAY($AA$11),ROW()-10,3),"")</f>
        <v/>
      </c>
      <c r="D30" s="22" t="str" cm="1">
        <f t="array" aca="1" ref="D30" ca="1">IFERROR(INDEX(_xlfn.ANCHORARRAY($AA$11),ROW()-10,4),"")</f>
        <v/>
      </c>
      <c r="E30" s="22" t="str" cm="1">
        <f t="array" aca="1" ref="E30" ca="1">IFERROR(INDEX(_xlfn.ANCHORARRAY($AA$11),ROW()-10,5),"")</f>
        <v/>
      </c>
      <c r="F30" s="22" t="str" cm="1">
        <f t="array" aca="1" ref="F30" ca="1">IFERROR(INDEX(_xlfn.ANCHORARRAY($AA$11),ROW()-10,6),"")</f>
        <v/>
      </c>
      <c r="G30" s="22" t="str" cm="1">
        <f t="array" aca="1" ref="G30" ca="1">IFERROR(INDEX(_xlfn.ANCHORARRAY($AA$11),ROW()-10,7),"")</f>
        <v/>
      </c>
      <c r="H30" s="22" t="str" cm="1">
        <f t="array" aca="1" ref="H30" ca="1">IFERROR(INDEX(_xlfn.ANCHORARRAY($AA$11),ROW()-10,8),"")</f>
        <v/>
      </c>
      <c r="I30" s="22" t="str" cm="1">
        <f t="array" aca="1" ref="I30" ca="1">IFERROR(INDEX(_xlfn.ANCHORARRAY($AA$11),ROW()-10,9),"")</f>
        <v/>
      </c>
      <c r="J30" s="22" t="str">
        <f t="shared" ca="1" si="2"/>
        <v/>
      </c>
      <c r="K30" s="22" t="str">
        <f t="shared" ca="1" si="3"/>
        <v/>
      </c>
      <c r="L30" s="22" t="str" cm="1">
        <f t="array" aca="1" ref="L30" ca="1">_xlfn.LET(_xlpm.link,IFERROR(INDEX(_xlfn.ANCHORARRAY($AA$11),ROW()-10,12),""),IF(_xlpm.link="","",HYPERLINK(_xlpm.link,"Bluecore/Attentive")))</f>
        <v/>
      </c>
      <c r="M30" s="9"/>
      <c r="N30" s="9"/>
      <c r="O30" s="9"/>
      <c r="P30" s="9"/>
      <c r="Q30" s="9"/>
      <c r="R30" s="9"/>
      <c r="S30" s="8"/>
      <c r="T30" s="8"/>
      <c r="U30" s="8"/>
      <c r="V30" s="8"/>
      <c r="W30" s="8"/>
      <c r="X30" s="8"/>
      <c r="Y30" s="8"/>
      <c r="Z30" s="8"/>
      <c r="AA30"/>
      <c r="AB30"/>
      <c r="AC30"/>
      <c r="AD30"/>
      <c r="AE30"/>
      <c r="AF30"/>
      <c r="AG30"/>
      <c r="AH30"/>
      <c r="AI30"/>
      <c r="AJ30"/>
      <c r="AK30"/>
      <c r="AL30"/>
    </row>
    <row r="31" spans="1:38">
      <c r="A31" s="64" t="str" cm="1">
        <f t="array" aca="1" ref="A31" ca="1">IFERROR(INDEX(_xlfn.ANCHORARRAY($AA$11),ROW()-10,1),"")</f>
        <v/>
      </c>
      <c r="B31" s="31" t="str" cm="1">
        <f t="array" aca="1" ref="B31" ca="1">IFERROR(INDEX(_xlfn.ANCHORARRAY($AA$11),ROW()-10,2),"")</f>
        <v/>
      </c>
      <c r="C31" s="22" t="str" cm="1">
        <f t="array" aca="1" ref="C31" ca="1">IFERROR(INDEX(_xlfn.ANCHORARRAY($AA$11),ROW()-10,3),"")</f>
        <v/>
      </c>
      <c r="D31" s="22" t="str" cm="1">
        <f t="array" aca="1" ref="D31" ca="1">IFERROR(INDEX(_xlfn.ANCHORARRAY($AA$11),ROW()-10,4),"")</f>
        <v/>
      </c>
      <c r="E31" s="22" t="str" cm="1">
        <f t="array" aca="1" ref="E31" ca="1">IFERROR(INDEX(_xlfn.ANCHORARRAY($AA$11),ROW()-10,5),"")</f>
        <v/>
      </c>
      <c r="F31" s="22" t="str" cm="1">
        <f t="array" aca="1" ref="F31" ca="1">IFERROR(INDEX(_xlfn.ANCHORARRAY($AA$11),ROW()-10,6),"")</f>
        <v/>
      </c>
      <c r="G31" s="22" t="str" cm="1">
        <f t="array" aca="1" ref="G31" ca="1">IFERROR(INDEX(_xlfn.ANCHORARRAY($AA$11),ROW()-10,7),"")</f>
        <v/>
      </c>
      <c r="H31" s="22" t="str" cm="1">
        <f t="array" aca="1" ref="H31" ca="1">IFERROR(INDEX(_xlfn.ANCHORARRAY($AA$11),ROW()-10,8),"")</f>
        <v/>
      </c>
      <c r="I31" s="22" t="str" cm="1">
        <f t="array" aca="1" ref="I31" ca="1">IFERROR(INDEX(_xlfn.ANCHORARRAY($AA$11),ROW()-10,9),"")</f>
        <v/>
      </c>
      <c r="J31" s="22" t="str">
        <f t="shared" ca="1" si="2"/>
        <v/>
      </c>
      <c r="K31" s="22" t="str">
        <f t="shared" ca="1" si="3"/>
        <v/>
      </c>
      <c r="L31" s="22" t="str" cm="1">
        <f t="array" aca="1" ref="L31" ca="1">_xlfn.LET(_xlpm.link,IFERROR(INDEX(_xlfn.ANCHORARRAY($AA$11),ROW()-10,12),""),IF(_xlpm.link="","",HYPERLINK(_xlpm.link,"Bluecore/Attentive")))</f>
        <v/>
      </c>
      <c r="M31" s="9"/>
      <c r="N31" s="9"/>
      <c r="O31" s="9"/>
      <c r="P31" s="9"/>
      <c r="Q31" s="9"/>
      <c r="R31" s="9"/>
      <c r="S31" s="8"/>
      <c r="T31" s="8"/>
      <c r="U31" s="8"/>
      <c r="V31" s="8"/>
      <c r="W31" s="8"/>
      <c r="X31" s="8"/>
      <c r="Y31" s="8"/>
      <c r="Z31" s="8"/>
      <c r="AA31"/>
      <c r="AB31"/>
      <c r="AC31"/>
      <c r="AD31"/>
      <c r="AE31"/>
      <c r="AF31"/>
      <c r="AG31"/>
      <c r="AH31"/>
      <c r="AI31"/>
      <c r="AJ31"/>
      <c r="AK31"/>
      <c r="AL31"/>
    </row>
    <row r="32" spans="1:38">
      <c r="A32" s="64" t="str" cm="1">
        <f t="array" aca="1" ref="A32" ca="1">IFERROR(INDEX(_xlfn.ANCHORARRAY($AA$11),ROW()-10,1),"")</f>
        <v/>
      </c>
      <c r="B32" s="31" t="str" cm="1">
        <f t="array" aca="1" ref="B32" ca="1">IFERROR(INDEX(_xlfn.ANCHORARRAY($AA$11),ROW()-10,2),"")</f>
        <v/>
      </c>
      <c r="C32" s="22" t="str" cm="1">
        <f t="array" aca="1" ref="C32" ca="1">IFERROR(INDEX(_xlfn.ANCHORARRAY($AA$11),ROW()-10,3),"")</f>
        <v/>
      </c>
      <c r="D32" s="22" t="str" cm="1">
        <f t="array" aca="1" ref="D32" ca="1">IFERROR(INDEX(_xlfn.ANCHORARRAY($AA$11),ROW()-10,4),"")</f>
        <v/>
      </c>
      <c r="E32" s="22" t="str" cm="1">
        <f t="array" aca="1" ref="E32" ca="1">IFERROR(INDEX(_xlfn.ANCHORARRAY($AA$11),ROW()-10,5),"")</f>
        <v/>
      </c>
      <c r="F32" s="22" t="str" cm="1">
        <f t="array" aca="1" ref="F32" ca="1">IFERROR(INDEX(_xlfn.ANCHORARRAY($AA$11),ROW()-10,6),"")</f>
        <v/>
      </c>
      <c r="G32" s="22" t="str" cm="1">
        <f t="array" aca="1" ref="G32" ca="1">IFERROR(INDEX(_xlfn.ANCHORARRAY($AA$11),ROW()-10,7),"")</f>
        <v/>
      </c>
      <c r="H32" s="22" t="str" cm="1">
        <f t="array" aca="1" ref="H32" ca="1">IFERROR(INDEX(_xlfn.ANCHORARRAY($AA$11),ROW()-10,8),"")</f>
        <v/>
      </c>
      <c r="I32" s="22" t="str" cm="1">
        <f t="array" aca="1" ref="I32" ca="1">IFERROR(INDEX(_xlfn.ANCHORARRAY($AA$11),ROW()-10,9),"")</f>
        <v/>
      </c>
      <c r="J32" s="22" t="str">
        <f t="shared" ca="1" si="2"/>
        <v/>
      </c>
      <c r="K32" s="22" t="str">
        <f t="shared" ca="1" si="3"/>
        <v/>
      </c>
      <c r="L32" s="22" t="str" cm="1">
        <f t="array" aca="1" ref="L32" ca="1">_xlfn.LET(_xlpm.link,IFERROR(INDEX(_xlfn.ANCHORARRAY($AA$11),ROW()-10,12),""),IF(_xlpm.link="","",HYPERLINK(_xlpm.link,"Bluecore/Attentive")))</f>
        <v/>
      </c>
      <c r="M32" s="9"/>
      <c r="N32" s="9"/>
      <c r="O32" s="9"/>
      <c r="P32" s="9"/>
      <c r="Q32" s="9"/>
      <c r="R32" s="9"/>
      <c r="S32" s="8"/>
      <c r="T32" s="8"/>
      <c r="U32" s="8"/>
      <c r="V32" s="8"/>
      <c r="W32" s="8"/>
      <c r="X32" s="8"/>
      <c r="Y32" s="8"/>
      <c r="Z32" s="8"/>
      <c r="AA32"/>
      <c r="AB32"/>
      <c r="AC32"/>
      <c r="AD32"/>
      <c r="AE32"/>
      <c r="AF32"/>
      <c r="AG32"/>
      <c r="AH32"/>
      <c r="AI32"/>
      <c r="AJ32"/>
      <c r="AK32"/>
      <c r="AL32"/>
    </row>
    <row r="33" spans="1:38">
      <c r="A33" s="64" t="str" cm="1">
        <f t="array" aca="1" ref="A33" ca="1">IFERROR(INDEX(_xlfn.ANCHORARRAY($AA$11),ROW()-10,1),"")</f>
        <v/>
      </c>
      <c r="B33" s="31" t="str" cm="1">
        <f t="array" aca="1" ref="B33" ca="1">IFERROR(INDEX(_xlfn.ANCHORARRAY($AA$11),ROW()-10,2),"")</f>
        <v/>
      </c>
      <c r="C33" s="22" t="str" cm="1">
        <f t="array" aca="1" ref="C33" ca="1">IFERROR(INDEX(_xlfn.ANCHORARRAY($AA$11),ROW()-10,3),"")</f>
        <v/>
      </c>
      <c r="D33" s="22" t="str" cm="1">
        <f t="array" aca="1" ref="D33" ca="1">IFERROR(INDEX(_xlfn.ANCHORARRAY($AA$11),ROW()-10,4),"")</f>
        <v/>
      </c>
      <c r="E33" s="22" t="str" cm="1">
        <f t="array" aca="1" ref="E33" ca="1">IFERROR(INDEX(_xlfn.ANCHORARRAY($AA$11),ROW()-10,5),"")</f>
        <v/>
      </c>
      <c r="F33" s="22" t="str" cm="1">
        <f t="array" aca="1" ref="F33" ca="1">IFERROR(INDEX(_xlfn.ANCHORARRAY($AA$11),ROW()-10,6),"")</f>
        <v/>
      </c>
      <c r="G33" s="22" t="str" cm="1">
        <f t="array" aca="1" ref="G33" ca="1">IFERROR(INDEX(_xlfn.ANCHORARRAY($AA$11),ROW()-10,7),"")</f>
        <v/>
      </c>
      <c r="H33" s="22" t="str" cm="1">
        <f t="array" aca="1" ref="H33" ca="1">IFERROR(INDEX(_xlfn.ANCHORARRAY($AA$11),ROW()-10,8),"")</f>
        <v/>
      </c>
      <c r="I33" s="22" t="str" cm="1">
        <f t="array" aca="1" ref="I33" ca="1">IFERROR(INDEX(_xlfn.ANCHORARRAY($AA$11),ROW()-10,9),"")</f>
        <v/>
      </c>
      <c r="J33" s="22" t="str">
        <f t="shared" ca="1" si="2"/>
        <v/>
      </c>
      <c r="K33" s="22" t="str">
        <f t="shared" ca="1" si="3"/>
        <v/>
      </c>
      <c r="L33" s="22" t="str" cm="1">
        <f t="array" aca="1" ref="L33" ca="1">_xlfn.LET(_xlpm.link,IFERROR(INDEX(_xlfn.ANCHORARRAY($AA$11),ROW()-10,12),""),IF(_xlpm.link="","",HYPERLINK(_xlpm.link,"Bluecore/Attentive")))</f>
        <v/>
      </c>
      <c r="M33" s="9"/>
      <c r="N33" s="9"/>
      <c r="O33" s="9"/>
      <c r="P33" s="9"/>
      <c r="Q33" s="9"/>
      <c r="R33" s="9"/>
      <c r="S33" s="8"/>
      <c r="T33" s="8"/>
      <c r="U33" s="8"/>
      <c r="V33" s="8"/>
      <c r="W33" s="8"/>
      <c r="X33" s="8"/>
      <c r="Y33" s="8"/>
      <c r="Z33" s="8"/>
      <c r="AA33"/>
      <c r="AB33"/>
      <c r="AC33"/>
      <c r="AD33"/>
      <c r="AE33"/>
      <c r="AF33"/>
      <c r="AG33"/>
      <c r="AH33"/>
      <c r="AI33"/>
      <c r="AJ33"/>
      <c r="AK33"/>
      <c r="AL33"/>
    </row>
    <row r="34" spans="1:38">
      <c r="A34" s="64" t="str" cm="1">
        <f t="array" aca="1" ref="A34" ca="1">IFERROR(INDEX(_xlfn.ANCHORARRAY($AA$11),ROW()-10,1),"")</f>
        <v/>
      </c>
      <c r="B34" s="31" t="str" cm="1">
        <f t="array" aca="1" ref="B34" ca="1">IFERROR(INDEX(_xlfn.ANCHORARRAY($AA$11),ROW()-10,2),"")</f>
        <v/>
      </c>
      <c r="C34" s="22" t="str" cm="1">
        <f t="array" aca="1" ref="C34" ca="1">IFERROR(INDEX(_xlfn.ANCHORARRAY($AA$11),ROW()-10,3),"")</f>
        <v/>
      </c>
      <c r="D34" s="22" t="str" cm="1">
        <f t="array" aca="1" ref="D34" ca="1">IFERROR(INDEX(_xlfn.ANCHORARRAY($AA$11),ROW()-10,4),"")</f>
        <v/>
      </c>
      <c r="E34" s="22" t="str" cm="1">
        <f t="array" aca="1" ref="E34" ca="1">IFERROR(INDEX(_xlfn.ANCHORARRAY($AA$11),ROW()-10,5),"")</f>
        <v/>
      </c>
      <c r="F34" s="22" t="str" cm="1">
        <f t="array" aca="1" ref="F34" ca="1">IFERROR(INDEX(_xlfn.ANCHORARRAY($AA$11),ROW()-10,6),"")</f>
        <v/>
      </c>
      <c r="G34" s="22" t="str" cm="1">
        <f t="array" aca="1" ref="G34" ca="1">IFERROR(INDEX(_xlfn.ANCHORARRAY($AA$11),ROW()-10,7),"")</f>
        <v/>
      </c>
      <c r="H34" s="22" t="str" cm="1">
        <f t="array" aca="1" ref="H34" ca="1">IFERROR(INDEX(_xlfn.ANCHORARRAY($AA$11),ROW()-10,8),"")</f>
        <v/>
      </c>
      <c r="I34" s="22" t="str" cm="1">
        <f t="array" aca="1" ref="I34" ca="1">IFERROR(INDEX(_xlfn.ANCHORARRAY($AA$11),ROW()-10,9),"")</f>
        <v/>
      </c>
      <c r="J34" s="22" t="str">
        <f t="shared" ca="1" si="2"/>
        <v/>
      </c>
      <c r="K34" s="22" t="str">
        <f t="shared" ca="1" si="3"/>
        <v/>
      </c>
      <c r="L34" s="22" t="str" cm="1">
        <f t="array" aca="1" ref="L34" ca="1">_xlfn.LET(_xlpm.link,IFERROR(INDEX(_xlfn.ANCHORARRAY($AA$11),ROW()-10,12),""),IF(_xlpm.link="","",HYPERLINK(_xlpm.link,"Bluecore/Attentive")))</f>
        <v/>
      </c>
      <c r="M34" s="9"/>
      <c r="N34" s="9"/>
      <c r="O34" s="9"/>
      <c r="P34" s="9"/>
      <c r="Q34" s="9"/>
      <c r="R34" s="9"/>
      <c r="S34" s="8"/>
      <c r="T34" s="8"/>
      <c r="U34" s="8"/>
      <c r="V34" s="8"/>
      <c r="W34" s="8"/>
      <c r="X34" s="8"/>
      <c r="Y34" s="8"/>
      <c r="Z34" s="8"/>
      <c r="AA34"/>
      <c r="AB34"/>
      <c r="AC34"/>
      <c r="AD34"/>
      <c r="AE34"/>
      <c r="AF34"/>
      <c r="AG34"/>
      <c r="AH34"/>
      <c r="AI34"/>
      <c r="AJ34"/>
      <c r="AK34"/>
      <c r="AL34"/>
    </row>
    <row r="35" spans="1:38">
      <c r="A35" s="64" t="str" cm="1">
        <f t="array" aca="1" ref="A35" ca="1">IFERROR(INDEX(_xlfn.ANCHORARRAY($AA$11),ROW()-10,1),"")</f>
        <v/>
      </c>
      <c r="B35" s="31" t="str" cm="1">
        <f t="array" aca="1" ref="B35" ca="1">IFERROR(INDEX(_xlfn.ANCHORARRAY($AA$11),ROW()-10,2),"")</f>
        <v/>
      </c>
      <c r="C35" s="22" t="str" cm="1">
        <f t="array" aca="1" ref="C35" ca="1">IFERROR(INDEX(_xlfn.ANCHORARRAY($AA$11),ROW()-10,3),"")</f>
        <v/>
      </c>
      <c r="D35" s="22" t="str" cm="1">
        <f t="array" aca="1" ref="D35" ca="1">IFERROR(INDEX(_xlfn.ANCHORARRAY($AA$11),ROW()-10,4),"")</f>
        <v/>
      </c>
      <c r="E35" s="22" t="str" cm="1">
        <f t="array" aca="1" ref="E35" ca="1">IFERROR(INDEX(_xlfn.ANCHORARRAY($AA$11),ROW()-10,5),"")</f>
        <v/>
      </c>
      <c r="F35" s="22" t="str" cm="1">
        <f t="array" aca="1" ref="F35" ca="1">IFERROR(INDEX(_xlfn.ANCHORARRAY($AA$11),ROW()-10,6),"")</f>
        <v/>
      </c>
      <c r="G35" s="22" t="str" cm="1">
        <f t="array" aca="1" ref="G35" ca="1">IFERROR(INDEX(_xlfn.ANCHORARRAY($AA$11),ROW()-10,7),"")</f>
        <v/>
      </c>
      <c r="H35" s="22" t="str" cm="1">
        <f t="array" aca="1" ref="H35" ca="1">IFERROR(INDEX(_xlfn.ANCHORARRAY($AA$11),ROW()-10,8),"")</f>
        <v/>
      </c>
      <c r="I35" s="22" t="str" cm="1">
        <f t="array" aca="1" ref="I35" ca="1">IFERROR(INDEX(_xlfn.ANCHORARRAY($AA$11),ROW()-10,9),"")</f>
        <v/>
      </c>
      <c r="J35" s="22" t="str">
        <f t="shared" ca="1" si="2"/>
        <v/>
      </c>
      <c r="K35" s="22" t="str">
        <f t="shared" ca="1" si="3"/>
        <v/>
      </c>
      <c r="L35" s="22" t="str" cm="1">
        <f t="array" aca="1" ref="L35" ca="1">_xlfn.LET(_xlpm.link,IFERROR(INDEX(_xlfn.ANCHORARRAY($AA$11),ROW()-10,12),""),IF(_xlpm.link="","",HYPERLINK(_xlpm.link,"Bluecore/Attentive")))</f>
        <v/>
      </c>
      <c r="M35" s="9"/>
      <c r="N35" s="9"/>
      <c r="O35" s="9"/>
      <c r="P35" s="9"/>
      <c r="Q35" s="9"/>
      <c r="R35" s="9"/>
      <c r="S35" s="8"/>
      <c r="T35" s="8"/>
      <c r="U35" s="8"/>
      <c r="V35" s="8"/>
      <c r="W35" s="8"/>
      <c r="X35" s="8"/>
      <c r="Y35" s="8"/>
      <c r="Z35" s="8"/>
      <c r="AA35"/>
      <c r="AB35"/>
      <c r="AC35"/>
      <c r="AD35"/>
      <c r="AE35"/>
      <c r="AF35"/>
      <c r="AG35"/>
      <c r="AH35"/>
      <c r="AI35"/>
      <c r="AJ35"/>
      <c r="AK35"/>
      <c r="AL35"/>
    </row>
    <row r="36" spans="1:38">
      <c r="A36" s="64" t="str" cm="1">
        <f t="array" aca="1" ref="A36" ca="1">IFERROR(INDEX(_xlfn.ANCHORARRAY($AA$11),ROW()-10,1),"")</f>
        <v/>
      </c>
      <c r="B36" s="31" t="str" cm="1">
        <f t="array" aca="1" ref="B36" ca="1">IFERROR(INDEX(_xlfn.ANCHORARRAY($AA$11),ROW()-10,2),"")</f>
        <v/>
      </c>
      <c r="C36" s="22" t="str" cm="1">
        <f t="array" aca="1" ref="C36" ca="1">IFERROR(INDEX(_xlfn.ANCHORARRAY($AA$11),ROW()-10,3),"")</f>
        <v/>
      </c>
      <c r="D36" s="22" t="str" cm="1">
        <f t="array" aca="1" ref="D36" ca="1">IFERROR(INDEX(_xlfn.ANCHORARRAY($AA$11),ROW()-10,4),"")</f>
        <v/>
      </c>
      <c r="E36" s="22" t="str" cm="1">
        <f t="array" aca="1" ref="E36" ca="1">IFERROR(INDEX(_xlfn.ANCHORARRAY($AA$11),ROW()-10,5),"")</f>
        <v/>
      </c>
      <c r="F36" s="22" t="str" cm="1">
        <f t="array" aca="1" ref="F36" ca="1">IFERROR(INDEX(_xlfn.ANCHORARRAY($AA$11),ROW()-10,6),"")</f>
        <v/>
      </c>
      <c r="G36" s="22" t="str" cm="1">
        <f t="array" aca="1" ref="G36" ca="1">IFERROR(INDEX(_xlfn.ANCHORARRAY($AA$11),ROW()-10,7),"")</f>
        <v/>
      </c>
      <c r="H36" s="22" t="str" cm="1">
        <f t="array" aca="1" ref="H36" ca="1">IFERROR(INDEX(_xlfn.ANCHORARRAY($AA$11),ROW()-10,8),"")</f>
        <v/>
      </c>
      <c r="I36" s="22" t="str" cm="1">
        <f t="array" aca="1" ref="I36" ca="1">IFERROR(INDEX(_xlfn.ANCHORARRAY($AA$11),ROW()-10,9),"")</f>
        <v/>
      </c>
      <c r="J36" s="22" t="str">
        <f t="shared" ca="1" si="2"/>
        <v/>
      </c>
      <c r="K36" s="22" t="str">
        <f t="shared" ca="1" si="3"/>
        <v/>
      </c>
      <c r="L36" s="22" t="str" cm="1">
        <f t="array" aca="1" ref="L36" ca="1">_xlfn.LET(_xlpm.link,IFERROR(INDEX(_xlfn.ANCHORARRAY($AA$11),ROW()-10,12),""),IF(_xlpm.link="","",HYPERLINK(_xlpm.link,"Bluecore/Attentive")))</f>
        <v/>
      </c>
      <c r="M36" s="9"/>
      <c r="N36" s="9"/>
      <c r="O36" s="9"/>
      <c r="P36" s="9"/>
      <c r="Q36" s="9"/>
      <c r="R36" s="9"/>
      <c r="S36" s="8"/>
      <c r="T36" s="8"/>
      <c r="U36" s="8"/>
      <c r="V36" s="8"/>
      <c r="W36" s="8"/>
      <c r="X36" s="8"/>
      <c r="Y36" s="8"/>
      <c r="Z36" s="8"/>
      <c r="AA36"/>
      <c r="AB36"/>
      <c r="AC36"/>
      <c r="AD36"/>
      <c r="AE36"/>
      <c r="AF36"/>
      <c r="AG36"/>
      <c r="AH36"/>
      <c r="AI36"/>
      <c r="AJ36"/>
      <c r="AK36"/>
      <c r="AL36"/>
    </row>
    <row r="37" spans="1:38">
      <c r="A37" s="64" t="str" cm="1">
        <f t="array" aca="1" ref="A37" ca="1">IFERROR(INDEX(_xlfn.ANCHORARRAY($AA$11),ROW()-10,1),"")</f>
        <v/>
      </c>
      <c r="B37" s="31" t="str" cm="1">
        <f t="array" aca="1" ref="B37" ca="1">IFERROR(INDEX(_xlfn.ANCHORARRAY($AA$11),ROW()-10,2),"")</f>
        <v/>
      </c>
      <c r="C37" s="22" t="str" cm="1">
        <f t="array" aca="1" ref="C37" ca="1">IFERROR(INDEX(_xlfn.ANCHORARRAY($AA$11),ROW()-10,3),"")</f>
        <v/>
      </c>
      <c r="D37" s="22" t="str" cm="1">
        <f t="array" aca="1" ref="D37" ca="1">IFERROR(INDEX(_xlfn.ANCHORARRAY($AA$11),ROW()-10,4),"")</f>
        <v/>
      </c>
      <c r="E37" s="22" t="str" cm="1">
        <f t="array" aca="1" ref="E37" ca="1">IFERROR(INDEX(_xlfn.ANCHORARRAY($AA$11),ROW()-10,5),"")</f>
        <v/>
      </c>
      <c r="F37" s="22" t="str" cm="1">
        <f t="array" aca="1" ref="F37" ca="1">IFERROR(INDEX(_xlfn.ANCHORARRAY($AA$11),ROW()-10,6),"")</f>
        <v/>
      </c>
      <c r="G37" s="22" t="str" cm="1">
        <f t="array" aca="1" ref="G37" ca="1">IFERROR(INDEX(_xlfn.ANCHORARRAY($AA$11),ROW()-10,7),"")</f>
        <v/>
      </c>
      <c r="H37" s="22" t="str" cm="1">
        <f t="array" aca="1" ref="H37" ca="1">IFERROR(INDEX(_xlfn.ANCHORARRAY($AA$11),ROW()-10,8),"")</f>
        <v/>
      </c>
      <c r="I37" s="22" t="str" cm="1">
        <f t="array" aca="1" ref="I37" ca="1">IFERROR(INDEX(_xlfn.ANCHORARRAY($AA$11),ROW()-10,9),"")</f>
        <v/>
      </c>
      <c r="J37" s="22" t="str">
        <f t="shared" ca="1" si="2"/>
        <v/>
      </c>
      <c r="K37" s="22" t="str">
        <f t="shared" ca="1" si="3"/>
        <v/>
      </c>
      <c r="L37" s="22" t="str" cm="1">
        <f t="array" aca="1" ref="L37" ca="1">_xlfn.LET(_xlpm.link,IFERROR(INDEX(_xlfn.ANCHORARRAY($AA$11),ROW()-10,12),""),IF(_xlpm.link="","",HYPERLINK(_xlpm.link,"Bluecore/Attentive")))</f>
        <v/>
      </c>
      <c r="M37" s="9"/>
      <c r="N37" s="9"/>
      <c r="O37" s="9"/>
      <c r="P37" s="9"/>
      <c r="Q37" s="9"/>
      <c r="R37" s="9"/>
      <c r="S37" s="8"/>
      <c r="T37" s="8"/>
      <c r="U37" s="8"/>
      <c r="V37" s="8"/>
      <c r="W37" s="8"/>
      <c r="X37" s="8"/>
      <c r="Y37" s="8"/>
      <c r="Z37" s="8"/>
      <c r="AA37"/>
      <c r="AB37"/>
      <c r="AC37"/>
      <c r="AD37"/>
      <c r="AE37"/>
      <c r="AF37"/>
      <c r="AG37"/>
      <c r="AH37"/>
      <c r="AI37"/>
      <c r="AJ37"/>
      <c r="AK37"/>
      <c r="AL37"/>
    </row>
    <row r="38" spans="1:38">
      <c r="A38" s="64" t="str" cm="1">
        <f t="array" aca="1" ref="A38" ca="1">IFERROR(INDEX(_xlfn.ANCHORARRAY($AA$11),ROW()-10,1),"")</f>
        <v/>
      </c>
      <c r="B38" s="31" t="str" cm="1">
        <f t="array" aca="1" ref="B38" ca="1">IFERROR(INDEX(_xlfn.ANCHORARRAY($AA$11),ROW()-10,2),"")</f>
        <v/>
      </c>
      <c r="C38" s="22" t="str" cm="1">
        <f t="array" aca="1" ref="C38" ca="1">IFERROR(INDEX(_xlfn.ANCHORARRAY($AA$11),ROW()-10,3),"")</f>
        <v/>
      </c>
      <c r="D38" s="22" t="str" cm="1">
        <f t="array" aca="1" ref="D38" ca="1">IFERROR(INDEX(_xlfn.ANCHORARRAY($AA$11),ROW()-10,4),"")</f>
        <v/>
      </c>
      <c r="E38" s="22" t="str" cm="1">
        <f t="array" aca="1" ref="E38" ca="1">IFERROR(INDEX(_xlfn.ANCHORARRAY($AA$11),ROW()-10,5),"")</f>
        <v/>
      </c>
      <c r="F38" s="22" t="str" cm="1">
        <f t="array" aca="1" ref="F38" ca="1">IFERROR(INDEX(_xlfn.ANCHORARRAY($AA$11),ROW()-10,6),"")</f>
        <v/>
      </c>
      <c r="G38" s="22" t="str" cm="1">
        <f t="array" aca="1" ref="G38" ca="1">IFERROR(INDEX(_xlfn.ANCHORARRAY($AA$11),ROW()-10,7),"")</f>
        <v/>
      </c>
      <c r="H38" s="22" t="str" cm="1">
        <f t="array" aca="1" ref="H38" ca="1">IFERROR(INDEX(_xlfn.ANCHORARRAY($AA$11),ROW()-10,8),"")</f>
        <v/>
      </c>
      <c r="I38" s="22" t="str" cm="1">
        <f t="array" aca="1" ref="I38" ca="1">IFERROR(INDEX(_xlfn.ANCHORARRAY($AA$11),ROW()-10,9),"")</f>
        <v/>
      </c>
      <c r="J38" s="22" t="str">
        <f t="shared" ca="1" si="2"/>
        <v/>
      </c>
      <c r="K38" s="22" t="str">
        <f t="shared" ca="1" si="3"/>
        <v/>
      </c>
      <c r="L38" s="22" t="str" cm="1">
        <f t="array" aca="1" ref="L38" ca="1">_xlfn.LET(_xlpm.link,IFERROR(INDEX(_xlfn.ANCHORARRAY($AA$11),ROW()-10,12),""),IF(_xlpm.link="","",HYPERLINK(_xlpm.link,"Bluecore/Attentive")))</f>
        <v/>
      </c>
      <c r="M38" s="9"/>
      <c r="N38" s="9"/>
      <c r="O38" s="9"/>
      <c r="P38" s="9"/>
      <c r="Q38" s="9"/>
      <c r="R38" s="9"/>
      <c r="S38" s="8"/>
      <c r="T38" s="8"/>
      <c r="U38" s="8"/>
      <c r="V38" s="8"/>
      <c r="W38" s="8"/>
      <c r="X38" s="8"/>
      <c r="Y38" s="8"/>
      <c r="Z38" s="8"/>
      <c r="AA38"/>
      <c r="AB38"/>
      <c r="AC38"/>
      <c r="AD38"/>
      <c r="AE38"/>
      <c r="AF38"/>
      <c r="AG38"/>
      <c r="AH38"/>
      <c r="AI38"/>
      <c r="AJ38"/>
      <c r="AK38"/>
      <c r="AL38"/>
    </row>
    <row r="39" spans="1:38">
      <c r="A39" s="64" t="str" cm="1">
        <f t="array" aca="1" ref="A39" ca="1">IFERROR(INDEX(_xlfn.ANCHORARRAY($AA$11),ROW()-10,1),"")</f>
        <v/>
      </c>
      <c r="B39" s="31" t="str" cm="1">
        <f t="array" aca="1" ref="B39" ca="1">IFERROR(INDEX(_xlfn.ANCHORARRAY($AA$11),ROW()-10,2),"")</f>
        <v/>
      </c>
      <c r="C39" s="22" t="str" cm="1">
        <f t="array" aca="1" ref="C39" ca="1">IFERROR(INDEX(_xlfn.ANCHORARRAY($AA$11),ROW()-10,3),"")</f>
        <v/>
      </c>
      <c r="D39" s="22" t="str" cm="1">
        <f t="array" aca="1" ref="D39" ca="1">IFERROR(INDEX(_xlfn.ANCHORARRAY($AA$11),ROW()-10,4),"")</f>
        <v/>
      </c>
      <c r="E39" s="22" t="str" cm="1">
        <f t="array" aca="1" ref="E39" ca="1">IFERROR(INDEX(_xlfn.ANCHORARRAY($AA$11),ROW()-10,5),"")</f>
        <v/>
      </c>
      <c r="F39" s="22" t="str" cm="1">
        <f t="array" aca="1" ref="F39" ca="1">IFERROR(INDEX(_xlfn.ANCHORARRAY($AA$11),ROW()-10,6),"")</f>
        <v/>
      </c>
      <c r="G39" s="22" t="str" cm="1">
        <f t="array" aca="1" ref="G39" ca="1">IFERROR(INDEX(_xlfn.ANCHORARRAY($AA$11),ROW()-10,7),"")</f>
        <v/>
      </c>
      <c r="H39" s="22" t="str" cm="1">
        <f t="array" aca="1" ref="H39" ca="1">IFERROR(INDEX(_xlfn.ANCHORARRAY($AA$11),ROW()-10,8),"")</f>
        <v/>
      </c>
      <c r="I39" s="22" t="str" cm="1">
        <f t="array" aca="1" ref="I39" ca="1">IFERROR(INDEX(_xlfn.ANCHORARRAY($AA$11),ROW()-10,9),"")</f>
        <v/>
      </c>
      <c r="J39" s="22" t="str">
        <f t="shared" ca="1" si="2"/>
        <v/>
      </c>
      <c r="K39" s="22" t="str">
        <f t="shared" ca="1" si="3"/>
        <v/>
      </c>
      <c r="L39" s="22" t="str" cm="1">
        <f t="array" aca="1" ref="L39" ca="1">_xlfn.LET(_xlpm.link,IFERROR(INDEX(_xlfn.ANCHORARRAY($AA$11),ROW()-10,12),""),IF(_xlpm.link="","",HYPERLINK(_xlpm.link,"Bluecore/Attentive")))</f>
        <v/>
      </c>
      <c r="M39" s="9"/>
      <c r="N39" s="9"/>
      <c r="O39" s="9"/>
      <c r="P39" s="9"/>
      <c r="Q39" s="9"/>
      <c r="R39" s="9"/>
      <c r="S39" s="8"/>
      <c r="T39" s="8"/>
      <c r="U39" s="8"/>
      <c r="V39" s="8"/>
      <c r="W39" s="8"/>
      <c r="X39" s="8"/>
      <c r="Y39" s="8"/>
      <c r="Z39" s="8"/>
      <c r="AA39"/>
      <c r="AB39"/>
      <c r="AC39"/>
      <c r="AD39"/>
      <c r="AE39"/>
      <c r="AF39"/>
      <c r="AG39"/>
      <c r="AH39"/>
      <c r="AI39"/>
      <c r="AJ39"/>
      <c r="AK39"/>
      <c r="AL39"/>
    </row>
    <row r="40" spans="1:38">
      <c r="A40" s="64" t="str" cm="1">
        <f t="array" aca="1" ref="A40" ca="1">IFERROR(INDEX(_xlfn.ANCHORARRAY($AA$11),ROW()-10,1),"")</f>
        <v/>
      </c>
      <c r="B40" s="31" t="str" cm="1">
        <f t="array" aca="1" ref="B40" ca="1">IFERROR(INDEX(_xlfn.ANCHORARRAY($AA$11),ROW()-10,2),"")</f>
        <v/>
      </c>
      <c r="C40" s="22" t="str" cm="1">
        <f t="array" aca="1" ref="C40" ca="1">IFERROR(INDEX(_xlfn.ANCHORARRAY($AA$11),ROW()-10,3),"")</f>
        <v/>
      </c>
      <c r="D40" s="22" t="str" cm="1">
        <f t="array" aca="1" ref="D40" ca="1">IFERROR(INDEX(_xlfn.ANCHORARRAY($AA$11),ROW()-10,4),"")</f>
        <v/>
      </c>
      <c r="E40" s="22" t="str" cm="1">
        <f t="array" aca="1" ref="E40" ca="1">IFERROR(INDEX(_xlfn.ANCHORARRAY($AA$11),ROW()-10,5),"")</f>
        <v/>
      </c>
      <c r="F40" s="22" t="str" cm="1">
        <f t="array" aca="1" ref="F40" ca="1">IFERROR(INDEX(_xlfn.ANCHORARRAY($AA$11),ROW()-10,6),"")</f>
        <v/>
      </c>
      <c r="G40" s="22" t="str" cm="1">
        <f t="array" aca="1" ref="G40" ca="1">IFERROR(INDEX(_xlfn.ANCHORARRAY($AA$11),ROW()-10,7),"")</f>
        <v/>
      </c>
      <c r="H40" s="22" t="str" cm="1">
        <f t="array" aca="1" ref="H40" ca="1">IFERROR(INDEX(_xlfn.ANCHORARRAY($AA$11),ROW()-10,8),"")</f>
        <v/>
      </c>
      <c r="I40" s="22" t="str" cm="1">
        <f t="array" aca="1" ref="I40" ca="1">IFERROR(INDEX(_xlfn.ANCHORARRAY($AA$11),ROW()-10,9),"")</f>
        <v/>
      </c>
      <c r="J40" s="22" t="str">
        <f t="shared" ca="1" si="2"/>
        <v/>
      </c>
      <c r="K40" s="22" t="str">
        <f t="shared" ca="1" si="3"/>
        <v/>
      </c>
      <c r="L40" s="22" t="str" cm="1">
        <f t="array" aca="1" ref="L40" ca="1">_xlfn.LET(_xlpm.link,IFERROR(INDEX(_xlfn.ANCHORARRAY($AA$11),ROW()-10,12),""),IF(_xlpm.link="","",HYPERLINK(_xlpm.link,"Bluecore/Attentive")))</f>
        <v/>
      </c>
      <c r="M40" s="9"/>
      <c r="N40" s="9"/>
      <c r="O40" s="9"/>
      <c r="P40" s="9"/>
      <c r="Q40" s="9"/>
      <c r="R40" s="9"/>
      <c r="S40" s="8"/>
      <c r="T40" s="8"/>
      <c r="U40" s="8"/>
      <c r="V40" s="8"/>
      <c r="W40" s="8"/>
      <c r="X40" s="8"/>
      <c r="Y40" s="8"/>
      <c r="Z40" s="8"/>
      <c r="AA40"/>
      <c r="AB40"/>
      <c r="AC40"/>
      <c r="AD40"/>
      <c r="AE40"/>
      <c r="AF40"/>
      <c r="AG40"/>
      <c r="AH40"/>
      <c r="AI40"/>
      <c r="AJ40"/>
      <c r="AK40"/>
      <c r="AL40"/>
    </row>
    <row r="41" spans="1:38">
      <c r="A41" s="64" t="str" cm="1">
        <f t="array" aca="1" ref="A41" ca="1">IFERROR(INDEX(_xlfn.ANCHORARRAY($AA$11),ROW()-10,1),"")</f>
        <v/>
      </c>
      <c r="B41" s="31" t="str" cm="1">
        <f t="array" aca="1" ref="B41" ca="1">IFERROR(INDEX(_xlfn.ANCHORARRAY($AA$11),ROW()-10,2),"")</f>
        <v/>
      </c>
      <c r="C41" s="22" t="str" cm="1">
        <f t="array" aca="1" ref="C41" ca="1">IFERROR(INDEX(_xlfn.ANCHORARRAY($AA$11),ROW()-10,3),"")</f>
        <v/>
      </c>
      <c r="D41" s="22" t="str" cm="1">
        <f t="array" aca="1" ref="D41" ca="1">IFERROR(INDEX(_xlfn.ANCHORARRAY($AA$11),ROW()-10,4),"")</f>
        <v/>
      </c>
      <c r="E41" s="22" t="str" cm="1">
        <f t="array" aca="1" ref="E41" ca="1">IFERROR(INDEX(_xlfn.ANCHORARRAY($AA$11),ROW()-10,5),"")</f>
        <v/>
      </c>
      <c r="F41" s="22" t="str" cm="1">
        <f t="array" aca="1" ref="F41" ca="1">IFERROR(INDEX(_xlfn.ANCHORARRAY($AA$11),ROW()-10,6),"")</f>
        <v/>
      </c>
      <c r="G41" s="22" t="str" cm="1">
        <f t="array" aca="1" ref="G41" ca="1">IFERROR(INDEX(_xlfn.ANCHORARRAY($AA$11),ROW()-10,7),"")</f>
        <v/>
      </c>
      <c r="H41" s="22" t="str" cm="1">
        <f t="array" aca="1" ref="H41" ca="1">IFERROR(INDEX(_xlfn.ANCHORARRAY($AA$11),ROW()-10,8),"")</f>
        <v/>
      </c>
      <c r="I41" s="22" t="str" cm="1">
        <f t="array" aca="1" ref="I41" ca="1">IFERROR(INDEX(_xlfn.ANCHORARRAY($AA$11),ROW()-10,9),"")</f>
        <v/>
      </c>
      <c r="J41" s="22" t="str">
        <f t="shared" ca="1" si="2"/>
        <v/>
      </c>
      <c r="K41" s="22" t="str">
        <f t="shared" ca="1" si="3"/>
        <v/>
      </c>
      <c r="L41" s="22" t="str" cm="1">
        <f t="array" aca="1" ref="L41" ca="1">_xlfn.LET(_xlpm.link,IFERROR(INDEX(_xlfn.ANCHORARRAY($AA$11),ROW()-10,12),""),IF(_xlpm.link="","",HYPERLINK(_xlpm.link,"Bluecore/Attentive")))</f>
        <v/>
      </c>
      <c r="M41" s="9"/>
      <c r="N41" s="9"/>
      <c r="O41" s="9"/>
      <c r="P41" s="9"/>
      <c r="Q41" s="9"/>
      <c r="R41" s="9"/>
      <c r="S41" s="8"/>
      <c r="T41" s="8"/>
      <c r="U41" s="8"/>
      <c r="V41" s="8"/>
      <c r="W41" s="8"/>
      <c r="X41" s="8"/>
      <c r="Y41" s="8"/>
      <c r="Z41" s="8"/>
      <c r="AA41"/>
      <c r="AB41"/>
      <c r="AC41"/>
      <c r="AD41"/>
      <c r="AE41"/>
      <c r="AF41"/>
      <c r="AG41"/>
      <c r="AH41"/>
      <c r="AI41"/>
      <c r="AJ41"/>
      <c r="AK41"/>
      <c r="AL41"/>
    </row>
    <row r="42" spans="1:38">
      <c r="A42" s="64" t="str" cm="1">
        <f t="array" aca="1" ref="A42" ca="1">IFERROR(INDEX(_xlfn.ANCHORARRAY($AA$11),ROW()-10,1),"")</f>
        <v/>
      </c>
      <c r="B42" s="31" t="str" cm="1">
        <f t="array" aca="1" ref="B42" ca="1">IFERROR(INDEX(_xlfn.ANCHORARRAY($AA$11),ROW()-10,2),"")</f>
        <v/>
      </c>
      <c r="C42" s="22" t="str" cm="1">
        <f t="array" aca="1" ref="C42" ca="1">IFERROR(INDEX(_xlfn.ANCHORARRAY($AA$11),ROW()-10,3),"")</f>
        <v/>
      </c>
      <c r="D42" s="22" t="str" cm="1">
        <f t="array" aca="1" ref="D42" ca="1">IFERROR(INDEX(_xlfn.ANCHORARRAY($AA$11),ROW()-10,4),"")</f>
        <v/>
      </c>
      <c r="E42" s="22" t="str" cm="1">
        <f t="array" aca="1" ref="E42" ca="1">IFERROR(INDEX(_xlfn.ANCHORARRAY($AA$11),ROW()-10,5),"")</f>
        <v/>
      </c>
      <c r="F42" s="22" t="str" cm="1">
        <f t="array" aca="1" ref="F42" ca="1">IFERROR(INDEX(_xlfn.ANCHORARRAY($AA$11),ROW()-10,6),"")</f>
        <v/>
      </c>
      <c r="G42" s="22" t="str" cm="1">
        <f t="array" aca="1" ref="G42" ca="1">IFERROR(INDEX(_xlfn.ANCHORARRAY($AA$11),ROW()-10,7),"")</f>
        <v/>
      </c>
      <c r="H42" s="22" t="str" cm="1">
        <f t="array" aca="1" ref="H42" ca="1">IFERROR(INDEX(_xlfn.ANCHORARRAY($AA$11),ROW()-10,8),"")</f>
        <v/>
      </c>
      <c r="I42" s="22" t="str" cm="1">
        <f t="array" aca="1" ref="I42" ca="1">IFERROR(INDEX(_xlfn.ANCHORARRAY($AA$11),ROW()-10,9),"")</f>
        <v/>
      </c>
      <c r="J42" s="22" t="str">
        <f t="shared" ca="1" si="2"/>
        <v/>
      </c>
      <c r="K42" s="22" t="str">
        <f t="shared" ca="1" si="3"/>
        <v/>
      </c>
      <c r="L42" s="22" t="str" cm="1">
        <f t="array" aca="1" ref="L42" ca="1">_xlfn.LET(_xlpm.link,IFERROR(INDEX(_xlfn.ANCHORARRAY($AA$11),ROW()-10,12),""),IF(_xlpm.link="","",HYPERLINK(_xlpm.link,"Bluecore/Attentive")))</f>
        <v/>
      </c>
      <c r="M42" s="9"/>
      <c r="N42" s="9"/>
      <c r="O42" s="9"/>
      <c r="P42" s="9"/>
      <c r="Q42" s="9"/>
      <c r="R42" s="9"/>
      <c r="S42" s="8"/>
      <c r="T42" s="8"/>
      <c r="U42" s="8"/>
      <c r="V42" s="8"/>
      <c r="W42" s="8"/>
      <c r="X42" s="8"/>
      <c r="Y42" s="8"/>
      <c r="Z42" s="8"/>
      <c r="AA42"/>
      <c r="AB42"/>
      <c r="AC42"/>
      <c r="AD42"/>
      <c r="AE42"/>
      <c r="AF42"/>
      <c r="AG42"/>
      <c r="AH42"/>
      <c r="AI42"/>
      <c r="AJ42"/>
      <c r="AK42"/>
      <c r="AL42"/>
    </row>
    <row r="43" spans="1:38">
      <c r="A43" s="64" t="str" cm="1">
        <f t="array" aca="1" ref="A43" ca="1">IFERROR(INDEX(_xlfn.ANCHORARRAY($AA$11),ROW()-10,1),"")</f>
        <v/>
      </c>
      <c r="B43" s="31" t="str" cm="1">
        <f t="array" aca="1" ref="B43" ca="1">IFERROR(INDEX(_xlfn.ANCHORARRAY($AA$11),ROW()-10,2),"")</f>
        <v/>
      </c>
      <c r="C43" s="22" t="str" cm="1">
        <f t="array" aca="1" ref="C43" ca="1">IFERROR(INDEX(_xlfn.ANCHORARRAY($AA$11),ROW()-10,3),"")</f>
        <v/>
      </c>
      <c r="D43" s="22" t="str" cm="1">
        <f t="array" aca="1" ref="D43" ca="1">IFERROR(INDEX(_xlfn.ANCHORARRAY($AA$11),ROW()-10,4),"")</f>
        <v/>
      </c>
      <c r="E43" s="22" t="str" cm="1">
        <f t="array" aca="1" ref="E43" ca="1">IFERROR(INDEX(_xlfn.ANCHORARRAY($AA$11),ROW()-10,5),"")</f>
        <v/>
      </c>
      <c r="F43" s="22" t="str" cm="1">
        <f t="array" aca="1" ref="F43" ca="1">IFERROR(INDEX(_xlfn.ANCHORARRAY($AA$11),ROW()-10,6),"")</f>
        <v/>
      </c>
      <c r="G43" s="22" t="str" cm="1">
        <f t="array" aca="1" ref="G43" ca="1">IFERROR(INDEX(_xlfn.ANCHORARRAY($AA$11),ROW()-10,7),"")</f>
        <v/>
      </c>
      <c r="H43" s="22" t="str" cm="1">
        <f t="array" aca="1" ref="H43" ca="1">IFERROR(INDEX(_xlfn.ANCHORARRAY($AA$11),ROW()-10,8),"")</f>
        <v/>
      </c>
      <c r="I43" s="22" t="str" cm="1">
        <f t="array" aca="1" ref="I43" ca="1">IFERROR(INDEX(_xlfn.ANCHORARRAY($AA$11),ROW()-10,9),"")</f>
        <v/>
      </c>
      <c r="J43" s="22" t="str">
        <f t="shared" ca="1" si="2"/>
        <v/>
      </c>
      <c r="K43" s="22" t="str">
        <f t="shared" ca="1" si="3"/>
        <v/>
      </c>
      <c r="L43" s="22" t="str" cm="1">
        <f t="array" aca="1" ref="L43" ca="1">_xlfn.LET(_xlpm.link,IFERROR(INDEX(_xlfn.ANCHORARRAY($AA$11),ROW()-10,12),""),IF(_xlpm.link="","",HYPERLINK(_xlpm.link,"Bluecore/Attentive")))</f>
        <v/>
      </c>
      <c r="M43" s="9"/>
      <c r="N43" s="9"/>
      <c r="O43" s="9"/>
      <c r="P43" s="9"/>
      <c r="Q43" s="9"/>
      <c r="R43" s="9"/>
      <c r="S43" s="8"/>
      <c r="T43" s="8"/>
      <c r="U43" s="8"/>
      <c r="V43" s="8"/>
      <c r="W43" s="8"/>
      <c r="X43" s="8"/>
      <c r="Y43" s="8"/>
      <c r="Z43" s="8"/>
      <c r="AA43"/>
      <c r="AB43"/>
      <c r="AC43"/>
      <c r="AD43"/>
      <c r="AE43"/>
      <c r="AF43"/>
      <c r="AG43"/>
      <c r="AH43"/>
      <c r="AI43"/>
      <c r="AJ43"/>
      <c r="AK43"/>
      <c r="AL43"/>
    </row>
    <row r="44" spans="1:38">
      <c r="A44" s="64" t="str" cm="1">
        <f t="array" aca="1" ref="A44" ca="1">IFERROR(INDEX(_xlfn.ANCHORARRAY($AA$11),ROW()-10,1),"")</f>
        <v/>
      </c>
      <c r="B44" s="31" t="str" cm="1">
        <f t="array" aca="1" ref="B44" ca="1">IFERROR(INDEX(_xlfn.ANCHORARRAY($AA$11),ROW()-10,2),"")</f>
        <v/>
      </c>
      <c r="C44" s="22" t="str" cm="1">
        <f t="array" aca="1" ref="C44" ca="1">IFERROR(INDEX(_xlfn.ANCHORARRAY($AA$11),ROW()-10,3),"")</f>
        <v/>
      </c>
      <c r="D44" s="22" t="str" cm="1">
        <f t="array" aca="1" ref="D44" ca="1">IFERROR(INDEX(_xlfn.ANCHORARRAY($AA$11),ROW()-10,4),"")</f>
        <v/>
      </c>
      <c r="E44" s="22" t="str" cm="1">
        <f t="array" aca="1" ref="E44" ca="1">IFERROR(INDEX(_xlfn.ANCHORARRAY($AA$11),ROW()-10,5),"")</f>
        <v/>
      </c>
      <c r="F44" s="22" t="str" cm="1">
        <f t="array" aca="1" ref="F44" ca="1">IFERROR(INDEX(_xlfn.ANCHORARRAY($AA$11),ROW()-10,6),"")</f>
        <v/>
      </c>
      <c r="G44" s="22" t="str" cm="1">
        <f t="array" aca="1" ref="G44" ca="1">IFERROR(INDEX(_xlfn.ANCHORARRAY($AA$11),ROW()-10,7),"")</f>
        <v/>
      </c>
      <c r="H44" s="22" t="str" cm="1">
        <f t="array" aca="1" ref="H44" ca="1">IFERROR(INDEX(_xlfn.ANCHORARRAY($AA$11),ROW()-10,8),"")</f>
        <v/>
      </c>
      <c r="I44" s="22" t="str" cm="1">
        <f t="array" aca="1" ref="I44" ca="1">IFERROR(INDEX(_xlfn.ANCHORARRAY($AA$11),ROW()-10,9),"")</f>
        <v/>
      </c>
      <c r="J44" s="22" t="str">
        <f t="shared" ca="1" si="2"/>
        <v/>
      </c>
      <c r="K44" s="22" t="str">
        <f t="shared" ca="1" si="3"/>
        <v/>
      </c>
      <c r="L44" s="22" t="str" cm="1">
        <f t="array" aca="1" ref="L44" ca="1">_xlfn.LET(_xlpm.link,IFERROR(INDEX(_xlfn.ANCHORARRAY($AA$11),ROW()-10,12),""),IF(_xlpm.link="","",HYPERLINK(_xlpm.link,"Bluecore/Attentive")))</f>
        <v/>
      </c>
      <c r="M44" s="9"/>
      <c r="N44" s="9"/>
      <c r="O44" s="9"/>
      <c r="P44" s="9"/>
      <c r="Q44" s="9"/>
      <c r="R44" s="9"/>
      <c r="S44" s="8"/>
      <c r="T44" s="8"/>
      <c r="U44" s="8"/>
      <c r="V44" s="8"/>
      <c r="W44" s="8"/>
      <c r="X44" s="8"/>
      <c r="Y44" s="8"/>
      <c r="Z44" s="8"/>
      <c r="AA44"/>
      <c r="AB44"/>
      <c r="AC44"/>
      <c r="AD44"/>
      <c r="AE44"/>
      <c r="AF44"/>
      <c r="AG44"/>
      <c r="AH44"/>
      <c r="AI44"/>
      <c r="AJ44"/>
      <c r="AK44"/>
      <c r="AL44"/>
    </row>
    <row r="45" spans="1:38">
      <c r="A45" s="64" t="str" cm="1">
        <f t="array" aca="1" ref="A45" ca="1">IFERROR(INDEX(_xlfn.ANCHORARRAY($AA$11),ROW()-10,1),"")</f>
        <v/>
      </c>
      <c r="B45" s="31" t="str" cm="1">
        <f t="array" aca="1" ref="B45" ca="1">IFERROR(INDEX(_xlfn.ANCHORARRAY($AA$11),ROW()-10,2),"")</f>
        <v/>
      </c>
      <c r="C45" s="22" t="str" cm="1">
        <f t="array" aca="1" ref="C45" ca="1">IFERROR(INDEX(_xlfn.ANCHORARRAY($AA$11),ROW()-10,3),"")</f>
        <v/>
      </c>
      <c r="D45" s="22" t="str" cm="1">
        <f t="array" aca="1" ref="D45" ca="1">IFERROR(INDEX(_xlfn.ANCHORARRAY($AA$11),ROW()-10,4),"")</f>
        <v/>
      </c>
      <c r="E45" s="22" t="str" cm="1">
        <f t="array" aca="1" ref="E45" ca="1">IFERROR(INDEX(_xlfn.ANCHORARRAY($AA$11),ROW()-10,5),"")</f>
        <v/>
      </c>
      <c r="F45" s="22" t="str" cm="1">
        <f t="array" aca="1" ref="F45" ca="1">IFERROR(INDEX(_xlfn.ANCHORARRAY($AA$11),ROW()-10,6),"")</f>
        <v/>
      </c>
      <c r="G45" s="22" t="str" cm="1">
        <f t="array" aca="1" ref="G45" ca="1">IFERROR(INDEX(_xlfn.ANCHORARRAY($AA$11),ROW()-10,7),"")</f>
        <v/>
      </c>
      <c r="H45" s="22" t="str" cm="1">
        <f t="array" aca="1" ref="H45" ca="1">IFERROR(INDEX(_xlfn.ANCHORARRAY($AA$11),ROW()-10,8),"")</f>
        <v/>
      </c>
      <c r="I45" s="22" t="str" cm="1">
        <f t="array" aca="1" ref="I45" ca="1">IFERROR(INDEX(_xlfn.ANCHORARRAY($AA$11),ROW()-10,9),"")</f>
        <v/>
      </c>
      <c r="J45" s="22" t="str">
        <f t="shared" ca="1" si="2"/>
        <v/>
      </c>
      <c r="K45" s="22" t="str">
        <f t="shared" ca="1" si="3"/>
        <v/>
      </c>
      <c r="L45" s="22" t="str" cm="1">
        <f t="array" aca="1" ref="L45" ca="1">_xlfn.LET(_xlpm.link,IFERROR(INDEX(_xlfn.ANCHORARRAY($AA$11),ROW()-10,12),""),IF(_xlpm.link="","",HYPERLINK(_xlpm.link,"Bluecore/Attentive")))</f>
        <v/>
      </c>
      <c r="M45" s="9"/>
      <c r="N45" s="9"/>
      <c r="O45" s="9"/>
      <c r="P45" s="9"/>
      <c r="Q45" s="9"/>
      <c r="R45" s="9"/>
      <c r="S45" s="8"/>
      <c r="T45" s="8"/>
      <c r="U45" s="8"/>
      <c r="V45" s="8"/>
      <c r="W45" s="8"/>
      <c r="X45" s="8"/>
      <c r="Y45" s="8"/>
      <c r="Z45" s="8"/>
      <c r="AA45"/>
      <c r="AB45"/>
      <c r="AC45"/>
      <c r="AD45"/>
      <c r="AE45"/>
      <c r="AF45"/>
      <c r="AG45"/>
      <c r="AH45"/>
      <c r="AI45"/>
      <c r="AJ45"/>
      <c r="AK45"/>
      <c r="AL45"/>
    </row>
    <row r="46" spans="1:38">
      <c r="A46" s="64" t="str" cm="1">
        <f t="array" aca="1" ref="A46" ca="1">IFERROR(INDEX(_xlfn.ANCHORARRAY($AA$11),ROW()-10,1),"")</f>
        <v/>
      </c>
      <c r="B46" s="31" t="str" cm="1">
        <f t="array" aca="1" ref="B46" ca="1">IFERROR(INDEX(_xlfn.ANCHORARRAY($AA$11),ROW()-10,2),"")</f>
        <v/>
      </c>
      <c r="C46" s="22" t="str" cm="1">
        <f t="array" aca="1" ref="C46" ca="1">IFERROR(INDEX(_xlfn.ANCHORARRAY($AA$11),ROW()-10,3),"")</f>
        <v/>
      </c>
      <c r="D46" s="22" t="str" cm="1">
        <f t="array" aca="1" ref="D46" ca="1">IFERROR(INDEX(_xlfn.ANCHORARRAY($AA$11),ROW()-10,4),"")</f>
        <v/>
      </c>
      <c r="E46" s="22" t="str" cm="1">
        <f t="array" aca="1" ref="E46" ca="1">IFERROR(INDEX(_xlfn.ANCHORARRAY($AA$11),ROW()-10,5),"")</f>
        <v/>
      </c>
      <c r="F46" s="22" t="str" cm="1">
        <f t="array" aca="1" ref="F46" ca="1">IFERROR(INDEX(_xlfn.ANCHORARRAY($AA$11),ROW()-10,6),"")</f>
        <v/>
      </c>
      <c r="G46" s="22" t="str" cm="1">
        <f t="array" aca="1" ref="G46" ca="1">IFERROR(INDEX(_xlfn.ANCHORARRAY($AA$11),ROW()-10,7),"")</f>
        <v/>
      </c>
      <c r="H46" s="22" t="str" cm="1">
        <f t="array" aca="1" ref="H46" ca="1">IFERROR(INDEX(_xlfn.ANCHORARRAY($AA$11),ROW()-10,8),"")</f>
        <v/>
      </c>
      <c r="I46" s="22" t="str" cm="1">
        <f t="array" aca="1" ref="I46" ca="1">IFERROR(INDEX(_xlfn.ANCHORARRAY($AA$11),ROW()-10,9),"")</f>
        <v/>
      </c>
      <c r="J46" s="22" t="str">
        <f t="shared" ref="J46:J74" ca="1" si="4">_xlfn.LET(_xlpm.ch,IFERROR(INDEX(_xlfn.ANCHORARRAY($AA$11),ROW()-10,3),""),_xlpm.link,IFERROR(INDEX(_xlfn.ANCHORARRAY($AA$11),ROW()-10,10),""),IF(OR(_xlpm.link="",_xlpm.ch="SMS"),"",HYPERLINK(_xlpm.link,"Jira")))</f>
        <v/>
      </c>
      <c r="K46" s="22" t="str">
        <f t="shared" ref="K46:K74" ca="1" si="5">_xlfn.LET(_xlpm.ch,IFERROR(INDEX(_xlfn.ANCHORARRAY($AA$11),ROW()-10,3),""),_xlpm.link,IFERROR(INDEX(_xlfn.ANCHORARRAY($AA$11),ROW()-10,11),""),IF(OR(_xlpm.link="",_xlpm.ch="SMS"),"",HYPERLINK(_xlpm.link,"ClickUp")))</f>
        <v/>
      </c>
      <c r="L46" s="22" t="str" cm="1">
        <f t="array" aca="1" ref="L46" ca="1">_xlfn.LET(_xlpm.link,IFERROR(INDEX(_xlfn.ANCHORARRAY($AA$11),ROW()-10,12),""),IF(_xlpm.link="","",HYPERLINK(_xlpm.link,"Bluecore/Attentive")))</f>
        <v/>
      </c>
      <c r="M46" s="9"/>
      <c r="N46" s="9"/>
      <c r="O46" s="9"/>
      <c r="P46" s="9"/>
      <c r="Q46" s="9"/>
      <c r="R46" s="9"/>
      <c r="S46" s="8"/>
      <c r="T46" s="8"/>
      <c r="U46" s="8"/>
      <c r="V46" s="8"/>
      <c r="W46" s="8"/>
      <c r="X46" s="8"/>
      <c r="Y46" s="8"/>
      <c r="Z46" s="8"/>
      <c r="AA46"/>
      <c r="AB46"/>
      <c r="AC46"/>
      <c r="AD46"/>
      <c r="AE46"/>
      <c r="AF46"/>
      <c r="AG46"/>
      <c r="AH46"/>
      <c r="AI46"/>
      <c r="AJ46"/>
      <c r="AK46"/>
      <c r="AL46"/>
    </row>
    <row r="47" spans="1:38">
      <c r="A47" s="64" t="str" cm="1">
        <f t="array" aca="1" ref="A47" ca="1">IFERROR(INDEX(_xlfn.ANCHORARRAY($AA$11),ROW()-10,1),"")</f>
        <v/>
      </c>
      <c r="B47" s="31" t="str" cm="1">
        <f t="array" aca="1" ref="B47" ca="1">IFERROR(INDEX(_xlfn.ANCHORARRAY($AA$11),ROW()-10,2),"")</f>
        <v/>
      </c>
      <c r="C47" s="22" t="str" cm="1">
        <f t="array" aca="1" ref="C47" ca="1">IFERROR(INDEX(_xlfn.ANCHORARRAY($AA$11),ROW()-10,3),"")</f>
        <v/>
      </c>
      <c r="D47" s="22" t="str" cm="1">
        <f t="array" aca="1" ref="D47" ca="1">IFERROR(INDEX(_xlfn.ANCHORARRAY($AA$11),ROW()-10,4),"")</f>
        <v/>
      </c>
      <c r="E47" s="22" t="str" cm="1">
        <f t="array" aca="1" ref="E47" ca="1">IFERROR(INDEX(_xlfn.ANCHORARRAY($AA$11),ROW()-10,5),"")</f>
        <v/>
      </c>
      <c r="F47" s="22" t="str" cm="1">
        <f t="array" aca="1" ref="F47" ca="1">IFERROR(INDEX(_xlfn.ANCHORARRAY($AA$11),ROW()-10,6),"")</f>
        <v/>
      </c>
      <c r="G47" s="22" t="str" cm="1">
        <f t="array" aca="1" ref="G47" ca="1">IFERROR(INDEX(_xlfn.ANCHORARRAY($AA$11),ROW()-10,7),"")</f>
        <v/>
      </c>
      <c r="H47" s="22" t="str" cm="1">
        <f t="array" aca="1" ref="H47" ca="1">IFERROR(INDEX(_xlfn.ANCHORARRAY($AA$11),ROW()-10,8),"")</f>
        <v/>
      </c>
      <c r="I47" s="22" t="str" cm="1">
        <f t="array" aca="1" ref="I47" ca="1">IFERROR(INDEX(_xlfn.ANCHORARRAY($AA$11),ROW()-10,9),"")</f>
        <v/>
      </c>
      <c r="J47" s="22" t="str">
        <f t="shared" ca="1" si="4"/>
        <v/>
      </c>
      <c r="K47" s="22" t="str">
        <f t="shared" ca="1" si="5"/>
        <v/>
      </c>
      <c r="L47" s="22" t="str" cm="1">
        <f t="array" aca="1" ref="L47" ca="1">_xlfn.LET(_xlpm.link,IFERROR(INDEX(_xlfn.ANCHORARRAY($AA$11),ROW()-10,12),""),IF(_xlpm.link="","",HYPERLINK(_xlpm.link,"Bluecore/Attentive")))</f>
        <v/>
      </c>
      <c r="M47" s="9"/>
      <c r="N47" s="9"/>
      <c r="O47" s="9"/>
      <c r="P47" s="9"/>
      <c r="Q47" s="9"/>
      <c r="R47" s="9"/>
      <c r="S47" s="8"/>
      <c r="T47" s="8"/>
      <c r="U47" s="8"/>
      <c r="V47" s="8"/>
      <c r="W47" s="8"/>
      <c r="X47" s="8"/>
      <c r="Y47" s="8"/>
      <c r="Z47" s="8"/>
      <c r="AA47"/>
      <c r="AB47"/>
      <c r="AC47"/>
      <c r="AD47"/>
      <c r="AE47"/>
      <c r="AF47"/>
      <c r="AG47"/>
      <c r="AH47"/>
      <c r="AI47"/>
      <c r="AJ47"/>
      <c r="AK47"/>
      <c r="AL47"/>
    </row>
    <row r="48" spans="1:38">
      <c r="A48" s="64" t="str" cm="1">
        <f t="array" aca="1" ref="A48" ca="1">IFERROR(INDEX(_xlfn.ANCHORARRAY($AA$11),ROW()-10,1),"")</f>
        <v/>
      </c>
      <c r="B48" s="31" t="str" cm="1">
        <f t="array" aca="1" ref="B48" ca="1">IFERROR(INDEX(_xlfn.ANCHORARRAY($AA$11),ROW()-10,2),"")</f>
        <v/>
      </c>
      <c r="C48" s="22" t="str" cm="1">
        <f t="array" aca="1" ref="C48" ca="1">IFERROR(INDEX(_xlfn.ANCHORARRAY($AA$11),ROW()-10,3),"")</f>
        <v/>
      </c>
      <c r="D48" s="22" t="str" cm="1">
        <f t="array" aca="1" ref="D48" ca="1">IFERROR(INDEX(_xlfn.ANCHORARRAY($AA$11),ROW()-10,4),"")</f>
        <v/>
      </c>
      <c r="E48" s="22" t="str" cm="1">
        <f t="array" aca="1" ref="E48" ca="1">IFERROR(INDEX(_xlfn.ANCHORARRAY($AA$11),ROW()-10,5),"")</f>
        <v/>
      </c>
      <c r="F48" s="22" t="str" cm="1">
        <f t="array" aca="1" ref="F48" ca="1">IFERROR(INDEX(_xlfn.ANCHORARRAY($AA$11),ROW()-10,6),"")</f>
        <v/>
      </c>
      <c r="G48" s="22" t="str" cm="1">
        <f t="array" aca="1" ref="G48" ca="1">IFERROR(INDEX(_xlfn.ANCHORARRAY($AA$11),ROW()-10,7),"")</f>
        <v/>
      </c>
      <c r="H48" s="22" t="str" cm="1">
        <f t="array" aca="1" ref="H48" ca="1">IFERROR(INDEX(_xlfn.ANCHORARRAY($AA$11),ROW()-10,8),"")</f>
        <v/>
      </c>
      <c r="I48" s="22" t="str" cm="1">
        <f t="array" aca="1" ref="I48" ca="1">IFERROR(INDEX(_xlfn.ANCHORARRAY($AA$11),ROW()-10,9),"")</f>
        <v/>
      </c>
      <c r="J48" s="22" t="str">
        <f t="shared" ca="1" si="4"/>
        <v/>
      </c>
      <c r="K48" s="22" t="str">
        <f t="shared" ca="1" si="5"/>
        <v/>
      </c>
      <c r="L48" s="22" t="str" cm="1">
        <f t="array" aca="1" ref="L48" ca="1">_xlfn.LET(_xlpm.link,IFERROR(INDEX(_xlfn.ANCHORARRAY($AA$11),ROW()-10,12),""),IF(_xlpm.link="","",HYPERLINK(_xlpm.link,"Bluecore/Attentive")))</f>
        <v/>
      </c>
      <c r="M48" s="9"/>
      <c r="N48" s="9"/>
      <c r="O48" s="9"/>
      <c r="P48" s="9"/>
      <c r="Q48" s="9"/>
      <c r="R48" s="9"/>
      <c r="S48" s="8"/>
      <c r="T48" s="8"/>
      <c r="U48" s="8"/>
      <c r="V48" s="8"/>
      <c r="W48" s="8"/>
      <c r="X48" s="8"/>
      <c r="Y48" s="8"/>
      <c r="Z48" s="8"/>
      <c r="AA48"/>
      <c r="AB48"/>
      <c r="AC48"/>
      <c r="AD48"/>
      <c r="AE48"/>
      <c r="AF48"/>
      <c r="AG48"/>
      <c r="AH48"/>
      <c r="AI48"/>
      <c r="AJ48"/>
      <c r="AK48"/>
      <c r="AL48"/>
    </row>
    <row r="49" spans="1:38">
      <c r="A49" s="64" t="str" cm="1">
        <f t="array" aca="1" ref="A49" ca="1">IFERROR(INDEX(_xlfn.ANCHORARRAY($AA$11),ROW()-10,1),"")</f>
        <v/>
      </c>
      <c r="B49" s="31" t="str" cm="1">
        <f t="array" aca="1" ref="B49" ca="1">IFERROR(INDEX(_xlfn.ANCHORARRAY($AA$11),ROW()-10,2),"")</f>
        <v/>
      </c>
      <c r="C49" s="22" t="str" cm="1">
        <f t="array" aca="1" ref="C49" ca="1">IFERROR(INDEX(_xlfn.ANCHORARRAY($AA$11),ROW()-10,3),"")</f>
        <v/>
      </c>
      <c r="D49" s="22" t="str" cm="1">
        <f t="array" aca="1" ref="D49" ca="1">IFERROR(INDEX(_xlfn.ANCHORARRAY($AA$11),ROW()-10,4),"")</f>
        <v/>
      </c>
      <c r="E49" s="22" t="str" cm="1">
        <f t="array" aca="1" ref="E49" ca="1">IFERROR(INDEX(_xlfn.ANCHORARRAY($AA$11),ROW()-10,5),"")</f>
        <v/>
      </c>
      <c r="F49" s="22" t="str" cm="1">
        <f t="array" aca="1" ref="F49" ca="1">IFERROR(INDEX(_xlfn.ANCHORARRAY($AA$11),ROW()-10,6),"")</f>
        <v/>
      </c>
      <c r="G49" s="22" t="str" cm="1">
        <f t="array" aca="1" ref="G49" ca="1">IFERROR(INDEX(_xlfn.ANCHORARRAY($AA$11),ROW()-10,7),"")</f>
        <v/>
      </c>
      <c r="H49" s="22" t="str" cm="1">
        <f t="array" aca="1" ref="H49" ca="1">IFERROR(INDEX(_xlfn.ANCHORARRAY($AA$11),ROW()-10,8),"")</f>
        <v/>
      </c>
      <c r="I49" s="22" t="str" cm="1">
        <f t="array" aca="1" ref="I49" ca="1">IFERROR(INDEX(_xlfn.ANCHORARRAY($AA$11),ROW()-10,9),"")</f>
        <v/>
      </c>
      <c r="J49" s="22" t="str">
        <f t="shared" ca="1" si="4"/>
        <v/>
      </c>
      <c r="K49" s="22" t="str">
        <f t="shared" ca="1" si="5"/>
        <v/>
      </c>
      <c r="L49" s="22" t="str" cm="1">
        <f t="array" aca="1" ref="L49" ca="1">_xlfn.LET(_xlpm.link,IFERROR(INDEX(_xlfn.ANCHORARRAY($AA$11),ROW()-10,12),""),IF(_xlpm.link="","",HYPERLINK(_xlpm.link,"Bluecore/Attentive")))</f>
        <v/>
      </c>
      <c r="M49" s="9"/>
      <c r="N49" s="9"/>
      <c r="O49" s="9"/>
      <c r="P49" s="9"/>
      <c r="Q49" s="9"/>
      <c r="R49" s="9"/>
      <c r="S49" s="8"/>
      <c r="T49" s="8"/>
      <c r="U49" s="8"/>
      <c r="V49" s="8"/>
      <c r="W49" s="8"/>
      <c r="X49" s="8"/>
      <c r="Y49" s="8"/>
      <c r="Z49" s="8"/>
      <c r="AA49"/>
      <c r="AB49"/>
      <c r="AC49"/>
      <c r="AD49"/>
      <c r="AE49"/>
      <c r="AF49"/>
      <c r="AG49"/>
      <c r="AH49"/>
      <c r="AI49"/>
      <c r="AJ49"/>
      <c r="AK49"/>
      <c r="AL49"/>
    </row>
    <row r="50" spans="1:38">
      <c r="A50" s="64" t="str" cm="1">
        <f t="array" aca="1" ref="A50" ca="1">IFERROR(INDEX(_xlfn.ANCHORARRAY($AA$11),ROW()-10,1),"")</f>
        <v/>
      </c>
      <c r="B50" s="31" t="str" cm="1">
        <f t="array" aca="1" ref="B50" ca="1">IFERROR(INDEX(_xlfn.ANCHORARRAY($AA$11),ROW()-10,2),"")</f>
        <v/>
      </c>
      <c r="C50" s="22" t="str" cm="1">
        <f t="array" aca="1" ref="C50" ca="1">IFERROR(INDEX(_xlfn.ANCHORARRAY($AA$11),ROW()-10,3),"")</f>
        <v/>
      </c>
      <c r="D50" s="22" t="str" cm="1">
        <f t="array" aca="1" ref="D50" ca="1">IFERROR(INDEX(_xlfn.ANCHORARRAY($AA$11),ROW()-10,4),"")</f>
        <v/>
      </c>
      <c r="E50" s="22" t="str" cm="1">
        <f t="array" aca="1" ref="E50" ca="1">IFERROR(INDEX(_xlfn.ANCHORARRAY($AA$11),ROW()-10,5),"")</f>
        <v/>
      </c>
      <c r="F50" s="22" t="str" cm="1">
        <f t="array" aca="1" ref="F50" ca="1">IFERROR(INDEX(_xlfn.ANCHORARRAY($AA$11),ROW()-10,6),"")</f>
        <v/>
      </c>
      <c r="G50" s="22" t="str" cm="1">
        <f t="array" aca="1" ref="G50" ca="1">IFERROR(INDEX(_xlfn.ANCHORARRAY($AA$11),ROW()-10,7),"")</f>
        <v/>
      </c>
      <c r="H50" s="22" t="str" cm="1">
        <f t="array" aca="1" ref="H50" ca="1">IFERROR(INDEX(_xlfn.ANCHORARRAY($AA$11),ROW()-10,8),"")</f>
        <v/>
      </c>
      <c r="I50" s="22" t="str" cm="1">
        <f t="array" aca="1" ref="I50" ca="1">IFERROR(INDEX(_xlfn.ANCHORARRAY($AA$11),ROW()-10,9),"")</f>
        <v/>
      </c>
      <c r="J50" s="22" t="str">
        <f t="shared" ca="1" si="4"/>
        <v/>
      </c>
      <c r="K50" s="22" t="str">
        <f t="shared" ca="1" si="5"/>
        <v/>
      </c>
      <c r="L50" s="22" t="str" cm="1">
        <f t="array" aca="1" ref="L50" ca="1">_xlfn.LET(_xlpm.link,IFERROR(INDEX(_xlfn.ANCHORARRAY($AA$11),ROW()-10,12),""),IF(_xlpm.link="","",HYPERLINK(_xlpm.link,"Bluecore/Attentive")))</f>
        <v/>
      </c>
      <c r="M50" s="9"/>
      <c r="N50" s="9"/>
      <c r="O50" s="9"/>
      <c r="P50" s="9"/>
      <c r="Q50" s="9"/>
      <c r="R50" s="9"/>
      <c r="S50" s="8"/>
      <c r="T50" s="8"/>
      <c r="U50" s="8"/>
      <c r="V50" s="8"/>
      <c r="W50" s="8"/>
      <c r="X50" s="8"/>
      <c r="Y50" s="8"/>
      <c r="Z50" s="8"/>
      <c r="AA50"/>
      <c r="AB50"/>
      <c r="AC50"/>
      <c r="AD50"/>
      <c r="AE50"/>
      <c r="AF50"/>
      <c r="AG50"/>
      <c r="AH50"/>
      <c r="AI50"/>
      <c r="AJ50"/>
      <c r="AK50"/>
      <c r="AL50"/>
    </row>
    <row r="51" spans="1:38">
      <c r="A51" s="64" t="str" cm="1">
        <f t="array" aca="1" ref="A51" ca="1">IFERROR(INDEX(_xlfn.ANCHORARRAY($AA$11),ROW()-10,1),"")</f>
        <v/>
      </c>
      <c r="B51" s="31" t="str" cm="1">
        <f t="array" aca="1" ref="B51" ca="1">IFERROR(INDEX(_xlfn.ANCHORARRAY($AA$11),ROW()-10,2),"")</f>
        <v/>
      </c>
      <c r="C51" s="22" t="str" cm="1">
        <f t="array" aca="1" ref="C51" ca="1">IFERROR(INDEX(_xlfn.ANCHORARRAY($AA$11),ROW()-10,3),"")</f>
        <v/>
      </c>
      <c r="D51" s="22" t="str" cm="1">
        <f t="array" aca="1" ref="D51" ca="1">IFERROR(INDEX(_xlfn.ANCHORARRAY($AA$11),ROW()-10,4),"")</f>
        <v/>
      </c>
      <c r="E51" s="22" t="str" cm="1">
        <f t="array" aca="1" ref="E51" ca="1">IFERROR(INDEX(_xlfn.ANCHORARRAY($AA$11),ROW()-10,5),"")</f>
        <v/>
      </c>
      <c r="F51" s="22" t="str" cm="1">
        <f t="array" aca="1" ref="F51" ca="1">IFERROR(INDEX(_xlfn.ANCHORARRAY($AA$11),ROW()-10,6),"")</f>
        <v/>
      </c>
      <c r="G51" s="22" t="str" cm="1">
        <f t="array" aca="1" ref="G51" ca="1">IFERROR(INDEX(_xlfn.ANCHORARRAY($AA$11),ROW()-10,7),"")</f>
        <v/>
      </c>
      <c r="H51" s="22" t="str" cm="1">
        <f t="array" aca="1" ref="H51" ca="1">IFERROR(INDEX(_xlfn.ANCHORARRAY($AA$11),ROW()-10,8),"")</f>
        <v/>
      </c>
      <c r="I51" s="22" t="str" cm="1">
        <f t="array" aca="1" ref="I51" ca="1">IFERROR(INDEX(_xlfn.ANCHORARRAY($AA$11),ROW()-10,9),"")</f>
        <v/>
      </c>
      <c r="J51" s="22" t="str">
        <f t="shared" ca="1" si="4"/>
        <v/>
      </c>
      <c r="K51" s="22" t="str">
        <f t="shared" ca="1" si="5"/>
        <v/>
      </c>
      <c r="L51" s="22" t="str" cm="1">
        <f t="array" aca="1" ref="L51" ca="1">_xlfn.LET(_xlpm.link,IFERROR(INDEX(_xlfn.ANCHORARRAY($AA$11),ROW()-10,12),""),IF(_xlpm.link="","",HYPERLINK(_xlpm.link,"Bluecore/Attentive")))</f>
        <v/>
      </c>
      <c r="M51" s="9"/>
      <c r="N51" s="9"/>
      <c r="O51" s="9"/>
      <c r="P51" s="9"/>
      <c r="Q51" s="9"/>
      <c r="R51" s="9"/>
      <c r="S51" s="8"/>
      <c r="T51" s="8"/>
      <c r="U51" s="8"/>
      <c r="V51" s="8"/>
      <c r="W51" s="8"/>
      <c r="X51" s="8"/>
      <c r="Y51" s="8"/>
      <c r="Z51" s="8"/>
      <c r="AA51"/>
      <c r="AB51"/>
      <c r="AC51"/>
      <c r="AD51"/>
      <c r="AE51"/>
      <c r="AF51"/>
      <c r="AG51"/>
      <c r="AH51"/>
      <c r="AI51"/>
      <c r="AJ51"/>
      <c r="AK51"/>
      <c r="AL51"/>
    </row>
    <row r="52" spans="1:38">
      <c r="A52" s="64" t="str" cm="1">
        <f t="array" aca="1" ref="A52" ca="1">IFERROR(INDEX(_xlfn.ANCHORARRAY($AA$11),ROW()-10,1),"")</f>
        <v/>
      </c>
      <c r="B52" s="31" t="str" cm="1">
        <f t="array" aca="1" ref="B52" ca="1">IFERROR(INDEX(_xlfn.ANCHORARRAY($AA$11),ROW()-10,2),"")</f>
        <v/>
      </c>
      <c r="C52" s="22" t="str" cm="1">
        <f t="array" aca="1" ref="C52" ca="1">IFERROR(INDEX(_xlfn.ANCHORARRAY($AA$11),ROW()-10,3),"")</f>
        <v/>
      </c>
      <c r="D52" s="22" t="str" cm="1">
        <f t="array" aca="1" ref="D52" ca="1">IFERROR(INDEX(_xlfn.ANCHORARRAY($AA$11),ROW()-10,4),"")</f>
        <v/>
      </c>
      <c r="E52" s="22" t="str" cm="1">
        <f t="array" aca="1" ref="E52" ca="1">IFERROR(INDEX(_xlfn.ANCHORARRAY($AA$11),ROW()-10,5),"")</f>
        <v/>
      </c>
      <c r="F52" s="22" t="str" cm="1">
        <f t="array" aca="1" ref="F52" ca="1">IFERROR(INDEX(_xlfn.ANCHORARRAY($AA$11),ROW()-10,6),"")</f>
        <v/>
      </c>
      <c r="G52" s="22" t="str" cm="1">
        <f t="array" aca="1" ref="G52" ca="1">IFERROR(INDEX(_xlfn.ANCHORARRAY($AA$11),ROW()-10,7),"")</f>
        <v/>
      </c>
      <c r="H52" s="22" t="str" cm="1">
        <f t="array" aca="1" ref="H52" ca="1">IFERROR(INDEX(_xlfn.ANCHORARRAY($AA$11),ROW()-10,8),"")</f>
        <v/>
      </c>
      <c r="I52" s="22" t="str" cm="1">
        <f t="array" aca="1" ref="I52" ca="1">IFERROR(INDEX(_xlfn.ANCHORARRAY($AA$11),ROW()-10,9),"")</f>
        <v/>
      </c>
      <c r="J52" s="22" t="str">
        <f t="shared" ca="1" si="4"/>
        <v/>
      </c>
      <c r="K52" s="22" t="str">
        <f t="shared" ca="1" si="5"/>
        <v/>
      </c>
      <c r="L52" s="22" t="str" cm="1">
        <f t="array" aca="1" ref="L52" ca="1">_xlfn.LET(_xlpm.link,IFERROR(INDEX(_xlfn.ANCHORARRAY($AA$11),ROW()-10,12),""),IF(_xlpm.link="","",HYPERLINK(_xlpm.link,"Bluecore/Attentive")))</f>
        <v/>
      </c>
      <c r="M52" s="9"/>
      <c r="N52" s="9"/>
      <c r="O52" s="9"/>
      <c r="P52" s="9"/>
      <c r="Q52" s="9"/>
      <c r="R52" s="9"/>
      <c r="S52" s="8"/>
      <c r="T52" s="8"/>
      <c r="U52" s="8"/>
      <c r="V52" s="8"/>
      <c r="W52" s="8"/>
      <c r="X52" s="8"/>
      <c r="Y52" s="8"/>
      <c r="Z52" s="8"/>
      <c r="AA52"/>
      <c r="AB52"/>
      <c r="AC52"/>
      <c r="AD52"/>
      <c r="AE52"/>
      <c r="AF52"/>
      <c r="AG52"/>
      <c r="AH52"/>
      <c r="AI52"/>
      <c r="AJ52"/>
      <c r="AK52"/>
      <c r="AL52"/>
    </row>
    <row r="53" spans="1:38">
      <c r="A53" s="64" t="str" cm="1">
        <f t="array" aca="1" ref="A53" ca="1">IFERROR(INDEX(_xlfn.ANCHORARRAY($AA$11),ROW()-10,1),"")</f>
        <v/>
      </c>
      <c r="B53" s="31" t="str" cm="1">
        <f t="array" aca="1" ref="B53" ca="1">IFERROR(INDEX(_xlfn.ANCHORARRAY($AA$11),ROW()-10,2),"")</f>
        <v/>
      </c>
      <c r="C53" s="22" t="str" cm="1">
        <f t="array" aca="1" ref="C53" ca="1">IFERROR(INDEX(_xlfn.ANCHORARRAY($AA$11),ROW()-10,3),"")</f>
        <v/>
      </c>
      <c r="D53" s="22" t="str" cm="1">
        <f t="array" aca="1" ref="D53" ca="1">IFERROR(INDEX(_xlfn.ANCHORARRAY($AA$11),ROW()-10,4),"")</f>
        <v/>
      </c>
      <c r="E53" s="22" t="str" cm="1">
        <f t="array" aca="1" ref="E53" ca="1">IFERROR(INDEX(_xlfn.ANCHORARRAY($AA$11),ROW()-10,5),"")</f>
        <v/>
      </c>
      <c r="F53" s="22" t="str" cm="1">
        <f t="array" aca="1" ref="F53" ca="1">IFERROR(INDEX(_xlfn.ANCHORARRAY($AA$11),ROW()-10,6),"")</f>
        <v/>
      </c>
      <c r="G53" s="22" t="str" cm="1">
        <f t="array" aca="1" ref="G53" ca="1">IFERROR(INDEX(_xlfn.ANCHORARRAY($AA$11),ROW()-10,7),"")</f>
        <v/>
      </c>
      <c r="H53" s="22" t="str" cm="1">
        <f t="array" aca="1" ref="H53" ca="1">IFERROR(INDEX(_xlfn.ANCHORARRAY($AA$11),ROW()-10,8),"")</f>
        <v/>
      </c>
      <c r="I53" s="22" t="str" cm="1">
        <f t="array" aca="1" ref="I53" ca="1">IFERROR(INDEX(_xlfn.ANCHORARRAY($AA$11),ROW()-10,9),"")</f>
        <v/>
      </c>
      <c r="J53" s="22" t="str">
        <f t="shared" ca="1" si="4"/>
        <v/>
      </c>
      <c r="K53" s="22" t="str">
        <f t="shared" ca="1" si="5"/>
        <v/>
      </c>
      <c r="L53" s="22" t="str" cm="1">
        <f t="array" aca="1" ref="L53" ca="1">_xlfn.LET(_xlpm.link,IFERROR(INDEX(_xlfn.ANCHORARRAY($AA$11),ROW()-10,12),""),IF(_xlpm.link="","",HYPERLINK(_xlpm.link,"Bluecore/Attentive")))</f>
        <v/>
      </c>
      <c r="M53" s="9"/>
      <c r="N53" s="9"/>
      <c r="O53" s="9"/>
      <c r="P53" s="9"/>
      <c r="Q53" s="9"/>
      <c r="R53" s="9"/>
      <c r="S53" s="8"/>
      <c r="T53" s="8"/>
      <c r="U53" s="8"/>
      <c r="V53" s="8"/>
      <c r="W53" s="8"/>
      <c r="X53" s="8"/>
      <c r="Y53" s="8"/>
      <c r="Z53" s="8"/>
      <c r="AA53"/>
      <c r="AB53"/>
      <c r="AC53"/>
      <c r="AD53"/>
      <c r="AE53"/>
      <c r="AF53"/>
      <c r="AG53"/>
      <c r="AH53"/>
      <c r="AI53"/>
      <c r="AJ53"/>
      <c r="AK53"/>
      <c r="AL53"/>
    </row>
    <row r="54" spans="1:38">
      <c r="A54" s="64" t="str" cm="1">
        <f t="array" aca="1" ref="A54" ca="1">IFERROR(INDEX(_xlfn.ANCHORARRAY($AA$11),ROW()-10,1),"")</f>
        <v/>
      </c>
      <c r="B54" s="31" t="str" cm="1">
        <f t="array" aca="1" ref="B54" ca="1">IFERROR(INDEX(_xlfn.ANCHORARRAY($AA$11),ROW()-10,2),"")</f>
        <v/>
      </c>
      <c r="C54" s="22" t="str" cm="1">
        <f t="array" aca="1" ref="C54" ca="1">IFERROR(INDEX(_xlfn.ANCHORARRAY($AA$11),ROW()-10,3),"")</f>
        <v/>
      </c>
      <c r="D54" s="22" t="str" cm="1">
        <f t="array" aca="1" ref="D54" ca="1">IFERROR(INDEX(_xlfn.ANCHORARRAY($AA$11),ROW()-10,4),"")</f>
        <v/>
      </c>
      <c r="E54" s="22" t="str" cm="1">
        <f t="array" aca="1" ref="E54" ca="1">IFERROR(INDEX(_xlfn.ANCHORARRAY($AA$11),ROW()-10,5),"")</f>
        <v/>
      </c>
      <c r="F54" s="22" t="str" cm="1">
        <f t="array" aca="1" ref="F54" ca="1">IFERROR(INDEX(_xlfn.ANCHORARRAY($AA$11),ROW()-10,6),"")</f>
        <v/>
      </c>
      <c r="G54" s="22" t="str" cm="1">
        <f t="array" aca="1" ref="G54" ca="1">IFERROR(INDEX(_xlfn.ANCHORARRAY($AA$11),ROW()-10,7),"")</f>
        <v/>
      </c>
      <c r="H54" s="22" t="str" cm="1">
        <f t="array" aca="1" ref="H54" ca="1">IFERROR(INDEX(_xlfn.ANCHORARRAY($AA$11),ROW()-10,8),"")</f>
        <v/>
      </c>
      <c r="I54" s="22" t="str" cm="1">
        <f t="array" aca="1" ref="I54" ca="1">IFERROR(INDEX(_xlfn.ANCHORARRAY($AA$11),ROW()-10,9),"")</f>
        <v/>
      </c>
      <c r="J54" s="22" t="str">
        <f t="shared" ca="1" si="4"/>
        <v/>
      </c>
      <c r="K54" s="22" t="str">
        <f t="shared" ca="1" si="5"/>
        <v/>
      </c>
      <c r="L54" s="22" t="str" cm="1">
        <f t="array" aca="1" ref="L54" ca="1">_xlfn.LET(_xlpm.link,IFERROR(INDEX(_xlfn.ANCHORARRAY($AA$11),ROW()-10,12),""),IF(_xlpm.link="","",HYPERLINK(_xlpm.link,"Bluecore/Attentive")))</f>
        <v/>
      </c>
      <c r="M54" s="9"/>
      <c r="N54" s="9"/>
      <c r="O54" s="9"/>
      <c r="P54" s="9"/>
      <c r="Q54" s="9"/>
      <c r="R54" s="9"/>
      <c r="S54" s="8"/>
      <c r="T54" s="8"/>
      <c r="U54" s="8"/>
      <c r="V54" s="8"/>
      <c r="W54" s="8"/>
      <c r="X54" s="8"/>
      <c r="Y54" s="8"/>
      <c r="Z54" s="8"/>
      <c r="AA54"/>
      <c r="AB54"/>
      <c r="AC54"/>
      <c r="AD54"/>
      <c r="AE54"/>
      <c r="AF54"/>
      <c r="AG54"/>
      <c r="AH54"/>
      <c r="AI54"/>
      <c r="AJ54"/>
      <c r="AK54"/>
      <c r="AL54"/>
    </row>
    <row r="55" spans="1:38">
      <c r="A55" s="64" t="str" cm="1">
        <f t="array" aca="1" ref="A55" ca="1">IFERROR(INDEX(_xlfn.ANCHORARRAY($AA$11),ROW()-10,1),"")</f>
        <v/>
      </c>
      <c r="B55" s="31" t="str" cm="1">
        <f t="array" aca="1" ref="B55" ca="1">IFERROR(INDEX(_xlfn.ANCHORARRAY($AA$11),ROW()-10,2),"")</f>
        <v/>
      </c>
      <c r="C55" s="22" t="str" cm="1">
        <f t="array" aca="1" ref="C55" ca="1">IFERROR(INDEX(_xlfn.ANCHORARRAY($AA$11),ROW()-10,3),"")</f>
        <v/>
      </c>
      <c r="D55" s="22" t="str" cm="1">
        <f t="array" aca="1" ref="D55" ca="1">IFERROR(INDEX(_xlfn.ANCHORARRAY($AA$11),ROW()-10,4),"")</f>
        <v/>
      </c>
      <c r="E55" s="22" t="str" cm="1">
        <f t="array" aca="1" ref="E55" ca="1">IFERROR(INDEX(_xlfn.ANCHORARRAY($AA$11),ROW()-10,5),"")</f>
        <v/>
      </c>
      <c r="F55" s="22" t="str" cm="1">
        <f t="array" aca="1" ref="F55" ca="1">IFERROR(INDEX(_xlfn.ANCHORARRAY($AA$11),ROW()-10,6),"")</f>
        <v/>
      </c>
      <c r="G55" s="22" t="str" cm="1">
        <f t="array" aca="1" ref="G55" ca="1">IFERROR(INDEX(_xlfn.ANCHORARRAY($AA$11),ROW()-10,7),"")</f>
        <v/>
      </c>
      <c r="H55" s="22" t="str" cm="1">
        <f t="array" aca="1" ref="H55" ca="1">IFERROR(INDEX(_xlfn.ANCHORARRAY($AA$11),ROW()-10,8),"")</f>
        <v/>
      </c>
      <c r="I55" s="22" t="str" cm="1">
        <f t="array" aca="1" ref="I55" ca="1">IFERROR(INDEX(_xlfn.ANCHORARRAY($AA$11),ROW()-10,9),"")</f>
        <v/>
      </c>
      <c r="J55" s="22" t="str">
        <f t="shared" ca="1" si="4"/>
        <v/>
      </c>
      <c r="K55" s="22" t="str">
        <f t="shared" ca="1" si="5"/>
        <v/>
      </c>
      <c r="L55" s="22" t="str" cm="1">
        <f t="array" aca="1" ref="L55" ca="1">_xlfn.LET(_xlpm.link,IFERROR(INDEX(_xlfn.ANCHORARRAY($AA$11),ROW()-10,12),""),IF(_xlpm.link="","",HYPERLINK(_xlpm.link,"Bluecore/Attentive")))</f>
        <v/>
      </c>
      <c r="M55" s="9"/>
      <c r="N55" s="9"/>
      <c r="O55" s="9"/>
      <c r="P55" s="9"/>
      <c r="Q55" s="9"/>
      <c r="R55" s="9"/>
      <c r="S55" s="8"/>
      <c r="T55" s="8"/>
      <c r="U55" s="8"/>
      <c r="V55" s="8"/>
      <c r="W55" s="8"/>
      <c r="X55" s="8"/>
      <c r="Y55" s="8"/>
      <c r="Z55" s="8"/>
      <c r="AA55"/>
      <c r="AB55"/>
      <c r="AC55"/>
      <c r="AD55"/>
      <c r="AE55"/>
      <c r="AF55"/>
      <c r="AG55"/>
      <c r="AH55"/>
      <c r="AI55"/>
      <c r="AJ55"/>
      <c r="AK55"/>
      <c r="AL55"/>
    </row>
    <row r="56" spans="1:38">
      <c r="A56" s="64" t="str" cm="1">
        <f t="array" aca="1" ref="A56" ca="1">IFERROR(INDEX(_xlfn.ANCHORARRAY($AA$11),ROW()-10,1),"")</f>
        <v/>
      </c>
      <c r="B56" s="31" t="str" cm="1">
        <f t="array" aca="1" ref="B56" ca="1">IFERROR(INDEX(_xlfn.ANCHORARRAY($AA$11),ROW()-10,2),"")</f>
        <v/>
      </c>
      <c r="C56" s="22" t="str" cm="1">
        <f t="array" aca="1" ref="C56" ca="1">IFERROR(INDEX(_xlfn.ANCHORARRAY($AA$11),ROW()-10,3),"")</f>
        <v/>
      </c>
      <c r="D56" s="22" t="str" cm="1">
        <f t="array" aca="1" ref="D56" ca="1">IFERROR(INDEX(_xlfn.ANCHORARRAY($AA$11),ROW()-10,4),"")</f>
        <v/>
      </c>
      <c r="E56" s="22" t="str" cm="1">
        <f t="array" aca="1" ref="E56" ca="1">IFERROR(INDEX(_xlfn.ANCHORARRAY($AA$11),ROW()-10,5),"")</f>
        <v/>
      </c>
      <c r="F56" s="22" t="str" cm="1">
        <f t="array" aca="1" ref="F56" ca="1">IFERROR(INDEX(_xlfn.ANCHORARRAY($AA$11),ROW()-10,6),"")</f>
        <v/>
      </c>
      <c r="G56" s="22" t="str" cm="1">
        <f t="array" aca="1" ref="G56" ca="1">IFERROR(INDEX(_xlfn.ANCHORARRAY($AA$11),ROW()-10,7),"")</f>
        <v/>
      </c>
      <c r="H56" s="22" t="str" cm="1">
        <f t="array" aca="1" ref="H56" ca="1">IFERROR(INDEX(_xlfn.ANCHORARRAY($AA$11),ROW()-10,8),"")</f>
        <v/>
      </c>
      <c r="I56" s="22" t="str" cm="1">
        <f t="array" aca="1" ref="I56" ca="1">IFERROR(INDEX(_xlfn.ANCHORARRAY($AA$11),ROW()-10,9),"")</f>
        <v/>
      </c>
      <c r="J56" s="22" t="str">
        <f t="shared" ca="1" si="4"/>
        <v/>
      </c>
      <c r="K56" s="22" t="str">
        <f t="shared" ca="1" si="5"/>
        <v/>
      </c>
      <c r="L56" s="22" t="str" cm="1">
        <f t="array" aca="1" ref="L56" ca="1">_xlfn.LET(_xlpm.link,IFERROR(INDEX(_xlfn.ANCHORARRAY($AA$11),ROW()-10,12),""),IF(_xlpm.link="","",HYPERLINK(_xlpm.link,"Bluecore/Attentive")))</f>
        <v/>
      </c>
      <c r="M56" s="9"/>
      <c r="N56" s="9"/>
      <c r="O56" s="9"/>
      <c r="P56" s="9"/>
      <c r="Q56" s="9"/>
      <c r="R56" s="9"/>
      <c r="S56" s="8"/>
      <c r="T56" s="8"/>
      <c r="U56" s="8"/>
      <c r="V56" s="8"/>
      <c r="W56" s="8"/>
      <c r="X56" s="8"/>
      <c r="Y56" s="8"/>
      <c r="Z56" s="8"/>
      <c r="AA56"/>
      <c r="AB56"/>
      <c r="AC56"/>
      <c r="AD56"/>
      <c r="AE56"/>
      <c r="AF56"/>
      <c r="AG56"/>
      <c r="AH56"/>
      <c r="AI56"/>
      <c r="AJ56"/>
      <c r="AK56"/>
      <c r="AL56"/>
    </row>
    <row r="57" spans="1:38">
      <c r="A57" s="64" t="str" cm="1">
        <f t="array" aca="1" ref="A57" ca="1">IFERROR(INDEX(_xlfn.ANCHORARRAY($AA$11),ROW()-10,1),"")</f>
        <v/>
      </c>
      <c r="B57" s="31" t="str" cm="1">
        <f t="array" aca="1" ref="B57" ca="1">IFERROR(INDEX(_xlfn.ANCHORARRAY($AA$11),ROW()-10,2),"")</f>
        <v/>
      </c>
      <c r="C57" s="22" t="str" cm="1">
        <f t="array" aca="1" ref="C57" ca="1">IFERROR(INDEX(_xlfn.ANCHORARRAY($AA$11),ROW()-10,3),"")</f>
        <v/>
      </c>
      <c r="D57" s="22" t="str" cm="1">
        <f t="array" aca="1" ref="D57" ca="1">IFERROR(INDEX(_xlfn.ANCHORARRAY($AA$11),ROW()-10,4),"")</f>
        <v/>
      </c>
      <c r="E57" s="22" t="str" cm="1">
        <f t="array" aca="1" ref="E57" ca="1">IFERROR(INDEX(_xlfn.ANCHORARRAY($AA$11),ROW()-10,5),"")</f>
        <v/>
      </c>
      <c r="F57" s="22" t="str" cm="1">
        <f t="array" aca="1" ref="F57" ca="1">IFERROR(INDEX(_xlfn.ANCHORARRAY($AA$11),ROW()-10,6),"")</f>
        <v/>
      </c>
      <c r="G57" s="22" t="str" cm="1">
        <f t="array" aca="1" ref="G57" ca="1">IFERROR(INDEX(_xlfn.ANCHORARRAY($AA$11),ROW()-10,7),"")</f>
        <v/>
      </c>
      <c r="H57" s="22" t="str" cm="1">
        <f t="array" aca="1" ref="H57" ca="1">IFERROR(INDEX(_xlfn.ANCHORARRAY($AA$11),ROW()-10,8),"")</f>
        <v/>
      </c>
      <c r="I57" s="22" t="str" cm="1">
        <f t="array" aca="1" ref="I57" ca="1">IFERROR(INDEX(_xlfn.ANCHORARRAY($AA$11),ROW()-10,9),"")</f>
        <v/>
      </c>
      <c r="J57" s="22" t="str">
        <f t="shared" ca="1" si="4"/>
        <v/>
      </c>
      <c r="K57" s="22" t="str">
        <f t="shared" ca="1" si="5"/>
        <v/>
      </c>
      <c r="L57" s="22" t="str" cm="1">
        <f t="array" aca="1" ref="L57" ca="1">_xlfn.LET(_xlpm.link,IFERROR(INDEX(_xlfn.ANCHORARRAY($AA$11),ROW()-10,12),""),IF(_xlpm.link="","",HYPERLINK(_xlpm.link,"Bluecore/Attentive")))</f>
        <v/>
      </c>
      <c r="M57" s="9"/>
      <c r="N57" s="9"/>
      <c r="O57" s="9"/>
      <c r="P57" s="9"/>
      <c r="Q57" s="9"/>
      <c r="R57" s="9"/>
      <c r="S57" s="8"/>
      <c r="T57" s="8"/>
      <c r="U57" s="8"/>
      <c r="V57" s="8"/>
      <c r="W57" s="8"/>
      <c r="X57" s="8"/>
      <c r="Y57" s="8"/>
      <c r="Z57" s="8"/>
      <c r="AA57"/>
      <c r="AB57"/>
      <c r="AC57"/>
      <c r="AD57"/>
      <c r="AE57"/>
      <c r="AF57"/>
      <c r="AG57"/>
      <c r="AH57"/>
      <c r="AI57"/>
      <c r="AJ57"/>
      <c r="AK57"/>
      <c r="AL57"/>
    </row>
    <row r="58" spans="1:38">
      <c r="A58" s="64" t="str" cm="1">
        <f t="array" aca="1" ref="A58" ca="1">IFERROR(INDEX(_xlfn.ANCHORARRAY($AA$11),ROW()-10,1),"")</f>
        <v/>
      </c>
      <c r="B58" s="31" t="str" cm="1">
        <f t="array" aca="1" ref="B58" ca="1">IFERROR(INDEX(_xlfn.ANCHORARRAY($AA$11),ROW()-10,2),"")</f>
        <v/>
      </c>
      <c r="C58" s="22" t="str" cm="1">
        <f t="array" aca="1" ref="C58" ca="1">IFERROR(INDEX(_xlfn.ANCHORARRAY($AA$11),ROW()-10,3),"")</f>
        <v/>
      </c>
      <c r="D58" s="22" t="str" cm="1">
        <f t="array" aca="1" ref="D58" ca="1">IFERROR(INDEX(_xlfn.ANCHORARRAY($AA$11),ROW()-10,4),"")</f>
        <v/>
      </c>
      <c r="E58" s="22" t="str" cm="1">
        <f t="array" aca="1" ref="E58" ca="1">IFERROR(INDEX(_xlfn.ANCHORARRAY($AA$11),ROW()-10,5),"")</f>
        <v/>
      </c>
      <c r="F58" s="22" t="str" cm="1">
        <f t="array" aca="1" ref="F58" ca="1">IFERROR(INDEX(_xlfn.ANCHORARRAY($AA$11),ROW()-10,6),"")</f>
        <v/>
      </c>
      <c r="G58" s="22" t="str" cm="1">
        <f t="array" aca="1" ref="G58" ca="1">IFERROR(INDEX(_xlfn.ANCHORARRAY($AA$11),ROW()-10,7),"")</f>
        <v/>
      </c>
      <c r="H58" s="22" t="str" cm="1">
        <f t="array" aca="1" ref="H58" ca="1">IFERROR(INDEX(_xlfn.ANCHORARRAY($AA$11),ROW()-10,8),"")</f>
        <v/>
      </c>
      <c r="I58" s="22" t="str" cm="1">
        <f t="array" aca="1" ref="I58" ca="1">IFERROR(INDEX(_xlfn.ANCHORARRAY($AA$11),ROW()-10,9),"")</f>
        <v/>
      </c>
      <c r="J58" s="22" t="str">
        <f t="shared" ca="1" si="4"/>
        <v/>
      </c>
      <c r="K58" s="22" t="str">
        <f t="shared" ca="1" si="5"/>
        <v/>
      </c>
      <c r="L58" s="22" t="str" cm="1">
        <f t="array" aca="1" ref="L58" ca="1">_xlfn.LET(_xlpm.link,IFERROR(INDEX(_xlfn.ANCHORARRAY($AA$11),ROW()-10,12),""),IF(_xlpm.link="","",HYPERLINK(_xlpm.link,"Bluecore/Attentive")))</f>
        <v/>
      </c>
      <c r="M58" s="9"/>
      <c r="N58" s="9"/>
      <c r="O58" s="9"/>
      <c r="P58" s="9"/>
      <c r="Q58" s="9"/>
      <c r="R58" s="9"/>
      <c r="S58" s="8"/>
      <c r="T58" s="8"/>
      <c r="U58" s="8"/>
      <c r="V58" s="8"/>
      <c r="W58" s="8"/>
      <c r="X58" s="8"/>
      <c r="Y58" s="8"/>
      <c r="Z58" s="8"/>
      <c r="AA58"/>
      <c r="AB58"/>
      <c r="AC58"/>
      <c r="AD58"/>
      <c r="AE58"/>
      <c r="AF58"/>
      <c r="AG58"/>
      <c r="AH58"/>
      <c r="AI58"/>
      <c r="AJ58"/>
      <c r="AK58"/>
      <c r="AL58"/>
    </row>
    <row r="59" spans="1:38">
      <c r="A59" s="64" t="str" cm="1">
        <f t="array" aca="1" ref="A59" ca="1">IFERROR(INDEX(_xlfn.ANCHORARRAY($AA$11),ROW()-10,1),"")</f>
        <v/>
      </c>
      <c r="B59" s="31" t="str" cm="1">
        <f t="array" aca="1" ref="B59" ca="1">IFERROR(INDEX(_xlfn.ANCHORARRAY($AA$11),ROW()-10,2),"")</f>
        <v/>
      </c>
      <c r="C59" s="22" t="str" cm="1">
        <f t="array" aca="1" ref="C59" ca="1">IFERROR(INDEX(_xlfn.ANCHORARRAY($AA$11),ROW()-10,3),"")</f>
        <v/>
      </c>
      <c r="D59" s="22" t="str" cm="1">
        <f t="array" aca="1" ref="D59" ca="1">IFERROR(INDEX(_xlfn.ANCHORARRAY($AA$11),ROW()-10,4),"")</f>
        <v/>
      </c>
      <c r="E59" s="22" t="str" cm="1">
        <f t="array" aca="1" ref="E59" ca="1">IFERROR(INDEX(_xlfn.ANCHORARRAY($AA$11),ROW()-10,5),"")</f>
        <v/>
      </c>
      <c r="F59" s="22" t="str" cm="1">
        <f t="array" aca="1" ref="F59" ca="1">IFERROR(INDEX(_xlfn.ANCHORARRAY($AA$11),ROW()-10,6),"")</f>
        <v/>
      </c>
      <c r="G59" s="22" t="str" cm="1">
        <f t="array" aca="1" ref="G59" ca="1">IFERROR(INDEX(_xlfn.ANCHORARRAY($AA$11),ROW()-10,7),"")</f>
        <v/>
      </c>
      <c r="H59" s="22" t="str" cm="1">
        <f t="array" aca="1" ref="H59" ca="1">IFERROR(INDEX(_xlfn.ANCHORARRAY($AA$11),ROW()-10,8),"")</f>
        <v/>
      </c>
      <c r="I59" s="22" t="str" cm="1">
        <f t="array" aca="1" ref="I59" ca="1">IFERROR(INDEX(_xlfn.ANCHORARRAY($AA$11),ROW()-10,9),"")</f>
        <v/>
      </c>
      <c r="J59" s="22" t="str">
        <f t="shared" ca="1" si="4"/>
        <v/>
      </c>
      <c r="K59" s="22" t="str">
        <f t="shared" ca="1" si="5"/>
        <v/>
      </c>
      <c r="L59" s="22" t="str" cm="1">
        <f t="array" aca="1" ref="L59" ca="1">_xlfn.LET(_xlpm.link,IFERROR(INDEX(_xlfn.ANCHORARRAY($AA$11),ROW()-10,12),""),IF(_xlpm.link="","",HYPERLINK(_xlpm.link,"Bluecore/Attentive")))</f>
        <v/>
      </c>
      <c r="M59" s="9"/>
      <c r="N59" s="9"/>
      <c r="O59" s="9"/>
      <c r="P59" s="9"/>
      <c r="Q59" s="9"/>
      <c r="R59" s="9"/>
      <c r="S59" s="8"/>
      <c r="T59" s="8"/>
      <c r="U59" s="8"/>
      <c r="V59" s="8"/>
      <c r="W59" s="8"/>
      <c r="X59" s="8"/>
      <c r="Y59" s="8"/>
      <c r="Z59" s="8"/>
      <c r="AA59"/>
      <c r="AB59"/>
      <c r="AC59"/>
      <c r="AD59"/>
      <c r="AE59"/>
      <c r="AF59"/>
      <c r="AG59"/>
      <c r="AH59"/>
      <c r="AI59"/>
      <c r="AJ59"/>
      <c r="AK59"/>
      <c r="AL59"/>
    </row>
    <row r="60" spans="1:38">
      <c r="A60" s="64" t="str" cm="1">
        <f t="array" aca="1" ref="A60" ca="1">IFERROR(INDEX(_xlfn.ANCHORARRAY($AA$11),ROW()-10,1),"")</f>
        <v/>
      </c>
      <c r="B60" s="31" t="str" cm="1">
        <f t="array" aca="1" ref="B60" ca="1">IFERROR(INDEX(_xlfn.ANCHORARRAY($AA$11),ROW()-10,2),"")</f>
        <v/>
      </c>
      <c r="C60" s="22" t="str" cm="1">
        <f t="array" aca="1" ref="C60" ca="1">IFERROR(INDEX(_xlfn.ANCHORARRAY($AA$11),ROW()-10,3),"")</f>
        <v/>
      </c>
      <c r="D60" s="22" t="str" cm="1">
        <f t="array" aca="1" ref="D60" ca="1">IFERROR(INDEX(_xlfn.ANCHORARRAY($AA$11),ROW()-10,4),"")</f>
        <v/>
      </c>
      <c r="E60" s="22" t="str" cm="1">
        <f t="array" aca="1" ref="E60" ca="1">IFERROR(INDEX(_xlfn.ANCHORARRAY($AA$11),ROW()-10,5),"")</f>
        <v/>
      </c>
      <c r="F60" s="22" t="str" cm="1">
        <f t="array" aca="1" ref="F60" ca="1">IFERROR(INDEX(_xlfn.ANCHORARRAY($AA$11),ROW()-10,6),"")</f>
        <v/>
      </c>
      <c r="G60" s="22" t="str" cm="1">
        <f t="array" aca="1" ref="G60" ca="1">IFERROR(INDEX(_xlfn.ANCHORARRAY($AA$11),ROW()-10,7),"")</f>
        <v/>
      </c>
      <c r="H60" s="22" t="str" cm="1">
        <f t="array" aca="1" ref="H60" ca="1">IFERROR(INDEX(_xlfn.ANCHORARRAY($AA$11),ROW()-10,8),"")</f>
        <v/>
      </c>
      <c r="I60" s="22" t="str" cm="1">
        <f t="array" aca="1" ref="I60" ca="1">IFERROR(INDEX(_xlfn.ANCHORARRAY($AA$11),ROW()-10,9),"")</f>
        <v/>
      </c>
      <c r="J60" s="22" t="str">
        <f t="shared" ca="1" si="4"/>
        <v/>
      </c>
      <c r="K60" s="22" t="str">
        <f t="shared" ca="1" si="5"/>
        <v/>
      </c>
      <c r="L60" s="22" t="str" cm="1">
        <f t="array" aca="1" ref="L60" ca="1">_xlfn.LET(_xlpm.link,IFERROR(INDEX(_xlfn.ANCHORARRAY($AA$11),ROW()-10,12),""),IF(_xlpm.link="","",HYPERLINK(_xlpm.link,"Bluecore/Attentive")))</f>
        <v/>
      </c>
      <c r="M60" s="9"/>
      <c r="N60" s="9"/>
      <c r="O60" s="9"/>
      <c r="P60" s="9"/>
      <c r="Q60" s="9"/>
      <c r="R60" s="9"/>
      <c r="S60" s="8"/>
      <c r="T60" s="8"/>
      <c r="U60" s="8"/>
      <c r="V60" s="8"/>
      <c r="W60" s="8"/>
      <c r="X60" s="8"/>
      <c r="Y60" s="8"/>
      <c r="Z60" s="8"/>
      <c r="AA60"/>
      <c r="AB60"/>
      <c r="AC60"/>
      <c r="AD60"/>
      <c r="AE60"/>
      <c r="AF60"/>
      <c r="AG60"/>
      <c r="AH60"/>
      <c r="AI60"/>
      <c r="AJ60"/>
      <c r="AK60"/>
      <c r="AL60"/>
    </row>
    <row r="61" spans="1:38">
      <c r="A61" s="64" t="str" cm="1">
        <f t="array" aca="1" ref="A61" ca="1">IFERROR(INDEX(_xlfn.ANCHORARRAY($AA$11),ROW()-10,1),"")</f>
        <v/>
      </c>
      <c r="B61" s="31" t="str" cm="1">
        <f t="array" aca="1" ref="B61" ca="1">IFERROR(INDEX(_xlfn.ANCHORARRAY($AA$11),ROW()-10,2),"")</f>
        <v/>
      </c>
      <c r="C61" s="22" t="str" cm="1">
        <f t="array" aca="1" ref="C61" ca="1">IFERROR(INDEX(_xlfn.ANCHORARRAY($AA$11),ROW()-10,3),"")</f>
        <v/>
      </c>
      <c r="D61" s="22" t="str" cm="1">
        <f t="array" aca="1" ref="D61" ca="1">IFERROR(INDEX(_xlfn.ANCHORARRAY($AA$11),ROW()-10,4),"")</f>
        <v/>
      </c>
      <c r="E61" s="22" t="str" cm="1">
        <f t="array" aca="1" ref="E61" ca="1">IFERROR(INDEX(_xlfn.ANCHORARRAY($AA$11),ROW()-10,5),"")</f>
        <v/>
      </c>
      <c r="F61" s="22" t="str" cm="1">
        <f t="array" aca="1" ref="F61" ca="1">IFERROR(INDEX(_xlfn.ANCHORARRAY($AA$11),ROW()-10,6),"")</f>
        <v/>
      </c>
      <c r="G61" s="22" t="str" cm="1">
        <f t="array" aca="1" ref="G61" ca="1">IFERROR(INDEX(_xlfn.ANCHORARRAY($AA$11),ROW()-10,7),"")</f>
        <v/>
      </c>
      <c r="H61" s="22" t="str" cm="1">
        <f t="array" aca="1" ref="H61" ca="1">IFERROR(INDEX(_xlfn.ANCHORARRAY($AA$11),ROW()-10,8),"")</f>
        <v/>
      </c>
      <c r="I61" s="22" t="str" cm="1">
        <f t="array" aca="1" ref="I61" ca="1">IFERROR(INDEX(_xlfn.ANCHORARRAY($AA$11),ROW()-10,9),"")</f>
        <v/>
      </c>
      <c r="J61" s="22" t="str">
        <f t="shared" ca="1" si="4"/>
        <v/>
      </c>
      <c r="K61" s="22" t="str">
        <f t="shared" ca="1" si="5"/>
        <v/>
      </c>
      <c r="L61" s="22" t="str" cm="1">
        <f t="array" aca="1" ref="L61" ca="1">_xlfn.LET(_xlpm.link,IFERROR(INDEX(_xlfn.ANCHORARRAY($AA$11),ROW()-10,12),""),IF(_xlpm.link="","",HYPERLINK(_xlpm.link,"Bluecore/Attentive")))</f>
        <v/>
      </c>
      <c r="M61" s="9"/>
      <c r="N61" s="9"/>
      <c r="O61" s="9"/>
      <c r="P61" s="9"/>
      <c r="Q61" s="9"/>
      <c r="R61" s="9"/>
      <c r="S61" s="8"/>
      <c r="T61" s="8"/>
      <c r="U61" s="8"/>
      <c r="V61" s="8"/>
      <c r="W61" s="8"/>
      <c r="X61" s="8"/>
      <c r="Y61" s="8"/>
      <c r="Z61" s="8"/>
      <c r="AA61"/>
      <c r="AB61"/>
      <c r="AC61"/>
      <c r="AD61"/>
      <c r="AE61"/>
      <c r="AF61"/>
      <c r="AG61"/>
      <c r="AH61"/>
      <c r="AI61"/>
      <c r="AJ61"/>
      <c r="AK61"/>
      <c r="AL61"/>
    </row>
    <row r="62" spans="1:38">
      <c r="A62" s="64" t="str" cm="1">
        <f t="array" aca="1" ref="A62" ca="1">IFERROR(INDEX(_xlfn.ANCHORARRAY($AA$11),ROW()-10,1),"")</f>
        <v/>
      </c>
      <c r="B62" s="31" t="str" cm="1">
        <f t="array" aca="1" ref="B62" ca="1">IFERROR(INDEX(_xlfn.ANCHORARRAY($AA$11),ROW()-10,2),"")</f>
        <v/>
      </c>
      <c r="C62" s="22" t="str" cm="1">
        <f t="array" aca="1" ref="C62" ca="1">IFERROR(INDEX(_xlfn.ANCHORARRAY($AA$11),ROW()-10,3),"")</f>
        <v/>
      </c>
      <c r="D62" s="22" t="str" cm="1">
        <f t="array" aca="1" ref="D62" ca="1">IFERROR(INDEX(_xlfn.ANCHORARRAY($AA$11),ROW()-10,4),"")</f>
        <v/>
      </c>
      <c r="E62" s="22" t="str" cm="1">
        <f t="array" aca="1" ref="E62" ca="1">IFERROR(INDEX(_xlfn.ANCHORARRAY($AA$11),ROW()-10,5),"")</f>
        <v/>
      </c>
      <c r="F62" s="22" t="str" cm="1">
        <f t="array" aca="1" ref="F62" ca="1">IFERROR(INDEX(_xlfn.ANCHORARRAY($AA$11),ROW()-10,6),"")</f>
        <v/>
      </c>
      <c r="G62" s="22" t="str" cm="1">
        <f t="array" aca="1" ref="G62" ca="1">IFERROR(INDEX(_xlfn.ANCHORARRAY($AA$11),ROW()-10,7),"")</f>
        <v/>
      </c>
      <c r="H62" s="22" t="str" cm="1">
        <f t="array" aca="1" ref="H62" ca="1">IFERROR(INDEX(_xlfn.ANCHORARRAY($AA$11),ROW()-10,8),"")</f>
        <v/>
      </c>
      <c r="I62" s="22" t="str" cm="1">
        <f t="array" aca="1" ref="I62" ca="1">IFERROR(INDEX(_xlfn.ANCHORARRAY($AA$11),ROW()-10,9),"")</f>
        <v/>
      </c>
      <c r="J62" s="22" t="str">
        <f t="shared" ca="1" si="4"/>
        <v/>
      </c>
      <c r="K62" s="22" t="str">
        <f t="shared" ca="1" si="5"/>
        <v/>
      </c>
      <c r="L62" s="22" t="str" cm="1">
        <f t="array" aca="1" ref="L62" ca="1">_xlfn.LET(_xlpm.link,IFERROR(INDEX(_xlfn.ANCHORARRAY($AA$11),ROW()-10,12),""),IF(_xlpm.link="","",HYPERLINK(_xlpm.link,"Bluecore/Attentive")))</f>
        <v/>
      </c>
      <c r="M62" s="9"/>
      <c r="N62" s="9"/>
      <c r="O62" s="9"/>
      <c r="P62" s="9"/>
      <c r="Q62" s="9"/>
      <c r="R62" s="9"/>
      <c r="S62" s="8"/>
      <c r="T62" s="8"/>
      <c r="U62" s="8"/>
      <c r="V62" s="8"/>
      <c r="W62" s="8"/>
      <c r="X62" s="8"/>
      <c r="Y62" s="8"/>
      <c r="Z62" s="8"/>
      <c r="AA62"/>
      <c r="AB62"/>
      <c r="AC62"/>
      <c r="AD62"/>
      <c r="AE62"/>
      <c r="AF62"/>
      <c r="AG62"/>
      <c r="AH62"/>
      <c r="AI62"/>
      <c r="AJ62"/>
      <c r="AK62"/>
      <c r="AL62"/>
    </row>
    <row r="63" spans="1:38">
      <c r="A63" s="64" t="str" cm="1">
        <f t="array" aca="1" ref="A63" ca="1">IFERROR(INDEX(_xlfn.ANCHORARRAY($AA$11),ROW()-10,1),"")</f>
        <v/>
      </c>
      <c r="B63" s="31" t="str" cm="1">
        <f t="array" aca="1" ref="B63" ca="1">IFERROR(INDEX(_xlfn.ANCHORARRAY($AA$11),ROW()-10,2),"")</f>
        <v/>
      </c>
      <c r="C63" s="22" t="str" cm="1">
        <f t="array" aca="1" ref="C63" ca="1">IFERROR(INDEX(_xlfn.ANCHORARRAY($AA$11),ROW()-10,3),"")</f>
        <v/>
      </c>
      <c r="D63" s="22" t="str" cm="1">
        <f t="array" aca="1" ref="D63" ca="1">IFERROR(INDEX(_xlfn.ANCHORARRAY($AA$11),ROW()-10,4),"")</f>
        <v/>
      </c>
      <c r="E63" s="22" t="str" cm="1">
        <f t="array" aca="1" ref="E63" ca="1">IFERROR(INDEX(_xlfn.ANCHORARRAY($AA$11),ROW()-10,5),"")</f>
        <v/>
      </c>
      <c r="F63" s="22" t="str" cm="1">
        <f t="array" aca="1" ref="F63" ca="1">IFERROR(INDEX(_xlfn.ANCHORARRAY($AA$11),ROW()-10,6),"")</f>
        <v/>
      </c>
      <c r="G63" s="22" t="str" cm="1">
        <f t="array" aca="1" ref="G63" ca="1">IFERROR(INDEX(_xlfn.ANCHORARRAY($AA$11),ROW()-10,7),"")</f>
        <v/>
      </c>
      <c r="H63" s="22" t="str" cm="1">
        <f t="array" aca="1" ref="H63" ca="1">IFERROR(INDEX(_xlfn.ANCHORARRAY($AA$11),ROW()-10,8),"")</f>
        <v/>
      </c>
      <c r="I63" s="22" t="str" cm="1">
        <f t="array" aca="1" ref="I63" ca="1">IFERROR(INDEX(_xlfn.ANCHORARRAY($AA$11),ROW()-10,9),"")</f>
        <v/>
      </c>
      <c r="J63" s="22" t="str">
        <f t="shared" ca="1" si="4"/>
        <v/>
      </c>
      <c r="K63" s="22" t="str">
        <f t="shared" ca="1" si="5"/>
        <v/>
      </c>
      <c r="L63" s="22" t="str" cm="1">
        <f t="array" aca="1" ref="L63" ca="1">_xlfn.LET(_xlpm.link,IFERROR(INDEX(_xlfn.ANCHORARRAY($AA$11),ROW()-10,12),""),IF(_xlpm.link="","",HYPERLINK(_xlpm.link,"Bluecore/Attentive")))</f>
        <v/>
      </c>
      <c r="M63" s="9"/>
      <c r="N63" s="9"/>
      <c r="O63" s="9"/>
      <c r="P63" s="9"/>
      <c r="Q63" s="9"/>
      <c r="R63" s="9"/>
      <c r="S63" s="8"/>
      <c r="T63" s="8"/>
      <c r="U63" s="8"/>
      <c r="V63" s="8"/>
      <c r="W63" s="8"/>
      <c r="X63" s="8"/>
      <c r="Y63" s="8"/>
      <c r="Z63" s="8"/>
      <c r="AA63"/>
      <c r="AB63"/>
      <c r="AC63"/>
      <c r="AD63"/>
      <c r="AE63"/>
      <c r="AF63"/>
      <c r="AG63"/>
      <c r="AH63"/>
      <c r="AI63"/>
      <c r="AJ63"/>
      <c r="AK63"/>
      <c r="AL63"/>
    </row>
    <row r="64" spans="1:38">
      <c r="A64" s="64" t="str" cm="1">
        <f t="array" aca="1" ref="A64" ca="1">IFERROR(INDEX(_xlfn.ANCHORARRAY($AA$11),ROW()-10,1),"")</f>
        <v/>
      </c>
      <c r="B64" s="31" t="str" cm="1">
        <f t="array" aca="1" ref="B64" ca="1">IFERROR(INDEX(_xlfn.ANCHORARRAY($AA$11),ROW()-10,2),"")</f>
        <v/>
      </c>
      <c r="C64" s="22" t="str" cm="1">
        <f t="array" aca="1" ref="C64" ca="1">IFERROR(INDEX(_xlfn.ANCHORARRAY($AA$11),ROW()-10,3),"")</f>
        <v/>
      </c>
      <c r="D64" s="22" t="str" cm="1">
        <f t="array" aca="1" ref="D64" ca="1">IFERROR(INDEX(_xlfn.ANCHORARRAY($AA$11),ROW()-10,4),"")</f>
        <v/>
      </c>
      <c r="E64" s="22" t="str" cm="1">
        <f t="array" aca="1" ref="E64" ca="1">IFERROR(INDEX(_xlfn.ANCHORARRAY($AA$11),ROW()-10,5),"")</f>
        <v/>
      </c>
      <c r="F64" s="22" t="str" cm="1">
        <f t="array" aca="1" ref="F64" ca="1">IFERROR(INDEX(_xlfn.ANCHORARRAY($AA$11),ROW()-10,6),"")</f>
        <v/>
      </c>
      <c r="G64" s="22" t="str" cm="1">
        <f t="array" aca="1" ref="G64" ca="1">IFERROR(INDEX(_xlfn.ANCHORARRAY($AA$11),ROW()-10,7),"")</f>
        <v/>
      </c>
      <c r="H64" s="22" t="str" cm="1">
        <f t="array" aca="1" ref="H64" ca="1">IFERROR(INDEX(_xlfn.ANCHORARRAY($AA$11),ROW()-10,8),"")</f>
        <v/>
      </c>
      <c r="I64" s="22" t="str" cm="1">
        <f t="array" aca="1" ref="I64" ca="1">IFERROR(INDEX(_xlfn.ANCHORARRAY($AA$11),ROW()-10,9),"")</f>
        <v/>
      </c>
      <c r="J64" s="22" t="str">
        <f t="shared" ca="1" si="4"/>
        <v/>
      </c>
      <c r="K64" s="22" t="str">
        <f t="shared" ca="1" si="5"/>
        <v/>
      </c>
      <c r="L64" s="22" t="str" cm="1">
        <f t="array" aca="1" ref="L64" ca="1">_xlfn.LET(_xlpm.link,IFERROR(INDEX(_xlfn.ANCHORARRAY($AA$11),ROW()-10,12),""),IF(_xlpm.link="","",HYPERLINK(_xlpm.link,"Bluecore/Attentive")))</f>
        <v/>
      </c>
      <c r="M64" s="9"/>
      <c r="N64" s="9"/>
      <c r="O64" s="9"/>
      <c r="P64" s="9"/>
      <c r="Q64" s="9"/>
      <c r="R64" s="9"/>
      <c r="S64" s="8"/>
      <c r="T64" s="8"/>
      <c r="U64" s="8"/>
      <c r="V64" s="8"/>
      <c r="W64" s="8"/>
      <c r="X64" s="8"/>
      <c r="Y64" s="8"/>
      <c r="Z64" s="8"/>
      <c r="AA64"/>
      <c r="AB64"/>
      <c r="AC64"/>
      <c r="AD64"/>
      <c r="AE64"/>
      <c r="AF64"/>
      <c r="AG64"/>
      <c r="AH64"/>
      <c r="AI64"/>
      <c r="AJ64"/>
      <c r="AK64"/>
      <c r="AL64"/>
    </row>
    <row r="65" spans="1:38">
      <c r="A65" s="64" t="str" cm="1">
        <f t="array" aca="1" ref="A65" ca="1">IFERROR(INDEX(_xlfn.ANCHORARRAY($AA$11),ROW()-10,1),"")</f>
        <v/>
      </c>
      <c r="B65" s="31" t="str" cm="1">
        <f t="array" aca="1" ref="B65" ca="1">IFERROR(INDEX(_xlfn.ANCHORARRAY($AA$11),ROW()-10,2),"")</f>
        <v/>
      </c>
      <c r="C65" s="22" t="str" cm="1">
        <f t="array" aca="1" ref="C65" ca="1">IFERROR(INDEX(_xlfn.ANCHORARRAY($AA$11),ROW()-10,3),"")</f>
        <v/>
      </c>
      <c r="D65" s="22" t="str" cm="1">
        <f t="array" aca="1" ref="D65" ca="1">IFERROR(INDEX(_xlfn.ANCHORARRAY($AA$11),ROW()-10,4),"")</f>
        <v/>
      </c>
      <c r="E65" s="22" t="str" cm="1">
        <f t="array" aca="1" ref="E65" ca="1">IFERROR(INDEX(_xlfn.ANCHORARRAY($AA$11),ROW()-10,5),"")</f>
        <v/>
      </c>
      <c r="F65" s="22" t="str" cm="1">
        <f t="array" aca="1" ref="F65" ca="1">IFERROR(INDEX(_xlfn.ANCHORARRAY($AA$11),ROW()-10,6),"")</f>
        <v/>
      </c>
      <c r="G65" s="22" t="str" cm="1">
        <f t="array" aca="1" ref="G65" ca="1">IFERROR(INDEX(_xlfn.ANCHORARRAY($AA$11),ROW()-10,7),"")</f>
        <v/>
      </c>
      <c r="H65" s="22" t="str" cm="1">
        <f t="array" aca="1" ref="H65" ca="1">IFERROR(INDEX(_xlfn.ANCHORARRAY($AA$11),ROW()-10,8),"")</f>
        <v/>
      </c>
      <c r="I65" s="22" t="str" cm="1">
        <f t="array" aca="1" ref="I65" ca="1">IFERROR(INDEX(_xlfn.ANCHORARRAY($AA$11),ROW()-10,9),"")</f>
        <v/>
      </c>
      <c r="J65" s="22" t="str">
        <f t="shared" ca="1" si="4"/>
        <v/>
      </c>
      <c r="K65" s="22" t="str">
        <f t="shared" ca="1" si="5"/>
        <v/>
      </c>
      <c r="L65" s="22" t="str" cm="1">
        <f t="array" aca="1" ref="L65" ca="1">_xlfn.LET(_xlpm.link,IFERROR(INDEX(_xlfn.ANCHORARRAY($AA$11),ROW()-10,12),""),IF(_xlpm.link="","",HYPERLINK(_xlpm.link,"Bluecore/Attentive")))</f>
        <v/>
      </c>
      <c r="M65" s="9"/>
      <c r="N65" s="9"/>
      <c r="O65" s="9"/>
      <c r="P65" s="9"/>
      <c r="Q65" s="9"/>
      <c r="R65" s="9"/>
      <c r="S65" s="8"/>
      <c r="T65" s="8"/>
      <c r="U65" s="8"/>
      <c r="V65" s="8"/>
      <c r="W65" s="8"/>
      <c r="X65" s="8"/>
      <c r="Y65" s="8"/>
      <c r="Z65" s="8"/>
      <c r="AA65"/>
      <c r="AB65"/>
      <c r="AC65"/>
      <c r="AD65"/>
      <c r="AE65"/>
      <c r="AF65"/>
      <c r="AG65"/>
      <c r="AH65"/>
      <c r="AI65"/>
      <c r="AJ65"/>
      <c r="AK65"/>
      <c r="AL65"/>
    </row>
    <row r="66" spans="1:38">
      <c r="A66" s="64" t="str" cm="1">
        <f t="array" aca="1" ref="A66" ca="1">IFERROR(INDEX(_xlfn.ANCHORARRAY($AA$11),ROW()-10,1),"")</f>
        <v/>
      </c>
      <c r="B66" s="31" t="str" cm="1">
        <f t="array" aca="1" ref="B66" ca="1">IFERROR(INDEX(_xlfn.ANCHORARRAY($AA$11),ROW()-10,2),"")</f>
        <v/>
      </c>
      <c r="C66" s="22" t="str" cm="1">
        <f t="array" aca="1" ref="C66" ca="1">IFERROR(INDEX(_xlfn.ANCHORARRAY($AA$11),ROW()-10,3),"")</f>
        <v/>
      </c>
      <c r="D66" s="22" t="str" cm="1">
        <f t="array" aca="1" ref="D66" ca="1">IFERROR(INDEX(_xlfn.ANCHORARRAY($AA$11),ROW()-10,4),"")</f>
        <v/>
      </c>
      <c r="E66" s="22" t="str" cm="1">
        <f t="array" aca="1" ref="E66" ca="1">IFERROR(INDEX(_xlfn.ANCHORARRAY($AA$11),ROW()-10,5),"")</f>
        <v/>
      </c>
      <c r="F66" s="22" t="str" cm="1">
        <f t="array" aca="1" ref="F66" ca="1">IFERROR(INDEX(_xlfn.ANCHORARRAY($AA$11),ROW()-10,6),"")</f>
        <v/>
      </c>
      <c r="G66" s="22" t="str" cm="1">
        <f t="array" aca="1" ref="G66" ca="1">IFERROR(INDEX(_xlfn.ANCHORARRAY($AA$11),ROW()-10,7),"")</f>
        <v/>
      </c>
      <c r="H66" s="22" t="str" cm="1">
        <f t="array" aca="1" ref="H66" ca="1">IFERROR(INDEX(_xlfn.ANCHORARRAY($AA$11),ROW()-10,8),"")</f>
        <v/>
      </c>
      <c r="I66" s="22" t="str" cm="1">
        <f t="array" aca="1" ref="I66" ca="1">IFERROR(INDEX(_xlfn.ANCHORARRAY($AA$11),ROW()-10,9),"")</f>
        <v/>
      </c>
      <c r="J66" s="22" t="str">
        <f t="shared" ca="1" si="4"/>
        <v/>
      </c>
      <c r="K66" s="22" t="str">
        <f t="shared" ca="1" si="5"/>
        <v/>
      </c>
      <c r="L66" s="22" t="str" cm="1">
        <f t="array" aca="1" ref="L66" ca="1">_xlfn.LET(_xlpm.link,IFERROR(INDEX(_xlfn.ANCHORARRAY($AA$11),ROW()-10,12),""),IF(_xlpm.link="","",HYPERLINK(_xlpm.link,"Bluecore/Attentive")))</f>
        <v/>
      </c>
      <c r="M66" s="9"/>
      <c r="N66" s="9"/>
      <c r="O66" s="9"/>
      <c r="P66" s="9"/>
      <c r="Q66" s="9"/>
      <c r="R66" s="9"/>
      <c r="S66" s="8"/>
      <c r="T66" s="8"/>
      <c r="U66" s="8"/>
      <c r="V66" s="8"/>
      <c r="W66" s="8"/>
      <c r="X66" s="8"/>
      <c r="Y66" s="8"/>
      <c r="Z66" s="8"/>
      <c r="AA66"/>
      <c r="AB66"/>
      <c r="AC66"/>
      <c r="AD66"/>
      <c r="AE66"/>
      <c r="AF66"/>
      <c r="AG66"/>
      <c r="AH66"/>
      <c r="AI66"/>
      <c r="AJ66"/>
      <c r="AK66"/>
      <c r="AL66"/>
    </row>
    <row r="67" spans="1:38">
      <c r="A67" s="64" t="str" cm="1">
        <f t="array" aca="1" ref="A67" ca="1">IFERROR(INDEX(_xlfn.ANCHORARRAY($AA$11),ROW()-10,1),"")</f>
        <v/>
      </c>
      <c r="B67" s="31" t="str" cm="1">
        <f t="array" aca="1" ref="B67" ca="1">IFERROR(INDEX(_xlfn.ANCHORARRAY($AA$11),ROW()-10,2),"")</f>
        <v/>
      </c>
      <c r="C67" s="22" t="str" cm="1">
        <f t="array" aca="1" ref="C67" ca="1">IFERROR(INDEX(_xlfn.ANCHORARRAY($AA$11),ROW()-10,3),"")</f>
        <v/>
      </c>
      <c r="D67" s="22" t="str" cm="1">
        <f t="array" aca="1" ref="D67" ca="1">IFERROR(INDEX(_xlfn.ANCHORARRAY($AA$11),ROW()-10,4),"")</f>
        <v/>
      </c>
      <c r="E67" s="22" t="str" cm="1">
        <f t="array" aca="1" ref="E67" ca="1">IFERROR(INDEX(_xlfn.ANCHORARRAY($AA$11),ROW()-10,5),"")</f>
        <v/>
      </c>
      <c r="F67" s="22" t="str" cm="1">
        <f t="array" aca="1" ref="F67" ca="1">IFERROR(INDEX(_xlfn.ANCHORARRAY($AA$11),ROW()-10,6),"")</f>
        <v/>
      </c>
      <c r="G67" s="22" t="str" cm="1">
        <f t="array" aca="1" ref="G67" ca="1">IFERROR(INDEX(_xlfn.ANCHORARRAY($AA$11),ROW()-10,7),"")</f>
        <v/>
      </c>
      <c r="H67" s="22" t="str" cm="1">
        <f t="array" aca="1" ref="H67" ca="1">IFERROR(INDEX(_xlfn.ANCHORARRAY($AA$11),ROW()-10,8),"")</f>
        <v/>
      </c>
      <c r="I67" s="22" t="str" cm="1">
        <f t="array" aca="1" ref="I67" ca="1">IFERROR(INDEX(_xlfn.ANCHORARRAY($AA$11),ROW()-10,9),"")</f>
        <v/>
      </c>
      <c r="J67" s="22" t="str">
        <f t="shared" ca="1" si="4"/>
        <v/>
      </c>
      <c r="K67" s="22" t="str">
        <f t="shared" ca="1" si="5"/>
        <v/>
      </c>
      <c r="L67" s="22" t="str" cm="1">
        <f t="array" aca="1" ref="L67" ca="1">_xlfn.LET(_xlpm.link,IFERROR(INDEX(_xlfn.ANCHORARRAY($AA$11),ROW()-10,12),""),IF(_xlpm.link="","",HYPERLINK(_xlpm.link,"Bluecore/Attentive")))</f>
        <v/>
      </c>
      <c r="M67" s="9"/>
      <c r="N67" s="9"/>
      <c r="O67" s="9"/>
      <c r="P67" s="9"/>
      <c r="Q67" s="9"/>
      <c r="R67" s="9"/>
      <c r="S67" s="8"/>
      <c r="T67" s="8"/>
      <c r="U67" s="8"/>
      <c r="V67" s="8"/>
      <c r="W67" s="8"/>
      <c r="X67" s="8"/>
      <c r="Y67" s="8"/>
      <c r="Z67" s="8"/>
      <c r="AA67"/>
      <c r="AB67"/>
      <c r="AC67"/>
      <c r="AD67"/>
      <c r="AE67"/>
      <c r="AF67"/>
      <c r="AG67"/>
      <c r="AH67"/>
      <c r="AI67"/>
      <c r="AJ67"/>
      <c r="AK67"/>
      <c r="AL67"/>
    </row>
    <row r="68" spans="1:38">
      <c r="A68" s="64" t="str" cm="1">
        <f t="array" aca="1" ref="A68" ca="1">IFERROR(INDEX(_xlfn.ANCHORARRAY($AA$11),ROW()-10,1),"")</f>
        <v/>
      </c>
      <c r="B68" s="31" t="str" cm="1">
        <f t="array" aca="1" ref="B68" ca="1">IFERROR(INDEX(_xlfn.ANCHORARRAY($AA$11),ROW()-10,2),"")</f>
        <v/>
      </c>
      <c r="C68" s="22" t="str" cm="1">
        <f t="array" aca="1" ref="C68" ca="1">IFERROR(INDEX(_xlfn.ANCHORARRAY($AA$11),ROW()-10,3),"")</f>
        <v/>
      </c>
      <c r="D68" s="22" t="str" cm="1">
        <f t="array" aca="1" ref="D68" ca="1">IFERROR(INDEX(_xlfn.ANCHORARRAY($AA$11),ROW()-10,4),"")</f>
        <v/>
      </c>
      <c r="E68" s="22" t="str" cm="1">
        <f t="array" aca="1" ref="E68" ca="1">IFERROR(INDEX(_xlfn.ANCHORARRAY($AA$11),ROW()-10,5),"")</f>
        <v/>
      </c>
      <c r="F68" s="22" t="str" cm="1">
        <f t="array" aca="1" ref="F68" ca="1">IFERROR(INDEX(_xlfn.ANCHORARRAY($AA$11),ROW()-10,6),"")</f>
        <v/>
      </c>
      <c r="G68" s="22" t="str" cm="1">
        <f t="array" aca="1" ref="G68" ca="1">IFERROR(INDEX(_xlfn.ANCHORARRAY($AA$11),ROW()-10,7),"")</f>
        <v/>
      </c>
      <c r="H68" s="22" t="str" cm="1">
        <f t="array" aca="1" ref="H68" ca="1">IFERROR(INDEX(_xlfn.ANCHORARRAY($AA$11),ROW()-10,8),"")</f>
        <v/>
      </c>
      <c r="I68" s="22" t="str" cm="1">
        <f t="array" aca="1" ref="I68" ca="1">IFERROR(INDEX(_xlfn.ANCHORARRAY($AA$11),ROW()-10,9),"")</f>
        <v/>
      </c>
      <c r="J68" s="22" t="str">
        <f t="shared" ca="1" si="4"/>
        <v/>
      </c>
      <c r="K68" s="22" t="str">
        <f t="shared" ca="1" si="5"/>
        <v/>
      </c>
      <c r="L68" s="22" t="str" cm="1">
        <f t="array" aca="1" ref="L68" ca="1">_xlfn.LET(_xlpm.link,IFERROR(INDEX(_xlfn.ANCHORARRAY($AA$11),ROW()-10,12),""),IF(_xlpm.link="","",HYPERLINK(_xlpm.link,"Bluecore/Attentive")))</f>
        <v/>
      </c>
      <c r="M68" s="9"/>
      <c r="N68" s="9"/>
      <c r="O68" s="9"/>
      <c r="P68" s="9"/>
      <c r="Q68" s="9"/>
      <c r="R68" s="9"/>
      <c r="S68" s="8"/>
      <c r="T68" s="8"/>
      <c r="U68" s="8"/>
      <c r="V68" s="8"/>
      <c r="W68" s="8"/>
      <c r="X68" s="8"/>
      <c r="Y68" s="8"/>
      <c r="Z68" s="8"/>
      <c r="AA68"/>
      <c r="AB68"/>
      <c r="AC68"/>
      <c r="AD68"/>
      <c r="AE68"/>
      <c r="AF68"/>
      <c r="AG68"/>
      <c r="AH68"/>
      <c r="AI68"/>
      <c r="AJ68"/>
      <c r="AK68"/>
      <c r="AL68"/>
    </row>
    <row r="69" spans="1:38">
      <c r="A69" s="64" t="str" cm="1">
        <f t="array" aca="1" ref="A69" ca="1">IFERROR(INDEX(_xlfn.ANCHORARRAY($AA$11),ROW()-10,1),"")</f>
        <v/>
      </c>
      <c r="B69" s="31" t="str" cm="1">
        <f t="array" aca="1" ref="B69" ca="1">IFERROR(INDEX(_xlfn.ANCHORARRAY($AA$11),ROW()-10,2),"")</f>
        <v/>
      </c>
      <c r="C69" s="22" t="str" cm="1">
        <f t="array" aca="1" ref="C69" ca="1">IFERROR(INDEX(_xlfn.ANCHORARRAY($AA$11),ROW()-10,3),"")</f>
        <v/>
      </c>
      <c r="D69" s="22" t="str" cm="1">
        <f t="array" aca="1" ref="D69" ca="1">IFERROR(INDEX(_xlfn.ANCHORARRAY($AA$11),ROW()-10,4),"")</f>
        <v/>
      </c>
      <c r="E69" s="22" t="str" cm="1">
        <f t="array" aca="1" ref="E69" ca="1">IFERROR(INDEX(_xlfn.ANCHORARRAY($AA$11),ROW()-10,5),"")</f>
        <v/>
      </c>
      <c r="F69" s="22" t="str" cm="1">
        <f t="array" aca="1" ref="F69" ca="1">IFERROR(INDEX(_xlfn.ANCHORARRAY($AA$11),ROW()-10,6),"")</f>
        <v/>
      </c>
      <c r="G69" s="22" t="str" cm="1">
        <f t="array" aca="1" ref="G69" ca="1">IFERROR(INDEX(_xlfn.ANCHORARRAY($AA$11),ROW()-10,7),"")</f>
        <v/>
      </c>
      <c r="H69" s="22" t="str" cm="1">
        <f t="array" aca="1" ref="H69" ca="1">IFERROR(INDEX(_xlfn.ANCHORARRAY($AA$11),ROW()-10,8),"")</f>
        <v/>
      </c>
      <c r="I69" s="22" t="str" cm="1">
        <f t="array" aca="1" ref="I69" ca="1">IFERROR(INDEX(_xlfn.ANCHORARRAY($AA$11),ROW()-10,9),"")</f>
        <v/>
      </c>
      <c r="J69" s="22" t="str">
        <f t="shared" ca="1" si="4"/>
        <v/>
      </c>
      <c r="K69" s="22" t="str">
        <f t="shared" ca="1" si="5"/>
        <v/>
      </c>
      <c r="L69" s="22" t="str" cm="1">
        <f t="array" aca="1" ref="L69" ca="1">_xlfn.LET(_xlpm.link,IFERROR(INDEX(_xlfn.ANCHORARRAY($AA$11),ROW()-10,12),""),IF(_xlpm.link="","",HYPERLINK(_xlpm.link,"Bluecore/Attentive")))</f>
        <v/>
      </c>
      <c r="M69" s="9"/>
      <c r="N69" s="9"/>
      <c r="O69" s="9"/>
      <c r="P69" s="9"/>
      <c r="Q69" s="9"/>
      <c r="R69" s="9"/>
      <c r="S69" s="8"/>
      <c r="T69" s="8"/>
      <c r="U69" s="8"/>
      <c r="V69" s="8"/>
      <c r="W69" s="8"/>
      <c r="X69" s="8"/>
      <c r="Y69" s="8"/>
      <c r="Z69" s="8"/>
      <c r="AA69"/>
      <c r="AB69"/>
      <c r="AC69"/>
      <c r="AD69"/>
      <c r="AE69"/>
      <c r="AF69"/>
      <c r="AG69"/>
      <c r="AH69"/>
      <c r="AI69"/>
      <c r="AJ69"/>
      <c r="AK69"/>
      <c r="AL69"/>
    </row>
    <row r="70" spans="1:38">
      <c r="A70" s="64" t="str" cm="1">
        <f t="array" aca="1" ref="A70" ca="1">IFERROR(INDEX(_xlfn.ANCHORARRAY($AA$11),ROW()-10,1),"")</f>
        <v/>
      </c>
      <c r="B70" s="31" t="str" cm="1">
        <f t="array" aca="1" ref="B70" ca="1">IFERROR(INDEX(_xlfn.ANCHORARRAY($AA$11),ROW()-10,2),"")</f>
        <v/>
      </c>
      <c r="C70" s="22" t="str" cm="1">
        <f t="array" aca="1" ref="C70" ca="1">IFERROR(INDEX(_xlfn.ANCHORARRAY($AA$11),ROW()-10,3),"")</f>
        <v/>
      </c>
      <c r="D70" s="22" t="str" cm="1">
        <f t="array" aca="1" ref="D70" ca="1">IFERROR(INDEX(_xlfn.ANCHORARRAY($AA$11),ROW()-10,4),"")</f>
        <v/>
      </c>
      <c r="E70" s="22" t="str" cm="1">
        <f t="array" aca="1" ref="E70" ca="1">IFERROR(INDEX(_xlfn.ANCHORARRAY($AA$11),ROW()-10,5),"")</f>
        <v/>
      </c>
      <c r="F70" s="22" t="str" cm="1">
        <f t="array" aca="1" ref="F70" ca="1">IFERROR(INDEX(_xlfn.ANCHORARRAY($AA$11),ROW()-10,6),"")</f>
        <v/>
      </c>
      <c r="G70" s="22" t="str" cm="1">
        <f t="array" aca="1" ref="G70" ca="1">IFERROR(INDEX(_xlfn.ANCHORARRAY($AA$11),ROW()-10,7),"")</f>
        <v/>
      </c>
      <c r="H70" s="22" t="str" cm="1">
        <f t="array" aca="1" ref="H70" ca="1">IFERROR(INDEX(_xlfn.ANCHORARRAY($AA$11),ROW()-10,8),"")</f>
        <v/>
      </c>
      <c r="I70" s="22" t="str" cm="1">
        <f t="array" aca="1" ref="I70" ca="1">IFERROR(INDEX(_xlfn.ANCHORARRAY($AA$11),ROW()-10,9),"")</f>
        <v/>
      </c>
      <c r="J70" s="22" t="str">
        <f t="shared" ca="1" si="4"/>
        <v/>
      </c>
      <c r="K70" s="22" t="str">
        <f t="shared" ca="1" si="5"/>
        <v/>
      </c>
      <c r="L70" s="22" t="str" cm="1">
        <f t="array" aca="1" ref="L70" ca="1">_xlfn.LET(_xlpm.link,IFERROR(INDEX(_xlfn.ANCHORARRAY($AA$11),ROW()-10,12),""),IF(_xlpm.link="","",HYPERLINK(_xlpm.link,"Bluecore/Attentive")))</f>
        <v/>
      </c>
      <c r="M70" s="9"/>
      <c r="N70" s="9"/>
      <c r="O70" s="9"/>
      <c r="P70" s="9"/>
      <c r="Q70" s="9"/>
      <c r="R70" s="9"/>
      <c r="S70" s="8"/>
      <c r="T70" s="8"/>
      <c r="U70" s="8"/>
      <c r="V70" s="8"/>
      <c r="W70" s="8"/>
      <c r="X70" s="8"/>
      <c r="Y70" s="8"/>
      <c r="Z70" s="8"/>
      <c r="AA70"/>
      <c r="AB70"/>
      <c r="AC70"/>
      <c r="AD70"/>
      <c r="AE70"/>
      <c r="AF70"/>
      <c r="AG70"/>
      <c r="AH70"/>
      <c r="AI70"/>
      <c r="AJ70"/>
      <c r="AK70"/>
      <c r="AL70"/>
    </row>
    <row r="71" spans="1:38">
      <c r="A71" s="64" t="str" cm="1">
        <f t="array" aca="1" ref="A71" ca="1">IFERROR(INDEX(_xlfn.ANCHORARRAY($AA$11),ROW()-10,1),"")</f>
        <v/>
      </c>
      <c r="B71" s="31" t="str" cm="1">
        <f t="array" aca="1" ref="B71" ca="1">IFERROR(INDEX(_xlfn.ANCHORARRAY($AA$11),ROW()-10,2),"")</f>
        <v/>
      </c>
      <c r="C71" s="22" t="str" cm="1">
        <f t="array" aca="1" ref="C71" ca="1">IFERROR(INDEX(_xlfn.ANCHORARRAY($AA$11),ROW()-10,3),"")</f>
        <v/>
      </c>
      <c r="D71" s="22" t="str" cm="1">
        <f t="array" aca="1" ref="D71" ca="1">IFERROR(INDEX(_xlfn.ANCHORARRAY($AA$11),ROW()-10,4),"")</f>
        <v/>
      </c>
      <c r="E71" s="22" t="str" cm="1">
        <f t="array" aca="1" ref="E71" ca="1">IFERROR(INDEX(_xlfn.ANCHORARRAY($AA$11),ROW()-10,5),"")</f>
        <v/>
      </c>
      <c r="F71" s="22" t="str" cm="1">
        <f t="array" aca="1" ref="F71" ca="1">IFERROR(INDEX(_xlfn.ANCHORARRAY($AA$11),ROW()-10,6),"")</f>
        <v/>
      </c>
      <c r="G71" s="22" t="str" cm="1">
        <f t="array" aca="1" ref="G71" ca="1">IFERROR(INDEX(_xlfn.ANCHORARRAY($AA$11),ROW()-10,7),"")</f>
        <v/>
      </c>
      <c r="H71" s="22" t="str" cm="1">
        <f t="array" aca="1" ref="H71" ca="1">IFERROR(INDEX(_xlfn.ANCHORARRAY($AA$11),ROW()-10,8),"")</f>
        <v/>
      </c>
      <c r="I71" s="22" t="str" cm="1">
        <f t="array" aca="1" ref="I71" ca="1">IFERROR(INDEX(_xlfn.ANCHORARRAY($AA$11),ROW()-10,9),"")</f>
        <v/>
      </c>
      <c r="J71" s="22" t="str">
        <f t="shared" ca="1" si="4"/>
        <v/>
      </c>
      <c r="K71" s="22" t="str">
        <f t="shared" ca="1" si="5"/>
        <v/>
      </c>
      <c r="L71" s="22" t="str" cm="1">
        <f t="array" aca="1" ref="L71" ca="1">_xlfn.LET(_xlpm.link,IFERROR(INDEX(_xlfn.ANCHORARRAY($AA$11),ROW()-10,12),""),IF(_xlpm.link="","",HYPERLINK(_xlpm.link,"Bluecore/Attentive")))</f>
        <v/>
      </c>
      <c r="M71" s="9"/>
      <c r="N71" s="9"/>
      <c r="O71" s="9"/>
      <c r="P71" s="9"/>
      <c r="Q71" s="9"/>
      <c r="R71" s="9"/>
      <c r="S71" s="8"/>
      <c r="T71" s="8"/>
      <c r="U71" s="8"/>
      <c r="V71" s="8"/>
      <c r="W71" s="8"/>
      <c r="X71" s="8"/>
      <c r="Y71" s="8"/>
      <c r="Z71" s="8"/>
      <c r="AA71"/>
      <c r="AB71"/>
      <c r="AC71"/>
      <c r="AD71"/>
      <c r="AE71"/>
      <c r="AF71"/>
      <c r="AG71"/>
      <c r="AH71"/>
      <c r="AI71"/>
      <c r="AJ71"/>
      <c r="AK71"/>
      <c r="AL71"/>
    </row>
    <row r="72" spans="1:38">
      <c r="A72" s="64" t="str" cm="1">
        <f t="array" aca="1" ref="A72" ca="1">IFERROR(INDEX(_xlfn.ANCHORARRAY($AA$11),ROW()-10,1),"")</f>
        <v/>
      </c>
      <c r="B72" s="31" t="str" cm="1">
        <f t="array" aca="1" ref="B72" ca="1">IFERROR(INDEX(_xlfn.ANCHORARRAY($AA$11),ROW()-10,2),"")</f>
        <v/>
      </c>
      <c r="C72" s="22" t="str" cm="1">
        <f t="array" aca="1" ref="C72" ca="1">IFERROR(INDEX(_xlfn.ANCHORARRAY($AA$11),ROW()-10,3),"")</f>
        <v/>
      </c>
      <c r="D72" s="22" t="str" cm="1">
        <f t="array" aca="1" ref="D72" ca="1">IFERROR(INDEX(_xlfn.ANCHORARRAY($AA$11),ROW()-10,4),"")</f>
        <v/>
      </c>
      <c r="E72" s="22" t="str" cm="1">
        <f t="array" aca="1" ref="E72" ca="1">IFERROR(INDEX(_xlfn.ANCHORARRAY($AA$11),ROW()-10,5),"")</f>
        <v/>
      </c>
      <c r="F72" s="22" t="str" cm="1">
        <f t="array" aca="1" ref="F72" ca="1">IFERROR(INDEX(_xlfn.ANCHORARRAY($AA$11),ROW()-10,6),"")</f>
        <v/>
      </c>
      <c r="G72" s="22" t="str" cm="1">
        <f t="array" aca="1" ref="G72" ca="1">IFERROR(INDEX(_xlfn.ANCHORARRAY($AA$11),ROW()-10,7),"")</f>
        <v/>
      </c>
      <c r="H72" s="22" t="str" cm="1">
        <f t="array" aca="1" ref="H72" ca="1">IFERROR(INDEX(_xlfn.ANCHORARRAY($AA$11),ROW()-10,8),"")</f>
        <v/>
      </c>
      <c r="I72" s="22" t="str" cm="1">
        <f t="array" aca="1" ref="I72" ca="1">IFERROR(INDEX(_xlfn.ANCHORARRAY($AA$11),ROW()-10,9),"")</f>
        <v/>
      </c>
      <c r="J72" s="22" t="str">
        <f t="shared" ca="1" si="4"/>
        <v/>
      </c>
      <c r="K72" s="22" t="str">
        <f t="shared" ca="1" si="5"/>
        <v/>
      </c>
      <c r="L72" s="22" t="str" cm="1">
        <f t="array" aca="1" ref="L72" ca="1">_xlfn.LET(_xlpm.link,IFERROR(INDEX(_xlfn.ANCHORARRAY($AA$11),ROW()-10,12),""),IF(_xlpm.link="","",HYPERLINK(_xlpm.link,"Bluecore/Attentive")))</f>
        <v/>
      </c>
      <c r="M72" s="9"/>
      <c r="N72" s="9"/>
      <c r="O72" s="9"/>
      <c r="P72" s="9"/>
      <c r="Q72" s="9"/>
      <c r="R72" s="9"/>
      <c r="S72" s="8"/>
      <c r="T72" s="8"/>
      <c r="U72" s="8"/>
      <c r="V72" s="8"/>
      <c r="W72" s="8"/>
      <c r="X72" s="8"/>
      <c r="Y72" s="8"/>
      <c r="Z72" s="8"/>
      <c r="AA72"/>
      <c r="AB72"/>
      <c r="AC72"/>
      <c r="AD72"/>
      <c r="AE72"/>
      <c r="AF72"/>
      <c r="AG72"/>
      <c r="AH72"/>
      <c r="AI72"/>
      <c r="AJ72"/>
      <c r="AK72"/>
      <c r="AL72"/>
    </row>
    <row r="73" spans="1:38">
      <c r="A73" s="64" t="str" cm="1">
        <f t="array" aca="1" ref="A73" ca="1">IFERROR(INDEX(_xlfn.ANCHORARRAY($AA$11),ROW()-10,1),"")</f>
        <v/>
      </c>
      <c r="B73" s="31" t="str" cm="1">
        <f t="array" aca="1" ref="B73" ca="1">IFERROR(INDEX(_xlfn.ANCHORARRAY($AA$11),ROW()-10,2),"")</f>
        <v/>
      </c>
      <c r="C73" s="22" t="str" cm="1">
        <f t="array" aca="1" ref="C73" ca="1">IFERROR(INDEX(_xlfn.ANCHORARRAY($AA$11),ROW()-10,3),"")</f>
        <v/>
      </c>
      <c r="D73" s="22" t="str" cm="1">
        <f t="array" aca="1" ref="D73" ca="1">IFERROR(INDEX(_xlfn.ANCHORARRAY($AA$11),ROW()-10,4),"")</f>
        <v/>
      </c>
      <c r="E73" s="22" t="str" cm="1">
        <f t="array" aca="1" ref="E73" ca="1">IFERROR(INDEX(_xlfn.ANCHORARRAY($AA$11),ROW()-10,5),"")</f>
        <v/>
      </c>
      <c r="F73" s="22" t="str" cm="1">
        <f t="array" aca="1" ref="F73" ca="1">IFERROR(INDEX(_xlfn.ANCHORARRAY($AA$11),ROW()-10,6),"")</f>
        <v/>
      </c>
      <c r="G73" s="22" t="str" cm="1">
        <f t="array" aca="1" ref="G73" ca="1">IFERROR(INDEX(_xlfn.ANCHORARRAY($AA$11),ROW()-10,7),"")</f>
        <v/>
      </c>
      <c r="H73" s="22" t="str" cm="1">
        <f t="array" aca="1" ref="H73" ca="1">IFERROR(INDEX(_xlfn.ANCHORARRAY($AA$11),ROW()-10,8),"")</f>
        <v/>
      </c>
      <c r="I73" s="22" t="str" cm="1">
        <f t="array" aca="1" ref="I73" ca="1">IFERROR(INDEX(_xlfn.ANCHORARRAY($AA$11),ROW()-10,9),"")</f>
        <v/>
      </c>
      <c r="J73" s="22" t="str">
        <f t="shared" ca="1" si="4"/>
        <v/>
      </c>
      <c r="K73" s="22" t="str">
        <f t="shared" ca="1" si="5"/>
        <v/>
      </c>
      <c r="L73" s="22" t="str" cm="1">
        <f t="array" aca="1" ref="L73" ca="1">_xlfn.LET(_xlpm.link,IFERROR(INDEX(_xlfn.ANCHORARRAY($AA$11),ROW()-10,12),""),IF(_xlpm.link="","",HYPERLINK(_xlpm.link,"Bluecore/Attentive")))</f>
        <v/>
      </c>
      <c r="M73" s="9"/>
      <c r="N73" s="9"/>
      <c r="O73" s="9"/>
      <c r="P73" s="9"/>
      <c r="Q73" s="9"/>
      <c r="R73" s="9"/>
      <c r="S73" s="8"/>
      <c r="T73" s="8"/>
      <c r="U73" s="8"/>
      <c r="V73" s="8"/>
      <c r="W73" s="8"/>
      <c r="X73" s="8"/>
      <c r="Y73" s="8"/>
      <c r="Z73" s="8"/>
      <c r="AA73"/>
      <c r="AB73"/>
      <c r="AC73"/>
      <c r="AD73"/>
      <c r="AE73"/>
      <c r="AF73"/>
      <c r="AG73"/>
      <c r="AH73"/>
      <c r="AI73"/>
      <c r="AJ73"/>
      <c r="AK73"/>
      <c r="AL73"/>
    </row>
    <row r="74" spans="1:38">
      <c r="A74" s="64" t="str" cm="1">
        <f t="array" aca="1" ref="A74" ca="1">IFERROR(INDEX(_xlfn.ANCHORARRAY($AA$11),ROW()-10,1),"")</f>
        <v/>
      </c>
      <c r="B74" s="31" t="str" cm="1">
        <f t="array" aca="1" ref="B74" ca="1">IFERROR(INDEX(_xlfn.ANCHORARRAY($AA$11),ROW()-10,2),"")</f>
        <v/>
      </c>
      <c r="C74" s="22" t="str" cm="1">
        <f t="array" aca="1" ref="C74" ca="1">IFERROR(INDEX(_xlfn.ANCHORARRAY($AA$11),ROW()-10,3),"")</f>
        <v/>
      </c>
      <c r="D74" s="22" t="str" cm="1">
        <f t="array" aca="1" ref="D74" ca="1">IFERROR(INDEX(_xlfn.ANCHORARRAY($AA$11),ROW()-10,4),"")</f>
        <v/>
      </c>
      <c r="E74" s="22" t="str" cm="1">
        <f t="array" aca="1" ref="E74" ca="1">IFERROR(INDEX(_xlfn.ANCHORARRAY($AA$11),ROW()-10,5),"")</f>
        <v/>
      </c>
      <c r="F74" s="22" t="str" cm="1">
        <f t="array" aca="1" ref="F74" ca="1">IFERROR(INDEX(_xlfn.ANCHORARRAY($AA$11),ROW()-10,6),"")</f>
        <v/>
      </c>
      <c r="G74" s="22" t="str" cm="1">
        <f t="array" aca="1" ref="G74" ca="1">IFERROR(INDEX(_xlfn.ANCHORARRAY($AA$11),ROW()-10,7),"")</f>
        <v/>
      </c>
      <c r="H74" s="22" t="str" cm="1">
        <f t="array" aca="1" ref="H74" ca="1">IFERROR(INDEX(_xlfn.ANCHORARRAY($AA$11),ROW()-10,8),"")</f>
        <v/>
      </c>
      <c r="I74" s="22" t="str" cm="1">
        <f t="array" aca="1" ref="I74" ca="1">IFERROR(INDEX(_xlfn.ANCHORARRAY($AA$11),ROW()-10,9),"")</f>
        <v/>
      </c>
      <c r="J74" s="22" t="str">
        <f t="shared" ca="1" si="4"/>
        <v/>
      </c>
      <c r="K74" s="22" t="str">
        <f t="shared" ca="1" si="5"/>
        <v/>
      </c>
      <c r="L74" s="22" t="str" cm="1">
        <f t="array" aca="1" ref="L74" ca="1">_xlfn.LET(_xlpm.link,IFERROR(INDEX(_xlfn.ANCHORARRAY($AA$11),ROW()-10,12),""),IF(_xlpm.link="","",HYPERLINK(_xlpm.link,"Bluecore/Attentive")))</f>
        <v/>
      </c>
      <c r="M74" s="9"/>
      <c r="N74" s="9"/>
      <c r="O74" s="9"/>
      <c r="P74" s="9"/>
      <c r="Q74" s="9"/>
      <c r="R74" s="9"/>
      <c r="S74" s="8"/>
      <c r="T74" s="8"/>
      <c r="U74" s="8"/>
      <c r="V74" s="8"/>
      <c r="W74" s="8"/>
      <c r="X74" s="8"/>
      <c r="Y74" s="8"/>
      <c r="Z74" s="8"/>
      <c r="AA74"/>
      <c r="AB74"/>
      <c r="AC74"/>
      <c r="AD74"/>
      <c r="AE74"/>
      <c r="AF74"/>
      <c r="AG74"/>
      <c r="AH74"/>
      <c r="AI74"/>
      <c r="AJ74"/>
      <c r="AK74"/>
      <c r="AL74"/>
    </row>
    <row r="75" spans="1:38">
      <c r="A75" s="64" t="str" cm="1">
        <f t="array" aca="1" ref="A75" ca="1">IFERROR(INDEX(_xlfn.ANCHORARRAY($AA$11),ROW()-10,1),"")</f>
        <v/>
      </c>
      <c r="B75" s="31" t="str" cm="1">
        <f t="array" aca="1" ref="B75" ca="1">IFERROR(INDEX(_xlfn.ANCHORARRAY($AA$11),ROW()-10,2),"")</f>
        <v/>
      </c>
      <c r="C75" s="22" t="str" cm="1">
        <f t="array" aca="1" ref="C75" ca="1">IFERROR(INDEX(_xlfn.ANCHORARRAY($AA$11),ROW()-10,3),"")</f>
        <v/>
      </c>
      <c r="D75" s="22" t="str" cm="1">
        <f t="array" aca="1" ref="D75" ca="1">IFERROR(INDEX(_xlfn.ANCHORARRAY($AA$11),ROW()-10,4),"")</f>
        <v/>
      </c>
      <c r="E75" s="22" t="str" cm="1">
        <f t="array" aca="1" ref="E75" ca="1">IFERROR(INDEX(_xlfn.ANCHORARRAY($AA$11),ROW()-10,5),"")</f>
        <v/>
      </c>
      <c r="F75" s="22" t="str" cm="1">
        <f t="array" aca="1" ref="F75" ca="1">IFERROR(INDEX(_xlfn.ANCHORARRAY($AA$11),ROW()-10,6),"")</f>
        <v/>
      </c>
      <c r="G75" s="22" t="str" cm="1">
        <f t="array" aca="1" ref="G75" ca="1">IFERROR(INDEX(_xlfn.ANCHORARRAY($AA$11),ROW()-10,7),"")</f>
        <v/>
      </c>
      <c r="H75" s="22" t="str" cm="1">
        <f t="array" aca="1" ref="H75" ca="1">IFERROR(INDEX(_xlfn.ANCHORARRAY($AA$11),ROW()-10,8),"")</f>
        <v/>
      </c>
      <c r="I75" s="22" t="str" cm="1">
        <f t="array" aca="1" ref="I75" ca="1">IFERROR(INDEX(_xlfn.ANCHORARRAY($AA$11),ROW()-10,9),"")</f>
        <v/>
      </c>
      <c r="J75" s="22" t="str">
        <f t="shared" ref="J75:J106" ca="1" si="6">_xlfn.LET(_xlpm.ch,IFERROR(INDEX(_xlfn.ANCHORARRAY($AA$11),ROW()-10,3),""),_xlpm.link,IFERROR(INDEX(_xlfn.ANCHORARRAY($AA$11),ROW()-10,10),""),IF(OR(_xlpm.link="",_xlpm.ch="SMS"),"",HYPERLINK(_xlpm.link,"Jira")))</f>
        <v/>
      </c>
      <c r="K75" s="22" t="str">
        <f t="shared" ref="K75:K106" ca="1" si="7">_xlfn.LET(_xlpm.ch,IFERROR(INDEX(_xlfn.ANCHORARRAY($AA$11),ROW()-10,3),""),_xlpm.link,IFERROR(INDEX(_xlfn.ANCHORARRAY($AA$11),ROW()-10,11),""),IF(OR(_xlpm.link="",_xlpm.ch="SMS"),"",HYPERLINK(_xlpm.link,"ClickUp")))</f>
        <v/>
      </c>
      <c r="L75" s="22" t="str" cm="1">
        <f t="array" aca="1" ref="L75" ca="1">_xlfn.LET(_xlpm.link,IFERROR(INDEX(_xlfn.ANCHORARRAY($AA$11),ROW()-10,12),""),IF(_xlpm.link="","",HYPERLINK(_xlpm.link,"Bluecore/Attentive")))</f>
        <v/>
      </c>
      <c r="M75" s="9"/>
      <c r="N75" s="9"/>
      <c r="O75" s="9"/>
      <c r="P75" s="9"/>
      <c r="Q75" s="9"/>
      <c r="R75" s="9"/>
      <c r="S75" s="8"/>
      <c r="T75" s="8"/>
      <c r="U75" s="8"/>
      <c r="V75" s="8"/>
      <c r="W75" s="8"/>
      <c r="X75" s="8"/>
      <c r="Y75" s="8"/>
      <c r="Z75" s="8"/>
      <c r="AA75"/>
      <c r="AB75"/>
      <c r="AC75"/>
      <c r="AD75"/>
      <c r="AE75"/>
      <c r="AF75"/>
      <c r="AG75"/>
      <c r="AH75"/>
      <c r="AI75"/>
      <c r="AJ75"/>
      <c r="AK75"/>
      <c r="AL75"/>
    </row>
    <row r="76" spans="1:38">
      <c r="A76" s="64" t="str" cm="1">
        <f t="array" aca="1" ref="A76" ca="1">IFERROR(INDEX(_xlfn.ANCHORARRAY($AA$11),ROW()-10,1),"")</f>
        <v/>
      </c>
      <c r="B76" s="31" t="str" cm="1">
        <f t="array" aca="1" ref="B76" ca="1">IFERROR(INDEX(_xlfn.ANCHORARRAY($AA$11),ROW()-10,2),"")</f>
        <v/>
      </c>
      <c r="C76" s="22" t="str" cm="1">
        <f t="array" aca="1" ref="C76" ca="1">IFERROR(INDEX(_xlfn.ANCHORARRAY($AA$11),ROW()-10,3),"")</f>
        <v/>
      </c>
      <c r="D76" s="22" t="str" cm="1">
        <f t="array" aca="1" ref="D76" ca="1">IFERROR(INDEX(_xlfn.ANCHORARRAY($AA$11),ROW()-10,4),"")</f>
        <v/>
      </c>
      <c r="E76" s="22" t="str" cm="1">
        <f t="array" aca="1" ref="E76" ca="1">IFERROR(INDEX(_xlfn.ANCHORARRAY($AA$11),ROW()-10,5),"")</f>
        <v/>
      </c>
      <c r="F76" s="22" t="str" cm="1">
        <f t="array" aca="1" ref="F76" ca="1">IFERROR(INDEX(_xlfn.ANCHORARRAY($AA$11),ROW()-10,6),"")</f>
        <v/>
      </c>
      <c r="G76" s="22" t="str" cm="1">
        <f t="array" aca="1" ref="G76" ca="1">IFERROR(INDEX(_xlfn.ANCHORARRAY($AA$11),ROW()-10,7),"")</f>
        <v/>
      </c>
      <c r="H76" s="22" t="str" cm="1">
        <f t="array" aca="1" ref="H76" ca="1">IFERROR(INDEX(_xlfn.ANCHORARRAY($AA$11),ROW()-10,8),"")</f>
        <v/>
      </c>
      <c r="I76" s="22" t="str" cm="1">
        <f t="array" aca="1" ref="I76" ca="1">IFERROR(INDEX(_xlfn.ANCHORARRAY($AA$11),ROW()-10,9),"")</f>
        <v/>
      </c>
      <c r="J76" s="22" t="str">
        <f t="shared" ca="1" si="6"/>
        <v/>
      </c>
      <c r="K76" s="22" t="str">
        <f t="shared" ca="1" si="7"/>
        <v/>
      </c>
      <c r="L76" s="22" t="str" cm="1">
        <f t="array" aca="1" ref="L76" ca="1">_xlfn.LET(_xlpm.link,IFERROR(INDEX(_xlfn.ANCHORARRAY($AA$11),ROW()-10,12),""),IF(_xlpm.link="","",HYPERLINK(_xlpm.link,"Bluecore/Attentive")))</f>
        <v/>
      </c>
      <c r="M76" s="9"/>
      <c r="N76" s="9"/>
      <c r="O76" s="9"/>
      <c r="P76" s="9"/>
      <c r="Q76" s="9"/>
      <c r="R76" s="9"/>
      <c r="S76" s="8"/>
      <c r="T76" s="8"/>
      <c r="U76" s="8"/>
      <c r="V76" s="8"/>
      <c r="W76" s="8"/>
      <c r="X76" s="8"/>
      <c r="Y76" s="8"/>
      <c r="Z76" s="8"/>
      <c r="AA76"/>
      <c r="AB76"/>
      <c r="AC76"/>
      <c r="AD76"/>
      <c r="AE76"/>
      <c r="AF76"/>
      <c r="AG76"/>
      <c r="AH76"/>
      <c r="AI76"/>
      <c r="AJ76"/>
      <c r="AK76"/>
      <c r="AL76"/>
    </row>
    <row r="77" spans="1:38">
      <c r="A77" s="64" t="str" cm="1">
        <f t="array" aca="1" ref="A77" ca="1">IFERROR(INDEX(_xlfn.ANCHORARRAY($AA$11),ROW()-10,1),"")</f>
        <v/>
      </c>
      <c r="B77" s="31" t="str" cm="1">
        <f t="array" aca="1" ref="B77" ca="1">IFERROR(INDEX(_xlfn.ANCHORARRAY($AA$11),ROW()-10,2),"")</f>
        <v/>
      </c>
      <c r="C77" s="22" t="str" cm="1">
        <f t="array" aca="1" ref="C77" ca="1">IFERROR(INDEX(_xlfn.ANCHORARRAY($AA$11),ROW()-10,3),"")</f>
        <v/>
      </c>
      <c r="D77" s="22" t="str" cm="1">
        <f t="array" aca="1" ref="D77" ca="1">IFERROR(INDEX(_xlfn.ANCHORARRAY($AA$11),ROW()-10,4),"")</f>
        <v/>
      </c>
      <c r="E77" s="22" t="str" cm="1">
        <f t="array" aca="1" ref="E77" ca="1">IFERROR(INDEX(_xlfn.ANCHORARRAY($AA$11),ROW()-10,5),"")</f>
        <v/>
      </c>
      <c r="F77" s="22" t="str" cm="1">
        <f t="array" aca="1" ref="F77" ca="1">IFERROR(INDEX(_xlfn.ANCHORARRAY($AA$11),ROW()-10,6),"")</f>
        <v/>
      </c>
      <c r="G77" s="22" t="str" cm="1">
        <f t="array" aca="1" ref="G77" ca="1">IFERROR(INDEX(_xlfn.ANCHORARRAY($AA$11),ROW()-10,7),"")</f>
        <v/>
      </c>
      <c r="H77" s="22" t="str" cm="1">
        <f t="array" aca="1" ref="H77" ca="1">IFERROR(INDEX(_xlfn.ANCHORARRAY($AA$11),ROW()-10,8),"")</f>
        <v/>
      </c>
      <c r="I77" s="22" t="str" cm="1">
        <f t="array" aca="1" ref="I77" ca="1">IFERROR(INDEX(_xlfn.ANCHORARRAY($AA$11),ROW()-10,9),"")</f>
        <v/>
      </c>
      <c r="J77" s="22" t="str">
        <f t="shared" ca="1" si="6"/>
        <v/>
      </c>
      <c r="K77" s="22" t="str">
        <f t="shared" ca="1" si="7"/>
        <v/>
      </c>
      <c r="L77" s="22" t="str" cm="1">
        <f t="array" aca="1" ref="L77" ca="1">_xlfn.LET(_xlpm.link,IFERROR(INDEX(_xlfn.ANCHORARRAY($AA$11),ROW()-10,12),""),IF(_xlpm.link="","",HYPERLINK(_xlpm.link,"Bluecore/Attentive")))</f>
        <v/>
      </c>
      <c r="M77" s="9"/>
      <c r="N77" s="9"/>
      <c r="O77" s="9"/>
      <c r="P77" s="9"/>
      <c r="Q77" s="9"/>
      <c r="R77" s="9"/>
      <c r="S77" s="8"/>
      <c r="T77" s="8"/>
      <c r="U77" s="8"/>
      <c r="V77" s="8"/>
      <c r="W77" s="8"/>
      <c r="X77" s="8"/>
      <c r="Y77" s="8"/>
      <c r="Z77" s="8"/>
      <c r="AA77"/>
      <c r="AB77"/>
      <c r="AC77"/>
      <c r="AD77"/>
      <c r="AE77"/>
      <c r="AF77"/>
      <c r="AG77"/>
      <c r="AH77"/>
      <c r="AI77"/>
      <c r="AJ77"/>
      <c r="AK77"/>
      <c r="AL77"/>
    </row>
    <row r="78" spans="1:38">
      <c r="A78" s="64" t="str" cm="1">
        <f t="array" aca="1" ref="A78" ca="1">IFERROR(INDEX(_xlfn.ANCHORARRAY($AA$11),ROW()-10,1),"")</f>
        <v/>
      </c>
      <c r="B78" s="31" t="str" cm="1">
        <f t="array" aca="1" ref="B78" ca="1">IFERROR(INDEX(_xlfn.ANCHORARRAY($AA$11),ROW()-10,2),"")</f>
        <v/>
      </c>
      <c r="C78" s="22" t="str" cm="1">
        <f t="array" aca="1" ref="C78" ca="1">IFERROR(INDEX(_xlfn.ANCHORARRAY($AA$11),ROW()-10,3),"")</f>
        <v/>
      </c>
      <c r="D78" s="22" t="str" cm="1">
        <f t="array" aca="1" ref="D78" ca="1">IFERROR(INDEX(_xlfn.ANCHORARRAY($AA$11),ROW()-10,4),"")</f>
        <v/>
      </c>
      <c r="E78" s="22" t="str" cm="1">
        <f t="array" aca="1" ref="E78" ca="1">IFERROR(INDEX(_xlfn.ANCHORARRAY($AA$11),ROW()-10,5),"")</f>
        <v/>
      </c>
      <c r="F78" s="22" t="str" cm="1">
        <f t="array" aca="1" ref="F78" ca="1">IFERROR(INDEX(_xlfn.ANCHORARRAY($AA$11),ROW()-10,6),"")</f>
        <v/>
      </c>
      <c r="G78" s="22" t="str" cm="1">
        <f t="array" aca="1" ref="G78" ca="1">IFERROR(INDEX(_xlfn.ANCHORARRAY($AA$11),ROW()-10,7),"")</f>
        <v/>
      </c>
      <c r="H78" s="22" t="str" cm="1">
        <f t="array" aca="1" ref="H78" ca="1">IFERROR(INDEX(_xlfn.ANCHORARRAY($AA$11),ROW()-10,8),"")</f>
        <v/>
      </c>
      <c r="I78" s="22" t="str" cm="1">
        <f t="array" aca="1" ref="I78" ca="1">IFERROR(INDEX(_xlfn.ANCHORARRAY($AA$11),ROW()-10,9),"")</f>
        <v/>
      </c>
      <c r="J78" s="22" t="str">
        <f t="shared" ca="1" si="6"/>
        <v/>
      </c>
      <c r="K78" s="22" t="str">
        <f t="shared" ca="1" si="7"/>
        <v/>
      </c>
      <c r="L78" s="22" t="str" cm="1">
        <f t="array" aca="1" ref="L78" ca="1">_xlfn.LET(_xlpm.link,IFERROR(INDEX(_xlfn.ANCHORARRAY($AA$11),ROW()-10,12),""),IF(_xlpm.link="","",HYPERLINK(_xlpm.link,"Bluecore/Attentive")))</f>
        <v/>
      </c>
      <c r="M78" s="9"/>
      <c r="N78" s="9"/>
      <c r="O78" s="9"/>
      <c r="P78" s="9"/>
      <c r="Q78" s="9"/>
      <c r="R78" s="9"/>
      <c r="S78" s="8"/>
      <c r="T78" s="8"/>
      <c r="U78" s="8"/>
      <c r="V78" s="8"/>
      <c r="W78" s="8"/>
      <c r="X78" s="8"/>
      <c r="Y78" s="8"/>
      <c r="Z78" s="8"/>
      <c r="AA78"/>
      <c r="AB78"/>
      <c r="AC78"/>
      <c r="AD78"/>
      <c r="AE78"/>
      <c r="AF78"/>
      <c r="AG78"/>
      <c r="AH78"/>
      <c r="AI78"/>
      <c r="AJ78"/>
      <c r="AK78"/>
      <c r="AL78"/>
    </row>
    <row r="79" spans="1:38">
      <c r="A79" s="64" t="str" cm="1">
        <f t="array" aca="1" ref="A79" ca="1">IFERROR(INDEX(_xlfn.ANCHORARRAY($AA$11),ROW()-10,1),"")</f>
        <v/>
      </c>
      <c r="B79" s="31" t="str" cm="1">
        <f t="array" aca="1" ref="B79" ca="1">IFERROR(INDEX(_xlfn.ANCHORARRAY($AA$11),ROW()-10,2),"")</f>
        <v/>
      </c>
      <c r="C79" s="22" t="str" cm="1">
        <f t="array" aca="1" ref="C79" ca="1">IFERROR(INDEX(_xlfn.ANCHORARRAY($AA$11),ROW()-10,3),"")</f>
        <v/>
      </c>
      <c r="D79" s="22" t="str" cm="1">
        <f t="array" aca="1" ref="D79" ca="1">IFERROR(INDEX(_xlfn.ANCHORARRAY($AA$11),ROW()-10,4),"")</f>
        <v/>
      </c>
      <c r="E79" s="22" t="str" cm="1">
        <f t="array" aca="1" ref="E79" ca="1">IFERROR(INDEX(_xlfn.ANCHORARRAY($AA$11),ROW()-10,5),"")</f>
        <v/>
      </c>
      <c r="F79" s="22" t="str" cm="1">
        <f t="array" aca="1" ref="F79" ca="1">IFERROR(INDEX(_xlfn.ANCHORARRAY($AA$11),ROW()-10,6),"")</f>
        <v/>
      </c>
      <c r="G79" s="22" t="str" cm="1">
        <f t="array" aca="1" ref="G79" ca="1">IFERROR(INDEX(_xlfn.ANCHORARRAY($AA$11),ROW()-10,7),"")</f>
        <v/>
      </c>
      <c r="H79" s="22" t="str" cm="1">
        <f t="array" aca="1" ref="H79" ca="1">IFERROR(INDEX(_xlfn.ANCHORARRAY($AA$11),ROW()-10,8),"")</f>
        <v/>
      </c>
      <c r="I79" s="22" t="str" cm="1">
        <f t="array" aca="1" ref="I79" ca="1">IFERROR(INDEX(_xlfn.ANCHORARRAY($AA$11),ROW()-10,9),"")</f>
        <v/>
      </c>
      <c r="J79" s="22" t="str">
        <f t="shared" ca="1" si="6"/>
        <v/>
      </c>
      <c r="K79" s="22" t="str">
        <f t="shared" ca="1" si="7"/>
        <v/>
      </c>
      <c r="L79" s="22" t="str" cm="1">
        <f t="array" aca="1" ref="L79" ca="1">_xlfn.LET(_xlpm.link,IFERROR(INDEX(_xlfn.ANCHORARRAY($AA$11),ROW()-10,12),""),IF(_xlpm.link="","",HYPERLINK(_xlpm.link,"Bluecore/Attentive")))</f>
        <v/>
      </c>
      <c r="M79" s="9"/>
      <c r="N79" s="9"/>
      <c r="O79" s="9"/>
      <c r="P79" s="9"/>
      <c r="Q79" s="9"/>
      <c r="R79" s="9"/>
      <c r="S79" s="8"/>
      <c r="T79" s="8"/>
      <c r="U79" s="8"/>
      <c r="V79" s="8"/>
      <c r="W79" s="8"/>
      <c r="X79" s="8"/>
      <c r="Y79" s="8"/>
      <c r="Z79" s="8"/>
      <c r="AA79"/>
      <c r="AB79"/>
      <c r="AC79"/>
      <c r="AD79"/>
      <c r="AE79"/>
      <c r="AF79"/>
      <c r="AG79"/>
      <c r="AH79"/>
      <c r="AI79"/>
      <c r="AJ79"/>
      <c r="AK79"/>
      <c r="AL79"/>
    </row>
    <row r="80" spans="1:38">
      <c r="A80" s="64" t="str" cm="1">
        <f t="array" aca="1" ref="A80" ca="1">IFERROR(INDEX(_xlfn.ANCHORARRAY($AA$11),ROW()-10,1),"")</f>
        <v/>
      </c>
      <c r="B80" s="31" t="str" cm="1">
        <f t="array" aca="1" ref="B80" ca="1">IFERROR(INDEX(_xlfn.ANCHORARRAY($AA$11),ROW()-10,2),"")</f>
        <v/>
      </c>
      <c r="C80" s="22" t="str" cm="1">
        <f t="array" aca="1" ref="C80" ca="1">IFERROR(INDEX(_xlfn.ANCHORARRAY($AA$11),ROW()-10,3),"")</f>
        <v/>
      </c>
      <c r="D80" s="22" t="str" cm="1">
        <f t="array" aca="1" ref="D80" ca="1">IFERROR(INDEX(_xlfn.ANCHORARRAY($AA$11),ROW()-10,4),"")</f>
        <v/>
      </c>
      <c r="E80" s="22" t="str" cm="1">
        <f t="array" aca="1" ref="E80" ca="1">IFERROR(INDEX(_xlfn.ANCHORARRAY($AA$11),ROW()-10,5),"")</f>
        <v/>
      </c>
      <c r="F80" s="22" t="str" cm="1">
        <f t="array" aca="1" ref="F80" ca="1">IFERROR(INDEX(_xlfn.ANCHORARRAY($AA$11),ROW()-10,6),"")</f>
        <v/>
      </c>
      <c r="G80" s="22" t="str" cm="1">
        <f t="array" aca="1" ref="G80" ca="1">IFERROR(INDEX(_xlfn.ANCHORARRAY($AA$11),ROW()-10,7),"")</f>
        <v/>
      </c>
      <c r="H80" s="22" t="str" cm="1">
        <f t="array" aca="1" ref="H80" ca="1">IFERROR(INDEX(_xlfn.ANCHORARRAY($AA$11),ROW()-10,8),"")</f>
        <v/>
      </c>
      <c r="I80" s="22" t="str" cm="1">
        <f t="array" aca="1" ref="I80" ca="1">IFERROR(INDEX(_xlfn.ANCHORARRAY($AA$11),ROW()-10,9),"")</f>
        <v/>
      </c>
      <c r="J80" s="22" t="str">
        <f t="shared" ca="1" si="6"/>
        <v/>
      </c>
      <c r="K80" s="22" t="str">
        <f t="shared" ca="1" si="7"/>
        <v/>
      </c>
      <c r="L80" s="22" t="str" cm="1">
        <f t="array" aca="1" ref="L80" ca="1">_xlfn.LET(_xlpm.link,IFERROR(INDEX(_xlfn.ANCHORARRAY($AA$11),ROW()-10,12),""),IF(_xlpm.link="","",HYPERLINK(_xlpm.link,"Bluecore/Attentive")))</f>
        <v/>
      </c>
      <c r="M80" s="9"/>
      <c r="N80" s="9"/>
      <c r="O80" s="9"/>
      <c r="P80" s="9"/>
      <c r="Q80" s="9"/>
      <c r="R80" s="9"/>
      <c r="S80" s="8"/>
      <c r="T80" s="8"/>
      <c r="U80" s="8"/>
      <c r="V80" s="8"/>
      <c r="W80" s="8"/>
      <c r="X80" s="8"/>
      <c r="Y80" s="8"/>
      <c r="Z80" s="8"/>
      <c r="AA80"/>
      <c r="AB80"/>
      <c r="AC80"/>
      <c r="AD80"/>
      <c r="AE80"/>
      <c r="AF80"/>
      <c r="AG80"/>
      <c r="AH80"/>
      <c r="AI80"/>
      <c r="AJ80"/>
      <c r="AK80"/>
      <c r="AL80"/>
    </row>
    <row r="81" spans="1:38">
      <c r="A81" s="64" t="str" cm="1">
        <f t="array" aca="1" ref="A81" ca="1">IFERROR(INDEX(_xlfn.ANCHORARRAY($AA$11),ROW()-10,1),"")</f>
        <v/>
      </c>
      <c r="B81" s="31" t="str" cm="1">
        <f t="array" aca="1" ref="B81" ca="1">IFERROR(INDEX(_xlfn.ANCHORARRAY($AA$11),ROW()-10,2),"")</f>
        <v/>
      </c>
      <c r="C81" s="22" t="str" cm="1">
        <f t="array" aca="1" ref="C81" ca="1">IFERROR(INDEX(_xlfn.ANCHORARRAY($AA$11),ROW()-10,3),"")</f>
        <v/>
      </c>
      <c r="D81" s="22" t="str" cm="1">
        <f t="array" aca="1" ref="D81" ca="1">IFERROR(INDEX(_xlfn.ANCHORARRAY($AA$11),ROW()-10,4),"")</f>
        <v/>
      </c>
      <c r="E81" s="22" t="str" cm="1">
        <f t="array" aca="1" ref="E81" ca="1">IFERROR(INDEX(_xlfn.ANCHORARRAY($AA$11),ROW()-10,5),"")</f>
        <v/>
      </c>
      <c r="F81" s="22" t="str" cm="1">
        <f t="array" aca="1" ref="F81" ca="1">IFERROR(INDEX(_xlfn.ANCHORARRAY($AA$11),ROW()-10,6),"")</f>
        <v/>
      </c>
      <c r="G81" s="22" t="str" cm="1">
        <f t="array" aca="1" ref="G81" ca="1">IFERROR(INDEX(_xlfn.ANCHORARRAY($AA$11),ROW()-10,7),"")</f>
        <v/>
      </c>
      <c r="H81" s="22" t="str" cm="1">
        <f t="array" aca="1" ref="H81" ca="1">IFERROR(INDEX(_xlfn.ANCHORARRAY($AA$11),ROW()-10,8),"")</f>
        <v/>
      </c>
      <c r="I81" s="22" t="str" cm="1">
        <f t="array" aca="1" ref="I81" ca="1">IFERROR(INDEX(_xlfn.ANCHORARRAY($AA$11),ROW()-10,9),"")</f>
        <v/>
      </c>
      <c r="J81" s="22" t="str">
        <f t="shared" ca="1" si="6"/>
        <v/>
      </c>
      <c r="K81" s="22" t="str">
        <f t="shared" ca="1" si="7"/>
        <v/>
      </c>
      <c r="L81" s="22" t="str" cm="1">
        <f t="array" aca="1" ref="L81" ca="1">_xlfn.LET(_xlpm.link,IFERROR(INDEX(_xlfn.ANCHORARRAY($AA$11),ROW()-10,12),""),IF(_xlpm.link="","",HYPERLINK(_xlpm.link,"Bluecore/Attentive")))</f>
        <v/>
      </c>
      <c r="M81" s="9"/>
      <c r="N81" s="9"/>
      <c r="O81" s="9"/>
      <c r="P81" s="9"/>
      <c r="Q81" s="9"/>
      <c r="R81" s="9"/>
      <c r="S81" s="8"/>
      <c r="T81" s="8"/>
      <c r="U81" s="8"/>
      <c r="V81" s="8"/>
      <c r="W81" s="8"/>
      <c r="X81" s="8"/>
      <c r="Y81" s="8"/>
      <c r="Z81" s="8"/>
      <c r="AA81"/>
      <c r="AB81"/>
      <c r="AC81"/>
      <c r="AD81"/>
      <c r="AE81"/>
      <c r="AF81"/>
      <c r="AG81"/>
      <c r="AH81"/>
      <c r="AI81"/>
      <c r="AJ81"/>
      <c r="AK81"/>
      <c r="AL81"/>
    </row>
    <row r="82" spans="1:38">
      <c r="A82" s="64" t="str" cm="1">
        <f t="array" aca="1" ref="A82" ca="1">IFERROR(INDEX(_xlfn.ANCHORARRAY($AA$11),ROW()-10,1),"")</f>
        <v/>
      </c>
      <c r="B82" s="31" t="str" cm="1">
        <f t="array" aca="1" ref="B82" ca="1">IFERROR(INDEX(_xlfn.ANCHORARRAY($AA$11),ROW()-10,2),"")</f>
        <v/>
      </c>
      <c r="C82" s="22" t="str" cm="1">
        <f t="array" aca="1" ref="C82" ca="1">IFERROR(INDEX(_xlfn.ANCHORARRAY($AA$11),ROW()-10,3),"")</f>
        <v/>
      </c>
      <c r="D82" s="22" t="str" cm="1">
        <f t="array" aca="1" ref="D82" ca="1">IFERROR(INDEX(_xlfn.ANCHORARRAY($AA$11),ROW()-10,4),"")</f>
        <v/>
      </c>
      <c r="E82" s="22" t="str" cm="1">
        <f t="array" aca="1" ref="E82" ca="1">IFERROR(INDEX(_xlfn.ANCHORARRAY($AA$11),ROW()-10,5),"")</f>
        <v/>
      </c>
      <c r="F82" s="22" t="str" cm="1">
        <f t="array" aca="1" ref="F82" ca="1">IFERROR(INDEX(_xlfn.ANCHORARRAY($AA$11),ROW()-10,6),"")</f>
        <v/>
      </c>
      <c r="G82" s="22" t="str" cm="1">
        <f t="array" aca="1" ref="G82" ca="1">IFERROR(INDEX(_xlfn.ANCHORARRAY($AA$11),ROW()-10,7),"")</f>
        <v/>
      </c>
      <c r="H82" s="22" t="str" cm="1">
        <f t="array" aca="1" ref="H82" ca="1">IFERROR(INDEX(_xlfn.ANCHORARRAY($AA$11),ROW()-10,8),"")</f>
        <v/>
      </c>
      <c r="I82" s="22" t="str" cm="1">
        <f t="array" aca="1" ref="I82" ca="1">IFERROR(INDEX(_xlfn.ANCHORARRAY($AA$11),ROW()-10,9),"")</f>
        <v/>
      </c>
      <c r="J82" s="22" t="str">
        <f t="shared" ca="1" si="6"/>
        <v/>
      </c>
      <c r="K82" s="22" t="str">
        <f t="shared" ca="1" si="7"/>
        <v/>
      </c>
      <c r="L82" s="22" t="str" cm="1">
        <f t="array" aca="1" ref="L82" ca="1">_xlfn.LET(_xlpm.link,IFERROR(INDEX(_xlfn.ANCHORARRAY($AA$11),ROW()-10,12),""),IF(_xlpm.link="","",HYPERLINK(_xlpm.link,"Bluecore/Attentive")))</f>
        <v/>
      </c>
      <c r="M82" s="9"/>
      <c r="N82" s="9"/>
      <c r="O82" s="9"/>
      <c r="P82" s="9"/>
      <c r="Q82" s="9"/>
      <c r="R82" s="9"/>
      <c r="S82" s="8"/>
      <c r="T82" s="8"/>
      <c r="U82" s="8"/>
      <c r="V82" s="8"/>
      <c r="W82" s="8"/>
      <c r="X82" s="8"/>
      <c r="Y82" s="8"/>
      <c r="Z82" s="8"/>
      <c r="AA82"/>
      <c r="AB82"/>
      <c r="AC82"/>
      <c r="AD82"/>
      <c r="AE82"/>
      <c r="AF82"/>
      <c r="AG82"/>
      <c r="AH82"/>
      <c r="AI82"/>
      <c r="AJ82"/>
      <c r="AK82"/>
      <c r="AL82"/>
    </row>
    <row r="83" spans="1:38">
      <c r="A83" s="64" t="str" cm="1">
        <f t="array" aca="1" ref="A83" ca="1">IFERROR(INDEX(_xlfn.ANCHORARRAY($AA$11),ROW()-10,1),"")</f>
        <v/>
      </c>
      <c r="B83" s="31" t="str" cm="1">
        <f t="array" aca="1" ref="B83" ca="1">IFERROR(INDEX(_xlfn.ANCHORARRAY($AA$11),ROW()-10,2),"")</f>
        <v/>
      </c>
      <c r="C83" s="22" t="str" cm="1">
        <f t="array" aca="1" ref="C83" ca="1">IFERROR(INDEX(_xlfn.ANCHORARRAY($AA$11),ROW()-10,3),"")</f>
        <v/>
      </c>
      <c r="D83" s="22" t="str" cm="1">
        <f t="array" aca="1" ref="D83" ca="1">IFERROR(INDEX(_xlfn.ANCHORARRAY($AA$11),ROW()-10,4),"")</f>
        <v/>
      </c>
      <c r="E83" s="22" t="str" cm="1">
        <f t="array" aca="1" ref="E83" ca="1">IFERROR(INDEX(_xlfn.ANCHORARRAY($AA$11),ROW()-10,5),"")</f>
        <v/>
      </c>
      <c r="F83" s="22" t="str" cm="1">
        <f t="array" aca="1" ref="F83" ca="1">IFERROR(INDEX(_xlfn.ANCHORARRAY($AA$11),ROW()-10,6),"")</f>
        <v/>
      </c>
      <c r="G83" s="22" t="str" cm="1">
        <f t="array" aca="1" ref="G83" ca="1">IFERROR(INDEX(_xlfn.ANCHORARRAY($AA$11),ROW()-10,7),"")</f>
        <v/>
      </c>
      <c r="H83" s="22" t="str" cm="1">
        <f t="array" aca="1" ref="H83" ca="1">IFERROR(INDEX(_xlfn.ANCHORARRAY($AA$11),ROW()-10,8),"")</f>
        <v/>
      </c>
      <c r="I83" s="22" t="str" cm="1">
        <f t="array" aca="1" ref="I83" ca="1">IFERROR(INDEX(_xlfn.ANCHORARRAY($AA$11),ROW()-10,9),"")</f>
        <v/>
      </c>
      <c r="J83" s="22" t="str">
        <f t="shared" ca="1" si="6"/>
        <v/>
      </c>
      <c r="K83" s="22" t="str">
        <f t="shared" ca="1" si="7"/>
        <v/>
      </c>
      <c r="L83" s="22" t="str" cm="1">
        <f t="array" aca="1" ref="L83" ca="1">_xlfn.LET(_xlpm.link,IFERROR(INDEX(_xlfn.ANCHORARRAY($AA$11),ROW()-10,12),""),IF(_xlpm.link="","",HYPERLINK(_xlpm.link,"Bluecore/Attentive")))</f>
        <v/>
      </c>
      <c r="M83" s="9"/>
      <c r="N83" s="9"/>
      <c r="O83" s="9"/>
      <c r="P83" s="9"/>
      <c r="Q83" s="9"/>
      <c r="R83" s="9"/>
      <c r="S83" s="8"/>
      <c r="T83" s="8"/>
      <c r="U83" s="8"/>
      <c r="V83" s="8"/>
      <c r="W83" s="8"/>
      <c r="X83" s="8"/>
      <c r="Y83" s="8"/>
      <c r="Z83" s="8"/>
      <c r="AA83"/>
      <c r="AB83"/>
      <c r="AC83"/>
      <c r="AD83"/>
      <c r="AE83"/>
      <c r="AF83"/>
      <c r="AG83"/>
      <c r="AH83"/>
      <c r="AI83"/>
      <c r="AJ83"/>
      <c r="AK83"/>
      <c r="AL83"/>
    </row>
    <row r="84" spans="1:38">
      <c r="A84" s="64" t="str" cm="1">
        <f t="array" aca="1" ref="A84" ca="1">IFERROR(INDEX(_xlfn.ANCHORARRAY($AA$11),ROW()-10,1),"")</f>
        <v/>
      </c>
      <c r="B84" s="31" t="str" cm="1">
        <f t="array" aca="1" ref="B84" ca="1">IFERROR(INDEX(_xlfn.ANCHORARRAY($AA$11),ROW()-10,2),"")</f>
        <v/>
      </c>
      <c r="C84" s="22" t="str" cm="1">
        <f t="array" aca="1" ref="C84" ca="1">IFERROR(INDEX(_xlfn.ANCHORARRAY($AA$11),ROW()-10,3),"")</f>
        <v/>
      </c>
      <c r="D84" s="22" t="str" cm="1">
        <f t="array" aca="1" ref="D84" ca="1">IFERROR(INDEX(_xlfn.ANCHORARRAY($AA$11),ROW()-10,4),"")</f>
        <v/>
      </c>
      <c r="E84" s="22" t="str" cm="1">
        <f t="array" aca="1" ref="E84" ca="1">IFERROR(INDEX(_xlfn.ANCHORARRAY($AA$11),ROW()-10,5),"")</f>
        <v/>
      </c>
      <c r="F84" s="22" t="str" cm="1">
        <f t="array" aca="1" ref="F84" ca="1">IFERROR(INDEX(_xlfn.ANCHORARRAY($AA$11),ROW()-10,6),"")</f>
        <v/>
      </c>
      <c r="G84" s="22" t="str" cm="1">
        <f t="array" aca="1" ref="G84" ca="1">IFERROR(INDEX(_xlfn.ANCHORARRAY($AA$11),ROW()-10,7),"")</f>
        <v/>
      </c>
      <c r="H84" s="22" t="str" cm="1">
        <f t="array" aca="1" ref="H84" ca="1">IFERROR(INDEX(_xlfn.ANCHORARRAY($AA$11),ROW()-10,8),"")</f>
        <v/>
      </c>
      <c r="I84" s="22" t="str" cm="1">
        <f t="array" aca="1" ref="I84" ca="1">IFERROR(INDEX(_xlfn.ANCHORARRAY($AA$11),ROW()-10,9),"")</f>
        <v/>
      </c>
      <c r="J84" s="22" t="str">
        <f t="shared" ca="1" si="6"/>
        <v/>
      </c>
      <c r="K84" s="22" t="str">
        <f t="shared" ca="1" si="7"/>
        <v/>
      </c>
      <c r="L84" s="22" t="str" cm="1">
        <f t="array" aca="1" ref="L84" ca="1">_xlfn.LET(_xlpm.link,IFERROR(INDEX(_xlfn.ANCHORARRAY($AA$11),ROW()-10,12),""),IF(_xlpm.link="","",HYPERLINK(_xlpm.link,"Bluecore/Attentive")))</f>
        <v/>
      </c>
      <c r="M84" s="9"/>
      <c r="N84" s="9"/>
      <c r="O84" s="9"/>
      <c r="P84" s="9"/>
      <c r="Q84" s="9"/>
      <c r="R84" s="9"/>
      <c r="S84" s="8"/>
      <c r="T84" s="8"/>
      <c r="U84" s="8"/>
      <c r="V84" s="8"/>
      <c r="W84" s="8"/>
      <c r="X84" s="8"/>
      <c r="Y84" s="8"/>
      <c r="Z84" s="8"/>
      <c r="AA84"/>
      <c r="AB84"/>
      <c r="AC84"/>
      <c r="AD84"/>
      <c r="AE84"/>
      <c r="AF84"/>
      <c r="AG84"/>
      <c r="AH84"/>
      <c r="AI84"/>
      <c r="AJ84"/>
      <c r="AK84"/>
      <c r="AL84"/>
    </row>
    <row r="85" spans="1:38">
      <c r="A85" s="64" t="str" cm="1">
        <f t="array" aca="1" ref="A85" ca="1">IFERROR(INDEX(_xlfn.ANCHORARRAY($AA$11),ROW()-10,1),"")</f>
        <v/>
      </c>
      <c r="B85" s="31" t="str" cm="1">
        <f t="array" aca="1" ref="B85" ca="1">IFERROR(INDEX(_xlfn.ANCHORARRAY($AA$11),ROW()-10,2),"")</f>
        <v/>
      </c>
      <c r="C85" s="22" t="str" cm="1">
        <f t="array" aca="1" ref="C85" ca="1">IFERROR(INDEX(_xlfn.ANCHORARRAY($AA$11),ROW()-10,3),"")</f>
        <v/>
      </c>
      <c r="D85" s="22" t="str" cm="1">
        <f t="array" aca="1" ref="D85" ca="1">IFERROR(INDEX(_xlfn.ANCHORARRAY($AA$11),ROW()-10,4),"")</f>
        <v/>
      </c>
      <c r="E85" s="22" t="str" cm="1">
        <f t="array" aca="1" ref="E85" ca="1">IFERROR(INDEX(_xlfn.ANCHORARRAY($AA$11),ROW()-10,5),"")</f>
        <v/>
      </c>
      <c r="F85" s="22" t="str" cm="1">
        <f t="array" aca="1" ref="F85" ca="1">IFERROR(INDEX(_xlfn.ANCHORARRAY($AA$11),ROW()-10,6),"")</f>
        <v/>
      </c>
      <c r="G85" s="22" t="str" cm="1">
        <f t="array" aca="1" ref="G85" ca="1">IFERROR(INDEX(_xlfn.ANCHORARRAY($AA$11),ROW()-10,7),"")</f>
        <v/>
      </c>
      <c r="H85" s="22" t="str" cm="1">
        <f t="array" aca="1" ref="H85" ca="1">IFERROR(INDEX(_xlfn.ANCHORARRAY($AA$11),ROW()-10,8),"")</f>
        <v/>
      </c>
      <c r="I85" s="22" t="str" cm="1">
        <f t="array" aca="1" ref="I85" ca="1">IFERROR(INDEX(_xlfn.ANCHORARRAY($AA$11),ROW()-10,9),"")</f>
        <v/>
      </c>
      <c r="J85" s="22" t="str">
        <f t="shared" ca="1" si="6"/>
        <v/>
      </c>
      <c r="K85" s="22" t="str">
        <f t="shared" ca="1" si="7"/>
        <v/>
      </c>
      <c r="L85" s="22" t="str" cm="1">
        <f t="array" aca="1" ref="L85" ca="1">_xlfn.LET(_xlpm.link,IFERROR(INDEX(_xlfn.ANCHORARRAY($AA$11),ROW()-10,12),""),IF(_xlpm.link="","",HYPERLINK(_xlpm.link,"Bluecore/Attentive")))</f>
        <v/>
      </c>
      <c r="M85" s="9"/>
      <c r="N85" s="9"/>
      <c r="O85" s="9"/>
      <c r="P85" s="9"/>
      <c r="Q85" s="9"/>
      <c r="R85" s="9"/>
      <c r="S85" s="8"/>
      <c r="T85" s="8"/>
      <c r="U85" s="8"/>
      <c r="V85" s="8"/>
      <c r="W85" s="8"/>
      <c r="X85" s="8"/>
      <c r="Y85" s="8"/>
      <c r="Z85" s="8"/>
      <c r="AA85"/>
      <c r="AB85"/>
      <c r="AC85"/>
      <c r="AD85"/>
      <c r="AE85"/>
      <c r="AF85"/>
      <c r="AG85"/>
      <c r="AH85"/>
      <c r="AI85"/>
      <c r="AJ85"/>
      <c r="AK85"/>
      <c r="AL85"/>
    </row>
    <row r="86" spans="1:38">
      <c r="A86" s="64" t="str" cm="1">
        <f t="array" aca="1" ref="A86" ca="1">IFERROR(INDEX(_xlfn.ANCHORARRAY($AA$11),ROW()-10,1),"")</f>
        <v/>
      </c>
      <c r="B86" s="31" t="str" cm="1">
        <f t="array" aca="1" ref="B86" ca="1">IFERROR(INDEX(_xlfn.ANCHORARRAY($AA$11),ROW()-10,2),"")</f>
        <v/>
      </c>
      <c r="C86" s="22" t="str" cm="1">
        <f t="array" aca="1" ref="C86" ca="1">IFERROR(INDEX(_xlfn.ANCHORARRAY($AA$11),ROW()-10,3),"")</f>
        <v/>
      </c>
      <c r="D86" s="22" t="str" cm="1">
        <f t="array" aca="1" ref="D86" ca="1">IFERROR(INDEX(_xlfn.ANCHORARRAY($AA$11),ROW()-10,4),"")</f>
        <v/>
      </c>
      <c r="E86" s="22" t="str" cm="1">
        <f t="array" aca="1" ref="E86" ca="1">IFERROR(INDEX(_xlfn.ANCHORARRAY($AA$11),ROW()-10,5),"")</f>
        <v/>
      </c>
      <c r="F86" s="22" t="str" cm="1">
        <f t="array" aca="1" ref="F86" ca="1">IFERROR(INDEX(_xlfn.ANCHORARRAY($AA$11),ROW()-10,6),"")</f>
        <v/>
      </c>
      <c r="G86" s="22" t="str" cm="1">
        <f t="array" aca="1" ref="G86" ca="1">IFERROR(INDEX(_xlfn.ANCHORARRAY($AA$11),ROW()-10,7),"")</f>
        <v/>
      </c>
      <c r="H86" s="22" t="str" cm="1">
        <f t="array" aca="1" ref="H86" ca="1">IFERROR(INDEX(_xlfn.ANCHORARRAY($AA$11),ROW()-10,8),"")</f>
        <v/>
      </c>
      <c r="I86" s="22" t="str" cm="1">
        <f t="array" aca="1" ref="I86" ca="1">IFERROR(INDEX(_xlfn.ANCHORARRAY($AA$11),ROW()-10,9),"")</f>
        <v/>
      </c>
      <c r="J86" s="22" t="str">
        <f t="shared" ca="1" si="6"/>
        <v/>
      </c>
      <c r="K86" s="22" t="str">
        <f t="shared" ca="1" si="7"/>
        <v/>
      </c>
      <c r="L86" s="22" t="str" cm="1">
        <f t="array" aca="1" ref="L86" ca="1">_xlfn.LET(_xlpm.link,IFERROR(INDEX(_xlfn.ANCHORARRAY($AA$11),ROW()-10,12),""),IF(_xlpm.link="","",HYPERLINK(_xlpm.link,"Bluecore/Attentive")))</f>
        <v/>
      </c>
      <c r="M86" s="9"/>
      <c r="N86" s="9"/>
      <c r="O86" s="9"/>
      <c r="P86" s="9"/>
      <c r="Q86" s="9"/>
      <c r="R86" s="9"/>
      <c r="S86" s="8"/>
      <c r="T86" s="8"/>
      <c r="U86" s="8"/>
      <c r="V86" s="8"/>
      <c r="W86" s="8"/>
      <c r="X86" s="8"/>
      <c r="Y86" s="8"/>
      <c r="Z86" s="8"/>
      <c r="AA86"/>
      <c r="AB86"/>
      <c r="AC86"/>
      <c r="AD86"/>
      <c r="AE86"/>
      <c r="AF86"/>
      <c r="AG86"/>
      <c r="AH86"/>
      <c r="AI86"/>
      <c r="AJ86"/>
      <c r="AK86"/>
      <c r="AL86"/>
    </row>
    <row r="87" spans="1:38">
      <c r="A87" s="64" t="str" cm="1">
        <f t="array" aca="1" ref="A87" ca="1">IFERROR(INDEX(_xlfn.ANCHORARRAY($AA$11),ROW()-10,1),"")</f>
        <v/>
      </c>
      <c r="B87" s="31" t="str" cm="1">
        <f t="array" aca="1" ref="B87" ca="1">IFERROR(INDEX(_xlfn.ANCHORARRAY($AA$11),ROW()-10,2),"")</f>
        <v/>
      </c>
      <c r="C87" s="22" t="str" cm="1">
        <f t="array" aca="1" ref="C87" ca="1">IFERROR(INDEX(_xlfn.ANCHORARRAY($AA$11),ROW()-10,3),"")</f>
        <v/>
      </c>
      <c r="D87" s="22" t="str" cm="1">
        <f t="array" aca="1" ref="D87" ca="1">IFERROR(INDEX(_xlfn.ANCHORARRAY($AA$11),ROW()-10,4),"")</f>
        <v/>
      </c>
      <c r="E87" s="22" t="str" cm="1">
        <f t="array" aca="1" ref="E87" ca="1">IFERROR(INDEX(_xlfn.ANCHORARRAY($AA$11),ROW()-10,5),"")</f>
        <v/>
      </c>
      <c r="F87" s="22" t="str" cm="1">
        <f t="array" aca="1" ref="F87" ca="1">IFERROR(INDEX(_xlfn.ANCHORARRAY($AA$11),ROW()-10,6),"")</f>
        <v/>
      </c>
      <c r="G87" s="22" t="str" cm="1">
        <f t="array" aca="1" ref="G87" ca="1">IFERROR(INDEX(_xlfn.ANCHORARRAY($AA$11),ROW()-10,7),"")</f>
        <v/>
      </c>
      <c r="H87" s="22" t="str" cm="1">
        <f t="array" aca="1" ref="H87" ca="1">IFERROR(INDEX(_xlfn.ANCHORARRAY($AA$11),ROW()-10,8),"")</f>
        <v/>
      </c>
      <c r="I87" s="22" t="str" cm="1">
        <f t="array" aca="1" ref="I87" ca="1">IFERROR(INDEX(_xlfn.ANCHORARRAY($AA$11),ROW()-10,9),"")</f>
        <v/>
      </c>
      <c r="J87" s="22" t="str">
        <f t="shared" ca="1" si="6"/>
        <v/>
      </c>
      <c r="K87" s="22" t="str">
        <f t="shared" ca="1" si="7"/>
        <v/>
      </c>
      <c r="L87" s="22" t="str" cm="1">
        <f t="array" aca="1" ref="L87" ca="1">_xlfn.LET(_xlpm.link,IFERROR(INDEX(_xlfn.ANCHORARRAY($AA$11),ROW()-10,12),""),IF(_xlpm.link="","",HYPERLINK(_xlpm.link,"Bluecore/Attentive")))</f>
        <v/>
      </c>
      <c r="M87" s="9"/>
      <c r="N87" s="9"/>
      <c r="O87" s="9"/>
      <c r="P87" s="9"/>
      <c r="Q87" s="9"/>
      <c r="R87" s="9"/>
      <c r="S87" s="8"/>
      <c r="T87" s="8"/>
      <c r="U87" s="8"/>
      <c r="V87" s="8"/>
      <c r="W87" s="8"/>
      <c r="X87" s="8"/>
      <c r="Y87" s="8"/>
      <c r="Z87" s="8"/>
      <c r="AA87"/>
      <c r="AB87"/>
      <c r="AC87"/>
      <c r="AD87"/>
      <c r="AE87"/>
      <c r="AF87"/>
      <c r="AG87"/>
      <c r="AH87"/>
      <c r="AI87"/>
      <c r="AJ87"/>
      <c r="AK87"/>
      <c r="AL87"/>
    </row>
    <row r="88" spans="1:38">
      <c r="A88" s="64" t="str" cm="1">
        <f t="array" aca="1" ref="A88" ca="1">IFERROR(INDEX(_xlfn.ANCHORARRAY($AA$11),ROW()-10,1),"")</f>
        <v/>
      </c>
      <c r="B88" s="31" t="str" cm="1">
        <f t="array" aca="1" ref="B88" ca="1">IFERROR(INDEX(_xlfn.ANCHORARRAY($AA$11),ROW()-10,2),"")</f>
        <v/>
      </c>
      <c r="C88" s="22" t="str" cm="1">
        <f t="array" aca="1" ref="C88" ca="1">IFERROR(INDEX(_xlfn.ANCHORARRAY($AA$11),ROW()-10,3),"")</f>
        <v/>
      </c>
      <c r="D88" s="22" t="str" cm="1">
        <f t="array" aca="1" ref="D88" ca="1">IFERROR(INDEX(_xlfn.ANCHORARRAY($AA$11),ROW()-10,4),"")</f>
        <v/>
      </c>
      <c r="E88" s="22" t="str" cm="1">
        <f t="array" aca="1" ref="E88" ca="1">IFERROR(INDEX(_xlfn.ANCHORARRAY($AA$11),ROW()-10,5),"")</f>
        <v/>
      </c>
      <c r="F88" s="22" t="str" cm="1">
        <f t="array" aca="1" ref="F88" ca="1">IFERROR(INDEX(_xlfn.ANCHORARRAY($AA$11),ROW()-10,6),"")</f>
        <v/>
      </c>
      <c r="G88" s="22" t="str" cm="1">
        <f t="array" aca="1" ref="G88" ca="1">IFERROR(INDEX(_xlfn.ANCHORARRAY($AA$11),ROW()-10,7),"")</f>
        <v/>
      </c>
      <c r="H88" s="22" t="str" cm="1">
        <f t="array" aca="1" ref="H88" ca="1">IFERROR(INDEX(_xlfn.ANCHORARRAY($AA$11),ROW()-10,8),"")</f>
        <v/>
      </c>
      <c r="I88" s="22" t="str" cm="1">
        <f t="array" aca="1" ref="I88" ca="1">IFERROR(INDEX(_xlfn.ANCHORARRAY($AA$11),ROW()-10,9),"")</f>
        <v/>
      </c>
      <c r="J88" s="22" t="str">
        <f t="shared" ca="1" si="6"/>
        <v/>
      </c>
      <c r="K88" s="22" t="str">
        <f t="shared" ca="1" si="7"/>
        <v/>
      </c>
      <c r="L88" s="22" t="str" cm="1">
        <f t="array" aca="1" ref="L88" ca="1">_xlfn.LET(_xlpm.link,IFERROR(INDEX(_xlfn.ANCHORARRAY($AA$11),ROW()-10,12),""),IF(_xlpm.link="","",HYPERLINK(_xlpm.link,"Bluecore/Attentive")))</f>
        <v/>
      </c>
      <c r="M88" s="9"/>
      <c r="N88" s="9"/>
      <c r="O88" s="9"/>
      <c r="P88" s="9"/>
      <c r="Q88" s="9"/>
      <c r="R88" s="9"/>
      <c r="S88" s="8"/>
      <c r="T88" s="8"/>
      <c r="U88" s="8"/>
      <c r="V88" s="8"/>
      <c r="W88" s="8"/>
      <c r="X88" s="8"/>
      <c r="Y88" s="8"/>
      <c r="Z88" s="8"/>
      <c r="AA88"/>
      <c r="AB88"/>
      <c r="AC88"/>
      <c r="AD88"/>
      <c r="AE88"/>
      <c r="AF88"/>
      <c r="AG88"/>
      <c r="AH88"/>
      <c r="AI88"/>
      <c r="AJ88"/>
      <c r="AK88"/>
      <c r="AL88"/>
    </row>
    <row r="89" spans="1:38">
      <c r="A89" s="64" t="str" cm="1">
        <f t="array" aca="1" ref="A89" ca="1">IFERROR(INDEX(_xlfn.ANCHORARRAY($AA$11),ROW()-10,1),"")</f>
        <v/>
      </c>
      <c r="B89" s="31" t="str" cm="1">
        <f t="array" aca="1" ref="B89" ca="1">IFERROR(INDEX(_xlfn.ANCHORARRAY($AA$11),ROW()-10,2),"")</f>
        <v/>
      </c>
      <c r="C89" s="22" t="str" cm="1">
        <f t="array" aca="1" ref="C89" ca="1">IFERROR(INDEX(_xlfn.ANCHORARRAY($AA$11),ROW()-10,3),"")</f>
        <v/>
      </c>
      <c r="D89" s="22" t="str" cm="1">
        <f t="array" aca="1" ref="D89" ca="1">IFERROR(INDEX(_xlfn.ANCHORARRAY($AA$11),ROW()-10,4),"")</f>
        <v/>
      </c>
      <c r="E89" s="22" t="str" cm="1">
        <f t="array" aca="1" ref="E89" ca="1">IFERROR(INDEX(_xlfn.ANCHORARRAY($AA$11),ROW()-10,5),"")</f>
        <v/>
      </c>
      <c r="F89" s="22" t="str" cm="1">
        <f t="array" aca="1" ref="F89" ca="1">IFERROR(INDEX(_xlfn.ANCHORARRAY($AA$11),ROW()-10,6),"")</f>
        <v/>
      </c>
      <c r="G89" s="22" t="str" cm="1">
        <f t="array" aca="1" ref="G89" ca="1">IFERROR(INDEX(_xlfn.ANCHORARRAY($AA$11),ROW()-10,7),"")</f>
        <v/>
      </c>
      <c r="H89" s="22" t="str" cm="1">
        <f t="array" aca="1" ref="H89" ca="1">IFERROR(INDEX(_xlfn.ANCHORARRAY($AA$11),ROW()-10,8),"")</f>
        <v/>
      </c>
      <c r="I89" s="22" t="str" cm="1">
        <f t="array" aca="1" ref="I89" ca="1">IFERROR(INDEX(_xlfn.ANCHORARRAY($AA$11),ROW()-10,9),"")</f>
        <v/>
      </c>
      <c r="J89" s="22" t="str">
        <f t="shared" ca="1" si="6"/>
        <v/>
      </c>
      <c r="K89" s="22" t="str">
        <f t="shared" ca="1" si="7"/>
        <v/>
      </c>
      <c r="L89" s="22" t="str" cm="1">
        <f t="array" aca="1" ref="L89" ca="1">_xlfn.LET(_xlpm.link,IFERROR(INDEX(_xlfn.ANCHORARRAY($AA$11),ROW()-10,12),""),IF(_xlpm.link="","",HYPERLINK(_xlpm.link,"Bluecore/Attentive")))</f>
        <v/>
      </c>
      <c r="M89" s="9"/>
      <c r="N89" s="9"/>
      <c r="O89" s="9"/>
      <c r="P89" s="9"/>
      <c r="Q89" s="9"/>
      <c r="R89" s="9"/>
      <c r="S89" s="8"/>
      <c r="T89" s="8"/>
      <c r="U89" s="8"/>
      <c r="V89" s="8"/>
      <c r="W89" s="8"/>
      <c r="X89" s="8"/>
      <c r="Y89" s="8"/>
      <c r="Z89" s="8"/>
      <c r="AA89"/>
      <c r="AB89"/>
      <c r="AC89"/>
      <c r="AD89"/>
      <c r="AE89"/>
      <c r="AF89"/>
      <c r="AG89"/>
      <c r="AH89"/>
      <c r="AI89"/>
      <c r="AJ89"/>
      <c r="AK89"/>
      <c r="AL89"/>
    </row>
    <row r="90" spans="1:38">
      <c r="A90" s="64" t="str" cm="1">
        <f t="array" aca="1" ref="A90" ca="1">IFERROR(INDEX(_xlfn.ANCHORARRAY($AA$11),ROW()-10,1),"")</f>
        <v/>
      </c>
      <c r="B90" s="31" t="str" cm="1">
        <f t="array" aca="1" ref="B90" ca="1">IFERROR(INDEX(_xlfn.ANCHORARRAY($AA$11),ROW()-10,2),"")</f>
        <v/>
      </c>
      <c r="C90" s="22" t="str" cm="1">
        <f t="array" aca="1" ref="C90" ca="1">IFERROR(INDEX(_xlfn.ANCHORARRAY($AA$11),ROW()-10,3),"")</f>
        <v/>
      </c>
      <c r="D90" s="22" t="str" cm="1">
        <f t="array" aca="1" ref="D90" ca="1">IFERROR(INDEX(_xlfn.ANCHORARRAY($AA$11),ROW()-10,4),"")</f>
        <v/>
      </c>
      <c r="E90" s="22" t="str" cm="1">
        <f t="array" aca="1" ref="E90" ca="1">IFERROR(INDEX(_xlfn.ANCHORARRAY($AA$11),ROW()-10,5),"")</f>
        <v/>
      </c>
      <c r="F90" s="22" t="str" cm="1">
        <f t="array" aca="1" ref="F90" ca="1">IFERROR(INDEX(_xlfn.ANCHORARRAY($AA$11),ROW()-10,6),"")</f>
        <v/>
      </c>
      <c r="G90" s="22" t="str" cm="1">
        <f t="array" aca="1" ref="G90" ca="1">IFERROR(INDEX(_xlfn.ANCHORARRAY($AA$11),ROW()-10,7),"")</f>
        <v/>
      </c>
      <c r="H90" s="22" t="str" cm="1">
        <f t="array" aca="1" ref="H90" ca="1">IFERROR(INDEX(_xlfn.ANCHORARRAY($AA$11),ROW()-10,8),"")</f>
        <v/>
      </c>
      <c r="I90" s="22" t="str" cm="1">
        <f t="array" aca="1" ref="I90" ca="1">IFERROR(INDEX(_xlfn.ANCHORARRAY($AA$11),ROW()-10,9),"")</f>
        <v/>
      </c>
      <c r="J90" s="22" t="str">
        <f t="shared" ca="1" si="6"/>
        <v/>
      </c>
      <c r="K90" s="22" t="str">
        <f t="shared" ca="1" si="7"/>
        <v/>
      </c>
      <c r="L90" s="22" t="str" cm="1">
        <f t="array" aca="1" ref="L90" ca="1">_xlfn.LET(_xlpm.link,IFERROR(INDEX(_xlfn.ANCHORARRAY($AA$11),ROW()-10,12),""),IF(_xlpm.link="","",HYPERLINK(_xlpm.link,"Bluecore/Attentive")))</f>
        <v/>
      </c>
      <c r="M90" s="9"/>
      <c r="N90" s="9"/>
      <c r="O90" s="9"/>
      <c r="P90" s="9"/>
      <c r="Q90" s="9"/>
      <c r="R90" s="9"/>
      <c r="S90" s="8"/>
      <c r="T90" s="8"/>
      <c r="U90" s="8"/>
      <c r="V90" s="8"/>
      <c r="W90" s="8"/>
      <c r="X90" s="8"/>
      <c r="Y90" s="8"/>
      <c r="Z90" s="8"/>
      <c r="AA90"/>
      <c r="AB90"/>
      <c r="AC90"/>
      <c r="AD90"/>
      <c r="AE90"/>
      <c r="AF90"/>
      <c r="AG90"/>
      <c r="AH90"/>
      <c r="AI90"/>
      <c r="AJ90"/>
      <c r="AK90"/>
      <c r="AL90"/>
    </row>
    <row r="91" spans="1:38">
      <c r="A91" s="64" t="str" cm="1">
        <f t="array" aca="1" ref="A91" ca="1">IFERROR(INDEX(_xlfn.ANCHORARRAY($AA$11),ROW()-10,1),"")</f>
        <v/>
      </c>
      <c r="B91" s="31" t="str" cm="1">
        <f t="array" aca="1" ref="B91" ca="1">IFERROR(INDEX(_xlfn.ANCHORARRAY($AA$11),ROW()-10,2),"")</f>
        <v/>
      </c>
      <c r="C91" s="22" t="str" cm="1">
        <f t="array" aca="1" ref="C91" ca="1">IFERROR(INDEX(_xlfn.ANCHORARRAY($AA$11),ROW()-10,3),"")</f>
        <v/>
      </c>
      <c r="D91" s="22" t="str" cm="1">
        <f t="array" aca="1" ref="D91" ca="1">IFERROR(INDEX(_xlfn.ANCHORARRAY($AA$11),ROW()-10,4),"")</f>
        <v/>
      </c>
      <c r="E91" s="22" t="str" cm="1">
        <f t="array" aca="1" ref="E91" ca="1">IFERROR(INDEX(_xlfn.ANCHORARRAY($AA$11),ROW()-10,5),"")</f>
        <v/>
      </c>
      <c r="F91" s="22" t="str" cm="1">
        <f t="array" aca="1" ref="F91" ca="1">IFERROR(INDEX(_xlfn.ANCHORARRAY($AA$11),ROW()-10,6),"")</f>
        <v/>
      </c>
      <c r="G91" s="22" t="str" cm="1">
        <f t="array" aca="1" ref="G91" ca="1">IFERROR(INDEX(_xlfn.ANCHORARRAY($AA$11),ROW()-10,7),"")</f>
        <v/>
      </c>
      <c r="H91" s="22" t="str" cm="1">
        <f t="array" aca="1" ref="H91" ca="1">IFERROR(INDEX(_xlfn.ANCHORARRAY($AA$11),ROW()-10,8),"")</f>
        <v/>
      </c>
      <c r="I91" s="22" t="str" cm="1">
        <f t="array" aca="1" ref="I91" ca="1">IFERROR(INDEX(_xlfn.ANCHORARRAY($AA$11),ROW()-10,9),"")</f>
        <v/>
      </c>
      <c r="J91" s="22" t="str">
        <f t="shared" ca="1" si="6"/>
        <v/>
      </c>
      <c r="K91" s="22" t="str">
        <f t="shared" ca="1" si="7"/>
        <v/>
      </c>
      <c r="L91" s="22" t="str" cm="1">
        <f t="array" aca="1" ref="L91" ca="1">_xlfn.LET(_xlpm.link,IFERROR(INDEX(_xlfn.ANCHORARRAY($AA$11),ROW()-10,12),""),IF(_xlpm.link="","",HYPERLINK(_xlpm.link,"Bluecore/Attentive")))</f>
        <v/>
      </c>
      <c r="M91" s="9"/>
      <c r="N91" s="9"/>
      <c r="O91" s="9"/>
      <c r="P91" s="9"/>
      <c r="Q91" s="9"/>
      <c r="R91" s="9"/>
      <c r="S91" s="8"/>
      <c r="T91" s="8"/>
      <c r="U91" s="8"/>
      <c r="V91" s="8"/>
      <c r="W91" s="8"/>
      <c r="X91" s="8"/>
      <c r="Y91" s="8"/>
      <c r="Z91" s="8"/>
      <c r="AA91"/>
      <c r="AB91"/>
      <c r="AC91"/>
      <c r="AD91"/>
      <c r="AE91"/>
      <c r="AF91"/>
      <c r="AG91"/>
      <c r="AH91"/>
      <c r="AI91"/>
      <c r="AJ91"/>
      <c r="AK91"/>
      <c r="AL91"/>
    </row>
    <row r="92" spans="1:38">
      <c r="A92" s="64" t="str" cm="1">
        <f t="array" aca="1" ref="A92" ca="1">IFERROR(INDEX(_xlfn.ANCHORARRAY($AA$11),ROW()-10,1),"")</f>
        <v/>
      </c>
      <c r="B92" s="31" t="str" cm="1">
        <f t="array" aca="1" ref="B92" ca="1">IFERROR(INDEX(_xlfn.ANCHORARRAY($AA$11),ROW()-10,2),"")</f>
        <v/>
      </c>
      <c r="C92" s="22" t="str" cm="1">
        <f t="array" aca="1" ref="C92" ca="1">IFERROR(INDEX(_xlfn.ANCHORARRAY($AA$11),ROW()-10,3),"")</f>
        <v/>
      </c>
      <c r="D92" s="22" t="str" cm="1">
        <f t="array" aca="1" ref="D92" ca="1">IFERROR(INDEX(_xlfn.ANCHORARRAY($AA$11),ROW()-10,4),"")</f>
        <v/>
      </c>
      <c r="E92" s="22" t="str" cm="1">
        <f t="array" aca="1" ref="E92" ca="1">IFERROR(INDEX(_xlfn.ANCHORARRAY($AA$11),ROW()-10,5),"")</f>
        <v/>
      </c>
      <c r="F92" s="22" t="str" cm="1">
        <f t="array" aca="1" ref="F92" ca="1">IFERROR(INDEX(_xlfn.ANCHORARRAY($AA$11),ROW()-10,6),"")</f>
        <v/>
      </c>
      <c r="G92" s="22" t="str" cm="1">
        <f t="array" aca="1" ref="G92" ca="1">IFERROR(INDEX(_xlfn.ANCHORARRAY($AA$11),ROW()-10,7),"")</f>
        <v/>
      </c>
      <c r="H92" s="22" t="str" cm="1">
        <f t="array" aca="1" ref="H92" ca="1">IFERROR(INDEX(_xlfn.ANCHORARRAY($AA$11),ROW()-10,8),"")</f>
        <v/>
      </c>
      <c r="I92" s="22" t="str" cm="1">
        <f t="array" aca="1" ref="I92" ca="1">IFERROR(INDEX(_xlfn.ANCHORARRAY($AA$11),ROW()-10,9),"")</f>
        <v/>
      </c>
      <c r="J92" s="22" t="str">
        <f t="shared" ca="1" si="6"/>
        <v/>
      </c>
      <c r="K92" s="22" t="str">
        <f t="shared" ca="1" si="7"/>
        <v/>
      </c>
      <c r="L92" s="22" t="str" cm="1">
        <f t="array" aca="1" ref="L92" ca="1">_xlfn.LET(_xlpm.link,IFERROR(INDEX(_xlfn.ANCHORARRAY($AA$11),ROW()-10,12),""),IF(_xlpm.link="","",HYPERLINK(_xlpm.link,"Bluecore/Attentive")))</f>
        <v/>
      </c>
      <c r="M92" s="9"/>
      <c r="N92" s="9"/>
      <c r="O92" s="9"/>
      <c r="P92" s="9"/>
      <c r="Q92" s="9"/>
      <c r="R92" s="9"/>
      <c r="S92" s="8"/>
      <c r="T92" s="8"/>
      <c r="U92" s="8"/>
      <c r="V92" s="8"/>
      <c r="W92" s="8"/>
      <c r="X92" s="8"/>
      <c r="Y92" s="8"/>
      <c r="Z92" s="8"/>
      <c r="AA92"/>
      <c r="AB92"/>
      <c r="AC92"/>
      <c r="AD92"/>
      <c r="AE92"/>
      <c r="AF92"/>
      <c r="AG92"/>
      <c r="AH92"/>
      <c r="AI92"/>
      <c r="AJ92"/>
      <c r="AK92"/>
      <c r="AL92"/>
    </row>
    <row r="93" spans="1:38">
      <c r="A93" s="64" t="str" cm="1">
        <f t="array" aca="1" ref="A93" ca="1">IFERROR(INDEX(_xlfn.ANCHORARRAY($AA$11),ROW()-10,1),"")</f>
        <v/>
      </c>
      <c r="B93" s="31" t="str" cm="1">
        <f t="array" aca="1" ref="B93" ca="1">IFERROR(INDEX(_xlfn.ANCHORARRAY($AA$11),ROW()-10,2),"")</f>
        <v/>
      </c>
      <c r="C93" s="22" t="str" cm="1">
        <f t="array" aca="1" ref="C93" ca="1">IFERROR(INDEX(_xlfn.ANCHORARRAY($AA$11),ROW()-10,3),"")</f>
        <v/>
      </c>
      <c r="D93" s="22" t="str" cm="1">
        <f t="array" aca="1" ref="D93" ca="1">IFERROR(INDEX(_xlfn.ANCHORARRAY($AA$11),ROW()-10,4),"")</f>
        <v/>
      </c>
      <c r="E93" s="22" t="str" cm="1">
        <f t="array" aca="1" ref="E93" ca="1">IFERROR(INDEX(_xlfn.ANCHORARRAY($AA$11),ROW()-10,5),"")</f>
        <v/>
      </c>
      <c r="F93" s="22" t="str" cm="1">
        <f t="array" aca="1" ref="F93" ca="1">IFERROR(INDEX(_xlfn.ANCHORARRAY($AA$11),ROW()-10,6),"")</f>
        <v/>
      </c>
      <c r="G93" s="22" t="str" cm="1">
        <f t="array" aca="1" ref="G93" ca="1">IFERROR(INDEX(_xlfn.ANCHORARRAY($AA$11),ROW()-10,7),"")</f>
        <v/>
      </c>
      <c r="H93" s="22" t="str" cm="1">
        <f t="array" aca="1" ref="H93" ca="1">IFERROR(INDEX(_xlfn.ANCHORARRAY($AA$11),ROW()-10,8),"")</f>
        <v/>
      </c>
      <c r="I93" s="22" t="str" cm="1">
        <f t="array" aca="1" ref="I93" ca="1">IFERROR(INDEX(_xlfn.ANCHORARRAY($AA$11),ROW()-10,9),"")</f>
        <v/>
      </c>
      <c r="J93" s="22" t="str">
        <f t="shared" ca="1" si="6"/>
        <v/>
      </c>
      <c r="K93" s="22" t="str">
        <f t="shared" ca="1" si="7"/>
        <v/>
      </c>
      <c r="L93" s="22" t="str" cm="1">
        <f t="array" aca="1" ref="L93" ca="1">_xlfn.LET(_xlpm.link,IFERROR(INDEX(_xlfn.ANCHORARRAY($AA$11),ROW()-10,12),""),IF(_xlpm.link="","",HYPERLINK(_xlpm.link,"Bluecore/Attentive")))</f>
        <v/>
      </c>
      <c r="M93" s="9"/>
      <c r="N93" s="9"/>
      <c r="O93" s="9"/>
      <c r="P93" s="9"/>
      <c r="Q93" s="9"/>
      <c r="R93" s="9"/>
      <c r="S93" s="8"/>
      <c r="T93" s="8"/>
      <c r="U93" s="8"/>
      <c r="V93" s="8"/>
      <c r="W93" s="8"/>
      <c r="X93" s="8"/>
      <c r="Y93" s="8"/>
      <c r="Z93" s="8"/>
      <c r="AA93"/>
      <c r="AB93"/>
      <c r="AC93"/>
      <c r="AD93"/>
      <c r="AE93"/>
      <c r="AF93"/>
      <c r="AG93"/>
      <c r="AH93"/>
      <c r="AI93"/>
      <c r="AJ93"/>
      <c r="AK93"/>
      <c r="AL93"/>
    </row>
    <row r="94" spans="1:38">
      <c r="A94" s="64" t="str" cm="1">
        <f t="array" aca="1" ref="A94" ca="1">IFERROR(INDEX(_xlfn.ANCHORARRAY($AA$11),ROW()-10,1),"")</f>
        <v/>
      </c>
      <c r="B94" s="31" t="str" cm="1">
        <f t="array" aca="1" ref="B94" ca="1">IFERROR(INDEX(_xlfn.ANCHORARRAY($AA$11),ROW()-10,2),"")</f>
        <v/>
      </c>
      <c r="C94" s="22" t="str" cm="1">
        <f t="array" aca="1" ref="C94" ca="1">IFERROR(INDEX(_xlfn.ANCHORARRAY($AA$11),ROW()-10,3),"")</f>
        <v/>
      </c>
      <c r="D94" s="22" t="str" cm="1">
        <f t="array" aca="1" ref="D94" ca="1">IFERROR(INDEX(_xlfn.ANCHORARRAY($AA$11),ROW()-10,4),"")</f>
        <v/>
      </c>
      <c r="E94" s="22" t="str" cm="1">
        <f t="array" aca="1" ref="E94" ca="1">IFERROR(INDEX(_xlfn.ANCHORARRAY($AA$11),ROW()-10,5),"")</f>
        <v/>
      </c>
      <c r="F94" s="22" t="str" cm="1">
        <f t="array" aca="1" ref="F94" ca="1">IFERROR(INDEX(_xlfn.ANCHORARRAY($AA$11),ROW()-10,6),"")</f>
        <v/>
      </c>
      <c r="G94" s="22" t="str" cm="1">
        <f t="array" aca="1" ref="G94" ca="1">IFERROR(INDEX(_xlfn.ANCHORARRAY($AA$11),ROW()-10,7),"")</f>
        <v/>
      </c>
      <c r="H94" s="22" t="str" cm="1">
        <f t="array" aca="1" ref="H94" ca="1">IFERROR(INDEX(_xlfn.ANCHORARRAY($AA$11),ROW()-10,8),"")</f>
        <v/>
      </c>
      <c r="I94" s="22" t="str" cm="1">
        <f t="array" aca="1" ref="I94" ca="1">IFERROR(INDEX(_xlfn.ANCHORARRAY($AA$11),ROW()-10,9),"")</f>
        <v/>
      </c>
      <c r="J94" s="22" t="str">
        <f t="shared" ca="1" si="6"/>
        <v/>
      </c>
      <c r="K94" s="22" t="str">
        <f t="shared" ca="1" si="7"/>
        <v/>
      </c>
      <c r="L94" s="22" t="str" cm="1">
        <f t="array" aca="1" ref="L94" ca="1">_xlfn.LET(_xlpm.link,IFERROR(INDEX(_xlfn.ANCHORARRAY($AA$11),ROW()-10,12),""),IF(_xlpm.link="","",HYPERLINK(_xlpm.link,"Bluecore/Attentive")))</f>
        <v/>
      </c>
      <c r="M94" s="9"/>
      <c r="N94" s="9"/>
      <c r="O94" s="9"/>
      <c r="P94" s="9"/>
      <c r="Q94" s="9"/>
      <c r="R94" s="9"/>
      <c r="S94" s="8"/>
      <c r="T94" s="8"/>
      <c r="U94" s="8"/>
      <c r="V94" s="8"/>
      <c r="W94" s="8"/>
      <c r="X94" s="8"/>
      <c r="Y94" s="8"/>
      <c r="Z94" s="8"/>
      <c r="AA94"/>
      <c r="AB94"/>
      <c r="AC94"/>
      <c r="AD94"/>
      <c r="AE94"/>
      <c r="AF94"/>
      <c r="AG94"/>
      <c r="AH94"/>
      <c r="AI94"/>
      <c r="AJ94"/>
      <c r="AK94"/>
      <c r="AL94"/>
    </row>
    <row r="95" spans="1:38">
      <c r="A95" s="64" t="str" cm="1">
        <f t="array" aca="1" ref="A95" ca="1">IFERROR(INDEX(_xlfn.ANCHORARRAY($AA$11),ROW()-10,1),"")</f>
        <v/>
      </c>
      <c r="B95" s="31" t="str" cm="1">
        <f t="array" aca="1" ref="B95" ca="1">IFERROR(INDEX(_xlfn.ANCHORARRAY($AA$11),ROW()-10,2),"")</f>
        <v/>
      </c>
      <c r="C95" s="22" t="str" cm="1">
        <f t="array" aca="1" ref="C95" ca="1">IFERROR(INDEX(_xlfn.ANCHORARRAY($AA$11),ROW()-10,3),"")</f>
        <v/>
      </c>
      <c r="D95" s="22" t="str" cm="1">
        <f t="array" aca="1" ref="D95" ca="1">IFERROR(INDEX(_xlfn.ANCHORARRAY($AA$11),ROW()-10,4),"")</f>
        <v/>
      </c>
      <c r="E95" s="22" t="str" cm="1">
        <f t="array" aca="1" ref="E95" ca="1">IFERROR(INDEX(_xlfn.ANCHORARRAY($AA$11),ROW()-10,5),"")</f>
        <v/>
      </c>
      <c r="F95" s="22" t="str" cm="1">
        <f t="array" aca="1" ref="F95" ca="1">IFERROR(INDEX(_xlfn.ANCHORARRAY($AA$11),ROW()-10,6),"")</f>
        <v/>
      </c>
      <c r="G95" s="22" t="str" cm="1">
        <f t="array" aca="1" ref="G95" ca="1">IFERROR(INDEX(_xlfn.ANCHORARRAY($AA$11),ROW()-10,7),"")</f>
        <v/>
      </c>
      <c r="H95" s="22" t="str" cm="1">
        <f t="array" aca="1" ref="H95" ca="1">IFERROR(INDEX(_xlfn.ANCHORARRAY($AA$11),ROW()-10,8),"")</f>
        <v/>
      </c>
      <c r="I95" s="22" t="str" cm="1">
        <f t="array" aca="1" ref="I95" ca="1">IFERROR(INDEX(_xlfn.ANCHORARRAY($AA$11),ROW()-10,9),"")</f>
        <v/>
      </c>
      <c r="J95" s="22" t="str">
        <f t="shared" ca="1" si="6"/>
        <v/>
      </c>
      <c r="K95" s="22" t="str">
        <f t="shared" ca="1" si="7"/>
        <v/>
      </c>
      <c r="L95" s="22" t="str" cm="1">
        <f t="array" aca="1" ref="L95" ca="1">_xlfn.LET(_xlpm.link,IFERROR(INDEX(_xlfn.ANCHORARRAY($AA$11),ROW()-10,12),""),IF(_xlpm.link="","",HYPERLINK(_xlpm.link,"Bluecore/Attentive")))</f>
        <v/>
      </c>
      <c r="M95" s="9"/>
      <c r="N95" s="9"/>
      <c r="O95" s="9"/>
      <c r="P95" s="9"/>
      <c r="Q95" s="9"/>
      <c r="R95" s="9"/>
      <c r="S95" s="8"/>
      <c r="T95" s="8"/>
      <c r="U95" s="8"/>
      <c r="V95" s="8"/>
      <c r="W95" s="8"/>
      <c r="X95" s="8"/>
      <c r="Y95" s="8"/>
      <c r="Z95" s="8"/>
      <c r="AA95"/>
      <c r="AB95"/>
      <c r="AC95"/>
      <c r="AD95"/>
      <c r="AE95"/>
      <c r="AF95"/>
      <c r="AG95"/>
      <c r="AH95"/>
      <c r="AI95"/>
      <c r="AJ95"/>
      <c r="AK95"/>
      <c r="AL95"/>
    </row>
    <row r="96" spans="1:38">
      <c r="A96" s="64" t="str" cm="1">
        <f t="array" aca="1" ref="A96" ca="1">IFERROR(INDEX(_xlfn.ANCHORARRAY($AA$11),ROW()-10,1),"")</f>
        <v/>
      </c>
      <c r="B96" s="31" t="str" cm="1">
        <f t="array" aca="1" ref="B96" ca="1">IFERROR(INDEX(_xlfn.ANCHORARRAY($AA$11),ROW()-10,2),"")</f>
        <v/>
      </c>
      <c r="C96" s="22" t="str" cm="1">
        <f t="array" aca="1" ref="C96" ca="1">IFERROR(INDEX(_xlfn.ANCHORARRAY($AA$11),ROW()-10,3),"")</f>
        <v/>
      </c>
      <c r="D96" s="22" t="str" cm="1">
        <f t="array" aca="1" ref="D96" ca="1">IFERROR(INDEX(_xlfn.ANCHORARRAY($AA$11),ROW()-10,4),"")</f>
        <v/>
      </c>
      <c r="E96" s="22" t="str" cm="1">
        <f t="array" aca="1" ref="E96" ca="1">IFERROR(INDEX(_xlfn.ANCHORARRAY($AA$11),ROW()-10,5),"")</f>
        <v/>
      </c>
      <c r="F96" s="22" t="str" cm="1">
        <f t="array" aca="1" ref="F96" ca="1">IFERROR(INDEX(_xlfn.ANCHORARRAY($AA$11),ROW()-10,6),"")</f>
        <v/>
      </c>
      <c r="G96" s="22" t="str" cm="1">
        <f t="array" aca="1" ref="G96" ca="1">IFERROR(INDEX(_xlfn.ANCHORARRAY($AA$11),ROW()-10,7),"")</f>
        <v/>
      </c>
      <c r="H96" s="22" t="str" cm="1">
        <f t="array" aca="1" ref="H96" ca="1">IFERROR(INDEX(_xlfn.ANCHORARRAY($AA$11),ROW()-10,8),"")</f>
        <v/>
      </c>
      <c r="I96" s="22" t="str" cm="1">
        <f t="array" aca="1" ref="I96" ca="1">IFERROR(INDEX(_xlfn.ANCHORARRAY($AA$11),ROW()-10,9),"")</f>
        <v/>
      </c>
      <c r="J96" s="22" t="str">
        <f t="shared" ca="1" si="6"/>
        <v/>
      </c>
      <c r="K96" s="22" t="str">
        <f t="shared" ca="1" si="7"/>
        <v/>
      </c>
      <c r="L96" s="22" t="str" cm="1">
        <f t="array" aca="1" ref="L96" ca="1">_xlfn.LET(_xlpm.link,IFERROR(INDEX(_xlfn.ANCHORARRAY($AA$11),ROW()-10,12),""),IF(_xlpm.link="","",HYPERLINK(_xlpm.link,"Bluecore/Attentive")))</f>
        <v/>
      </c>
      <c r="M96" s="9"/>
      <c r="N96" s="9"/>
      <c r="O96" s="9"/>
      <c r="P96" s="9"/>
      <c r="Q96" s="9"/>
      <c r="R96" s="9"/>
      <c r="S96" s="8"/>
      <c r="T96" s="8"/>
      <c r="U96" s="8"/>
      <c r="V96" s="8"/>
      <c r="W96" s="8"/>
      <c r="X96" s="8"/>
      <c r="Y96" s="8"/>
      <c r="Z96" s="8"/>
      <c r="AA96"/>
      <c r="AB96"/>
      <c r="AC96"/>
      <c r="AD96"/>
      <c r="AE96"/>
      <c r="AF96"/>
      <c r="AG96"/>
      <c r="AH96"/>
      <c r="AI96"/>
      <c r="AJ96"/>
      <c r="AK96"/>
      <c r="AL96"/>
    </row>
    <row r="97" spans="1:38">
      <c r="A97" s="64" t="str" cm="1">
        <f t="array" aca="1" ref="A97" ca="1">IFERROR(INDEX(_xlfn.ANCHORARRAY($AA$11),ROW()-10,1),"")</f>
        <v/>
      </c>
      <c r="B97" s="31" t="str" cm="1">
        <f t="array" aca="1" ref="B97" ca="1">IFERROR(INDEX(_xlfn.ANCHORARRAY($AA$11),ROW()-10,2),"")</f>
        <v/>
      </c>
      <c r="C97" s="22" t="str" cm="1">
        <f t="array" aca="1" ref="C97" ca="1">IFERROR(INDEX(_xlfn.ANCHORARRAY($AA$11),ROW()-10,3),"")</f>
        <v/>
      </c>
      <c r="D97" s="22" t="str" cm="1">
        <f t="array" aca="1" ref="D97" ca="1">IFERROR(INDEX(_xlfn.ANCHORARRAY($AA$11),ROW()-10,4),"")</f>
        <v/>
      </c>
      <c r="E97" s="22" t="str" cm="1">
        <f t="array" aca="1" ref="E97" ca="1">IFERROR(INDEX(_xlfn.ANCHORARRAY($AA$11),ROW()-10,5),"")</f>
        <v/>
      </c>
      <c r="F97" s="22" t="str" cm="1">
        <f t="array" aca="1" ref="F97" ca="1">IFERROR(INDEX(_xlfn.ANCHORARRAY($AA$11),ROW()-10,6),"")</f>
        <v/>
      </c>
      <c r="G97" s="22" t="str" cm="1">
        <f t="array" aca="1" ref="G97" ca="1">IFERROR(INDEX(_xlfn.ANCHORARRAY($AA$11),ROW()-10,7),"")</f>
        <v/>
      </c>
      <c r="H97" s="22" t="str" cm="1">
        <f t="array" aca="1" ref="H97" ca="1">IFERROR(INDEX(_xlfn.ANCHORARRAY($AA$11),ROW()-10,8),"")</f>
        <v/>
      </c>
      <c r="I97" s="22" t="str" cm="1">
        <f t="array" aca="1" ref="I97" ca="1">IFERROR(INDEX(_xlfn.ANCHORARRAY($AA$11),ROW()-10,9),"")</f>
        <v/>
      </c>
      <c r="J97" s="22" t="str">
        <f t="shared" ca="1" si="6"/>
        <v/>
      </c>
      <c r="K97" s="22" t="str">
        <f t="shared" ca="1" si="7"/>
        <v/>
      </c>
      <c r="L97" s="22" t="str" cm="1">
        <f t="array" aca="1" ref="L97" ca="1">_xlfn.LET(_xlpm.link,IFERROR(INDEX(_xlfn.ANCHORARRAY($AA$11),ROW()-10,12),""),IF(_xlpm.link="","",HYPERLINK(_xlpm.link,"Bluecore/Attentive")))</f>
        <v/>
      </c>
      <c r="M97" s="9"/>
      <c r="N97" s="9"/>
      <c r="O97" s="9"/>
      <c r="P97" s="9"/>
      <c r="Q97" s="9"/>
      <c r="R97" s="9"/>
      <c r="S97" s="8"/>
      <c r="T97" s="8"/>
      <c r="U97" s="8"/>
      <c r="V97" s="8"/>
      <c r="W97" s="8"/>
      <c r="X97" s="8"/>
      <c r="Y97" s="8"/>
      <c r="Z97" s="8"/>
      <c r="AA97"/>
      <c r="AB97"/>
      <c r="AC97"/>
      <c r="AD97"/>
      <c r="AE97"/>
      <c r="AF97"/>
      <c r="AG97"/>
      <c r="AH97"/>
      <c r="AI97"/>
      <c r="AJ97"/>
      <c r="AK97"/>
      <c r="AL97"/>
    </row>
    <row r="98" spans="1:38">
      <c r="A98" s="64" t="str" cm="1">
        <f t="array" aca="1" ref="A98" ca="1">IFERROR(INDEX(_xlfn.ANCHORARRAY($AA$11),ROW()-10,1),"")</f>
        <v/>
      </c>
      <c r="B98" s="31" t="str" cm="1">
        <f t="array" aca="1" ref="B98" ca="1">IFERROR(INDEX(_xlfn.ANCHORARRAY($AA$11),ROW()-10,2),"")</f>
        <v/>
      </c>
      <c r="C98" s="22" t="str" cm="1">
        <f t="array" aca="1" ref="C98" ca="1">IFERROR(INDEX(_xlfn.ANCHORARRAY($AA$11),ROW()-10,3),"")</f>
        <v/>
      </c>
      <c r="D98" s="22" t="str" cm="1">
        <f t="array" aca="1" ref="D98" ca="1">IFERROR(INDEX(_xlfn.ANCHORARRAY($AA$11),ROW()-10,4),"")</f>
        <v/>
      </c>
      <c r="E98" s="22" t="str" cm="1">
        <f t="array" aca="1" ref="E98" ca="1">IFERROR(INDEX(_xlfn.ANCHORARRAY($AA$11),ROW()-10,5),"")</f>
        <v/>
      </c>
      <c r="F98" s="22" t="str" cm="1">
        <f t="array" aca="1" ref="F98" ca="1">IFERROR(INDEX(_xlfn.ANCHORARRAY($AA$11),ROW()-10,6),"")</f>
        <v/>
      </c>
      <c r="G98" s="22" t="str" cm="1">
        <f t="array" aca="1" ref="G98" ca="1">IFERROR(INDEX(_xlfn.ANCHORARRAY($AA$11),ROW()-10,7),"")</f>
        <v/>
      </c>
      <c r="H98" s="22" t="str" cm="1">
        <f t="array" aca="1" ref="H98" ca="1">IFERROR(INDEX(_xlfn.ANCHORARRAY($AA$11),ROW()-10,8),"")</f>
        <v/>
      </c>
      <c r="I98" s="22" t="str" cm="1">
        <f t="array" aca="1" ref="I98" ca="1">IFERROR(INDEX(_xlfn.ANCHORARRAY($AA$11),ROW()-10,9),"")</f>
        <v/>
      </c>
      <c r="J98" s="22" t="str">
        <f t="shared" ca="1" si="6"/>
        <v/>
      </c>
      <c r="K98" s="22" t="str">
        <f t="shared" ca="1" si="7"/>
        <v/>
      </c>
      <c r="L98" s="22" t="str" cm="1">
        <f t="array" aca="1" ref="L98" ca="1">_xlfn.LET(_xlpm.link,IFERROR(INDEX(_xlfn.ANCHORARRAY($AA$11),ROW()-10,12),""),IF(_xlpm.link="","",HYPERLINK(_xlpm.link,"Bluecore/Attentive")))</f>
        <v/>
      </c>
      <c r="M98" s="9"/>
      <c r="N98" s="9"/>
      <c r="O98" s="9"/>
      <c r="P98" s="9"/>
      <c r="Q98" s="9"/>
      <c r="R98" s="9"/>
      <c r="S98" s="8"/>
      <c r="T98" s="8"/>
      <c r="U98" s="8"/>
      <c r="V98" s="8"/>
      <c r="W98" s="8"/>
      <c r="X98" s="8"/>
      <c r="Y98" s="8"/>
      <c r="Z98" s="8"/>
      <c r="AA98"/>
      <c r="AB98"/>
      <c r="AC98"/>
      <c r="AD98"/>
      <c r="AE98"/>
      <c r="AF98"/>
      <c r="AG98"/>
      <c r="AH98"/>
      <c r="AI98"/>
      <c r="AJ98"/>
      <c r="AK98"/>
      <c r="AL98"/>
    </row>
    <row r="99" spans="1:38">
      <c r="A99" s="64" t="str" cm="1">
        <f t="array" aca="1" ref="A99" ca="1">IFERROR(INDEX(_xlfn.ANCHORARRAY($AA$11),ROW()-10,1),"")</f>
        <v/>
      </c>
      <c r="B99" s="31" t="str" cm="1">
        <f t="array" aca="1" ref="B99" ca="1">IFERROR(INDEX(_xlfn.ANCHORARRAY($AA$11),ROW()-10,2),"")</f>
        <v/>
      </c>
      <c r="C99" s="22" t="str" cm="1">
        <f t="array" aca="1" ref="C99" ca="1">IFERROR(INDEX(_xlfn.ANCHORARRAY($AA$11),ROW()-10,3),"")</f>
        <v/>
      </c>
      <c r="D99" s="22" t="str" cm="1">
        <f t="array" aca="1" ref="D99" ca="1">IFERROR(INDEX(_xlfn.ANCHORARRAY($AA$11),ROW()-10,4),"")</f>
        <v/>
      </c>
      <c r="E99" s="22" t="str" cm="1">
        <f t="array" aca="1" ref="E99" ca="1">IFERROR(INDEX(_xlfn.ANCHORARRAY($AA$11),ROW()-10,5),"")</f>
        <v/>
      </c>
      <c r="F99" s="22" t="str" cm="1">
        <f t="array" aca="1" ref="F99" ca="1">IFERROR(INDEX(_xlfn.ANCHORARRAY($AA$11),ROW()-10,6),"")</f>
        <v/>
      </c>
      <c r="G99" s="22" t="str" cm="1">
        <f t="array" aca="1" ref="G99" ca="1">IFERROR(INDEX(_xlfn.ANCHORARRAY($AA$11),ROW()-10,7),"")</f>
        <v/>
      </c>
      <c r="H99" s="22" t="str" cm="1">
        <f t="array" aca="1" ref="H99" ca="1">IFERROR(INDEX(_xlfn.ANCHORARRAY($AA$11),ROW()-10,8),"")</f>
        <v/>
      </c>
      <c r="I99" s="22" t="str" cm="1">
        <f t="array" aca="1" ref="I99" ca="1">IFERROR(INDEX(_xlfn.ANCHORARRAY($AA$11),ROW()-10,9),"")</f>
        <v/>
      </c>
      <c r="J99" s="22" t="str">
        <f t="shared" ca="1" si="6"/>
        <v/>
      </c>
      <c r="K99" s="22" t="str">
        <f t="shared" ca="1" si="7"/>
        <v/>
      </c>
      <c r="L99" s="22" t="str" cm="1">
        <f t="array" aca="1" ref="L99" ca="1">_xlfn.LET(_xlpm.link,IFERROR(INDEX(_xlfn.ANCHORARRAY($AA$11),ROW()-10,12),""),IF(_xlpm.link="","",HYPERLINK(_xlpm.link,"Bluecore/Attentive")))</f>
        <v/>
      </c>
      <c r="M99" s="9"/>
      <c r="N99" s="9"/>
      <c r="O99" s="9"/>
      <c r="P99" s="9"/>
      <c r="Q99" s="9"/>
      <c r="R99" s="9"/>
      <c r="S99" s="8"/>
      <c r="T99" s="8"/>
      <c r="U99" s="8"/>
      <c r="V99" s="8"/>
      <c r="W99" s="8"/>
      <c r="X99" s="8"/>
      <c r="Y99" s="8"/>
      <c r="Z99" s="8"/>
      <c r="AA99"/>
      <c r="AB99"/>
      <c r="AC99"/>
      <c r="AD99"/>
      <c r="AE99"/>
      <c r="AF99"/>
      <c r="AG99"/>
      <c r="AH99"/>
      <c r="AI99"/>
      <c r="AJ99"/>
      <c r="AK99"/>
      <c r="AL99"/>
    </row>
    <row r="100" spans="1:38">
      <c r="A100" s="64" t="str" cm="1">
        <f t="array" aca="1" ref="A100" ca="1">IFERROR(INDEX(_xlfn.ANCHORARRAY($AA$11),ROW()-10,1),"")</f>
        <v/>
      </c>
      <c r="B100" s="31" t="str" cm="1">
        <f t="array" aca="1" ref="B100" ca="1">IFERROR(INDEX(_xlfn.ANCHORARRAY($AA$11),ROW()-10,2),"")</f>
        <v/>
      </c>
      <c r="C100" s="22" t="str" cm="1">
        <f t="array" aca="1" ref="C100" ca="1">IFERROR(INDEX(_xlfn.ANCHORARRAY($AA$11),ROW()-10,3),"")</f>
        <v/>
      </c>
      <c r="D100" s="22" t="str" cm="1">
        <f t="array" aca="1" ref="D100" ca="1">IFERROR(INDEX(_xlfn.ANCHORARRAY($AA$11),ROW()-10,4),"")</f>
        <v/>
      </c>
      <c r="E100" s="22" t="str" cm="1">
        <f t="array" aca="1" ref="E100" ca="1">IFERROR(INDEX(_xlfn.ANCHORARRAY($AA$11),ROW()-10,5),"")</f>
        <v/>
      </c>
      <c r="F100" s="22" t="str" cm="1">
        <f t="array" aca="1" ref="F100" ca="1">IFERROR(INDEX(_xlfn.ANCHORARRAY($AA$11),ROW()-10,6),"")</f>
        <v/>
      </c>
      <c r="G100" s="22" t="str" cm="1">
        <f t="array" aca="1" ref="G100" ca="1">IFERROR(INDEX(_xlfn.ANCHORARRAY($AA$11),ROW()-10,7),"")</f>
        <v/>
      </c>
      <c r="H100" s="22" t="str" cm="1">
        <f t="array" aca="1" ref="H100" ca="1">IFERROR(INDEX(_xlfn.ANCHORARRAY($AA$11),ROW()-10,8),"")</f>
        <v/>
      </c>
      <c r="I100" s="22" t="str" cm="1">
        <f t="array" aca="1" ref="I100" ca="1">IFERROR(INDEX(_xlfn.ANCHORARRAY($AA$11),ROW()-10,9),"")</f>
        <v/>
      </c>
      <c r="J100" s="22" t="str">
        <f t="shared" ca="1" si="6"/>
        <v/>
      </c>
      <c r="K100" s="22" t="str">
        <f t="shared" ca="1" si="7"/>
        <v/>
      </c>
      <c r="L100" s="22" t="str" cm="1">
        <f t="array" aca="1" ref="L100" ca="1">_xlfn.LET(_xlpm.link,IFERROR(INDEX(_xlfn.ANCHORARRAY($AA$11),ROW()-10,12),""),IF(_xlpm.link="","",HYPERLINK(_xlpm.link,"Bluecore/Attentive")))</f>
        <v/>
      </c>
      <c r="M100" s="9"/>
      <c r="N100" s="9"/>
      <c r="O100" s="9"/>
      <c r="P100" s="9"/>
      <c r="Q100" s="9"/>
      <c r="R100" s="9"/>
      <c r="S100" s="8"/>
      <c r="T100" s="8"/>
      <c r="U100" s="8"/>
      <c r="V100" s="8"/>
      <c r="W100" s="8"/>
      <c r="X100" s="8"/>
      <c r="Y100" s="8"/>
      <c r="Z100" s="8"/>
      <c r="AA100"/>
      <c r="AB100"/>
      <c r="AC100"/>
      <c r="AD100"/>
      <c r="AE100"/>
      <c r="AF100"/>
      <c r="AG100"/>
      <c r="AH100"/>
      <c r="AI100"/>
      <c r="AJ100"/>
      <c r="AK100"/>
      <c r="AL100"/>
    </row>
    <row r="101" spans="1:38">
      <c r="A101" s="64" t="str" cm="1">
        <f t="array" aca="1" ref="A101" ca="1">IFERROR(INDEX(_xlfn.ANCHORARRAY($AA$11),ROW()-10,1),"")</f>
        <v/>
      </c>
      <c r="B101" s="31" t="str" cm="1">
        <f t="array" aca="1" ref="B101" ca="1">IFERROR(INDEX(_xlfn.ANCHORARRAY($AA$11),ROW()-10,2),"")</f>
        <v/>
      </c>
      <c r="C101" s="22" t="str" cm="1">
        <f t="array" aca="1" ref="C101" ca="1">IFERROR(INDEX(_xlfn.ANCHORARRAY($AA$11),ROW()-10,3),"")</f>
        <v/>
      </c>
      <c r="D101" s="22" t="str" cm="1">
        <f t="array" aca="1" ref="D101" ca="1">IFERROR(INDEX(_xlfn.ANCHORARRAY($AA$11),ROW()-10,4),"")</f>
        <v/>
      </c>
      <c r="E101" s="22" t="str" cm="1">
        <f t="array" aca="1" ref="E101" ca="1">IFERROR(INDEX(_xlfn.ANCHORARRAY($AA$11),ROW()-10,5),"")</f>
        <v/>
      </c>
      <c r="F101" s="22" t="str" cm="1">
        <f t="array" aca="1" ref="F101" ca="1">IFERROR(INDEX(_xlfn.ANCHORARRAY($AA$11),ROW()-10,6),"")</f>
        <v/>
      </c>
      <c r="G101" s="22" t="str" cm="1">
        <f t="array" aca="1" ref="G101" ca="1">IFERROR(INDEX(_xlfn.ANCHORARRAY($AA$11),ROW()-10,7),"")</f>
        <v/>
      </c>
      <c r="H101" s="22" t="str" cm="1">
        <f t="array" aca="1" ref="H101" ca="1">IFERROR(INDEX(_xlfn.ANCHORARRAY($AA$11),ROW()-10,8),"")</f>
        <v/>
      </c>
      <c r="I101" s="22" t="str" cm="1">
        <f t="array" aca="1" ref="I101" ca="1">IFERROR(INDEX(_xlfn.ANCHORARRAY($AA$11),ROW()-10,9),"")</f>
        <v/>
      </c>
      <c r="J101" s="22" t="str">
        <f t="shared" ca="1" si="6"/>
        <v/>
      </c>
      <c r="K101" s="22" t="str">
        <f t="shared" ca="1" si="7"/>
        <v/>
      </c>
      <c r="L101" s="22" t="str" cm="1">
        <f t="array" aca="1" ref="L101" ca="1">_xlfn.LET(_xlpm.link,IFERROR(INDEX(_xlfn.ANCHORARRAY($AA$11),ROW()-10,12),""),IF(_xlpm.link="","",HYPERLINK(_xlpm.link,"Bluecore/Attentive")))</f>
        <v/>
      </c>
      <c r="M101" s="9"/>
      <c r="N101" s="9"/>
      <c r="O101" s="9"/>
      <c r="P101" s="9"/>
      <c r="Q101" s="9"/>
      <c r="R101" s="9"/>
      <c r="S101" s="8"/>
      <c r="T101" s="8"/>
      <c r="U101" s="8"/>
      <c r="V101" s="8"/>
      <c r="W101" s="8"/>
      <c r="X101" s="8"/>
      <c r="Y101" s="8"/>
      <c r="Z101" s="8"/>
      <c r="AA101"/>
      <c r="AB101"/>
      <c r="AC101"/>
      <c r="AD101"/>
      <c r="AE101"/>
      <c r="AF101"/>
      <c r="AG101"/>
      <c r="AH101"/>
      <c r="AI101"/>
      <c r="AJ101"/>
      <c r="AK101"/>
      <c r="AL101"/>
    </row>
    <row r="102" spans="1:38">
      <c r="A102" s="64" t="str" cm="1">
        <f t="array" aca="1" ref="A102" ca="1">IFERROR(INDEX(_xlfn.ANCHORARRAY($AA$11),ROW()-10,1),"")</f>
        <v/>
      </c>
      <c r="B102" s="31" t="str" cm="1">
        <f t="array" aca="1" ref="B102" ca="1">IFERROR(INDEX(_xlfn.ANCHORARRAY($AA$11),ROW()-10,2),"")</f>
        <v/>
      </c>
      <c r="C102" s="22" t="str" cm="1">
        <f t="array" aca="1" ref="C102" ca="1">IFERROR(INDEX(_xlfn.ANCHORARRAY($AA$11),ROW()-10,3),"")</f>
        <v/>
      </c>
      <c r="D102" s="22" t="str" cm="1">
        <f t="array" aca="1" ref="D102" ca="1">IFERROR(INDEX(_xlfn.ANCHORARRAY($AA$11),ROW()-10,4),"")</f>
        <v/>
      </c>
      <c r="E102" s="22" t="str" cm="1">
        <f t="array" aca="1" ref="E102" ca="1">IFERROR(INDEX(_xlfn.ANCHORARRAY($AA$11),ROW()-10,5),"")</f>
        <v/>
      </c>
      <c r="F102" s="22" t="str" cm="1">
        <f t="array" aca="1" ref="F102" ca="1">IFERROR(INDEX(_xlfn.ANCHORARRAY($AA$11),ROW()-10,6),"")</f>
        <v/>
      </c>
      <c r="G102" s="22" t="str" cm="1">
        <f t="array" aca="1" ref="G102" ca="1">IFERROR(INDEX(_xlfn.ANCHORARRAY($AA$11),ROW()-10,7),"")</f>
        <v/>
      </c>
      <c r="H102" s="22" t="str" cm="1">
        <f t="array" aca="1" ref="H102" ca="1">IFERROR(INDEX(_xlfn.ANCHORARRAY($AA$11),ROW()-10,8),"")</f>
        <v/>
      </c>
      <c r="I102" s="22" t="str" cm="1">
        <f t="array" aca="1" ref="I102" ca="1">IFERROR(INDEX(_xlfn.ANCHORARRAY($AA$11),ROW()-10,9),"")</f>
        <v/>
      </c>
      <c r="J102" s="22" t="str">
        <f t="shared" ca="1" si="6"/>
        <v/>
      </c>
      <c r="K102" s="22" t="str">
        <f t="shared" ca="1" si="7"/>
        <v/>
      </c>
      <c r="L102" s="22" t="str" cm="1">
        <f t="array" aca="1" ref="L102" ca="1">_xlfn.LET(_xlpm.link,IFERROR(INDEX(_xlfn.ANCHORARRAY($AA$11),ROW()-10,12),""),IF(_xlpm.link="","",HYPERLINK(_xlpm.link,"Bluecore/Attentive")))</f>
        <v/>
      </c>
      <c r="M102" s="9"/>
      <c r="N102" s="9"/>
      <c r="O102" s="9"/>
      <c r="P102" s="9"/>
      <c r="Q102" s="9"/>
      <c r="R102" s="9"/>
      <c r="S102" s="8"/>
      <c r="T102" s="8"/>
      <c r="U102" s="8"/>
      <c r="V102" s="8"/>
      <c r="W102" s="8"/>
      <c r="X102" s="8"/>
      <c r="Y102" s="8"/>
      <c r="Z102" s="8"/>
      <c r="AA102"/>
      <c r="AB102"/>
      <c r="AC102"/>
      <c r="AD102"/>
      <c r="AE102"/>
      <c r="AF102"/>
      <c r="AG102"/>
      <c r="AH102"/>
      <c r="AI102"/>
      <c r="AJ102"/>
      <c r="AK102"/>
      <c r="AL102"/>
    </row>
    <row r="103" spans="1:38">
      <c r="A103" s="64" t="str" cm="1">
        <f t="array" aca="1" ref="A103" ca="1">IFERROR(INDEX(_xlfn.ANCHORARRAY($AA$11),ROW()-10,1),"")</f>
        <v/>
      </c>
      <c r="B103" s="31" t="str" cm="1">
        <f t="array" aca="1" ref="B103" ca="1">IFERROR(INDEX(_xlfn.ANCHORARRAY($AA$11),ROW()-10,2),"")</f>
        <v/>
      </c>
      <c r="C103" s="22" t="str" cm="1">
        <f t="array" aca="1" ref="C103" ca="1">IFERROR(INDEX(_xlfn.ANCHORARRAY($AA$11),ROW()-10,3),"")</f>
        <v/>
      </c>
      <c r="D103" s="22" t="str" cm="1">
        <f t="array" aca="1" ref="D103" ca="1">IFERROR(INDEX(_xlfn.ANCHORARRAY($AA$11),ROW()-10,4),"")</f>
        <v/>
      </c>
      <c r="E103" s="22" t="str" cm="1">
        <f t="array" aca="1" ref="E103" ca="1">IFERROR(INDEX(_xlfn.ANCHORARRAY($AA$11),ROW()-10,5),"")</f>
        <v/>
      </c>
      <c r="F103" s="22" t="str" cm="1">
        <f t="array" aca="1" ref="F103" ca="1">IFERROR(INDEX(_xlfn.ANCHORARRAY($AA$11),ROW()-10,6),"")</f>
        <v/>
      </c>
      <c r="G103" s="22" t="str" cm="1">
        <f t="array" aca="1" ref="G103" ca="1">IFERROR(INDEX(_xlfn.ANCHORARRAY($AA$11),ROW()-10,7),"")</f>
        <v/>
      </c>
      <c r="H103" s="22" t="str" cm="1">
        <f t="array" aca="1" ref="H103" ca="1">IFERROR(INDEX(_xlfn.ANCHORARRAY($AA$11),ROW()-10,8),"")</f>
        <v/>
      </c>
      <c r="I103" s="22" t="str" cm="1">
        <f t="array" aca="1" ref="I103" ca="1">IFERROR(INDEX(_xlfn.ANCHORARRAY($AA$11),ROW()-10,9),"")</f>
        <v/>
      </c>
      <c r="J103" s="22" t="str">
        <f t="shared" ca="1" si="6"/>
        <v/>
      </c>
      <c r="K103" s="22" t="str">
        <f t="shared" ca="1" si="7"/>
        <v/>
      </c>
      <c r="L103" s="22" t="str" cm="1">
        <f t="array" aca="1" ref="L103" ca="1">_xlfn.LET(_xlpm.link,IFERROR(INDEX(_xlfn.ANCHORARRAY($AA$11),ROW()-10,12),""),IF(_xlpm.link="","",HYPERLINK(_xlpm.link,"Bluecore/Attentive")))</f>
        <v/>
      </c>
      <c r="M103" s="9"/>
      <c r="N103" s="9"/>
      <c r="O103" s="9"/>
      <c r="P103" s="9"/>
      <c r="Q103" s="9"/>
      <c r="R103" s="9"/>
      <c r="S103" s="8"/>
      <c r="T103" s="8"/>
      <c r="U103" s="8"/>
      <c r="V103" s="8"/>
      <c r="W103" s="8"/>
      <c r="X103" s="8"/>
      <c r="Y103" s="8"/>
      <c r="Z103" s="8"/>
      <c r="AA103"/>
      <c r="AB103"/>
      <c r="AC103"/>
      <c r="AD103"/>
      <c r="AE103"/>
      <c r="AF103"/>
      <c r="AG103"/>
      <c r="AH103"/>
      <c r="AI103"/>
      <c r="AJ103"/>
      <c r="AK103"/>
      <c r="AL103"/>
    </row>
    <row r="104" spans="1:38">
      <c r="A104" s="64" t="str" cm="1">
        <f t="array" aca="1" ref="A104" ca="1">IFERROR(INDEX(_xlfn.ANCHORARRAY($AA$11),ROW()-10,1),"")</f>
        <v/>
      </c>
      <c r="B104" s="31" t="str" cm="1">
        <f t="array" aca="1" ref="B104" ca="1">IFERROR(INDEX(_xlfn.ANCHORARRAY($AA$11),ROW()-10,2),"")</f>
        <v/>
      </c>
      <c r="C104" s="22" t="str" cm="1">
        <f t="array" aca="1" ref="C104" ca="1">IFERROR(INDEX(_xlfn.ANCHORARRAY($AA$11),ROW()-10,3),"")</f>
        <v/>
      </c>
      <c r="D104" s="22" t="str" cm="1">
        <f t="array" aca="1" ref="D104" ca="1">IFERROR(INDEX(_xlfn.ANCHORARRAY($AA$11),ROW()-10,4),"")</f>
        <v/>
      </c>
      <c r="E104" s="22" t="str" cm="1">
        <f t="array" aca="1" ref="E104" ca="1">IFERROR(INDEX(_xlfn.ANCHORARRAY($AA$11),ROW()-10,5),"")</f>
        <v/>
      </c>
      <c r="F104" s="22" t="str" cm="1">
        <f t="array" aca="1" ref="F104" ca="1">IFERROR(INDEX(_xlfn.ANCHORARRAY($AA$11),ROW()-10,6),"")</f>
        <v/>
      </c>
      <c r="G104" s="22" t="str" cm="1">
        <f t="array" aca="1" ref="G104" ca="1">IFERROR(INDEX(_xlfn.ANCHORARRAY($AA$11),ROW()-10,7),"")</f>
        <v/>
      </c>
      <c r="H104" s="22" t="str" cm="1">
        <f t="array" aca="1" ref="H104" ca="1">IFERROR(INDEX(_xlfn.ANCHORARRAY($AA$11),ROW()-10,8),"")</f>
        <v/>
      </c>
      <c r="I104" s="22" t="str" cm="1">
        <f t="array" aca="1" ref="I104" ca="1">IFERROR(INDEX(_xlfn.ANCHORARRAY($AA$11),ROW()-10,9),"")</f>
        <v/>
      </c>
      <c r="J104" s="22" t="str">
        <f t="shared" ca="1" si="6"/>
        <v/>
      </c>
      <c r="K104" s="22" t="str">
        <f t="shared" ca="1" si="7"/>
        <v/>
      </c>
      <c r="L104" s="22" t="str" cm="1">
        <f t="array" aca="1" ref="L104" ca="1">_xlfn.LET(_xlpm.link,IFERROR(INDEX(_xlfn.ANCHORARRAY($AA$11),ROW()-10,12),""),IF(_xlpm.link="","",HYPERLINK(_xlpm.link,"Bluecore/Attentive")))</f>
        <v/>
      </c>
      <c r="M104" s="9"/>
      <c r="N104" s="9"/>
      <c r="O104" s="9"/>
      <c r="P104" s="9"/>
      <c r="Q104" s="9"/>
      <c r="R104" s="9"/>
      <c r="S104" s="8"/>
      <c r="T104" s="8"/>
      <c r="U104" s="8"/>
      <c r="V104" s="8"/>
      <c r="W104" s="8"/>
      <c r="X104" s="8"/>
      <c r="Y104" s="8"/>
      <c r="Z104" s="8"/>
      <c r="AA104"/>
      <c r="AB104"/>
      <c r="AC104"/>
      <c r="AD104"/>
      <c r="AE104"/>
      <c r="AF104"/>
      <c r="AG104"/>
      <c r="AH104"/>
      <c r="AI104"/>
      <c r="AJ104"/>
      <c r="AK104"/>
      <c r="AL104"/>
    </row>
    <row r="105" spans="1:38">
      <c r="A105" s="64" t="str" cm="1">
        <f t="array" aca="1" ref="A105" ca="1">IFERROR(INDEX(_xlfn.ANCHORARRAY($AA$11),ROW()-10,1),"")</f>
        <v/>
      </c>
      <c r="B105" s="31" t="str" cm="1">
        <f t="array" aca="1" ref="B105" ca="1">IFERROR(INDEX(_xlfn.ANCHORARRAY($AA$11),ROW()-10,2),"")</f>
        <v/>
      </c>
      <c r="C105" s="22" t="str" cm="1">
        <f t="array" aca="1" ref="C105" ca="1">IFERROR(INDEX(_xlfn.ANCHORARRAY($AA$11),ROW()-10,3),"")</f>
        <v/>
      </c>
      <c r="D105" s="22" t="str" cm="1">
        <f t="array" aca="1" ref="D105" ca="1">IFERROR(INDEX(_xlfn.ANCHORARRAY($AA$11),ROW()-10,4),"")</f>
        <v/>
      </c>
      <c r="E105" s="22" t="str" cm="1">
        <f t="array" aca="1" ref="E105" ca="1">IFERROR(INDEX(_xlfn.ANCHORARRAY($AA$11),ROW()-10,5),"")</f>
        <v/>
      </c>
      <c r="F105" s="22" t="str" cm="1">
        <f t="array" aca="1" ref="F105" ca="1">IFERROR(INDEX(_xlfn.ANCHORARRAY($AA$11),ROW()-10,6),"")</f>
        <v/>
      </c>
      <c r="G105" s="22" t="str" cm="1">
        <f t="array" aca="1" ref="G105" ca="1">IFERROR(INDEX(_xlfn.ANCHORARRAY($AA$11),ROW()-10,7),"")</f>
        <v/>
      </c>
      <c r="H105" s="22" t="str" cm="1">
        <f t="array" aca="1" ref="H105" ca="1">IFERROR(INDEX(_xlfn.ANCHORARRAY($AA$11),ROW()-10,8),"")</f>
        <v/>
      </c>
      <c r="I105" s="22" t="str" cm="1">
        <f t="array" aca="1" ref="I105" ca="1">IFERROR(INDEX(_xlfn.ANCHORARRAY($AA$11),ROW()-10,9),"")</f>
        <v/>
      </c>
      <c r="J105" s="22" t="str">
        <f t="shared" ca="1" si="6"/>
        <v/>
      </c>
      <c r="K105" s="22" t="str">
        <f t="shared" ca="1" si="7"/>
        <v/>
      </c>
      <c r="L105" s="22" t="str" cm="1">
        <f t="array" aca="1" ref="L105" ca="1">_xlfn.LET(_xlpm.link,IFERROR(INDEX(_xlfn.ANCHORARRAY($AA$11),ROW()-10,12),""),IF(_xlpm.link="","",HYPERLINK(_xlpm.link,"Bluecore/Attentive")))</f>
        <v/>
      </c>
      <c r="M105" s="9"/>
      <c r="N105" s="9"/>
      <c r="O105" s="9"/>
      <c r="P105" s="9"/>
      <c r="Q105" s="9"/>
      <c r="R105" s="9"/>
      <c r="S105" s="8"/>
      <c r="T105" s="8"/>
      <c r="U105" s="8"/>
      <c r="V105" s="8"/>
      <c r="W105" s="8"/>
      <c r="X105" s="8"/>
      <c r="Y105" s="8"/>
      <c r="Z105" s="8"/>
      <c r="AA105"/>
      <c r="AB105"/>
      <c r="AC105"/>
      <c r="AD105"/>
      <c r="AE105"/>
      <c r="AF105"/>
      <c r="AG105"/>
      <c r="AH105"/>
      <c r="AI105"/>
      <c r="AJ105"/>
      <c r="AK105"/>
      <c r="AL105"/>
    </row>
    <row r="106" spans="1:38">
      <c r="A106" s="64" t="str" cm="1">
        <f t="array" aca="1" ref="A106" ca="1">IFERROR(INDEX(_xlfn.ANCHORARRAY($AA$11),ROW()-10,1),"")</f>
        <v/>
      </c>
      <c r="B106" s="31" t="str" cm="1">
        <f t="array" aca="1" ref="B106" ca="1">IFERROR(INDEX(_xlfn.ANCHORARRAY($AA$11),ROW()-10,2),"")</f>
        <v/>
      </c>
      <c r="C106" s="22" t="str" cm="1">
        <f t="array" aca="1" ref="C106" ca="1">IFERROR(INDEX(_xlfn.ANCHORARRAY($AA$11),ROW()-10,3),"")</f>
        <v/>
      </c>
      <c r="D106" s="22" t="str" cm="1">
        <f t="array" aca="1" ref="D106" ca="1">IFERROR(INDEX(_xlfn.ANCHORARRAY($AA$11),ROW()-10,4),"")</f>
        <v/>
      </c>
      <c r="E106" s="22" t="str" cm="1">
        <f t="array" aca="1" ref="E106" ca="1">IFERROR(INDEX(_xlfn.ANCHORARRAY($AA$11),ROW()-10,5),"")</f>
        <v/>
      </c>
      <c r="F106" s="22" t="str" cm="1">
        <f t="array" aca="1" ref="F106" ca="1">IFERROR(INDEX(_xlfn.ANCHORARRAY($AA$11),ROW()-10,6),"")</f>
        <v/>
      </c>
      <c r="G106" s="22" t="str" cm="1">
        <f t="array" aca="1" ref="G106" ca="1">IFERROR(INDEX(_xlfn.ANCHORARRAY($AA$11),ROW()-10,7),"")</f>
        <v/>
      </c>
      <c r="H106" s="22" t="str" cm="1">
        <f t="array" aca="1" ref="H106" ca="1">IFERROR(INDEX(_xlfn.ANCHORARRAY($AA$11),ROW()-10,8),"")</f>
        <v/>
      </c>
      <c r="I106" s="22" t="str" cm="1">
        <f t="array" aca="1" ref="I106" ca="1">IFERROR(INDEX(_xlfn.ANCHORARRAY($AA$11),ROW()-10,9),"")</f>
        <v/>
      </c>
      <c r="J106" s="22" t="str">
        <f t="shared" ca="1" si="6"/>
        <v/>
      </c>
      <c r="K106" s="22" t="str">
        <f t="shared" ca="1" si="7"/>
        <v/>
      </c>
      <c r="L106" s="22" t="str" cm="1">
        <f t="array" aca="1" ref="L106" ca="1">_xlfn.LET(_xlpm.link,IFERROR(INDEX(_xlfn.ANCHORARRAY($AA$11),ROW()-10,12),""),IF(_xlpm.link="","",HYPERLINK(_xlpm.link,"Bluecore/Attentive")))</f>
        <v/>
      </c>
      <c r="M106" s="9"/>
      <c r="N106" s="9"/>
      <c r="O106" s="9"/>
      <c r="P106" s="9"/>
      <c r="Q106" s="9"/>
      <c r="R106" s="9"/>
      <c r="S106" s="8"/>
      <c r="T106" s="8"/>
      <c r="U106" s="8"/>
      <c r="V106" s="8"/>
      <c r="W106" s="8"/>
      <c r="X106" s="8"/>
      <c r="Y106" s="8"/>
      <c r="Z106" s="8"/>
      <c r="AA106"/>
      <c r="AB106"/>
      <c r="AC106"/>
      <c r="AD106"/>
      <c r="AE106"/>
      <c r="AF106"/>
      <c r="AG106"/>
      <c r="AH106"/>
      <c r="AI106"/>
      <c r="AJ106"/>
      <c r="AK106"/>
      <c r="AL106"/>
    </row>
    <row r="107" spans="1:38">
      <c r="A107" s="64" t="str" cm="1">
        <f t="array" aca="1" ref="A107" ca="1">IFERROR(INDEX(_xlfn.ANCHORARRAY($AA$11),ROW()-10,1),"")</f>
        <v/>
      </c>
      <c r="B107" s="31" t="str" cm="1">
        <f t="array" aca="1" ref="B107" ca="1">IFERROR(INDEX(_xlfn.ANCHORARRAY($AA$11),ROW()-10,2),"")</f>
        <v/>
      </c>
      <c r="C107" s="22" t="str" cm="1">
        <f t="array" aca="1" ref="C107" ca="1">IFERROR(INDEX(_xlfn.ANCHORARRAY($AA$11),ROW()-10,3),"")</f>
        <v/>
      </c>
      <c r="D107" s="22" t="str" cm="1">
        <f t="array" aca="1" ref="D107" ca="1">IFERROR(INDEX(_xlfn.ANCHORARRAY($AA$11),ROW()-10,4),"")</f>
        <v/>
      </c>
      <c r="E107" s="22" t="str" cm="1">
        <f t="array" aca="1" ref="E107" ca="1">IFERROR(INDEX(_xlfn.ANCHORARRAY($AA$11),ROW()-10,5),"")</f>
        <v/>
      </c>
      <c r="F107" s="22" t="str" cm="1">
        <f t="array" aca="1" ref="F107" ca="1">IFERROR(INDEX(_xlfn.ANCHORARRAY($AA$11),ROW()-10,6),"")</f>
        <v/>
      </c>
      <c r="G107" s="22" t="str" cm="1">
        <f t="array" aca="1" ref="G107" ca="1">IFERROR(INDEX(_xlfn.ANCHORARRAY($AA$11),ROW()-10,7),"")</f>
        <v/>
      </c>
      <c r="H107" s="22" t="str" cm="1">
        <f t="array" aca="1" ref="H107" ca="1">IFERROR(INDEX(_xlfn.ANCHORARRAY($AA$11),ROW()-10,8),"")</f>
        <v/>
      </c>
      <c r="I107" s="22" t="str" cm="1">
        <f t="array" aca="1" ref="I107" ca="1">IFERROR(INDEX(_xlfn.ANCHORARRAY($AA$11),ROW()-10,9),"")</f>
        <v/>
      </c>
      <c r="J107" s="22" t="str">
        <f t="shared" ref="J107:J138" ca="1" si="8">_xlfn.LET(_xlpm.ch,IFERROR(INDEX(_xlfn.ANCHORARRAY($AA$11),ROW()-10,3),""),_xlpm.link,IFERROR(INDEX(_xlfn.ANCHORARRAY($AA$11),ROW()-10,10),""),IF(OR(_xlpm.link="",_xlpm.ch="SMS"),"",HYPERLINK(_xlpm.link,"Jira")))</f>
        <v/>
      </c>
      <c r="K107" s="22" t="str">
        <f t="shared" ref="K107:K138" ca="1" si="9">_xlfn.LET(_xlpm.ch,IFERROR(INDEX(_xlfn.ANCHORARRAY($AA$11),ROW()-10,3),""),_xlpm.link,IFERROR(INDEX(_xlfn.ANCHORARRAY($AA$11),ROW()-10,11),""),IF(OR(_xlpm.link="",_xlpm.ch="SMS"),"",HYPERLINK(_xlpm.link,"ClickUp")))</f>
        <v/>
      </c>
      <c r="L107" s="22" t="str" cm="1">
        <f t="array" aca="1" ref="L107" ca="1">_xlfn.LET(_xlpm.link,IFERROR(INDEX(_xlfn.ANCHORARRAY($AA$11),ROW()-10,12),""),IF(_xlpm.link="","",HYPERLINK(_xlpm.link,"Bluecore/Attentive")))</f>
        <v/>
      </c>
      <c r="M107" s="9"/>
      <c r="N107" s="9"/>
      <c r="O107" s="9"/>
      <c r="P107" s="9"/>
      <c r="Q107" s="9"/>
      <c r="R107" s="9"/>
      <c r="S107" s="8"/>
      <c r="T107" s="8"/>
      <c r="U107" s="8"/>
      <c r="V107" s="8"/>
      <c r="W107" s="8"/>
      <c r="X107" s="8"/>
      <c r="Y107" s="8"/>
      <c r="Z107" s="8"/>
      <c r="AA107"/>
      <c r="AB107"/>
      <c r="AC107"/>
      <c r="AD107"/>
      <c r="AE107"/>
      <c r="AF107"/>
      <c r="AG107"/>
      <c r="AH107"/>
      <c r="AI107"/>
      <c r="AJ107"/>
      <c r="AK107"/>
      <c r="AL107"/>
    </row>
    <row r="108" spans="1:38">
      <c r="A108" s="64" t="str" cm="1">
        <f t="array" aca="1" ref="A108" ca="1">IFERROR(INDEX(_xlfn.ANCHORARRAY($AA$11),ROW()-10,1),"")</f>
        <v/>
      </c>
      <c r="B108" s="31" t="str" cm="1">
        <f t="array" aca="1" ref="B108" ca="1">IFERROR(INDEX(_xlfn.ANCHORARRAY($AA$11),ROW()-10,2),"")</f>
        <v/>
      </c>
      <c r="C108" s="22" t="str" cm="1">
        <f t="array" aca="1" ref="C108" ca="1">IFERROR(INDEX(_xlfn.ANCHORARRAY($AA$11),ROW()-10,3),"")</f>
        <v/>
      </c>
      <c r="D108" s="22" t="str" cm="1">
        <f t="array" aca="1" ref="D108" ca="1">IFERROR(INDEX(_xlfn.ANCHORARRAY($AA$11),ROW()-10,4),"")</f>
        <v/>
      </c>
      <c r="E108" s="22" t="str" cm="1">
        <f t="array" aca="1" ref="E108" ca="1">IFERROR(INDEX(_xlfn.ANCHORARRAY($AA$11),ROW()-10,5),"")</f>
        <v/>
      </c>
      <c r="F108" s="22" t="str" cm="1">
        <f t="array" aca="1" ref="F108" ca="1">IFERROR(INDEX(_xlfn.ANCHORARRAY($AA$11),ROW()-10,6),"")</f>
        <v/>
      </c>
      <c r="G108" s="22" t="str" cm="1">
        <f t="array" aca="1" ref="G108" ca="1">IFERROR(INDEX(_xlfn.ANCHORARRAY($AA$11),ROW()-10,7),"")</f>
        <v/>
      </c>
      <c r="H108" s="22" t="str" cm="1">
        <f t="array" aca="1" ref="H108" ca="1">IFERROR(INDEX(_xlfn.ANCHORARRAY($AA$11),ROW()-10,8),"")</f>
        <v/>
      </c>
      <c r="I108" s="22" t="str" cm="1">
        <f t="array" aca="1" ref="I108" ca="1">IFERROR(INDEX(_xlfn.ANCHORARRAY($AA$11),ROW()-10,9),"")</f>
        <v/>
      </c>
      <c r="J108" s="22" t="str">
        <f t="shared" ca="1" si="8"/>
        <v/>
      </c>
      <c r="K108" s="22" t="str">
        <f t="shared" ca="1" si="9"/>
        <v/>
      </c>
      <c r="L108" s="22" t="str" cm="1">
        <f t="array" aca="1" ref="L108" ca="1">_xlfn.LET(_xlpm.link,IFERROR(INDEX(_xlfn.ANCHORARRAY($AA$11),ROW()-10,12),""),IF(_xlpm.link="","",HYPERLINK(_xlpm.link,"Bluecore/Attentive")))</f>
        <v/>
      </c>
      <c r="M108" s="9"/>
      <c r="N108" s="9"/>
      <c r="O108" s="9"/>
      <c r="P108" s="9"/>
      <c r="Q108" s="9"/>
      <c r="R108" s="9"/>
      <c r="S108" s="8"/>
      <c r="T108" s="8"/>
      <c r="U108" s="8"/>
      <c r="V108" s="8"/>
      <c r="W108" s="8"/>
      <c r="X108" s="8"/>
      <c r="Y108" s="8"/>
      <c r="Z108" s="8"/>
      <c r="AA108"/>
      <c r="AB108"/>
      <c r="AC108"/>
      <c r="AD108"/>
      <c r="AE108"/>
      <c r="AF108"/>
      <c r="AG108"/>
      <c r="AH108"/>
      <c r="AI108"/>
      <c r="AJ108"/>
      <c r="AK108"/>
      <c r="AL108"/>
    </row>
    <row r="109" spans="1:38">
      <c r="A109" s="64" t="str" cm="1">
        <f t="array" aca="1" ref="A109" ca="1">IFERROR(INDEX(_xlfn.ANCHORARRAY($AA$11),ROW()-10,1),"")</f>
        <v/>
      </c>
      <c r="B109" s="31" t="str" cm="1">
        <f t="array" aca="1" ref="B109" ca="1">IFERROR(INDEX(_xlfn.ANCHORARRAY($AA$11),ROW()-10,2),"")</f>
        <v/>
      </c>
      <c r="C109" s="22" t="str" cm="1">
        <f t="array" aca="1" ref="C109" ca="1">IFERROR(INDEX(_xlfn.ANCHORARRAY($AA$11),ROW()-10,3),"")</f>
        <v/>
      </c>
      <c r="D109" s="22" t="str" cm="1">
        <f t="array" aca="1" ref="D109" ca="1">IFERROR(INDEX(_xlfn.ANCHORARRAY($AA$11),ROW()-10,4),"")</f>
        <v/>
      </c>
      <c r="E109" s="22" t="str" cm="1">
        <f t="array" aca="1" ref="E109" ca="1">IFERROR(INDEX(_xlfn.ANCHORARRAY($AA$11),ROW()-10,5),"")</f>
        <v/>
      </c>
      <c r="F109" s="22" t="str" cm="1">
        <f t="array" aca="1" ref="F109" ca="1">IFERROR(INDEX(_xlfn.ANCHORARRAY($AA$11),ROW()-10,6),"")</f>
        <v/>
      </c>
      <c r="G109" s="22" t="str" cm="1">
        <f t="array" aca="1" ref="G109" ca="1">IFERROR(INDEX(_xlfn.ANCHORARRAY($AA$11),ROW()-10,7),"")</f>
        <v/>
      </c>
      <c r="H109" s="22" t="str" cm="1">
        <f t="array" aca="1" ref="H109" ca="1">IFERROR(INDEX(_xlfn.ANCHORARRAY($AA$11),ROW()-10,8),"")</f>
        <v/>
      </c>
      <c r="I109" s="22" t="str" cm="1">
        <f t="array" aca="1" ref="I109" ca="1">IFERROR(INDEX(_xlfn.ANCHORARRAY($AA$11),ROW()-10,9),"")</f>
        <v/>
      </c>
      <c r="J109" s="22" t="str">
        <f t="shared" ca="1" si="8"/>
        <v/>
      </c>
      <c r="K109" s="22" t="str">
        <f t="shared" ca="1" si="9"/>
        <v/>
      </c>
      <c r="L109" s="22" t="str" cm="1">
        <f t="array" aca="1" ref="L109" ca="1">_xlfn.LET(_xlpm.link,IFERROR(INDEX(_xlfn.ANCHORARRAY($AA$11),ROW()-10,12),""),IF(_xlpm.link="","",HYPERLINK(_xlpm.link,"Bluecore/Attentive")))</f>
        <v/>
      </c>
      <c r="M109" s="9"/>
      <c r="N109" s="9"/>
      <c r="O109" s="9"/>
      <c r="P109" s="9"/>
      <c r="Q109" s="9"/>
      <c r="R109" s="9"/>
      <c r="S109" s="8"/>
      <c r="T109" s="8"/>
      <c r="U109" s="8"/>
      <c r="V109" s="8"/>
      <c r="W109" s="8"/>
      <c r="X109" s="8"/>
      <c r="Y109" s="8"/>
      <c r="Z109" s="8"/>
      <c r="AA109"/>
      <c r="AB109"/>
      <c r="AC109"/>
      <c r="AD109"/>
      <c r="AE109"/>
      <c r="AF109"/>
      <c r="AG109"/>
      <c r="AH109"/>
      <c r="AI109"/>
      <c r="AJ109"/>
      <c r="AK109"/>
      <c r="AL109"/>
    </row>
    <row r="110" spans="1:38">
      <c r="A110" s="64" t="str" cm="1">
        <f t="array" aca="1" ref="A110" ca="1">IFERROR(INDEX(_xlfn.ANCHORARRAY($AA$11),ROW()-10,1),"")</f>
        <v/>
      </c>
      <c r="B110" s="31" t="str" cm="1">
        <f t="array" aca="1" ref="B110" ca="1">IFERROR(INDEX(_xlfn.ANCHORARRAY($AA$11),ROW()-10,2),"")</f>
        <v/>
      </c>
      <c r="C110" s="22" t="str" cm="1">
        <f t="array" aca="1" ref="C110" ca="1">IFERROR(INDEX(_xlfn.ANCHORARRAY($AA$11),ROW()-10,3),"")</f>
        <v/>
      </c>
      <c r="D110" s="22" t="str" cm="1">
        <f t="array" aca="1" ref="D110" ca="1">IFERROR(INDEX(_xlfn.ANCHORARRAY($AA$11),ROW()-10,4),"")</f>
        <v/>
      </c>
      <c r="E110" s="22" t="str" cm="1">
        <f t="array" aca="1" ref="E110" ca="1">IFERROR(INDEX(_xlfn.ANCHORARRAY($AA$11),ROW()-10,5),"")</f>
        <v/>
      </c>
      <c r="F110" s="22" t="str" cm="1">
        <f t="array" aca="1" ref="F110" ca="1">IFERROR(INDEX(_xlfn.ANCHORARRAY($AA$11),ROW()-10,6),"")</f>
        <v/>
      </c>
      <c r="G110" s="22" t="str" cm="1">
        <f t="array" aca="1" ref="G110" ca="1">IFERROR(INDEX(_xlfn.ANCHORARRAY($AA$11),ROW()-10,7),"")</f>
        <v/>
      </c>
      <c r="H110" s="22" t="str" cm="1">
        <f t="array" aca="1" ref="H110" ca="1">IFERROR(INDEX(_xlfn.ANCHORARRAY($AA$11),ROW()-10,8),"")</f>
        <v/>
      </c>
      <c r="I110" s="22" t="str" cm="1">
        <f t="array" aca="1" ref="I110" ca="1">IFERROR(INDEX(_xlfn.ANCHORARRAY($AA$11),ROW()-10,9),"")</f>
        <v/>
      </c>
      <c r="J110" s="22" t="str">
        <f t="shared" ca="1" si="8"/>
        <v/>
      </c>
      <c r="K110" s="22" t="str">
        <f t="shared" ca="1" si="9"/>
        <v/>
      </c>
      <c r="L110" s="22" t="str" cm="1">
        <f t="array" aca="1" ref="L110" ca="1">_xlfn.LET(_xlpm.link,IFERROR(INDEX(_xlfn.ANCHORARRAY($AA$11),ROW()-10,12),""),IF(_xlpm.link="","",HYPERLINK(_xlpm.link,"Bluecore/Attentive")))</f>
        <v/>
      </c>
      <c r="M110" s="9"/>
      <c r="N110" s="9"/>
      <c r="O110" s="9"/>
      <c r="P110" s="9"/>
      <c r="Q110" s="9"/>
      <c r="R110" s="9"/>
      <c r="S110" s="8"/>
      <c r="T110" s="8"/>
      <c r="U110" s="8"/>
      <c r="V110" s="8"/>
      <c r="W110" s="8"/>
      <c r="X110" s="8"/>
      <c r="Y110" s="8"/>
      <c r="Z110" s="8"/>
      <c r="AA110"/>
      <c r="AB110"/>
      <c r="AC110"/>
      <c r="AD110"/>
      <c r="AE110"/>
      <c r="AF110"/>
      <c r="AG110"/>
      <c r="AH110"/>
      <c r="AI110"/>
      <c r="AJ110"/>
      <c r="AK110"/>
      <c r="AL110"/>
    </row>
    <row r="111" spans="1:38">
      <c r="A111" s="64" t="str" cm="1">
        <f t="array" aca="1" ref="A111" ca="1">IFERROR(INDEX(_xlfn.ANCHORARRAY($AA$11),ROW()-10,1),"")</f>
        <v/>
      </c>
      <c r="B111" s="31" t="str" cm="1">
        <f t="array" aca="1" ref="B111" ca="1">IFERROR(INDEX(_xlfn.ANCHORARRAY($AA$11),ROW()-10,2),"")</f>
        <v/>
      </c>
      <c r="C111" s="22" t="str" cm="1">
        <f t="array" aca="1" ref="C111" ca="1">IFERROR(INDEX(_xlfn.ANCHORARRAY($AA$11),ROW()-10,3),"")</f>
        <v/>
      </c>
      <c r="D111" s="22" t="str" cm="1">
        <f t="array" aca="1" ref="D111" ca="1">IFERROR(INDEX(_xlfn.ANCHORARRAY($AA$11),ROW()-10,4),"")</f>
        <v/>
      </c>
      <c r="E111" s="22" t="str" cm="1">
        <f t="array" aca="1" ref="E111" ca="1">IFERROR(INDEX(_xlfn.ANCHORARRAY($AA$11),ROW()-10,5),"")</f>
        <v/>
      </c>
      <c r="F111" s="22" t="str" cm="1">
        <f t="array" aca="1" ref="F111" ca="1">IFERROR(INDEX(_xlfn.ANCHORARRAY($AA$11),ROW()-10,6),"")</f>
        <v/>
      </c>
      <c r="G111" s="22" t="str" cm="1">
        <f t="array" aca="1" ref="G111" ca="1">IFERROR(INDEX(_xlfn.ANCHORARRAY($AA$11),ROW()-10,7),"")</f>
        <v/>
      </c>
      <c r="H111" s="22" t="str" cm="1">
        <f t="array" aca="1" ref="H111" ca="1">IFERROR(INDEX(_xlfn.ANCHORARRAY($AA$11),ROW()-10,8),"")</f>
        <v/>
      </c>
      <c r="I111" s="22" t="str" cm="1">
        <f t="array" aca="1" ref="I111" ca="1">IFERROR(INDEX(_xlfn.ANCHORARRAY($AA$11),ROW()-10,9),"")</f>
        <v/>
      </c>
      <c r="J111" s="22" t="str">
        <f t="shared" ca="1" si="8"/>
        <v/>
      </c>
      <c r="K111" s="22" t="str">
        <f t="shared" ca="1" si="9"/>
        <v/>
      </c>
      <c r="L111" s="22" t="str" cm="1">
        <f t="array" aca="1" ref="L111" ca="1">_xlfn.LET(_xlpm.link,IFERROR(INDEX(_xlfn.ANCHORARRAY($AA$11),ROW()-10,12),""),IF(_xlpm.link="","",HYPERLINK(_xlpm.link,"Bluecore/Attentive")))</f>
        <v/>
      </c>
      <c r="M111" s="9"/>
      <c r="N111" s="9"/>
      <c r="O111" s="9"/>
      <c r="P111" s="9"/>
      <c r="Q111" s="9"/>
      <c r="R111" s="9"/>
      <c r="S111" s="8"/>
      <c r="T111" s="8"/>
      <c r="U111" s="8"/>
      <c r="V111" s="8"/>
      <c r="W111" s="8"/>
      <c r="X111" s="8"/>
      <c r="Y111" s="8"/>
      <c r="Z111" s="8"/>
      <c r="AA111"/>
      <c r="AB111"/>
      <c r="AC111"/>
      <c r="AD111"/>
      <c r="AE111"/>
      <c r="AF111"/>
      <c r="AG111"/>
      <c r="AH111"/>
      <c r="AI111"/>
      <c r="AJ111"/>
      <c r="AK111"/>
      <c r="AL111"/>
    </row>
    <row r="112" spans="1:38">
      <c r="A112" s="64" t="str" cm="1">
        <f t="array" aca="1" ref="A112" ca="1">IFERROR(INDEX(_xlfn.ANCHORARRAY($AA$11),ROW()-10,1),"")</f>
        <v/>
      </c>
      <c r="B112" s="31" t="str" cm="1">
        <f t="array" aca="1" ref="B112" ca="1">IFERROR(INDEX(_xlfn.ANCHORARRAY($AA$11),ROW()-10,2),"")</f>
        <v/>
      </c>
      <c r="C112" s="22" t="str" cm="1">
        <f t="array" aca="1" ref="C112" ca="1">IFERROR(INDEX(_xlfn.ANCHORARRAY($AA$11),ROW()-10,3),"")</f>
        <v/>
      </c>
      <c r="D112" s="22" t="str" cm="1">
        <f t="array" aca="1" ref="D112" ca="1">IFERROR(INDEX(_xlfn.ANCHORARRAY($AA$11),ROW()-10,4),"")</f>
        <v/>
      </c>
      <c r="E112" s="22" t="str" cm="1">
        <f t="array" aca="1" ref="E112" ca="1">IFERROR(INDEX(_xlfn.ANCHORARRAY($AA$11),ROW()-10,5),"")</f>
        <v/>
      </c>
      <c r="F112" s="22" t="str" cm="1">
        <f t="array" aca="1" ref="F112" ca="1">IFERROR(INDEX(_xlfn.ANCHORARRAY($AA$11),ROW()-10,6),"")</f>
        <v/>
      </c>
      <c r="G112" s="22" t="str" cm="1">
        <f t="array" aca="1" ref="G112" ca="1">IFERROR(INDEX(_xlfn.ANCHORARRAY($AA$11),ROW()-10,7),"")</f>
        <v/>
      </c>
      <c r="H112" s="22" t="str" cm="1">
        <f t="array" aca="1" ref="H112" ca="1">IFERROR(INDEX(_xlfn.ANCHORARRAY($AA$11),ROW()-10,8),"")</f>
        <v/>
      </c>
      <c r="I112" s="22" t="str" cm="1">
        <f t="array" aca="1" ref="I112" ca="1">IFERROR(INDEX(_xlfn.ANCHORARRAY($AA$11),ROW()-10,9),"")</f>
        <v/>
      </c>
      <c r="J112" s="22" t="str">
        <f t="shared" ca="1" si="8"/>
        <v/>
      </c>
      <c r="K112" s="22" t="str">
        <f t="shared" ca="1" si="9"/>
        <v/>
      </c>
      <c r="L112" s="22" t="str" cm="1">
        <f t="array" aca="1" ref="L112" ca="1">_xlfn.LET(_xlpm.link,IFERROR(INDEX(_xlfn.ANCHORARRAY($AA$11),ROW()-10,12),""),IF(_xlpm.link="","",HYPERLINK(_xlpm.link,"Bluecore/Attentive")))</f>
        <v/>
      </c>
      <c r="M112" s="9"/>
      <c r="N112" s="9"/>
      <c r="O112" s="9"/>
      <c r="P112" s="9"/>
      <c r="Q112" s="9"/>
      <c r="R112" s="9"/>
      <c r="S112" s="8"/>
      <c r="T112" s="8"/>
      <c r="U112" s="8"/>
      <c r="V112" s="8"/>
      <c r="W112" s="8"/>
      <c r="X112" s="8"/>
      <c r="Y112" s="8"/>
      <c r="Z112" s="8"/>
      <c r="AA112"/>
      <c r="AB112"/>
      <c r="AC112"/>
      <c r="AD112"/>
      <c r="AE112"/>
      <c r="AF112"/>
      <c r="AG112"/>
      <c r="AH112"/>
      <c r="AI112"/>
      <c r="AJ112"/>
      <c r="AK112"/>
      <c r="AL112"/>
    </row>
    <row r="113" spans="1:38">
      <c r="A113" s="64" t="str" cm="1">
        <f t="array" aca="1" ref="A113" ca="1">IFERROR(INDEX(_xlfn.ANCHORARRAY($AA$11),ROW()-10,1),"")</f>
        <v/>
      </c>
      <c r="B113" s="31" t="str" cm="1">
        <f t="array" aca="1" ref="B113" ca="1">IFERROR(INDEX(_xlfn.ANCHORARRAY($AA$11),ROW()-10,2),"")</f>
        <v/>
      </c>
      <c r="C113" s="22" t="str" cm="1">
        <f t="array" aca="1" ref="C113" ca="1">IFERROR(INDEX(_xlfn.ANCHORARRAY($AA$11),ROW()-10,3),"")</f>
        <v/>
      </c>
      <c r="D113" s="22" t="str" cm="1">
        <f t="array" aca="1" ref="D113" ca="1">IFERROR(INDEX(_xlfn.ANCHORARRAY($AA$11),ROW()-10,4),"")</f>
        <v/>
      </c>
      <c r="E113" s="22" t="str" cm="1">
        <f t="array" aca="1" ref="E113" ca="1">IFERROR(INDEX(_xlfn.ANCHORARRAY($AA$11),ROW()-10,5),"")</f>
        <v/>
      </c>
      <c r="F113" s="22" t="str" cm="1">
        <f t="array" aca="1" ref="F113" ca="1">IFERROR(INDEX(_xlfn.ANCHORARRAY($AA$11),ROW()-10,6),"")</f>
        <v/>
      </c>
      <c r="G113" s="22" t="str" cm="1">
        <f t="array" aca="1" ref="G113" ca="1">IFERROR(INDEX(_xlfn.ANCHORARRAY($AA$11),ROW()-10,7),"")</f>
        <v/>
      </c>
      <c r="H113" s="22" t="str" cm="1">
        <f t="array" aca="1" ref="H113" ca="1">IFERROR(INDEX(_xlfn.ANCHORARRAY($AA$11),ROW()-10,8),"")</f>
        <v/>
      </c>
      <c r="I113" s="22" t="str" cm="1">
        <f t="array" aca="1" ref="I113" ca="1">IFERROR(INDEX(_xlfn.ANCHORARRAY($AA$11),ROW()-10,9),"")</f>
        <v/>
      </c>
      <c r="J113" s="22" t="str">
        <f t="shared" ca="1" si="8"/>
        <v/>
      </c>
      <c r="K113" s="22" t="str">
        <f t="shared" ca="1" si="9"/>
        <v/>
      </c>
      <c r="L113" s="22" t="str" cm="1">
        <f t="array" aca="1" ref="L113" ca="1">_xlfn.LET(_xlpm.link,IFERROR(INDEX(_xlfn.ANCHORARRAY($AA$11),ROW()-10,12),""),IF(_xlpm.link="","",HYPERLINK(_xlpm.link,"Bluecore/Attentive")))</f>
        <v/>
      </c>
      <c r="M113" s="9"/>
      <c r="N113" s="9"/>
      <c r="O113" s="9"/>
      <c r="P113" s="9"/>
      <c r="Q113" s="9"/>
      <c r="R113" s="9"/>
      <c r="S113" s="8"/>
      <c r="T113" s="8"/>
      <c r="U113" s="8"/>
      <c r="V113" s="8"/>
      <c r="W113" s="8"/>
      <c r="X113" s="8"/>
      <c r="Y113" s="8"/>
      <c r="Z113" s="8"/>
      <c r="AA113"/>
      <c r="AB113"/>
      <c r="AC113"/>
      <c r="AD113"/>
      <c r="AE113"/>
      <c r="AF113"/>
      <c r="AG113"/>
      <c r="AH113"/>
      <c r="AI113"/>
      <c r="AJ113"/>
      <c r="AK113"/>
      <c r="AL113"/>
    </row>
    <row r="114" spans="1:38">
      <c r="A114" s="64" t="str" cm="1">
        <f t="array" aca="1" ref="A114" ca="1">IFERROR(INDEX(_xlfn.ANCHORARRAY($AA$11),ROW()-10,1),"")</f>
        <v/>
      </c>
      <c r="B114" s="31" t="str" cm="1">
        <f t="array" aca="1" ref="B114" ca="1">IFERROR(INDEX(_xlfn.ANCHORARRAY($AA$11),ROW()-10,2),"")</f>
        <v/>
      </c>
      <c r="C114" s="22" t="str" cm="1">
        <f t="array" aca="1" ref="C114" ca="1">IFERROR(INDEX(_xlfn.ANCHORARRAY($AA$11),ROW()-10,3),"")</f>
        <v/>
      </c>
      <c r="D114" s="22" t="str" cm="1">
        <f t="array" aca="1" ref="D114" ca="1">IFERROR(INDEX(_xlfn.ANCHORARRAY($AA$11),ROW()-10,4),"")</f>
        <v/>
      </c>
      <c r="E114" s="22" t="str" cm="1">
        <f t="array" aca="1" ref="E114" ca="1">IFERROR(INDEX(_xlfn.ANCHORARRAY($AA$11),ROW()-10,5),"")</f>
        <v/>
      </c>
      <c r="F114" s="22" t="str" cm="1">
        <f t="array" aca="1" ref="F114" ca="1">IFERROR(INDEX(_xlfn.ANCHORARRAY($AA$11),ROW()-10,6),"")</f>
        <v/>
      </c>
      <c r="G114" s="22" t="str" cm="1">
        <f t="array" aca="1" ref="G114" ca="1">IFERROR(INDEX(_xlfn.ANCHORARRAY($AA$11),ROW()-10,7),"")</f>
        <v/>
      </c>
      <c r="H114" s="22" t="str" cm="1">
        <f t="array" aca="1" ref="H114" ca="1">IFERROR(INDEX(_xlfn.ANCHORARRAY($AA$11),ROW()-10,8),"")</f>
        <v/>
      </c>
      <c r="I114" s="22" t="str" cm="1">
        <f t="array" aca="1" ref="I114" ca="1">IFERROR(INDEX(_xlfn.ANCHORARRAY($AA$11),ROW()-10,9),"")</f>
        <v/>
      </c>
      <c r="J114" s="22" t="str">
        <f t="shared" ca="1" si="8"/>
        <v/>
      </c>
      <c r="K114" s="22" t="str">
        <f t="shared" ca="1" si="9"/>
        <v/>
      </c>
      <c r="L114" s="22" t="str" cm="1">
        <f t="array" aca="1" ref="L114" ca="1">_xlfn.LET(_xlpm.link,IFERROR(INDEX(_xlfn.ANCHORARRAY($AA$11),ROW()-10,12),""),IF(_xlpm.link="","",HYPERLINK(_xlpm.link,"Bluecore/Attentive")))</f>
        <v/>
      </c>
      <c r="M114" s="9"/>
      <c r="N114" s="9"/>
      <c r="O114" s="9"/>
      <c r="P114" s="9"/>
      <c r="Q114" s="9"/>
      <c r="R114" s="9"/>
      <c r="S114" s="8"/>
      <c r="T114" s="8"/>
      <c r="U114" s="8"/>
      <c r="V114" s="8"/>
      <c r="W114" s="8"/>
      <c r="X114" s="8"/>
      <c r="Y114" s="8"/>
      <c r="Z114" s="8"/>
      <c r="AA114"/>
      <c r="AB114"/>
      <c r="AC114"/>
      <c r="AD114"/>
      <c r="AE114"/>
      <c r="AF114"/>
      <c r="AG114"/>
      <c r="AH114"/>
      <c r="AI114"/>
      <c r="AJ114"/>
      <c r="AK114"/>
      <c r="AL114"/>
    </row>
    <row r="115" spans="1:38">
      <c r="A115" s="64" t="str" cm="1">
        <f t="array" aca="1" ref="A115" ca="1">IFERROR(INDEX(_xlfn.ANCHORARRAY($AA$11),ROW()-10,1),"")</f>
        <v/>
      </c>
      <c r="B115" s="31" t="str" cm="1">
        <f t="array" aca="1" ref="B115" ca="1">IFERROR(INDEX(_xlfn.ANCHORARRAY($AA$11),ROW()-10,2),"")</f>
        <v/>
      </c>
      <c r="C115" s="22" t="str" cm="1">
        <f t="array" aca="1" ref="C115" ca="1">IFERROR(INDEX(_xlfn.ANCHORARRAY($AA$11),ROW()-10,3),"")</f>
        <v/>
      </c>
      <c r="D115" s="22" t="str" cm="1">
        <f t="array" aca="1" ref="D115" ca="1">IFERROR(INDEX(_xlfn.ANCHORARRAY($AA$11),ROW()-10,4),"")</f>
        <v/>
      </c>
      <c r="E115" s="22" t="str" cm="1">
        <f t="array" aca="1" ref="E115" ca="1">IFERROR(INDEX(_xlfn.ANCHORARRAY($AA$11),ROW()-10,5),"")</f>
        <v/>
      </c>
      <c r="F115" s="22" t="str" cm="1">
        <f t="array" aca="1" ref="F115" ca="1">IFERROR(INDEX(_xlfn.ANCHORARRAY($AA$11),ROW()-10,6),"")</f>
        <v/>
      </c>
      <c r="G115" s="22" t="str" cm="1">
        <f t="array" aca="1" ref="G115" ca="1">IFERROR(INDEX(_xlfn.ANCHORARRAY($AA$11),ROW()-10,7),"")</f>
        <v/>
      </c>
      <c r="H115" s="22" t="str" cm="1">
        <f t="array" aca="1" ref="H115" ca="1">IFERROR(INDEX(_xlfn.ANCHORARRAY($AA$11),ROW()-10,8),"")</f>
        <v/>
      </c>
      <c r="I115" s="22" t="str" cm="1">
        <f t="array" aca="1" ref="I115" ca="1">IFERROR(INDEX(_xlfn.ANCHORARRAY($AA$11),ROW()-10,9),"")</f>
        <v/>
      </c>
      <c r="J115" s="22" t="str">
        <f t="shared" ca="1" si="8"/>
        <v/>
      </c>
      <c r="K115" s="22" t="str">
        <f t="shared" ca="1" si="9"/>
        <v/>
      </c>
      <c r="L115" s="22" t="str" cm="1">
        <f t="array" aca="1" ref="L115" ca="1">_xlfn.LET(_xlpm.link,IFERROR(INDEX(_xlfn.ANCHORARRAY($AA$11),ROW()-10,12),""),IF(_xlpm.link="","",HYPERLINK(_xlpm.link,"Bluecore/Attentive")))</f>
        <v/>
      </c>
      <c r="M115" s="9"/>
      <c r="N115" s="9"/>
      <c r="O115" s="9"/>
      <c r="P115" s="9"/>
      <c r="Q115" s="9"/>
      <c r="R115" s="9"/>
      <c r="S115" s="8"/>
      <c r="T115" s="8"/>
      <c r="U115" s="8"/>
      <c r="V115" s="8"/>
      <c r="W115" s="8"/>
      <c r="X115" s="8"/>
      <c r="Y115" s="8"/>
      <c r="Z115" s="8"/>
      <c r="AA115"/>
      <c r="AB115"/>
      <c r="AC115"/>
      <c r="AD115"/>
      <c r="AE115"/>
      <c r="AF115"/>
      <c r="AG115"/>
      <c r="AH115"/>
      <c r="AI115"/>
      <c r="AJ115"/>
      <c r="AK115"/>
      <c r="AL115"/>
    </row>
    <row r="116" spans="1:38">
      <c r="A116" s="64" t="str" cm="1">
        <f t="array" aca="1" ref="A116" ca="1">IFERROR(INDEX(_xlfn.ANCHORARRAY($AA$11),ROW()-10,1),"")</f>
        <v/>
      </c>
      <c r="B116" s="31" t="str" cm="1">
        <f t="array" aca="1" ref="B116" ca="1">IFERROR(INDEX(_xlfn.ANCHORARRAY($AA$11),ROW()-10,2),"")</f>
        <v/>
      </c>
      <c r="C116" s="22" t="str" cm="1">
        <f t="array" aca="1" ref="C116" ca="1">IFERROR(INDEX(_xlfn.ANCHORARRAY($AA$11),ROW()-10,3),"")</f>
        <v/>
      </c>
      <c r="D116" s="22" t="str" cm="1">
        <f t="array" aca="1" ref="D116" ca="1">IFERROR(INDEX(_xlfn.ANCHORARRAY($AA$11),ROW()-10,4),"")</f>
        <v/>
      </c>
      <c r="E116" s="22" t="str" cm="1">
        <f t="array" aca="1" ref="E116" ca="1">IFERROR(INDEX(_xlfn.ANCHORARRAY($AA$11),ROW()-10,5),"")</f>
        <v/>
      </c>
      <c r="F116" s="22" t="str" cm="1">
        <f t="array" aca="1" ref="F116" ca="1">IFERROR(INDEX(_xlfn.ANCHORARRAY($AA$11),ROW()-10,6),"")</f>
        <v/>
      </c>
      <c r="G116" s="22" t="str" cm="1">
        <f t="array" aca="1" ref="G116" ca="1">IFERROR(INDEX(_xlfn.ANCHORARRAY($AA$11),ROW()-10,7),"")</f>
        <v/>
      </c>
      <c r="H116" s="22" t="str" cm="1">
        <f t="array" aca="1" ref="H116" ca="1">IFERROR(INDEX(_xlfn.ANCHORARRAY($AA$11),ROW()-10,8),"")</f>
        <v/>
      </c>
      <c r="I116" s="22" t="str" cm="1">
        <f t="array" aca="1" ref="I116" ca="1">IFERROR(INDEX(_xlfn.ANCHORARRAY($AA$11),ROW()-10,9),"")</f>
        <v/>
      </c>
      <c r="J116" s="22" t="str">
        <f t="shared" ca="1" si="8"/>
        <v/>
      </c>
      <c r="K116" s="22" t="str">
        <f t="shared" ca="1" si="9"/>
        <v/>
      </c>
      <c r="L116" s="22" t="str" cm="1">
        <f t="array" aca="1" ref="L116" ca="1">_xlfn.LET(_xlpm.link,IFERROR(INDEX(_xlfn.ANCHORARRAY($AA$11),ROW()-10,12),""),IF(_xlpm.link="","",HYPERLINK(_xlpm.link,"Bluecore/Attentive")))</f>
        <v/>
      </c>
      <c r="M116" s="9"/>
      <c r="N116" s="9"/>
      <c r="O116" s="9"/>
      <c r="P116" s="9"/>
      <c r="Q116" s="9"/>
      <c r="R116" s="9"/>
      <c r="S116" s="8"/>
      <c r="T116" s="8"/>
      <c r="U116" s="8"/>
      <c r="V116" s="8"/>
      <c r="W116" s="8"/>
      <c r="X116" s="8"/>
      <c r="Y116" s="8"/>
      <c r="Z116" s="8"/>
      <c r="AA116"/>
      <c r="AB116"/>
      <c r="AC116"/>
      <c r="AD116"/>
      <c r="AE116"/>
      <c r="AF116"/>
      <c r="AG116"/>
      <c r="AH116"/>
      <c r="AI116"/>
      <c r="AJ116"/>
      <c r="AK116"/>
      <c r="AL116"/>
    </row>
    <row r="117" spans="1:38">
      <c r="A117" s="64" t="str" cm="1">
        <f t="array" aca="1" ref="A117" ca="1">IFERROR(INDEX(_xlfn.ANCHORARRAY($AA$11),ROW()-10,1),"")</f>
        <v/>
      </c>
      <c r="B117" s="31" t="str" cm="1">
        <f t="array" aca="1" ref="B117" ca="1">IFERROR(INDEX(_xlfn.ANCHORARRAY($AA$11),ROW()-10,2),"")</f>
        <v/>
      </c>
      <c r="C117" s="22" t="str" cm="1">
        <f t="array" aca="1" ref="C117" ca="1">IFERROR(INDEX(_xlfn.ANCHORARRAY($AA$11),ROW()-10,3),"")</f>
        <v/>
      </c>
      <c r="D117" s="22" t="str" cm="1">
        <f t="array" aca="1" ref="D117" ca="1">IFERROR(INDEX(_xlfn.ANCHORARRAY($AA$11),ROW()-10,4),"")</f>
        <v/>
      </c>
      <c r="E117" s="22" t="str" cm="1">
        <f t="array" aca="1" ref="E117" ca="1">IFERROR(INDEX(_xlfn.ANCHORARRAY($AA$11),ROW()-10,5),"")</f>
        <v/>
      </c>
      <c r="F117" s="22" t="str" cm="1">
        <f t="array" aca="1" ref="F117" ca="1">IFERROR(INDEX(_xlfn.ANCHORARRAY($AA$11),ROW()-10,6),"")</f>
        <v/>
      </c>
      <c r="G117" s="22" t="str" cm="1">
        <f t="array" aca="1" ref="G117" ca="1">IFERROR(INDEX(_xlfn.ANCHORARRAY($AA$11),ROW()-10,7),"")</f>
        <v/>
      </c>
      <c r="H117" s="22" t="str" cm="1">
        <f t="array" aca="1" ref="H117" ca="1">IFERROR(INDEX(_xlfn.ANCHORARRAY($AA$11),ROW()-10,8),"")</f>
        <v/>
      </c>
      <c r="I117" s="22" t="str" cm="1">
        <f t="array" aca="1" ref="I117" ca="1">IFERROR(INDEX(_xlfn.ANCHORARRAY($AA$11),ROW()-10,9),"")</f>
        <v/>
      </c>
      <c r="J117" s="22" t="str">
        <f t="shared" ca="1" si="8"/>
        <v/>
      </c>
      <c r="K117" s="22" t="str">
        <f t="shared" ca="1" si="9"/>
        <v/>
      </c>
      <c r="L117" s="22" t="str" cm="1">
        <f t="array" aca="1" ref="L117" ca="1">_xlfn.LET(_xlpm.link,IFERROR(INDEX(_xlfn.ANCHORARRAY($AA$11),ROW()-10,12),""),IF(_xlpm.link="","",HYPERLINK(_xlpm.link,"Bluecore/Attentive")))</f>
        <v/>
      </c>
      <c r="M117" s="9"/>
      <c r="N117" s="9"/>
      <c r="O117" s="9"/>
      <c r="P117" s="9"/>
      <c r="Q117" s="9"/>
      <c r="R117" s="9"/>
      <c r="S117" s="8"/>
      <c r="T117" s="8"/>
      <c r="U117" s="8"/>
      <c r="V117" s="8"/>
      <c r="W117" s="8"/>
      <c r="X117" s="8"/>
      <c r="Y117" s="8"/>
      <c r="Z117" s="8"/>
      <c r="AA117"/>
      <c r="AB117"/>
      <c r="AC117"/>
      <c r="AD117"/>
      <c r="AE117"/>
      <c r="AF117"/>
      <c r="AG117"/>
      <c r="AH117"/>
      <c r="AI117"/>
      <c r="AJ117"/>
      <c r="AK117"/>
      <c r="AL117"/>
    </row>
    <row r="118" spans="1:38">
      <c r="A118" s="64" t="str" cm="1">
        <f t="array" aca="1" ref="A118" ca="1">IFERROR(INDEX(_xlfn.ANCHORARRAY($AA$11),ROW()-10,1),"")</f>
        <v/>
      </c>
      <c r="B118" s="31" t="str" cm="1">
        <f t="array" aca="1" ref="B118" ca="1">IFERROR(INDEX(_xlfn.ANCHORARRAY($AA$11),ROW()-10,2),"")</f>
        <v/>
      </c>
      <c r="C118" s="22" t="str" cm="1">
        <f t="array" aca="1" ref="C118" ca="1">IFERROR(INDEX(_xlfn.ANCHORARRAY($AA$11),ROW()-10,3),"")</f>
        <v/>
      </c>
      <c r="D118" s="22" t="str" cm="1">
        <f t="array" aca="1" ref="D118" ca="1">IFERROR(INDEX(_xlfn.ANCHORARRAY($AA$11),ROW()-10,4),"")</f>
        <v/>
      </c>
      <c r="E118" s="22" t="str" cm="1">
        <f t="array" aca="1" ref="E118" ca="1">IFERROR(INDEX(_xlfn.ANCHORARRAY($AA$11),ROW()-10,5),"")</f>
        <v/>
      </c>
      <c r="F118" s="22" t="str" cm="1">
        <f t="array" aca="1" ref="F118" ca="1">IFERROR(INDEX(_xlfn.ANCHORARRAY($AA$11),ROW()-10,6),"")</f>
        <v/>
      </c>
      <c r="G118" s="22" t="str" cm="1">
        <f t="array" aca="1" ref="G118" ca="1">IFERROR(INDEX(_xlfn.ANCHORARRAY($AA$11),ROW()-10,7),"")</f>
        <v/>
      </c>
      <c r="H118" s="22" t="str" cm="1">
        <f t="array" aca="1" ref="H118" ca="1">IFERROR(INDEX(_xlfn.ANCHORARRAY($AA$11),ROW()-10,8),"")</f>
        <v/>
      </c>
      <c r="I118" s="22" t="str" cm="1">
        <f t="array" aca="1" ref="I118" ca="1">IFERROR(INDEX(_xlfn.ANCHORARRAY($AA$11),ROW()-10,9),"")</f>
        <v/>
      </c>
      <c r="J118" s="22" t="str">
        <f t="shared" ca="1" si="8"/>
        <v/>
      </c>
      <c r="K118" s="22" t="str">
        <f t="shared" ca="1" si="9"/>
        <v/>
      </c>
      <c r="L118" s="22" t="str" cm="1">
        <f t="array" aca="1" ref="L118" ca="1">_xlfn.LET(_xlpm.link,IFERROR(INDEX(_xlfn.ANCHORARRAY($AA$11),ROW()-10,12),""),IF(_xlpm.link="","",HYPERLINK(_xlpm.link,"Bluecore/Attentive")))</f>
        <v/>
      </c>
      <c r="M118" s="9"/>
      <c r="N118" s="9"/>
      <c r="O118" s="9"/>
      <c r="P118" s="9"/>
      <c r="Q118" s="9"/>
      <c r="R118" s="9"/>
      <c r="S118" s="8"/>
      <c r="T118" s="8"/>
      <c r="U118" s="8"/>
      <c r="V118" s="8"/>
      <c r="W118" s="8"/>
      <c r="X118" s="8"/>
      <c r="Y118" s="8"/>
      <c r="Z118" s="8"/>
      <c r="AA118"/>
      <c r="AB118"/>
      <c r="AC118"/>
      <c r="AD118"/>
      <c r="AE118"/>
      <c r="AF118"/>
      <c r="AG118"/>
      <c r="AH118"/>
      <c r="AI118"/>
      <c r="AJ118"/>
      <c r="AK118"/>
      <c r="AL118"/>
    </row>
    <row r="119" spans="1:38">
      <c r="A119" s="64" t="str" cm="1">
        <f t="array" aca="1" ref="A119" ca="1">IFERROR(INDEX(_xlfn.ANCHORARRAY($AA$11),ROW()-10,1),"")</f>
        <v/>
      </c>
      <c r="B119" s="31" t="str" cm="1">
        <f t="array" aca="1" ref="B119" ca="1">IFERROR(INDEX(_xlfn.ANCHORARRAY($AA$11),ROW()-10,2),"")</f>
        <v/>
      </c>
      <c r="C119" s="22" t="str" cm="1">
        <f t="array" aca="1" ref="C119" ca="1">IFERROR(INDEX(_xlfn.ANCHORARRAY($AA$11),ROW()-10,3),"")</f>
        <v/>
      </c>
      <c r="D119" s="22" t="str" cm="1">
        <f t="array" aca="1" ref="D119" ca="1">IFERROR(INDEX(_xlfn.ANCHORARRAY($AA$11),ROW()-10,4),"")</f>
        <v/>
      </c>
      <c r="E119" s="22" t="str" cm="1">
        <f t="array" aca="1" ref="E119" ca="1">IFERROR(INDEX(_xlfn.ANCHORARRAY($AA$11),ROW()-10,5),"")</f>
        <v/>
      </c>
      <c r="F119" s="22" t="str" cm="1">
        <f t="array" aca="1" ref="F119" ca="1">IFERROR(INDEX(_xlfn.ANCHORARRAY($AA$11),ROW()-10,6),"")</f>
        <v/>
      </c>
      <c r="G119" s="22" t="str" cm="1">
        <f t="array" aca="1" ref="G119" ca="1">IFERROR(INDEX(_xlfn.ANCHORARRAY($AA$11),ROW()-10,7),"")</f>
        <v/>
      </c>
      <c r="H119" s="22" t="str" cm="1">
        <f t="array" aca="1" ref="H119" ca="1">IFERROR(INDEX(_xlfn.ANCHORARRAY($AA$11),ROW()-10,8),"")</f>
        <v/>
      </c>
      <c r="I119" s="22" t="str" cm="1">
        <f t="array" aca="1" ref="I119" ca="1">IFERROR(INDEX(_xlfn.ANCHORARRAY($AA$11),ROW()-10,9),"")</f>
        <v/>
      </c>
      <c r="J119" s="22" t="str">
        <f t="shared" ca="1" si="8"/>
        <v/>
      </c>
      <c r="K119" s="22" t="str">
        <f t="shared" ca="1" si="9"/>
        <v/>
      </c>
      <c r="L119" s="22" t="str" cm="1">
        <f t="array" aca="1" ref="L119" ca="1">_xlfn.LET(_xlpm.link,IFERROR(INDEX(_xlfn.ANCHORARRAY($AA$11),ROW()-10,12),""),IF(_xlpm.link="","",HYPERLINK(_xlpm.link,"Bluecore/Attentive")))</f>
        <v/>
      </c>
      <c r="M119" s="9"/>
      <c r="N119" s="9"/>
      <c r="O119" s="9"/>
      <c r="P119" s="9"/>
      <c r="Q119" s="9"/>
      <c r="R119" s="9"/>
      <c r="S119" s="8"/>
      <c r="T119" s="8"/>
      <c r="U119" s="8"/>
      <c r="V119" s="8"/>
      <c r="W119" s="8"/>
      <c r="X119" s="8"/>
      <c r="Y119" s="8"/>
      <c r="Z119" s="8"/>
      <c r="AA119"/>
      <c r="AB119"/>
      <c r="AC119"/>
      <c r="AD119"/>
      <c r="AE119"/>
      <c r="AF119"/>
      <c r="AG119"/>
      <c r="AH119"/>
      <c r="AI119"/>
      <c r="AJ119"/>
      <c r="AK119"/>
      <c r="AL119"/>
    </row>
    <row r="120" spans="1:38">
      <c r="A120" s="64" t="str" cm="1">
        <f t="array" aca="1" ref="A120" ca="1">IFERROR(INDEX(_xlfn.ANCHORARRAY($AA$11),ROW()-10,1),"")</f>
        <v/>
      </c>
      <c r="B120" s="31" t="str" cm="1">
        <f t="array" aca="1" ref="B120" ca="1">IFERROR(INDEX(_xlfn.ANCHORARRAY($AA$11),ROW()-10,2),"")</f>
        <v/>
      </c>
      <c r="C120" s="22" t="str" cm="1">
        <f t="array" aca="1" ref="C120" ca="1">IFERROR(INDEX(_xlfn.ANCHORARRAY($AA$11),ROW()-10,3),"")</f>
        <v/>
      </c>
      <c r="D120" s="22" t="str" cm="1">
        <f t="array" aca="1" ref="D120" ca="1">IFERROR(INDEX(_xlfn.ANCHORARRAY($AA$11),ROW()-10,4),"")</f>
        <v/>
      </c>
      <c r="E120" s="22" t="str" cm="1">
        <f t="array" aca="1" ref="E120" ca="1">IFERROR(INDEX(_xlfn.ANCHORARRAY($AA$11),ROW()-10,5),"")</f>
        <v/>
      </c>
      <c r="F120" s="22" t="str" cm="1">
        <f t="array" aca="1" ref="F120" ca="1">IFERROR(INDEX(_xlfn.ANCHORARRAY($AA$11),ROW()-10,6),"")</f>
        <v/>
      </c>
      <c r="G120" s="22" t="str" cm="1">
        <f t="array" aca="1" ref="G120" ca="1">IFERROR(INDEX(_xlfn.ANCHORARRAY($AA$11),ROW()-10,7),"")</f>
        <v/>
      </c>
      <c r="H120" s="22" t="str" cm="1">
        <f t="array" aca="1" ref="H120" ca="1">IFERROR(INDEX(_xlfn.ANCHORARRAY($AA$11),ROW()-10,8),"")</f>
        <v/>
      </c>
      <c r="I120" s="22" t="str" cm="1">
        <f t="array" aca="1" ref="I120" ca="1">IFERROR(INDEX(_xlfn.ANCHORARRAY($AA$11),ROW()-10,9),"")</f>
        <v/>
      </c>
      <c r="J120" s="22" t="str">
        <f t="shared" ca="1" si="8"/>
        <v/>
      </c>
      <c r="K120" s="22" t="str">
        <f t="shared" ca="1" si="9"/>
        <v/>
      </c>
      <c r="L120" s="22" t="str" cm="1">
        <f t="array" aca="1" ref="L120" ca="1">_xlfn.LET(_xlpm.link,IFERROR(INDEX(_xlfn.ANCHORARRAY($AA$11),ROW()-10,12),""),IF(_xlpm.link="","",HYPERLINK(_xlpm.link,"Bluecore/Attentive")))</f>
        <v/>
      </c>
      <c r="M120" s="9"/>
      <c r="N120" s="9"/>
      <c r="O120" s="9"/>
      <c r="P120" s="9"/>
      <c r="Q120" s="9"/>
      <c r="R120" s="9"/>
      <c r="S120" s="8"/>
      <c r="T120" s="8"/>
      <c r="U120" s="8"/>
      <c r="V120" s="8"/>
      <c r="W120" s="8"/>
      <c r="X120" s="8"/>
      <c r="Y120" s="8"/>
      <c r="Z120" s="8"/>
      <c r="AA120"/>
      <c r="AB120"/>
      <c r="AC120"/>
      <c r="AD120"/>
      <c r="AE120"/>
      <c r="AF120"/>
      <c r="AG120"/>
      <c r="AH120"/>
      <c r="AI120"/>
      <c r="AJ120"/>
      <c r="AK120"/>
      <c r="AL120"/>
    </row>
    <row r="121" spans="1:38">
      <c r="A121" s="64" t="str" cm="1">
        <f t="array" aca="1" ref="A121" ca="1">IFERROR(INDEX(_xlfn.ANCHORARRAY($AA$11),ROW()-10,1),"")</f>
        <v/>
      </c>
      <c r="B121" s="31" t="str" cm="1">
        <f t="array" aca="1" ref="B121" ca="1">IFERROR(INDEX(_xlfn.ANCHORARRAY($AA$11),ROW()-10,2),"")</f>
        <v/>
      </c>
      <c r="C121" s="22" t="str" cm="1">
        <f t="array" aca="1" ref="C121" ca="1">IFERROR(INDEX(_xlfn.ANCHORARRAY($AA$11),ROW()-10,3),"")</f>
        <v/>
      </c>
      <c r="D121" s="22" t="str" cm="1">
        <f t="array" aca="1" ref="D121" ca="1">IFERROR(INDEX(_xlfn.ANCHORARRAY($AA$11),ROW()-10,4),"")</f>
        <v/>
      </c>
      <c r="E121" s="22" t="str" cm="1">
        <f t="array" aca="1" ref="E121" ca="1">IFERROR(INDEX(_xlfn.ANCHORARRAY($AA$11),ROW()-10,5),"")</f>
        <v/>
      </c>
      <c r="F121" s="22" t="str" cm="1">
        <f t="array" aca="1" ref="F121" ca="1">IFERROR(INDEX(_xlfn.ANCHORARRAY($AA$11),ROW()-10,6),"")</f>
        <v/>
      </c>
      <c r="G121" s="22" t="str" cm="1">
        <f t="array" aca="1" ref="G121" ca="1">IFERROR(INDEX(_xlfn.ANCHORARRAY($AA$11),ROW()-10,7),"")</f>
        <v/>
      </c>
      <c r="H121" s="22" t="str" cm="1">
        <f t="array" aca="1" ref="H121" ca="1">IFERROR(INDEX(_xlfn.ANCHORARRAY($AA$11),ROW()-10,8),"")</f>
        <v/>
      </c>
      <c r="I121" s="22" t="str" cm="1">
        <f t="array" aca="1" ref="I121" ca="1">IFERROR(INDEX(_xlfn.ANCHORARRAY($AA$11),ROW()-10,9),"")</f>
        <v/>
      </c>
      <c r="J121" s="22" t="str">
        <f t="shared" ca="1" si="8"/>
        <v/>
      </c>
      <c r="K121" s="22" t="str">
        <f t="shared" ca="1" si="9"/>
        <v/>
      </c>
      <c r="L121" s="22" t="str" cm="1">
        <f t="array" aca="1" ref="L121" ca="1">_xlfn.LET(_xlpm.link,IFERROR(INDEX(_xlfn.ANCHORARRAY($AA$11),ROW()-10,12),""),IF(_xlpm.link="","",HYPERLINK(_xlpm.link,"Bluecore/Attentive")))</f>
        <v/>
      </c>
      <c r="M121" s="9"/>
      <c r="N121" s="9"/>
      <c r="O121" s="9"/>
      <c r="P121" s="9"/>
      <c r="Q121" s="9"/>
      <c r="R121" s="9"/>
      <c r="S121" s="8"/>
      <c r="T121" s="8"/>
      <c r="U121" s="8"/>
      <c r="V121" s="8"/>
      <c r="W121" s="8"/>
      <c r="X121" s="8"/>
      <c r="Y121" s="8"/>
      <c r="Z121" s="8"/>
      <c r="AA121"/>
      <c r="AB121"/>
      <c r="AC121"/>
      <c r="AD121"/>
      <c r="AE121"/>
      <c r="AF121"/>
      <c r="AG121"/>
      <c r="AH121"/>
      <c r="AI121"/>
      <c r="AJ121"/>
      <c r="AK121"/>
      <c r="AL121"/>
    </row>
    <row r="122" spans="1:38">
      <c r="A122" s="64" t="str" cm="1">
        <f t="array" aca="1" ref="A122" ca="1">IFERROR(INDEX(_xlfn.ANCHORARRAY($AA$11),ROW()-10,1),"")</f>
        <v/>
      </c>
      <c r="B122" s="31" t="str" cm="1">
        <f t="array" aca="1" ref="B122" ca="1">IFERROR(INDEX(_xlfn.ANCHORARRAY($AA$11),ROW()-10,2),"")</f>
        <v/>
      </c>
      <c r="C122" s="22" t="str" cm="1">
        <f t="array" aca="1" ref="C122" ca="1">IFERROR(INDEX(_xlfn.ANCHORARRAY($AA$11),ROW()-10,3),"")</f>
        <v/>
      </c>
      <c r="D122" s="22" t="str" cm="1">
        <f t="array" aca="1" ref="D122" ca="1">IFERROR(INDEX(_xlfn.ANCHORARRAY($AA$11),ROW()-10,4),"")</f>
        <v/>
      </c>
      <c r="E122" s="22" t="str" cm="1">
        <f t="array" aca="1" ref="E122" ca="1">IFERROR(INDEX(_xlfn.ANCHORARRAY($AA$11),ROW()-10,5),"")</f>
        <v/>
      </c>
      <c r="F122" s="22" t="str" cm="1">
        <f t="array" aca="1" ref="F122" ca="1">IFERROR(INDEX(_xlfn.ANCHORARRAY($AA$11),ROW()-10,6),"")</f>
        <v/>
      </c>
      <c r="G122" s="22" t="str" cm="1">
        <f t="array" aca="1" ref="G122" ca="1">IFERROR(INDEX(_xlfn.ANCHORARRAY($AA$11),ROW()-10,7),"")</f>
        <v/>
      </c>
      <c r="H122" s="22" t="str" cm="1">
        <f t="array" aca="1" ref="H122" ca="1">IFERROR(INDEX(_xlfn.ANCHORARRAY($AA$11),ROW()-10,8),"")</f>
        <v/>
      </c>
      <c r="I122" s="22" t="str" cm="1">
        <f t="array" aca="1" ref="I122" ca="1">IFERROR(INDEX(_xlfn.ANCHORARRAY($AA$11),ROW()-10,9),"")</f>
        <v/>
      </c>
      <c r="J122" s="22" t="str">
        <f t="shared" ca="1" si="8"/>
        <v/>
      </c>
      <c r="K122" s="22" t="str">
        <f t="shared" ca="1" si="9"/>
        <v/>
      </c>
      <c r="L122" s="22" t="str" cm="1">
        <f t="array" aca="1" ref="L122" ca="1">_xlfn.LET(_xlpm.link,IFERROR(INDEX(_xlfn.ANCHORARRAY($AA$11),ROW()-10,12),""),IF(_xlpm.link="","",HYPERLINK(_xlpm.link,"Bluecore/Attentive")))</f>
        <v/>
      </c>
      <c r="M122" s="9"/>
      <c r="N122" s="9"/>
      <c r="O122" s="9"/>
      <c r="P122" s="9"/>
      <c r="Q122" s="9"/>
      <c r="R122" s="9"/>
      <c r="S122" s="8"/>
      <c r="T122" s="8"/>
      <c r="U122" s="8"/>
      <c r="V122" s="8"/>
      <c r="W122" s="8"/>
      <c r="X122" s="8"/>
      <c r="Y122" s="8"/>
      <c r="Z122" s="8"/>
      <c r="AA122"/>
      <c r="AB122"/>
      <c r="AC122"/>
      <c r="AD122"/>
      <c r="AE122"/>
      <c r="AF122"/>
      <c r="AG122"/>
      <c r="AH122"/>
      <c r="AI122"/>
      <c r="AJ122"/>
      <c r="AK122"/>
      <c r="AL122"/>
    </row>
    <row r="123" spans="1:38">
      <c r="A123" s="64" t="str" cm="1">
        <f t="array" aca="1" ref="A123" ca="1">IFERROR(INDEX(_xlfn.ANCHORARRAY($AA$11),ROW()-10,1),"")</f>
        <v/>
      </c>
      <c r="B123" s="31" t="str" cm="1">
        <f t="array" aca="1" ref="B123" ca="1">IFERROR(INDEX(_xlfn.ANCHORARRAY($AA$11),ROW()-10,2),"")</f>
        <v/>
      </c>
      <c r="C123" s="22" t="str" cm="1">
        <f t="array" aca="1" ref="C123" ca="1">IFERROR(INDEX(_xlfn.ANCHORARRAY($AA$11),ROW()-10,3),"")</f>
        <v/>
      </c>
      <c r="D123" s="22" t="str" cm="1">
        <f t="array" aca="1" ref="D123" ca="1">IFERROR(INDEX(_xlfn.ANCHORARRAY($AA$11),ROW()-10,4),"")</f>
        <v/>
      </c>
      <c r="E123" s="22" t="str" cm="1">
        <f t="array" aca="1" ref="E123" ca="1">IFERROR(INDEX(_xlfn.ANCHORARRAY($AA$11),ROW()-10,5),"")</f>
        <v/>
      </c>
      <c r="F123" s="22" t="str" cm="1">
        <f t="array" aca="1" ref="F123" ca="1">IFERROR(INDEX(_xlfn.ANCHORARRAY($AA$11),ROW()-10,6),"")</f>
        <v/>
      </c>
      <c r="G123" s="22" t="str" cm="1">
        <f t="array" aca="1" ref="G123" ca="1">IFERROR(INDEX(_xlfn.ANCHORARRAY($AA$11),ROW()-10,7),"")</f>
        <v/>
      </c>
      <c r="H123" s="22" t="str" cm="1">
        <f t="array" aca="1" ref="H123" ca="1">IFERROR(INDEX(_xlfn.ANCHORARRAY($AA$11),ROW()-10,8),"")</f>
        <v/>
      </c>
      <c r="I123" s="22" t="str" cm="1">
        <f t="array" aca="1" ref="I123" ca="1">IFERROR(INDEX(_xlfn.ANCHORARRAY($AA$11),ROW()-10,9),"")</f>
        <v/>
      </c>
      <c r="J123" s="22" t="str">
        <f t="shared" ca="1" si="8"/>
        <v/>
      </c>
      <c r="K123" s="22" t="str">
        <f t="shared" ca="1" si="9"/>
        <v/>
      </c>
      <c r="L123" s="22" t="str" cm="1">
        <f t="array" aca="1" ref="L123" ca="1">_xlfn.LET(_xlpm.link,IFERROR(INDEX(_xlfn.ANCHORARRAY($AA$11),ROW()-10,12),""),IF(_xlpm.link="","",HYPERLINK(_xlpm.link,"Bluecore/Attentive")))</f>
        <v/>
      </c>
      <c r="M123" s="9"/>
      <c r="N123" s="9"/>
      <c r="O123" s="9"/>
      <c r="P123" s="9"/>
      <c r="Q123" s="9"/>
      <c r="R123" s="9"/>
      <c r="S123" s="8"/>
      <c r="T123" s="8"/>
      <c r="U123" s="8"/>
      <c r="V123" s="8"/>
      <c r="W123" s="8"/>
      <c r="X123" s="8"/>
      <c r="Y123" s="8"/>
      <c r="Z123" s="8"/>
      <c r="AA123"/>
      <c r="AB123"/>
      <c r="AC123"/>
      <c r="AD123"/>
      <c r="AE123"/>
      <c r="AF123"/>
      <c r="AG123"/>
      <c r="AH123"/>
      <c r="AI123"/>
      <c r="AJ123"/>
      <c r="AK123"/>
      <c r="AL123"/>
    </row>
    <row r="124" spans="1:38">
      <c r="A124" s="64" t="str" cm="1">
        <f t="array" aca="1" ref="A124" ca="1">IFERROR(INDEX(_xlfn.ANCHORARRAY($AA$11),ROW()-10,1),"")</f>
        <v/>
      </c>
      <c r="B124" s="31" t="str" cm="1">
        <f t="array" aca="1" ref="B124" ca="1">IFERROR(INDEX(_xlfn.ANCHORARRAY($AA$11),ROW()-10,2),"")</f>
        <v/>
      </c>
      <c r="C124" s="22" t="str" cm="1">
        <f t="array" aca="1" ref="C124" ca="1">IFERROR(INDEX(_xlfn.ANCHORARRAY($AA$11),ROW()-10,3),"")</f>
        <v/>
      </c>
      <c r="D124" s="22" t="str" cm="1">
        <f t="array" aca="1" ref="D124" ca="1">IFERROR(INDEX(_xlfn.ANCHORARRAY($AA$11),ROW()-10,4),"")</f>
        <v/>
      </c>
      <c r="E124" s="22" t="str" cm="1">
        <f t="array" aca="1" ref="E124" ca="1">IFERROR(INDEX(_xlfn.ANCHORARRAY($AA$11),ROW()-10,5),"")</f>
        <v/>
      </c>
      <c r="F124" s="22" t="str" cm="1">
        <f t="array" aca="1" ref="F124" ca="1">IFERROR(INDEX(_xlfn.ANCHORARRAY($AA$11),ROW()-10,6),"")</f>
        <v/>
      </c>
      <c r="G124" s="22" t="str" cm="1">
        <f t="array" aca="1" ref="G124" ca="1">IFERROR(INDEX(_xlfn.ANCHORARRAY($AA$11),ROW()-10,7),"")</f>
        <v/>
      </c>
      <c r="H124" s="22" t="str" cm="1">
        <f t="array" aca="1" ref="H124" ca="1">IFERROR(INDEX(_xlfn.ANCHORARRAY($AA$11),ROW()-10,8),"")</f>
        <v/>
      </c>
      <c r="I124" s="22" t="str" cm="1">
        <f t="array" aca="1" ref="I124" ca="1">IFERROR(INDEX(_xlfn.ANCHORARRAY($AA$11),ROW()-10,9),"")</f>
        <v/>
      </c>
      <c r="J124" s="22" t="str">
        <f t="shared" ca="1" si="8"/>
        <v/>
      </c>
      <c r="K124" s="22" t="str">
        <f t="shared" ca="1" si="9"/>
        <v/>
      </c>
      <c r="L124" s="22" t="str" cm="1">
        <f t="array" aca="1" ref="L124" ca="1">_xlfn.LET(_xlpm.link,IFERROR(INDEX(_xlfn.ANCHORARRAY($AA$11),ROW()-10,12),""),IF(_xlpm.link="","",HYPERLINK(_xlpm.link,"Bluecore/Attentive")))</f>
        <v/>
      </c>
      <c r="M124" s="9"/>
      <c r="N124" s="9"/>
      <c r="O124" s="9"/>
      <c r="P124" s="9"/>
      <c r="Q124" s="9"/>
      <c r="R124" s="9"/>
      <c r="S124" s="8"/>
      <c r="T124" s="8"/>
      <c r="U124" s="8"/>
      <c r="V124" s="8"/>
      <c r="W124" s="8"/>
      <c r="X124" s="8"/>
      <c r="Y124" s="8"/>
      <c r="Z124" s="8"/>
      <c r="AA124"/>
      <c r="AB124"/>
      <c r="AC124"/>
      <c r="AD124"/>
      <c r="AE124"/>
      <c r="AF124"/>
      <c r="AG124"/>
      <c r="AH124"/>
      <c r="AI124"/>
      <c r="AJ124"/>
      <c r="AK124"/>
      <c r="AL124"/>
    </row>
    <row r="125" spans="1:38">
      <c r="A125" s="64" t="str" cm="1">
        <f t="array" aca="1" ref="A125" ca="1">IFERROR(INDEX(_xlfn.ANCHORARRAY($AA$11),ROW()-10,1),"")</f>
        <v/>
      </c>
      <c r="B125" s="31" t="str" cm="1">
        <f t="array" aca="1" ref="B125" ca="1">IFERROR(INDEX(_xlfn.ANCHORARRAY($AA$11),ROW()-10,2),"")</f>
        <v/>
      </c>
      <c r="C125" s="22" t="str" cm="1">
        <f t="array" aca="1" ref="C125" ca="1">IFERROR(INDEX(_xlfn.ANCHORARRAY($AA$11),ROW()-10,3),"")</f>
        <v/>
      </c>
      <c r="D125" s="22" t="str" cm="1">
        <f t="array" aca="1" ref="D125" ca="1">IFERROR(INDEX(_xlfn.ANCHORARRAY($AA$11),ROW()-10,4),"")</f>
        <v/>
      </c>
      <c r="E125" s="22" t="str" cm="1">
        <f t="array" aca="1" ref="E125" ca="1">IFERROR(INDEX(_xlfn.ANCHORARRAY($AA$11),ROW()-10,5),"")</f>
        <v/>
      </c>
      <c r="F125" s="22" t="str" cm="1">
        <f t="array" aca="1" ref="F125" ca="1">IFERROR(INDEX(_xlfn.ANCHORARRAY($AA$11),ROW()-10,6),"")</f>
        <v/>
      </c>
      <c r="G125" s="22" t="str" cm="1">
        <f t="array" aca="1" ref="G125" ca="1">IFERROR(INDEX(_xlfn.ANCHORARRAY($AA$11),ROW()-10,7),"")</f>
        <v/>
      </c>
      <c r="H125" s="22" t="str" cm="1">
        <f t="array" aca="1" ref="H125" ca="1">IFERROR(INDEX(_xlfn.ANCHORARRAY($AA$11),ROW()-10,8),"")</f>
        <v/>
      </c>
      <c r="I125" s="22" t="str" cm="1">
        <f t="array" aca="1" ref="I125" ca="1">IFERROR(INDEX(_xlfn.ANCHORARRAY($AA$11),ROW()-10,9),"")</f>
        <v/>
      </c>
      <c r="J125" s="22" t="str">
        <f t="shared" ca="1" si="8"/>
        <v/>
      </c>
      <c r="K125" s="22" t="str">
        <f t="shared" ca="1" si="9"/>
        <v/>
      </c>
      <c r="L125" s="22" t="str" cm="1">
        <f t="array" aca="1" ref="L125" ca="1">_xlfn.LET(_xlpm.link,IFERROR(INDEX(_xlfn.ANCHORARRAY($AA$11),ROW()-10,12),""),IF(_xlpm.link="","",HYPERLINK(_xlpm.link,"Bluecore/Attentive")))</f>
        <v/>
      </c>
      <c r="M125" s="9"/>
      <c r="N125" s="9"/>
      <c r="O125" s="9"/>
      <c r="P125" s="9"/>
      <c r="Q125" s="9"/>
      <c r="R125" s="9"/>
      <c r="S125" s="8"/>
      <c r="T125" s="8"/>
      <c r="U125" s="8"/>
      <c r="V125" s="8"/>
      <c r="W125" s="8"/>
      <c r="X125" s="8"/>
      <c r="Y125" s="8"/>
      <c r="Z125" s="8"/>
      <c r="AA125"/>
      <c r="AB125"/>
      <c r="AC125"/>
      <c r="AD125"/>
      <c r="AE125"/>
      <c r="AF125"/>
      <c r="AG125"/>
      <c r="AH125"/>
      <c r="AI125"/>
      <c r="AJ125"/>
      <c r="AK125"/>
      <c r="AL125"/>
    </row>
    <row r="126" spans="1:38">
      <c r="A126" s="64" t="str" cm="1">
        <f t="array" aca="1" ref="A126" ca="1">IFERROR(INDEX(_xlfn.ANCHORARRAY($AA$11),ROW()-10,1),"")</f>
        <v/>
      </c>
      <c r="B126" s="31" t="str" cm="1">
        <f t="array" aca="1" ref="B126" ca="1">IFERROR(INDEX(_xlfn.ANCHORARRAY($AA$11),ROW()-10,2),"")</f>
        <v/>
      </c>
      <c r="C126" s="22" t="str" cm="1">
        <f t="array" aca="1" ref="C126" ca="1">IFERROR(INDEX(_xlfn.ANCHORARRAY($AA$11),ROW()-10,3),"")</f>
        <v/>
      </c>
      <c r="D126" s="22" t="str" cm="1">
        <f t="array" aca="1" ref="D126" ca="1">IFERROR(INDEX(_xlfn.ANCHORARRAY($AA$11),ROW()-10,4),"")</f>
        <v/>
      </c>
      <c r="E126" s="22" t="str" cm="1">
        <f t="array" aca="1" ref="E126" ca="1">IFERROR(INDEX(_xlfn.ANCHORARRAY($AA$11),ROW()-10,5),"")</f>
        <v/>
      </c>
      <c r="F126" s="22" t="str" cm="1">
        <f t="array" aca="1" ref="F126" ca="1">IFERROR(INDEX(_xlfn.ANCHORARRAY($AA$11),ROW()-10,6),"")</f>
        <v/>
      </c>
      <c r="G126" s="22" t="str" cm="1">
        <f t="array" aca="1" ref="G126" ca="1">IFERROR(INDEX(_xlfn.ANCHORARRAY($AA$11),ROW()-10,7),"")</f>
        <v/>
      </c>
      <c r="H126" s="22" t="str" cm="1">
        <f t="array" aca="1" ref="H126" ca="1">IFERROR(INDEX(_xlfn.ANCHORARRAY($AA$11),ROW()-10,8),"")</f>
        <v/>
      </c>
      <c r="I126" s="22" t="str" cm="1">
        <f t="array" aca="1" ref="I126" ca="1">IFERROR(INDEX(_xlfn.ANCHORARRAY($AA$11),ROW()-10,9),"")</f>
        <v/>
      </c>
      <c r="J126" s="22" t="str">
        <f t="shared" ca="1" si="8"/>
        <v/>
      </c>
      <c r="K126" s="22" t="str">
        <f t="shared" ca="1" si="9"/>
        <v/>
      </c>
      <c r="L126" s="22" t="str" cm="1">
        <f t="array" aca="1" ref="L126" ca="1">_xlfn.LET(_xlpm.link,IFERROR(INDEX(_xlfn.ANCHORARRAY($AA$11),ROW()-10,12),""),IF(_xlpm.link="","",HYPERLINK(_xlpm.link,"Bluecore/Attentive")))</f>
        <v/>
      </c>
      <c r="M126" s="9"/>
      <c r="N126" s="9"/>
      <c r="O126" s="9"/>
      <c r="P126" s="9"/>
      <c r="Q126" s="9"/>
      <c r="R126" s="9"/>
      <c r="S126" s="8"/>
      <c r="T126" s="8"/>
      <c r="U126" s="8"/>
      <c r="V126" s="8"/>
      <c r="W126" s="8"/>
      <c r="X126" s="8"/>
      <c r="Y126" s="8"/>
      <c r="Z126" s="8"/>
      <c r="AA126"/>
      <c r="AB126"/>
      <c r="AC126"/>
      <c r="AD126"/>
      <c r="AE126"/>
      <c r="AF126"/>
      <c r="AG126"/>
      <c r="AH126"/>
      <c r="AI126"/>
      <c r="AJ126"/>
      <c r="AK126"/>
      <c r="AL126"/>
    </row>
    <row r="127" spans="1:38">
      <c r="A127" s="64" t="str" cm="1">
        <f t="array" aca="1" ref="A127" ca="1">IFERROR(INDEX(_xlfn.ANCHORARRAY($AA$11),ROW()-10,1),"")</f>
        <v/>
      </c>
      <c r="B127" s="31" t="str" cm="1">
        <f t="array" aca="1" ref="B127" ca="1">IFERROR(INDEX(_xlfn.ANCHORARRAY($AA$11),ROW()-10,2),"")</f>
        <v/>
      </c>
      <c r="C127" s="22" t="str" cm="1">
        <f t="array" aca="1" ref="C127" ca="1">IFERROR(INDEX(_xlfn.ANCHORARRAY($AA$11),ROW()-10,3),"")</f>
        <v/>
      </c>
      <c r="D127" s="22" t="str" cm="1">
        <f t="array" aca="1" ref="D127" ca="1">IFERROR(INDEX(_xlfn.ANCHORARRAY($AA$11),ROW()-10,4),"")</f>
        <v/>
      </c>
      <c r="E127" s="22" t="str" cm="1">
        <f t="array" aca="1" ref="E127" ca="1">IFERROR(INDEX(_xlfn.ANCHORARRAY($AA$11),ROW()-10,5),"")</f>
        <v/>
      </c>
      <c r="F127" s="22" t="str" cm="1">
        <f t="array" aca="1" ref="F127" ca="1">IFERROR(INDEX(_xlfn.ANCHORARRAY($AA$11),ROW()-10,6),"")</f>
        <v/>
      </c>
      <c r="G127" s="22" t="str" cm="1">
        <f t="array" aca="1" ref="G127" ca="1">IFERROR(INDEX(_xlfn.ANCHORARRAY($AA$11),ROW()-10,7),"")</f>
        <v/>
      </c>
      <c r="H127" s="22" t="str" cm="1">
        <f t="array" aca="1" ref="H127" ca="1">IFERROR(INDEX(_xlfn.ANCHORARRAY($AA$11),ROW()-10,8),"")</f>
        <v/>
      </c>
      <c r="I127" s="22" t="str" cm="1">
        <f t="array" aca="1" ref="I127" ca="1">IFERROR(INDEX(_xlfn.ANCHORARRAY($AA$11),ROW()-10,9),"")</f>
        <v/>
      </c>
      <c r="J127" s="22" t="str">
        <f t="shared" ca="1" si="8"/>
        <v/>
      </c>
      <c r="K127" s="22" t="str">
        <f t="shared" ca="1" si="9"/>
        <v/>
      </c>
      <c r="L127" s="22" t="str" cm="1">
        <f t="array" aca="1" ref="L127" ca="1">_xlfn.LET(_xlpm.link,IFERROR(INDEX(_xlfn.ANCHORARRAY($AA$11),ROW()-10,12),""),IF(_xlpm.link="","",HYPERLINK(_xlpm.link,"Bluecore/Attentive")))</f>
        <v/>
      </c>
      <c r="M127" s="9"/>
      <c r="N127" s="9"/>
      <c r="O127" s="9"/>
      <c r="P127" s="9"/>
      <c r="Q127" s="9"/>
      <c r="R127" s="9"/>
      <c r="S127" s="8"/>
      <c r="T127" s="8"/>
      <c r="U127" s="8"/>
      <c r="V127" s="8"/>
      <c r="W127" s="8"/>
      <c r="X127" s="8"/>
      <c r="Y127" s="8"/>
      <c r="Z127" s="8"/>
      <c r="AA127"/>
      <c r="AB127"/>
      <c r="AC127"/>
      <c r="AD127"/>
      <c r="AE127"/>
      <c r="AF127"/>
      <c r="AG127"/>
      <c r="AH127"/>
      <c r="AI127"/>
      <c r="AJ127"/>
      <c r="AK127"/>
      <c r="AL127"/>
    </row>
    <row r="128" spans="1:38">
      <c r="A128" s="64" t="str" cm="1">
        <f t="array" aca="1" ref="A128" ca="1">IFERROR(INDEX(_xlfn.ANCHORARRAY($AA$11),ROW()-10,1),"")</f>
        <v/>
      </c>
      <c r="B128" s="31" t="str" cm="1">
        <f t="array" aca="1" ref="B128" ca="1">IFERROR(INDEX(_xlfn.ANCHORARRAY($AA$11),ROW()-10,2),"")</f>
        <v/>
      </c>
      <c r="C128" s="22" t="str" cm="1">
        <f t="array" aca="1" ref="C128" ca="1">IFERROR(INDEX(_xlfn.ANCHORARRAY($AA$11),ROW()-10,3),"")</f>
        <v/>
      </c>
      <c r="D128" s="22" t="str" cm="1">
        <f t="array" aca="1" ref="D128" ca="1">IFERROR(INDEX(_xlfn.ANCHORARRAY($AA$11),ROW()-10,4),"")</f>
        <v/>
      </c>
      <c r="E128" s="22" t="str" cm="1">
        <f t="array" aca="1" ref="E128" ca="1">IFERROR(INDEX(_xlfn.ANCHORARRAY($AA$11),ROW()-10,5),"")</f>
        <v/>
      </c>
      <c r="F128" s="22" t="str" cm="1">
        <f t="array" aca="1" ref="F128" ca="1">IFERROR(INDEX(_xlfn.ANCHORARRAY($AA$11),ROW()-10,6),"")</f>
        <v/>
      </c>
      <c r="G128" s="22" t="str" cm="1">
        <f t="array" aca="1" ref="G128" ca="1">IFERROR(INDEX(_xlfn.ANCHORARRAY($AA$11),ROW()-10,7),"")</f>
        <v/>
      </c>
      <c r="H128" s="22" t="str" cm="1">
        <f t="array" aca="1" ref="H128" ca="1">IFERROR(INDEX(_xlfn.ANCHORARRAY($AA$11),ROW()-10,8),"")</f>
        <v/>
      </c>
      <c r="I128" s="22" t="str" cm="1">
        <f t="array" aca="1" ref="I128" ca="1">IFERROR(INDEX(_xlfn.ANCHORARRAY($AA$11),ROW()-10,9),"")</f>
        <v/>
      </c>
      <c r="J128" s="22" t="str">
        <f t="shared" ca="1" si="8"/>
        <v/>
      </c>
      <c r="K128" s="22" t="str">
        <f t="shared" ca="1" si="9"/>
        <v/>
      </c>
      <c r="L128" s="22" t="str" cm="1">
        <f t="array" aca="1" ref="L128" ca="1">_xlfn.LET(_xlpm.link,IFERROR(INDEX(_xlfn.ANCHORARRAY($AA$11),ROW()-10,12),""),IF(_xlpm.link="","",HYPERLINK(_xlpm.link,"Bluecore/Attentive")))</f>
        <v/>
      </c>
      <c r="M128" s="9"/>
      <c r="N128" s="9"/>
      <c r="O128" s="9"/>
      <c r="P128" s="9"/>
      <c r="Q128" s="9"/>
      <c r="R128" s="9"/>
      <c r="S128" s="8"/>
      <c r="T128" s="8"/>
      <c r="U128" s="8"/>
      <c r="V128" s="8"/>
      <c r="W128" s="8"/>
      <c r="X128" s="8"/>
      <c r="Y128" s="8"/>
      <c r="Z128" s="8"/>
      <c r="AA128"/>
      <c r="AB128"/>
      <c r="AC128"/>
      <c r="AD128"/>
      <c r="AE128"/>
      <c r="AF128"/>
      <c r="AG128"/>
      <c r="AH128"/>
      <c r="AI128"/>
      <c r="AJ128"/>
      <c r="AK128"/>
      <c r="AL128"/>
    </row>
    <row r="129" spans="1:38">
      <c r="A129" s="64" t="str" cm="1">
        <f t="array" aca="1" ref="A129" ca="1">IFERROR(INDEX(_xlfn.ANCHORARRAY($AA$11),ROW()-10,1),"")</f>
        <v/>
      </c>
      <c r="B129" s="31" t="str" cm="1">
        <f t="array" aca="1" ref="B129" ca="1">IFERROR(INDEX(_xlfn.ANCHORARRAY($AA$11),ROW()-10,2),"")</f>
        <v/>
      </c>
      <c r="C129" s="22" t="str" cm="1">
        <f t="array" aca="1" ref="C129" ca="1">IFERROR(INDEX(_xlfn.ANCHORARRAY($AA$11),ROW()-10,3),"")</f>
        <v/>
      </c>
      <c r="D129" s="22" t="str" cm="1">
        <f t="array" aca="1" ref="D129" ca="1">IFERROR(INDEX(_xlfn.ANCHORARRAY($AA$11),ROW()-10,4),"")</f>
        <v/>
      </c>
      <c r="E129" s="22" t="str" cm="1">
        <f t="array" aca="1" ref="E129" ca="1">IFERROR(INDEX(_xlfn.ANCHORARRAY($AA$11),ROW()-10,5),"")</f>
        <v/>
      </c>
      <c r="F129" s="22" t="str" cm="1">
        <f t="array" aca="1" ref="F129" ca="1">IFERROR(INDEX(_xlfn.ANCHORARRAY($AA$11),ROW()-10,6),"")</f>
        <v/>
      </c>
      <c r="G129" s="22" t="str" cm="1">
        <f t="array" aca="1" ref="G129" ca="1">IFERROR(INDEX(_xlfn.ANCHORARRAY($AA$11),ROW()-10,7),"")</f>
        <v/>
      </c>
      <c r="H129" s="22" t="str" cm="1">
        <f t="array" aca="1" ref="H129" ca="1">IFERROR(INDEX(_xlfn.ANCHORARRAY($AA$11),ROW()-10,8),"")</f>
        <v/>
      </c>
      <c r="I129" s="22" t="str" cm="1">
        <f t="array" aca="1" ref="I129" ca="1">IFERROR(INDEX(_xlfn.ANCHORARRAY($AA$11),ROW()-10,9),"")</f>
        <v/>
      </c>
      <c r="J129" s="22" t="str">
        <f t="shared" ca="1" si="8"/>
        <v/>
      </c>
      <c r="K129" s="22" t="str">
        <f t="shared" ca="1" si="9"/>
        <v/>
      </c>
      <c r="L129" s="22" t="str" cm="1">
        <f t="array" aca="1" ref="L129" ca="1">_xlfn.LET(_xlpm.link,IFERROR(INDEX(_xlfn.ANCHORARRAY($AA$11),ROW()-10,12),""),IF(_xlpm.link="","",HYPERLINK(_xlpm.link,"Bluecore/Attentive")))</f>
        <v/>
      </c>
      <c r="M129" s="9"/>
      <c r="N129" s="9"/>
      <c r="O129" s="9"/>
      <c r="P129" s="9"/>
      <c r="Q129" s="9"/>
      <c r="R129" s="9"/>
      <c r="S129" s="8"/>
      <c r="T129" s="8"/>
      <c r="U129" s="8"/>
      <c r="V129" s="8"/>
      <c r="W129" s="8"/>
      <c r="X129" s="8"/>
      <c r="Y129" s="8"/>
      <c r="Z129" s="8"/>
      <c r="AA129"/>
      <c r="AB129"/>
      <c r="AC129"/>
      <c r="AD129"/>
      <c r="AE129"/>
      <c r="AF129"/>
      <c r="AG129"/>
      <c r="AH129"/>
      <c r="AI129"/>
      <c r="AJ129"/>
      <c r="AK129"/>
      <c r="AL129"/>
    </row>
    <row r="130" spans="1:38">
      <c r="A130" s="64" t="str" cm="1">
        <f t="array" aca="1" ref="A130" ca="1">IFERROR(INDEX(_xlfn.ANCHORARRAY($AA$11),ROW()-10,1),"")</f>
        <v/>
      </c>
      <c r="B130" s="31" t="str" cm="1">
        <f t="array" aca="1" ref="B130" ca="1">IFERROR(INDEX(_xlfn.ANCHORARRAY($AA$11),ROW()-10,2),"")</f>
        <v/>
      </c>
      <c r="C130" s="22" t="str" cm="1">
        <f t="array" aca="1" ref="C130" ca="1">IFERROR(INDEX(_xlfn.ANCHORARRAY($AA$11),ROW()-10,3),"")</f>
        <v/>
      </c>
      <c r="D130" s="22" t="str" cm="1">
        <f t="array" aca="1" ref="D130" ca="1">IFERROR(INDEX(_xlfn.ANCHORARRAY($AA$11),ROW()-10,4),"")</f>
        <v/>
      </c>
      <c r="E130" s="22" t="str" cm="1">
        <f t="array" aca="1" ref="E130" ca="1">IFERROR(INDEX(_xlfn.ANCHORARRAY($AA$11),ROW()-10,5),"")</f>
        <v/>
      </c>
      <c r="F130" s="22" t="str" cm="1">
        <f t="array" aca="1" ref="F130" ca="1">IFERROR(INDEX(_xlfn.ANCHORARRAY($AA$11),ROW()-10,6),"")</f>
        <v/>
      </c>
      <c r="G130" s="22" t="str" cm="1">
        <f t="array" aca="1" ref="G130" ca="1">IFERROR(INDEX(_xlfn.ANCHORARRAY($AA$11),ROW()-10,7),"")</f>
        <v/>
      </c>
      <c r="H130" s="22" t="str" cm="1">
        <f t="array" aca="1" ref="H130" ca="1">IFERROR(INDEX(_xlfn.ANCHORARRAY($AA$11),ROW()-10,8),"")</f>
        <v/>
      </c>
      <c r="I130" s="22" t="str" cm="1">
        <f t="array" aca="1" ref="I130" ca="1">IFERROR(INDEX(_xlfn.ANCHORARRAY($AA$11),ROW()-10,9),"")</f>
        <v/>
      </c>
      <c r="J130" s="22" t="str">
        <f t="shared" ca="1" si="8"/>
        <v/>
      </c>
      <c r="K130" s="22" t="str">
        <f t="shared" ca="1" si="9"/>
        <v/>
      </c>
      <c r="L130" s="22" t="str" cm="1">
        <f t="array" aca="1" ref="L130" ca="1">_xlfn.LET(_xlpm.link,IFERROR(INDEX(_xlfn.ANCHORARRAY($AA$11),ROW()-10,12),""),IF(_xlpm.link="","",HYPERLINK(_xlpm.link,"Bluecore/Attentive")))</f>
        <v/>
      </c>
      <c r="M130" s="9"/>
      <c r="N130" s="9"/>
      <c r="O130" s="9"/>
      <c r="P130" s="9"/>
      <c r="Q130" s="9"/>
      <c r="R130" s="9"/>
      <c r="S130" s="8"/>
      <c r="T130" s="8"/>
      <c r="U130" s="8"/>
      <c r="V130" s="8"/>
      <c r="W130" s="8"/>
      <c r="X130" s="8"/>
      <c r="Y130" s="8"/>
      <c r="Z130" s="8"/>
      <c r="AA130"/>
      <c r="AB130"/>
      <c r="AC130"/>
      <c r="AD130"/>
      <c r="AE130"/>
      <c r="AF130"/>
      <c r="AG130"/>
      <c r="AH130"/>
      <c r="AI130"/>
      <c r="AJ130"/>
      <c r="AK130"/>
      <c r="AL130"/>
    </row>
    <row r="131" spans="1:38">
      <c r="A131" s="64" t="str" cm="1">
        <f t="array" aca="1" ref="A131" ca="1">IFERROR(INDEX(_xlfn.ANCHORARRAY($AA$11),ROW()-10,1),"")</f>
        <v/>
      </c>
      <c r="B131" s="31" t="str" cm="1">
        <f t="array" aca="1" ref="B131" ca="1">IFERROR(INDEX(_xlfn.ANCHORARRAY($AA$11),ROW()-10,2),"")</f>
        <v/>
      </c>
      <c r="C131" s="22" t="str" cm="1">
        <f t="array" aca="1" ref="C131" ca="1">IFERROR(INDEX(_xlfn.ANCHORARRAY($AA$11),ROW()-10,3),"")</f>
        <v/>
      </c>
      <c r="D131" s="22" t="str" cm="1">
        <f t="array" aca="1" ref="D131" ca="1">IFERROR(INDEX(_xlfn.ANCHORARRAY($AA$11),ROW()-10,4),"")</f>
        <v/>
      </c>
      <c r="E131" s="22" t="str" cm="1">
        <f t="array" aca="1" ref="E131" ca="1">IFERROR(INDEX(_xlfn.ANCHORARRAY($AA$11),ROW()-10,5),"")</f>
        <v/>
      </c>
      <c r="F131" s="22" t="str" cm="1">
        <f t="array" aca="1" ref="F131" ca="1">IFERROR(INDEX(_xlfn.ANCHORARRAY($AA$11),ROW()-10,6),"")</f>
        <v/>
      </c>
      <c r="G131" s="22" t="str" cm="1">
        <f t="array" aca="1" ref="G131" ca="1">IFERROR(INDEX(_xlfn.ANCHORARRAY($AA$11),ROW()-10,7),"")</f>
        <v/>
      </c>
      <c r="H131" s="22" t="str" cm="1">
        <f t="array" aca="1" ref="H131" ca="1">IFERROR(INDEX(_xlfn.ANCHORARRAY($AA$11),ROW()-10,8),"")</f>
        <v/>
      </c>
      <c r="I131" s="22" t="str" cm="1">
        <f t="array" aca="1" ref="I131" ca="1">IFERROR(INDEX(_xlfn.ANCHORARRAY($AA$11),ROW()-10,9),"")</f>
        <v/>
      </c>
      <c r="J131" s="22" t="str">
        <f t="shared" ca="1" si="8"/>
        <v/>
      </c>
      <c r="K131" s="22" t="str">
        <f t="shared" ca="1" si="9"/>
        <v/>
      </c>
      <c r="L131" s="22" t="str" cm="1">
        <f t="array" aca="1" ref="L131" ca="1">_xlfn.LET(_xlpm.link,IFERROR(INDEX(_xlfn.ANCHORARRAY($AA$11),ROW()-10,12),""),IF(_xlpm.link="","",HYPERLINK(_xlpm.link,"Bluecore/Attentive")))</f>
        <v/>
      </c>
      <c r="M131" s="9"/>
      <c r="N131" s="9"/>
      <c r="O131" s="9"/>
      <c r="P131" s="9"/>
      <c r="Q131" s="9"/>
      <c r="R131" s="9"/>
      <c r="S131" s="8"/>
      <c r="T131" s="8"/>
      <c r="U131" s="8"/>
      <c r="V131" s="8"/>
      <c r="W131" s="8"/>
      <c r="X131" s="8"/>
      <c r="Y131" s="8"/>
      <c r="Z131" s="8"/>
      <c r="AA131"/>
      <c r="AB131"/>
      <c r="AC131"/>
      <c r="AD131"/>
      <c r="AE131"/>
      <c r="AF131"/>
      <c r="AG131"/>
      <c r="AH131"/>
      <c r="AI131"/>
      <c r="AJ131"/>
      <c r="AK131"/>
      <c r="AL131"/>
    </row>
    <row r="132" spans="1:38">
      <c r="A132" s="64" t="str" cm="1">
        <f t="array" aca="1" ref="A132" ca="1">IFERROR(INDEX(_xlfn.ANCHORARRAY($AA$11),ROW()-10,1),"")</f>
        <v/>
      </c>
      <c r="B132" s="31" t="str" cm="1">
        <f t="array" aca="1" ref="B132" ca="1">IFERROR(INDEX(_xlfn.ANCHORARRAY($AA$11),ROW()-10,2),"")</f>
        <v/>
      </c>
      <c r="C132" s="22" t="str" cm="1">
        <f t="array" aca="1" ref="C132" ca="1">IFERROR(INDEX(_xlfn.ANCHORARRAY($AA$11),ROW()-10,3),"")</f>
        <v/>
      </c>
      <c r="D132" s="22" t="str" cm="1">
        <f t="array" aca="1" ref="D132" ca="1">IFERROR(INDEX(_xlfn.ANCHORARRAY($AA$11),ROW()-10,4),"")</f>
        <v/>
      </c>
      <c r="E132" s="22" t="str" cm="1">
        <f t="array" aca="1" ref="E132" ca="1">IFERROR(INDEX(_xlfn.ANCHORARRAY($AA$11),ROW()-10,5),"")</f>
        <v/>
      </c>
      <c r="F132" s="22" t="str" cm="1">
        <f t="array" aca="1" ref="F132" ca="1">IFERROR(INDEX(_xlfn.ANCHORARRAY($AA$11),ROW()-10,6),"")</f>
        <v/>
      </c>
      <c r="G132" s="22" t="str" cm="1">
        <f t="array" aca="1" ref="G132" ca="1">IFERROR(INDEX(_xlfn.ANCHORARRAY($AA$11),ROW()-10,7),"")</f>
        <v/>
      </c>
      <c r="H132" s="22" t="str" cm="1">
        <f t="array" aca="1" ref="H132" ca="1">IFERROR(INDEX(_xlfn.ANCHORARRAY($AA$11),ROW()-10,8),"")</f>
        <v/>
      </c>
      <c r="I132" s="22" t="str" cm="1">
        <f t="array" aca="1" ref="I132" ca="1">IFERROR(INDEX(_xlfn.ANCHORARRAY($AA$11),ROW()-10,9),"")</f>
        <v/>
      </c>
      <c r="J132" s="22" t="str">
        <f t="shared" ca="1" si="8"/>
        <v/>
      </c>
      <c r="K132" s="22" t="str">
        <f t="shared" ca="1" si="9"/>
        <v/>
      </c>
      <c r="L132" s="22" t="str" cm="1">
        <f t="array" aca="1" ref="L132" ca="1">_xlfn.LET(_xlpm.link,IFERROR(INDEX(_xlfn.ANCHORARRAY($AA$11),ROW()-10,12),""),IF(_xlpm.link="","",HYPERLINK(_xlpm.link,"Bluecore/Attentive")))</f>
        <v/>
      </c>
      <c r="M132" s="9"/>
      <c r="N132" s="9"/>
      <c r="O132" s="9"/>
      <c r="P132" s="9"/>
      <c r="Q132" s="9"/>
      <c r="R132" s="9"/>
      <c r="S132" s="8"/>
      <c r="T132" s="8"/>
      <c r="U132" s="8"/>
      <c r="V132" s="8"/>
      <c r="W132" s="8"/>
      <c r="X132" s="8"/>
      <c r="Y132" s="8"/>
      <c r="Z132" s="8"/>
      <c r="AA132"/>
      <c r="AB132"/>
      <c r="AC132"/>
      <c r="AD132"/>
      <c r="AE132"/>
      <c r="AF132"/>
      <c r="AG132"/>
      <c r="AH132"/>
      <c r="AI132"/>
      <c r="AJ132"/>
      <c r="AK132"/>
      <c r="AL132"/>
    </row>
    <row r="133" spans="1:38">
      <c r="A133" s="64" t="str" cm="1">
        <f t="array" aca="1" ref="A133" ca="1">IFERROR(INDEX(_xlfn.ANCHORARRAY($AA$11),ROW()-10,1),"")</f>
        <v/>
      </c>
      <c r="B133" s="31" t="str" cm="1">
        <f t="array" aca="1" ref="B133" ca="1">IFERROR(INDEX(_xlfn.ANCHORARRAY($AA$11),ROW()-10,2),"")</f>
        <v/>
      </c>
      <c r="C133" s="22" t="str" cm="1">
        <f t="array" aca="1" ref="C133" ca="1">IFERROR(INDEX(_xlfn.ANCHORARRAY($AA$11),ROW()-10,3),"")</f>
        <v/>
      </c>
      <c r="D133" s="22" t="str" cm="1">
        <f t="array" aca="1" ref="D133" ca="1">IFERROR(INDEX(_xlfn.ANCHORARRAY($AA$11),ROW()-10,4),"")</f>
        <v/>
      </c>
      <c r="E133" s="22" t="str" cm="1">
        <f t="array" aca="1" ref="E133" ca="1">IFERROR(INDEX(_xlfn.ANCHORARRAY($AA$11),ROW()-10,5),"")</f>
        <v/>
      </c>
      <c r="F133" s="22" t="str" cm="1">
        <f t="array" aca="1" ref="F133" ca="1">IFERROR(INDEX(_xlfn.ANCHORARRAY($AA$11),ROW()-10,6),"")</f>
        <v/>
      </c>
      <c r="G133" s="22" t="str" cm="1">
        <f t="array" aca="1" ref="G133" ca="1">IFERROR(INDEX(_xlfn.ANCHORARRAY($AA$11),ROW()-10,7),"")</f>
        <v/>
      </c>
      <c r="H133" s="22" t="str" cm="1">
        <f t="array" aca="1" ref="H133" ca="1">IFERROR(INDEX(_xlfn.ANCHORARRAY($AA$11),ROW()-10,8),"")</f>
        <v/>
      </c>
      <c r="I133" s="22" t="str" cm="1">
        <f t="array" aca="1" ref="I133" ca="1">IFERROR(INDEX(_xlfn.ANCHORARRAY($AA$11),ROW()-10,9),"")</f>
        <v/>
      </c>
      <c r="J133" s="22" t="str">
        <f t="shared" ca="1" si="8"/>
        <v/>
      </c>
      <c r="K133" s="22" t="str">
        <f t="shared" ca="1" si="9"/>
        <v/>
      </c>
      <c r="L133" s="22" t="str" cm="1">
        <f t="array" aca="1" ref="L133" ca="1">_xlfn.LET(_xlpm.link,IFERROR(INDEX(_xlfn.ANCHORARRAY($AA$11),ROW()-10,12),""),IF(_xlpm.link="","",HYPERLINK(_xlpm.link,"Bluecore/Attentive")))</f>
        <v/>
      </c>
      <c r="M133" s="9"/>
      <c r="N133" s="9"/>
      <c r="O133" s="9"/>
      <c r="P133" s="9"/>
      <c r="Q133" s="9"/>
      <c r="R133" s="9"/>
      <c r="S133" s="8"/>
      <c r="T133" s="8"/>
      <c r="U133" s="8"/>
      <c r="V133" s="8"/>
      <c r="W133" s="8"/>
      <c r="X133" s="8"/>
      <c r="Y133" s="8"/>
      <c r="Z133" s="8"/>
      <c r="AA133"/>
      <c r="AB133"/>
      <c r="AC133"/>
      <c r="AD133"/>
      <c r="AE133"/>
      <c r="AF133"/>
      <c r="AG133"/>
      <c r="AH133"/>
      <c r="AI133"/>
      <c r="AJ133"/>
      <c r="AK133"/>
      <c r="AL133"/>
    </row>
    <row r="134" spans="1:38">
      <c r="A134" s="64" t="str" cm="1">
        <f t="array" aca="1" ref="A134" ca="1">IFERROR(INDEX(_xlfn.ANCHORARRAY($AA$11),ROW()-10,1),"")</f>
        <v/>
      </c>
      <c r="B134" s="31" t="str" cm="1">
        <f t="array" aca="1" ref="B134" ca="1">IFERROR(INDEX(_xlfn.ANCHORARRAY($AA$11),ROW()-10,2),"")</f>
        <v/>
      </c>
      <c r="C134" s="22" t="str" cm="1">
        <f t="array" aca="1" ref="C134" ca="1">IFERROR(INDEX(_xlfn.ANCHORARRAY($AA$11),ROW()-10,3),"")</f>
        <v/>
      </c>
      <c r="D134" s="22" t="str" cm="1">
        <f t="array" aca="1" ref="D134" ca="1">IFERROR(INDEX(_xlfn.ANCHORARRAY($AA$11),ROW()-10,4),"")</f>
        <v/>
      </c>
      <c r="E134" s="22" t="str" cm="1">
        <f t="array" aca="1" ref="E134" ca="1">IFERROR(INDEX(_xlfn.ANCHORARRAY($AA$11),ROW()-10,5),"")</f>
        <v/>
      </c>
      <c r="F134" s="22" t="str" cm="1">
        <f t="array" aca="1" ref="F134" ca="1">IFERROR(INDEX(_xlfn.ANCHORARRAY($AA$11),ROW()-10,6),"")</f>
        <v/>
      </c>
      <c r="G134" s="22" t="str" cm="1">
        <f t="array" aca="1" ref="G134" ca="1">IFERROR(INDEX(_xlfn.ANCHORARRAY($AA$11),ROW()-10,7),"")</f>
        <v/>
      </c>
      <c r="H134" s="22" t="str" cm="1">
        <f t="array" aca="1" ref="H134" ca="1">IFERROR(INDEX(_xlfn.ANCHORARRAY($AA$11),ROW()-10,8),"")</f>
        <v/>
      </c>
      <c r="I134" s="22" t="str" cm="1">
        <f t="array" aca="1" ref="I134" ca="1">IFERROR(INDEX(_xlfn.ANCHORARRAY($AA$11),ROW()-10,9),"")</f>
        <v/>
      </c>
      <c r="J134" s="22" t="str">
        <f t="shared" ca="1" si="8"/>
        <v/>
      </c>
      <c r="K134" s="22" t="str">
        <f t="shared" ca="1" si="9"/>
        <v/>
      </c>
      <c r="L134" s="22" t="str" cm="1">
        <f t="array" aca="1" ref="L134" ca="1">_xlfn.LET(_xlpm.link,IFERROR(INDEX(_xlfn.ANCHORARRAY($AA$11),ROW()-10,12),""),IF(_xlpm.link="","",HYPERLINK(_xlpm.link,"Bluecore/Attentive")))</f>
        <v/>
      </c>
      <c r="M134" s="9"/>
      <c r="N134" s="9"/>
      <c r="O134" s="9"/>
      <c r="P134" s="9"/>
      <c r="Q134" s="9"/>
      <c r="R134" s="9"/>
      <c r="S134" s="8"/>
      <c r="T134" s="8"/>
      <c r="U134" s="8"/>
      <c r="V134" s="8"/>
      <c r="W134" s="8"/>
      <c r="X134" s="8"/>
      <c r="Y134" s="8"/>
      <c r="Z134" s="8"/>
      <c r="AA134"/>
      <c r="AB134"/>
      <c r="AC134"/>
      <c r="AD134"/>
      <c r="AE134"/>
      <c r="AF134"/>
      <c r="AG134"/>
      <c r="AH134"/>
      <c r="AI134"/>
      <c r="AJ134"/>
      <c r="AK134"/>
      <c r="AL134"/>
    </row>
    <row r="135" spans="1:38">
      <c r="A135" s="64" t="str" cm="1">
        <f t="array" aca="1" ref="A135" ca="1">IFERROR(INDEX(_xlfn.ANCHORARRAY($AA$11),ROW()-10,1),"")</f>
        <v/>
      </c>
      <c r="B135" s="31" t="str" cm="1">
        <f t="array" aca="1" ref="B135" ca="1">IFERROR(INDEX(_xlfn.ANCHORARRAY($AA$11),ROW()-10,2),"")</f>
        <v/>
      </c>
      <c r="C135" s="22" t="str" cm="1">
        <f t="array" aca="1" ref="C135" ca="1">IFERROR(INDEX(_xlfn.ANCHORARRAY($AA$11),ROW()-10,3),"")</f>
        <v/>
      </c>
      <c r="D135" s="22" t="str" cm="1">
        <f t="array" aca="1" ref="D135" ca="1">IFERROR(INDEX(_xlfn.ANCHORARRAY($AA$11),ROW()-10,4),"")</f>
        <v/>
      </c>
      <c r="E135" s="22" t="str" cm="1">
        <f t="array" aca="1" ref="E135" ca="1">IFERROR(INDEX(_xlfn.ANCHORARRAY($AA$11),ROW()-10,5),"")</f>
        <v/>
      </c>
      <c r="F135" s="22" t="str" cm="1">
        <f t="array" aca="1" ref="F135" ca="1">IFERROR(INDEX(_xlfn.ANCHORARRAY($AA$11),ROW()-10,6),"")</f>
        <v/>
      </c>
      <c r="G135" s="22" t="str" cm="1">
        <f t="array" aca="1" ref="G135" ca="1">IFERROR(INDEX(_xlfn.ANCHORARRAY($AA$11),ROW()-10,7),"")</f>
        <v/>
      </c>
      <c r="H135" s="22" t="str" cm="1">
        <f t="array" aca="1" ref="H135" ca="1">IFERROR(INDEX(_xlfn.ANCHORARRAY($AA$11),ROW()-10,8),"")</f>
        <v/>
      </c>
      <c r="I135" s="22" t="str" cm="1">
        <f t="array" aca="1" ref="I135" ca="1">IFERROR(INDEX(_xlfn.ANCHORARRAY($AA$11),ROW()-10,9),"")</f>
        <v/>
      </c>
      <c r="J135" s="22" t="str">
        <f t="shared" ca="1" si="8"/>
        <v/>
      </c>
      <c r="K135" s="22" t="str">
        <f t="shared" ca="1" si="9"/>
        <v/>
      </c>
      <c r="L135" s="22" t="str" cm="1">
        <f t="array" aca="1" ref="L135" ca="1">_xlfn.LET(_xlpm.link,IFERROR(INDEX(_xlfn.ANCHORARRAY($AA$11),ROW()-10,12),""),IF(_xlpm.link="","",HYPERLINK(_xlpm.link,"Bluecore/Attentive")))</f>
        <v/>
      </c>
      <c r="M135" s="9"/>
      <c r="N135" s="9"/>
      <c r="O135" s="9"/>
      <c r="P135" s="9"/>
      <c r="Q135" s="9"/>
      <c r="R135" s="9"/>
      <c r="S135" s="8"/>
      <c r="T135" s="8"/>
      <c r="U135" s="8"/>
      <c r="V135" s="8"/>
      <c r="W135" s="8"/>
      <c r="X135" s="8"/>
      <c r="Y135" s="8"/>
      <c r="Z135" s="8"/>
      <c r="AA135"/>
      <c r="AB135"/>
      <c r="AC135"/>
      <c r="AD135"/>
      <c r="AE135"/>
      <c r="AF135"/>
      <c r="AG135"/>
      <c r="AH135"/>
      <c r="AI135"/>
      <c r="AJ135"/>
      <c r="AK135"/>
      <c r="AL135"/>
    </row>
    <row r="136" spans="1:38">
      <c r="A136" s="64" t="str" cm="1">
        <f t="array" aca="1" ref="A136" ca="1">IFERROR(INDEX(_xlfn.ANCHORARRAY($AA$11),ROW()-10,1),"")</f>
        <v/>
      </c>
      <c r="B136" s="31" t="str" cm="1">
        <f t="array" aca="1" ref="B136" ca="1">IFERROR(INDEX(_xlfn.ANCHORARRAY($AA$11),ROW()-10,2),"")</f>
        <v/>
      </c>
      <c r="C136" s="22" t="str" cm="1">
        <f t="array" aca="1" ref="C136" ca="1">IFERROR(INDEX(_xlfn.ANCHORARRAY($AA$11),ROW()-10,3),"")</f>
        <v/>
      </c>
      <c r="D136" s="22" t="str" cm="1">
        <f t="array" aca="1" ref="D136" ca="1">IFERROR(INDEX(_xlfn.ANCHORARRAY($AA$11),ROW()-10,4),"")</f>
        <v/>
      </c>
      <c r="E136" s="22" t="str" cm="1">
        <f t="array" aca="1" ref="E136" ca="1">IFERROR(INDEX(_xlfn.ANCHORARRAY($AA$11),ROW()-10,5),"")</f>
        <v/>
      </c>
      <c r="F136" s="22" t="str" cm="1">
        <f t="array" aca="1" ref="F136" ca="1">IFERROR(INDEX(_xlfn.ANCHORARRAY($AA$11),ROW()-10,6),"")</f>
        <v/>
      </c>
      <c r="G136" s="22" t="str" cm="1">
        <f t="array" aca="1" ref="G136" ca="1">IFERROR(INDEX(_xlfn.ANCHORARRAY($AA$11),ROW()-10,7),"")</f>
        <v/>
      </c>
      <c r="H136" s="22" t="str" cm="1">
        <f t="array" aca="1" ref="H136" ca="1">IFERROR(INDEX(_xlfn.ANCHORARRAY($AA$11),ROW()-10,8),"")</f>
        <v/>
      </c>
      <c r="I136" s="22" t="str" cm="1">
        <f t="array" aca="1" ref="I136" ca="1">IFERROR(INDEX(_xlfn.ANCHORARRAY($AA$11),ROW()-10,9),"")</f>
        <v/>
      </c>
      <c r="J136" s="22" t="str">
        <f t="shared" ca="1" si="8"/>
        <v/>
      </c>
      <c r="K136" s="22" t="str">
        <f t="shared" ca="1" si="9"/>
        <v/>
      </c>
      <c r="L136" s="22" t="str" cm="1">
        <f t="array" aca="1" ref="L136" ca="1">_xlfn.LET(_xlpm.link,IFERROR(INDEX(_xlfn.ANCHORARRAY($AA$11),ROW()-10,12),""),IF(_xlpm.link="","",HYPERLINK(_xlpm.link,"Bluecore/Attentive")))</f>
        <v/>
      </c>
      <c r="M136" s="9"/>
      <c r="N136" s="9"/>
      <c r="O136" s="9"/>
      <c r="P136" s="9"/>
      <c r="Q136" s="9"/>
      <c r="R136" s="9"/>
      <c r="S136" s="8"/>
      <c r="T136" s="8"/>
      <c r="U136" s="8"/>
      <c r="V136" s="8"/>
      <c r="W136" s="8"/>
      <c r="X136" s="8"/>
      <c r="Y136" s="8"/>
      <c r="Z136" s="8"/>
      <c r="AA136"/>
      <c r="AB136"/>
      <c r="AC136"/>
      <c r="AD136"/>
      <c r="AE136"/>
      <c r="AF136"/>
      <c r="AG136"/>
      <c r="AH136"/>
      <c r="AI136"/>
      <c r="AJ136"/>
      <c r="AK136"/>
      <c r="AL136"/>
    </row>
    <row r="137" spans="1:38">
      <c r="A137" s="64" t="str" cm="1">
        <f t="array" aca="1" ref="A137" ca="1">IFERROR(INDEX(_xlfn.ANCHORARRAY($AA$11),ROW()-10,1),"")</f>
        <v/>
      </c>
      <c r="B137" s="31" t="str" cm="1">
        <f t="array" aca="1" ref="B137" ca="1">IFERROR(INDEX(_xlfn.ANCHORARRAY($AA$11),ROW()-10,2),"")</f>
        <v/>
      </c>
      <c r="C137" s="22" t="str" cm="1">
        <f t="array" aca="1" ref="C137" ca="1">IFERROR(INDEX(_xlfn.ANCHORARRAY($AA$11),ROW()-10,3),"")</f>
        <v/>
      </c>
      <c r="D137" s="22" t="str" cm="1">
        <f t="array" aca="1" ref="D137" ca="1">IFERROR(INDEX(_xlfn.ANCHORARRAY($AA$11),ROW()-10,4),"")</f>
        <v/>
      </c>
      <c r="E137" s="22" t="str" cm="1">
        <f t="array" aca="1" ref="E137" ca="1">IFERROR(INDEX(_xlfn.ANCHORARRAY($AA$11),ROW()-10,5),"")</f>
        <v/>
      </c>
      <c r="F137" s="22" t="str" cm="1">
        <f t="array" aca="1" ref="F137" ca="1">IFERROR(INDEX(_xlfn.ANCHORARRAY($AA$11),ROW()-10,6),"")</f>
        <v/>
      </c>
      <c r="G137" s="22" t="str" cm="1">
        <f t="array" aca="1" ref="G137" ca="1">IFERROR(INDEX(_xlfn.ANCHORARRAY($AA$11),ROW()-10,7),"")</f>
        <v/>
      </c>
      <c r="H137" s="22" t="str" cm="1">
        <f t="array" aca="1" ref="H137" ca="1">IFERROR(INDEX(_xlfn.ANCHORARRAY($AA$11),ROW()-10,8),"")</f>
        <v/>
      </c>
      <c r="I137" s="22" t="str" cm="1">
        <f t="array" aca="1" ref="I137" ca="1">IFERROR(INDEX(_xlfn.ANCHORARRAY($AA$11),ROW()-10,9),"")</f>
        <v/>
      </c>
      <c r="J137" s="22" t="str">
        <f t="shared" ca="1" si="8"/>
        <v/>
      </c>
      <c r="K137" s="22" t="str">
        <f t="shared" ca="1" si="9"/>
        <v/>
      </c>
      <c r="L137" s="22" t="str" cm="1">
        <f t="array" aca="1" ref="L137" ca="1">_xlfn.LET(_xlpm.link,IFERROR(INDEX(_xlfn.ANCHORARRAY($AA$11),ROW()-10,12),""),IF(_xlpm.link="","",HYPERLINK(_xlpm.link,"Bluecore/Attentive")))</f>
        <v/>
      </c>
      <c r="M137" s="9"/>
      <c r="N137" s="9"/>
      <c r="O137" s="9"/>
      <c r="P137" s="9"/>
      <c r="Q137" s="9"/>
      <c r="R137" s="9"/>
      <c r="S137" s="8"/>
      <c r="T137" s="8"/>
      <c r="U137" s="8"/>
      <c r="V137" s="8"/>
      <c r="W137" s="8"/>
      <c r="X137" s="8"/>
      <c r="Y137" s="8"/>
      <c r="Z137" s="8"/>
      <c r="AA137"/>
      <c r="AB137"/>
      <c r="AC137"/>
      <c r="AD137"/>
      <c r="AE137"/>
      <c r="AF137"/>
      <c r="AG137"/>
      <c r="AH137"/>
      <c r="AI137"/>
      <c r="AJ137"/>
      <c r="AK137"/>
      <c r="AL137"/>
    </row>
    <row r="138" spans="1:38">
      <c r="A138" s="64" t="str" cm="1">
        <f t="array" aca="1" ref="A138" ca="1">IFERROR(INDEX(_xlfn.ANCHORARRAY($AA$11),ROW()-10,1),"")</f>
        <v/>
      </c>
      <c r="B138" s="31" t="str" cm="1">
        <f t="array" aca="1" ref="B138" ca="1">IFERROR(INDEX(_xlfn.ANCHORARRAY($AA$11),ROW()-10,2),"")</f>
        <v/>
      </c>
      <c r="C138" s="22" t="str" cm="1">
        <f t="array" aca="1" ref="C138" ca="1">IFERROR(INDEX(_xlfn.ANCHORARRAY($AA$11),ROW()-10,3),"")</f>
        <v/>
      </c>
      <c r="D138" s="22" t="str" cm="1">
        <f t="array" aca="1" ref="D138" ca="1">IFERROR(INDEX(_xlfn.ANCHORARRAY($AA$11),ROW()-10,4),"")</f>
        <v/>
      </c>
      <c r="E138" s="22" t="str" cm="1">
        <f t="array" aca="1" ref="E138" ca="1">IFERROR(INDEX(_xlfn.ANCHORARRAY($AA$11),ROW()-10,5),"")</f>
        <v/>
      </c>
      <c r="F138" s="22" t="str" cm="1">
        <f t="array" aca="1" ref="F138" ca="1">IFERROR(INDEX(_xlfn.ANCHORARRAY($AA$11),ROW()-10,6),"")</f>
        <v/>
      </c>
      <c r="G138" s="22" t="str" cm="1">
        <f t="array" aca="1" ref="G138" ca="1">IFERROR(INDEX(_xlfn.ANCHORARRAY($AA$11),ROW()-10,7),"")</f>
        <v/>
      </c>
      <c r="H138" s="22" t="str" cm="1">
        <f t="array" aca="1" ref="H138" ca="1">IFERROR(INDEX(_xlfn.ANCHORARRAY($AA$11),ROW()-10,8),"")</f>
        <v/>
      </c>
      <c r="I138" s="22" t="str" cm="1">
        <f t="array" aca="1" ref="I138" ca="1">IFERROR(INDEX(_xlfn.ANCHORARRAY($AA$11),ROW()-10,9),"")</f>
        <v/>
      </c>
      <c r="J138" s="22" t="str">
        <f t="shared" ca="1" si="8"/>
        <v/>
      </c>
      <c r="K138" s="22" t="str">
        <f t="shared" ca="1" si="9"/>
        <v/>
      </c>
      <c r="L138" s="22" t="str" cm="1">
        <f t="array" aca="1" ref="L138" ca="1">_xlfn.LET(_xlpm.link,IFERROR(INDEX(_xlfn.ANCHORARRAY($AA$11),ROW()-10,12),""),IF(_xlpm.link="","",HYPERLINK(_xlpm.link,"Bluecore/Attentive")))</f>
        <v/>
      </c>
      <c r="M138" s="9"/>
      <c r="N138" s="9"/>
      <c r="O138" s="9"/>
      <c r="P138" s="9"/>
      <c r="Q138" s="9"/>
      <c r="R138" s="9"/>
      <c r="S138" s="8"/>
      <c r="T138" s="8"/>
      <c r="U138" s="8"/>
      <c r="V138" s="8"/>
      <c r="W138" s="8"/>
      <c r="X138" s="8"/>
      <c r="Y138" s="8"/>
      <c r="Z138" s="8"/>
      <c r="AA138"/>
      <c r="AB138"/>
      <c r="AC138"/>
      <c r="AD138"/>
      <c r="AE138"/>
      <c r="AF138"/>
      <c r="AG138"/>
      <c r="AH138"/>
      <c r="AI138"/>
      <c r="AJ138"/>
      <c r="AK138"/>
      <c r="AL138"/>
    </row>
    <row r="139" spans="1:38">
      <c r="A139" s="64" t="str" cm="1">
        <f t="array" aca="1" ref="A139" ca="1">IFERROR(INDEX(_xlfn.ANCHORARRAY($AA$11),ROW()-10,1),"")</f>
        <v/>
      </c>
      <c r="B139" s="31" t="str" cm="1">
        <f t="array" aca="1" ref="B139" ca="1">IFERROR(INDEX(_xlfn.ANCHORARRAY($AA$11),ROW()-10,2),"")</f>
        <v/>
      </c>
      <c r="C139" s="22" t="str" cm="1">
        <f t="array" aca="1" ref="C139" ca="1">IFERROR(INDEX(_xlfn.ANCHORARRAY($AA$11),ROW()-10,3),"")</f>
        <v/>
      </c>
      <c r="D139" s="22" t="str" cm="1">
        <f t="array" aca="1" ref="D139" ca="1">IFERROR(INDEX(_xlfn.ANCHORARRAY($AA$11),ROW()-10,4),"")</f>
        <v/>
      </c>
      <c r="E139" s="22" t="str" cm="1">
        <f t="array" aca="1" ref="E139" ca="1">IFERROR(INDEX(_xlfn.ANCHORARRAY($AA$11),ROW()-10,5),"")</f>
        <v/>
      </c>
      <c r="F139" s="22" t="str" cm="1">
        <f t="array" aca="1" ref="F139" ca="1">IFERROR(INDEX(_xlfn.ANCHORARRAY($AA$11),ROW()-10,6),"")</f>
        <v/>
      </c>
      <c r="G139" s="22" t="str" cm="1">
        <f t="array" aca="1" ref="G139" ca="1">IFERROR(INDEX(_xlfn.ANCHORARRAY($AA$11),ROW()-10,7),"")</f>
        <v/>
      </c>
      <c r="H139" s="22" t="str" cm="1">
        <f t="array" aca="1" ref="H139" ca="1">IFERROR(INDEX(_xlfn.ANCHORARRAY($AA$11),ROW()-10,8),"")</f>
        <v/>
      </c>
      <c r="I139" s="22" t="str" cm="1">
        <f t="array" aca="1" ref="I139" ca="1">IFERROR(INDEX(_xlfn.ANCHORARRAY($AA$11),ROW()-10,9),"")</f>
        <v/>
      </c>
      <c r="J139" s="22" t="str">
        <f t="shared" ref="J139:J160" ca="1" si="10">_xlfn.LET(_xlpm.ch,IFERROR(INDEX(_xlfn.ANCHORARRAY($AA$11),ROW()-10,3),""),_xlpm.link,IFERROR(INDEX(_xlfn.ANCHORARRAY($AA$11),ROW()-10,10),""),IF(OR(_xlpm.link="",_xlpm.ch="SMS"),"",HYPERLINK(_xlpm.link,"Jira")))</f>
        <v/>
      </c>
      <c r="K139" s="22" t="str">
        <f t="shared" ref="K139:K160" ca="1" si="11">_xlfn.LET(_xlpm.ch,IFERROR(INDEX(_xlfn.ANCHORARRAY($AA$11),ROW()-10,3),""),_xlpm.link,IFERROR(INDEX(_xlfn.ANCHORARRAY($AA$11),ROW()-10,11),""),IF(OR(_xlpm.link="",_xlpm.ch="SMS"),"",HYPERLINK(_xlpm.link,"ClickUp")))</f>
        <v/>
      </c>
      <c r="L139" s="22" t="str" cm="1">
        <f t="array" aca="1" ref="L139" ca="1">_xlfn.LET(_xlpm.link,IFERROR(INDEX(_xlfn.ANCHORARRAY($AA$11),ROW()-10,12),""),IF(_xlpm.link="","",HYPERLINK(_xlpm.link,"Bluecore/Attentive")))</f>
        <v/>
      </c>
      <c r="M139" s="9"/>
      <c r="N139" s="9"/>
      <c r="O139" s="9"/>
      <c r="P139" s="9"/>
      <c r="Q139" s="9"/>
      <c r="R139" s="9"/>
      <c r="S139" s="8"/>
      <c r="T139" s="8"/>
      <c r="U139" s="8"/>
      <c r="V139" s="8"/>
      <c r="W139" s="8"/>
      <c r="X139" s="8"/>
      <c r="Y139" s="8"/>
      <c r="Z139" s="8"/>
      <c r="AA139"/>
      <c r="AB139"/>
      <c r="AC139"/>
      <c r="AD139"/>
      <c r="AE139"/>
      <c r="AF139"/>
      <c r="AG139"/>
      <c r="AH139"/>
      <c r="AI139"/>
      <c r="AJ139"/>
      <c r="AK139"/>
      <c r="AL139"/>
    </row>
    <row r="140" spans="1:38">
      <c r="A140" s="64" t="str" cm="1">
        <f t="array" aca="1" ref="A140" ca="1">IFERROR(INDEX(_xlfn.ANCHORARRAY($AA$11),ROW()-10,1),"")</f>
        <v/>
      </c>
      <c r="B140" s="31" t="str" cm="1">
        <f t="array" aca="1" ref="B140" ca="1">IFERROR(INDEX(_xlfn.ANCHORARRAY($AA$11),ROW()-10,2),"")</f>
        <v/>
      </c>
      <c r="C140" s="22" t="str" cm="1">
        <f t="array" aca="1" ref="C140" ca="1">IFERROR(INDEX(_xlfn.ANCHORARRAY($AA$11),ROW()-10,3),"")</f>
        <v/>
      </c>
      <c r="D140" s="22" t="str" cm="1">
        <f t="array" aca="1" ref="D140" ca="1">IFERROR(INDEX(_xlfn.ANCHORARRAY($AA$11),ROW()-10,4),"")</f>
        <v/>
      </c>
      <c r="E140" s="22" t="str" cm="1">
        <f t="array" aca="1" ref="E140" ca="1">IFERROR(INDEX(_xlfn.ANCHORARRAY($AA$11),ROW()-10,5),"")</f>
        <v/>
      </c>
      <c r="F140" s="22" t="str" cm="1">
        <f t="array" aca="1" ref="F140" ca="1">IFERROR(INDEX(_xlfn.ANCHORARRAY($AA$11),ROW()-10,6),"")</f>
        <v/>
      </c>
      <c r="G140" s="22" t="str" cm="1">
        <f t="array" aca="1" ref="G140" ca="1">IFERROR(INDEX(_xlfn.ANCHORARRAY($AA$11),ROW()-10,7),"")</f>
        <v/>
      </c>
      <c r="H140" s="22" t="str" cm="1">
        <f t="array" aca="1" ref="H140" ca="1">IFERROR(INDEX(_xlfn.ANCHORARRAY($AA$11),ROW()-10,8),"")</f>
        <v/>
      </c>
      <c r="I140" s="22" t="str" cm="1">
        <f t="array" aca="1" ref="I140" ca="1">IFERROR(INDEX(_xlfn.ANCHORARRAY($AA$11),ROW()-10,9),"")</f>
        <v/>
      </c>
      <c r="J140" s="22" t="str">
        <f t="shared" ca="1" si="10"/>
        <v/>
      </c>
      <c r="K140" s="22" t="str">
        <f t="shared" ca="1" si="11"/>
        <v/>
      </c>
      <c r="L140" s="22" t="str" cm="1">
        <f t="array" aca="1" ref="L140" ca="1">_xlfn.LET(_xlpm.link,IFERROR(INDEX(_xlfn.ANCHORARRAY($AA$11),ROW()-10,12),""),IF(_xlpm.link="","",HYPERLINK(_xlpm.link,"Bluecore/Attentive")))</f>
        <v/>
      </c>
      <c r="M140" s="9"/>
      <c r="N140" s="9"/>
      <c r="O140" s="9"/>
      <c r="P140" s="9"/>
      <c r="Q140" s="9"/>
      <c r="R140" s="9"/>
      <c r="S140" s="8"/>
      <c r="T140" s="8"/>
      <c r="U140" s="8"/>
      <c r="V140" s="8"/>
      <c r="W140" s="8"/>
      <c r="X140" s="8"/>
      <c r="Y140" s="8"/>
      <c r="Z140" s="8"/>
      <c r="AA140"/>
      <c r="AB140"/>
      <c r="AC140"/>
      <c r="AD140"/>
      <c r="AE140"/>
      <c r="AF140"/>
      <c r="AG140"/>
      <c r="AH140"/>
      <c r="AI140"/>
      <c r="AJ140"/>
      <c r="AK140"/>
      <c r="AL140"/>
    </row>
    <row r="141" spans="1:38">
      <c r="A141" s="64" t="str" cm="1">
        <f t="array" aca="1" ref="A141" ca="1">IFERROR(INDEX(_xlfn.ANCHORARRAY($AA$11),ROW()-10,1),"")</f>
        <v/>
      </c>
      <c r="B141" s="31" t="str" cm="1">
        <f t="array" aca="1" ref="B141" ca="1">IFERROR(INDEX(_xlfn.ANCHORARRAY($AA$11),ROW()-10,2),"")</f>
        <v/>
      </c>
      <c r="C141" s="22" t="str" cm="1">
        <f t="array" aca="1" ref="C141" ca="1">IFERROR(INDEX(_xlfn.ANCHORARRAY($AA$11),ROW()-10,3),"")</f>
        <v/>
      </c>
      <c r="D141" s="22" t="str" cm="1">
        <f t="array" aca="1" ref="D141" ca="1">IFERROR(INDEX(_xlfn.ANCHORARRAY($AA$11),ROW()-10,4),"")</f>
        <v/>
      </c>
      <c r="E141" s="22" t="str" cm="1">
        <f t="array" aca="1" ref="E141" ca="1">IFERROR(INDEX(_xlfn.ANCHORARRAY($AA$11),ROW()-10,5),"")</f>
        <v/>
      </c>
      <c r="F141" s="22" t="str" cm="1">
        <f t="array" aca="1" ref="F141" ca="1">IFERROR(INDEX(_xlfn.ANCHORARRAY($AA$11),ROW()-10,6),"")</f>
        <v/>
      </c>
      <c r="G141" s="22" t="str" cm="1">
        <f t="array" aca="1" ref="G141" ca="1">IFERROR(INDEX(_xlfn.ANCHORARRAY($AA$11),ROW()-10,7),"")</f>
        <v/>
      </c>
      <c r="H141" s="22" t="str" cm="1">
        <f t="array" aca="1" ref="H141" ca="1">IFERROR(INDEX(_xlfn.ANCHORARRAY($AA$11),ROW()-10,8),"")</f>
        <v/>
      </c>
      <c r="I141" s="22" t="str" cm="1">
        <f t="array" aca="1" ref="I141" ca="1">IFERROR(INDEX(_xlfn.ANCHORARRAY($AA$11),ROW()-10,9),"")</f>
        <v/>
      </c>
      <c r="J141" s="22" t="str">
        <f t="shared" ca="1" si="10"/>
        <v/>
      </c>
      <c r="K141" s="22" t="str">
        <f t="shared" ca="1" si="11"/>
        <v/>
      </c>
      <c r="L141" s="22" t="str" cm="1">
        <f t="array" aca="1" ref="L141" ca="1">_xlfn.LET(_xlpm.link,IFERROR(INDEX(_xlfn.ANCHORARRAY($AA$11),ROW()-10,12),""),IF(_xlpm.link="","",HYPERLINK(_xlpm.link,"Bluecore/Attentive")))</f>
        <v/>
      </c>
      <c r="M141" s="9"/>
      <c r="N141" s="9"/>
      <c r="O141" s="9"/>
      <c r="P141" s="9"/>
      <c r="Q141" s="9"/>
      <c r="R141" s="9"/>
      <c r="S141" s="8"/>
      <c r="T141" s="8"/>
      <c r="U141" s="8"/>
      <c r="V141" s="8"/>
      <c r="W141" s="8"/>
      <c r="X141" s="8"/>
      <c r="Y141" s="8"/>
      <c r="Z141" s="8"/>
      <c r="AA141"/>
      <c r="AB141"/>
      <c r="AC141"/>
      <c r="AD141"/>
      <c r="AE141"/>
      <c r="AF141"/>
      <c r="AG141"/>
      <c r="AH141"/>
      <c r="AI141"/>
      <c r="AJ141"/>
      <c r="AK141"/>
      <c r="AL141"/>
    </row>
    <row r="142" spans="1:38">
      <c r="A142" s="64" t="str" cm="1">
        <f t="array" aca="1" ref="A142" ca="1">IFERROR(INDEX(_xlfn.ANCHORARRAY($AA$11),ROW()-10,1),"")</f>
        <v/>
      </c>
      <c r="B142" s="31" t="str" cm="1">
        <f t="array" aca="1" ref="B142" ca="1">IFERROR(INDEX(_xlfn.ANCHORARRAY($AA$11),ROW()-10,2),"")</f>
        <v/>
      </c>
      <c r="C142" s="22" t="str" cm="1">
        <f t="array" aca="1" ref="C142" ca="1">IFERROR(INDEX(_xlfn.ANCHORARRAY($AA$11),ROW()-10,3),"")</f>
        <v/>
      </c>
      <c r="D142" s="22" t="str" cm="1">
        <f t="array" aca="1" ref="D142" ca="1">IFERROR(INDEX(_xlfn.ANCHORARRAY($AA$11),ROW()-10,4),"")</f>
        <v/>
      </c>
      <c r="E142" s="22" t="str" cm="1">
        <f t="array" aca="1" ref="E142" ca="1">IFERROR(INDEX(_xlfn.ANCHORARRAY($AA$11),ROW()-10,5),"")</f>
        <v/>
      </c>
      <c r="F142" s="22" t="str" cm="1">
        <f t="array" aca="1" ref="F142" ca="1">IFERROR(INDEX(_xlfn.ANCHORARRAY($AA$11),ROW()-10,6),"")</f>
        <v/>
      </c>
      <c r="G142" s="22" t="str" cm="1">
        <f t="array" aca="1" ref="G142" ca="1">IFERROR(INDEX(_xlfn.ANCHORARRAY($AA$11),ROW()-10,7),"")</f>
        <v/>
      </c>
      <c r="H142" s="22" t="str" cm="1">
        <f t="array" aca="1" ref="H142" ca="1">IFERROR(INDEX(_xlfn.ANCHORARRAY($AA$11),ROW()-10,8),"")</f>
        <v/>
      </c>
      <c r="I142" s="22" t="str" cm="1">
        <f t="array" aca="1" ref="I142" ca="1">IFERROR(INDEX(_xlfn.ANCHORARRAY($AA$11),ROW()-10,9),"")</f>
        <v/>
      </c>
      <c r="J142" s="22" t="str">
        <f t="shared" ca="1" si="10"/>
        <v/>
      </c>
      <c r="K142" s="22" t="str">
        <f t="shared" ca="1" si="11"/>
        <v/>
      </c>
      <c r="L142" s="22" t="str" cm="1">
        <f t="array" aca="1" ref="L142" ca="1">_xlfn.LET(_xlpm.link,IFERROR(INDEX(_xlfn.ANCHORARRAY($AA$11),ROW()-10,12),""),IF(_xlpm.link="","",HYPERLINK(_xlpm.link,"Bluecore/Attentive")))</f>
        <v/>
      </c>
      <c r="M142" s="9"/>
      <c r="N142" s="9"/>
      <c r="O142" s="9"/>
      <c r="P142" s="9"/>
      <c r="Q142" s="9"/>
      <c r="R142" s="9"/>
      <c r="S142" s="8"/>
      <c r="T142" s="8"/>
      <c r="U142" s="8"/>
      <c r="V142" s="8"/>
      <c r="W142" s="8"/>
      <c r="X142" s="8"/>
      <c r="Y142" s="8"/>
      <c r="Z142" s="8"/>
      <c r="AA142"/>
      <c r="AB142"/>
      <c r="AC142"/>
      <c r="AD142"/>
      <c r="AE142"/>
      <c r="AF142"/>
      <c r="AG142"/>
      <c r="AH142"/>
      <c r="AI142"/>
      <c r="AJ142"/>
      <c r="AK142"/>
      <c r="AL142"/>
    </row>
    <row r="143" spans="1:38">
      <c r="A143" s="64" t="str" cm="1">
        <f t="array" aca="1" ref="A143" ca="1">IFERROR(INDEX(_xlfn.ANCHORARRAY($AA$11),ROW()-10,1),"")</f>
        <v/>
      </c>
      <c r="B143" s="31" t="str" cm="1">
        <f t="array" aca="1" ref="B143" ca="1">IFERROR(INDEX(_xlfn.ANCHORARRAY($AA$11),ROW()-10,2),"")</f>
        <v/>
      </c>
      <c r="C143" s="22" t="str" cm="1">
        <f t="array" aca="1" ref="C143" ca="1">IFERROR(INDEX(_xlfn.ANCHORARRAY($AA$11),ROW()-10,3),"")</f>
        <v/>
      </c>
      <c r="D143" s="22" t="str" cm="1">
        <f t="array" aca="1" ref="D143" ca="1">IFERROR(INDEX(_xlfn.ANCHORARRAY($AA$11),ROW()-10,4),"")</f>
        <v/>
      </c>
      <c r="E143" s="22" t="str" cm="1">
        <f t="array" aca="1" ref="E143" ca="1">IFERROR(INDEX(_xlfn.ANCHORARRAY($AA$11),ROW()-10,5),"")</f>
        <v/>
      </c>
      <c r="F143" s="22" t="str" cm="1">
        <f t="array" aca="1" ref="F143" ca="1">IFERROR(INDEX(_xlfn.ANCHORARRAY($AA$11),ROW()-10,6),"")</f>
        <v/>
      </c>
      <c r="G143" s="22" t="str" cm="1">
        <f t="array" aca="1" ref="G143" ca="1">IFERROR(INDEX(_xlfn.ANCHORARRAY($AA$11),ROW()-10,7),"")</f>
        <v/>
      </c>
      <c r="H143" s="22" t="str" cm="1">
        <f t="array" aca="1" ref="H143" ca="1">IFERROR(INDEX(_xlfn.ANCHORARRAY($AA$11),ROW()-10,8),"")</f>
        <v/>
      </c>
      <c r="I143" s="22" t="str" cm="1">
        <f t="array" aca="1" ref="I143" ca="1">IFERROR(INDEX(_xlfn.ANCHORARRAY($AA$11),ROW()-10,9),"")</f>
        <v/>
      </c>
      <c r="J143" s="22" t="str">
        <f t="shared" ca="1" si="10"/>
        <v/>
      </c>
      <c r="K143" s="22" t="str">
        <f t="shared" ca="1" si="11"/>
        <v/>
      </c>
      <c r="L143" s="22" t="str" cm="1">
        <f t="array" aca="1" ref="L143" ca="1">_xlfn.LET(_xlpm.link,IFERROR(INDEX(_xlfn.ANCHORARRAY($AA$11),ROW()-10,12),""),IF(_xlpm.link="","",HYPERLINK(_xlpm.link,"Bluecore/Attentive")))</f>
        <v/>
      </c>
      <c r="M143" s="9"/>
      <c r="N143" s="9"/>
      <c r="O143" s="9"/>
      <c r="P143" s="9"/>
      <c r="Q143" s="9"/>
      <c r="R143" s="9"/>
      <c r="S143" s="8"/>
      <c r="T143" s="8"/>
      <c r="U143" s="8"/>
      <c r="V143" s="8"/>
      <c r="W143" s="8"/>
      <c r="X143" s="8"/>
      <c r="Y143" s="8"/>
      <c r="Z143" s="8"/>
      <c r="AA143"/>
      <c r="AB143"/>
      <c r="AC143"/>
      <c r="AD143"/>
      <c r="AE143"/>
      <c r="AF143"/>
      <c r="AG143"/>
      <c r="AH143"/>
      <c r="AI143"/>
      <c r="AJ143"/>
      <c r="AK143"/>
      <c r="AL143"/>
    </row>
    <row r="144" spans="1:38">
      <c r="A144" s="64" t="str" cm="1">
        <f t="array" aca="1" ref="A144" ca="1">IFERROR(INDEX(_xlfn.ANCHORARRAY($AA$11),ROW()-10,1),"")</f>
        <v/>
      </c>
      <c r="B144" s="31" t="str" cm="1">
        <f t="array" aca="1" ref="B144" ca="1">IFERROR(INDEX(_xlfn.ANCHORARRAY($AA$11),ROW()-10,2),"")</f>
        <v/>
      </c>
      <c r="C144" s="22" t="str" cm="1">
        <f t="array" aca="1" ref="C144" ca="1">IFERROR(INDEX(_xlfn.ANCHORARRAY($AA$11),ROW()-10,3),"")</f>
        <v/>
      </c>
      <c r="D144" s="22" t="str" cm="1">
        <f t="array" aca="1" ref="D144" ca="1">IFERROR(INDEX(_xlfn.ANCHORARRAY($AA$11),ROW()-10,4),"")</f>
        <v/>
      </c>
      <c r="E144" s="22" t="str" cm="1">
        <f t="array" aca="1" ref="E144" ca="1">IFERROR(INDEX(_xlfn.ANCHORARRAY($AA$11),ROW()-10,5),"")</f>
        <v/>
      </c>
      <c r="F144" s="22" t="str" cm="1">
        <f t="array" aca="1" ref="F144" ca="1">IFERROR(INDEX(_xlfn.ANCHORARRAY($AA$11),ROW()-10,6),"")</f>
        <v/>
      </c>
      <c r="G144" s="22" t="str" cm="1">
        <f t="array" aca="1" ref="G144" ca="1">IFERROR(INDEX(_xlfn.ANCHORARRAY($AA$11),ROW()-10,7),"")</f>
        <v/>
      </c>
      <c r="H144" s="22" t="str" cm="1">
        <f t="array" aca="1" ref="H144" ca="1">IFERROR(INDEX(_xlfn.ANCHORARRAY($AA$11),ROW()-10,8),"")</f>
        <v/>
      </c>
      <c r="I144" s="22" t="str" cm="1">
        <f t="array" aca="1" ref="I144" ca="1">IFERROR(INDEX(_xlfn.ANCHORARRAY($AA$11),ROW()-10,9),"")</f>
        <v/>
      </c>
      <c r="J144" s="22" t="str">
        <f t="shared" ca="1" si="10"/>
        <v/>
      </c>
      <c r="K144" s="22" t="str">
        <f t="shared" ca="1" si="11"/>
        <v/>
      </c>
      <c r="L144" s="22" t="str" cm="1">
        <f t="array" aca="1" ref="L144" ca="1">_xlfn.LET(_xlpm.link,IFERROR(INDEX(_xlfn.ANCHORARRAY($AA$11),ROW()-10,12),""),IF(_xlpm.link="","",HYPERLINK(_xlpm.link,"Bluecore/Attentive")))</f>
        <v/>
      </c>
      <c r="M144" s="9"/>
      <c r="N144" s="9"/>
      <c r="O144" s="9"/>
      <c r="P144" s="9"/>
      <c r="Q144" s="9"/>
      <c r="R144" s="9"/>
      <c r="S144" s="8"/>
      <c r="T144" s="8"/>
      <c r="U144" s="8"/>
      <c r="V144" s="8"/>
      <c r="W144" s="8"/>
      <c r="X144" s="8"/>
      <c r="Y144" s="8"/>
      <c r="Z144" s="8"/>
      <c r="AA144"/>
      <c r="AB144"/>
      <c r="AC144"/>
      <c r="AD144"/>
      <c r="AE144"/>
      <c r="AF144"/>
      <c r="AG144"/>
      <c r="AH144"/>
      <c r="AI144"/>
      <c r="AJ144"/>
      <c r="AK144"/>
      <c r="AL144"/>
    </row>
    <row r="145" spans="1:38">
      <c r="A145" s="64" t="str" cm="1">
        <f t="array" aca="1" ref="A145" ca="1">IFERROR(INDEX(_xlfn.ANCHORARRAY($AA$11),ROW()-10,1),"")</f>
        <v/>
      </c>
      <c r="B145" s="31" t="str" cm="1">
        <f t="array" aca="1" ref="B145" ca="1">IFERROR(INDEX(_xlfn.ANCHORARRAY($AA$11),ROW()-10,2),"")</f>
        <v/>
      </c>
      <c r="C145" s="22" t="str" cm="1">
        <f t="array" aca="1" ref="C145" ca="1">IFERROR(INDEX(_xlfn.ANCHORARRAY($AA$11),ROW()-10,3),"")</f>
        <v/>
      </c>
      <c r="D145" s="22" t="str" cm="1">
        <f t="array" aca="1" ref="D145" ca="1">IFERROR(INDEX(_xlfn.ANCHORARRAY($AA$11),ROW()-10,4),"")</f>
        <v/>
      </c>
      <c r="E145" s="22" t="str" cm="1">
        <f t="array" aca="1" ref="E145" ca="1">IFERROR(INDEX(_xlfn.ANCHORARRAY($AA$11),ROW()-10,5),"")</f>
        <v/>
      </c>
      <c r="F145" s="22" t="str" cm="1">
        <f t="array" aca="1" ref="F145" ca="1">IFERROR(INDEX(_xlfn.ANCHORARRAY($AA$11),ROW()-10,6),"")</f>
        <v/>
      </c>
      <c r="G145" s="22" t="str" cm="1">
        <f t="array" aca="1" ref="G145" ca="1">IFERROR(INDEX(_xlfn.ANCHORARRAY($AA$11),ROW()-10,7),"")</f>
        <v/>
      </c>
      <c r="H145" s="22" t="str" cm="1">
        <f t="array" aca="1" ref="H145" ca="1">IFERROR(INDEX(_xlfn.ANCHORARRAY($AA$11),ROW()-10,8),"")</f>
        <v/>
      </c>
      <c r="I145" s="22" t="str" cm="1">
        <f t="array" aca="1" ref="I145" ca="1">IFERROR(INDEX(_xlfn.ANCHORARRAY($AA$11),ROW()-10,9),"")</f>
        <v/>
      </c>
      <c r="J145" s="22" t="str">
        <f t="shared" ca="1" si="10"/>
        <v/>
      </c>
      <c r="K145" s="22" t="str">
        <f t="shared" ca="1" si="11"/>
        <v/>
      </c>
      <c r="L145" s="22" t="str" cm="1">
        <f t="array" aca="1" ref="L145" ca="1">_xlfn.LET(_xlpm.link,IFERROR(INDEX(_xlfn.ANCHORARRAY($AA$11),ROW()-10,12),""),IF(_xlpm.link="","",HYPERLINK(_xlpm.link,"Bluecore/Attentive")))</f>
        <v/>
      </c>
      <c r="M145" s="9"/>
      <c r="N145" s="9"/>
      <c r="O145" s="9"/>
      <c r="P145" s="9"/>
      <c r="Q145" s="9"/>
      <c r="R145" s="9"/>
      <c r="S145" s="8"/>
      <c r="T145" s="8"/>
      <c r="U145" s="8"/>
      <c r="V145" s="8"/>
      <c r="W145" s="8"/>
      <c r="X145" s="8"/>
      <c r="Y145" s="8"/>
      <c r="Z145" s="8"/>
      <c r="AA145"/>
      <c r="AB145"/>
      <c r="AC145"/>
      <c r="AD145"/>
      <c r="AE145"/>
      <c r="AF145"/>
      <c r="AG145"/>
      <c r="AH145"/>
      <c r="AI145"/>
      <c r="AJ145"/>
      <c r="AK145"/>
      <c r="AL145"/>
    </row>
    <row r="146" spans="1:38">
      <c r="A146" s="64" t="str" cm="1">
        <f t="array" aca="1" ref="A146" ca="1">IFERROR(INDEX(_xlfn.ANCHORARRAY($AA$11),ROW()-10,1),"")</f>
        <v/>
      </c>
      <c r="B146" s="31" t="str" cm="1">
        <f t="array" aca="1" ref="B146" ca="1">IFERROR(INDEX(_xlfn.ANCHORARRAY($AA$11),ROW()-10,2),"")</f>
        <v/>
      </c>
      <c r="C146" s="22" t="str" cm="1">
        <f t="array" aca="1" ref="C146" ca="1">IFERROR(INDEX(_xlfn.ANCHORARRAY($AA$11),ROW()-10,3),"")</f>
        <v/>
      </c>
      <c r="D146" s="22" t="str" cm="1">
        <f t="array" aca="1" ref="D146" ca="1">IFERROR(INDEX(_xlfn.ANCHORARRAY($AA$11),ROW()-10,4),"")</f>
        <v/>
      </c>
      <c r="E146" s="22" t="str" cm="1">
        <f t="array" aca="1" ref="E146" ca="1">IFERROR(INDEX(_xlfn.ANCHORARRAY($AA$11),ROW()-10,5),"")</f>
        <v/>
      </c>
      <c r="F146" s="22" t="str" cm="1">
        <f t="array" aca="1" ref="F146" ca="1">IFERROR(INDEX(_xlfn.ANCHORARRAY($AA$11),ROW()-10,6),"")</f>
        <v/>
      </c>
      <c r="G146" s="22" t="str" cm="1">
        <f t="array" aca="1" ref="G146" ca="1">IFERROR(INDEX(_xlfn.ANCHORARRAY($AA$11),ROW()-10,7),"")</f>
        <v/>
      </c>
      <c r="H146" s="22" t="str" cm="1">
        <f t="array" aca="1" ref="H146" ca="1">IFERROR(INDEX(_xlfn.ANCHORARRAY($AA$11),ROW()-10,8),"")</f>
        <v/>
      </c>
      <c r="I146" s="22" t="str" cm="1">
        <f t="array" aca="1" ref="I146" ca="1">IFERROR(INDEX(_xlfn.ANCHORARRAY($AA$11),ROW()-10,9),"")</f>
        <v/>
      </c>
      <c r="J146" s="22" t="str">
        <f t="shared" ca="1" si="10"/>
        <v/>
      </c>
      <c r="K146" s="22" t="str">
        <f t="shared" ca="1" si="11"/>
        <v/>
      </c>
      <c r="L146" s="22" t="str" cm="1">
        <f t="array" aca="1" ref="L146" ca="1">_xlfn.LET(_xlpm.link,IFERROR(INDEX(_xlfn.ANCHORARRAY($AA$11),ROW()-10,12),""),IF(_xlpm.link="","",HYPERLINK(_xlpm.link,"Bluecore/Attentive")))</f>
        <v/>
      </c>
      <c r="M146" s="9"/>
      <c r="N146" s="9"/>
      <c r="O146" s="9"/>
      <c r="P146" s="9"/>
      <c r="Q146" s="9"/>
      <c r="R146" s="9"/>
      <c r="S146" s="8"/>
      <c r="T146" s="8"/>
      <c r="U146" s="8"/>
      <c r="V146" s="8"/>
      <c r="W146" s="8"/>
      <c r="X146" s="8"/>
      <c r="Y146" s="8"/>
      <c r="Z146" s="8"/>
      <c r="AA146"/>
      <c r="AB146"/>
      <c r="AC146"/>
      <c r="AD146"/>
      <c r="AE146"/>
      <c r="AF146"/>
      <c r="AG146"/>
      <c r="AH146"/>
      <c r="AI146"/>
      <c r="AJ146"/>
      <c r="AK146"/>
      <c r="AL146"/>
    </row>
    <row r="147" spans="1:38">
      <c r="A147" s="64" t="str" cm="1">
        <f t="array" aca="1" ref="A147" ca="1">IFERROR(INDEX(_xlfn.ANCHORARRAY($AA$11),ROW()-10,1),"")</f>
        <v/>
      </c>
      <c r="B147" s="31" t="str" cm="1">
        <f t="array" aca="1" ref="B147" ca="1">IFERROR(INDEX(_xlfn.ANCHORARRAY($AA$11),ROW()-10,2),"")</f>
        <v/>
      </c>
      <c r="C147" s="22" t="str" cm="1">
        <f t="array" aca="1" ref="C147" ca="1">IFERROR(INDEX(_xlfn.ANCHORARRAY($AA$11),ROW()-10,3),"")</f>
        <v/>
      </c>
      <c r="D147" s="22" t="str" cm="1">
        <f t="array" aca="1" ref="D147" ca="1">IFERROR(INDEX(_xlfn.ANCHORARRAY($AA$11),ROW()-10,4),"")</f>
        <v/>
      </c>
      <c r="E147" s="22" t="str" cm="1">
        <f t="array" aca="1" ref="E147" ca="1">IFERROR(INDEX(_xlfn.ANCHORARRAY($AA$11),ROW()-10,5),"")</f>
        <v/>
      </c>
      <c r="F147" s="22" t="str" cm="1">
        <f t="array" aca="1" ref="F147" ca="1">IFERROR(INDEX(_xlfn.ANCHORARRAY($AA$11),ROW()-10,6),"")</f>
        <v/>
      </c>
      <c r="G147" s="22" t="str" cm="1">
        <f t="array" aca="1" ref="G147" ca="1">IFERROR(INDEX(_xlfn.ANCHORARRAY($AA$11),ROW()-10,7),"")</f>
        <v/>
      </c>
      <c r="H147" s="22" t="str" cm="1">
        <f t="array" aca="1" ref="H147" ca="1">IFERROR(INDEX(_xlfn.ANCHORARRAY($AA$11),ROW()-10,8),"")</f>
        <v/>
      </c>
      <c r="I147" s="22" t="str" cm="1">
        <f t="array" aca="1" ref="I147" ca="1">IFERROR(INDEX(_xlfn.ANCHORARRAY($AA$11),ROW()-10,9),"")</f>
        <v/>
      </c>
      <c r="J147" s="22" t="str">
        <f t="shared" ca="1" si="10"/>
        <v/>
      </c>
      <c r="K147" s="22" t="str">
        <f t="shared" ca="1" si="11"/>
        <v/>
      </c>
      <c r="L147" s="22" t="str" cm="1">
        <f t="array" aca="1" ref="L147" ca="1">_xlfn.LET(_xlpm.link,IFERROR(INDEX(_xlfn.ANCHORARRAY($AA$11),ROW()-10,12),""),IF(_xlpm.link="","",HYPERLINK(_xlpm.link,"Bluecore/Attentive")))</f>
        <v/>
      </c>
      <c r="M147" s="9"/>
      <c r="N147" s="9"/>
      <c r="O147" s="9"/>
      <c r="P147" s="9"/>
      <c r="Q147" s="9"/>
      <c r="R147" s="9"/>
      <c r="S147" s="8"/>
      <c r="T147" s="8"/>
      <c r="U147" s="8"/>
      <c r="V147" s="8"/>
      <c r="W147" s="8"/>
      <c r="X147" s="8"/>
      <c r="Y147" s="8"/>
      <c r="Z147" s="8"/>
      <c r="AA147"/>
      <c r="AB147"/>
      <c r="AC147"/>
      <c r="AD147"/>
      <c r="AE147"/>
      <c r="AF147"/>
      <c r="AG147"/>
      <c r="AH147"/>
      <c r="AI147"/>
      <c r="AJ147"/>
      <c r="AK147"/>
      <c r="AL147"/>
    </row>
    <row r="148" spans="1:38">
      <c r="A148" s="64" t="str" cm="1">
        <f t="array" aca="1" ref="A148" ca="1">IFERROR(INDEX(_xlfn.ANCHORARRAY($AA$11),ROW()-10,1),"")</f>
        <v/>
      </c>
      <c r="B148" s="31" t="str" cm="1">
        <f t="array" aca="1" ref="B148" ca="1">IFERROR(INDEX(_xlfn.ANCHORARRAY($AA$11),ROW()-10,2),"")</f>
        <v/>
      </c>
      <c r="C148" s="22" t="str" cm="1">
        <f t="array" aca="1" ref="C148" ca="1">IFERROR(INDEX(_xlfn.ANCHORARRAY($AA$11),ROW()-10,3),"")</f>
        <v/>
      </c>
      <c r="D148" s="22" t="str" cm="1">
        <f t="array" aca="1" ref="D148" ca="1">IFERROR(INDEX(_xlfn.ANCHORARRAY($AA$11),ROW()-10,4),"")</f>
        <v/>
      </c>
      <c r="E148" s="22" t="str" cm="1">
        <f t="array" aca="1" ref="E148" ca="1">IFERROR(INDEX(_xlfn.ANCHORARRAY($AA$11),ROW()-10,5),"")</f>
        <v/>
      </c>
      <c r="F148" s="22" t="str" cm="1">
        <f t="array" aca="1" ref="F148" ca="1">IFERROR(INDEX(_xlfn.ANCHORARRAY($AA$11),ROW()-10,6),"")</f>
        <v/>
      </c>
      <c r="G148" s="22" t="str" cm="1">
        <f t="array" aca="1" ref="G148" ca="1">IFERROR(INDEX(_xlfn.ANCHORARRAY($AA$11),ROW()-10,7),"")</f>
        <v/>
      </c>
      <c r="H148" s="22" t="str" cm="1">
        <f t="array" aca="1" ref="H148" ca="1">IFERROR(INDEX(_xlfn.ANCHORARRAY($AA$11),ROW()-10,8),"")</f>
        <v/>
      </c>
      <c r="I148" s="22" t="str" cm="1">
        <f t="array" aca="1" ref="I148" ca="1">IFERROR(INDEX(_xlfn.ANCHORARRAY($AA$11),ROW()-10,9),"")</f>
        <v/>
      </c>
      <c r="J148" s="22" t="str">
        <f t="shared" ca="1" si="10"/>
        <v/>
      </c>
      <c r="K148" s="22" t="str">
        <f t="shared" ca="1" si="11"/>
        <v/>
      </c>
      <c r="L148" s="22" t="str" cm="1">
        <f t="array" aca="1" ref="L148" ca="1">_xlfn.LET(_xlpm.link,IFERROR(INDEX(_xlfn.ANCHORARRAY($AA$11),ROW()-10,12),""),IF(_xlpm.link="","",HYPERLINK(_xlpm.link,"Bluecore/Attentive")))</f>
        <v/>
      </c>
      <c r="M148" s="9"/>
      <c r="N148" s="9"/>
      <c r="O148" s="9"/>
      <c r="P148" s="9"/>
      <c r="Q148" s="9"/>
      <c r="R148" s="9"/>
      <c r="S148" s="8"/>
      <c r="T148" s="8"/>
      <c r="U148" s="8"/>
      <c r="V148" s="8"/>
      <c r="W148" s="8"/>
      <c r="X148" s="8"/>
      <c r="Y148" s="8"/>
      <c r="Z148" s="8"/>
      <c r="AA148"/>
      <c r="AB148"/>
      <c r="AC148"/>
      <c r="AD148"/>
      <c r="AE148"/>
      <c r="AF148"/>
      <c r="AG148"/>
      <c r="AH148"/>
      <c r="AI148"/>
      <c r="AJ148"/>
      <c r="AK148"/>
      <c r="AL148"/>
    </row>
    <row r="149" spans="1:38">
      <c r="A149" s="64" t="str" cm="1">
        <f t="array" aca="1" ref="A149" ca="1">IFERROR(INDEX(_xlfn.ANCHORARRAY($AA$11),ROW()-10,1),"")</f>
        <v/>
      </c>
      <c r="B149" s="31" t="str" cm="1">
        <f t="array" aca="1" ref="B149" ca="1">IFERROR(INDEX(_xlfn.ANCHORARRAY($AA$11),ROW()-10,2),"")</f>
        <v/>
      </c>
      <c r="C149" s="22" t="str" cm="1">
        <f t="array" aca="1" ref="C149" ca="1">IFERROR(INDEX(_xlfn.ANCHORARRAY($AA$11),ROW()-10,3),"")</f>
        <v/>
      </c>
      <c r="D149" s="22" t="str" cm="1">
        <f t="array" aca="1" ref="D149" ca="1">IFERROR(INDEX(_xlfn.ANCHORARRAY($AA$11),ROW()-10,4),"")</f>
        <v/>
      </c>
      <c r="E149" s="22" t="str" cm="1">
        <f t="array" aca="1" ref="E149" ca="1">IFERROR(INDEX(_xlfn.ANCHORARRAY($AA$11),ROW()-10,5),"")</f>
        <v/>
      </c>
      <c r="F149" s="22" t="str" cm="1">
        <f t="array" aca="1" ref="F149" ca="1">IFERROR(INDEX(_xlfn.ANCHORARRAY($AA$11),ROW()-10,6),"")</f>
        <v/>
      </c>
      <c r="G149" s="22" t="str" cm="1">
        <f t="array" aca="1" ref="G149" ca="1">IFERROR(INDEX(_xlfn.ANCHORARRAY($AA$11),ROW()-10,7),"")</f>
        <v/>
      </c>
      <c r="H149" s="22" t="str" cm="1">
        <f t="array" aca="1" ref="H149" ca="1">IFERROR(INDEX(_xlfn.ANCHORARRAY($AA$11),ROW()-10,8),"")</f>
        <v/>
      </c>
      <c r="I149" s="22" t="str" cm="1">
        <f t="array" aca="1" ref="I149" ca="1">IFERROR(INDEX(_xlfn.ANCHORARRAY($AA$11),ROW()-10,9),"")</f>
        <v/>
      </c>
      <c r="J149" s="22" t="str">
        <f t="shared" ca="1" si="10"/>
        <v/>
      </c>
      <c r="K149" s="22" t="str">
        <f t="shared" ca="1" si="11"/>
        <v/>
      </c>
      <c r="L149" s="22" t="str" cm="1">
        <f t="array" aca="1" ref="L149" ca="1">_xlfn.LET(_xlpm.link,IFERROR(INDEX(_xlfn.ANCHORARRAY($AA$11),ROW()-10,12),""),IF(_xlpm.link="","",HYPERLINK(_xlpm.link,"Bluecore/Attentive")))</f>
        <v/>
      </c>
      <c r="M149" s="9"/>
      <c r="N149" s="9"/>
      <c r="O149" s="9"/>
      <c r="P149" s="9"/>
      <c r="Q149" s="9"/>
      <c r="R149" s="9"/>
      <c r="S149" s="8"/>
      <c r="T149" s="8"/>
      <c r="U149" s="8"/>
      <c r="V149" s="8"/>
      <c r="W149" s="8"/>
      <c r="X149" s="8"/>
      <c r="Y149" s="8"/>
      <c r="Z149" s="8"/>
      <c r="AA149"/>
      <c r="AB149"/>
      <c r="AC149"/>
      <c r="AD149"/>
      <c r="AE149"/>
      <c r="AF149"/>
      <c r="AG149"/>
      <c r="AH149"/>
      <c r="AI149"/>
      <c r="AJ149"/>
      <c r="AK149"/>
      <c r="AL149"/>
    </row>
    <row r="150" spans="1:38">
      <c r="A150" s="64" t="str" cm="1">
        <f t="array" aca="1" ref="A150" ca="1">IFERROR(INDEX(_xlfn.ANCHORARRAY($AA$11),ROW()-10,1),"")</f>
        <v/>
      </c>
      <c r="B150" s="31" t="str" cm="1">
        <f t="array" aca="1" ref="B150" ca="1">IFERROR(INDEX(_xlfn.ANCHORARRAY($AA$11),ROW()-10,2),"")</f>
        <v/>
      </c>
      <c r="C150" s="22" t="str" cm="1">
        <f t="array" aca="1" ref="C150" ca="1">IFERROR(INDEX(_xlfn.ANCHORARRAY($AA$11),ROW()-10,3),"")</f>
        <v/>
      </c>
      <c r="D150" s="22" t="str" cm="1">
        <f t="array" aca="1" ref="D150" ca="1">IFERROR(INDEX(_xlfn.ANCHORARRAY($AA$11),ROW()-10,4),"")</f>
        <v/>
      </c>
      <c r="E150" s="22" t="str" cm="1">
        <f t="array" aca="1" ref="E150" ca="1">IFERROR(INDEX(_xlfn.ANCHORARRAY($AA$11),ROW()-10,5),"")</f>
        <v/>
      </c>
      <c r="F150" s="22" t="str" cm="1">
        <f t="array" aca="1" ref="F150" ca="1">IFERROR(INDEX(_xlfn.ANCHORARRAY($AA$11),ROW()-10,6),"")</f>
        <v/>
      </c>
      <c r="G150" s="22" t="str" cm="1">
        <f t="array" aca="1" ref="G150" ca="1">IFERROR(INDEX(_xlfn.ANCHORARRAY($AA$11),ROW()-10,7),"")</f>
        <v/>
      </c>
      <c r="H150" s="22" t="str" cm="1">
        <f t="array" aca="1" ref="H150" ca="1">IFERROR(INDEX(_xlfn.ANCHORARRAY($AA$11),ROW()-10,8),"")</f>
        <v/>
      </c>
      <c r="I150" s="22" t="str" cm="1">
        <f t="array" aca="1" ref="I150" ca="1">IFERROR(INDEX(_xlfn.ANCHORARRAY($AA$11),ROW()-10,9),"")</f>
        <v/>
      </c>
      <c r="J150" s="22" t="str">
        <f t="shared" ca="1" si="10"/>
        <v/>
      </c>
      <c r="K150" s="22" t="str">
        <f t="shared" ca="1" si="11"/>
        <v/>
      </c>
      <c r="L150" s="22" t="str" cm="1">
        <f t="array" aca="1" ref="L150" ca="1">_xlfn.LET(_xlpm.link,IFERROR(INDEX(_xlfn.ANCHORARRAY($AA$11),ROW()-10,12),""),IF(_xlpm.link="","",HYPERLINK(_xlpm.link,"Bluecore/Attentive")))</f>
        <v/>
      </c>
      <c r="M150" s="9"/>
      <c r="N150" s="9"/>
      <c r="O150" s="9"/>
      <c r="P150" s="9"/>
      <c r="Q150" s="9"/>
      <c r="R150" s="9"/>
      <c r="S150" s="8"/>
      <c r="T150" s="8"/>
      <c r="U150" s="8"/>
      <c r="V150" s="8"/>
      <c r="W150" s="8"/>
      <c r="X150" s="8"/>
      <c r="Y150" s="8"/>
      <c r="Z150" s="8"/>
      <c r="AA150"/>
      <c r="AB150"/>
      <c r="AC150"/>
      <c r="AD150"/>
      <c r="AE150"/>
      <c r="AF150"/>
      <c r="AG150"/>
      <c r="AH150"/>
      <c r="AI150"/>
      <c r="AJ150"/>
      <c r="AK150"/>
      <c r="AL150"/>
    </row>
    <row r="151" spans="1:38">
      <c r="A151" s="64" t="str" cm="1">
        <f t="array" aca="1" ref="A151" ca="1">IFERROR(INDEX(_xlfn.ANCHORARRAY($AA$11),ROW()-10,1),"")</f>
        <v/>
      </c>
      <c r="B151" s="31" t="str" cm="1">
        <f t="array" aca="1" ref="B151" ca="1">IFERROR(INDEX(_xlfn.ANCHORARRAY($AA$11),ROW()-10,2),"")</f>
        <v/>
      </c>
      <c r="C151" s="22" t="str" cm="1">
        <f t="array" aca="1" ref="C151" ca="1">IFERROR(INDEX(_xlfn.ANCHORARRAY($AA$11),ROW()-10,3),"")</f>
        <v/>
      </c>
      <c r="D151" s="22" t="str" cm="1">
        <f t="array" aca="1" ref="D151" ca="1">IFERROR(INDEX(_xlfn.ANCHORARRAY($AA$11),ROW()-10,4),"")</f>
        <v/>
      </c>
      <c r="E151" s="22" t="str" cm="1">
        <f t="array" aca="1" ref="E151" ca="1">IFERROR(INDEX(_xlfn.ANCHORARRAY($AA$11),ROW()-10,5),"")</f>
        <v/>
      </c>
      <c r="F151" s="22" t="str" cm="1">
        <f t="array" aca="1" ref="F151" ca="1">IFERROR(INDEX(_xlfn.ANCHORARRAY($AA$11),ROW()-10,6),"")</f>
        <v/>
      </c>
      <c r="G151" s="22" t="str" cm="1">
        <f t="array" aca="1" ref="G151" ca="1">IFERROR(INDEX(_xlfn.ANCHORARRAY($AA$11),ROW()-10,7),"")</f>
        <v/>
      </c>
      <c r="H151" s="22" t="str" cm="1">
        <f t="array" aca="1" ref="H151" ca="1">IFERROR(INDEX(_xlfn.ANCHORARRAY($AA$11),ROW()-10,8),"")</f>
        <v/>
      </c>
      <c r="I151" s="22" t="str" cm="1">
        <f t="array" aca="1" ref="I151" ca="1">IFERROR(INDEX(_xlfn.ANCHORARRAY($AA$11),ROW()-10,9),"")</f>
        <v/>
      </c>
      <c r="J151" s="22" t="str">
        <f t="shared" ca="1" si="10"/>
        <v/>
      </c>
      <c r="K151" s="22" t="str">
        <f t="shared" ca="1" si="11"/>
        <v/>
      </c>
      <c r="L151" s="22" t="str" cm="1">
        <f t="array" aca="1" ref="L151" ca="1">_xlfn.LET(_xlpm.link,IFERROR(INDEX(_xlfn.ANCHORARRAY($AA$11),ROW()-10,12),""),IF(_xlpm.link="","",HYPERLINK(_xlpm.link,"Bluecore/Attentive")))</f>
        <v/>
      </c>
      <c r="M151" s="9"/>
      <c r="N151" s="9"/>
      <c r="O151" s="9"/>
      <c r="P151" s="9"/>
      <c r="Q151" s="9"/>
      <c r="R151" s="9"/>
      <c r="S151" s="8"/>
      <c r="T151" s="8"/>
      <c r="U151" s="8"/>
      <c r="V151" s="8"/>
      <c r="W151" s="8"/>
      <c r="X151" s="8"/>
      <c r="Y151" s="8"/>
      <c r="Z151" s="8"/>
      <c r="AA151"/>
      <c r="AB151"/>
      <c r="AC151"/>
      <c r="AD151"/>
      <c r="AE151"/>
      <c r="AF151"/>
      <c r="AG151"/>
      <c r="AH151"/>
      <c r="AI151"/>
      <c r="AJ151"/>
      <c r="AK151"/>
      <c r="AL151"/>
    </row>
    <row r="152" spans="1:38">
      <c r="A152" s="64" t="str" cm="1">
        <f t="array" aca="1" ref="A152" ca="1">IFERROR(INDEX(_xlfn.ANCHORARRAY($AA$11),ROW()-10,1),"")</f>
        <v/>
      </c>
      <c r="B152" s="31" t="str" cm="1">
        <f t="array" aca="1" ref="B152" ca="1">IFERROR(INDEX(_xlfn.ANCHORARRAY($AA$11),ROW()-10,2),"")</f>
        <v/>
      </c>
      <c r="C152" s="22" t="str" cm="1">
        <f t="array" aca="1" ref="C152" ca="1">IFERROR(INDEX(_xlfn.ANCHORARRAY($AA$11),ROW()-10,3),"")</f>
        <v/>
      </c>
      <c r="D152" s="22" t="str" cm="1">
        <f t="array" aca="1" ref="D152" ca="1">IFERROR(INDEX(_xlfn.ANCHORARRAY($AA$11),ROW()-10,4),"")</f>
        <v/>
      </c>
      <c r="E152" s="22" t="str" cm="1">
        <f t="array" aca="1" ref="E152" ca="1">IFERROR(INDEX(_xlfn.ANCHORARRAY($AA$11),ROW()-10,5),"")</f>
        <v/>
      </c>
      <c r="F152" s="22" t="str" cm="1">
        <f t="array" aca="1" ref="F152" ca="1">IFERROR(INDEX(_xlfn.ANCHORARRAY($AA$11),ROW()-10,6),"")</f>
        <v/>
      </c>
      <c r="G152" s="22" t="str" cm="1">
        <f t="array" aca="1" ref="G152" ca="1">IFERROR(INDEX(_xlfn.ANCHORARRAY($AA$11),ROW()-10,7),"")</f>
        <v/>
      </c>
      <c r="H152" s="22" t="str" cm="1">
        <f t="array" aca="1" ref="H152" ca="1">IFERROR(INDEX(_xlfn.ANCHORARRAY($AA$11),ROW()-10,8),"")</f>
        <v/>
      </c>
      <c r="I152" s="22" t="str" cm="1">
        <f t="array" aca="1" ref="I152" ca="1">IFERROR(INDEX(_xlfn.ANCHORARRAY($AA$11),ROW()-10,9),"")</f>
        <v/>
      </c>
      <c r="J152" s="22" t="str">
        <f t="shared" ca="1" si="10"/>
        <v/>
      </c>
      <c r="K152" s="22" t="str">
        <f t="shared" ca="1" si="11"/>
        <v/>
      </c>
      <c r="L152" s="22" t="str" cm="1">
        <f t="array" aca="1" ref="L152" ca="1">_xlfn.LET(_xlpm.link,IFERROR(INDEX(_xlfn.ANCHORARRAY($AA$11),ROW()-10,12),""),IF(_xlpm.link="","",HYPERLINK(_xlpm.link,"Bluecore/Attentive")))</f>
        <v/>
      </c>
      <c r="M152" s="9"/>
      <c r="N152" s="9"/>
      <c r="O152" s="9"/>
      <c r="P152" s="9"/>
      <c r="Q152" s="9"/>
      <c r="R152" s="9"/>
      <c r="S152" s="8"/>
      <c r="T152" s="8"/>
      <c r="U152" s="8"/>
      <c r="V152" s="8"/>
      <c r="W152" s="8"/>
      <c r="X152" s="8"/>
      <c r="Y152" s="8"/>
      <c r="Z152" s="8"/>
      <c r="AA152"/>
      <c r="AB152"/>
      <c r="AC152"/>
      <c r="AD152"/>
      <c r="AE152"/>
      <c r="AF152"/>
      <c r="AG152"/>
      <c r="AH152"/>
      <c r="AI152"/>
      <c r="AJ152"/>
      <c r="AK152"/>
      <c r="AL152"/>
    </row>
    <row r="153" spans="1:38">
      <c r="A153" s="64" t="str" cm="1">
        <f t="array" aca="1" ref="A153" ca="1">IFERROR(INDEX(_xlfn.ANCHORARRAY($AA$11),ROW()-10,1),"")</f>
        <v/>
      </c>
      <c r="B153" s="31" t="str" cm="1">
        <f t="array" aca="1" ref="B153" ca="1">IFERROR(INDEX(_xlfn.ANCHORARRAY($AA$11),ROW()-10,2),"")</f>
        <v/>
      </c>
      <c r="C153" s="22" t="str" cm="1">
        <f t="array" aca="1" ref="C153" ca="1">IFERROR(INDEX(_xlfn.ANCHORARRAY($AA$11),ROW()-10,3),"")</f>
        <v/>
      </c>
      <c r="D153" s="22" t="str" cm="1">
        <f t="array" aca="1" ref="D153" ca="1">IFERROR(INDEX(_xlfn.ANCHORARRAY($AA$11),ROW()-10,4),"")</f>
        <v/>
      </c>
      <c r="E153" s="22" t="str" cm="1">
        <f t="array" aca="1" ref="E153" ca="1">IFERROR(INDEX(_xlfn.ANCHORARRAY($AA$11),ROW()-10,5),"")</f>
        <v/>
      </c>
      <c r="F153" s="22" t="str" cm="1">
        <f t="array" aca="1" ref="F153" ca="1">IFERROR(INDEX(_xlfn.ANCHORARRAY($AA$11),ROW()-10,6),"")</f>
        <v/>
      </c>
      <c r="G153" s="22" t="str" cm="1">
        <f t="array" aca="1" ref="G153" ca="1">IFERROR(INDEX(_xlfn.ANCHORARRAY($AA$11),ROW()-10,7),"")</f>
        <v/>
      </c>
      <c r="H153" s="22" t="str" cm="1">
        <f t="array" aca="1" ref="H153" ca="1">IFERROR(INDEX(_xlfn.ANCHORARRAY($AA$11),ROW()-10,8),"")</f>
        <v/>
      </c>
      <c r="I153" s="22" t="str" cm="1">
        <f t="array" aca="1" ref="I153" ca="1">IFERROR(INDEX(_xlfn.ANCHORARRAY($AA$11),ROW()-10,9),"")</f>
        <v/>
      </c>
      <c r="J153" s="22" t="str">
        <f t="shared" ca="1" si="10"/>
        <v/>
      </c>
      <c r="K153" s="22" t="str">
        <f t="shared" ca="1" si="11"/>
        <v/>
      </c>
      <c r="L153" s="22" t="str" cm="1">
        <f t="array" aca="1" ref="L153" ca="1">_xlfn.LET(_xlpm.link,IFERROR(INDEX(_xlfn.ANCHORARRAY($AA$11),ROW()-10,12),""),IF(_xlpm.link="","",HYPERLINK(_xlpm.link,"Bluecore/Attentive")))</f>
        <v/>
      </c>
      <c r="M153" s="9"/>
      <c r="N153" s="9"/>
      <c r="O153" s="9"/>
      <c r="P153" s="9"/>
      <c r="Q153" s="9"/>
      <c r="R153" s="9"/>
      <c r="S153" s="8"/>
      <c r="T153" s="8"/>
      <c r="U153" s="8"/>
      <c r="V153" s="8"/>
      <c r="W153" s="8"/>
      <c r="X153" s="8"/>
      <c r="Y153" s="8"/>
      <c r="Z153" s="8"/>
      <c r="AA153"/>
      <c r="AB153"/>
      <c r="AC153"/>
      <c r="AD153"/>
      <c r="AE153"/>
      <c r="AF153"/>
      <c r="AG153"/>
      <c r="AH153"/>
      <c r="AI153"/>
      <c r="AJ153"/>
      <c r="AK153"/>
      <c r="AL153"/>
    </row>
    <row r="154" spans="1:38">
      <c r="A154" s="64" t="str" cm="1">
        <f t="array" aca="1" ref="A154" ca="1">IFERROR(INDEX(_xlfn.ANCHORARRAY($AA$11),ROW()-10,1),"")</f>
        <v/>
      </c>
      <c r="B154" s="31" t="str" cm="1">
        <f t="array" aca="1" ref="B154" ca="1">IFERROR(INDEX(_xlfn.ANCHORARRAY($AA$11),ROW()-10,2),"")</f>
        <v/>
      </c>
      <c r="C154" s="22" t="str" cm="1">
        <f t="array" aca="1" ref="C154" ca="1">IFERROR(INDEX(_xlfn.ANCHORARRAY($AA$11),ROW()-10,3),"")</f>
        <v/>
      </c>
      <c r="D154" s="22" t="str" cm="1">
        <f t="array" aca="1" ref="D154" ca="1">IFERROR(INDEX(_xlfn.ANCHORARRAY($AA$11),ROW()-10,4),"")</f>
        <v/>
      </c>
      <c r="E154" s="22" t="str" cm="1">
        <f t="array" aca="1" ref="E154" ca="1">IFERROR(INDEX(_xlfn.ANCHORARRAY($AA$11),ROW()-10,5),"")</f>
        <v/>
      </c>
      <c r="F154" s="22" t="str" cm="1">
        <f t="array" aca="1" ref="F154" ca="1">IFERROR(INDEX(_xlfn.ANCHORARRAY($AA$11),ROW()-10,6),"")</f>
        <v/>
      </c>
      <c r="G154" s="22" t="str" cm="1">
        <f t="array" aca="1" ref="G154" ca="1">IFERROR(INDEX(_xlfn.ANCHORARRAY($AA$11),ROW()-10,7),"")</f>
        <v/>
      </c>
      <c r="H154" s="22" t="str" cm="1">
        <f t="array" aca="1" ref="H154" ca="1">IFERROR(INDEX(_xlfn.ANCHORARRAY($AA$11),ROW()-10,8),"")</f>
        <v/>
      </c>
      <c r="I154" s="22" t="str" cm="1">
        <f t="array" aca="1" ref="I154" ca="1">IFERROR(INDEX(_xlfn.ANCHORARRAY($AA$11),ROW()-10,9),"")</f>
        <v/>
      </c>
      <c r="J154" s="22" t="str">
        <f t="shared" ca="1" si="10"/>
        <v/>
      </c>
      <c r="K154" s="22" t="str">
        <f t="shared" ca="1" si="11"/>
        <v/>
      </c>
      <c r="L154" s="22" t="str" cm="1">
        <f t="array" aca="1" ref="L154" ca="1">_xlfn.LET(_xlpm.link,IFERROR(INDEX(_xlfn.ANCHORARRAY($AA$11),ROW()-10,12),""),IF(_xlpm.link="","",HYPERLINK(_xlpm.link,"Bluecore/Attentive")))</f>
        <v/>
      </c>
      <c r="M154" s="9"/>
      <c r="N154" s="9"/>
      <c r="O154" s="9"/>
      <c r="P154" s="9"/>
      <c r="Q154" s="9"/>
      <c r="R154" s="9"/>
      <c r="S154" s="8"/>
      <c r="T154" s="8"/>
      <c r="U154" s="8"/>
      <c r="V154" s="8"/>
      <c r="W154" s="8"/>
      <c r="X154" s="8"/>
      <c r="Y154" s="8"/>
      <c r="Z154" s="8"/>
      <c r="AA154"/>
      <c r="AB154"/>
      <c r="AC154"/>
      <c r="AD154"/>
      <c r="AE154"/>
      <c r="AF154"/>
      <c r="AG154"/>
      <c r="AH154"/>
      <c r="AI154"/>
      <c r="AJ154"/>
      <c r="AK154"/>
      <c r="AL154"/>
    </row>
    <row r="155" spans="1:38">
      <c r="A155" s="64" t="str" cm="1">
        <f t="array" aca="1" ref="A155" ca="1">IFERROR(INDEX(_xlfn.ANCHORARRAY($AA$11),ROW()-10,1),"")</f>
        <v/>
      </c>
      <c r="B155" s="31" t="str" cm="1">
        <f t="array" aca="1" ref="B155" ca="1">IFERROR(INDEX(_xlfn.ANCHORARRAY($AA$11),ROW()-10,2),"")</f>
        <v/>
      </c>
      <c r="C155" s="22" t="str" cm="1">
        <f t="array" aca="1" ref="C155" ca="1">IFERROR(INDEX(_xlfn.ANCHORARRAY($AA$11),ROW()-10,3),"")</f>
        <v/>
      </c>
      <c r="D155" s="22" t="str" cm="1">
        <f t="array" aca="1" ref="D155" ca="1">IFERROR(INDEX(_xlfn.ANCHORARRAY($AA$11),ROW()-10,4),"")</f>
        <v/>
      </c>
      <c r="E155" s="22" t="str" cm="1">
        <f t="array" aca="1" ref="E155" ca="1">IFERROR(INDEX(_xlfn.ANCHORARRAY($AA$11),ROW()-10,5),"")</f>
        <v/>
      </c>
      <c r="F155" s="22" t="str" cm="1">
        <f t="array" aca="1" ref="F155" ca="1">IFERROR(INDEX(_xlfn.ANCHORARRAY($AA$11),ROW()-10,6),"")</f>
        <v/>
      </c>
      <c r="G155" s="22" t="str" cm="1">
        <f t="array" aca="1" ref="G155" ca="1">IFERROR(INDEX(_xlfn.ANCHORARRAY($AA$11),ROW()-10,7),"")</f>
        <v/>
      </c>
      <c r="H155" s="22" t="str" cm="1">
        <f t="array" aca="1" ref="H155" ca="1">IFERROR(INDEX(_xlfn.ANCHORARRAY($AA$11),ROW()-10,8),"")</f>
        <v/>
      </c>
      <c r="I155" s="22" t="str" cm="1">
        <f t="array" aca="1" ref="I155" ca="1">IFERROR(INDEX(_xlfn.ANCHORARRAY($AA$11),ROW()-10,9),"")</f>
        <v/>
      </c>
      <c r="J155" s="22" t="str">
        <f t="shared" ca="1" si="10"/>
        <v/>
      </c>
      <c r="K155" s="22" t="str">
        <f t="shared" ca="1" si="11"/>
        <v/>
      </c>
      <c r="L155" s="22" t="str" cm="1">
        <f t="array" aca="1" ref="L155" ca="1">_xlfn.LET(_xlpm.link,IFERROR(INDEX(_xlfn.ANCHORARRAY($AA$11),ROW()-10,12),""),IF(_xlpm.link="","",HYPERLINK(_xlpm.link,"Bluecore/Attentive")))</f>
        <v/>
      </c>
      <c r="M155" s="9"/>
      <c r="N155" s="9"/>
      <c r="O155" s="9"/>
      <c r="P155" s="9"/>
      <c r="Q155" s="9"/>
      <c r="R155" s="9"/>
      <c r="S155" s="8"/>
      <c r="T155" s="8"/>
      <c r="U155" s="8"/>
      <c r="V155" s="8"/>
      <c r="W155" s="8"/>
      <c r="X155" s="8"/>
      <c r="Y155" s="8"/>
      <c r="Z155" s="8"/>
      <c r="AA155"/>
      <c r="AB155"/>
      <c r="AC155"/>
      <c r="AD155"/>
      <c r="AE155"/>
      <c r="AF155"/>
      <c r="AG155"/>
      <c r="AH155"/>
      <c r="AI155"/>
      <c r="AJ155"/>
      <c r="AK155"/>
      <c r="AL155"/>
    </row>
    <row r="156" spans="1:38">
      <c r="A156" s="64" t="str" cm="1">
        <f t="array" aca="1" ref="A156" ca="1">IFERROR(INDEX(_xlfn.ANCHORARRAY($AA$11),ROW()-10,1),"")</f>
        <v/>
      </c>
      <c r="B156" s="31" t="str" cm="1">
        <f t="array" aca="1" ref="B156" ca="1">IFERROR(INDEX(_xlfn.ANCHORARRAY($AA$11),ROW()-10,2),"")</f>
        <v/>
      </c>
      <c r="C156" s="22" t="str" cm="1">
        <f t="array" aca="1" ref="C156" ca="1">IFERROR(INDEX(_xlfn.ANCHORARRAY($AA$11),ROW()-10,3),"")</f>
        <v/>
      </c>
      <c r="D156" s="22" t="str" cm="1">
        <f t="array" aca="1" ref="D156" ca="1">IFERROR(INDEX(_xlfn.ANCHORARRAY($AA$11),ROW()-10,4),"")</f>
        <v/>
      </c>
      <c r="E156" s="22" t="str" cm="1">
        <f t="array" aca="1" ref="E156" ca="1">IFERROR(INDEX(_xlfn.ANCHORARRAY($AA$11),ROW()-10,5),"")</f>
        <v/>
      </c>
      <c r="F156" s="22" t="str" cm="1">
        <f t="array" aca="1" ref="F156" ca="1">IFERROR(INDEX(_xlfn.ANCHORARRAY($AA$11),ROW()-10,6),"")</f>
        <v/>
      </c>
      <c r="G156" s="22" t="str" cm="1">
        <f t="array" aca="1" ref="G156" ca="1">IFERROR(INDEX(_xlfn.ANCHORARRAY($AA$11),ROW()-10,7),"")</f>
        <v/>
      </c>
      <c r="H156" s="22" t="str" cm="1">
        <f t="array" aca="1" ref="H156" ca="1">IFERROR(INDEX(_xlfn.ANCHORARRAY($AA$11),ROW()-10,8),"")</f>
        <v/>
      </c>
      <c r="I156" s="22" t="str" cm="1">
        <f t="array" aca="1" ref="I156" ca="1">IFERROR(INDEX(_xlfn.ANCHORARRAY($AA$11),ROW()-10,9),"")</f>
        <v/>
      </c>
      <c r="J156" s="22" t="str">
        <f t="shared" ca="1" si="10"/>
        <v/>
      </c>
      <c r="K156" s="22" t="str">
        <f t="shared" ca="1" si="11"/>
        <v/>
      </c>
      <c r="L156" s="22" t="str" cm="1">
        <f t="array" aca="1" ref="L156" ca="1">_xlfn.LET(_xlpm.link,IFERROR(INDEX(_xlfn.ANCHORARRAY($AA$11),ROW()-10,12),""),IF(_xlpm.link="","",HYPERLINK(_xlpm.link,"Bluecore/Attentive")))</f>
        <v/>
      </c>
      <c r="M156" s="9"/>
      <c r="N156" s="9"/>
      <c r="O156" s="9"/>
      <c r="P156" s="9"/>
      <c r="Q156" s="9"/>
      <c r="R156" s="9"/>
      <c r="S156" s="8"/>
      <c r="T156" s="8"/>
      <c r="U156" s="8"/>
      <c r="V156" s="8"/>
      <c r="W156" s="8"/>
      <c r="X156" s="8"/>
      <c r="Y156" s="8"/>
      <c r="Z156" s="8"/>
      <c r="AA156"/>
      <c r="AB156"/>
      <c r="AC156"/>
      <c r="AD156"/>
      <c r="AE156"/>
      <c r="AF156"/>
      <c r="AG156"/>
      <c r="AH156"/>
      <c r="AI156"/>
      <c r="AJ156"/>
      <c r="AK156"/>
      <c r="AL156"/>
    </row>
    <row r="157" spans="1:38">
      <c r="A157" s="64" t="str" cm="1">
        <f t="array" aca="1" ref="A157" ca="1">IFERROR(INDEX(_xlfn.ANCHORARRAY($AA$11),ROW()-10,1),"")</f>
        <v/>
      </c>
      <c r="B157" s="31" t="str" cm="1">
        <f t="array" aca="1" ref="B157" ca="1">IFERROR(INDEX(_xlfn.ANCHORARRAY($AA$11),ROW()-10,2),"")</f>
        <v/>
      </c>
      <c r="C157" s="22" t="str" cm="1">
        <f t="array" aca="1" ref="C157" ca="1">IFERROR(INDEX(_xlfn.ANCHORARRAY($AA$11),ROW()-10,3),"")</f>
        <v/>
      </c>
      <c r="D157" s="22" t="str" cm="1">
        <f t="array" aca="1" ref="D157" ca="1">IFERROR(INDEX(_xlfn.ANCHORARRAY($AA$11),ROW()-10,4),"")</f>
        <v/>
      </c>
      <c r="E157" s="22" t="str" cm="1">
        <f t="array" aca="1" ref="E157" ca="1">IFERROR(INDEX(_xlfn.ANCHORARRAY($AA$11),ROW()-10,5),"")</f>
        <v/>
      </c>
      <c r="F157" s="22" t="str" cm="1">
        <f t="array" aca="1" ref="F157" ca="1">IFERROR(INDEX(_xlfn.ANCHORARRAY($AA$11),ROW()-10,6),"")</f>
        <v/>
      </c>
      <c r="G157" s="22" t="str" cm="1">
        <f t="array" aca="1" ref="G157" ca="1">IFERROR(INDEX(_xlfn.ANCHORARRAY($AA$11),ROW()-10,7),"")</f>
        <v/>
      </c>
      <c r="H157" s="22" t="str" cm="1">
        <f t="array" aca="1" ref="H157" ca="1">IFERROR(INDEX(_xlfn.ANCHORARRAY($AA$11),ROW()-10,8),"")</f>
        <v/>
      </c>
      <c r="I157" s="22" t="str" cm="1">
        <f t="array" aca="1" ref="I157" ca="1">IFERROR(INDEX(_xlfn.ANCHORARRAY($AA$11),ROW()-10,9),"")</f>
        <v/>
      </c>
      <c r="J157" s="22" t="str">
        <f t="shared" ca="1" si="10"/>
        <v/>
      </c>
      <c r="K157" s="22" t="str">
        <f t="shared" ca="1" si="11"/>
        <v/>
      </c>
      <c r="L157" s="22" t="str" cm="1">
        <f t="array" aca="1" ref="L157" ca="1">_xlfn.LET(_xlpm.link,IFERROR(INDEX(_xlfn.ANCHORARRAY($AA$11),ROW()-10,12),""),IF(_xlpm.link="","",HYPERLINK(_xlpm.link,"Bluecore/Attentive")))</f>
        <v/>
      </c>
      <c r="M157" s="9"/>
      <c r="N157" s="9"/>
      <c r="O157" s="9"/>
      <c r="P157" s="9"/>
      <c r="Q157" s="9"/>
      <c r="R157" s="9"/>
      <c r="S157" s="8"/>
      <c r="T157" s="8"/>
      <c r="U157" s="8"/>
      <c r="V157" s="8"/>
      <c r="W157" s="8"/>
      <c r="X157" s="8"/>
      <c r="Y157" s="8"/>
      <c r="Z157" s="8"/>
      <c r="AA157"/>
      <c r="AB157"/>
      <c r="AC157"/>
      <c r="AD157"/>
      <c r="AE157"/>
      <c r="AF157"/>
      <c r="AG157"/>
      <c r="AH157"/>
      <c r="AI157"/>
      <c r="AJ157"/>
      <c r="AK157"/>
      <c r="AL157"/>
    </row>
    <row r="158" spans="1:38">
      <c r="A158" s="64" t="str" cm="1">
        <f t="array" aca="1" ref="A158" ca="1">IFERROR(INDEX(_xlfn.ANCHORARRAY($AA$11),ROW()-10,1),"")</f>
        <v/>
      </c>
      <c r="B158" s="31" t="str" cm="1">
        <f t="array" aca="1" ref="B158" ca="1">IFERROR(INDEX(_xlfn.ANCHORARRAY($AA$11),ROW()-10,2),"")</f>
        <v/>
      </c>
      <c r="C158" s="22" t="str" cm="1">
        <f t="array" aca="1" ref="C158" ca="1">IFERROR(INDEX(_xlfn.ANCHORARRAY($AA$11),ROW()-10,3),"")</f>
        <v/>
      </c>
      <c r="D158" s="22" t="str" cm="1">
        <f t="array" aca="1" ref="D158" ca="1">IFERROR(INDEX(_xlfn.ANCHORARRAY($AA$11),ROW()-10,4),"")</f>
        <v/>
      </c>
      <c r="E158" s="22" t="str" cm="1">
        <f t="array" aca="1" ref="E158" ca="1">IFERROR(INDEX(_xlfn.ANCHORARRAY($AA$11),ROW()-10,5),"")</f>
        <v/>
      </c>
      <c r="F158" s="22" t="str" cm="1">
        <f t="array" aca="1" ref="F158" ca="1">IFERROR(INDEX(_xlfn.ANCHORARRAY($AA$11),ROW()-10,6),"")</f>
        <v/>
      </c>
      <c r="G158" s="22" t="str" cm="1">
        <f t="array" aca="1" ref="G158" ca="1">IFERROR(INDEX(_xlfn.ANCHORARRAY($AA$11),ROW()-10,7),"")</f>
        <v/>
      </c>
      <c r="H158" s="22" t="str" cm="1">
        <f t="array" aca="1" ref="H158" ca="1">IFERROR(INDEX(_xlfn.ANCHORARRAY($AA$11),ROW()-10,8),"")</f>
        <v/>
      </c>
      <c r="I158" s="22" t="str" cm="1">
        <f t="array" aca="1" ref="I158" ca="1">IFERROR(INDEX(_xlfn.ANCHORARRAY($AA$11),ROW()-10,9),"")</f>
        <v/>
      </c>
      <c r="J158" s="22" t="str">
        <f t="shared" ca="1" si="10"/>
        <v/>
      </c>
      <c r="K158" s="22" t="str">
        <f t="shared" ca="1" si="11"/>
        <v/>
      </c>
      <c r="L158" s="22" t="str" cm="1">
        <f t="array" aca="1" ref="L158" ca="1">_xlfn.LET(_xlpm.link,IFERROR(INDEX(_xlfn.ANCHORARRAY($AA$11),ROW()-10,12),""),IF(_xlpm.link="","",HYPERLINK(_xlpm.link,"Bluecore/Attentive")))</f>
        <v/>
      </c>
      <c r="M158" s="9"/>
      <c r="N158" s="9"/>
      <c r="O158" s="9"/>
      <c r="P158" s="9"/>
      <c r="Q158" s="9"/>
      <c r="R158" s="9"/>
      <c r="S158" s="8"/>
      <c r="T158" s="8"/>
      <c r="U158" s="8"/>
      <c r="V158" s="8"/>
      <c r="W158" s="8"/>
      <c r="X158" s="8"/>
      <c r="Y158" s="8"/>
      <c r="Z158" s="8"/>
      <c r="AA158"/>
      <c r="AB158"/>
      <c r="AC158"/>
      <c r="AD158"/>
      <c r="AE158"/>
      <c r="AF158"/>
      <c r="AG158"/>
      <c r="AH158"/>
      <c r="AI158"/>
      <c r="AJ158"/>
      <c r="AK158"/>
      <c r="AL158"/>
    </row>
    <row r="159" spans="1:38">
      <c r="A159" s="64" t="str" cm="1">
        <f t="array" aca="1" ref="A159" ca="1">IFERROR(INDEX(_xlfn.ANCHORARRAY($AA$11),ROW()-10,1),"")</f>
        <v/>
      </c>
      <c r="B159" s="31" t="str" cm="1">
        <f t="array" aca="1" ref="B159" ca="1">IFERROR(INDEX(_xlfn.ANCHORARRAY($AA$11),ROW()-10,2),"")</f>
        <v/>
      </c>
      <c r="C159" s="22" t="str" cm="1">
        <f t="array" aca="1" ref="C159" ca="1">IFERROR(INDEX(_xlfn.ANCHORARRAY($AA$11),ROW()-10,3),"")</f>
        <v/>
      </c>
      <c r="D159" s="22" t="str" cm="1">
        <f t="array" aca="1" ref="D159" ca="1">IFERROR(INDEX(_xlfn.ANCHORARRAY($AA$11),ROW()-10,4),"")</f>
        <v/>
      </c>
      <c r="E159" s="22" t="str" cm="1">
        <f t="array" aca="1" ref="E159" ca="1">IFERROR(INDEX(_xlfn.ANCHORARRAY($AA$11),ROW()-10,5),"")</f>
        <v/>
      </c>
      <c r="F159" s="22" t="str" cm="1">
        <f t="array" aca="1" ref="F159" ca="1">IFERROR(INDEX(_xlfn.ANCHORARRAY($AA$11),ROW()-10,6),"")</f>
        <v/>
      </c>
      <c r="G159" s="22" t="str" cm="1">
        <f t="array" aca="1" ref="G159" ca="1">IFERROR(INDEX(_xlfn.ANCHORARRAY($AA$11),ROW()-10,7),"")</f>
        <v/>
      </c>
      <c r="H159" s="22" t="str" cm="1">
        <f t="array" aca="1" ref="H159" ca="1">IFERROR(INDEX(_xlfn.ANCHORARRAY($AA$11),ROW()-10,8),"")</f>
        <v/>
      </c>
      <c r="I159" s="22" t="str" cm="1">
        <f t="array" aca="1" ref="I159" ca="1">IFERROR(INDEX(_xlfn.ANCHORARRAY($AA$11),ROW()-10,9),"")</f>
        <v/>
      </c>
      <c r="J159" s="22" t="str">
        <f t="shared" ca="1" si="10"/>
        <v/>
      </c>
      <c r="K159" s="22" t="str">
        <f t="shared" ca="1" si="11"/>
        <v/>
      </c>
      <c r="L159" s="22" t="str" cm="1">
        <f t="array" aca="1" ref="L159" ca="1">_xlfn.LET(_xlpm.link,IFERROR(INDEX(_xlfn.ANCHORARRAY($AA$11),ROW()-10,12),""),IF(_xlpm.link="","",HYPERLINK(_xlpm.link,"Bluecore/Attentive")))</f>
        <v/>
      </c>
      <c r="M159" s="9"/>
      <c r="N159" s="9"/>
      <c r="O159" s="9"/>
      <c r="P159" s="9"/>
      <c r="Q159" s="9"/>
      <c r="R159" s="9"/>
      <c r="S159" s="8"/>
      <c r="T159" s="8"/>
      <c r="U159" s="8"/>
      <c r="V159" s="8"/>
      <c r="W159" s="8"/>
      <c r="X159" s="8"/>
      <c r="Y159" s="8"/>
      <c r="Z159" s="8"/>
      <c r="AA159"/>
      <c r="AB159"/>
      <c r="AC159"/>
      <c r="AD159"/>
      <c r="AE159"/>
      <c r="AF159"/>
      <c r="AG159"/>
      <c r="AH159"/>
      <c r="AI159"/>
      <c r="AJ159"/>
      <c r="AK159"/>
      <c r="AL159"/>
    </row>
    <row r="160" spans="1:38">
      <c r="A160" s="64" t="str" cm="1">
        <f t="array" aca="1" ref="A160" ca="1">IFERROR(INDEX(_xlfn.ANCHORARRAY($AA$11),ROW()-10,1),"")</f>
        <v/>
      </c>
      <c r="B160" s="31" t="str" cm="1">
        <f t="array" aca="1" ref="B160" ca="1">IFERROR(INDEX(_xlfn.ANCHORARRAY($AA$11),ROW()-10,2),"")</f>
        <v/>
      </c>
      <c r="C160" s="22" t="str" cm="1">
        <f t="array" aca="1" ref="C160" ca="1">IFERROR(INDEX(_xlfn.ANCHORARRAY($AA$11),ROW()-10,3),"")</f>
        <v/>
      </c>
      <c r="D160" s="22" t="str" cm="1">
        <f t="array" aca="1" ref="D160" ca="1">IFERROR(INDEX(_xlfn.ANCHORARRAY($AA$11),ROW()-10,4),"")</f>
        <v/>
      </c>
      <c r="E160" s="22" t="str" cm="1">
        <f t="array" aca="1" ref="E160" ca="1">IFERROR(INDEX(_xlfn.ANCHORARRAY($AA$11),ROW()-10,5),"")</f>
        <v/>
      </c>
      <c r="F160" s="22" t="str" cm="1">
        <f t="array" aca="1" ref="F160" ca="1">IFERROR(INDEX(_xlfn.ANCHORARRAY($AA$11),ROW()-10,6),"")</f>
        <v/>
      </c>
      <c r="G160" s="22" t="str" cm="1">
        <f t="array" aca="1" ref="G160" ca="1">IFERROR(INDEX(_xlfn.ANCHORARRAY($AA$11),ROW()-10,7),"")</f>
        <v/>
      </c>
      <c r="H160" s="22" t="str" cm="1">
        <f t="array" aca="1" ref="H160" ca="1">IFERROR(INDEX(_xlfn.ANCHORARRAY($AA$11),ROW()-10,8),"")</f>
        <v/>
      </c>
      <c r="I160" s="22" t="str" cm="1">
        <f t="array" aca="1" ref="I160" ca="1">IFERROR(INDEX(_xlfn.ANCHORARRAY($AA$11),ROW()-10,9),"")</f>
        <v/>
      </c>
      <c r="J160" s="22" t="str">
        <f t="shared" ca="1" si="10"/>
        <v/>
      </c>
      <c r="K160" s="22" t="str">
        <f t="shared" ca="1" si="11"/>
        <v/>
      </c>
      <c r="L160" s="22" t="str" cm="1">
        <f t="array" aca="1" ref="L160" ca="1">_xlfn.LET(_xlpm.link,IFERROR(INDEX(_xlfn.ANCHORARRAY($AA$11),ROW()-10,12),""),IF(_xlpm.link="","",HYPERLINK(_xlpm.link,"Bluecore/Attentive")))</f>
        <v/>
      </c>
      <c r="M160" s="9"/>
      <c r="N160" s="9"/>
      <c r="O160" s="9"/>
      <c r="P160" s="9"/>
      <c r="Q160" s="9"/>
      <c r="R160" s="9"/>
      <c r="S160" s="8"/>
      <c r="T160" s="8"/>
      <c r="U160" s="8"/>
      <c r="V160" s="8"/>
      <c r="W160" s="8"/>
      <c r="X160" s="8"/>
      <c r="Y160" s="8"/>
      <c r="Z160" s="8"/>
      <c r="AA160"/>
      <c r="AB160"/>
      <c r="AC160"/>
      <c r="AD160"/>
      <c r="AE160"/>
      <c r="AF160"/>
      <c r="AG160"/>
      <c r="AH160"/>
      <c r="AI160"/>
      <c r="AJ160"/>
      <c r="AK160"/>
      <c r="AL160"/>
    </row>
    <row r="161" spans="1:38">
      <c r="A161" s="64"/>
      <c r="B161" s="31"/>
      <c r="C161" s="22"/>
      <c r="D161" s="22"/>
      <c r="E161" s="22"/>
      <c r="G161" s="22"/>
      <c r="H161" s="22"/>
      <c r="I161" s="22"/>
      <c r="J161" s="22"/>
      <c r="K161" s="22"/>
      <c r="L161" s="22"/>
      <c r="M161" s="9"/>
      <c r="N161" s="9"/>
      <c r="O161" s="9"/>
      <c r="P161" s="9"/>
      <c r="Q161" s="9"/>
      <c r="R161" s="9"/>
      <c r="S161" s="8"/>
      <c r="T161" s="8"/>
      <c r="U161" s="8"/>
      <c r="V161" s="8"/>
      <c r="W161" s="8"/>
      <c r="X161" s="8"/>
      <c r="Y161" s="8"/>
      <c r="Z161" s="8"/>
      <c r="AA161"/>
      <c r="AB161"/>
      <c r="AC161"/>
      <c r="AD161"/>
      <c r="AE161"/>
      <c r="AF161"/>
      <c r="AG161"/>
      <c r="AH161"/>
      <c r="AI161"/>
      <c r="AJ161"/>
      <c r="AK161"/>
      <c r="AL161"/>
    </row>
    <row r="162" spans="1:38">
      <c r="A162" s="65" t="s">
        <v>111</v>
      </c>
      <c r="B162" s="32" t="s">
        <v>112</v>
      </c>
      <c r="C162" s="33">
        <f ca="1">COUNTIFS('Email Campaigns'!$A$2:$A$205,TODAY(),'Email Campaigns'!$C$2:$C$205,"&lt;&gt;")+COUNTIFS('SMS Campaigns'!$A$2:$A$201,TODAY(),'SMS Campaigns'!$C$2:$C$201,"&lt;&gt;")</f>
        <v>0</v>
      </c>
      <c r="D162" s="33" t="s">
        <v>113</v>
      </c>
      <c r="E162" s="22"/>
      <c r="G162" s="22"/>
      <c r="H162" s="22"/>
      <c r="I162" s="22"/>
      <c r="J162" s="22"/>
      <c r="K162" s="22"/>
      <c r="L162" s="22"/>
      <c r="M162" s="9"/>
      <c r="N162" s="9"/>
      <c r="O162" s="9"/>
      <c r="P162" s="9"/>
      <c r="Q162" s="9"/>
      <c r="R162" s="9"/>
      <c r="S162" s="8"/>
      <c r="T162" s="8"/>
      <c r="U162" s="8"/>
      <c r="V162" s="8"/>
      <c r="W162" s="8"/>
      <c r="X162" s="8"/>
      <c r="Y162" s="8"/>
      <c r="Z162" s="8"/>
      <c r="AA162"/>
      <c r="AB162"/>
      <c r="AC162"/>
      <c r="AD162"/>
      <c r="AE162"/>
      <c r="AF162"/>
      <c r="AG162"/>
      <c r="AH162"/>
      <c r="AI162"/>
      <c r="AJ162"/>
      <c r="AK162"/>
      <c r="AL162"/>
    </row>
    <row r="163" spans="1:38">
      <c r="A163" s="66" t="s">
        <v>71</v>
      </c>
      <c r="B163" s="34" t="s">
        <v>114</v>
      </c>
      <c r="C163" s="35">
        <f>COUNTIFS('Email Campaigns'!$C$2:$C$205,"&lt;&gt;",'Email Campaigns'!$S$2:$S$205,"&lt;=0")</f>
        <v>0</v>
      </c>
      <c r="D163" s="35" t="s">
        <v>115</v>
      </c>
      <c r="E163" s="22"/>
      <c r="G163" s="22"/>
      <c r="H163" s="22"/>
      <c r="I163" s="22"/>
      <c r="J163" s="22"/>
      <c r="K163" s="22"/>
      <c r="L163" s="22"/>
      <c r="M163" s="9"/>
      <c r="N163" s="9"/>
      <c r="O163" s="9"/>
      <c r="P163" s="9"/>
      <c r="Q163" s="9"/>
      <c r="R163" s="9"/>
      <c r="S163" s="8"/>
      <c r="T163" s="8"/>
      <c r="U163" s="8"/>
      <c r="V163" s="8"/>
      <c r="W163" s="8"/>
      <c r="X163" s="8"/>
      <c r="Y163" s="8"/>
      <c r="Z163" s="8"/>
      <c r="AA163"/>
      <c r="AB163"/>
      <c r="AC163"/>
      <c r="AD163"/>
      <c r="AE163"/>
      <c r="AF163"/>
      <c r="AG163"/>
      <c r="AH163"/>
      <c r="AI163"/>
      <c r="AJ163"/>
      <c r="AK163"/>
      <c r="AL163"/>
    </row>
    <row r="164" spans="1:38">
      <c r="A164" s="67" t="s">
        <v>72</v>
      </c>
      <c r="B164" s="36" t="s">
        <v>114</v>
      </c>
      <c r="C164" s="37">
        <f>COUNTIFS('SMS Campaigns'!$C$2:$C$201,"&lt;&gt;",'SMS Campaigns'!$N$2:$N$201,"&lt;=0")</f>
        <v>0</v>
      </c>
      <c r="D164" s="37" t="s">
        <v>116</v>
      </c>
      <c r="E164" s="22"/>
      <c r="G164" s="22"/>
      <c r="H164" s="22"/>
      <c r="I164" s="22"/>
      <c r="J164" s="22"/>
      <c r="K164" s="22"/>
      <c r="L164" s="22"/>
      <c r="M164" s="9"/>
      <c r="N164" s="9"/>
      <c r="O164" s="9"/>
      <c r="P164" s="9"/>
      <c r="Q164" s="9"/>
      <c r="R164" s="9"/>
      <c r="S164" s="8"/>
      <c r="T164" s="8"/>
      <c r="U164" s="8"/>
      <c r="V164" s="8"/>
      <c r="W164" s="8"/>
      <c r="X164" s="8"/>
      <c r="Y164" s="8"/>
      <c r="Z164" s="8"/>
      <c r="AA164"/>
      <c r="AB164"/>
      <c r="AC164"/>
      <c r="AD164"/>
      <c r="AE164"/>
      <c r="AF164"/>
      <c r="AG164"/>
      <c r="AH164"/>
      <c r="AI164"/>
      <c r="AJ164"/>
      <c r="AK164"/>
      <c r="AL164"/>
    </row>
    <row r="165" spans="1:38">
      <c r="A165" s="66" t="s">
        <v>73</v>
      </c>
      <c r="B165" s="34" t="s">
        <v>112</v>
      </c>
      <c r="C165" s="35">
        <f>COUNTIFS('Email Campaigns'!$C$2:$C$205,"&lt;&gt;",'Email Campaigns'!$M$2:$M$205,FALSE)+COUNTIFS('SMS Campaigns'!$C$2:$C$201,"&lt;&gt;",'SMS Campaigns'!$I$2:$I$201,FALSE)</f>
        <v>0</v>
      </c>
      <c r="D165" s="35" t="s">
        <v>117</v>
      </c>
      <c r="E165" s="22"/>
      <c r="G165" s="22"/>
      <c r="H165" s="22"/>
      <c r="I165" s="22"/>
      <c r="J165" s="22"/>
      <c r="K165" s="22"/>
      <c r="L165" s="22"/>
      <c r="M165" s="9"/>
      <c r="N165" s="9"/>
      <c r="O165" s="9"/>
      <c r="P165" s="9"/>
      <c r="Q165" s="9"/>
      <c r="R165" s="9"/>
      <c r="S165" s="8"/>
      <c r="T165" s="8"/>
      <c r="U165" s="8"/>
      <c r="V165" s="8"/>
      <c r="W165" s="8"/>
      <c r="X165" s="8"/>
      <c r="Y165" s="8"/>
      <c r="Z165" s="8"/>
      <c r="AA165"/>
      <c r="AB165"/>
      <c r="AC165"/>
      <c r="AD165"/>
      <c r="AE165"/>
      <c r="AF165"/>
      <c r="AG165"/>
      <c r="AH165"/>
      <c r="AI165"/>
      <c r="AJ165"/>
      <c r="AK165"/>
      <c r="AL165"/>
    </row>
    <row r="166" spans="1:38">
      <c r="A166" s="67" t="s">
        <v>74</v>
      </c>
      <c r="B166" s="36" t="s">
        <v>118</v>
      </c>
      <c r="C166" s="37">
        <f>COUNTIF('Email Campaigns'!$S$2:$S$205,"&gt;0")+COUNTIF('SMS Campaigns'!$N$2:$N$201,"&gt;0")</f>
        <v>14</v>
      </c>
      <c r="D166" s="37" t="s">
        <v>119</v>
      </c>
      <c r="E166" s="22"/>
      <c r="G166" s="22"/>
      <c r="H166" s="22"/>
      <c r="I166" s="22"/>
      <c r="J166" s="22"/>
      <c r="K166" s="22"/>
      <c r="L166" s="22"/>
      <c r="M166" s="9"/>
      <c r="N166" s="9"/>
      <c r="O166" s="9"/>
      <c r="P166" s="9"/>
      <c r="Q166" s="9"/>
      <c r="R166" s="9"/>
      <c r="S166" s="8"/>
      <c r="T166" s="8"/>
      <c r="U166" s="8"/>
      <c r="V166" s="8"/>
      <c r="W166" s="8"/>
      <c r="X166" s="8"/>
      <c r="Y166" s="8"/>
      <c r="Z166" s="8"/>
      <c r="AA166"/>
      <c r="AB166"/>
      <c r="AC166"/>
      <c r="AD166"/>
      <c r="AE166"/>
      <c r="AF166"/>
      <c r="AG166"/>
      <c r="AH166"/>
      <c r="AI166"/>
      <c r="AJ166"/>
      <c r="AK166"/>
      <c r="AL166"/>
    </row>
    <row r="167" spans="1:38">
      <c r="A167" s="64"/>
      <c r="B167" s="31"/>
      <c r="C167" s="22"/>
      <c r="D167" s="22"/>
      <c r="E167" s="22"/>
      <c r="G167" s="22"/>
      <c r="H167" s="22"/>
      <c r="I167" s="22"/>
      <c r="J167" s="22"/>
      <c r="K167" s="22"/>
      <c r="L167" s="22"/>
      <c r="M167" s="9"/>
      <c r="N167" s="9"/>
      <c r="O167" s="9"/>
      <c r="P167" s="9"/>
      <c r="Q167" s="9"/>
      <c r="R167" s="9"/>
      <c r="S167" s="8"/>
      <c r="T167" s="8"/>
      <c r="U167" s="8"/>
      <c r="V167" s="8"/>
      <c r="W167" s="8"/>
      <c r="X167" s="8"/>
      <c r="Y167" s="8"/>
      <c r="Z167" s="8"/>
      <c r="AA167"/>
      <c r="AB167"/>
      <c r="AC167"/>
      <c r="AD167"/>
      <c r="AE167"/>
      <c r="AF167"/>
      <c r="AG167"/>
      <c r="AH167"/>
      <c r="AI167"/>
      <c r="AJ167"/>
      <c r="AK167"/>
      <c r="AL167"/>
    </row>
    <row r="168" spans="1:38">
      <c r="A168" s="64"/>
      <c r="B168" s="31"/>
      <c r="C168" s="22"/>
      <c r="D168" s="22"/>
      <c r="E168" s="22"/>
      <c r="G168" s="22"/>
      <c r="H168" s="22"/>
      <c r="I168" s="22"/>
      <c r="J168" s="22"/>
      <c r="K168" s="22"/>
      <c r="L168" s="22"/>
      <c r="M168" s="9"/>
      <c r="N168" s="9"/>
      <c r="O168" s="9"/>
      <c r="P168" s="9"/>
      <c r="Q168" s="9"/>
      <c r="R168" s="9"/>
      <c r="S168" s="8"/>
      <c r="T168" s="8"/>
      <c r="U168" s="8"/>
      <c r="V168" s="8"/>
      <c r="W168" s="8"/>
      <c r="X168" s="8"/>
      <c r="Y168" s="8"/>
      <c r="Z168" s="8"/>
      <c r="AA168"/>
      <c r="AB168"/>
      <c r="AC168"/>
      <c r="AD168"/>
      <c r="AE168"/>
      <c r="AF168"/>
      <c r="AG168"/>
      <c r="AH168"/>
      <c r="AI168"/>
      <c r="AJ168"/>
      <c r="AK168"/>
      <c r="AL168"/>
    </row>
    <row r="169" spans="1:38">
      <c r="A169" s="64"/>
      <c r="B169" s="31"/>
      <c r="C169" s="22"/>
      <c r="D169" s="22"/>
      <c r="E169" s="22"/>
      <c r="G169" s="22"/>
      <c r="H169" s="22"/>
      <c r="I169" s="22"/>
      <c r="J169" s="22"/>
      <c r="K169" s="22"/>
      <c r="L169" s="22"/>
      <c r="M169" s="9"/>
      <c r="N169" s="9"/>
      <c r="O169" s="9"/>
      <c r="P169" s="9"/>
      <c r="Q169" s="9"/>
      <c r="R169" s="9"/>
      <c r="S169" s="8"/>
      <c r="T169" s="8"/>
      <c r="U169" s="8"/>
      <c r="V169" s="8"/>
      <c r="W169" s="8"/>
      <c r="X169" s="8"/>
      <c r="Y169" s="8"/>
      <c r="Z169" s="8"/>
      <c r="AA169"/>
      <c r="AB169"/>
      <c r="AC169"/>
      <c r="AD169"/>
      <c r="AE169"/>
      <c r="AF169"/>
      <c r="AG169"/>
      <c r="AH169"/>
      <c r="AI169"/>
      <c r="AJ169"/>
      <c r="AK169"/>
      <c r="AL169"/>
    </row>
    <row r="170" spans="1:38">
      <c r="A170" s="64"/>
      <c r="B170" s="31"/>
      <c r="C170" s="22"/>
      <c r="D170" s="22"/>
      <c r="E170" s="22"/>
      <c r="G170" s="22"/>
      <c r="H170" s="22"/>
      <c r="I170" s="22"/>
      <c r="J170" s="22"/>
      <c r="K170" s="22"/>
      <c r="L170" s="22"/>
      <c r="M170" s="9"/>
      <c r="N170" s="9"/>
      <c r="O170" s="9"/>
      <c r="P170" s="9"/>
      <c r="Q170" s="9"/>
      <c r="R170" s="9"/>
      <c r="S170" s="8"/>
      <c r="T170" s="8"/>
      <c r="U170" s="8"/>
      <c r="V170" s="8"/>
      <c r="W170" s="8"/>
      <c r="X170" s="8"/>
      <c r="Y170" s="8"/>
      <c r="Z170" s="8"/>
      <c r="AA170"/>
      <c r="AB170"/>
      <c r="AC170"/>
      <c r="AD170"/>
      <c r="AE170"/>
      <c r="AF170"/>
      <c r="AG170"/>
      <c r="AH170"/>
      <c r="AI170"/>
      <c r="AJ170"/>
      <c r="AK170"/>
      <c r="AL170"/>
    </row>
    <row r="171" spans="1:38">
      <c r="A171" s="64"/>
      <c r="B171" s="31"/>
      <c r="C171" s="22"/>
      <c r="D171" s="22"/>
      <c r="E171" s="22"/>
      <c r="G171" s="22"/>
      <c r="H171" s="22"/>
      <c r="I171" s="22"/>
      <c r="J171" s="22"/>
      <c r="K171" s="22"/>
      <c r="L171" s="22"/>
      <c r="M171" s="9"/>
      <c r="N171" s="9"/>
      <c r="O171" s="9"/>
      <c r="P171" s="9"/>
      <c r="Q171" s="9"/>
      <c r="R171" s="9"/>
      <c r="S171" s="8"/>
      <c r="T171" s="8"/>
      <c r="U171" s="8"/>
      <c r="V171" s="8"/>
      <c r="W171" s="8"/>
      <c r="X171" s="8"/>
      <c r="Y171" s="8"/>
      <c r="Z171" s="8"/>
      <c r="AA171" s="8"/>
      <c r="AB171" s="8"/>
      <c r="AC171" s="8"/>
      <c r="AD171" s="8"/>
      <c r="AE171" s="8"/>
      <c r="AF171" s="8"/>
      <c r="AG171" s="8"/>
      <c r="AH171" s="8"/>
      <c r="AI171" s="8"/>
      <c r="AJ171" s="8"/>
      <c r="AK171" s="8"/>
      <c r="AL171" s="8"/>
    </row>
    <row r="172" spans="1:38">
      <c r="A172" s="64"/>
      <c r="B172" s="31"/>
      <c r="C172" s="22"/>
      <c r="D172" s="22"/>
      <c r="E172" s="22"/>
      <c r="G172" s="22"/>
      <c r="H172" s="22"/>
      <c r="I172" s="22"/>
      <c r="J172" s="22"/>
      <c r="K172" s="22"/>
      <c r="L172" s="22"/>
      <c r="M172" s="9"/>
      <c r="N172" s="9"/>
      <c r="O172" s="9"/>
      <c r="P172" s="9"/>
      <c r="Q172" s="9"/>
      <c r="R172" s="9"/>
      <c r="S172" s="8"/>
      <c r="T172" s="8"/>
      <c r="U172" s="8"/>
      <c r="V172" s="8"/>
      <c r="W172" s="8"/>
      <c r="X172" s="8"/>
      <c r="Y172" s="8"/>
      <c r="Z172" s="8"/>
      <c r="AA172" s="8"/>
      <c r="AB172" s="8"/>
      <c r="AC172" s="8"/>
      <c r="AD172" s="8"/>
      <c r="AE172" s="8"/>
      <c r="AF172" s="8"/>
      <c r="AG172" s="8"/>
      <c r="AH172" s="8"/>
      <c r="AI172" s="8"/>
      <c r="AJ172" s="8"/>
      <c r="AK172" s="8"/>
      <c r="AL172" s="8"/>
    </row>
    <row r="173" spans="1:38">
      <c r="A173" s="64"/>
      <c r="B173" s="31"/>
      <c r="C173" s="22"/>
      <c r="D173" s="22"/>
      <c r="E173" s="22"/>
      <c r="G173" s="22"/>
      <c r="H173" s="22"/>
      <c r="I173" s="22"/>
      <c r="J173" s="22"/>
      <c r="K173" s="22"/>
      <c r="L173" s="22"/>
      <c r="M173" s="9"/>
      <c r="N173" s="9"/>
      <c r="O173" s="9"/>
      <c r="P173" s="9"/>
      <c r="Q173" s="9"/>
      <c r="R173" s="9"/>
      <c r="S173" s="8"/>
      <c r="T173" s="8"/>
      <c r="U173" s="8"/>
      <c r="V173" s="8"/>
      <c r="W173" s="8"/>
      <c r="X173" s="8"/>
      <c r="Y173" s="8"/>
      <c r="Z173" s="8"/>
      <c r="AA173" s="8"/>
      <c r="AB173" s="8"/>
      <c r="AC173" s="8"/>
      <c r="AD173" s="8"/>
      <c r="AE173" s="8"/>
      <c r="AF173" s="8"/>
      <c r="AG173" s="8"/>
      <c r="AH173" s="8"/>
      <c r="AI173" s="8"/>
      <c r="AJ173" s="8"/>
      <c r="AK173" s="8"/>
      <c r="AL173" s="8"/>
    </row>
    <row r="174" spans="1:38">
      <c r="A174" s="64"/>
      <c r="B174" s="31"/>
      <c r="C174" s="22"/>
      <c r="D174" s="22"/>
      <c r="E174" s="22"/>
      <c r="G174" s="22"/>
      <c r="H174" s="22"/>
      <c r="I174" s="22"/>
      <c r="J174" s="22"/>
      <c r="K174" s="22"/>
      <c r="L174" s="22"/>
      <c r="M174" s="9"/>
      <c r="N174" s="9"/>
      <c r="O174" s="9"/>
      <c r="P174" s="9"/>
      <c r="Q174" s="9"/>
      <c r="R174" s="9"/>
      <c r="S174" s="8"/>
      <c r="T174" s="8"/>
      <c r="U174" s="8"/>
      <c r="V174" s="8"/>
      <c r="W174" s="8"/>
      <c r="X174" s="8"/>
      <c r="Y174" s="8"/>
      <c r="Z174" s="8"/>
      <c r="AA174" s="8"/>
      <c r="AB174" s="8"/>
      <c r="AC174" s="8"/>
      <c r="AD174" s="8"/>
      <c r="AE174" s="8"/>
      <c r="AF174" s="8"/>
      <c r="AG174" s="8"/>
      <c r="AH174" s="8"/>
      <c r="AI174" s="8"/>
      <c r="AJ174" s="8"/>
      <c r="AK174" s="8"/>
      <c r="AL174" s="8"/>
    </row>
    <row r="175" spans="1:38">
      <c r="A175" s="64"/>
      <c r="B175" s="31"/>
      <c r="C175" s="22"/>
      <c r="D175" s="22"/>
      <c r="E175" s="22"/>
      <c r="G175" s="22"/>
      <c r="H175" s="22"/>
      <c r="I175" s="22"/>
      <c r="J175" s="22"/>
      <c r="K175" s="22"/>
      <c r="L175" s="22"/>
      <c r="M175" s="9"/>
      <c r="N175" s="9"/>
      <c r="O175" s="9"/>
      <c r="P175" s="9"/>
      <c r="Q175" s="9"/>
      <c r="R175" s="9"/>
      <c r="S175" s="8"/>
      <c r="T175" s="8"/>
      <c r="U175" s="8"/>
      <c r="V175" s="8"/>
      <c r="W175" s="8"/>
      <c r="X175" s="8"/>
      <c r="Y175" s="8"/>
      <c r="Z175" s="8"/>
      <c r="AA175" s="8"/>
      <c r="AB175" s="8"/>
      <c r="AC175" s="8"/>
      <c r="AD175" s="8"/>
      <c r="AE175" s="8"/>
      <c r="AF175" s="8"/>
      <c r="AG175" s="8"/>
      <c r="AH175" s="8"/>
      <c r="AI175" s="8"/>
      <c r="AJ175" s="8"/>
      <c r="AK175" s="8"/>
      <c r="AL175" s="8"/>
    </row>
    <row r="176" spans="1:38">
      <c r="A176" s="64"/>
      <c r="B176" s="31"/>
      <c r="C176" s="22"/>
      <c r="D176" s="22"/>
      <c r="E176" s="22"/>
      <c r="G176" s="22"/>
      <c r="H176" s="22"/>
      <c r="I176" s="22"/>
      <c r="J176" s="22"/>
      <c r="K176" s="22"/>
      <c r="L176" s="22"/>
      <c r="M176" s="9"/>
      <c r="N176" s="9"/>
      <c r="O176" s="9"/>
      <c r="P176" s="9"/>
      <c r="Q176" s="9"/>
      <c r="R176" s="9"/>
      <c r="S176" s="8"/>
      <c r="T176" s="8"/>
      <c r="U176" s="8"/>
      <c r="V176" s="8"/>
      <c r="W176" s="8"/>
      <c r="X176" s="8"/>
      <c r="Y176" s="8"/>
      <c r="Z176" s="8"/>
      <c r="AA176" s="8"/>
      <c r="AB176" s="8"/>
      <c r="AC176" s="8"/>
      <c r="AD176" s="8"/>
      <c r="AE176" s="8"/>
      <c r="AF176" s="8"/>
      <c r="AG176" s="8"/>
      <c r="AH176" s="8"/>
      <c r="AI176" s="8"/>
      <c r="AJ176" s="8"/>
      <c r="AK176" s="8"/>
      <c r="AL176" s="8"/>
    </row>
    <row r="177" spans="1:38">
      <c r="A177" s="64"/>
      <c r="B177" s="31"/>
      <c r="C177" s="22"/>
      <c r="D177" s="22"/>
      <c r="E177" s="22"/>
      <c r="G177" s="22"/>
      <c r="H177" s="22"/>
      <c r="I177" s="22"/>
      <c r="J177" s="22"/>
      <c r="K177" s="22"/>
      <c r="L177" s="22"/>
      <c r="M177" s="9"/>
      <c r="N177" s="9"/>
      <c r="O177" s="9"/>
      <c r="P177" s="9"/>
      <c r="Q177" s="9"/>
      <c r="R177" s="9"/>
      <c r="S177" s="8"/>
      <c r="T177" s="8"/>
      <c r="U177" s="8"/>
      <c r="V177" s="8"/>
      <c r="W177" s="8"/>
      <c r="X177" s="8"/>
      <c r="Y177" s="8"/>
      <c r="Z177" s="8"/>
      <c r="AA177" s="8"/>
      <c r="AB177" s="8"/>
      <c r="AC177" s="8"/>
      <c r="AD177" s="8"/>
      <c r="AE177" s="8"/>
      <c r="AF177" s="8"/>
      <c r="AG177" s="8"/>
      <c r="AH177" s="8"/>
      <c r="AI177" s="8"/>
      <c r="AJ177" s="8"/>
      <c r="AK177" s="8"/>
      <c r="AL177" s="8"/>
    </row>
    <row r="178" spans="1:38">
      <c r="A178" s="64"/>
      <c r="B178" s="31"/>
      <c r="C178" s="22"/>
      <c r="D178" s="22"/>
      <c r="E178" s="22"/>
      <c r="G178" s="22"/>
      <c r="H178" s="22"/>
      <c r="I178" s="22"/>
      <c r="J178" s="22"/>
      <c r="K178" s="22"/>
      <c r="L178" s="22"/>
      <c r="M178" s="9"/>
      <c r="N178" s="9"/>
      <c r="O178" s="9"/>
      <c r="P178" s="9"/>
      <c r="Q178" s="9"/>
      <c r="R178" s="9"/>
      <c r="S178" s="8"/>
      <c r="T178" s="8"/>
      <c r="U178" s="8"/>
      <c r="V178" s="8"/>
      <c r="W178" s="8"/>
      <c r="X178" s="8"/>
      <c r="Y178" s="8"/>
      <c r="Z178" s="8"/>
      <c r="AA178" s="8"/>
      <c r="AB178" s="8"/>
      <c r="AC178" s="8"/>
      <c r="AD178" s="8"/>
      <c r="AE178" s="8"/>
      <c r="AF178" s="8"/>
      <c r="AG178" s="8"/>
      <c r="AH178" s="8"/>
      <c r="AI178" s="8"/>
      <c r="AJ178" s="8"/>
      <c r="AK178" s="8"/>
      <c r="AL178" s="8"/>
    </row>
    <row r="179" spans="1:38">
      <c r="A179" s="64"/>
      <c r="B179" s="31"/>
      <c r="C179" s="22"/>
      <c r="D179" s="22"/>
      <c r="E179" s="22"/>
      <c r="G179" s="22"/>
      <c r="H179" s="22"/>
      <c r="I179" s="22"/>
      <c r="J179" s="22"/>
      <c r="K179" s="22"/>
      <c r="L179" s="22"/>
      <c r="M179" s="9"/>
      <c r="N179" s="9"/>
      <c r="O179" s="9"/>
      <c r="P179" s="9"/>
      <c r="Q179" s="9"/>
      <c r="R179" s="9"/>
      <c r="S179" s="8"/>
      <c r="T179" s="8"/>
      <c r="U179" s="8"/>
      <c r="V179" s="8"/>
      <c r="W179" s="8"/>
      <c r="X179" s="8"/>
      <c r="Y179" s="8"/>
      <c r="Z179" s="8"/>
      <c r="AA179" s="8"/>
      <c r="AB179" s="8"/>
      <c r="AC179" s="8"/>
      <c r="AD179" s="8"/>
      <c r="AE179" s="8"/>
      <c r="AF179" s="8"/>
      <c r="AG179" s="8"/>
      <c r="AH179" s="8"/>
      <c r="AI179" s="8"/>
      <c r="AJ179" s="8"/>
      <c r="AK179" s="8"/>
      <c r="AL179" s="8"/>
    </row>
    <row r="180" spans="1:38">
      <c r="A180" s="64"/>
      <c r="B180" s="31"/>
      <c r="C180" s="22"/>
      <c r="D180" s="22"/>
      <c r="E180" s="22"/>
      <c r="G180" s="22"/>
      <c r="H180" s="22"/>
      <c r="I180" s="22"/>
      <c r="J180" s="22"/>
      <c r="K180" s="22"/>
      <c r="L180" s="22"/>
      <c r="M180" s="9"/>
      <c r="N180" s="9"/>
      <c r="O180" s="9"/>
      <c r="P180" s="9"/>
      <c r="Q180" s="9"/>
      <c r="R180" s="9"/>
      <c r="S180" s="8"/>
      <c r="T180" s="8"/>
      <c r="U180" s="8"/>
      <c r="V180" s="8"/>
      <c r="W180" s="8"/>
      <c r="X180" s="8"/>
      <c r="Y180" s="8"/>
      <c r="Z180" s="8"/>
      <c r="AA180" s="8"/>
      <c r="AB180" s="8"/>
      <c r="AC180" s="8"/>
      <c r="AD180" s="8"/>
      <c r="AE180" s="8"/>
      <c r="AF180" s="8"/>
      <c r="AG180" s="8"/>
      <c r="AH180" s="8"/>
      <c r="AI180" s="8"/>
      <c r="AJ180" s="8"/>
      <c r="AK180" s="8"/>
      <c r="AL180" s="8"/>
    </row>
    <row r="181" spans="1:38">
      <c r="A181" s="68"/>
    </row>
    <row r="182" spans="1:38">
      <c r="A182" s="68"/>
    </row>
    <row r="183" spans="1:38">
      <c r="A183" s="68"/>
    </row>
    <row r="184" spans="1:38">
      <c r="A184" s="68"/>
    </row>
    <row r="185" spans="1:38">
      <c r="A185" s="68"/>
    </row>
    <row r="186" spans="1:38">
      <c r="A186" s="68"/>
    </row>
    <row r="187" spans="1:38">
      <c r="A187" s="68"/>
    </row>
    <row r="188" spans="1:38">
      <c r="A188" s="68"/>
    </row>
    <row r="189" spans="1:38">
      <c r="A189" s="68"/>
    </row>
    <row r="190" spans="1:38">
      <c r="A190" s="68"/>
    </row>
    <row r="191" spans="1:38">
      <c r="A191" s="68"/>
    </row>
    <row r="192" spans="1:38">
      <c r="A192" s="68"/>
    </row>
    <row r="193" spans="1:1">
      <c r="A193" s="68"/>
    </row>
    <row r="194" spans="1:1">
      <c r="A194" s="68"/>
    </row>
    <row r="195" spans="1:1">
      <c r="A195" s="68"/>
    </row>
    <row r="196" spans="1:1">
      <c r="A196" s="68"/>
    </row>
    <row r="197" spans="1:1">
      <c r="A197" s="68"/>
    </row>
    <row r="198" spans="1:1">
      <c r="A198" s="68"/>
    </row>
    <row r="199" spans="1:1">
      <c r="A199" s="68"/>
    </row>
    <row r="200" spans="1:1">
      <c r="A200" s="68"/>
    </row>
    <row r="201" spans="1:1">
      <c r="A201" s="68"/>
    </row>
    <row r="202" spans="1:1">
      <c r="A202" s="68"/>
    </row>
    <row r="203" spans="1:1">
      <c r="A203" s="68"/>
    </row>
    <row r="204" spans="1:1">
      <c r="A204" s="68"/>
    </row>
    <row r="205" spans="1:1">
      <c r="A205" s="68"/>
    </row>
    <row r="206" spans="1:1">
      <c r="A206" s="68"/>
    </row>
    <row r="207" spans="1:1">
      <c r="A207" s="68"/>
    </row>
    <row r="208" spans="1:1">
      <c r="A208" s="68"/>
    </row>
    <row r="209" spans="1:1">
      <c r="A209" s="68"/>
    </row>
    <row r="210" spans="1:1">
      <c r="A210" s="68"/>
    </row>
    <row r="211" spans="1:1">
      <c r="A211" s="68"/>
    </row>
    <row r="212" spans="1:1">
      <c r="A212" s="68"/>
    </row>
    <row r="213" spans="1:1">
      <c r="A213" s="68"/>
    </row>
    <row r="214" spans="1:1">
      <c r="A214" s="68"/>
    </row>
    <row r="215" spans="1:1">
      <c r="A215" s="68"/>
    </row>
    <row r="216" spans="1:1">
      <c r="A216" s="68"/>
    </row>
    <row r="217" spans="1:1">
      <c r="A217" s="68"/>
    </row>
    <row r="218" spans="1:1">
      <c r="A218" s="68"/>
    </row>
    <row r="219" spans="1:1">
      <c r="A219" s="68"/>
    </row>
    <row r="220" spans="1:1">
      <c r="A220" s="68"/>
    </row>
    <row r="221" spans="1:1">
      <c r="A221" s="68"/>
    </row>
    <row r="222" spans="1:1">
      <c r="A222" s="68"/>
    </row>
    <row r="223" spans="1:1">
      <c r="A223" s="68"/>
    </row>
    <row r="224" spans="1:1">
      <c r="A224" s="68"/>
    </row>
    <row r="225" spans="1:1">
      <c r="A225" s="68"/>
    </row>
    <row r="226" spans="1:1">
      <c r="A226" s="68"/>
    </row>
    <row r="227" spans="1:1">
      <c r="A227" s="68"/>
    </row>
    <row r="228" spans="1:1">
      <c r="A228" s="68"/>
    </row>
    <row r="229" spans="1:1">
      <c r="A229" s="68"/>
    </row>
    <row r="230" spans="1:1">
      <c r="A230" s="68"/>
    </row>
    <row r="231" spans="1:1">
      <c r="A231" s="68"/>
    </row>
    <row r="232" spans="1:1">
      <c r="A232" s="68"/>
    </row>
    <row r="233" spans="1:1">
      <c r="A233" s="68"/>
    </row>
    <row r="234" spans="1:1">
      <c r="A234" s="68"/>
    </row>
    <row r="235" spans="1:1">
      <c r="A235" s="68"/>
    </row>
    <row r="236" spans="1:1">
      <c r="A236" s="68"/>
    </row>
    <row r="237" spans="1:1">
      <c r="A237" s="68"/>
    </row>
    <row r="238" spans="1:1">
      <c r="A238" s="68"/>
    </row>
    <row r="239" spans="1:1">
      <c r="A239" s="68"/>
    </row>
    <row r="240" spans="1:1">
      <c r="A240" s="68"/>
    </row>
    <row r="241" spans="1:1">
      <c r="A241" s="68"/>
    </row>
    <row r="242" spans="1:1">
      <c r="A242" s="68"/>
    </row>
    <row r="243" spans="1:1">
      <c r="A243" s="68"/>
    </row>
    <row r="244" spans="1:1">
      <c r="A244" s="68"/>
    </row>
    <row r="245" spans="1:1">
      <c r="A245" s="68"/>
    </row>
    <row r="246" spans="1:1">
      <c r="A246" s="68"/>
    </row>
    <row r="247" spans="1:1">
      <c r="A247" s="68"/>
    </row>
    <row r="248" spans="1:1">
      <c r="A248" s="68"/>
    </row>
    <row r="249" spans="1:1">
      <c r="A249" s="68"/>
    </row>
    <row r="250" spans="1:1">
      <c r="A250" s="68"/>
    </row>
    <row r="251" spans="1:1">
      <c r="A251" s="68"/>
    </row>
    <row r="252" spans="1:1">
      <c r="A252" s="68"/>
    </row>
    <row r="253" spans="1:1">
      <c r="A253" s="68"/>
    </row>
    <row r="254" spans="1:1">
      <c r="A254" s="68"/>
    </row>
    <row r="255" spans="1:1">
      <c r="A255" s="68"/>
    </row>
    <row r="256" spans="1:1">
      <c r="A256" s="68"/>
    </row>
    <row r="257" spans="1:1">
      <c r="A257" s="68"/>
    </row>
    <row r="258" spans="1:1">
      <c r="A258" s="68"/>
    </row>
    <row r="259" spans="1:1">
      <c r="A259" s="68"/>
    </row>
    <row r="260" spans="1:1">
      <c r="A260" s="68"/>
    </row>
    <row r="261" spans="1:1">
      <c r="A261" s="68"/>
    </row>
    <row r="262" spans="1:1">
      <c r="A262" s="68"/>
    </row>
    <row r="263" spans="1:1">
      <c r="A263" s="68"/>
    </row>
    <row r="264" spans="1:1">
      <c r="A264" s="68"/>
    </row>
    <row r="265" spans="1:1">
      <c r="A265" s="68"/>
    </row>
    <row r="266" spans="1:1">
      <c r="A266" s="68"/>
    </row>
    <row r="267" spans="1:1">
      <c r="A267" s="68"/>
    </row>
    <row r="268" spans="1:1">
      <c r="A268" s="68"/>
    </row>
    <row r="269" spans="1:1">
      <c r="A269" s="68"/>
    </row>
    <row r="270" spans="1:1">
      <c r="A270" s="68"/>
    </row>
    <row r="271" spans="1:1">
      <c r="A271" s="68"/>
    </row>
    <row r="272" spans="1:1">
      <c r="A272" s="68"/>
    </row>
    <row r="273" spans="1:1">
      <c r="A273" s="68"/>
    </row>
    <row r="274" spans="1:1">
      <c r="A274" s="68"/>
    </row>
    <row r="275" spans="1:1">
      <c r="A275" s="68"/>
    </row>
    <row r="276" spans="1:1">
      <c r="A276" s="68"/>
    </row>
    <row r="277" spans="1:1">
      <c r="A277" s="68"/>
    </row>
    <row r="278" spans="1:1">
      <c r="A278" s="68"/>
    </row>
    <row r="279" spans="1:1">
      <c r="A279" s="68"/>
    </row>
    <row r="280" spans="1:1">
      <c r="A280" s="68"/>
    </row>
    <row r="281" spans="1:1">
      <c r="A281" s="68"/>
    </row>
    <row r="282" spans="1:1">
      <c r="A282" s="68"/>
    </row>
    <row r="283" spans="1:1">
      <c r="A283" s="68"/>
    </row>
    <row r="284" spans="1:1">
      <c r="A284" s="68"/>
    </row>
    <row r="285" spans="1:1">
      <c r="A285" s="68"/>
    </row>
    <row r="286" spans="1:1">
      <c r="A286" s="68"/>
    </row>
    <row r="287" spans="1:1">
      <c r="A287" s="68"/>
    </row>
    <row r="288" spans="1:1">
      <c r="A288" s="68"/>
    </row>
    <row r="289" spans="1:1">
      <c r="A289" s="68"/>
    </row>
    <row r="290" spans="1:1">
      <c r="A290" s="68"/>
    </row>
    <row r="291" spans="1:1">
      <c r="A291" s="68"/>
    </row>
    <row r="292" spans="1:1">
      <c r="A292" s="68"/>
    </row>
    <row r="293" spans="1:1">
      <c r="A293" s="68"/>
    </row>
    <row r="294" spans="1:1">
      <c r="A294" s="68"/>
    </row>
    <row r="295" spans="1:1">
      <c r="A295" s="68"/>
    </row>
    <row r="296" spans="1:1">
      <c r="A296" s="68"/>
    </row>
    <row r="297" spans="1:1">
      <c r="A297" s="68"/>
    </row>
    <row r="298" spans="1:1">
      <c r="A298" s="68"/>
    </row>
    <row r="299" spans="1:1">
      <c r="A299" s="68"/>
    </row>
    <row r="300" spans="1:1">
      <c r="A300" s="68"/>
    </row>
    <row r="301" spans="1:1">
      <c r="A301" s="68"/>
    </row>
    <row r="302" spans="1:1">
      <c r="A302" s="68"/>
    </row>
    <row r="303" spans="1:1">
      <c r="A303" s="68"/>
    </row>
    <row r="304" spans="1:1">
      <c r="A304" s="68"/>
    </row>
    <row r="305" spans="1:1">
      <c r="A305" s="68"/>
    </row>
    <row r="306" spans="1:1">
      <c r="A306" s="68"/>
    </row>
    <row r="307" spans="1:1">
      <c r="A307" s="68"/>
    </row>
    <row r="308" spans="1:1">
      <c r="A308" s="68"/>
    </row>
    <row r="309" spans="1:1">
      <c r="A309" s="68"/>
    </row>
    <row r="310" spans="1:1">
      <c r="A310" s="68"/>
    </row>
    <row r="311" spans="1:1">
      <c r="A311" s="68"/>
    </row>
    <row r="312" spans="1:1">
      <c r="A312" s="68"/>
    </row>
    <row r="313" spans="1:1">
      <c r="A313" s="68"/>
    </row>
    <row r="314" spans="1:1">
      <c r="A314" s="68"/>
    </row>
    <row r="315" spans="1:1">
      <c r="A315" s="68"/>
    </row>
    <row r="316" spans="1:1">
      <c r="A316" s="68"/>
    </row>
    <row r="317" spans="1:1">
      <c r="A317" s="68"/>
    </row>
    <row r="318" spans="1:1">
      <c r="A318" s="68"/>
    </row>
    <row r="319" spans="1:1">
      <c r="A319" s="68"/>
    </row>
    <row r="320" spans="1:1">
      <c r="A320" s="68"/>
    </row>
    <row r="321" spans="1:1">
      <c r="A321" s="68"/>
    </row>
    <row r="322" spans="1:1">
      <c r="A322" s="68"/>
    </row>
    <row r="323" spans="1:1">
      <c r="A323" s="68"/>
    </row>
    <row r="324" spans="1:1">
      <c r="A324" s="68"/>
    </row>
    <row r="325" spans="1:1">
      <c r="A325" s="68"/>
    </row>
    <row r="326" spans="1:1">
      <c r="A326" s="68"/>
    </row>
    <row r="327" spans="1:1">
      <c r="A327" s="68"/>
    </row>
    <row r="328" spans="1:1">
      <c r="A328" s="68"/>
    </row>
    <row r="329" spans="1:1">
      <c r="A329" s="68"/>
    </row>
    <row r="330" spans="1:1">
      <c r="A330" s="68"/>
    </row>
    <row r="331" spans="1:1">
      <c r="A331" s="68"/>
    </row>
    <row r="332" spans="1:1">
      <c r="A332" s="68"/>
    </row>
    <row r="333" spans="1:1">
      <c r="A333" s="68"/>
    </row>
    <row r="334" spans="1:1">
      <c r="A334" s="68"/>
    </row>
    <row r="335" spans="1:1">
      <c r="A335" s="68"/>
    </row>
    <row r="336" spans="1:1">
      <c r="A336" s="68"/>
    </row>
    <row r="337" spans="1:1">
      <c r="A337" s="68"/>
    </row>
    <row r="338" spans="1:1">
      <c r="A338" s="68"/>
    </row>
    <row r="339" spans="1:1">
      <c r="A339" s="68"/>
    </row>
    <row r="340" spans="1:1">
      <c r="A340" s="68"/>
    </row>
    <row r="341" spans="1:1">
      <c r="A341" s="68"/>
    </row>
    <row r="342" spans="1:1">
      <c r="A342" s="68"/>
    </row>
    <row r="343" spans="1:1">
      <c r="A343" s="68"/>
    </row>
    <row r="344" spans="1:1">
      <c r="A344" s="68"/>
    </row>
    <row r="345" spans="1:1">
      <c r="A345" s="68"/>
    </row>
    <row r="346" spans="1:1">
      <c r="A346" s="68"/>
    </row>
    <row r="347" spans="1:1">
      <c r="A347" s="68"/>
    </row>
    <row r="348" spans="1:1">
      <c r="A348" s="68"/>
    </row>
    <row r="349" spans="1:1">
      <c r="A349" s="68"/>
    </row>
    <row r="350" spans="1:1">
      <c r="A350" s="68"/>
    </row>
    <row r="351" spans="1:1">
      <c r="A351" s="68"/>
    </row>
    <row r="352" spans="1:1">
      <c r="A352" s="68"/>
    </row>
    <row r="353" spans="1:1">
      <c r="A353" s="68"/>
    </row>
    <row r="354" spans="1:1">
      <c r="A354" s="68"/>
    </row>
    <row r="355" spans="1:1">
      <c r="A355" s="68"/>
    </row>
    <row r="356" spans="1:1">
      <c r="A356" s="68"/>
    </row>
    <row r="357" spans="1:1">
      <c r="A357" s="68"/>
    </row>
    <row r="358" spans="1:1">
      <c r="A358" s="68"/>
    </row>
    <row r="359" spans="1:1">
      <c r="A359" s="68"/>
    </row>
    <row r="360" spans="1:1">
      <c r="A360" s="68"/>
    </row>
    <row r="361" spans="1:1">
      <c r="A361" s="68"/>
    </row>
    <row r="362" spans="1:1">
      <c r="A362" s="68"/>
    </row>
    <row r="363" spans="1:1">
      <c r="A363" s="68"/>
    </row>
    <row r="364" spans="1:1">
      <c r="A364" s="68"/>
    </row>
    <row r="365" spans="1:1">
      <c r="A365" s="68"/>
    </row>
    <row r="366" spans="1:1">
      <c r="A366" s="68"/>
    </row>
    <row r="367" spans="1:1">
      <c r="A367" s="68"/>
    </row>
    <row r="368" spans="1:1">
      <c r="A368" s="68"/>
    </row>
    <row r="369" spans="1:1">
      <c r="A369" s="68"/>
    </row>
    <row r="370" spans="1:1">
      <c r="A370" s="68"/>
    </row>
    <row r="371" spans="1:1">
      <c r="A371" s="68"/>
    </row>
    <row r="372" spans="1:1">
      <c r="A372" s="68"/>
    </row>
    <row r="373" spans="1:1">
      <c r="A373" s="68"/>
    </row>
    <row r="374" spans="1:1">
      <c r="A374" s="68"/>
    </row>
    <row r="375" spans="1:1">
      <c r="A375" s="68"/>
    </row>
    <row r="376" spans="1:1">
      <c r="A376" s="68"/>
    </row>
    <row r="377" spans="1:1">
      <c r="A377" s="68"/>
    </row>
    <row r="378" spans="1:1">
      <c r="A378" s="68"/>
    </row>
    <row r="379" spans="1:1">
      <c r="A379" s="68"/>
    </row>
    <row r="380" spans="1:1">
      <c r="A380" s="68"/>
    </row>
    <row r="381" spans="1:1">
      <c r="A381" s="68"/>
    </row>
    <row r="382" spans="1:1">
      <c r="A382" s="68"/>
    </row>
    <row r="383" spans="1:1">
      <c r="A383" s="68"/>
    </row>
    <row r="384" spans="1:1">
      <c r="A384" s="68"/>
    </row>
    <row r="385" spans="1:1">
      <c r="A385" s="68"/>
    </row>
    <row r="386" spans="1:1">
      <c r="A386" s="68"/>
    </row>
    <row r="387" spans="1:1">
      <c r="A387" s="68"/>
    </row>
    <row r="388" spans="1:1">
      <c r="A388" s="68"/>
    </row>
    <row r="389" spans="1:1">
      <c r="A389" s="68"/>
    </row>
    <row r="390" spans="1:1">
      <c r="A390" s="68"/>
    </row>
    <row r="391" spans="1:1">
      <c r="A391" s="68"/>
    </row>
    <row r="392" spans="1:1">
      <c r="A392" s="68"/>
    </row>
    <row r="393" spans="1:1">
      <c r="A393" s="68"/>
    </row>
    <row r="394" spans="1:1">
      <c r="A394" s="68"/>
    </row>
    <row r="395" spans="1:1">
      <c r="A395" s="68"/>
    </row>
    <row r="396" spans="1:1">
      <c r="A396" s="68"/>
    </row>
    <row r="397" spans="1:1">
      <c r="A397" s="68"/>
    </row>
    <row r="398" spans="1:1">
      <c r="A398" s="68"/>
    </row>
    <row r="399" spans="1:1">
      <c r="A399" s="68"/>
    </row>
    <row r="400" spans="1:1">
      <c r="A400" s="68"/>
    </row>
    <row r="401" spans="1:1">
      <c r="A401" s="68"/>
    </row>
    <row r="402" spans="1:1">
      <c r="A402" s="68"/>
    </row>
    <row r="403" spans="1:1">
      <c r="A403" s="68"/>
    </row>
    <row r="404" spans="1:1">
      <c r="A404" s="68"/>
    </row>
    <row r="405" spans="1:1">
      <c r="A405" s="68"/>
    </row>
    <row r="406" spans="1:1">
      <c r="A406" s="68"/>
    </row>
    <row r="407" spans="1:1">
      <c r="A407" s="68"/>
    </row>
    <row r="408" spans="1:1">
      <c r="A408" s="68"/>
    </row>
    <row r="409" spans="1:1">
      <c r="A409" s="68"/>
    </row>
    <row r="410" spans="1:1">
      <c r="A410" s="68"/>
    </row>
    <row r="411" spans="1:1">
      <c r="A411" s="68"/>
    </row>
    <row r="412" spans="1:1">
      <c r="A412" s="68"/>
    </row>
    <row r="413" spans="1:1">
      <c r="A413" s="68"/>
    </row>
    <row r="414" spans="1:1">
      <c r="A414" s="68"/>
    </row>
    <row r="415" spans="1:1">
      <c r="A415" s="68"/>
    </row>
    <row r="416" spans="1:1">
      <c r="A416" s="68"/>
    </row>
    <row r="417" spans="1:1">
      <c r="A417" s="68"/>
    </row>
    <row r="418" spans="1:1">
      <c r="A418" s="68"/>
    </row>
    <row r="419" spans="1:1">
      <c r="A419" s="68"/>
    </row>
    <row r="420" spans="1:1">
      <c r="A420" s="68"/>
    </row>
    <row r="421" spans="1:1">
      <c r="A421" s="68"/>
    </row>
    <row r="422" spans="1:1">
      <c r="A422" s="68"/>
    </row>
    <row r="423" spans="1:1">
      <c r="A423" s="68"/>
    </row>
    <row r="424" spans="1:1">
      <c r="A424" s="68"/>
    </row>
    <row r="425" spans="1:1">
      <c r="A425" s="68"/>
    </row>
    <row r="426" spans="1:1">
      <c r="A426" s="68"/>
    </row>
    <row r="427" spans="1:1">
      <c r="A427" s="68"/>
    </row>
    <row r="428" spans="1:1">
      <c r="A428" s="68"/>
    </row>
    <row r="429" spans="1:1">
      <c r="A429" s="68"/>
    </row>
    <row r="430" spans="1:1">
      <c r="A430" s="68"/>
    </row>
    <row r="431" spans="1:1">
      <c r="A431" s="68"/>
    </row>
    <row r="432" spans="1:1">
      <c r="A432" s="68"/>
    </row>
    <row r="433" spans="1:1">
      <c r="A433" s="68"/>
    </row>
    <row r="434" spans="1:1">
      <c r="A434" s="68"/>
    </row>
    <row r="435" spans="1:1">
      <c r="A435" s="68"/>
    </row>
    <row r="436" spans="1:1">
      <c r="A436" s="68"/>
    </row>
    <row r="437" spans="1:1">
      <c r="A437" s="68"/>
    </row>
    <row r="438" spans="1:1">
      <c r="A438" s="68"/>
    </row>
    <row r="439" spans="1:1">
      <c r="A439" s="68"/>
    </row>
    <row r="440" spans="1:1">
      <c r="A440" s="68"/>
    </row>
    <row r="441" spans="1:1">
      <c r="A441" s="68"/>
    </row>
    <row r="442" spans="1:1">
      <c r="A442" s="68"/>
    </row>
    <row r="443" spans="1:1">
      <c r="A443" s="68"/>
    </row>
    <row r="444" spans="1:1">
      <c r="A444" s="68"/>
    </row>
    <row r="445" spans="1:1">
      <c r="A445" s="68"/>
    </row>
    <row r="446" spans="1:1">
      <c r="A446" s="68"/>
    </row>
    <row r="447" spans="1:1">
      <c r="A447" s="68"/>
    </row>
    <row r="448" spans="1:1">
      <c r="A448" s="68"/>
    </row>
    <row r="449" spans="1:1">
      <c r="A449" s="68"/>
    </row>
    <row r="450" spans="1:1">
      <c r="A450" s="68"/>
    </row>
    <row r="451" spans="1:1">
      <c r="A451" s="68"/>
    </row>
    <row r="452" spans="1:1">
      <c r="A452" s="68"/>
    </row>
    <row r="453" spans="1:1">
      <c r="A453" s="68"/>
    </row>
    <row r="454" spans="1:1">
      <c r="A454" s="68"/>
    </row>
    <row r="455" spans="1:1">
      <c r="A455" s="68"/>
    </row>
    <row r="456" spans="1:1">
      <c r="A456" s="68"/>
    </row>
    <row r="457" spans="1:1">
      <c r="A457" s="68"/>
    </row>
    <row r="458" spans="1:1">
      <c r="A458" s="68"/>
    </row>
    <row r="459" spans="1:1">
      <c r="A459" s="68"/>
    </row>
    <row r="460" spans="1:1">
      <c r="A460" s="68"/>
    </row>
    <row r="461" spans="1:1">
      <c r="A461" s="68"/>
    </row>
    <row r="462" spans="1:1">
      <c r="A462" s="68"/>
    </row>
    <row r="463" spans="1:1">
      <c r="A463" s="68"/>
    </row>
    <row r="464" spans="1:1">
      <c r="A464" s="68"/>
    </row>
    <row r="465" spans="1:1">
      <c r="A465" s="68"/>
    </row>
    <row r="466" spans="1:1">
      <c r="A466" s="68"/>
    </row>
    <row r="467" spans="1:1">
      <c r="A467" s="68"/>
    </row>
    <row r="468" spans="1:1">
      <c r="A468" s="68"/>
    </row>
    <row r="469" spans="1:1">
      <c r="A469" s="68"/>
    </row>
    <row r="470" spans="1:1">
      <c r="A470" s="68"/>
    </row>
    <row r="471" spans="1:1">
      <c r="A471" s="68"/>
    </row>
    <row r="472" spans="1:1">
      <c r="A472" s="68"/>
    </row>
    <row r="473" spans="1:1">
      <c r="A473" s="68"/>
    </row>
    <row r="474" spans="1:1">
      <c r="A474" s="68"/>
    </row>
    <row r="475" spans="1:1">
      <c r="A475" s="68"/>
    </row>
    <row r="476" spans="1:1">
      <c r="A476" s="68"/>
    </row>
    <row r="477" spans="1:1">
      <c r="A477" s="68"/>
    </row>
    <row r="478" spans="1:1">
      <c r="A478" s="68"/>
    </row>
    <row r="479" spans="1:1">
      <c r="A479" s="68"/>
    </row>
    <row r="480" spans="1:1">
      <c r="A480" s="68"/>
    </row>
    <row r="481" spans="1:1">
      <c r="A481" s="68"/>
    </row>
    <row r="482" spans="1:1">
      <c r="A482" s="68"/>
    </row>
    <row r="483" spans="1:1">
      <c r="A483" s="68"/>
    </row>
    <row r="484" spans="1:1">
      <c r="A484" s="68"/>
    </row>
    <row r="485" spans="1:1">
      <c r="A485" s="68"/>
    </row>
    <row r="486" spans="1:1">
      <c r="A486" s="68"/>
    </row>
    <row r="487" spans="1:1">
      <c r="A487" s="68"/>
    </row>
    <row r="488" spans="1:1">
      <c r="A488" s="68"/>
    </row>
    <row r="489" spans="1:1">
      <c r="A489" s="68"/>
    </row>
    <row r="490" spans="1:1">
      <c r="A490" s="68"/>
    </row>
    <row r="491" spans="1:1">
      <c r="A491" s="68"/>
    </row>
    <row r="492" spans="1:1">
      <c r="A492" s="68"/>
    </row>
    <row r="493" spans="1:1">
      <c r="A493" s="68"/>
    </row>
    <row r="494" spans="1:1">
      <c r="A494" s="68"/>
    </row>
    <row r="495" spans="1:1">
      <c r="A495" s="68"/>
    </row>
    <row r="496" spans="1:1">
      <c r="A496" s="68"/>
    </row>
    <row r="497" spans="1:1">
      <c r="A497" s="68"/>
    </row>
    <row r="498" spans="1:1">
      <c r="A498" s="68"/>
    </row>
    <row r="499" spans="1:1">
      <c r="A499" s="68"/>
    </row>
    <row r="500" spans="1:1">
      <c r="A500" s="68"/>
    </row>
    <row r="501" spans="1:1">
      <c r="A501" s="68"/>
    </row>
    <row r="502" spans="1:1">
      <c r="A502" s="68"/>
    </row>
    <row r="503" spans="1:1">
      <c r="A503" s="68"/>
    </row>
    <row r="504" spans="1:1">
      <c r="A504" s="68"/>
    </row>
    <row r="505" spans="1:1">
      <c r="A505" s="68"/>
    </row>
    <row r="506" spans="1:1">
      <c r="A506" s="68"/>
    </row>
    <row r="507" spans="1:1">
      <c r="A507" s="68"/>
    </row>
    <row r="508" spans="1:1">
      <c r="A508" s="68"/>
    </row>
    <row r="509" spans="1:1">
      <c r="A509" s="68"/>
    </row>
    <row r="510" spans="1:1">
      <c r="A510" s="68"/>
    </row>
    <row r="511" spans="1:1">
      <c r="A511" s="68"/>
    </row>
    <row r="512" spans="1:1">
      <c r="A512" s="68"/>
    </row>
    <row r="513" spans="1:1">
      <c r="A513" s="68"/>
    </row>
    <row r="514" spans="1:1">
      <c r="A514" s="68"/>
    </row>
    <row r="515" spans="1:1">
      <c r="A515" s="68"/>
    </row>
    <row r="516" spans="1:1">
      <c r="A516" s="68"/>
    </row>
    <row r="517" spans="1:1">
      <c r="A517" s="68"/>
    </row>
    <row r="518" spans="1:1">
      <c r="A518" s="68"/>
    </row>
    <row r="519" spans="1:1">
      <c r="A519" s="68"/>
    </row>
    <row r="520" spans="1:1">
      <c r="A520" s="68"/>
    </row>
    <row r="521" spans="1:1">
      <c r="A521" s="68"/>
    </row>
    <row r="522" spans="1:1">
      <c r="A522" s="68"/>
    </row>
    <row r="523" spans="1:1">
      <c r="A523" s="68"/>
    </row>
    <row r="524" spans="1:1">
      <c r="A524" s="68"/>
    </row>
    <row r="525" spans="1:1">
      <c r="A525" s="68"/>
    </row>
    <row r="526" spans="1:1">
      <c r="A526" s="68"/>
    </row>
    <row r="527" spans="1:1">
      <c r="A527" s="68"/>
    </row>
    <row r="528" spans="1:1">
      <c r="A528" s="68"/>
    </row>
    <row r="529" spans="1:1">
      <c r="A529" s="68"/>
    </row>
    <row r="530" spans="1:1">
      <c r="A530" s="68"/>
    </row>
    <row r="531" spans="1:1">
      <c r="A531" s="68"/>
    </row>
    <row r="532" spans="1:1">
      <c r="A532" s="68"/>
    </row>
    <row r="533" spans="1:1">
      <c r="A533" s="68"/>
    </row>
    <row r="534" spans="1:1">
      <c r="A534" s="68"/>
    </row>
    <row r="535" spans="1:1">
      <c r="A535" s="68"/>
    </row>
    <row r="536" spans="1:1">
      <c r="A536" s="68"/>
    </row>
    <row r="537" spans="1:1">
      <c r="A537" s="68"/>
    </row>
    <row r="538" spans="1:1">
      <c r="A538" s="68"/>
    </row>
    <row r="539" spans="1:1">
      <c r="A539" s="68"/>
    </row>
    <row r="540" spans="1:1">
      <c r="A540" s="68"/>
    </row>
    <row r="541" spans="1:1">
      <c r="A541" s="68"/>
    </row>
    <row r="542" spans="1:1">
      <c r="A542" s="68"/>
    </row>
    <row r="543" spans="1:1">
      <c r="A543" s="68"/>
    </row>
    <row r="544" spans="1:1">
      <c r="A544" s="68"/>
    </row>
    <row r="545" spans="1:1">
      <c r="A545" s="68"/>
    </row>
    <row r="546" spans="1:1">
      <c r="A546" s="68"/>
    </row>
    <row r="547" spans="1:1">
      <c r="A547" s="68"/>
    </row>
    <row r="548" spans="1:1">
      <c r="A548" s="68"/>
    </row>
    <row r="549" spans="1:1">
      <c r="A549" s="68"/>
    </row>
    <row r="550" spans="1:1">
      <c r="A550" s="68"/>
    </row>
    <row r="551" spans="1:1">
      <c r="A551" s="68"/>
    </row>
    <row r="552" spans="1:1">
      <c r="A552" s="68"/>
    </row>
    <row r="553" spans="1:1">
      <c r="A553" s="68"/>
    </row>
    <row r="554" spans="1:1">
      <c r="A554" s="68"/>
    </row>
    <row r="555" spans="1:1">
      <c r="A555" s="68"/>
    </row>
    <row r="556" spans="1:1">
      <c r="A556" s="68"/>
    </row>
    <row r="557" spans="1:1">
      <c r="A557" s="68"/>
    </row>
    <row r="558" spans="1:1">
      <c r="A558" s="68"/>
    </row>
    <row r="559" spans="1:1">
      <c r="A559" s="68"/>
    </row>
    <row r="560" spans="1:1">
      <c r="A560" s="68"/>
    </row>
    <row r="561" spans="1:1">
      <c r="A561" s="68"/>
    </row>
    <row r="562" spans="1:1">
      <c r="A562" s="68"/>
    </row>
    <row r="563" spans="1:1">
      <c r="A563" s="68"/>
    </row>
    <row r="564" spans="1:1">
      <c r="A564" s="68"/>
    </row>
    <row r="565" spans="1:1">
      <c r="A565" s="68"/>
    </row>
    <row r="566" spans="1:1">
      <c r="A566" s="68"/>
    </row>
    <row r="567" spans="1:1">
      <c r="A567" s="68"/>
    </row>
    <row r="568" spans="1:1">
      <c r="A568" s="68"/>
    </row>
    <row r="569" spans="1:1">
      <c r="A569" s="68"/>
    </row>
    <row r="570" spans="1:1">
      <c r="A570" s="68"/>
    </row>
    <row r="571" spans="1:1">
      <c r="A571" s="68"/>
    </row>
    <row r="572" spans="1:1">
      <c r="A572" s="68"/>
    </row>
    <row r="573" spans="1:1">
      <c r="A573" s="68"/>
    </row>
    <row r="574" spans="1:1">
      <c r="A574" s="68"/>
    </row>
    <row r="575" spans="1:1">
      <c r="A575" s="68"/>
    </row>
    <row r="576" spans="1:1">
      <c r="A576" s="68"/>
    </row>
    <row r="577" spans="1:1">
      <c r="A577" s="68"/>
    </row>
    <row r="578" spans="1:1">
      <c r="A578" s="68"/>
    </row>
    <row r="579" spans="1:1">
      <c r="A579" s="68"/>
    </row>
    <row r="580" spans="1:1">
      <c r="A580" s="68"/>
    </row>
    <row r="581" spans="1:1">
      <c r="A581" s="68"/>
    </row>
    <row r="582" spans="1:1">
      <c r="A582" s="68"/>
    </row>
    <row r="583" spans="1:1">
      <c r="A583" s="68"/>
    </row>
    <row r="584" spans="1:1">
      <c r="A584" s="68"/>
    </row>
    <row r="585" spans="1:1">
      <c r="A585" s="68"/>
    </row>
    <row r="586" spans="1:1">
      <c r="A586" s="68"/>
    </row>
    <row r="587" spans="1:1">
      <c r="A587" s="68"/>
    </row>
    <row r="588" spans="1:1">
      <c r="A588" s="68"/>
    </row>
    <row r="589" spans="1:1">
      <c r="A589" s="68"/>
    </row>
    <row r="590" spans="1:1">
      <c r="A590" s="68"/>
    </row>
    <row r="591" spans="1:1">
      <c r="A591" s="68"/>
    </row>
    <row r="592" spans="1:1">
      <c r="A592" s="68"/>
    </row>
    <row r="593" spans="1:1">
      <c r="A593" s="68"/>
    </row>
    <row r="594" spans="1:1">
      <c r="A594" s="68"/>
    </row>
    <row r="595" spans="1:1">
      <c r="A595" s="68"/>
    </row>
    <row r="596" spans="1:1">
      <c r="A596" s="68"/>
    </row>
    <row r="597" spans="1:1">
      <c r="A597" s="68"/>
    </row>
    <row r="598" spans="1:1">
      <c r="A598" s="68"/>
    </row>
    <row r="599" spans="1:1">
      <c r="A599" s="68"/>
    </row>
    <row r="600" spans="1:1">
      <c r="A600" s="68"/>
    </row>
    <row r="601" spans="1:1">
      <c r="A601" s="68"/>
    </row>
    <row r="602" spans="1:1">
      <c r="A602" s="68"/>
    </row>
    <row r="603" spans="1:1">
      <c r="A603" s="68"/>
    </row>
    <row r="604" spans="1:1">
      <c r="A604" s="68"/>
    </row>
    <row r="605" spans="1:1">
      <c r="A605" s="68"/>
    </row>
    <row r="606" spans="1:1">
      <c r="A606" s="68"/>
    </row>
    <row r="607" spans="1:1">
      <c r="A607" s="68"/>
    </row>
    <row r="608" spans="1:1">
      <c r="A608" s="68"/>
    </row>
    <row r="609" spans="1:1">
      <c r="A609" s="68"/>
    </row>
    <row r="610" spans="1:1">
      <c r="A610" s="68"/>
    </row>
    <row r="611" spans="1:1">
      <c r="A611" s="68"/>
    </row>
    <row r="612" spans="1:1">
      <c r="A612" s="68"/>
    </row>
    <row r="613" spans="1:1">
      <c r="A613" s="68"/>
    </row>
    <row r="614" spans="1:1">
      <c r="A614" s="68"/>
    </row>
    <row r="615" spans="1:1">
      <c r="A615" s="68"/>
    </row>
    <row r="616" spans="1:1">
      <c r="A616" s="68"/>
    </row>
    <row r="617" spans="1:1">
      <c r="A617" s="68"/>
    </row>
    <row r="618" spans="1:1">
      <c r="A618" s="68"/>
    </row>
    <row r="619" spans="1:1">
      <c r="A619" s="68"/>
    </row>
    <row r="620" spans="1:1">
      <c r="A620" s="68"/>
    </row>
    <row r="621" spans="1:1">
      <c r="A621" s="68"/>
    </row>
    <row r="622" spans="1:1">
      <c r="A622" s="68"/>
    </row>
    <row r="623" spans="1:1">
      <c r="A623" s="68"/>
    </row>
    <row r="624" spans="1:1">
      <c r="A624" s="68"/>
    </row>
    <row r="625" spans="1:1">
      <c r="A625" s="68"/>
    </row>
    <row r="626" spans="1:1">
      <c r="A626" s="68"/>
    </row>
    <row r="627" spans="1:1">
      <c r="A627" s="68"/>
    </row>
    <row r="628" spans="1:1">
      <c r="A628" s="68"/>
    </row>
    <row r="629" spans="1:1">
      <c r="A629" s="68"/>
    </row>
    <row r="630" spans="1:1">
      <c r="A630" s="68"/>
    </row>
    <row r="631" spans="1:1">
      <c r="A631" s="68"/>
    </row>
    <row r="632" spans="1:1">
      <c r="A632" s="68"/>
    </row>
    <row r="633" spans="1:1">
      <c r="A633" s="68"/>
    </row>
    <row r="634" spans="1:1">
      <c r="A634" s="68"/>
    </row>
    <row r="635" spans="1:1">
      <c r="A635" s="68"/>
    </row>
    <row r="636" spans="1:1">
      <c r="A636" s="68"/>
    </row>
    <row r="637" spans="1:1">
      <c r="A637" s="68"/>
    </row>
    <row r="638" spans="1:1">
      <c r="A638" s="68"/>
    </row>
    <row r="639" spans="1:1">
      <c r="A639" s="68"/>
    </row>
    <row r="640" spans="1:1">
      <c r="A640" s="68"/>
    </row>
    <row r="641" spans="1:1">
      <c r="A641" s="68"/>
    </row>
    <row r="642" spans="1:1">
      <c r="A642" s="68"/>
    </row>
    <row r="643" spans="1:1">
      <c r="A643" s="68"/>
    </row>
    <row r="644" spans="1:1">
      <c r="A644" s="68"/>
    </row>
    <row r="645" spans="1:1">
      <c r="A645" s="68"/>
    </row>
    <row r="646" spans="1:1">
      <c r="A646" s="68"/>
    </row>
    <row r="647" spans="1:1">
      <c r="A647" s="68"/>
    </row>
    <row r="648" spans="1:1">
      <c r="A648" s="68"/>
    </row>
    <row r="649" spans="1:1">
      <c r="A649" s="68"/>
    </row>
    <row r="650" spans="1:1">
      <c r="A650" s="68"/>
    </row>
    <row r="651" spans="1:1">
      <c r="A651" s="68"/>
    </row>
    <row r="652" spans="1:1">
      <c r="A652" s="68"/>
    </row>
    <row r="653" spans="1:1">
      <c r="A653" s="68"/>
    </row>
    <row r="654" spans="1:1">
      <c r="A654" s="68"/>
    </row>
    <row r="655" spans="1:1">
      <c r="A655" s="68"/>
    </row>
    <row r="656" spans="1:1">
      <c r="A656" s="68"/>
    </row>
    <row r="657" spans="1:1">
      <c r="A657" s="68"/>
    </row>
    <row r="658" spans="1:1">
      <c r="A658" s="68"/>
    </row>
    <row r="659" spans="1:1">
      <c r="A659" s="68"/>
    </row>
    <row r="660" spans="1:1">
      <c r="A660" s="68"/>
    </row>
    <row r="661" spans="1:1">
      <c r="A661" s="68"/>
    </row>
    <row r="662" spans="1:1">
      <c r="A662" s="68"/>
    </row>
    <row r="663" spans="1:1">
      <c r="A663" s="68"/>
    </row>
    <row r="664" spans="1:1">
      <c r="A664" s="68"/>
    </row>
    <row r="665" spans="1:1">
      <c r="A665" s="68"/>
    </row>
    <row r="666" spans="1:1">
      <c r="A666" s="68"/>
    </row>
    <row r="667" spans="1:1">
      <c r="A667" s="68"/>
    </row>
    <row r="668" spans="1:1">
      <c r="A668" s="68"/>
    </row>
    <row r="669" spans="1:1">
      <c r="A669" s="68"/>
    </row>
    <row r="670" spans="1:1">
      <c r="A670" s="68"/>
    </row>
    <row r="671" spans="1:1">
      <c r="A671" s="68"/>
    </row>
    <row r="672" spans="1:1">
      <c r="A672" s="68"/>
    </row>
    <row r="673" spans="1:1">
      <c r="A673" s="68"/>
    </row>
    <row r="674" spans="1:1">
      <c r="A674" s="68"/>
    </row>
    <row r="675" spans="1:1">
      <c r="A675" s="68"/>
    </row>
    <row r="676" spans="1:1">
      <c r="A676" s="68"/>
    </row>
    <row r="677" spans="1:1">
      <c r="A677" s="68"/>
    </row>
    <row r="678" spans="1:1">
      <c r="A678" s="68"/>
    </row>
    <row r="679" spans="1:1">
      <c r="A679" s="68"/>
    </row>
    <row r="680" spans="1:1">
      <c r="A680" s="68"/>
    </row>
    <row r="681" spans="1:1">
      <c r="A681" s="68"/>
    </row>
    <row r="682" spans="1:1">
      <c r="A682" s="68"/>
    </row>
    <row r="683" spans="1:1">
      <c r="A683" s="68"/>
    </row>
    <row r="684" spans="1:1">
      <c r="A684" s="68"/>
    </row>
    <row r="685" spans="1:1">
      <c r="A685" s="68"/>
    </row>
    <row r="686" spans="1:1">
      <c r="A686" s="68"/>
    </row>
    <row r="687" spans="1:1">
      <c r="A687" s="68"/>
    </row>
    <row r="688" spans="1:1">
      <c r="A688" s="68"/>
    </row>
    <row r="689" spans="1:1">
      <c r="A689" s="68"/>
    </row>
    <row r="690" spans="1:1">
      <c r="A690" s="68"/>
    </row>
    <row r="691" spans="1:1">
      <c r="A691" s="68"/>
    </row>
    <row r="692" spans="1:1">
      <c r="A692" s="68"/>
    </row>
    <row r="693" spans="1:1">
      <c r="A693" s="68"/>
    </row>
    <row r="694" spans="1:1">
      <c r="A694" s="68"/>
    </row>
    <row r="695" spans="1:1">
      <c r="A695" s="68"/>
    </row>
    <row r="696" spans="1:1">
      <c r="A696" s="68"/>
    </row>
    <row r="697" spans="1:1">
      <c r="A697" s="68"/>
    </row>
    <row r="698" spans="1:1">
      <c r="A698" s="68"/>
    </row>
    <row r="699" spans="1:1">
      <c r="A699" s="68"/>
    </row>
    <row r="700" spans="1:1">
      <c r="A700" s="68"/>
    </row>
    <row r="701" spans="1:1">
      <c r="A701" s="68"/>
    </row>
    <row r="702" spans="1:1">
      <c r="A702" s="68"/>
    </row>
    <row r="703" spans="1:1">
      <c r="A703" s="68"/>
    </row>
    <row r="704" spans="1:1">
      <c r="A704" s="68"/>
    </row>
    <row r="705" spans="1:1">
      <c r="A705" s="68"/>
    </row>
    <row r="706" spans="1:1">
      <c r="A706" s="68"/>
    </row>
    <row r="707" spans="1:1">
      <c r="A707" s="68"/>
    </row>
    <row r="708" spans="1:1">
      <c r="A708" s="68"/>
    </row>
    <row r="709" spans="1:1">
      <c r="A709" s="68"/>
    </row>
    <row r="710" spans="1:1">
      <c r="A710" s="68"/>
    </row>
    <row r="711" spans="1:1">
      <c r="A711" s="68"/>
    </row>
    <row r="712" spans="1:1">
      <c r="A712" s="68"/>
    </row>
    <row r="713" spans="1:1">
      <c r="A713" s="68"/>
    </row>
    <row r="714" spans="1:1">
      <c r="A714" s="68"/>
    </row>
    <row r="715" spans="1:1">
      <c r="A715" s="68"/>
    </row>
    <row r="716" spans="1:1">
      <c r="A716" s="68"/>
    </row>
    <row r="717" spans="1:1">
      <c r="A717" s="68"/>
    </row>
    <row r="718" spans="1:1">
      <c r="A718" s="68"/>
    </row>
    <row r="719" spans="1:1">
      <c r="A719" s="68"/>
    </row>
    <row r="720" spans="1:1">
      <c r="A720" s="68"/>
    </row>
    <row r="721" spans="1:1">
      <c r="A721" s="68"/>
    </row>
    <row r="722" spans="1:1">
      <c r="A722" s="68"/>
    </row>
    <row r="723" spans="1:1">
      <c r="A723" s="68"/>
    </row>
    <row r="724" spans="1:1">
      <c r="A724" s="68"/>
    </row>
    <row r="725" spans="1:1">
      <c r="A725" s="68"/>
    </row>
    <row r="726" spans="1:1">
      <c r="A726" s="68"/>
    </row>
    <row r="727" spans="1:1">
      <c r="A727" s="68"/>
    </row>
    <row r="728" spans="1:1">
      <c r="A728" s="68"/>
    </row>
    <row r="729" spans="1:1">
      <c r="A729" s="68"/>
    </row>
    <row r="730" spans="1:1">
      <c r="A730" s="68"/>
    </row>
    <row r="731" spans="1:1">
      <c r="A731" s="68"/>
    </row>
    <row r="732" spans="1:1">
      <c r="A732" s="68"/>
    </row>
    <row r="733" spans="1:1">
      <c r="A733" s="68"/>
    </row>
    <row r="734" spans="1:1">
      <c r="A734" s="68"/>
    </row>
    <row r="735" spans="1:1">
      <c r="A735" s="68"/>
    </row>
    <row r="736" spans="1:1">
      <c r="A736" s="68"/>
    </row>
    <row r="737" spans="1:1">
      <c r="A737" s="68"/>
    </row>
    <row r="738" spans="1:1">
      <c r="A738" s="68"/>
    </row>
    <row r="739" spans="1:1">
      <c r="A739" s="68"/>
    </row>
    <row r="740" spans="1:1">
      <c r="A740" s="68"/>
    </row>
    <row r="741" spans="1:1">
      <c r="A741" s="68"/>
    </row>
    <row r="742" spans="1:1">
      <c r="A742" s="68"/>
    </row>
    <row r="743" spans="1:1">
      <c r="A743" s="68"/>
    </row>
    <row r="744" spans="1:1">
      <c r="A744" s="68"/>
    </row>
    <row r="745" spans="1:1">
      <c r="A745" s="68"/>
    </row>
    <row r="746" spans="1:1">
      <c r="A746" s="68"/>
    </row>
    <row r="747" spans="1:1">
      <c r="A747" s="68"/>
    </row>
    <row r="748" spans="1:1">
      <c r="A748" s="68"/>
    </row>
    <row r="749" spans="1:1">
      <c r="A749" s="68"/>
    </row>
    <row r="750" spans="1:1">
      <c r="A750" s="68"/>
    </row>
    <row r="751" spans="1:1">
      <c r="A751" s="68"/>
    </row>
    <row r="752" spans="1:1">
      <c r="A752" s="68"/>
    </row>
    <row r="753" spans="1:1">
      <c r="A753" s="68"/>
    </row>
    <row r="754" spans="1:1">
      <c r="A754" s="68"/>
    </row>
    <row r="755" spans="1:1">
      <c r="A755" s="68"/>
    </row>
    <row r="756" spans="1:1">
      <c r="A756" s="68"/>
    </row>
    <row r="757" spans="1:1">
      <c r="A757" s="68"/>
    </row>
    <row r="758" spans="1:1">
      <c r="A758" s="68"/>
    </row>
    <row r="759" spans="1:1">
      <c r="A759" s="68"/>
    </row>
    <row r="760" spans="1:1">
      <c r="A760" s="68"/>
    </row>
    <row r="761" spans="1:1">
      <c r="A761" s="68"/>
    </row>
    <row r="762" spans="1:1">
      <c r="A762" s="68"/>
    </row>
    <row r="763" spans="1:1">
      <c r="A763" s="68"/>
    </row>
    <row r="764" spans="1:1">
      <c r="A764" s="68"/>
    </row>
    <row r="765" spans="1:1">
      <c r="A765" s="68"/>
    </row>
    <row r="766" spans="1:1">
      <c r="A766" s="68"/>
    </row>
    <row r="767" spans="1:1">
      <c r="A767" s="68"/>
    </row>
    <row r="768" spans="1:1">
      <c r="A768" s="68"/>
    </row>
    <row r="769" spans="1:1">
      <c r="A769" s="68"/>
    </row>
    <row r="770" spans="1:1">
      <c r="A770" s="68"/>
    </row>
    <row r="771" spans="1:1">
      <c r="A771" s="68"/>
    </row>
    <row r="772" spans="1:1">
      <c r="A772" s="68"/>
    </row>
    <row r="773" spans="1:1">
      <c r="A773" s="68"/>
    </row>
    <row r="774" spans="1:1">
      <c r="A774" s="68"/>
    </row>
    <row r="775" spans="1:1">
      <c r="A775" s="68"/>
    </row>
    <row r="776" spans="1:1">
      <c r="A776" s="68"/>
    </row>
    <row r="777" spans="1:1">
      <c r="A777" s="68"/>
    </row>
    <row r="778" spans="1:1">
      <c r="A778" s="68"/>
    </row>
    <row r="779" spans="1:1">
      <c r="A779" s="68"/>
    </row>
    <row r="780" spans="1:1">
      <c r="A780" s="68"/>
    </row>
    <row r="781" spans="1:1">
      <c r="A781" s="68"/>
    </row>
    <row r="782" spans="1:1">
      <c r="A782" s="68"/>
    </row>
    <row r="783" spans="1:1">
      <c r="A783" s="68"/>
    </row>
    <row r="784" spans="1:1">
      <c r="A784" s="68"/>
    </row>
    <row r="785" spans="1:1">
      <c r="A785" s="68"/>
    </row>
    <row r="786" spans="1:1">
      <c r="A786" s="68"/>
    </row>
    <row r="787" spans="1:1">
      <c r="A787" s="68"/>
    </row>
    <row r="788" spans="1:1">
      <c r="A788" s="68"/>
    </row>
    <row r="789" spans="1:1">
      <c r="A789" s="68"/>
    </row>
    <row r="790" spans="1:1">
      <c r="A790" s="68"/>
    </row>
    <row r="791" spans="1:1">
      <c r="A791" s="68"/>
    </row>
    <row r="792" spans="1:1">
      <c r="A792" s="68"/>
    </row>
    <row r="793" spans="1:1">
      <c r="A793" s="68"/>
    </row>
    <row r="794" spans="1:1">
      <c r="A794" s="68"/>
    </row>
    <row r="795" spans="1:1">
      <c r="A795" s="68"/>
    </row>
    <row r="796" spans="1:1">
      <c r="A796" s="68"/>
    </row>
    <row r="797" spans="1:1">
      <c r="A797" s="68"/>
    </row>
    <row r="798" spans="1:1">
      <c r="A798" s="68"/>
    </row>
    <row r="799" spans="1:1">
      <c r="A799" s="68"/>
    </row>
    <row r="800" spans="1:1">
      <c r="A800" s="68"/>
    </row>
    <row r="801" spans="1:1">
      <c r="A801" s="68"/>
    </row>
    <row r="802" spans="1:1">
      <c r="A802" s="68"/>
    </row>
    <row r="803" spans="1:1">
      <c r="A803" s="68"/>
    </row>
    <row r="804" spans="1:1">
      <c r="A804" s="68"/>
    </row>
    <row r="805" spans="1:1">
      <c r="A805" s="68"/>
    </row>
    <row r="806" spans="1:1">
      <c r="A806" s="68"/>
    </row>
    <row r="807" spans="1:1">
      <c r="A807" s="68"/>
    </row>
    <row r="808" spans="1:1">
      <c r="A808" s="68"/>
    </row>
    <row r="809" spans="1:1">
      <c r="A809" s="68"/>
    </row>
    <row r="810" spans="1:1">
      <c r="A810" s="68"/>
    </row>
    <row r="811" spans="1:1">
      <c r="A811" s="68"/>
    </row>
    <row r="812" spans="1:1">
      <c r="A812" s="68"/>
    </row>
    <row r="813" spans="1:1">
      <c r="A813" s="68"/>
    </row>
    <row r="814" spans="1:1">
      <c r="A814" s="68"/>
    </row>
    <row r="815" spans="1:1">
      <c r="A815" s="68"/>
    </row>
    <row r="816" spans="1:1">
      <c r="A816" s="68"/>
    </row>
    <row r="817" spans="1:1">
      <c r="A817" s="68"/>
    </row>
    <row r="818" spans="1:1">
      <c r="A818" s="68"/>
    </row>
    <row r="819" spans="1:1">
      <c r="A819" s="68"/>
    </row>
    <row r="820" spans="1:1">
      <c r="A820" s="68"/>
    </row>
    <row r="821" spans="1:1">
      <c r="A821" s="68"/>
    </row>
    <row r="822" spans="1:1">
      <c r="A822" s="68"/>
    </row>
    <row r="823" spans="1:1">
      <c r="A823" s="68"/>
    </row>
    <row r="824" spans="1:1">
      <c r="A824" s="68"/>
    </row>
    <row r="825" spans="1:1">
      <c r="A825" s="68"/>
    </row>
    <row r="826" spans="1:1">
      <c r="A826" s="68"/>
    </row>
    <row r="827" spans="1:1">
      <c r="A827" s="68"/>
    </row>
    <row r="828" spans="1:1">
      <c r="A828" s="68"/>
    </row>
    <row r="829" spans="1:1">
      <c r="A829" s="68"/>
    </row>
    <row r="830" spans="1:1">
      <c r="A830" s="68"/>
    </row>
    <row r="831" spans="1:1">
      <c r="A831" s="68"/>
    </row>
    <row r="832" spans="1:1">
      <c r="A832" s="68"/>
    </row>
    <row r="833" spans="1:1">
      <c r="A833" s="68"/>
    </row>
    <row r="834" spans="1:1">
      <c r="A834" s="68"/>
    </row>
    <row r="835" spans="1:1">
      <c r="A835" s="68"/>
    </row>
    <row r="836" spans="1:1">
      <c r="A836" s="68"/>
    </row>
    <row r="837" spans="1:1">
      <c r="A837" s="68"/>
    </row>
    <row r="838" spans="1:1">
      <c r="A838" s="68"/>
    </row>
    <row r="839" spans="1:1">
      <c r="A839" s="68"/>
    </row>
    <row r="840" spans="1:1">
      <c r="A840" s="68"/>
    </row>
    <row r="841" spans="1:1">
      <c r="A841" s="68"/>
    </row>
    <row r="842" spans="1:1">
      <c r="A842" s="68"/>
    </row>
    <row r="843" spans="1:1">
      <c r="A843" s="68"/>
    </row>
    <row r="844" spans="1:1">
      <c r="A844" s="68"/>
    </row>
    <row r="845" spans="1:1">
      <c r="A845" s="68"/>
    </row>
    <row r="846" spans="1:1">
      <c r="A846" s="68"/>
    </row>
    <row r="847" spans="1:1">
      <c r="A847" s="68"/>
    </row>
    <row r="848" spans="1:1">
      <c r="A848" s="68"/>
    </row>
    <row r="849" spans="1:1">
      <c r="A849" s="68"/>
    </row>
    <row r="850" spans="1:1">
      <c r="A850" s="68"/>
    </row>
    <row r="851" spans="1:1">
      <c r="A851" s="68"/>
    </row>
    <row r="852" spans="1:1">
      <c r="A852" s="68"/>
    </row>
    <row r="853" spans="1:1">
      <c r="A853" s="68"/>
    </row>
    <row r="854" spans="1:1">
      <c r="A854" s="68"/>
    </row>
    <row r="855" spans="1:1">
      <c r="A855" s="68"/>
    </row>
    <row r="856" spans="1:1">
      <c r="A856" s="68"/>
    </row>
    <row r="857" spans="1:1">
      <c r="A857" s="68"/>
    </row>
    <row r="858" spans="1:1">
      <c r="A858" s="68"/>
    </row>
    <row r="859" spans="1:1">
      <c r="A859" s="68"/>
    </row>
    <row r="860" spans="1:1">
      <c r="A860" s="68"/>
    </row>
    <row r="861" spans="1:1">
      <c r="A861" s="68"/>
    </row>
    <row r="862" spans="1:1">
      <c r="A862" s="68"/>
    </row>
    <row r="863" spans="1:1">
      <c r="A863" s="68"/>
    </row>
    <row r="864" spans="1:1">
      <c r="A864" s="68"/>
    </row>
    <row r="865" spans="1:1">
      <c r="A865" s="68"/>
    </row>
    <row r="866" spans="1:1">
      <c r="A866" s="68"/>
    </row>
    <row r="867" spans="1:1">
      <c r="A867" s="68"/>
    </row>
    <row r="868" spans="1:1">
      <c r="A868" s="68"/>
    </row>
    <row r="869" spans="1:1">
      <c r="A869" s="68"/>
    </row>
    <row r="870" spans="1:1">
      <c r="A870" s="68"/>
    </row>
    <row r="871" spans="1:1">
      <c r="A871" s="68"/>
    </row>
    <row r="872" spans="1:1">
      <c r="A872" s="68"/>
    </row>
    <row r="873" spans="1:1">
      <c r="A873" s="68"/>
    </row>
    <row r="874" spans="1:1">
      <c r="A874" s="68"/>
    </row>
    <row r="875" spans="1:1">
      <c r="A875" s="68"/>
    </row>
    <row r="876" spans="1:1">
      <c r="A876" s="68"/>
    </row>
    <row r="877" spans="1:1">
      <c r="A877" s="68"/>
    </row>
    <row r="878" spans="1:1">
      <c r="A878" s="68"/>
    </row>
    <row r="879" spans="1:1">
      <c r="A879" s="68"/>
    </row>
    <row r="880" spans="1:1">
      <c r="A880" s="68"/>
    </row>
    <row r="881" spans="1:1">
      <c r="A881" s="68"/>
    </row>
    <row r="882" spans="1:1">
      <c r="A882" s="68"/>
    </row>
    <row r="883" spans="1:1">
      <c r="A883" s="68"/>
    </row>
    <row r="884" spans="1:1">
      <c r="A884" s="68"/>
    </row>
    <row r="885" spans="1:1">
      <c r="A885" s="68"/>
    </row>
    <row r="886" spans="1:1">
      <c r="A886" s="68"/>
    </row>
    <row r="887" spans="1:1">
      <c r="A887" s="68"/>
    </row>
    <row r="888" spans="1:1">
      <c r="A888" s="68"/>
    </row>
    <row r="889" spans="1:1">
      <c r="A889" s="68"/>
    </row>
    <row r="890" spans="1:1">
      <c r="A890" s="68"/>
    </row>
    <row r="891" spans="1:1">
      <c r="A891" s="68"/>
    </row>
    <row r="892" spans="1:1">
      <c r="A892" s="68"/>
    </row>
    <row r="893" spans="1:1">
      <c r="A893" s="68"/>
    </row>
    <row r="894" spans="1:1">
      <c r="A894" s="68"/>
    </row>
    <row r="895" spans="1:1">
      <c r="A895" s="68"/>
    </row>
    <row r="896" spans="1:1">
      <c r="A896" s="68"/>
    </row>
    <row r="897" spans="1:1">
      <c r="A897" s="68"/>
    </row>
    <row r="898" spans="1:1">
      <c r="A898" s="68"/>
    </row>
    <row r="899" spans="1:1">
      <c r="A899" s="68"/>
    </row>
    <row r="900" spans="1:1">
      <c r="A900" s="68"/>
    </row>
    <row r="901" spans="1:1">
      <c r="A901" s="68"/>
    </row>
    <row r="902" spans="1:1">
      <c r="A902" s="68"/>
    </row>
    <row r="903" spans="1:1">
      <c r="A903" s="68"/>
    </row>
    <row r="904" spans="1:1">
      <c r="A904" s="68"/>
    </row>
    <row r="905" spans="1:1">
      <c r="A905" s="68"/>
    </row>
    <row r="906" spans="1:1">
      <c r="A906" s="68"/>
    </row>
    <row r="907" spans="1:1">
      <c r="A907" s="68"/>
    </row>
    <row r="908" spans="1:1">
      <c r="A908" s="68"/>
    </row>
    <row r="909" spans="1:1">
      <c r="A909" s="68"/>
    </row>
    <row r="910" spans="1:1">
      <c r="A910" s="68"/>
    </row>
    <row r="911" spans="1:1">
      <c r="A911" s="68"/>
    </row>
    <row r="912" spans="1:1">
      <c r="A912" s="68"/>
    </row>
    <row r="913" spans="1:1">
      <c r="A913" s="68"/>
    </row>
    <row r="914" spans="1:1">
      <c r="A914" s="68"/>
    </row>
    <row r="915" spans="1:1">
      <c r="A915" s="68"/>
    </row>
    <row r="916" spans="1:1">
      <c r="A916" s="68"/>
    </row>
    <row r="917" spans="1:1">
      <c r="A917" s="68"/>
    </row>
    <row r="918" spans="1:1">
      <c r="A918" s="68"/>
    </row>
    <row r="919" spans="1:1">
      <c r="A919" s="68"/>
    </row>
    <row r="920" spans="1:1">
      <c r="A920" s="68"/>
    </row>
    <row r="921" spans="1:1">
      <c r="A921" s="68"/>
    </row>
    <row r="922" spans="1:1">
      <c r="A922" s="68"/>
    </row>
    <row r="923" spans="1:1">
      <c r="A923" s="68"/>
    </row>
    <row r="924" spans="1:1">
      <c r="A924" s="68"/>
    </row>
    <row r="925" spans="1:1">
      <c r="A925" s="68"/>
    </row>
    <row r="926" spans="1:1">
      <c r="A926" s="68"/>
    </row>
    <row r="927" spans="1:1">
      <c r="A927" s="68"/>
    </row>
    <row r="928" spans="1:1">
      <c r="A928" s="68"/>
    </row>
    <row r="929" spans="1:1">
      <c r="A929" s="68"/>
    </row>
    <row r="930" spans="1:1">
      <c r="A930" s="68"/>
    </row>
    <row r="931" spans="1:1">
      <c r="A931" s="68"/>
    </row>
    <row r="932" spans="1:1">
      <c r="A932" s="68"/>
    </row>
    <row r="933" spans="1:1">
      <c r="A933" s="68"/>
    </row>
    <row r="934" spans="1:1">
      <c r="A934" s="68"/>
    </row>
    <row r="935" spans="1:1">
      <c r="A935" s="68"/>
    </row>
    <row r="936" spans="1:1">
      <c r="A936" s="68"/>
    </row>
    <row r="937" spans="1:1">
      <c r="A937" s="68"/>
    </row>
    <row r="938" spans="1:1">
      <c r="A938" s="68"/>
    </row>
    <row r="939" spans="1:1">
      <c r="A939" s="68"/>
    </row>
    <row r="940" spans="1:1">
      <c r="A940" s="68"/>
    </row>
    <row r="941" spans="1:1">
      <c r="A941" s="68"/>
    </row>
    <row r="942" spans="1:1">
      <c r="A942" s="68"/>
    </row>
    <row r="943" spans="1:1">
      <c r="A943" s="68"/>
    </row>
    <row r="944" spans="1:1">
      <c r="A944" s="68"/>
    </row>
    <row r="945" spans="1:1">
      <c r="A945" s="68"/>
    </row>
    <row r="946" spans="1:1">
      <c r="A946" s="68"/>
    </row>
    <row r="947" spans="1:1">
      <c r="A947" s="68"/>
    </row>
    <row r="948" spans="1:1">
      <c r="A948" s="68"/>
    </row>
    <row r="949" spans="1:1">
      <c r="A949" s="68"/>
    </row>
    <row r="950" spans="1:1">
      <c r="A950" s="68"/>
    </row>
    <row r="951" spans="1:1">
      <c r="A951" s="68"/>
    </row>
    <row r="952" spans="1:1">
      <c r="A952" s="68"/>
    </row>
    <row r="953" spans="1:1">
      <c r="A953" s="68"/>
    </row>
    <row r="954" spans="1:1">
      <c r="A954" s="68"/>
    </row>
    <row r="955" spans="1:1">
      <c r="A955" s="68"/>
    </row>
    <row r="956" spans="1:1">
      <c r="A956" s="68"/>
    </row>
    <row r="957" spans="1:1">
      <c r="A957" s="68"/>
    </row>
    <row r="958" spans="1:1">
      <c r="A958" s="68"/>
    </row>
    <row r="959" spans="1:1">
      <c r="A959" s="68"/>
    </row>
    <row r="960" spans="1:1">
      <c r="A960" s="68"/>
    </row>
    <row r="961" spans="1:1">
      <c r="A961" s="68"/>
    </row>
    <row r="962" spans="1:1">
      <c r="A962" s="68"/>
    </row>
    <row r="963" spans="1:1">
      <c r="A963" s="68"/>
    </row>
    <row r="964" spans="1:1">
      <c r="A964" s="68"/>
    </row>
    <row r="965" spans="1:1">
      <c r="A965" s="68"/>
    </row>
    <row r="966" spans="1:1">
      <c r="A966" s="68"/>
    </row>
    <row r="967" spans="1:1">
      <c r="A967" s="68"/>
    </row>
    <row r="968" spans="1:1">
      <c r="A968" s="68"/>
    </row>
    <row r="969" spans="1:1">
      <c r="A969" s="68"/>
    </row>
    <row r="970" spans="1:1">
      <c r="A970" s="68"/>
    </row>
    <row r="971" spans="1:1">
      <c r="A971" s="68"/>
    </row>
    <row r="972" spans="1:1">
      <c r="A972" s="68"/>
    </row>
    <row r="973" spans="1:1">
      <c r="A973" s="68"/>
    </row>
    <row r="974" spans="1:1">
      <c r="A974" s="68"/>
    </row>
    <row r="975" spans="1:1">
      <c r="A975" s="68"/>
    </row>
    <row r="976" spans="1:1">
      <c r="A976" s="68"/>
    </row>
    <row r="977" spans="1:1">
      <c r="A977" s="68"/>
    </row>
    <row r="978" spans="1:1">
      <c r="A978" s="68"/>
    </row>
    <row r="979" spans="1:1">
      <c r="A979" s="68"/>
    </row>
    <row r="980" spans="1:1">
      <c r="A980" s="68"/>
    </row>
    <row r="981" spans="1:1">
      <c r="A981" s="68"/>
    </row>
    <row r="982" spans="1:1">
      <c r="A982" s="68"/>
    </row>
    <row r="983" spans="1:1">
      <c r="A983" s="68"/>
    </row>
    <row r="984" spans="1:1">
      <c r="A984" s="68"/>
    </row>
    <row r="985" spans="1:1">
      <c r="A985" s="68"/>
    </row>
    <row r="986" spans="1:1">
      <c r="A986" s="68"/>
    </row>
    <row r="987" spans="1:1">
      <c r="A987" s="68"/>
    </row>
    <row r="988" spans="1:1">
      <c r="A988" s="68"/>
    </row>
    <row r="989" spans="1:1">
      <c r="A989" s="68"/>
    </row>
    <row r="990" spans="1:1">
      <c r="A990" s="68"/>
    </row>
    <row r="991" spans="1:1">
      <c r="A991" s="68"/>
    </row>
    <row r="992" spans="1:1">
      <c r="A992" s="68"/>
    </row>
    <row r="993" spans="1:1">
      <c r="A993" s="68"/>
    </row>
    <row r="994" spans="1:1">
      <c r="A994" s="68"/>
    </row>
    <row r="995" spans="1:1">
      <c r="A995" s="68"/>
    </row>
    <row r="996" spans="1:1">
      <c r="A996" s="68"/>
    </row>
    <row r="997" spans="1:1">
      <c r="A997" s="68"/>
    </row>
    <row r="998" spans="1:1">
      <c r="A998" s="68"/>
    </row>
    <row r="999" spans="1:1">
      <c r="A999" s="68"/>
    </row>
    <row r="1000" spans="1:1">
      <c r="A1000" s="68"/>
    </row>
  </sheetData>
  <sheetProtection sheet="1" objects="1" scenarios="1"/>
  <mergeCells count="24">
    <mergeCell ref="I5:J5"/>
    <mergeCell ref="N2:R2"/>
    <mergeCell ref="A9:L9"/>
    <mergeCell ref="I6:J6"/>
    <mergeCell ref="K4:L4"/>
    <mergeCell ref="K5:L5"/>
    <mergeCell ref="K6:L6"/>
    <mergeCell ref="A8:L8"/>
    <mergeCell ref="N24:R24"/>
    <mergeCell ref="A1:L1"/>
    <mergeCell ref="A2:L2"/>
    <mergeCell ref="A4:B4"/>
    <mergeCell ref="A5:B5"/>
    <mergeCell ref="A6:B6"/>
    <mergeCell ref="C4:D4"/>
    <mergeCell ref="C5:D5"/>
    <mergeCell ref="C6:D6"/>
    <mergeCell ref="E4:F4"/>
    <mergeCell ref="E5:F5"/>
    <mergeCell ref="E6:F6"/>
    <mergeCell ref="G4:H4"/>
    <mergeCell ref="G5:H5"/>
    <mergeCell ref="G6:H6"/>
    <mergeCell ref="I4:J4"/>
  </mergeCells>
  <conditionalFormatting sqref="B6 B8">
    <cfRule type="cellIs" dxfId="149" priority="1" operator="greaterThan">
      <formula>0</formula>
    </cfRule>
  </conditionalFormatting>
  <conditionalFormatting sqref="B8">
    <cfRule type="cellIs" dxfId="148" priority="2" operator="greaterThan">
      <formula>0</formula>
    </cfRule>
  </conditionalFormatting>
  <conditionalFormatting sqref="B9">
    <cfRule type="cellIs" dxfId="147" priority="3" operator="greaterThan">
      <formula>0</formula>
    </cfRule>
  </conditionalFormatting>
  <conditionalFormatting sqref="E11:E160">
    <cfRule type="expression" dxfId="146" priority="10">
      <formula>E11="Scheduled"</formula>
    </cfRule>
    <cfRule type="expression" dxfId="145" priority="11">
      <formula>E11="Sent"</formula>
    </cfRule>
    <cfRule type="expression" dxfId="144" priority="12">
      <formula>E11="Blocked"</formula>
    </cfRule>
  </conditionalFormatting>
  <conditionalFormatting sqref="G11:G160">
    <cfRule type="expression" dxfId="143" priority="4">
      <formula>G11="Critical"</formula>
    </cfRule>
    <cfRule type="expression" dxfId="142" priority="5">
      <formula>G11="High Risk"</formula>
    </cfRule>
    <cfRule type="expression" dxfId="141" priority="6">
      <formula>G11="At Risk"</formula>
    </cfRule>
    <cfRule type="expression" dxfId="140" priority="7">
      <formula>G11="Blocked"</formula>
    </cfRule>
    <cfRule type="expression" dxfId="139" priority="8">
      <formula>G11="Ready"</formula>
    </cfRule>
    <cfRule type="expression" dxfId="138" priority="9">
      <formula>G11="Complete"</formula>
    </cfRule>
  </conditionalFormatting>
  <conditionalFormatting sqref="H11:H160">
    <cfRule type="cellIs" dxfId="137" priority="129" stopIfTrue="1" operator="equal">
      <formula>"Done"</formula>
    </cfRule>
  </conditionalFormatting>
  <conditionalFormatting sqref="H11:H160">
    <cfRule type="cellIs" dxfId="136" priority="130" stopIfTrue="1" operator="equal">
      <formula>"Not Yet"</formula>
    </cfRule>
  </conditionalFormatting>
  <conditionalFormatting sqref="I11:I160">
    <cfRule type="cellIs" dxfId="135" priority="131" stopIfTrue="1" operator="equal">
      <formula>"Provided"</formula>
    </cfRule>
  </conditionalFormatting>
  <conditionalFormatting sqref="I11:I160">
    <cfRule type="cellIs" dxfId="134" priority="132" stopIfTrue="1" operator="equal">
      <formula>"Pending"</formula>
    </cfRule>
  </conditionalFormatting>
  <conditionalFormatting sqref="A11:L45">
    <cfRule type="expression" dxfId="133" priority="133">
      <formula>LEFT($D11,9)="CANCELLED"</formula>
    </cfRule>
  </conditionalFormatting>
  <hyperlinks>
    <hyperlink ref="A7" location="'January Calendar'!A1" display="Jan" xr:uid="{024CF767-DCBF-4DC7-89BD-3B998DA1AE83}"/>
    <hyperlink ref="B7" location="'February Calendar'!A1" display="Feb" xr:uid="{964B854C-BF38-4471-A89F-E006B790A554}"/>
    <hyperlink ref="C7" location="'March Calendar'!A1" display="Mar" xr:uid="{236B86BC-D207-490F-B0E3-1C742AB53EBF}"/>
    <hyperlink ref="D7" location="'April Calendar'!A1" display="Apr" xr:uid="{769CDC6B-4F7C-4087-9CB3-2B37E7C47EAC}"/>
    <hyperlink ref="E7" location="'May Calendar'!A1" display="May" xr:uid="{8B11F0BE-8F34-4040-A67C-DB22361C4BB5}"/>
    <hyperlink ref="F7" location="'June Calendar'!A1" display="Jun" xr:uid="{79C1442C-E0A0-4E17-88A3-9F5B09E4BDF2}"/>
    <hyperlink ref="G7" location="'July Calendar'!A1" display="Jul" xr:uid="{FADC9BF2-A8B5-4D09-9648-E365AADFD97B}"/>
    <hyperlink ref="H7" location="'August Calendar'!A1" display="Aug" xr:uid="{90B55008-87D2-4685-8408-3874A01A85F4}"/>
    <hyperlink ref="I7" location="'September Calendar'!A1" display="Sep" xr:uid="{3AAF5DC7-6988-43B4-B8F5-EDEFA6DF701F}"/>
    <hyperlink ref="J7" location="'October Calendar'!A1" display="Oct" xr:uid="{A161ED8F-65CF-4B89-8D65-DAE3A4CF8321}"/>
    <hyperlink ref="K7" location="'November Calendar'!A1" display="Nov" xr:uid="{FA8E31C8-94D1-4E13-9E27-81362718A82B}"/>
    <hyperlink ref="L7" location="'December Calendar'!A1" display="Dec" xr:uid="{062BC6E1-6653-47F4-86EE-CB5B75E8F0B0}"/>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drawing r:id="rId13"/>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V1000"/>
  <sheetViews>
    <sheetView showGridLines="0" topLeftCell="F1" zoomScale="85" zoomScaleNormal="85" workbookViewId="0">
      <selection activeCell="S8" sqref="S8"/>
    </sheetView>
  </sheetViews>
  <sheetFormatPr defaultRowHeight="15"/>
  <cols>
    <col min="1" max="1" width="25.625" style="5" customWidth="1"/>
    <col min="2" max="2" width="11.625" style="5" customWidth="1"/>
    <col min="3" max="3" width="34.625" style="5" customWidth="1"/>
    <col min="4" max="4" width="16.625" style="5" customWidth="1"/>
    <col min="5" max="5" width="42.625" style="5" hidden="1" customWidth="1"/>
    <col min="6" max="6" width="16.625" style="5" customWidth="1"/>
    <col min="7" max="7" width="22.625" style="5" customWidth="1"/>
    <col min="8" max="8" width="20.625" style="5" customWidth="1"/>
    <col min="9" max="9" width="12.625" style="5" customWidth="1"/>
    <col min="10" max="11" width="13.625" style="5" customWidth="1"/>
    <col min="12" max="12" width="12.625" style="5" customWidth="1"/>
    <col min="13" max="14" width="13.625" style="5" customWidth="1"/>
    <col min="15" max="18" width="14.625" style="5" customWidth="1"/>
    <col min="19" max="19" width="12.625" style="5" customWidth="1"/>
    <col min="20" max="20" width="20.625" style="5" hidden="1" customWidth="1"/>
    <col min="21" max="21" width="18.625" style="5" hidden="1" customWidth="1"/>
    <col min="22" max="22" width="50.625" style="5" customWidth="1"/>
    <col min="23" max="23" width="19" style="1" customWidth="1"/>
    <col min="24" max="16384" width="9" style="1"/>
  </cols>
  <sheetData>
    <row r="1" spans="1:22" s="2" customFormat="1" ht="45">
      <c r="A1" s="17" t="s">
        <v>97</v>
      </c>
      <c r="B1" s="17" t="s">
        <v>120</v>
      </c>
      <c r="C1" s="17" t="s">
        <v>121</v>
      </c>
      <c r="D1" s="17" t="s">
        <v>122</v>
      </c>
      <c r="E1" s="17" t="s">
        <v>123</v>
      </c>
      <c r="F1" s="17" t="s">
        <v>103</v>
      </c>
      <c r="G1" s="17" t="s">
        <v>124</v>
      </c>
      <c r="H1" s="17" t="s">
        <v>125</v>
      </c>
      <c r="I1" s="17" t="s">
        <v>126</v>
      </c>
      <c r="J1" s="17" t="s">
        <v>127</v>
      </c>
      <c r="K1" s="17" t="s">
        <v>128</v>
      </c>
      <c r="L1" s="17" t="s">
        <v>129</v>
      </c>
      <c r="M1" s="17" t="s">
        <v>104</v>
      </c>
      <c r="N1" s="17" t="s">
        <v>105</v>
      </c>
      <c r="O1" s="17" t="s">
        <v>130</v>
      </c>
      <c r="P1" s="17" t="s">
        <v>131</v>
      </c>
      <c r="Q1" s="17" t="s">
        <v>132</v>
      </c>
      <c r="R1" s="17" t="s">
        <v>133</v>
      </c>
      <c r="S1" s="17" t="s">
        <v>134</v>
      </c>
      <c r="T1" s="17" t="s">
        <v>135</v>
      </c>
      <c r="U1" s="17" t="s">
        <v>136</v>
      </c>
      <c r="V1" s="17" t="s">
        <v>137</v>
      </c>
    </row>
    <row r="2" spans="1:22" s="7" customFormat="1" ht="71.25">
      <c r="A2" s="60">
        <v>46174</v>
      </c>
      <c r="B2" s="18" t="s">
        <v>138</v>
      </c>
      <c r="C2" s="6" t="s">
        <v>139</v>
      </c>
      <c r="D2" s="6" t="s">
        <v>140</v>
      </c>
      <c r="E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2" s="39" t="s">
        <v>141</v>
      </c>
      <c r="G2" s="42" t="b">
        <v>1</v>
      </c>
      <c r="H2" s="42" t="b">
        <v>1</v>
      </c>
      <c r="I2" s="42" t="b">
        <v>1</v>
      </c>
      <c r="J2" s="42" t="b">
        <v>1</v>
      </c>
      <c r="K2" s="42" t="b">
        <v>1</v>
      </c>
      <c r="L2" s="42" t="b">
        <v>1</v>
      </c>
      <c r="M2" s="42" t="b">
        <v>1</v>
      </c>
      <c r="N2" s="42" t="b">
        <v>1</v>
      </c>
      <c r="O2" s="48" t="s">
        <v>142</v>
      </c>
      <c r="P2" s="48" t="s">
        <v>143</v>
      </c>
      <c r="Q2" s="48" t="s">
        <v>144</v>
      </c>
      <c r="R2" s="43">
        <v>1034750</v>
      </c>
      <c r="S2" s="43">
        <v>1146014</v>
      </c>
      <c r="T2" s="44">
        <v>46180.898900462962</v>
      </c>
      <c r="U2" s="39" t="s">
        <v>145</v>
      </c>
      <c r="V2" s="39"/>
    </row>
    <row r="3" spans="1:22" s="7" customFormat="1" ht="71.25">
      <c r="A3" s="60">
        <v>46175</v>
      </c>
      <c r="B3" s="18" t="s">
        <v>138</v>
      </c>
      <c r="C3" s="6" t="s">
        <v>146</v>
      </c>
      <c r="D3" s="6" t="s">
        <v>147</v>
      </c>
      <c r="E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3" s="39" t="s">
        <v>141</v>
      </c>
      <c r="G3" s="42" t="b">
        <v>1</v>
      </c>
      <c r="H3" s="42" t="b">
        <v>1</v>
      </c>
      <c r="I3" s="42" t="b">
        <v>1</v>
      </c>
      <c r="J3" s="42" t="b">
        <v>1</v>
      </c>
      <c r="K3" s="42" t="b">
        <v>1</v>
      </c>
      <c r="L3" s="42" t="b">
        <v>1</v>
      </c>
      <c r="M3" s="42" t="b">
        <v>1</v>
      </c>
      <c r="N3" s="42" t="b">
        <v>1</v>
      </c>
      <c r="O3" s="48" t="s">
        <v>148</v>
      </c>
      <c r="P3" s="48" t="s">
        <v>149</v>
      </c>
      <c r="Q3" s="48" t="s">
        <v>150</v>
      </c>
      <c r="R3" s="43">
        <v>23414</v>
      </c>
      <c r="S3" s="43">
        <v>23461</v>
      </c>
      <c r="T3" s="44">
        <v>46180.920636574076</v>
      </c>
      <c r="U3" s="39" t="s">
        <v>145</v>
      </c>
      <c r="V3" s="39"/>
    </row>
    <row r="4" spans="1:22" s="7" customFormat="1" ht="71.25">
      <c r="A4" s="60">
        <v>46175</v>
      </c>
      <c r="B4" s="18" t="s">
        <v>138</v>
      </c>
      <c r="C4" s="6" t="s">
        <v>151</v>
      </c>
      <c r="D4" s="6" t="s">
        <v>147</v>
      </c>
      <c r="E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4" s="39" t="s">
        <v>141</v>
      </c>
      <c r="G4" s="42" t="b">
        <v>1</v>
      </c>
      <c r="H4" s="42" t="b">
        <v>1</v>
      </c>
      <c r="I4" s="42" t="b">
        <v>1</v>
      </c>
      <c r="J4" s="42" t="b">
        <v>1</v>
      </c>
      <c r="K4" s="42" t="b">
        <v>1</v>
      </c>
      <c r="L4" s="42" t="b">
        <v>1</v>
      </c>
      <c r="M4" s="42" t="b">
        <v>1</v>
      </c>
      <c r="N4" s="42" t="b">
        <v>1</v>
      </c>
      <c r="O4" s="48" t="s">
        <v>152</v>
      </c>
      <c r="P4" s="48" t="s">
        <v>153</v>
      </c>
      <c r="Q4" s="48" t="s">
        <v>154</v>
      </c>
      <c r="R4" s="43">
        <v>17521</v>
      </c>
      <c r="S4" s="43">
        <v>17922</v>
      </c>
      <c r="T4" s="44">
        <v>46180.923391203702</v>
      </c>
      <c r="U4" s="39" t="s">
        <v>145</v>
      </c>
      <c r="V4" s="39"/>
    </row>
    <row r="5" spans="1:22" s="7" customFormat="1" ht="71.25">
      <c r="A5" s="60">
        <v>46175</v>
      </c>
      <c r="B5" s="18" t="s">
        <v>138</v>
      </c>
      <c r="C5" s="6" t="s">
        <v>155</v>
      </c>
      <c r="D5" s="6" t="s">
        <v>147</v>
      </c>
      <c r="E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5" s="39" t="s">
        <v>141</v>
      </c>
      <c r="G5" s="42" t="b">
        <v>1</v>
      </c>
      <c r="H5" s="42" t="b">
        <v>1</v>
      </c>
      <c r="I5" s="42" t="b">
        <v>1</v>
      </c>
      <c r="J5" s="42" t="b">
        <v>1</v>
      </c>
      <c r="K5" s="42" t="b">
        <v>1</v>
      </c>
      <c r="L5" s="42" t="b">
        <v>1</v>
      </c>
      <c r="M5" s="42" t="b">
        <v>1</v>
      </c>
      <c r="N5" s="42" t="b">
        <v>1</v>
      </c>
      <c r="O5" s="48" t="s">
        <v>156</v>
      </c>
      <c r="P5" s="48" t="s">
        <v>157</v>
      </c>
      <c r="Q5" s="48" t="s">
        <v>158</v>
      </c>
      <c r="R5" s="43">
        <v>2587</v>
      </c>
      <c r="S5" s="43">
        <v>2651</v>
      </c>
      <c r="T5" s="44">
        <v>46180.921400462961</v>
      </c>
      <c r="U5" s="39" t="s">
        <v>145</v>
      </c>
      <c r="V5" s="39"/>
    </row>
    <row r="6" spans="1:22" s="7" customFormat="1" ht="71.25">
      <c r="A6" s="60">
        <v>46176</v>
      </c>
      <c r="B6" s="18" t="s">
        <v>138</v>
      </c>
      <c r="C6" s="6" t="s">
        <v>159</v>
      </c>
      <c r="D6" s="6" t="s">
        <v>160</v>
      </c>
      <c r="E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6" s="39" t="s">
        <v>161</v>
      </c>
      <c r="G6" s="42" t="b">
        <v>1</v>
      </c>
      <c r="H6" s="42" t="b">
        <v>1</v>
      </c>
      <c r="I6" s="42" t="b">
        <v>1</v>
      </c>
      <c r="J6" s="42" t="b">
        <v>1</v>
      </c>
      <c r="K6" s="42" t="b">
        <v>1</v>
      </c>
      <c r="L6" s="42" t="b">
        <v>1</v>
      </c>
      <c r="M6" s="42" t="b">
        <v>1</v>
      </c>
      <c r="N6" s="42" t="b">
        <v>1</v>
      </c>
      <c r="O6" s="48" t="s">
        <v>162</v>
      </c>
      <c r="P6" s="48" t="s">
        <v>163</v>
      </c>
      <c r="Q6" s="48" t="s">
        <v>164</v>
      </c>
      <c r="R6" s="43">
        <v>455800</v>
      </c>
      <c r="S6" s="43">
        <v>466728</v>
      </c>
      <c r="T6" s="44">
        <v>46180.896527777775</v>
      </c>
      <c r="U6" s="39" t="s">
        <v>145</v>
      </c>
      <c r="V6" s="39"/>
    </row>
    <row r="7" spans="1:22" s="7" customFormat="1" ht="71.25">
      <c r="A7" s="61">
        <v>46177</v>
      </c>
      <c r="B7" s="49" t="s">
        <v>138</v>
      </c>
      <c r="C7" s="50" t="s">
        <v>165</v>
      </c>
      <c r="D7" s="50" t="s">
        <v>147</v>
      </c>
      <c r="E7" s="50"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7" s="51" t="s">
        <v>161</v>
      </c>
      <c r="G7" s="52" t="b">
        <v>1</v>
      </c>
      <c r="H7" s="52" t="b">
        <v>1</v>
      </c>
      <c r="I7" s="52" t="b">
        <v>1</v>
      </c>
      <c r="J7" s="52" t="b">
        <v>1</v>
      </c>
      <c r="K7" s="52" t="b">
        <v>1</v>
      </c>
      <c r="L7" s="52" t="b">
        <v>1</v>
      </c>
      <c r="M7" s="52" t="b">
        <v>1</v>
      </c>
      <c r="N7" s="52" t="b">
        <v>1</v>
      </c>
      <c r="O7" s="53" t="s">
        <v>166</v>
      </c>
      <c r="P7" s="53" t="s">
        <v>167</v>
      </c>
      <c r="Q7" s="53" t="s">
        <v>168</v>
      </c>
      <c r="R7" s="54"/>
      <c r="S7" s="54"/>
      <c r="T7" s="55">
        <v>46180.896620370368</v>
      </c>
      <c r="U7" s="51" t="s">
        <v>145</v>
      </c>
      <c r="V7" s="51" t="s">
        <v>169</v>
      </c>
    </row>
    <row r="8" spans="1:22" s="7" customFormat="1" ht="71.25">
      <c r="A8" s="60">
        <v>46178</v>
      </c>
      <c r="B8" s="18">
        <v>0.33333333333333331</v>
      </c>
      <c r="C8" s="6" t="s">
        <v>170</v>
      </c>
      <c r="D8" s="6" t="s">
        <v>140</v>
      </c>
      <c r="E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8" s="39" t="s">
        <v>141</v>
      </c>
      <c r="G8" s="42" t="b">
        <v>1</v>
      </c>
      <c r="H8" s="42" t="b">
        <v>1</v>
      </c>
      <c r="I8" s="42" t="b">
        <v>1</v>
      </c>
      <c r="J8" s="42" t="b">
        <v>1</v>
      </c>
      <c r="K8" s="42" t="b">
        <v>1</v>
      </c>
      <c r="L8" s="42" t="b">
        <v>1</v>
      </c>
      <c r="M8" s="42" t="b">
        <v>1</v>
      </c>
      <c r="N8" s="42" t="b">
        <v>1</v>
      </c>
      <c r="O8" s="48" t="s">
        <v>171</v>
      </c>
      <c r="P8" s="48" t="s">
        <v>172</v>
      </c>
      <c r="Q8" s="48" t="s">
        <v>173</v>
      </c>
      <c r="R8" s="43"/>
      <c r="S8" s="43"/>
      <c r="T8" s="44">
        <v>46180.896539351852</v>
      </c>
      <c r="U8" s="39" t="s">
        <v>145</v>
      </c>
      <c r="V8" s="39"/>
    </row>
    <row r="9" spans="1:22" s="7" customFormat="1" ht="71.25">
      <c r="A9" s="60">
        <v>46178</v>
      </c>
      <c r="B9" s="18">
        <v>0.375</v>
      </c>
      <c r="C9" s="6" t="s">
        <v>174</v>
      </c>
      <c r="D9" s="6" t="s">
        <v>140</v>
      </c>
      <c r="E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9" s="39" t="s">
        <v>141</v>
      </c>
      <c r="G9" s="42" t="b">
        <v>1</v>
      </c>
      <c r="H9" s="42" t="b">
        <v>1</v>
      </c>
      <c r="I9" s="42" t="b">
        <v>1</v>
      </c>
      <c r="J9" s="42" t="b">
        <v>1</v>
      </c>
      <c r="K9" s="42" t="b">
        <v>1</v>
      </c>
      <c r="L9" s="42" t="b">
        <v>1</v>
      </c>
      <c r="M9" s="42" t="b">
        <v>1</v>
      </c>
      <c r="N9" s="42" t="b">
        <v>1</v>
      </c>
      <c r="O9" s="48" t="s">
        <v>175</v>
      </c>
      <c r="P9" s="48" t="s">
        <v>176</v>
      </c>
      <c r="Q9" s="48" t="s">
        <v>177</v>
      </c>
      <c r="R9" s="43">
        <v>202658</v>
      </c>
      <c r="S9" s="43">
        <v>205619</v>
      </c>
      <c r="T9" s="44">
        <v>46181.053553240738</v>
      </c>
      <c r="U9" s="39" t="s">
        <v>192</v>
      </c>
      <c r="V9" s="39"/>
    </row>
    <row r="10" spans="1:22" s="7" customFormat="1" ht="71.25">
      <c r="A10" s="60">
        <v>46178</v>
      </c>
      <c r="B10" s="18">
        <v>0.41666666666666669</v>
      </c>
      <c r="C10" s="6" t="s">
        <v>178</v>
      </c>
      <c r="D10" s="6" t="s">
        <v>140</v>
      </c>
      <c r="E1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10" s="39" t="s">
        <v>141</v>
      </c>
      <c r="G10" s="42" t="b">
        <v>1</v>
      </c>
      <c r="H10" s="42" t="b">
        <v>1</v>
      </c>
      <c r="I10" s="42" t="b">
        <v>1</v>
      </c>
      <c r="J10" s="42" t="b">
        <v>1</v>
      </c>
      <c r="K10" s="42" t="b">
        <v>1</v>
      </c>
      <c r="L10" s="42" t="b">
        <v>1</v>
      </c>
      <c r="M10" s="42" t="b">
        <v>1</v>
      </c>
      <c r="N10" s="42" t="b">
        <v>1</v>
      </c>
      <c r="O10" s="48" t="s">
        <v>179</v>
      </c>
      <c r="P10" s="48" t="s">
        <v>180</v>
      </c>
      <c r="Q10" s="48" t="s">
        <v>181</v>
      </c>
      <c r="R10" s="43">
        <v>904918</v>
      </c>
      <c r="S10" s="43">
        <v>880888</v>
      </c>
      <c r="T10" s="44">
        <v>46181.053541666668</v>
      </c>
      <c r="U10" s="39" t="s">
        <v>192</v>
      </c>
      <c r="V10" s="39"/>
    </row>
    <row r="11" spans="1:22" s="7" customFormat="1" ht="71.25">
      <c r="A11" s="60">
        <v>46179</v>
      </c>
      <c r="B11" s="18">
        <v>0.91666666666666663</v>
      </c>
      <c r="C11" s="6" t="s">
        <v>182</v>
      </c>
      <c r="D11" s="6" t="s">
        <v>183</v>
      </c>
      <c r="E1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11" s="39" t="s">
        <v>161</v>
      </c>
      <c r="G11" s="42" t="b">
        <v>1</v>
      </c>
      <c r="H11" s="42" t="b">
        <v>1</v>
      </c>
      <c r="I11" s="42" t="b">
        <v>1</v>
      </c>
      <c r="J11" s="42" t="b">
        <v>1</v>
      </c>
      <c r="K11" s="42" t="b">
        <v>1</v>
      </c>
      <c r="L11" s="42" t="b">
        <v>1</v>
      </c>
      <c r="M11" s="42" t="b">
        <v>1</v>
      </c>
      <c r="N11" s="42" t="b">
        <v>1</v>
      </c>
      <c r="O11" s="48" t="s">
        <v>184</v>
      </c>
      <c r="P11" s="48" t="s">
        <v>185</v>
      </c>
      <c r="Q11" s="48" t="s">
        <v>186</v>
      </c>
      <c r="R11" s="43">
        <v>244728</v>
      </c>
      <c r="S11" s="43">
        <v>211870</v>
      </c>
      <c r="T11" s="44">
        <v>46180.899062500001</v>
      </c>
      <c r="U11" s="39" t="s">
        <v>145</v>
      </c>
      <c r="V11" s="39"/>
    </row>
    <row r="12" spans="1:22" s="7" customFormat="1" ht="71.25">
      <c r="A12" s="60">
        <v>46180</v>
      </c>
      <c r="B12" s="18" t="s">
        <v>138</v>
      </c>
      <c r="C12" s="6" t="s">
        <v>187</v>
      </c>
      <c r="D12" s="6" t="s">
        <v>188</v>
      </c>
      <c r="E1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Done: Campaign Name and UTM Parameter (Source Code), Creative Brief, SL &amp; PH, SKUs, In-Design, Build, QA, Route, Approval, Segments</v>
      </c>
      <c r="F12" s="39" t="s">
        <v>141</v>
      </c>
      <c r="G12" s="42" t="b">
        <v>1</v>
      </c>
      <c r="H12" s="42" t="b">
        <v>1</v>
      </c>
      <c r="I12" s="42" t="b">
        <v>1</v>
      </c>
      <c r="J12" s="42" t="b">
        <v>1</v>
      </c>
      <c r="K12" s="42" t="b">
        <v>1</v>
      </c>
      <c r="L12" s="42" t="b">
        <v>1</v>
      </c>
      <c r="M12" s="42" t="b">
        <v>1</v>
      </c>
      <c r="N12" s="42" t="b">
        <v>1</v>
      </c>
      <c r="O12" s="48" t="s">
        <v>189</v>
      </c>
      <c r="P12" s="48" t="s">
        <v>190</v>
      </c>
      <c r="Q12" s="48" t="s">
        <v>191</v>
      </c>
      <c r="R12" s="43">
        <v>24502</v>
      </c>
      <c r="S12" s="43">
        <v>22703</v>
      </c>
      <c r="T12" s="44">
        <v>46181.057708333334</v>
      </c>
      <c r="U12" s="39" t="s">
        <v>192</v>
      </c>
      <c r="V12" s="39"/>
    </row>
    <row r="13" spans="1:22" s="7" customFormat="1" ht="15.75">
      <c r="A13" s="60"/>
      <c r="B13" s="18"/>
      <c r="C13" s="6"/>
      <c r="D13" s="6"/>
      <c r="E1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 s="39"/>
      <c r="G13" s="42" t="b">
        <v>0</v>
      </c>
      <c r="H13" s="42" t="b">
        <v>0</v>
      </c>
      <c r="I13" s="42" t="b">
        <v>0</v>
      </c>
      <c r="J13" s="42" t="b">
        <v>0</v>
      </c>
      <c r="K13" s="42" t="b">
        <v>0</v>
      </c>
      <c r="L13" s="42" t="b">
        <v>0</v>
      </c>
      <c r="M13" s="42" t="b">
        <v>0</v>
      </c>
      <c r="N13" s="42" t="b">
        <v>0</v>
      </c>
      <c r="O13" s="6"/>
      <c r="P13" s="6"/>
      <c r="Q13" s="6"/>
      <c r="R13" s="43"/>
      <c r="S13" s="43"/>
      <c r="T13" s="44">
        <v>46180.622777777775</v>
      </c>
      <c r="U13" s="39" t="s">
        <v>145</v>
      </c>
      <c r="V13" s="39"/>
    </row>
    <row r="14" spans="1:22" ht="15.75">
      <c r="A14" s="60"/>
      <c r="B14" s="18"/>
      <c r="C14" s="6"/>
      <c r="D14" s="6"/>
      <c r="E1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 s="39"/>
      <c r="G14" s="42" t="b">
        <v>0</v>
      </c>
      <c r="H14" s="42" t="b">
        <v>0</v>
      </c>
      <c r="I14" s="42" t="b">
        <v>0</v>
      </c>
      <c r="J14" s="42" t="b">
        <v>0</v>
      </c>
      <c r="K14" s="42" t="b">
        <v>0</v>
      </c>
      <c r="L14" s="42" t="b">
        <v>0</v>
      </c>
      <c r="M14" s="42" t="b">
        <v>0</v>
      </c>
      <c r="N14" s="42" t="b">
        <v>0</v>
      </c>
      <c r="O14" s="6"/>
      <c r="P14" s="6"/>
      <c r="Q14" s="6"/>
      <c r="R14" s="43"/>
      <c r="S14" s="43"/>
      <c r="T14" s="44"/>
      <c r="U14" s="39"/>
      <c r="V14" s="39"/>
    </row>
    <row r="15" spans="1:22" ht="15.75">
      <c r="A15" s="60"/>
      <c r="B15" s="18"/>
      <c r="C15" s="6"/>
      <c r="D15" s="6"/>
      <c r="E1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 s="39"/>
      <c r="G15" s="42" t="b">
        <v>0</v>
      </c>
      <c r="H15" s="42" t="b">
        <v>0</v>
      </c>
      <c r="I15" s="42" t="b">
        <v>0</v>
      </c>
      <c r="J15" s="42" t="b">
        <v>0</v>
      </c>
      <c r="K15" s="42" t="b">
        <v>0</v>
      </c>
      <c r="L15" s="42" t="b">
        <v>0</v>
      </c>
      <c r="M15" s="42" t="b">
        <v>0</v>
      </c>
      <c r="N15" s="42" t="b">
        <v>0</v>
      </c>
      <c r="O15" s="6"/>
      <c r="P15" s="6"/>
      <c r="Q15" s="6"/>
      <c r="R15" s="43"/>
      <c r="S15" s="43"/>
      <c r="T15" s="44"/>
      <c r="U15" s="39"/>
      <c r="V15" s="39"/>
    </row>
    <row r="16" spans="1:22" ht="15.75">
      <c r="A16" s="60"/>
      <c r="B16" s="18"/>
      <c r="C16" s="6"/>
      <c r="D16" s="6"/>
      <c r="E1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 s="39"/>
      <c r="G16" s="42" t="b">
        <v>0</v>
      </c>
      <c r="H16" s="42" t="b">
        <v>0</v>
      </c>
      <c r="I16" s="42" t="b">
        <v>0</v>
      </c>
      <c r="J16" s="42" t="b">
        <v>0</v>
      </c>
      <c r="K16" s="42" t="b">
        <v>0</v>
      </c>
      <c r="L16" s="42" t="b">
        <v>0</v>
      </c>
      <c r="M16" s="42" t="b">
        <v>0</v>
      </c>
      <c r="N16" s="42" t="b">
        <v>0</v>
      </c>
      <c r="O16" s="6"/>
      <c r="P16" s="6"/>
      <c r="Q16" s="6"/>
      <c r="R16" s="43"/>
      <c r="S16" s="43"/>
      <c r="T16" s="44"/>
      <c r="U16" s="39"/>
      <c r="V16" s="39"/>
    </row>
    <row r="17" spans="1:22" ht="15.75">
      <c r="A17" s="60"/>
      <c r="B17" s="18"/>
      <c r="C17" s="6"/>
      <c r="D17" s="6"/>
      <c r="E1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 s="39"/>
      <c r="G17" s="42" t="b">
        <v>0</v>
      </c>
      <c r="H17" s="42" t="b">
        <v>0</v>
      </c>
      <c r="I17" s="42" t="b">
        <v>0</v>
      </c>
      <c r="J17" s="42" t="b">
        <v>0</v>
      </c>
      <c r="K17" s="42" t="b">
        <v>0</v>
      </c>
      <c r="L17" s="42" t="b">
        <v>0</v>
      </c>
      <c r="M17" s="42" t="b">
        <v>0</v>
      </c>
      <c r="N17" s="42" t="b">
        <v>0</v>
      </c>
      <c r="O17" s="6"/>
      <c r="P17" s="6"/>
      <c r="Q17" s="6"/>
      <c r="R17" s="43"/>
      <c r="S17" s="43"/>
      <c r="T17" s="44"/>
      <c r="U17" s="39"/>
      <c r="V17" s="39"/>
    </row>
    <row r="18" spans="1:22" ht="15.75">
      <c r="A18" s="60"/>
      <c r="B18" s="18"/>
      <c r="C18" s="6"/>
      <c r="D18" s="6"/>
      <c r="E1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 s="39"/>
      <c r="G18" s="42" t="b">
        <v>0</v>
      </c>
      <c r="H18" s="42" t="b">
        <v>0</v>
      </c>
      <c r="I18" s="42" t="b">
        <v>0</v>
      </c>
      <c r="J18" s="42" t="b">
        <v>0</v>
      </c>
      <c r="K18" s="42" t="b">
        <v>0</v>
      </c>
      <c r="L18" s="42" t="b">
        <v>0</v>
      </c>
      <c r="M18" s="42" t="b">
        <v>0</v>
      </c>
      <c r="N18" s="42" t="b">
        <v>0</v>
      </c>
      <c r="O18" s="6"/>
      <c r="P18" s="6"/>
      <c r="Q18" s="6"/>
      <c r="R18" s="43"/>
      <c r="S18" s="43"/>
      <c r="T18" s="44"/>
      <c r="U18" s="39"/>
      <c r="V18" s="39"/>
    </row>
    <row r="19" spans="1:22" ht="15.75">
      <c r="A19" s="60"/>
      <c r="B19" s="18"/>
      <c r="C19" s="6"/>
      <c r="D19" s="6"/>
      <c r="E1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 s="39"/>
      <c r="G19" s="42" t="b">
        <v>0</v>
      </c>
      <c r="H19" s="42" t="b">
        <v>0</v>
      </c>
      <c r="I19" s="42" t="b">
        <v>0</v>
      </c>
      <c r="J19" s="42" t="b">
        <v>0</v>
      </c>
      <c r="K19" s="42" t="b">
        <v>0</v>
      </c>
      <c r="L19" s="42" t="b">
        <v>0</v>
      </c>
      <c r="M19" s="42" t="b">
        <v>0</v>
      </c>
      <c r="N19" s="42" t="b">
        <v>0</v>
      </c>
      <c r="O19" s="6"/>
      <c r="P19" s="6"/>
      <c r="Q19" s="6"/>
      <c r="R19" s="43"/>
      <c r="S19" s="43"/>
      <c r="T19" s="44"/>
      <c r="U19" s="39"/>
      <c r="V19" s="39"/>
    </row>
    <row r="20" spans="1:22" ht="15.75">
      <c r="A20" s="60"/>
      <c r="B20" s="18"/>
      <c r="C20" s="6"/>
      <c r="D20" s="6"/>
      <c r="E2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 s="39"/>
      <c r="G20" s="42" t="b">
        <v>0</v>
      </c>
      <c r="H20" s="42" t="b">
        <v>0</v>
      </c>
      <c r="I20" s="42" t="b">
        <v>0</v>
      </c>
      <c r="J20" s="42" t="b">
        <v>0</v>
      </c>
      <c r="K20" s="42" t="b">
        <v>0</v>
      </c>
      <c r="L20" s="42" t="b">
        <v>0</v>
      </c>
      <c r="M20" s="42" t="b">
        <v>0</v>
      </c>
      <c r="N20" s="42" t="b">
        <v>0</v>
      </c>
      <c r="O20" s="6"/>
      <c r="P20" s="6"/>
      <c r="Q20" s="6"/>
      <c r="R20" s="43"/>
      <c r="S20" s="43"/>
      <c r="T20" s="44"/>
      <c r="U20" s="39"/>
      <c r="V20" s="39"/>
    </row>
    <row r="21" spans="1:22" ht="15.75">
      <c r="A21" s="60"/>
      <c r="B21" s="18"/>
      <c r="C21" s="6"/>
      <c r="D21" s="6"/>
      <c r="E2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1" s="39"/>
      <c r="G21" s="42" t="b">
        <v>0</v>
      </c>
      <c r="H21" s="42" t="b">
        <v>0</v>
      </c>
      <c r="I21" s="42" t="b">
        <v>0</v>
      </c>
      <c r="J21" s="42" t="b">
        <v>0</v>
      </c>
      <c r="K21" s="42" t="b">
        <v>0</v>
      </c>
      <c r="L21" s="42" t="b">
        <v>0</v>
      </c>
      <c r="M21" s="42" t="b">
        <v>0</v>
      </c>
      <c r="N21" s="42" t="b">
        <v>0</v>
      </c>
      <c r="O21" s="6"/>
      <c r="P21" s="6"/>
      <c r="Q21" s="6"/>
      <c r="R21" s="43"/>
      <c r="S21" s="43"/>
      <c r="T21" s="44"/>
      <c r="U21" s="39"/>
      <c r="V21" s="39"/>
    </row>
    <row r="22" spans="1:22" ht="15.75">
      <c r="A22" s="60"/>
      <c r="B22" s="18"/>
      <c r="C22" s="6"/>
      <c r="D22" s="6"/>
      <c r="E2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2" s="39"/>
      <c r="G22" s="42" t="b">
        <v>0</v>
      </c>
      <c r="H22" s="42" t="b">
        <v>0</v>
      </c>
      <c r="I22" s="42" t="b">
        <v>0</v>
      </c>
      <c r="J22" s="42" t="b">
        <v>0</v>
      </c>
      <c r="K22" s="42" t="b">
        <v>0</v>
      </c>
      <c r="L22" s="42" t="b">
        <v>0</v>
      </c>
      <c r="M22" s="42" t="b">
        <v>0</v>
      </c>
      <c r="N22" s="42" t="b">
        <v>0</v>
      </c>
      <c r="O22" s="6"/>
      <c r="P22" s="6"/>
      <c r="Q22" s="6"/>
      <c r="R22" s="43"/>
      <c r="S22" s="43"/>
      <c r="T22" s="44"/>
      <c r="U22" s="39"/>
      <c r="V22" s="39"/>
    </row>
    <row r="23" spans="1:22" ht="15.75">
      <c r="A23" s="60"/>
      <c r="B23" s="18"/>
      <c r="C23" s="6"/>
      <c r="D23" s="6"/>
      <c r="E2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3" s="39"/>
      <c r="G23" s="42" t="b">
        <v>0</v>
      </c>
      <c r="H23" s="42" t="b">
        <v>0</v>
      </c>
      <c r="I23" s="42" t="b">
        <v>0</v>
      </c>
      <c r="J23" s="42" t="b">
        <v>0</v>
      </c>
      <c r="K23" s="42" t="b">
        <v>0</v>
      </c>
      <c r="L23" s="42" t="b">
        <v>0</v>
      </c>
      <c r="M23" s="42" t="b">
        <v>0</v>
      </c>
      <c r="N23" s="42" t="b">
        <v>0</v>
      </c>
      <c r="O23" s="6"/>
      <c r="P23" s="6"/>
      <c r="Q23" s="6"/>
      <c r="R23" s="43"/>
      <c r="S23" s="43"/>
      <c r="T23" s="44"/>
      <c r="U23" s="39"/>
      <c r="V23" s="39"/>
    </row>
    <row r="24" spans="1:22" ht="15.75">
      <c r="A24" s="60"/>
      <c r="B24" s="18"/>
      <c r="C24" s="6"/>
      <c r="D24" s="6"/>
      <c r="E2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4" s="39"/>
      <c r="G24" s="42" t="b">
        <v>0</v>
      </c>
      <c r="H24" s="42" t="b">
        <v>0</v>
      </c>
      <c r="I24" s="42" t="b">
        <v>0</v>
      </c>
      <c r="J24" s="42" t="b">
        <v>0</v>
      </c>
      <c r="K24" s="42" t="b">
        <v>0</v>
      </c>
      <c r="L24" s="42" t="b">
        <v>0</v>
      </c>
      <c r="M24" s="42" t="b">
        <v>0</v>
      </c>
      <c r="N24" s="42" t="b">
        <v>0</v>
      </c>
      <c r="O24" s="6"/>
      <c r="P24" s="6"/>
      <c r="Q24" s="6"/>
      <c r="R24" s="43"/>
      <c r="S24" s="43"/>
      <c r="T24" s="44"/>
      <c r="U24" s="39"/>
      <c r="V24" s="39"/>
    </row>
    <row r="25" spans="1:22" ht="15.75">
      <c r="A25" s="60"/>
      <c r="B25" s="18"/>
      <c r="C25" s="6"/>
      <c r="D25" s="6"/>
      <c r="E2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5" s="39"/>
      <c r="G25" s="42" t="b">
        <v>0</v>
      </c>
      <c r="H25" s="42" t="b">
        <v>0</v>
      </c>
      <c r="I25" s="42" t="b">
        <v>0</v>
      </c>
      <c r="J25" s="42" t="b">
        <v>0</v>
      </c>
      <c r="K25" s="42" t="b">
        <v>0</v>
      </c>
      <c r="L25" s="42" t="b">
        <v>0</v>
      </c>
      <c r="M25" s="42" t="b">
        <v>0</v>
      </c>
      <c r="N25" s="42" t="b">
        <v>0</v>
      </c>
      <c r="O25" s="6"/>
      <c r="P25" s="6"/>
      <c r="Q25" s="6"/>
      <c r="R25" s="43"/>
      <c r="S25" s="43"/>
      <c r="T25" s="44"/>
      <c r="U25" s="39"/>
      <c r="V25" s="39"/>
    </row>
    <row r="26" spans="1:22" ht="15.75">
      <c r="A26" s="60"/>
      <c r="B26" s="18"/>
      <c r="C26" s="6"/>
      <c r="D26" s="6"/>
      <c r="E2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6" s="39"/>
      <c r="G26" s="42" t="b">
        <v>0</v>
      </c>
      <c r="H26" s="42" t="b">
        <v>0</v>
      </c>
      <c r="I26" s="42" t="b">
        <v>0</v>
      </c>
      <c r="J26" s="42" t="b">
        <v>0</v>
      </c>
      <c r="K26" s="42" t="b">
        <v>0</v>
      </c>
      <c r="L26" s="42" t="b">
        <v>0</v>
      </c>
      <c r="M26" s="42" t="b">
        <v>0</v>
      </c>
      <c r="N26" s="42" t="b">
        <v>0</v>
      </c>
      <c r="O26" s="6"/>
      <c r="P26" s="6"/>
      <c r="Q26" s="6"/>
      <c r="R26" s="43"/>
      <c r="S26" s="43"/>
      <c r="T26" s="44"/>
      <c r="U26" s="39"/>
      <c r="V26" s="39"/>
    </row>
    <row r="27" spans="1:22" ht="15.75">
      <c r="A27" s="60"/>
      <c r="B27" s="18"/>
      <c r="C27" s="6"/>
      <c r="D27" s="6"/>
      <c r="E2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7" s="39"/>
      <c r="G27" s="42" t="b">
        <v>0</v>
      </c>
      <c r="H27" s="42" t="b">
        <v>0</v>
      </c>
      <c r="I27" s="42" t="b">
        <v>0</v>
      </c>
      <c r="J27" s="42" t="b">
        <v>0</v>
      </c>
      <c r="K27" s="42" t="b">
        <v>0</v>
      </c>
      <c r="L27" s="42" t="b">
        <v>0</v>
      </c>
      <c r="M27" s="42" t="b">
        <v>0</v>
      </c>
      <c r="N27" s="42" t="b">
        <v>0</v>
      </c>
      <c r="O27" s="6"/>
      <c r="P27" s="6"/>
      <c r="Q27" s="6"/>
      <c r="R27" s="43"/>
      <c r="S27" s="43"/>
      <c r="T27" s="44"/>
      <c r="U27" s="39"/>
      <c r="V27" s="39"/>
    </row>
    <row r="28" spans="1:22" ht="15.75">
      <c r="A28" s="60"/>
      <c r="B28" s="18"/>
      <c r="C28" s="6"/>
      <c r="D28" s="6"/>
      <c r="E2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8" s="39"/>
      <c r="G28" s="42" t="b">
        <v>0</v>
      </c>
      <c r="H28" s="42" t="b">
        <v>0</v>
      </c>
      <c r="I28" s="42" t="b">
        <v>0</v>
      </c>
      <c r="J28" s="42" t="b">
        <v>0</v>
      </c>
      <c r="K28" s="42" t="b">
        <v>0</v>
      </c>
      <c r="L28" s="42" t="b">
        <v>0</v>
      </c>
      <c r="M28" s="42" t="b">
        <v>0</v>
      </c>
      <c r="N28" s="42" t="b">
        <v>0</v>
      </c>
      <c r="O28" s="6"/>
      <c r="P28" s="6"/>
      <c r="Q28" s="6"/>
      <c r="R28" s="43"/>
      <c r="S28" s="43"/>
      <c r="T28" s="44"/>
      <c r="U28" s="39"/>
      <c r="V28" s="39"/>
    </row>
    <row r="29" spans="1:22" ht="15.75">
      <c r="A29" s="60"/>
      <c r="B29" s="18"/>
      <c r="C29" s="6"/>
      <c r="D29" s="6"/>
      <c r="E2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9" s="39"/>
      <c r="G29" s="42" t="b">
        <v>0</v>
      </c>
      <c r="H29" s="42" t="b">
        <v>0</v>
      </c>
      <c r="I29" s="42" t="b">
        <v>0</v>
      </c>
      <c r="J29" s="42" t="b">
        <v>0</v>
      </c>
      <c r="K29" s="42" t="b">
        <v>0</v>
      </c>
      <c r="L29" s="42" t="b">
        <v>0</v>
      </c>
      <c r="M29" s="42" t="b">
        <v>0</v>
      </c>
      <c r="N29" s="42" t="b">
        <v>0</v>
      </c>
      <c r="O29" s="6"/>
      <c r="P29" s="6"/>
      <c r="Q29" s="6"/>
      <c r="R29" s="43"/>
      <c r="S29" s="43"/>
      <c r="T29" s="44"/>
      <c r="U29" s="39"/>
      <c r="V29" s="39"/>
    </row>
    <row r="30" spans="1:22" ht="15.75">
      <c r="A30" s="60"/>
      <c r="B30" s="18"/>
      <c r="C30" s="6"/>
      <c r="D30" s="6"/>
      <c r="E3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0" s="39"/>
      <c r="G30" s="42" t="b">
        <v>0</v>
      </c>
      <c r="H30" s="42" t="b">
        <v>0</v>
      </c>
      <c r="I30" s="42" t="b">
        <v>0</v>
      </c>
      <c r="J30" s="42" t="b">
        <v>0</v>
      </c>
      <c r="K30" s="42" t="b">
        <v>0</v>
      </c>
      <c r="L30" s="42" t="b">
        <v>0</v>
      </c>
      <c r="M30" s="42" t="b">
        <v>0</v>
      </c>
      <c r="N30" s="42" t="b">
        <v>0</v>
      </c>
      <c r="O30" s="6"/>
      <c r="P30" s="6"/>
      <c r="Q30" s="6"/>
      <c r="R30" s="43"/>
      <c r="S30" s="43"/>
      <c r="T30" s="44"/>
      <c r="U30" s="39"/>
      <c r="V30" s="39"/>
    </row>
    <row r="31" spans="1:22" ht="15.75">
      <c r="A31" s="60"/>
      <c r="B31" s="18"/>
      <c r="C31" s="6"/>
      <c r="D31" s="6"/>
      <c r="E3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1" s="39"/>
      <c r="G31" s="42" t="b">
        <v>0</v>
      </c>
      <c r="H31" s="42" t="b">
        <v>0</v>
      </c>
      <c r="I31" s="42" t="b">
        <v>0</v>
      </c>
      <c r="J31" s="42" t="b">
        <v>0</v>
      </c>
      <c r="K31" s="42" t="b">
        <v>0</v>
      </c>
      <c r="L31" s="42" t="b">
        <v>0</v>
      </c>
      <c r="M31" s="42" t="b">
        <v>0</v>
      </c>
      <c r="N31" s="42" t="b">
        <v>0</v>
      </c>
      <c r="O31" s="6"/>
      <c r="P31" s="6"/>
      <c r="Q31" s="6"/>
      <c r="R31" s="43"/>
      <c r="S31" s="43"/>
      <c r="T31" s="44"/>
      <c r="U31" s="39"/>
      <c r="V31" s="39"/>
    </row>
    <row r="32" spans="1:22" ht="15.75">
      <c r="A32" s="60"/>
      <c r="B32" s="18"/>
      <c r="C32" s="6"/>
      <c r="D32" s="6"/>
      <c r="E3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2" s="39"/>
      <c r="G32" s="42" t="b">
        <v>0</v>
      </c>
      <c r="H32" s="42" t="b">
        <v>0</v>
      </c>
      <c r="I32" s="42" t="b">
        <v>0</v>
      </c>
      <c r="J32" s="42" t="b">
        <v>0</v>
      </c>
      <c r="K32" s="42" t="b">
        <v>0</v>
      </c>
      <c r="L32" s="42" t="b">
        <v>0</v>
      </c>
      <c r="M32" s="42" t="b">
        <v>0</v>
      </c>
      <c r="N32" s="42" t="b">
        <v>0</v>
      </c>
      <c r="O32" s="6"/>
      <c r="P32" s="6"/>
      <c r="Q32" s="6"/>
      <c r="R32" s="43"/>
      <c r="S32" s="43"/>
      <c r="T32" s="44"/>
      <c r="U32" s="39"/>
      <c r="V32" s="39"/>
    </row>
    <row r="33" spans="1:22" ht="15.75">
      <c r="A33" s="60"/>
      <c r="B33" s="18"/>
      <c r="C33" s="6"/>
      <c r="D33" s="6"/>
      <c r="E3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3" s="39"/>
      <c r="G33" s="42" t="b">
        <v>0</v>
      </c>
      <c r="H33" s="42" t="b">
        <v>0</v>
      </c>
      <c r="I33" s="42" t="b">
        <v>0</v>
      </c>
      <c r="J33" s="42" t="b">
        <v>0</v>
      </c>
      <c r="K33" s="42" t="b">
        <v>0</v>
      </c>
      <c r="L33" s="42" t="b">
        <v>0</v>
      </c>
      <c r="M33" s="42" t="b">
        <v>0</v>
      </c>
      <c r="N33" s="42" t="b">
        <v>0</v>
      </c>
      <c r="O33" s="6"/>
      <c r="P33" s="6"/>
      <c r="Q33" s="6"/>
      <c r="R33" s="43"/>
      <c r="S33" s="43"/>
      <c r="T33" s="44"/>
      <c r="U33" s="39"/>
      <c r="V33" s="39"/>
    </row>
    <row r="34" spans="1:22" ht="15.75">
      <c r="A34" s="60"/>
      <c r="B34" s="18"/>
      <c r="C34" s="6"/>
      <c r="D34" s="6"/>
      <c r="E3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4" s="39"/>
      <c r="G34" s="42" t="b">
        <v>0</v>
      </c>
      <c r="H34" s="42" t="b">
        <v>0</v>
      </c>
      <c r="I34" s="42" t="b">
        <v>0</v>
      </c>
      <c r="J34" s="42" t="b">
        <v>0</v>
      </c>
      <c r="K34" s="42" t="b">
        <v>0</v>
      </c>
      <c r="L34" s="42" t="b">
        <v>0</v>
      </c>
      <c r="M34" s="42" t="b">
        <v>0</v>
      </c>
      <c r="N34" s="42" t="b">
        <v>0</v>
      </c>
      <c r="O34" s="6"/>
      <c r="P34" s="6"/>
      <c r="Q34" s="6"/>
      <c r="R34" s="43"/>
      <c r="S34" s="43"/>
      <c r="T34" s="44"/>
      <c r="U34" s="39"/>
      <c r="V34" s="39"/>
    </row>
    <row r="35" spans="1:22" ht="15.75">
      <c r="A35" s="60"/>
      <c r="B35" s="18"/>
      <c r="C35" s="6"/>
      <c r="D35" s="6"/>
      <c r="E3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5" s="39"/>
      <c r="G35" s="42" t="b">
        <v>0</v>
      </c>
      <c r="H35" s="42" t="b">
        <v>0</v>
      </c>
      <c r="I35" s="42" t="b">
        <v>0</v>
      </c>
      <c r="J35" s="42" t="b">
        <v>0</v>
      </c>
      <c r="K35" s="42" t="b">
        <v>0</v>
      </c>
      <c r="L35" s="42" t="b">
        <v>0</v>
      </c>
      <c r="M35" s="42" t="b">
        <v>0</v>
      </c>
      <c r="N35" s="42" t="b">
        <v>0</v>
      </c>
      <c r="O35" s="6"/>
      <c r="P35" s="6"/>
      <c r="Q35" s="6"/>
      <c r="R35" s="43"/>
      <c r="S35" s="43"/>
      <c r="T35" s="44"/>
      <c r="U35" s="39"/>
      <c r="V35" s="39"/>
    </row>
    <row r="36" spans="1:22" ht="15.75">
      <c r="A36" s="60"/>
      <c r="B36" s="18"/>
      <c r="C36" s="6"/>
      <c r="D36" s="6"/>
      <c r="E3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6" s="39"/>
      <c r="G36" s="42" t="b">
        <v>0</v>
      </c>
      <c r="H36" s="42" t="b">
        <v>0</v>
      </c>
      <c r="I36" s="42" t="b">
        <v>0</v>
      </c>
      <c r="J36" s="42" t="b">
        <v>0</v>
      </c>
      <c r="K36" s="42" t="b">
        <v>0</v>
      </c>
      <c r="L36" s="42" t="b">
        <v>0</v>
      </c>
      <c r="M36" s="42" t="b">
        <v>0</v>
      </c>
      <c r="N36" s="42" t="b">
        <v>0</v>
      </c>
      <c r="O36" s="6"/>
      <c r="P36" s="6"/>
      <c r="Q36" s="6"/>
      <c r="R36" s="43"/>
      <c r="S36" s="43"/>
      <c r="T36" s="44"/>
      <c r="U36" s="39"/>
      <c r="V36" s="39"/>
    </row>
    <row r="37" spans="1:22" ht="15.75">
      <c r="A37" s="60"/>
      <c r="B37" s="18"/>
      <c r="C37" s="6"/>
      <c r="D37" s="6"/>
      <c r="E3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7" s="39"/>
      <c r="G37" s="42" t="b">
        <v>0</v>
      </c>
      <c r="H37" s="42" t="b">
        <v>0</v>
      </c>
      <c r="I37" s="42" t="b">
        <v>0</v>
      </c>
      <c r="J37" s="42" t="b">
        <v>0</v>
      </c>
      <c r="K37" s="42" t="b">
        <v>0</v>
      </c>
      <c r="L37" s="42" t="b">
        <v>0</v>
      </c>
      <c r="M37" s="42" t="b">
        <v>0</v>
      </c>
      <c r="N37" s="42" t="b">
        <v>0</v>
      </c>
      <c r="O37" s="6"/>
      <c r="P37" s="6"/>
      <c r="Q37" s="6"/>
      <c r="R37" s="43"/>
      <c r="S37" s="43"/>
      <c r="T37" s="44"/>
      <c r="U37" s="39"/>
      <c r="V37" s="39"/>
    </row>
    <row r="38" spans="1:22" ht="15.75">
      <c r="A38" s="60"/>
      <c r="B38" s="18"/>
      <c r="C38" s="6"/>
      <c r="D38" s="6"/>
      <c r="E3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8" s="39"/>
      <c r="G38" s="42" t="b">
        <v>0</v>
      </c>
      <c r="H38" s="42" t="b">
        <v>0</v>
      </c>
      <c r="I38" s="42" t="b">
        <v>0</v>
      </c>
      <c r="J38" s="42" t="b">
        <v>0</v>
      </c>
      <c r="K38" s="42" t="b">
        <v>0</v>
      </c>
      <c r="L38" s="42" t="b">
        <v>0</v>
      </c>
      <c r="M38" s="42" t="b">
        <v>0</v>
      </c>
      <c r="N38" s="42" t="b">
        <v>0</v>
      </c>
      <c r="O38" s="6"/>
      <c r="P38" s="6"/>
      <c r="Q38" s="6"/>
      <c r="R38" s="43"/>
      <c r="S38" s="43"/>
      <c r="T38" s="44"/>
      <c r="U38" s="39"/>
      <c r="V38" s="39"/>
    </row>
    <row r="39" spans="1:22" ht="15.75">
      <c r="A39" s="60"/>
      <c r="B39" s="18"/>
      <c r="C39" s="6"/>
      <c r="D39" s="6"/>
      <c r="E3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39" s="39"/>
      <c r="G39" s="42" t="b">
        <v>0</v>
      </c>
      <c r="H39" s="42" t="b">
        <v>0</v>
      </c>
      <c r="I39" s="42" t="b">
        <v>0</v>
      </c>
      <c r="J39" s="42" t="b">
        <v>0</v>
      </c>
      <c r="K39" s="42" t="b">
        <v>0</v>
      </c>
      <c r="L39" s="42" t="b">
        <v>0</v>
      </c>
      <c r="M39" s="42" t="b">
        <v>0</v>
      </c>
      <c r="N39" s="42" t="b">
        <v>0</v>
      </c>
      <c r="O39" s="6"/>
      <c r="P39" s="6"/>
      <c r="Q39" s="6"/>
      <c r="R39" s="43"/>
      <c r="S39" s="43"/>
      <c r="T39" s="44"/>
      <c r="U39" s="39"/>
      <c r="V39" s="39"/>
    </row>
    <row r="40" spans="1:22" ht="15.75">
      <c r="A40" s="60"/>
      <c r="B40" s="18"/>
      <c r="C40" s="6"/>
      <c r="D40" s="6"/>
      <c r="E4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0" s="39"/>
      <c r="G40" s="42" t="b">
        <v>0</v>
      </c>
      <c r="H40" s="42" t="b">
        <v>0</v>
      </c>
      <c r="I40" s="42" t="b">
        <v>0</v>
      </c>
      <c r="J40" s="42" t="b">
        <v>0</v>
      </c>
      <c r="K40" s="42" t="b">
        <v>0</v>
      </c>
      <c r="L40" s="42" t="b">
        <v>0</v>
      </c>
      <c r="M40" s="42" t="b">
        <v>0</v>
      </c>
      <c r="N40" s="42" t="b">
        <v>0</v>
      </c>
      <c r="O40" s="6"/>
      <c r="P40" s="6"/>
      <c r="Q40" s="6"/>
      <c r="R40" s="43"/>
      <c r="S40" s="43"/>
      <c r="T40" s="44"/>
      <c r="U40" s="39"/>
      <c r="V40" s="39"/>
    </row>
    <row r="41" spans="1:22" ht="15.75">
      <c r="A41" s="60"/>
      <c r="B41" s="18"/>
      <c r="C41" s="6"/>
      <c r="D41" s="6"/>
      <c r="E4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1" s="39"/>
      <c r="G41" s="42" t="b">
        <v>0</v>
      </c>
      <c r="H41" s="42" t="b">
        <v>0</v>
      </c>
      <c r="I41" s="42" t="b">
        <v>0</v>
      </c>
      <c r="J41" s="42" t="b">
        <v>0</v>
      </c>
      <c r="K41" s="42" t="b">
        <v>0</v>
      </c>
      <c r="L41" s="42" t="b">
        <v>0</v>
      </c>
      <c r="M41" s="42" t="b">
        <v>0</v>
      </c>
      <c r="N41" s="42" t="b">
        <v>0</v>
      </c>
      <c r="O41" s="6"/>
      <c r="P41" s="6"/>
      <c r="Q41" s="6"/>
      <c r="R41" s="43"/>
      <c r="S41" s="43"/>
      <c r="T41" s="44"/>
      <c r="U41" s="39"/>
      <c r="V41" s="39"/>
    </row>
    <row r="42" spans="1:22" ht="15.75">
      <c r="A42" s="60"/>
      <c r="B42" s="18"/>
      <c r="C42" s="6"/>
      <c r="D42" s="6"/>
      <c r="E4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2" s="39"/>
      <c r="G42" s="42" t="b">
        <v>0</v>
      </c>
      <c r="H42" s="42" t="b">
        <v>0</v>
      </c>
      <c r="I42" s="42" t="b">
        <v>0</v>
      </c>
      <c r="J42" s="42" t="b">
        <v>0</v>
      </c>
      <c r="K42" s="42" t="b">
        <v>0</v>
      </c>
      <c r="L42" s="42" t="b">
        <v>0</v>
      </c>
      <c r="M42" s="42" t="b">
        <v>0</v>
      </c>
      <c r="N42" s="42" t="b">
        <v>0</v>
      </c>
      <c r="O42" s="6"/>
      <c r="P42" s="6"/>
      <c r="Q42" s="6"/>
      <c r="R42" s="43"/>
      <c r="S42" s="43"/>
      <c r="T42" s="44"/>
      <c r="U42" s="39"/>
      <c r="V42" s="39"/>
    </row>
    <row r="43" spans="1:22" ht="15.75">
      <c r="A43" s="60"/>
      <c r="B43" s="18"/>
      <c r="C43" s="6"/>
      <c r="D43" s="6"/>
      <c r="E4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3" s="39"/>
      <c r="G43" s="42" t="b">
        <v>0</v>
      </c>
      <c r="H43" s="42" t="b">
        <v>0</v>
      </c>
      <c r="I43" s="42" t="b">
        <v>0</v>
      </c>
      <c r="J43" s="42" t="b">
        <v>0</v>
      </c>
      <c r="K43" s="42" t="b">
        <v>0</v>
      </c>
      <c r="L43" s="42" t="b">
        <v>0</v>
      </c>
      <c r="M43" s="42" t="b">
        <v>0</v>
      </c>
      <c r="N43" s="42" t="b">
        <v>0</v>
      </c>
      <c r="O43" s="6"/>
      <c r="P43" s="6"/>
      <c r="Q43" s="6"/>
      <c r="R43" s="43"/>
      <c r="S43" s="43"/>
      <c r="T43" s="44"/>
      <c r="U43" s="39"/>
      <c r="V43" s="39"/>
    </row>
    <row r="44" spans="1:22" ht="15.75">
      <c r="A44" s="60"/>
      <c r="B44" s="18"/>
      <c r="C44" s="6"/>
      <c r="D44" s="6"/>
      <c r="E4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4" s="39"/>
      <c r="G44" s="42" t="b">
        <v>0</v>
      </c>
      <c r="H44" s="42" t="b">
        <v>0</v>
      </c>
      <c r="I44" s="42" t="b">
        <v>0</v>
      </c>
      <c r="J44" s="42" t="b">
        <v>0</v>
      </c>
      <c r="K44" s="42" t="b">
        <v>0</v>
      </c>
      <c r="L44" s="42" t="b">
        <v>0</v>
      </c>
      <c r="M44" s="42" t="b">
        <v>0</v>
      </c>
      <c r="N44" s="42" t="b">
        <v>0</v>
      </c>
      <c r="O44" s="6"/>
      <c r="P44" s="6"/>
      <c r="Q44" s="6"/>
      <c r="R44" s="43"/>
      <c r="S44" s="43"/>
      <c r="T44" s="44"/>
      <c r="U44" s="39"/>
      <c r="V44" s="39"/>
    </row>
    <row r="45" spans="1:22" ht="15.75">
      <c r="A45" s="60"/>
      <c r="B45" s="18"/>
      <c r="C45" s="6"/>
      <c r="D45" s="6"/>
      <c r="E4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5" s="39"/>
      <c r="G45" s="42" t="b">
        <v>0</v>
      </c>
      <c r="H45" s="42" t="b">
        <v>0</v>
      </c>
      <c r="I45" s="42" t="b">
        <v>0</v>
      </c>
      <c r="J45" s="42" t="b">
        <v>0</v>
      </c>
      <c r="K45" s="42" t="b">
        <v>0</v>
      </c>
      <c r="L45" s="42" t="b">
        <v>0</v>
      </c>
      <c r="M45" s="42" t="b">
        <v>0</v>
      </c>
      <c r="N45" s="42" t="b">
        <v>0</v>
      </c>
      <c r="O45" s="6"/>
      <c r="P45" s="6"/>
      <c r="Q45" s="6"/>
      <c r="R45" s="43"/>
      <c r="S45" s="43"/>
      <c r="T45" s="44"/>
      <c r="U45" s="39"/>
      <c r="V45" s="39"/>
    </row>
    <row r="46" spans="1:22" ht="15.75">
      <c r="A46" s="60"/>
      <c r="B46" s="18"/>
      <c r="C46" s="6"/>
      <c r="D46" s="6"/>
      <c r="E4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6" s="39"/>
      <c r="G46" s="42" t="b">
        <v>0</v>
      </c>
      <c r="H46" s="42" t="b">
        <v>0</v>
      </c>
      <c r="I46" s="42" t="b">
        <v>0</v>
      </c>
      <c r="J46" s="42" t="b">
        <v>0</v>
      </c>
      <c r="K46" s="42" t="b">
        <v>0</v>
      </c>
      <c r="L46" s="42" t="b">
        <v>0</v>
      </c>
      <c r="M46" s="42" t="b">
        <v>0</v>
      </c>
      <c r="N46" s="42" t="b">
        <v>0</v>
      </c>
      <c r="O46" s="6"/>
      <c r="P46" s="6"/>
      <c r="Q46" s="6"/>
      <c r="R46" s="43"/>
      <c r="S46" s="43"/>
      <c r="T46" s="44"/>
      <c r="U46" s="39"/>
      <c r="V46" s="39"/>
    </row>
    <row r="47" spans="1:22" ht="15.75">
      <c r="A47" s="60"/>
      <c r="B47" s="18"/>
      <c r="C47" s="6"/>
      <c r="D47" s="6"/>
      <c r="E4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7" s="39"/>
      <c r="G47" s="42" t="b">
        <v>0</v>
      </c>
      <c r="H47" s="42" t="b">
        <v>0</v>
      </c>
      <c r="I47" s="42" t="b">
        <v>0</v>
      </c>
      <c r="J47" s="42" t="b">
        <v>0</v>
      </c>
      <c r="K47" s="42" t="b">
        <v>0</v>
      </c>
      <c r="L47" s="42" t="b">
        <v>0</v>
      </c>
      <c r="M47" s="42" t="b">
        <v>0</v>
      </c>
      <c r="N47" s="42" t="b">
        <v>0</v>
      </c>
      <c r="O47" s="6"/>
      <c r="P47" s="6"/>
      <c r="Q47" s="6"/>
      <c r="R47" s="43"/>
      <c r="S47" s="43"/>
      <c r="T47" s="44"/>
      <c r="U47" s="39"/>
      <c r="V47" s="39"/>
    </row>
    <row r="48" spans="1:22" ht="15.75">
      <c r="A48" s="60"/>
      <c r="B48" s="18"/>
      <c r="C48" s="6"/>
      <c r="D48" s="6"/>
      <c r="E4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8" s="39"/>
      <c r="G48" s="42" t="b">
        <v>0</v>
      </c>
      <c r="H48" s="42" t="b">
        <v>0</v>
      </c>
      <c r="I48" s="42" t="b">
        <v>0</v>
      </c>
      <c r="J48" s="42" t="b">
        <v>0</v>
      </c>
      <c r="K48" s="42" t="b">
        <v>0</v>
      </c>
      <c r="L48" s="42" t="b">
        <v>0</v>
      </c>
      <c r="M48" s="42" t="b">
        <v>0</v>
      </c>
      <c r="N48" s="42" t="b">
        <v>0</v>
      </c>
      <c r="O48" s="6"/>
      <c r="P48" s="6"/>
      <c r="Q48" s="6"/>
      <c r="R48" s="43"/>
      <c r="S48" s="43"/>
      <c r="T48" s="44"/>
      <c r="U48" s="39"/>
      <c r="V48" s="39"/>
    </row>
    <row r="49" spans="1:22" ht="15.75">
      <c r="A49" s="60"/>
      <c r="B49" s="18"/>
      <c r="C49" s="6"/>
      <c r="D49" s="6"/>
      <c r="E4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49" s="39"/>
      <c r="G49" s="42" t="b">
        <v>0</v>
      </c>
      <c r="H49" s="42" t="b">
        <v>0</v>
      </c>
      <c r="I49" s="42" t="b">
        <v>0</v>
      </c>
      <c r="J49" s="42" t="b">
        <v>0</v>
      </c>
      <c r="K49" s="42" t="b">
        <v>0</v>
      </c>
      <c r="L49" s="42" t="b">
        <v>0</v>
      </c>
      <c r="M49" s="42" t="b">
        <v>0</v>
      </c>
      <c r="N49" s="42" t="b">
        <v>0</v>
      </c>
      <c r="O49" s="6"/>
      <c r="P49" s="6"/>
      <c r="Q49" s="6"/>
      <c r="R49" s="43"/>
      <c r="S49" s="43"/>
      <c r="T49" s="44"/>
      <c r="U49" s="39"/>
      <c r="V49" s="39"/>
    </row>
    <row r="50" spans="1:22" ht="15.75">
      <c r="A50" s="60"/>
      <c r="B50" s="18"/>
      <c r="C50" s="6"/>
      <c r="D50" s="6"/>
      <c r="E5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0" s="39"/>
      <c r="G50" s="42" t="b">
        <v>0</v>
      </c>
      <c r="H50" s="42" t="b">
        <v>0</v>
      </c>
      <c r="I50" s="42" t="b">
        <v>0</v>
      </c>
      <c r="J50" s="42" t="b">
        <v>0</v>
      </c>
      <c r="K50" s="42" t="b">
        <v>0</v>
      </c>
      <c r="L50" s="42" t="b">
        <v>0</v>
      </c>
      <c r="M50" s="42" t="b">
        <v>0</v>
      </c>
      <c r="N50" s="42" t="b">
        <v>0</v>
      </c>
      <c r="O50" s="6"/>
      <c r="P50" s="6"/>
      <c r="Q50" s="6"/>
      <c r="R50" s="43"/>
      <c r="S50" s="43"/>
      <c r="T50" s="44"/>
      <c r="U50" s="39"/>
      <c r="V50" s="39"/>
    </row>
    <row r="51" spans="1:22" ht="15.75">
      <c r="A51" s="60"/>
      <c r="B51" s="18"/>
      <c r="C51" s="6"/>
      <c r="D51" s="6"/>
      <c r="E5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1" s="39"/>
      <c r="G51" s="42" t="b">
        <v>0</v>
      </c>
      <c r="H51" s="42" t="b">
        <v>0</v>
      </c>
      <c r="I51" s="42" t="b">
        <v>0</v>
      </c>
      <c r="J51" s="42" t="b">
        <v>0</v>
      </c>
      <c r="K51" s="42" t="b">
        <v>0</v>
      </c>
      <c r="L51" s="42" t="b">
        <v>0</v>
      </c>
      <c r="M51" s="42" t="b">
        <v>0</v>
      </c>
      <c r="N51" s="42" t="b">
        <v>0</v>
      </c>
      <c r="O51" s="6"/>
      <c r="P51" s="6"/>
      <c r="Q51" s="6"/>
      <c r="R51" s="43"/>
      <c r="S51" s="43"/>
      <c r="T51" s="44"/>
      <c r="U51" s="39"/>
      <c r="V51" s="39"/>
    </row>
    <row r="52" spans="1:22" ht="15.75">
      <c r="A52" s="60"/>
      <c r="B52" s="18"/>
      <c r="C52" s="6"/>
      <c r="D52" s="6"/>
      <c r="E5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2" s="39"/>
      <c r="G52" s="42" t="b">
        <v>0</v>
      </c>
      <c r="H52" s="42" t="b">
        <v>0</v>
      </c>
      <c r="I52" s="42" t="b">
        <v>0</v>
      </c>
      <c r="J52" s="42" t="b">
        <v>0</v>
      </c>
      <c r="K52" s="42" t="b">
        <v>0</v>
      </c>
      <c r="L52" s="42" t="b">
        <v>0</v>
      </c>
      <c r="M52" s="42" t="b">
        <v>0</v>
      </c>
      <c r="N52" s="42" t="b">
        <v>0</v>
      </c>
      <c r="O52" s="6"/>
      <c r="P52" s="6"/>
      <c r="Q52" s="6"/>
      <c r="R52" s="43"/>
      <c r="S52" s="43"/>
      <c r="T52" s="44"/>
      <c r="U52" s="39"/>
      <c r="V52" s="39"/>
    </row>
    <row r="53" spans="1:22" ht="15.75">
      <c r="A53" s="60"/>
      <c r="B53" s="18"/>
      <c r="C53" s="6"/>
      <c r="D53" s="6"/>
      <c r="E5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3" s="39"/>
      <c r="G53" s="42" t="b">
        <v>0</v>
      </c>
      <c r="H53" s="42" t="b">
        <v>0</v>
      </c>
      <c r="I53" s="42" t="b">
        <v>0</v>
      </c>
      <c r="J53" s="42" t="b">
        <v>0</v>
      </c>
      <c r="K53" s="42" t="b">
        <v>0</v>
      </c>
      <c r="L53" s="42" t="b">
        <v>0</v>
      </c>
      <c r="M53" s="42" t="b">
        <v>0</v>
      </c>
      <c r="N53" s="42" t="b">
        <v>0</v>
      </c>
      <c r="O53" s="6"/>
      <c r="P53" s="6"/>
      <c r="Q53" s="6"/>
      <c r="R53" s="43"/>
      <c r="S53" s="43"/>
      <c r="T53" s="44"/>
      <c r="U53" s="39"/>
      <c r="V53" s="39"/>
    </row>
    <row r="54" spans="1:22" ht="15.75">
      <c r="A54" s="60"/>
      <c r="B54" s="18"/>
      <c r="C54" s="6"/>
      <c r="D54" s="6"/>
      <c r="E5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4" s="39"/>
      <c r="G54" s="42" t="b">
        <v>0</v>
      </c>
      <c r="H54" s="42" t="b">
        <v>0</v>
      </c>
      <c r="I54" s="42" t="b">
        <v>0</v>
      </c>
      <c r="J54" s="42" t="b">
        <v>0</v>
      </c>
      <c r="K54" s="42" t="b">
        <v>0</v>
      </c>
      <c r="L54" s="42" t="b">
        <v>0</v>
      </c>
      <c r="M54" s="42" t="b">
        <v>0</v>
      </c>
      <c r="N54" s="42" t="b">
        <v>0</v>
      </c>
      <c r="O54" s="6"/>
      <c r="P54" s="6"/>
      <c r="Q54" s="6"/>
      <c r="R54" s="43"/>
      <c r="S54" s="43"/>
      <c r="T54" s="44"/>
      <c r="U54" s="39"/>
      <c r="V54" s="39"/>
    </row>
    <row r="55" spans="1:22" ht="15.75">
      <c r="A55" s="60"/>
      <c r="B55" s="18"/>
      <c r="C55" s="6"/>
      <c r="D55" s="6"/>
      <c r="E5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5" s="39"/>
      <c r="G55" s="42" t="b">
        <v>0</v>
      </c>
      <c r="H55" s="42" t="b">
        <v>0</v>
      </c>
      <c r="I55" s="42" t="b">
        <v>0</v>
      </c>
      <c r="J55" s="42" t="b">
        <v>0</v>
      </c>
      <c r="K55" s="42" t="b">
        <v>0</v>
      </c>
      <c r="L55" s="42" t="b">
        <v>0</v>
      </c>
      <c r="M55" s="42" t="b">
        <v>0</v>
      </c>
      <c r="N55" s="42" t="b">
        <v>0</v>
      </c>
      <c r="O55" s="6"/>
      <c r="P55" s="6"/>
      <c r="Q55" s="6"/>
      <c r="R55" s="43"/>
      <c r="S55" s="43"/>
      <c r="T55" s="44"/>
      <c r="U55" s="39"/>
      <c r="V55" s="39"/>
    </row>
    <row r="56" spans="1:22" ht="15.75">
      <c r="A56" s="60"/>
      <c r="B56" s="18"/>
      <c r="C56" s="6"/>
      <c r="D56" s="6"/>
      <c r="E5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6" s="39"/>
      <c r="G56" s="42" t="b">
        <v>0</v>
      </c>
      <c r="H56" s="42" t="b">
        <v>0</v>
      </c>
      <c r="I56" s="42" t="b">
        <v>0</v>
      </c>
      <c r="J56" s="42" t="b">
        <v>0</v>
      </c>
      <c r="K56" s="42" t="b">
        <v>0</v>
      </c>
      <c r="L56" s="42" t="b">
        <v>0</v>
      </c>
      <c r="M56" s="42" t="b">
        <v>0</v>
      </c>
      <c r="N56" s="42" t="b">
        <v>0</v>
      </c>
      <c r="O56" s="6"/>
      <c r="P56" s="6"/>
      <c r="Q56" s="6"/>
      <c r="R56" s="43"/>
      <c r="S56" s="43"/>
      <c r="T56" s="44"/>
      <c r="U56" s="39"/>
      <c r="V56" s="39"/>
    </row>
    <row r="57" spans="1:22" ht="15.75">
      <c r="A57" s="60"/>
      <c r="B57" s="18"/>
      <c r="C57" s="6"/>
      <c r="D57" s="6"/>
      <c r="E5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7" s="39"/>
      <c r="G57" s="42" t="b">
        <v>0</v>
      </c>
      <c r="H57" s="42" t="b">
        <v>0</v>
      </c>
      <c r="I57" s="42" t="b">
        <v>0</v>
      </c>
      <c r="J57" s="42" t="b">
        <v>0</v>
      </c>
      <c r="K57" s="42" t="b">
        <v>0</v>
      </c>
      <c r="L57" s="42" t="b">
        <v>0</v>
      </c>
      <c r="M57" s="42" t="b">
        <v>0</v>
      </c>
      <c r="N57" s="42" t="b">
        <v>0</v>
      </c>
      <c r="O57" s="6"/>
      <c r="P57" s="6"/>
      <c r="Q57" s="6"/>
      <c r="R57" s="43"/>
      <c r="S57" s="43"/>
      <c r="T57" s="44"/>
      <c r="U57" s="39"/>
      <c r="V57" s="39"/>
    </row>
    <row r="58" spans="1:22" ht="15.75">
      <c r="A58" s="60"/>
      <c r="B58" s="18"/>
      <c r="C58" s="6"/>
      <c r="D58" s="6"/>
      <c r="E5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8" s="39"/>
      <c r="G58" s="42" t="b">
        <v>0</v>
      </c>
      <c r="H58" s="42" t="b">
        <v>0</v>
      </c>
      <c r="I58" s="42" t="b">
        <v>0</v>
      </c>
      <c r="J58" s="42" t="b">
        <v>0</v>
      </c>
      <c r="K58" s="42" t="b">
        <v>0</v>
      </c>
      <c r="L58" s="42" t="b">
        <v>0</v>
      </c>
      <c r="M58" s="42" t="b">
        <v>0</v>
      </c>
      <c r="N58" s="42" t="b">
        <v>0</v>
      </c>
      <c r="O58" s="6"/>
      <c r="P58" s="6"/>
      <c r="Q58" s="6"/>
      <c r="R58" s="43"/>
      <c r="S58" s="43"/>
      <c r="T58" s="44"/>
      <c r="U58" s="39"/>
      <c r="V58" s="39"/>
    </row>
    <row r="59" spans="1:22" ht="15.75">
      <c r="A59" s="60"/>
      <c r="B59" s="18"/>
      <c r="C59" s="6"/>
      <c r="D59" s="6"/>
      <c r="E5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59" s="39"/>
      <c r="G59" s="42" t="b">
        <v>0</v>
      </c>
      <c r="H59" s="42" t="b">
        <v>0</v>
      </c>
      <c r="I59" s="42" t="b">
        <v>0</v>
      </c>
      <c r="J59" s="42" t="b">
        <v>0</v>
      </c>
      <c r="K59" s="42" t="b">
        <v>0</v>
      </c>
      <c r="L59" s="42" t="b">
        <v>0</v>
      </c>
      <c r="M59" s="42" t="b">
        <v>0</v>
      </c>
      <c r="N59" s="42" t="b">
        <v>0</v>
      </c>
      <c r="O59" s="6"/>
      <c r="P59" s="6"/>
      <c r="Q59" s="6"/>
      <c r="R59" s="43"/>
      <c r="S59" s="43"/>
      <c r="T59" s="44"/>
      <c r="U59" s="39"/>
      <c r="V59" s="39"/>
    </row>
    <row r="60" spans="1:22" ht="15.75">
      <c r="A60" s="60"/>
      <c r="B60" s="18"/>
      <c r="C60" s="6"/>
      <c r="D60" s="6"/>
      <c r="E6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0" s="39"/>
      <c r="G60" s="42" t="b">
        <v>0</v>
      </c>
      <c r="H60" s="42" t="b">
        <v>0</v>
      </c>
      <c r="I60" s="42" t="b">
        <v>0</v>
      </c>
      <c r="J60" s="42" t="b">
        <v>0</v>
      </c>
      <c r="K60" s="42" t="b">
        <v>0</v>
      </c>
      <c r="L60" s="42" t="b">
        <v>0</v>
      </c>
      <c r="M60" s="42" t="b">
        <v>0</v>
      </c>
      <c r="N60" s="42" t="b">
        <v>0</v>
      </c>
      <c r="O60" s="6"/>
      <c r="P60" s="6"/>
      <c r="Q60" s="6"/>
      <c r="R60" s="43"/>
      <c r="S60" s="43"/>
      <c r="T60" s="44"/>
      <c r="U60" s="39"/>
      <c r="V60" s="39"/>
    </row>
    <row r="61" spans="1:22" ht="15.75">
      <c r="A61" s="60"/>
      <c r="B61" s="18"/>
      <c r="C61" s="6"/>
      <c r="D61" s="6"/>
      <c r="E6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1" s="39"/>
      <c r="G61" s="42" t="b">
        <v>0</v>
      </c>
      <c r="H61" s="42" t="b">
        <v>0</v>
      </c>
      <c r="I61" s="42" t="b">
        <v>0</v>
      </c>
      <c r="J61" s="42" t="b">
        <v>0</v>
      </c>
      <c r="K61" s="42" t="b">
        <v>0</v>
      </c>
      <c r="L61" s="42" t="b">
        <v>0</v>
      </c>
      <c r="M61" s="42" t="b">
        <v>0</v>
      </c>
      <c r="N61" s="42" t="b">
        <v>0</v>
      </c>
      <c r="O61" s="6"/>
      <c r="P61" s="6"/>
      <c r="Q61" s="6"/>
      <c r="R61" s="43"/>
      <c r="S61" s="43"/>
      <c r="T61" s="44"/>
      <c r="U61" s="39"/>
      <c r="V61" s="39"/>
    </row>
    <row r="62" spans="1:22" ht="15.75">
      <c r="A62" s="60"/>
      <c r="B62" s="18"/>
      <c r="C62" s="6"/>
      <c r="D62" s="6"/>
      <c r="E6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2" s="39"/>
      <c r="G62" s="42" t="b">
        <v>0</v>
      </c>
      <c r="H62" s="42" t="b">
        <v>0</v>
      </c>
      <c r="I62" s="42" t="b">
        <v>0</v>
      </c>
      <c r="J62" s="42" t="b">
        <v>0</v>
      </c>
      <c r="K62" s="42" t="b">
        <v>0</v>
      </c>
      <c r="L62" s="42" t="b">
        <v>0</v>
      </c>
      <c r="M62" s="42" t="b">
        <v>0</v>
      </c>
      <c r="N62" s="42" t="b">
        <v>0</v>
      </c>
      <c r="O62" s="6"/>
      <c r="P62" s="6"/>
      <c r="Q62" s="6"/>
      <c r="R62" s="43"/>
      <c r="S62" s="43"/>
      <c r="T62" s="44"/>
      <c r="U62" s="39"/>
      <c r="V62" s="39"/>
    </row>
    <row r="63" spans="1:22" ht="15.75">
      <c r="A63" s="60"/>
      <c r="B63" s="18"/>
      <c r="C63" s="6"/>
      <c r="D63" s="6"/>
      <c r="E6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3" s="39"/>
      <c r="G63" s="42" t="b">
        <v>0</v>
      </c>
      <c r="H63" s="42" t="b">
        <v>0</v>
      </c>
      <c r="I63" s="42" t="b">
        <v>0</v>
      </c>
      <c r="J63" s="42" t="b">
        <v>0</v>
      </c>
      <c r="K63" s="42" t="b">
        <v>0</v>
      </c>
      <c r="L63" s="42" t="b">
        <v>0</v>
      </c>
      <c r="M63" s="42" t="b">
        <v>0</v>
      </c>
      <c r="N63" s="42" t="b">
        <v>0</v>
      </c>
      <c r="O63" s="6"/>
      <c r="P63" s="6"/>
      <c r="Q63" s="6"/>
      <c r="R63" s="43"/>
      <c r="S63" s="43"/>
      <c r="T63" s="44"/>
      <c r="U63" s="39"/>
      <c r="V63" s="39"/>
    </row>
    <row r="64" spans="1:22" ht="15.75">
      <c r="A64" s="60"/>
      <c r="B64" s="18"/>
      <c r="C64" s="6"/>
      <c r="D64" s="6"/>
      <c r="E6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4" s="39"/>
      <c r="G64" s="42" t="b">
        <v>0</v>
      </c>
      <c r="H64" s="42" t="b">
        <v>0</v>
      </c>
      <c r="I64" s="42" t="b">
        <v>0</v>
      </c>
      <c r="J64" s="42" t="b">
        <v>0</v>
      </c>
      <c r="K64" s="42" t="b">
        <v>0</v>
      </c>
      <c r="L64" s="42" t="b">
        <v>0</v>
      </c>
      <c r="M64" s="42" t="b">
        <v>0</v>
      </c>
      <c r="N64" s="42" t="b">
        <v>0</v>
      </c>
      <c r="O64" s="6"/>
      <c r="P64" s="6"/>
      <c r="Q64" s="6"/>
      <c r="R64" s="43"/>
      <c r="S64" s="43"/>
      <c r="T64" s="44"/>
      <c r="U64" s="39"/>
      <c r="V64" s="39"/>
    </row>
    <row r="65" spans="1:22" ht="15.75">
      <c r="A65" s="60"/>
      <c r="B65" s="18"/>
      <c r="C65" s="6"/>
      <c r="D65" s="6"/>
      <c r="E6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5" s="39"/>
      <c r="G65" s="42" t="b">
        <v>0</v>
      </c>
      <c r="H65" s="42" t="b">
        <v>0</v>
      </c>
      <c r="I65" s="42" t="b">
        <v>0</v>
      </c>
      <c r="J65" s="42" t="b">
        <v>0</v>
      </c>
      <c r="K65" s="42" t="b">
        <v>0</v>
      </c>
      <c r="L65" s="42" t="b">
        <v>0</v>
      </c>
      <c r="M65" s="42" t="b">
        <v>0</v>
      </c>
      <c r="N65" s="42" t="b">
        <v>0</v>
      </c>
      <c r="O65" s="6"/>
      <c r="P65" s="6"/>
      <c r="Q65" s="6"/>
      <c r="R65" s="43"/>
      <c r="S65" s="43"/>
      <c r="T65" s="44"/>
      <c r="U65" s="39"/>
      <c r="V65" s="39"/>
    </row>
    <row r="66" spans="1:22" ht="15.75">
      <c r="A66" s="60"/>
      <c r="B66" s="18"/>
      <c r="C66" s="6"/>
      <c r="D66" s="6"/>
      <c r="E6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6" s="39"/>
      <c r="G66" s="42" t="b">
        <v>0</v>
      </c>
      <c r="H66" s="42" t="b">
        <v>0</v>
      </c>
      <c r="I66" s="42" t="b">
        <v>0</v>
      </c>
      <c r="J66" s="42" t="b">
        <v>0</v>
      </c>
      <c r="K66" s="42" t="b">
        <v>0</v>
      </c>
      <c r="L66" s="42" t="b">
        <v>0</v>
      </c>
      <c r="M66" s="42" t="b">
        <v>0</v>
      </c>
      <c r="N66" s="42" t="b">
        <v>0</v>
      </c>
      <c r="O66" s="6"/>
      <c r="P66" s="6"/>
      <c r="Q66" s="6"/>
      <c r="R66" s="43"/>
      <c r="S66" s="43"/>
      <c r="T66" s="44"/>
      <c r="U66" s="39"/>
      <c r="V66" s="39"/>
    </row>
    <row r="67" spans="1:22" ht="15.75">
      <c r="A67" s="60"/>
      <c r="B67" s="18"/>
      <c r="C67" s="6"/>
      <c r="D67" s="6"/>
      <c r="E6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7" s="39"/>
      <c r="G67" s="42" t="b">
        <v>0</v>
      </c>
      <c r="H67" s="42" t="b">
        <v>0</v>
      </c>
      <c r="I67" s="42" t="b">
        <v>0</v>
      </c>
      <c r="J67" s="42" t="b">
        <v>0</v>
      </c>
      <c r="K67" s="42" t="b">
        <v>0</v>
      </c>
      <c r="L67" s="42" t="b">
        <v>0</v>
      </c>
      <c r="M67" s="42" t="b">
        <v>0</v>
      </c>
      <c r="N67" s="42" t="b">
        <v>0</v>
      </c>
      <c r="O67" s="6"/>
      <c r="P67" s="6"/>
      <c r="Q67" s="6"/>
      <c r="R67" s="43"/>
      <c r="S67" s="43"/>
      <c r="T67" s="44"/>
      <c r="U67" s="39"/>
      <c r="V67" s="39"/>
    </row>
    <row r="68" spans="1:22" ht="15.75">
      <c r="A68" s="60"/>
      <c r="B68" s="18"/>
      <c r="C68" s="6"/>
      <c r="D68" s="6"/>
      <c r="E6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8" s="39"/>
      <c r="G68" s="42" t="b">
        <v>0</v>
      </c>
      <c r="H68" s="42" t="b">
        <v>0</v>
      </c>
      <c r="I68" s="42" t="b">
        <v>0</v>
      </c>
      <c r="J68" s="42" t="b">
        <v>0</v>
      </c>
      <c r="K68" s="42" t="b">
        <v>0</v>
      </c>
      <c r="L68" s="42" t="b">
        <v>0</v>
      </c>
      <c r="M68" s="42" t="b">
        <v>0</v>
      </c>
      <c r="N68" s="42" t="b">
        <v>0</v>
      </c>
      <c r="O68" s="6"/>
      <c r="P68" s="6"/>
      <c r="Q68" s="6"/>
      <c r="R68" s="43"/>
      <c r="S68" s="43"/>
      <c r="T68" s="44"/>
      <c r="U68" s="39"/>
      <c r="V68" s="39"/>
    </row>
    <row r="69" spans="1:22" ht="15.75">
      <c r="A69" s="60"/>
      <c r="B69" s="18"/>
      <c r="C69" s="6"/>
      <c r="D69" s="6"/>
      <c r="E6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69" s="39"/>
      <c r="G69" s="42" t="b">
        <v>0</v>
      </c>
      <c r="H69" s="42" t="b">
        <v>0</v>
      </c>
      <c r="I69" s="42" t="b">
        <v>0</v>
      </c>
      <c r="J69" s="42" t="b">
        <v>0</v>
      </c>
      <c r="K69" s="42" t="b">
        <v>0</v>
      </c>
      <c r="L69" s="42" t="b">
        <v>0</v>
      </c>
      <c r="M69" s="42" t="b">
        <v>0</v>
      </c>
      <c r="N69" s="42" t="b">
        <v>0</v>
      </c>
      <c r="O69" s="6"/>
      <c r="P69" s="6"/>
      <c r="Q69" s="6"/>
      <c r="R69" s="43"/>
      <c r="S69" s="43"/>
      <c r="T69" s="44"/>
      <c r="U69" s="39"/>
      <c r="V69" s="39"/>
    </row>
    <row r="70" spans="1:22" ht="15.75">
      <c r="A70" s="60"/>
      <c r="B70" s="18"/>
      <c r="C70" s="6"/>
      <c r="D70" s="6"/>
      <c r="E7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0" s="39"/>
      <c r="G70" s="42" t="b">
        <v>0</v>
      </c>
      <c r="H70" s="42" t="b">
        <v>0</v>
      </c>
      <c r="I70" s="42" t="b">
        <v>0</v>
      </c>
      <c r="J70" s="42" t="b">
        <v>0</v>
      </c>
      <c r="K70" s="42" t="b">
        <v>0</v>
      </c>
      <c r="L70" s="42" t="b">
        <v>0</v>
      </c>
      <c r="M70" s="42" t="b">
        <v>0</v>
      </c>
      <c r="N70" s="42" t="b">
        <v>0</v>
      </c>
      <c r="O70" s="6"/>
      <c r="P70" s="6"/>
      <c r="Q70" s="6"/>
      <c r="R70" s="43"/>
      <c r="S70" s="43"/>
      <c r="T70" s="44"/>
      <c r="U70" s="39"/>
      <c r="V70" s="39"/>
    </row>
    <row r="71" spans="1:22" ht="15.75">
      <c r="A71" s="60"/>
      <c r="B71" s="18"/>
      <c r="C71" s="6"/>
      <c r="D71" s="6"/>
      <c r="E7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1" s="39"/>
      <c r="G71" s="42" t="b">
        <v>0</v>
      </c>
      <c r="H71" s="42" t="b">
        <v>0</v>
      </c>
      <c r="I71" s="42" t="b">
        <v>0</v>
      </c>
      <c r="J71" s="42" t="b">
        <v>0</v>
      </c>
      <c r="K71" s="42" t="b">
        <v>0</v>
      </c>
      <c r="L71" s="42" t="b">
        <v>0</v>
      </c>
      <c r="M71" s="42" t="b">
        <v>0</v>
      </c>
      <c r="N71" s="42" t="b">
        <v>0</v>
      </c>
      <c r="O71" s="6"/>
      <c r="P71" s="6"/>
      <c r="Q71" s="6"/>
      <c r="R71" s="43"/>
      <c r="S71" s="43"/>
      <c r="T71" s="44"/>
      <c r="U71" s="39"/>
      <c r="V71" s="39"/>
    </row>
    <row r="72" spans="1:22" ht="15.75">
      <c r="A72" s="60"/>
      <c r="B72" s="18"/>
      <c r="C72" s="6"/>
      <c r="D72" s="6"/>
      <c r="E7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2" s="39"/>
      <c r="G72" s="42" t="b">
        <v>0</v>
      </c>
      <c r="H72" s="42" t="b">
        <v>0</v>
      </c>
      <c r="I72" s="42" t="b">
        <v>0</v>
      </c>
      <c r="J72" s="42" t="b">
        <v>0</v>
      </c>
      <c r="K72" s="42" t="b">
        <v>0</v>
      </c>
      <c r="L72" s="42" t="b">
        <v>0</v>
      </c>
      <c r="M72" s="42" t="b">
        <v>0</v>
      </c>
      <c r="N72" s="42" t="b">
        <v>0</v>
      </c>
      <c r="O72" s="6"/>
      <c r="P72" s="6"/>
      <c r="Q72" s="6"/>
      <c r="R72" s="43"/>
      <c r="S72" s="43"/>
      <c r="T72" s="44"/>
      <c r="U72" s="39"/>
      <c r="V72" s="39"/>
    </row>
    <row r="73" spans="1:22" ht="15.75">
      <c r="A73" s="60"/>
      <c r="B73" s="18"/>
      <c r="C73" s="6"/>
      <c r="D73" s="6"/>
      <c r="E7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3" s="39"/>
      <c r="G73" s="42" t="b">
        <v>0</v>
      </c>
      <c r="H73" s="42" t="b">
        <v>0</v>
      </c>
      <c r="I73" s="42" t="b">
        <v>0</v>
      </c>
      <c r="J73" s="42" t="b">
        <v>0</v>
      </c>
      <c r="K73" s="42" t="b">
        <v>0</v>
      </c>
      <c r="L73" s="42" t="b">
        <v>0</v>
      </c>
      <c r="M73" s="42" t="b">
        <v>0</v>
      </c>
      <c r="N73" s="42" t="b">
        <v>0</v>
      </c>
      <c r="O73" s="6"/>
      <c r="P73" s="6"/>
      <c r="Q73" s="6"/>
      <c r="R73" s="43"/>
      <c r="S73" s="43"/>
      <c r="T73" s="44"/>
      <c r="U73" s="39"/>
      <c r="V73" s="39"/>
    </row>
    <row r="74" spans="1:22" ht="15.75">
      <c r="A74" s="60"/>
      <c r="B74" s="18"/>
      <c r="C74" s="6"/>
      <c r="D74" s="6"/>
      <c r="E7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4" s="39"/>
      <c r="G74" s="42" t="b">
        <v>0</v>
      </c>
      <c r="H74" s="42" t="b">
        <v>0</v>
      </c>
      <c r="I74" s="42" t="b">
        <v>0</v>
      </c>
      <c r="J74" s="42" t="b">
        <v>0</v>
      </c>
      <c r="K74" s="42" t="b">
        <v>0</v>
      </c>
      <c r="L74" s="42" t="b">
        <v>0</v>
      </c>
      <c r="M74" s="42" t="b">
        <v>0</v>
      </c>
      <c r="N74" s="42" t="b">
        <v>0</v>
      </c>
      <c r="O74" s="6"/>
      <c r="P74" s="6"/>
      <c r="Q74" s="6"/>
      <c r="R74" s="43"/>
      <c r="S74" s="43"/>
      <c r="T74" s="44"/>
      <c r="U74" s="39"/>
      <c r="V74" s="39"/>
    </row>
    <row r="75" spans="1:22" ht="15.75">
      <c r="A75" s="60"/>
      <c r="B75" s="18"/>
      <c r="C75" s="6"/>
      <c r="D75" s="6"/>
      <c r="E7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5" s="39"/>
      <c r="G75" s="42" t="b">
        <v>0</v>
      </c>
      <c r="H75" s="42" t="b">
        <v>0</v>
      </c>
      <c r="I75" s="42" t="b">
        <v>0</v>
      </c>
      <c r="J75" s="42" t="b">
        <v>0</v>
      </c>
      <c r="K75" s="42" t="b">
        <v>0</v>
      </c>
      <c r="L75" s="42" t="b">
        <v>0</v>
      </c>
      <c r="M75" s="42" t="b">
        <v>0</v>
      </c>
      <c r="N75" s="42" t="b">
        <v>0</v>
      </c>
      <c r="O75" s="6"/>
      <c r="P75" s="6"/>
      <c r="Q75" s="6"/>
      <c r="R75" s="43"/>
      <c r="S75" s="43"/>
      <c r="T75" s="44"/>
      <c r="U75" s="39"/>
      <c r="V75" s="39"/>
    </row>
    <row r="76" spans="1:22" ht="15.75">
      <c r="A76" s="60"/>
      <c r="B76" s="18"/>
      <c r="C76" s="6"/>
      <c r="D76" s="6"/>
      <c r="E7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6" s="39"/>
      <c r="G76" s="42" t="b">
        <v>0</v>
      </c>
      <c r="H76" s="42" t="b">
        <v>0</v>
      </c>
      <c r="I76" s="42" t="b">
        <v>0</v>
      </c>
      <c r="J76" s="42" t="b">
        <v>0</v>
      </c>
      <c r="K76" s="42" t="b">
        <v>0</v>
      </c>
      <c r="L76" s="42" t="b">
        <v>0</v>
      </c>
      <c r="M76" s="42" t="b">
        <v>0</v>
      </c>
      <c r="N76" s="42" t="b">
        <v>0</v>
      </c>
      <c r="O76" s="6"/>
      <c r="P76" s="6"/>
      <c r="Q76" s="6"/>
      <c r="R76" s="43"/>
      <c r="S76" s="43"/>
      <c r="T76" s="44"/>
      <c r="U76" s="39"/>
      <c r="V76" s="39"/>
    </row>
    <row r="77" spans="1:22" ht="15.75">
      <c r="A77" s="60"/>
      <c r="B77" s="18"/>
      <c r="C77" s="6"/>
      <c r="D77" s="6"/>
      <c r="E7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7" s="39"/>
      <c r="G77" s="42" t="b">
        <v>0</v>
      </c>
      <c r="H77" s="42" t="b">
        <v>0</v>
      </c>
      <c r="I77" s="42" t="b">
        <v>0</v>
      </c>
      <c r="J77" s="42" t="b">
        <v>0</v>
      </c>
      <c r="K77" s="42" t="b">
        <v>0</v>
      </c>
      <c r="L77" s="42" t="b">
        <v>0</v>
      </c>
      <c r="M77" s="42" t="b">
        <v>0</v>
      </c>
      <c r="N77" s="42" t="b">
        <v>0</v>
      </c>
      <c r="O77" s="6"/>
      <c r="P77" s="6"/>
      <c r="Q77" s="6"/>
      <c r="R77" s="43"/>
      <c r="S77" s="43"/>
      <c r="T77" s="44"/>
      <c r="U77" s="39"/>
      <c r="V77" s="39"/>
    </row>
    <row r="78" spans="1:22" ht="15.75">
      <c r="A78" s="60"/>
      <c r="B78" s="18"/>
      <c r="C78" s="6"/>
      <c r="D78" s="6"/>
      <c r="E7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8" s="39"/>
      <c r="G78" s="42" t="b">
        <v>0</v>
      </c>
      <c r="H78" s="42" t="b">
        <v>0</v>
      </c>
      <c r="I78" s="42" t="b">
        <v>0</v>
      </c>
      <c r="J78" s="42" t="b">
        <v>0</v>
      </c>
      <c r="K78" s="42" t="b">
        <v>0</v>
      </c>
      <c r="L78" s="42" t="b">
        <v>0</v>
      </c>
      <c r="M78" s="42" t="b">
        <v>0</v>
      </c>
      <c r="N78" s="42" t="b">
        <v>0</v>
      </c>
      <c r="O78" s="6"/>
      <c r="P78" s="6"/>
      <c r="Q78" s="6"/>
      <c r="R78" s="43"/>
      <c r="S78" s="43"/>
      <c r="T78" s="44"/>
      <c r="U78" s="39"/>
      <c r="V78" s="39"/>
    </row>
    <row r="79" spans="1:22" ht="15.75">
      <c r="A79" s="60"/>
      <c r="B79" s="18"/>
      <c r="C79" s="6"/>
      <c r="D79" s="6"/>
      <c r="E7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79" s="39"/>
      <c r="G79" s="42" t="b">
        <v>0</v>
      </c>
      <c r="H79" s="42" t="b">
        <v>0</v>
      </c>
      <c r="I79" s="42" t="b">
        <v>0</v>
      </c>
      <c r="J79" s="42" t="b">
        <v>0</v>
      </c>
      <c r="K79" s="42" t="b">
        <v>0</v>
      </c>
      <c r="L79" s="42" t="b">
        <v>0</v>
      </c>
      <c r="M79" s="42" t="b">
        <v>0</v>
      </c>
      <c r="N79" s="42" t="b">
        <v>0</v>
      </c>
      <c r="O79" s="6"/>
      <c r="P79" s="6"/>
      <c r="Q79" s="6"/>
      <c r="R79" s="43"/>
      <c r="S79" s="43"/>
      <c r="T79" s="44"/>
      <c r="U79" s="39"/>
      <c r="V79" s="39"/>
    </row>
    <row r="80" spans="1:22" ht="15.75">
      <c r="A80" s="60"/>
      <c r="B80" s="18"/>
      <c r="C80" s="6"/>
      <c r="D80" s="6"/>
      <c r="E8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0" s="39"/>
      <c r="G80" s="42" t="b">
        <v>0</v>
      </c>
      <c r="H80" s="42" t="b">
        <v>0</v>
      </c>
      <c r="I80" s="42" t="b">
        <v>0</v>
      </c>
      <c r="J80" s="42" t="b">
        <v>0</v>
      </c>
      <c r="K80" s="42" t="b">
        <v>0</v>
      </c>
      <c r="L80" s="42" t="b">
        <v>0</v>
      </c>
      <c r="M80" s="42" t="b">
        <v>0</v>
      </c>
      <c r="N80" s="42" t="b">
        <v>0</v>
      </c>
      <c r="O80" s="6"/>
      <c r="P80" s="6"/>
      <c r="Q80" s="6"/>
      <c r="R80" s="43"/>
      <c r="S80" s="43"/>
      <c r="T80" s="44"/>
      <c r="U80" s="39"/>
      <c r="V80" s="39"/>
    </row>
    <row r="81" spans="1:22" ht="15.75">
      <c r="A81" s="60"/>
      <c r="B81" s="18"/>
      <c r="C81" s="6"/>
      <c r="D81" s="6"/>
      <c r="E8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1" s="39"/>
      <c r="G81" s="42" t="b">
        <v>0</v>
      </c>
      <c r="H81" s="42" t="b">
        <v>0</v>
      </c>
      <c r="I81" s="42" t="b">
        <v>0</v>
      </c>
      <c r="J81" s="42" t="b">
        <v>0</v>
      </c>
      <c r="K81" s="42" t="b">
        <v>0</v>
      </c>
      <c r="L81" s="42" t="b">
        <v>0</v>
      </c>
      <c r="M81" s="42" t="b">
        <v>0</v>
      </c>
      <c r="N81" s="42" t="b">
        <v>0</v>
      </c>
      <c r="O81" s="6"/>
      <c r="P81" s="6"/>
      <c r="Q81" s="6"/>
      <c r="R81" s="43"/>
      <c r="S81" s="43"/>
      <c r="T81" s="44"/>
      <c r="U81" s="39"/>
      <c r="V81" s="39"/>
    </row>
    <row r="82" spans="1:22" ht="15.75">
      <c r="A82" s="60"/>
      <c r="B82" s="18"/>
      <c r="C82" s="6"/>
      <c r="D82" s="6"/>
      <c r="E8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2" s="39"/>
      <c r="G82" s="42" t="b">
        <v>0</v>
      </c>
      <c r="H82" s="42" t="b">
        <v>0</v>
      </c>
      <c r="I82" s="42" t="b">
        <v>0</v>
      </c>
      <c r="J82" s="42" t="b">
        <v>0</v>
      </c>
      <c r="K82" s="42" t="b">
        <v>0</v>
      </c>
      <c r="L82" s="42" t="b">
        <v>0</v>
      </c>
      <c r="M82" s="42" t="b">
        <v>0</v>
      </c>
      <c r="N82" s="42" t="b">
        <v>0</v>
      </c>
      <c r="O82" s="6"/>
      <c r="P82" s="6"/>
      <c r="Q82" s="6"/>
      <c r="R82" s="43"/>
      <c r="S82" s="43"/>
      <c r="T82" s="44"/>
      <c r="U82" s="39"/>
      <c r="V82" s="39"/>
    </row>
    <row r="83" spans="1:22" ht="15.75">
      <c r="A83" s="60"/>
      <c r="B83" s="18"/>
      <c r="C83" s="6"/>
      <c r="D83" s="6"/>
      <c r="E8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3" s="39"/>
      <c r="G83" s="42" t="b">
        <v>0</v>
      </c>
      <c r="H83" s="42" t="b">
        <v>0</v>
      </c>
      <c r="I83" s="42" t="b">
        <v>0</v>
      </c>
      <c r="J83" s="42" t="b">
        <v>0</v>
      </c>
      <c r="K83" s="42" t="b">
        <v>0</v>
      </c>
      <c r="L83" s="42" t="b">
        <v>0</v>
      </c>
      <c r="M83" s="42" t="b">
        <v>0</v>
      </c>
      <c r="N83" s="42" t="b">
        <v>0</v>
      </c>
      <c r="O83" s="6"/>
      <c r="P83" s="6"/>
      <c r="Q83" s="6"/>
      <c r="R83" s="43"/>
      <c r="S83" s="43"/>
      <c r="T83" s="44"/>
      <c r="U83" s="39"/>
      <c r="V83" s="39"/>
    </row>
    <row r="84" spans="1:22" ht="15.75">
      <c r="A84" s="60"/>
      <c r="B84" s="18"/>
      <c r="C84" s="6"/>
      <c r="D84" s="6"/>
      <c r="E8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4" s="39"/>
      <c r="G84" s="42" t="b">
        <v>0</v>
      </c>
      <c r="H84" s="42" t="b">
        <v>0</v>
      </c>
      <c r="I84" s="42" t="b">
        <v>0</v>
      </c>
      <c r="J84" s="42" t="b">
        <v>0</v>
      </c>
      <c r="K84" s="42" t="b">
        <v>0</v>
      </c>
      <c r="L84" s="42" t="b">
        <v>0</v>
      </c>
      <c r="M84" s="42" t="b">
        <v>0</v>
      </c>
      <c r="N84" s="42" t="b">
        <v>0</v>
      </c>
      <c r="O84" s="6"/>
      <c r="P84" s="6"/>
      <c r="Q84" s="6"/>
      <c r="R84" s="43"/>
      <c r="S84" s="43"/>
      <c r="T84" s="44"/>
      <c r="U84" s="39"/>
      <c r="V84" s="39"/>
    </row>
    <row r="85" spans="1:22" ht="15.75">
      <c r="A85" s="60"/>
      <c r="B85" s="18"/>
      <c r="C85" s="6"/>
      <c r="D85" s="6"/>
      <c r="E8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5" s="39"/>
      <c r="G85" s="42" t="b">
        <v>0</v>
      </c>
      <c r="H85" s="42" t="b">
        <v>0</v>
      </c>
      <c r="I85" s="42" t="b">
        <v>0</v>
      </c>
      <c r="J85" s="42" t="b">
        <v>0</v>
      </c>
      <c r="K85" s="42" t="b">
        <v>0</v>
      </c>
      <c r="L85" s="42" t="b">
        <v>0</v>
      </c>
      <c r="M85" s="42" t="b">
        <v>0</v>
      </c>
      <c r="N85" s="42" t="b">
        <v>0</v>
      </c>
      <c r="O85" s="6"/>
      <c r="P85" s="6"/>
      <c r="Q85" s="6"/>
      <c r="R85" s="43"/>
      <c r="S85" s="43"/>
      <c r="T85" s="44"/>
      <c r="U85" s="39"/>
      <c r="V85" s="39"/>
    </row>
    <row r="86" spans="1:22" ht="15.75">
      <c r="A86" s="60"/>
      <c r="B86" s="18"/>
      <c r="C86" s="6"/>
      <c r="D86" s="6"/>
      <c r="E8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6" s="39"/>
      <c r="G86" s="42" t="b">
        <v>0</v>
      </c>
      <c r="H86" s="42" t="b">
        <v>0</v>
      </c>
      <c r="I86" s="42" t="b">
        <v>0</v>
      </c>
      <c r="J86" s="42" t="b">
        <v>0</v>
      </c>
      <c r="K86" s="42" t="b">
        <v>0</v>
      </c>
      <c r="L86" s="42" t="b">
        <v>0</v>
      </c>
      <c r="M86" s="42" t="b">
        <v>0</v>
      </c>
      <c r="N86" s="42" t="b">
        <v>0</v>
      </c>
      <c r="O86" s="6"/>
      <c r="P86" s="6"/>
      <c r="Q86" s="6"/>
      <c r="R86" s="43"/>
      <c r="S86" s="43"/>
      <c r="T86" s="44"/>
      <c r="U86" s="39"/>
      <c r="V86" s="39"/>
    </row>
    <row r="87" spans="1:22" ht="15.75">
      <c r="A87" s="60"/>
      <c r="B87" s="18"/>
      <c r="C87" s="6"/>
      <c r="D87" s="6"/>
      <c r="E8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7" s="39"/>
      <c r="G87" s="42" t="b">
        <v>0</v>
      </c>
      <c r="H87" s="42" t="b">
        <v>0</v>
      </c>
      <c r="I87" s="42" t="b">
        <v>0</v>
      </c>
      <c r="J87" s="42" t="b">
        <v>0</v>
      </c>
      <c r="K87" s="42" t="b">
        <v>0</v>
      </c>
      <c r="L87" s="42" t="b">
        <v>0</v>
      </c>
      <c r="M87" s="42" t="b">
        <v>0</v>
      </c>
      <c r="N87" s="42" t="b">
        <v>0</v>
      </c>
      <c r="O87" s="6"/>
      <c r="P87" s="6"/>
      <c r="Q87" s="6"/>
      <c r="R87" s="43"/>
      <c r="S87" s="43"/>
      <c r="T87" s="44"/>
      <c r="U87" s="39"/>
      <c r="V87" s="39"/>
    </row>
    <row r="88" spans="1:22" ht="15.75">
      <c r="A88" s="60"/>
      <c r="B88" s="18"/>
      <c r="C88" s="6"/>
      <c r="D88" s="6"/>
      <c r="E8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8" s="39"/>
      <c r="G88" s="42" t="b">
        <v>0</v>
      </c>
      <c r="H88" s="42" t="b">
        <v>0</v>
      </c>
      <c r="I88" s="42" t="b">
        <v>0</v>
      </c>
      <c r="J88" s="42" t="b">
        <v>0</v>
      </c>
      <c r="K88" s="42" t="b">
        <v>0</v>
      </c>
      <c r="L88" s="42" t="b">
        <v>0</v>
      </c>
      <c r="M88" s="42" t="b">
        <v>0</v>
      </c>
      <c r="N88" s="42" t="b">
        <v>0</v>
      </c>
      <c r="O88" s="6"/>
      <c r="P88" s="6"/>
      <c r="Q88" s="6"/>
      <c r="R88" s="43"/>
      <c r="S88" s="43"/>
      <c r="T88" s="44"/>
      <c r="U88" s="39"/>
      <c r="V88" s="39"/>
    </row>
    <row r="89" spans="1:22" ht="15.75">
      <c r="A89" s="60"/>
      <c r="B89" s="18"/>
      <c r="C89" s="6"/>
      <c r="D89" s="6"/>
      <c r="E8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89" s="39"/>
      <c r="G89" s="42" t="b">
        <v>0</v>
      </c>
      <c r="H89" s="42" t="b">
        <v>0</v>
      </c>
      <c r="I89" s="42" t="b">
        <v>0</v>
      </c>
      <c r="J89" s="42" t="b">
        <v>0</v>
      </c>
      <c r="K89" s="42" t="b">
        <v>0</v>
      </c>
      <c r="L89" s="42" t="b">
        <v>0</v>
      </c>
      <c r="M89" s="42" t="b">
        <v>0</v>
      </c>
      <c r="N89" s="42" t="b">
        <v>0</v>
      </c>
      <c r="O89" s="6"/>
      <c r="P89" s="6"/>
      <c r="Q89" s="6"/>
      <c r="R89" s="43"/>
      <c r="S89" s="43"/>
      <c r="T89" s="44"/>
      <c r="U89" s="39"/>
      <c r="V89" s="39"/>
    </row>
    <row r="90" spans="1:22" ht="15.75">
      <c r="A90" s="60"/>
      <c r="B90" s="18"/>
      <c r="C90" s="6"/>
      <c r="D90" s="6"/>
      <c r="E9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0" s="39"/>
      <c r="G90" s="42" t="b">
        <v>0</v>
      </c>
      <c r="H90" s="42" t="b">
        <v>0</v>
      </c>
      <c r="I90" s="42" t="b">
        <v>0</v>
      </c>
      <c r="J90" s="42" t="b">
        <v>0</v>
      </c>
      <c r="K90" s="42" t="b">
        <v>0</v>
      </c>
      <c r="L90" s="42" t="b">
        <v>0</v>
      </c>
      <c r="M90" s="42" t="b">
        <v>0</v>
      </c>
      <c r="N90" s="42" t="b">
        <v>0</v>
      </c>
      <c r="O90" s="6"/>
      <c r="P90" s="6"/>
      <c r="Q90" s="6"/>
      <c r="R90" s="43"/>
      <c r="S90" s="43"/>
      <c r="T90" s="44"/>
      <c r="U90" s="39"/>
      <c r="V90" s="39"/>
    </row>
    <row r="91" spans="1:22" ht="15.75">
      <c r="A91" s="60"/>
      <c r="B91" s="18"/>
      <c r="C91" s="6"/>
      <c r="D91" s="6"/>
      <c r="E9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1" s="39"/>
      <c r="G91" s="42" t="b">
        <v>0</v>
      </c>
      <c r="H91" s="42" t="b">
        <v>0</v>
      </c>
      <c r="I91" s="42" t="b">
        <v>0</v>
      </c>
      <c r="J91" s="42" t="b">
        <v>0</v>
      </c>
      <c r="K91" s="42" t="b">
        <v>0</v>
      </c>
      <c r="L91" s="42" t="b">
        <v>0</v>
      </c>
      <c r="M91" s="42" t="b">
        <v>0</v>
      </c>
      <c r="N91" s="42" t="b">
        <v>0</v>
      </c>
      <c r="O91" s="6"/>
      <c r="P91" s="6"/>
      <c r="Q91" s="6"/>
      <c r="R91" s="43"/>
      <c r="S91" s="43"/>
      <c r="T91" s="44"/>
      <c r="U91" s="39"/>
      <c r="V91" s="39"/>
    </row>
    <row r="92" spans="1:22" ht="15.75">
      <c r="A92" s="60"/>
      <c r="B92" s="18"/>
      <c r="C92" s="6"/>
      <c r="D92" s="6"/>
      <c r="E9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2" s="39"/>
      <c r="G92" s="42" t="b">
        <v>0</v>
      </c>
      <c r="H92" s="42" t="b">
        <v>0</v>
      </c>
      <c r="I92" s="42" t="b">
        <v>0</v>
      </c>
      <c r="J92" s="42" t="b">
        <v>0</v>
      </c>
      <c r="K92" s="42" t="b">
        <v>0</v>
      </c>
      <c r="L92" s="42" t="b">
        <v>0</v>
      </c>
      <c r="M92" s="42" t="b">
        <v>0</v>
      </c>
      <c r="N92" s="42" t="b">
        <v>0</v>
      </c>
      <c r="O92" s="6"/>
      <c r="P92" s="6"/>
      <c r="Q92" s="6"/>
      <c r="R92" s="43"/>
      <c r="S92" s="43"/>
      <c r="T92" s="44"/>
      <c r="U92" s="39"/>
      <c r="V92" s="39"/>
    </row>
    <row r="93" spans="1:22" ht="15.75">
      <c r="A93" s="60"/>
      <c r="B93" s="18"/>
      <c r="C93" s="6"/>
      <c r="D93" s="6"/>
      <c r="E9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3" s="39"/>
      <c r="G93" s="42" t="b">
        <v>0</v>
      </c>
      <c r="H93" s="42" t="b">
        <v>0</v>
      </c>
      <c r="I93" s="42" t="b">
        <v>0</v>
      </c>
      <c r="J93" s="42" t="b">
        <v>0</v>
      </c>
      <c r="K93" s="42" t="b">
        <v>0</v>
      </c>
      <c r="L93" s="42" t="b">
        <v>0</v>
      </c>
      <c r="M93" s="42" t="b">
        <v>0</v>
      </c>
      <c r="N93" s="42" t="b">
        <v>0</v>
      </c>
      <c r="O93" s="6"/>
      <c r="P93" s="6"/>
      <c r="Q93" s="6"/>
      <c r="R93" s="43"/>
      <c r="S93" s="43"/>
      <c r="T93" s="44"/>
      <c r="U93" s="39"/>
      <c r="V93" s="39"/>
    </row>
    <row r="94" spans="1:22" ht="15.75">
      <c r="A94" s="60"/>
      <c r="B94" s="18"/>
      <c r="C94" s="6"/>
      <c r="D94" s="6"/>
      <c r="E9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4" s="39"/>
      <c r="G94" s="42" t="b">
        <v>0</v>
      </c>
      <c r="H94" s="42" t="b">
        <v>0</v>
      </c>
      <c r="I94" s="42" t="b">
        <v>0</v>
      </c>
      <c r="J94" s="42" t="b">
        <v>0</v>
      </c>
      <c r="K94" s="42" t="b">
        <v>0</v>
      </c>
      <c r="L94" s="42" t="b">
        <v>0</v>
      </c>
      <c r="M94" s="42" t="b">
        <v>0</v>
      </c>
      <c r="N94" s="42" t="b">
        <v>0</v>
      </c>
      <c r="O94" s="6"/>
      <c r="P94" s="6"/>
      <c r="Q94" s="6"/>
      <c r="R94" s="43"/>
      <c r="S94" s="43"/>
      <c r="T94" s="44"/>
      <c r="U94" s="39"/>
      <c r="V94" s="39"/>
    </row>
    <row r="95" spans="1:22" ht="15.75">
      <c r="A95" s="60"/>
      <c r="B95" s="18"/>
      <c r="C95" s="6"/>
      <c r="D95" s="6"/>
      <c r="E9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5" s="39"/>
      <c r="G95" s="42" t="b">
        <v>0</v>
      </c>
      <c r="H95" s="42" t="b">
        <v>0</v>
      </c>
      <c r="I95" s="42" t="b">
        <v>0</v>
      </c>
      <c r="J95" s="42" t="b">
        <v>0</v>
      </c>
      <c r="K95" s="42" t="b">
        <v>0</v>
      </c>
      <c r="L95" s="42" t="b">
        <v>0</v>
      </c>
      <c r="M95" s="42" t="b">
        <v>0</v>
      </c>
      <c r="N95" s="42" t="b">
        <v>0</v>
      </c>
      <c r="O95" s="6"/>
      <c r="P95" s="6"/>
      <c r="Q95" s="6"/>
      <c r="R95" s="43"/>
      <c r="S95" s="43"/>
      <c r="T95" s="44"/>
      <c r="U95" s="39"/>
      <c r="V95" s="39"/>
    </row>
    <row r="96" spans="1:22" ht="15.75">
      <c r="A96" s="60"/>
      <c r="B96" s="18"/>
      <c r="C96" s="6"/>
      <c r="D96" s="6"/>
      <c r="E9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6" s="39"/>
      <c r="G96" s="42" t="b">
        <v>0</v>
      </c>
      <c r="H96" s="42" t="b">
        <v>0</v>
      </c>
      <c r="I96" s="42" t="b">
        <v>0</v>
      </c>
      <c r="J96" s="42" t="b">
        <v>0</v>
      </c>
      <c r="K96" s="42" t="b">
        <v>0</v>
      </c>
      <c r="L96" s="42" t="b">
        <v>0</v>
      </c>
      <c r="M96" s="42" t="b">
        <v>0</v>
      </c>
      <c r="N96" s="42" t="b">
        <v>0</v>
      </c>
      <c r="O96" s="6"/>
      <c r="P96" s="6"/>
      <c r="Q96" s="6"/>
      <c r="R96" s="43"/>
      <c r="S96" s="43"/>
      <c r="T96" s="44"/>
      <c r="U96" s="39"/>
      <c r="V96" s="39"/>
    </row>
    <row r="97" spans="1:22" ht="15.75">
      <c r="A97" s="60"/>
      <c r="B97" s="18"/>
      <c r="C97" s="6"/>
      <c r="D97" s="6"/>
      <c r="E9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7" s="39"/>
      <c r="G97" s="42" t="b">
        <v>0</v>
      </c>
      <c r="H97" s="42" t="b">
        <v>0</v>
      </c>
      <c r="I97" s="42" t="b">
        <v>0</v>
      </c>
      <c r="J97" s="42" t="b">
        <v>0</v>
      </c>
      <c r="K97" s="42" t="b">
        <v>0</v>
      </c>
      <c r="L97" s="42" t="b">
        <v>0</v>
      </c>
      <c r="M97" s="42" t="b">
        <v>0</v>
      </c>
      <c r="N97" s="42" t="b">
        <v>0</v>
      </c>
      <c r="O97" s="6"/>
      <c r="P97" s="6"/>
      <c r="Q97" s="6"/>
      <c r="R97" s="43"/>
      <c r="S97" s="43"/>
      <c r="T97" s="44"/>
      <c r="U97" s="39"/>
      <c r="V97" s="39"/>
    </row>
    <row r="98" spans="1:22" ht="15.75">
      <c r="A98" s="60"/>
      <c r="B98" s="18"/>
      <c r="C98" s="6"/>
      <c r="D98" s="6"/>
      <c r="E9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8" s="39"/>
      <c r="G98" s="42" t="b">
        <v>0</v>
      </c>
      <c r="H98" s="42" t="b">
        <v>0</v>
      </c>
      <c r="I98" s="42" t="b">
        <v>0</v>
      </c>
      <c r="J98" s="42" t="b">
        <v>0</v>
      </c>
      <c r="K98" s="42" t="b">
        <v>0</v>
      </c>
      <c r="L98" s="42" t="b">
        <v>0</v>
      </c>
      <c r="M98" s="42" t="b">
        <v>0</v>
      </c>
      <c r="N98" s="42" t="b">
        <v>0</v>
      </c>
      <c r="O98" s="6"/>
      <c r="P98" s="6"/>
      <c r="Q98" s="6"/>
      <c r="R98" s="43"/>
      <c r="S98" s="43"/>
      <c r="T98" s="44"/>
      <c r="U98" s="39"/>
      <c r="V98" s="39"/>
    </row>
    <row r="99" spans="1:22" ht="15.75">
      <c r="A99" s="60"/>
      <c r="B99" s="18"/>
      <c r="C99" s="6"/>
      <c r="D99" s="6"/>
      <c r="E9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99" s="39"/>
      <c r="G99" s="42" t="b">
        <v>0</v>
      </c>
      <c r="H99" s="42" t="b">
        <v>0</v>
      </c>
      <c r="I99" s="42" t="b">
        <v>0</v>
      </c>
      <c r="J99" s="42" t="b">
        <v>0</v>
      </c>
      <c r="K99" s="42" t="b">
        <v>0</v>
      </c>
      <c r="L99" s="42" t="b">
        <v>0</v>
      </c>
      <c r="M99" s="42" t="b">
        <v>0</v>
      </c>
      <c r="N99" s="42" t="b">
        <v>0</v>
      </c>
      <c r="O99" s="6"/>
      <c r="P99" s="6"/>
      <c r="Q99" s="6"/>
      <c r="R99" s="43"/>
      <c r="S99" s="43"/>
      <c r="T99" s="44"/>
      <c r="U99" s="39"/>
      <c r="V99" s="39"/>
    </row>
    <row r="100" spans="1:22" ht="15.75">
      <c r="A100" s="60"/>
      <c r="B100" s="18"/>
      <c r="C100" s="6"/>
      <c r="D100" s="6"/>
      <c r="E10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0" s="39"/>
      <c r="G100" s="42" t="b">
        <v>0</v>
      </c>
      <c r="H100" s="42" t="b">
        <v>0</v>
      </c>
      <c r="I100" s="42" t="b">
        <v>0</v>
      </c>
      <c r="J100" s="42" t="b">
        <v>0</v>
      </c>
      <c r="K100" s="42" t="b">
        <v>0</v>
      </c>
      <c r="L100" s="42" t="b">
        <v>0</v>
      </c>
      <c r="M100" s="42" t="b">
        <v>0</v>
      </c>
      <c r="N100" s="42" t="b">
        <v>0</v>
      </c>
      <c r="O100" s="6"/>
      <c r="P100" s="6"/>
      <c r="Q100" s="6"/>
      <c r="R100" s="43"/>
      <c r="S100" s="43"/>
      <c r="T100" s="44"/>
      <c r="U100" s="39"/>
      <c r="V100" s="39"/>
    </row>
    <row r="101" spans="1:22" ht="15.75">
      <c r="A101" s="60"/>
      <c r="B101" s="18"/>
      <c r="C101" s="6"/>
      <c r="D101" s="6"/>
      <c r="E10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1" s="39"/>
      <c r="G101" s="42" t="b">
        <v>0</v>
      </c>
      <c r="H101" s="42" t="b">
        <v>0</v>
      </c>
      <c r="I101" s="42" t="b">
        <v>0</v>
      </c>
      <c r="J101" s="42" t="b">
        <v>0</v>
      </c>
      <c r="K101" s="42" t="b">
        <v>0</v>
      </c>
      <c r="L101" s="42" t="b">
        <v>0</v>
      </c>
      <c r="M101" s="42" t="b">
        <v>0</v>
      </c>
      <c r="N101" s="42" t="b">
        <v>0</v>
      </c>
      <c r="O101" s="6"/>
      <c r="P101" s="6"/>
      <c r="Q101" s="6"/>
      <c r="R101" s="43"/>
      <c r="S101" s="43"/>
      <c r="T101" s="44"/>
      <c r="U101" s="39"/>
      <c r="V101" s="39"/>
    </row>
    <row r="102" spans="1:22" ht="15.75">
      <c r="A102" s="60"/>
      <c r="B102" s="18"/>
      <c r="C102" s="6"/>
      <c r="D102" s="6"/>
      <c r="E10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2" s="39"/>
      <c r="G102" s="42" t="b">
        <v>0</v>
      </c>
      <c r="H102" s="42" t="b">
        <v>0</v>
      </c>
      <c r="I102" s="42" t="b">
        <v>0</v>
      </c>
      <c r="J102" s="42" t="b">
        <v>0</v>
      </c>
      <c r="K102" s="42" t="b">
        <v>0</v>
      </c>
      <c r="L102" s="42" t="b">
        <v>0</v>
      </c>
      <c r="M102" s="42" t="b">
        <v>0</v>
      </c>
      <c r="N102" s="42" t="b">
        <v>0</v>
      </c>
      <c r="O102" s="6"/>
      <c r="P102" s="6"/>
      <c r="Q102" s="6"/>
      <c r="R102" s="43"/>
      <c r="S102" s="43"/>
      <c r="T102" s="44"/>
      <c r="U102" s="39"/>
      <c r="V102" s="39"/>
    </row>
    <row r="103" spans="1:22" ht="15.75">
      <c r="A103" s="60"/>
      <c r="B103" s="18"/>
      <c r="C103" s="6"/>
      <c r="D103" s="6"/>
      <c r="E10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3" s="39"/>
      <c r="G103" s="42" t="b">
        <v>0</v>
      </c>
      <c r="H103" s="42" t="b">
        <v>0</v>
      </c>
      <c r="I103" s="42" t="b">
        <v>0</v>
      </c>
      <c r="J103" s="42" t="b">
        <v>0</v>
      </c>
      <c r="K103" s="42" t="b">
        <v>0</v>
      </c>
      <c r="L103" s="42" t="b">
        <v>0</v>
      </c>
      <c r="M103" s="42" t="b">
        <v>0</v>
      </c>
      <c r="N103" s="42" t="b">
        <v>0</v>
      </c>
      <c r="O103" s="6"/>
      <c r="P103" s="6"/>
      <c r="Q103" s="6"/>
      <c r="R103" s="43"/>
      <c r="S103" s="43"/>
      <c r="T103" s="44"/>
      <c r="U103" s="39"/>
      <c r="V103" s="39"/>
    </row>
    <row r="104" spans="1:22" ht="15.75">
      <c r="A104" s="60"/>
      <c r="B104" s="18"/>
      <c r="C104" s="6"/>
      <c r="D104" s="6"/>
      <c r="E10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4" s="39"/>
      <c r="G104" s="42" t="b">
        <v>0</v>
      </c>
      <c r="H104" s="42" t="b">
        <v>0</v>
      </c>
      <c r="I104" s="42" t="b">
        <v>0</v>
      </c>
      <c r="J104" s="42" t="b">
        <v>0</v>
      </c>
      <c r="K104" s="42" t="b">
        <v>0</v>
      </c>
      <c r="L104" s="42" t="b">
        <v>0</v>
      </c>
      <c r="M104" s="42" t="b">
        <v>0</v>
      </c>
      <c r="N104" s="42" t="b">
        <v>0</v>
      </c>
      <c r="O104" s="6"/>
      <c r="P104" s="6"/>
      <c r="Q104" s="6"/>
      <c r="R104" s="43"/>
      <c r="S104" s="43"/>
      <c r="T104" s="44"/>
      <c r="U104" s="39"/>
      <c r="V104" s="39"/>
    </row>
    <row r="105" spans="1:22" ht="15.75">
      <c r="A105" s="60"/>
      <c r="B105" s="18"/>
      <c r="C105" s="6"/>
      <c r="D105" s="6"/>
      <c r="E10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5" s="39"/>
      <c r="G105" s="42" t="b">
        <v>0</v>
      </c>
      <c r="H105" s="42" t="b">
        <v>0</v>
      </c>
      <c r="I105" s="42" t="b">
        <v>0</v>
      </c>
      <c r="J105" s="42" t="b">
        <v>0</v>
      </c>
      <c r="K105" s="42" t="b">
        <v>0</v>
      </c>
      <c r="L105" s="42" t="b">
        <v>0</v>
      </c>
      <c r="M105" s="42" t="b">
        <v>0</v>
      </c>
      <c r="N105" s="42" t="b">
        <v>0</v>
      </c>
      <c r="O105" s="6"/>
      <c r="P105" s="6"/>
      <c r="Q105" s="6"/>
      <c r="R105" s="43"/>
      <c r="S105" s="43"/>
      <c r="T105" s="44"/>
      <c r="U105" s="39"/>
      <c r="V105" s="39"/>
    </row>
    <row r="106" spans="1:22" ht="15.75">
      <c r="A106" s="60"/>
      <c r="B106" s="18"/>
      <c r="C106" s="6"/>
      <c r="D106" s="6"/>
      <c r="E10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6" s="39"/>
      <c r="G106" s="42" t="b">
        <v>0</v>
      </c>
      <c r="H106" s="42" t="b">
        <v>0</v>
      </c>
      <c r="I106" s="42" t="b">
        <v>0</v>
      </c>
      <c r="J106" s="42" t="b">
        <v>0</v>
      </c>
      <c r="K106" s="42" t="b">
        <v>0</v>
      </c>
      <c r="L106" s="42" t="b">
        <v>0</v>
      </c>
      <c r="M106" s="42" t="b">
        <v>0</v>
      </c>
      <c r="N106" s="42" t="b">
        <v>0</v>
      </c>
      <c r="O106" s="6"/>
      <c r="P106" s="6"/>
      <c r="Q106" s="6"/>
      <c r="R106" s="43"/>
      <c r="S106" s="43"/>
      <c r="T106" s="44"/>
      <c r="U106" s="39"/>
      <c r="V106" s="39"/>
    </row>
    <row r="107" spans="1:22" ht="15.75">
      <c r="A107" s="60"/>
      <c r="B107" s="18"/>
      <c r="C107" s="6"/>
      <c r="D107" s="6"/>
      <c r="E10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7" s="39"/>
      <c r="G107" s="42" t="b">
        <v>0</v>
      </c>
      <c r="H107" s="42" t="b">
        <v>0</v>
      </c>
      <c r="I107" s="42" t="b">
        <v>0</v>
      </c>
      <c r="J107" s="42" t="b">
        <v>0</v>
      </c>
      <c r="K107" s="42" t="b">
        <v>0</v>
      </c>
      <c r="L107" s="42" t="b">
        <v>0</v>
      </c>
      <c r="M107" s="42" t="b">
        <v>0</v>
      </c>
      <c r="N107" s="42" t="b">
        <v>0</v>
      </c>
      <c r="O107" s="6"/>
      <c r="P107" s="6"/>
      <c r="Q107" s="6"/>
      <c r="R107" s="43"/>
      <c r="S107" s="43"/>
      <c r="T107" s="44"/>
      <c r="U107" s="39"/>
      <c r="V107" s="39"/>
    </row>
    <row r="108" spans="1:22" ht="15.75">
      <c r="A108" s="60"/>
      <c r="B108" s="18"/>
      <c r="C108" s="6"/>
      <c r="D108" s="6"/>
      <c r="E10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8" s="39"/>
      <c r="G108" s="42" t="b">
        <v>0</v>
      </c>
      <c r="H108" s="42" t="b">
        <v>0</v>
      </c>
      <c r="I108" s="42" t="b">
        <v>0</v>
      </c>
      <c r="J108" s="42" t="b">
        <v>0</v>
      </c>
      <c r="K108" s="42" t="b">
        <v>0</v>
      </c>
      <c r="L108" s="42" t="b">
        <v>0</v>
      </c>
      <c r="M108" s="42" t="b">
        <v>0</v>
      </c>
      <c r="N108" s="42" t="b">
        <v>0</v>
      </c>
      <c r="O108" s="6"/>
      <c r="P108" s="6"/>
      <c r="Q108" s="6"/>
      <c r="R108" s="43"/>
      <c r="S108" s="43"/>
      <c r="T108" s="44"/>
      <c r="U108" s="39"/>
      <c r="V108" s="39"/>
    </row>
    <row r="109" spans="1:22" ht="15.75">
      <c r="A109" s="60"/>
      <c r="B109" s="18"/>
      <c r="C109" s="6"/>
      <c r="D109" s="6"/>
      <c r="E10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09" s="39"/>
      <c r="G109" s="42" t="b">
        <v>0</v>
      </c>
      <c r="H109" s="42" t="b">
        <v>0</v>
      </c>
      <c r="I109" s="42" t="b">
        <v>0</v>
      </c>
      <c r="J109" s="42" t="b">
        <v>0</v>
      </c>
      <c r="K109" s="42" t="b">
        <v>0</v>
      </c>
      <c r="L109" s="42" t="b">
        <v>0</v>
      </c>
      <c r="M109" s="42" t="b">
        <v>0</v>
      </c>
      <c r="N109" s="42" t="b">
        <v>0</v>
      </c>
      <c r="O109" s="6"/>
      <c r="P109" s="6"/>
      <c r="Q109" s="6"/>
      <c r="R109" s="43"/>
      <c r="S109" s="43"/>
      <c r="T109" s="44"/>
      <c r="U109" s="39"/>
      <c r="V109" s="39"/>
    </row>
    <row r="110" spans="1:22" ht="15.75">
      <c r="A110" s="60"/>
      <c r="B110" s="18"/>
      <c r="C110" s="6"/>
      <c r="D110" s="6"/>
      <c r="E11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0" s="39"/>
      <c r="G110" s="42" t="b">
        <v>0</v>
      </c>
      <c r="H110" s="42" t="b">
        <v>0</v>
      </c>
      <c r="I110" s="42" t="b">
        <v>0</v>
      </c>
      <c r="J110" s="42" t="b">
        <v>0</v>
      </c>
      <c r="K110" s="42" t="b">
        <v>0</v>
      </c>
      <c r="L110" s="42" t="b">
        <v>0</v>
      </c>
      <c r="M110" s="42" t="b">
        <v>0</v>
      </c>
      <c r="N110" s="42" t="b">
        <v>0</v>
      </c>
      <c r="O110" s="6"/>
      <c r="P110" s="6"/>
      <c r="Q110" s="6"/>
      <c r="R110" s="43"/>
      <c r="S110" s="43"/>
      <c r="T110" s="44"/>
      <c r="U110" s="39"/>
      <c r="V110" s="39"/>
    </row>
    <row r="111" spans="1:22" ht="15.75">
      <c r="A111" s="60"/>
      <c r="B111" s="18"/>
      <c r="C111" s="6"/>
      <c r="D111" s="6"/>
      <c r="E11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1" s="39"/>
      <c r="G111" s="42" t="b">
        <v>0</v>
      </c>
      <c r="H111" s="42" t="b">
        <v>0</v>
      </c>
      <c r="I111" s="42" t="b">
        <v>0</v>
      </c>
      <c r="J111" s="42" t="b">
        <v>0</v>
      </c>
      <c r="K111" s="42" t="b">
        <v>0</v>
      </c>
      <c r="L111" s="42" t="b">
        <v>0</v>
      </c>
      <c r="M111" s="42" t="b">
        <v>0</v>
      </c>
      <c r="N111" s="42" t="b">
        <v>0</v>
      </c>
      <c r="O111" s="6"/>
      <c r="P111" s="6"/>
      <c r="Q111" s="6"/>
      <c r="R111" s="43"/>
      <c r="S111" s="43"/>
      <c r="T111" s="44"/>
      <c r="U111" s="39"/>
      <c r="V111" s="39"/>
    </row>
    <row r="112" spans="1:22" ht="15.75">
      <c r="A112" s="60"/>
      <c r="B112" s="18"/>
      <c r="C112" s="6"/>
      <c r="D112" s="6"/>
      <c r="E11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2" s="39"/>
      <c r="G112" s="42" t="b">
        <v>0</v>
      </c>
      <c r="H112" s="42" t="b">
        <v>0</v>
      </c>
      <c r="I112" s="42" t="b">
        <v>0</v>
      </c>
      <c r="J112" s="42" t="b">
        <v>0</v>
      </c>
      <c r="K112" s="42" t="b">
        <v>0</v>
      </c>
      <c r="L112" s="42" t="b">
        <v>0</v>
      </c>
      <c r="M112" s="42" t="b">
        <v>0</v>
      </c>
      <c r="N112" s="42" t="b">
        <v>0</v>
      </c>
      <c r="O112" s="6"/>
      <c r="P112" s="6"/>
      <c r="Q112" s="6"/>
      <c r="R112" s="43"/>
      <c r="S112" s="43"/>
      <c r="T112" s="44"/>
      <c r="U112" s="39"/>
      <c r="V112" s="39"/>
    </row>
    <row r="113" spans="1:22" ht="15.75">
      <c r="A113" s="60"/>
      <c r="B113" s="18"/>
      <c r="C113" s="6"/>
      <c r="D113" s="6"/>
      <c r="E11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3" s="39"/>
      <c r="G113" s="42" t="b">
        <v>0</v>
      </c>
      <c r="H113" s="42" t="b">
        <v>0</v>
      </c>
      <c r="I113" s="42" t="b">
        <v>0</v>
      </c>
      <c r="J113" s="42" t="b">
        <v>0</v>
      </c>
      <c r="K113" s="42" t="b">
        <v>0</v>
      </c>
      <c r="L113" s="42" t="b">
        <v>0</v>
      </c>
      <c r="M113" s="42" t="b">
        <v>0</v>
      </c>
      <c r="N113" s="42" t="b">
        <v>0</v>
      </c>
      <c r="O113" s="6"/>
      <c r="P113" s="6"/>
      <c r="Q113" s="6"/>
      <c r="R113" s="43"/>
      <c r="S113" s="43"/>
      <c r="T113" s="44"/>
      <c r="U113" s="39"/>
      <c r="V113" s="39"/>
    </row>
    <row r="114" spans="1:22" ht="15.75">
      <c r="A114" s="60"/>
      <c r="B114" s="18"/>
      <c r="C114" s="6"/>
      <c r="D114" s="6"/>
      <c r="E11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4" s="39"/>
      <c r="G114" s="42" t="b">
        <v>0</v>
      </c>
      <c r="H114" s="42" t="b">
        <v>0</v>
      </c>
      <c r="I114" s="42" t="b">
        <v>0</v>
      </c>
      <c r="J114" s="42" t="b">
        <v>0</v>
      </c>
      <c r="K114" s="42" t="b">
        <v>0</v>
      </c>
      <c r="L114" s="42" t="b">
        <v>0</v>
      </c>
      <c r="M114" s="42" t="b">
        <v>0</v>
      </c>
      <c r="N114" s="42" t="b">
        <v>0</v>
      </c>
      <c r="O114" s="6"/>
      <c r="P114" s="6"/>
      <c r="Q114" s="6"/>
      <c r="R114" s="43"/>
      <c r="S114" s="43"/>
      <c r="T114" s="44"/>
      <c r="U114" s="39"/>
      <c r="V114" s="39"/>
    </row>
    <row r="115" spans="1:22" ht="15.75">
      <c r="A115" s="60"/>
      <c r="B115" s="18"/>
      <c r="C115" s="6"/>
      <c r="D115" s="6"/>
      <c r="E11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5" s="39"/>
      <c r="G115" s="42" t="b">
        <v>0</v>
      </c>
      <c r="H115" s="42" t="b">
        <v>0</v>
      </c>
      <c r="I115" s="42" t="b">
        <v>0</v>
      </c>
      <c r="J115" s="42" t="b">
        <v>0</v>
      </c>
      <c r="K115" s="42" t="b">
        <v>0</v>
      </c>
      <c r="L115" s="42" t="b">
        <v>0</v>
      </c>
      <c r="M115" s="42" t="b">
        <v>0</v>
      </c>
      <c r="N115" s="42" t="b">
        <v>0</v>
      </c>
      <c r="O115" s="6"/>
      <c r="P115" s="6"/>
      <c r="Q115" s="6"/>
      <c r="R115" s="43"/>
      <c r="S115" s="43"/>
      <c r="T115" s="44"/>
      <c r="U115" s="39"/>
      <c r="V115" s="39"/>
    </row>
    <row r="116" spans="1:22" ht="15.75">
      <c r="A116" s="60"/>
      <c r="B116" s="18"/>
      <c r="C116" s="6"/>
      <c r="D116" s="6"/>
      <c r="E11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6" s="39"/>
      <c r="G116" s="42" t="b">
        <v>0</v>
      </c>
      <c r="H116" s="42" t="b">
        <v>0</v>
      </c>
      <c r="I116" s="42" t="b">
        <v>0</v>
      </c>
      <c r="J116" s="42" t="b">
        <v>0</v>
      </c>
      <c r="K116" s="42" t="b">
        <v>0</v>
      </c>
      <c r="L116" s="42" t="b">
        <v>0</v>
      </c>
      <c r="M116" s="42" t="b">
        <v>0</v>
      </c>
      <c r="N116" s="42" t="b">
        <v>0</v>
      </c>
      <c r="O116" s="6"/>
      <c r="P116" s="6"/>
      <c r="Q116" s="6"/>
      <c r="R116" s="43"/>
      <c r="S116" s="43"/>
      <c r="T116" s="44"/>
      <c r="U116" s="39"/>
      <c r="V116" s="39"/>
    </row>
    <row r="117" spans="1:22" ht="15.75">
      <c r="A117" s="60"/>
      <c r="B117" s="18"/>
      <c r="C117" s="6"/>
      <c r="D117" s="6"/>
      <c r="E11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7" s="39"/>
      <c r="G117" s="42" t="b">
        <v>0</v>
      </c>
      <c r="H117" s="42" t="b">
        <v>0</v>
      </c>
      <c r="I117" s="42" t="b">
        <v>0</v>
      </c>
      <c r="J117" s="42" t="b">
        <v>0</v>
      </c>
      <c r="K117" s="42" t="b">
        <v>0</v>
      </c>
      <c r="L117" s="42" t="b">
        <v>0</v>
      </c>
      <c r="M117" s="42" t="b">
        <v>0</v>
      </c>
      <c r="N117" s="42" t="b">
        <v>0</v>
      </c>
      <c r="O117" s="6"/>
      <c r="P117" s="6"/>
      <c r="Q117" s="6"/>
      <c r="R117" s="43"/>
      <c r="S117" s="43"/>
      <c r="T117" s="44"/>
      <c r="U117" s="39"/>
      <c r="V117" s="39"/>
    </row>
    <row r="118" spans="1:22" ht="15.75">
      <c r="A118" s="60"/>
      <c r="B118" s="18"/>
      <c r="C118" s="6"/>
      <c r="D118" s="6"/>
      <c r="E11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8" s="39"/>
      <c r="G118" s="42" t="b">
        <v>0</v>
      </c>
      <c r="H118" s="42" t="b">
        <v>0</v>
      </c>
      <c r="I118" s="42" t="b">
        <v>0</v>
      </c>
      <c r="J118" s="42" t="b">
        <v>0</v>
      </c>
      <c r="K118" s="42" t="b">
        <v>0</v>
      </c>
      <c r="L118" s="42" t="b">
        <v>0</v>
      </c>
      <c r="M118" s="42" t="b">
        <v>0</v>
      </c>
      <c r="N118" s="42" t="b">
        <v>0</v>
      </c>
      <c r="O118" s="6"/>
      <c r="P118" s="6"/>
      <c r="Q118" s="6"/>
      <c r="R118" s="43"/>
      <c r="S118" s="43"/>
      <c r="T118" s="44"/>
      <c r="U118" s="39"/>
      <c r="V118" s="39"/>
    </row>
    <row r="119" spans="1:22" ht="15.75">
      <c r="A119" s="60"/>
      <c r="B119" s="18"/>
      <c r="C119" s="6"/>
      <c r="D119" s="6"/>
      <c r="E11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19" s="39"/>
      <c r="G119" s="42" t="b">
        <v>0</v>
      </c>
      <c r="H119" s="42" t="b">
        <v>0</v>
      </c>
      <c r="I119" s="42" t="b">
        <v>0</v>
      </c>
      <c r="J119" s="42" t="b">
        <v>0</v>
      </c>
      <c r="K119" s="42" t="b">
        <v>0</v>
      </c>
      <c r="L119" s="42" t="b">
        <v>0</v>
      </c>
      <c r="M119" s="42" t="b">
        <v>0</v>
      </c>
      <c r="N119" s="42" t="b">
        <v>0</v>
      </c>
      <c r="O119" s="6"/>
      <c r="P119" s="6"/>
      <c r="Q119" s="6"/>
      <c r="R119" s="43"/>
      <c r="S119" s="43"/>
      <c r="T119" s="44"/>
      <c r="U119" s="39"/>
      <c r="V119" s="39"/>
    </row>
    <row r="120" spans="1:22" ht="15.75">
      <c r="A120" s="60"/>
      <c r="B120" s="18"/>
      <c r="C120" s="6"/>
      <c r="D120" s="6"/>
      <c r="E12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0" s="39"/>
      <c r="G120" s="42" t="b">
        <v>0</v>
      </c>
      <c r="H120" s="42" t="b">
        <v>0</v>
      </c>
      <c r="I120" s="42" t="b">
        <v>0</v>
      </c>
      <c r="J120" s="42" t="b">
        <v>0</v>
      </c>
      <c r="K120" s="42" t="b">
        <v>0</v>
      </c>
      <c r="L120" s="42" t="b">
        <v>0</v>
      </c>
      <c r="M120" s="42" t="b">
        <v>0</v>
      </c>
      <c r="N120" s="42" t="b">
        <v>0</v>
      </c>
      <c r="O120" s="6"/>
      <c r="P120" s="6"/>
      <c r="Q120" s="6"/>
      <c r="R120" s="43"/>
      <c r="S120" s="43"/>
      <c r="T120" s="44"/>
      <c r="U120" s="39"/>
      <c r="V120" s="39"/>
    </row>
    <row r="121" spans="1:22" ht="15.75">
      <c r="A121" s="60"/>
      <c r="B121" s="18"/>
      <c r="C121" s="6"/>
      <c r="D121" s="6"/>
      <c r="E12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1" s="39"/>
      <c r="G121" s="42" t="b">
        <v>0</v>
      </c>
      <c r="H121" s="42" t="b">
        <v>0</v>
      </c>
      <c r="I121" s="42" t="b">
        <v>0</v>
      </c>
      <c r="J121" s="42" t="b">
        <v>0</v>
      </c>
      <c r="K121" s="42" t="b">
        <v>0</v>
      </c>
      <c r="L121" s="42" t="b">
        <v>0</v>
      </c>
      <c r="M121" s="42" t="b">
        <v>0</v>
      </c>
      <c r="N121" s="42" t="b">
        <v>0</v>
      </c>
      <c r="O121" s="6"/>
      <c r="P121" s="6"/>
      <c r="Q121" s="6"/>
      <c r="R121" s="43"/>
      <c r="S121" s="43"/>
      <c r="T121" s="44"/>
      <c r="U121" s="39"/>
      <c r="V121" s="39"/>
    </row>
    <row r="122" spans="1:22" ht="15.75">
      <c r="A122" s="60"/>
      <c r="B122" s="18"/>
      <c r="C122" s="6"/>
      <c r="D122" s="6"/>
      <c r="E12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2" s="39"/>
      <c r="G122" s="42" t="b">
        <v>0</v>
      </c>
      <c r="H122" s="42" t="b">
        <v>0</v>
      </c>
      <c r="I122" s="42" t="b">
        <v>0</v>
      </c>
      <c r="J122" s="42" t="b">
        <v>0</v>
      </c>
      <c r="K122" s="42" t="b">
        <v>0</v>
      </c>
      <c r="L122" s="42" t="b">
        <v>0</v>
      </c>
      <c r="M122" s="42" t="b">
        <v>0</v>
      </c>
      <c r="N122" s="42" t="b">
        <v>0</v>
      </c>
      <c r="O122" s="6"/>
      <c r="P122" s="6"/>
      <c r="Q122" s="6"/>
      <c r="R122" s="43"/>
      <c r="S122" s="43"/>
      <c r="T122" s="44"/>
      <c r="U122" s="39"/>
      <c r="V122" s="39"/>
    </row>
    <row r="123" spans="1:22" ht="15.75">
      <c r="A123" s="60"/>
      <c r="B123" s="18"/>
      <c r="C123" s="6"/>
      <c r="D123" s="6"/>
      <c r="E12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3" s="39"/>
      <c r="G123" s="42" t="b">
        <v>0</v>
      </c>
      <c r="H123" s="42" t="b">
        <v>0</v>
      </c>
      <c r="I123" s="42" t="b">
        <v>0</v>
      </c>
      <c r="J123" s="42" t="b">
        <v>0</v>
      </c>
      <c r="K123" s="42" t="b">
        <v>0</v>
      </c>
      <c r="L123" s="42" t="b">
        <v>0</v>
      </c>
      <c r="M123" s="42" t="b">
        <v>0</v>
      </c>
      <c r="N123" s="42" t="b">
        <v>0</v>
      </c>
      <c r="O123" s="6"/>
      <c r="P123" s="6"/>
      <c r="Q123" s="6"/>
      <c r="R123" s="43"/>
      <c r="S123" s="43"/>
      <c r="T123" s="44"/>
      <c r="U123" s="39"/>
      <c r="V123" s="39"/>
    </row>
    <row r="124" spans="1:22" ht="15.75">
      <c r="A124" s="60"/>
      <c r="B124" s="18"/>
      <c r="C124" s="6"/>
      <c r="D124" s="6"/>
      <c r="E12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4" s="39"/>
      <c r="G124" s="42" t="b">
        <v>0</v>
      </c>
      <c r="H124" s="42" t="b">
        <v>0</v>
      </c>
      <c r="I124" s="42" t="b">
        <v>0</v>
      </c>
      <c r="J124" s="42" t="b">
        <v>0</v>
      </c>
      <c r="K124" s="42" t="b">
        <v>0</v>
      </c>
      <c r="L124" s="42" t="b">
        <v>0</v>
      </c>
      <c r="M124" s="42" t="b">
        <v>0</v>
      </c>
      <c r="N124" s="42" t="b">
        <v>0</v>
      </c>
      <c r="O124" s="6"/>
      <c r="P124" s="6"/>
      <c r="Q124" s="6"/>
      <c r="R124" s="43"/>
      <c r="S124" s="43"/>
      <c r="T124" s="44"/>
      <c r="U124" s="39"/>
      <c r="V124" s="39"/>
    </row>
    <row r="125" spans="1:22" ht="15.75">
      <c r="A125" s="60"/>
      <c r="B125" s="18"/>
      <c r="C125" s="6"/>
      <c r="D125" s="6"/>
      <c r="E12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5" s="39"/>
      <c r="G125" s="42" t="b">
        <v>0</v>
      </c>
      <c r="H125" s="42" t="b">
        <v>0</v>
      </c>
      <c r="I125" s="42" t="b">
        <v>0</v>
      </c>
      <c r="J125" s="42" t="b">
        <v>0</v>
      </c>
      <c r="K125" s="42" t="b">
        <v>0</v>
      </c>
      <c r="L125" s="42" t="b">
        <v>0</v>
      </c>
      <c r="M125" s="42" t="b">
        <v>0</v>
      </c>
      <c r="N125" s="42" t="b">
        <v>0</v>
      </c>
      <c r="O125" s="6"/>
      <c r="P125" s="6"/>
      <c r="Q125" s="6"/>
      <c r="R125" s="43"/>
      <c r="S125" s="43"/>
      <c r="T125" s="44"/>
      <c r="U125" s="39"/>
      <c r="V125" s="39"/>
    </row>
    <row r="126" spans="1:22" ht="15.75">
      <c r="A126" s="60"/>
      <c r="B126" s="18"/>
      <c r="C126" s="6"/>
      <c r="D126" s="6"/>
      <c r="E12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6" s="39"/>
      <c r="G126" s="42" t="b">
        <v>0</v>
      </c>
      <c r="H126" s="42" t="b">
        <v>0</v>
      </c>
      <c r="I126" s="42" t="b">
        <v>0</v>
      </c>
      <c r="J126" s="42" t="b">
        <v>0</v>
      </c>
      <c r="K126" s="42" t="b">
        <v>0</v>
      </c>
      <c r="L126" s="42" t="b">
        <v>0</v>
      </c>
      <c r="M126" s="42" t="b">
        <v>0</v>
      </c>
      <c r="N126" s="42" t="b">
        <v>0</v>
      </c>
      <c r="O126" s="6"/>
      <c r="P126" s="6"/>
      <c r="Q126" s="6"/>
      <c r="R126" s="43"/>
      <c r="S126" s="43"/>
      <c r="T126" s="44"/>
      <c r="U126" s="39"/>
      <c r="V126" s="39"/>
    </row>
    <row r="127" spans="1:22" ht="15.75">
      <c r="A127" s="60"/>
      <c r="B127" s="18"/>
      <c r="C127" s="6"/>
      <c r="D127" s="6"/>
      <c r="E12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7" s="39"/>
      <c r="G127" s="42" t="b">
        <v>0</v>
      </c>
      <c r="H127" s="42" t="b">
        <v>0</v>
      </c>
      <c r="I127" s="42" t="b">
        <v>0</v>
      </c>
      <c r="J127" s="42" t="b">
        <v>0</v>
      </c>
      <c r="K127" s="42" t="b">
        <v>0</v>
      </c>
      <c r="L127" s="42" t="b">
        <v>0</v>
      </c>
      <c r="M127" s="42" t="b">
        <v>0</v>
      </c>
      <c r="N127" s="42" t="b">
        <v>0</v>
      </c>
      <c r="O127" s="6"/>
      <c r="P127" s="6"/>
      <c r="Q127" s="6"/>
      <c r="R127" s="43"/>
      <c r="S127" s="43"/>
      <c r="T127" s="44"/>
      <c r="U127" s="39"/>
      <c r="V127" s="39"/>
    </row>
    <row r="128" spans="1:22" ht="15.75">
      <c r="A128" s="60"/>
      <c r="B128" s="18"/>
      <c r="C128" s="6"/>
      <c r="D128" s="6"/>
      <c r="E12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8" s="39"/>
      <c r="G128" s="42" t="b">
        <v>0</v>
      </c>
      <c r="H128" s="42" t="b">
        <v>0</v>
      </c>
      <c r="I128" s="42" t="b">
        <v>0</v>
      </c>
      <c r="J128" s="42" t="b">
        <v>0</v>
      </c>
      <c r="K128" s="42" t="b">
        <v>0</v>
      </c>
      <c r="L128" s="42" t="b">
        <v>0</v>
      </c>
      <c r="M128" s="42" t="b">
        <v>0</v>
      </c>
      <c r="N128" s="42" t="b">
        <v>0</v>
      </c>
      <c r="O128" s="6"/>
      <c r="P128" s="6"/>
      <c r="Q128" s="6"/>
      <c r="R128" s="43"/>
      <c r="S128" s="43"/>
      <c r="T128" s="44"/>
      <c r="U128" s="39"/>
      <c r="V128" s="39"/>
    </row>
    <row r="129" spans="1:22" ht="15.75">
      <c r="A129" s="60"/>
      <c r="B129" s="18"/>
      <c r="C129" s="6"/>
      <c r="D129" s="6"/>
      <c r="E12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29" s="39"/>
      <c r="G129" s="42" t="b">
        <v>0</v>
      </c>
      <c r="H129" s="42" t="b">
        <v>0</v>
      </c>
      <c r="I129" s="42" t="b">
        <v>0</v>
      </c>
      <c r="J129" s="42" t="b">
        <v>0</v>
      </c>
      <c r="K129" s="42" t="b">
        <v>0</v>
      </c>
      <c r="L129" s="42" t="b">
        <v>0</v>
      </c>
      <c r="M129" s="42" t="b">
        <v>0</v>
      </c>
      <c r="N129" s="42" t="b">
        <v>0</v>
      </c>
      <c r="O129" s="6"/>
      <c r="P129" s="6"/>
      <c r="Q129" s="6"/>
      <c r="R129" s="43"/>
      <c r="S129" s="43"/>
      <c r="T129" s="44"/>
      <c r="U129" s="39"/>
      <c r="V129" s="39"/>
    </row>
    <row r="130" spans="1:22" ht="15.75">
      <c r="A130" s="60"/>
      <c r="B130" s="18"/>
      <c r="C130" s="6"/>
      <c r="D130" s="6"/>
      <c r="E13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0" s="39"/>
      <c r="G130" s="42" t="b">
        <v>0</v>
      </c>
      <c r="H130" s="42" t="b">
        <v>0</v>
      </c>
      <c r="I130" s="42" t="b">
        <v>0</v>
      </c>
      <c r="J130" s="42" t="b">
        <v>0</v>
      </c>
      <c r="K130" s="42" t="b">
        <v>0</v>
      </c>
      <c r="L130" s="42" t="b">
        <v>0</v>
      </c>
      <c r="M130" s="42" t="b">
        <v>0</v>
      </c>
      <c r="N130" s="42" t="b">
        <v>0</v>
      </c>
      <c r="O130" s="6"/>
      <c r="P130" s="6"/>
      <c r="Q130" s="6"/>
      <c r="R130" s="43"/>
      <c r="S130" s="43"/>
      <c r="T130" s="44"/>
      <c r="U130" s="39"/>
      <c r="V130" s="39"/>
    </row>
    <row r="131" spans="1:22" ht="15.75">
      <c r="A131" s="60"/>
      <c r="B131" s="18"/>
      <c r="C131" s="6"/>
      <c r="D131" s="6"/>
      <c r="E13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1" s="39"/>
      <c r="G131" s="42" t="b">
        <v>0</v>
      </c>
      <c r="H131" s="42" t="b">
        <v>0</v>
      </c>
      <c r="I131" s="42" t="b">
        <v>0</v>
      </c>
      <c r="J131" s="42" t="b">
        <v>0</v>
      </c>
      <c r="K131" s="42" t="b">
        <v>0</v>
      </c>
      <c r="L131" s="42" t="b">
        <v>0</v>
      </c>
      <c r="M131" s="42" t="b">
        <v>0</v>
      </c>
      <c r="N131" s="42" t="b">
        <v>0</v>
      </c>
      <c r="O131" s="6"/>
      <c r="P131" s="6"/>
      <c r="Q131" s="6"/>
      <c r="R131" s="43"/>
      <c r="S131" s="43"/>
      <c r="T131" s="44"/>
      <c r="U131" s="39"/>
      <c r="V131" s="39"/>
    </row>
    <row r="132" spans="1:22" ht="15.75">
      <c r="A132" s="60"/>
      <c r="B132" s="18"/>
      <c r="C132" s="6"/>
      <c r="D132" s="6"/>
      <c r="E13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2" s="39"/>
      <c r="G132" s="42" t="b">
        <v>0</v>
      </c>
      <c r="H132" s="42" t="b">
        <v>0</v>
      </c>
      <c r="I132" s="42" t="b">
        <v>0</v>
      </c>
      <c r="J132" s="42" t="b">
        <v>0</v>
      </c>
      <c r="K132" s="42" t="b">
        <v>0</v>
      </c>
      <c r="L132" s="42" t="b">
        <v>0</v>
      </c>
      <c r="M132" s="42" t="b">
        <v>0</v>
      </c>
      <c r="N132" s="42" t="b">
        <v>0</v>
      </c>
      <c r="O132" s="6"/>
      <c r="P132" s="6"/>
      <c r="Q132" s="6"/>
      <c r="R132" s="43"/>
      <c r="S132" s="43"/>
      <c r="T132" s="44"/>
      <c r="U132" s="39"/>
      <c r="V132" s="39"/>
    </row>
    <row r="133" spans="1:22" ht="15.75">
      <c r="A133" s="60"/>
      <c r="B133" s="18"/>
      <c r="C133" s="6"/>
      <c r="D133" s="6"/>
      <c r="E13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3" s="39"/>
      <c r="G133" s="42" t="b">
        <v>0</v>
      </c>
      <c r="H133" s="42" t="b">
        <v>0</v>
      </c>
      <c r="I133" s="42" t="b">
        <v>0</v>
      </c>
      <c r="J133" s="42" t="b">
        <v>0</v>
      </c>
      <c r="K133" s="42" t="b">
        <v>0</v>
      </c>
      <c r="L133" s="42" t="b">
        <v>0</v>
      </c>
      <c r="M133" s="42" t="b">
        <v>0</v>
      </c>
      <c r="N133" s="42" t="b">
        <v>0</v>
      </c>
      <c r="O133" s="6"/>
      <c r="P133" s="6"/>
      <c r="Q133" s="6"/>
      <c r="R133" s="43"/>
      <c r="S133" s="43"/>
      <c r="T133" s="44"/>
      <c r="U133" s="39"/>
      <c r="V133" s="39"/>
    </row>
    <row r="134" spans="1:22" ht="15.75">
      <c r="A134" s="60"/>
      <c r="B134" s="18"/>
      <c r="C134" s="6"/>
      <c r="D134" s="6"/>
      <c r="E13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4" s="39"/>
      <c r="G134" s="42" t="b">
        <v>0</v>
      </c>
      <c r="H134" s="42" t="b">
        <v>0</v>
      </c>
      <c r="I134" s="42" t="b">
        <v>0</v>
      </c>
      <c r="J134" s="42" t="b">
        <v>0</v>
      </c>
      <c r="K134" s="42" t="b">
        <v>0</v>
      </c>
      <c r="L134" s="42" t="b">
        <v>0</v>
      </c>
      <c r="M134" s="42" t="b">
        <v>0</v>
      </c>
      <c r="N134" s="42" t="b">
        <v>0</v>
      </c>
      <c r="O134" s="6"/>
      <c r="P134" s="6"/>
      <c r="Q134" s="6"/>
      <c r="R134" s="43"/>
      <c r="S134" s="43"/>
      <c r="T134" s="44"/>
      <c r="U134" s="39"/>
      <c r="V134" s="39"/>
    </row>
    <row r="135" spans="1:22" ht="15.75">
      <c r="A135" s="60"/>
      <c r="B135" s="18"/>
      <c r="C135" s="6"/>
      <c r="D135" s="6"/>
      <c r="E13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5" s="39"/>
      <c r="G135" s="42" t="b">
        <v>0</v>
      </c>
      <c r="H135" s="42" t="b">
        <v>0</v>
      </c>
      <c r="I135" s="42" t="b">
        <v>0</v>
      </c>
      <c r="J135" s="42" t="b">
        <v>0</v>
      </c>
      <c r="K135" s="42" t="b">
        <v>0</v>
      </c>
      <c r="L135" s="42" t="b">
        <v>0</v>
      </c>
      <c r="M135" s="42" t="b">
        <v>0</v>
      </c>
      <c r="N135" s="42" t="b">
        <v>0</v>
      </c>
      <c r="O135" s="6"/>
      <c r="P135" s="6"/>
      <c r="Q135" s="6"/>
      <c r="R135" s="43"/>
      <c r="S135" s="43"/>
      <c r="T135" s="44"/>
      <c r="U135" s="39"/>
      <c r="V135" s="39"/>
    </row>
    <row r="136" spans="1:22" ht="15.75">
      <c r="A136" s="60"/>
      <c r="B136" s="18"/>
      <c r="C136" s="6"/>
      <c r="D136" s="6"/>
      <c r="E13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6" s="39"/>
      <c r="G136" s="42" t="b">
        <v>0</v>
      </c>
      <c r="H136" s="42" t="b">
        <v>0</v>
      </c>
      <c r="I136" s="42" t="b">
        <v>0</v>
      </c>
      <c r="J136" s="42" t="b">
        <v>0</v>
      </c>
      <c r="K136" s="42" t="b">
        <v>0</v>
      </c>
      <c r="L136" s="42" t="b">
        <v>0</v>
      </c>
      <c r="M136" s="42" t="b">
        <v>0</v>
      </c>
      <c r="N136" s="42" t="b">
        <v>0</v>
      </c>
      <c r="O136" s="6"/>
      <c r="P136" s="6"/>
      <c r="Q136" s="6"/>
      <c r="R136" s="43"/>
      <c r="S136" s="43"/>
      <c r="T136" s="44"/>
      <c r="U136" s="39"/>
      <c r="V136" s="39"/>
    </row>
    <row r="137" spans="1:22" ht="15.75">
      <c r="A137" s="60"/>
      <c r="B137" s="18"/>
      <c r="C137" s="6"/>
      <c r="D137" s="6"/>
      <c r="E13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7" s="39"/>
      <c r="G137" s="42" t="b">
        <v>0</v>
      </c>
      <c r="H137" s="42" t="b">
        <v>0</v>
      </c>
      <c r="I137" s="42" t="b">
        <v>0</v>
      </c>
      <c r="J137" s="42" t="b">
        <v>0</v>
      </c>
      <c r="K137" s="42" t="b">
        <v>0</v>
      </c>
      <c r="L137" s="42" t="b">
        <v>0</v>
      </c>
      <c r="M137" s="42" t="b">
        <v>0</v>
      </c>
      <c r="N137" s="42" t="b">
        <v>0</v>
      </c>
      <c r="O137" s="6"/>
      <c r="P137" s="6"/>
      <c r="Q137" s="6"/>
      <c r="R137" s="43"/>
      <c r="S137" s="43"/>
      <c r="T137" s="44"/>
      <c r="U137" s="39"/>
      <c r="V137" s="39"/>
    </row>
    <row r="138" spans="1:22" ht="15.75">
      <c r="A138" s="60"/>
      <c r="B138" s="18"/>
      <c r="C138" s="6"/>
      <c r="D138" s="6"/>
      <c r="E13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8" s="39"/>
      <c r="G138" s="42" t="b">
        <v>0</v>
      </c>
      <c r="H138" s="42" t="b">
        <v>0</v>
      </c>
      <c r="I138" s="42" t="b">
        <v>0</v>
      </c>
      <c r="J138" s="42" t="b">
        <v>0</v>
      </c>
      <c r="K138" s="42" t="b">
        <v>0</v>
      </c>
      <c r="L138" s="42" t="b">
        <v>0</v>
      </c>
      <c r="M138" s="42" t="b">
        <v>0</v>
      </c>
      <c r="N138" s="42" t="b">
        <v>0</v>
      </c>
      <c r="O138" s="6"/>
      <c r="P138" s="6"/>
      <c r="Q138" s="6"/>
      <c r="R138" s="43"/>
      <c r="S138" s="43"/>
      <c r="T138" s="44"/>
      <c r="U138" s="39"/>
      <c r="V138" s="39"/>
    </row>
    <row r="139" spans="1:22" ht="15.75">
      <c r="A139" s="60"/>
      <c r="B139" s="18"/>
      <c r="C139" s="6"/>
      <c r="D139" s="6"/>
      <c r="E13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39" s="39"/>
      <c r="G139" s="42" t="b">
        <v>0</v>
      </c>
      <c r="H139" s="42" t="b">
        <v>0</v>
      </c>
      <c r="I139" s="42" t="b">
        <v>0</v>
      </c>
      <c r="J139" s="42" t="b">
        <v>0</v>
      </c>
      <c r="K139" s="42" t="b">
        <v>0</v>
      </c>
      <c r="L139" s="42" t="b">
        <v>0</v>
      </c>
      <c r="M139" s="42" t="b">
        <v>0</v>
      </c>
      <c r="N139" s="42" t="b">
        <v>0</v>
      </c>
      <c r="O139" s="6"/>
      <c r="P139" s="6"/>
      <c r="Q139" s="6"/>
      <c r="R139" s="43"/>
      <c r="S139" s="43"/>
      <c r="T139" s="44"/>
      <c r="U139" s="39"/>
      <c r="V139" s="39"/>
    </row>
    <row r="140" spans="1:22" ht="15.75">
      <c r="A140" s="60"/>
      <c r="B140" s="18"/>
      <c r="C140" s="6"/>
      <c r="D140" s="6"/>
      <c r="E14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0" s="39"/>
      <c r="G140" s="42" t="b">
        <v>0</v>
      </c>
      <c r="H140" s="42" t="b">
        <v>0</v>
      </c>
      <c r="I140" s="42" t="b">
        <v>0</v>
      </c>
      <c r="J140" s="42" t="b">
        <v>0</v>
      </c>
      <c r="K140" s="42" t="b">
        <v>0</v>
      </c>
      <c r="L140" s="42" t="b">
        <v>0</v>
      </c>
      <c r="M140" s="42" t="b">
        <v>0</v>
      </c>
      <c r="N140" s="42" t="b">
        <v>0</v>
      </c>
      <c r="O140" s="6"/>
      <c r="P140" s="6"/>
      <c r="Q140" s="6"/>
      <c r="R140" s="43"/>
      <c r="S140" s="43"/>
      <c r="T140" s="44"/>
      <c r="U140" s="39"/>
      <c r="V140" s="39"/>
    </row>
    <row r="141" spans="1:22" ht="15.75">
      <c r="A141" s="60"/>
      <c r="B141" s="18"/>
      <c r="C141" s="6"/>
      <c r="D141" s="6"/>
      <c r="E14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1" s="39"/>
      <c r="G141" s="42" t="b">
        <v>0</v>
      </c>
      <c r="H141" s="42" t="b">
        <v>0</v>
      </c>
      <c r="I141" s="42" t="b">
        <v>0</v>
      </c>
      <c r="J141" s="42" t="b">
        <v>0</v>
      </c>
      <c r="K141" s="42" t="b">
        <v>0</v>
      </c>
      <c r="L141" s="42" t="b">
        <v>0</v>
      </c>
      <c r="M141" s="42" t="b">
        <v>0</v>
      </c>
      <c r="N141" s="42" t="b">
        <v>0</v>
      </c>
      <c r="O141" s="6"/>
      <c r="P141" s="6"/>
      <c r="Q141" s="6"/>
      <c r="R141" s="43"/>
      <c r="S141" s="43"/>
      <c r="T141" s="44"/>
      <c r="U141" s="39"/>
      <c r="V141" s="39"/>
    </row>
    <row r="142" spans="1:22" ht="15.75">
      <c r="A142" s="60"/>
      <c r="B142" s="18"/>
      <c r="C142" s="6"/>
      <c r="D142" s="6"/>
      <c r="E14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2" s="39"/>
      <c r="G142" s="42" t="b">
        <v>0</v>
      </c>
      <c r="H142" s="42" t="b">
        <v>0</v>
      </c>
      <c r="I142" s="42" t="b">
        <v>0</v>
      </c>
      <c r="J142" s="42" t="b">
        <v>0</v>
      </c>
      <c r="K142" s="42" t="b">
        <v>0</v>
      </c>
      <c r="L142" s="42" t="b">
        <v>0</v>
      </c>
      <c r="M142" s="42" t="b">
        <v>0</v>
      </c>
      <c r="N142" s="42" t="b">
        <v>0</v>
      </c>
      <c r="O142" s="6"/>
      <c r="P142" s="6"/>
      <c r="Q142" s="6"/>
      <c r="R142" s="43"/>
      <c r="S142" s="43"/>
      <c r="T142" s="44"/>
      <c r="U142" s="39"/>
      <c r="V142" s="39"/>
    </row>
    <row r="143" spans="1:22" ht="15.75">
      <c r="A143" s="60"/>
      <c r="B143" s="18"/>
      <c r="C143" s="6"/>
      <c r="D143" s="6"/>
      <c r="E14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3" s="39"/>
      <c r="G143" s="42" t="b">
        <v>0</v>
      </c>
      <c r="H143" s="42" t="b">
        <v>0</v>
      </c>
      <c r="I143" s="42" t="b">
        <v>0</v>
      </c>
      <c r="J143" s="42" t="b">
        <v>0</v>
      </c>
      <c r="K143" s="42" t="b">
        <v>0</v>
      </c>
      <c r="L143" s="42" t="b">
        <v>0</v>
      </c>
      <c r="M143" s="42" t="b">
        <v>0</v>
      </c>
      <c r="N143" s="42" t="b">
        <v>0</v>
      </c>
      <c r="O143" s="6"/>
      <c r="P143" s="6"/>
      <c r="Q143" s="6"/>
      <c r="R143" s="43"/>
      <c r="S143" s="43"/>
      <c r="T143" s="44"/>
      <c r="U143" s="39"/>
      <c r="V143" s="39"/>
    </row>
    <row r="144" spans="1:22" ht="15.75">
      <c r="A144" s="60"/>
      <c r="B144" s="18"/>
      <c r="C144" s="6"/>
      <c r="D144" s="6"/>
      <c r="E14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4" s="39"/>
      <c r="G144" s="42" t="b">
        <v>0</v>
      </c>
      <c r="H144" s="42" t="b">
        <v>0</v>
      </c>
      <c r="I144" s="42" t="b">
        <v>0</v>
      </c>
      <c r="J144" s="42" t="b">
        <v>0</v>
      </c>
      <c r="K144" s="42" t="b">
        <v>0</v>
      </c>
      <c r="L144" s="42" t="b">
        <v>0</v>
      </c>
      <c r="M144" s="42" t="b">
        <v>0</v>
      </c>
      <c r="N144" s="42" t="b">
        <v>0</v>
      </c>
      <c r="O144" s="6"/>
      <c r="P144" s="6"/>
      <c r="Q144" s="6"/>
      <c r="R144" s="43"/>
      <c r="S144" s="43"/>
      <c r="T144" s="44"/>
      <c r="U144" s="39"/>
      <c r="V144" s="39"/>
    </row>
    <row r="145" spans="1:22" ht="15.75">
      <c r="A145" s="60"/>
      <c r="B145" s="18"/>
      <c r="C145" s="6"/>
      <c r="D145" s="6"/>
      <c r="E14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5" s="39"/>
      <c r="G145" s="42" t="b">
        <v>0</v>
      </c>
      <c r="H145" s="42" t="b">
        <v>0</v>
      </c>
      <c r="I145" s="42" t="b">
        <v>0</v>
      </c>
      <c r="J145" s="42" t="b">
        <v>0</v>
      </c>
      <c r="K145" s="42" t="b">
        <v>0</v>
      </c>
      <c r="L145" s="42" t="b">
        <v>0</v>
      </c>
      <c r="M145" s="42" t="b">
        <v>0</v>
      </c>
      <c r="N145" s="42" t="b">
        <v>0</v>
      </c>
      <c r="O145" s="6"/>
      <c r="P145" s="6"/>
      <c r="Q145" s="6"/>
      <c r="R145" s="43"/>
      <c r="S145" s="43"/>
      <c r="T145" s="44"/>
      <c r="U145" s="39"/>
      <c r="V145" s="39"/>
    </row>
    <row r="146" spans="1:22" ht="15.75">
      <c r="A146" s="60"/>
      <c r="B146" s="18"/>
      <c r="C146" s="6"/>
      <c r="D146" s="6"/>
      <c r="E14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6" s="39"/>
      <c r="G146" s="42" t="b">
        <v>0</v>
      </c>
      <c r="H146" s="42" t="b">
        <v>0</v>
      </c>
      <c r="I146" s="42" t="b">
        <v>0</v>
      </c>
      <c r="J146" s="42" t="b">
        <v>0</v>
      </c>
      <c r="K146" s="42" t="b">
        <v>0</v>
      </c>
      <c r="L146" s="42" t="b">
        <v>0</v>
      </c>
      <c r="M146" s="42" t="b">
        <v>0</v>
      </c>
      <c r="N146" s="42" t="b">
        <v>0</v>
      </c>
      <c r="O146" s="6"/>
      <c r="P146" s="6"/>
      <c r="Q146" s="6"/>
      <c r="R146" s="43"/>
      <c r="S146" s="43"/>
      <c r="T146" s="44"/>
      <c r="U146" s="39"/>
      <c r="V146" s="39"/>
    </row>
    <row r="147" spans="1:22" ht="15.75">
      <c r="A147" s="60"/>
      <c r="B147" s="18"/>
      <c r="C147" s="6"/>
      <c r="D147" s="6"/>
      <c r="E14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7" s="39"/>
      <c r="G147" s="42" t="b">
        <v>0</v>
      </c>
      <c r="H147" s="42" t="b">
        <v>0</v>
      </c>
      <c r="I147" s="42" t="b">
        <v>0</v>
      </c>
      <c r="J147" s="42" t="b">
        <v>0</v>
      </c>
      <c r="K147" s="42" t="b">
        <v>0</v>
      </c>
      <c r="L147" s="42" t="b">
        <v>0</v>
      </c>
      <c r="M147" s="42" t="b">
        <v>0</v>
      </c>
      <c r="N147" s="42" t="b">
        <v>0</v>
      </c>
      <c r="O147" s="6"/>
      <c r="P147" s="6"/>
      <c r="Q147" s="6"/>
      <c r="R147" s="43"/>
      <c r="S147" s="43"/>
      <c r="T147" s="44"/>
      <c r="U147" s="39"/>
      <c r="V147" s="39"/>
    </row>
    <row r="148" spans="1:22" ht="15.75">
      <c r="A148" s="60"/>
      <c r="B148" s="18"/>
      <c r="C148" s="6"/>
      <c r="D148" s="6"/>
      <c r="E14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8" s="39"/>
      <c r="G148" s="42" t="b">
        <v>0</v>
      </c>
      <c r="H148" s="42" t="b">
        <v>0</v>
      </c>
      <c r="I148" s="42" t="b">
        <v>0</v>
      </c>
      <c r="J148" s="42" t="b">
        <v>0</v>
      </c>
      <c r="K148" s="42" t="b">
        <v>0</v>
      </c>
      <c r="L148" s="42" t="b">
        <v>0</v>
      </c>
      <c r="M148" s="42" t="b">
        <v>0</v>
      </c>
      <c r="N148" s="42" t="b">
        <v>0</v>
      </c>
      <c r="O148" s="6"/>
      <c r="P148" s="6"/>
      <c r="Q148" s="6"/>
      <c r="R148" s="43"/>
      <c r="S148" s="43"/>
      <c r="T148" s="44"/>
      <c r="U148" s="39"/>
      <c r="V148" s="39"/>
    </row>
    <row r="149" spans="1:22" ht="15.75">
      <c r="A149" s="60"/>
      <c r="B149" s="18"/>
      <c r="C149" s="6"/>
      <c r="D149" s="6"/>
      <c r="E14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49" s="39"/>
      <c r="G149" s="42" t="b">
        <v>0</v>
      </c>
      <c r="H149" s="42" t="b">
        <v>0</v>
      </c>
      <c r="I149" s="42" t="b">
        <v>0</v>
      </c>
      <c r="J149" s="42" t="b">
        <v>0</v>
      </c>
      <c r="K149" s="42" t="b">
        <v>0</v>
      </c>
      <c r="L149" s="42" t="b">
        <v>0</v>
      </c>
      <c r="M149" s="42" t="b">
        <v>0</v>
      </c>
      <c r="N149" s="42" t="b">
        <v>0</v>
      </c>
      <c r="O149" s="6"/>
      <c r="P149" s="6"/>
      <c r="Q149" s="6"/>
      <c r="R149" s="43"/>
      <c r="S149" s="43"/>
      <c r="T149" s="44"/>
      <c r="U149" s="39"/>
      <c r="V149" s="39"/>
    </row>
    <row r="150" spans="1:22" ht="15.75">
      <c r="A150" s="60"/>
      <c r="B150" s="18"/>
      <c r="C150" s="6"/>
      <c r="D150" s="6"/>
      <c r="E15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0" s="39"/>
      <c r="G150" s="42" t="b">
        <v>0</v>
      </c>
      <c r="H150" s="42" t="b">
        <v>0</v>
      </c>
      <c r="I150" s="42" t="b">
        <v>0</v>
      </c>
      <c r="J150" s="42" t="b">
        <v>0</v>
      </c>
      <c r="K150" s="42" t="b">
        <v>0</v>
      </c>
      <c r="L150" s="42" t="b">
        <v>0</v>
      </c>
      <c r="M150" s="42" t="b">
        <v>0</v>
      </c>
      <c r="N150" s="42" t="b">
        <v>0</v>
      </c>
      <c r="O150" s="6"/>
      <c r="P150" s="6"/>
      <c r="Q150" s="6"/>
      <c r="R150" s="43"/>
      <c r="S150" s="43"/>
      <c r="T150" s="44"/>
      <c r="U150" s="39"/>
      <c r="V150" s="39"/>
    </row>
    <row r="151" spans="1:22" ht="15.75">
      <c r="A151" s="60"/>
      <c r="B151" s="18"/>
      <c r="C151" s="6"/>
      <c r="D151" s="6"/>
      <c r="E15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1" s="39"/>
      <c r="G151" s="42" t="b">
        <v>0</v>
      </c>
      <c r="H151" s="42" t="b">
        <v>0</v>
      </c>
      <c r="I151" s="42" t="b">
        <v>0</v>
      </c>
      <c r="J151" s="42" t="b">
        <v>0</v>
      </c>
      <c r="K151" s="42" t="b">
        <v>0</v>
      </c>
      <c r="L151" s="42" t="b">
        <v>0</v>
      </c>
      <c r="M151" s="42" t="b">
        <v>0</v>
      </c>
      <c r="N151" s="42" t="b">
        <v>0</v>
      </c>
      <c r="O151" s="6"/>
      <c r="P151" s="6"/>
      <c r="Q151" s="6"/>
      <c r="R151" s="43"/>
      <c r="S151" s="43"/>
      <c r="T151" s="44"/>
      <c r="U151" s="39"/>
      <c r="V151" s="39"/>
    </row>
    <row r="152" spans="1:22" ht="15.75">
      <c r="A152" s="60"/>
      <c r="B152" s="18"/>
      <c r="C152" s="6"/>
      <c r="D152" s="6"/>
      <c r="E15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2" s="39"/>
      <c r="G152" s="42" t="b">
        <v>0</v>
      </c>
      <c r="H152" s="42" t="b">
        <v>0</v>
      </c>
      <c r="I152" s="42" t="b">
        <v>0</v>
      </c>
      <c r="J152" s="42" t="b">
        <v>0</v>
      </c>
      <c r="K152" s="42" t="b">
        <v>0</v>
      </c>
      <c r="L152" s="42" t="b">
        <v>0</v>
      </c>
      <c r="M152" s="42" t="b">
        <v>0</v>
      </c>
      <c r="N152" s="42" t="b">
        <v>0</v>
      </c>
      <c r="O152" s="6"/>
      <c r="P152" s="6"/>
      <c r="Q152" s="6"/>
      <c r="R152" s="43"/>
      <c r="S152" s="43"/>
      <c r="T152" s="44"/>
      <c r="U152" s="39"/>
      <c r="V152" s="39"/>
    </row>
    <row r="153" spans="1:22" ht="15.75">
      <c r="A153" s="60"/>
      <c r="B153" s="18"/>
      <c r="C153" s="6"/>
      <c r="D153" s="6"/>
      <c r="E15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3" s="39"/>
      <c r="G153" s="42" t="b">
        <v>0</v>
      </c>
      <c r="H153" s="42" t="b">
        <v>0</v>
      </c>
      <c r="I153" s="42" t="b">
        <v>0</v>
      </c>
      <c r="J153" s="42" t="b">
        <v>0</v>
      </c>
      <c r="K153" s="42" t="b">
        <v>0</v>
      </c>
      <c r="L153" s="42" t="b">
        <v>0</v>
      </c>
      <c r="M153" s="42" t="b">
        <v>0</v>
      </c>
      <c r="N153" s="42" t="b">
        <v>0</v>
      </c>
      <c r="O153" s="6"/>
      <c r="P153" s="6"/>
      <c r="Q153" s="6"/>
      <c r="R153" s="43"/>
      <c r="S153" s="43"/>
      <c r="T153" s="44"/>
      <c r="U153" s="39"/>
      <c r="V153" s="39"/>
    </row>
    <row r="154" spans="1:22" ht="15.75">
      <c r="A154" s="60"/>
      <c r="B154" s="18"/>
      <c r="C154" s="6"/>
      <c r="D154" s="6"/>
      <c r="E15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4" s="39"/>
      <c r="G154" s="42" t="b">
        <v>0</v>
      </c>
      <c r="H154" s="42" t="b">
        <v>0</v>
      </c>
      <c r="I154" s="42" t="b">
        <v>0</v>
      </c>
      <c r="J154" s="42" t="b">
        <v>0</v>
      </c>
      <c r="K154" s="42" t="b">
        <v>0</v>
      </c>
      <c r="L154" s="42" t="b">
        <v>0</v>
      </c>
      <c r="M154" s="42" t="b">
        <v>0</v>
      </c>
      <c r="N154" s="42" t="b">
        <v>0</v>
      </c>
      <c r="O154" s="6"/>
      <c r="P154" s="6"/>
      <c r="Q154" s="6"/>
      <c r="R154" s="43"/>
      <c r="S154" s="43"/>
      <c r="T154" s="44"/>
      <c r="U154" s="39"/>
      <c r="V154" s="39"/>
    </row>
    <row r="155" spans="1:22" ht="15.75">
      <c r="A155" s="60"/>
      <c r="B155" s="18"/>
      <c r="C155" s="6"/>
      <c r="D155" s="6"/>
      <c r="E15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5" s="39"/>
      <c r="G155" s="42" t="b">
        <v>0</v>
      </c>
      <c r="H155" s="42" t="b">
        <v>0</v>
      </c>
      <c r="I155" s="42" t="b">
        <v>0</v>
      </c>
      <c r="J155" s="42" t="b">
        <v>0</v>
      </c>
      <c r="K155" s="42" t="b">
        <v>0</v>
      </c>
      <c r="L155" s="42" t="b">
        <v>0</v>
      </c>
      <c r="M155" s="42" t="b">
        <v>0</v>
      </c>
      <c r="N155" s="42" t="b">
        <v>0</v>
      </c>
      <c r="O155" s="6"/>
      <c r="P155" s="6"/>
      <c r="Q155" s="6"/>
      <c r="R155" s="43"/>
      <c r="S155" s="43"/>
      <c r="T155" s="44"/>
      <c r="U155" s="39"/>
      <c r="V155" s="39"/>
    </row>
    <row r="156" spans="1:22" ht="15.75">
      <c r="A156" s="60"/>
      <c r="B156" s="18"/>
      <c r="C156" s="6"/>
      <c r="D156" s="6"/>
      <c r="E15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6" s="39"/>
      <c r="G156" s="42" t="b">
        <v>0</v>
      </c>
      <c r="H156" s="42" t="b">
        <v>0</v>
      </c>
      <c r="I156" s="42" t="b">
        <v>0</v>
      </c>
      <c r="J156" s="42" t="b">
        <v>0</v>
      </c>
      <c r="K156" s="42" t="b">
        <v>0</v>
      </c>
      <c r="L156" s="42" t="b">
        <v>0</v>
      </c>
      <c r="M156" s="42" t="b">
        <v>0</v>
      </c>
      <c r="N156" s="42" t="b">
        <v>0</v>
      </c>
      <c r="O156" s="6"/>
      <c r="P156" s="6"/>
      <c r="Q156" s="6"/>
      <c r="R156" s="43"/>
      <c r="S156" s="43"/>
      <c r="T156" s="44"/>
      <c r="U156" s="39"/>
      <c r="V156" s="39"/>
    </row>
    <row r="157" spans="1:22" ht="15.75">
      <c r="A157" s="60"/>
      <c r="B157" s="18"/>
      <c r="C157" s="6"/>
      <c r="D157" s="6"/>
      <c r="E15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7" s="39"/>
      <c r="G157" s="42" t="b">
        <v>0</v>
      </c>
      <c r="H157" s="42" t="b">
        <v>0</v>
      </c>
      <c r="I157" s="42" t="b">
        <v>0</v>
      </c>
      <c r="J157" s="42" t="b">
        <v>0</v>
      </c>
      <c r="K157" s="42" t="b">
        <v>0</v>
      </c>
      <c r="L157" s="42" t="b">
        <v>0</v>
      </c>
      <c r="M157" s="42" t="b">
        <v>0</v>
      </c>
      <c r="N157" s="42" t="b">
        <v>0</v>
      </c>
      <c r="O157" s="6"/>
      <c r="P157" s="6"/>
      <c r="Q157" s="6"/>
      <c r="R157" s="43"/>
      <c r="S157" s="43"/>
      <c r="T157" s="44"/>
      <c r="U157" s="39"/>
      <c r="V157" s="39"/>
    </row>
    <row r="158" spans="1:22" ht="15.75">
      <c r="A158" s="60"/>
      <c r="B158" s="18"/>
      <c r="C158" s="6"/>
      <c r="D158" s="6"/>
      <c r="E15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8" s="39"/>
      <c r="G158" s="42" t="b">
        <v>0</v>
      </c>
      <c r="H158" s="42" t="b">
        <v>0</v>
      </c>
      <c r="I158" s="42" t="b">
        <v>0</v>
      </c>
      <c r="J158" s="42" t="b">
        <v>0</v>
      </c>
      <c r="K158" s="42" t="b">
        <v>0</v>
      </c>
      <c r="L158" s="42" t="b">
        <v>0</v>
      </c>
      <c r="M158" s="42" t="b">
        <v>0</v>
      </c>
      <c r="N158" s="42" t="b">
        <v>0</v>
      </c>
      <c r="O158" s="6"/>
      <c r="P158" s="6"/>
      <c r="Q158" s="6"/>
      <c r="R158" s="43"/>
      <c r="S158" s="43"/>
      <c r="T158" s="44"/>
      <c r="U158" s="39"/>
      <c r="V158" s="39"/>
    </row>
    <row r="159" spans="1:22" ht="15.75">
      <c r="A159" s="60"/>
      <c r="B159" s="18"/>
      <c r="C159" s="6"/>
      <c r="D159" s="6"/>
      <c r="E15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59" s="39"/>
      <c r="G159" s="42" t="b">
        <v>0</v>
      </c>
      <c r="H159" s="42" t="b">
        <v>0</v>
      </c>
      <c r="I159" s="42" t="b">
        <v>0</v>
      </c>
      <c r="J159" s="42" t="b">
        <v>0</v>
      </c>
      <c r="K159" s="42" t="b">
        <v>0</v>
      </c>
      <c r="L159" s="42" t="b">
        <v>0</v>
      </c>
      <c r="M159" s="42" t="b">
        <v>0</v>
      </c>
      <c r="N159" s="42" t="b">
        <v>0</v>
      </c>
      <c r="O159" s="6"/>
      <c r="P159" s="6"/>
      <c r="Q159" s="6"/>
      <c r="R159" s="43"/>
      <c r="S159" s="43"/>
      <c r="T159" s="44"/>
      <c r="U159" s="39"/>
      <c r="V159" s="39"/>
    </row>
    <row r="160" spans="1:22" ht="15.75">
      <c r="A160" s="60"/>
      <c r="B160" s="18"/>
      <c r="C160" s="6"/>
      <c r="D160" s="6"/>
      <c r="E16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0" s="39"/>
      <c r="G160" s="42" t="b">
        <v>0</v>
      </c>
      <c r="H160" s="42" t="b">
        <v>0</v>
      </c>
      <c r="I160" s="42" t="b">
        <v>0</v>
      </c>
      <c r="J160" s="42" t="b">
        <v>0</v>
      </c>
      <c r="K160" s="42" t="b">
        <v>0</v>
      </c>
      <c r="L160" s="42" t="b">
        <v>0</v>
      </c>
      <c r="M160" s="42" t="b">
        <v>0</v>
      </c>
      <c r="N160" s="42" t="b">
        <v>0</v>
      </c>
      <c r="O160" s="6"/>
      <c r="P160" s="6"/>
      <c r="Q160" s="6"/>
      <c r="R160" s="43"/>
      <c r="S160" s="43"/>
      <c r="T160" s="44"/>
      <c r="U160" s="39"/>
      <c r="V160" s="39"/>
    </row>
    <row r="161" spans="1:22" ht="15.75">
      <c r="A161" s="60"/>
      <c r="B161" s="18"/>
      <c r="C161" s="6"/>
      <c r="D161" s="6"/>
      <c r="E16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1" s="39"/>
      <c r="G161" s="42" t="b">
        <v>0</v>
      </c>
      <c r="H161" s="42" t="b">
        <v>0</v>
      </c>
      <c r="I161" s="42" t="b">
        <v>0</v>
      </c>
      <c r="J161" s="42" t="b">
        <v>0</v>
      </c>
      <c r="K161" s="42" t="b">
        <v>0</v>
      </c>
      <c r="L161" s="42" t="b">
        <v>0</v>
      </c>
      <c r="M161" s="42" t="b">
        <v>0</v>
      </c>
      <c r="N161" s="42" t="b">
        <v>0</v>
      </c>
      <c r="O161" s="6"/>
      <c r="P161" s="6"/>
      <c r="Q161" s="6"/>
      <c r="R161" s="43"/>
      <c r="S161" s="43"/>
      <c r="T161" s="44"/>
      <c r="U161" s="39"/>
      <c r="V161" s="39"/>
    </row>
    <row r="162" spans="1:22" ht="15.75">
      <c r="A162" s="60"/>
      <c r="B162" s="18"/>
      <c r="C162" s="6"/>
      <c r="D162" s="6"/>
      <c r="E16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2" s="39"/>
      <c r="G162" s="42" t="b">
        <v>0</v>
      </c>
      <c r="H162" s="42" t="b">
        <v>0</v>
      </c>
      <c r="I162" s="42" t="b">
        <v>0</v>
      </c>
      <c r="J162" s="42" t="b">
        <v>0</v>
      </c>
      <c r="K162" s="42" t="b">
        <v>0</v>
      </c>
      <c r="L162" s="42" t="b">
        <v>0</v>
      </c>
      <c r="M162" s="42" t="b">
        <v>0</v>
      </c>
      <c r="N162" s="42" t="b">
        <v>0</v>
      </c>
      <c r="O162" s="6"/>
      <c r="P162" s="6"/>
      <c r="Q162" s="6"/>
      <c r="R162" s="43"/>
      <c r="S162" s="43"/>
      <c r="T162" s="44"/>
      <c r="U162" s="39"/>
      <c r="V162" s="39"/>
    </row>
    <row r="163" spans="1:22" ht="15.75">
      <c r="A163" s="60"/>
      <c r="B163" s="18"/>
      <c r="C163" s="6"/>
      <c r="D163" s="6"/>
      <c r="E16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3" s="39"/>
      <c r="G163" s="42" t="b">
        <v>0</v>
      </c>
      <c r="H163" s="42" t="b">
        <v>0</v>
      </c>
      <c r="I163" s="42" t="b">
        <v>0</v>
      </c>
      <c r="J163" s="42" t="b">
        <v>0</v>
      </c>
      <c r="K163" s="42" t="b">
        <v>0</v>
      </c>
      <c r="L163" s="42" t="b">
        <v>0</v>
      </c>
      <c r="M163" s="42" t="b">
        <v>0</v>
      </c>
      <c r="N163" s="42" t="b">
        <v>0</v>
      </c>
      <c r="O163" s="6"/>
      <c r="P163" s="6"/>
      <c r="Q163" s="6"/>
      <c r="R163" s="43"/>
      <c r="S163" s="43"/>
      <c r="T163" s="44"/>
      <c r="U163" s="39"/>
      <c r="V163" s="39"/>
    </row>
    <row r="164" spans="1:22" ht="15.75">
      <c r="A164" s="60"/>
      <c r="B164" s="18"/>
      <c r="C164" s="6"/>
      <c r="D164" s="6"/>
      <c r="E16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4" s="39"/>
      <c r="G164" s="42" t="b">
        <v>0</v>
      </c>
      <c r="H164" s="42" t="b">
        <v>0</v>
      </c>
      <c r="I164" s="42" t="b">
        <v>0</v>
      </c>
      <c r="J164" s="42" t="b">
        <v>0</v>
      </c>
      <c r="K164" s="42" t="b">
        <v>0</v>
      </c>
      <c r="L164" s="42" t="b">
        <v>0</v>
      </c>
      <c r="M164" s="42" t="b">
        <v>0</v>
      </c>
      <c r="N164" s="42" t="b">
        <v>0</v>
      </c>
      <c r="O164" s="6"/>
      <c r="P164" s="6"/>
      <c r="Q164" s="6"/>
      <c r="R164" s="43"/>
      <c r="S164" s="43"/>
      <c r="T164" s="44"/>
      <c r="U164" s="39"/>
      <c r="V164" s="39"/>
    </row>
    <row r="165" spans="1:22" ht="15.75">
      <c r="A165" s="60"/>
      <c r="B165" s="18"/>
      <c r="C165" s="6"/>
      <c r="D165" s="6"/>
      <c r="E16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5" s="39"/>
      <c r="G165" s="42" t="b">
        <v>0</v>
      </c>
      <c r="H165" s="42" t="b">
        <v>0</v>
      </c>
      <c r="I165" s="42" t="b">
        <v>0</v>
      </c>
      <c r="J165" s="42" t="b">
        <v>0</v>
      </c>
      <c r="K165" s="42" t="b">
        <v>0</v>
      </c>
      <c r="L165" s="42" t="b">
        <v>0</v>
      </c>
      <c r="M165" s="42" t="b">
        <v>0</v>
      </c>
      <c r="N165" s="42" t="b">
        <v>0</v>
      </c>
      <c r="O165" s="6"/>
      <c r="P165" s="6"/>
      <c r="Q165" s="6"/>
      <c r="R165" s="43"/>
      <c r="S165" s="43"/>
      <c r="T165" s="44"/>
      <c r="U165" s="39"/>
      <c r="V165" s="39"/>
    </row>
    <row r="166" spans="1:22" ht="15.75">
      <c r="A166" s="60"/>
      <c r="B166" s="18"/>
      <c r="C166" s="6"/>
      <c r="D166" s="6"/>
      <c r="E16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6" s="39"/>
      <c r="G166" s="42" t="b">
        <v>0</v>
      </c>
      <c r="H166" s="42" t="b">
        <v>0</v>
      </c>
      <c r="I166" s="42" t="b">
        <v>0</v>
      </c>
      <c r="J166" s="42" t="b">
        <v>0</v>
      </c>
      <c r="K166" s="42" t="b">
        <v>0</v>
      </c>
      <c r="L166" s="42" t="b">
        <v>0</v>
      </c>
      <c r="M166" s="42" t="b">
        <v>0</v>
      </c>
      <c r="N166" s="42" t="b">
        <v>0</v>
      </c>
      <c r="O166" s="6"/>
      <c r="P166" s="6"/>
      <c r="Q166" s="6"/>
      <c r="R166" s="43"/>
      <c r="S166" s="43"/>
      <c r="T166" s="44"/>
      <c r="U166" s="39"/>
      <c r="V166" s="39"/>
    </row>
    <row r="167" spans="1:22" ht="15.75">
      <c r="A167" s="60"/>
      <c r="B167" s="18"/>
      <c r="C167" s="6"/>
      <c r="D167" s="6"/>
      <c r="E16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7" s="39"/>
      <c r="G167" s="42" t="b">
        <v>0</v>
      </c>
      <c r="H167" s="42" t="b">
        <v>0</v>
      </c>
      <c r="I167" s="42" t="b">
        <v>0</v>
      </c>
      <c r="J167" s="42" t="b">
        <v>0</v>
      </c>
      <c r="K167" s="42" t="b">
        <v>0</v>
      </c>
      <c r="L167" s="42" t="b">
        <v>0</v>
      </c>
      <c r="M167" s="42" t="b">
        <v>0</v>
      </c>
      <c r="N167" s="42" t="b">
        <v>0</v>
      </c>
      <c r="O167" s="6"/>
      <c r="P167" s="6"/>
      <c r="Q167" s="6"/>
      <c r="R167" s="43"/>
      <c r="S167" s="43"/>
      <c r="T167" s="44"/>
      <c r="U167" s="39"/>
      <c r="V167" s="39"/>
    </row>
    <row r="168" spans="1:22" ht="15.75">
      <c r="A168" s="60"/>
      <c r="B168" s="18"/>
      <c r="C168" s="6"/>
      <c r="D168" s="6"/>
      <c r="E16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8" s="39"/>
      <c r="G168" s="42" t="b">
        <v>0</v>
      </c>
      <c r="H168" s="42" t="b">
        <v>0</v>
      </c>
      <c r="I168" s="42" t="b">
        <v>0</v>
      </c>
      <c r="J168" s="42" t="b">
        <v>0</v>
      </c>
      <c r="K168" s="42" t="b">
        <v>0</v>
      </c>
      <c r="L168" s="42" t="b">
        <v>0</v>
      </c>
      <c r="M168" s="42" t="b">
        <v>0</v>
      </c>
      <c r="N168" s="42" t="b">
        <v>0</v>
      </c>
      <c r="O168" s="6"/>
      <c r="P168" s="6"/>
      <c r="Q168" s="6"/>
      <c r="R168" s="43"/>
      <c r="S168" s="43"/>
      <c r="T168" s="44"/>
      <c r="U168" s="39"/>
      <c r="V168" s="39"/>
    </row>
    <row r="169" spans="1:22" ht="15.75">
      <c r="A169" s="60"/>
      <c r="B169" s="18"/>
      <c r="C169" s="6"/>
      <c r="D169" s="6"/>
      <c r="E16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69" s="39"/>
      <c r="G169" s="42" t="b">
        <v>0</v>
      </c>
      <c r="H169" s="42" t="b">
        <v>0</v>
      </c>
      <c r="I169" s="42" t="b">
        <v>0</v>
      </c>
      <c r="J169" s="42" t="b">
        <v>0</v>
      </c>
      <c r="K169" s="42" t="b">
        <v>0</v>
      </c>
      <c r="L169" s="42" t="b">
        <v>0</v>
      </c>
      <c r="M169" s="42" t="b">
        <v>0</v>
      </c>
      <c r="N169" s="42" t="b">
        <v>0</v>
      </c>
      <c r="O169" s="6"/>
      <c r="P169" s="6"/>
      <c r="Q169" s="6"/>
      <c r="R169" s="43"/>
      <c r="S169" s="43"/>
      <c r="T169" s="44"/>
      <c r="U169" s="39"/>
      <c r="V169" s="39"/>
    </row>
    <row r="170" spans="1:22" ht="15.75">
      <c r="A170" s="60"/>
      <c r="B170" s="18"/>
      <c r="C170" s="6"/>
      <c r="D170" s="6"/>
      <c r="E17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0" s="39"/>
      <c r="G170" s="42" t="b">
        <v>0</v>
      </c>
      <c r="H170" s="42" t="b">
        <v>0</v>
      </c>
      <c r="I170" s="42" t="b">
        <v>0</v>
      </c>
      <c r="J170" s="42" t="b">
        <v>0</v>
      </c>
      <c r="K170" s="42" t="b">
        <v>0</v>
      </c>
      <c r="L170" s="42" t="b">
        <v>0</v>
      </c>
      <c r="M170" s="42" t="b">
        <v>0</v>
      </c>
      <c r="N170" s="42" t="b">
        <v>0</v>
      </c>
      <c r="O170" s="6"/>
      <c r="P170" s="6"/>
      <c r="Q170" s="6"/>
      <c r="R170" s="43"/>
      <c r="S170" s="43"/>
      <c r="T170" s="44"/>
      <c r="U170" s="39"/>
      <c r="V170" s="39"/>
    </row>
    <row r="171" spans="1:22" ht="15.75">
      <c r="A171" s="60"/>
      <c r="B171" s="18"/>
      <c r="C171" s="6"/>
      <c r="D171" s="6"/>
      <c r="E17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1" s="39"/>
      <c r="G171" s="42" t="b">
        <v>0</v>
      </c>
      <c r="H171" s="42" t="b">
        <v>0</v>
      </c>
      <c r="I171" s="42" t="b">
        <v>0</v>
      </c>
      <c r="J171" s="42" t="b">
        <v>0</v>
      </c>
      <c r="K171" s="42" t="b">
        <v>0</v>
      </c>
      <c r="L171" s="42" t="b">
        <v>0</v>
      </c>
      <c r="M171" s="42" t="b">
        <v>0</v>
      </c>
      <c r="N171" s="42" t="b">
        <v>0</v>
      </c>
      <c r="O171" s="6"/>
      <c r="P171" s="6"/>
      <c r="Q171" s="6"/>
      <c r="R171" s="43"/>
      <c r="S171" s="43"/>
      <c r="T171" s="44"/>
      <c r="U171" s="39"/>
      <c r="V171" s="39"/>
    </row>
    <row r="172" spans="1:22" ht="15.75">
      <c r="A172" s="60"/>
      <c r="B172" s="18"/>
      <c r="C172" s="6"/>
      <c r="D172" s="6"/>
      <c r="E17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2" s="39"/>
      <c r="G172" s="42" t="b">
        <v>0</v>
      </c>
      <c r="H172" s="42" t="b">
        <v>0</v>
      </c>
      <c r="I172" s="42" t="b">
        <v>0</v>
      </c>
      <c r="J172" s="42" t="b">
        <v>0</v>
      </c>
      <c r="K172" s="42" t="b">
        <v>0</v>
      </c>
      <c r="L172" s="42" t="b">
        <v>0</v>
      </c>
      <c r="M172" s="42" t="b">
        <v>0</v>
      </c>
      <c r="N172" s="42" t="b">
        <v>0</v>
      </c>
      <c r="O172" s="6"/>
      <c r="P172" s="6"/>
      <c r="Q172" s="6"/>
      <c r="R172" s="43"/>
      <c r="S172" s="43"/>
      <c r="T172" s="44"/>
      <c r="U172" s="39"/>
      <c r="V172" s="39"/>
    </row>
    <row r="173" spans="1:22" ht="15.75">
      <c r="A173" s="60"/>
      <c r="B173" s="18"/>
      <c r="C173" s="6"/>
      <c r="D173" s="6"/>
      <c r="E17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3" s="39"/>
      <c r="G173" s="42" t="b">
        <v>0</v>
      </c>
      <c r="H173" s="42" t="b">
        <v>0</v>
      </c>
      <c r="I173" s="42" t="b">
        <v>0</v>
      </c>
      <c r="J173" s="42" t="b">
        <v>0</v>
      </c>
      <c r="K173" s="42" t="b">
        <v>0</v>
      </c>
      <c r="L173" s="42" t="b">
        <v>0</v>
      </c>
      <c r="M173" s="42" t="b">
        <v>0</v>
      </c>
      <c r="N173" s="42" t="b">
        <v>0</v>
      </c>
      <c r="O173" s="6"/>
      <c r="P173" s="6"/>
      <c r="Q173" s="6"/>
      <c r="R173" s="43"/>
      <c r="S173" s="43"/>
      <c r="T173" s="44"/>
      <c r="U173" s="39"/>
      <c r="V173" s="39"/>
    </row>
    <row r="174" spans="1:22" ht="15.75">
      <c r="A174" s="60"/>
      <c r="B174" s="18"/>
      <c r="C174" s="6"/>
      <c r="D174" s="6"/>
      <c r="E17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4" s="39"/>
      <c r="G174" s="42" t="b">
        <v>0</v>
      </c>
      <c r="H174" s="42" t="b">
        <v>0</v>
      </c>
      <c r="I174" s="42" t="b">
        <v>0</v>
      </c>
      <c r="J174" s="42" t="b">
        <v>0</v>
      </c>
      <c r="K174" s="42" t="b">
        <v>0</v>
      </c>
      <c r="L174" s="42" t="b">
        <v>0</v>
      </c>
      <c r="M174" s="42" t="b">
        <v>0</v>
      </c>
      <c r="N174" s="42" t="b">
        <v>0</v>
      </c>
      <c r="O174" s="6"/>
      <c r="P174" s="6"/>
      <c r="Q174" s="6"/>
      <c r="R174" s="43"/>
      <c r="S174" s="43"/>
      <c r="T174" s="44"/>
      <c r="U174" s="39"/>
      <c r="V174" s="39"/>
    </row>
    <row r="175" spans="1:22" ht="15.75">
      <c r="A175" s="60"/>
      <c r="B175" s="18"/>
      <c r="C175" s="6"/>
      <c r="D175" s="6"/>
      <c r="E17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5" s="39"/>
      <c r="G175" s="42" t="b">
        <v>0</v>
      </c>
      <c r="H175" s="42" t="b">
        <v>0</v>
      </c>
      <c r="I175" s="42" t="b">
        <v>0</v>
      </c>
      <c r="J175" s="42" t="b">
        <v>0</v>
      </c>
      <c r="K175" s="42" t="b">
        <v>0</v>
      </c>
      <c r="L175" s="42" t="b">
        <v>0</v>
      </c>
      <c r="M175" s="42" t="b">
        <v>0</v>
      </c>
      <c r="N175" s="42" t="b">
        <v>0</v>
      </c>
      <c r="O175" s="6"/>
      <c r="P175" s="6"/>
      <c r="Q175" s="6"/>
      <c r="R175" s="43"/>
      <c r="S175" s="43"/>
      <c r="T175" s="44"/>
      <c r="U175" s="39"/>
      <c r="V175" s="39"/>
    </row>
    <row r="176" spans="1:22" ht="15.75">
      <c r="A176" s="60"/>
      <c r="B176" s="18"/>
      <c r="C176" s="6"/>
      <c r="D176" s="6"/>
      <c r="E17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6" s="39"/>
      <c r="G176" s="42" t="b">
        <v>0</v>
      </c>
      <c r="H176" s="42" t="b">
        <v>0</v>
      </c>
      <c r="I176" s="42" t="b">
        <v>0</v>
      </c>
      <c r="J176" s="42" t="b">
        <v>0</v>
      </c>
      <c r="K176" s="42" t="b">
        <v>0</v>
      </c>
      <c r="L176" s="42" t="b">
        <v>0</v>
      </c>
      <c r="M176" s="42" t="b">
        <v>0</v>
      </c>
      <c r="N176" s="42" t="b">
        <v>0</v>
      </c>
      <c r="O176" s="6"/>
      <c r="P176" s="6"/>
      <c r="Q176" s="6"/>
      <c r="R176" s="43"/>
      <c r="S176" s="43"/>
      <c r="T176" s="44"/>
      <c r="U176" s="39"/>
      <c r="V176" s="39"/>
    </row>
    <row r="177" spans="1:22" ht="15.75">
      <c r="A177" s="60"/>
      <c r="B177" s="18"/>
      <c r="C177" s="6"/>
      <c r="D177" s="6"/>
      <c r="E17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7" s="39"/>
      <c r="G177" s="42" t="b">
        <v>0</v>
      </c>
      <c r="H177" s="42" t="b">
        <v>0</v>
      </c>
      <c r="I177" s="42" t="b">
        <v>0</v>
      </c>
      <c r="J177" s="42" t="b">
        <v>0</v>
      </c>
      <c r="K177" s="42" t="b">
        <v>0</v>
      </c>
      <c r="L177" s="42" t="b">
        <v>0</v>
      </c>
      <c r="M177" s="42" t="b">
        <v>0</v>
      </c>
      <c r="N177" s="42" t="b">
        <v>0</v>
      </c>
      <c r="O177" s="6"/>
      <c r="P177" s="6"/>
      <c r="Q177" s="6"/>
      <c r="R177" s="43"/>
      <c r="S177" s="43"/>
      <c r="T177" s="44"/>
      <c r="U177" s="39"/>
      <c r="V177" s="39"/>
    </row>
    <row r="178" spans="1:22" ht="15.75">
      <c r="A178" s="60"/>
      <c r="B178" s="18"/>
      <c r="C178" s="6"/>
      <c r="D178" s="6"/>
      <c r="E17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8" s="39"/>
      <c r="G178" s="42" t="b">
        <v>0</v>
      </c>
      <c r="H178" s="42" t="b">
        <v>0</v>
      </c>
      <c r="I178" s="42" t="b">
        <v>0</v>
      </c>
      <c r="J178" s="42" t="b">
        <v>0</v>
      </c>
      <c r="K178" s="42" t="b">
        <v>0</v>
      </c>
      <c r="L178" s="42" t="b">
        <v>0</v>
      </c>
      <c r="M178" s="42" t="b">
        <v>0</v>
      </c>
      <c r="N178" s="42" t="b">
        <v>0</v>
      </c>
      <c r="O178" s="6"/>
      <c r="P178" s="6"/>
      <c r="Q178" s="6"/>
      <c r="R178" s="43"/>
      <c r="S178" s="43"/>
      <c r="T178" s="44"/>
      <c r="U178" s="39"/>
      <c r="V178" s="39"/>
    </row>
    <row r="179" spans="1:22" ht="15.75">
      <c r="A179" s="60"/>
      <c r="B179" s="18"/>
      <c r="C179" s="6"/>
      <c r="D179" s="6"/>
      <c r="E17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79" s="39"/>
      <c r="G179" s="42" t="b">
        <v>0</v>
      </c>
      <c r="H179" s="42" t="b">
        <v>0</v>
      </c>
      <c r="I179" s="42" t="b">
        <v>0</v>
      </c>
      <c r="J179" s="42" t="b">
        <v>0</v>
      </c>
      <c r="K179" s="42" t="b">
        <v>0</v>
      </c>
      <c r="L179" s="42" t="b">
        <v>0</v>
      </c>
      <c r="M179" s="42" t="b">
        <v>0</v>
      </c>
      <c r="N179" s="42" t="b">
        <v>0</v>
      </c>
      <c r="O179" s="6"/>
      <c r="P179" s="6"/>
      <c r="Q179" s="6"/>
      <c r="R179" s="43"/>
      <c r="S179" s="43"/>
      <c r="T179" s="44"/>
      <c r="U179" s="39"/>
      <c r="V179" s="39"/>
    </row>
    <row r="180" spans="1:22" ht="15.75">
      <c r="A180" s="60"/>
      <c r="B180" s="18"/>
      <c r="C180" s="6"/>
      <c r="D180" s="6"/>
      <c r="E18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0" s="39"/>
      <c r="G180" s="42" t="b">
        <v>0</v>
      </c>
      <c r="H180" s="42" t="b">
        <v>0</v>
      </c>
      <c r="I180" s="42" t="b">
        <v>0</v>
      </c>
      <c r="J180" s="42" t="b">
        <v>0</v>
      </c>
      <c r="K180" s="42" t="b">
        <v>0</v>
      </c>
      <c r="L180" s="42" t="b">
        <v>0</v>
      </c>
      <c r="M180" s="42" t="b">
        <v>0</v>
      </c>
      <c r="N180" s="42" t="b">
        <v>0</v>
      </c>
      <c r="O180" s="6"/>
      <c r="P180" s="6"/>
      <c r="Q180" s="6"/>
      <c r="R180" s="43"/>
      <c r="S180" s="43"/>
      <c r="T180" s="44"/>
      <c r="U180" s="39"/>
      <c r="V180" s="39"/>
    </row>
    <row r="181" spans="1:22" ht="15.75">
      <c r="A181" s="60"/>
      <c r="B181" s="18"/>
      <c r="C181" s="6"/>
      <c r="D181" s="6"/>
      <c r="E18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1" s="39"/>
      <c r="G181" s="42" t="b">
        <v>0</v>
      </c>
      <c r="H181" s="42" t="b">
        <v>0</v>
      </c>
      <c r="I181" s="42" t="b">
        <v>0</v>
      </c>
      <c r="J181" s="42" t="b">
        <v>0</v>
      </c>
      <c r="K181" s="42" t="b">
        <v>0</v>
      </c>
      <c r="L181" s="42" t="b">
        <v>0</v>
      </c>
      <c r="M181" s="42" t="b">
        <v>0</v>
      </c>
      <c r="N181" s="42" t="b">
        <v>0</v>
      </c>
      <c r="O181" s="6"/>
      <c r="P181" s="6"/>
      <c r="Q181" s="6"/>
      <c r="R181" s="43"/>
      <c r="S181" s="43"/>
      <c r="T181" s="44"/>
      <c r="U181" s="39"/>
      <c r="V181" s="39"/>
    </row>
    <row r="182" spans="1:22" ht="15.75">
      <c r="A182" s="60"/>
      <c r="B182" s="18"/>
      <c r="C182" s="6"/>
      <c r="D182" s="6"/>
      <c r="E18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2" s="39"/>
      <c r="G182" s="42" t="b">
        <v>0</v>
      </c>
      <c r="H182" s="42" t="b">
        <v>0</v>
      </c>
      <c r="I182" s="42" t="b">
        <v>0</v>
      </c>
      <c r="J182" s="42" t="b">
        <v>0</v>
      </c>
      <c r="K182" s="42" t="b">
        <v>0</v>
      </c>
      <c r="L182" s="42" t="b">
        <v>0</v>
      </c>
      <c r="M182" s="42" t="b">
        <v>0</v>
      </c>
      <c r="N182" s="42" t="b">
        <v>0</v>
      </c>
      <c r="O182" s="6"/>
      <c r="P182" s="6"/>
      <c r="Q182" s="6"/>
      <c r="R182" s="43"/>
      <c r="S182" s="43"/>
      <c r="T182" s="44"/>
      <c r="U182" s="39"/>
      <c r="V182" s="39"/>
    </row>
    <row r="183" spans="1:22" ht="15.75">
      <c r="A183" s="60"/>
      <c r="B183" s="18"/>
      <c r="C183" s="6"/>
      <c r="D183" s="6"/>
      <c r="E18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3" s="39"/>
      <c r="G183" s="42" t="b">
        <v>0</v>
      </c>
      <c r="H183" s="42" t="b">
        <v>0</v>
      </c>
      <c r="I183" s="42" t="b">
        <v>0</v>
      </c>
      <c r="J183" s="42" t="b">
        <v>0</v>
      </c>
      <c r="K183" s="42" t="b">
        <v>0</v>
      </c>
      <c r="L183" s="42" t="b">
        <v>0</v>
      </c>
      <c r="M183" s="42" t="b">
        <v>0</v>
      </c>
      <c r="N183" s="42" t="b">
        <v>0</v>
      </c>
      <c r="O183" s="6"/>
      <c r="P183" s="6"/>
      <c r="Q183" s="6"/>
      <c r="R183" s="43"/>
      <c r="S183" s="43"/>
      <c r="T183" s="44"/>
      <c r="U183" s="39"/>
      <c r="V183" s="39"/>
    </row>
    <row r="184" spans="1:22" ht="15.75">
      <c r="A184" s="60"/>
      <c r="B184" s="18"/>
      <c r="C184" s="6"/>
      <c r="D184" s="6"/>
      <c r="E18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4" s="39"/>
      <c r="G184" s="42" t="b">
        <v>0</v>
      </c>
      <c r="H184" s="42" t="b">
        <v>0</v>
      </c>
      <c r="I184" s="42" t="b">
        <v>0</v>
      </c>
      <c r="J184" s="42" t="b">
        <v>0</v>
      </c>
      <c r="K184" s="42" t="b">
        <v>0</v>
      </c>
      <c r="L184" s="42" t="b">
        <v>0</v>
      </c>
      <c r="M184" s="42" t="b">
        <v>0</v>
      </c>
      <c r="N184" s="42" t="b">
        <v>0</v>
      </c>
      <c r="O184" s="6"/>
      <c r="P184" s="6"/>
      <c r="Q184" s="6"/>
      <c r="R184" s="43"/>
      <c r="S184" s="43"/>
      <c r="T184" s="44"/>
      <c r="U184" s="39"/>
      <c r="V184" s="39"/>
    </row>
    <row r="185" spans="1:22" ht="15.75">
      <c r="A185" s="60"/>
      <c r="B185" s="18"/>
      <c r="C185" s="6"/>
      <c r="D185" s="6"/>
      <c r="E18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5" s="39"/>
      <c r="G185" s="42" t="b">
        <v>0</v>
      </c>
      <c r="H185" s="42" t="b">
        <v>0</v>
      </c>
      <c r="I185" s="42" t="b">
        <v>0</v>
      </c>
      <c r="J185" s="42" t="b">
        <v>0</v>
      </c>
      <c r="K185" s="42" t="b">
        <v>0</v>
      </c>
      <c r="L185" s="42" t="b">
        <v>0</v>
      </c>
      <c r="M185" s="42" t="b">
        <v>0</v>
      </c>
      <c r="N185" s="42" t="b">
        <v>0</v>
      </c>
      <c r="O185" s="6"/>
      <c r="P185" s="6"/>
      <c r="Q185" s="6"/>
      <c r="R185" s="43"/>
      <c r="S185" s="43"/>
      <c r="T185" s="44"/>
      <c r="U185" s="39"/>
      <c r="V185" s="39"/>
    </row>
    <row r="186" spans="1:22" ht="15.75">
      <c r="A186" s="60"/>
      <c r="B186" s="18"/>
      <c r="C186" s="6"/>
      <c r="D186" s="6"/>
      <c r="E18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6" s="39"/>
      <c r="G186" s="42" t="b">
        <v>0</v>
      </c>
      <c r="H186" s="42" t="b">
        <v>0</v>
      </c>
      <c r="I186" s="42" t="b">
        <v>0</v>
      </c>
      <c r="J186" s="42" t="b">
        <v>0</v>
      </c>
      <c r="K186" s="42" t="b">
        <v>0</v>
      </c>
      <c r="L186" s="42" t="b">
        <v>0</v>
      </c>
      <c r="M186" s="42" t="b">
        <v>0</v>
      </c>
      <c r="N186" s="42" t="b">
        <v>0</v>
      </c>
      <c r="O186" s="6"/>
      <c r="P186" s="6"/>
      <c r="Q186" s="6"/>
      <c r="R186" s="43"/>
      <c r="S186" s="43"/>
      <c r="T186" s="44"/>
      <c r="U186" s="39"/>
      <c r="V186" s="39"/>
    </row>
    <row r="187" spans="1:22" ht="15.75">
      <c r="A187" s="60"/>
      <c r="B187" s="18"/>
      <c r="C187" s="6"/>
      <c r="D187" s="6"/>
      <c r="E18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7" s="39"/>
      <c r="G187" s="42" t="b">
        <v>0</v>
      </c>
      <c r="H187" s="42" t="b">
        <v>0</v>
      </c>
      <c r="I187" s="42" t="b">
        <v>0</v>
      </c>
      <c r="J187" s="42" t="b">
        <v>0</v>
      </c>
      <c r="K187" s="42" t="b">
        <v>0</v>
      </c>
      <c r="L187" s="42" t="b">
        <v>0</v>
      </c>
      <c r="M187" s="42" t="b">
        <v>0</v>
      </c>
      <c r="N187" s="42" t="b">
        <v>0</v>
      </c>
      <c r="O187" s="6"/>
      <c r="P187" s="6"/>
      <c r="Q187" s="6"/>
      <c r="R187" s="43"/>
      <c r="S187" s="43"/>
      <c r="T187" s="44"/>
      <c r="U187" s="39"/>
      <c r="V187" s="39"/>
    </row>
    <row r="188" spans="1:22" ht="15.75">
      <c r="A188" s="60"/>
      <c r="B188" s="18"/>
      <c r="C188" s="6"/>
      <c r="D188" s="6"/>
      <c r="E18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8" s="39"/>
      <c r="G188" s="42" t="b">
        <v>0</v>
      </c>
      <c r="H188" s="42" t="b">
        <v>0</v>
      </c>
      <c r="I188" s="42" t="b">
        <v>0</v>
      </c>
      <c r="J188" s="42" t="b">
        <v>0</v>
      </c>
      <c r="K188" s="42" t="b">
        <v>0</v>
      </c>
      <c r="L188" s="42" t="b">
        <v>0</v>
      </c>
      <c r="M188" s="42" t="b">
        <v>0</v>
      </c>
      <c r="N188" s="42" t="b">
        <v>0</v>
      </c>
      <c r="O188" s="6"/>
      <c r="P188" s="6"/>
      <c r="Q188" s="6"/>
      <c r="R188" s="43"/>
      <c r="S188" s="43"/>
      <c r="T188" s="44"/>
      <c r="U188" s="39"/>
      <c r="V188" s="39"/>
    </row>
    <row r="189" spans="1:22" ht="15.75">
      <c r="A189" s="60"/>
      <c r="B189" s="18"/>
      <c r="C189" s="6"/>
      <c r="D189" s="6"/>
      <c r="E18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89" s="39"/>
      <c r="G189" s="42" t="b">
        <v>0</v>
      </c>
      <c r="H189" s="42" t="b">
        <v>0</v>
      </c>
      <c r="I189" s="42" t="b">
        <v>0</v>
      </c>
      <c r="J189" s="42" t="b">
        <v>0</v>
      </c>
      <c r="K189" s="42" t="b">
        <v>0</v>
      </c>
      <c r="L189" s="42" t="b">
        <v>0</v>
      </c>
      <c r="M189" s="42" t="b">
        <v>0</v>
      </c>
      <c r="N189" s="42" t="b">
        <v>0</v>
      </c>
      <c r="O189" s="6"/>
      <c r="P189" s="6"/>
      <c r="Q189" s="6"/>
      <c r="R189" s="43"/>
      <c r="S189" s="43"/>
      <c r="T189" s="44"/>
      <c r="U189" s="39"/>
      <c r="V189" s="39"/>
    </row>
    <row r="190" spans="1:22" ht="15.75">
      <c r="A190" s="60"/>
      <c r="B190" s="18"/>
      <c r="C190" s="6"/>
      <c r="D190" s="6"/>
      <c r="E19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0" s="39"/>
      <c r="G190" s="42" t="b">
        <v>0</v>
      </c>
      <c r="H190" s="42" t="b">
        <v>0</v>
      </c>
      <c r="I190" s="42" t="b">
        <v>0</v>
      </c>
      <c r="J190" s="42" t="b">
        <v>0</v>
      </c>
      <c r="K190" s="42" t="b">
        <v>0</v>
      </c>
      <c r="L190" s="42" t="b">
        <v>0</v>
      </c>
      <c r="M190" s="42" t="b">
        <v>0</v>
      </c>
      <c r="N190" s="42" t="b">
        <v>0</v>
      </c>
      <c r="O190" s="6"/>
      <c r="P190" s="6"/>
      <c r="Q190" s="6"/>
      <c r="R190" s="43"/>
      <c r="S190" s="43"/>
      <c r="T190" s="44"/>
      <c r="U190" s="39"/>
      <c r="V190" s="39"/>
    </row>
    <row r="191" spans="1:22" ht="15.75">
      <c r="A191" s="60"/>
      <c r="B191" s="18"/>
      <c r="C191" s="6"/>
      <c r="D191" s="6"/>
      <c r="E19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1" s="39"/>
      <c r="G191" s="42" t="b">
        <v>0</v>
      </c>
      <c r="H191" s="42" t="b">
        <v>0</v>
      </c>
      <c r="I191" s="42" t="b">
        <v>0</v>
      </c>
      <c r="J191" s="42" t="b">
        <v>0</v>
      </c>
      <c r="K191" s="42" t="b">
        <v>0</v>
      </c>
      <c r="L191" s="42" t="b">
        <v>0</v>
      </c>
      <c r="M191" s="42" t="b">
        <v>0</v>
      </c>
      <c r="N191" s="42" t="b">
        <v>0</v>
      </c>
      <c r="O191" s="6"/>
      <c r="P191" s="6"/>
      <c r="Q191" s="6"/>
      <c r="R191" s="43"/>
      <c r="S191" s="43"/>
      <c r="T191" s="44"/>
      <c r="U191" s="39"/>
      <c r="V191" s="39"/>
    </row>
    <row r="192" spans="1:22" ht="15.75">
      <c r="A192" s="60"/>
      <c r="B192" s="18"/>
      <c r="C192" s="6"/>
      <c r="D192" s="6"/>
      <c r="E19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2" s="39"/>
      <c r="G192" s="42" t="b">
        <v>0</v>
      </c>
      <c r="H192" s="42" t="b">
        <v>0</v>
      </c>
      <c r="I192" s="42" t="b">
        <v>0</v>
      </c>
      <c r="J192" s="42" t="b">
        <v>0</v>
      </c>
      <c r="K192" s="42" t="b">
        <v>0</v>
      </c>
      <c r="L192" s="42" t="b">
        <v>0</v>
      </c>
      <c r="M192" s="42" t="b">
        <v>0</v>
      </c>
      <c r="N192" s="42" t="b">
        <v>0</v>
      </c>
      <c r="O192" s="6"/>
      <c r="P192" s="6"/>
      <c r="Q192" s="6"/>
      <c r="R192" s="43"/>
      <c r="S192" s="43"/>
      <c r="T192" s="44"/>
      <c r="U192" s="39"/>
      <c r="V192" s="39"/>
    </row>
    <row r="193" spans="1:22" ht="15.75">
      <c r="A193" s="60"/>
      <c r="B193" s="18"/>
      <c r="C193" s="6"/>
      <c r="D193" s="6"/>
      <c r="E19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3" s="39"/>
      <c r="G193" s="42" t="b">
        <v>0</v>
      </c>
      <c r="H193" s="42" t="b">
        <v>0</v>
      </c>
      <c r="I193" s="42" t="b">
        <v>0</v>
      </c>
      <c r="J193" s="42" t="b">
        <v>0</v>
      </c>
      <c r="K193" s="42" t="b">
        <v>0</v>
      </c>
      <c r="L193" s="42" t="b">
        <v>0</v>
      </c>
      <c r="M193" s="42" t="b">
        <v>0</v>
      </c>
      <c r="N193" s="42" t="b">
        <v>0</v>
      </c>
      <c r="O193" s="6"/>
      <c r="P193" s="6"/>
      <c r="Q193" s="6"/>
      <c r="R193" s="43"/>
      <c r="S193" s="43"/>
      <c r="T193" s="44"/>
      <c r="U193" s="39"/>
      <c r="V193" s="39"/>
    </row>
    <row r="194" spans="1:22" ht="15.75">
      <c r="A194" s="60"/>
      <c r="B194" s="18"/>
      <c r="C194" s="6"/>
      <c r="D194" s="6"/>
      <c r="E19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4" s="39"/>
      <c r="G194" s="42" t="b">
        <v>0</v>
      </c>
      <c r="H194" s="42" t="b">
        <v>0</v>
      </c>
      <c r="I194" s="42" t="b">
        <v>0</v>
      </c>
      <c r="J194" s="42" t="b">
        <v>0</v>
      </c>
      <c r="K194" s="42" t="b">
        <v>0</v>
      </c>
      <c r="L194" s="42" t="b">
        <v>0</v>
      </c>
      <c r="M194" s="42" t="b">
        <v>0</v>
      </c>
      <c r="N194" s="42" t="b">
        <v>0</v>
      </c>
      <c r="O194" s="6"/>
      <c r="P194" s="6"/>
      <c r="Q194" s="6"/>
      <c r="R194" s="43"/>
      <c r="S194" s="43"/>
      <c r="T194" s="44"/>
      <c r="U194" s="39"/>
      <c r="V194" s="39"/>
    </row>
    <row r="195" spans="1:22" ht="15.75">
      <c r="A195" s="60"/>
      <c r="B195" s="18"/>
      <c r="C195" s="6"/>
      <c r="D195" s="6"/>
      <c r="E19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5" s="39"/>
      <c r="G195" s="42" t="b">
        <v>0</v>
      </c>
      <c r="H195" s="42" t="b">
        <v>0</v>
      </c>
      <c r="I195" s="42" t="b">
        <v>0</v>
      </c>
      <c r="J195" s="42" t="b">
        <v>0</v>
      </c>
      <c r="K195" s="42" t="b">
        <v>0</v>
      </c>
      <c r="L195" s="42" t="b">
        <v>0</v>
      </c>
      <c r="M195" s="42" t="b">
        <v>0</v>
      </c>
      <c r="N195" s="42" t="b">
        <v>0</v>
      </c>
      <c r="O195" s="6"/>
      <c r="P195" s="6"/>
      <c r="Q195" s="6"/>
      <c r="R195" s="43"/>
      <c r="S195" s="43"/>
      <c r="T195" s="44"/>
      <c r="U195" s="39"/>
      <c r="V195" s="39"/>
    </row>
    <row r="196" spans="1:22" ht="15.75">
      <c r="A196" s="60"/>
      <c r="B196" s="18"/>
      <c r="C196" s="6"/>
      <c r="D196" s="6"/>
      <c r="E196"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6" s="39"/>
      <c r="G196" s="42" t="b">
        <v>0</v>
      </c>
      <c r="H196" s="42" t="b">
        <v>0</v>
      </c>
      <c r="I196" s="42" t="b">
        <v>0</v>
      </c>
      <c r="J196" s="42" t="b">
        <v>0</v>
      </c>
      <c r="K196" s="42" t="b">
        <v>0</v>
      </c>
      <c r="L196" s="42" t="b">
        <v>0</v>
      </c>
      <c r="M196" s="42" t="b">
        <v>0</v>
      </c>
      <c r="N196" s="42" t="b">
        <v>0</v>
      </c>
      <c r="O196" s="6"/>
      <c r="P196" s="6"/>
      <c r="Q196" s="6"/>
      <c r="R196" s="43"/>
      <c r="S196" s="43"/>
      <c r="T196" s="44"/>
      <c r="U196" s="39"/>
      <c r="V196" s="39"/>
    </row>
    <row r="197" spans="1:22" ht="15.75">
      <c r="A197" s="60"/>
      <c r="B197" s="18"/>
      <c r="C197" s="6"/>
      <c r="D197" s="6"/>
      <c r="E197"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7" s="39"/>
      <c r="G197" s="42" t="b">
        <v>0</v>
      </c>
      <c r="H197" s="42" t="b">
        <v>0</v>
      </c>
      <c r="I197" s="42" t="b">
        <v>0</v>
      </c>
      <c r="J197" s="42" t="b">
        <v>0</v>
      </c>
      <c r="K197" s="42" t="b">
        <v>0</v>
      </c>
      <c r="L197" s="42" t="b">
        <v>0</v>
      </c>
      <c r="M197" s="42" t="b">
        <v>0</v>
      </c>
      <c r="N197" s="42" t="b">
        <v>0</v>
      </c>
      <c r="O197" s="6"/>
      <c r="P197" s="6"/>
      <c r="Q197" s="6"/>
      <c r="R197" s="43"/>
      <c r="S197" s="43"/>
      <c r="T197" s="44"/>
      <c r="U197" s="39"/>
      <c r="V197" s="39"/>
    </row>
    <row r="198" spans="1:22" ht="15.75">
      <c r="A198" s="60"/>
      <c r="B198" s="18"/>
      <c r="C198" s="6"/>
      <c r="D198" s="6"/>
      <c r="E198"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8" s="39"/>
      <c r="G198" s="42" t="b">
        <v>0</v>
      </c>
      <c r="H198" s="42" t="b">
        <v>0</v>
      </c>
      <c r="I198" s="42" t="b">
        <v>0</v>
      </c>
      <c r="J198" s="42" t="b">
        <v>0</v>
      </c>
      <c r="K198" s="42" t="b">
        <v>0</v>
      </c>
      <c r="L198" s="42" t="b">
        <v>0</v>
      </c>
      <c r="M198" s="42" t="b">
        <v>0</v>
      </c>
      <c r="N198" s="42" t="b">
        <v>0</v>
      </c>
      <c r="O198" s="6"/>
      <c r="P198" s="6"/>
      <c r="Q198" s="6"/>
      <c r="R198" s="43"/>
      <c r="S198" s="43"/>
      <c r="T198" s="44"/>
      <c r="U198" s="39"/>
      <c r="V198" s="39"/>
    </row>
    <row r="199" spans="1:22" ht="15.75">
      <c r="A199" s="60"/>
      <c r="B199" s="18"/>
      <c r="C199" s="6"/>
      <c r="D199" s="6"/>
      <c r="E199"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199" s="39"/>
      <c r="G199" s="42" t="b">
        <v>0</v>
      </c>
      <c r="H199" s="42" t="b">
        <v>0</v>
      </c>
      <c r="I199" s="42" t="b">
        <v>0</v>
      </c>
      <c r="J199" s="42" t="b">
        <v>0</v>
      </c>
      <c r="K199" s="42" t="b">
        <v>0</v>
      </c>
      <c r="L199" s="42" t="b">
        <v>0</v>
      </c>
      <c r="M199" s="42" t="b">
        <v>0</v>
      </c>
      <c r="N199" s="42" t="b">
        <v>0</v>
      </c>
      <c r="O199" s="6"/>
      <c r="P199" s="6"/>
      <c r="Q199" s="6"/>
      <c r="R199" s="43"/>
      <c r="S199" s="43"/>
      <c r="T199" s="44"/>
      <c r="U199" s="39"/>
      <c r="V199" s="39"/>
    </row>
    <row r="200" spans="1:22" ht="15.75">
      <c r="A200" s="60"/>
      <c r="B200" s="18"/>
      <c r="C200" s="6"/>
      <c r="D200" s="6"/>
      <c r="E200"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0" s="39"/>
      <c r="G200" s="42" t="b">
        <v>0</v>
      </c>
      <c r="H200" s="42" t="b">
        <v>0</v>
      </c>
      <c r="I200" s="42" t="b">
        <v>0</v>
      </c>
      <c r="J200" s="42" t="b">
        <v>0</v>
      </c>
      <c r="K200" s="42" t="b">
        <v>0</v>
      </c>
      <c r="L200" s="42" t="b">
        <v>0</v>
      </c>
      <c r="M200" s="42" t="b">
        <v>0</v>
      </c>
      <c r="N200" s="42" t="b">
        <v>0</v>
      </c>
      <c r="O200" s="6"/>
      <c r="P200" s="6"/>
      <c r="Q200" s="6"/>
      <c r="R200" s="43"/>
      <c r="S200" s="43"/>
      <c r="T200" s="44"/>
      <c r="U200" s="39"/>
      <c r="V200" s="39"/>
    </row>
    <row r="201" spans="1:22" ht="15.75">
      <c r="A201" s="60"/>
      <c r="B201" s="18"/>
      <c r="C201" s="6"/>
      <c r="D201" s="6"/>
      <c r="E201"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1" s="39"/>
      <c r="G201" s="42" t="b">
        <v>0</v>
      </c>
      <c r="H201" s="42" t="b">
        <v>0</v>
      </c>
      <c r="I201" s="42" t="b">
        <v>0</v>
      </c>
      <c r="J201" s="42" t="b">
        <v>0</v>
      </c>
      <c r="K201" s="42" t="b">
        <v>0</v>
      </c>
      <c r="L201" s="42" t="b">
        <v>0</v>
      </c>
      <c r="M201" s="42" t="b">
        <v>0</v>
      </c>
      <c r="N201" s="42" t="b">
        <v>0</v>
      </c>
      <c r="O201" s="6"/>
      <c r="P201" s="6"/>
      <c r="Q201" s="6"/>
      <c r="R201" s="43"/>
      <c r="S201" s="43"/>
      <c r="T201" s="44"/>
      <c r="U201" s="39"/>
      <c r="V201" s="39"/>
    </row>
    <row r="202" spans="1:22" ht="15.75">
      <c r="A202" s="60"/>
      <c r="B202" s="18"/>
      <c r="C202" s="6"/>
      <c r="D202" s="6"/>
      <c r="E202"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2" s="39"/>
      <c r="G202" s="42" t="b">
        <v>0</v>
      </c>
      <c r="H202" s="42" t="b">
        <v>0</v>
      </c>
      <c r="I202" s="42" t="b">
        <v>0</v>
      </c>
      <c r="J202" s="42" t="b">
        <v>0</v>
      </c>
      <c r="K202" s="42" t="b">
        <v>0</v>
      </c>
      <c r="L202" s="42" t="b">
        <v>0</v>
      </c>
      <c r="M202" s="42" t="b">
        <v>0</v>
      </c>
      <c r="N202" s="42" t="b">
        <v>0</v>
      </c>
      <c r="O202" s="6"/>
      <c r="P202" s="6"/>
      <c r="Q202" s="6"/>
      <c r="R202" s="43"/>
      <c r="S202" s="43"/>
      <c r="T202" s="44"/>
      <c r="U202" s="39"/>
      <c r="V202" s="39"/>
    </row>
    <row r="203" spans="1:22" ht="15.75">
      <c r="A203" s="60"/>
      <c r="B203" s="18"/>
      <c r="C203" s="6"/>
      <c r="D203" s="6"/>
      <c r="E203"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3" s="39"/>
      <c r="G203" s="42" t="b">
        <v>0</v>
      </c>
      <c r="H203" s="42" t="b">
        <v>0</v>
      </c>
      <c r="I203" s="42" t="b">
        <v>0</v>
      </c>
      <c r="J203" s="42" t="b">
        <v>0</v>
      </c>
      <c r="K203" s="42" t="b">
        <v>0</v>
      </c>
      <c r="L203" s="42" t="b">
        <v>0</v>
      </c>
      <c r="M203" s="42" t="b">
        <v>0</v>
      </c>
      <c r="N203" s="42" t="b">
        <v>0</v>
      </c>
      <c r="O203" s="6"/>
      <c r="P203" s="6"/>
      <c r="Q203" s="6"/>
      <c r="R203" s="43"/>
      <c r="S203" s="43"/>
      <c r="T203" s="44"/>
      <c r="U203" s="39"/>
      <c r="V203" s="39"/>
    </row>
    <row r="204" spans="1:22" ht="15.75">
      <c r="A204" s="60"/>
      <c r="B204" s="18"/>
      <c r="C204" s="6"/>
      <c r="D204" s="6"/>
      <c r="E204"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4" s="39"/>
      <c r="G204" s="42" t="b">
        <v>0</v>
      </c>
      <c r="H204" s="42" t="b">
        <v>0</v>
      </c>
      <c r="I204" s="42" t="b">
        <v>0</v>
      </c>
      <c r="J204" s="42" t="b">
        <v>0</v>
      </c>
      <c r="K204" s="42" t="b">
        <v>0</v>
      </c>
      <c r="L204" s="42" t="b">
        <v>0</v>
      </c>
      <c r="M204" s="42" t="b">
        <v>0</v>
      </c>
      <c r="N204" s="42" t="b">
        <v>0</v>
      </c>
      <c r="O204" s="6"/>
      <c r="P204" s="6"/>
      <c r="Q204" s="6"/>
      <c r="R204" s="43"/>
      <c r="S204" s="43"/>
      <c r="T204" s="44"/>
      <c r="U204" s="39"/>
      <c r="V204" s="39"/>
    </row>
    <row r="205" spans="1:22" ht="15.75">
      <c r="A205" s="60"/>
      <c r="B205" s="18"/>
      <c r="C205" s="6"/>
      <c r="D205" s="6"/>
      <c r="E205" s="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checked","Done: "&amp;_xlpm.checked)))</f>
        <v/>
      </c>
      <c r="F205" s="39"/>
      <c r="G205" s="42" t="b">
        <v>0</v>
      </c>
      <c r="H205" s="42" t="b">
        <v>0</v>
      </c>
      <c r="I205" s="42" t="b">
        <v>0</v>
      </c>
      <c r="J205" s="42" t="b">
        <v>0</v>
      </c>
      <c r="K205" s="42" t="b">
        <v>0</v>
      </c>
      <c r="L205" s="42" t="b">
        <v>0</v>
      </c>
      <c r="M205" s="42" t="b">
        <v>0</v>
      </c>
      <c r="N205" s="42" t="b">
        <v>0</v>
      </c>
      <c r="O205" s="6"/>
      <c r="P205" s="6"/>
      <c r="Q205" s="6"/>
      <c r="R205" s="43"/>
      <c r="S205" s="43"/>
      <c r="T205" s="44"/>
      <c r="U205" s="39"/>
      <c r="V205" s="39"/>
    </row>
    <row r="206" spans="1:22">
      <c r="A206" s="62"/>
    </row>
    <row r="207" spans="1:22">
      <c r="A207" s="62"/>
    </row>
    <row r="208" spans="1:22">
      <c r="A208" s="62"/>
    </row>
    <row r="209" spans="1:1">
      <c r="A209" s="62"/>
    </row>
    <row r="210" spans="1:1">
      <c r="A210" s="62"/>
    </row>
    <row r="211" spans="1:1">
      <c r="A211" s="62"/>
    </row>
    <row r="212" spans="1:1">
      <c r="A212" s="62"/>
    </row>
    <row r="213" spans="1:1">
      <c r="A213" s="62"/>
    </row>
    <row r="214" spans="1:1">
      <c r="A214" s="62"/>
    </row>
    <row r="215" spans="1:1">
      <c r="A215" s="62"/>
    </row>
    <row r="216" spans="1:1">
      <c r="A216" s="62"/>
    </row>
    <row r="217" spans="1:1">
      <c r="A217" s="62"/>
    </row>
    <row r="218" spans="1:1">
      <c r="A218" s="62"/>
    </row>
    <row r="219" spans="1:1">
      <c r="A219" s="62"/>
    </row>
    <row r="220" spans="1:1">
      <c r="A220" s="62"/>
    </row>
    <row r="221" spans="1:1">
      <c r="A221" s="62"/>
    </row>
    <row r="222" spans="1:1">
      <c r="A222" s="62"/>
    </row>
    <row r="223" spans="1:1">
      <c r="A223" s="62"/>
    </row>
    <row r="224" spans="1:1">
      <c r="A224" s="62"/>
    </row>
    <row r="225" spans="1:1">
      <c r="A225" s="62"/>
    </row>
    <row r="226" spans="1:1">
      <c r="A226" s="62"/>
    </row>
    <row r="227" spans="1:1">
      <c r="A227" s="62"/>
    </row>
    <row r="228" spans="1:1">
      <c r="A228" s="62"/>
    </row>
    <row r="229" spans="1:1">
      <c r="A229" s="62"/>
    </row>
    <row r="230" spans="1:1">
      <c r="A230" s="62"/>
    </row>
    <row r="231" spans="1:1">
      <c r="A231" s="62"/>
    </row>
    <row r="232" spans="1:1">
      <c r="A232" s="62"/>
    </row>
    <row r="233" spans="1:1">
      <c r="A233" s="62"/>
    </row>
    <row r="234" spans="1:1">
      <c r="A234" s="62"/>
    </row>
    <row r="235" spans="1:1">
      <c r="A235" s="62"/>
    </row>
    <row r="236" spans="1:1">
      <c r="A236" s="62"/>
    </row>
    <row r="237" spans="1:1">
      <c r="A237" s="62"/>
    </row>
    <row r="238" spans="1:1">
      <c r="A238" s="62"/>
    </row>
    <row r="239" spans="1:1">
      <c r="A239" s="62"/>
    </row>
    <row r="240" spans="1:1">
      <c r="A240" s="62"/>
    </row>
    <row r="241" spans="1:1">
      <c r="A241" s="62"/>
    </row>
    <row r="242" spans="1:1">
      <c r="A242" s="62"/>
    </row>
    <row r="243" spans="1:1">
      <c r="A243" s="62"/>
    </row>
    <row r="244" spans="1:1">
      <c r="A244" s="62"/>
    </row>
    <row r="245" spans="1:1">
      <c r="A245" s="62"/>
    </row>
    <row r="246" spans="1:1">
      <c r="A246" s="62"/>
    </row>
    <row r="247" spans="1:1">
      <c r="A247" s="62"/>
    </row>
    <row r="248" spans="1:1">
      <c r="A248" s="62"/>
    </row>
    <row r="249" spans="1:1">
      <c r="A249" s="62"/>
    </row>
    <row r="250" spans="1:1">
      <c r="A250" s="62"/>
    </row>
    <row r="251" spans="1:1">
      <c r="A251" s="62"/>
    </row>
    <row r="252" spans="1:1">
      <c r="A252" s="62"/>
    </row>
    <row r="253" spans="1:1">
      <c r="A253" s="62"/>
    </row>
    <row r="254" spans="1:1">
      <c r="A254" s="62"/>
    </row>
    <row r="255" spans="1:1">
      <c r="A255" s="62"/>
    </row>
    <row r="256" spans="1:1">
      <c r="A256" s="62"/>
    </row>
    <row r="257" spans="1:1">
      <c r="A257" s="62"/>
    </row>
    <row r="258" spans="1:1">
      <c r="A258" s="62"/>
    </row>
    <row r="259" spans="1:1">
      <c r="A259" s="62"/>
    </row>
    <row r="260" spans="1:1">
      <c r="A260" s="62"/>
    </row>
    <row r="261" spans="1:1">
      <c r="A261" s="62"/>
    </row>
    <row r="262" spans="1:1">
      <c r="A262" s="62"/>
    </row>
    <row r="263" spans="1:1">
      <c r="A263" s="62"/>
    </row>
    <row r="264" spans="1:1">
      <c r="A264" s="62"/>
    </row>
    <row r="265" spans="1:1">
      <c r="A265" s="62"/>
    </row>
    <row r="266" spans="1:1">
      <c r="A266" s="62"/>
    </row>
    <row r="267" spans="1:1">
      <c r="A267" s="62"/>
    </row>
    <row r="268" spans="1:1">
      <c r="A268" s="62"/>
    </row>
    <row r="269" spans="1:1">
      <c r="A269" s="62"/>
    </row>
    <row r="270" spans="1:1">
      <c r="A270" s="62"/>
    </row>
    <row r="271" spans="1:1">
      <c r="A271" s="62"/>
    </row>
    <row r="272" spans="1:1">
      <c r="A272" s="62"/>
    </row>
    <row r="273" spans="1:1">
      <c r="A273" s="62"/>
    </row>
    <row r="274" spans="1:1">
      <c r="A274" s="62"/>
    </row>
    <row r="275" spans="1:1">
      <c r="A275" s="62"/>
    </row>
    <row r="276" spans="1:1">
      <c r="A276" s="62"/>
    </row>
    <row r="277" spans="1:1">
      <c r="A277" s="62"/>
    </row>
    <row r="278" spans="1:1">
      <c r="A278" s="62"/>
    </row>
    <row r="279" spans="1:1">
      <c r="A279" s="62"/>
    </row>
    <row r="280" spans="1:1">
      <c r="A280" s="62"/>
    </row>
    <row r="281" spans="1:1">
      <c r="A281" s="62"/>
    </row>
    <row r="282" spans="1:1">
      <c r="A282" s="62"/>
    </row>
    <row r="283" spans="1:1">
      <c r="A283" s="62"/>
    </row>
    <row r="284" spans="1:1">
      <c r="A284" s="62"/>
    </row>
    <row r="285" spans="1:1">
      <c r="A285" s="62"/>
    </row>
    <row r="286" spans="1:1">
      <c r="A286" s="62"/>
    </row>
    <row r="287" spans="1:1">
      <c r="A287" s="62"/>
    </row>
    <row r="288" spans="1:1">
      <c r="A288" s="62"/>
    </row>
    <row r="289" spans="1:1">
      <c r="A289" s="62"/>
    </row>
    <row r="290" spans="1:1">
      <c r="A290" s="62"/>
    </row>
    <row r="291" spans="1:1">
      <c r="A291" s="62"/>
    </row>
    <row r="292" spans="1:1">
      <c r="A292" s="62"/>
    </row>
    <row r="293" spans="1:1">
      <c r="A293" s="62"/>
    </row>
    <row r="294" spans="1:1">
      <c r="A294" s="62"/>
    </row>
    <row r="295" spans="1:1">
      <c r="A295" s="62"/>
    </row>
    <row r="296" spans="1:1">
      <c r="A296" s="62"/>
    </row>
    <row r="297" spans="1:1">
      <c r="A297" s="62"/>
    </row>
    <row r="298" spans="1:1">
      <c r="A298" s="62"/>
    </row>
    <row r="299" spans="1:1">
      <c r="A299" s="62"/>
    </row>
    <row r="300" spans="1:1">
      <c r="A300" s="62"/>
    </row>
    <row r="301" spans="1:1">
      <c r="A301" s="62"/>
    </row>
    <row r="302" spans="1:1">
      <c r="A302" s="62"/>
    </row>
    <row r="303" spans="1:1">
      <c r="A303" s="62"/>
    </row>
    <row r="304" spans="1:1">
      <c r="A304" s="62"/>
    </row>
    <row r="305" spans="1:1">
      <c r="A305" s="62"/>
    </row>
    <row r="306" spans="1:1">
      <c r="A306" s="62"/>
    </row>
    <row r="307" spans="1:1">
      <c r="A307" s="62"/>
    </row>
    <row r="308" spans="1:1">
      <c r="A308" s="62"/>
    </row>
    <row r="309" spans="1:1">
      <c r="A309" s="62"/>
    </row>
    <row r="310" spans="1:1">
      <c r="A310" s="62"/>
    </row>
    <row r="311" spans="1:1">
      <c r="A311" s="62"/>
    </row>
    <row r="312" spans="1:1">
      <c r="A312" s="62"/>
    </row>
    <row r="313" spans="1:1">
      <c r="A313" s="62"/>
    </row>
    <row r="314" spans="1:1">
      <c r="A314" s="62"/>
    </row>
    <row r="315" spans="1:1">
      <c r="A315" s="62"/>
    </row>
    <row r="316" spans="1:1">
      <c r="A316" s="62"/>
    </row>
    <row r="317" spans="1:1">
      <c r="A317" s="62"/>
    </row>
    <row r="318" spans="1:1">
      <c r="A318" s="62"/>
    </row>
    <row r="319" spans="1:1">
      <c r="A319" s="62"/>
    </row>
    <row r="320" spans="1:1">
      <c r="A320" s="62"/>
    </row>
    <row r="321" spans="1:1">
      <c r="A321" s="62"/>
    </row>
    <row r="322" spans="1:1">
      <c r="A322" s="62"/>
    </row>
    <row r="323" spans="1:1">
      <c r="A323" s="62"/>
    </row>
    <row r="324" spans="1:1">
      <c r="A324" s="62"/>
    </row>
    <row r="325" spans="1:1">
      <c r="A325" s="62"/>
    </row>
    <row r="326" spans="1:1">
      <c r="A326" s="62"/>
    </row>
    <row r="327" spans="1:1">
      <c r="A327" s="62"/>
    </row>
    <row r="328" spans="1:1">
      <c r="A328" s="62"/>
    </row>
    <row r="329" spans="1:1">
      <c r="A329" s="62"/>
    </row>
    <row r="330" spans="1:1">
      <c r="A330" s="62"/>
    </row>
    <row r="331" spans="1:1">
      <c r="A331" s="62"/>
    </row>
    <row r="332" spans="1:1">
      <c r="A332" s="62"/>
    </row>
    <row r="333" spans="1:1">
      <c r="A333" s="62"/>
    </row>
    <row r="334" spans="1:1">
      <c r="A334" s="62"/>
    </row>
    <row r="335" spans="1:1">
      <c r="A335" s="62"/>
    </row>
    <row r="336" spans="1:1">
      <c r="A336" s="62"/>
    </row>
    <row r="337" spans="1:1">
      <c r="A337" s="62"/>
    </row>
    <row r="338" spans="1:1">
      <c r="A338" s="62"/>
    </row>
    <row r="339" spans="1:1">
      <c r="A339" s="62"/>
    </row>
    <row r="340" spans="1:1">
      <c r="A340" s="62"/>
    </row>
    <row r="341" spans="1:1">
      <c r="A341" s="62"/>
    </row>
    <row r="342" spans="1:1">
      <c r="A342" s="62"/>
    </row>
    <row r="343" spans="1:1">
      <c r="A343" s="62"/>
    </row>
    <row r="344" spans="1:1">
      <c r="A344" s="62"/>
    </row>
    <row r="345" spans="1:1">
      <c r="A345" s="62"/>
    </row>
    <row r="346" spans="1:1">
      <c r="A346" s="62"/>
    </row>
    <row r="347" spans="1:1">
      <c r="A347" s="62"/>
    </row>
    <row r="348" spans="1:1">
      <c r="A348" s="62"/>
    </row>
    <row r="349" spans="1:1">
      <c r="A349" s="62"/>
    </row>
    <row r="350" spans="1:1">
      <c r="A350" s="62"/>
    </row>
    <row r="351" spans="1:1">
      <c r="A351" s="62"/>
    </row>
    <row r="352" spans="1:1">
      <c r="A352" s="62"/>
    </row>
    <row r="353" spans="1:1">
      <c r="A353" s="62"/>
    </row>
    <row r="354" spans="1:1">
      <c r="A354" s="62"/>
    </row>
    <row r="355" spans="1:1">
      <c r="A355" s="62"/>
    </row>
    <row r="356" spans="1:1">
      <c r="A356" s="62"/>
    </row>
    <row r="357" spans="1:1">
      <c r="A357" s="62"/>
    </row>
    <row r="358" spans="1:1">
      <c r="A358" s="62"/>
    </row>
    <row r="359" spans="1:1">
      <c r="A359" s="62"/>
    </row>
    <row r="360" spans="1:1">
      <c r="A360" s="62"/>
    </row>
    <row r="361" spans="1:1">
      <c r="A361" s="62"/>
    </row>
    <row r="362" spans="1:1">
      <c r="A362" s="62"/>
    </row>
    <row r="363" spans="1:1">
      <c r="A363" s="62"/>
    </row>
    <row r="364" spans="1:1">
      <c r="A364" s="62"/>
    </row>
    <row r="365" spans="1:1">
      <c r="A365" s="62"/>
    </row>
    <row r="366" spans="1:1">
      <c r="A366" s="62"/>
    </row>
    <row r="367" spans="1:1">
      <c r="A367" s="62"/>
    </row>
    <row r="368" spans="1:1">
      <c r="A368" s="62"/>
    </row>
    <row r="369" spans="1:1">
      <c r="A369" s="62"/>
    </row>
    <row r="370" spans="1:1">
      <c r="A370" s="62"/>
    </row>
    <row r="371" spans="1:1">
      <c r="A371" s="62"/>
    </row>
    <row r="372" spans="1:1">
      <c r="A372" s="62"/>
    </row>
    <row r="373" spans="1:1">
      <c r="A373" s="62"/>
    </row>
    <row r="374" spans="1:1">
      <c r="A374" s="62"/>
    </row>
    <row r="375" spans="1:1">
      <c r="A375" s="62"/>
    </row>
    <row r="376" spans="1:1">
      <c r="A376" s="62"/>
    </row>
    <row r="377" spans="1:1">
      <c r="A377" s="62"/>
    </row>
    <row r="378" spans="1:1">
      <c r="A378" s="62"/>
    </row>
    <row r="379" spans="1:1">
      <c r="A379" s="62"/>
    </row>
    <row r="380" spans="1:1">
      <c r="A380" s="62"/>
    </row>
    <row r="381" spans="1:1">
      <c r="A381" s="62"/>
    </row>
    <row r="382" spans="1:1">
      <c r="A382" s="62"/>
    </row>
    <row r="383" spans="1:1">
      <c r="A383" s="62"/>
    </row>
    <row r="384" spans="1:1">
      <c r="A384" s="62"/>
    </row>
    <row r="385" spans="1:1">
      <c r="A385" s="62"/>
    </row>
    <row r="386" spans="1:1">
      <c r="A386" s="62"/>
    </row>
    <row r="387" spans="1:1">
      <c r="A387" s="62"/>
    </row>
    <row r="388" spans="1:1">
      <c r="A388" s="62"/>
    </row>
    <row r="389" spans="1:1">
      <c r="A389" s="62"/>
    </row>
    <row r="390" spans="1:1">
      <c r="A390" s="62"/>
    </row>
    <row r="391" spans="1:1">
      <c r="A391" s="62"/>
    </row>
    <row r="392" spans="1:1">
      <c r="A392" s="62"/>
    </row>
    <row r="393" spans="1:1">
      <c r="A393" s="62"/>
    </row>
    <row r="394" spans="1:1">
      <c r="A394" s="62"/>
    </row>
    <row r="395" spans="1:1">
      <c r="A395" s="62"/>
    </row>
    <row r="396" spans="1:1">
      <c r="A396" s="62"/>
    </row>
    <row r="397" spans="1:1">
      <c r="A397" s="62"/>
    </row>
    <row r="398" spans="1:1">
      <c r="A398" s="62"/>
    </row>
    <row r="399" spans="1:1">
      <c r="A399" s="62"/>
    </row>
    <row r="400" spans="1:1">
      <c r="A400" s="62"/>
    </row>
    <row r="401" spans="1:1">
      <c r="A401" s="62"/>
    </row>
    <row r="402" spans="1:1">
      <c r="A402" s="62"/>
    </row>
    <row r="403" spans="1:1">
      <c r="A403" s="62"/>
    </row>
    <row r="404" spans="1:1">
      <c r="A404" s="62"/>
    </row>
    <row r="405" spans="1:1">
      <c r="A405" s="62"/>
    </row>
    <row r="406" spans="1:1">
      <c r="A406" s="62"/>
    </row>
    <row r="407" spans="1:1">
      <c r="A407" s="62"/>
    </row>
    <row r="408" spans="1:1">
      <c r="A408" s="62"/>
    </row>
    <row r="409" spans="1:1">
      <c r="A409" s="62"/>
    </row>
    <row r="410" spans="1:1">
      <c r="A410" s="62"/>
    </row>
    <row r="411" spans="1:1">
      <c r="A411" s="62"/>
    </row>
    <row r="412" spans="1:1">
      <c r="A412" s="62"/>
    </row>
    <row r="413" spans="1:1">
      <c r="A413" s="62"/>
    </row>
    <row r="414" spans="1:1">
      <c r="A414" s="62"/>
    </row>
    <row r="415" spans="1:1">
      <c r="A415" s="62"/>
    </row>
    <row r="416" spans="1:1">
      <c r="A416" s="62"/>
    </row>
    <row r="417" spans="1:1">
      <c r="A417" s="62"/>
    </row>
    <row r="418" spans="1:1">
      <c r="A418" s="62"/>
    </row>
    <row r="419" spans="1:1">
      <c r="A419" s="62"/>
    </row>
    <row r="420" spans="1:1">
      <c r="A420" s="62"/>
    </row>
    <row r="421" spans="1:1">
      <c r="A421" s="62"/>
    </row>
    <row r="422" spans="1:1">
      <c r="A422" s="62"/>
    </row>
    <row r="423" spans="1:1">
      <c r="A423" s="62"/>
    </row>
    <row r="424" spans="1:1">
      <c r="A424" s="62"/>
    </row>
    <row r="425" spans="1:1">
      <c r="A425" s="62"/>
    </row>
    <row r="426" spans="1:1">
      <c r="A426" s="62"/>
    </row>
    <row r="427" spans="1:1">
      <c r="A427" s="62"/>
    </row>
    <row r="428" spans="1:1">
      <c r="A428" s="62"/>
    </row>
    <row r="429" spans="1:1">
      <c r="A429" s="62"/>
    </row>
    <row r="430" spans="1:1">
      <c r="A430" s="62"/>
    </row>
    <row r="431" spans="1:1">
      <c r="A431" s="62"/>
    </row>
    <row r="432" spans="1:1">
      <c r="A432" s="62"/>
    </row>
    <row r="433" spans="1:1">
      <c r="A433" s="62"/>
    </row>
    <row r="434" spans="1:1">
      <c r="A434" s="62"/>
    </row>
    <row r="435" spans="1:1">
      <c r="A435" s="62"/>
    </row>
    <row r="436" spans="1:1">
      <c r="A436" s="62"/>
    </row>
    <row r="437" spans="1:1">
      <c r="A437" s="62"/>
    </row>
    <row r="438" spans="1:1">
      <c r="A438" s="62"/>
    </row>
    <row r="439" spans="1:1">
      <c r="A439" s="62"/>
    </row>
    <row r="440" spans="1:1">
      <c r="A440" s="62"/>
    </row>
    <row r="441" spans="1:1">
      <c r="A441" s="62"/>
    </row>
    <row r="442" spans="1:1">
      <c r="A442" s="62"/>
    </row>
    <row r="443" spans="1:1">
      <c r="A443" s="62"/>
    </row>
    <row r="444" spans="1:1">
      <c r="A444" s="62"/>
    </row>
    <row r="445" spans="1:1">
      <c r="A445" s="62"/>
    </row>
    <row r="446" spans="1:1">
      <c r="A446" s="62"/>
    </row>
    <row r="447" spans="1:1">
      <c r="A447" s="62"/>
    </row>
    <row r="448" spans="1:1">
      <c r="A448" s="62"/>
    </row>
    <row r="449" spans="1:1">
      <c r="A449" s="62"/>
    </row>
    <row r="450" spans="1:1">
      <c r="A450" s="62"/>
    </row>
    <row r="451" spans="1:1">
      <c r="A451" s="62"/>
    </row>
    <row r="452" spans="1:1">
      <c r="A452" s="62"/>
    </row>
    <row r="453" spans="1:1">
      <c r="A453" s="62"/>
    </row>
    <row r="454" spans="1:1">
      <c r="A454" s="62"/>
    </row>
    <row r="455" spans="1:1">
      <c r="A455" s="62"/>
    </row>
    <row r="456" spans="1:1">
      <c r="A456" s="62"/>
    </row>
    <row r="457" spans="1:1">
      <c r="A457" s="62"/>
    </row>
    <row r="458" spans="1:1">
      <c r="A458" s="62"/>
    </row>
    <row r="459" spans="1:1">
      <c r="A459" s="62"/>
    </row>
    <row r="460" spans="1:1">
      <c r="A460" s="62"/>
    </row>
    <row r="461" spans="1:1">
      <c r="A461" s="62"/>
    </row>
    <row r="462" spans="1:1">
      <c r="A462" s="62"/>
    </row>
    <row r="463" spans="1:1">
      <c r="A463" s="62"/>
    </row>
    <row r="464" spans="1:1">
      <c r="A464" s="62"/>
    </row>
    <row r="465" spans="1:1">
      <c r="A465" s="62"/>
    </row>
    <row r="466" spans="1:1">
      <c r="A466" s="62"/>
    </row>
    <row r="467" spans="1:1">
      <c r="A467" s="62"/>
    </row>
    <row r="468" spans="1:1">
      <c r="A468" s="62"/>
    </row>
    <row r="469" spans="1:1">
      <c r="A469" s="62"/>
    </row>
    <row r="470" spans="1:1">
      <c r="A470" s="62"/>
    </row>
    <row r="471" spans="1:1">
      <c r="A471" s="62"/>
    </row>
    <row r="472" spans="1:1">
      <c r="A472" s="62"/>
    </row>
    <row r="473" spans="1:1">
      <c r="A473" s="62"/>
    </row>
    <row r="474" spans="1:1">
      <c r="A474" s="62"/>
    </row>
    <row r="475" spans="1:1">
      <c r="A475" s="62"/>
    </row>
    <row r="476" spans="1:1">
      <c r="A476" s="62"/>
    </row>
    <row r="477" spans="1:1">
      <c r="A477" s="62"/>
    </row>
    <row r="478" spans="1:1">
      <c r="A478" s="62"/>
    </row>
    <row r="479" spans="1:1">
      <c r="A479" s="62"/>
    </row>
    <row r="480" spans="1:1">
      <c r="A480" s="62"/>
    </row>
    <row r="481" spans="1:1">
      <c r="A481" s="62"/>
    </row>
    <row r="482" spans="1:1">
      <c r="A482" s="62"/>
    </row>
    <row r="483" spans="1:1">
      <c r="A483" s="62"/>
    </row>
    <row r="484" spans="1:1">
      <c r="A484" s="62"/>
    </row>
    <row r="485" spans="1:1">
      <c r="A485" s="62"/>
    </row>
    <row r="486" spans="1:1">
      <c r="A486" s="62"/>
    </row>
    <row r="487" spans="1:1">
      <c r="A487" s="62"/>
    </row>
    <row r="488" spans="1:1">
      <c r="A488" s="62"/>
    </row>
    <row r="489" spans="1:1">
      <c r="A489" s="62"/>
    </row>
    <row r="490" spans="1:1">
      <c r="A490" s="62"/>
    </row>
    <row r="491" spans="1:1">
      <c r="A491" s="62"/>
    </row>
    <row r="492" spans="1:1">
      <c r="A492" s="62"/>
    </row>
    <row r="493" spans="1:1">
      <c r="A493" s="62"/>
    </row>
    <row r="494" spans="1:1">
      <c r="A494" s="62"/>
    </row>
    <row r="495" spans="1:1">
      <c r="A495" s="62"/>
    </row>
    <row r="496" spans="1:1">
      <c r="A496" s="62"/>
    </row>
    <row r="497" spans="1:1">
      <c r="A497" s="62"/>
    </row>
    <row r="498" spans="1:1">
      <c r="A498" s="62"/>
    </row>
    <row r="499" spans="1:1">
      <c r="A499" s="62"/>
    </row>
    <row r="500" spans="1:1">
      <c r="A500" s="62"/>
    </row>
    <row r="501" spans="1:1">
      <c r="A501" s="62"/>
    </row>
    <row r="502" spans="1:1">
      <c r="A502" s="62"/>
    </row>
    <row r="503" spans="1:1">
      <c r="A503" s="62"/>
    </row>
    <row r="504" spans="1:1">
      <c r="A504" s="62"/>
    </row>
    <row r="505" spans="1:1">
      <c r="A505" s="62"/>
    </row>
    <row r="506" spans="1:1">
      <c r="A506" s="62"/>
    </row>
    <row r="507" spans="1:1">
      <c r="A507" s="62"/>
    </row>
    <row r="508" spans="1:1">
      <c r="A508" s="62"/>
    </row>
    <row r="509" spans="1:1">
      <c r="A509" s="62"/>
    </row>
    <row r="510" spans="1:1">
      <c r="A510" s="62"/>
    </row>
    <row r="511" spans="1:1">
      <c r="A511" s="62"/>
    </row>
    <row r="512" spans="1:1">
      <c r="A512" s="62"/>
    </row>
    <row r="513" spans="1:1">
      <c r="A513" s="62"/>
    </row>
    <row r="514" spans="1:1">
      <c r="A514" s="62"/>
    </row>
    <row r="515" spans="1:1">
      <c r="A515" s="62"/>
    </row>
    <row r="516" spans="1:1">
      <c r="A516" s="62"/>
    </row>
    <row r="517" spans="1:1">
      <c r="A517" s="62"/>
    </row>
    <row r="518" spans="1:1">
      <c r="A518" s="62"/>
    </row>
    <row r="519" spans="1:1">
      <c r="A519" s="62"/>
    </row>
    <row r="520" spans="1:1">
      <c r="A520" s="62"/>
    </row>
    <row r="521" spans="1:1">
      <c r="A521" s="62"/>
    </row>
    <row r="522" spans="1:1">
      <c r="A522" s="62"/>
    </row>
    <row r="523" spans="1:1">
      <c r="A523" s="62"/>
    </row>
    <row r="524" spans="1:1">
      <c r="A524" s="62"/>
    </row>
    <row r="525" spans="1:1">
      <c r="A525" s="62"/>
    </row>
    <row r="526" spans="1:1">
      <c r="A526" s="62"/>
    </row>
    <row r="527" spans="1:1">
      <c r="A527" s="62"/>
    </row>
    <row r="528" spans="1:1">
      <c r="A528" s="62"/>
    </row>
    <row r="529" spans="1:1">
      <c r="A529" s="62"/>
    </row>
    <row r="530" spans="1:1">
      <c r="A530" s="62"/>
    </row>
    <row r="531" spans="1:1">
      <c r="A531" s="62"/>
    </row>
    <row r="532" spans="1:1">
      <c r="A532" s="62"/>
    </row>
    <row r="533" spans="1:1">
      <c r="A533" s="62"/>
    </row>
    <row r="534" spans="1:1">
      <c r="A534" s="62"/>
    </row>
    <row r="535" spans="1:1">
      <c r="A535" s="62"/>
    </row>
    <row r="536" spans="1:1">
      <c r="A536" s="62"/>
    </row>
    <row r="537" spans="1:1">
      <c r="A537" s="62"/>
    </row>
    <row r="538" spans="1:1">
      <c r="A538" s="62"/>
    </row>
    <row r="539" spans="1:1">
      <c r="A539" s="62"/>
    </row>
    <row r="540" spans="1:1">
      <c r="A540" s="62"/>
    </row>
    <row r="541" spans="1:1">
      <c r="A541" s="62"/>
    </row>
    <row r="542" spans="1:1">
      <c r="A542" s="62"/>
    </row>
    <row r="543" spans="1:1">
      <c r="A543" s="62"/>
    </row>
    <row r="544" spans="1:1">
      <c r="A544" s="62"/>
    </row>
    <row r="545" spans="1:1">
      <c r="A545" s="62"/>
    </row>
    <row r="546" spans="1:1">
      <c r="A546" s="62"/>
    </row>
    <row r="547" spans="1:1">
      <c r="A547" s="62"/>
    </row>
    <row r="548" spans="1:1">
      <c r="A548" s="62"/>
    </row>
    <row r="549" spans="1:1">
      <c r="A549" s="62"/>
    </row>
    <row r="550" spans="1:1">
      <c r="A550" s="62"/>
    </row>
    <row r="551" spans="1:1">
      <c r="A551" s="62"/>
    </row>
    <row r="552" spans="1:1">
      <c r="A552" s="62"/>
    </row>
    <row r="553" spans="1:1">
      <c r="A553" s="62"/>
    </row>
    <row r="554" spans="1:1">
      <c r="A554" s="62"/>
    </row>
    <row r="555" spans="1:1">
      <c r="A555" s="62"/>
    </row>
    <row r="556" spans="1:1">
      <c r="A556" s="62"/>
    </row>
    <row r="557" spans="1:1">
      <c r="A557" s="62"/>
    </row>
    <row r="558" spans="1:1">
      <c r="A558" s="62"/>
    </row>
    <row r="559" spans="1:1">
      <c r="A559" s="62"/>
    </row>
    <row r="560" spans="1:1">
      <c r="A560" s="62"/>
    </row>
    <row r="561" spans="1:1">
      <c r="A561" s="62"/>
    </row>
    <row r="562" spans="1:1">
      <c r="A562" s="62"/>
    </row>
    <row r="563" spans="1:1">
      <c r="A563" s="62"/>
    </row>
    <row r="564" spans="1:1">
      <c r="A564" s="62"/>
    </row>
    <row r="565" spans="1:1">
      <c r="A565" s="62"/>
    </row>
    <row r="566" spans="1:1">
      <c r="A566" s="62"/>
    </row>
    <row r="567" spans="1:1">
      <c r="A567" s="62"/>
    </row>
    <row r="568" spans="1:1">
      <c r="A568" s="62"/>
    </row>
    <row r="569" spans="1:1">
      <c r="A569" s="62"/>
    </row>
    <row r="570" spans="1:1">
      <c r="A570" s="62"/>
    </row>
    <row r="571" spans="1:1">
      <c r="A571" s="62"/>
    </row>
    <row r="572" spans="1:1">
      <c r="A572" s="62"/>
    </row>
    <row r="573" spans="1:1">
      <c r="A573" s="62"/>
    </row>
    <row r="574" spans="1:1">
      <c r="A574" s="62"/>
    </row>
    <row r="575" spans="1:1">
      <c r="A575" s="62"/>
    </row>
    <row r="576" spans="1:1">
      <c r="A576" s="62"/>
    </row>
    <row r="577" spans="1:1">
      <c r="A577" s="62"/>
    </row>
    <row r="578" spans="1:1">
      <c r="A578" s="62"/>
    </row>
    <row r="579" spans="1:1">
      <c r="A579" s="62"/>
    </row>
    <row r="580" spans="1:1">
      <c r="A580" s="62"/>
    </row>
    <row r="581" spans="1:1">
      <c r="A581" s="62"/>
    </row>
    <row r="582" spans="1:1">
      <c r="A582" s="62"/>
    </row>
    <row r="583" spans="1:1">
      <c r="A583" s="62"/>
    </row>
    <row r="584" spans="1:1">
      <c r="A584" s="62"/>
    </row>
    <row r="585" spans="1:1">
      <c r="A585" s="62"/>
    </row>
    <row r="586" spans="1:1">
      <c r="A586" s="62"/>
    </row>
    <row r="587" spans="1:1">
      <c r="A587" s="62"/>
    </row>
    <row r="588" spans="1:1">
      <c r="A588" s="62"/>
    </row>
    <row r="589" spans="1:1">
      <c r="A589" s="62"/>
    </row>
    <row r="590" spans="1:1">
      <c r="A590" s="62"/>
    </row>
    <row r="591" spans="1:1">
      <c r="A591" s="62"/>
    </row>
    <row r="592" spans="1:1">
      <c r="A592" s="62"/>
    </row>
    <row r="593" spans="1:1">
      <c r="A593" s="62"/>
    </row>
    <row r="594" spans="1:1">
      <c r="A594" s="62"/>
    </row>
    <row r="595" spans="1:1">
      <c r="A595" s="62"/>
    </row>
    <row r="596" spans="1:1">
      <c r="A596" s="62"/>
    </row>
    <row r="597" spans="1:1">
      <c r="A597" s="62"/>
    </row>
    <row r="598" spans="1:1">
      <c r="A598" s="62"/>
    </row>
    <row r="599" spans="1:1">
      <c r="A599" s="62"/>
    </row>
    <row r="600" spans="1:1">
      <c r="A600" s="62"/>
    </row>
    <row r="601" spans="1:1">
      <c r="A601" s="62"/>
    </row>
    <row r="602" spans="1:1">
      <c r="A602" s="62"/>
    </row>
    <row r="603" spans="1:1">
      <c r="A603" s="62"/>
    </row>
    <row r="604" spans="1:1">
      <c r="A604" s="62"/>
    </row>
    <row r="605" spans="1:1">
      <c r="A605" s="62"/>
    </row>
    <row r="606" spans="1:1">
      <c r="A606" s="62"/>
    </row>
    <row r="607" spans="1:1">
      <c r="A607" s="62"/>
    </row>
    <row r="608" spans="1:1">
      <c r="A608" s="62"/>
    </row>
    <row r="609" spans="1:1">
      <c r="A609" s="62"/>
    </row>
    <row r="610" spans="1:1">
      <c r="A610" s="62"/>
    </row>
    <row r="611" spans="1:1">
      <c r="A611" s="62"/>
    </row>
    <row r="612" spans="1:1">
      <c r="A612" s="62"/>
    </row>
    <row r="613" spans="1:1">
      <c r="A613" s="62"/>
    </row>
    <row r="614" spans="1:1">
      <c r="A614" s="62"/>
    </row>
    <row r="615" spans="1:1">
      <c r="A615" s="62"/>
    </row>
    <row r="616" spans="1:1">
      <c r="A616" s="62"/>
    </row>
    <row r="617" spans="1:1">
      <c r="A617" s="62"/>
    </row>
    <row r="618" spans="1:1">
      <c r="A618" s="62"/>
    </row>
    <row r="619" spans="1:1">
      <c r="A619" s="62"/>
    </row>
    <row r="620" spans="1:1">
      <c r="A620" s="62"/>
    </row>
    <row r="621" spans="1:1">
      <c r="A621" s="62"/>
    </row>
    <row r="622" spans="1:1">
      <c r="A622" s="62"/>
    </row>
    <row r="623" spans="1:1">
      <c r="A623" s="62"/>
    </row>
    <row r="624" spans="1:1">
      <c r="A624" s="62"/>
    </row>
    <row r="625" spans="1:1">
      <c r="A625" s="62"/>
    </row>
    <row r="626" spans="1:1">
      <c r="A626" s="62"/>
    </row>
    <row r="627" spans="1:1">
      <c r="A627" s="62"/>
    </row>
    <row r="628" spans="1:1">
      <c r="A628" s="62"/>
    </row>
    <row r="629" spans="1:1">
      <c r="A629" s="62"/>
    </row>
    <row r="630" spans="1:1">
      <c r="A630" s="62"/>
    </row>
    <row r="631" spans="1:1">
      <c r="A631" s="62"/>
    </row>
    <row r="632" spans="1:1">
      <c r="A632" s="62"/>
    </row>
    <row r="633" spans="1:1">
      <c r="A633" s="62"/>
    </row>
    <row r="634" spans="1:1">
      <c r="A634" s="62"/>
    </row>
    <row r="635" spans="1:1">
      <c r="A635" s="62"/>
    </row>
    <row r="636" spans="1:1">
      <c r="A636" s="62"/>
    </row>
    <row r="637" spans="1:1">
      <c r="A637" s="62"/>
    </row>
    <row r="638" spans="1:1">
      <c r="A638" s="62"/>
    </row>
    <row r="639" spans="1:1">
      <c r="A639" s="62"/>
    </row>
    <row r="640" spans="1:1">
      <c r="A640" s="62"/>
    </row>
    <row r="641" spans="1:1">
      <c r="A641" s="62"/>
    </row>
    <row r="642" spans="1:1">
      <c r="A642" s="62"/>
    </row>
    <row r="643" spans="1:1">
      <c r="A643" s="62"/>
    </row>
    <row r="644" spans="1:1">
      <c r="A644" s="62"/>
    </row>
    <row r="645" spans="1:1">
      <c r="A645" s="62"/>
    </row>
    <row r="646" spans="1:1">
      <c r="A646" s="62"/>
    </row>
    <row r="647" spans="1:1">
      <c r="A647" s="62"/>
    </row>
    <row r="648" spans="1:1">
      <c r="A648" s="62"/>
    </row>
    <row r="649" spans="1:1">
      <c r="A649" s="62"/>
    </row>
    <row r="650" spans="1:1">
      <c r="A650" s="62"/>
    </row>
    <row r="651" spans="1:1">
      <c r="A651" s="62"/>
    </row>
    <row r="652" spans="1:1">
      <c r="A652" s="62"/>
    </row>
    <row r="653" spans="1:1">
      <c r="A653" s="62"/>
    </row>
    <row r="654" spans="1:1">
      <c r="A654" s="62"/>
    </row>
    <row r="655" spans="1:1">
      <c r="A655" s="62"/>
    </row>
    <row r="656" spans="1:1">
      <c r="A656" s="62"/>
    </row>
    <row r="657" spans="1:1">
      <c r="A657" s="62"/>
    </row>
    <row r="658" spans="1:1">
      <c r="A658" s="62"/>
    </row>
    <row r="659" spans="1:1">
      <c r="A659" s="62"/>
    </row>
    <row r="660" spans="1:1">
      <c r="A660" s="62"/>
    </row>
    <row r="661" spans="1:1">
      <c r="A661" s="62"/>
    </row>
    <row r="662" spans="1:1">
      <c r="A662" s="62"/>
    </row>
    <row r="663" spans="1:1">
      <c r="A663" s="62"/>
    </row>
    <row r="664" spans="1:1">
      <c r="A664" s="62"/>
    </row>
    <row r="665" spans="1:1">
      <c r="A665" s="62"/>
    </row>
    <row r="666" spans="1:1">
      <c r="A666" s="62"/>
    </row>
    <row r="667" spans="1:1">
      <c r="A667" s="62"/>
    </row>
    <row r="668" spans="1:1">
      <c r="A668" s="62"/>
    </row>
    <row r="669" spans="1:1">
      <c r="A669" s="62"/>
    </row>
    <row r="670" spans="1:1">
      <c r="A670" s="62"/>
    </row>
    <row r="671" spans="1:1">
      <c r="A671" s="62"/>
    </row>
    <row r="672" spans="1:1">
      <c r="A672" s="62"/>
    </row>
    <row r="673" spans="1:1">
      <c r="A673" s="62"/>
    </row>
    <row r="674" spans="1:1">
      <c r="A674" s="62"/>
    </row>
    <row r="675" spans="1:1">
      <c r="A675" s="62"/>
    </row>
    <row r="676" spans="1:1">
      <c r="A676" s="62"/>
    </row>
    <row r="677" spans="1:1">
      <c r="A677" s="62"/>
    </row>
    <row r="678" spans="1:1">
      <c r="A678" s="62"/>
    </row>
    <row r="679" spans="1:1">
      <c r="A679" s="62"/>
    </row>
    <row r="680" spans="1:1">
      <c r="A680" s="62"/>
    </row>
    <row r="681" spans="1:1">
      <c r="A681" s="62"/>
    </row>
    <row r="682" spans="1:1">
      <c r="A682" s="62"/>
    </row>
    <row r="683" spans="1:1">
      <c r="A683" s="62"/>
    </row>
    <row r="684" spans="1:1">
      <c r="A684" s="62"/>
    </row>
    <row r="685" spans="1:1">
      <c r="A685" s="62"/>
    </row>
    <row r="686" spans="1:1">
      <c r="A686" s="62"/>
    </row>
    <row r="687" spans="1:1">
      <c r="A687" s="62"/>
    </row>
    <row r="688" spans="1:1">
      <c r="A688" s="62"/>
    </row>
    <row r="689" spans="1:1">
      <c r="A689" s="62"/>
    </row>
    <row r="690" spans="1:1">
      <c r="A690" s="62"/>
    </row>
    <row r="691" spans="1:1">
      <c r="A691" s="62"/>
    </row>
    <row r="692" spans="1:1">
      <c r="A692" s="62"/>
    </row>
    <row r="693" spans="1:1">
      <c r="A693" s="62"/>
    </row>
    <row r="694" spans="1:1">
      <c r="A694" s="62"/>
    </row>
    <row r="695" spans="1:1">
      <c r="A695" s="62"/>
    </row>
    <row r="696" spans="1:1">
      <c r="A696" s="62"/>
    </row>
    <row r="697" spans="1:1">
      <c r="A697" s="62"/>
    </row>
    <row r="698" spans="1:1">
      <c r="A698" s="62"/>
    </row>
    <row r="699" spans="1:1">
      <c r="A699" s="62"/>
    </row>
    <row r="700" spans="1:1">
      <c r="A700" s="62"/>
    </row>
    <row r="701" spans="1:1">
      <c r="A701" s="62"/>
    </row>
    <row r="702" spans="1:1">
      <c r="A702" s="62"/>
    </row>
    <row r="703" spans="1:1">
      <c r="A703" s="62"/>
    </row>
    <row r="704" spans="1:1">
      <c r="A704" s="62"/>
    </row>
    <row r="705" spans="1:1">
      <c r="A705" s="62"/>
    </row>
    <row r="706" spans="1:1">
      <c r="A706" s="62"/>
    </row>
    <row r="707" spans="1:1">
      <c r="A707" s="62"/>
    </row>
    <row r="708" spans="1:1">
      <c r="A708" s="62"/>
    </row>
    <row r="709" spans="1:1">
      <c r="A709" s="62"/>
    </row>
    <row r="710" spans="1:1">
      <c r="A710" s="62"/>
    </row>
    <row r="711" spans="1:1">
      <c r="A711" s="62"/>
    </row>
    <row r="712" spans="1:1">
      <c r="A712" s="62"/>
    </row>
    <row r="713" spans="1:1">
      <c r="A713" s="62"/>
    </row>
    <row r="714" spans="1:1">
      <c r="A714" s="62"/>
    </row>
    <row r="715" spans="1:1">
      <c r="A715" s="62"/>
    </row>
    <row r="716" spans="1:1">
      <c r="A716" s="62"/>
    </row>
    <row r="717" spans="1:1">
      <c r="A717" s="62"/>
    </row>
    <row r="718" spans="1:1">
      <c r="A718" s="62"/>
    </row>
    <row r="719" spans="1:1">
      <c r="A719" s="62"/>
    </row>
    <row r="720" spans="1:1">
      <c r="A720" s="62"/>
    </row>
    <row r="721" spans="1:1">
      <c r="A721" s="62"/>
    </row>
    <row r="722" spans="1:1">
      <c r="A722" s="62"/>
    </row>
    <row r="723" spans="1:1">
      <c r="A723" s="62"/>
    </row>
    <row r="724" spans="1:1">
      <c r="A724" s="62"/>
    </row>
    <row r="725" spans="1:1">
      <c r="A725" s="62"/>
    </row>
    <row r="726" spans="1:1">
      <c r="A726" s="62"/>
    </row>
    <row r="727" spans="1:1">
      <c r="A727" s="62"/>
    </row>
    <row r="728" spans="1:1">
      <c r="A728" s="62"/>
    </row>
    <row r="729" spans="1:1">
      <c r="A729" s="62"/>
    </row>
    <row r="730" spans="1:1">
      <c r="A730" s="62"/>
    </row>
    <row r="731" spans="1:1">
      <c r="A731" s="62"/>
    </row>
    <row r="732" spans="1:1">
      <c r="A732" s="62"/>
    </row>
    <row r="733" spans="1:1">
      <c r="A733" s="62"/>
    </row>
    <row r="734" spans="1:1">
      <c r="A734" s="62"/>
    </row>
    <row r="735" spans="1:1">
      <c r="A735" s="62"/>
    </row>
    <row r="736" spans="1:1">
      <c r="A736" s="62"/>
    </row>
    <row r="737" spans="1:1">
      <c r="A737" s="62"/>
    </row>
    <row r="738" spans="1:1">
      <c r="A738" s="62"/>
    </row>
    <row r="739" spans="1:1">
      <c r="A739" s="62"/>
    </row>
    <row r="740" spans="1:1">
      <c r="A740" s="62"/>
    </row>
    <row r="741" spans="1:1">
      <c r="A741" s="62"/>
    </row>
    <row r="742" spans="1:1">
      <c r="A742" s="62"/>
    </row>
    <row r="743" spans="1:1">
      <c r="A743" s="62"/>
    </row>
    <row r="744" spans="1:1">
      <c r="A744" s="62"/>
    </row>
    <row r="745" spans="1:1">
      <c r="A745" s="62"/>
    </row>
    <row r="746" spans="1:1">
      <c r="A746" s="62"/>
    </row>
    <row r="747" spans="1:1">
      <c r="A747" s="62"/>
    </row>
    <row r="748" spans="1:1">
      <c r="A748" s="62"/>
    </row>
    <row r="749" spans="1:1">
      <c r="A749" s="62"/>
    </row>
    <row r="750" spans="1:1">
      <c r="A750" s="62"/>
    </row>
    <row r="751" spans="1:1">
      <c r="A751" s="62"/>
    </row>
    <row r="752" spans="1:1">
      <c r="A752" s="62"/>
    </row>
    <row r="753" spans="1:1">
      <c r="A753" s="62"/>
    </row>
    <row r="754" spans="1:1">
      <c r="A754" s="62"/>
    </row>
    <row r="755" spans="1:1">
      <c r="A755" s="62"/>
    </row>
    <row r="756" spans="1:1">
      <c r="A756" s="62"/>
    </row>
    <row r="757" spans="1:1">
      <c r="A757" s="62"/>
    </row>
    <row r="758" spans="1:1">
      <c r="A758" s="62"/>
    </row>
    <row r="759" spans="1:1">
      <c r="A759" s="62"/>
    </row>
    <row r="760" spans="1:1">
      <c r="A760" s="62"/>
    </row>
    <row r="761" spans="1:1">
      <c r="A761" s="62"/>
    </row>
    <row r="762" spans="1:1">
      <c r="A762" s="62"/>
    </row>
    <row r="763" spans="1:1">
      <c r="A763" s="62"/>
    </row>
    <row r="764" spans="1:1">
      <c r="A764" s="62"/>
    </row>
    <row r="765" spans="1:1">
      <c r="A765" s="62"/>
    </row>
    <row r="766" spans="1:1">
      <c r="A766" s="62"/>
    </row>
    <row r="767" spans="1:1">
      <c r="A767" s="62"/>
    </row>
    <row r="768" spans="1:1">
      <c r="A768" s="62"/>
    </row>
    <row r="769" spans="1:1">
      <c r="A769" s="62"/>
    </row>
    <row r="770" spans="1:1">
      <c r="A770" s="62"/>
    </row>
    <row r="771" spans="1:1">
      <c r="A771" s="62"/>
    </row>
    <row r="772" spans="1:1">
      <c r="A772" s="62"/>
    </row>
    <row r="773" spans="1:1">
      <c r="A773" s="62"/>
    </row>
    <row r="774" spans="1:1">
      <c r="A774" s="62"/>
    </row>
    <row r="775" spans="1:1">
      <c r="A775" s="62"/>
    </row>
    <row r="776" spans="1:1">
      <c r="A776" s="62"/>
    </row>
    <row r="777" spans="1:1">
      <c r="A777" s="62"/>
    </row>
    <row r="778" spans="1:1">
      <c r="A778" s="62"/>
    </row>
    <row r="779" spans="1:1">
      <c r="A779" s="62"/>
    </row>
    <row r="780" spans="1:1">
      <c r="A780" s="62"/>
    </row>
    <row r="781" spans="1:1">
      <c r="A781" s="62"/>
    </row>
    <row r="782" spans="1:1">
      <c r="A782" s="62"/>
    </row>
    <row r="783" spans="1:1">
      <c r="A783" s="62"/>
    </row>
    <row r="784" spans="1:1">
      <c r="A784" s="62"/>
    </row>
    <row r="785" spans="1:1">
      <c r="A785" s="62"/>
    </row>
    <row r="786" spans="1:1">
      <c r="A786" s="62"/>
    </row>
    <row r="787" spans="1:1">
      <c r="A787" s="62"/>
    </row>
    <row r="788" spans="1:1">
      <c r="A788" s="62"/>
    </row>
    <row r="789" spans="1:1">
      <c r="A789" s="62"/>
    </row>
    <row r="790" spans="1:1">
      <c r="A790" s="62"/>
    </row>
    <row r="791" spans="1:1">
      <c r="A791" s="62"/>
    </row>
    <row r="792" spans="1:1">
      <c r="A792" s="62"/>
    </row>
    <row r="793" spans="1:1">
      <c r="A793" s="62"/>
    </row>
    <row r="794" spans="1:1">
      <c r="A794" s="62"/>
    </row>
    <row r="795" spans="1:1">
      <c r="A795" s="62"/>
    </row>
    <row r="796" spans="1:1">
      <c r="A796" s="62"/>
    </row>
    <row r="797" spans="1:1">
      <c r="A797" s="62"/>
    </row>
    <row r="798" spans="1:1">
      <c r="A798" s="62"/>
    </row>
    <row r="799" spans="1:1">
      <c r="A799" s="62"/>
    </row>
    <row r="800" spans="1:1">
      <c r="A800" s="62"/>
    </row>
    <row r="801" spans="1:1">
      <c r="A801" s="62"/>
    </row>
    <row r="802" spans="1:1">
      <c r="A802" s="62"/>
    </row>
    <row r="803" spans="1:1">
      <c r="A803" s="62"/>
    </row>
    <row r="804" spans="1:1">
      <c r="A804" s="62"/>
    </row>
    <row r="805" spans="1:1">
      <c r="A805" s="62"/>
    </row>
    <row r="806" spans="1:1">
      <c r="A806" s="62"/>
    </row>
    <row r="807" spans="1:1">
      <c r="A807" s="62"/>
    </row>
    <row r="808" spans="1:1">
      <c r="A808" s="62"/>
    </row>
    <row r="809" spans="1:1">
      <c r="A809" s="62"/>
    </row>
    <row r="810" spans="1:1">
      <c r="A810" s="62"/>
    </row>
    <row r="811" spans="1:1">
      <c r="A811" s="62"/>
    </row>
    <row r="812" spans="1:1">
      <c r="A812" s="62"/>
    </row>
    <row r="813" spans="1:1">
      <c r="A813" s="62"/>
    </row>
    <row r="814" spans="1:1">
      <c r="A814" s="62"/>
    </row>
    <row r="815" spans="1:1">
      <c r="A815" s="62"/>
    </row>
    <row r="816" spans="1:1">
      <c r="A816" s="62"/>
    </row>
    <row r="817" spans="1:1">
      <c r="A817" s="62"/>
    </row>
    <row r="818" spans="1:1">
      <c r="A818" s="62"/>
    </row>
    <row r="819" spans="1:1">
      <c r="A819" s="62"/>
    </row>
    <row r="820" spans="1:1">
      <c r="A820" s="62"/>
    </row>
    <row r="821" spans="1:1">
      <c r="A821" s="62"/>
    </row>
    <row r="822" spans="1:1">
      <c r="A822" s="62"/>
    </row>
    <row r="823" spans="1:1">
      <c r="A823" s="62"/>
    </row>
    <row r="824" spans="1:1">
      <c r="A824" s="62"/>
    </row>
    <row r="825" spans="1:1">
      <c r="A825" s="62"/>
    </row>
    <row r="826" spans="1:1">
      <c r="A826" s="62"/>
    </row>
    <row r="827" spans="1:1">
      <c r="A827" s="62"/>
    </row>
    <row r="828" spans="1:1">
      <c r="A828" s="62"/>
    </row>
    <row r="829" spans="1:1">
      <c r="A829" s="62"/>
    </row>
    <row r="830" spans="1:1">
      <c r="A830" s="62"/>
    </row>
    <row r="831" spans="1:1">
      <c r="A831" s="62"/>
    </row>
    <row r="832" spans="1:1">
      <c r="A832" s="62"/>
    </row>
    <row r="833" spans="1:1">
      <c r="A833" s="62"/>
    </row>
    <row r="834" spans="1:1">
      <c r="A834" s="62"/>
    </row>
    <row r="835" spans="1:1">
      <c r="A835" s="62"/>
    </row>
    <row r="836" spans="1:1">
      <c r="A836" s="62"/>
    </row>
    <row r="837" spans="1:1">
      <c r="A837" s="62"/>
    </row>
    <row r="838" spans="1:1">
      <c r="A838" s="62"/>
    </row>
    <row r="839" spans="1:1">
      <c r="A839" s="62"/>
    </row>
    <row r="840" spans="1:1">
      <c r="A840" s="62"/>
    </row>
    <row r="841" spans="1:1">
      <c r="A841" s="62"/>
    </row>
    <row r="842" spans="1:1">
      <c r="A842" s="62"/>
    </row>
    <row r="843" spans="1:1">
      <c r="A843" s="62"/>
    </row>
    <row r="844" spans="1:1">
      <c r="A844" s="62"/>
    </row>
    <row r="845" spans="1:1">
      <c r="A845" s="62"/>
    </row>
    <row r="846" spans="1:1">
      <c r="A846" s="62"/>
    </row>
    <row r="847" spans="1:1">
      <c r="A847" s="62"/>
    </row>
    <row r="848" spans="1:1">
      <c r="A848" s="62"/>
    </row>
    <row r="849" spans="1:1">
      <c r="A849" s="62"/>
    </row>
    <row r="850" spans="1:1">
      <c r="A850" s="62"/>
    </row>
    <row r="851" spans="1:1">
      <c r="A851" s="62"/>
    </row>
    <row r="852" spans="1:1">
      <c r="A852" s="62"/>
    </row>
    <row r="853" spans="1:1">
      <c r="A853" s="62"/>
    </row>
    <row r="854" spans="1:1">
      <c r="A854" s="62"/>
    </row>
    <row r="855" spans="1:1">
      <c r="A855" s="62"/>
    </row>
    <row r="856" spans="1:1">
      <c r="A856" s="62"/>
    </row>
    <row r="857" spans="1:1">
      <c r="A857" s="62"/>
    </row>
    <row r="858" spans="1:1">
      <c r="A858" s="62"/>
    </row>
    <row r="859" spans="1:1">
      <c r="A859" s="62"/>
    </row>
    <row r="860" spans="1:1">
      <c r="A860" s="62"/>
    </row>
    <row r="861" spans="1:1">
      <c r="A861" s="62"/>
    </row>
    <row r="862" spans="1:1">
      <c r="A862" s="62"/>
    </row>
    <row r="863" spans="1:1">
      <c r="A863" s="62"/>
    </row>
    <row r="864" spans="1:1">
      <c r="A864" s="62"/>
    </row>
    <row r="865" spans="1:1">
      <c r="A865" s="62"/>
    </row>
    <row r="866" spans="1:1">
      <c r="A866" s="62"/>
    </row>
    <row r="867" spans="1:1">
      <c r="A867" s="62"/>
    </row>
    <row r="868" spans="1:1">
      <c r="A868" s="62"/>
    </row>
    <row r="869" spans="1:1">
      <c r="A869" s="62"/>
    </row>
    <row r="870" spans="1:1">
      <c r="A870" s="62"/>
    </row>
    <row r="871" spans="1:1">
      <c r="A871" s="62"/>
    </row>
    <row r="872" spans="1:1">
      <c r="A872" s="62"/>
    </row>
    <row r="873" spans="1:1">
      <c r="A873" s="62"/>
    </row>
    <row r="874" spans="1:1">
      <c r="A874" s="62"/>
    </row>
    <row r="875" spans="1:1">
      <c r="A875" s="62"/>
    </row>
    <row r="876" spans="1:1">
      <c r="A876" s="62"/>
    </row>
    <row r="877" spans="1:1">
      <c r="A877" s="62"/>
    </row>
    <row r="878" spans="1:1">
      <c r="A878" s="62"/>
    </row>
    <row r="879" spans="1:1">
      <c r="A879" s="62"/>
    </row>
    <row r="880" spans="1:1">
      <c r="A880" s="62"/>
    </row>
    <row r="881" spans="1:1">
      <c r="A881" s="62"/>
    </row>
    <row r="882" spans="1:1">
      <c r="A882" s="62"/>
    </row>
    <row r="883" spans="1:1">
      <c r="A883" s="62"/>
    </row>
    <row r="884" spans="1:1">
      <c r="A884" s="62"/>
    </row>
    <row r="885" spans="1:1">
      <c r="A885" s="62"/>
    </row>
    <row r="886" spans="1:1">
      <c r="A886" s="62"/>
    </row>
    <row r="887" spans="1:1">
      <c r="A887" s="62"/>
    </row>
    <row r="888" spans="1:1">
      <c r="A888" s="62"/>
    </row>
    <row r="889" spans="1:1">
      <c r="A889" s="62"/>
    </row>
    <row r="890" spans="1:1">
      <c r="A890" s="62"/>
    </row>
    <row r="891" spans="1:1">
      <c r="A891" s="62"/>
    </row>
    <row r="892" spans="1:1">
      <c r="A892" s="62"/>
    </row>
    <row r="893" spans="1:1">
      <c r="A893" s="62"/>
    </row>
    <row r="894" spans="1:1">
      <c r="A894" s="62"/>
    </row>
    <row r="895" spans="1:1">
      <c r="A895" s="62"/>
    </row>
    <row r="896" spans="1:1">
      <c r="A896" s="62"/>
    </row>
    <row r="897" spans="1:1">
      <c r="A897" s="62"/>
    </row>
    <row r="898" spans="1:1">
      <c r="A898" s="62"/>
    </row>
    <row r="899" spans="1:1">
      <c r="A899" s="62"/>
    </row>
    <row r="900" spans="1:1">
      <c r="A900" s="62"/>
    </row>
    <row r="901" spans="1:1">
      <c r="A901" s="62"/>
    </row>
    <row r="902" spans="1:1">
      <c r="A902" s="62"/>
    </row>
    <row r="903" spans="1:1">
      <c r="A903" s="62"/>
    </row>
    <row r="904" spans="1:1">
      <c r="A904" s="62"/>
    </row>
    <row r="905" spans="1:1">
      <c r="A905" s="62"/>
    </row>
    <row r="906" spans="1:1">
      <c r="A906" s="62"/>
    </row>
    <row r="907" spans="1:1">
      <c r="A907" s="62"/>
    </row>
    <row r="908" spans="1:1">
      <c r="A908" s="62"/>
    </row>
    <row r="909" spans="1:1">
      <c r="A909" s="62"/>
    </row>
    <row r="910" spans="1:1">
      <c r="A910" s="62"/>
    </row>
    <row r="911" spans="1:1">
      <c r="A911" s="62"/>
    </row>
    <row r="912" spans="1:1">
      <c r="A912" s="62"/>
    </row>
    <row r="913" spans="1:1">
      <c r="A913" s="62"/>
    </row>
    <row r="914" spans="1:1">
      <c r="A914" s="62"/>
    </row>
    <row r="915" spans="1:1">
      <c r="A915" s="62"/>
    </row>
    <row r="916" spans="1:1">
      <c r="A916" s="62"/>
    </row>
    <row r="917" spans="1:1">
      <c r="A917" s="62"/>
    </row>
    <row r="918" spans="1:1">
      <c r="A918" s="62"/>
    </row>
    <row r="919" spans="1:1">
      <c r="A919" s="62"/>
    </row>
    <row r="920" spans="1:1">
      <c r="A920" s="62"/>
    </row>
    <row r="921" spans="1:1">
      <c r="A921" s="62"/>
    </row>
    <row r="922" spans="1:1">
      <c r="A922" s="62"/>
    </row>
    <row r="923" spans="1:1">
      <c r="A923" s="62"/>
    </row>
    <row r="924" spans="1:1">
      <c r="A924" s="62"/>
    </row>
    <row r="925" spans="1:1">
      <c r="A925" s="62"/>
    </row>
    <row r="926" spans="1:1">
      <c r="A926" s="62"/>
    </row>
    <row r="927" spans="1:1">
      <c r="A927" s="62"/>
    </row>
    <row r="928" spans="1:1">
      <c r="A928" s="62"/>
    </row>
    <row r="929" spans="1:1">
      <c r="A929" s="62"/>
    </row>
    <row r="930" spans="1:1">
      <c r="A930" s="62"/>
    </row>
    <row r="931" spans="1:1">
      <c r="A931" s="62"/>
    </row>
    <row r="932" spans="1:1">
      <c r="A932" s="62"/>
    </row>
    <row r="933" spans="1:1">
      <c r="A933" s="62"/>
    </row>
    <row r="934" spans="1:1">
      <c r="A934" s="62"/>
    </row>
    <row r="935" spans="1:1">
      <c r="A935" s="62"/>
    </row>
    <row r="936" spans="1:1">
      <c r="A936" s="62"/>
    </row>
    <row r="937" spans="1:1">
      <c r="A937" s="62"/>
    </row>
    <row r="938" spans="1:1">
      <c r="A938" s="62"/>
    </row>
    <row r="939" spans="1:1">
      <c r="A939" s="62"/>
    </row>
    <row r="940" spans="1:1">
      <c r="A940" s="62"/>
    </row>
    <row r="941" spans="1:1">
      <c r="A941" s="62"/>
    </row>
    <row r="942" spans="1:1">
      <c r="A942" s="62"/>
    </row>
    <row r="943" spans="1:1">
      <c r="A943" s="62"/>
    </row>
    <row r="944" spans="1:1">
      <c r="A944" s="62"/>
    </row>
    <row r="945" spans="1:1">
      <c r="A945" s="62"/>
    </row>
    <row r="946" spans="1:1">
      <c r="A946" s="62"/>
    </row>
    <row r="947" spans="1:1">
      <c r="A947" s="62"/>
    </row>
    <row r="948" spans="1:1">
      <c r="A948" s="62"/>
    </row>
    <row r="949" spans="1:1">
      <c r="A949" s="62"/>
    </row>
    <row r="950" spans="1:1">
      <c r="A950" s="62"/>
    </row>
    <row r="951" spans="1:1">
      <c r="A951" s="62"/>
    </row>
    <row r="952" spans="1:1">
      <c r="A952" s="62"/>
    </row>
    <row r="953" spans="1:1">
      <c r="A953" s="62"/>
    </row>
    <row r="954" spans="1:1">
      <c r="A954" s="62"/>
    </row>
    <row r="955" spans="1:1">
      <c r="A955" s="62"/>
    </row>
    <row r="956" spans="1:1">
      <c r="A956" s="62"/>
    </row>
    <row r="957" spans="1:1">
      <c r="A957" s="62"/>
    </row>
    <row r="958" spans="1:1">
      <c r="A958" s="62"/>
    </row>
    <row r="959" spans="1:1">
      <c r="A959" s="62"/>
    </row>
    <row r="960" spans="1:1">
      <c r="A960" s="62"/>
    </row>
    <row r="961" spans="1:1">
      <c r="A961" s="62"/>
    </row>
    <row r="962" spans="1:1">
      <c r="A962" s="62"/>
    </row>
    <row r="963" spans="1:1">
      <c r="A963" s="62"/>
    </row>
    <row r="964" spans="1:1">
      <c r="A964" s="62"/>
    </row>
    <row r="965" spans="1:1">
      <c r="A965" s="62"/>
    </row>
    <row r="966" spans="1:1">
      <c r="A966" s="62"/>
    </row>
    <row r="967" spans="1:1">
      <c r="A967" s="62"/>
    </row>
    <row r="968" spans="1:1">
      <c r="A968" s="62"/>
    </row>
    <row r="969" spans="1:1">
      <c r="A969" s="62"/>
    </row>
    <row r="970" spans="1:1">
      <c r="A970" s="62"/>
    </row>
    <row r="971" spans="1:1">
      <c r="A971" s="62"/>
    </row>
    <row r="972" spans="1:1">
      <c r="A972" s="62"/>
    </row>
    <row r="973" spans="1:1">
      <c r="A973" s="62"/>
    </row>
    <row r="974" spans="1:1">
      <c r="A974" s="62"/>
    </row>
    <row r="975" spans="1:1">
      <c r="A975" s="62"/>
    </row>
    <row r="976" spans="1:1">
      <c r="A976" s="62"/>
    </row>
    <row r="977" spans="1:1">
      <c r="A977" s="62"/>
    </row>
    <row r="978" spans="1:1">
      <c r="A978" s="62"/>
    </row>
    <row r="979" spans="1:1">
      <c r="A979" s="62"/>
    </row>
    <row r="980" spans="1:1">
      <c r="A980" s="62"/>
    </row>
    <row r="981" spans="1:1">
      <c r="A981" s="62"/>
    </row>
    <row r="982" spans="1:1">
      <c r="A982" s="62"/>
    </row>
    <row r="983" spans="1:1">
      <c r="A983" s="62"/>
    </row>
    <row r="984" spans="1:1">
      <c r="A984" s="62"/>
    </row>
    <row r="985" spans="1:1">
      <c r="A985" s="62"/>
    </row>
    <row r="986" spans="1:1">
      <c r="A986" s="62"/>
    </row>
    <row r="987" spans="1:1">
      <c r="A987" s="62"/>
    </row>
    <row r="988" spans="1:1">
      <c r="A988" s="62"/>
    </row>
    <row r="989" spans="1:1">
      <c r="A989" s="62"/>
    </row>
    <row r="990" spans="1:1">
      <c r="A990" s="62"/>
    </row>
    <row r="991" spans="1:1">
      <c r="A991" s="62"/>
    </row>
    <row r="992" spans="1:1">
      <c r="A992" s="62"/>
    </row>
    <row r="993" spans="1:1">
      <c r="A993" s="62"/>
    </row>
    <row r="994" spans="1:1">
      <c r="A994" s="62"/>
    </row>
    <row r="995" spans="1:1">
      <c r="A995" s="62"/>
    </row>
    <row r="996" spans="1:1">
      <c r="A996" s="62"/>
    </row>
    <row r="997" spans="1:1">
      <c r="A997" s="62"/>
    </row>
    <row r="998" spans="1:1">
      <c r="A998" s="62"/>
    </row>
    <row r="999" spans="1:1">
      <c r="A999" s="62"/>
    </row>
    <row r="1000" spans="1:1">
      <c r="A1000" s="62"/>
    </row>
  </sheetData>
  <conditionalFormatting sqref="F2:F205 O2:V205 A2:D205">
    <cfRule type="expression" dxfId="103" priority="67">
      <formula>#REF!="Critical"</formula>
    </cfRule>
    <cfRule type="expression" dxfId="102" priority="68">
      <formula>#REF!="High Risk"</formula>
    </cfRule>
    <cfRule type="expression" dxfId="101" priority="69">
      <formula>#REF!="At Risk"</formula>
    </cfRule>
    <cfRule type="expression" dxfId="100" priority="70">
      <formula>#REF!="Blocked"</formula>
    </cfRule>
    <cfRule type="expression" dxfId="99" priority="71">
      <formula>#REF!="Ready"</formula>
    </cfRule>
    <cfRule type="expression" dxfId="98" priority="72">
      <formula>#REF!="Complete"</formula>
    </cfRule>
  </conditionalFormatting>
  <conditionalFormatting sqref="E2:E205">
    <cfRule type="containsText" dxfId="97" priority="73" stopIfTrue="1" operator="containsText" text="Checked:">
      <formula>NOT(ISERROR(SEARCH("Checked:",E2)))</formula>
    </cfRule>
    <cfRule type="cellIs" dxfId="96" priority="74" stopIfTrue="1" operator="equal">
      <formula>"No checklist items checked"</formula>
    </cfRule>
    <cfRule type="cellIs" dxfId="95" priority="75" stopIfTrue="1" operator="equal">
      <formula>"Sent"</formula>
    </cfRule>
    <cfRule type="cellIs" dxfId="94" priority="76" stopIfTrue="1" operator="equal">
      <formula>"Scheduled"</formula>
    </cfRule>
    <cfRule type="cellIs" dxfId="93" priority="77" stopIfTrue="1" operator="equal">
      <formula>"Ready to Schedule"</formula>
    </cfRule>
  </conditionalFormatting>
  <conditionalFormatting sqref="A2:V205">
    <cfRule type="expression" dxfId="92" priority="78">
      <formula>OR(LOWER(TRIM($V2))="cancelled",LOWER(TRIM($V2))="canceled")</formula>
    </cfRule>
  </conditionalFormatting>
  <hyperlinks>
    <hyperlink ref="Q2" r:id="rId1" xr:uid="{C5DF3CD9-356F-4F67-BCB5-9075C8876417}"/>
    <hyperlink ref="P2" r:id="rId2" xr:uid="{B1EF741D-FA6B-469E-A107-001E60AF842B}"/>
    <hyperlink ref="O2" r:id="rId3" xr:uid="{63D10160-7DBC-4480-94A9-9BCCE1521E32}"/>
    <hyperlink ref="Q3" r:id="rId4" xr:uid="{2A4D7B20-798C-4036-B23C-C569FDC01C40}"/>
    <hyperlink ref="O3" r:id="rId5" xr:uid="{4F340113-BAB1-4DD2-B68B-7C6424233332}"/>
    <hyperlink ref="P3" r:id="rId6" xr:uid="{9539E592-B14A-4E82-BEAE-7C799482AF2D}"/>
    <hyperlink ref="Q4" r:id="rId7" xr:uid="{8064FD5E-EB6D-4EB8-8AC3-06061A90AEF7}"/>
    <hyperlink ref="P4" r:id="rId8" xr:uid="{38A4E510-C938-41AD-8656-7B53DBB7BB85}"/>
    <hyperlink ref="O4" r:id="rId9" xr:uid="{C8AA0763-87FD-444C-ABFF-95F236FF7C64}"/>
    <hyperlink ref="Q5" r:id="rId10" xr:uid="{1CB85F16-BF36-45F9-9095-A3FCCD87B68B}"/>
    <hyperlink ref="O5" r:id="rId11" xr:uid="{153F4F96-47F6-4CF4-B545-A2B0AB8654A6}"/>
    <hyperlink ref="P5" r:id="rId12" xr:uid="{41648654-B226-48C6-A696-1E77F15E636A}"/>
    <hyperlink ref="O6" r:id="rId13" xr:uid="{B0AA15BA-DFC8-4665-B493-962462B47CFB}"/>
    <hyperlink ref="P6" r:id="rId14" xr:uid="{5B3DB452-49BC-46F0-B74A-FB3766A847FA}"/>
    <hyperlink ref="Q6" r:id="rId15" xr:uid="{AF0DE29B-80C2-4569-80B1-E9ECBFB56639}"/>
    <hyperlink ref="Q7" r:id="rId16" xr:uid="{84026660-6DCC-4007-97AC-BB4B1B932ED1}"/>
    <hyperlink ref="P7" r:id="rId17" xr:uid="{1FFA060D-9CFA-49E8-AC98-CB536EBE22A1}"/>
    <hyperlink ref="O7" r:id="rId18" xr:uid="{D760E562-5AC1-45AA-93D7-2629329C4F9A}"/>
    <hyperlink ref="Q8" r:id="rId19" xr:uid="{D4112957-6000-4F0C-8CB9-7ED4B826A770}"/>
    <hyperlink ref="O8" r:id="rId20" xr:uid="{9941AB6F-6696-4C72-B32A-A2DCC36BC1B9}"/>
    <hyperlink ref="P8" r:id="rId21" xr:uid="{C968AD82-E1BB-4704-9605-704690756FB7}"/>
    <hyperlink ref="O9" r:id="rId22" xr:uid="{2EAAC10A-BADA-49AA-A92E-06C35B2D5657}"/>
    <hyperlink ref="P9" r:id="rId23" xr:uid="{BBD00424-AF59-4F1C-90E6-E2F66E750CC0}"/>
    <hyperlink ref="Q9" r:id="rId24" xr:uid="{9DC1FBA9-0C09-4ADD-8582-878945AEE195}"/>
    <hyperlink ref="Q11" r:id="rId25" xr:uid="{9169CA49-8AE7-4207-92BA-22C3996630C5}"/>
    <hyperlink ref="O11" r:id="rId26" xr:uid="{F00572BE-49EE-47FD-90CD-EDE0ADD450EF}"/>
    <hyperlink ref="P11" r:id="rId27" xr:uid="{62C54C11-0082-459C-91C0-610365CF8B3B}"/>
    <hyperlink ref="Q10" r:id="rId28" xr:uid="{161D3DCB-0DB5-4B36-8A9F-C0D17042621C}"/>
    <hyperlink ref="O10" r:id="rId29" xr:uid="{D73D7744-FA91-4BE5-9C7D-AD2A673AD192}"/>
    <hyperlink ref="P10" r:id="rId30" xr:uid="{88D2ED1A-4B36-4810-B23B-72353C3059A8}"/>
    <hyperlink ref="Q12" r:id="rId31" xr:uid="{B0CA81DE-255E-4D5E-A412-0853F00DA487}"/>
    <hyperlink ref="O12" r:id="rId32" xr:uid="{CBACD36F-A730-41D2-B747-C0A2E632862D}"/>
    <hyperlink ref="P12" r:id="rId33" xr:uid="{04ACD081-C446-424C-BD5E-C8BB98E4D877}"/>
  </hyperlinks>
  <pageMargins left="0.7" right="0.7" top="0.75" bottom="0.75" header="0.3" footer="0.3"/>
  <tableParts count="1">
    <tablePart r:id="rId34"/>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9082D3C-2A1F-4A9A-B38E-95A487615AFB}">
          <x14:formula1>
            <xm:f>Dropdowns!$A$2:$A$9</xm:f>
          </x14:formula1>
          <xm:sqref>D2:D205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R1000"/>
  <sheetViews>
    <sheetView showGridLines="0" zoomScale="85" zoomScaleNormal="85" workbookViewId="0">
      <selection activeCell="C17" sqref="C17"/>
    </sheetView>
  </sheetViews>
  <sheetFormatPr defaultRowHeight="15"/>
  <cols>
    <col min="1" max="1" width="25.625" style="5" customWidth="1"/>
    <col min="2" max="2" width="11.625" style="5" customWidth="1"/>
    <col min="3" max="3" width="34.625" style="5" customWidth="1"/>
    <col min="4" max="4" width="16.625" style="5" customWidth="1"/>
    <col min="5" max="5" width="42.625" style="5" hidden="1" customWidth="1"/>
    <col min="6" max="6" width="16.625" style="5" customWidth="1"/>
    <col min="7" max="7" width="13.625" style="5" customWidth="1"/>
    <col min="8" max="8" width="12.625" style="5" customWidth="1"/>
    <col min="9" max="9" width="13.625" style="5" customWidth="1"/>
    <col min="10" max="10" width="13.75" style="5" bestFit="1" customWidth="1"/>
    <col min="11" max="11" width="13.5" style="5" bestFit="1" customWidth="1"/>
    <col min="12" max="12" width="19.25" style="5" bestFit="1" customWidth="1"/>
    <col min="13" max="14" width="14.625" style="5" customWidth="1"/>
    <col min="15" max="15" width="18.25" style="5" hidden="1" customWidth="1"/>
    <col min="16" max="16" width="18.625" style="5" hidden="1" customWidth="1"/>
    <col min="17" max="17" width="50.625" style="5" customWidth="1"/>
    <col min="18" max="18" width="36.625" style="5" customWidth="1"/>
    <col min="19" max="16384" width="9" style="1"/>
  </cols>
  <sheetData>
    <row r="1" spans="1:17" s="2" customFormat="1" ht="30">
      <c r="A1" s="6" t="s">
        <v>97</v>
      </c>
      <c r="B1" s="6" t="s">
        <v>120</v>
      </c>
      <c r="C1" s="6" t="s">
        <v>121</v>
      </c>
      <c r="D1" s="6" t="s">
        <v>122</v>
      </c>
      <c r="E1" s="6" t="s">
        <v>123</v>
      </c>
      <c r="F1" s="6" t="s">
        <v>103</v>
      </c>
      <c r="G1" s="6" t="s">
        <v>193</v>
      </c>
      <c r="H1" s="6" t="s">
        <v>194</v>
      </c>
      <c r="I1" s="6" t="s">
        <v>104</v>
      </c>
      <c r="J1" s="6" t="s">
        <v>105</v>
      </c>
      <c r="K1" s="6" t="s">
        <v>195</v>
      </c>
      <c r="L1" s="6" t="s">
        <v>132</v>
      </c>
      <c r="M1" s="6" t="s">
        <v>133</v>
      </c>
      <c r="N1" s="6" t="s">
        <v>134</v>
      </c>
      <c r="O1" s="6" t="s">
        <v>135</v>
      </c>
      <c r="P1" s="6" t="s">
        <v>136</v>
      </c>
      <c r="Q1" s="6" t="s">
        <v>137</v>
      </c>
    </row>
    <row r="2" spans="1:17" s="7" customFormat="1" ht="171">
      <c r="A2" s="60">
        <v>46174</v>
      </c>
      <c r="B2" s="18" t="s">
        <v>196</v>
      </c>
      <c r="C2" s="6" t="s">
        <v>197</v>
      </c>
      <c r="D2" s="6" t="s">
        <v>160</v>
      </c>
      <c r="E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Done: Send SMS Options, Send Test, Approval, Segments</v>
      </c>
      <c r="F2" s="39" t="s">
        <v>141</v>
      </c>
      <c r="G2" s="40" t="b">
        <v>1</v>
      </c>
      <c r="H2" s="40" t="b">
        <v>1</v>
      </c>
      <c r="I2" s="40" t="b">
        <v>1</v>
      </c>
      <c r="J2" s="40" t="b">
        <v>1</v>
      </c>
      <c r="K2" s="48" t="s">
        <v>198</v>
      </c>
      <c r="L2" s="69" t="s">
        <v>199</v>
      </c>
      <c r="M2" s="43">
        <v>64277</v>
      </c>
      <c r="N2" s="43">
        <v>63900</v>
      </c>
      <c r="O2" s="41">
        <v>46181.032453703701</v>
      </c>
      <c r="P2" s="39" t="s">
        <v>192</v>
      </c>
      <c r="Q2" s="39"/>
    </row>
    <row r="3" spans="1:17" s="7" customFormat="1" ht="171">
      <c r="A3" s="60">
        <v>46178</v>
      </c>
      <c r="B3" s="18" t="s">
        <v>196</v>
      </c>
      <c r="C3" s="6" t="s">
        <v>200</v>
      </c>
      <c r="D3" s="6" t="s">
        <v>140</v>
      </c>
      <c r="E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Done: Send SMS Options, Send Test, Approval, Segments</v>
      </c>
      <c r="F3" s="39" t="s">
        <v>141</v>
      </c>
      <c r="G3" s="40" t="b">
        <v>1</v>
      </c>
      <c r="H3" s="40" t="b">
        <v>1</v>
      </c>
      <c r="I3" s="40" t="b">
        <v>1</v>
      </c>
      <c r="J3" s="40" t="b">
        <v>1</v>
      </c>
      <c r="K3" s="48" t="s">
        <v>201</v>
      </c>
      <c r="L3" s="48" t="s">
        <v>202</v>
      </c>
      <c r="M3" s="43">
        <v>56545</v>
      </c>
      <c r="N3" s="43">
        <v>56423</v>
      </c>
      <c r="O3" s="41">
        <v>46181.003645833334</v>
      </c>
      <c r="P3" s="39" t="s">
        <v>192</v>
      </c>
      <c r="Q3" s="39"/>
    </row>
    <row r="4" spans="1:17" s="7" customFormat="1" ht="71.25">
      <c r="A4" s="60">
        <v>46178</v>
      </c>
      <c r="B4" s="18" t="s">
        <v>203</v>
      </c>
      <c r="C4" s="6" t="s">
        <v>204</v>
      </c>
      <c r="D4" s="6" t="s">
        <v>140</v>
      </c>
      <c r="E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Done: Send SMS Options, Send Test, Approval, Segments</v>
      </c>
      <c r="F4" s="39" t="s">
        <v>161</v>
      </c>
      <c r="G4" s="40" t="b">
        <v>1</v>
      </c>
      <c r="H4" s="40" t="b">
        <v>1</v>
      </c>
      <c r="I4" s="40" t="b">
        <v>1</v>
      </c>
      <c r="J4" s="40" t="b">
        <v>1</v>
      </c>
      <c r="K4" s="6"/>
      <c r="L4" s="48" t="s">
        <v>205</v>
      </c>
      <c r="M4" s="6"/>
      <c r="N4" s="43">
        <v>101474</v>
      </c>
      <c r="O4" s="41">
        <v>46181.003645833334</v>
      </c>
      <c r="P4" s="39" t="s">
        <v>192</v>
      </c>
      <c r="Q4" s="39"/>
    </row>
    <row r="5" spans="1:17" s="7" customFormat="1" ht="171">
      <c r="A5" s="60">
        <v>46180</v>
      </c>
      <c r="B5" s="18" t="s">
        <v>196</v>
      </c>
      <c r="C5" s="6" t="s">
        <v>206</v>
      </c>
      <c r="D5" s="6" t="s">
        <v>188</v>
      </c>
      <c r="E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Done: Send SMS Options, Send Test, Approval, Segments</v>
      </c>
      <c r="F5" s="39" t="s">
        <v>141</v>
      </c>
      <c r="G5" s="40" t="b">
        <v>1</v>
      </c>
      <c r="H5" s="40" t="b">
        <v>1</v>
      </c>
      <c r="I5" s="40" t="b">
        <v>1</v>
      </c>
      <c r="J5" s="40" t="b">
        <v>1</v>
      </c>
      <c r="K5" s="48" t="s">
        <v>207</v>
      </c>
      <c r="L5" s="48" t="s">
        <v>208</v>
      </c>
      <c r="M5" s="43">
        <v>20163</v>
      </c>
      <c r="N5" s="43">
        <v>9980</v>
      </c>
      <c r="O5" s="41">
        <v>46181.003645833334</v>
      </c>
      <c r="P5" s="39" t="s">
        <v>192</v>
      </c>
      <c r="Q5" s="39"/>
    </row>
    <row r="6" spans="1:17" s="7" customFormat="1" ht="71.25">
      <c r="A6" s="60">
        <v>46180</v>
      </c>
      <c r="B6" s="18" t="s">
        <v>209</v>
      </c>
      <c r="C6" s="6" t="s">
        <v>204</v>
      </c>
      <c r="D6" s="6" t="s">
        <v>140</v>
      </c>
      <c r="E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Done: Send SMS Options, Send Test, Approval, Segments</v>
      </c>
      <c r="F6" s="39" t="s">
        <v>210</v>
      </c>
      <c r="G6" s="40" t="b">
        <v>1</v>
      </c>
      <c r="H6" s="40" t="b">
        <v>1</v>
      </c>
      <c r="I6" s="40" t="b">
        <v>1</v>
      </c>
      <c r="J6" s="40" t="b">
        <v>1</v>
      </c>
      <c r="K6" s="6"/>
      <c r="L6" s="48" t="s">
        <v>211</v>
      </c>
      <c r="M6" s="43">
        <v>28616</v>
      </c>
      <c r="N6" s="43">
        <v>20362</v>
      </c>
      <c r="O6" s="41">
        <v>46181.053379629629</v>
      </c>
      <c r="P6" s="39" t="s">
        <v>192</v>
      </c>
      <c r="Q6" s="39"/>
    </row>
    <row r="7" spans="1:17" s="7" customFormat="1">
      <c r="A7" s="60"/>
      <c r="B7" s="18"/>
      <c r="C7" s="6"/>
      <c r="D7" s="6"/>
      <c r="E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 s="39"/>
      <c r="G7" s="40" t="b">
        <v>0</v>
      </c>
      <c r="H7" s="40" t="b">
        <v>0</v>
      </c>
      <c r="I7" s="40" t="b">
        <v>0</v>
      </c>
      <c r="J7" s="40" t="b">
        <v>0</v>
      </c>
      <c r="K7" s="6"/>
      <c r="L7" s="6"/>
      <c r="M7" s="6"/>
      <c r="N7" s="6"/>
      <c r="O7" s="41">
        <v>46181.003645833334</v>
      </c>
      <c r="P7" s="39" t="s">
        <v>192</v>
      </c>
      <c r="Q7" s="39"/>
    </row>
    <row r="8" spans="1:17" s="7" customFormat="1">
      <c r="A8" s="60"/>
      <c r="B8" s="18"/>
      <c r="C8" s="6"/>
      <c r="D8" s="6"/>
      <c r="E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 s="39"/>
      <c r="G8" s="40" t="b">
        <v>0</v>
      </c>
      <c r="H8" s="40" t="b">
        <v>0</v>
      </c>
      <c r="I8" s="40" t="b">
        <v>0</v>
      </c>
      <c r="J8" s="40" t="b">
        <v>0</v>
      </c>
      <c r="K8" s="6"/>
      <c r="L8" s="6"/>
      <c r="M8" s="6"/>
      <c r="N8" s="6"/>
      <c r="O8" s="41">
        <v>46181.003645833334</v>
      </c>
      <c r="P8" s="39" t="s">
        <v>192</v>
      </c>
      <c r="Q8" s="39"/>
    </row>
    <row r="9" spans="1:17" s="7" customFormat="1">
      <c r="A9" s="60"/>
      <c r="B9" s="18"/>
      <c r="C9" s="6"/>
      <c r="D9" s="6"/>
      <c r="E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 s="39"/>
      <c r="G9" s="40" t="b">
        <v>0</v>
      </c>
      <c r="H9" s="40" t="b">
        <v>0</v>
      </c>
      <c r="I9" s="40" t="b">
        <v>0</v>
      </c>
      <c r="J9" s="40" t="b">
        <v>0</v>
      </c>
      <c r="K9" s="6"/>
      <c r="L9" s="6"/>
      <c r="M9" s="6"/>
      <c r="N9" s="6"/>
      <c r="O9" s="41">
        <v>46181.003645833334</v>
      </c>
      <c r="P9" s="39" t="s">
        <v>192</v>
      </c>
      <c r="Q9" s="39"/>
    </row>
    <row r="10" spans="1:17" s="7" customFormat="1">
      <c r="A10" s="60"/>
      <c r="B10" s="18"/>
      <c r="C10" s="6"/>
      <c r="D10" s="6"/>
      <c r="E1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 s="39"/>
      <c r="G10" s="40" t="b">
        <v>0</v>
      </c>
      <c r="H10" s="40" t="b">
        <v>0</v>
      </c>
      <c r="I10" s="40" t="b">
        <v>0</v>
      </c>
      <c r="J10" s="40" t="b">
        <v>0</v>
      </c>
      <c r="K10" s="6"/>
      <c r="L10" s="6"/>
      <c r="M10" s="6"/>
      <c r="N10" s="6"/>
      <c r="O10" s="41">
        <v>46181.003645833334</v>
      </c>
      <c r="P10" s="39" t="s">
        <v>192</v>
      </c>
      <c r="Q10" s="39"/>
    </row>
    <row r="11" spans="1:17" s="7" customFormat="1">
      <c r="A11" s="60"/>
      <c r="B11" s="18"/>
      <c r="C11" s="6"/>
      <c r="D11" s="6"/>
      <c r="E1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 s="39"/>
      <c r="G11" s="40" t="b">
        <v>0</v>
      </c>
      <c r="H11" s="40" t="b">
        <v>0</v>
      </c>
      <c r="I11" s="40" t="b">
        <v>0</v>
      </c>
      <c r="J11" s="40" t="b">
        <v>0</v>
      </c>
      <c r="K11" s="6"/>
      <c r="L11" s="6"/>
      <c r="M11" s="6"/>
      <c r="N11" s="6"/>
      <c r="O11" s="41">
        <v>46181.003645833334</v>
      </c>
      <c r="P11" s="39" t="s">
        <v>192</v>
      </c>
      <c r="Q11" s="39"/>
    </row>
    <row r="12" spans="1:17" s="7" customFormat="1">
      <c r="A12" s="60"/>
      <c r="B12" s="18"/>
      <c r="C12" s="6"/>
      <c r="D12" s="6"/>
      <c r="E1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 s="39"/>
      <c r="G12" s="40" t="b">
        <v>0</v>
      </c>
      <c r="H12" s="40" t="b">
        <v>0</v>
      </c>
      <c r="I12" s="40" t="b">
        <v>0</v>
      </c>
      <c r="J12" s="40" t="b">
        <v>0</v>
      </c>
      <c r="K12" s="6"/>
      <c r="L12" s="6"/>
      <c r="M12" s="6"/>
      <c r="N12" s="6"/>
      <c r="O12" s="41">
        <v>46181.003645833334</v>
      </c>
      <c r="P12" s="39" t="s">
        <v>192</v>
      </c>
      <c r="Q12" s="39"/>
    </row>
    <row r="13" spans="1:17" s="7" customFormat="1">
      <c r="A13" s="60"/>
      <c r="B13" s="18"/>
      <c r="C13" s="6"/>
      <c r="D13" s="6"/>
      <c r="E1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 s="39"/>
      <c r="G13" s="40" t="b">
        <v>0</v>
      </c>
      <c r="H13" s="40" t="b">
        <v>0</v>
      </c>
      <c r="I13" s="40" t="b">
        <v>0</v>
      </c>
      <c r="J13" s="40" t="b">
        <v>0</v>
      </c>
      <c r="K13" s="6"/>
      <c r="L13" s="6"/>
      <c r="M13" s="6"/>
      <c r="N13" s="6"/>
      <c r="O13" s="41">
        <v>46181.003645833334</v>
      </c>
      <c r="P13" s="39" t="s">
        <v>192</v>
      </c>
      <c r="Q13" s="39"/>
    </row>
    <row r="14" spans="1:17" s="7" customFormat="1">
      <c r="A14" s="60"/>
      <c r="B14" s="18"/>
      <c r="C14" s="6"/>
      <c r="D14" s="6"/>
      <c r="E1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 s="39"/>
      <c r="G14" s="40" t="b">
        <v>0</v>
      </c>
      <c r="H14" s="40" t="b">
        <v>0</v>
      </c>
      <c r="I14" s="40" t="b">
        <v>0</v>
      </c>
      <c r="J14" s="40" t="b">
        <v>0</v>
      </c>
      <c r="K14" s="6"/>
      <c r="L14" s="6"/>
      <c r="M14" s="6"/>
      <c r="N14" s="6"/>
      <c r="O14" s="41">
        <v>46181.003645833334</v>
      </c>
      <c r="P14" s="39" t="s">
        <v>192</v>
      </c>
      <c r="Q14" s="39"/>
    </row>
    <row r="15" spans="1:17" s="7" customFormat="1">
      <c r="A15" s="60"/>
      <c r="B15" s="18"/>
      <c r="C15" s="6"/>
      <c r="D15" s="6"/>
      <c r="E1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 s="39"/>
      <c r="G15" s="40" t="b">
        <v>0</v>
      </c>
      <c r="H15" s="40" t="b">
        <v>0</v>
      </c>
      <c r="I15" s="40" t="b">
        <v>0</v>
      </c>
      <c r="J15" s="40" t="b">
        <v>0</v>
      </c>
      <c r="K15" s="6"/>
      <c r="L15" s="6"/>
      <c r="M15" s="6"/>
      <c r="N15" s="6"/>
      <c r="O15" s="41">
        <v>46181.003645833334</v>
      </c>
      <c r="P15" s="39" t="s">
        <v>192</v>
      </c>
      <c r="Q15" s="39"/>
    </row>
    <row r="16" spans="1:17" s="7" customFormat="1">
      <c r="A16" s="60"/>
      <c r="B16" s="18"/>
      <c r="C16" s="6"/>
      <c r="D16" s="6"/>
      <c r="E1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 s="39"/>
      <c r="G16" s="40" t="b">
        <v>0</v>
      </c>
      <c r="H16" s="40" t="b">
        <v>0</v>
      </c>
      <c r="I16" s="40" t="b">
        <v>0</v>
      </c>
      <c r="J16" s="40" t="b">
        <v>0</v>
      </c>
      <c r="K16" s="6"/>
      <c r="L16" s="6"/>
      <c r="M16" s="6"/>
      <c r="N16" s="6"/>
      <c r="O16" s="41">
        <v>46181.003645833334</v>
      </c>
      <c r="P16" s="39" t="s">
        <v>192</v>
      </c>
      <c r="Q16" s="39"/>
    </row>
    <row r="17" spans="1:17" s="7" customFormat="1">
      <c r="A17" s="60"/>
      <c r="B17" s="18"/>
      <c r="C17" s="6"/>
      <c r="D17" s="6"/>
      <c r="E1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 s="39"/>
      <c r="G17" s="40" t="b">
        <v>0</v>
      </c>
      <c r="H17" s="40" t="b">
        <v>0</v>
      </c>
      <c r="I17" s="40" t="b">
        <v>0</v>
      </c>
      <c r="J17" s="40" t="b">
        <v>0</v>
      </c>
      <c r="K17" s="6"/>
      <c r="L17" s="6"/>
      <c r="M17" s="6"/>
      <c r="N17" s="6"/>
      <c r="O17" s="41">
        <v>46181.003645833334</v>
      </c>
      <c r="P17" s="39" t="s">
        <v>192</v>
      </c>
      <c r="Q17" s="39"/>
    </row>
    <row r="18" spans="1:17" s="7" customFormat="1">
      <c r="A18" s="60"/>
      <c r="B18" s="18"/>
      <c r="C18" s="6"/>
      <c r="D18" s="6"/>
      <c r="E1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 s="39"/>
      <c r="G18" s="40" t="b">
        <v>0</v>
      </c>
      <c r="H18" s="40" t="b">
        <v>0</v>
      </c>
      <c r="I18" s="40" t="b">
        <v>0</v>
      </c>
      <c r="J18" s="40" t="b">
        <v>0</v>
      </c>
      <c r="K18" s="6"/>
      <c r="L18" s="6"/>
      <c r="M18" s="6"/>
      <c r="N18" s="6"/>
      <c r="O18" s="41">
        <v>46181.003657407404</v>
      </c>
      <c r="P18" s="39" t="s">
        <v>192</v>
      </c>
      <c r="Q18" s="39"/>
    </row>
    <row r="19" spans="1:17" s="7" customFormat="1">
      <c r="A19" s="60"/>
      <c r="B19" s="18"/>
      <c r="C19" s="6"/>
      <c r="D19" s="6"/>
      <c r="E1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 s="39"/>
      <c r="G19" s="40" t="b">
        <v>0</v>
      </c>
      <c r="H19" s="40" t="b">
        <v>0</v>
      </c>
      <c r="I19" s="40" t="b">
        <v>0</v>
      </c>
      <c r="J19" s="40" t="b">
        <v>0</v>
      </c>
      <c r="K19" s="6"/>
      <c r="L19" s="6"/>
      <c r="M19" s="6"/>
      <c r="N19" s="6"/>
      <c r="O19" s="41">
        <v>46181.003657407404</v>
      </c>
      <c r="P19" s="39" t="s">
        <v>192</v>
      </c>
      <c r="Q19" s="39"/>
    </row>
    <row r="20" spans="1:17" s="7" customFormat="1">
      <c r="A20" s="60"/>
      <c r="B20" s="18"/>
      <c r="C20" s="6"/>
      <c r="D20" s="6"/>
      <c r="E2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0" s="39"/>
      <c r="G20" s="40" t="b">
        <v>0</v>
      </c>
      <c r="H20" s="40" t="b">
        <v>0</v>
      </c>
      <c r="I20" s="40" t="b">
        <v>0</v>
      </c>
      <c r="J20" s="40" t="b">
        <v>0</v>
      </c>
      <c r="K20" s="6"/>
      <c r="L20" s="6"/>
      <c r="M20" s="6"/>
      <c r="N20" s="6"/>
      <c r="O20" s="41">
        <v>46181.003657407404</v>
      </c>
      <c r="P20" s="39" t="s">
        <v>192</v>
      </c>
      <c r="Q20" s="39"/>
    </row>
    <row r="21" spans="1:17" s="7" customFormat="1">
      <c r="A21" s="60"/>
      <c r="B21" s="18"/>
      <c r="C21" s="6"/>
      <c r="D21" s="6"/>
      <c r="E2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1" s="39"/>
      <c r="G21" s="40" t="b">
        <v>0</v>
      </c>
      <c r="H21" s="40" t="b">
        <v>0</v>
      </c>
      <c r="I21" s="40" t="b">
        <v>0</v>
      </c>
      <c r="J21" s="40" t="b">
        <v>0</v>
      </c>
      <c r="K21" s="6"/>
      <c r="L21" s="6"/>
      <c r="M21" s="6"/>
      <c r="N21" s="6"/>
      <c r="O21" s="41">
        <v>46181.003657407404</v>
      </c>
      <c r="P21" s="39" t="s">
        <v>192</v>
      </c>
      <c r="Q21" s="39"/>
    </row>
    <row r="22" spans="1:17" s="7" customFormat="1">
      <c r="A22" s="60"/>
      <c r="B22" s="18"/>
      <c r="C22" s="6"/>
      <c r="D22" s="6"/>
      <c r="E2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2" s="39"/>
      <c r="G22" s="40" t="b">
        <v>0</v>
      </c>
      <c r="H22" s="40" t="b">
        <v>0</v>
      </c>
      <c r="I22" s="40" t="b">
        <v>0</v>
      </c>
      <c r="J22" s="40" t="b">
        <v>0</v>
      </c>
      <c r="K22" s="6"/>
      <c r="L22" s="6"/>
      <c r="M22" s="6"/>
      <c r="N22" s="6"/>
      <c r="O22" s="41">
        <v>46181.003657407404</v>
      </c>
      <c r="P22" s="39" t="s">
        <v>192</v>
      </c>
      <c r="Q22" s="39"/>
    </row>
    <row r="23" spans="1:17" s="7" customFormat="1">
      <c r="A23" s="60"/>
      <c r="B23" s="18"/>
      <c r="C23" s="6"/>
      <c r="D23" s="6"/>
      <c r="E2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3" s="39"/>
      <c r="G23" s="40" t="b">
        <v>0</v>
      </c>
      <c r="H23" s="40" t="b">
        <v>0</v>
      </c>
      <c r="I23" s="40" t="b">
        <v>0</v>
      </c>
      <c r="J23" s="40" t="b">
        <v>0</v>
      </c>
      <c r="K23" s="6"/>
      <c r="L23" s="6"/>
      <c r="M23" s="6"/>
      <c r="N23" s="6"/>
      <c r="O23" s="41">
        <v>46181.003657407404</v>
      </c>
      <c r="P23" s="39" t="s">
        <v>192</v>
      </c>
      <c r="Q23" s="39"/>
    </row>
    <row r="24" spans="1:17" s="7" customFormat="1">
      <c r="A24" s="60"/>
      <c r="B24" s="18"/>
      <c r="C24" s="6"/>
      <c r="D24" s="6"/>
      <c r="E2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4" s="39"/>
      <c r="G24" s="40" t="b">
        <v>0</v>
      </c>
      <c r="H24" s="40" t="b">
        <v>0</v>
      </c>
      <c r="I24" s="40" t="b">
        <v>0</v>
      </c>
      <c r="J24" s="40" t="b">
        <v>0</v>
      </c>
      <c r="K24" s="6"/>
      <c r="L24" s="6"/>
      <c r="M24" s="6"/>
      <c r="N24" s="6"/>
      <c r="O24" s="41">
        <v>46181.003657407404</v>
      </c>
      <c r="P24" s="39" t="s">
        <v>192</v>
      </c>
      <c r="Q24" s="39"/>
    </row>
    <row r="25" spans="1:17" s="7" customFormat="1">
      <c r="A25" s="60"/>
      <c r="B25" s="18"/>
      <c r="C25" s="6"/>
      <c r="D25" s="6"/>
      <c r="E2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5" s="39"/>
      <c r="G25" s="40" t="b">
        <v>0</v>
      </c>
      <c r="H25" s="40" t="b">
        <v>0</v>
      </c>
      <c r="I25" s="40" t="b">
        <v>0</v>
      </c>
      <c r="J25" s="40" t="b">
        <v>0</v>
      </c>
      <c r="K25" s="6"/>
      <c r="L25" s="6"/>
      <c r="M25" s="6"/>
      <c r="N25" s="6"/>
      <c r="O25" s="41">
        <v>46181.003657407404</v>
      </c>
      <c r="P25" s="39" t="s">
        <v>192</v>
      </c>
      <c r="Q25" s="39"/>
    </row>
    <row r="26" spans="1:17" s="7" customFormat="1">
      <c r="A26" s="60"/>
      <c r="B26" s="18"/>
      <c r="C26" s="6"/>
      <c r="D26" s="6"/>
      <c r="E2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6" s="39"/>
      <c r="G26" s="40" t="b">
        <v>0</v>
      </c>
      <c r="H26" s="40" t="b">
        <v>0</v>
      </c>
      <c r="I26" s="40" t="b">
        <v>0</v>
      </c>
      <c r="J26" s="40" t="b">
        <v>0</v>
      </c>
      <c r="K26" s="6"/>
      <c r="L26" s="6"/>
      <c r="M26" s="6"/>
      <c r="N26" s="6"/>
      <c r="O26" s="41">
        <v>46181.003657407404</v>
      </c>
      <c r="P26" s="39" t="s">
        <v>192</v>
      </c>
      <c r="Q26" s="39"/>
    </row>
    <row r="27" spans="1:17" s="7" customFormat="1">
      <c r="A27" s="60"/>
      <c r="B27" s="18"/>
      <c r="C27" s="6"/>
      <c r="D27" s="6"/>
      <c r="E2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7" s="39"/>
      <c r="G27" s="40" t="b">
        <v>0</v>
      </c>
      <c r="H27" s="40" t="b">
        <v>0</v>
      </c>
      <c r="I27" s="40" t="b">
        <v>0</v>
      </c>
      <c r="J27" s="40" t="b">
        <v>0</v>
      </c>
      <c r="K27" s="6"/>
      <c r="L27" s="6"/>
      <c r="M27" s="6"/>
      <c r="N27" s="6"/>
      <c r="O27" s="41">
        <v>46181.003657407404</v>
      </c>
      <c r="P27" s="39" t="s">
        <v>192</v>
      </c>
      <c r="Q27" s="39"/>
    </row>
    <row r="28" spans="1:17" s="7" customFormat="1">
      <c r="A28" s="60"/>
      <c r="B28" s="18"/>
      <c r="C28" s="6"/>
      <c r="D28" s="6"/>
      <c r="E2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8" s="39"/>
      <c r="G28" s="40" t="b">
        <v>0</v>
      </c>
      <c r="H28" s="40" t="b">
        <v>0</v>
      </c>
      <c r="I28" s="40" t="b">
        <v>0</v>
      </c>
      <c r="J28" s="40" t="b">
        <v>0</v>
      </c>
      <c r="K28" s="6"/>
      <c r="L28" s="6"/>
      <c r="M28" s="6"/>
      <c r="N28" s="6"/>
      <c r="O28" s="41">
        <v>46181.003657407404</v>
      </c>
      <c r="P28" s="39" t="s">
        <v>192</v>
      </c>
      <c r="Q28" s="39"/>
    </row>
    <row r="29" spans="1:17" s="7" customFormat="1">
      <c r="A29" s="60"/>
      <c r="B29" s="18"/>
      <c r="C29" s="6"/>
      <c r="D29" s="6"/>
      <c r="E2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9" s="39"/>
      <c r="G29" s="40" t="b">
        <v>0</v>
      </c>
      <c r="H29" s="40" t="b">
        <v>0</v>
      </c>
      <c r="I29" s="40" t="b">
        <v>0</v>
      </c>
      <c r="J29" s="40" t="b">
        <v>0</v>
      </c>
      <c r="K29" s="6"/>
      <c r="L29" s="6"/>
      <c r="M29" s="6"/>
      <c r="N29" s="6"/>
      <c r="O29" s="41">
        <v>46181.003657407404</v>
      </c>
      <c r="P29" s="39" t="s">
        <v>192</v>
      </c>
      <c r="Q29" s="39"/>
    </row>
    <row r="30" spans="1:17" s="7" customFormat="1">
      <c r="A30" s="60"/>
      <c r="B30" s="18"/>
      <c r="C30" s="6"/>
      <c r="D30" s="6"/>
      <c r="E3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0" s="39"/>
      <c r="G30" s="40" t="b">
        <v>0</v>
      </c>
      <c r="H30" s="40" t="b">
        <v>0</v>
      </c>
      <c r="I30" s="40" t="b">
        <v>0</v>
      </c>
      <c r="J30" s="40" t="b">
        <v>0</v>
      </c>
      <c r="K30" s="6"/>
      <c r="L30" s="6"/>
      <c r="M30" s="6"/>
      <c r="N30" s="6"/>
      <c r="O30" s="41">
        <v>46181.003657407404</v>
      </c>
      <c r="P30" s="39" t="s">
        <v>192</v>
      </c>
      <c r="Q30" s="39"/>
    </row>
    <row r="31" spans="1:17" s="7" customFormat="1">
      <c r="A31" s="60"/>
      <c r="B31" s="18"/>
      <c r="C31" s="6"/>
      <c r="D31" s="6"/>
      <c r="E3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1" s="39"/>
      <c r="G31" s="40" t="b">
        <v>0</v>
      </c>
      <c r="H31" s="40" t="b">
        <v>0</v>
      </c>
      <c r="I31" s="40" t="b">
        <v>0</v>
      </c>
      <c r="J31" s="40" t="b">
        <v>0</v>
      </c>
      <c r="K31" s="6"/>
      <c r="L31" s="6"/>
      <c r="M31" s="6"/>
      <c r="N31" s="6"/>
      <c r="O31" s="41">
        <v>46181.003657407404</v>
      </c>
      <c r="P31" s="39" t="s">
        <v>192</v>
      </c>
      <c r="Q31" s="39"/>
    </row>
    <row r="32" spans="1:17" s="7" customFormat="1">
      <c r="A32" s="60"/>
      <c r="B32" s="18"/>
      <c r="C32" s="6"/>
      <c r="D32" s="6"/>
      <c r="E3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2" s="39"/>
      <c r="G32" s="40" t="b">
        <v>0</v>
      </c>
      <c r="H32" s="40" t="b">
        <v>0</v>
      </c>
      <c r="I32" s="40" t="b">
        <v>0</v>
      </c>
      <c r="J32" s="40" t="b">
        <v>0</v>
      </c>
      <c r="K32" s="6"/>
      <c r="L32" s="6"/>
      <c r="M32" s="6"/>
      <c r="N32" s="6"/>
      <c r="O32" s="41">
        <v>46181.003657407404</v>
      </c>
      <c r="P32" s="39" t="s">
        <v>192</v>
      </c>
      <c r="Q32" s="39"/>
    </row>
    <row r="33" spans="1:17" s="7" customFormat="1">
      <c r="A33" s="60"/>
      <c r="B33" s="18"/>
      <c r="C33" s="6"/>
      <c r="D33" s="6"/>
      <c r="E3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3" s="39"/>
      <c r="G33" s="40" t="b">
        <v>0</v>
      </c>
      <c r="H33" s="40" t="b">
        <v>0</v>
      </c>
      <c r="I33" s="40" t="b">
        <v>0</v>
      </c>
      <c r="J33" s="40" t="b">
        <v>0</v>
      </c>
      <c r="K33" s="6"/>
      <c r="L33" s="6"/>
      <c r="M33" s="6"/>
      <c r="N33" s="6"/>
      <c r="O33" s="41">
        <v>46181.003657407404</v>
      </c>
      <c r="P33" s="39" t="s">
        <v>192</v>
      </c>
      <c r="Q33" s="39"/>
    </row>
    <row r="34" spans="1:17" s="7" customFormat="1">
      <c r="A34" s="60"/>
      <c r="B34" s="18"/>
      <c r="C34" s="6"/>
      <c r="D34" s="6"/>
      <c r="E3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4" s="39"/>
      <c r="G34" s="40" t="b">
        <v>0</v>
      </c>
      <c r="H34" s="40" t="b">
        <v>0</v>
      </c>
      <c r="I34" s="40" t="b">
        <v>0</v>
      </c>
      <c r="J34" s="40" t="b">
        <v>0</v>
      </c>
      <c r="K34" s="6"/>
      <c r="L34" s="6"/>
      <c r="M34" s="6"/>
      <c r="N34" s="6"/>
      <c r="O34" s="41">
        <v>46181.003657407404</v>
      </c>
      <c r="P34" s="39" t="s">
        <v>192</v>
      </c>
      <c r="Q34" s="39"/>
    </row>
    <row r="35" spans="1:17" s="7" customFormat="1">
      <c r="A35" s="60"/>
      <c r="B35" s="18"/>
      <c r="C35" s="6"/>
      <c r="D35" s="6"/>
      <c r="E3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5" s="39"/>
      <c r="G35" s="40" t="b">
        <v>0</v>
      </c>
      <c r="H35" s="40" t="b">
        <v>0</v>
      </c>
      <c r="I35" s="40" t="b">
        <v>0</v>
      </c>
      <c r="J35" s="40" t="b">
        <v>0</v>
      </c>
      <c r="K35" s="6"/>
      <c r="L35" s="6"/>
      <c r="M35" s="6"/>
      <c r="N35" s="6"/>
      <c r="O35" s="41">
        <v>46181.003657407404</v>
      </c>
      <c r="P35" s="39" t="s">
        <v>192</v>
      </c>
      <c r="Q35" s="39"/>
    </row>
    <row r="36" spans="1:17" s="7" customFormat="1">
      <c r="A36" s="60"/>
      <c r="B36" s="18"/>
      <c r="C36" s="6"/>
      <c r="D36" s="6"/>
      <c r="E3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6" s="39"/>
      <c r="G36" s="40" t="b">
        <v>0</v>
      </c>
      <c r="H36" s="40" t="b">
        <v>0</v>
      </c>
      <c r="I36" s="40" t="b">
        <v>0</v>
      </c>
      <c r="J36" s="40" t="b">
        <v>0</v>
      </c>
      <c r="K36" s="6"/>
      <c r="L36" s="6"/>
      <c r="M36" s="6"/>
      <c r="N36" s="6"/>
      <c r="O36" s="41">
        <v>46181.003657407404</v>
      </c>
      <c r="P36" s="39" t="s">
        <v>192</v>
      </c>
      <c r="Q36" s="39"/>
    </row>
    <row r="37" spans="1:17" s="7" customFormat="1">
      <c r="A37" s="60"/>
      <c r="B37" s="18"/>
      <c r="C37" s="6"/>
      <c r="D37" s="6"/>
      <c r="E3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7" s="39"/>
      <c r="G37" s="40" t="b">
        <v>0</v>
      </c>
      <c r="H37" s="40" t="b">
        <v>0</v>
      </c>
      <c r="I37" s="40" t="b">
        <v>0</v>
      </c>
      <c r="J37" s="40" t="b">
        <v>0</v>
      </c>
      <c r="K37" s="6"/>
      <c r="L37" s="6"/>
      <c r="M37" s="6"/>
      <c r="N37" s="6"/>
      <c r="O37" s="41">
        <v>46181.003657407404</v>
      </c>
      <c r="P37" s="39" t="s">
        <v>192</v>
      </c>
      <c r="Q37" s="39"/>
    </row>
    <row r="38" spans="1:17" s="7" customFormat="1">
      <c r="A38" s="60"/>
      <c r="B38" s="18"/>
      <c r="C38" s="6"/>
      <c r="D38" s="6"/>
      <c r="E3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8" s="39"/>
      <c r="G38" s="40" t="b">
        <v>0</v>
      </c>
      <c r="H38" s="40" t="b">
        <v>0</v>
      </c>
      <c r="I38" s="40" t="b">
        <v>0</v>
      </c>
      <c r="J38" s="40" t="b">
        <v>0</v>
      </c>
      <c r="K38" s="6"/>
      <c r="L38" s="6"/>
      <c r="M38" s="6"/>
      <c r="N38" s="6"/>
      <c r="O38" s="41">
        <v>46181.003657407404</v>
      </c>
      <c r="P38" s="39" t="s">
        <v>192</v>
      </c>
      <c r="Q38" s="39"/>
    </row>
    <row r="39" spans="1:17" s="7" customFormat="1">
      <c r="A39" s="60"/>
      <c r="B39" s="18"/>
      <c r="C39" s="6"/>
      <c r="D39" s="6"/>
      <c r="E3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39" s="39"/>
      <c r="G39" s="40" t="b">
        <v>0</v>
      </c>
      <c r="H39" s="40" t="b">
        <v>0</v>
      </c>
      <c r="I39" s="40" t="b">
        <v>0</v>
      </c>
      <c r="J39" s="40" t="b">
        <v>0</v>
      </c>
      <c r="K39" s="6"/>
      <c r="L39" s="6"/>
      <c r="M39" s="6"/>
      <c r="N39" s="6"/>
      <c r="O39" s="41">
        <v>46181.003657407404</v>
      </c>
      <c r="P39" s="39" t="s">
        <v>192</v>
      </c>
      <c r="Q39" s="39"/>
    </row>
    <row r="40" spans="1:17" s="7" customFormat="1">
      <c r="A40" s="60"/>
      <c r="B40" s="18"/>
      <c r="C40" s="6"/>
      <c r="D40" s="6"/>
      <c r="E4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0" s="39"/>
      <c r="G40" s="40" t="b">
        <v>0</v>
      </c>
      <c r="H40" s="40" t="b">
        <v>0</v>
      </c>
      <c r="I40" s="40" t="b">
        <v>0</v>
      </c>
      <c r="J40" s="40" t="b">
        <v>0</v>
      </c>
      <c r="K40" s="6"/>
      <c r="L40" s="6"/>
      <c r="M40" s="6"/>
      <c r="N40" s="6"/>
      <c r="O40" s="41">
        <v>46181.003668981481</v>
      </c>
      <c r="P40" s="39" t="s">
        <v>192</v>
      </c>
      <c r="Q40" s="39"/>
    </row>
    <row r="41" spans="1:17" s="7" customFormat="1">
      <c r="A41" s="60"/>
      <c r="B41" s="18"/>
      <c r="C41" s="6"/>
      <c r="D41" s="6"/>
      <c r="E4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1" s="39"/>
      <c r="G41" s="40" t="b">
        <v>0</v>
      </c>
      <c r="H41" s="40" t="b">
        <v>0</v>
      </c>
      <c r="I41" s="40" t="b">
        <v>0</v>
      </c>
      <c r="J41" s="40" t="b">
        <v>0</v>
      </c>
      <c r="K41" s="6"/>
      <c r="L41" s="6"/>
      <c r="M41" s="6"/>
      <c r="N41" s="6"/>
      <c r="O41" s="41">
        <v>46181.003668981481</v>
      </c>
      <c r="P41" s="39" t="s">
        <v>192</v>
      </c>
      <c r="Q41" s="39"/>
    </row>
    <row r="42" spans="1:17" s="7" customFormat="1">
      <c r="A42" s="60"/>
      <c r="B42" s="18"/>
      <c r="C42" s="6"/>
      <c r="D42" s="6"/>
      <c r="E4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2" s="39"/>
      <c r="G42" s="40" t="b">
        <v>0</v>
      </c>
      <c r="H42" s="40" t="b">
        <v>0</v>
      </c>
      <c r="I42" s="40" t="b">
        <v>0</v>
      </c>
      <c r="J42" s="40" t="b">
        <v>0</v>
      </c>
      <c r="K42" s="6"/>
      <c r="L42" s="6"/>
      <c r="M42" s="6"/>
      <c r="N42" s="6"/>
      <c r="O42" s="41">
        <v>46181.003668981481</v>
      </c>
      <c r="P42" s="39" t="s">
        <v>192</v>
      </c>
      <c r="Q42" s="39"/>
    </row>
    <row r="43" spans="1:17" s="7" customFormat="1">
      <c r="A43" s="60"/>
      <c r="B43" s="18"/>
      <c r="C43" s="6"/>
      <c r="D43" s="6"/>
      <c r="E4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3" s="39"/>
      <c r="G43" s="40" t="b">
        <v>0</v>
      </c>
      <c r="H43" s="40" t="b">
        <v>0</v>
      </c>
      <c r="I43" s="40" t="b">
        <v>0</v>
      </c>
      <c r="J43" s="40" t="b">
        <v>0</v>
      </c>
      <c r="K43" s="6"/>
      <c r="L43" s="6"/>
      <c r="M43" s="6"/>
      <c r="N43" s="6"/>
      <c r="O43" s="41">
        <v>46181.003668981481</v>
      </c>
      <c r="P43" s="39" t="s">
        <v>192</v>
      </c>
      <c r="Q43" s="39"/>
    </row>
    <row r="44" spans="1:17" s="7" customFormat="1">
      <c r="A44" s="60"/>
      <c r="B44" s="18"/>
      <c r="C44" s="6"/>
      <c r="D44" s="6"/>
      <c r="E4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4" s="39"/>
      <c r="G44" s="40" t="b">
        <v>0</v>
      </c>
      <c r="H44" s="40" t="b">
        <v>0</v>
      </c>
      <c r="I44" s="40" t="b">
        <v>0</v>
      </c>
      <c r="J44" s="40" t="b">
        <v>0</v>
      </c>
      <c r="K44" s="6"/>
      <c r="L44" s="6"/>
      <c r="M44" s="6"/>
      <c r="N44" s="6"/>
      <c r="O44" s="41">
        <v>46181.003668981481</v>
      </c>
      <c r="P44" s="39" t="s">
        <v>192</v>
      </c>
      <c r="Q44" s="39"/>
    </row>
    <row r="45" spans="1:17" s="7" customFormat="1">
      <c r="A45" s="60"/>
      <c r="B45" s="18"/>
      <c r="C45" s="6"/>
      <c r="D45" s="6"/>
      <c r="E4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5" s="39"/>
      <c r="G45" s="40" t="b">
        <v>0</v>
      </c>
      <c r="H45" s="40" t="b">
        <v>0</v>
      </c>
      <c r="I45" s="40" t="b">
        <v>0</v>
      </c>
      <c r="J45" s="40" t="b">
        <v>0</v>
      </c>
      <c r="K45" s="6"/>
      <c r="L45" s="6"/>
      <c r="M45" s="6"/>
      <c r="N45" s="6"/>
      <c r="O45" s="41">
        <v>46181.003668981481</v>
      </c>
      <c r="P45" s="39" t="s">
        <v>192</v>
      </c>
      <c r="Q45" s="39"/>
    </row>
    <row r="46" spans="1:17" s="7" customFormat="1">
      <c r="A46" s="60"/>
      <c r="B46" s="18"/>
      <c r="C46" s="6"/>
      <c r="D46" s="6"/>
      <c r="E4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6" s="39"/>
      <c r="G46" s="40" t="b">
        <v>0</v>
      </c>
      <c r="H46" s="40" t="b">
        <v>0</v>
      </c>
      <c r="I46" s="40" t="b">
        <v>0</v>
      </c>
      <c r="J46" s="40" t="b">
        <v>0</v>
      </c>
      <c r="K46" s="6"/>
      <c r="L46" s="6"/>
      <c r="M46" s="6"/>
      <c r="N46" s="6"/>
      <c r="O46" s="41">
        <v>46181.003668981481</v>
      </c>
      <c r="P46" s="39" t="s">
        <v>192</v>
      </c>
      <c r="Q46" s="39"/>
    </row>
    <row r="47" spans="1:17" s="7" customFormat="1">
      <c r="A47" s="60"/>
      <c r="B47" s="18"/>
      <c r="C47" s="6"/>
      <c r="D47" s="6"/>
      <c r="E4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7" s="39"/>
      <c r="G47" s="40" t="b">
        <v>0</v>
      </c>
      <c r="H47" s="40" t="b">
        <v>0</v>
      </c>
      <c r="I47" s="40" t="b">
        <v>0</v>
      </c>
      <c r="J47" s="40" t="b">
        <v>0</v>
      </c>
      <c r="K47" s="6"/>
      <c r="L47" s="6"/>
      <c r="M47" s="6"/>
      <c r="N47" s="6"/>
      <c r="O47" s="41">
        <v>46181.003668981481</v>
      </c>
      <c r="P47" s="39" t="s">
        <v>192</v>
      </c>
      <c r="Q47" s="39"/>
    </row>
    <row r="48" spans="1:17" s="7" customFormat="1">
      <c r="A48" s="60"/>
      <c r="B48" s="18"/>
      <c r="C48" s="6"/>
      <c r="D48" s="6"/>
      <c r="E4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8" s="39"/>
      <c r="G48" s="40" t="b">
        <v>0</v>
      </c>
      <c r="H48" s="40" t="b">
        <v>0</v>
      </c>
      <c r="I48" s="40" t="b">
        <v>0</v>
      </c>
      <c r="J48" s="40" t="b">
        <v>0</v>
      </c>
      <c r="K48" s="6"/>
      <c r="L48" s="6"/>
      <c r="M48" s="6"/>
      <c r="N48" s="6"/>
      <c r="O48" s="41">
        <v>46181.003668981481</v>
      </c>
      <c r="P48" s="39" t="s">
        <v>192</v>
      </c>
      <c r="Q48" s="39"/>
    </row>
    <row r="49" spans="1:17" s="7" customFormat="1">
      <c r="A49" s="60"/>
      <c r="B49" s="18"/>
      <c r="C49" s="6"/>
      <c r="D49" s="6"/>
      <c r="E4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49" s="39"/>
      <c r="G49" s="40" t="b">
        <v>0</v>
      </c>
      <c r="H49" s="40" t="b">
        <v>0</v>
      </c>
      <c r="I49" s="40" t="b">
        <v>0</v>
      </c>
      <c r="J49" s="40" t="b">
        <v>0</v>
      </c>
      <c r="K49" s="6"/>
      <c r="L49" s="6"/>
      <c r="M49" s="6"/>
      <c r="N49" s="6"/>
      <c r="O49" s="41">
        <v>46181.003668981481</v>
      </c>
      <c r="P49" s="39" t="s">
        <v>192</v>
      </c>
      <c r="Q49" s="39"/>
    </row>
    <row r="50" spans="1:17" s="7" customFormat="1">
      <c r="A50" s="60"/>
      <c r="B50" s="18"/>
      <c r="C50" s="6"/>
      <c r="D50" s="6"/>
      <c r="E5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0" s="39"/>
      <c r="G50" s="40" t="b">
        <v>0</v>
      </c>
      <c r="H50" s="40" t="b">
        <v>0</v>
      </c>
      <c r="I50" s="40" t="b">
        <v>0</v>
      </c>
      <c r="J50" s="40" t="b">
        <v>0</v>
      </c>
      <c r="K50" s="6"/>
      <c r="L50" s="6"/>
      <c r="M50" s="6"/>
      <c r="N50" s="6"/>
      <c r="O50" s="41">
        <v>46181.003668981481</v>
      </c>
      <c r="P50" s="39" t="s">
        <v>192</v>
      </c>
      <c r="Q50" s="39"/>
    </row>
    <row r="51" spans="1:17" s="7" customFormat="1">
      <c r="A51" s="60"/>
      <c r="B51" s="18"/>
      <c r="C51" s="6"/>
      <c r="D51" s="6"/>
      <c r="E5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1" s="39"/>
      <c r="G51" s="40" t="b">
        <v>0</v>
      </c>
      <c r="H51" s="40" t="b">
        <v>0</v>
      </c>
      <c r="I51" s="40" t="b">
        <v>0</v>
      </c>
      <c r="J51" s="40" t="b">
        <v>0</v>
      </c>
      <c r="K51" s="6"/>
      <c r="L51" s="6"/>
      <c r="M51" s="6"/>
      <c r="N51" s="6"/>
      <c r="O51" s="41">
        <v>46181.003668981481</v>
      </c>
      <c r="P51" s="39" t="s">
        <v>192</v>
      </c>
      <c r="Q51" s="39"/>
    </row>
    <row r="52" spans="1:17" s="7" customFormat="1">
      <c r="A52" s="60"/>
      <c r="B52" s="18"/>
      <c r="C52" s="6"/>
      <c r="D52" s="6"/>
      <c r="E5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2" s="39"/>
      <c r="G52" s="40" t="b">
        <v>0</v>
      </c>
      <c r="H52" s="40" t="b">
        <v>0</v>
      </c>
      <c r="I52" s="40" t="b">
        <v>0</v>
      </c>
      <c r="J52" s="40" t="b">
        <v>0</v>
      </c>
      <c r="K52" s="6"/>
      <c r="L52" s="6"/>
      <c r="M52" s="6"/>
      <c r="N52" s="6"/>
      <c r="O52" s="41">
        <v>46181.003668981481</v>
      </c>
      <c r="P52" s="39" t="s">
        <v>192</v>
      </c>
      <c r="Q52" s="39"/>
    </row>
    <row r="53" spans="1:17" s="7" customFormat="1">
      <c r="A53" s="60"/>
      <c r="B53" s="18"/>
      <c r="C53" s="6"/>
      <c r="D53" s="6"/>
      <c r="E5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3" s="39"/>
      <c r="G53" s="40" t="b">
        <v>0</v>
      </c>
      <c r="H53" s="40" t="b">
        <v>0</v>
      </c>
      <c r="I53" s="40" t="b">
        <v>0</v>
      </c>
      <c r="J53" s="40" t="b">
        <v>0</v>
      </c>
      <c r="K53" s="6"/>
      <c r="L53" s="6"/>
      <c r="M53" s="6"/>
      <c r="N53" s="6"/>
      <c r="O53" s="41">
        <v>46181.003668981481</v>
      </c>
      <c r="P53" s="39" t="s">
        <v>192</v>
      </c>
      <c r="Q53" s="39"/>
    </row>
    <row r="54" spans="1:17" s="7" customFormat="1">
      <c r="A54" s="60"/>
      <c r="B54" s="18"/>
      <c r="C54" s="6"/>
      <c r="D54" s="6"/>
      <c r="E5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4" s="39"/>
      <c r="G54" s="40" t="b">
        <v>0</v>
      </c>
      <c r="H54" s="40" t="b">
        <v>0</v>
      </c>
      <c r="I54" s="40" t="b">
        <v>0</v>
      </c>
      <c r="J54" s="40" t="b">
        <v>0</v>
      </c>
      <c r="K54" s="6"/>
      <c r="L54" s="6"/>
      <c r="M54" s="6"/>
      <c r="N54" s="6"/>
      <c r="O54" s="41">
        <v>46181.003668981481</v>
      </c>
      <c r="P54" s="39" t="s">
        <v>192</v>
      </c>
      <c r="Q54" s="39"/>
    </row>
    <row r="55" spans="1:17" s="7" customFormat="1">
      <c r="A55" s="60"/>
      <c r="B55" s="18"/>
      <c r="C55" s="6"/>
      <c r="D55" s="6"/>
      <c r="E5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5" s="39"/>
      <c r="G55" s="40" t="b">
        <v>0</v>
      </c>
      <c r="H55" s="40" t="b">
        <v>0</v>
      </c>
      <c r="I55" s="40" t="b">
        <v>0</v>
      </c>
      <c r="J55" s="40" t="b">
        <v>0</v>
      </c>
      <c r="K55" s="6"/>
      <c r="L55" s="6"/>
      <c r="M55" s="6"/>
      <c r="N55" s="6"/>
      <c r="O55" s="41">
        <v>46181.003668981481</v>
      </c>
      <c r="P55" s="39" t="s">
        <v>192</v>
      </c>
      <c r="Q55" s="39"/>
    </row>
    <row r="56" spans="1:17" s="7" customFormat="1">
      <c r="A56" s="60"/>
      <c r="B56" s="18"/>
      <c r="C56" s="6"/>
      <c r="D56" s="6"/>
      <c r="E5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6" s="39"/>
      <c r="G56" s="40" t="b">
        <v>0</v>
      </c>
      <c r="H56" s="40" t="b">
        <v>0</v>
      </c>
      <c r="I56" s="40" t="b">
        <v>0</v>
      </c>
      <c r="J56" s="40" t="b">
        <v>0</v>
      </c>
      <c r="K56" s="6"/>
      <c r="L56" s="6"/>
      <c r="M56" s="6"/>
      <c r="N56" s="6"/>
      <c r="O56" s="41">
        <v>46181.003668981481</v>
      </c>
      <c r="P56" s="39" t="s">
        <v>192</v>
      </c>
      <c r="Q56" s="39"/>
    </row>
    <row r="57" spans="1:17" s="7" customFormat="1">
      <c r="A57" s="60"/>
      <c r="B57" s="18"/>
      <c r="C57" s="6"/>
      <c r="D57" s="6"/>
      <c r="E5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7" s="39"/>
      <c r="G57" s="40" t="b">
        <v>0</v>
      </c>
      <c r="H57" s="40" t="b">
        <v>0</v>
      </c>
      <c r="I57" s="40" t="b">
        <v>0</v>
      </c>
      <c r="J57" s="40" t="b">
        <v>0</v>
      </c>
      <c r="K57" s="6"/>
      <c r="L57" s="6"/>
      <c r="M57" s="6"/>
      <c r="N57" s="6"/>
      <c r="O57" s="41">
        <v>46181.003680555557</v>
      </c>
      <c r="P57" s="39" t="s">
        <v>192</v>
      </c>
      <c r="Q57" s="39"/>
    </row>
    <row r="58" spans="1:17" s="7" customFormat="1">
      <c r="A58" s="60"/>
      <c r="B58" s="18"/>
      <c r="C58" s="6"/>
      <c r="D58" s="6"/>
      <c r="E5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8" s="39"/>
      <c r="G58" s="40" t="b">
        <v>0</v>
      </c>
      <c r="H58" s="40" t="b">
        <v>0</v>
      </c>
      <c r="I58" s="40" t="b">
        <v>0</v>
      </c>
      <c r="J58" s="40" t="b">
        <v>0</v>
      </c>
      <c r="K58" s="6"/>
      <c r="L58" s="6"/>
      <c r="M58" s="6"/>
      <c r="N58" s="6"/>
      <c r="O58" s="41">
        <v>46181.003680555557</v>
      </c>
      <c r="P58" s="39" t="s">
        <v>192</v>
      </c>
      <c r="Q58" s="39"/>
    </row>
    <row r="59" spans="1:17" s="7" customFormat="1">
      <c r="A59" s="60"/>
      <c r="B59" s="18"/>
      <c r="C59" s="6"/>
      <c r="D59" s="6"/>
      <c r="E5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59" s="39"/>
      <c r="G59" s="40" t="b">
        <v>0</v>
      </c>
      <c r="H59" s="40" t="b">
        <v>0</v>
      </c>
      <c r="I59" s="40" t="b">
        <v>0</v>
      </c>
      <c r="J59" s="40" t="b">
        <v>0</v>
      </c>
      <c r="K59" s="6"/>
      <c r="L59" s="6"/>
      <c r="M59" s="6"/>
      <c r="N59" s="6"/>
      <c r="O59" s="41">
        <v>46181.003680555557</v>
      </c>
      <c r="P59" s="39" t="s">
        <v>192</v>
      </c>
      <c r="Q59" s="39"/>
    </row>
    <row r="60" spans="1:17" s="7" customFormat="1">
      <c r="A60" s="60"/>
      <c r="B60" s="18"/>
      <c r="C60" s="6"/>
      <c r="D60" s="6"/>
      <c r="E6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0" s="39"/>
      <c r="G60" s="40" t="b">
        <v>0</v>
      </c>
      <c r="H60" s="40" t="b">
        <v>0</v>
      </c>
      <c r="I60" s="40" t="b">
        <v>0</v>
      </c>
      <c r="J60" s="40" t="b">
        <v>0</v>
      </c>
      <c r="K60" s="6"/>
      <c r="L60" s="6"/>
      <c r="M60" s="6"/>
      <c r="N60" s="6"/>
      <c r="O60" s="41">
        <v>46181.003680555557</v>
      </c>
      <c r="P60" s="39" t="s">
        <v>192</v>
      </c>
      <c r="Q60" s="39"/>
    </row>
    <row r="61" spans="1:17" s="7" customFormat="1">
      <c r="A61" s="60"/>
      <c r="B61" s="18"/>
      <c r="C61" s="6"/>
      <c r="D61" s="6"/>
      <c r="E6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1" s="39"/>
      <c r="G61" s="40" t="b">
        <v>0</v>
      </c>
      <c r="H61" s="40" t="b">
        <v>0</v>
      </c>
      <c r="I61" s="40" t="b">
        <v>0</v>
      </c>
      <c r="J61" s="40" t="b">
        <v>0</v>
      </c>
      <c r="K61" s="6"/>
      <c r="L61" s="6"/>
      <c r="M61" s="6"/>
      <c r="N61" s="6"/>
      <c r="O61" s="41">
        <v>46181.003680555557</v>
      </c>
      <c r="P61" s="39" t="s">
        <v>192</v>
      </c>
      <c r="Q61" s="39"/>
    </row>
    <row r="62" spans="1:17" s="7" customFormat="1">
      <c r="A62" s="60"/>
      <c r="B62" s="18"/>
      <c r="C62" s="6"/>
      <c r="D62" s="6"/>
      <c r="E6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2" s="39"/>
      <c r="G62" s="40" t="b">
        <v>0</v>
      </c>
      <c r="H62" s="40" t="b">
        <v>0</v>
      </c>
      <c r="I62" s="40" t="b">
        <v>0</v>
      </c>
      <c r="J62" s="40" t="b">
        <v>0</v>
      </c>
      <c r="K62" s="6"/>
      <c r="L62" s="6"/>
      <c r="M62" s="6"/>
      <c r="N62" s="6"/>
      <c r="O62" s="41">
        <v>46181.003680555557</v>
      </c>
      <c r="P62" s="39" t="s">
        <v>192</v>
      </c>
      <c r="Q62" s="39"/>
    </row>
    <row r="63" spans="1:17" s="7" customFormat="1">
      <c r="A63" s="60"/>
      <c r="B63" s="18"/>
      <c r="C63" s="6"/>
      <c r="D63" s="6"/>
      <c r="E6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3" s="39"/>
      <c r="G63" s="40" t="b">
        <v>0</v>
      </c>
      <c r="H63" s="40" t="b">
        <v>0</v>
      </c>
      <c r="I63" s="40" t="b">
        <v>0</v>
      </c>
      <c r="J63" s="40" t="b">
        <v>0</v>
      </c>
      <c r="K63" s="6"/>
      <c r="L63" s="6"/>
      <c r="M63" s="6"/>
      <c r="N63" s="6"/>
      <c r="O63" s="41">
        <v>46181.003680555557</v>
      </c>
      <c r="P63" s="39" t="s">
        <v>192</v>
      </c>
      <c r="Q63" s="39"/>
    </row>
    <row r="64" spans="1:17" s="7" customFormat="1">
      <c r="A64" s="60"/>
      <c r="B64" s="18"/>
      <c r="C64" s="6"/>
      <c r="D64" s="6"/>
      <c r="E6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4" s="39"/>
      <c r="G64" s="40" t="b">
        <v>0</v>
      </c>
      <c r="H64" s="40" t="b">
        <v>0</v>
      </c>
      <c r="I64" s="40" t="b">
        <v>0</v>
      </c>
      <c r="J64" s="40" t="b">
        <v>0</v>
      </c>
      <c r="K64" s="6"/>
      <c r="L64" s="6"/>
      <c r="M64" s="6"/>
      <c r="N64" s="6"/>
      <c r="O64" s="41">
        <v>46181.003680555557</v>
      </c>
      <c r="P64" s="39" t="s">
        <v>192</v>
      </c>
      <c r="Q64" s="39"/>
    </row>
    <row r="65" spans="1:17" s="7" customFormat="1">
      <c r="A65" s="60"/>
      <c r="B65" s="18"/>
      <c r="C65" s="6"/>
      <c r="D65" s="6"/>
      <c r="E6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5" s="39"/>
      <c r="G65" s="40" t="b">
        <v>0</v>
      </c>
      <c r="H65" s="40" t="b">
        <v>0</v>
      </c>
      <c r="I65" s="40" t="b">
        <v>0</v>
      </c>
      <c r="J65" s="40" t="b">
        <v>0</v>
      </c>
      <c r="K65" s="6"/>
      <c r="L65" s="6"/>
      <c r="M65" s="6"/>
      <c r="N65" s="6"/>
      <c r="O65" s="41">
        <v>46181.003680555557</v>
      </c>
      <c r="P65" s="39" t="s">
        <v>192</v>
      </c>
      <c r="Q65" s="39"/>
    </row>
    <row r="66" spans="1:17" s="7" customFormat="1">
      <c r="A66" s="60"/>
      <c r="B66" s="18"/>
      <c r="C66" s="6"/>
      <c r="D66" s="6"/>
      <c r="E6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6" s="39"/>
      <c r="G66" s="40" t="b">
        <v>0</v>
      </c>
      <c r="H66" s="40" t="b">
        <v>0</v>
      </c>
      <c r="I66" s="40" t="b">
        <v>0</v>
      </c>
      <c r="J66" s="40" t="b">
        <v>0</v>
      </c>
      <c r="K66" s="6"/>
      <c r="L66" s="6"/>
      <c r="M66" s="6"/>
      <c r="N66" s="6"/>
      <c r="O66" s="41">
        <v>46181.003680555557</v>
      </c>
      <c r="P66" s="39" t="s">
        <v>192</v>
      </c>
      <c r="Q66" s="39"/>
    </row>
    <row r="67" spans="1:17" s="7" customFormat="1">
      <c r="A67" s="60"/>
      <c r="B67" s="18"/>
      <c r="C67" s="6"/>
      <c r="D67" s="6"/>
      <c r="E6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7" s="39"/>
      <c r="G67" s="40" t="b">
        <v>0</v>
      </c>
      <c r="H67" s="40" t="b">
        <v>0</v>
      </c>
      <c r="I67" s="40" t="b">
        <v>0</v>
      </c>
      <c r="J67" s="40" t="b">
        <v>0</v>
      </c>
      <c r="K67" s="6"/>
      <c r="L67" s="6"/>
      <c r="M67" s="6"/>
      <c r="N67" s="6"/>
      <c r="O67" s="41">
        <v>46181.003680555557</v>
      </c>
      <c r="P67" s="39" t="s">
        <v>192</v>
      </c>
      <c r="Q67" s="39"/>
    </row>
    <row r="68" spans="1:17" s="7" customFormat="1">
      <c r="A68" s="60"/>
      <c r="B68" s="18"/>
      <c r="C68" s="6"/>
      <c r="D68" s="6"/>
      <c r="E6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8" s="39"/>
      <c r="G68" s="40" t="b">
        <v>0</v>
      </c>
      <c r="H68" s="40" t="b">
        <v>0</v>
      </c>
      <c r="I68" s="40" t="b">
        <v>0</v>
      </c>
      <c r="J68" s="40" t="b">
        <v>0</v>
      </c>
      <c r="K68" s="6"/>
      <c r="L68" s="6"/>
      <c r="M68" s="6"/>
      <c r="N68" s="6"/>
      <c r="O68" s="41">
        <v>46181.003680555557</v>
      </c>
      <c r="P68" s="39" t="s">
        <v>192</v>
      </c>
      <c r="Q68" s="39"/>
    </row>
    <row r="69" spans="1:17" s="7" customFormat="1">
      <c r="A69" s="60"/>
      <c r="B69" s="18"/>
      <c r="C69" s="6"/>
      <c r="D69" s="6"/>
      <c r="E6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69" s="39"/>
      <c r="G69" s="40" t="b">
        <v>0</v>
      </c>
      <c r="H69" s="40" t="b">
        <v>0</v>
      </c>
      <c r="I69" s="40" t="b">
        <v>0</v>
      </c>
      <c r="J69" s="40" t="b">
        <v>0</v>
      </c>
      <c r="K69" s="6"/>
      <c r="L69" s="6"/>
      <c r="M69" s="6"/>
      <c r="N69" s="6"/>
      <c r="O69" s="41">
        <v>46181.003680555557</v>
      </c>
      <c r="P69" s="39" t="s">
        <v>192</v>
      </c>
      <c r="Q69" s="39"/>
    </row>
    <row r="70" spans="1:17" s="7" customFormat="1">
      <c r="A70" s="60"/>
      <c r="B70" s="18"/>
      <c r="C70" s="6"/>
      <c r="D70" s="6"/>
      <c r="E7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0" s="39"/>
      <c r="G70" s="40" t="b">
        <v>0</v>
      </c>
      <c r="H70" s="40" t="b">
        <v>0</v>
      </c>
      <c r="I70" s="40" t="b">
        <v>0</v>
      </c>
      <c r="J70" s="40" t="b">
        <v>0</v>
      </c>
      <c r="K70" s="6"/>
      <c r="L70" s="6"/>
      <c r="M70" s="6"/>
      <c r="N70" s="6"/>
      <c r="O70" s="41">
        <v>46181.003680555557</v>
      </c>
      <c r="P70" s="39" t="s">
        <v>192</v>
      </c>
      <c r="Q70" s="39"/>
    </row>
    <row r="71" spans="1:17" s="7" customFormat="1">
      <c r="A71" s="60"/>
      <c r="B71" s="18"/>
      <c r="C71" s="6"/>
      <c r="D71" s="6"/>
      <c r="E7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1" s="39"/>
      <c r="G71" s="40" t="b">
        <v>0</v>
      </c>
      <c r="H71" s="40" t="b">
        <v>0</v>
      </c>
      <c r="I71" s="40" t="b">
        <v>0</v>
      </c>
      <c r="J71" s="40" t="b">
        <v>0</v>
      </c>
      <c r="K71" s="6"/>
      <c r="L71" s="6"/>
      <c r="M71" s="6"/>
      <c r="N71" s="6"/>
      <c r="O71" s="41">
        <v>46181.003680555557</v>
      </c>
      <c r="P71" s="39" t="s">
        <v>192</v>
      </c>
      <c r="Q71" s="39"/>
    </row>
    <row r="72" spans="1:17" s="7" customFormat="1">
      <c r="A72" s="60"/>
      <c r="B72" s="18"/>
      <c r="C72" s="6"/>
      <c r="D72" s="6"/>
      <c r="E7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2" s="39"/>
      <c r="G72" s="40" t="b">
        <v>0</v>
      </c>
      <c r="H72" s="40" t="b">
        <v>0</v>
      </c>
      <c r="I72" s="40" t="b">
        <v>0</v>
      </c>
      <c r="J72" s="40" t="b">
        <v>0</v>
      </c>
      <c r="K72" s="6"/>
      <c r="L72" s="6"/>
      <c r="M72" s="6"/>
      <c r="N72" s="6"/>
      <c r="O72" s="41">
        <v>46181.003680555557</v>
      </c>
      <c r="P72" s="39" t="s">
        <v>192</v>
      </c>
      <c r="Q72" s="39"/>
    </row>
    <row r="73" spans="1:17" s="7" customFormat="1">
      <c r="A73" s="60"/>
      <c r="B73" s="18"/>
      <c r="C73" s="6"/>
      <c r="D73" s="6"/>
      <c r="E7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3" s="39"/>
      <c r="G73" s="40" t="b">
        <v>0</v>
      </c>
      <c r="H73" s="40" t="b">
        <v>0</v>
      </c>
      <c r="I73" s="40" t="b">
        <v>0</v>
      </c>
      <c r="J73" s="40" t="b">
        <v>0</v>
      </c>
      <c r="K73" s="6"/>
      <c r="L73" s="6"/>
      <c r="M73" s="6"/>
      <c r="N73" s="6"/>
      <c r="O73" s="41">
        <v>46181.003680555557</v>
      </c>
      <c r="P73" s="39" t="s">
        <v>192</v>
      </c>
      <c r="Q73" s="39"/>
    </row>
    <row r="74" spans="1:17" s="7" customFormat="1">
      <c r="A74" s="60"/>
      <c r="B74" s="18"/>
      <c r="C74" s="6"/>
      <c r="D74" s="6"/>
      <c r="E7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4" s="39"/>
      <c r="G74" s="40" t="b">
        <v>0</v>
      </c>
      <c r="H74" s="40" t="b">
        <v>0</v>
      </c>
      <c r="I74" s="40" t="b">
        <v>0</v>
      </c>
      <c r="J74" s="40" t="b">
        <v>0</v>
      </c>
      <c r="K74" s="6"/>
      <c r="L74" s="6"/>
      <c r="M74" s="6"/>
      <c r="N74" s="6"/>
      <c r="O74" s="41">
        <v>46181.003680555557</v>
      </c>
      <c r="P74" s="39" t="s">
        <v>192</v>
      </c>
      <c r="Q74" s="39"/>
    </row>
    <row r="75" spans="1:17" s="7" customFormat="1">
      <c r="A75" s="60"/>
      <c r="B75" s="18"/>
      <c r="C75" s="6"/>
      <c r="D75" s="6"/>
      <c r="E7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5" s="39"/>
      <c r="G75" s="40" t="b">
        <v>0</v>
      </c>
      <c r="H75" s="40" t="b">
        <v>0</v>
      </c>
      <c r="I75" s="40" t="b">
        <v>0</v>
      </c>
      <c r="J75" s="40" t="b">
        <v>0</v>
      </c>
      <c r="K75" s="6"/>
      <c r="L75" s="6"/>
      <c r="M75" s="6"/>
      <c r="N75" s="6"/>
      <c r="O75" s="41">
        <v>46181.003680555557</v>
      </c>
      <c r="P75" s="39" t="s">
        <v>192</v>
      </c>
      <c r="Q75" s="39"/>
    </row>
    <row r="76" spans="1:17" s="7" customFormat="1">
      <c r="A76" s="60"/>
      <c r="B76" s="18"/>
      <c r="C76" s="6"/>
      <c r="D76" s="6"/>
      <c r="E7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6" s="39"/>
      <c r="G76" s="40" t="b">
        <v>0</v>
      </c>
      <c r="H76" s="40" t="b">
        <v>0</v>
      </c>
      <c r="I76" s="40" t="b">
        <v>0</v>
      </c>
      <c r="J76" s="40" t="b">
        <v>0</v>
      </c>
      <c r="K76" s="6"/>
      <c r="L76" s="6"/>
      <c r="M76" s="6"/>
      <c r="N76" s="6"/>
      <c r="O76" s="41">
        <v>46181.003692129627</v>
      </c>
      <c r="P76" s="39" t="s">
        <v>192</v>
      </c>
      <c r="Q76" s="39"/>
    </row>
    <row r="77" spans="1:17" s="7" customFormat="1">
      <c r="A77" s="60"/>
      <c r="B77" s="18"/>
      <c r="C77" s="6"/>
      <c r="D77" s="6"/>
      <c r="E7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7" s="39"/>
      <c r="G77" s="40" t="b">
        <v>0</v>
      </c>
      <c r="H77" s="40" t="b">
        <v>0</v>
      </c>
      <c r="I77" s="40" t="b">
        <v>0</v>
      </c>
      <c r="J77" s="40" t="b">
        <v>0</v>
      </c>
      <c r="K77" s="6"/>
      <c r="L77" s="6"/>
      <c r="M77" s="6"/>
      <c r="N77" s="6"/>
      <c r="O77" s="41">
        <v>46181.003692129627</v>
      </c>
      <c r="P77" s="39" t="s">
        <v>192</v>
      </c>
      <c r="Q77" s="39"/>
    </row>
    <row r="78" spans="1:17" s="7" customFormat="1">
      <c r="A78" s="60"/>
      <c r="B78" s="18"/>
      <c r="C78" s="6"/>
      <c r="D78" s="6"/>
      <c r="E7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8" s="39"/>
      <c r="G78" s="40" t="b">
        <v>0</v>
      </c>
      <c r="H78" s="40" t="b">
        <v>0</v>
      </c>
      <c r="I78" s="40" t="b">
        <v>0</v>
      </c>
      <c r="J78" s="40" t="b">
        <v>0</v>
      </c>
      <c r="K78" s="6"/>
      <c r="L78" s="6"/>
      <c r="M78" s="6"/>
      <c r="N78" s="6"/>
      <c r="O78" s="41">
        <v>46181.003692129627</v>
      </c>
      <c r="P78" s="39" t="s">
        <v>192</v>
      </c>
      <c r="Q78" s="39"/>
    </row>
    <row r="79" spans="1:17" s="7" customFormat="1">
      <c r="A79" s="60"/>
      <c r="B79" s="18"/>
      <c r="C79" s="6"/>
      <c r="D79" s="6"/>
      <c r="E7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79" s="39"/>
      <c r="G79" s="40" t="b">
        <v>0</v>
      </c>
      <c r="H79" s="40" t="b">
        <v>0</v>
      </c>
      <c r="I79" s="40" t="b">
        <v>0</v>
      </c>
      <c r="J79" s="40" t="b">
        <v>0</v>
      </c>
      <c r="K79" s="6"/>
      <c r="L79" s="6"/>
      <c r="M79" s="6"/>
      <c r="N79" s="6"/>
      <c r="O79" s="41">
        <v>46181.003692129627</v>
      </c>
      <c r="P79" s="39" t="s">
        <v>192</v>
      </c>
      <c r="Q79" s="39"/>
    </row>
    <row r="80" spans="1:17" s="7" customFormat="1">
      <c r="A80" s="60"/>
      <c r="B80" s="18"/>
      <c r="C80" s="6"/>
      <c r="D80" s="6"/>
      <c r="E8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0" s="39"/>
      <c r="G80" s="40" t="b">
        <v>0</v>
      </c>
      <c r="H80" s="40" t="b">
        <v>0</v>
      </c>
      <c r="I80" s="40" t="b">
        <v>0</v>
      </c>
      <c r="J80" s="40" t="b">
        <v>0</v>
      </c>
      <c r="K80" s="6"/>
      <c r="L80" s="6"/>
      <c r="M80" s="6"/>
      <c r="N80" s="6"/>
      <c r="O80" s="41">
        <v>46181.003692129627</v>
      </c>
      <c r="P80" s="39" t="s">
        <v>192</v>
      </c>
      <c r="Q80" s="39"/>
    </row>
    <row r="81" spans="1:17" s="7" customFormat="1">
      <c r="A81" s="60"/>
      <c r="B81" s="18"/>
      <c r="C81" s="6"/>
      <c r="D81" s="6"/>
      <c r="E8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1" s="39"/>
      <c r="G81" s="40" t="b">
        <v>0</v>
      </c>
      <c r="H81" s="40" t="b">
        <v>0</v>
      </c>
      <c r="I81" s="40" t="b">
        <v>0</v>
      </c>
      <c r="J81" s="40" t="b">
        <v>0</v>
      </c>
      <c r="K81" s="6"/>
      <c r="L81" s="6"/>
      <c r="M81" s="6"/>
      <c r="N81" s="6"/>
      <c r="O81" s="41">
        <v>46181.003692129627</v>
      </c>
      <c r="P81" s="39" t="s">
        <v>192</v>
      </c>
      <c r="Q81" s="39"/>
    </row>
    <row r="82" spans="1:17" s="7" customFormat="1">
      <c r="A82" s="60"/>
      <c r="B82" s="18"/>
      <c r="C82" s="6"/>
      <c r="D82" s="6"/>
      <c r="E8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2" s="39"/>
      <c r="G82" s="40" t="b">
        <v>0</v>
      </c>
      <c r="H82" s="40" t="b">
        <v>0</v>
      </c>
      <c r="I82" s="40" t="b">
        <v>0</v>
      </c>
      <c r="J82" s="40" t="b">
        <v>0</v>
      </c>
      <c r="K82" s="6"/>
      <c r="L82" s="6"/>
      <c r="M82" s="6"/>
      <c r="N82" s="6"/>
      <c r="O82" s="41">
        <v>46181.003692129627</v>
      </c>
      <c r="P82" s="39" t="s">
        <v>192</v>
      </c>
      <c r="Q82" s="39"/>
    </row>
    <row r="83" spans="1:17" s="7" customFormat="1">
      <c r="A83" s="60"/>
      <c r="B83" s="18"/>
      <c r="C83" s="6"/>
      <c r="D83" s="6"/>
      <c r="E8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3" s="39"/>
      <c r="G83" s="40" t="b">
        <v>0</v>
      </c>
      <c r="H83" s="40" t="b">
        <v>0</v>
      </c>
      <c r="I83" s="40" t="b">
        <v>0</v>
      </c>
      <c r="J83" s="40" t="b">
        <v>0</v>
      </c>
      <c r="K83" s="6"/>
      <c r="L83" s="6"/>
      <c r="M83" s="6"/>
      <c r="N83" s="6"/>
      <c r="O83" s="41">
        <v>46181.003692129627</v>
      </c>
      <c r="P83" s="39" t="s">
        <v>192</v>
      </c>
      <c r="Q83" s="39"/>
    </row>
    <row r="84" spans="1:17" s="7" customFormat="1">
      <c r="A84" s="60"/>
      <c r="B84" s="18"/>
      <c r="C84" s="6"/>
      <c r="D84" s="6"/>
      <c r="E8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4" s="39"/>
      <c r="G84" s="40" t="b">
        <v>0</v>
      </c>
      <c r="H84" s="40" t="b">
        <v>0</v>
      </c>
      <c r="I84" s="40" t="b">
        <v>0</v>
      </c>
      <c r="J84" s="40" t="b">
        <v>0</v>
      </c>
      <c r="K84" s="6"/>
      <c r="L84" s="6"/>
      <c r="M84" s="6"/>
      <c r="N84" s="6"/>
      <c r="O84" s="41">
        <v>46181.003692129627</v>
      </c>
      <c r="P84" s="39" t="s">
        <v>192</v>
      </c>
      <c r="Q84" s="39"/>
    </row>
    <row r="85" spans="1:17" s="7" customFormat="1">
      <c r="A85" s="60"/>
      <c r="B85" s="18"/>
      <c r="C85" s="6"/>
      <c r="D85" s="6"/>
      <c r="E8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5" s="39"/>
      <c r="G85" s="40" t="b">
        <v>0</v>
      </c>
      <c r="H85" s="40" t="b">
        <v>0</v>
      </c>
      <c r="I85" s="40" t="b">
        <v>0</v>
      </c>
      <c r="J85" s="40" t="b">
        <v>0</v>
      </c>
      <c r="K85" s="6"/>
      <c r="L85" s="6"/>
      <c r="M85" s="6"/>
      <c r="N85" s="6"/>
      <c r="O85" s="41">
        <v>46181.003692129627</v>
      </c>
      <c r="P85" s="39" t="s">
        <v>192</v>
      </c>
      <c r="Q85" s="39"/>
    </row>
    <row r="86" spans="1:17" s="7" customFormat="1">
      <c r="A86" s="60"/>
      <c r="B86" s="18"/>
      <c r="C86" s="6"/>
      <c r="D86" s="6"/>
      <c r="E8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6" s="39"/>
      <c r="G86" s="40" t="b">
        <v>0</v>
      </c>
      <c r="H86" s="40" t="b">
        <v>0</v>
      </c>
      <c r="I86" s="40" t="b">
        <v>0</v>
      </c>
      <c r="J86" s="40" t="b">
        <v>0</v>
      </c>
      <c r="K86" s="6"/>
      <c r="L86" s="6"/>
      <c r="M86" s="6"/>
      <c r="N86" s="6"/>
      <c r="O86" s="41">
        <v>46181.003692129627</v>
      </c>
      <c r="P86" s="39" t="s">
        <v>192</v>
      </c>
      <c r="Q86" s="39"/>
    </row>
    <row r="87" spans="1:17" s="7" customFormat="1">
      <c r="A87" s="60"/>
      <c r="B87" s="18"/>
      <c r="C87" s="6"/>
      <c r="D87" s="6"/>
      <c r="E8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7" s="39"/>
      <c r="G87" s="40" t="b">
        <v>0</v>
      </c>
      <c r="H87" s="40" t="b">
        <v>0</v>
      </c>
      <c r="I87" s="40" t="b">
        <v>0</v>
      </c>
      <c r="J87" s="40" t="b">
        <v>0</v>
      </c>
      <c r="K87" s="6"/>
      <c r="L87" s="6"/>
      <c r="M87" s="6"/>
      <c r="N87" s="6"/>
      <c r="O87" s="41">
        <v>46181.003692129627</v>
      </c>
      <c r="P87" s="39" t="s">
        <v>192</v>
      </c>
      <c r="Q87" s="39"/>
    </row>
    <row r="88" spans="1:17" s="7" customFormat="1">
      <c r="A88" s="60"/>
      <c r="B88" s="18"/>
      <c r="C88" s="6"/>
      <c r="D88" s="6"/>
      <c r="E8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8" s="39"/>
      <c r="G88" s="40" t="b">
        <v>0</v>
      </c>
      <c r="H88" s="40" t="b">
        <v>0</v>
      </c>
      <c r="I88" s="40" t="b">
        <v>0</v>
      </c>
      <c r="J88" s="40" t="b">
        <v>0</v>
      </c>
      <c r="K88" s="6"/>
      <c r="L88" s="6"/>
      <c r="M88" s="6"/>
      <c r="N88" s="6"/>
      <c r="O88" s="41">
        <v>46181.003692129627</v>
      </c>
      <c r="P88" s="39" t="s">
        <v>192</v>
      </c>
      <c r="Q88" s="39"/>
    </row>
    <row r="89" spans="1:17" s="7" customFormat="1">
      <c r="A89" s="60"/>
      <c r="B89" s="18"/>
      <c r="C89" s="6"/>
      <c r="D89" s="6"/>
      <c r="E8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89" s="39"/>
      <c r="G89" s="40" t="b">
        <v>0</v>
      </c>
      <c r="H89" s="40" t="b">
        <v>0</v>
      </c>
      <c r="I89" s="40" t="b">
        <v>0</v>
      </c>
      <c r="J89" s="40" t="b">
        <v>0</v>
      </c>
      <c r="K89" s="6"/>
      <c r="L89" s="6"/>
      <c r="M89" s="6"/>
      <c r="N89" s="6"/>
      <c r="O89" s="41">
        <v>46181.003692129627</v>
      </c>
      <c r="P89" s="39" t="s">
        <v>192</v>
      </c>
      <c r="Q89" s="39"/>
    </row>
    <row r="90" spans="1:17" s="7" customFormat="1">
      <c r="A90" s="60"/>
      <c r="B90" s="18"/>
      <c r="C90" s="6"/>
      <c r="D90" s="6"/>
      <c r="E9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0" s="39"/>
      <c r="G90" s="40" t="b">
        <v>0</v>
      </c>
      <c r="H90" s="40" t="b">
        <v>0</v>
      </c>
      <c r="I90" s="40" t="b">
        <v>0</v>
      </c>
      <c r="J90" s="40" t="b">
        <v>0</v>
      </c>
      <c r="K90" s="6"/>
      <c r="L90" s="6"/>
      <c r="M90" s="6"/>
      <c r="N90" s="6"/>
      <c r="O90" s="41">
        <v>46181.003692129627</v>
      </c>
      <c r="P90" s="39" t="s">
        <v>192</v>
      </c>
      <c r="Q90" s="39"/>
    </row>
    <row r="91" spans="1:17" s="7" customFormat="1">
      <c r="A91" s="60"/>
      <c r="B91" s="18"/>
      <c r="C91" s="6"/>
      <c r="D91" s="6"/>
      <c r="E9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1" s="39"/>
      <c r="G91" s="40" t="b">
        <v>0</v>
      </c>
      <c r="H91" s="40" t="b">
        <v>0</v>
      </c>
      <c r="I91" s="40" t="b">
        <v>0</v>
      </c>
      <c r="J91" s="40" t="b">
        <v>0</v>
      </c>
      <c r="K91" s="6"/>
      <c r="L91" s="6"/>
      <c r="M91" s="6"/>
      <c r="N91" s="6"/>
      <c r="O91" s="41">
        <v>46181.003692129627</v>
      </c>
      <c r="P91" s="39" t="s">
        <v>192</v>
      </c>
      <c r="Q91" s="39"/>
    </row>
    <row r="92" spans="1:17" s="7" customFormat="1">
      <c r="A92" s="60"/>
      <c r="B92" s="18"/>
      <c r="C92" s="6"/>
      <c r="D92" s="6"/>
      <c r="E9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2" s="39"/>
      <c r="G92" s="40" t="b">
        <v>0</v>
      </c>
      <c r="H92" s="40" t="b">
        <v>0</v>
      </c>
      <c r="I92" s="40" t="b">
        <v>0</v>
      </c>
      <c r="J92" s="40" t="b">
        <v>0</v>
      </c>
      <c r="K92" s="6"/>
      <c r="L92" s="6"/>
      <c r="M92" s="6"/>
      <c r="N92" s="6"/>
      <c r="O92" s="41">
        <v>46181.003692129627</v>
      </c>
      <c r="P92" s="39" t="s">
        <v>192</v>
      </c>
      <c r="Q92" s="39"/>
    </row>
    <row r="93" spans="1:17" s="7" customFormat="1">
      <c r="A93" s="60"/>
      <c r="B93" s="18"/>
      <c r="C93" s="6"/>
      <c r="D93" s="6"/>
      <c r="E9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3" s="39"/>
      <c r="G93" s="40" t="b">
        <v>0</v>
      </c>
      <c r="H93" s="40" t="b">
        <v>0</v>
      </c>
      <c r="I93" s="40" t="b">
        <v>0</v>
      </c>
      <c r="J93" s="40" t="b">
        <v>0</v>
      </c>
      <c r="K93" s="6"/>
      <c r="L93" s="6"/>
      <c r="M93" s="6"/>
      <c r="N93" s="6"/>
      <c r="O93" s="41">
        <v>46181.003692129627</v>
      </c>
      <c r="P93" s="39" t="s">
        <v>192</v>
      </c>
      <c r="Q93" s="39"/>
    </row>
    <row r="94" spans="1:17" s="7" customFormat="1">
      <c r="A94" s="60"/>
      <c r="B94" s="18"/>
      <c r="C94" s="6"/>
      <c r="D94" s="6"/>
      <c r="E9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4" s="39"/>
      <c r="G94" s="40" t="b">
        <v>0</v>
      </c>
      <c r="H94" s="40" t="b">
        <v>0</v>
      </c>
      <c r="I94" s="40" t="b">
        <v>0</v>
      </c>
      <c r="J94" s="40" t="b">
        <v>0</v>
      </c>
      <c r="K94" s="6"/>
      <c r="L94" s="6"/>
      <c r="M94" s="6"/>
      <c r="N94" s="6"/>
      <c r="O94" s="41">
        <v>46181.003692129627</v>
      </c>
      <c r="P94" s="39" t="s">
        <v>192</v>
      </c>
      <c r="Q94" s="39"/>
    </row>
    <row r="95" spans="1:17" s="7" customFormat="1">
      <c r="A95" s="60"/>
      <c r="B95" s="18"/>
      <c r="C95" s="6"/>
      <c r="D95" s="6"/>
      <c r="E9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5" s="39"/>
      <c r="G95" s="40" t="b">
        <v>0</v>
      </c>
      <c r="H95" s="40" t="b">
        <v>0</v>
      </c>
      <c r="I95" s="40" t="b">
        <v>0</v>
      </c>
      <c r="J95" s="40" t="b">
        <v>0</v>
      </c>
      <c r="K95" s="6"/>
      <c r="L95" s="6"/>
      <c r="M95" s="6"/>
      <c r="N95" s="6"/>
      <c r="O95" s="41">
        <v>46181.003692129627</v>
      </c>
      <c r="P95" s="39" t="s">
        <v>192</v>
      </c>
      <c r="Q95" s="39"/>
    </row>
    <row r="96" spans="1:17" s="7" customFormat="1">
      <c r="A96" s="60"/>
      <c r="B96" s="18"/>
      <c r="C96" s="6"/>
      <c r="D96" s="6"/>
      <c r="E9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6" s="39"/>
      <c r="G96" s="40" t="b">
        <v>0</v>
      </c>
      <c r="H96" s="40" t="b">
        <v>0</v>
      </c>
      <c r="I96" s="40" t="b">
        <v>0</v>
      </c>
      <c r="J96" s="40" t="b">
        <v>0</v>
      </c>
      <c r="K96" s="6"/>
      <c r="L96" s="6"/>
      <c r="M96" s="6"/>
      <c r="N96" s="6"/>
      <c r="O96" s="41">
        <v>46181.003692129627</v>
      </c>
      <c r="P96" s="39" t="s">
        <v>192</v>
      </c>
      <c r="Q96" s="39"/>
    </row>
    <row r="97" spans="1:17" s="7" customFormat="1">
      <c r="A97" s="60"/>
      <c r="B97" s="18"/>
      <c r="C97" s="6"/>
      <c r="D97" s="6"/>
      <c r="E9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7" s="39"/>
      <c r="G97" s="40" t="b">
        <v>0</v>
      </c>
      <c r="H97" s="40" t="b">
        <v>0</v>
      </c>
      <c r="I97" s="40" t="b">
        <v>0</v>
      </c>
      <c r="J97" s="40" t="b">
        <v>0</v>
      </c>
      <c r="K97" s="6"/>
      <c r="L97" s="6"/>
      <c r="M97" s="6"/>
      <c r="N97" s="6"/>
      <c r="O97" s="41">
        <v>46181.003692129627</v>
      </c>
      <c r="P97" s="39" t="s">
        <v>192</v>
      </c>
      <c r="Q97" s="39"/>
    </row>
    <row r="98" spans="1:17" s="7" customFormat="1">
      <c r="A98" s="60"/>
      <c r="B98" s="18"/>
      <c r="C98" s="6"/>
      <c r="D98" s="6"/>
      <c r="E9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8" s="39"/>
      <c r="G98" s="40" t="b">
        <v>0</v>
      </c>
      <c r="H98" s="40" t="b">
        <v>0</v>
      </c>
      <c r="I98" s="40" t="b">
        <v>0</v>
      </c>
      <c r="J98" s="40" t="b">
        <v>0</v>
      </c>
      <c r="K98" s="6"/>
      <c r="L98" s="6"/>
      <c r="M98" s="6"/>
      <c r="N98" s="6"/>
      <c r="O98" s="41">
        <v>46181.003692129627</v>
      </c>
      <c r="P98" s="39" t="s">
        <v>192</v>
      </c>
      <c r="Q98" s="39"/>
    </row>
    <row r="99" spans="1:17" s="7" customFormat="1">
      <c r="A99" s="60"/>
      <c r="B99" s="18"/>
      <c r="C99" s="6"/>
      <c r="D99" s="6"/>
      <c r="E9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99" s="39"/>
      <c r="G99" s="40" t="b">
        <v>0</v>
      </c>
      <c r="H99" s="40" t="b">
        <v>0</v>
      </c>
      <c r="I99" s="40" t="b">
        <v>0</v>
      </c>
      <c r="J99" s="40" t="b">
        <v>0</v>
      </c>
      <c r="K99" s="6"/>
      <c r="L99" s="6"/>
      <c r="M99" s="6"/>
      <c r="N99" s="6"/>
      <c r="O99" s="41">
        <v>46181.003703703704</v>
      </c>
      <c r="P99" s="39" t="s">
        <v>192</v>
      </c>
      <c r="Q99" s="39"/>
    </row>
    <row r="100" spans="1:17" s="7" customFormat="1">
      <c r="A100" s="60"/>
      <c r="B100" s="18"/>
      <c r="C100" s="6"/>
      <c r="D100" s="6"/>
      <c r="E10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0" s="39"/>
      <c r="G100" s="40" t="b">
        <v>0</v>
      </c>
      <c r="H100" s="40" t="b">
        <v>0</v>
      </c>
      <c r="I100" s="40" t="b">
        <v>0</v>
      </c>
      <c r="J100" s="40" t="b">
        <v>0</v>
      </c>
      <c r="K100" s="6"/>
      <c r="L100" s="6"/>
      <c r="M100" s="6"/>
      <c r="N100" s="6"/>
      <c r="O100" s="41">
        <v>46181.003703703704</v>
      </c>
      <c r="P100" s="39" t="s">
        <v>192</v>
      </c>
      <c r="Q100" s="39"/>
    </row>
    <row r="101" spans="1:17" s="7" customFormat="1">
      <c r="A101" s="60"/>
      <c r="B101" s="18"/>
      <c r="C101" s="6"/>
      <c r="D101" s="6"/>
      <c r="E10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1" s="39"/>
      <c r="G101" s="40" t="b">
        <v>0</v>
      </c>
      <c r="H101" s="40" t="b">
        <v>0</v>
      </c>
      <c r="I101" s="40" t="b">
        <v>0</v>
      </c>
      <c r="J101" s="40" t="b">
        <v>0</v>
      </c>
      <c r="K101" s="6"/>
      <c r="L101" s="6"/>
      <c r="M101" s="6"/>
      <c r="N101" s="6"/>
      <c r="O101" s="41">
        <v>46181.003703703704</v>
      </c>
      <c r="P101" s="39" t="s">
        <v>192</v>
      </c>
      <c r="Q101" s="39"/>
    </row>
    <row r="102" spans="1:17" s="7" customFormat="1">
      <c r="A102" s="60"/>
      <c r="B102" s="18"/>
      <c r="C102" s="6"/>
      <c r="D102" s="6"/>
      <c r="E10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2" s="39"/>
      <c r="G102" s="40" t="b">
        <v>0</v>
      </c>
      <c r="H102" s="40" t="b">
        <v>0</v>
      </c>
      <c r="I102" s="40" t="b">
        <v>0</v>
      </c>
      <c r="J102" s="40" t="b">
        <v>0</v>
      </c>
      <c r="K102" s="6"/>
      <c r="L102" s="6"/>
      <c r="M102" s="6"/>
      <c r="N102" s="6"/>
      <c r="O102" s="41">
        <v>46181.003703703704</v>
      </c>
      <c r="P102" s="39" t="s">
        <v>192</v>
      </c>
      <c r="Q102" s="39"/>
    </row>
    <row r="103" spans="1:17" s="7" customFormat="1">
      <c r="A103" s="60"/>
      <c r="B103" s="18"/>
      <c r="C103" s="6"/>
      <c r="D103" s="6"/>
      <c r="E10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3" s="39"/>
      <c r="G103" s="40" t="b">
        <v>0</v>
      </c>
      <c r="H103" s="40" t="b">
        <v>0</v>
      </c>
      <c r="I103" s="40" t="b">
        <v>0</v>
      </c>
      <c r="J103" s="40" t="b">
        <v>0</v>
      </c>
      <c r="K103" s="6"/>
      <c r="L103" s="6"/>
      <c r="M103" s="6"/>
      <c r="N103" s="6"/>
      <c r="O103" s="41">
        <v>46181.003703703704</v>
      </c>
      <c r="P103" s="39" t="s">
        <v>192</v>
      </c>
      <c r="Q103" s="39"/>
    </row>
    <row r="104" spans="1:17" s="7" customFormat="1">
      <c r="A104" s="60"/>
      <c r="B104" s="18"/>
      <c r="C104" s="6"/>
      <c r="D104" s="6"/>
      <c r="E10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4" s="39"/>
      <c r="G104" s="40" t="b">
        <v>0</v>
      </c>
      <c r="H104" s="40" t="b">
        <v>0</v>
      </c>
      <c r="I104" s="40" t="b">
        <v>0</v>
      </c>
      <c r="J104" s="40" t="b">
        <v>0</v>
      </c>
      <c r="K104" s="6"/>
      <c r="L104" s="6"/>
      <c r="M104" s="6"/>
      <c r="N104" s="6"/>
      <c r="O104" s="41">
        <v>46181.003703703704</v>
      </c>
      <c r="P104" s="39" t="s">
        <v>192</v>
      </c>
      <c r="Q104" s="39"/>
    </row>
    <row r="105" spans="1:17" s="7" customFormat="1">
      <c r="A105" s="60"/>
      <c r="B105" s="18"/>
      <c r="C105" s="6"/>
      <c r="D105" s="6"/>
      <c r="E10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5" s="39"/>
      <c r="G105" s="40" t="b">
        <v>0</v>
      </c>
      <c r="H105" s="40" t="b">
        <v>0</v>
      </c>
      <c r="I105" s="40" t="b">
        <v>0</v>
      </c>
      <c r="J105" s="40" t="b">
        <v>0</v>
      </c>
      <c r="K105" s="6"/>
      <c r="L105" s="6"/>
      <c r="M105" s="6"/>
      <c r="N105" s="6"/>
      <c r="O105" s="41">
        <v>46181.003703703704</v>
      </c>
      <c r="P105" s="39" t="s">
        <v>192</v>
      </c>
      <c r="Q105" s="39"/>
    </row>
    <row r="106" spans="1:17" s="7" customFormat="1">
      <c r="A106" s="60"/>
      <c r="B106" s="18"/>
      <c r="C106" s="6"/>
      <c r="D106" s="6"/>
      <c r="E10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6" s="39"/>
      <c r="G106" s="40" t="b">
        <v>0</v>
      </c>
      <c r="H106" s="40" t="b">
        <v>0</v>
      </c>
      <c r="I106" s="40" t="b">
        <v>0</v>
      </c>
      <c r="J106" s="40" t="b">
        <v>0</v>
      </c>
      <c r="K106" s="6"/>
      <c r="L106" s="6"/>
      <c r="M106" s="6"/>
      <c r="N106" s="6"/>
      <c r="O106" s="41">
        <v>46181.003703703704</v>
      </c>
      <c r="P106" s="39" t="s">
        <v>192</v>
      </c>
      <c r="Q106" s="39"/>
    </row>
    <row r="107" spans="1:17" s="7" customFormat="1">
      <c r="A107" s="60"/>
      <c r="B107" s="18"/>
      <c r="C107" s="6"/>
      <c r="D107" s="6"/>
      <c r="E10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7" s="39"/>
      <c r="G107" s="40" t="b">
        <v>0</v>
      </c>
      <c r="H107" s="40" t="b">
        <v>0</v>
      </c>
      <c r="I107" s="40" t="b">
        <v>0</v>
      </c>
      <c r="J107" s="40" t="b">
        <v>0</v>
      </c>
      <c r="K107" s="6"/>
      <c r="L107" s="6"/>
      <c r="M107" s="6"/>
      <c r="N107" s="6"/>
      <c r="O107" s="41">
        <v>46181.003703703704</v>
      </c>
      <c r="P107" s="39" t="s">
        <v>192</v>
      </c>
      <c r="Q107" s="39"/>
    </row>
    <row r="108" spans="1:17" s="7" customFormat="1">
      <c r="A108" s="60"/>
      <c r="B108" s="18"/>
      <c r="C108" s="6"/>
      <c r="D108" s="6"/>
      <c r="E10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8" s="39"/>
      <c r="G108" s="40" t="b">
        <v>0</v>
      </c>
      <c r="H108" s="40" t="b">
        <v>0</v>
      </c>
      <c r="I108" s="40" t="b">
        <v>0</v>
      </c>
      <c r="J108" s="40" t="b">
        <v>0</v>
      </c>
      <c r="K108" s="6"/>
      <c r="L108" s="6"/>
      <c r="M108" s="6"/>
      <c r="N108" s="6"/>
      <c r="O108" s="41">
        <v>46181.003703703704</v>
      </c>
      <c r="P108" s="39" t="s">
        <v>192</v>
      </c>
      <c r="Q108" s="39"/>
    </row>
    <row r="109" spans="1:17" s="7" customFormat="1">
      <c r="A109" s="60"/>
      <c r="B109" s="18"/>
      <c r="C109" s="6"/>
      <c r="D109" s="6"/>
      <c r="E10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09" s="39"/>
      <c r="G109" s="40" t="b">
        <v>0</v>
      </c>
      <c r="H109" s="40" t="b">
        <v>0</v>
      </c>
      <c r="I109" s="40" t="b">
        <v>0</v>
      </c>
      <c r="J109" s="40" t="b">
        <v>0</v>
      </c>
      <c r="K109" s="6"/>
      <c r="L109" s="6"/>
      <c r="M109" s="6"/>
      <c r="N109" s="6"/>
      <c r="O109" s="41">
        <v>46181.003703703704</v>
      </c>
      <c r="P109" s="39" t="s">
        <v>192</v>
      </c>
      <c r="Q109" s="39"/>
    </row>
    <row r="110" spans="1:17" s="7" customFormat="1">
      <c r="A110" s="60"/>
      <c r="B110" s="18"/>
      <c r="C110" s="6"/>
      <c r="D110" s="6"/>
      <c r="E11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0" s="39"/>
      <c r="G110" s="40" t="b">
        <v>0</v>
      </c>
      <c r="H110" s="40" t="b">
        <v>0</v>
      </c>
      <c r="I110" s="40" t="b">
        <v>0</v>
      </c>
      <c r="J110" s="40" t="b">
        <v>0</v>
      </c>
      <c r="K110" s="6"/>
      <c r="L110" s="6"/>
      <c r="M110" s="6"/>
      <c r="N110" s="6"/>
      <c r="O110" s="41">
        <v>46181.003703703704</v>
      </c>
      <c r="P110" s="39" t="s">
        <v>192</v>
      </c>
      <c r="Q110" s="39"/>
    </row>
    <row r="111" spans="1:17" s="7" customFormat="1">
      <c r="A111" s="60"/>
      <c r="B111" s="18"/>
      <c r="C111" s="6"/>
      <c r="D111" s="6"/>
      <c r="E11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1" s="39"/>
      <c r="G111" s="40" t="b">
        <v>0</v>
      </c>
      <c r="H111" s="40" t="b">
        <v>0</v>
      </c>
      <c r="I111" s="40" t="b">
        <v>0</v>
      </c>
      <c r="J111" s="40" t="b">
        <v>0</v>
      </c>
      <c r="K111" s="6"/>
      <c r="L111" s="6"/>
      <c r="M111" s="6"/>
      <c r="N111" s="6"/>
      <c r="O111" s="41">
        <v>46181.003703703704</v>
      </c>
      <c r="P111" s="39" t="s">
        <v>192</v>
      </c>
      <c r="Q111" s="39"/>
    </row>
    <row r="112" spans="1:17" s="7" customFormat="1">
      <c r="A112" s="60"/>
      <c r="B112" s="18"/>
      <c r="C112" s="6"/>
      <c r="D112" s="6"/>
      <c r="E11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2" s="39"/>
      <c r="G112" s="40" t="b">
        <v>0</v>
      </c>
      <c r="H112" s="40" t="b">
        <v>0</v>
      </c>
      <c r="I112" s="40" t="b">
        <v>0</v>
      </c>
      <c r="J112" s="40" t="b">
        <v>0</v>
      </c>
      <c r="K112" s="6"/>
      <c r="L112" s="6"/>
      <c r="M112" s="6"/>
      <c r="N112" s="6"/>
      <c r="O112" s="41">
        <v>46181.003703703704</v>
      </c>
      <c r="P112" s="39" t="s">
        <v>192</v>
      </c>
      <c r="Q112" s="39"/>
    </row>
    <row r="113" spans="1:17" s="7" customFormat="1">
      <c r="A113" s="60"/>
      <c r="B113" s="18"/>
      <c r="C113" s="6"/>
      <c r="D113" s="6"/>
      <c r="E11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3" s="39"/>
      <c r="G113" s="40" t="b">
        <v>0</v>
      </c>
      <c r="H113" s="40" t="b">
        <v>0</v>
      </c>
      <c r="I113" s="40" t="b">
        <v>0</v>
      </c>
      <c r="J113" s="40" t="b">
        <v>0</v>
      </c>
      <c r="K113" s="6"/>
      <c r="L113" s="6"/>
      <c r="M113" s="6"/>
      <c r="N113" s="6"/>
      <c r="O113" s="41">
        <v>46181.003703703704</v>
      </c>
      <c r="P113" s="39" t="s">
        <v>192</v>
      </c>
      <c r="Q113" s="39"/>
    </row>
    <row r="114" spans="1:17" s="7" customFormat="1">
      <c r="A114" s="60"/>
      <c r="B114" s="18"/>
      <c r="C114" s="6"/>
      <c r="D114" s="6"/>
      <c r="E11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4" s="39"/>
      <c r="G114" s="40" t="b">
        <v>0</v>
      </c>
      <c r="H114" s="40" t="b">
        <v>0</v>
      </c>
      <c r="I114" s="40" t="b">
        <v>0</v>
      </c>
      <c r="J114" s="40" t="b">
        <v>0</v>
      </c>
      <c r="K114" s="6"/>
      <c r="L114" s="6"/>
      <c r="M114" s="6"/>
      <c r="N114" s="6"/>
      <c r="O114" s="41">
        <v>46181.003703703704</v>
      </c>
      <c r="P114" s="39" t="s">
        <v>192</v>
      </c>
      <c r="Q114" s="39"/>
    </row>
    <row r="115" spans="1:17" s="7" customFormat="1">
      <c r="A115" s="60"/>
      <c r="B115" s="18"/>
      <c r="C115" s="6"/>
      <c r="D115" s="6"/>
      <c r="E11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5" s="39"/>
      <c r="G115" s="40" t="b">
        <v>0</v>
      </c>
      <c r="H115" s="40" t="b">
        <v>0</v>
      </c>
      <c r="I115" s="40" t="b">
        <v>0</v>
      </c>
      <c r="J115" s="40" t="b">
        <v>0</v>
      </c>
      <c r="K115" s="6"/>
      <c r="L115" s="6"/>
      <c r="M115" s="6"/>
      <c r="N115" s="6"/>
      <c r="O115" s="41">
        <v>46181.003703703704</v>
      </c>
      <c r="P115" s="39" t="s">
        <v>192</v>
      </c>
      <c r="Q115" s="39"/>
    </row>
    <row r="116" spans="1:17" s="7" customFormat="1">
      <c r="A116" s="60"/>
      <c r="B116" s="18"/>
      <c r="C116" s="6"/>
      <c r="D116" s="6"/>
      <c r="E11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6" s="39"/>
      <c r="G116" s="40" t="b">
        <v>0</v>
      </c>
      <c r="H116" s="40" t="b">
        <v>0</v>
      </c>
      <c r="I116" s="40" t="b">
        <v>0</v>
      </c>
      <c r="J116" s="40" t="b">
        <v>0</v>
      </c>
      <c r="K116" s="6"/>
      <c r="L116" s="6"/>
      <c r="M116" s="6"/>
      <c r="N116" s="6"/>
      <c r="O116" s="41">
        <v>46181.003703703704</v>
      </c>
      <c r="P116" s="39" t="s">
        <v>192</v>
      </c>
      <c r="Q116" s="39"/>
    </row>
    <row r="117" spans="1:17" s="7" customFormat="1">
      <c r="A117" s="60"/>
      <c r="B117" s="18"/>
      <c r="C117" s="6"/>
      <c r="D117" s="6"/>
      <c r="E11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7" s="39"/>
      <c r="G117" s="40" t="b">
        <v>0</v>
      </c>
      <c r="H117" s="40" t="b">
        <v>0</v>
      </c>
      <c r="I117" s="40" t="b">
        <v>0</v>
      </c>
      <c r="J117" s="40" t="b">
        <v>0</v>
      </c>
      <c r="K117" s="6"/>
      <c r="L117" s="6"/>
      <c r="M117" s="6"/>
      <c r="N117" s="6"/>
      <c r="O117" s="41">
        <v>46181.003703703704</v>
      </c>
      <c r="P117" s="39" t="s">
        <v>192</v>
      </c>
      <c r="Q117" s="39"/>
    </row>
    <row r="118" spans="1:17" s="7" customFormat="1">
      <c r="A118" s="60"/>
      <c r="B118" s="18"/>
      <c r="C118" s="6"/>
      <c r="D118" s="6"/>
      <c r="E11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8" s="39"/>
      <c r="G118" s="40" t="b">
        <v>0</v>
      </c>
      <c r="H118" s="40" t="b">
        <v>0</v>
      </c>
      <c r="I118" s="40" t="b">
        <v>0</v>
      </c>
      <c r="J118" s="40" t="b">
        <v>0</v>
      </c>
      <c r="K118" s="6"/>
      <c r="L118" s="6"/>
      <c r="M118" s="6"/>
      <c r="N118" s="6"/>
      <c r="O118" s="41">
        <v>46181.003703703704</v>
      </c>
      <c r="P118" s="39" t="s">
        <v>192</v>
      </c>
      <c r="Q118" s="39"/>
    </row>
    <row r="119" spans="1:17" s="7" customFormat="1">
      <c r="A119" s="60"/>
      <c r="B119" s="18"/>
      <c r="C119" s="6"/>
      <c r="D119" s="6"/>
      <c r="E11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19" s="39"/>
      <c r="G119" s="40" t="b">
        <v>0</v>
      </c>
      <c r="H119" s="40" t="b">
        <v>0</v>
      </c>
      <c r="I119" s="40" t="b">
        <v>0</v>
      </c>
      <c r="J119" s="40" t="b">
        <v>0</v>
      </c>
      <c r="K119" s="6"/>
      <c r="L119" s="6"/>
      <c r="M119" s="6"/>
      <c r="N119" s="6"/>
      <c r="O119" s="41">
        <v>46181.003703703704</v>
      </c>
      <c r="P119" s="39" t="s">
        <v>192</v>
      </c>
      <c r="Q119" s="39"/>
    </row>
    <row r="120" spans="1:17" s="7" customFormat="1">
      <c r="A120" s="60"/>
      <c r="B120" s="18"/>
      <c r="C120" s="6"/>
      <c r="D120" s="6"/>
      <c r="E12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0" s="39"/>
      <c r="G120" s="40" t="b">
        <v>0</v>
      </c>
      <c r="H120" s="40" t="b">
        <v>0</v>
      </c>
      <c r="I120" s="40" t="b">
        <v>0</v>
      </c>
      <c r="J120" s="40" t="b">
        <v>0</v>
      </c>
      <c r="K120" s="6"/>
      <c r="L120" s="6"/>
      <c r="M120" s="6"/>
      <c r="N120" s="6"/>
      <c r="O120" s="41">
        <v>46181.003703703704</v>
      </c>
      <c r="P120" s="39" t="s">
        <v>192</v>
      </c>
      <c r="Q120" s="39"/>
    </row>
    <row r="121" spans="1:17" s="7" customFormat="1">
      <c r="A121" s="60"/>
      <c r="B121" s="18"/>
      <c r="C121" s="6"/>
      <c r="D121" s="6"/>
      <c r="E12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1" s="39"/>
      <c r="G121" s="40" t="b">
        <v>0</v>
      </c>
      <c r="H121" s="40" t="b">
        <v>0</v>
      </c>
      <c r="I121" s="40" t="b">
        <v>0</v>
      </c>
      <c r="J121" s="40" t="b">
        <v>0</v>
      </c>
      <c r="K121" s="6"/>
      <c r="L121" s="6"/>
      <c r="M121" s="6"/>
      <c r="N121" s="6"/>
      <c r="O121" s="41">
        <v>46181.003703703704</v>
      </c>
      <c r="P121" s="39" t="s">
        <v>192</v>
      </c>
      <c r="Q121" s="39"/>
    </row>
    <row r="122" spans="1:17" s="7" customFormat="1">
      <c r="A122" s="60"/>
      <c r="B122" s="18"/>
      <c r="C122" s="6"/>
      <c r="D122" s="6"/>
      <c r="E12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2" s="39"/>
      <c r="G122" s="40" t="b">
        <v>0</v>
      </c>
      <c r="H122" s="40" t="b">
        <v>0</v>
      </c>
      <c r="I122" s="40" t="b">
        <v>0</v>
      </c>
      <c r="J122" s="40" t="b">
        <v>0</v>
      </c>
      <c r="K122" s="6"/>
      <c r="L122" s="6"/>
      <c r="M122" s="6"/>
      <c r="N122" s="6"/>
      <c r="O122" s="41">
        <v>46181.003703703704</v>
      </c>
      <c r="P122" s="39" t="s">
        <v>192</v>
      </c>
      <c r="Q122" s="39"/>
    </row>
    <row r="123" spans="1:17" s="7" customFormat="1">
      <c r="A123" s="60"/>
      <c r="B123" s="18"/>
      <c r="C123" s="6"/>
      <c r="D123" s="6"/>
      <c r="E12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3" s="39"/>
      <c r="G123" s="40" t="b">
        <v>0</v>
      </c>
      <c r="H123" s="40" t="b">
        <v>0</v>
      </c>
      <c r="I123" s="40" t="b">
        <v>0</v>
      </c>
      <c r="J123" s="40" t="b">
        <v>0</v>
      </c>
      <c r="K123" s="6"/>
      <c r="L123" s="6"/>
      <c r="M123" s="6"/>
      <c r="N123" s="6"/>
      <c r="O123" s="41">
        <v>46181.003703703704</v>
      </c>
      <c r="P123" s="39" t="s">
        <v>192</v>
      </c>
      <c r="Q123" s="39"/>
    </row>
    <row r="124" spans="1:17" s="7" customFormat="1">
      <c r="A124" s="60"/>
      <c r="B124" s="18"/>
      <c r="C124" s="6"/>
      <c r="D124" s="6"/>
      <c r="E12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4" s="39"/>
      <c r="G124" s="40" t="b">
        <v>0</v>
      </c>
      <c r="H124" s="40" t="b">
        <v>0</v>
      </c>
      <c r="I124" s="40" t="b">
        <v>0</v>
      </c>
      <c r="J124" s="40" t="b">
        <v>0</v>
      </c>
      <c r="K124" s="6"/>
      <c r="L124" s="6"/>
      <c r="M124" s="6"/>
      <c r="N124" s="6"/>
      <c r="O124" s="41">
        <v>46181.00371527778</v>
      </c>
      <c r="P124" s="39" t="s">
        <v>192</v>
      </c>
      <c r="Q124" s="39"/>
    </row>
    <row r="125" spans="1:17" s="7" customFormat="1">
      <c r="A125" s="60"/>
      <c r="B125" s="18"/>
      <c r="C125" s="6"/>
      <c r="D125" s="6"/>
      <c r="E12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5" s="39"/>
      <c r="G125" s="40" t="b">
        <v>0</v>
      </c>
      <c r="H125" s="40" t="b">
        <v>0</v>
      </c>
      <c r="I125" s="40" t="b">
        <v>0</v>
      </c>
      <c r="J125" s="40" t="b">
        <v>0</v>
      </c>
      <c r="K125" s="6"/>
      <c r="L125" s="6"/>
      <c r="M125" s="6"/>
      <c r="N125" s="6"/>
      <c r="O125" s="41">
        <v>46181.00371527778</v>
      </c>
      <c r="P125" s="39" t="s">
        <v>192</v>
      </c>
      <c r="Q125" s="39"/>
    </row>
    <row r="126" spans="1:17" s="7" customFormat="1">
      <c r="A126" s="60"/>
      <c r="B126" s="18"/>
      <c r="C126" s="6"/>
      <c r="D126" s="6"/>
      <c r="E12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6" s="39"/>
      <c r="G126" s="40" t="b">
        <v>0</v>
      </c>
      <c r="H126" s="40" t="b">
        <v>0</v>
      </c>
      <c r="I126" s="40" t="b">
        <v>0</v>
      </c>
      <c r="J126" s="40" t="b">
        <v>0</v>
      </c>
      <c r="K126" s="6"/>
      <c r="L126" s="6"/>
      <c r="M126" s="6"/>
      <c r="N126" s="6"/>
      <c r="O126" s="41">
        <v>46181.00371527778</v>
      </c>
      <c r="P126" s="39" t="s">
        <v>192</v>
      </c>
      <c r="Q126" s="39"/>
    </row>
    <row r="127" spans="1:17" s="7" customFormat="1">
      <c r="A127" s="60"/>
      <c r="B127" s="18"/>
      <c r="C127" s="6"/>
      <c r="D127" s="6"/>
      <c r="E12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7" s="39"/>
      <c r="G127" s="40" t="b">
        <v>0</v>
      </c>
      <c r="H127" s="40" t="b">
        <v>0</v>
      </c>
      <c r="I127" s="40" t="b">
        <v>0</v>
      </c>
      <c r="J127" s="40" t="b">
        <v>0</v>
      </c>
      <c r="K127" s="6"/>
      <c r="L127" s="6"/>
      <c r="M127" s="6"/>
      <c r="N127" s="6"/>
      <c r="O127" s="41">
        <v>46181.00371527778</v>
      </c>
      <c r="P127" s="39" t="s">
        <v>192</v>
      </c>
      <c r="Q127" s="39"/>
    </row>
    <row r="128" spans="1:17" s="7" customFormat="1">
      <c r="A128" s="60"/>
      <c r="B128" s="18"/>
      <c r="C128" s="6"/>
      <c r="D128" s="6"/>
      <c r="E12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8" s="39"/>
      <c r="G128" s="40" t="b">
        <v>0</v>
      </c>
      <c r="H128" s="40" t="b">
        <v>0</v>
      </c>
      <c r="I128" s="40" t="b">
        <v>0</v>
      </c>
      <c r="J128" s="40" t="b">
        <v>0</v>
      </c>
      <c r="K128" s="6"/>
      <c r="L128" s="6"/>
      <c r="M128" s="6"/>
      <c r="N128" s="6"/>
      <c r="O128" s="41">
        <v>46181.00371527778</v>
      </c>
      <c r="P128" s="39" t="s">
        <v>192</v>
      </c>
      <c r="Q128" s="39"/>
    </row>
    <row r="129" spans="1:17" s="7" customFormat="1">
      <c r="A129" s="60"/>
      <c r="B129" s="18"/>
      <c r="C129" s="6"/>
      <c r="D129" s="6"/>
      <c r="E12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29" s="39"/>
      <c r="G129" s="40" t="b">
        <v>0</v>
      </c>
      <c r="H129" s="40" t="b">
        <v>0</v>
      </c>
      <c r="I129" s="40" t="b">
        <v>0</v>
      </c>
      <c r="J129" s="40" t="b">
        <v>0</v>
      </c>
      <c r="K129" s="6"/>
      <c r="L129" s="6"/>
      <c r="M129" s="6"/>
      <c r="N129" s="6"/>
      <c r="O129" s="41">
        <v>46181.00371527778</v>
      </c>
      <c r="P129" s="39" t="s">
        <v>192</v>
      </c>
      <c r="Q129" s="39"/>
    </row>
    <row r="130" spans="1:17" s="7" customFormat="1">
      <c r="A130" s="60"/>
      <c r="B130" s="18"/>
      <c r="C130" s="6"/>
      <c r="D130" s="6"/>
      <c r="E13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0" s="39"/>
      <c r="G130" s="40" t="b">
        <v>0</v>
      </c>
      <c r="H130" s="40" t="b">
        <v>0</v>
      </c>
      <c r="I130" s="40" t="b">
        <v>0</v>
      </c>
      <c r="J130" s="40" t="b">
        <v>0</v>
      </c>
      <c r="K130" s="6"/>
      <c r="L130" s="6"/>
      <c r="M130" s="6"/>
      <c r="N130" s="6"/>
      <c r="O130" s="41">
        <v>46181.00371527778</v>
      </c>
      <c r="P130" s="39" t="s">
        <v>192</v>
      </c>
      <c r="Q130" s="39"/>
    </row>
    <row r="131" spans="1:17" s="7" customFormat="1">
      <c r="A131" s="60"/>
      <c r="B131" s="18"/>
      <c r="C131" s="6"/>
      <c r="D131" s="6"/>
      <c r="E13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1" s="39"/>
      <c r="G131" s="40" t="b">
        <v>0</v>
      </c>
      <c r="H131" s="40" t="b">
        <v>0</v>
      </c>
      <c r="I131" s="40" t="b">
        <v>0</v>
      </c>
      <c r="J131" s="40" t="b">
        <v>0</v>
      </c>
      <c r="K131" s="6"/>
      <c r="L131" s="6"/>
      <c r="M131" s="6"/>
      <c r="N131" s="6"/>
      <c r="O131" s="41">
        <v>46181.00371527778</v>
      </c>
      <c r="P131" s="39" t="s">
        <v>192</v>
      </c>
      <c r="Q131" s="39"/>
    </row>
    <row r="132" spans="1:17" s="7" customFormat="1">
      <c r="A132" s="60"/>
      <c r="B132" s="18"/>
      <c r="C132" s="6"/>
      <c r="D132" s="6"/>
      <c r="E13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2" s="39"/>
      <c r="G132" s="40" t="b">
        <v>0</v>
      </c>
      <c r="H132" s="40" t="b">
        <v>0</v>
      </c>
      <c r="I132" s="40" t="b">
        <v>0</v>
      </c>
      <c r="J132" s="40" t="b">
        <v>0</v>
      </c>
      <c r="K132" s="6"/>
      <c r="L132" s="6"/>
      <c r="M132" s="6"/>
      <c r="N132" s="6"/>
      <c r="O132" s="41">
        <v>46181.00371527778</v>
      </c>
      <c r="P132" s="39" t="s">
        <v>192</v>
      </c>
      <c r="Q132" s="39"/>
    </row>
    <row r="133" spans="1:17" s="7" customFormat="1">
      <c r="A133" s="60"/>
      <c r="B133" s="18"/>
      <c r="C133" s="6"/>
      <c r="D133" s="6"/>
      <c r="E13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3" s="39"/>
      <c r="G133" s="40" t="b">
        <v>0</v>
      </c>
      <c r="H133" s="40" t="b">
        <v>0</v>
      </c>
      <c r="I133" s="40" t="b">
        <v>0</v>
      </c>
      <c r="J133" s="40" t="b">
        <v>0</v>
      </c>
      <c r="K133" s="6"/>
      <c r="L133" s="6"/>
      <c r="M133" s="6"/>
      <c r="N133" s="6"/>
      <c r="O133" s="41">
        <v>46181.00371527778</v>
      </c>
      <c r="P133" s="39" t="s">
        <v>192</v>
      </c>
      <c r="Q133" s="39"/>
    </row>
    <row r="134" spans="1:17" s="7" customFormat="1">
      <c r="A134" s="60"/>
      <c r="B134" s="18"/>
      <c r="C134" s="6"/>
      <c r="D134" s="6"/>
      <c r="E13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4" s="39"/>
      <c r="G134" s="40" t="b">
        <v>0</v>
      </c>
      <c r="H134" s="40" t="b">
        <v>0</v>
      </c>
      <c r="I134" s="40" t="b">
        <v>0</v>
      </c>
      <c r="J134" s="40" t="b">
        <v>0</v>
      </c>
      <c r="K134" s="6"/>
      <c r="L134" s="6"/>
      <c r="M134" s="6"/>
      <c r="N134" s="6"/>
      <c r="O134" s="41">
        <v>46181.00371527778</v>
      </c>
      <c r="P134" s="39" t="s">
        <v>192</v>
      </c>
      <c r="Q134" s="39"/>
    </row>
    <row r="135" spans="1:17" s="7" customFormat="1">
      <c r="A135" s="60"/>
      <c r="B135" s="18"/>
      <c r="C135" s="6"/>
      <c r="D135" s="6"/>
      <c r="E13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5" s="39"/>
      <c r="G135" s="40" t="b">
        <v>0</v>
      </c>
      <c r="H135" s="40" t="b">
        <v>0</v>
      </c>
      <c r="I135" s="40" t="b">
        <v>0</v>
      </c>
      <c r="J135" s="40" t="b">
        <v>0</v>
      </c>
      <c r="K135" s="6"/>
      <c r="L135" s="6"/>
      <c r="M135" s="6"/>
      <c r="N135" s="6"/>
      <c r="O135" s="41">
        <v>46181.00371527778</v>
      </c>
      <c r="P135" s="39" t="s">
        <v>192</v>
      </c>
      <c r="Q135" s="39"/>
    </row>
    <row r="136" spans="1:17" s="7" customFormat="1">
      <c r="A136" s="60"/>
      <c r="B136" s="18"/>
      <c r="C136" s="6"/>
      <c r="D136" s="6"/>
      <c r="E13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6" s="39"/>
      <c r="G136" s="40" t="b">
        <v>0</v>
      </c>
      <c r="H136" s="40" t="b">
        <v>0</v>
      </c>
      <c r="I136" s="40" t="b">
        <v>0</v>
      </c>
      <c r="J136" s="40" t="b">
        <v>0</v>
      </c>
      <c r="K136" s="6"/>
      <c r="L136" s="6"/>
      <c r="M136" s="6"/>
      <c r="N136" s="6"/>
      <c r="O136" s="41">
        <v>46181.00371527778</v>
      </c>
      <c r="P136" s="39" t="s">
        <v>192</v>
      </c>
      <c r="Q136" s="39"/>
    </row>
    <row r="137" spans="1:17" s="7" customFormat="1">
      <c r="A137" s="60"/>
      <c r="B137" s="18"/>
      <c r="C137" s="6"/>
      <c r="D137" s="6"/>
      <c r="E13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7" s="39"/>
      <c r="G137" s="40" t="b">
        <v>0</v>
      </c>
      <c r="H137" s="40" t="b">
        <v>0</v>
      </c>
      <c r="I137" s="40" t="b">
        <v>0</v>
      </c>
      <c r="J137" s="40" t="b">
        <v>0</v>
      </c>
      <c r="K137" s="6"/>
      <c r="L137" s="6"/>
      <c r="M137" s="6"/>
      <c r="N137" s="6"/>
      <c r="O137" s="41">
        <v>46181.00371527778</v>
      </c>
      <c r="P137" s="39" t="s">
        <v>192</v>
      </c>
      <c r="Q137" s="39"/>
    </row>
    <row r="138" spans="1:17" s="7" customFormat="1">
      <c r="A138" s="60"/>
      <c r="B138" s="18"/>
      <c r="C138" s="6"/>
      <c r="D138" s="6"/>
      <c r="E13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8" s="39"/>
      <c r="G138" s="40" t="b">
        <v>0</v>
      </c>
      <c r="H138" s="40" t="b">
        <v>0</v>
      </c>
      <c r="I138" s="40" t="b">
        <v>0</v>
      </c>
      <c r="J138" s="40" t="b">
        <v>0</v>
      </c>
      <c r="K138" s="6"/>
      <c r="L138" s="6"/>
      <c r="M138" s="6"/>
      <c r="N138" s="6"/>
      <c r="O138" s="41">
        <v>46181.00371527778</v>
      </c>
      <c r="P138" s="39" t="s">
        <v>192</v>
      </c>
      <c r="Q138" s="39"/>
    </row>
    <row r="139" spans="1:17" s="7" customFormat="1">
      <c r="A139" s="60"/>
      <c r="B139" s="18"/>
      <c r="C139" s="6"/>
      <c r="D139" s="6"/>
      <c r="E13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39" s="39"/>
      <c r="G139" s="40" t="b">
        <v>0</v>
      </c>
      <c r="H139" s="40" t="b">
        <v>0</v>
      </c>
      <c r="I139" s="40" t="b">
        <v>0</v>
      </c>
      <c r="J139" s="40" t="b">
        <v>0</v>
      </c>
      <c r="K139" s="6"/>
      <c r="L139" s="6"/>
      <c r="M139" s="6"/>
      <c r="N139" s="6"/>
      <c r="O139" s="41">
        <v>46181.00371527778</v>
      </c>
      <c r="P139" s="39" t="s">
        <v>192</v>
      </c>
      <c r="Q139" s="39"/>
    </row>
    <row r="140" spans="1:17" s="7" customFormat="1">
      <c r="A140" s="60"/>
      <c r="B140" s="18"/>
      <c r="C140" s="6"/>
      <c r="D140" s="6"/>
      <c r="E14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0" s="39"/>
      <c r="G140" s="40" t="b">
        <v>0</v>
      </c>
      <c r="H140" s="40" t="b">
        <v>0</v>
      </c>
      <c r="I140" s="40" t="b">
        <v>0</v>
      </c>
      <c r="J140" s="40" t="b">
        <v>0</v>
      </c>
      <c r="K140" s="6"/>
      <c r="L140" s="6"/>
      <c r="M140" s="6"/>
      <c r="N140" s="6"/>
      <c r="O140" s="41">
        <v>46181.00371527778</v>
      </c>
      <c r="P140" s="39" t="s">
        <v>192</v>
      </c>
      <c r="Q140" s="39"/>
    </row>
    <row r="141" spans="1:17" s="7" customFormat="1">
      <c r="A141" s="60"/>
      <c r="B141" s="18"/>
      <c r="C141" s="6"/>
      <c r="D141" s="6"/>
      <c r="E14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1" s="39"/>
      <c r="G141" s="40" t="b">
        <v>0</v>
      </c>
      <c r="H141" s="40" t="b">
        <v>0</v>
      </c>
      <c r="I141" s="40" t="b">
        <v>0</v>
      </c>
      <c r="J141" s="40" t="b">
        <v>0</v>
      </c>
      <c r="K141" s="6"/>
      <c r="L141" s="6"/>
      <c r="M141" s="6"/>
      <c r="N141" s="6"/>
      <c r="O141" s="41">
        <v>46181.00371527778</v>
      </c>
      <c r="P141" s="39" t="s">
        <v>192</v>
      </c>
      <c r="Q141" s="39"/>
    </row>
    <row r="142" spans="1:17" s="7" customFormat="1">
      <c r="A142" s="60"/>
      <c r="B142" s="18"/>
      <c r="C142" s="6"/>
      <c r="D142" s="6"/>
      <c r="E14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2" s="39"/>
      <c r="G142" s="40" t="b">
        <v>0</v>
      </c>
      <c r="H142" s="40" t="b">
        <v>0</v>
      </c>
      <c r="I142" s="40" t="b">
        <v>0</v>
      </c>
      <c r="J142" s="40" t="b">
        <v>0</v>
      </c>
      <c r="K142" s="6"/>
      <c r="L142" s="6"/>
      <c r="M142" s="6"/>
      <c r="N142" s="6"/>
      <c r="O142" s="41">
        <v>46181.00371527778</v>
      </c>
      <c r="P142" s="39" t="s">
        <v>192</v>
      </c>
      <c r="Q142" s="39"/>
    </row>
    <row r="143" spans="1:17" s="7" customFormat="1">
      <c r="A143" s="60"/>
      <c r="B143" s="18"/>
      <c r="C143" s="6"/>
      <c r="D143" s="6"/>
      <c r="E14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3" s="39"/>
      <c r="G143" s="40" t="b">
        <v>0</v>
      </c>
      <c r="H143" s="40" t="b">
        <v>0</v>
      </c>
      <c r="I143" s="40" t="b">
        <v>0</v>
      </c>
      <c r="J143" s="40" t="b">
        <v>0</v>
      </c>
      <c r="K143" s="6"/>
      <c r="L143" s="6"/>
      <c r="M143" s="6"/>
      <c r="N143" s="6"/>
      <c r="O143" s="41">
        <v>46181.00371527778</v>
      </c>
      <c r="P143" s="39" t="s">
        <v>192</v>
      </c>
      <c r="Q143" s="39"/>
    </row>
    <row r="144" spans="1:17" s="7" customFormat="1">
      <c r="A144" s="60"/>
      <c r="B144" s="18"/>
      <c r="C144" s="6"/>
      <c r="D144" s="6"/>
      <c r="E14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4" s="39"/>
      <c r="G144" s="40" t="b">
        <v>0</v>
      </c>
      <c r="H144" s="40" t="b">
        <v>0</v>
      </c>
      <c r="I144" s="40" t="b">
        <v>0</v>
      </c>
      <c r="J144" s="40" t="b">
        <v>0</v>
      </c>
      <c r="K144" s="6"/>
      <c r="L144" s="6"/>
      <c r="M144" s="6"/>
      <c r="N144" s="6"/>
      <c r="O144" s="41">
        <v>46181.00371527778</v>
      </c>
      <c r="P144" s="39" t="s">
        <v>192</v>
      </c>
      <c r="Q144" s="39"/>
    </row>
    <row r="145" spans="1:17" s="7" customFormat="1">
      <c r="A145" s="60"/>
      <c r="B145" s="18"/>
      <c r="C145" s="6"/>
      <c r="D145" s="6"/>
      <c r="E14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5" s="39"/>
      <c r="G145" s="40" t="b">
        <v>0</v>
      </c>
      <c r="H145" s="40" t="b">
        <v>0</v>
      </c>
      <c r="I145" s="40" t="b">
        <v>0</v>
      </c>
      <c r="J145" s="40" t="b">
        <v>0</v>
      </c>
      <c r="K145" s="6"/>
      <c r="L145" s="6"/>
      <c r="M145" s="6"/>
      <c r="N145" s="6"/>
      <c r="O145" s="41">
        <v>46181.00371527778</v>
      </c>
      <c r="P145" s="39" t="s">
        <v>192</v>
      </c>
      <c r="Q145" s="39"/>
    </row>
    <row r="146" spans="1:17" s="7" customFormat="1">
      <c r="A146" s="60"/>
      <c r="B146" s="18"/>
      <c r="C146" s="6"/>
      <c r="D146" s="6"/>
      <c r="E14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6" s="39"/>
      <c r="G146" s="40" t="b">
        <v>0</v>
      </c>
      <c r="H146" s="40" t="b">
        <v>0</v>
      </c>
      <c r="I146" s="40" t="b">
        <v>0</v>
      </c>
      <c r="J146" s="40" t="b">
        <v>0</v>
      </c>
      <c r="K146" s="6"/>
      <c r="L146" s="6"/>
      <c r="M146" s="6"/>
      <c r="N146" s="6"/>
      <c r="O146" s="41">
        <v>46181.00371527778</v>
      </c>
      <c r="P146" s="39" t="s">
        <v>192</v>
      </c>
      <c r="Q146" s="39"/>
    </row>
    <row r="147" spans="1:17" s="7" customFormat="1">
      <c r="A147" s="60"/>
      <c r="B147" s="18"/>
      <c r="C147" s="6"/>
      <c r="D147" s="6"/>
      <c r="E14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7" s="39"/>
      <c r="G147" s="40" t="b">
        <v>0</v>
      </c>
      <c r="H147" s="40" t="b">
        <v>0</v>
      </c>
      <c r="I147" s="40" t="b">
        <v>0</v>
      </c>
      <c r="J147" s="40" t="b">
        <v>0</v>
      </c>
      <c r="K147" s="6"/>
      <c r="L147" s="6"/>
      <c r="M147" s="6"/>
      <c r="N147" s="6"/>
      <c r="O147" s="41">
        <v>46181.00371527778</v>
      </c>
      <c r="P147" s="39" t="s">
        <v>192</v>
      </c>
      <c r="Q147" s="39"/>
    </row>
    <row r="148" spans="1:17" s="7" customFormat="1">
      <c r="A148" s="60"/>
      <c r="B148" s="18"/>
      <c r="C148" s="6"/>
      <c r="D148" s="6"/>
      <c r="E14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8" s="39"/>
      <c r="G148" s="40" t="b">
        <v>0</v>
      </c>
      <c r="H148" s="40" t="b">
        <v>0</v>
      </c>
      <c r="I148" s="40" t="b">
        <v>0</v>
      </c>
      <c r="J148" s="40" t="b">
        <v>0</v>
      </c>
      <c r="K148" s="6"/>
      <c r="L148" s="6"/>
      <c r="M148" s="6"/>
      <c r="N148" s="6"/>
      <c r="O148" s="41">
        <v>46181.00371527778</v>
      </c>
      <c r="P148" s="39" t="s">
        <v>192</v>
      </c>
      <c r="Q148" s="39"/>
    </row>
    <row r="149" spans="1:17" s="7" customFormat="1">
      <c r="A149" s="60"/>
      <c r="B149" s="18"/>
      <c r="C149" s="6"/>
      <c r="D149" s="6"/>
      <c r="E14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49" s="39"/>
      <c r="G149" s="40" t="b">
        <v>0</v>
      </c>
      <c r="H149" s="40" t="b">
        <v>0</v>
      </c>
      <c r="I149" s="40" t="b">
        <v>0</v>
      </c>
      <c r="J149" s="40" t="b">
        <v>0</v>
      </c>
      <c r="K149" s="6"/>
      <c r="L149" s="6"/>
      <c r="M149" s="6"/>
      <c r="N149" s="6"/>
      <c r="O149" s="41">
        <v>46181.00372685185</v>
      </c>
      <c r="P149" s="39" t="s">
        <v>192</v>
      </c>
      <c r="Q149" s="39"/>
    </row>
    <row r="150" spans="1:17" s="7" customFormat="1">
      <c r="A150" s="60"/>
      <c r="B150" s="18"/>
      <c r="C150" s="6"/>
      <c r="D150" s="6"/>
      <c r="E15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0" s="39"/>
      <c r="G150" s="40" t="b">
        <v>0</v>
      </c>
      <c r="H150" s="40" t="b">
        <v>0</v>
      </c>
      <c r="I150" s="40" t="b">
        <v>0</v>
      </c>
      <c r="J150" s="40" t="b">
        <v>0</v>
      </c>
      <c r="K150" s="6"/>
      <c r="L150" s="6"/>
      <c r="M150" s="6"/>
      <c r="N150" s="6"/>
      <c r="O150" s="41">
        <v>46181.00372685185</v>
      </c>
      <c r="P150" s="39" t="s">
        <v>192</v>
      </c>
      <c r="Q150" s="39"/>
    </row>
    <row r="151" spans="1:17" s="7" customFormat="1">
      <c r="A151" s="60"/>
      <c r="B151" s="18"/>
      <c r="C151" s="6"/>
      <c r="D151" s="6"/>
      <c r="E15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1" s="39"/>
      <c r="G151" s="40" t="b">
        <v>0</v>
      </c>
      <c r="H151" s="40" t="b">
        <v>0</v>
      </c>
      <c r="I151" s="40" t="b">
        <v>0</v>
      </c>
      <c r="J151" s="40" t="b">
        <v>0</v>
      </c>
      <c r="K151" s="6"/>
      <c r="L151" s="6"/>
      <c r="M151" s="6"/>
      <c r="N151" s="6"/>
      <c r="O151" s="41">
        <v>46181.00372685185</v>
      </c>
      <c r="P151" s="39" t="s">
        <v>192</v>
      </c>
      <c r="Q151" s="39"/>
    </row>
    <row r="152" spans="1:17" s="7" customFormat="1">
      <c r="A152" s="60"/>
      <c r="B152" s="18"/>
      <c r="C152" s="6"/>
      <c r="D152" s="6"/>
      <c r="E15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2" s="39"/>
      <c r="G152" s="40" t="b">
        <v>0</v>
      </c>
      <c r="H152" s="40" t="b">
        <v>0</v>
      </c>
      <c r="I152" s="40" t="b">
        <v>0</v>
      </c>
      <c r="J152" s="40" t="b">
        <v>0</v>
      </c>
      <c r="K152" s="6"/>
      <c r="L152" s="6"/>
      <c r="M152" s="6"/>
      <c r="N152" s="6"/>
      <c r="O152" s="41">
        <v>46181.00372685185</v>
      </c>
      <c r="P152" s="39" t="s">
        <v>192</v>
      </c>
      <c r="Q152" s="39"/>
    </row>
    <row r="153" spans="1:17" s="7" customFormat="1">
      <c r="A153" s="60"/>
      <c r="B153" s="18"/>
      <c r="C153" s="6"/>
      <c r="D153" s="6"/>
      <c r="E15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3" s="39"/>
      <c r="G153" s="40" t="b">
        <v>0</v>
      </c>
      <c r="H153" s="40" t="b">
        <v>0</v>
      </c>
      <c r="I153" s="40" t="b">
        <v>0</v>
      </c>
      <c r="J153" s="40" t="b">
        <v>0</v>
      </c>
      <c r="K153" s="6"/>
      <c r="L153" s="6"/>
      <c r="M153" s="6"/>
      <c r="N153" s="6"/>
      <c r="O153" s="41">
        <v>46181.00372685185</v>
      </c>
      <c r="P153" s="39" t="s">
        <v>192</v>
      </c>
      <c r="Q153" s="39"/>
    </row>
    <row r="154" spans="1:17" s="7" customFormat="1">
      <c r="A154" s="60"/>
      <c r="B154" s="18"/>
      <c r="C154" s="6"/>
      <c r="D154" s="6"/>
      <c r="E15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4" s="39"/>
      <c r="G154" s="40" t="b">
        <v>0</v>
      </c>
      <c r="H154" s="40" t="b">
        <v>0</v>
      </c>
      <c r="I154" s="40" t="b">
        <v>0</v>
      </c>
      <c r="J154" s="40" t="b">
        <v>0</v>
      </c>
      <c r="K154" s="6"/>
      <c r="L154" s="6"/>
      <c r="M154" s="6"/>
      <c r="N154" s="6"/>
      <c r="O154" s="41">
        <v>46181.00372685185</v>
      </c>
      <c r="P154" s="39" t="s">
        <v>192</v>
      </c>
      <c r="Q154" s="39"/>
    </row>
    <row r="155" spans="1:17" s="7" customFormat="1">
      <c r="A155" s="60"/>
      <c r="B155" s="18"/>
      <c r="C155" s="6"/>
      <c r="D155" s="6"/>
      <c r="E15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5" s="39"/>
      <c r="G155" s="40" t="b">
        <v>0</v>
      </c>
      <c r="H155" s="40" t="b">
        <v>0</v>
      </c>
      <c r="I155" s="40" t="b">
        <v>0</v>
      </c>
      <c r="J155" s="40" t="b">
        <v>0</v>
      </c>
      <c r="K155" s="6"/>
      <c r="L155" s="6"/>
      <c r="M155" s="6"/>
      <c r="N155" s="6"/>
      <c r="O155" s="41">
        <v>46181.00372685185</v>
      </c>
      <c r="P155" s="39" t="s">
        <v>192</v>
      </c>
      <c r="Q155" s="39"/>
    </row>
    <row r="156" spans="1:17" s="7" customFormat="1">
      <c r="A156" s="60"/>
      <c r="B156" s="18"/>
      <c r="C156" s="6"/>
      <c r="D156" s="6"/>
      <c r="E15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6" s="39"/>
      <c r="G156" s="40" t="b">
        <v>0</v>
      </c>
      <c r="H156" s="40" t="b">
        <v>0</v>
      </c>
      <c r="I156" s="40" t="b">
        <v>0</v>
      </c>
      <c r="J156" s="40" t="b">
        <v>0</v>
      </c>
      <c r="K156" s="6"/>
      <c r="L156" s="6"/>
      <c r="M156" s="6"/>
      <c r="N156" s="6"/>
      <c r="O156" s="41">
        <v>46181.00372685185</v>
      </c>
      <c r="P156" s="39" t="s">
        <v>192</v>
      </c>
      <c r="Q156" s="39"/>
    </row>
    <row r="157" spans="1:17" s="7" customFormat="1">
      <c r="A157" s="60"/>
      <c r="B157" s="18"/>
      <c r="C157" s="6"/>
      <c r="D157" s="6"/>
      <c r="E15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7" s="39"/>
      <c r="G157" s="40" t="b">
        <v>0</v>
      </c>
      <c r="H157" s="40" t="b">
        <v>0</v>
      </c>
      <c r="I157" s="40" t="b">
        <v>0</v>
      </c>
      <c r="J157" s="40" t="b">
        <v>0</v>
      </c>
      <c r="K157" s="6"/>
      <c r="L157" s="6"/>
      <c r="M157" s="6"/>
      <c r="N157" s="6"/>
      <c r="O157" s="41">
        <v>46181.00372685185</v>
      </c>
      <c r="P157" s="39" t="s">
        <v>192</v>
      </c>
      <c r="Q157" s="39"/>
    </row>
    <row r="158" spans="1:17" s="7" customFormat="1">
      <c r="A158" s="60"/>
      <c r="B158" s="18"/>
      <c r="C158" s="6"/>
      <c r="D158" s="6"/>
      <c r="E15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8" s="39"/>
      <c r="G158" s="40" t="b">
        <v>0</v>
      </c>
      <c r="H158" s="40" t="b">
        <v>0</v>
      </c>
      <c r="I158" s="40" t="b">
        <v>0</v>
      </c>
      <c r="J158" s="40" t="b">
        <v>0</v>
      </c>
      <c r="K158" s="6"/>
      <c r="L158" s="6"/>
      <c r="M158" s="6"/>
      <c r="N158" s="6"/>
      <c r="O158" s="41">
        <v>46181.00372685185</v>
      </c>
      <c r="P158" s="39" t="s">
        <v>192</v>
      </c>
      <c r="Q158" s="39"/>
    </row>
    <row r="159" spans="1:17" s="7" customFormat="1">
      <c r="A159" s="60"/>
      <c r="B159" s="18"/>
      <c r="C159" s="6"/>
      <c r="D159" s="6"/>
      <c r="E15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59" s="39"/>
      <c r="G159" s="40" t="b">
        <v>0</v>
      </c>
      <c r="H159" s="40" t="b">
        <v>0</v>
      </c>
      <c r="I159" s="40" t="b">
        <v>0</v>
      </c>
      <c r="J159" s="40" t="b">
        <v>0</v>
      </c>
      <c r="K159" s="6"/>
      <c r="L159" s="6"/>
      <c r="M159" s="6"/>
      <c r="N159" s="6"/>
      <c r="O159" s="41">
        <v>46181.00372685185</v>
      </c>
      <c r="P159" s="39" t="s">
        <v>192</v>
      </c>
      <c r="Q159" s="39"/>
    </row>
    <row r="160" spans="1:17" s="7" customFormat="1">
      <c r="A160" s="60"/>
      <c r="B160" s="18"/>
      <c r="C160" s="6"/>
      <c r="D160" s="6"/>
      <c r="E16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0" s="39"/>
      <c r="G160" s="40" t="b">
        <v>0</v>
      </c>
      <c r="H160" s="40" t="b">
        <v>0</v>
      </c>
      <c r="I160" s="40" t="b">
        <v>0</v>
      </c>
      <c r="J160" s="40" t="b">
        <v>0</v>
      </c>
      <c r="K160" s="6"/>
      <c r="L160" s="6"/>
      <c r="M160" s="6"/>
      <c r="N160" s="6"/>
      <c r="O160" s="41">
        <v>46181.00372685185</v>
      </c>
      <c r="P160" s="39" t="s">
        <v>192</v>
      </c>
      <c r="Q160" s="39"/>
    </row>
    <row r="161" spans="1:17" s="7" customFormat="1">
      <c r="A161" s="60"/>
      <c r="B161" s="18"/>
      <c r="C161" s="6"/>
      <c r="D161" s="6"/>
      <c r="E16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1" s="39"/>
      <c r="G161" s="40" t="b">
        <v>0</v>
      </c>
      <c r="H161" s="40" t="b">
        <v>0</v>
      </c>
      <c r="I161" s="40" t="b">
        <v>0</v>
      </c>
      <c r="J161" s="40" t="b">
        <v>0</v>
      </c>
      <c r="K161" s="6"/>
      <c r="L161" s="6"/>
      <c r="M161" s="6"/>
      <c r="N161" s="6"/>
      <c r="O161" s="41">
        <v>46181.00372685185</v>
      </c>
      <c r="P161" s="39" t="s">
        <v>192</v>
      </c>
      <c r="Q161" s="39"/>
    </row>
    <row r="162" spans="1:17" s="7" customFormat="1">
      <c r="A162" s="60"/>
      <c r="B162" s="18"/>
      <c r="C162" s="6"/>
      <c r="D162" s="6"/>
      <c r="E16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2" s="39"/>
      <c r="G162" s="40" t="b">
        <v>0</v>
      </c>
      <c r="H162" s="40" t="b">
        <v>0</v>
      </c>
      <c r="I162" s="40" t="b">
        <v>0</v>
      </c>
      <c r="J162" s="40" t="b">
        <v>0</v>
      </c>
      <c r="K162" s="6"/>
      <c r="L162" s="6"/>
      <c r="M162" s="6"/>
      <c r="N162" s="6"/>
      <c r="O162" s="41">
        <v>46181.00372685185</v>
      </c>
      <c r="P162" s="39" t="s">
        <v>192</v>
      </c>
      <c r="Q162" s="39"/>
    </row>
    <row r="163" spans="1:17" s="7" customFormat="1">
      <c r="A163" s="60"/>
      <c r="B163" s="18"/>
      <c r="C163" s="6"/>
      <c r="D163" s="6"/>
      <c r="E16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3" s="39"/>
      <c r="G163" s="40" t="b">
        <v>0</v>
      </c>
      <c r="H163" s="40" t="b">
        <v>0</v>
      </c>
      <c r="I163" s="40" t="b">
        <v>0</v>
      </c>
      <c r="J163" s="40" t="b">
        <v>0</v>
      </c>
      <c r="K163" s="6"/>
      <c r="L163" s="6"/>
      <c r="M163" s="6"/>
      <c r="N163" s="6"/>
      <c r="O163" s="41">
        <v>46181.00372685185</v>
      </c>
      <c r="P163" s="39" t="s">
        <v>192</v>
      </c>
      <c r="Q163" s="39"/>
    </row>
    <row r="164" spans="1:17" s="7" customFormat="1">
      <c r="A164" s="60"/>
      <c r="B164" s="18"/>
      <c r="C164" s="6"/>
      <c r="D164" s="6"/>
      <c r="E16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4" s="39"/>
      <c r="G164" s="40" t="b">
        <v>0</v>
      </c>
      <c r="H164" s="40" t="b">
        <v>0</v>
      </c>
      <c r="I164" s="40" t="b">
        <v>0</v>
      </c>
      <c r="J164" s="40" t="b">
        <v>0</v>
      </c>
      <c r="K164" s="6"/>
      <c r="L164" s="6"/>
      <c r="M164" s="6"/>
      <c r="N164" s="6"/>
      <c r="O164" s="41">
        <v>46181.00372685185</v>
      </c>
      <c r="P164" s="39" t="s">
        <v>192</v>
      </c>
      <c r="Q164" s="39"/>
    </row>
    <row r="165" spans="1:17" s="7" customFormat="1">
      <c r="A165" s="60"/>
      <c r="B165" s="18"/>
      <c r="C165" s="6"/>
      <c r="D165" s="6"/>
      <c r="E16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5" s="39"/>
      <c r="G165" s="40" t="b">
        <v>0</v>
      </c>
      <c r="H165" s="40" t="b">
        <v>0</v>
      </c>
      <c r="I165" s="40" t="b">
        <v>0</v>
      </c>
      <c r="J165" s="40" t="b">
        <v>0</v>
      </c>
      <c r="K165" s="6"/>
      <c r="L165" s="6"/>
      <c r="M165" s="6"/>
      <c r="N165" s="6"/>
      <c r="O165" s="41">
        <v>46181.00372685185</v>
      </c>
      <c r="P165" s="39" t="s">
        <v>192</v>
      </c>
      <c r="Q165" s="39"/>
    </row>
    <row r="166" spans="1:17" s="7" customFormat="1">
      <c r="A166" s="60"/>
      <c r="B166" s="18"/>
      <c r="C166" s="6"/>
      <c r="D166" s="6"/>
      <c r="E16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6" s="39"/>
      <c r="G166" s="40" t="b">
        <v>0</v>
      </c>
      <c r="H166" s="40" t="b">
        <v>0</v>
      </c>
      <c r="I166" s="40" t="b">
        <v>0</v>
      </c>
      <c r="J166" s="40" t="b">
        <v>0</v>
      </c>
      <c r="K166" s="6"/>
      <c r="L166" s="6"/>
      <c r="M166" s="6"/>
      <c r="N166" s="6"/>
      <c r="O166" s="41">
        <v>46181.00372685185</v>
      </c>
      <c r="P166" s="39" t="s">
        <v>192</v>
      </c>
      <c r="Q166" s="39"/>
    </row>
    <row r="167" spans="1:17" s="7" customFormat="1">
      <c r="A167" s="60"/>
      <c r="B167" s="18"/>
      <c r="C167" s="6"/>
      <c r="D167" s="6"/>
      <c r="E16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7" s="39"/>
      <c r="G167" s="40" t="b">
        <v>0</v>
      </c>
      <c r="H167" s="40" t="b">
        <v>0</v>
      </c>
      <c r="I167" s="40" t="b">
        <v>0</v>
      </c>
      <c r="J167" s="40" t="b">
        <v>0</v>
      </c>
      <c r="K167" s="6"/>
      <c r="L167" s="6"/>
      <c r="M167" s="6"/>
      <c r="N167" s="6"/>
      <c r="O167" s="41">
        <v>46181.00372685185</v>
      </c>
      <c r="P167" s="39" t="s">
        <v>192</v>
      </c>
      <c r="Q167" s="39"/>
    </row>
    <row r="168" spans="1:17" s="7" customFormat="1">
      <c r="A168" s="60"/>
      <c r="B168" s="18"/>
      <c r="C168" s="6"/>
      <c r="D168" s="6"/>
      <c r="E16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8" s="39"/>
      <c r="G168" s="40" t="b">
        <v>0</v>
      </c>
      <c r="H168" s="40" t="b">
        <v>0</v>
      </c>
      <c r="I168" s="40" t="b">
        <v>0</v>
      </c>
      <c r="J168" s="40" t="b">
        <v>0</v>
      </c>
      <c r="K168" s="6"/>
      <c r="L168" s="6"/>
      <c r="M168" s="6"/>
      <c r="N168" s="6"/>
      <c r="O168" s="41">
        <v>46181.00372685185</v>
      </c>
      <c r="P168" s="39" t="s">
        <v>192</v>
      </c>
      <c r="Q168" s="39"/>
    </row>
    <row r="169" spans="1:17" s="7" customFormat="1">
      <c r="A169" s="60"/>
      <c r="B169" s="18"/>
      <c r="C169" s="6"/>
      <c r="D169" s="6"/>
      <c r="E16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69" s="39"/>
      <c r="G169" s="40" t="b">
        <v>0</v>
      </c>
      <c r="H169" s="40" t="b">
        <v>0</v>
      </c>
      <c r="I169" s="40" t="b">
        <v>0</v>
      </c>
      <c r="J169" s="40" t="b">
        <v>0</v>
      </c>
      <c r="K169" s="6"/>
      <c r="L169" s="6"/>
      <c r="M169" s="6"/>
      <c r="N169" s="6"/>
      <c r="O169" s="41">
        <v>46181.00372685185</v>
      </c>
      <c r="P169" s="39" t="s">
        <v>192</v>
      </c>
      <c r="Q169" s="39"/>
    </row>
    <row r="170" spans="1:17" s="7" customFormat="1">
      <c r="A170" s="60"/>
      <c r="B170" s="18"/>
      <c r="C170" s="6"/>
      <c r="D170" s="6"/>
      <c r="E17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0" s="39"/>
      <c r="G170" s="40" t="b">
        <v>0</v>
      </c>
      <c r="H170" s="40" t="b">
        <v>0</v>
      </c>
      <c r="I170" s="40" t="b">
        <v>0</v>
      </c>
      <c r="J170" s="40" t="b">
        <v>0</v>
      </c>
      <c r="K170" s="6"/>
      <c r="L170" s="6"/>
      <c r="M170" s="6"/>
      <c r="N170" s="6"/>
      <c r="O170" s="41">
        <v>46181.00372685185</v>
      </c>
      <c r="P170" s="39" t="s">
        <v>192</v>
      </c>
      <c r="Q170" s="39"/>
    </row>
    <row r="171" spans="1:17" s="7" customFormat="1">
      <c r="A171" s="60"/>
      <c r="B171" s="18"/>
      <c r="C171" s="6"/>
      <c r="D171" s="6"/>
      <c r="E17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1" s="39"/>
      <c r="G171" s="40" t="b">
        <v>0</v>
      </c>
      <c r="H171" s="40" t="b">
        <v>0</v>
      </c>
      <c r="I171" s="40" t="b">
        <v>0</v>
      </c>
      <c r="J171" s="40" t="b">
        <v>0</v>
      </c>
      <c r="K171" s="6"/>
      <c r="L171" s="6"/>
      <c r="M171" s="6"/>
      <c r="N171" s="6"/>
      <c r="O171" s="41">
        <v>46181.00372685185</v>
      </c>
      <c r="P171" s="39" t="s">
        <v>192</v>
      </c>
      <c r="Q171" s="39"/>
    </row>
    <row r="172" spans="1:17" s="7" customFormat="1">
      <c r="A172" s="60"/>
      <c r="B172" s="18"/>
      <c r="C172" s="6"/>
      <c r="D172" s="6"/>
      <c r="E17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2" s="39"/>
      <c r="G172" s="40" t="b">
        <v>0</v>
      </c>
      <c r="H172" s="40" t="b">
        <v>0</v>
      </c>
      <c r="I172" s="40" t="b">
        <v>0</v>
      </c>
      <c r="J172" s="40" t="b">
        <v>0</v>
      </c>
      <c r="K172" s="6"/>
      <c r="L172" s="6"/>
      <c r="M172" s="6"/>
      <c r="N172" s="6"/>
      <c r="O172" s="41">
        <v>46181.003738425927</v>
      </c>
      <c r="P172" s="39" t="s">
        <v>192</v>
      </c>
      <c r="Q172" s="39"/>
    </row>
    <row r="173" spans="1:17" s="7" customFormat="1">
      <c r="A173" s="60"/>
      <c r="B173" s="18"/>
      <c r="C173" s="6"/>
      <c r="D173" s="6"/>
      <c r="E17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3" s="39"/>
      <c r="G173" s="40" t="b">
        <v>0</v>
      </c>
      <c r="H173" s="40" t="b">
        <v>0</v>
      </c>
      <c r="I173" s="40" t="b">
        <v>0</v>
      </c>
      <c r="J173" s="40" t="b">
        <v>0</v>
      </c>
      <c r="K173" s="6"/>
      <c r="L173" s="6"/>
      <c r="M173" s="6"/>
      <c r="N173" s="6"/>
      <c r="O173" s="41">
        <v>46181.003738425927</v>
      </c>
      <c r="P173" s="39" t="s">
        <v>192</v>
      </c>
      <c r="Q173" s="39"/>
    </row>
    <row r="174" spans="1:17" s="7" customFormat="1">
      <c r="A174" s="60"/>
      <c r="B174" s="18"/>
      <c r="C174" s="6"/>
      <c r="D174" s="6"/>
      <c r="E17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4" s="39"/>
      <c r="G174" s="40" t="b">
        <v>0</v>
      </c>
      <c r="H174" s="40" t="b">
        <v>0</v>
      </c>
      <c r="I174" s="40" t="b">
        <v>0</v>
      </c>
      <c r="J174" s="40" t="b">
        <v>0</v>
      </c>
      <c r="K174" s="6"/>
      <c r="L174" s="6"/>
      <c r="M174" s="6"/>
      <c r="N174" s="6"/>
      <c r="O174" s="41">
        <v>46181.003738425927</v>
      </c>
      <c r="P174" s="39" t="s">
        <v>192</v>
      </c>
      <c r="Q174" s="39"/>
    </row>
    <row r="175" spans="1:17" s="7" customFormat="1">
      <c r="A175" s="60"/>
      <c r="B175" s="18"/>
      <c r="C175" s="6"/>
      <c r="D175" s="6"/>
      <c r="E17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5" s="39"/>
      <c r="G175" s="40" t="b">
        <v>0</v>
      </c>
      <c r="H175" s="40" t="b">
        <v>0</v>
      </c>
      <c r="I175" s="40" t="b">
        <v>0</v>
      </c>
      <c r="J175" s="40" t="b">
        <v>0</v>
      </c>
      <c r="K175" s="6"/>
      <c r="L175" s="6"/>
      <c r="M175" s="6"/>
      <c r="N175" s="6"/>
      <c r="O175" s="41">
        <v>46181.003738425927</v>
      </c>
      <c r="P175" s="39" t="s">
        <v>192</v>
      </c>
      <c r="Q175" s="39"/>
    </row>
    <row r="176" spans="1:17" s="7" customFormat="1">
      <c r="A176" s="60"/>
      <c r="B176" s="18"/>
      <c r="C176" s="6"/>
      <c r="D176" s="6"/>
      <c r="E17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6" s="39"/>
      <c r="G176" s="40" t="b">
        <v>0</v>
      </c>
      <c r="H176" s="40" t="b">
        <v>0</v>
      </c>
      <c r="I176" s="40" t="b">
        <v>0</v>
      </c>
      <c r="J176" s="40" t="b">
        <v>0</v>
      </c>
      <c r="K176" s="6"/>
      <c r="L176" s="6"/>
      <c r="M176" s="6"/>
      <c r="N176" s="6"/>
      <c r="O176" s="41">
        <v>46181.003738425927</v>
      </c>
      <c r="P176" s="39" t="s">
        <v>192</v>
      </c>
      <c r="Q176" s="39"/>
    </row>
    <row r="177" spans="1:17" s="7" customFormat="1">
      <c r="A177" s="60"/>
      <c r="B177" s="18"/>
      <c r="C177" s="6"/>
      <c r="D177" s="6"/>
      <c r="E17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7" s="39"/>
      <c r="G177" s="40" t="b">
        <v>0</v>
      </c>
      <c r="H177" s="40" t="b">
        <v>0</v>
      </c>
      <c r="I177" s="40" t="b">
        <v>0</v>
      </c>
      <c r="J177" s="40" t="b">
        <v>0</v>
      </c>
      <c r="K177" s="6"/>
      <c r="L177" s="6"/>
      <c r="M177" s="6"/>
      <c r="N177" s="6"/>
      <c r="O177" s="41">
        <v>46181.003738425927</v>
      </c>
      <c r="P177" s="39" t="s">
        <v>192</v>
      </c>
      <c r="Q177" s="39"/>
    </row>
    <row r="178" spans="1:17" s="7" customFormat="1">
      <c r="A178" s="60"/>
      <c r="B178" s="18"/>
      <c r="C178" s="6"/>
      <c r="D178" s="6"/>
      <c r="E17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8" s="39"/>
      <c r="G178" s="40" t="b">
        <v>0</v>
      </c>
      <c r="H178" s="40" t="b">
        <v>0</v>
      </c>
      <c r="I178" s="40" t="b">
        <v>0</v>
      </c>
      <c r="J178" s="40" t="b">
        <v>0</v>
      </c>
      <c r="K178" s="6"/>
      <c r="L178" s="6"/>
      <c r="M178" s="6"/>
      <c r="N178" s="6"/>
      <c r="O178" s="41">
        <v>46181.003738425927</v>
      </c>
      <c r="P178" s="39" t="s">
        <v>192</v>
      </c>
      <c r="Q178" s="39"/>
    </row>
    <row r="179" spans="1:17" s="7" customFormat="1">
      <c r="A179" s="60"/>
      <c r="B179" s="18"/>
      <c r="C179" s="6"/>
      <c r="D179" s="6"/>
      <c r="E17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79" s="39"/>
      <c r="G179" s="40" t="b">
        <v>0</v>
      </c>
      <c r="H179" s="40" t="b">
        <v>0</v>
      </c>
      <c r="I179" s="40" t="b">
        <v>0</v>
      </c>
      <c r="J179" s="40" t="b">
        <v>0</v>
      </c>
      <c r="K179" s="6"/>
      <c r="L179" s="6"/>
      <c r="M179" s="6"/>
      <c r="N179" s="6"/>
      <c r="O179" s="41">
        <v>46181.003738425927</v>
      </c>
      <c r="P179" s="39" t="s">
        <v>192</v>
      </c>
      <c r="Q179" s="39"/>
    </row>
    <row r="180" spans="1:17" s="7" customFormat="1">
      <c r="A180" s="60"/>
      <c r="B180" s="18"/>
      <c r="C180" s="6"/>
      <c r="D180" s="6"/>
      <c r="E18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0" s="39"/>
      <c r="G180" s="40" t="b">
        <v>0</v>
      </c>
      <c r="H180" s="40" t="b">
        <v>0</v>
      </c>
      <c r="I180" s="40" t="b">
        <v>0</v>
      </c>
      <c r="J180" s="40" t="b">
        <v>0</v>
      </c>
      <c r="K180" s="6"/>
      <c r="L180" s="6"/>
      <c r="M180" s="6"/>
      <c r="N180" s="6"/>
      <c r="O180" s="41">
        <v>46181.003738425927</v>
      </c>
      <c r="P180" s="39" t="s">
        <v>192</v>
      </c>
      <c r="Q180" s="39"/>
    </row>
    <row r="181" spans="1:17" s="7" customFormat="1">
      <c r="A181" s="60"/>
      <c r="B181" s="18"/>
      <c r="C181" s="6"/>
      <c r="D181" s="6"/>
      <c r="E18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1" s="39"/>
      <c r="G181" s="40" t="b">
        <v>0</v>
      </c>
      <c r="H181" s="40" t="b">
        <v>0</v>
      </c>
      <c r="I181" s="40" t="b">
        <v>0</v>
      </c>
      <c r="J181" s="40" t="b">
        <v>0</v>
      </c>
      <c r="K181" s="6"/>
      <c r="L181" s="6"/>
      <c r="M181" s="6"/>
      <c r="N181" s="6"/>
      <c r="O181" s="41">
        <v>46181.003738425927</v>
      </c>
      <c r="P181" s="39" t="s">
        <v>192</v>
      </c>
      <c r="Q181" s="39"/>
    </row>
    <row r="182" spans="1:17" s="7" customFormat="1">
      <c r="A182" s="60"/>
      <c r="B182" s="18"/>
      <c r="C182" s="6"/>
      <c r="D182" s="6"/>
      <c r="E18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2" s="39"/>
      <c r="G182" s="40" t="b">
        <v>0</v>
      </c>
      <c r="H182" s="40" t="b">
        <v>0</v>
      </c>
      <c r="I182" s="40" t="b">
        <v>0</v>
      </c>
      <c r="J182" s="40" t="b">
        <v>0</v>
      </c>
      <c r="K182" s="6"/>
      <c r="L182" s="6"/>
      <c r="M182" s="6"/>
      <c r="N182" s="6"/>
      <c r="O182" s="41">
        <v>46181.003738425927</v>
      </c>
      <c r="P182" s="39" t="s">
        <v>192</v>
      </c>
      <c r="Q182" s="39"/>
    </row>
    <row r="183" spans="1:17" s="7" customFormat="1">
      <c r="A183" s="60"/>
      <c r="B183" s="18"/>
      <c r="C183" s="6"/>
      <c r="D183" s="6"/>
      <c r="E18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3" s="39"/>
      <c r="G183" s="40" t="b">
        <v>0</v>
      </c>
      <c r="H183" s="40" t="b">
        <v>0</v>
      </c>
      <c r="I183" s="40" t="b">
        <v>0</v>
      </c>
      <c r="J183" s="40" t="b">
        <v>0</v>
      </c>
      <c r="K183" s="6"/>
      <c r="L183" s="6"/>
      <c r="M183" s="6"/>
      <c r="N183" s="6"/>
      <c r="O183" s="41">
        <v>46181.003738425927</v>
      </c>
      <c r="P183" s="39" t="s">
        <v>192</v>
      </c>
      <c r="Q183" s="39"/>
    </row>
    <row r="184" spans="1:17" s="7" customFormat="1">
      <c r="A184" s="60"/>
      <c r="B184" s="18"/>
      <c r="C184" s="6"/>
      <c r="D184" s="6"/>
      <c r="E18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4" s="39"/>
      <c r="G184" s="40" t="b">
        <v>0</v>
      </c>
      <c r="H184" s="40" t="b">
        <v>0</v>
      </c>
      <c r="I184" s="40" t="b">
        <v>0</v>
      </c>
      <c r="J184" s="40" t="b">
        <v>0</v>
      </c>
      <c r="K184" s="6"/>
      <c r="L184" s="6"/>
      <c r="M184" s="6"/>
      <c r="N184" s="6"/>
      <c r="O184" s="41">
        <v>46181.003738425927</v>
      </c>
      <c r="P184" s="39" t="s">
        <v>192</v>
      </c>
      <c r="Q184" s="39"/>
    </row>
    <row r="185" spans="1:17" s="7" customFormat="1">
      <c r="A185" s="60"/>
      <c r="B185" s="18"/>
      <c r="C185" s="6"/>
      <c r="D185" s="6"/>
      <c r="E18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5" s="39"/>
      <c r="G185" s="40" t="b">
        <v>0</v>
      </c>
      <c r="H185" s="40" t="b">
        <v>0</v>
      </c>
      <c r="I185" s="40" t="b">
        <v>0</v>
      </c>
      <c r="J185" s="40" t="b">
        <v>0</v>
      </c>
      <c r="K185" s="6"/>
      <c r="L185" s="6"/>
      <c r="M185" s="6"/>
      <c r="N185" s="6"/>
      <c r="O185" s="41">
        <v>46181.003738425927</v>
      </c>
      <c r="P185" s="39" t="s">
        <v>192</v>
      </c>
      <c r="Q185" s="39"/>
    </row>
    <row r="186" spans="1:17" s="7" customFormat="1">
      <c r="A186" s="60"/>
      <c r="B186" s="18"/>
      <c r="C186" s="6"/>
      <c r="D186" s="6"/>
      <c r="E18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6" s="39"/>
      <c r="G186" s="40" t="b">
        <v>0</v>
      </c>
      <c r="H186" s="40" t="b">
        <v>0</v>
      </c>
      <c r="I186" s="40" t="b">
        <v>0</v>
      </c>
      <c r="J186" s="40" t="b">
        <v>0</v>
      </c>
      <c r="K186" s="6"/>
      <c r="L186" s="6"/>
      <c r="M186" s="6"/>
      <c r="N186" s="6"/>
      <c r="O186" s="41">
        <v>46181.003738425927</v>
      </c>
      <c r="P186" s="39" t="s">
        <v>192</v>
      </c>
      <c r="Q186" s="39"/>
    </row>
    <row r="187" spans="1:17" s="7" customFormat="1">
      <c r="A187" s="60"/>
      <c r="B187" s="18"/>
      <c r="C187" s="6"/>
      <c r="D187" s="6"/>
      <c r="E18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7" s="39"/>
      <c r="G187" s="40" t="b">
        <v>0</v>
      </c>
      <c r="H187" s="40" t="b">
        <v>0</v>
      </c>
      <c r="I187" s="40" t="b">
        <v>0</v>
      </c>
      <c r="J187" s="40" t="b">
        <v>0</v>
      </c>
      <c r="K187" s="6"/>
      <c r="L187" s="6"/>
      <c r="M187" s="6"/>
      <c r="N187" s="6"/>
      <c r="O187" s="41">
        <v>46181.003738425927</v>
      </c>
      <c r="P187" s="39" t="s">
        <v>192</v>
      </c>
      <c r="Q187" s="39"/>
    </row>
    <row r="188" spans="1:17" s="7" customFormat="1">
      <c r="A188" s="60"/>
      <c r="B188" s="18"/>
      <c r="C188" s="6"/>
      <c r="D188" s="6"/>
      <c r="E18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8" s="39"/>
      <c r="G188" s="40" t="b">
        <v>0</v>
      </c>
      <c r="H188" s="40" t="b">
        <v>0</v>
      </c>
      <c r="I188" s="40" t="b">
        <v>0</v>
      </c>
      <c r="J188" s="40" t="b">
        <v>0</v>
      </c>
      <c r="K188" s="6"/>
      <c r="L188" s="6"/>
      <c r="M188" s="6"/>
      <c r="N188" s="6"/>
      <c r="O188" s="41">
        <v>46181.003738425927</v>
      </c>
      <c r="P188" s="39" t="s">
        <v>192</v>
      </c>
      <c r="Q188" s="39"/>
    </row>
    <row r="189" spans="1:17" s="7" customFormat="1">
      <c r="A189" s="60"/>
      <c r="B189" s="18"/>
      <c r="C189" s="6"/>
      <c r="D189" s="6"/>
      <c r="E18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89" s="39"/>
      <c r="G189" s="40" t="b">
        <v>0</v>
      </c>
      <c r="H189" s="40" t="b">
        <v>0</v>
      </c>
      <c r="I189" s="40" t="b">
        <v>0</v>
      </c>
      <c r="J189" s="40" t="b">
        <v>0</v>
      </c>
      <c r="K189" s="6"/>
      <c r="L189" s="6"/>
      <c r="M189" s="6"/>
      <c r="N189" s="6"/>
      <c r="O189" s="41">
        <v>46181.003738425927</v>
      </c>
      <c r="P189" s="39" t="s">
        <v>192</v>
      </c>
      <c r="Q189" s="39"/>
    </row>
    <row r="190" spans="1:17" s="7" customFormat="1">
      <c r="A190" s="60"/>
      <c r="B190" s="18"/>
      <c r="C190" s="6"/>
      <c r="D190" s="6"/>
      <c r="E19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0" s="39"/>
      <c r="G190" s="40" t="b">
        <v>0</v>
      </c>
      <c r="H190" s="40" t="b">
        <v>0</v>
      </c>
      <c r="I190" s="40" t="b">
        <v>0</v>
      </c>
      <c r="J190" s="40" t="b">
        <v>0</v>
      </c>
      <c r="K190" s="6"/>
      <c r="L190" s="6"/>
      <c r="M190" s="6"/>
      <c r="N190" s="6"/>
      <c r="O190" s="41">
        <v>46181.003738425927</v>
      </c>
      <c r="P190" s="39" t="s">
        <v>192</v>
      </c>
      <c r="Q190" s="39"/>
    </row>
    <row r="191" spans="1:17" s="7" customFormat="1">
      <c r="A191" s="60"/>
      <c r="B191" s="18"/>
      <c r="C191" s="6"/>
      <c r="D191" s="6"/>
      <c r="E19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1" s="39"/>
      <c r="G191" s="40" t="b">
        <v>0</v>
      </c>
      <c r="H191" s="40" t="b">
        <v>0</v>
      </c>
      <c r="I191" s="40" t="b">
        <v>0</v>
      </c>
      <c r="J191" s="40" t="b">
        <v>0</v>
      </c>
      <c r="K191" s="6"/>
      <c r="L191" s="6"/>
      <c r="M191" s="6"/>
      <c r="N191" s="6"/>
      <c r="O191" s="41">
        <v>46181.003738425927</v>
      </c>
      <c r="P191" s="39" t="s">
        <v>192</v>
      </c>
      <c r="Q191" s="39"/>
    </row>
    <row r="192" spans="1:17" s="7" customFormat="1">
      <c r="A192" s="60"/>
      <c r="B192" s="18"/>
      <c r="C192" s="6"/>
      <c r="D192" s="6"/>
      <c r="E192"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2" s="39"/>
      <c r="G192" s="40" t="b">
        <v>0</v>
      </c>
      <c r="H192" s="40" t="b">
        <v>0</v>
      </c>
      <c r="I192" s="40" t="b">
        <v>0</v>
      </c>
      <c r="J192" s="40" t="b">
        <v>0</v>
      </c>
      <c r="K192" s="6"/>
      <c r="L192" s="6"/>
      <c r="M192" s="6"/>
      <c r="N192" s="6"/>
      <c r="O192" s="41">
        <v>46181.003738425927</v>
      </c>
      <c r="P192" s="39" t="s">
        <v>192</v>
      </c>
      <c r="Q192" s="39"/>
    </row>
    <row r="193" spans="1:17" s="7" customFormat="1">
      <c r="A193" s="60"/>
      <c r="B193" s="18"/>
      <c r="C193" s="6"/>
      <c r="D193" s="6"/>
      <c r="E193"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3" s="39"/>
      <c r="G193" s="40" t="b">
        <v>0</v>
      </c>
      <c r="H193" s="40" t="b">
        <v>0</v>
      </c>
      <c r="I193" s="40" t="b">
        <v>0</v>
      </c>
      <c r="J193" s="40" t="b">
        <v>0</v>
      </c>
      <c r="K193" s="6"/>
      <c r="L193" s="6"/>
      <c r="M193" s="6"/>
      <c r="N193" s="6"/>
      <c r="O193" s="41">
        <v>46181.003738425927</v>
      </c>
      <c r="P193" s="39" t="s">
        <v>192</v>
      </c>
      <c r="Q193" s="39"/>
    </row>
    <row r="194" spans="1:17" s="7" customFormat="1">
      <c r="A194" s="60"/>
      <c r="B194" s="18"/>
      <c r="C194" s="6"/>
      <c r="D194" s="6"/>
      <c r="E194"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4" s="39"/>
      <c r="G194" s="40" t="b">
        <v>0</v>
      </c>
      <c r="H194" s="40" t="b">
        <v>0</v>
      </c>
      <c r="I194" s="40" t="b">
        <v>0</v>
      </c>
      <c r="J194" s="40" t="b">
        <v>0</v>
      </c>
      <c r="K194" s="6"/>
      <c r="L194" s="6"/>
      <c r="M194" s="6"/>
      <c r="N194" s="6"/>
      <c r="O194" s="41">
        <v>46181.003738425927</v>
      </c>
      <c r="P194" s="39" t="s">
        <v>192</v>
      </c>
      <c r="Q194" s="39"/>
    </row>
    <row r="195" spans="1:17" s="7" customFormat="1">
      <c r="A195" s="60"/>
      <c r="B195" s="18"/>
      <c r="C195" s="6"/>
      <c r="D195" s="6"/>
      <c r="E195"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5" s="39"/>
      <c r="G195" s="40" t="b">
        <v>0</v>
      </c>
      <c r="H195" s="40" t="b">
        <v>0</v>
      </c>
      <c r="I195" s="40" t="b">
        <v>0</v>
      </c>
      <c r="J195" s="40" t="b">
        <v>0</v>
      </c>
      <c r="K195" s="6"/>
      <c r="L195" s="6"/>
      <c r="M195" s="6"/>
      <c r="N195" s="6"/>
      <c r="O195" s="41">
        <v>46181.003750000003</v>
      </c>
      <c r="P195" s="39" t="s">
        <v>192</v>
      </c>
      <c r="Q195" s="39"/>
    </row>
    <row r="196" spans="1:17" s="7" customFormat="1">
      <c r="A196" s="60"/>
      <c r="B196" s="18"/>
      <c r="C196" s="6"/>
      <c r="D196" s="6"/>
      <c r="E196"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6" s="39"/>
      <c r="G196" s="40" t="b">
        <v>0</v>
      </c>
      <c r="H196" s="40" t="b">
        <v>0</v>
      </c>
      <c r="I196" s="40" t="b">
        <v>0</v>
      </c>
      <c r="J196" s="40" t="b">
        <v>0</v>
      </c>
      <c r="K196" s="6"/>
      <c r="L196" s="6"/>
      <c r="M196" s="6"/>
      <c r="N196" s="6"/>
      <c r="O196" s="41">
        <v>46181.003750000003</v>
      </c>
      <c r="P196" s="39" t="s">
        <v>192</v>
      </c>
      <c r="Q196" s="39"/>
    </row>
    <row r="197" spans="1:17" s="7" customFormat="1">
      <c r="A197" s="60"/>
      <c r="B197" s="18"/>
      <c r="C197" s="6"/>
      <c r="D197" s="6"/>
      <c r="E197"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7" s="39"/>
      <c r="G197" s="40" t="b">
        <v>0</v>
      </c>
      <c r="H197" s="40" t="b">
        <v>0</v>
      </c>
      <c r="I197" s="40" t="b">
        <v>0</v>
      </c>
      <c r="J197" s="40" t="b">
        <v>0</v>
      </c>
      <c r="K197" s="6"/>
      <c r="L197" s="6"/>
      <c r="M197" s="6"/>
      <c r="N197" s="6"/>
      <c r="O197" s="41">
        <v>46181.003750000003</v>
      </c>
      <c r="P197" s="39" t="s">
        <v>192</v>
      </c>
      <c r="Q197" s="39"/>
    </row>
    <row r="198" spans="1:17" s="7" customFormat="1">
      <c r="A198" s="60"/>
      <c r="B198" s="18"/>
      <c r="C198" s="6"/>
      <c r="D198" s="6"/>
      <c r="E198"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8" s="39"/>
      <c r="G198" s="40" t="b">
        <v>0</v>
      </c>
      <c r="H198" s="40" t="b">
        <v>0</v>
      </c>
      <c r="I198" s="40" t="b">
        <v>0</v>
      </c>
      <c r="J198" s="40" t="b">
        <v>0</v>
      </c>
      <c r="K198" s="6"/>
      <c r="L198" s="6"/>
      <c r="M198" s="6"/>
      <c r="N198" s="6"/>
      <c r="O198" s="41">
        <v>46181.003750000003</v>
      </c>
      <c r="P198" s="39" t="s">
        <v>192</v>
      </c>
      <c r="Q198" s="39"/>
    </row>
    <row r="199" spans="1:17" s="7" customFormat="1">
      <c r="A199" s="60"/>
      <c r="B199" s="18"/>
      <c r="C199" s="6"/>
      <c r="D199" s="6"/>
      <c r="E199"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199" s="39"/>
      <c r="G199" s="40" t="b">
        <v>0</v>
      </c>
      <c r="H199" s="40" t="b">
        <v>0</v>
      </c>
      <c r="I199" s="40" t="b">
        <v>0</v>
      </c>
      <c r="J199" s="40" t="b">
        <v>0</v>
      </c>
      <c r="K199" s="6"/>
      <c r="L199" s="6"/>
      <c r="M199" s="6"/>
      <c r="N199" s="6"/>
      <c r="O199" s="41">
        <v>46181.003750000003</v>
      </c>
      <c r="P199" s="39" t="s">
        <v>192</v>
      </c>
      <c r="Q199" s="39"/>
    </row>
    <row r="200" spans="1:17" s="7" customFormat="1">
      <c r="A200" s="60"/>
      <c r="B200" s="18"/>
      <c r="C200" s="6"/>
      <c r="D200" s="6"/>
      <c r="E200"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00" s="39"/>
      <c r="G200" s="40" t="b">
        <v>0</v>
      </c>
      <c r="H200" s="40" t="b">
        <v>0</v>
      </c>
      <c r="I200" s="40" t="b">
        <v>0</v>
      </c>
      <c r="J200" s="40" t="b">
        <v>0</v>
      </c>
      <c r="K200" s="6"/>
      <c r="L200" s="6"/>
      <c r="M200" s="6"/>
      <c r="N200" s="6"/>
      <c r="O200" s="41">
        <v>46181.003750000003</v>
      </c>
      <c r="P200" s="39" t="s">
        <v>192</v>
      </c>
      <c r="Q200" s="39"/>
    </row>
    <row r="201" spans="1:17" s="7" customFormat="1">
      <c r="A201" s="60"/>
      <c r="B201" s="18"/>
      <c r="C201" s="6"/>
      <c r="D201" s="6"/>
      <c r="E201" s="6"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checked","Done: "&amp;_xlpm.checked)))</f>
        <v/>
      </c>
      <c r="F201" s="39"/>
      <c r="G201" s="40" t="b">
        <v>0</v>
      </c>
      <c r="H201" s="40" t="b">
        <v>0</v>
      </c>
      <c r="I201" s="40" t="b">
        <v>0</v>
      </c>
      <c r="J201" s="40" t="b">
        <v>0</v>
      </c>
      <c r="K201" s="6"/>
      <c r="L201" s="6"/>
      <c r="M201" s="6"/>
      <c r="N201" s="6"/>
      <c r="O201" s="41">
        <v>46181.003750000003</v>
      </c>
      <c r="P201" s="39" t="s">
        <v>192</v>
      </c>
      <c r="Q201" s="39"/>
    </row>
    <row r="202" spans="1:17">
      <c r="A202" s="62"/>
    </row>
    <row r="203" spans="1:17">
      <c r="A203" s="62"/>
    </row>
    <row r="204" spans="1:17">
      <c r="A204" s="62"/>
    </row>
    <row r="205" spans="1:17">
      <c r="A205" s="62"/>
    </row>
    <row r="206" spans="1:17">
      <c r="A206" s="62"/>
    </row>
    <row r="207" spans="1:17">
      <c r="A207" s="62"/>
    </row>
    <row r="208" spans="1:17">
      <c r="A208" s="62"/>
    </row>
    <row r="209" spans="1:1">
      <c r="A209" s="62"/>
    </row>
    <row r="210" spans="1:1">
      <c r="A210" s="62"/>
    </row>
    <row r="211" spans="1:1">
      <c r="A211" s="62"/>
    </row>
    <row r="212" spans="1:1">
      <c r="A212" s="62"/>
    </row>
    <row r="213" spans="1:1">
      <c r="A213" s="62"/>
    </row>
    <row r="214" spans="1:1">
      <c r="A214" s="62"/>
    </row>
    <row r="215" spans="1:1">
      <c r="A215" s="62"/>
    </row>
    <row r="216" spans="1:1">
      <c r="A216" s="62"/>
    </row>
    <row r="217" spans="1:1">
      <c r="A217" s="62"/>
    </row>
    <row r="218" spans="1:1">
      <c r="A218" s="62"/>
    </row>
    <row r="219" spans="1:1">
      <c r="A219" s="62"/>
    </row>
    <row r="220" spans="1:1">
      <c r="A220" s="62"/>
    </row>
    <row r="221" spans="1:1">
      <c r="A221" s="62"/>
    </row>
    <row r="222" spans="1:1">
      <c r="A222" s="62"/>
    </row>
    <row r="223" spans="1:1">
      <c r="A223" s="62"/>
    </row>
    <row r="224" spans="1:1">
      <c r="A224" s="62"/>
    </row>
    <row r="225" spans="1:1">
      <c r="A225" s="62"/>
    </row>
    <row r="226" spans="1:1">
      <c r="A226" s="62"/>
    </row>
    <row r="227" spans="1:1">
      <c r="A227" s="62"/>
    </row>
    <row r="228" spans="1:1">
      <c r="A228" s="62"/>
    </row>
    <row r="229" spans="1:1">
      <c r="A229" s="62"/>
    </row>
    <row r="230" spans="1:1">
      <c r="A230" s="62"/>
    </row>
    <row r="231" spans="1:1">
      <c r="A231" s="62"/>
    </row>
    <row r="232" spans="1:1">
      <c r="A232" s="62"/>
    </row>
    <row r="233" spans="1:1">
      <c r="A233" s="62"/>
    </row>
    <row r="234" spans="1:1">
      <c r="A234" s="62"/>
    </row>
    <row r="235" spans="1:1">
      <c r="A235" s="62"/>
    </row>
    <row r="236" spans="1:1">
      <c r="A236" s="62"/>
    </row>
    <row r="237" spans="1:1">
      <c r="A237" s="62"/>
    </row>
    <row r="238" spans="1:1">
      <c r="A238" s="62"/>
    </row>
    <row r="239" spans="1:1">
      <c r="A239" s="62"/>
    </row>
    <row r="240" spans="1:1">
      <c r="A240" s="62"/>
    </row>
    <row r="241" spans="1:1">
      <c r="A241" s="62"/>
    </row>
    <row r="242" spans="1:1">
      <c r="A242" s="62"/>
    </row>
    <row r="243" spans="1:1">
      <c r="A243" s="62"/>
    </row>
    <row r="244" spans="1:1">
      <c r="A244" s="62"/>
    </row>
    <row r="245" spans="1:1">
      <c r="A245" s="62"/>
    </row>
    <row r="246" spans="1:1">
      <c r="A246" s="62"/>
    </row>
    <row r="247" spans="1:1">
      <c r="A247" s="62"/>
    </row>
    <row r="248" spans="1:1">
      <c r="A248" s="62"/>
    </row>
    <row r="249" spans="1:1">
      <c r="A249" s="62"/>
    </row>
    <row r="250" spans="1:1">
      <c r="A250" s="62"/>
    </row>
    <row r="251" spans="1:1">
      <c r="A251" s="62"/>
    </row>
    <row r="252" spans="1:1">
      <c r="A252" s="62"/>
    </row>
    <row r="253" spans="1:1">
      <c r="A253" s="62"/>
    </row>
    <row r="254" spans="1:1">
      <c r="A254" s="62"/>
    </row>
    <row r="255" spans="1:1">
      <c r="A255" s="62"/>
    </row>
    <row r="256" spans="1:1">
      <c r="A256" s="62"/>
    </row>
    <row r="257" spans="1:1">
      <c r="A257" s="62"/>
    </row>
    <row r="258" spans="1:1">
      <c r="A258" s="62"/>
    </row>
    <row r="259" spans="1:1">
      <c r="A259" s="62"/>
    </row>
    <row r="260" spans="1:1">
      <c r="A260" s="62"/>
    </row>
    <row r="261" spans="1:1">
      <c r="A261" s="62"/>
    </row>
    <row r="262" spans="1:1">
      <c r="A262" s="62"/>
    </row>
    <row r="263" spans="1:1">
      <c r="A263" s="62"/>
    </row>
    <row r="264" spans="1:1">
      <c r="A264" s="62"/>
    </row>
    <row r="265" spans="1:1">
      <c r="A265" s="62"/>
    </row>
    <row r="266" spans="1:1">
      <c r="A266" s="62"/>
    </row>
    <row r="267" spans="1:1">
      <c r="A267" s="62"/>
    </row>
    <row r="268" spans="1:1">
      <c r="A268" s="62"/>
    </row>
    <row r="269" spans="1:1">
      <c r="A269" s="62"/>
    </row>
    <row r="270" spans="1:1">
      <c r="A270" s="62"/>
    </row>
    <row r="271" spans="1:1">
      <c r="A271" s="62"/>
    </row>
    <row r="272" spans="1:1">
      <c r="A272" s="62"/>
    </row>
    <row r="273" spans="1:1">
      <c r="A273" s="62"/>
    </row>
    <row r="274" spans="1:1">
      <c r="A274" s="62"/>
    </row>
    <row r="275" spans="1:1">
      <c r="A275" s="62"/>
    </row>
    <row r="276" spans="1:1">
      <c r="A276" s="62"/>
    </row>
    <row r="277" spans="1:1">
      <c r="A277" s="62"/>
    </row>
    <row r="278" spans="1:1">
      <c r="A278" s="62"/>
    </row>
    <row r="279" spans="1:1">
      <c r="A279" s="62"/>
    </row>
    <row r="280" spans="1:1">
      <c r="A280" s="62"/>
    </row>
    <row r="281" spans="1:1">
      <c r="A281" s="62"/>
    </row>
    <row r="282" spans="1:1">
      <c r="A282" s="62"/>
    </row>
    <row r="283" spans="1:1">
      <c r="A283" s="62"/>
    </row>
    <row r="284" spans="1:1">
      <c r="A284" s="62"/>
    </row>
    <row r="285" spans="1:1">
      <c r="A285" s="62"/>
    </row>
    <row r="286" spans="1:1">
      <c r="A286" s="62"/>
    </row>
    <row r="287" spans="1:1">
      <c r="A287" s="62"/>
    </row>
    <row r="288" spans="1:1">
      <c r="A288" s="62"/>
    </row>
    <row r="289" spans="1:1">
      <c r="A289" s="62"/>
    </row>
    <row r="290" spans="1:1">
      <c r="A290" s="62"/>
    </row>
    <row r="291" spans="1:1">
      <c r="A291" s="62"/>
    </row>
    <row r="292" spans="1:1">
      <c r="A292" s="62"/>
    </row>
    <row r="293" spans="1:1">
      <c r="A293" s="62"/>
    </row>
    <row r="294" spans="1:1">
      <c r="A294" s="62"/>
    </row>
    <row r="295" spans="1:1">
      <c r="A295" s="62"/>
    </row>
    <row r="296" spans="1:1">
      <c r="A296" s="62"/>
    </row>
    <row r="297" spans="1:1">
      <c r="A297" s="62"/>
    </row>
    <row r="298" spans="1:1">
      <c r="A298" s="62"/>
    </row>
    <row r="299" spans="1:1">
      <c r="A299" s="62"/>
    </row>
    <row r="300" spans="1:1">
      <c r="A300" s="62"/>
    </row>
    <row r="301" spans="1:1">
      <c r="A301" s="62"/>
    </row>
    <row r="302" spans="1:1">
      <c r="A302" s="62"/>
    </row>
    <row r="303" spans="1:1">
      <c r="A303" s="62"/>
    </row>
    <row r="304" spans="1:1">
      <c r="A304" s="62"/>
    </row>
    <row r="305" spans="1:1">
      <c r="A305" s="62"/>
    </row>
    <row r="306" spans="1:1">
      <c r="A306" s="62"/>
    </row>
    <row r="307" spans="1:1">
      <c r="A307" s="62"/>
    </row>
    <row r="308" spans="1:1">
      <c r="A308" s="62"/>
    </row>
    <row r="309" spans="1:1">
      <c r="A309" s="62"/>
    </row>
    <row r="310" spans="1:1">
      <c r="A310" s="62"/>
    </row>
    <row r="311" spans="1:1">
      <c r="A311" s="62"/>
    </row>
    <row r="312" spans="1:1">
      <c r="A312" s="62"/>
    </row>
    <row r="313" spans="1:1">
      <c r="A313" s="62"/>
    </row>
    <row r="314" spans="1:1">
      <c r="A314" s="62"/>
    </row>
    <row r="315" spans="1:1">
      <c r="A315" s="62"/>
    </row>
    <row r="316" spans="1:1">
      <c r="A316" s="62"/>
    </row>
    <row r="317" spans="1:1">
      <c r="A317" s="62"/>
    </row>
    <row r="318" spans="1:1">
      <c r="A318" s="62"/>
    </row>
    <row r="319" spans="1:1">
      <c r="A319" s="62"/>
    </row>
    <row r="320" spans="1:1">
      <c r="A320" s="62"/>
    </row>
    <row r="321" spans="1:1">
      <c r="A321" s="62"/>
    </row>
    <row r="322" spans="1:1">
      <c r="A322" s="62"/>
    </row>
    <row r="323" spans="1:1">
      <c r="A323" s="62"/>
    </row>
    <row r="324" spans="1:1">
      <c r="A324" s="62"/>
    </row>
    <row r="325" spans="1:1">
      <c r="A325" s="62"/>
    </row>
    <row r="326" spans="1:1">
      <c r="A326" s="62"/>
    </row>
    <row r="327" spans="1:1">
      <c r="A327" s="62"/>
    </row>
    <row r="328" spans="1:1">
      <c r="A328" s="62"/>
    </row>
    <row r="329" spans="1:1">
      <c r="A329" s="62"/>
    </row>
    <row r="330" spans="1:1">
      <c r="A330" s="62"/>
    </row>
    <row r="331" spans="1:1">
      <c r="A331" s="62"/>
    </row>
    <row r="332" spans="1:1">
      <c r="A332" s="62"/>
    </row>
    <row r="333" spans="1:1">
      <c r="A333" s="62"/>
    </row>
    <row r="334" spans="1:1">
      <c r="A334" s="62"/>
    </row>
    <row r="335" spans="1:1">
      <c r="A335" s="62"/>
    </row>
    <row r="336" spans="1:1">
      <c r="A336" s="62"/>
    </row>
    <row r="337" spans="1:1">
      <c r="A337" s="62"/>
    </row>
    <row r="338" spans="1:1">
      <c r="A338" s="62"/>
    </row>
    <row r="339" spans="1:1">
      <c r="A339" s="62"/>
    </row>
    <row r="340" spans="1:1">
      <c r="A340" s="62"/>
    </row>
    <row r="341" spans="1:1">
      <c r="A341" s="62"/>
    </row>
    <row r="342" spans="1:1">
      <c r="A342" s="62"/>
    </row>
    <row r="343" spans="1:1">
      <c r="A343" s="62"/>
    </row>
    <row r="344" spans="1:1">
      <c r="A344" s="62"/>
    </row>
    <row r="345" spans="1:1">
      <c r="A345" s="62"/>
    </row>
    <row r="346" spans="1:1">
      <c r="A346" s="62"/>
    </row>
    <row r="347" spans="1:1">
      <c r="A347" s="62"/>
    </row>
    <row r="348" spans="1:1">
      <c r="A348" s="62"/>
    </row>
    <row r="349" spans="1:1">
      <c r="A349" s="62"/>
    </row>
    <row r="350" spans="1:1">
      <c r="A350" s="62"/>
    </row>
    <row r="351" spans="1:1">
      <c r="A351" s="62"/>
    </row>
    <row r="352" spans="1:1">
      <c r="A352" s="62"/>
    </row>
    <row r="353" spans="1:1">
      <c r="A353" s="62"/>
    </row>
    <row r="354" spans="1:1">
      <c r="A354" s="62"/>
    </row>
    <row r="355" spans="1:1">
      <c r="A355" s="62"/>
    </row>
    <row r="356" spans="1:1">
      <c r="A356" s="62"/>
    </row>
    <row r="357" spans="1:1">
      <c r="A357" s="62"/>
    </row>
    <row r="358" spans="1:1">
      <c r="A358" s="62"/>
    </row>
    <row r="359" spans="1:1">
      <c r="A359" s="62"/>
    </row>
    <row r="360" spans="1:1">
      <c r="A360" s="62"/>
    </row>
    <row r="361" spans="1:1">
      <c r="A361" s="62"/>
    </row>
    <row r="362" spans="1:1">
      <c r="A362" s="62"/>
    </row>
    <row r="363" spans="1:1">
      <c r="A363" s="62"/>
    </row>
    <row r="364" spans="1:1">
      <c r="A364" s="62"/>
    </row>
    <row r="365" spans="1:1">
      <c r="A365" s="62"/>
    </row>
    <row r="366" spans="1:1">
      <c r="A366" s="62"/>
    </row>
    <row r="367" spans="1:1">
      <c r="A367" s="62"/>
    </row>
    <row r="368" spans="1:1">
      <c r="A368" s="62"/>
    </row>
    <row r="369" spans="1:1">
      <c r="A369" s="62"/>
    </row>
    <row r="370" spans="1:1">
      <c r="A370" s="62"/>
    </row>
    <row r="371" spans="1:1">
      <c r="A371" s="62"/>
    </row>
    <row r="372" spans="1:1">
      <c r="A372" s="62"/>
    </row>
    <row r="373" spans="1:1">
      <c r="A373" s="62"/>
    </row>
    <row r="374" spans="1:1">
      <c r="A374" s="62"/>
    </row>
    <row r="375" spans="1:1">
      <c r="A375" s="62"/>
    </row>
    <row r="376" spans="1:1">
      <c r="A376" s="62"/>
    </row>
    <row r="377" spans="1:1">
      <c r="A377" s="62"/>
    </row>
    <row r="378" spans="1:1">
      <c r="A378" s="62"/>
    </row>
    <row r="379" spans="1:1">
      <c r="A379" s="62"/>
    </row>
    <row r="380" spans="1:1">
      <c r="A380" s="62"/>
    </row>
    <row r="381" spans="1:1">
      <c r="A381" s="62"/>
    </row>
    <row r="382" spans="1:1">
      <c r="A382" s="62"/>
    </row>
    <row r="383" spans="1:1">
      <c r="A383" s="62"/>
    </row>
    <row r="384" spans="1:1">
      <c r="A384" s="62"/>
    </row>
    <row r="385" spans="1:1">
      <c r="A385" s="62"/>
    </row>
    <row r="386" spans="1:1">
      <c r="A386" s="62"/>
    </row>
    <row r="387" spans="1:1">
      <c r="A387" s="62"/>
    </row>
    <row r="388" spans="1:1">
      <c r="A388" s="62"/>
    </row>
    <row r="389" spans="1:1">
      <c r="A389" s="62"/>
    </row>
    <row r="390" spans="1:1">
      <c r="A390" s="62"/>
    </row>
    <row r="391" spans="1:1">
      <c r="A391" s="62"/>
    </row>
    <row r="392" spans="1:1">
      <c r="A392" s="62"/>
    </row>
    <row r="393" spans="1:1">
      <c r="A393" s="62"/>
    </row>
    <row r="394" spans="1:1">
      <c r="A394" s="62"/>
    </row>
    <row r="395" spans="1:1">
      <c r="A395" s="62"/>
    </row>
    <row r="396" spans="1:1">
      <c r="A396" s="62"/>
    </row>
    <row r="397" spans="1:1">
      <c r="A397" s="62"/>
    </row>
    <row r="398" spans="1:1">
      <c r="A398" s="62"/>
    </row>
    <row r="399" spans="1:1">
      <c r="A399" s="62"/>
    </row>
    <row r="400" spans="1:1">
      <c r="A400" s="62"/>
    </row>
    <row r="401" spans="1:1">
      <c r="A401" s="62"/>
    </row>
    <row r="402" spans="1:1">
      <c r="A402" s="62"/>
    </row>
    <row r="403" spans="1:1">
      <c r="A403" s="62"/>
    </row>
    <row r="404" spans="1:1">
      <c r="A404" s="62"/>
    </row>
    <row r="405" spans="1:1">
      <c r="A405" s="62"/>
    </row>
    <row r="406" spans="1:1">
      <c r="A406" s="62"/>
    </row>
    <row r="407" spans="1:1">
      <c r="A407" s="62"/>
    </row>
    <row r="408" spans="1:1">
      <c r="A408" s="62"/>
    </row>
    <row r="409" spans="1:1">
      <c r="A409" s="62"/>
    </row>
    <row r="410" spans="1:1">
      <c r="A410" s="62"/>
    </row>
    <row r="411" spans="1:1">
      <c r="A411" s="62"/>
    </row>
    <row r="412" spans="1:1">
      <c r="A412" s="62"/>
    </row>
    <row r="413" spans="1:1">
      <c r="A413" s="62"/>
    </row>
    <row r="414" spans="1:1">
      <c r="A414" s="62"/>
    </row>
    <row r="415" spans="1:1">
      <c r="A415" s="62"/>
    </row>
    <row r="416" spans="1:1">
      <c r="A416" s="62"/>
    </row>
    <row r="417" spans="1:1">
      <c r="A417" s="62"/>
    </row>
    <row r="418" spans="1:1">
      <c r="A418" s="62"/>
    </row>
    <row r="419" spans="1:1">
      <c r="A419" s="62"/>
    </row>
    <row r="420" spans="1:1">
      <c r="A420" s="62"/>
    </row>
    <row r="421" spans="1:1">
      <c r="A421" s="62"/>
    </row>
    <row r="422" spans="1:1">
      <c r="A422" s="62"/>
    </row>
    <row r="423" spans="1:1">
      <c r="A423" s="62"/>
    </row>
    <row r="424" spans="1:1">
      <c r="A424" s="62"/>
    </row>
    <row r="425" spans="1:1">
      <c r="A425" s="62"/>
    </row>
    <row r="426" spans="1:1">
      <c r="A426" s="62"/>
    </row>
    <row r="427" spans="1:1">
      <c r="A427" s="62"/>
    </row>
    <row r="428" spans="1:1">
      <c r="A428" s="62"/>
    </row>
    <row r="429" spans="1:1">
      <c r="A429" s="62"/>
    </row>
    <row r="430" spans="1:1">
      <c r="A430" s="62"/>
    </row>
    <row r="431" spans="1:1">
      <c r="A431" s="62"/>
    </row>
    <row r="432" spans="1:1">
      <c r="A432" s="62"/>
    </row>
    <row r="433" spans="1:1">
      <c r="A433" s="62"/>
    </row>
    <row r="434" spans="1:1">
      <c r="A434" s="62"/>
    </row>
    <row r="435" spans="1:1">
      <c r="A435" s="62"/>
    </row>
    <row r="436" spans="1:1">
      <c r="A436" s="62"/>
    </row>
    <row r="437" spans="1:1">
      <c r="A437" s="62"/>
    </row>
    <row r="438" spans="1:1">
      <c r="A438" s="62"/>
    </row>
    <row r="439" spans="1:1">
      <c r="A439" s="62"/>
    </row>
    <row r="440" spans="1:1">
      <c r="A440" s="62"/>
    </row>
    <row r="441" spans="1:1">
      <c r="A441" s="62"/>
    </row>
    <row r="442" spans="1:1">
      <c r="A442" s="62"/>
    </row>
    <row r="443" spans="1:1">
      <c r="A443" s="62"/>
    </row>
    <row r="444" spans="1:1">
      <c r="A444" s="62"/>
    </row>
    <row r="445" spans="1:1">
      <c r="A445" s="62"/>
    </row>
    <row r="446" spans="1:1">
      <c r="A446" s="62"/>
    </row>
    <row r="447" spans="1:1">
      <c r="A447" s="62"/>
    </row>
    <row r="448" spans="1:1">
      <c r="A448" s="62"/>
    </row>
    <row r="449" spans="1:1">
      <c r="A449" s="62"/>
    </row>
    <row r="450" spans="1:1">
      <c r="A450" s="62"/>
    </row>
    <row r="451" spans="1:1">
      <c r="A451" s="62"/>
    </row>
    <row r="452" spans="1:1">
      <c r="A452" s="62"/>
    </row>
    <row r="453" spans="1:1">
      <c r="A453" s="62"/>
    </row>
    <row r="454" spans="1:1">
      <c r="A454" s="62"/>
    </row>
    <row r="455" spans="1:1">
      <c r="A455" s="62"/>
    </row>
    <row r="456" spans="1:1">
      <c r="A456" s="62"/>
    </row>
    <row r="457" spans="1:1">
      <c r="A457" s="62"/>
    </row>
    <row r="458" spans="1:1">
      <c r="A458" s="62"/>
    </row>
    <row r="459" spans="1:1">
      <c r="A459" s="62"/>
    </row>
    <row r="460" spans="1:1">
      <c r="A460" s="62"/>
    </row>
    <row r="461" spans="1:1">
      <c r="A461" s="62"/>
    </row>
    <row r="462" spans="1:1">
      <c r="A462" s="62"/>
    </row>
    <row r="463" spans="1:1">
      <c r="A463" s="62"/>
    </row>
    <row r="464" spans="1:1">
      <c r="A464" s="62"/>
    </row>
    <row r="465" spans="1:1">
      <c r="A465" s="62"/>
    </row>
    <row r="466" spans="1:1">
      <c r="A466" s="62"/>
    </row>
    <row r="467" spans="1:1">
      <c r="A467" s="62"/>
    </row>
    <row r="468" spans="1:1">
      <c r="A468" s="62"/>
    </row>
    <row r="469" spans="1:1">
      <c r="A469" s="62"/>
    </row>
    <row r="470" spans="1:1">
      <c r="A470" s="62"/>
    </row>
    <row r="471" spans="1:1">
      <c r="A471" s="62"/>
    </row>
    <row r="472" spans="1:1">
      <c r="A472" s="62"/>
    </row>
    <row r="473" spans="1:1">
      <c r="A473" s="62"/>
    </row>
    <row r="474" spans="1:1">
      <c r="A474" s="62"/>
    </row>
    <row r="475" spans="1:1">
      <c r="A475" s="62"/>
    </row>
    <row r="476" spans="1:1">
      <c r="A476" s="62"/>
    </row>
    <row r="477" spans="1:1">
      <c r="A477" s="62"/>
    </row>
    <row r="478" spans="1:1">
      <c r="A478" s="62"/>
    </row>
    <row r="479" spans="1:1">
      <c r="A479" s="62"/>
    </row>
    <row r="480" spans="1:1">
      <c r="A480" s="62"/>
    </row>
    <row r="481" spans="1:1">
      <c r="A481" s="62"/>
    </row>
    <row r="482" spans="1:1">
      <c r="A482" s="62"/>
    </row>
    <row r="483" spans="1:1">
      <c r="A483" s="62"/>
    </row>
    <row r="484" spans="1:1">
      <c r="A484" s="62"/>
    </row>
    <row r="485" spans="1:1">
      <c r="A485" s="62"/>
    </row>
    <row r="486" spans="1:1">
      <c r="A486" s="62"/>
    </row>
    <row r="487" spans="1:1">
      <c r="A487" s="62"/>
    </row>
    <row r="488" spans="1:1">
      <c r="A488" s="62"/>
    </row>
    <row r="489" spans="1:1">
      <c r="A489" s="62"/>
    </row>
    <row r="490" spans="1:1">
      <c r="A490" s="62"/>
    </row>
    <row r="491" spans="1:1">
      <c r="A491" s="62"/>
    </row>
    <row r="492" spans="1:1">
      <c r="A492" s="62"/>
    </row>
    <row r="493" spans="1:1">
      <c r="A493" s="62"/>
    </row>
    <row r="494" spans="1:1">
      <c r="A494" s="62"/>
    </row>
    <row r="495" spans="1:1">
      <c r="A495" s="62"/>
    </row>
    <row r="496" spans="1:1">
      <c r="A496" s="62"/>
    </row>
    <row r="497" spans="1:1">
      <c r="A497" s="62"/>
    </row>
    <row r="498" spans="1:1">
      <c r="A498" s="62"/>
    </row>
    <row r="499" spans="1:1">
      <c r="A499" s="62"/>
    </row>
    <row r="500" spans="1:1">
      <c r="A500" s="62"/>
    </row>
    <row r="501" spans="1:1">
      <c r="A501" s="62"/>
    </row>
    <row r="502" spans="1:1">
      <c r="A502" s="62"/>
    </row>
    <row r="503" spans="1:1">
      <c r="A503" s="62"/>
    </row>
    <row r="504" spans="1:1">
      <c r="A504" s="62"/>
    </row>
    <row r="505" spans="1:1">
      <c r="A505" s="62"/>
    </row>
    <row r="506" spans="1:1">
      <c r="A506" s="62"/>
    </row>
    <row r="507" spans="1:1">
      <c r="A507" s="62"/>
    </row>
    <row r="508" spans="1:1">
      <c r="A508" s="62"/>
    </row>
    <row r="509" spans="1:1">
      <c r="A509" s="62"/>
    </row>
    <row r="510" spans="1:1">
      <c r="A510" s="62"/>
    </row>
    <row r="511" spans="1:1">
      <c r="A511" s="62"/>
    </row>
    <row r="512" spans="1:1">
      <c r="A512" s="62"/>
    </row>
    <row r="513" spans="1:1">
      <c r="A513" s="62"/>
    </row>
    <row r="514" spans="1:1">
      <c r="A514" s="62"/>
    </row>
    <row r="515" spans="1:1">
      <c r="A515" s="62"/>
    </row>
    <row r="516" spans="1:1">
      <c r="A516" s="62"/>
    </row>
    <row r="517" spans="1:1">
      <c r="A517" s="62"/>
    </row>
    <row r="518" spans="1:1">
      <c r="A518" s="62"/>
    </row>
    <row r="519" spans="1:1">
      <c r="A519" s="62"/>
    </row>
    <row r="520" spans="1:1">
      <c r="A520" s="62"/>
    </row>
    <row r="521" spans="1:1">
      <c r="A521" s="62"/>
    </row>
    <row r="522" spans="1:1">
      <c r="A522" s="62"/>
    </row>
    <row r="523" spans="1:1">
      <c r="A523" s="62"/>
    </row>
    <row r="524" spans="1:1">
      <c r="A524" s="62"/>
    </row>
    <row r="525" spans="1:1">
      <c r="A525" s="62"/>
    </row>
    <row r="526" spans="1:1">
      <c r="A526" s="62"/>
    </row>
    <row r="527" spans="1:1">
      <c r="A527" s="62"/>
    </row>
    <row r="528" spans="1:1">
      <c r="A528" s="62"/>
    </row>
    <row r="529" spans="1:1">
      <c r="A529" s="62"/>
    </row>
    <row r="530" spans="1:1">
      <c r="A530" s="62"/>
    </row>
    <row r="531" spans="1:1">
      <c r="A531" s="62"/>
    </row>
    <row r="532" spans="1:1">
      <c r="A532" s="62"/>
    </row>
    <row r="533" spans="1:1">
      <c r="A533" s="62"/>
    </row>
    <row r="534" spans="1:1">
      <c r="A534" s="62"/>
    </row>
    <row r="535" spans="1:1">
      <c r="A535" s="62"/>
    </row>
    <row r="536" spans="1:1">
      <c r="A536" s="62"/>
    </row>
    <row r="537" spans="1:1">
      <c r="A537" s="62"/>
    </row>
    <row r="538" spans="1:1">
      <c r="A538" s="62"/>
    </row>
    <row r="539" spans="1:1">
      <c r="A539" s="62"/>
    </row>
    <row r="540" spans="1:1">
      <c r="A540" s="62"/>
    </row>
    <row r="541" spans="1:1">
      <c r="A541" s="62"/>
    </row>
    <row r="542" spans="1:1">
      <c r="A542" s="62"/>
    </row>
    <row r="543" spans="1:1">
      <c r="A543" s="62"/>
    </row>
    <row r="544" spans="1:1">
      <c r="A544" s="62"/>
    </row>
    <row r="545" spans="1:1">
      <c r="A545" s="62"/>
    </row>
    <row r="546" spans="1:1">
      <c r="A546" s="62"/>
    </row>
    <row r="547" spans="1:1">
      <c r="A547" s="62"/>
    </row>
    <row r="548" spans="1:1">
      <c r="A548" s="62"/>
    </row>
    <row r="549" spans="1:1">
      <c r="A549" s="62"/>
    </row>
    <row r="550" spans="1:1">
      <c r="A550" s="62"/>
    </row>
    <row r="551" spans="1:1">
      <c r="A551" s="62"/>
    </row>
    <row r="552" spans="1:1">
      <c r="A552" s="62"/>
    </row>
    <row r="553" spans="1:1">
      <c r="A553" s="62"/>
    </row>
    <row r="554" spans="1:1">
      <c r="A554" s="62"/>
    </row>
    <row r="555" spans="1:1">
      <c r="A555" s="62"/>
    </row>
    <row r="556" spans="1:1">
      <c r="A556" s="62"/>
    </row>
    <row r="557" spans="1:1">
      <c r="A557" s="62"/>
    </row>
    <row r="558" spans="1:1">
      <c r="A558" s="62"/>
    </row>
    <row r="559" spans="1:1">
      <c r="A559" s="62"/>
    </row>
    <row r="560" spans="1:1">
      <c r="A560" s="62"/>
    </row>
    <row r="561" spans="1:1">
      <c r="A561" s="62"/>
    </row>
    <row r="562" spans="1:1">
      <c r="A562" s="62"/>
    </row>
    <row r="563" spans="1:1">
      <c r="A563" s="62"/>
    </row>
    <row r="564" spans="1:1">
      <c r="A564" s="62"/>
    </row>
    <row r="565" spans="1:1">
      <c r="A565" s="62"/>
    </row>
    <row r="566" spans="1:1">
      <c r="A566" s="62"/>
    </row>
    <row r="567" spans="1:1">
      <c r="A567" s="62"/>
    </row>
    <row r="568" spans="1:1">
      <c r="A568" s="62"/>
    </row>
    <row r="569" spans="1:1">
      <c r="A569" s="62"/>
    </row>
    <row r="570" spans="1:1">
      <c r="A570" s="62"/>
    </row>
    <row r="571" spans="1:1">
      <c r="A571" s="62"/>
    </row>
    <row r="572" spans="1:1">
      <c r="A572" s="62"/>
    </row>
    <row r="573" spans="1:1">
      <c r="A573" s="62"/>
    </row>
    <row r="574" spans="1:1">
      <c r="A574" s="62"/>
    </row>
    <row r="575" spans="1:1">
      <c r="A575" s="62"/>
    </row>
    <row r="576" spans="1:1">
      <c r="A576" s="62"/>
    </row>
    <row r="577" spans="1:1">
      <c r="A577" s="62"/>
    </row>
    <row r="578" spans="1:1">
      <c r="A578" s="62"/>
    </row>
    <row r="579" spans="1:1">
      <c r="A579" s="62"/>
    </row>
    <row r="580" spans="1:1">
      <c r="A580" s="62"/>
    </row>
    <row r="581" spans="1:1">
      <c r="A581" s="62"/>
    </row>
    <row r="582" spans="1:1">
      <c r="A582" s="62"/>
    </row>
    <row r="583" spans="1:1">
      <c r="A583" s="62"/>
    </row>
    <row r="584" spans="1:1">
      <c r="A584" s="62"/>
    </row>
    <row r="585" spans="1:1">
      <c r="A585" s="62"/>
    </row>
    <row r="586" spans="1:1">
      <c r="A586" s="62"/>
    </row>
    <row r="587" spans="1:1">
      <c r="A587" s="62"/>
    </row>
    <row r="588" spans="1:1">
      <c r="A588" s="62"/>
    </row>
    <row r="589" spans="1:1">
      <c r="A589" s="62"/>
    </row>
    <row r="590" spans="1:1">
      <c r="A590" s="62"/>
    </row>
    <row r="591" spans="1:1">
      <c r="A591" s="62"/>
    </row>
    <row r="592" spans="1:1">
      <c r="A592" s="62"/>
    </row>
    <row r="593" spans="1:1">
      <c r="A593" s="62"/>
    </row>
    <row r="594" spans="1:1">
      <c r="A594" s="62"/>
    </row>
    <row r="595" spans="1:1">
      <c r="A595" s="62"/>
    </row>
    <row r="596" spans="1:1">
      <c r="A596" s="62"/>
    </row>
    <row r="597" spans="1:1">
      <c r="A597" s="62"/>
    </row>
    <row r="598" spans="1:1">
      <c r="A598" s="62"/>
    </row>
    <row r="599" spans="1:1">
      <c r="A599" s="62"/>
    </row>
    <row r="600" spans="1:1">
      <c r="A600" s="62"/>
    </row>
    <row r="601" spans="1:1">
      <c r="A601" s="62"/>
    </row>
    <row r="602" spans="1:1">
      <c r="A602" s="62"/>
    </row>
    <row r="603" spans="1:1">
      <c r="A603" s="62"/>
    </row>
    <row r="604" spans="1:1">
      <c r="A604" s="62"/>
    </row>
    <row r="605" spans="1:1">
      <c r="A605" s="62"/>
    </row>
    <row r="606" spans="1:1">
      <c r="A606" s="62"/>
    </row>
    <row r="607" spans="1:1">
      <c r="A607" s="62"/>
    </row>
    <row r="608" spans="1:1">
      <c r="A608" s="62"/>
    </row>
    <row r="609" spans="1:1">
      <c r="A609" s="62"/>
    </row>
    <row r="610" spans="1:1">
      <c r="A610" s="62"/>
    </row>
    <row r="611" spans="1:1">
      <c r="A611" s="62"/>
    </row>
    <row r="612" spans="1:1">
      <c r="A612" s="62"/>
    </row>
    <row r="613" spans="1:1">
      <c r="A613" s="62"/>
    </row>
    <row r="614" spans="1:1">
      <c r="A614" s="62"/>
    </row>
    <row r="615" spans="1:1">
      <c r="A615" s="62"/>
    </row>
    <row r="616" spans="1:1">
      <c r="A616" s="62"/>
    </row>
    <row r="617" spans="1:1">
      <c r="A617" s="62"/>
    </row>
    <row r="618" spans="1:1">
      <c r="A618" s="62"/>
    </row>
    <row r="619" spans="1:1">
      <c r="A619" s="62"/>
    </row>
    <row r="620" spans="1:1">
      <c r="A620" s="62"/>
    </row>
    <row r="621" spans="1:1">
      <c r="A621" s="62"/>
    </row>
    <row r="622" spans="1:1">
      <c r="A622" s="62"/>
    </row>
    <row r="623" spans="1:1">
      <c r="A623" s="62"/>
    </row>
    <row r="624" spans="1:1">
      <c r="A624" s="62"/>
    </row>
    <row r="625" spans="1:1">
      <c r="A625" s="62"/>
    </row>
    <row r="626" spans="1:1">
      <c r="A626" s="62"/>
    </row>
    <row r="627" spans="1:1">
      <c r="A627" s="62"/>
    </row>
    <row r="628" spans="1:1">
      <c r="A628" s="62"/>
    </row>
    <row r="629" spans="1:1">
      <c r="A629" s="62"/>
    </row>
    <row r="630" spans="1:1">
      <c r="A630" s="62"/>
    </row>
    <row r="631" spans="1:1">
      <c r="A631" s="62"/>
    </row>
    <row r="632" spans="1:1">
      <c r="A632" s="62"/>
    </row>
    <row r="633" spans="1:1">
      <c r="A633" s="62"/>
    </row>
    <row r="634" spans="1:1">
      <c r="A634" s="62"/>
    </row>
    <row r="635" spans="1:1">
      <c r="A635" s="62"/>
    </row>
    <row r="636" spans="1:1">
      <c r="A636" s="62"/>
    </row>
    <row r="637" spans="1:1">
      <c r="A637" s="62"/>
    </row>
    <row r="638" spans="1:1">
      <c r="A638" s="62"/>
    </row>
    <row r="639" spans="1:1">
      <c r="A639" s="62"/>
    </row>
    <row r="640" spans="1:1">
      <c r="A640" s="62"/>
    </row>
    <row r="641" spans="1:1">
      <c r="A641" s="62"/>
    </row>
    <row r="642" spans="1:1">
      <c r="A642" s="62"/>
    </row>
    <row r="643" spans="1:1">
      <c r="A643" s="62"/>
    </row>
    <row r="644" spans="1:1">
      <c r="A644" s="62"/>
    </row>
    <row r="645" spans="1:1">
      <c r="A645" s="62"/>
    </row>
    <row r="646" spans="1:1">
      <c r="A646" s="62"/>
    </row>
    <row r="647" spans="1:1">
      <c r="A647" s="62"/>
    </row>
    <row r="648" spans="1:1">
      <c r="A648" s="62"/>
    </row>
    <row r="649" spans="1:1">
      <c r="A649" s="62"/>
    </row>
    <row r="650" spans="1:1">
      <c r="A650" s="62"/>
    </row>
    <row r="651" spans="1:1">
      <c r="A651" s="62"/>
    </row>
    <row r="652" spans="1:1">
      <c r="A652" s="62"/>
    </row>
    <row r="653" spans="1:1">
      <c r="A653" s="62"/>
    </row>
    <row r="654" spans="1:1">
      <c r="A654" s="62"/>
    </row>
    <row r="655" spans="1:1">
      <c r="A655" s="62"/>
    </row>
    <row r="656" spans="1:1">
      <c r="A656" s="62"/>
    </row>
    <row r="657" spans="1:1">
      <c r="A657" s="62"/>
    </row>
    <row r="658" spans="1:1">
      <c r="A658" s="62"/>
    </row>
    <row r="659" spans="1:1">
      <c r="A659" s="62"/>
    </row>
    <row r="660" spans="1:1">
      <c r="A660" s="62"/>
    </row>
    <row r="661" spans="1:1">
      <c r="A661" s="62"/>
    </row>
    <row r="662" spans="1:1">
      <c r="A662" s="62"/>
    </row>
    <row r="663" spans="1:1">
      <c r="A663" s="62"/>
    </row>
    <row r="664" spans="1:1">
      <c r="A664" s="62"/>
    </row>
    <row r="665" spans="1:1">
      <c r="A665" s="62"/>
    </row>
    <row r="666" spans="1:1">
      <c r="A666" s="62"/>
    </row>
    <row r="667" spans="1:1">
      <c r="A667" s="62"/>
    </row>
    <row r="668" spans="1:1">
      <c r="A668" s="62"/>
    </row>
    <row r="669" spans="1:1">
      <c r="A669" s="62"/>
    </row>
    <row r="670" spans="1:1">
      <c r="A670" s="62"/>
    </row>
    <row r="671" spans="1:1">
      <c r="A671" s="62"/>
    </row>
    <row r="672" spans="1:1">
      <c r="A672" s="62"/>
    </row>
    <row r="673" spans="1:1">
      <c r="A673" s="62"/>
    </row>
    <row r="674" spans="1:1">
      <c r="A674" s="62"/>
    </row>
    <row r="675" spans="1:1">
      <c r="A675" s="62"/>
    </row>
    <row r="676" spans="1:1">
      <c r="A676" s="62"/>
    </row>
    <row r="677" spans="1:1">
      <c r="A677" s="62"/>
    </row>
    <row r="678" spans="1:1">
      <c r="A678" s="62"/>
    </row>
    <row r="679" spans="1:1">
      <c r="A679" s="62"/>
    </row>
    <row r="680" spans="1:1">
      <c r="A680" s="62"/>
    </row>
    <row r="681" spans="1:1">
      <c r="A681" s="62"/>
    </row>
    <row r="682" spans="1:1">
      <c r="A682" s="62"/>
    </row>
    <row r="683" spans="1:1">
      <c r="A683" s="62"/>
    </row>
    <row r="684" spans="1:1">
      <c r="A684" s="62"/>
    </row>
    <row r="685" spans="1:1">
      <c r="A685" s="62"/>
    </row>
    <row r="686" spans="1:1">
      <c r="A686" s="62"/>
    </row>
    <row r="687" spans="1:1">
      <c r="A687" s="62"/>
    </row>
    <row r="688" spans="1:1">
      <c r="A688" s="62"/>
    </row>
    <row r="689" spans="1:1">
      <c r="A689" s="62"/>
    </row>
    <row r="690" spans="1:1">
      <c r="A690" s="62"/>
    </row>
    <row r="691" spans="1:1">
      <c r="A691" s="62"/>
    </row>
    <row r="692" spans="1:1">
      <c r="A692" s="62"/>
    </row>
    <row r="693" spans="1:1">
      <c r="A693" s="62"/>
    </row>
    <row r="694" spans="1:1">
      <c r="A694" s="62"/>
    </row>
    <row r="695" spans="1:1">
      <c r="A695" s="62"/>
    </row>
    <row r="696" spans="1:1">
      <c r="A696" s="62"/>
    </row>
    <row r="697" spans="1:1">
      <c r="A697" s="62"/>
    </row>
    <row r="698" spans="1:1">
      <c r="A698" s="62"/>
    </row>
    <row r="699" spans="1:1">
      <c r="A699" s="62"/>
    </row>
    <row r="700" spans="1:1">
      <c r="A700" s="62"/>
    </row>
    <row r="701" spans="1:1">
      <c r="A701" s="62"/>
    </row>
    <row r="702" spans="1:1">
      <c r="A702" s="62"/>
    </row>
    <row r="703" spans="1:1">
      <c r="A703" s="62"/>
    </row>
    <row r="704" spans="1:1">
      <c r="A704" s="62"/>
    </row>
    <row r="705" spans="1:1">
      <c r="A705" s="62"/>
    </row>
    <row r="706" spans="1:1">
      <c r="A706" s="62"/>
    </row>
    <row r="707" spans="1:1">
      <c r="A707" s="62"/>
    </row>
    <row r="708" spans="1:1">
      <c r="A708" s="62"/>
    </row>
    <row r="709" spans="1:1">
      <c r="A709" s="62"/>
    </row>
    <row r="710" spans="1:1">
      <c r="A710" s="62"/>
    </row>
    <row r="711" spans="1:1">
      <c r="A711" s="62"/>
    </row>
    <row r="712" spans="1:1">
      <c r="A712" s="62"/>
    </row>
    <row r="713" spans="1:1">
      <c r="A713" s="62"/>
    </row>
    <row r="714" spans="1:1">
      <c r="A714" s="62"/>
    </row>
    <row r="715" spans="1:1">
      <c r="A715" s="62"/>
    </row>
    <row r="716" spans="1:1">
      <c r="A716" s="62"/>
    </row>
    <row r="717" spans="1:1">
      <c r="A717" s="62"/>
    </row>
    <row r="718" spans="1:1">
      <c r="A718" s="62"/>
    </row>
    <row r="719" spans="1:1">
      <c r="A719" s="62"/>
    </row>
    <row r="720" spans="1:1">
      <c r="A720" s="62"/>
    </row>
    <row r="721" spans="1:1">
      <c r="A721" s="62"/>
    </row>
    <row r="722" spans="1:1">
      <c r="A722" s="62"/>
    </row>
    <row r="723" spans="1:1">
      <c r="A723" s="62"/>
    </row>
    <row r="724" spans="1:1">
      <c r="A724" s="62"/>
    </row>
    <row r="725" spans="1:1">
      <c r="A725" s="62"/>
    </row>
    <row r="726" spans="1:1">
      <c r="A726" s="62"/>
    </row>
    <row r="727" spans="1:1">
      <c r="A727" s="62"/>
    </row>
    <row r="728" spans="1:1">
      <c r="A728" s="62"/>
    </row>
    <row r="729" spans="1:1">
      <c r="A729" s="62"/>
    </row>
    <row r="730" spans="1:1">
      <c r="A730" s="62"/>
    </row>
    <row r="731" spans="1:1">
      <c r="A731" s="62"/>
    </row>
    <row r="732" spans="1:1">
      <c r="A732" s="62"/>
    </row>
    <row r="733" spans="1:1">
      <c r="A733" s="62"/>
    </row>
    <row r="734" spans="1:1">
      <c r="A734" s="62"/>
    </row>
    <row r="735" spans="1:1">
      <c r="A735" s="62"/>
    </row>
    <row r="736" spans="1:1">
      <c r="A736" s="62"/>
    </row>
    <row r="737" spans="1:1">
      <c r="A737" s="62"/>
    </row>
    <row r="738" spans="1:1">
      <c r="A738" s="62"/>
    </row>
    <row r="739" spans="1:1">
      <c r="A739" s="62"/>
    </row>
    <row r="740" spans="1:1">
      <c r="A740" s="62"/>
    </row>
    <row r="741" spans="1:1">
      <c r="A741" s="62"/>
    </row>
    <row r="742" spans="1:1">
      <c r="A742" s="62"/>
    </row>
    <row r="743" spans="1:1">
      <c r="A743" s="62"/>
    </row>
    <row r="744" spans="1:1">
      <c r="A744" s="62"/>
    </row>
    <row r="745" spans="1:1">
      <c r="A745" s="62"/>
    </row>
    <row r="746" spans="1:1">
      <c r="A746" s="62"/>
    </row>
    <row r="747" spans="1:1">
      <c r="A747" s="62"/>
    </row>
    <row r="748" spans="1:1">
      <c r="A748" s="62"/>
    </row>
    <row r="749" spans="1:1">
      <c r="A749" s="62"/>
    </row>
    <row r="750" spans="1:1">
      <c r="A750" s="62"/>
    </row>
    <row r="751" spans="1:1">
      <c r="A751" s="62"/>
    </row>
    <row r="752" spans="1:1">
      <c r="A752" s="62"/>
    </row>
    <row r="753" spans="1:1">
      <c r="A753" s="62"/>
    </row>
    <row r="754" spans="1:1">
      <c r="A754" s="62"/>
    </row>
    <row r="755" spans="1:1">
      <c r="A755" s="62"/>
    </row>
    <row r="756" spans="1:1">
      <c r="A756" s="62"/>
    </row>
    <row r="757" spans="1:1">
      <c r="A757" s="62"/>
    </row>
    <row r="758" spans="1:1">
      <c r="A758" s="62"/>
    </row>
    <row r="759" spans="1:1">
      <c r="A759" s="62"/>
    </row>
    <row r="760" spans="1:1">
      <c r="A760" s="62"/>
    </row>
    <row r="761" spans="1:1">
      <c r="A761" s="62"/>
    </row>
    <row r="762" spans="1:1">
      <c r="A762" s="62"/>
    </row>
    <row r="763" spans="1:1">
      <c r="A763" s="62"/>
    </row>
    <row r="764" spans="1:1">
      <c r="A764" s="62"/>
    </row>
    <row r="765" spans="1:1">
      <c r="A765" s="62"/>
    </row>
    <row r="766" spans="1:1">
      <c r="A766" s="62"/>
    </row>
    <row r="767" spans="1:1">
      <c r="A767" s="62"/>
    </row>
    <row r="768" spans="1:1">
      <c r="A768" s="62"/>
    </row>
    <row r="769" spans="1:1">
      <c r="A769" s="62"/>
    </row>
    <row r="770" spans="1:1">
      <c r="A770" s="62"/>
    </row>
    <row r="771" spans="1:1">
      <c r="A771" s="62"/>
    </row>
    <row r="772" spans="1:1">
      <c r="A772" s="62"/>
    </row>
    <row r="773" spans="1:1">
      <c r="A773" s="62"/>
    </row>
    <row r="774" spans="1:1">
      <c r="A774" s="62"/>
    </row>
    <row r="775" spans="1:1">
      <c r="A775" s="62"/>
    </row>
    <row r="776" spans="1:1">
      <c r="A776" s="62"/>
    </row>
    <row r="777" spans="1:1">
      <c r="A777" s="62"/>
    </row>
    <row r="778" spans="1:1">
      <c r="A778" s="62"/>
    </row>
    <row r="779" spans="1:1">
      <c r="A779" s="62"/>
    </row>
    <row r="780" spans="1:1">
      <c r="A780" s="62"/>
    </row>
    <row r="781" spans="1:1">
      <c r="A781" s="62"/>
    </row>
    <row r="782" spans="1:1">
      <c r="A782" s="62"/>
    </row>
    <row r="783" spans="1:1">
      <c r="A783" s="62"/>
    </row>
    <row r="784" spans="1:1">
      <c r="A784" s="62"/>
    </row>
    <row r="785" spans="1:1">
      <c r="A785" s="62"/>
    </row>
    <row r="786" spans="1:1">
      <c r="A786" s="62"/>
    </row>
    <row r="787" spans="1:1">
      <c r="A787" s="62"/>
    </row>
    <row r="788" spans="1:1">
      <c r="A788" s="62"/>
    </row>
    <row r="789" spans="1:1">
      <c r="A789" s="62"/>
    </row>
    <row r="790" spans="1:1">
      <c r="A790" s="62"/>
    </row>
    <row r="791" spans="1:1">
      <c r="A791" s="62"/>
    </row>
    <row r="792" spans="1:1">
      <c r="A792" s="62"/>
    </row>
    <row r="793" spans="1:1">
      <c r="A793" s="62"/>
    </row>
    <row r="794" spans="1:1">
      <c r="A794" s="62"/>
    </row>
    <row r="795" spans="1:1">
      <c r="A795" s="62"/>
    </row>
    <row r="796" spans="1:1">
      <c r="A796" s="62"/>
    </row>
    <row r="797" spans="1:1">
      <c r="A797" s="62"/>
    </row>
    <row r="798" spans="1:1">
      <c r="A798" s="62"/>
    </row>
    <row r="799" spans="1:1">
      <c r="A799" s="62"/>
    </row>
    <row r="800" spans="1:1">
      <c r="A800" s="62"/>
    </row>
    <row r="801" spans="1:1">
      <c r="A801" s="62"/>
    </row>
    <row r="802" spans="1:1">
      <c r="A802" s="62"/>
    </row>
    <row r="803" spans="1:1">
      <c r="A803" s="62"/>
    </row>
    <row r="804" spans="1:1">
      <c r="A804" s="62"/>
    </row>
    <row r="805" spans="1:1">
      <c r="A805" s="62"/>
    </row>
    <row r="806" spans="1:1">
      <c r="A806" s="62"/>
    </row>
    <row r="807" spans="1:1">
      <c r="A807" s="62"/>
    </row>
    <row r="808" spans="1:1">
      <c r="A808" s="62"/>
    </row>
    <row r="809" spans="1:1">
      <c r="A809" s="62"/>
    </row>
    <row r="810" spans="1:1">
      <c r="A810" s="62"/>
    </row>
    <row r="811" spans="1:1">
      <c r="A811" s="62"/>
    </row>
    <row r="812" spans="1:1">
      <c r="A812" s="62"/>
    </row>
    <row r="813" spans="1:1">
      <c r="A813" s="62"/>
    </row>
    <row r="814" spans="1:1">
      <c r="A814" s="62"/>
    </row>
    <row r="815" spans="1:1">
      <c r="A815" s="62"/>
    </row>
    <row r="816" spans="1:1">
      <c r="A816" s="62"/>
    </row>
    <row r="817" spans="1:1">
      <c r="A817" s="62"/>
    </row>
    <row r="818" spans="1:1">
      <c r="A818" s="62"/>
    </row>
    <row r="819" spans="1:1">
      <c r="A819" s="62"/>
    </row>
    <row r="820" spans="1:1">
      <c r="A820" s="62"/>
    </row>
    <row r="821" spans="1:1">
      <c r="A821" s="62"/>
    </row>
    <row r="822" spans="1:1">
      <c r="A822" s="62"/>
    </row>
    <row r="823" spans="1:1">
      <c r="A823" s="62"/>
    </row>
    <row r="824" spans="1:1">
      <c r="A824" s="62"/>
    </row>
    <row r="825" spans="1:1">
      <c r="A825" s="62"/>
    </row>
    <row r="826" spans="1:1">
      <c r="A826" s="62"/>
    </row>
    <row r="827" spans="1:1">
      <c r="A827" s="62"/>
    </row>
    <row r="828" spans="1:1">
      <c r="A828" s="62"/>
    </row>
    <row r="829" spans="1:1">
      <c r="A829" s="62"/>
    </row>
    <row r="830" spans="1:1">
      <c r="A830" s="62"/>
    </row>
    <row r="831" spans="1:1">
      <c r="A831" s="62"/>
    </row>
    <row r="832" spans="1:1">
      <c r="A832" s="62"/>
    </row>
    <row r="833" spans="1:1">
      <c r="A833" s="62"/>
    </row>
    <row r="834" spans="1:1">
      <c r="A834" s="62"/>
    </row>
    <row r="835" spans="1:1">
      <c r="A835" s="62"/>
    </row>
    <row r="836" spans="1:1">
      <c r="A836" s="62"/>
    </row>
    <row r="837" spans="1:1">
      <c r="A837" s="62"/>
    </row>
    <row r="838" spans="1:1">
      <c r="A838" s="62"/>
    </row>
    <row r="839" spans="1:1">
      <c r="A839" s="62"/>
    </row>
    <row r="840" spans="1:1">
      <c r="A840" s="62"/>
    </row>
    <row r="841" spans="1:1">
      <c r="A841" s="62"/>
    </row>
    <row r="842" spans="1:1">
      <c r="A842" s="62"/>
    </row>
    <row r="843" spans="1:1">
      <c r="A843" s="62"/>
    </row>
    <row r="844" spans="1:1">
      <c r="A844" s="62"/>
    </row>
    <row r="845" spans="1:1">
      <c r="A845" s="62"/>
    </row>
    <row r="846" spans="1:1">
      <c r="A846" s="62"/>
    </row>
    <row r="847" spans="1:1">
      <c r="A847" s="62"/>
    </row>
    <row r="848" spans="1:1">
      <c r="A848" s="62"/>
    </row>
    <row r="849" spans="1:1">
      <c r="A849" s="62"/>
    </row>
    <row r="850" spans="1:1">
      <c r="A850" s="62"/>
    </row>
    <row r="851" spans="1:1">
      <c r="A851" s="62"/>
    </row>
    <row r="852" spans="1:1">
      <c r="A852" s="62"/>
    </row>
    <row r="853" spans="1:1">
      <c r="A853" s="62"/>
    </row>
    <row r="854" spans="1:1">
      <c r="A854" s="62"/>
    </row>
    <row r="855" spans="1:1">
      <c r="A855" s="62"/>
    </row>
    <row r="856" spans="1:1">
      <c r="A856" s="62"/>
    </row>
    <row r="857" spans="1:1">
      <c r="A857" s="62"/>
    </row>
    <row r="858" spans="1:1">
      <c r="A858" s="62"/>
    </row>
    <row r="859" spans="1:1">
      <c r="A859" s="62"/>
    </row>
    <row r="860" spans="1:1">
      <c r="A860" s="62"/>
    </row>
    <row r="861" spans="1:1">
      <c r="A861" s="62"/>
    </row>
    <row r="862" spans="1:1">
      <c r="A862" s="62"/>
    </row>
    <row r="863" spans="1:1">
      <c r="A863" s="62"/>
    </row>
    <row r="864" spans="1:1">
      <c r="A864" s="62"/>
    </row>
    <row r="865" spans="1:1">
      <c r="A865" s="62"/>
    </row>
    <row r="866" spans="1:1">
      <c r="A866" s="62"/>
    </row>
    <row r="867" spans="1:1">
      <c r="A867" s="62"/>
    </row>
    <row r="868" spans="1:1">
      <c r="A868" s="62"/>
    </row>
    <row r="869" spans="1:1">
      <c r="A869" s="62"/>
    </row>
    <row r="870" spans="1:1">
      <c r="A870" s="62"/>
    </row>
    <row r="871" spans="1:1">
      <c r="A871" s="62"/>
    </row>
    <row r="872" spans="1:1">
      <c r="A872" s="62"/>
    </row>
    <row r="873" spans="1:1">
      <c r="A873" s="62"/>
    </row>
    <row r="874" spans="1:1">
      <c r="A874" s="62"/>
    </row>
    <row r="875" spans="1:1">
      <c r="A875" s="62"/>
    </row>
    <row r="876" spans="1:1">
      <c r="A876" s="62"/>
    </row>
    <row r="877" spans="1:1">
      <c r="A877" s="62"/>
    </row>
    <row r="878" spans="1:1">
      <c r="A878" s="62"/>
    </row>
    <row r="879" spans="1:1">
      <c r="A879" s="62"/>
    </row>
    <row r="880" spans="1:1">
      <c r="A880" s="62"/>
    </row>
    <row r="881" spans="1:1">
      <c r="A881" s="62"/>
    </row>
    <row r="882" spans="1:1">
      <c r="A882" s="62"/>
    </row>
    <row r="883" spans="1:1">
      <c r="A883" s="62"/>
    </row>
    <row r="884" spans="1:1">
      <c r="A884" s="62"/>
    </row>
    <row r="885" spans="1:1">
      <c r="A885" s="62"/>
    </row>
    <row r="886" spans="1:1">
      <c r="A886" s="62"/>
    </row>
    <row r="887" spans="1:1">
      <c r="A887" s="62"/>
    </row>
    <row r="888" spans="1:1">
      <c r="A888" s="62"/>
    </row>
    <row r="889" spans="1:1">
      <c r="A889" s="62"/>
    </row>
    <row r="890" spans="1:1">
      <c r="A890" s="62"/>
    </row>
    <row r="891" spans="1:1">
      <c r="A891" s="62"/>
    </row>
    <row r="892" spans="1:1">
      <c r="A892" s="62"/>
    </row>
    <row r="893" spans="1:1">
      <c r="A893" s="62"/>
    </row>
    <row r="894" spans="1:1">
      <c r="A894" s="62"/>
    </row>
    <row r="895" spans="1:1">
      <c r="A895" s="62"/>
    </row>
    <row r="896" spans="1:1">
      <c r="A896" s="62"/>
    </row>
    <row r="897" spans="1:1">
      <c r="A897" s="62"/>
    </row>
    <row r="898" spans="1:1">
      <c r="A898" s="62"/>
    </row>
    <row r="899" spans="1:1">
      <c r="A899" s="62"/>
    </row>
    <row r="900" spans="1:1">
      <c r="A900" s="62"/>
    </row>
    <row r="901" spans="1:1">
      <c r="A901" s="62"/>
    </row>
    <row r="902" spans="1:1">
      <c r="A902" s="62"/>
    </row>
    <row r="903" spans="1:1">
      <c r="A903" s="62"/>
    </row>
    <row r="904" spans="1:1">
      <c r="A904" s="62"/>
    </row>
    <row r="905" spans="1:1">
      <c r="A905" s="62"/>
    </row>
    <row r="906" spans="1:1">
      <c r="A906" s="62"/>
    </row>
    <row r="907" spans="1:1">
      <c r="A907" s="62"/>
    </row>
    <row r="908" spans="1:1">
      <c r="A908" s="62"/>
    </row>
    <row r="909" spans="1:1">
      <c r="A909" s="62"/>
    </row>
    <row r="910" spans="1:1">
      <c r="A910" s="62"/>
    </row>
    <row r="911" spans="1:1">
      <c r="A911" s="62"/>
    </row>
    <row r="912" spans="1:1">
      <c r="A912" s="62"/>
    </row>
    <row r="913" spans="1:1">
      <c r="A913" s="62"/>
    </row>
    <row r="914" spans="1:1">
      <c r="A914" s="62"/>
    </row>
    <row r="915" spans="1:1">
      <c r="A915" s="62"/>
    </row>
    <row r="916" spans="1:1">
      <c r="A916" s="62"/>
    </row>
    <row r="917" spans="1:1">
      <c r="A917" s="62"/>
    </row>
    <row r="918" spans="1:1">
      <c r="A918" s="62"/>
    </row>
    <row r="919" spans="1:1">
      <c r="A919" s="62"/>
    </row>
    <row r="920" spans="1:1">
      <c r="A920" s="62"/>
    </row>
    <row r="921" spans="1:1">
      <c r="A921" s="62"/>
    </row>
    <row r="922" spans="1:1">
      <c r="A922" s="62"/>
    </row>
    <row r="923" spans="1:1">
      <c r="A923" s="62"/>
    </row>
    <row r="924" spans="1:1">
      <c r="A924" s="62"/>
    </row>
    <row r="925" spans="1:1">
      <c r="A925" s="62"/>
    </row>
    <row r="926" spans="1:1">
      <c r="A926" s="62"/>
    </row>
    <row r="927" spans="1:1">
      <c r="A927" s="62"/>
    </row>
    <row r="928" spans="1:1">
      <c r="A928" s="62"/>
    </row>
    <row r="929" spans="1:1">
      <c r="A929" s="62"/>
    </row>
    <row r="930" spans="1:1">
      <c r="A930" s="62"/>
    </row>
    <row r="931" spans="1:1">
      <c r="A931" s="62"/>
    </row>
    <row r="932" spans="1:1">
      <c r="A932" s="62"/>
    </row>
    <row r="933" spans="1:1">
      <c r="A933" s="62"/>
    </row>
    <row r="934" spans="1:1">
      <c r="A934" s="62"/>
    </row>
    <row r="935" spans="1:1">
      <c r="A935" s="62"/>
    </row>
    <row r="936" spans="1:1">
      <c r="A936" s="62"/>
    </row>
    <row r="937" spans="1:1">
      <c r="A937" s="62"/>
    </row>
    <row r="938" spans="1:1">
      <c r="A938" s="62"/>
    </row>
    <row r="939" spans="1:1">
      <c r="A939" s="62"/>
    </row>
    <row r="940" spans="1:1">
      <c r="A940" s="62"/>
    </row>
    <row r="941" spans="1:1">
      <c r="A941" s="62"/>
    </row>
    <row r="942" spans="1:1">
      <c r="A942" s="62"/>
    </row>
    <row r="943" spans="1:1">
      <c r="A943" s="62"/>
    </row>
    <row r="944" spans="1:1">
      <c r="A944" s="62"/>
    </row>
    <row r="945" spans="1:1">
      <c r="A945" s="62"/>
    </row>
    <row r="946" spans="1:1">
      <c r="A946" s="62"/>
    </row>
    <row r="947" spans="1:1">
      <c r="A947" s="62"/>
    </row>
    <row r="948" spans="1:1">
      <c r="A948" s="62"/>
    </row>
    <row r="949" spans="1:1">
      <c r="A949" s="62"/>
    </row>
    <row r="950" spans="1:1">
      <c r="A950" s="62"/>
    </row>
    <row r="951" spans="1:1">
      <c r="A951" s="62"/>
    </row>
    <row r="952" spans="1:1">
      <c r="A952" s="62"/>
    </row>
    <row r="953" spans="1:1">
      <c r="A953" s="62"/>
    </row>
    <row r="954" spans="1:1">
      <c r="A954" s="62"/>
    </row>
    <row r="955" spans="1:1">
      <c r="A955" s="62"/>
    </row>
    <row r="956" spans="1:1">
      <c r="A956" s="62"/>
    </row>
    <row r="957" spans="1:1">
      <c r="A957" s="62"/>
    </row>
    <row r="958" spans="1:1">
      <c r="A958" s="62"/>
    </row>
    <row r="959" spans="1:1">
      <c r="A959" s="62"/>
    </row>
    <row r="960" spans="1:1">
      <c r="A960" s="62"/>
    </row>
    <row r="961" spans="1:1">
      <c r="A961" s="62"/>
    </row>
    <row r="962" spans="1:1">
      <c r="A962" s="62"/>
    </row>
    <row r="963" spans="1:1">
      <c r="A963" s="62"/>
    </row>
    <row r="964" spans="1:1">
      <c r="A964" s="62"/>
    </row>
    <row r="965" spans="1:1">
      <c r="A965" s="62"/>
    </row>
    <row r="966" spans="1:1">
      <c r="A966" s="62"/>
    </row>
    <row r="967" spans="1:1">
      <c r="A967" s="62"/>
    </row>
    <row r="968" spans="1:1">
      <c r="A968" s="62"/>
    </row>
    <row r="969" spans="1:1">
      <c r="A969" s="62"/>
    </row>
    <row r="970" spans="1:1">
      <c r="A970" s="62"/>
    </row>
    <row r="971" spans="1:1">
      <c r="A971" s="62"/>
    </row>
    <row r="972" spans="1:1">
      <c r="A972" s="62"/>
    </row>
    <row r="973" spans="1:1">
      <c r="A973" s="62"/>
    </row>
    <row r="974" spans="1:1">
      <c r="A974" s="62"/>
    </row>
    <row r="975" spans="1:1">
      <c r="A975" s="62"/>
    </row>
    <row r="976" spans="1:1">
      <c r="A976" s="62"/>
    </row>
    <row r="977" spans="1:1">
      <c r="A977" s="62"/>
    </row>
    <row r="978" spans="1:1">
      <c r="A978" s="62"/>
    </row>
    <row r="979" spans="1:1">
      <c r="A979" s="62"/>
    </row>
    <row r="980" spans="1:1">
      <c r="A980" s="62"/>
    </row>
    <row r="981" spans="1:1">
      <c r="A981" s="62"/>
    </row>
    <row r="982" spans="1:1">
      <c r="A982" s="62"/>
    </row>
    <row r="983" spans="1:1">
      <c r="A983" s="62"/>
    </row>
    <row r="984" spans="1:1">
      <c r="A984" s="62"/>
    </row>
    <row r="985" spans="1:1">
      <c r="A985" s="62"/>
    </row>
    <row r="986" spans="1:1">
      <c r="A986" s="62"/>
    </row>
    <row r="987" spans="1:1">
      <c r="A987" s="62"/>
    </row>
    <row r="988" spans="1:1">
      <c r="A988" s="62"/>
    </row>
    <row r="989" spans="1:1">
      <c r="A989" s="62"/>
    </row>
    <row r="990" spans="1:1">
      <c r="A990" s="62"/>
    </row>
    <row r="991" spans="1:1">
      <c r="A991" s="62"/>
    </row>
    <row r="992" spans="1:1">
      <c r="A992" s="62"/>
    </row>
    <row r="993" spans="1:1">
      <c r="A993" s="62"/>
    </row>
    <row r="994" spans="1:1">
      <c r="A994" s="62"/>
    </row>
    <row r="995" spans="1:1">
      <c r="A995" s="62"/>
    </row>
    <row r="996" spans="1:1">
      <c r="A996" s="62"/>
    </row>
    <row r="997" spans="1:1">
      <c r="A997" s="62"/>
    </row>
    <row r="998" spans="1:1">
      <c r="A998" s="62"/>
    </row>
    <row r="999" spans="1:1">
      <c r="A999" s="62"/>
    </row>
    <row r="1000" spans="1:1">
      <c r="A1000" s="62"/>
    </row>
  </sheetData>
  <conditionalFormatting sqref="E2:E201">
    <cfRule type="containsText" dxfId="65" priority="19" stopIfTrue="1" operator="containsText" text="Checked:">
      <formula>NOT(ISERROR(SEARCH("Checked:",E2)))</formula>
    </cfRule>
    <cfRule type="cellIs" dxfId="64" priority="20" stopIfTrue="1" operator="equal">
      <formula>"No checklist items checked"</formula>
    </cfRule>
    <cfRule type="cellIs" dxfId="63" priority="21" stopIfTrue="1" operator="equal">
      <formula>"Sent"</formula>
    </cfRule>
    <cfRule type="cellIs" dxfId="62" priority="22" stopIfTrue="1" operator="equal">
      <formula>"Scheduled"</formula>
    </cfRule>
    <cfRule type="cellIs" dxfId="61" priority="23" stopIfTrue="1" operator="equal">
      <formula>"Ready to Schedule"</formula>
    </cfRule>
  </conditionalFormatting>
  <conditionalFormatting sqref="A2:Q201">
    <cfRule type="expression" dxfId="60" priority="24">
      <formula>OR(LOWER(TRIM($Q2))="cancelled",LOWER(TRIM($Q2))="canceled")</formula>
    </cfRule>
  </conditionalFormatting>
  <hyperlinks>
    <hyperlink ref="L2" r:id="rId1" xr:uid="{1F207CA6-50DE-4740-AA24-6B24F23A3253}"/>
    <hyperlink ref="K2" r:id="rId2" xr:uid="{82397C6C-D119-4ACF-A92F-FC209CBA521F}"/>
    <hyperlink ref="L3" r:id="rId3" xr:uid="{264A0BD8-011A-466D-B6BB-D3413CCCAD6E}"/>
    <hyperlink ref="K3" r:id="rId4" xr:uid="{A0A4AFA5-2E96-4854-B2C4-E7EA7DB9FCD7}"/>
    <hyperlink ref="L4" r:id="rId5" xr:uid="{9A8CD086-5C1E-4482-93DB-36C360C0C8F8}"/>
    <hyperlink ref="L5" r:id="rId6" xr:uid="{947C0771-439B-422F-86B8-2C0C39A18FD5}"/>
    <hyperlink ref="K5" r:id="rId7" xr:uid="{8131D788-B790-42C0-8601-DDB3B480D850}"/>
    <hyperlink ref="L6" r:id="rId8" xr:uid="{44FED7EE-C93E-405C-A074-E3AEAFB383DF}"/>
  </hyperlinks>
  <pageMargins left="0.7" right="0.7" top="0.75" bottom="0.75" header="0.3" footer="0.3"/>
  <tableParts count="1">
    <tablePart r:id="rId9"/>
  </tableParts>
  <extLst>
    <ext xmlns:x14="http://schemas.microsoft.com/office/spreadsheetml/2009/9/main" uri="{78C0D931-6437-407d-A8EE-F0AAD7539E65}">
      <x14:conditionalFormattings>
        <x14:conditionalFormatting xmlns:xm="http://schemas.microsoft.com/office/excel/2006/main">
          <x14:cfRule type="expression" priority="13" id="{1271B480-23A9-46AD-944C-82450915F8FB}">
            <xm:f>'Email Campaigns'!#REF!="Critical"</xm:f>
            <x14:dxf>
              <fill>
                <patternFill>
                  <bgColor rgb="FFF4CCCC"/>
                </patternFill>
              </fill>
            </x14:dxf>
          </x14:cfRule>
          <x14:cfRule type="expression" priority="14" id="{ADC53DCE-75A0-4C3B-9D1C-4C7EDEE17B93}">
            <xm:f>'Email Campaigns'!#REF!="High Risk"</xm:f>
            <x14:dxf>
              <fill>
                <patternFill>
                  <bgColor rgb="FFFCE5CD"/>
                </patternFill>
              </fill>
            </x14:dxf>
          </x14:cfRule>
          <x14:cfRule type="expression" priority="15" id="{03C4A7DD-E64B-47B0-B32D-E4E46E045897}">
            <xm:f>'Email Campaigns'!#REF!="At Risk"</xm:f>
            <x14:dxf>
              <fill>
                <patternFill>
                  <bgColor rgb="FFFFF2CC"/>
                </patternFill>
              </fill>
            </x14:dxf>
          </x14:cfRule>
          <x14:cfRule type="expression" priority="16" id="{7DD9B511-5493-4582-9ECE-1CD89EB792EF}">
            <xm:f>'Email Campaigns'!#REF!="Blocked"</xm:f>
            <x14:dxf>
              <fill>
                <patternFill>
                  <bgColor rgb="FFD9D2E9"/>
                </patternFill>
              </fill>
            </x14:dxf>
          </x14:cfRule>
          <x14:cfRule type="expression" priority="17" id="{C365F575-090F-472A-A65A-F63EFB8863BA}">
            <xm:f>'Email Campaigns'!#REF!="Ready"</xm:f>
            <x14:dxf>
              <fill>
                <patternFill>
                  <bgColor rgb="FFD9EAD3"/>
                </patternFill>
              </fill>
            </x14:dxf>
          </x14:cfRule>
          <x14:cfRule type="expression" priority="18" id="{C1B12503-AD27-4956-A33F-AB2F6DD81D91}">
            <xm:f>'Email Campaigns'!#REF!="Complete"</xm:f>
            <x14:dxf>
              <fill>
                <patternFill>
                  <bgColor rgb="FFE7E6E6"/>
                </patternFill>
              </fill>
            </x14:dxf>
          </x14:cfRule>
          <xm:sqref>K2</xm:sqref>
        </x14:conditionalFormatting>
        <x14:conditionalFormatting xmlns:xm="http://schemas.microsoft.com/office/excel/2006/main">
          <x14:cfRule type="expression" priority="1" id="{D4F3E173-1417-4508-AB78-614246150271}">
            <xm:f>'Email Campaigns'!#REF!="Critical"</xm:f>
            <x14:dxf>
              <fill>
                <patternFill>
                  <bgColor rgb="FFF4CCCC"/>
                </patternFill>
              </fill>
            </x14:dxf>
          </x14:cfRule>
          <x14:cfRule type="expression" priority="2" id="{8D0FAF90-A1BB-4D25-BE88-69309FD2478D}">
            <xm:f>'Email Campaigns'!#REF!="High Risk"</xm:f>
            <x14:dxf>
              <fill>
                <patternFill>
                  <bgColor rgb="FFFCE5CD"/>
                </patternFill>
              </fill>
            </x14:dxf>
          </x14:cfRule>
          <x14:cfRule type="expression" priority="3" id="{19DA8A47-F55F-4574-B928-D06185DCBC69}">
            <xm:f>'Email Campaigns'!#REF!="At Risk"</xm:f>
            <x14:dxf>
              <fill>
                <patternFill>
                  <bgColor rgb="FFFFF2CC"/>
                </patternFill>
              </fill>
            </x14:dxf>
          </x14:cfRule>
          <x14:cfRule type="expression" priority="4" id="{E1059406-D12B-4328-AF59-53D7532725DB}">
            <xm:f>'Email Campaigns'!#REF!="Blocked"</xm:f>
            <x14:dxf>
              <fill>
                <patternFill>
                  <bgColor rgb="FFD9D2E9"/>
                </patternFill>
              </fill>
            </x14:dxf>
          </x14:cfRule>
          <x14:cfRule type="expression" priority="5" id="{39CB5EDC-4E8E-4B4F-AEFE-0BC491D25EB5}">
            <xm:f>'Email Campaigns'!#REF!="Ready"</xm:f>
            <x14:dxf>
              <fill>
                <patternFill>
                  <bgColor rgb="FFD9EAD3"/>
                </patternFill>
              </fill>
            </x14:dxf>
          </x14:cfRule>
          <x14:cfRule type="expression" priority="6" id="{B2AC91A8-7753-4953-BAD2-EDC942A0B6E2}">
            <xm:f>'Email Campaigns'!#REF!="Complete"</xm:f>
            <x14:dxf>
              <fill>
                <patternFill>
                  <bgColor rgb="FFE7E6E6"/>
                </patternFill>
              </fill>
            </x14:dxf>
          </x14:cfRule>
          <xm:sqref>L2</xm:sqref>
        </x14:conditionalFormatting>
      </x14:conditionalFormattings>
    </ex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Dropdowns!$A$2:$A$9</xm:f>
          </x14:formula1>
          <xm:sqref>D2:D201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102ED-74C8-445D-9B61-25A3C4688686}">
  <sheetPr codeName="Sheet6">
    <tabColor rgb="FF5B9BD5"/>
  </sheetPr>
  <dimension ref="A1:H12"/>
  <sheetViews>
    <sheetView showGridLines="0" zoomScale="90" zoomScaleNormal="90" workbookViewId="0">
      <selection activeCell="E22" sqref="E22"/>
    </sheetView>
  </sheetViews>
  <sheetFormatPr defaultRowHeight="15"/>
  <cols>
    <col min="1" max="7" width="22.625" style="1" customWidth="1"/>
    <col min="8" max="8" width="12.625" style="1" customWidth="1"/>
    <col min="9" max="16384" width="9" style="1"/>
  </cols>
  <sheetData>
    <row r="1" spans="1:8" ht="24">
      <c r="A1" s="70" t="str">
        <f ca="1">TEXT(DATE(YEAR(TODAY()),1,1),"mmmm yyyy")&amp;" Campaign Calendar"</f>
        <v>January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216</v>
      </c>
      <c r="G3" s="12" t="s">
        <v>217</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B6" s="3" t="str" cm="1">
        <f t="array" aca="1" ref="B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C6" s="3" t="str" cm="1">
        <f t="array" aca="1" ref="C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D6" s="3" t="str" cm="1">
        <f t="array" aca="1" ref="D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E6" s="3" t="str" cm="1">
        <f t="array" aca="1" ref="E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v>
      </c>
      <c r="F6" s="3" t="str" cm="1">
        <f t="array" aca="1" ref="F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v>
      </c>
      <c r="G6" s="57" t="str" cm="1">
        <f t="array" aca="1" ref="G6"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3</v>
      </c>
      <c r="H6" s="59" t="str">
        <f t="shared" ref="H6:H11" ca="1" si="0">_xlfn.LET(_xlpm.first,DATE(YEAR(TODAY()),1,1), _xlpm.d, _xlpm.first-WEEKDAY(_xlpm.first,1)+1+(ROW()-6)*7, IF(OR(MONTH(_xlpm.d)=1, MONTH(_xlpm.d+6)=1), "Week "&amp;WEEKNUM(_xlpm.d), ""))</f>
        <v>Week 53</v>
      </c>
    </row>
    <row r="7" spans="1:8">
      <c r="A7" s="4" t="str" cm="1">
        <f t="array" aca="1" ref="A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4</v>
      </c>
      <c r="B7" s="3" t="str" cm="1">
        <f t="array" aca="1" ref="B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5</v>
      </c>
      <c r="C7" s="3" t="str" cm="1">
        <f t="array" aca="1" ref="C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6</v>
      </c>
      <c r="D7" s="3" t="str" cm="1">
        <f t="array" aca="1" ref="D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7</v>
      </c>
      <c r="E7" s="3" t="str" cm="1">
        <f t="array" aca="1" ref="E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8</v>
      </c>
      <c r="F7" s="3" t="str" cm="1">
        <f t="array" aca="1" ref="F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9</v>
      </c>
      <c r="G7" s="57" t="str" cm="1">
        <f t="array" aca="1" ref="G7"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10</v>
      </c>
      <c r="H7" s="59" t="str">
        <f t="shared" ca="1" si="0"/>
        <v>Week 2</v>
      </c>
    </row>
    <row r="8" spans="1:8">
      <c r="A8" s="4" t="str" cm="1">
        <f t="array" aca="1" ref="A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11</v>
      </c>
      <c r="B8" s="3" t="str" cm="1">
        <f t="array" aca="1" ref="B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12</v>
      </c>
      <c r="C8" s="3" t="str" cm="1">
        <f t="array" aca="1" ref="C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13</v>
      </c>
      <c r="D8" s="3" t="str" cm="1">
        <f t="array" aca="1" ref="D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14</v>
      </c>
      <c r="E8" s="3" t="str" cm="1">
        <f t="array" aca="1" ref="E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15</v>
      </c>
      <c r="F8" s="3" t="str" cm="1">
        <f t="array" aca="1" ref="F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16</v>
      </c>
      <c r="G8" s="57" t="str" cm="1">
        <f t="array" aca="1" ref="G8"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17</v>
      </c>
      <c r="H8" s="59" t="str">
        <f t="shared" ca="1" si="0"/>
        <v>Week 3</v>
      </c>
    </row>
    <row r="9" spans="1:8">
      <c r="A9" s="4" t="str" cm="1">
        <f t="array" aca="1" ref="A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18</v>
      </c>
      <c r="B9" s="3" t="str" cm="1">
        <f t="array" aca="1" ref="B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19</v>
      </c>
      <c r="C9" s="3" t="str" cm="1">
        <f t="array" aca="1" ref="C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20</v>
      </c>
      <c r="D9" s="3" t="str" cm="1">
        <f t="array" aca="1" ref="D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21</v>
      </c>
      <c r="E9" s="3" t="str" cm="1">
        <f t="array" aca="1" ref="E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22</v>
      </c>
      <c r="F9" s="3" t="str" cm="1">
        <f t="array" aca="1" ref="F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23</v>
      </c>
      <c r="G9" s="57" t="str" cm="1">
        <f t="array" aca="1" ref="G9"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24</v>
      </c>
      <c r="H9" s="59" t="str">
        <f t="shared" ca="1" si="0"/>
        <v>Week 4</v>
      </c>
    </row>
    <row r="10" spans="1:8">
      <c r="A10" s="4" t="str" cm="1">
        <f t="array" aca="1" ref="A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25</v>
      </c>
      <c r="B10" s="3" t="str" cm="1">
        <f t="array" aca="1" ref="B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26</v>
      </c>
      <c r="C10" s="3" t="str" cm="1">
        <f t="array" aca="1" ref="C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27</v>
      </c>
      <c r="D10" s="3" t="str" cm="1">
        <f t="array" aca="1" ref="D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28</v>
      </c>
      <c r="E10" s="3" t="str" cm="1">
        <f t="array" aca="1" ref="E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29</v>
      </c>
      <c r="F10" s="3" t="str" cm="1">
        <f t="array" aca="1" ref="F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30</v>
      </c>
      <c r="G10" s="57" t="str" cm="1">
        <f t="array" aca="1" ref="G10"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31</v>
      </c>
      <c r="H10" s="59" t="str">
        <f t="shared" ca="1" si="0"/>
        <v>Week 5</v>
      </c>
    </row>
    <row r="11" spans="1:8">
      <c r="A11" s="4" t="str" cm="1">
        <f t="array" aca="1" ref="A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B11" s="3" t="str" cm="1">
        <f t="array" aca="1" ref="B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C11" s="3" t="str" cm="1">
        <f t="array" aca="1" ref="C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D11" s="3" t="str" cm="1">
        <f t="array" aca="1" ref="D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E11" s="3" t="str" cm="1">
        <f t="array" aca="1" ref="E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F11" s="3" t="str" cm="1">
        <f t="array" aca="1" ref="F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G11" s="57" t="str" cm="1">
        <f t="array" aca="1" ref="G11" ca="1">_xlfn.LET(_xlpm.first,DATE(YEAR(TODAY()),1,1),_xlpm.d,_xlpm.first-WEEKDAY(_xlpm.first,1)+1+(ROW()-6)*7+COLUMN()-1,_xlpm.items,_xlfn.TEXTJOIN(CHAR(10)&amp;"•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28" priority="1" stopIfTrue="1">
      <formula>ISNUMBER(SEARCH(CHAR(10),A6))</formula>
    </cfRule>
    <cfRule type="expression" dxfId="27" priority="2" stopIfTrue="1">
      <formula>DATE(YEAR(TODAY()),1,1)-WEEKDAY(DATE(YEAR(TODAY()),1,1),1)+1+(ROW()-6)*7+COLUMN()-1=TODAY()</formula>
    </cfRule>
  </conditionalFormatting>
  <hyperlinks>
    <hyperlink ref="A3" location="'Dashboard'!A1" display="Dashboard" xr:uid="{E5851027-C162-42E5-A7E6-4DCE3C738CC1}"/>
    <hyperlink ref="B3" location="'Email Campaigns'!A1" display="Email" xr:uid="{185FEABB-1DC7-470C-AE59-8E7035CF8D74}"/>
    <hyperlink ref="C3" location="'SMS Campaigns'!A1" display="SMS" xr:uid="{C4545A23-77AB-46A1-B083-24187C8589DB}"/>
    <hyperlink ref="F3" location="'December Calendar'!A1" display="&lt; December" xr:uid="{D574B062-CDE4-45C5-9D16-D15756510666}"/>
    <hyperlink ref="G3" location="'February Calendar'!A1" display="February &gt;" xr:uid="{BCB7055C-E77E-423F-A183-57F5772AC6F2}"/>
  </hyperlinks>
  <pageMargins left="0.7" right="0.7" top="0.75" bottom="0.75" header="0.3" footer="0.3"/>
  <pageSetup paperSize="0" orientation="portrait"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EBC79-1FBD-4A04-B2FB-269A50908576}">
  <sheetPr codeName="Sheet7">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TEXT(DATE(YEAR(TODAY()),2,1),"mmmm yyyy")&amp;" Campaign Calendar"</f>
        <v>February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228</v>
      </c>
      <c r="G3" s="12" t="s">
        <v>229</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v>
      </c>
      <c r="B6" s="3" t="str" cm="1">
        <f t="array" aca="1" ref="B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v>
      </c>
      <c r="C6" s="3" t="str" cm="1">
        <f t="array" aca="1" ref="C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3</v>
      </c>
      <c r="D6" s="3" t="str" cm="1">
        <f t="array" aca="1" ref="D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4</v>
      </c>
      <c r="E6" s="3" t="str" cm="1">
        <f t="array" aca="1" ref="E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5</v>
      </c>
      <c r="F6" s="3" t="str" cm="1">
        <f t="array" aca="1" ref="F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6</v>
      </c>
      <c r="G6" s="57" t="str" cm="1">
        <f t="array" aca="1" ref="G6"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7</v>
      </c>
      <c r="H6" s="59" t="str">
        <f t="shared" ref="H6:H11" ca="1" si="0">_xlfn.LET(_xlpm.first,DATE(YEAR(TODAY()),2,1), _xlpm.d, _xlpm.first-WEEKDAY(_xlpm.first,1)+1+(ROW()-6)*7, IF(OR(MONTH(_xlpm.d)=2, MONTH(_xlpm.d+6)=2), "Week "&amp;WEEKNUM(_xlpm.d), ""))</f>
        <v>Week 6</v>
      </c>
    </row>
    <row r="7" spans="1:8">
      <c r="A7" s="4" t="str" cm="1">
        <f t="array" aca="1" ref="A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8</v>
      </c>
      <c r="B7" s="3" t="str" cm="1">
        <f t="array" aca="1" ref="B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9</v>
      </c>
      <c r="C7" s="3" t="str" cm="1">
        <f t="array" aca="1" ref="C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10</v>
      </c>
      <c r="D7" s="3" t="str" cm="1">
        <f t="array" aca="1" ref="D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11</v>
      </c>
      <c r="E7" s="3" t="str" cm="1">
        <f t="array" aca="1" ref="E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12</v>
      </c>
      <c r="F7" s="3" t="str" cm="1">
        <f t="array" aca="1" ref="F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13</v>
      </c>
      <c r="G7" s="57" t="str" cm="1">
        <f t="array" aca="1" ref="G7"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14</v>
      </c>
      <c r="H7" s="59" t="str">
        <f t="shared" ca="1" si="0"/>
        <v>Week 7</v>
      </c>
    </row>
    <row r="8" spans="1:8">
      <c r="A8" s="4" t="str" cm="1">
        <f t="array" aca="1" ref="A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15</v>
      </c>
      <c r="B8" s="3" t="str" cm="1">
        <f t="array" aca="1" ref="B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16</v>
      </c>
      <c r="C8" s="3" t="str" cm="1">
        <f t="array" aca="1" ref="C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17</v>
      </c>
      <c r="D8" s="3" t="str" cm="1">
        <f t="array" aca="1" ref="D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18</v>
      </c>
      <c r="E8" s="3" t="str" cm="1">
        <f t="array" aca="1" ref="E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19</v>
      </c>
      <c r="F8" s="3" t="str" cm="1">
        <f t="array" aca="1" ref="F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20</v>
      </c>
      <c r="G8" s="57" t="str" cm="1">
        <f t="array" aca="1" ref="G8"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21</v>
      </c>
      <c r="H8" s="59" t="str">
        <f t="shared" ca="1" si="0"/>
        <v>Week 8</v>
      </c>
    </row>
    <row r="9" spans="1:8">
      <c r="A9" s="4" t="str" cm="1">
        <f t="array" aca="1" ref="A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22</v>
      </c>
      <c r="B9" s="3" t="str" cm="1">
        <f t="array" aca="1" ref="B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23</v>
      </c>
      <c r="C9" s="3" t="str" cm="1">
        <f t="array" aca="1" ref="C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24</v>
      </c>
      <c r="D9" s="3" t="str" cm="1">
        <f t="array" aca="1" ref="D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25</v>
      </c>
      <c r="E9" s="3" t="str" cm="1">
        <f t="array" aca="1" ref="E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26</v>
      </c>
      <c r="F9" s="3" t="str" cm="1">
        <f t="array" aca="1" ref="F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27</v>
      </c>
      <c r="G9" s="57" t="str" cm="1">
        <f t="array" aca="1" ref="G9"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28</v>
      </c>
      <c r="H9" s="59" t="str">
        <f t="shared" ca="1" si="0"/>
        <v>Week 9</v>
      </c>
    </row>
    <row r="10" spans="1:8">
      <c r="A10" s="4" t="str" cm="1">
        <f t="array" aca="1" ref="A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B10" s="3" t="str" cm="1">
        <f t="array" aca="1" ref="B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C10" s="3" t="str" cm="1">
        <f t="array" aca="1" ref="C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D10" s="3" t="str" cm="1">
        <f t="array" aca="1" ref="D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E10" s="3" t="str" cm="1">
        <f t="array" aca="1" ref="E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F10" s="3" t="str" cm="1">
        <f t="array" aca="1" ref="F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G10" s="57" t="str" cm="1">
        <f t="array" aca="1" ref="G10"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H10" s="59" t="str">
        <f t="shared" ca="1" si="0"/>
        <v/>
      </c>
    </row>
    <row r="11" spans="1:8">
      <c r="A11" s="4" t="str" cm="1">
        <f t="array" aca="1" ref="A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B11" s="3" t="str" cm="1">
        <f t="array" aca="1" ref="B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C11" s="3" t="str" cm="1">
        <f t="array" aca="1" ref="C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D11" s="3" t="str" cm="1">
        <f t="array" aca="1" ref="D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E11" s="3" t="str" cm="1">
        <f t="array" aca="1" ref="E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F11" s="3" t="str" cm="1">
        <f t="array" aca="1" ref="F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G11" s="57" t="str" cm="1">
        <f t="array" aca="1" ref="G11" ca="1">_xlfn.LET(_xlpm.first,DATE(YEAR(TODAY()),2,1),_xlpm.d,_xlpm.first-WEEKDAY(_xlpm.first,1)+1+(ROW()-6)*7+COLUMN()-1,_xlpm.items,_xlfn.TEXTJOIN(CHAR(10)&amp;"•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Date]),0)=_xlpm.d,"")),IF(MONTH(_xlpm.d)&lt;&gt;2,"",DAY(_xlpm.d)&amp;IF(_xlpm.items="","",CHAR(10)&amp;"•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26" priority="1" stopIfTrue="1">
      <formula>ISNUMBER(SEARCH(CHAR(10),A6))</formula>
    </cfRule>
    <cfRule type="expression" dxfId="25" priority="2" stopIfTrue="1">
      <formula>DATE(YEAR(TODAY()),2,1)-WEEKDAY(DATE(YEAR(TODAY()),2,1),1)+1+(ROW()-6)*7+COLUMN()-1=TODAY()</formula>
    </cfRule>
  </conditionalFormatting>
  <hyperlinks>
    <hyperlink ref="A3" location="'Dashboard'!A1" display="Dashboard" xr:uid="{3C7876A8-8958-4C18-8EDD-659B25847B63}"/>
    <hyperlink ref="B3" location="'Email Campaigns'!A1" display="Email" xr:uid="{B8EB6D8C-44AD-4F22-8B8D-7156C58931AD}"/>
    <hyperlink ref="C3" location="'SMS Campaigns'!A1" display="SMS" xr:uid="{9628CE07-9ABE-4486-9DC5-44DDE4FE081A}"/>
    <hyperlink ref="F3" location="'January Calendar'!A1" display="&lt; January" xr:uid="{407F31B3-564A-4608-B156-13886F4C2264}"/>
    <hyperlink ref="G3" location="'March Calendar'!A1" display="March &gt;" xr:uid="{12300AFB-7C8E-4F6A-ABDD-18722C2C53A7}"/>
  </hyperlinks>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42773-2341-48FD-BFEC-6C6DADA0B17E}">
  <sheetPr codeName="Sheet8">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TEXT(DATE(YEAR(TODAY()),3,1),"mmmm yyyy")&amp;" Campaign Calendar"</f>
        <v>March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230</v>
      </c>
      <c r="G3" s="12" t="s">
        <v>231</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v>
      </c>
      <c r="B6" s="3" t="str" cm="1">
        <f t="array" aca="1" ref="B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v>
      </c>
      <c r="C6" s="3" t="str" cm="1">
        <f t="array" aca="1" ref="C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3</v>
      </c>
      <c r="D6" s="3" t="str" cm="1">
        <f t="array" aca="1" ref="D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4</v>
      </c>
      <c r="E6" s="3" t="str" cm="1">
        <f t="array" aca="1" ref="E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5</v>
      </c>
      <c r="F6" s="3" t="str" cm="1">
        <f t="array" aca="1" ref="F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6</v>
      </c>
      <c r="G6" s="57" t="str" cm="1">
        <f t="array" aca="1" ref="G6"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7</v>
      </c>
      <c r="H6" s="59" t="str">
        <f t="shared" ref="H6:H11" ca="1" si="0">_xlfn.LET(_xlpm.first,DATE(YEAR(TODAY()),3,1), _xlpm.d, _xlpm.first-WEEKDAY(_xlpm.first,1)+1+(ROW()-6)*7, IF(OR(MONTH(_xlpm.d)=3, MONTH(_xlpm.d+6)=3), "Week "&amp;WEEKNUM(_xlpm.d), ""))</f>
        <v>Week 10</v>
      </c>
    </row>
    <row r="7" spans="1:8">
      <c r="A7" s="4" t="str" cm="1">
        <f t="array" aca="1" ref="A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8</v>
      </c>
      <c r="B7" s="3" t="str" cm="1">
        <f t="array" aca="1" ref="B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9</v>
      </c>
      <c r="C7" s="3" t="str" cm="1">
        <f t="array" aca="1" ref="C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10</v>
      </c>
      <c r="D7" s="3" t="str" cm="1">
        <f t="array" aca="1" ref="D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11</v>
      </c>
      <c r="E7" s="3" t="str" cm="1">
        <f t="array" aca="1" ref="E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12</v>
      </c>
      <c r="F7" s="3" t="str" cm="1">
        <f t="array" aca="1" ref="F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13</v>
      </c>
      <c r="G7" s="57" t="str" cm="1">
        <f t="array" aca="1" ref="G7"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14</v>
      </c>
      <c r="H7" s="59" t="str">
        <f t="shared" ca="1" si="0"/>
        <v>Week 11</v>
      </c>
    </row>
    <row r="8" spans="1:8">
      <c r="A8" s="4" t="str" cm="1">
        <f t="array" aca="1" ref="A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15</v>
      </c>
      <c r="B8" s="3" t="str" cm="1">
        <f t="array" aca="1" ref="B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16</v>
      </c>
      <c r="C8" s="3" t="str" cm="1">
        <f t="array" aca="1" ref="C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17</v>
      </c>
      <c r="D8" s="3" t="str" cm="1">
        <f t="array" aca="1" ref="D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18</v>
      </c>
      <c r="E8" s="3" t="str" cm="1">
        <f t="array" aca="1" ref="E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19</v>
      </c>
      <c r="F8" s="3" t="str" cm="1">
        <f t="array" aca="1" ref="F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20</v>
      </c>
      <c r="G8" s="57" t="str" cm="1">
        <f t="array" aca="1" ref="G8"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21</v>
      </c>
      <c r="H8" s="59" t="str">
        <f t="shared" ca="1" si="0"/>
        <v>Week 12</v>
      </c>
    </row>
    <row r="9" spans="1:8">
      <c r="A9" s="4" t="str" cm="1">
        <f t="array" aca="1" ref="A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22</v>
      </c>
      <c r="B9" s="3" t="str" cm="1">
        <f t="array" aca="1" ref="B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23</v>
      </c>
      <c r="C9" s="3" t="str" cm="1">
        <f t="array" aca="1" ref="C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24</v>
      </c>
      <c r="D9" s="3" t="str" cm="1">
        <f t="array" aca="1" ref="D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25</v>
      </c>
      <c r="E9" s="3" t="str" cm="1">
        <f t="array" aca="1" ref="E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26</v>
      </c>
      <c r="F9" s="3" t="str" cm="1">
        <f t="array" aca="1" ref="F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27</v>
      </c>
      <c r="G9" s="57" t="str" cm="1">
        <f t="array" aca="1" ref="G9"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28</v>
      </c>
      <c r="H9" s="59" t="str">
        <f t="shared" ca="1" si="0"/>
        <v>Week 13</v>
      </c>
    </row>
    <row r="10" spans="1:8">
      <c r="A10" s="4" t="str" cm="1">
        <f t="array" aca="1" ref="A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29</v>
      </c>
      <c r="B10" s="3" t="str" cm="1">
        <f t="array" aca="1" ref="B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30</v>
      </c>
      <c r="C10" s="3" t="str" cm="1">
        <f t="array" aca="1" ref="C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31</v>
      </c>
      <c r="D10" s="3" t="str" cm="1">
        <f t="array" aca="1" ref="D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E10" s="3" t="str" cm="1">
        <f t="array" aca="1" ref="E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F10" s="3" t="str" cm="1">
        <f t="array" aca="1" ref="F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G10" s="57" t="str" cm="1">
        <f t="array" aca="1" ref="G10"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H10" s="59" t="str">
        <f t="shared" ca="1" si="0"/>
        <v>Week 14</v>
      </c>
    </row>
    <row r="11" spans="1:8">
      <c r="A11" s="4" t="str" cm="1">
        <f t="array" aca="1" ref="A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B11" s="3" t="str" cm="1">
        <f t="array" aca="1" ref="B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C11" s="3" t="str" cm="1">
        <f t="array" aca="1" ref="C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D11" s="3" t="str" cm="1">
        <f t="array" aca="1" ref="D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E11" s="3" t="str" cm="1">
        <f t="array" aca="1" ref="E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F11" s="3" t="str" cm="1">
        <f t="array" aca="1" ref="F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G11" s="57" t="str" cm="1">
        <f t="array" aca="1" ref="G11" ca="1">_xlfn.LET(_xlpm.first,DATE(YEAR(TODAY()),3,1),_xlpm.d,_xlpm.first-WEEKDAY(_xlpm.first,1)+1+(ROW()-6)*7+COLUMN()-1,_xlpm.items,_xlfn.TEXTJOIN(CHAR(10)&amp;"•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Date]),0)=_xlpm.d,"")),IF(MONTH(_xlpm.d)&lt;&gt;3,"",DAY(_xlpm.d)&amp;IF(_xlpm.items="","",CHAR(10)&amp;"•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24" priority="1" stopIfTrue="1">
      <formula>ISNUMBER(SEARCH(CHAR(10),A6))</formula>
    </cfRule>
    <cfRule type="expression" dxfId="23" priority="2" stopIfTrue="1">
      <formula>DATE(YEAR(TODAY()),3,1)-WEEKDAY(DATE(YEAR(TODAY()),3,1),1)+1+(ROW()-6)*7+COLUMN()-1=TODAY()</formula>
    </cfRule>
  </conditionalFormatting>
  <hyperlinks>
    <hyperlink ref="A3" location="'Dashboard'!A1" display="Dashboard" xr:uid="{3B783047-35CF-4304-AD34-6408453B85F4}"/>
    <hyperlink ref="B3" location="'Email Campaigns'!A1" display="Email" xr:uid="{691605A6-F828-4256-869E-DF531910D37A}"/>
    <hyperlink ref="C3" location="'SMS Campaigns'!A1" display="SMS" xr:uid="{2F93C30C-904F-4F85-8115-8E5118CA3104}"/>
    <hyperlink ref="F3" location="'February Calendar'!A1" display="&lt; February" xr:uid="{843044AC-042A-4C9D-93CF-D47EE1BDABCF}"/>
    <hyperlink ref="G3" location="'April Calendar'!A1" display="April &gt;" xr:uid="{5DF6F442-9CA2-4ACB-99AC-4023A26FA297}"/>
  </hyperlinks>
  <pageMargins left="0.7" right="0.7" top="0.75" bottom="0.75" header="0.3" footer="0.3"/>
  <pageSetup paperSize="0" orientation="portrait" horizontalDpi="0" verticalDpi="0" copie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6826B-298A-4E11-B5DC-A7AF48E1D221}">
  <sheetPr codeName="Sheet9">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TEXT(DATE(YEAR(TODAY()),4,1),"mmmm yyyy")&amp;" Campaign Calendar"</f>
        <v>April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232</v>
      </c>
      <c r="G3" s="12" t="s">
        <v>233</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B6" s="3" t="str" cm="1">
        <f t="array" aca="1" ref="B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C6" s="3" t="str" cm="1">
        <f t="array" aca="1" ref="C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D6" s="3" t="str" cm="1">
        <f t="array" aca="1" ref="D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v>
      </c>
      <c r="E6" s="3" t="str" cm="1">
        <f t="array" aca="1" ref="E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v>
      </c>
      <c r="F6" s="3" t="str" cm="1">
        <f t="array" aca="1" ref="F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3</v>
      </c>
      <c r="G6" s="57" t="str" cm="1">
        <f t="array" aca="1" ref="G6"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4</v>
      </c>
      <c r="H6" s="59" t="str">
        <f t="shared" ref="H6:H11" ca="1" si="0">_xlfn.LET(_xlpm.first,DATE(YEAR(TODAY()),4,1), _xlpm.d, _xlpm.first-WEEKDAY(_xlpm.first,1)+1+(ROW()-6)*7, IF(OR(MONTH(_xlpm.d)=4, MONTH(_xlpm.d+6)=4), "Week "&amp;WEEKNUM(_xlpm.d), ""))</f>
        <v>Week 14</v>
      </c>
    </row>
    <row r="7" spans="1:8">
      <c r="A7" s="4" t="str" cm="1">
        <f t="array" aca="1" ref="A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5</v>
      </c>
      <c r="B7" s="3" t="str" cm="1">
        <f t="array" aca="1" ref="B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6</v>
      </c>
      <c r="C7" s="3" t="str" cm="1">
        <f t="array" aca="1" ref="C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7</v>
      </c>
      <c r="D7" s="3" t="str" cm="1">
        <f t="array" aca="1" ref="D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8</v>
      </c>
      <c r="E7" s="3" t="str" cm="1">
        <f t="array" aca="1" ref="E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9</v>
      </c>
      <c r="F7" s="3" t="str" cm="1">
        <f t="array" aca="1" ref="F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10</v>
      </c>
      <c r="G7" s="57" t="str" cm="1">
        <f t="array" aca="1" ref="G7"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11</v>
      </c>
      <c r="H7" s="59" t="str">
        <f t="shared" ca="1" si="0"/>
        <v>Week 15</v>
      </c>
    </row>
    <row r="8" spans="1:8">
      <c r="A8" s="4" t="str" cm="1">
        <f t="array" aca="1" ref="A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12</v>
      </c>
      <c r="B8" s="3" t="str" cm="1">
        <f t="array" aca="1" ref="B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13</v>
      </c>
      <c r="C8" s="3" t="str" cm="1">
        <f t="array" aca="1" ref="C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14</v>
      </c>
      <c r="D8" s="3" t="str" cm="1">
        <f t="array" aca="1" ref="D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15</v>
      </c>
      <c r="E8" s="3" t="str" cm="1">
        <f t="array" aca="1" ref="E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16</v>
      </c>
      <c r="F8" s="3" t="str" cm="1">
        <f t="array" aca="1" ref="F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17</v>
      </c>
      <c r="G8" s="57" t="str" cm="1">
        <f t="array" aca="1" ref="G8"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18</v>
      </c>
      <c r="H8" s="59" t="str">
        <f t="shared" ca="1" si="0"/>
        <v>Week 16</v>
      </c>
    </row>
    <row r="9" spans="1:8">
      <c r="A9" s="4" t="str" cm="1">
        <f t="array" aca="1" ref="A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19</v>
      </c>
      <c r="B9" s="3" t="str" cm="1">
        <f t="array" aca="1" ref="B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20</v>
      </c>
      <c r="C9" s="3" t="str" cm="1">
        <f t="array" aca="1" ref="C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21</v>
      </c>
      <c r="D9" s="3" t="str" cm="1">
        <f t="array" aca="1" ref="D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22</v>
      </c>
      <c r="E9" s="3" t="str" cm="1">
        <f t="array" aca="1" ref="E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23</v>
      </c>
      <c r="F9" s="3" t="str" cm="1">
        <f t="array" aca="1" ref="F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24</v>
      </c>
      <c r="G9" s="57" t="str" cm="1">
        <f t="array" aca="1" ref="G9"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25</v>
      </c>
      <c r="H9" s="59" t="str">
        <f t="shared" ca="1" si="0"/>
        <v>Week 17</v>
      </c>
    </row>
    <row r="10" spans="1:8">
      <c r="A10" s="4" t="str" cm="1">
        <f t="array" aca="1" ref="A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26</v>
      </c>
      <c r="B10" s="3" t="str" cm="1">
        <f t="array" aca="1" ref="B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27</v>
      </c>
      <c r="C10" s="3" t="str" cm="1">
        <f t="array" aca="1" ref="C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28</v>
      </c>
      <c r="D10" s="3" t="str" cm="1">
        <f t="array" aca="1" ref="D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29</v>
      </c>
      <c r="E10" s="3" t="str" cm="1">
        <f t="array" aca="1" ref="E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30</v>
      </c>
      <c r="F10" s="3" t="str" cm="1">
        <f t="array" aca="1" ref="F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G10" s="57" t="str" cm="1">
        <f t="array" aca="1" ref="G10"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H10" s="59" t="str">
        <f t="shared" ca="1" si="0"/>
        <v>Week 18</v>
      </c>
    </row>
    <row r="11" spans="1:8">
      <c r="A11" s="4" t="str" cm="1">
        <f t="array" aca="1" ref="A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B11" s="3" t="str" cm="1">
        <f t="array" aca="1" ref="B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C11" s="3" t="str" cm="1">
        <f t="array" aca="1" ref="C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D11" s="3" t="str" cm="1">
        <f t="array" aca="1" ref="D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E11" s="3" t="str" cm="1">
        <f t="array" aca="1" ref="E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F11" s="3" t="str" cm="1">
        <f t="array" aca="1" ref="F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G11" s="57" t="str" cm="1">
        <f t="array" aca="1" ref="G11" ca="1">_xlfn.LET(_xlpm.first,DATE(YEAR(TODAY()),4,1),_xlpm.d,_xlpm.first-WEEKDAY(_xlpm.first,1)+1+(ROW()-6)*7+COLUMN()-1,_xlpm.items,_xlfn.TEXTJOIN(CHAR(10)&amp;"•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Date]),0)=_xlpm.d,"")),IF(MONTH(_xlpm.d)&lt;&gt;4,"",DAY(_xlpm.d)&amp;IF(_xlpm.items="","",CHAR(10)&amp;"•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22" priority="1" stopIfTrue="1">
      <formula>ISNUMBER(SEARCH(CHAR(10),A6))</formula>
    </cfRule>
    <cfRule type="expression" dxfId="21" priority="2" stopIfTrue="1">
      <formula>DATE(YEAR(TODAY()),4,1)-WEEKDAY(DATE(YEAR(TODAY()),4,1),1)+1+(ROW()-6)*7+COLUMN()-1=TODAY()</formula>
    </cfRule>
  </conditionalFormatting>
  <hyperlinks>
    <hyperlink ref="A3" location="'Dashboard'!A1" display="Dashboard" xr:uid="{BDA4D5BE-2F2B-4571-B43E-64FE0FA0804E}"/>
    <hyperlink ref="B3" location="'Email Campaigns'!A1" display="Email" xr:uid="{0D2D6B8A-DCA9-41F7-A439-0B3FDA3A639A}"/>
    <hyperlink ref="C3" location="'SMS Campaigns'!A1" display="SMS" xr:uid="{0D5F0F6C-106C-4E0D-AB87-D2BE90B9ADE6}"/>
    <hyperlink ref="F3" location="'March Calendar'!A1" display="&lt; March" xr:uid="{7298F836-3ABB-4B29-B54D-0B7D9EA17B4D}"/>
    <hyperlink ref="G3" location="'May Calendar'!A1" display="May &gt;" xr:uid="{43404BBF-2709-4D8E-83C4-ED8EBDF2B3B4}"/>
  </hyperlinks>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CFEE5-9038-4A40-91ED-ED4CCB008A45}">
  <sheetPr codeName="Sheet10">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TEXT(DATE(YEAR(TODAY()),5,1),"mmmm yyyy")&amp;" Campaign Calendar"</f>
        <v>May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234</v>
      </c>
      <c r="G3" s="12" t="s">
        <v>235</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B6" s="3" t="str" cm="1">
        <f t="array" aca="1" ref="B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C6" s="3" t="str" cm="1">
        <f t="array" aca="1" ref="C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D6" s="3" t="str" cm="1">
        <f t="array" aca="1" ref="D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E6" s="3" t="str" cm="1">
        <f t="array" aca="1" ref="E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F6" s="3" t="str" cm="1">
        <f t="array" aca="1" ref="F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v>
      </c>
      <c r="G6" s="57" t="str" cm="1">
        <f t="array" aca="1" ref="G6"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v>
      </c>
      <c r="H6" s="59" t="str">
        <f t="shared" ref="H6:H11" ca="1" si="0">_xlfn.LET(_xlpm.first,DATE(YEAR(TODAY()),5,1), _xlpm.d, _xlpm.first-WEEKDAY(_xlpm.first,1)+1+(ROW()-6)*7, IF(OR(MONTH(_xlpm.d)=5, MONTH(_xlpm.d+6)=5), "Week "&amp;WEEKNUM(_xlpm.d), ""))</f>
        <v>Week 18</v>
      </c>
    </row>
    <row r="7" spans="1:8">
      <c r="A7" s="4" t="str" cm="1">
        <f t="array" aca="1" ref="A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3</v>
      </c>
      <c r="B7" s="3" t="str" cm="1">
        <f t="array" aca="1" ref="B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4</v>
      </c>
      <c r="C7" s="3" t="str" cm="1">
        <f t="array" aca="1" ref="C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5</v>
      </c>
      <c r="D7" s="3" t="str" cm="1">
        <f t="array" aca="1" ref="D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6</v>
      </c>
      <c r="E7" s="3" t="str" cm="1">
        <f t="array" aca="1" ref="E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7</v>
      </c>
      <c r="F7" s="3" t="str" cm="1">
        <f t="array" aca="1" ref="F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8</v>
      </c>
      <c r="G7" s="57" t="str" cm="1">
        <f t="array" aca="1" ref="G7"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9</v>
      </c>
      <c r="H7" s="59" t="str">
        <f t="shared" ca="1" si="0"/>
        <v>Week 19</v>
      </c>
    </row>
    <row r="8" spans="1:8">
      <c r="A8" s="4" t="str" cm="1">
        <f t="array" aca="1" ref="A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10</v>
      </c>
      <c r="B8" s="3" t="str" cm="1">
        <f t="array" aca="1" ref="B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11</v>
      </c>
      <c r="C8" s="3" t="str" cm="1">
        <f t="array" aca="1" ref="C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12</v>
      </c>
      <c r="D8" s="3" t="str" cm="1">
        <f t="array" aca="1" ref="D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13</v>
      </c>
      <c r="E8" s="3" t="str" cm="1">
        <f t="array" aca="1" ref="E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14</v>
      </c>
      <c r="F8" s="3" t="str" cm="1">
        <f t="array" aca="1" ref="F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15</v>
      </c>
      <c r="G8" s="57" t="str" cm="1">
        <f t="array" aca="1" ref="G8"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16</v>
      </c>
      <c r="H8" s="59" t="str">
        <f t="shared" ca="1" si="0"/>
        <v>Week 20</v>
      </c>
    </row>
    <row r="9" spans="1:8">
      <c r="A9" s="4" t="str" cm="1">
        <f t="array" aca="1" ref="A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17</v>
      </c>
      <c r="B9" s="3" t="str" cm="1">
        <f t="array" aca="1" ref="B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18</v>
      </c>
      <c r="C9" s="3" t="str" cm="1">
        <f t="array" aca="1" ref="C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19</v>
      </c>
      <c r="D9" s="3" t="str" cm="1">
        <f t="array" aca="1" ref="D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20</v>
      </c>
      <c r="E9" s="3" t="str" cm="1">
        <f t="array" aca="1" ref="E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21</v>
      </c>
      <c r="F9" s="3" t="str" cm="1">
        <f t="array" aca="1" ref="F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22</v>
      </c>
      <c r="G9" s="57" t="str" cm="1">
        <f t="array" aca="1" ref="G9"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23</v>
      </c>
      <c r="H9" s="59" t="str">
        <f t="shared" ca="1" si="0"/>
        <v>Week 21</v>
      </c>
    </row>
    <row r="10" spans="1:8">
      <c r="A10" s="4" t="str" cm="1">
        <f t="array" aca="1" ref="A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24</v>
      </c>
      <c r="B10" s="3" t="str" cm="1">
        <f t="array" aca="1" ref="B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25</v>
      </c>
      <c r="C10" s="3" t="str" cm="1">
        <f t="array" aca="1" ref="C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26</v>
      </c>
      <c r="D10" s="3" t="str" cm="1">
        <f t="array" aca="1" ref="D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27</v>
      </c>
      <c r="E10" s="3" t="str" cm="1">
        <f t="array" aca="1" ref="E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28</v>
      </c>
      <c r="F10" s="3" t="str" cm="1">
        <f t="array" aca="1" ref="F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29</v>
      </c>
      <c r="G10" s="57" t="str" cm="1">
        <f t="array" aca="1" ref="G10"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30</v>
      </c>
      <c r="H10" s="59" t="str">
        <f t="shared" ca="1" si="0"/>
        <v>Week 22</v>
      </c>
    </row>
    <row r="11" spans="1:8">
      <c r="A11" s="4" t="str" cm="1">
        <f t="array" aca="1" ref="A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31</v>
      </c>
      <c r="B11" s="3" t="str" cm="1">
        <f t="array" aca="1" ref="B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C11" s="3" t="str" cm="1">
        <f t="array" aca="1" ref="C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D11" s="3" t="str" cm="1">
        <f t="array" aca="1" ref="D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E11" s="3" t="str" cm="1">
        <f t="array" aca="1" ref="E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F11" s="3" t="str" cm="1">
        <f t="array" aca="1" ref="F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G11" s="57" t="str" cm="1">
        <f t="array" aca="1" ref="G11" ca="1">_xlfn.LET(_xlpm.first,DATE(YEAR(TODAY()),5,1),_xlpm.d,_xlpm.first-WEEKDAY(_xlpm.first,1)+1+(ROW()-6)*7+COLUMN()-1,_xlpm.items,_xlfn.TEXTJOIN(CHAR(10)&amp;"•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Date]),0)=_xlpm.d,"")),IF(MONTH(_xlpm.d)&lt;&gt;5,"",DAY(_xlpm.d)&amp;IF(_xlpm.items="","",CHAR(10)&amp;"• "&amp;_xlpm.items)))</f>
        <v/>
      </c>
      <c r="H11" s="58" t="str">
        <f t="shared" ca="1" si="0"/>
        <v>Week 23</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20" priority="1" stopIfTrue="1">
      <formula>ISNUMBER(SEARCH(CHAR(10),A6))</formula>
    </cfRule>
    <cfRule type="expression" dxfId="19" priority="2" stopIfTrue="1">
      <formula>DATE(YEAR(TODAY()),5,1)-WEEKDAY(DATE(YEAR(TODAY()),5,1),1)+1+(ROW()-6)*7+COLUMN()-1=TODAY()</formula>
    </cfRule>
  </conditionalFormatting>
  <hyperlinks>
    <hyperlink ref="A3" location="'Dashboard'!A1" display="Dashboard" xr:uid="{EE0A7DFC-A4AD-4A10-B485-47A22F98460E}"/>
    <hyperlink ref="B3" location="'Email Campaigns'!A1" display="Email" xr:uid="{531296C4-3CAE-460D-878F-B4DB46475B7E}"/>
    <hyperlink ref="C3" location="'SMS Campaigns'!A1" display="SMS" xr:uid="{B95F178C-26C8-4FFC-9794-20F3C7123C2F}"/>
    <hyperlink ref="F3" location="'April Calendar'!A1" display="&lt; April" xr:uid="{0558B58E-5770-4FDF-BB65-3E997A0AE2B3}"/>
    <hyperlink ref="G3" location="'June Calendar'!A1" display="June &gt;" xr:uid="{6CD12069-8F5A-4335-9341-83E63AF1040C}"/>
  </hyperlinks>
  <pageMargins left="0.7" right="0.7" top="0.75" bottom="0.75" header="0.3" footer="0.3"/>
  <pageSetup paperSize="0" orientation="portrait" horizontalDpi="0" verticalDpi="0" copie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1:H12"/>
  <sheetViews>
    <sheetView showGridLines="0" zoomScale="90" zoomScaleNormal="90" workbookViewId="0">
      <selection sqref="A1:G1"/>
    </sheetView>
  </sheetViews>
  <sheetFormatPr defaultRowHeight="15"/>
  <cols>
    <col min="1" max="7" width="22.625" style="1" customWidth="1"/>
    <col min="8" max="8" width="12.625" style="1" customWidth="1"/>
    <col min="9" max="16384" width="9" style="1"/>
  </cols>
  <sheetData>
    <row r="1" spans="1:8" ht="24">
      <c r="A1" s="70" t="str">
        <f ca="1">TEXT(DATE(YEAR(TODAY()),6,1),"mmmm yyyy")&amp;" Campaign Calendar"</f>
        <v>June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236</v>
      </c>
      <c r="G3" s="12" t="s">
        <v>237</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ht="189">
      <c r="A6" s="4" t="str" cm="1">
        <f t="array" aca="1" ref="A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B6" s="3" t="str" cm="1">
        <f t="array" aca="1" ref="B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
• Email | 060126-STO-Promo-Bundle-and-Save-P-P-NA-GLP
• SMS | Campaign 060126 Services Open Box</v>
      </c>
      <c r="C6" s="3" t="str" cm="1">
        <f t="array" aca="1" ref="C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
• Email | 060226-STO-Loyalty-V1-VIP-Rewards-P-P-NA-GLP
• Email | 060226-STO-Loyalty-V2-VIP-Perks-P-P-NA-GLP
• Email | 060226-STO-Loyalty-V3-VIP-Pro-P-P-NA-GLP</v>
      </c>
      <c r="D6" s="3" t="str" cm="1">
        <f t="array" aca="1" ref="D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3
• Email | 060326-STO-Services-Open-Box-P-P-NA-GLP</v>
      </c>
      <c r="E6" s="3" t="str" cm="1">
        <f t="array" aca="1" ref="E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4
• Email | 060426-STO-PLCC-Open-To-Buy-P-P-NA-GLP</v>
      </c>
      <c r="F6" s="3" t="str" cm="1">
        <f t="array" aca="1" ref="F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5
• Email | 060526-08AM-Promo-EM1-Gaming-P-P-NA-GLP
• Email | 060526-09AM-Promo-EM2-Weekend-Deals-Video-P-P-NA-GLP
• Email | 060526-10AM-Promo-EM3-Weekend-Deals-Photo-and-Other-Categories-P-P-NA-GLP
• SMS | Campaign 060526 Promo Top Deals
• SMS | Campaign 060726 Promo Sony a7R VI In-Stock</v>
      </c>
      <c r="G6" s="57" t="str" cm="1">
        <f t="array" aca="1" ref="G6"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6
• Email | 060626-10PM-Newsletter-Creators-Huddle-P-G-NA-GLP</v>
      </c>
      <c r="H6" s="59" t="str">
        <f t="shared" ref="H6:H11" ca="1" si="0">_xlfn.LET(_xlpm.first,DATE(YEAR(TODAY()),6,1), _xlpm.d, _xlpm.first-WEEKDAY(_xlpm.first,1)+1+(ROW()-6)*7, IF(OR(MONTH(_xlpm.d)=6, MONTH(_xlpm.d+6)=6), "Week "&amp;WEEKNUM(_xlpm.d), ""))</f>
        <v>Week 23</v>
      </c>
    </row>
    <row r="7" spans="1:8" ht="135">
      <c r="A7" s="4" t="str" cm="1">
        <f t="array" aca="1" ref="A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7
• Email | 060726-STO-Event-JK-x-ADORAMA-NYC-WORKSHOP-Resend-P-G-NA-GLP
• SMS | Campaign 060726 Event JK X Adorama NYC Workshop
• SMS | Campaign 060726 Promo Sony a7R VI In-Stock</v>
      </c>
      <c r="B7" s="3" t="str" cm="1">
        <f t="array" aca="1" ref="B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8</v>
      </c>
      <c r="C7" s="3" t="str" cm="1">
        <f t="array" aca="1" ref="C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9</v>
      </c>
      <c r="D7" s="3" t="str" cm="1">
        <f t="array" aca="1" ref="D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10</v>
      </c>
      <c r="E7" s="3" t="str" cm="1">
        <f t="array" aca="1" ref="E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11</v>
      </c>
      <c r="F7" s="3" t="str" cm="1">
        <f t="array" aca="1" ref="F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12</v>
      </c>
      <c r="G7" s="57" t="str" cm="1">
        <f t="array" aca="1" ref="G7"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13</v>
      </c>
      <c r="H7" s="59" t="str">
        <f t="shared" ca="1" si="0"/>
        <v>Week 24</v>
      </c>
    </row>
    <row r="8" spans="1:8">
      <c r="A8" s="4" t="str" cm="1">
        <f t="array" aca="1" ref="A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14</v>
      </c>
      <c r="B8" s="3" t="str" cm="1">
        <f t="array" aca="1" ref="B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15</v>
      </c>
      <c r="C8" s="3" t="str" cm="1">
        <f t="array" aca="1" ref="C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16</v>
      </c>
      <c r="D8" s="3" t="str" cm="1">
        <f t="array" aca="1" ref="D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17</v>
      </c>
      <c r="E8" s="3" t="str" cm="1">
        <f t="array" aca="1" ref="E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18</v>
      </c>
      <c r="F8" s="3" t="str" cm="1">
        <f t="array" aca="1" ref="F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19</v>
      </c>
      <c r="G8" s="57" t="str" cm="1">
        <f t="array" aca="1" ref="G8"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20</v>
      </c>
      <c r="H8" s="59" t="str">
        <f t="shared" ca="1" si="0"/>
        <v>Week 25</v>
      </c>
    </row>
    <row r="9" spans="1:8">
      <c r="A9" s="4" t="str" cm="1">
        <f t="array" aca="1" ref="A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21</v>
      </c>
      <c r="B9" s="3" t="str" cm="1">
        <f t="array" aca="1" ref="B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22</v>
      </c>
      <c r="C9" s="3" t="str" cm="1">
        <f t="array" aca="1" ref="C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23</v>
      </c>
      <c r="D9" s="3" t="str" cm="1">
        <f t="array" aca="1" ref="D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24</v>
      </c>
      <c r="E9" s="3" t="str" cm="1">
        <f t="array" aca="1" ref="E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25</v>
      </c>
      <c r="F9" s="3" t="str" cm="1">
        <f t="array" aca="1" ref="F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26</v>
      </c>
      <c r="G9" s="57" t="str" cm="1">
        <f t="array" aca="1" ref="G9"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27</v>
      </c>
      <c r="H9" s="59" t="str">
        <f t="shared" ca="1" si="0"/>
        <v>Week 26</v>
      </c>
    </row>
    <row r="10" spans="1:8">
      <c r="A10" s="4" t="str" cm="1">
        <f t="array" aca="1" ref="A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28</v>
      </c>
      <c r="B10" s="3" t="str" cm="1">
        <f t="array" aca="1" ref="B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29</v>
      </c>
      <c r="C10" s="3" t="str" cm="1">
        <f t="array" aca="1" ref="C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30</v>
      </c>
      <c r="D10" s="3" t="str" cm="1">
        <f t="array" aca="1" ref="D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E10" s="3" t="str" cm="1">
        <f t="array" aca="1" ref="E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F10" s="3" t="str" cm="1">
        <f t="array" aca="1" ref="F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G10" s="57" t="str" cm="1">
        <f t="array" aca="1" ref="G10"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H10" s="59" t="str">
        <f t="shared" ca="1" si="0"/>
        <v>Week 27</v>
      </c>
    </row>
    <row r="11" spans="1:8">
      <c r="A11" s="4" t="str" cm="1">
        <f t="array" aca="1" ref="A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B11" s="3" t="str" cm="1">
        <f t="array" aca="1" ref="B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C11" s="3" t="str" cm="1">
        <f t="array" aca="1" ref="C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D11" s="3" t="str" cm="1">
        <f t="array" aca="1" ref="D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E11" s="3" t="str" cm="1">
        <f t="array" aca="1" ref="E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F11" s="3" t="str" cm="1">
        <f t="array" aca="1" ref="F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G11" s="57" t="str" cm="1">
        <f t="array" aca="1" ref="G11" ca="1">_xlfn.LET(_xlpm.first,DATE(YEAR(TODAY()),6,1),_xlpm.d,_xlpm.first-WEEKDAY(_xlpm.first,1)+1+(ROW()-6)*7+COLUMN()-1,_xlpm.items,_xlfn.TEXTJOIN(CHAR(10)&amp;"•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Date]),0)=_xlpm.d,"")),IF(MONTH(_xlpm.d)&lt;&gt;6,"",DAY(_xlpm.d)&amp;IF(_xlpm.items="","",CHAR(10)&amp;"•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18" priority="1" stopIfTrue="1">
      <formula>ISNUMBER(SEARCH(CHAR(10),A6))</formula>
    </cfRule>
    <cfRule type="expression" dxfId="17" priority="2" stopIfTrue="1">
      <formula>DATE(YEAR(TODAY()),6,1)-WEEKDAY(DATE(YEAR(TODAY()),6,1),1)+1+(ROW()-6)*7+COLUMN()-1=TODAY()</formula>
    </cfRule>
  </conditionalFormatting>
  <hyperlinks>
    <hyperlink ref="A3" location="'Dashboard'!A1" display="Dashboard" xr:uid="{A901C172-6D14-4FD7-889E-7F975243AFA8}"/>
    <hyperlink ref="B3" location="'Email Campaigns'!A1" display="Email" xr:uid="{E87AAF98-23D5-4837-AD81-544B7AF34391}"/>
    <hyperlink ref="C3" location="'SMS Campaigns'!A1" display="SMS" xr:uid="{70884946-13FA-4695-83EF-7565BC2D9952}"/>
    <hyperlink ref="F3" location="'May Calendar'!A1" display="&lt; May" xr:uid="{FA6CDCAA-44FA-43FA-BA59-4B33AEEB42A3}"/>
    <hyperlink ref="G3" location="'July Calendar'!A1" display="July &gt;" xr:uid="{ACEA81E5-3B79-4C94-848E-6260F913F602}"/>
  </hyperlinks>
  <pageMargins left="0.7" right="0.7" top="0.75" bottom="0.75" header="0.3" footer="0.3"/>
  <pageSetup paperSize="0" orientation="portrait" horizontalDpi="0" verticalDpi="0" copie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6B1E9-DC87-4299-BF05-A4472D9FAF21}">
  <sheetPr codeName="Sheet11">
    <tabColor rgb="FF5B9BD5"/>
  </sheetPr>
  <dimension ref="A1:H12"/>
  <sheetViews>
    <sheetView showGridLines="0" tabSelected="1" zoomScale="90" zoomScaleNormal="90" workbookViewId="0">
      <selection sqref="A1:G1"/>
    </sheetView>
  </sheetViews>
  <sheetFormatPr defaultRowHeight="15"/>
  <cols>
    <col min="1" max="7" width="22.625" style="1" customWidth="1"/>
    <col min="8" max="8" width="12.625" style="1" customWidth="1"/>
    <col min="9" max="16384" width="9" style="1"/>
  </cols>
  <sheetData>
    <row r="1" spans="1:8" ht="24">
      <c r="A1" s="70" t="str">
        <f ca="1">TEXT(DATE(YEAR(TODAY()),7,1),"mmmm yyyy")&amp;" Campaign Calendar"</f>
        <v>July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238</v>
      </c>
      <c r="G3" s="12" t="s">
        <v>239</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B6" s="3" t="str" cm="1">
        <f t="array" aca="1" ref="B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C6" s="3" t="str" cm="1">
        <f t="array" aca="1" ref="C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D6" s="3" t="str" cm="1">
        <f t="array" aca="1" ref="D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v>
      </c>
      <c r="E6" s="3" t="str" cm="1">
        <f t="array" aca="1" ref="E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v>
      </c>
      <c r="F6" s="3" t="str" cm="1">
        <f t="array" aca="1" ref="F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3</v>
      </c>
      <c r="G6" s="57" t="str" cm="1">
        <f t="array" aca="1" ref="G6"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4</v>
      </c>
      <c r="H6" s="59" t="str">
        <f t="shared" ref="H6:H11" ca="1" si="0">_xlfn.LET(_xlpm.first,DATE(YEAR(TODAY()),7,1), _xlpm.d, _xlpm.first-WEEKDAY(_xlpm.first,1)+1+(ROW()-6)*7, IF(OR(MONTH(_xlpm.d)=7, MONTH(_xlpm.d+6)=7), "Week "&amp;WEEKNUM(_xlpm.d), ""))</f>
        <v>Week 27</v>
      </c>
    </row>
    <row r="7" spans="1:8">
      <c r="A7" s="4" t="str" cm="1">
        <f t="array" aca="1" ref="A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5</v>
      </c>
      <c r="B7" s="3" t="str" cm="1">
        <f t="array" aca="1" ref="B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6</v>
      </c>
      <c r="C7" s="3" t="str" cm="1">
        <f t="array" aca="1" ref="C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7</v>
      </c>
      <c r="D7" s="3" t="str" cm="1">
        <f t="array" aca="1" ref="D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8</v>
      </c>
      <c r="E7" s="3" t="str" cm="1">
        <f t="array" aca="1" ref="E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9</v>
      </c>
      <c r="F7" s="3" t="str" cm="1">
        <f t="array" aca="1" ref="F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10</v>
      </c>
      <c r="G7" s="57" t="str" cm="1">
        <f t="array" aca="1" ref="G7"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11</v>
      </c>
      <c r="H7" s="59" t="str">
        <f t="shared" ca="1" si="0"/>
        <v>Week 28</v>
      </c>
    </row>
    <row r="8" spans="1:8">
      <c r="A8" s="4" t="str" cm="1">
        <f t="array" aca="1" ref="A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12</v>
      </c>
      <c r="B8" s="3" t="str" cm="1">
        <f t="array" aca="1" ref="B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13</v>
      </c>
      <c r="C8" s="3" t="str" cm="1">
        <f t="array" aca="1" ref="C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14</v>
      </c>
      <c r="D8" s="3" t="str" cm="1">
        <f t="array" aca="1" ref="D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15</v>
      </c>
      <c r="E8" s="3" t="str" cm="1">
        <f t="array" aca="1" ref="E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16</v>
      </c>
      <c r="F8" s="3" t="str" cm="1">
        <f t="array" aca="1" ref="F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17</v>
      </c>
      <c r="G8" s="57" t="str" cm="1">
        <f t="array" aca="1" ref="G8"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18</v>
      </c>
      <c r="H8" s="59" t="str">
        <f t="shared" ca="1" si="0"/>
        <v>Week 29</v>
      </c>
    </row>
    <row r="9" spans="1:8">
      <c r="A9" s="4" t="str" cm="1">
        <f t="array" aca="1" ref="A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19</v>
      </c>
      <c r="B9" s="3" t="str" cm="1">
        <f t="array" aca="1" ref="B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20</v>
      </c>
      <c r="C9" s="3" t="str" cm="1">
        <f t="array" aca="1" ref="C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21</v>
      </c>
      <c r="D9" s="3" t="str" cm="1">
        <f t="array" aca="1" ref="D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22</v>
      </c>
      <c r="E9" s="3" t="str" cm="1">
        <f t="array" aca="1" ref="E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23</v>
      </c>
      <c r="F9" s="3" t="str" cm="1">
        <f t="array" aca="1" ref="F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24</v>
      </c>
      <c r="G9" s="57" t="str" cm="1">
        <f t="array" aca="1" ref="G9"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25</v>
      </c>
      <c r="H9" s="59" t="str">
        <f t="shared" ca="1" si="0"/>
        <v>Week 30</v>
      </c>
    </row>
    <row r="10" spans="1:8">
      <c r="A10" s="4" t="str" cm="1">
        <f t="array" aca="1" ref="A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26</v>
      </c>
      <c r="B10" s="3" t="str" cm="1">
        <f t="array" aca="1" ref="B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27</v>
      </c>
      <c r="C10" s="3" t="str" cm="1">
        <f t="array" aca="1" ref="C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28</v>
      </c>
      <c r="D10" s="3" t="str" cm="1">
        <f t="array" aca="1" ref="D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29</v>
      </c>
      <c r="E10" s="3" t="str" cm="1">
        <f t="array" aca="1" ref="E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30</v>
      </c>
      <c r="F10" s="3" t="str" cm="1">
        <f t="array" aca="1" ref="F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31</v>
      </c>
      <c r="G10" s="57" t="str" cm="1">
        <f t="array" aca="1" ref="G10"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H10" s="59" t="str">
        <f t="shared" ca="1" si="0"/>
        <v>Week 31</v>
      </c>
    </row>
    <row r="11" spans="1:8">
      <c r="A11" s="4" t="str" cm="1">
        <f t="array" aca="1" ref="A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B11" s="3" t="str" cm="1">
        <f t="array" aca="1" ref="B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C11" s="3" t="str" cm="1">
        <f t="array" aca="1" ref="C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D11" s="3" t="str" cm="1">
        <f t="array" aca="1" ref="D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E11" s="3" t="str" cm="1">
        <f t="array" aca="1" ref="E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F11" s="3" t="str" cm="1">
        <f t="array" aca="1" ref="F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G11" s="57" t="str" cm="1">
        <f t="array" aca="1" ref="G11" ca="1">_xlfn.LET(_xlpm.first,DATE(YEAR(TODAY()),7,1),_xlpm.d,_xlpm.first-WEEKDAY(_xlpm.first,1)+1+(ROW()-6)*7+COLUMN()-1,_xlpm.items,_xlfn.TEXTJOIN(CHAR(10)&amp;"•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Date]),0)=_xlpm.d,"")),IF(MONTH(_xlpm.d)&lt;&gt;7,"",DAY(_xlpm.d)&amp;IF(_xlpm.items="","",CHAR(10)&amp;"•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151" priority="1" stopIfTrue="1">
      <formula>ISNUMBER(SEARCH(CHAR(10),A6))</formula>
    </cfRule>
    <cfRule type="expression" dxfId="150" priority="2" stopIfTrue="1">
      <formula>DATE(YEAR(TODAY()),7,1)-WEEKDAY(DATE(YEAR(TODAY()),7,1),1)+1+(ROW()-6)*7+COLUMN()-1=TODAY()</formula>
    </cfRule>
  </conditionalFormatting>
  <hyperlinks>
    <hyperlink ref="A3" location="'Dashboard'!A1" display="Dashboard" xr:uid="{799C6F94-7687-49B0-9C44-A91501D96E51}"/>
    <hyperlink ref="B3" location="'Email Campaigns'!A1" display="Email" xr:uid="{D8528BF2-8A92-495F-90B9-EB9A6A7DC743}"/>
    <hyperlink ref="C3" location="'SMS Campaigns'!A1" display="SMS" xr:uid="{6CACA6A2-F1D5-4BE9-B36C-3F76531E942E}"/>
    <hyperlink ref="F3" location="'June Calendar'!A1" display="&lt; June" xr:uid="{D2615E89-9150-4D18-A8C3-4C588CF947C1}"/>
    <hyperlink ref="G3" location="'August Calendar'!A1" display="August &gt;" xr:uid="{61496EE9-E022-4A4B-A2FA-923B7105DE31}"/>
  </hyperlinks>
  <pageMargins left="0.7" right="0.7" top="0.75" bottom="0.75" header="0.3" footer="0.3"/>
  <pageSetup paperSize="0" orientation="portrait" horizontalDpi="0" verticalDpi="0" copie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F0F6B-AF76-4865-9950-04D2A6E97431}">
  <sheetPr codeName="Sheet12">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TEXT(DATE(YEAR(TODAY()),8,1),"mmmm yyyy")&amp;" Campaign Calendar"</f>
        <v>August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240</v>
      </c>
      <c r="G3" s="12" t="s">
        <v>241</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B6" s="3" t="str" cm="1">
        <f t="array" aca="1" ref="B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C6" s="3" t="str" cm="1">
        <f t="array" aca="1" ref="C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D6" s="3" t="str" cm="1">
        <f t="array" aca="1" ref="D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E6" s="3" t="str" cm="1">
        <f t="array" aca="1" ref="E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F6" s="3" t="str" cm="1">
        <f t="array" aca="1" ref="F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G6" s="57" t="str" cm="1">
        <f t="array" aca="1" ref="G6"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v>
      </c>
      <c r="H6" s="59" t="str">
        <f t="shared" ref="H6:H11" ca="1" si="0">_xlfn.LET(_xlpm.first,DATE(YEAR(TODAY()),8,1), _xlpm.d, _xlpm.first-WEEKDAY(_xlpm.first,1)+1+(ROW()-6)*7, IF(OR(MONTH(_xlpm.d)=8, MONTH(_xlpm.d+6)=8), "Week "&amp;WEEKNUM(_xlpm.d), ""))</f>
        <v>Week 31</v>
      </c>
    </row>
    <row r="7" spans="1:8">
      <c r="A7" s="4" t="str" cm="1">
        <f t="array" aca="1" ref="A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v>
      </c>
      <c r="B7" s="3" t="str" cm="1">
        <f t="array" aca="1" ref="B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3</v>
      </c>
      <c r="C7" s="3" t="str" cm="1">
        <f t="array" aca="1" ref="C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4</v>
      </c>
      <c r="D7" s="3" t="str" cm="1">
        <f t="array" aca="1" ref="D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5</v>
      </c>
      <c r="E7" s="3" t="str" cm="1">
        <f t="array" aca="1" ref="E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6</v>
      </c>
      <c r="F7" s="3" t="str" cm="1">
        <f t="array" aca="1" ref="F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7</v>
      </c>
      <c r="G7" s="57" t="str" cm="1">
        <f t="array" aca="1" ref="G7"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8</v>
      </c>
      <c r="H7" s="59" t="str">
        <f t="shared" ca="1" si="0"/>
        <v>Week 32</v>
      </c>
    </row>
    <row r="8" spans="1:8">
      <c r="A8" s="4" t="str" cm="1">
        <f t="array" aca="1" ref="A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9</v>
      </c>
      <c r="B8" s="3" t="str" cm="1">
        <f t="array" aca="1" ref="B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10</v>
      </c>
      <c r="C8" s="3" t="str" cm="1">
        <f t="array" aca="1" ref="C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11</v>
      </c>
      <c r="D8" s="3" t="str" cm="1">
        <f t="array" aca="1" ref="D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12</v>
      </c>
      <c r="E8" s="3" t="str" cm="1">
        <f t="array" aca="1" ref="E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13</v>
      </c>
      <c r="F8" s="3" t="str" cm="1">
        <f t="array" aca="1" ref="F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14</v>
      </c>
      <c r="G8" s="57" t="str" cm="1">
        <f t="array" aca="1" ref="G8"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15</v>
      </c>
      <c r="H8" s="59" t="str">
        <f t="shared" ca="1" si="0"/>
        <v>Week 33</v>
      </c>
    </row>
    <row r="9" spans="1:8">
      <c r="A9" s="4" t="str" cm="1">
        <f t="array" aca="1" ref="A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16</v>
      </c>
      <c r="B9" s="3" t="str" cm="1">
        <f t="array" aca="1" ref="B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17</v>
      </c>
      <c r="C9" s="3" t="str" cm="1">
        <f t="array" aca="1" ref="C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18</v>
      </c>
      <c r="D9" s="3" t="str" cm="1">
        <f t="array" aca="1" ref="D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19</v>
      </c>
      <c r="E9" s="3" t="str" cm="1">
        <f t="array" aca="1" ref="E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20</v>
      </c>
      <c r="F9" s="3" t="str" cm="1">
        <f t="array" aca="1" ref="F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21</v>
      </c>
      <c r="G9" s="57" t="str" cm="1">
        <f t="array" aca="1" ref="G9"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22</v>
      </c>
      <c r="H9" s="59" t="str">
        <f t="shared" ca="1" si="0"/>
        <v>Week 34</v>
      </c>
    </row>
    <row r="10" spans="1:8">
      <c r="A10" s="4" t="str" cm="1">
        <f t="array" aca="1" ref="A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23</v>
      </c>
      <c r="B10" s="3" t="str" cm="1">
        <f t="array" aca="1" ref="B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24</v>
      </c>
      <c r="C10" s="3" t="str" cm="1">
        <f t="array" aca="1" ref="C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25</v>
      </c>
      <c r="D10" s="3" t="str" cm="1">
        <f t="array" aca="1" ref="D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26</v>
      </c>
      <c r="E10" s="3" t="str" cm="1">
        <f t="array" aca="1" ref="E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27</v>
      </c>
      <c r="F10" s="3" t="str" cm="1">
        <f t="array" aca="1" ref="F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28</v>
      </c>
      <c r="G10" s="57" t="str" cm="1">
        <f t="array" aca="1" ref="G10"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29</v>
      </c>
      <c r="H10" s="59" t="str">
        <f t="shared" ca="1" si="0"/>
        <v>Week 35</v>
      </c>
    </row>
    <row r="11" spans="1:8">
      <c r="A11" s="4" t="str" cm="1">
        <f t="array" aca="1" ref="A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30</v>
      </c>
      <c r="B11" s="3" t="str" cm="1">
        <f t="array" aca="1" ref="B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31</v>
      </c>
      <c r="C11" s="3" t="str" cm="1">
        <f t="array" aca="1" ref="C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D11" s="3" t="str" cm="1">
        <f t="array" aca="1" ref="D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E11" s="3" t="str" cm="1">
        <f t="array" aca="1" ref="E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F11" s="3" t="str" cm="1">
        <f t="array" aca="1" ref="F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G11" s="57" t="str" cm="1">
        <f t="array" aca="1" ref="G11" ca="1">_xlfn.LET(_xlpm.first,DATE(YEAR(TODAY()),8,1),_xlpm.d,_xlpm.first-WEEKDAY(_xlpm.first,1)+1+(ROW()-6)*7+COLUMN()-1,_xlpm.items,_xlfn.TEXTJOIN(CHAR(10)&amp;"•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Date]),0)=_xlpm.d,"")),IF(MONTH(_xlpm.d)&lt;&gt;8,"",DAY(_xlpm.d)&amp;IF(_xlpm.items="","",CHAR(10)&amp;"• "&amp;_xlpm.items)))</f>
        <v/>
      </c>
      <c r="H11" s="58" t="str">
        <f t="shared" ca="1" si="0"/>
        <v>Week 36</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16" priority="1" stopIfTrue="1">
      <formula>ISNUMBER(SEARCH(CHAR(10),A6))</formula>
    </cfRule>
    <cfRule type="expression" dxfId="15" priority="2" stopIfTrue="1">
      <formula>DATE(YEAR(TODAY()),8,1)-WEEKDAY(DATE(YEAR(TODAY()),8,1),1)+1+(ROW()-6)*7+COLUMN()-1=TODAY()</formula>
    </cfRule>
  </conditionalFormatting>
  <hyperlinks>
    <hyperlink ref="A3" location="'Dashboard'!A1" display="Dashboard" xr:uid="{7FB93EC0-15BA-45F3-87AE-0FF3B795AF7D}"/>
    <hyperlink ref="B3" location="'Email Campaigns'!A1" display="Email" xr:uid="{420F95ED-9591-4442-AC78-DDF0E49660B6}"/>
    <hyperlink ref="C3" location="'SMS Campaigns'!A1" display="SMS" xr:uid="{F819E47F-3D5B-4683-B467-6CA31B81A191}"/>
    <hyperlink ref="F3" location="'July Calendar'!A1" display="&lt; July" xr:uid="{80E1F09E-2965-476C-8123-7762AEE36BCE}"/>
    <hyperlink ref="G3" location="'September Calendar'!A1" display="September &gt;" xr:uid="{E186D4D8-B2D2-4EB9-B0BC-CBE52F1478EE}"/>
  </hyperlinks>
  <pageMargins left="0.7" right="0.7" top="0.75" bottom="0.75" header="0.3" footer="0.3"/>
  <pageSetup paperSize="0" orientation="portrait" horizontalDpi="0" verticalDpi="0" copie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DBD42-DE35-4433-A876-0C084F88A989}">
  <sheetPr codeName="Sheet13">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TEXT(DATE(YEAR(TODAY()),9,1),"mmmm yyyy")&amp;" Campaign Calendar"</f>
        <v>September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242</v>
      </c>
      <c r="G3" s="12" t="s">
        <v>243</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B6" s="3" t="str" cm="1">
        <f t="array" aca="1" ref="B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C6" s="3" t="str" cm="1">
        <f t="array" aca="1" ref="C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v>
      </c>
      <c r="D6" s="3" t="str" cm="1">
        <f t="array" aca="1" ref="D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v>
      </c>
      <c r="E6" s="3" t="str" cm="1">
        <f t="array" aca="1" ref="E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3</v>
      </c>
      <c r="F6" s="3" t="str" cm="1">
        <f t="array" aca="1" ref="F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4</v>
      </c>
      <c r="G6" s="57" t="str" cm="1">
        <f t="array" aca="1" ref="G6"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5</v>
      </c>
      <c r="H6" s="59" t="str">
        <f t="shared" ref="H6:H11" ca="1" si="0">_xlfn.LET(_xlpm.first,DATE(YEAR(TODAY()),9,1), _xlpm.d, _xlpm.first-WEEKDAY(_xlpm.first,1)+1+(ROW()-6)*7, IF(OR(MONTH(_xlpm.d)=9, MONTH(_xlpm.d+6)=9), "Week "&amp;WEEKNUM(_xlpm.d), ""))</f>
        <v>Week 36</v>
      </c>
    </row>
    <row r="7" spans="1:8">
      <c r="A7" s="4" t="str" cm="1">
        <f t="array" aca="1" ref="A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6</v>
      </c>
      <c r="B7" s="3" t="str" cm="1">
        <f t="array" aca="1" ref="B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7</v>
      </c>
      <c r="C7" s="3" t="str" cm="1">
        <f t="array" aca="1" ref="C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8</v>
      </c>
      <c r="D7" s="3" t="str" cm="1">
        <f t="array" aca="1" ref="D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9</v>
      </c>
      <c r="E7" s="3" t="str" cm="1">
        <f t="array" aca="1" ref="E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10</v>
      </c>
      <c r="F7" s="3" t="str" cm="1">
        <f t="array" aca="1" ref="F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11</v>
      </c>
      <c r="G7" s="57" t="str" cm="1">
        <f t="array" aca="1" ref="G7"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12</v>
      </c>
      <c r="H7" s="59" t="str">
        <f t="shared" ca="1" si="0"/>
        <v>Week 37</v>
      </c>
    </row>
    <row r="8" spans="1:8">
      <c r="A8" s="4" t="str" cm="1">
        <f t="array" aca="1" ref="A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13</v>
      </c>
      <c r="B8" s="3" t="str" cm="1">
        <f t="array" aca="1" ref="B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14</v>
      </c>
      <c r="C8" s="3" t="str" cm="1">
        <f t="array" aca="1" ref="C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15</v>
      </c>
      <c r="D8" s="3" t="str" cm="1">
        <f t="array" aca="1" ref="D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16</v>
      </c>
      <c r="E8" s="3" t="str" cm="1">
        <f t="array" aca="1" ref="E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17</v>
      </c>
      <c r="F8" s="3" t="str" cm="1">
        <f t="array" aca="1" ref="F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18</v>
      </c>
      <c r="G8" s="57" t="str" cm="1">
        <f t="array" aca="1" ref="G8"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19</v>
      </c>
      <c r="H8" s="59" t="str">
        <f t="shared" ca="1" si="0"/>
        <v>Week 38</v>
      </c>
    </row>
    <row r="9" spans="1:8">
      <c r="A9" s="4" t="str" cm="1">
        <f t="array" aca="1" ref="A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20</v>
      </c>
      <c r="B9" s="3" t="str" cm="1">
        <f t="array" aca="1" ref="B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21</v>
      </c>
      <c r="C9" s="3" t="str" cm="1">
        <f t="array" aca="1" ref="C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22</v>
      </c>
      <c r="D9" s="3" t="str" cm="1">
        <f t="array" aca="1" ref="D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23</v>
      </c>
      <c r="E9" s="3" t="str" cm="1">
        <f t="array" aca="1" ref="E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24</v>
      </c>
      <c r="F9" s="3" t="str" cm="1">
        <f t="array" aca="1" ref="F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25</v>
      </c>
      <c r="G9" s="57" t="str" cm="1">
        <f t="array" aca="1" ref="G9"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26</v>
      </c>
      <c r="H9" s="59" t="str">
        <f t="shared" ca="1" si="0"/>
        <v>Week 39</v>
      </c>
    </row>
    <row r="10" spans="1:8">
      <c r="A10" s="4" t="str" cm="1">
        <f t="array" aca="1" ref="A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27</v>
      </c>
      <c r="B10" s="3" t="str" cm="1">
        <f t="array" aca="1" ref="B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28</v>
      </c>
      <c r="C10" s="3" t="str" cm="1">
        <f t="array" aca="1" ref="C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29</v>
      </c>
      <c r="D10" s="3" t="str" cm="1">
        <f t="array" aca="1" ref="D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30</v>
      </c>
      <c r="E10" s="3" t="str" cm="1">
        <f t="array" aca="1" ref="E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F10" s="3" t="str" cm="1">
        <f t="array" aca="1" ref="F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G10" s="57" t="str" cm="1">
        <f t="array" aca="1" ref="G10"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H10" s="59" t="str">
        <f t="shared" ca="1" si="0"/>
        <v>Week 40</v>
      </c>
    </row>
    <row r="11" spans="1:8">
      <c r="A11" s="4" t="str" cm="1">
        <f t="array" aca="1" ref="A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B11" s="3" t="str" cm="1">
        <f t="array" aca="1" ref="B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C11" s="3" t="str" cm="1">
        <f t="array" aca="1" ref="C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D11" s="3" t="str" cm="1">
        <f t="array" aca="1" ref="D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E11" s="3" t="str" cm="1">
        <f t="array" aca="1" ref="E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F11" s="3" t="str" cm="1">
        <f t="array" aca="1" ref="F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G11" s="57" t="str" cm="1">
        <f t="array" aca="1" ref="G11" ca="1">_xlfn.LET(_xlpm.first,DATE(YEAR(TODAY()),9,1),_xlpm.d,_xlpm.first-WEEKDAY(_xlpm.first,1)+1+(ROW()-6)*7+COLUMN()-1,_xlpm.items,_xlfn.TEXTJOIN(CHAR(10)&amp;"•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Date]),0)=_xlpm.d,"")),IF(MONTH(_xlpm.d)&lt;&gt;9,"",DAY(_xlpm.d)&amp;IF(_xlpm.items="","",CHAR(10)&amp;"•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14" priority="1" stopIfTrue="1">
      <formula>ISNUMBER(SEARCH(CHAR(10),A6))</formula>
    </cfRule>
    <cfRule type="expression" dxfId="13" priority="2" stopIfTrue="1">
      <formula>DATE(YEAR(TODAY()),9,1)-WEEKDAY(DATE(YEAR(TODAY()),9,1),1)+1+(ROW()-6)*7+COLUMN()-1=TODAY()</formula>
    </cfRule>
  </conditionalFormatting>
  <hyperlinks>
    <hyperlink ref="A3" location="'Dashboard'!A1" display="Dashboard" xr:uid="{C3B31BA6-5D5A-4E92-8C72-6BC2E8DBE639}"/>
    <hyperlink ref="B3" location="'Email Campaigns'!A1" display="Email" xr:uid="{2209DA87-20BC-4798-AD29-56C9F723CF42}"/>
    <hyperlink ref="C3" location="'SMS Campaigns'!A1" display="SMS" xr:uid="{270165F8-8510-4B55-95B9-B780ADBC51B7}"/>
    <hyperlink ref="F3" location="'August Calendar'!A1" display="&lt; August" xr:uid="{075126FD-6C9A-4413-9A31-8BEA9F45B513}"/>
    <hyperlink ref="G3" location="'October Calendar'!A1" display="October &gt;" xr:uid="{8EB11818-7987-472D-9568-41766692F8F6}"/>
  </hyperlinks>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CB7DC-639B-4A7F-A501-40807C0C147D}">
  <sheetPr codeName="Sheet14">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TEXT(DATE(YEAR(TODAY()),10,1),"mmmm yyyy")&amp;" Campaign Calendar"</f>
        <v>October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244</v>
      </c>
      <c r="G3" s="12" t="s">
        <v>245</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B6" s="3" t="str" cm="1">
        <f t="array" aca="1" ref="B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C6" s="3" t="str" cm="1">
        <f t="array" aca="1" ref="C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D6" s="3" t="str" cm="1">
        <f t="array" aca="1" ref="D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E6" s="3" t="str" cm="1">
        <f t="array" aca="1" ref="E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v>
      </c>
      <c r="F6" s="3" t="str" cm="1">
        <f t="array" aca="1" ref="F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v>
      </c>
      <c r="G6" s="57" t="str" cm="1">
        <f t="array" aca="1" ref="G6"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3</v>
      </c>
      <c r="H6" s="59" t="str">
        <f t="shared" ref="H6:H11" ca="1" si="0">_xlfn.LET(_xlpm.first,DATE(YEAR(TODAY()),10,1), _xlpm.d, _xlpm.first-WEEKDAY(_xlpm.first,1)+1+(ROW()-6)*7, IF(OR(MONTH(_xlpm.d)=10, MONTH(_xlpm.d+6)=10), "Week "&amp;WEEKNUM(_xlpm.d), ""))</f>
        <v>Week 40</v>
      </c>
    </row>
    <row r="7" spans="1:8">
      <c r="A7" s="4" t="str" cm="1">
        <f t="array" aca="1" ref="A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4</v>
      </c>
      <c r="B7" s="3" t="str" cm="1">
        <f t="array" aca="1" ref="B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5</v>
      </c>
      <c r="C7" s="3" t="str" cm="1">
        <f t="array" aca="1" ref="C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6</v>
      </c>
      <c r="D7" s="3" t="str" cm="1">
        <f t="array" aca="1" ref="D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7</v>
      </c>
      <c r="E7" s="3" t="str" cm="1">
        <f t="array" aca="1" ref="E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8</v>
      </c>
      <c r="F7" s="3" t="str" cm="1">
        <f t="array" aca="1" ref="F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9</v>
      </c>
      <c r="G7" s="57" t="str" cm="1">
        <f t="array" aca="1" ref="G7"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10</v>
      </c>
      <c r="H7" s="59" t="str">
        <f t="shared" ca="1" si="0"/>
        <v>Week 41</v>
      </c>
    </row>
    <row r="8" spans="1:8">
      <c r="A8" s="4" t="str" cm="1">
        <f t="array" aca="1" ref="A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11</v>
      </c>
      <c r="B8" s="3" t="str" cm="1">
        <f t="array" aca="1" ref="B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12</v>
      </c>
      <c r="C8" s="3" t="str" cm="1">
        <f t="array" aca="1" ref="C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13</v>
      </c>
      <c r="D8" s="3" t="str" cm="1">
        <f t="array" aca="1" ref="D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14</v>
      </c>
      <c r="E8" s="3" t="str" cm="1">
        <f t="array" aca="1" ref="E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15</v>
      </c>
      <c r="F8" s="3" t="str" cm="1">
        <f t="array" aca="1" ref="F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16</v>
      </c>
      <c r="G8" s="57" t="str" cm="1">
        <f t="array" aca="1" ref="G8"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17</v>
      </c>
      <c r="H8" s="59" t="str">
        <f t="shared" ca="1" si="0"/>
        <v>Week 42</v>
      </c>
    </row>
    <row r="9" spans="1:8">
      <c r="A9" s="4" t="str" cm="1">
        <f t="array" aca="1" ref="A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18</v>
      </c>
      <c r="B9" s="3" t="str" cm="1">
        <f t="array" aca="1" ref="B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19</v>
      </c>
      <c r="C9" s="3" t="str" cm="1">
        <f t="array" aca="1" ref="C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20</v>
      </c>
      <c r="D9" s="3" t="str" cm="1">
        <f t="array" aca="1" ref="D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21</v>
      </c>
      <c r="E9" s="3" t="str" cm="1">
        <f t="array" aca="1" ref="E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22</v>
      </c>
      <c r="F9" s="3" t="str" cm="1">
        <f t="array" aca="1" ref="F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23</v>
      </c>
      <c r="G9" s="57" t="str" cm="1">
        <f t="array" aca="1" ref="G9"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24</v>
      </c>
      <c r="H9" s="59" t="str">
        <f t="shared" ca="1" si="0"/>
        <v>Week 43</v>
      </c>
    </row>
    <row r="10" spans="1:8">
      <c r="A10" s="4" t="str" cm="1">
        <f t="array" aca="1" ref="A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25</v>
      </c>
      <c r="B10" s="3" t="str" cm="1">
        <f t="array" aca="1" ref="B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26</v>
      </c>
      <c r="C10" s="3" t="str" cm="1">
        <f t="array" aca="1" ref="C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27</v>
      </c>
      <c r="D10" s="3" t="str" cm="1">
        <f t="array" aca="1" ref="D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28</v>
      </c>
      <c r="E10" s="3" t="str" cm="1">
        <f t="array" aca="1" ref="E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29</v>
      </c>
      <c r="F10" s="3" t="str" cm="1">
        <f t="array" aca="1" ref="F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30</v>
      </c>
      <c r="G10" s="57" t="str" cm="1">
        <f t="array" aca="1" ref="G10"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31</v>
      </c>
      <c r="H10" s="59" t="str">
        <f t="shared" ca="1" si="0"/>
        <v>Week 44</v>
      </c>
    </row>
    <row r="11" spans="1:8">
      <c r="A11" s="4" t="str" cm="1">
        <f t="array" aca="1" ref="A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B11" s="3" t="str" cm="1">
        <f t="array" aca="1" ref="B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C11" s="3" t="str" cm="1">
        <f t="array" aca="1" ref="C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D11" s="3" t="str" cm="1">
        <f t="array" aca="1" ref="D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E11" s="3" t="str" cm="1">
        <f t="array" aca="1" ref="E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F11" s="3" t="str" cm="1">
        <f t="array" aca="1" ref="F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G11" s="57" t="str" cm="1">
        <f t="array" aca="1" ref="G11" ca="1">_xlfn.LET(_xlpm.first,DATE(YEAR(TODAY()),10,1),_xlpm.d,_xlpm.first-WEEKDAY(_xlpm.first,1)+1+(ROW()-6)*7+COLUMN()-1,_xlpm.items,_xlfn.TEXTJOIN(CHAR(10)&amp;"•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Date]),0)=_xlpm.d,"")),IF(MONTH(_xlpm.d)&lt;&gt;10,"",DAY(_xlpm.d)&amp;IF(_xlpm.items="","",CHAR(10)&amp;"•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12" priority="1" stopIfTrue="1">
      <formula>ISNUMBER(SEARCH(CHAR(10),A6))</formula>
    </cfRule>
    <cfRule type="expression" dxfId="11" priority="2" stopIfTrue="1">
      <formula>DATE(YEAR(TODAY()),10,1)-WEEKDAY(DATE(YEAR(TODAY()),10,1),1)+1+(ROW()-6)*7+COLUMN()-1=TODAY()</formula>
    </cfRule>
  </conditionalFormatting>
  <hyperlinks>
    <hyperlink ref="A3" location="'Dashboard'!A1" display="Dashboard" xr:uid="{AA2CAA58-E47A-4B65-AB35-898F1E0742F1}"/>
    <hyperlink ref="B3" location="'Email Campaigns'!A1" display="Email" xr:uid="{379274FF-12BA-47F1-9B7A-A6C0D4BD7E1A}"/>
    <hyperlink ref="C3" location="'SMS Campaigns'!A1" display="SMS" xr:uid="{2B38C919-D9EB-405C-AF0E-450FB139C7F4}"/>
    <hyperlink ref="F3" location="'September Calendar'!A1" display="&lt; September" xr:uid="{A7D122D1-8B8B-448B-AB0D-3329EBAEE144}"/>
    <hyperlink ref="G3" location="'November Calendar'!A1" display="November &gt;" xr:uid="{CAE53739-0E51-499C-BFB4-23C0167F705D}"/>
  </hyperlinks>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B10-039C-4DCC-AB08-ED84464B94CB}">
  <sheetPr codeName="Sheet15">
    <tabColor rgb="FF5B9BD5"/>
  </sheetPr>
  <dimension ref="A1:H12"/>
  <sheetViews>
    <sheetView showGridLines="0" zoomScale="90" zoomScaleNormal="90" workbookViewId="0">
      <selection activeCell="A6" sqref="A6"/>
    </sheetView>
  </sheetViews>
  <sheetFormatPr defaultRowHeight="15"/>
  <cols>
    <col min="1" max="7" width="22.625" style="1" customWidth="1"/>
    <col min="8" max="8" width="12.625" style="1" customWidth="1"/>
    <col min="9" max="16384" width="9" style="1"/>
  </cols>
  <sheetData>
    <row r="1" spans="1:8" ht="24">
      <c r="A1" s="70" t="str">
        <f ca="1">TEXT(DATE(YEAR(TODAY()),11,1),"mmmm yyyy")&amp;" Campaign Calendar"</f>
        <v>November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246</v>
      </c>
      <c r="G3" s="12" t="s">
        <v>247</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v>
      </c>
      <c r="B6" s="3" t="str" cm="1">
        <f t="array" aca="1" ref="B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v>
      </c>
      <c r="C6" s="3" t="str" cm="1">
        <f t="array" aca="1" ref="C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3</v>
      </c>
      <c r="D6" s="3" t="str" cm="1">
        <f t="array" aca="1" ref="D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4</v>
      </c>
      <c r="E6" s="3" t="str" cm="1">
        <f t="array" aca="1" ref="E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5</v>
      </c>
      <c r="F6" s="3" t="str" cm="1">
        <f t="array" aca="1" ref="F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6</v>
      </c>
      <c r="G6" s="57" t="str" cm="1">
        <f t="array" aca="1" ref="G6"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7</v>
      </c>
      <c r="H6" s="59" t="str">
        <f t="shared" ref="H6:H11" ca="1" si="0">_xlfn.LET(_xlpm.first,DATE(YEAR(TODAY()),11,1), _xlpm.d, _xlpm.first-WEEKDAY(_xlpm.first,1)+1+(ROW()-6)*7, IF(OR(MONTH(_xlpm.d)=11, MONTH(_xlpm.d+6)=11), "Week "&amp;WEEKNUM(_xlpm.d), ""))</f>
        <v>Week 45</v>
      </c>
    </row>
    <row r="7" spans="1:8">
      <c r="A7" s="4" t="str" cm="1">
        <f t="array" aca="1" ref="A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8</v>
      </c>
      <c r="B7" s="3" t="str" cm="1">
        <f t="array" aca="1" ref="B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9</v>
      </c>
      <c r="C7" s="3" t="str" cm="1">
        <f t="array" aca="1" ref="C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10</v>
      </c>
      <c r="D7" s="3" t="str" cm="1">
        <f t="array" aca="1" ref="D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11</v>
      </c>
      <c r="E7" s="3" t="str" cm="1">
        <f t="array" aca="1" ref="E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12</v>
      </c>
      <c r="F7" s="3" t="str" cm="1">
        <f t="array" aca="1" ref="F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13</v>
      </c>
      <c r="G7" s="57" t="str" cm="1">
        <f t="array" aca="1" ref="G7"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14</v>
      </c>
      <c r="H7" s="59" t="str">
        <f t="shared" ca="1" si="0"/>
        <v>Week 46</v>
      </c>
    </row>
    <row r="8" spans="1:8">
      <c r="A8" s="4" t="str" cm="1">
        <f t="array" aca="1" ref="A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15</v>
      </c>
      <c r="B8" s="3" t="str" cm="1">
        <f t="array" aca="1" ref="B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16</v>
      </c>
      <c r="C8" s="3" t="str" cm="1">
        <f t="array" aca="1" ref="C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17</v>
      </c>
      <c r="D8" s="3" t="str" cm="1">
        <f t="array" aca="1" ref="D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18</v>
      </c>
      <c r="E8" s="3" t="str" cm="1">
        <f t="array" aca="1" ref="E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19</v>
      </c>
      <c r="F8" s="3" t="str" cm="1">
        <f t="array" aca="1" ref="F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20</v>
      </c>
      <c r="G8" s="57" t="str" cm="1">
        <f t="array" aca="1" ref="G8"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21</v>
      </c>
      <c r="H8" s="59" t="str">
        <f t="shared" ca="1" si="0"/>
        <v>Week 47</v>
      </c>
    </row>
    <row r="9" spans="1:8">
      <c r="A9" s="4" t="str" cm="1">
        <f t="array" aca="1" ref="A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22</v>
      </c>
      <c r="B9" s="3" t="str" cm="1">
        <f t="array" aca="1" ref="B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23</v>
      </c>
      <c r="C9" s="3" t="str" cm="1">
        <f t="array" aca="1" ref="C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24</v>
      </c>
      <c r="D9" s="3" t="str" cm="1">
        <f t="array" aca="1" ref="D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25</v>
      </c>
      <c r="E9" s="3" t="str" cm="1">
        <f t="array" aca="1" ref="E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26</v>
      </c>
      <c r="F9" s="3" t="str" cm="1">
        <f t="array" aca="1" ref="F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27</v>
      </c>
      <c r="G9" s="57" t="str" cm="1">
        <f t="array" aca="1" ref="G9"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28</v>
      </c>
      <c r="H9" s="59" t="str">
        <f t="shared" ca="1" si="0"/>
        <v>Week 48</v>
      </c>
    </row>
    <row r="10" spans="1:8">
      <c r="A10" s="4" t="str" cm="1">
        <f t="array" aca="1" ref="A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29</v>
      </c>
      <c r="B10" s="3" t="str" cm="1">
        <f t="array" aca="1" ref="B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30</v>
      </c>
      <c r="C10" s="3" t="str" cm="1">
        <f t="array" aca="1" ref="C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D10" s="3" t="str" cm="1">
        <f t="array" aca="1" ref="D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E10" s="3" t="str" cm="1">
        <f t="array" aca="1" ref="E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F10" s="3" t="str" cm="1">
        <f t="array" aca="1" ref="F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G10" s="57" t="str" cm="1">
        <f t="array" aca="1" ref="G10"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H10" s="59" t="str">
        <f t="shared" ca="1" si="0"/>
        <v>Week 49</v>
      </c>
    </row>
    <row r="11" spans="1:8">
      <c r="A11" s="4" t="str" cm="1">
        <f t="array" aca="1" ref="A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B11" s="3" t="str" cm="1">
        <f t="array" aca="1" ref="B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C11" s="3" t="str" cm="1">
        <f t="array" aca="1" ref="C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D11" s="3" t="str" cm="1">
        <f t="array" aca="1" ref="D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E11" s="3" t="str" cm="1">
        <f t="array" aca="1" ref="E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F11" s="3" t="str" cm="1">
        <f t="array" aca="1" ref="F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G11" s="57" t="str" cm="1">
        <f t="array" aca="1" ref="G11" ca="1">_xlfn.LET(_xlpm.first,DATE(YEAR(TODAY()),11,1),_xlpm.d,_xlpm.first-WEEKDAY(_xlpm.first,1)+1+(ROW()-6)*7+COLUMN()-1,_xlpm.items,_xlfn.TEXTJOIN(CHAR(10)&amp;"•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Date]),0)=_xlpm.d,"")),IF(MONTH(_xlpm.d)&lt;&gt;11,"",DAY(_xlpm.d)&amp;IF(_xlpm.items="","",CHAR(10)&amp;"•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10" priority="1" stopIfTrue="1">
      <formula>ISNUMBER(SEARCH(CHAR(10),A6))</formula>
    </cfRule>
    <cfRule type="expression" dxfId="9" priority="2" stopIfTrue="1">
      <formula>DATE(YEAR(TODAY()),11,1)-WEEKDAY(DATE(YEAR(TODAY()),11,1),1)+1+(ROW()-6)*7+COLUMN()-1=TODAY()</formula>
    </cfRule>
  </conditionalFormatting>
  <hyperlinks>
    <hyperlink ref="A3" location="'Dashboard'!A1" display="Dashboard" xr:uid="{6BCDE6F5-DA6E-4FBA-93EB-51821B647B39}"/>
    <hyperlink ref="B3" location="'Email Campaigns'!A1" display="Email" xr:uid="{4231421F-F2A3-4727-960C-2ACBA4EC7097}"/>
    <hyperlink ref="C3" location="'SMS Campaigns'!A1" display="SMS" xr:uid="{88611A7F-F537-420F-9079-EEB11B450041}"/>
    <hyperlink ref="F3" location="'October Calendar'!A1" display="&lt; October" xr:uid="{FCDB1D7C-433F-4253-BC33-03438C75F875}"/>
    <hyperlink ref="G3" location="'December Calendar'!A1" display="December &gt;" xr:uid="{4B2C009F-3460-40F1-A250-352F38117AC6}"/>
  </hyperlinks>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246F-5509-413D-8AAE-6592F0AE6FDC}">
  <sheetPr codeName="Sheet16">
    <tabColor rgb="FF5B9BD5"/>
  </sheetPr>
  <dimension ref="A1:H12"/>
  <sheetViews>
    <sheetView showGridLines="0" zoomScale="90" zoomScaleNormal="90" workbookViewId="0">
      <selection sqref="A1:G1"/>
    </sheetView>
  </sheetViews>
  <sheetFormatPr defaultRowHeight="15"/>
  <cols>
    <col min="1" max="7" width="22.625" style="1" customWidth="1"/>
    <col min="8" max="8" width="12.625" style="1" customWidth="1"/>
    <col min="9" max="16384" width="9" style="1"/>
  </cols>
  <sheetData>
    <row r="1" spans="1:8" ht="24">
      <c r="A1" s="70" t="str">
        <f ca="1">TEXT(DATE(YEAR(TODAY()),12,1),"mmmm yyyy")&amp;" Campaign Calendar"</f>
        <v>December 2026 Campaign Calendar</v>
      </c>
      <c r="B1" s="70"/>
      <c r="C1" s="70"/>
      <c r="D1" s="70"/>
      <c r="E1" s="70"/>
      <c r="F1" s="70"/>
      <c r="G1" s="70"/>
    </row>
    <row r="2" spans="1:8">
      <c r="A2" s="71" t="s">
        <v>212</v>
      </c>
      <c r="B2" s="71"/>
      <c r="C2" s="71"/>
      <c r="D2" s="71"/>
      <c r="E2" s="71"/>
      <c r="F2" s="71"/>
      <c r="G2" s="71"/>
    </row>
    <row r="3" spans="1:8">
      <c r="A3" s="12" t="s">
        <v>213</v>
      </c>
      <c r="B3" s="12" t="s">
        <v>214</v>
      </c>
      <c r="C3" s="12" t="s">
        <v>215</v>
      </c>
      <c r="D3" s="74" t="str">
        <f ca="1">"Today: "&amp;TEXT(TODAY(),"MM/DD/YYYY")</f>
        <v>Today: 06/08/2026</v>
      </c>
      <c r="E3" s="74"/>
      <c r="F3" s="12" t="s">
        <v>248</v>
      </c>
      <c r="G3" s="12" t="s">
        <v>249</v>
      </c>
    </row>
    <row r="4" spans="1:8">
      <c r="A4" s="72" t="s">
        <v>218</v>
      </c>
      <c r="B4" s="72"/>
      <c r="C4" s="72"/>
      <c r="D4" s="72"/>
      <c r="E4" s="72"/>
      <c r="F4" s="72"/>
      <c r="G4" s="72"/>
    </row>
    <row r="5" spans="1:8">
      <c r="A5" s="13" t="s">
        <v>219</v>
      </c>
      <c r="B5" s="13" t="s">
        <v>220</v>
      </c>
      <c r="C5" s="13" t="s">
        <v>221</v>
      </c>
      <c r="D5" s="13" t="s">
        <v>222</v>
      </c>
      <c r="E5" s="13" t="s">
        <v>223</v>
      </c>
      <c r="F5" s="13" t="s">
        <v>224</v>
      </c>
      <c r="G5" s="13" t="s">
        <v>225</v>
      </c>
      <c r="H5" s="56" t="s">
        <v>226</v>
      </c>
    </row>
    <row r="6" spans="1:8">
      <c r="A6" s="4" t="str" cm="1">
        <f t="array" aca="1" ref="A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B6" s="3" t="str" cm="1">
        <f t="array" aca="1" ref="B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C6" s="3" t="str" cm="1">
        <f t="array" aca="1" ref="C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v>
      </c>
      <c r="D6" s="3" t="str" cm="1">
        <f t="array" aca="1" ref="D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v>
      </c>
      <c r="E6" s="3" t="str" cm="1">
        <f t="array" aca="1" ref="E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3</v>
      </c>
      <c r="F6" s="3" t="str" cm="1">
        <f t="array" aca="1" ref="F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4</v>
      </c>
      <c r="G6" s="57" t="str" cm="1">
        <f t="array" aca="1" ref="G6"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5</v>
      </c>
      <c r="H6" s="59" t="str">
        <f t="shared" ref="H6:H11" ca="1" si="0">_xlfn.LET(_xlpm.first,DATE(YEAR(TODAY()),12,1), _xlpm.d, _xlpm.first-WEEKDAY(_xlpm.first,1)+1+(ROW()-6)*7, IF(OR(MONTH(_xlpm.d)=12, MONTH(_xlpm.d+6)=12), "Week "&amp;WEEKNUM(_xlpm.d), ""))</f>
        <v>Week 49</v>
      </c>
    </row>
    <row r="7" spans="1:8">
      <c r="A7" s="4" t="str" cm="1">
        <f t="array" aca="1" ref="A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6</v>
      </c>
      <c r="B7" s="3" t="str" cm="1">
        <f t="array" aca="1" ref="B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7</v>
      </c>
      <c r="C7" s="3" t="str" cm="1">
        <f t="array" aca="1" ref="C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8</v>
      </c>
      <c r="D7" s="3" t="str" cm="1">
        <f t="array" aca="1" ref="D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9</v>
      </c>
      <c r="E7" s="3" t="str" cm="1">
        <f t="array" aca="1" ref="E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10</v>
      </c>
      <c r="F7" s="3" t="str" cm="1">
        <f t="array" aca="1" ref="F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11</v>
      </c>
      <c r="G7" s="57" t="str" cm="1">
        <f t="array" aca="1" ref="G7"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12</v>
      </c>
      <c r="H7" s="59" t="str">
        <f t="shared" ca="1" si="0"/>
        <v>Week 50</v>
      </c>
    </row>
    <row r="8" spans="1:8">
      <c r="A8" s="4" t="str" cm="1">
        <f t="array" aca="1" ref="A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13</v>
      </c>
      <c r="B8" s="3" t="str" cm="1">
        <f t="array" aca="1" ref="B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14</v>
      </c>
      <c r="C8" s="3" t="str" cm="1">
        <f t="array" aca="1" ref="C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15</v>
      </c>
      <c r="D8" s="3" t="str" cm="1">
        <f t="array" aca="1" ref="D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16</v>
      </c>
      <c r="E8" s="3" t="str" cm="1">
        <f t="array" aca="1" ref="E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17</v>
      </c>
      <c r="F8" s="3" t="str" cm="1">
        <f t="array" aca="1" ref="F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18</v>
      </c>
      <c r="G8" s="57" t="str" cm="1">
        <f t="array" aca="1" ref="G8"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19</v>
      </c>
      <c r="H8" s="59" t="str">
        <f t="shared" ca="1" si="0"/>
        <v>Week 51</v>
      </c>
    </row>
    <row r="9" spans="1:8">
      <c r="A9" s="4" t="str" cm="1">
        <f t="array" aca="1" ref="A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20</v>
      </c>
      <c r="B9" s="3" t="str" cm="1">
        <f t="array" aca="1" ref="B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21</v>
      </c>
      <c r="C9" s="3" t="str" cm="1">
        <f t="array" aca="1" ref="C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22</v>
      </c>
      <c r="D9" s="3" t="str" cm="1">
        <f t="array" aca="1" ref="D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23</v>
      </c>
      <c r="E9" s="3" t="str" cm="1">
        <f t="array" aca="1" ref="E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24</v>
      </c>
      <c r="F9" s="3" t="str" cm="1">
        <f t="array" aca="1" ref="F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25</v>
      </c>
      <c r="G9" s="57" t="str" cm="1">
        <f t="array" aca="1" ref="G9"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26</v>
      </c>
      <c r="H9" s="59" t="str">
        <f t="shared" ca="1" si="0"/>
        <v>Week 52</v>
      </c>
    </row>
    <row r="10" spans="1:8">
      <c r="A10" s="4" t="str" cm="1">
        <f t="array" aca="1" ref="A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27</v>
      </c>
      <c r="B10" s="3" t="str" cm="1">
        <f t="array" aca="1" ref="B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28</v>
      </c>
      <c r="C10" s="3" t="str" cm="1">
        <f t="array" aca="1" ref="C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29</v>
      </c>
      <c r="D10" s="3" t="str" cm="1">
        <f t="array" aca="1" ref="D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30</v>
      </c>
      <c r="E10" s="3" t="str" cm="1">
        <f t="array" aca="1" ref="E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31</v>
      </c>
      <c r="F10" s="3" t="str" cm="1">
        <f t="array" aca="1" ref="F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G10" s="57" t="str" cm="1">
        <f t="array" aca="1" ref="G10"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H10" s="59" t="str">
        <f t="shared" ca="1" si="0"/>
        <v>Week 53</v>
      </c>
    </row>
    <row r="11" spans="1:8">
      <c r="A11" s="4" t="str" cm="1">
        <f t="array" aca="1" ref="A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B11" s="3" t="str" cm="1">
        <f t="array" aca="1" ref="B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C11" s="3" t="str" cm="1">
        <f t="array" aca="1" ref="C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D11" s="3" t="str" cm="1">
        <f t="array" aca="1" ref="D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E11" s="3" t="str" cm="1">
        <f t="array" aca="1" ref="E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F11" s="3" t="str" cm="1">
        <f t="array" aca="1" ref="F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G11" s="57" t="str" cm="1">
        <f t="array" aca="1" ref="G11" ca="1">_xlfn.LET(_xlpm.first,DATE(YEAR(TODAY()),12,1),_xlpm.d,_xlpm.first-WEEKDAY(_xlpm.first,1)+1+(ROW()-6)*7+COLUMN()-1,_xlpm.items,_xlfn.TEXTJOIN(CHAR(10)&amp;"• ",TRUE,_xlfn._xlws.FILTER("Email | "&amp;EmailCampaignsTable[Campaign Name],IFERROR(INT(EmailCampaignsTable[Send Date]),0)=_xlpm.d,""),_xlfn._xlws.FILTER("SMS | "&amp;SMSCampaignsTable[Campaign Name],IFERROR(INT(SMSCampaignsTable[Send Date]),0)=_xlpm.d,"")),IF(MONTH(_xlpm.d)&lt;&gt;12,"",DAY(_xlpm.d)&amp;IF(_xlpm.items="","",CHAR(10)&amp;"• "&amp;_xlpm.items)))</f>
        <v/>
      </c>
      <c r="H11" s="58" t="str">
        <f t="shared" ca="1" si="0"/>
        <v/>
      </c>
    </row>
    <row r="12" spans="1:8">
      <c r="A12" s="73" t="s">
        <v>227</v>
      </c>
      <c r="B12" s="73"/>
      <c r="C12" s="73"/>
      <c r="D12" s="73"/>
      <c r="E12" s="73"/>
      <c r="F12" s="73"/>
      <c r="G12" s="73"/>
    </row>
  </sheetData>
  <mergeCells count="5">
    <mergeCell ref="A1:G1"/>
    <mergeCell ref="A2:G2"/>
    <mergeCell ref="A4:G4"/>
    <mergeCell ref="A12:G12"/>
    <mergeCell ref="D3:E3"/>
  </mergeCells>
  <conditionalFormatting sqref="A6:G11">
    <cfRule type="expression" dxfId="8" priority="1" stopIfTrue="1">
      <formula>ISNUMBER(SEARCH(CHAR(10),A6))</formula>
    </cfRule>
    <cfRule type="expression" dxfId="7" priority="2" stopIfTrue="1">
      <formula>DATE(YEAR(TODAY()),12,1)-WEEKDAY(DATE(YEAR(TODAY()),12,1),1)+1+(ROW()-6)*7+COLUMN()-1=TODAY()</formula>
    </cfRule>
  </conditionalFormatting>
  <hyperlinks>
    <hyperlink ref="A3" location="'Dashboard'!A1" display="Dashboard" xr:uid="{B8595E13-162F-4D55-8185-F1A7B21818B2}"/>
    <hyperlink ref="B3" location="'Email Campaigns'!A1" display="Email" xr:uid="{615B0D25-966E-4E3F-B263-A2F550FD7A63}"/>
    <hyperlink ref="C3" location="'SMS Campaigns'!A1" display="SMS" xr:uid="{E02E73F6-CBBD-40E6-8127-A270B7A2392F}"/>
    <hyperlink ref="F3" location="'November Calendar'!A1" display="&lt; November" xr:uid="{D86CBFB0-F43B-4795-984E-132522CC40C8}"/>
    <hyperlink ref="G3" location="'January Calendar'!A1" display="January &gt;" xr:uid="{21319C4C-89EC-41E9-8BC5-6228B58E55CB}"/>
  </hyperlinks>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6" t="s">
        <v>122</v>
      </c>
      <c r="B1" s="16" t="s">
        <v>123</v>
      </c>
      <c r="C1" s="16" t="s">
        <v>250</v>
      </c>
      <c r="D1" s="16" t="s">
        <v>251</v>
      </c>
      <c r="E1" s="16" t="s">
        <v>252</v>
      </c>
    </row>
    <row r="2" spans="1:5">
      <c r="A2" s="14" t="s">
        <v>140</v>
      </c>
      <c r="B2" s="14" t="s">
        <v>253</v>
      </c>
      <c r="C2" s="14" t="s">
        <v>38</v>
      </c>
      <c r="D2" s="14" t="s">
        <v>254</v>
      </c>
      <c r="E2" s="14" t="s">
        <v>255</v>
      </c>
    </row>
    <row r="3" spans="1:5">
      <c r="A3" s="14" t="s">
        <v>160</v>
      </c>
      <c r="B3" s="14" t="s">
        <v>256</v>
      </c>
      <c r="C3" s="14" t="s">
        <v>253</v>
      </c>
      <c r="D3" s="14" t="s">
        <v>257</v>
      </c>
      <c r="E3" s="14" t="s">
        <v>258</v>
      </c>
    </row>
    <row r="4" spans="1:5">
      <c r="A4" s="14" t="s">
        <v>147</v>
      </c>
      <c r="B4" s="14" t="s">
        <v>259</v>
      </c>
      <c r="C4" s="14" t="s">
        <v>260</v>
      </c>
      <c r="D4" s="14" t="s">
        <v>261</v>
      </c>
      <c r="E4" s="14" t="s">
        <v>262</v>
      </c>
    </row>
    <row r="5" spans="1:5">
      <c r="A5" s="14" t="s">
        <v>183</v>
      </c>
      <c r="B5" s="14" t="s">
        <v>263</v>
      </c>
      <c r="C5" s="14" t="s">
        <v>264</v>
      </c>
      <c r="D5" s="14" t="s">
        <v>265</v>
      </c>
      <c r="E5" s="14" t="s">
        <v>266</v>
      </c>
    </row>
    <row r="6" spans="1:5">
      <c r="A6" s="14" t="s">
        <v>188</v>
      </c>
      <c r="B6" s="14" t="s">
        <v>267</v>
      </c>
      <c r="C6" s="14" t="s">
        <v>268</v>
      </c>
      <c r="D6" s="14" t="s">
        <v>269</v>
      </c>
      <c r="E6" s="14" t="s">
        <v>270</v>
      </c>
    </row>
    <row r="7" spans="1:5">
      <c r="A7" s="14" t="s">
        <v>271</v>
      </c>
      <c r="B7" s="14" t="s">
        <v>272</v>
      </c>
      <c r="C7" s="14" t="s">
        <v>273</v>
      </c>
      <c r="D7" s="14" t="s">
        <v>274</v>
      </c>
      <c r="E7" s="14" t="s">
        <v>275</v>
      </c>
    </row>
    <row r="8" spans="1:5">
      <c r="A8" s="14" t="s">
        <v>276</v>
      </c>
      <c r="B8" s="14" t="s">
        <v>277</v>
      </c>
      <c r="C8" s="14" t="s">
        <v>278</v>
      </c>
      <c r="D8" s="14" t="s">
        <v>279</v>
      </c>
      <c r="E8" s="14" t="s">
        <v>280</v>
      </c>
    </row>
    <row r="9" spans="1:5">
      <c r="A9" s="14"/>
      <c r="B9" s="14" t="s">
        <v>281</v>
      </c>
      <c r="C9" s="14" t="s">
        <v>274</v>
      </c>
      <c r="D9" s="14"/>
      <c r="E9" s="14"/>
    </row>
    <row r="10" spans="1:5">
      <c r="A10" s="14"/>
      <c r="B10" s="14" t="s">
        <v>282</v>
      </c>
      <c r="C10" s="14" t="s">
        <v>283</v>
      </c>
      <c r="D10" s="14"/>
      <c r="E10" s="14"/>
    </row>
    <row r="11" spans="1:5">
      <c r="A11" s="14"/>
      <c r="B11" s="14" t="s">
        <v>284</v>
      </c>
      <c r="C11" s="14" t="s">
        <v>285</v>
      </c>
      <c r="D11" s="14"/>
      <c r="E11" s="14"/>
    </row>
    <row r="12" spans="1:5">
      <c r="A12" s="14"/>
      <c r="B12" s="14" t="s">
        <v>286</v>
      </c>
      <c r="C12" s="14" t="s">
        <v>287</v>
      </c>
      <c r="D12" s="14"/>
      <c r="E12" s="14"/>
    </row>
    <row r="13" spans="1:5">
      <c r="A13" s="14"/>
      <c r="B13" s="14" t="s">
        <v>288</v>
      </c>
      <c r="C13" s="14" t="s">
        <v>289</v>
      </c>
      <c r="D13" s="14"/>
      <c r="E13" s="14"/>
    </row>
    <row r="14" spans="1:5">
      <c r="A14" s="14"/>
      <c r="B14" s="14" t="s">
        <v>74</v>
      </c>
      <c r="C14" s="14" t="s">
        <v>74</v>
      </c>
      <c r="D14" s="14"/>
      <c r="E14" s="14"/>
    </row>
    <row r="15" spans="1:5">
      <c r="A15" s="14"/>
      <c r="B15" s="14" t="s">
        <v>269</v>
      </c>
      <c r="C15" s="14" t="s">
        <v>288</v>
      </c>
      <c r="D15" s="14"/>
      <c r="E15" s="14"/>
    </row>
    <row r="16" spans="1:5">
      <c r="A16" s="14"/>
      <c r="B16" s="14" t="s">
        <v>169</v>
      </c>
      <c r="C16" s="14" t="s">
        <v>269</v>
      </c>
      <c r="D16" s="14"/>
      <c r="E16" s="14"/>
    </row>
    <row r="17" spans="1:5">
      <c r="A17" s="14"/>
      <c r="B17" s="14"/>
      <c r="C17" s="14" t="s">
        <v>169</v>
      </c>
      <c r="D17" s="14"/>
      <c r="E17" s="1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51"/>
  <sheetViews>
    <sheetView workbookViewId="0"/>
  </sheetViews>
  <sheetFormatPr defaultRowHeight="14.25"/>
  <cols>
    <col min="1" max="4" width="28" customWidth="1"/>
  </cols>
  <sheetData>
    <row r="1" spans="1:4" ht="15">
      <c r="A1" s="16" t="s">
        <v>290</v>
      </c>
      <c r="B1" s="16" t="s">
        <v>291</v>
      </c>
      <c r="C1" s="16" t="s">
        <v>292</v>
      </c>
      <c r="D1" s="16" t="s">
        <v>293</v>
      </c>
    </row>
    <row r="2" spans="1:4">
      <c r="A2" s="15"/>
      <c r="B2" s="14"/>
      <c r="C2" s="14"/>
      <c r="D2" s="14"/>
    </row>
    <row r="3" spans="1:4">
      <c r="A3" s="15"/>
      <c r="B3" s="14"/>
      <c r="C3" s="14"/>
      <c r="D3" s="14"/>
    </row>
    <row r="4" spans="1:4">
      <c r="A4" s="15"/>
      <c r="B4" s="14"/>
      <c r="C4" s="14"/>
      <c r="D4" s="14"/>
    </row>
    <row r="5" spans="1:4">
      <c r="A5" s="15"/>
      <c r="B5" s="14"/>
      <c r="C5" s="14"/>
      <c r="D5" s="14"/>
    </row>
    <row r="6" spans="1:4">
      <c r="A6" s="15"/>
      <c r="B6" s="14"/>
      <c r="C6" s="14"/>
      <c r="D6" s="14"/>
    </row>
    <row r="7" spans="1:4">
      <c r="A7" s="15"/>
      <c r="B7" s="14"/>
      <c r="C7" s="14"/>
      <c r="D7" s="14"/>
    </row>
    <row r="8" spans="1:4">
      <c r="A8" s="15"/>
      <c r="B8" s="14"/>
      <c r="C8" s="14"/>
      <c r="D8" s="14"/>
    </row>
    <row r="9" spans="1:4">
      <c r="A9" s="15"/>
      <c r="B9" s="14"/>
      <c r="C9" s="14"/>
      <c r="D9" s="14"/>
    </row>
    <row r="10" spans="1:4">
      <c r="A10" s="15"/>
      <c r="B10" s="14"/>
      <c r="C10" s="14"/>
      <c r="D10" s="14"/>
    </row>
    <row r="11" spans="1:4">
      <c r="A11" s="15"/>
      <c r="B11" s="14"/>
      <c r="C11" s="14"/>
      <c r="D11" s="14"/>
    </row>
    <row r="12" spans="1:4">
      <c r="A12" s="15"/>
      <c r="B12" s="14"/>
      <c r="C12" s="14"/>
      <c r="D12" s="14"/>
    </row>
    <row r="13" spans="1:4">
      <c r="A13" s="15"/>
      <c r="B13" s="14"/>
      <c r="C13" s="14"/>
      <c r="D13" s="14"/>
    </row>
    <row r="14" spans="1:4">
      <c r="A14" s="15"/>
      <c r="B14" s="14"/>
      <c r="C14" s="14"/>
      <c r="D14" s="14"/>
    </row>
    <row r="15" spans="1:4">
      <c r="A15" s="15"/>
      <c r="B15" s="14"/>
      <c r="C15" s="14"/>
      <c r="D15" s="14"/>
    </row>
    <row r="16" spans="1:4">
      <c r="A16" s="15"/>
      <c r="B16" s="14"/>
      <c r="C16" s="14"/>
      <c r="D16" s="14"/>
    </row>
    <row r="17" spans="1:4">
      <c r="A17" s="15"/>
      <c r="B17" s="14"/>
      <c r="C17" s="14"/>
      <c r="D17" s="14"/>
    </row>
    <row r="18" spans="1:4">
      <c r="A18" s="15"/>
      <c r="B18" s="14"/>
      <c r="C18" s="14"/>
      <c r="D18" s="14"/>
    </row>
    <row r="19" spans="1:4">
      <c r="A19" s="15"/>
      <c r="B19" s="14"/>
      <c r="C19" s="14"/>
      <c r="D19" s="14"/>
    </row>
    <row r="20" spans="1:4">
      <c r="A20" s="15"/>
      <c r="B20" s="14"/>
      <c r="C20" s="14"/>
      <c r="D20" s="14"/>
    </row>
    <row r="21" spans="1:4">
      <c r="A21" s="15"/>
      <c r="B21" s="14"/>
      <c r="C21" s="14"/>
      <c r="D21" s="14"/>
    </row>
    <row r="22" spans="1:4">
      <c r="A22" s="15"/>
      <c r="B22" s="14"/>
      <c r="C22" s="14"/>
      <c r="D22" s="14"/>
    </row>
    <row r="23" spans="1:4">
      <c r="A23" s="15"/>
      <c r="B23" s="14"/>
      <c r="C23" s="14"/>
      <c r="D23" s="14"/>
    </row>
    <row r="24" spans="1:4">
      <c r="A24" s="15"/>
      <c r="B24" s="14"/>
      <c r="C24" s="14"/>
      <c r="D24" s="14"/>
    </row>
    <row r="25" spans="1:4">
      <c r="A25" s="15"/>
      <c r="B25" s="14"/>
      <c r="C25" s="14"/>
      <c r="D25" s="14"/>
    </row>
    <row r="26" spans="1:4">
      <c r="A26" s="15"/>
      <c r="B26" s="14"/>
      <c r="C26" s="14"/>
      <c r="D26" s="14"/>
    </row>
    <row r="27" spans="1:4">
      <c r="A27" s="15"/>
      <c r="B27" s="14"/>
      <c r="C27" s="14"/>
      <c r="D27" s="14"/>
    </row>
    <row r="28" spans="1:4">
      <c r="A28" s="15"/>
      <c r="B28" s="14"/>
      <c r="C28" s="14"/>
      <c r="D28" s="14"/>
    </row>
    <row r="29" spans="1:4">
      <c r="A29" s="15"/>
      <c r="B29" s="14"/>
      <c r="C29" s="14"/>
      <c r="D29" s="14"/>
    </row>
    <row r="30" spans="1:4">
      <c r="A30" s="15"/>
      <c r="B30" s="14"/>
      <c r="C30" s="14"/>
      <c r="D30" s="14"/>
    </row>
    <row r="31" spans="1:4">
      <c r="A31" s="15"/>
      <c r="B31" s="14"/>
      <c r="C31" s="14"/>
      <c r="D31" s="14"/>
    </row>
    <row r="32" spans="1:4">
      <c r="A32" s="15"/>
      <c r="B32" s="14"/>
      <c r="C32" s="14"/>
      <c r="D32" s="14"/>
    </row>
    <row r="33" spans="1:4">
      <c r="A33" s="15"/>
      <c r="B33" s="14"/>
      <c r="C33" s="14"/>
      <c r="D33" s="14"/>
    </row>
    <row r="34" spans="1:4">
      <c r="A34" s="15"/>
      <c r="B34" s="14"/>
      <c r="C34" s="14"/>
      <c r="D34" s="14"/>
    </row>
    <row r="35" spans="1:4">
      <c r="A35" s="15"/>
      <c r="B35" s="14"/>
      <c r="C35" s="14"/>
      <c r="D35" s="14"/>
    </row>
    <row r="36" spans="1:4">
      <c r="A36" s="15"/>
      <c r="B36" s="14"/>
      <c r="C36" s="14"/>
      <c r="D36" s="14"/>
    </row>
    <row r="37" spans="1:4">
      <c r="A37" s="15"/>
      <c r="B37" s="14"/>
      <c r="C37" s="14"/>
      <c r="D37" s="14"/>
    </row>
    <row r="38" spans="1:4">
      <c r="A38" s="15"/>
      <c r="B38" s="14"/>
      <c r="C38" s="14"/>
      <c r="D38" s="14"/>
    </row>
    <row r="39" spans="1:4">
      <c r="A39" s="15"/>
      <c r="B39" s="14"/>
      <c r="C39" s="14"/>
      <c r="D39" s="14"/>
    </row>
    <row r="40" spans="1:4">
      <c r="A40" s="15"/>
      <c r="B40" s="14"/>
      <c r="C40" s="14"/>
      <c r="D40" s="14"/>
    </row>
    <row r="41" spans="1:4">
      <c r="A41" s="15"/>
      <c r="B41" s="14"/>
      <c r="C41" s="14"/>
      <c r="D41" s="14"/>
    </row>
    <row r="42" spans="1:4">
      <c r="A42" s="15"/>
      <c r="B42" s="14"/>
      <c r="C42" s="14"/>
      <c r="D42" s="14"/>
    </row>
    <row r="43" spans="1:4">
      <c r="A43" s="15"/>
      <c r="B43" s="14"/>
      <c r="C43" s="14"/>
      <c r="D43" s="14"/>
    </row>
    <row r="44" spans="1:4">
      <c r="A44" s="15"/>
      <c r="B44" s="14"/>
      <c r="C44" s="14"/>
      <c r="D44" s="14"/>
    </row>
    <row r="45" spans="1:4">
      <c r="A45" s="15"/>
      <c r="B45" s="14"/>
      <c r="C45" s="14"/>
      <c r="D45" s="14"/>
    </row>
    <row r="46" spans="1:4">
      <c r="A46" s="15"/>
      <c r="B46" s="14"/>
      <c r="C46" s="14"/>
      <c r="D46" s="14"/>
    </row>
    <row r="47" spans="1:4">
      <c r="A47" s="15"/>
      <c r="B47" s="14"/>
      <c r="C47" s="14"/>
      <c r="D47" s="14"/>
    </row>
    <row r="48" spans="1:4">
      <c r="A48" s="15"/>
      <c r="B48" s="14"/>
      <c r="C48" s="14"/>
      <c r="D48" s="14"/>
    </row>
    <row r="49" spans="1:4">
      <c r="A49" s="15"/>
      <c r="B49" s="14"/>
      <c r="C49" s="14"/>
      <c r="D49" s="14"/>
    </row>
    <row r="50" spans="1:4">
      <c r="A50" s="15"/>
      <c r="B50" s="14"/>
      <c r="C50" s="14"/>
      <c r="D50" s="14"/>
    </row>
    <row r="51" spans="1:4">
      <c r="A51" s="15"/>
      <c r="B51" s="14"/>
      <c r="C51" s="14"/>
      <c r="D51" s="14"/>
    </row>
    <row r="52" spans="1:4">
      <c r="A52" s="15"/>
      <c r="B52" s="14"/>
      <c r="C52" s="14"/>
      <c r="D52" s="14"/>
    </row>
    <row r="53" spans="1:4">
      <c r="A53" s="15"/>
      <c r="B53" s="14"/>
      <c r="C53" s="14"/>
      <c r="D53" s="14"/>
    </row>
    <row r="54" spans="1:4">
      <c r="A54" s="15"/>
      <c r="B54" s="14"/>
      <c r="C54" s="14"/>
      <c r="D54" s="14"/>
    </row>
    <row r="55" spans="1:4">
      <c r="A55" s="15"/>
      <c r="B55" s="14"/>
      <c r="C55" s="14"/>
      <c r="D55" s="14"/>
    </row>
    <row r="56" spans="1:4">
      <c r="A56" s="15"/>
      <c r="B56" s="14"/>
      <c r="C56" s="14"/>
      <c r="D56" s="14"/>
    </row>
    <row r="57" spans="1:4">
      <c r="A57" s="15"/>
      <c r="B57" s="14"/>
      <c r="C57" s="14"/>
      <c r="D57" s="14"/>
    </row>
    <row r="58" spans="1:4">
      <c r="A58" s="15"/>
      <c r="B58" s="14"/>
      <c r="C58" s="14"/>
      <c r="D58" s="14"/>
    </row>
    <row r="59" spans="1:4">
      <c r="A59" s="15"/>
      <c r="B59" s="14"/>
      <c r="C59" s="14"/>
      <c r="D59" s="14"/>
    </row>
    <row r="60" spans="1:4">
      <c r="A60" s="15"/>
      <c r="B60" s="14"/>
      <c r="C60" s="14"/>
      <c r="D60" s="14"/>
    </row>
    <row r="61" spans="1:4">
      <c r="A61" s="15"/>
      <c r="B61" s="14"/>
      <c r="C61" s="14"/>
      <c r="D61" s="14"/>
    </row>
    <row r="62" spans="1:4">
      <c r="A62" s="15"/>
      <c r="B62" s="14"/>
      <c r="C62" s="14"/>
      <c r="D62" s="14"/>
    </row>
    <row r="63" spans="1:4">
      <c r="A63" s="15"/>
      <c r="B63" s="14"/>
      <c r="C63" s="14"/>
      <c r="D63" s="14"/>
    </row>
    <row r="64" spans="1:4">
      <c r="A64" s="15"/>
      <c r="B64" s="14"/>
      <c r="C64" s="14"/>
      <c r="D64" s="14"/>
    </row>
    <row r="65" spans="1:4">
      <c r="A65" s="15"/>
      <c r="B65" s="14"/>
      <c r="C65" s="14"/>
      <c r="D65" s="14"/>
    </row>
    <row r="66" spans="1:4">
      <c r="A66" s="15"/>
      <c r="B66" s="14"/>
      <c r="C66" s="14"/>
      <c r="D66" s="14"/>
    </row>
    <row r="67" spans="1:4">
      <c r="A67" s="15"/>
      <c r="B67" s="14"/>
      <c r="C67" s="14"/>
      <c r="D67" s="14"/>
    </row>
    <row r="68" spans="1:4">
      <c r="A68" s="15"/>
      <c r="B68" s="14"/>
      <c r="C68" s="14"/>
      <c r="D68" s="14"/>
    </row>
    <row r="69" spans="1:4">
      <c r="A69" s="15"/>
      <c r="B69" s="14"/>
      <c r="C69" s="14"/>
      <c r="D69" s="14"/>
    </row>
    <row r="70" spans="1:4">
      <c r="A70" s="15"/>
      <c r="B70" s="14"/>
      <c r="C70" s="14"/>
      <c r="D70" s="14"/>
    </row>
    <row r="71" spans="1:4">
      <c r="A71" s="15"/>
      <c r="B71" s="14"/>
      <c r="C71" s="14"/>
      <c r="D71" s="14"/>
    </row>
    <row r="72" spans="1:4">
      <c r="A72" s="15"/>
      <c r="B72" s="14"/>
      <c r="C72" s="14"/>
      <c r="D72" s="14"/>
    </row>
    <row r="73" spans="1:4">
      <c r="A73" s="15"/>
      <c r="B73" s="14"/>
      <c r="C73" s="14"/>
      <c r="D73" s="14"/>
    </row>
    <row r="74" spans="1:4">
      <c r="A74" s="15"/>
      <c r="B74" s="14"/>
      <c r="C74" s="14"/>
      <c r="D74" s="14"/>
    </row>
    <row r="75" spans="1:4">
      <c r="A75" s="15"/>
      <c r="B75" s="14"/>
      <c r="C75" s="14"/>
      <c r="D75" s="14"/>
    </row>
    <row r="76" spans="1:4">
      <c r="A76" s="15"/>
      <c r="B76" s="14"/>
      <c r="C76" s="14"/>
      <c r="D76" s="14"/>
    </row>
    <row r="77" spans="1:4">
      <c r="A77" s="15"/>
      <c r="B77" s="14"/>
      <c r="C77" s="14"/>
      <c r="D77" s="14"/>
    </row>
    <row r="78" spans="1:4">
      <c r="A78" s="15"/>
      <c r="B78" s="14"/>
      <c r="C78" s="14"/>
      <c r="D78" s="14"/>
    </row>
    <row r="79" spans="1:4">
      <c r="A79" s="15"/>
      <c r="B79" s="14"/>
      <c r="C79" s="14"/>
      <c r="D79" s="14"/>
    </row>
    <row r="80" spans="1:4">
      <c r="A80" s="15"/>
      <c r="B80" s="14"/>
      <c r="C80" s="14"/>
      <c r="D80" s="14"/>
    </row>
    <row r="81" spans="1:4">
      <c r="A81" s="15"/>
      <c r="B81" s="14"/>
      <c r="C81" s="14"/>
      <c r="D81" s="14"/>
    </row>
    <row r="82" spans="1:4">
      <c r="A82" s="15"/>
      <c r="B82" s="14"/>
      <c r="C82" s="14"/>
      <c r="D82" s="14"/>
    </row>
    <row r="83" spans="1:4">
      <c r="A83" s="15"/>
      <c r="B83" s="14"/>
      <c r="C83" s="14"/>
      <c r="D83" s="14"/>
    </row>
    <row r="84" spans="1:4">
      <c r="A84" s="15"/>
      <c r="B84" s="14"/>
      <c r="C84" s="14"/>
      <c r="D84" s="14"/>
    </row>
    <row r="85" spans="1:4">
      <c r="A85" s="15"/>
      <c r="B85" s="14"/>
      <c r="C85" s="14"/>
      <c r="D85" s="14"/>
    </row>
    <row r="86" spans="1:4">
      <c r="A86" s="15"/>
      <c r="B86" s="14"/>
      <c r="C86" s="14"/>
      <c r="D86" s="14"/>
    </row>
    <row r="87" spans="1:4">
      <c r="A87" s="15"/>
      <c r="B87" s="14"/>
      <c r="C87" s="14"/>
      <c r="D87" s="14"/>
    </row>
    <row r="88" spans="1:4">
      <c r="A88" s="15"/>
      <c r="B88" s="14"/>
      <c r="C88" s="14"/>
      <c r="D88" s="14"/>
    </row>
    <row r="89" spans="1:4">
      <c r="A89" s="15"/>
      <c r="B89" s="14"/>
      <c r="C89" s="14"/>
      <c r="D89" s="14"/>
    </row>
    <row r="90" spans="1:4">
      <c r="A90" s="15"/>
      <c r="B90" s="14"/>
      <c r="C90" s="14"/>
      <c r="D90" s="14"/>
    </row>
    <row r="91" spans="1:4">
      <c r="A91" s="15"/>
      <c r="B91" s="14"/>
      <c r="C91" s="14"/>
      <c r="D91" s="14"/>
    </row>
    <row r="92" spans="1:4">
      <c r="A92" s="15"/>
      <c r="B92" s="14"/>
      <c r="C92" s="14"/>
      <c r="D92" s="14"/>
    </row>
    <row r="93" spans="1:4">
      <c r="A93" s="15"/>
      <c r="B93" s="14"/>
      <c r="C93" s="14"/>
      <c r="D93" s="14"/>
    </row>
    <row r="94" spans="1:4">
      <c r="A94" s="15"/>
      <c r="B94" s="14"/>
      <c r="C94" s="14"/>
      <c r="D94" s="14"/>
    </row>
    <row r="95" spans="1:4">
      <c r="A95" s="15"/>
      <c r="B95" s="14"/>
      <c r="C95" s="14"/>
      <c r="D95" s="14"/>
    </row>
    <row r="96" spans="1:4">
      <c r="A96" s="15"/>
      <c r="B96" s="14"/>
      <c r="C96" s="14"/>
      <c r="D96" s="14"/>
    </row>
    <row r="97" spans="1:4">
      <c r="A97" s="15"/>
      <c r="B97" s="14"/>
      <c r="C97" s="14"/>
      <c r="D97" s="14"/>
    </row>
    <row r="98" spans="1:4">
      <c r="A98" s="15"/>
      <c r="B98" s="14"/>
      <c r="C98" s="14"/>
      <c r="D98" s="14"/>
    </row>
    <row r="99" spans="1:4">
      <c r="A99" s="15"/>
      <c r="B99" s="14"/>
      <c r="C99" s="14"/>
      <c r="D99" s="14"/>
    </row>
    <row r="100" spans="1:4">
      <c r="A100" s="15"/>
      <c r="B100" s="14"/>
      <c r="C100" s="14"/>
      <c r="D100" s="14"/>
    </row>
    <row r="101" spans="1:4">
      <c r="A101" s="15"/>
      <c r="B101" s="14"/>
      <c r="C101" s="14"/>
      <c r="D101" s="14"/>
    </row>
    <row r="102" spans="1:4">
      <c r="A102" s="15"/>
      <c r="B102" s="14"/>
      <c r="C102" s="14"/>
      <c r="D102" s="14"/>
    </row>
    <row r="103" spans="1:4">
      <c r="A103" s="15"/>
      <c r="B103" s="14"/>
      <c r="C103" s="14"/>
      <c r="D103" s="14"/>
    </row>
    <row r="104" spans="1:4">
      <c r="A104" s="15"/>
      <c r="B104" s="14"/>
      <c r="C104" s="14"/>
      <c r="D104" s="14"/>
    </row>
    <row r="105" spans="1:4">
      <c r="A105" s="15"/>
      <c r="B105" s="14"/>
      <c r="C105" s="14"/>
      <c r="D105" s="14"/>
    </row>
    <row r="106" spans="1:4">
      <c r="A106" s="15"/>
      <c r="B106" s="14"/>
      <c r="C106" s="14"/>
      <c r="D106" s="14"/>
    </row>
    <row r="107" spans="1:4">
      <c r="A107" s="15"/>
      <c r="B107" s="14"/>
      <c r="C107" s="14"/>
      <c r="D107" s="14"/>
    </row>
    <row r="108" spans="1:4">
      <c r="A108" s="15"/>
      <c r="B108" s="14"/>
      <c r="C108" s="14"/>
      <c r="D108" s="14"/>
    </row>
    <row r="109" spans="1:4">
      <c r="A109" s="15"/>
      <c r="B109" s="14"/>
      <c r="C109" s="14"/>
      <c r="D109" s="14"/>
    </row>
    <row r="110" spans="1:4">
      <c r="A110" s="15"/>
      <c r="B110" s="14"/>
      <c r="C110" s="14"/>
      <c r="D110" s="14"/>
    </row>
    <row r="111" spans="1:4">
      <c r="A111" s="15"/>
      <c r="B111" s="14"/>
      <c r="C111" s="14"/>
      <c r="D111" s="14"/>
    </row>
    <row r="112" spans="1:4">
      <c r="A112" s="15"/>
      <c r="B112" s="14"/>
      <c r="C112" s="14"/>
      <c r="D112" s="14"/>
    </row>
    <row r="113" spans="1:4">
      <c r="A113" s="15"/>
      <c r="B113" s="14"/>
      <c r="C113" s="14"/>
      <c r="D113" s="14"/>
    </row>
    <row r="114" spans="1:4">
      <c r="A114" s="15"/>
      <c r="B114" s="14"/>
      <c r="C114" s="14"/>
      <c r="D114" s="14"/>
    </row>
    <row r="115" spans="1:4">
      <c r="A115" s="15"/>
      <c r="B115" s="14"/>
      <c r="C115" s="14"/>
      <c r="D115" s="14"/>
    </row>
    <row r="116" spans="1:4">
      <c r="A116" s="15"/>
      <c r="B116" s="14"/>
      <c r="C116" s="14"/>
      <c r="D116" s="14"/>
    </row>
    <row r="117" spans="1:4">
      <c r="A117" s="15"/>
      <c r="B117" s="14"/>
      <c r="C117" s="14"/>
      <c r="D117" s="14"/>
    </row>
    <row r="118" spans="1:4">
      <c r="A118" s="15"/>
      <c r="B118" s="14"/>
      <c r="C118" s="14"/>
      <c r="D118" s="14"/>
    </row>
    <row r="119" spans="1:4">
      <c r="A119" s="15"/>
      <c r="B119" s="14"/>
      <c r="C119" s="14"/>
      <c r="D119" s="14"/>
    </row>
    <row r="120" spans="1:4">
      <c r="A120" s="15"/>
      <c r="B120" s="14"/>
      <c r="C120" s="14"/>
      <c r="D120" s="14"/>
    </row>
    <row r="121" spans="1:4">
      <c r="A121" s="15"/>
      <c r="B121" s="14"/>
      <c r="C121" s="14"/>
      <c r="D121" s="14"/>
    </row>
    <row r="122" spans="1:4">
      <c r="A122" s="15"/>
      <c r="B122" s="14"/>
      <c r="C122" s="14"/>
      <c r="D122" s="14"/>
    </row>
    <row r="123" spans="1:4">
      <c r="A123" s="15"/>
      <c r="B123" s="14"/>
      <c r="C123" s="14"/>
      <c r="D123" s="14"/>
    </row>
    <row r="124" spans="1:4">
      <c r="A124" s="15"/>
      <c r="B124" s="14"/>
      <c r="C124" s="14"/>
      <c r="D124" s="14"/>
    </row>
    <row r="125" spans="1:4">
      <c r="A125" s="15"/>
      <c r="B125" s="14"/>
      <c r="C125" s="14"/>
      <c r="D125" s="14"/>
    </row>
    <row r="126" spans="1:4">
      <c r="A126" s="15"/>
      <c r="B126" s="14"/>
      <c r="C126" s="14"/>
      <c r="D126" s="14"/>
    </row>
    <row r="127" spans="1:4">
      <c r="A127" s="15"/>
      <c r="B127" s="14"/>
      <c r="C127" s="14"/>
      <c r="D127" s="14"/>
    </row>
    <row r="128" spans="1:4">
      <c r="A128" s="15"/>
      <c r="B128" s="14"/>
      <c r="C128" s="14"/>
      <c r="D128" s="14"/>
    </row>
    <row r="129" spans="1:4">
      <c r="A129" s="15"/>
      <c r="B129" s="14"/>
      <c r="C129" s="14"/>
      <c r="D129" s="14"/>
    </row>
    <row r="130" spans="1:4">
      <c r="A130" s="15"/>
      <c r="B130" s="14"/>
      <c r="C130" s="14"/>
      <c r="D130" s="14"/>
    </row>
    <row r="131" spans="1:4">
      <c r="A131" s="15"/>
      <c r="B131" s="14"/>
      <c r="C131" s="14"/>
      <c r="D131" s="14"/>
    </row>
    <row r="132" spans="1:4">
      <c r="A132" s="15"/>
      <c r="B132" s="14"/>
      <c r="C132" s="14"/>
      <c r="D132" s="14"/>
    </row>
    <row r="133" spans="1:4">
      <c r="A133" s="15"/>
      <c r="B133" s="14"/>
      <c r="C133" s="14"/>
      <c r="D133" s="14"/>
    </row>
    <row r="134" spans="1:4">
      <c r="A134" s="15"/>
      <c r="B134" s="14"/>
      <c r="C134" s="14"/>
      <c r="D134" s="14"/>
    </row>
    <row r="135" spans="1:4">
      <c r="A135" s="15"/>
      <c r="B135" s="14"/>
      <c r="C135" s="14"/>
      <c r="D135" s="14"/>
    </row>
    <row r="136" spans="1:4">
      <c r="A136" s="15"/>
      <c r="B136" s="14"/>
      <c r="C136" s="14"/>
      <c r="D136" s="14"/>
    </row>
    <row r="137" spans="1:4">
      <c r="A137" s="15"/>
      <c r="B137" s="14"/>
      <c r="C137" s="14"/>
      <c r="D137" s="14"/>
    </row>
    <row r="138" spans="1:4">
      <c r="A138" s="15"/>
      <c r="B138" s="14"/>
      <c r="C138" s="14"/>
      <c r="D138" s="14"/>
    </row>
    <row r="139" spans="1:4">
      <c r="A139" s="15"/>
      <c r="B139" s="14"/>
      <c r="C139" s="14"/>
      <c r="D139" s="14"/>
    </row>
    <row r="140" spans="1:4">
      <c r="A140" s="15"/>
      <c r="B140" s="14"/>
      <c r="C140" s="14"/>
      <c r="D140" s="14"/>
    </row>
    <row r="141" spans="1:4">
      <c r="A141" s="15"/>
      <c r="B141" s="14"/>
      <c r="C141" s="14"/>
      <c r="D141" s="14"/>
    </row>
    <row r="142" spans="1:4">
      <c r="A142" s="15"/>
      <c r="B142" s="14"/>
      <c r="C142" s="14"/>
      <c r="D142" s="14"/>
    </row>
    <row r="143" spans="1:4">
      <c r="A143" s="15"/>
      <c r="B143" s="14"/>
      <c r="C143" s="14"/>
      <c r="D143" s="14"/>
    </row>
    <row r="144" spans="1:4">
      <c r="A144" s="15"/>
      <c r="B144" s="14"/>
      <c r="C144" s="14"/>
      <c r="D144" s="14"/>
    </row>
    <row r="145" spans="1:4">
      <c r="A145" s="15"/>
      <c r="B145" s="14"/>
      <c r="C145" s="14"/>
      <c r="D145" s="14"/>
    </row>
    <row r="146" spans="1:4">
      <c r="A146" s="15"/>
      <c r="B146" s="14"/>
      <c r="C146" s="14"/>
      <c r="D146" s="14"/>
    </row>
    <row r="147" spans="1:4">
      <c r="A147" s="15"/>
      <c r="B147" s="14"/>
      <c r="C147" s="14"/>
      <c r="D147" s="14"/>
    </row>
    <row r="148" spans="1:4">
      <c r="A148" s="15"/>
      <c r="B148" s="14"/>
      <c r="C148" s="14"/>
      <c r="D148" s="14"/>
    </row>
    <row r="149" spans="1:4">
      <c r="A149" s="15"/>
      <c r="B149" s="14"/>
      <c r="C149" s="14"/>
      <c r="D149" s="14"/>
    </row>
    <row r="150" spans="1:4">
      <c r="A150" s="15"/>
      <c r="B150" s="14"/>
      <c r="C150" s="14"/>
      <c r="D150" s="14"/>
    </row>
    <row r="151" spans="1:4">
      <c r="A151" s="15"/>
      <c r="B151" s="14"/>
      <c r="C151" s="14"/>
      <c r="D151" s="14"/>
    </row>
    <row r="152" spans="1:4">
      <c r="A152" s="15"/>
      <c r="B152" s="14"/>
      <c r="C152" s="14"/>
      <c r="D152" s="14"/>
    </row>
    <row r="153" spans="1:4">
      <c r="A153" s="15"/>
      <c r="B153" s="14"/>
      <c r="C153" s="14"/>
      <c r="D153" s="14"/>
    </row>
    <row r="154" spans="1:4">
      <c r="A154" s="15"/>
      <c r="B154" s="14"/>
      <c r="C154" s="14"/>
      <c r="D154" s="14"/>
    </row>
    <row r="155" spans="1:4">
      <c r="A155" s="15"/>
      <c r="B155" s="14"/>
      <c r="C155" s="14"/>
      <c r="D155" s="14"/>
    </row>
    <row r="156" spans="1:4">
      <c r="A156" s="15"/>
      <c r="B156" s="14"/>
      <c r="C156" s="14"/>
      <c r="D156" s="14"/>
    </row>
    <row r="157" spans="1:4">
      <c r="A157" s="15"/>
      <c r="B157" s="14"/>
      <c r="C157" s="14"/>
      <c r="D157" s="14"/>
    </row>
    <row r="158" spans="1:4">
      <c r="A158" s="15"/>
      <c r="B158" s="14"/>
      <c r="C158" s="14"/>
      <c r="D158" s="14"/>
    </row>
    <row r="159" spans="1:4">
      <c r="A159" s="15"/>
      <c r="B159" s="14"/>
      <c r="C159" s="14"/>
      <c r="D159" s="14"/>
    </row>
    <row r="160" spans="1:4">
      <c r="A160" s="15"/>
      <c r="B160" s="14"/>
      <c r="C160" s="14"/>
      <c r="D160" s="14"/>
    </row>
    <row r="161" spans="1:4">
      <c r="A161" s="15"/>
      <c r="B161" s="14"/>
      <c r="C161" s="14"/>
      <c r="D161" s="14"/>
    </row>
    <row r="162" spans="1:4">
      <c r="A162" s="15"/>
      <c r="B162" s="14"/>
      <c r="C162" s="14"/>
      <c r="D162" s="14"/>
    </row>
    <row r="163" spans="1:4">
      <c r="A163" s="15"/>
      <c r="B163" s="14"/>
      <c r="C163" s="14"/>
      <c r="D163" s="14"/>
    </row>
    <row r="164" spans="1:4">
      <c r="A164" s="15"/>
      <c r="B164" s="14"/>
      <c r="C164" s="14"/>
      <c r="D164" s="14"/>
    </row>
    <row r="165" spans="1:4">
      <c r="A165" s="15"/>
      <c r="B165" s="14"/>
      <c r="C165" s="14"/>
      <c r="D165" s="14"/>
    </row>
    <row r="166" spans="1:4">
      <c r="A166" s="15"/>
      <c r="B166" s="14"/>
      <c r="C166" s="14"/>
      <c r="D166" s="14"/>
    </row>
    <row r="167" spans="1:4">
      <c r="A167" s="15"/>
      <c r="B167" s="14"/>
      <c r="C167" s="14"/>
      <c r="D167" s="14"/>
    </row>
    <row r="168" spans="1:4">
      <c r="A168" s="15"/>
      <c r="B168" s="14"/>
      <c r="C168" s="14"/>
      <c r="D168" s="14"/>
    </row>
    <row r="169" spans="1:4">
      <c r="A169" s="15"/>
      <c r="B169" s="14"/>
      <c r="C169" s="14"/>
      <c r="D169" s="14"/>
    </row>
    <row r="170" spans="1:4">
      <c r="A170" s="15"/>
      <c r="B170" s="14"/>
      <c r="C170" s="14"/>
      <c r="D170" s="14"/>
    </row>
    <row r="171" spans="1:4">
      <c r="A171" s="15"/>
      <c r="B171" s="14"/>
      <c r="C171" s="14"/>
      <c r="D171" s="14"/>
    </row>
    <row r="172" spans="1:4">
      <c r="A172" s="15"/>
      <c r="B172" s="14"/>
      <c r="C172" s="14"/>
      <c r="D172" s="14"/>
    </row>
    <row r="173" spans="1:4">
      <c r="A173" s="15"/>
      <c r="B173" s="14"/>
      <c r="C173" s="14"/>
      <c r="D173" s="14"/>
    </row>
    <row r="174" spans="1:4">
      <c r="A174" s="15"/>
      <c r="B174" s="14"/>
      <c r="C174" s="14"/>
      <c r="D174" s="14"/>
    </row>
    <row r="175" spans="1:4">
      <c r="A175" s="15"/>
      <c r="B175" s="14"/>
      <c r="C175" s="14"/>
      <c r="D175" s="14"/>
    </row>
    <row r="176" spans="1:4">
      <c r="A176" s="15"/>
      <c r="B176" s="14"/>
      <c r="C176" s="14"/>
      <c r="D176" s="14"/>
    </row>
    <row r="177" spans="1:4">
      <c r="A177" s="15"/>
      <c r="B177" s="14"/>
      <c r="C177" s="14"/>
      <c r="D177" s="14"/>
    </row>
    <row r="178" spans="1:4">
      <c r="A178" s="15"/>
      <c r="B178" s="14"/>
      <c r="C178" s="14"/>
      <c r="D178" s="14"/>
    </row>
    <row r="179" spans="1:4">
      <c r="A179" s="15"/>
      <c r="B179" s="14"/>
      <c r="C179" s="14"/>
      <c r="D179" s="14"/>
    </row>
    <row r="180" spans="1:4">
      <c r="A180" s="15"/>
      <c r="B180" s="14"/>
      <c r="C180" s="14"/>
      <c r="D180" s="14"/>
    </row>
    <row r="181" spans="1:4">
      <c r="A181" s="15"/>
      <c r="B181" s="14"/>
      <c r="C181" s="14"/>
      <c r="D181" s="14"/>
    </row>
    <row r="182" spans="1:4">
      <c r="A182" s="15"/>
      <c r="B182" s="14"/>
      <c r="C182" s="14"/>
      <c r="D182" s="14"/>
    </row>
    <row r="183" spans="1:4">
      <c r="A183" s="15"/>
      <c r="B183" s="14"/>
      <c r="C183" s="14"/>
      <c r="D183" s="14"/>
    </row>
    <row r="184" spans="1:4">
      <c r="A184" s="15"/>
      <c r="B184" s="14"/>
      <c r="C184" s="14"/>
      <c r="D184" s="14"/>
    </row>
    <row r="185" spans="1:4">
      <c r="A185" s="15"/>
      <c r="B185" s="14"/>
      <c r="C185" s="14"/>
      <c r="D185" s="14"/>
    </row>
    <row r="186" spans="1:4">
      <c r="A186" s="15"/>
      <c r="B186" s="14"/>
      <c r="C186" s="14"/>
      <c r="D186" s="14"/>
    </row>
    <row r="187" spans="1:4">
      <c r="A187" s="15"/>
      <c r="B187" s="14"/>
      <c r="C187" s="14"/>
      <c r="D187" s="14"/>
    </row>
    <row r="188" spans="1:4">
      <c r="A188" s="15"/>
      <c r="B188" s="14"/>
      <c r="C188" s="14"/>
      <c r="D188" s="14"/>
    </row>
    <row r="189" spans="1:4">
      <c r="A189" s="15"/>
      <c r="B189" s="14"/>
      <c r="C189" s="14"/>
      <c r="D189" s="14"/>
    </row>
    <row r="190" spans="1:4">
      <c r="A190" s="15"/>
      <c r="B190" s="14"/>
      <c r="C190" s="14"/>
      <c r="D190" s="14"/>
    </row>
    <row r="191" spans="1:4">
      <c r="A191" s="15"/>
      <c r="B191" s="14"/>
      <c r="C191" s="14"/>
      <c r="D191" s="14"/>
    </row>
    <row r="192" spans="1:4">
      <c r="A192" s="15"/>
      <c r="B192" s="14"/>
      <c r="C192" s="14"/>
      <c r="D192" s="14"/>
    </row>
    <row r="193" spans="1:4">
      <c r="A193" s="15"/>
      <c r="B193" s="14"/>
      <c r="C193" s="14"/>
      <c r="D193" s="14"/>
    </row>
    <row r="194" spans="1:4">
      <c r="A194" s="15"/>
      <c r="B194" s="14"/>
      <c r="C194" s="14"/>
      <c r="D194" s="14"/>
    </row>
    <row r="195" spans="1:4">
      <c r="A195" s="15"/>
      <c r="B195" s="14"/>
      <c r="C195" s="14"/>
      <c r="D195" s="14"/>
    </row>
    <row r="196" spans="1:4">
      <c r="A196" s="15"/>
      <c r="B196" s="14"/>
      <c r="C196" s="14"/>
      <c r="D196" s="14"/>
    </row>
    <row r="197" spans="1:4">
      <c r="A197" s="15"/>
      <c r="B197" s="14"/>
      <c r="C197" s="14"/>
      <c r="D197" s="14"/>
    </row>
    <row r="198" spans="1:4">
      <c r="A198" s="15"/>
      <c r="B198" s="14"/>
      <c r="C198" s="14"/>
      <c r="D198" s="14"/>
    </row>
    <row r="199" spans="1:4">
      <c r="A199" s="15"/>
      <c r="B199" s="14"/>
      <c r="C199" s="14"/>
      <c r="D199" s="14"/>
    </row>
    <row r="200" spans="1:4">
      <c r="A200" s="15"/>
      <c r="B200" s="14"/>
      <c r="C200" s="14"/>
      <c r="D200" s="14"/>
    </row>
    <row r="201" spans="1:4">
      <c r="A201" s="15">
        <v>46179.29378472222</v>
      </c>
      <c r="B201" s="14" t="s">
        <v>192</v>
      </c>
      <c r="C201" s="14" t="s">
        <v>294</v>
      </c>
      <c r="D201" s="14" t="s">
        <v>295</v>
      </c>
    </row>
    <row r="202" spans="1:4" ht="99.75">
      <c r="A202" s="15">
        <v>46179.29378472222</v>
      </c>
      <c r="B202" s="14" t="s">
        <v>192</v>
      </c>
      <c r="C202" s="14" t="s">
        <v>296</v>
      </c>
      <c r="D202" s="14" t="s">
        <v>297</v>
      </c>
    </row>
    <row r="203" spans="1:4">
      <c r="A203" s="15">
        <v>46179.296273148146</v>
      </c>
      <c r="B203" s="14" t="s">
        <v>192</v>
      </c>
      <c r="C203" s="14" t="s">
        <v>294</v>
      </c>
      <c r="D203" s="14" t="s">
        <v>295</v>
      </c>
    </row>
    <row r="204" spans="1:4">
      <c r="A204" s="15">
        <v>46179.297199074077</v>
      </c>
      <c r="B204" s="14" t="s">
        <v>192</v>
      </c>
      <c r="C204" s="14" t="s">
        <v>294</v>
      </c>
      <c r="D204" s="14" t="s">
        <v>295</v>
      </c>
    </row>
    <row r="205" spans="1:4" ht="99.75">
      <c r="A205" s="15">
        <v>46179.297199074077</v>
      </c>
      <c r="B205" s="14" t="s">
        <v>192</v>
      </c>
      <c r="C205" s="14" t="s">
        <v>296</v>
      </c>
      <c r="D205" s="14" t="s">
        <v>298</v>
      </c>
    </row>
    <row r="206" spans="1:4" ht="57">
      <c r="A206" s="15">
        <v>46179.309106956018</v>
      </c>
      <c r="B206" s="14" t="s">
        <v>192</v>
      </c>
      <c r="C206" s="14" t="s">
        <v>299</v>
      </c>
      <c r="D206" s="14" t="s">
        <v>300</v>
      </c>
    </row>
    <row r="207" spans="1:4" ht="28.5">
      <c r="A207" s="15">
        <v>46180.086365740739</v>
      </c>
      <c r="B207" s="14" t="s">
        <v>192</v>
      </c>
      <c r="C207" s="14" t="s">
        <v>301</v>
      </c>
      <c r="D207" s="14" t="s">
        <v>302</v>
      </c>
    </row>
    <row r="208" spans="1:4" ht="28.5">
      <c r="A208" s="15">
        <v>46180.08730324074</v>
      </c>
      <c r="B208" s="14" t="s">
        <v>192</v>
      </c>
      <c r="C208" s="14" t="s">
        <v>301</v>
      </c>
      <c r="D208" s="14" t="s">
        <v>302</v>
      </c>
    </row>
    <row r="209" spans="1:4" ht="28.5">
      <c r="A209" s="15">
        <v>46180.089432870373</v>
      </c>
      <c r="B209" s="14" t="s">
        <v>192</v>
      </c>
      <c r="C209" s="14" t="s">
        <v>301</v>
      </c>
      <c r="D209" s="14" t="s">
        <v>302</v>
      </c>
    </row>
    <row r="210" spans="1:4" ht="28.5">
      <c r="A210" s="15">
        <v>46180.090289351851</v>
      </c>
      <c r="B210" s="14" t="s">
        <v>192</v>
      </c>
      <c r="C210" s="14" t="s">
        <v>301</v>
      </c>
      <c r="D210" s="14" t="s">
        <v>302</v>
      </c>
    </row>
    <row r="211" spans="1:4" ht="28.5">
      <c r="A211" s="15">
        <v>46180.091238425928</v>
      </c>
      <c r="B211" s="14" t="s">
        <v>192</v>
      </c>
      <c r="C211" s="14" t="s">
        <v>301</v>
      </c>
      <c r="D211" s="14" t="s">
        <v>302</v>
      </c>
    </row>
    <row r="212" spans="1:4" ht="28.5">
      <c r="A212" s="15">
        <v>46180.092314814814</v>
      </c>
      <c r="B212" s="14" t="s">
        <v>192</v>
      </c>
      <c r="C212" s="14" t="s">
        <v>301</v>
      </c>
      <c r="D212" s="14" t="s">
        <v>302</v>
      </c>
    </row>
    <row r="213" spans="1:4" ht="28.5">
      <c r="A213" s="15">
        <v>46180.093182870369</v>
      </c>
      <c r="B213" s="14" t="s">
        <v>192</v>
      </c>
      <c r="C213" s="14" t="s">
        <v>301</v>
      </c>
      <c r="D213" s="14" t="s">
        <v>302</v>
      </c>
    </row>
    <row r="214" spans="1:4" ht="28.5">
      <c r="A214" s="15">
        <v>46180.094050925924</v>
      </c>
      <c r="B214" s="14" t="s">
        <v>192</v>
      </c>
      <c r="C214" s="14" t="s">
        <v>301</v>
      </c>
      <c r="D214" s="14" t="s">
        <v>302</v>
      </c>
    </row>
    <row r="215" spans="1:4" ht="28.5">
      <c r="A215" s="15">
        <v>46180.110868055555</v>
      </c>
      <c r="B215" s="14" t="s">
        <v>192</v>
      </c>
      <c r="C215" s="14" t="s">
        <v>303</v>
      </c>
      <c r="D215" s="14" t="s">
        <v>304</v>
      </c>
    </row>
    <row r="216" spans="1:4" ht="28.5">
      <c r="A216" s="15">
        <v>46180.12090277778</v>
      </c>
      <c r="B216" s="14" t="s">
        <v>192</v>
      </c>
      <c r="C216" s="14" t="s">
        <v>303</v>
      </c>
      <c r="D216" s="14" t="s">
        <v>304</v>
      </c>
    </row>
    <row r="217" spans="1:4" ht="28.5">
      <c r="A217" s="15">
        <v>46180.132349537038</v>
      </c>
      <c r="B217" s="14" t="s">
        <v>192</v>
      </c>
      <c r="C217" s="14" t="s">
        <v>303</v>
      </c>
      <c r="D217" s="14" t="s">
        <v>304</v>
      </c>
    </row>
    <row r="218" spans="1:4" ht="28.5">
      <c r="A218" s="15">
        <v>46180.13616898148</v>
      </c>
      <c r="B218" s="14" t="s">
        <v>192</v>
      </c>
      <c r="C218" s="14" t="s">
        <v>303</v>
      </c>
      <c r="D218" s="14" t="s">
        <v>304</v>
      </c>
    </row>
    <row r="219" spans="1:4" ht="28.5">
      <c r="A219" s="15">
        <v>46180.139490740738</v>
      </c>
      <c r="B219" s="14" t="s">
        <v>192</v>
      </c>
      <c r="C219" s="14" t="s">
        <v>303</v>
      </c>
      <c r="D219" s="14" t="s">
        <v>304</v>
      </c>
    </row>
    <row r="220" spans="1:4" ht="28.5">
      <c r="A220" s="15">
        <v>46180.174479166664</v>
      </c>
      <c r="B220" s="14" t="s">
        <v>192</v>
      </c>
      <c r="C220" s="14" t="s">
        <v>303</v>
      </c>
      <c r="D220" s="14" t="s">
        <v>304</v>
      </c>
    </row>
    <row r="221" spans="1:4" ht="28.5">
      <c r="A221" s="15">
        <v>46180.177430555559</v>
      </c>
      <c r="B221" s="14" t="s">
        <v>192</v>
      </c>
      <c r="C221" s="14" t="s">
        <v>303</v>
      </c>
      <c r="D221" s="14" t="s">
        <v>304</v>
      </c>
    </row>
    <row r="222" spans="1:4" ht="28.5">
      <c r="A222" s="15">
        <v>46180.178344907406</v>
      </c>
      <c r="B222" s="14" t="s">
        <v>192</v>
      </c>
      <c r="C222" s="14" t="s">
        <v>303</v>
      </c>
      <c r="D222" s="14" t="s">
        <v>304</v>
      </c>
    </row>
    <row r="223" spans="1:4" ht="28.5">
      <c r="A223" s="15">
        <v>46180.302488425928</v>
      </c>
      <c r="B223" s="14" t="s">
        <v>192</v>
      </c>
      <c r="C223" s="14" t="s">
        <v>301</v>
      </c>
      <c r="D223" s="14" t="s">
        <v>302</v>
      </c>
    </row>
    <row r="224" spans="1:4" ht="28.5">
      <c r="A224" s="15">
        <v>46180.318576388891</v>
      </c>
      <c r="B224" s="14" t="s">
        <v>192</v>
      </c>
      <c r="C224" s="14" t="s">
        <v>305</v>
      </c>
      <c r="D224" s="14" t="s">
        <v>306</v>
      </c>
    </row>
    <row r="225" spans="1:4" ht="28.5">
      <c r="A225" s="15">
        <v>46180.31858796296</v>
      </c>
      <c r="B225" s="14" t="s">
        <v>192</v>
      </c>
      <c r="C225" s="14" t="s">
        <v>301</v>
      </c>
      <c r="D225" s="14" t="s">
        <v>302</v>
      </c>
    </row>
    <row r="226" spans="1:4" ht="28.5">
      <c r="A226" s="15">
        <v>46180.336423611108</v>
      </c>
      <c r="B226" s="14" t="s">
        <v>192</v>
      </c>
      <c r="C226" s="14" t="s">
        <v>305</v>
      </c>
      <c r="D226" s="14" t="s">
        <v>306</v>
      </c>
    </row>
    <row r="227" spans="1:4" ht="28.5">
      <c r="A227" s="15">
        <v>46180.336423611108</v>
      </c>
      <c r="B227" s="14" t="s">
        <v>192</v>
      </c>
      <c r="C227" s="14" t="s">
        <v>301</v>
      </c>
      <c r="D227" s="14" t="s">
        <v>302</v>
      </c>
    </row>
    <row r="228" spans="1:4" ht="28.5">
      <c r="A228" s="15">
        <v>46180.340729166666</v>
      </c>
      <c r="B228" s="14" t="s">
        <v>192</v>
      </c>
      <c r="C228" s="14" t="s">
        <v>305</v>
      </c>
      <c r="D228" s="14" t="s">
        <v>306</v>
      </c>
    </row>
    <row r="229" spans="1:4" ht="28.5">
      <c r="A229" s="15">
        <v>46180.340729166666</v>
      </c>
      <c r="B229" s="14" t="s">
        <v>192</v>
      </c>
      <c r="C229" s="14" t="s">
        <v>301</v>
      </c>
      <c r="D229" s="14" t="s">
        <v>302</v>
      </c>
    </row>
    <row r="230" spans="1:4" ht="28.5">
      <c r="A230" s="15">
        <v>46180.342013888891</v>
      </c>
      <c r="B230" s="14" t="s">
        <v>192</v>
      </c>
      <c r="C230" s="14" t="s">
        <v>305</v>
      </c>
      <c r="D230" s="14" t="s">
        <v>306</v>
      </c>
    </row>
    <row r="231" spans="1:4" ht="28.5">
      <c r="A231" s="15">
        <v>46180.342013888891</v>
      </c>
      <c r="B231" s="14" t="s">
        <v>192</v>
      </c>
      <c r="C231" s="14" t="s">
        <v>301</v>
      </c>
      <c r="D231" s="14" t="s">
        <v>302</v>
      </c>
    </row>
    <row r="232" spans="1:4" ht="28.5">
      <c r="A232" s="15">
        <v>46180.343206018515</v>
      </c>
      <c r="B232" s="14" t="s">
        <v>192</v>
      </c>
      <c r="C232" s="14" t="s">
        <v>305</v>
      </c>
      <c r="D232" s="14" t="s">
        <v>306</v>
      </c>
    </row>
    <row r="233" spans="1:4" ht="28.5">
      <c r="A233" s="15">
        <v>46180.343206018515</v>
      </c>
      <c r="B233" s="14" t="s">
        <v>192</v>
      </c>
      <c r="C233" s="14" t="s">
        <v>301</v>
      </c>
      <c r="D233" s="14" t="s">
        <v>302</v>
      </c>
    </row>
    <row r="234" spans="1:4" ht="28.5">
      <c r="A234" s="15">
        <v>46180.357268518521</v>
      </c>
      <c r="B234" s="14" t="s">
        <v>192</v>
      </c>
      <c r="C234" s="14" t="s">
        <v>303</v>
      </c>
      <c r="D234" s="14" t="s">
        <v>307</v>
      </c>
    </row>
    <row r="235" spans="1:4" ht="28.5">
      <c r="A235" s="15">
        <v>46180.543217592596</v>
      </c>
      <c r="B235" s="14" t="s">
        <v>192</v>
      </c>
      <c r="C235" s="14" t="s">
        <v>305</v>
      </c>
      <c r="D235" s="14" t="s">
        <v>306</v>
      </c>
    </row>
    <row r="236" spans="1:4" ht="28.5">
      <c r="A236" s="15">
        <v>46180.543217592596</v>
      </c>
      <c r="B236" s="14" t="s">
        <v>192</v>
      </c>
      <c r="C236" s="14" t="s">
        <v>301</v>
      </c>
      <c r="D236" s="14" t="s">
        <v>302</v>
      </c>
    </row>
    <row r="237" spans="1:4" ht="28.5">
      <c r="A237" s="15">
        <v>46180.545231481483</v>
      </c>
      <c r="B237" s="14" t="s">
        <v>192</v>
      </c>
      <c r="C237" s="14" t="s">
        <v>305</v>
      </c>
      <c r="D237" s="14" t="s">
        <v>306</v>
      </c>
    </row>
    <row r="238" spans="1:4" ht="28.5">
      <c r="A238" s="15">
        <v>46180.545243055552</v>
      </c>
      <c r="B238" s="14" t="s">
        <v>192</v>
      </c>
      <c r="C238" s="14" t="s">
        <v>301</v>
      </c>
      <c r="D238" s="14" t="s">
        <v>302</v>
      </c>
    </row>
    <row r="239" spans="1:4" ht="28.5">
      <c r="A239" s="15">
        <v>46180.547777777778</v>
      </c>
      <c r="B239" s="14" t="s">
        <v>192</v>
      </c>
      <c r="C239" s="14" t="s">
        <v>303</v>
      </c>
      <c r="D239" s="14" t="s">
        <v>307</v>
      </c>
    </row>
    <row r="240" spans="1:4" ht="28.5">
      <c r="A240" s="15">
        <v>46180.568738425929</v>
      </c>
      <c r="B240" s="14" t="s">
        <v>192</v>
      </c>
      <c r="C240" s="14" t="s">
        <v>305</v>
      </c>
      <c r="D240" s="14" t="s">
        <v>306</v>
      </c>
    </row>
    <row r="241" spans="1:4" ht="28.5">
      <c r="A241" s="15">
        <v>46180.568749999999</v>
      </c>
      <c r="B241" s="14" t="s">
        <v>192</v>
      </c>
      <c r="C241" s="14" t="s">
        <v>301</v>
      </c>
      <c r="D241" s="14" t="s">
        <v>302</v>
      </c>
    </row>
    <row r="242" spans="1:4" ht="28.5">
      <c r="A242" s="15">
        <v>46180.571203703701</v>
      </c>
      <c r="B242" s="14" t="s">
        <v>192</v>
      </c>
      <c r="C242" s="14" t="s">
        <v>303</v>
      </c>
      <c r="D242" s="14" t="s">
        <v>307</v>
      </c>
    </row>
    <row r="243" spans="1:4" ht="28.5">
      <c r="A243" s="15">
        <v>46180.584131944444</v>
      </c>
      <c r="B243" s="14" t="s">
        <v>192</v>
      </c>
      <c r="C243" s="14" t="s">
        <v>305</v>
      </c>
      <c r="D243" s="14" t="s">
        <v>306</v>
      </c>
    </row>
    <row r="244" spans="1:4" ht="28.5">
      <c r="A244" s="15">
        <v>46180.584131944444</v>
      </c>
      <c r="B244" s="14" t="s">
        <v>192</v>
      </c>
      <c r="C244" s="14" t="s">
        <v>301</v>
      </c>
      <c r="D244" s="14" t="s">
        <v>302</v>
      </c>
    </row>
    <row r="245" spans="1:4" ht="28.5">
      <c r="A245" s="15">
        <v>46180.589571759258</v>
      </c>
      <c r="B245" s="14" t="s">
        <v>192</v>
      </c>
      <c r="C245" s="14" t="s">
        <v>305</v>
      </c>
      <c r="D245" s="14" t="s">
        <v>306</v>
      </c>
    </row>
    <row r="246" spans="1:4" ht="28.5">
      <c r="A246" s="15">
        <v>46180.589583333334</v>
      </c>
      <c r="B246" s="14" t="s">
        <v>192</v>
      </c>
      <c r="C246" s="14" t="s">
        <v>301</v>
      </c>
      <c r="D246" s="14" t="s">
        <v>302</v>
      </c>
    </row>
    <row r="247" spans="1:4" ht="28.5">
      <c r="A247" s="15">
        <v>46180.59103009259</v>
      </c>
      <c r="B247" s="14" t="s">
        <v>192</v>
      </c>
      <c r="C247" s="14" t="s">
        <v>303</v>
      </c>
      <c r="D247" s="14" t="s">
        <v>307</v>
      </c>
    </row>
    <row r="248" spans="1:4" ht="28.5">
      <c r="A248" s="15">
        <v>46180.595023148147</v>
      </c>
      <c r="B248" s="14" t="s">
        <v>192</v>
      </c>
      <c r="C248" s="14" t="s">
        <v>303</v>
      </c>
      <c r="D248" s="14" t="s">
        <v>307</v>
      </c>
    </row>
    <row r="249" spans="1:4" ht="28.5">
      <c r="A249" s="15">
        <v>46180.621550925927</v>
      </c>
      <c r="B249" s="14" t="s">
        <v>192</v>
      </c>
      <c r="C249" s="14" t="s">
        <v>303</v>
      </c>
      <c r="D249" s="14" t="s">
        <v>307</v>
      </c>
    </row>
    <row r="250" spans="1:4" ht="28.5">
      <c r="A250" s="15">
        <v>46180.639062499999</v>
      </c>
      <c r="B250" s="14" t="s">
        <v>192</v>
      </c>
      <c r="C250" s="14" t="s">
        <v>303</v>
      </c>
      <c r="D250" s="14" t="s">
        <v>307</v>
      </c>
    </row>
    <row r="251" spans="1:4" ht="28.5">
      <c r="A251" s="15">
        <v>46180.642175925925</v>
      </c>
      <c r="B251" s="14" t="s">
        <v>192</v>
      </c>
      <c r="C251" s="14" t="s">
        <v>303</v>
      </c>
      <c r="D251" s="14" t="s">
        <v>307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3.xml><?xml version="1.0" encoding="utf-8"?>
<ds:datastoreItem xmlns:ds="http://schemas.openxmlformats.org/officeDocument/2006/customXml" ds:itemID="{4F51FB77-09BA-4B3A-93FB-7A56A2EFB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Notes - Instructions</vt:lpstr>
      <vt:lpstr>Dashboard</vt:lpstr>
      <vt:lpstr>Email Campaigns</vt:lpstr>
      <vt:lpstr>SMS Campaigns</vt:lpstr>
      <vt:lpstr>January Calendar</vt:lpstr>
      <vt:lpstr>February Calendar</vt:lpstr>
      <vt:lpstr>March Calendar</vt:lpstr>
      <vt:lpstr>April Calendar</vt:lpstr>
      <vt:lpstr>May Calendar</vt:lpstr>
      <vt:lpstr>June Calendar</vt:lpstr>
      <vt:lpstr>July Calendar</vt:lpstr>
      <vt:lpstr>August Calendar</vt:lpstr>
      <vt:lpstr>September Calendar</vt:lpstr>
      <vt:lpstr>October Calendar</vt:lpstr>
      <vt:lpstr>November Calendar</vt:lpstr>
      <vt:lpstr>December Calendar</vt:lpstr>
      <vt:lpstr>'April Calendar'!Print_Area</vt:lpstr>
      <vt:lpstr>'August Calendar'!Print_Area</vt:lpstr>
      <vt:lpstr>'December Calendar'!Print_Area</vt:lpstr>
      <vt:lpstr>'February Calendar'!Print_Area</vt:lpstr>
      <vt:lpstr>'January Calendar'!Print_Area</vt:lpstr>
      <vt:lpstr>'July Calendar'!Print_Area</vt:lpstr>
      <vt:lpstr>'June Calendar'!Print_Area</vt:lpstr>
      <vt:lpstr>'March Calendar'!Print_Area</vt:lpstr>
      <vt:lpstr>'May Calendar'!Print_Area</vt:lpstr>
      <vt:lpstr>'November Calendar'!Print_Area</vt:lpstr>
      <vt:lpstr>'October Calendar'!Print_Area</vt:lpstr>
      <vt:lpstr>'September Calendar'!Print_Area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2026-06-09T01:32:28Z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