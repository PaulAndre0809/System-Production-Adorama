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A4E141B9-DB9A-45D6-B2A1-5A9350765957}" xr6:coauthVersionLast="47" xr6:coauthVersionMax="47" xr10:uidLastSave="{00000000-0000-0000-0000-000000000000}"/>
  <bookViews>
    <workbookView xWindow="-120" yWindow="-120" windowWidth="29040" windowHeight="1599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9" l="1"/>
  <c r="E2" i="1"/>
  <c r="AA11" i="2" s="1" a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J11" i="2" l="1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P27" i="2"/>
  <c r="Q27" i="2" s="1"/>
  <c r="P26" i="2"/>
  <c r="Q26" i="2" s="1"/>
  <c r="P5" i="2"/>
  <c r="Q5" i="2" s="1"/>
  <c r="P4" i="2"/>
  <c r="Q4" i="2" s="1"/>
  <c r="K46" i="2" l="1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<sst xmlns="http://schemas.openxmlformats.org/spreadsheetml/2006/main" count="468" uniqueCount="253">
  <si>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</si>
  <si>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</si>
  <si>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</si>
  <si>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</si>
  <si>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</si>
  <si>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</si>
  <si>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</si>
  <si>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</si>
  <si>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</si>
  <si>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</si>
  <si>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</si>
  <si>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</si>
  <si>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</si>
  <si>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</si>
  <si>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</si>
  <si>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</si>
  <si>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</si>
  <si>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</si>
  <si>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</si>
  <si>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</si>
  <si>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</si>
  <si>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</si>
  <si>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</si>
  <si>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</si>
  <si>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</si>
  <si>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</si>
  <si>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</si>
  <si>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</si>
  <si>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</si>
  <si>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</si>
  <si>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</si>
  <si>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</si>
  <si>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</si>
  <si>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</si>
  <si>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</si>
  <si>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</si>
  <si>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</si>
  <si>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</si>
  <si>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</si>
  <si>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</si>
  <si>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</si>
  <si>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</si>
  <si>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</si>
  <si>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</si>
  <si>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</si>
  <si>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</si>
  <si>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</si>
  <si>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</si>
  <si>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</si>
  <si>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</si>
  <si>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</si>
  <si>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</si>
  <si>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</si>
  <si>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</si>
  <si>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</si>
  <si>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</si>
  <si>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</si>
  <si>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</si>
  <si>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</si>
  <si>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</si>
  <si>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</si>
  <si>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</si>
  <si>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</si>
  <si>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</si>
  <si>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</si>
  <si>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</si>
  <si>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</si>
  <si>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</si>
  <si>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</si>
  <si>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</si>
  <si>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</si>
  <si>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</si>
  <si>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</si>
  <si>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</si>
  <si>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</si>
  <si>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</si>
  <si>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</si>
  <si>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</si>
  <si>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</si>
  <si>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</si>
  <si>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</si>
  <si>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</si>
  <si>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</si>
  <si>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</si>
  <si>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</si>
  <si>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</si>
  <si>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</si>
  <si>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</si>
  <si>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</si>
  <si>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</si>
  <si>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</si>
  <si>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</si>
  <si>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</si>
  <si>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</si>
  <si>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</si>
  <si>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</si>
  <si>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</si>
  <si>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</si>
  <si>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</si>
  <si>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</si>
  <si>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</si>
  <si>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</si>
  <si>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</si>
  <si>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</si>
  <si>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</si>
  <si>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</si>
  <si>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</si>
  <si>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</si>
  <si>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</si>
  <si>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</si>
  <si>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</si>
  <si>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</si>
  <si>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</si>
  <si>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</si>
  <si>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</si>
  <si>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</si>
  <si>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</si>
  <si>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</si>
  <si>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</si>
  <si>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</si>
  <si>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</si>
  <si>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</si>
  <si>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</si>
  <si>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</si>
  <si>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</si>
  <si>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</si>
  <si>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</si>
  <si>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</si>
  <si>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</si>
  <si>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</si>
  <si>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</si>
  <si>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</si>
  <si>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</si>
  <si>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</si>
  <si>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</si>
  <si>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</si>
  <si>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</si>
  <si>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</si>
  <si>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</si>
  <si>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Loyalty &amp; PLCC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</si>
  <si>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</si>
  <si>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</si>
  <si>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</si>
  <si>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</si>
  <si>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</si>
  <si>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</si>
  <si>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</si>
  <si>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</si>
  <si>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</si>
  <si>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</si>
  <si>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</si>
  <si>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</si>
  <si>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</si>
  <si>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</si>
  <si>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</si>
  <si>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</si>
  <si>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</si>
  <si>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</si>
  <si>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</si>
  <si>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</si>
  <si>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</si>
  <si>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</si>
  <si>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</si>
  <si>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</si>
  <si>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</si>
  <si>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</si>
  <si>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</si>
  <si>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</si>
  <si>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</si>
  <si>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</si>
  <si>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</si>
  <si>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</si>
  <si>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</si>
  <si>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</si>
  <si>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</si>
  <si>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</si>
  <si>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</si>
  <si>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</si>
  <si>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</si>
  <si>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</si>
  <si>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</si>
  <si>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</si>
  <si>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</si>
  <si>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</si>
  <si>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</si>
  <si>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</si>
  <si>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</si>
  <si>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</si>
  <si>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</si>
  <si>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</si>
  <si>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</si>
  <si>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</si>
  <si>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</si>
  <si>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</si>
  <si>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</si>
  <si>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</si>
  <si>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</si>
  <si>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</si>
  <si>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</si>
  <si>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</si>
  <si>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</si>
  <si>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</si>
  <si>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</si>
  <si>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</si>
  <si>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</si>
  <si>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</si>
  <si>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</si>
  <si>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</si>
  <si>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</si>
  <si>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</si>
  <si>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</si>
  <si>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</si>
  <si>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</si>
  <si>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</si>
  <si>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</si>
  <si>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</si>
  <si>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</si>
  <si>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</si>
  <si>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</si>
  <si>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</si>
  <si>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</si>
  <si>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</si>
  <si>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</si>
  <si>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</si>
  <si>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</si>
  <si>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</si>
  <si>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</si>
  <si>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</si>
  <si>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</si>
  <si>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January 2026 Campaign Calendar</t>
  </si>
  <si>
    <t>February 2026 Campaign Calendar</t>
  </si>
  <si>
    <t>March 2026 Campaign Calendar</t>
  </si>
  <si>
    <t>April 2026 Campaign Calendar</t>
  </si>
  <si>
    <t>May 2026 Campaign Calendar</t>
  </si>
  <si>
    <t>June 2026 Campaign Calendar</t>
  </si>
  <si>
    <t>July 2026 Campaign Calendar</t>
  </si>
  <si>
    <t>August 2026 Campaign Calendar</t>
  </si>
  <si>
    <t>September 2026 Campaign Calendar</t>
  </si>
  <si>
    <t>October 2026 Campaign Calendar</t>
  </si>
  <si>
    <t>November 2026 Campaign Calendar</t>
  </si>
  <si>
    <t>December 2026 Campaign Calendar</t>
  </si>
  <si>
    <t/>
  </si>
  <si>
    <t>Kim Chim</t>
  </si>
  <si>
    <t>Scheduled Column</t>
  </si>
  <si>
    <t>Checkbox column on both Email and SMS Campaigns sheets.</t>
  </si>
  <si>
    <t>When Segments is checked but Scheduled is not, Current Stage shows 'Ready to Schedule'.</t>
  </si>
  <si>
    <t>Must remain as a checkbox (TRUE/FALSE).</t>
  </si>
  <si>
    <t>Check the box once the campaign is scheduled.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</si>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</sst>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2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3" fillId="18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166" fontId="0" fillId="0" borderId="0" xfId="0" applyNumberFormat="1"/>
    <xf numFmtId="166" fontId="4" fillId="0" borderId="0" xfId="0" applyNumberFormat="1" applyFont="1" applyAlignment="1">
      <alignment vertical="top" wrapText="1"/>
    </xf>
    <xf numFmtId="166" fontId="4" fillId="0" borderId="0" xfId="0" applyNumberFormat="1" applyFont="1"/>
    <xf numFmtId="0" fontId="25" fillId="19" borderId="0" xfId="0" applyFont="1" applyFill="1"/>
    <xf numFmtId="0" fontId="26" fillId="19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0D7A19-30EA-4770-890C-10188E52D4DA}" name="NotesTable" displayName="NotesTable" ref="A3:E16" totalsRowShown="0" headerRowDxfId="143" dataDxfId="142">
  <autoFilter ref="A3:E16" xr:uid="{4C0D7A19-30EA-4770-890C-10188E52D4DA}"/>
  <tableColumns count="5">
    <tableColumn id="1" xr3:uid="{06FA0245-9A94-4547-BBDB-5965247C5A29}" name="Component" dataDxfId="141"/>
    <tableColumn id="2" xr3:uid="{36943D87-4F32-4461-A193-0DE38FE3860A}" name="Function" dataDxfId="140"/>
    <tableColumn id="3" xr3:uid="{A85B20D8-DB6C-4181-AA6A-A90ABF45CE77}" name="Displayed Information" dataDxfId="139"/>
    <tableColumn id="4" xr3:uid="{61320B31-230D-44C8-9230-A923FB9AC637}" name="Limitations" dataDxfId="138"/>
    <tableColumn id="5" xr3:uid="{530A2ED9-18B4-4AB0-B6E0-FF7D902310C2}" name="Usage" dataDxfId="13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" headerRowDxfId="82" dataDxfId="81" totalsRowDxfId="80">
  <autoFilter ref="A1:W2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A8BEA7EB-5815-4C39-93F0-EE8E15E2EF00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" totalsRowShown="0" headerRowDxfId="48" dataDxfId="47">
  <autoFilter ref="A1:R2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B909552C-CA83-4199-92AA-EFB388041D01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topLeftCell="A12" workbookViewId="0">
      <selection activeCell="B18" sqref="B18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62" t="s">
        <v>0</v>
      </c>
      <c r="B1" s="63"/>
      <c r="C1" s="63"/>
      <c r="D1" s="63"/>
      <c r="E1" s="63"/>
    </row>
    <row r="2" spans="1:5">
      <c r="A2" s="63"/>
      <c r="B2" s="63"/>
      <c r="C2" s="63"/>
      <c r="D2" s="63"/>
      <c r="E2" s="63"/>
    </row>
    <row r="3" spans="1:5" ht="15">
      <c r="A3" s="64" t="s">
        <v>1</v>
      </c>
      <c r="B3" s="64" t="s">
        <v>2</v>
      </c>
      <c r="C3" s="64" t="s">
        <v>3</v>
      </c>
      <c r="D3" s="64" t="s">
        <v>4</v>
      </c>
      <c r="E3" s="64" t="s">
        <v>5</v>
      </c>
    </row>
    <row r="4" spans="1:5" ht="71.25">
      <c r="A4" s="65" t="s">
        <v>6</v>
      </c>
      <c r="B4" s="65" t="s">
        <v>7</v>
      </c>
      <c r="C4" s="65" t="s">
        <v>8</v>
      </c>
      <c r="D4" s="65" t="s">
        <v>9</v>
      </c>
      <c r="E4" s="65" t="s">
        <v>10</v>
      </c>
    </row>
    <row r="5" spans="1:5" ht="71.25">
      <c r="A5" s="65" t="s">
        <v>11</v>
      </c>
      <c r="B5" s="65" t="s">
        <v>12</v>
      </c>
      <c r="C5" s="65" t="s">
        <v>13</v>
      </c>
      <c r="D5" s="65" t="s">
        <v>14</v>
      </c>
      <c r="E5" s="65" t="s">
        <v>15</v>
      </c>
    </row>
    <row r="6" spans="1:5" ht="57">
      <c r="A6" s="65" t="s">
        <v>16</v>
      </c>
      <c r="B6" s="65" t="s">
        <v>17</v>
      </c>
      <c r="C6" s="65" t="s">
        <v>18</v>
      </c>
      <c r="D6" s="65" t="s">
        <v>19</v>
      </c>
      <c r="E6" s="65" t="s">
        <v>20</v>
      </c>
    </row>
    <row r="7" spans="1:5" ht="71.25">
      <c r="A7" s="65" t="s">
        <v>21</v>
      </c>
      <c r="B7" s="65" t="s">
        <v>22</v>
      </c>
      <c r="C7" s="65" t="s">
        <v>23</v>
      </c>
      <c r="D7" s="65" t="s">
        <v>24</v>
      </c>
      <c r="E7" s="65" t="s">
        <v>25</v>
      </c>
    </row>
    <row r="8" spans="1:5" ht="42.75">
      <c r="A8" s="65" t="s">
        <v>26</v>
      </c>
      <c r="B8" s="65" t="s">
        <v>27</v>
      </c>
      <c r="C8" s="65" t="s">
        <v>28</v>
      </c>
      <c r="D8" s="65" t="s">
        <v>29</v>
      </c>
      <c r="E8" s="65" t="s">
        <v>30</v>
      </c>
    </row>
    <row r="9" spans="1:5" ht="42.75">
      <c r="A9" s="65" t="s">
        <v>31</v>
      </c>
      <c r="B9" s="65" t="s">
        <v>32</v>
      </c>
      <c r="C9" s="65" t="s">
        <v>33</v>
      </c>
      <c r="D9" s="65" t="s">
        <v>34</v>
      </c>
      <c r="E9" s="65" t="s">
        <v>35</v>
      </c>
    </row>
    <row r="10" spans="1:5" ht="42.75">
      <c r="A10" s="65" t="s">
        <v>36</v>
      </c>
      <c r="B10" s="65" t="s">
        <v>37</v>
      </c>
      <c r="C10" s="65" t="s">
        <v>38</v>
      </c>
      <c r="D10" s="65" t="s">
        <v>39</v>
      </c>
      <c r="E10" s="65" t="s">
        <v>40</v>
      </c>
    </row>
    <row r="11" spans="1:5" ht="42.75">
      <c r="A11" s="65" t="s">
        <v>41</v>
      </c>
      <c r="B11" s="65" t="s">
        <v>42</v>
      </c>
      <c r="C11" s="65" t="s">
        <v>38</v>
      </c>
      <c r="D11" s="65" t="s">
        <v>43</v>
      </c>
      <c r="E11" s="65" t="s">
        <v>44</v>
      </c>
    </row>
    <row r="12" spans="1:5" ht="57">
      <c r="A12" s="65" t="s">
        <v>45</v>
      </c>
      <c r="B12" s="65" t="s">
        <v>46</v>
      </c>
      <c r="C12" s="65" t="s">
        <v>47</v>
      </c>
      <c r="D12" s="65" t="s">
        <v>48</v>
      </c>
      <c r="E12" s="65" t="s">
        <v>49</v>
      </c>
    </row>
    <row r="13" spans="1:5" ht="42.75">
      <c r="A13" s="65" t="s">
        <v>50</v>
      </c>
      <c r="B13" s="65" t="s">
        <v>51</v>
      </c>
      <c r="C13" s="65" t="s">
        <v>52</v>
      </c>
      <c r="D13" s="65" t="s">
        <v>38</v>
      </c>
      <c r="E13" s="65" t="s">
        <v>53</v>
      </c>
    </row>
    <row r="14" spans="1:5" ht="99.75">
      <c r="A14" s="65" t="s">
        <v>54</v>
      </c>
      <c r="B14" s="65" t="s">
        <v>55</v>
      </c>
      <c r="C14" s="65" t="s">
        <v>56</v>
      </c>
      <c r="D14" s="65" t="s">
        <v>57</v>
      </c>
      <c r="E14" s="65" t="s">
        <v>58</v>
      </c>
    </row>
    <row r="15" spans="1:5" ht="42.75">
      <c r="A15" s="65" t="s">
        <v>243</v>
      </c>
      <c r="B15" s="65" t="s">
        <v>244</v>
      </c>
      <c r="C15" s="65" t="s">
        <v>245</v>
      </c>
      <c r="D15" s="65" t="s">
        <v>246</v>
      </c>
      <c r="E15" s="65" t="s">
        <v>247</v>
      </c>
    </row>
    <row r="16" spans="1:5" ht="42.75">
      <c r="A16" s="65" t="s">
        <v>248</v>
      </c>
      <c r="B16" s="65" t="s">
        <v>249</v>
      </c>
      <c r="C16" s="65" t="s">
        <v>250</v>
      </c>
      <c r="D16" s="65" t="s">
        <v>251</v>
      </c>
      <c r="E16" s="65" t="s">
        <v>252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2" t="s">
        <v>59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3" t="s">
        <v>60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9"/>
      <c r="N2" s="71" t="s">
        <v>61</v>
      </c>
      <c r="O2" s="71"/>
      <c r="P2" s="71"/>
      <c r="Q2" s="71"/>
      <c r="R2" s="71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10:49 pm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5" t="s">
        <v>69</v>
      </c>
      <c r="B4" s="76"/>
      <c r="C4" s="79" t="s">
        <v>70</v>
      </c>
      <c r="D4" s="79"/>
      <c r="E4" s="83" t="s">
        <v>71</v>
      </c>
      <c r="F4" s="83"/>
      <c r="G4" s="87" t="s">
        <v>72</v>
      </c>
      <c r="H4" s="87"/>
      <c r="I4" s="75" t="s">
        <v>73</v>
      </c>
      <c r="J4" s="75"/>
      <c r="K4" s="95" t="s">
        <v>74</v>
      </c>
      <c r="L4" s="95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0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7">
        <f>SUMPRODUCT((EmailCampaignsTable[Campaign Name]&lt;&gt;"")*(IFERROR(--EmailCampaignsTable[Delivered],0)&lt;=0))+SUMPRODUCT((SMSCampaignsTable[Campaign Name]&lt;&gt;"")*(IFERROR(--SMSCampaignsTable[Delivered],0)&lt;=0))</f>
        <v>0</v>
      </c>
      <c r="B5" s="77"/>
      <c r="C5" s="80">
        <f ca="1">COUNTIFS('Email Campaigns'!$A$2:$A$2,TODAY(),'Email Campaigns'!$C$2:$C$2,"&lt;&gt;")+COUNTIFS('SMS Campaigns'!$A$2:$A$2,TODAY(),'SMS Campaigns'!$C$2:$C$2,"&lt;&gt;")</f>
        <v>0</v>
      </c>
      <c r="D5" s="81"/>
      <c r="E5" s="84">
        <f>SUMPRODUCT((EmailCampaignsTable[Campaign Name]&lt;&gt;"")*(IFERROR(--EmailCampaignsTable[Delivered],0)&lt;=0))</f>
        <v>0</v>
      </c>
      <c r="F5" s="85"/>
      <c r="G5" s="88">
        <f>SUMPRODUCT((SMSCampaignsTable[Campaign Name]&lt;&gt;"")*(IFERROR(--SMSCampaignsTable[Delivered],0)&lt;=0))</f>
        <v>0</v>
      </c>
      <c r="H5" s="89"/>
      <c r="I5" s="77">
        <f>COUNTIFS('Email Campaigns'!$C$2:$C$2,"&lt;&gt;",'Email Campaigns'!$M$2:$M$2,FALSE)+COUNTIFS('SMS Campaigns'!$C$2:$C$2,"&lt;&gt;",'SMS Campaigns'!$I$2:$I$2,FALSE)</f>
        <v>0</v>
      </c>
      <c r="J5" s="91"/>
      <c r="K5" s="96">
        <f>SUMPRODUCT((EmailCampaignsTable[Campaign Name]&lt;&gt;"")*(IFERROR(--EmailCampaignsTable[Delivered],0)&gt;0))+SUMPRODUCT((SMSCampaignsTable[Campaign Name]&lt;&gt;"")*(IFERROR(--SMSCampaignsTable[Delivered],0)&gt;0))</f>
        <v>0</v>
      </c>
      <c r="L5" s="97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0</v>
      </c>
      <c r="R5" s="11">
        <f ca="1">Q5-Q4</f>
        <v>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8" t="s">
        <v>77</v>
      </c>
      <c r="B6" s="76"/>
      <c r="C6" s="82" t="s">
        <v>78</v>
      </c>
      <c r="D6" s="79"/>
      <c r="E6" s="86" t="s">
        <v>79</v>
      </c>
      <c r="F6" s="83"/>
      <c r="G6" s="90" t="s">
        <v>80</v>
      </c>
      <c r="H6" s="87"/>
      <c r="I6" s="78" t="s">
        <v>81</v>
      </c>
      <c r="J6" s="75"/>
      <c r="K6" s="98" t="s">
        <v>82</v>
      </c>
      <c r="L6" s="95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9" t="s">
        <v>95</v>
      </c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2" t="s">
        <v>96</v>
      </c>
      <c r="B9" s="93"/>
      <c r="C9" s="94"/>
      <c r="D9" s="94"/>
      <c r="E9" s="94"/>
      <c r="F9" s="94"/>
      <c r="G9" s="94"/>
      <c r="H9" s="94"/>
      <c r="I9" s="94"/>
      <c r="J9" s="94"/>
      <c r="K9" s="94"/>
      <c r="L9" s="94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>
      <c r="A11" s="52" t="str" cm="1">
        <f t="array" aca="1" ref="A11" ca="1">IFERROR(INDEX(_xlfn.ANCHORARRAY($AA$11),ROW()-10,1),"")</f>
        <v/>
      </c>
      <c r="B11" s="26" t="str" cm="1">
        <f t="array" aca="1" ref="B11" ca="1">IFERROR(INDEX(_xlfn.ANCHORARRAY($AA$11),ROW()-10,2),"")</f>
        <v/>
      </c>
      <c r="C11" s="27" t="str" cm="1">
        <f t="array" aca="1" ref="C11" ca="1">IFERROR(INDEX(_xlfn.ANCHORARRAY($AA$11),ROW()-10,3),"")</f>
        <v/>
      </c>
      <c r="D11" s="27" t="str" cm="1">
        <f t="array" aca="1" ref="D11" ca="1">IFERROR(INDEX(_xlfn.ANCHORARRAY($AA$11),ROW()-10,4),"")</f>
        <v/>
      </c>
      <c r="E11" s="27" t="str" cm="1">
        <f t="array" aca="1" ref="E11" ca="1">IFERROR(INDEX(_xlfn.ANCHORARRAY($AA$11),ROW()-10,5),"")</f>
        <v/>
      </c>
      <c r="F11" s="27" t="str" cm="1">
        <f t="array" aca="1" ref="F11" ca="1">IFERROR(INDEX(_xlfn.ANCHORARRAY($AA$11),ROW()-10,6),"")</f>
        <v/>
      </c>
      <c r="G11" s="27" t="str" cm="1">
        <f t="array" aca="1" ref="G11" ca="1">IFERROR(INDEX(_xlfn.ANCHORARRAY($AA$11),ROW()-10,7),"")</f>
        <v/>
      </c>
      <c r="H11" s="27" t="str" cm="1">
        <f t="array" aca="1" ref="H11" ca="1">IFERROR(INDEX(_xlfn.ANCHORARRAY($AA$11),ROW()-10,8),"")</f>
        <v/>
      </c>
      <c r="I11" s="27" t="str" cm="1">
        <f t="array" aca="1" ref="I11" ca="1">IFERROR(INDEX(_xlfn.ANCHORARRAY($AA$11),ROW()-10,9),"")</f>
        <v/>
      </c>
      <c r="J11" s="28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/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59" t="str" cm="1">
        <f t="array" aca="1" ref="AA11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2" t="str" cm="1">
        <f t="array" aca="1" ref="A12" ca="1">IFERROR(INDEX(_xlfn.ANCHORARRAY($AA$11),ROW()-10,1),"")</f>
        <v/>
      </c>
      <c r="B12" s="26" t="str" cm="1">
        <f t="array" aca="1" ref="B12" ca="1">IFERROR(INDEX(_xlfn.ANCHORARRAY($AA$11),ROW()-10,2),"")</f>
        <v/>
      </c>
      <c r="C12" s="22" t="str" cm="1">
        <f t="array" aca="1" ref="C12" ca="1">IFERROR(INDEX(_xlfn.ANCHORARRAY($AA$11),ROW()-10,3),"")</f>
        <v/>
      </c>
      <c r="D12" s="22" t="str" cm="1">
        <f t="array" aca="1" ref="D12" ca="1">IFERROR(INDEX(_xlfn.ANCHORARRAY($AA$11),ROW()-10,4),"")</f>
        <v/>
      </c>
      <c r="E12" s="22" t="str" cm="1">
        <f t="array" aca="1" ref="E12" ca="1">IFERROR(INDEX(_xlfn.ANCHORARRAY($AA$11),ROW()-10,5),"")</f>
        <v/>
      </c>
      <c r="F12" s="22" t="str" cm="1">
        <f t="array" aca="1" ref="F12" ca="1">IFERROR(INDEX(_xlfn.ANCHORARRAY($AA$11),ROW()-10,6),"")</f>
        <v/>
      </c>
      <c r="G12" s="22" t="str" cm="1">
        <f t="array" aca="1" ref="G12" ca="1">IFERROR(INDEX(_xlfn.ANCHORARRAY($AA$11),ROW()-10,7),"")</f>
        <v/>
      </c>
      <c r="H12" s="22" t="str" cm="1">
        <f t="array" aca="1" ref="H12" ca="1">IFERROR(INDEX(_xlfn.ANCHORARRAY($AA$11),ROW()-10,8),"")</f>
        <v/>
      </c>
      <c r="I12" s="22" t="str" cm="1">
        <f t="array" aca="1" ref="I12" ca="1">IFERROR(INDEX(_xlfn.ANCHORARRAY($AA$11),ROW()-10,9),"")</f>
        <v/>
      </c>
      <c r="J12" s="28" t="str">
        <f t="shared" ca="1" si="0"/>
        <v/>
      </c>
      <c r="K12" s="27" t="str">
        <f t="shared" ca="1" si="1"/>
        <v/>
      </c>
      <c r="L12" s="27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59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2" t="str" cm="1">
        <f t="array" aca="1" ref="A13" ca="1">IFERROR(INDEX(_xlfn.ANCHORARRAY($AA$11),ROW()-10,1),"")</f>
        <v/>
      </c>
      <c r="B13" s="26" t="str" cm="1">
        <f t="array" aca="1" ref="B13" ca="1">IFERROR(INDEX(_xlfn.ANCHORARRAY($AA$11),ROW()-10,2),"")</f>
        <v/>
      </c>
      <c r="C13" s="22" t="str" cm="1">
        <f t="array" aca="1" ref="C13" ca="1">IFERROR(INDEX(_xlfn.ANCHORARRAY($AA$11),ROW()-10,3),"")</f>
        <v/>
      </c>
      <c r="D13" s="22" t="str" cm="1">
        <f t="array" aca="1" ref="D13" ca="1">IFERROR(INDEX(_xlfn.ANCHORARRAY($AA$11),ROW()-10,4),"")</f>
        <v/>
      </c>
      <c r="E13" s="22" t="str" cm="1">
        <f t="array" aca="1" ref="E13" ca="1">IFERROR(INDEX(_xlfn.ANCHORARRAY($AA$11),ROW()-10,5),"")</f>
        <v/>
      </c>
      <c r="F13" s="22" t="str" cm="1">
        <f t="array" aca="1" ref="F13" ca="1">IFERROR(INDEX(_xlfn.ANCHORARRAY($AA$11),ROW()-10,6),"")</f>
        <v/>
      </c>
      <c r="G13" s="22" t="str" cm="1">
        <f t="array" aca="1" ref="G13" ca="1">IFERROR(INDEX(_xlfn.ANCHORARRAY($AA$11),ROW()-10,7),"")</f>
        <v/>
      </c>
      <c r="H13" s="22" t="str" cm="1">
        <f t="array" aca="1" ref="H13" ca="1">IFERROR(INDEX(_xlfn.ANCHORARRAY($AA$11),ROW()-10,8),"")</f>
        <v/>
      </c>
      <c r="I13" s="22" t="str" cm="1">
        <f t="array" aca="1" ref="I13" ca="1">IFERROR(INDEX(_xlfn.ANCHORARRAY($AA$11),ROW()-10,9),"")</f>
        <v/>
      </c>
      <c r="J13" s="28" t="str">
        <f t="shared" ca="1" si="0"/>
        <v/>
      </c>
      <c r="K13" s="29" t="str">
        <f t="shared" ca="1" si="1"/>
        <v/>
      </c>
      <c r="L13" s="29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59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2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0"/>
        <v/>
      </c>
      <c r="K14" s="30" t="str">
        <f t="shared" ca="1" si="1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59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2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0"/>
        <v/>
      </c>
      <c r="K15" s="27" t="str">
        <f t="shared" ca="1" si="1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59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3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0"/>
        <v/>
      </c>
      <c r="K16" s="30" t="str">
        <f t="shared" ca="1" si="1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59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3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0"/>
        <v/>
      </c>
      <c r="K17" s="22" t="str">
        <f t="shared" ca="1" si="1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3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0"/>
        <v/>
      </c>
      <c r="K18" s="22" t="str">
        <f t="shared" ca="1" si="1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59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3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0"/>
        <v/>
      </c>
      <c r="K19" s="22" t="str">
        <f t="shared" ca="1" si="1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5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3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0"/>
        <v/>
      </c>
      <c r="K20" s="22" t="str">
        <f t="shared" ca="1" si="1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59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3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0"/>
        <v/>
      </c>
      <c r="K21" s="22" t="str">
        <f t="shared" ca="1" si="1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 s="59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3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0"/>
        <v/>
      </c>
      <c r="K22" s="22" t="str">
        <f t="shared" ca="1" si="1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 s="59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3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0"/>
        <v/>
      </c>
      <c r="K23" s="22" t="str">
        <f t="shared" ca="1" si="1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 s="59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53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0"/>
        <v/>
      </c>
      <c r="K24" s="22" t="str">
        <f t="shared" ca="1" si="1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1" t="s">
        <v>109</v>
      </c>
      <c r="O24" s="71"/>
      <c r="P24" s="71"/>
      <c r="Q24" s="71"/>
      <c r="R24" s="71"/>
      <c r="S24" s="8"/>
      <c r="T24" s="8"/>
      <c r="U24" s="8"/>
      <c r="V24" s="8"/>
      <c r="W24" s="8"/>
      <c r="X24" s="8"/>
      <c r="Y24" s="8"/>
      <c r="Z24" s="8"/>
      <c r="AA24" s="59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3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0"/>
        <v/>
      </c>
      <c r="K25" s="22" t="str">
        <f t="shared" ca="1" si="1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 s="59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3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0"/>
        <v/>
      </c>
      <c r="K26" s="22" t="str">
        <f t="shared" ca="1" si="1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0</v>
      </c>
      <c r="R26" s="11"/>
      <c r="S26" s="8"/>
      <c r="T26" s="8"/>
      <c r="U26" s="8"/>
      <c r="V26" s="8"/>
      <c r="W26" s="8"/>
      <c r="X26" s="8"/>
      <c r="Y26" s="8"/>
      <c r="Z26" s="8"/>
      <c r="AA26" s="59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53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0"/>
        <v/>
      </c>
      <c r="K27" s="22" t="str">
        <f t="shared" ca="1" si="1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0</v>
      </c>
      <c r="R27" s="11">
        <f ca="1">Q27-Q26</f>
        <v>0</v>
      </c>
      <c r="S27" s="8"/>
      <c r="T27" s="8"/>
      <c r="U27" s="8"/>
      <c r="V27" s="8"/>
      <c r="W27" s="8"/>
      <c r="X27" s="8"/>
      <c r="Y27" s="8"/>
      <c r="Z27" s="8"/>
      <c r="AA27" s="59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3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0"/>
        <v/>
      </c>
      <c r="K28" s="22" t="str">
        <f t="shared" ca="1" si="1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 s="59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3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0"/>
        <v/>
      </c>
      <c r="K29" s="22" t="str">
        <f t="shared" ca="1" si="1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 s="5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3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0"/>
        <v/>
      </c>
      <c r="K30" s="22" t="str">
        <f t="shared" ca="1" si="1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 s="59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3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0"/>
        <v/>
      </c>
      <c r="K31" s="22" t="str">
        <f t="shared" ca="1" si="1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 s="59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3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0"/>
        <v/>
      </c>
      <c r="K32" s="22" t="str">
        <f t="shared" ca="1" si="1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 s="59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3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0"/>
        <v/>
      </c>
      <c r="K33" s="22" t="str">
        <f t="shared" ca="1" si="1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 s="59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3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0"/>
        <v/>
      </c>
      <c r="K34" s="22" t="str">
        <f t="shared" ca="1" si="1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 s="59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3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0"/>
        <v/>
      </c>
      <c r="K35" s="22" t="str">
        <f t="shared" ca="1" si="1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 s="59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3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0"/>
        <v/>
      </c>
      <c r="K36" s="22" t="str">
        <f t="shared" ca="1" si="1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 s="59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3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0"/>
        <v/>
      </c>
      <c r="K37" s="22" t="str">
        <f t="shared" ca="1" si="1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 s="59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3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0"/>
        <v/>
      </c>
      <c r="K38" s="22" t="str">
        <f t="shared" ca="1" si="1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 s="59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3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0"/>
        <v/>
      </c>
      <c r="K39" s="22" t="str">
        <f t="shared" ca="1" si="1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 s="5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3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0"/>
        <v/>
      </c>
      <c r="K40" s="22" t="str">
        <f t="shared" ca="1" si="1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 s="59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3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0"/>
        <v/>
      </c>
      <c r="K41" s="22" t="str">
        <f t="shared" ca="1" si="1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 s="59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3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0"/>
        <v/>
      </c>
      <c r="K42" s="22" t="str">
        <f t="shared" ca="1" si="1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 s="59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3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0"/>
        <v/>
      </c>
      <c r="K43" s="22" t="str">
        <f t="shared" ca="1" si="1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 s="59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3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0"/>
        <v/>
      </c>
      <c r="K44" s="22" t="str">
        <f t="shared" ca="1" si="1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 s="59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3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0"/>
        <v/>
      </c>
      <c r="K45" s="22" t="str">
        <f t="shared" ca="1" si="1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 s="59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3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 s="59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3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2"/>
        <v/>
      </c>
      <c r="K47" s="22" t="str">
        <f t="shared" ca="1" si="3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 s="59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3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2"/>
        <v/>
      </c>
      <c r="K48" s="22" t="str">
        <f t="shared" ca="1" si="3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 s="59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3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2"/>
        <v/>
      </c>
      <c r="K49" s="22" t="str">
        <f t="shared" ca="1" si="3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 s="5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3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2"/>
        <v/>
      </c>
      <c r="K50" s="22" t="str">
        <f t="shared" ca="1" si="3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 s="59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3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2"/>
        <v/>
      </c>
      <c r="K51" s="22" t="str">
        <f t="shared" ca="1" si="3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 s="59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3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2"/>
        <v/>
      </c>
      <c r="K52" s="22" t="str">
        <f t="shared" ca="1" si="3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 s="59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3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2"/>
        <v/>
      </c>
      <c r="K53" s="22" t="str">
        <f t="shared" ca="1" si="3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 s="59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3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2"/>
        <v/>
      </c>
      <c r="K54" s="22" t="str">
        <f t="shared" ca="1" si="3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 s="59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3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2"/>
        <v/>
      </c>
      <c r="K55" s="22" t="str">
        <f t="shared" ca="1" si="3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 s="59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3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2"/>
        <v/>
      </c>
      <c r="K56" s="22" t="str">
        <f t="shared" ca="1" si="3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 s="59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3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2"/>
        <v/>
      </c>
      <c r="K57" s="22" t="str">
        <f t="shared" ca="1" si="3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 s="59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3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2"/>
        <v/>
      </c>
      <c r="K58" s="22" t="str">
        <f t="shared" ca="1" si="3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 s="59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3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2"/>
        <v/>
      </c>
      <c r="K59" s="22" t="str">
        <f t="shared" ca="1" si="3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 s="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3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2"/>
        <v/>
      </c>
      <c r="K60" s="22" t="str">
        <f t="shared" ca="1" si="3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 s="59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3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2"/>
        <v/>
      </c>
      <c r="K61" s="22" t="str">
        <f t="shared" ca="1" si="3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 s="59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3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2"/>
        <v/>
      </c>
      <c r="K62" s="22" t="str">
        <f t="shared" ca="1" si="3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 s="59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3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2"/>
        <v/>
      </c>
      <c r="K63" s="22" t="str">
        <f t="shared" ca="1" si="3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 s="59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3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2"/>
        <v/>
      </c>
      <c r="K64" s="22" t="str">
        <f t="shared" ca="1" si="3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 s="59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3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2"/>
        <v/>
      </c>
      <c r="K65" s="22" t="str">
        <f t="shared" ca="1" si="3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 s="59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3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2"/>
        <v/>
      </c>
      <c r="K66" s="22" t="str">
        <f t="shared" ca="1" si="3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 s="59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3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2"/>
        <v/>
      </c>
      <c r="K67" s="22" t="str">
        <f t="shared" ca="1" si="3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 s="59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3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2"/>
        <v/>
      </c>
      <c r="K68" s="22" t="str">
        <f t="shared" ca="1" si="3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 s="59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3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2"/>
        <v/>
      </c>
      <c r="K69" s="22" t="str">
        <f t="shared" ca="1" si="3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 s="5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3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2"/>
        <v/>
      </c>
      <c r="K70" s="22" t="str">
        <f t="shared" ca="1" si="3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 s="59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3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2"/>
        <v/>
      </c>
      <c r="K71" s="22" t="str">
        <f t="shared" ca="1" si="3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 s="59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3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2"/>
        <v/>
      </c>
      <c r="K72" s="22" t="str">
        <f t="shared" ca="1" si="3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 s="59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3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2"/>
        <v/>
      </c>
      <c r="K73" s="22" t="str">
        <f t="shared" ca="1" si="3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 s="59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3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2"/>
        <v/>
      </c>
      <c r="K74" s="22" t="str">
        <f t="shared" ca="1" si="3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 s="59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3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 s="59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3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4"/>
        <v/>
      </c>
      <c r="K76" s="22" t="str">
        <f t="shared" ca="1" si="5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 s="59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3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4"/>
        <v/>
      </c>
      <c r="K77" s="22" t="str">
        <f t="shared" ca="1" si="5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 s="59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3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4"/>
        <v/>
      </c>
      <c r="K78" s="22" t="str">
        <f t="shared" ca="1" si="5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 s="59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3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4"/>
        <v/>
      </c>
      <c r="K79" s="22" t="str">
        <f t="shared" ca="1" si="5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 s="5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3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4"/>
        <v/>
      </c>
      <c r="K80" s="22" t="str">
        <f t="shared" ca="1" si="5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 s="59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3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4"/>
        <v/>
      </c>
      <c r="K81" s="22" t="str">
        <f t="shared" ca="1" si="5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 s="59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3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4"/>
        <v/>
      </c>
      <c r="K82" s="22" t="str">
        <f t="shared" ca="1" si="5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 s="59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3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4"/>
        <v/>
      </c>
      <c r="K83" s="22" t="str">
        <f t="shared" ca="1" si="5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 s="59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3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4"/>
        <v/>
      </c>
      <c r="K84" s="22" t="str">
        <f t="shared" ca="1" si="5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 s="59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3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4"/>
        <v/>
      </c>
      <c r="K85" s="22" t="str">
        <f t="shared" ca="1" si="5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 s="59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3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4"/>
        <v/>
      </c>
      <c r="K86" s="22" t="str">
        <f t="shared" ca="1" si="5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 s="59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3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4"/>
        <v/>
      </c>
      <c r="K87" s="22" t="str">
        <f t="shared" ca="1" si="5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 s="59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3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4"/>
        <v/>
      </c>
      <c r="K88" s="22" t="str">
        <f t="shared" ca="1" si="5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 s="59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3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4"/>
        <v/>
      </c>
      <c r="K89" s="22" t="str">
        <f t="shared" ca="1" si="5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 s="5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3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4"/>
        <v/>
      </c>
      <c r="K90" s="22" t="str">
        <f t="shared" ca="1" si="5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 s="59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3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4"/>
        <v/>
      </c>
      <c r="K91" s="22" t="str">
        <f t="shared" ca="1" si="5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 s="59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3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4"/>
        <v/>
      </c>
      <c r="K92" s="22" t="str">
        <f t="shared" ca="1" si="5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 s="59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3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4"/>
        <v/>
      </c>
      <c r="K93" s="22" t="str">
        <f t="shared" ca="1" si="5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 s="59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3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4"/>
        <v/>
      </c>
      <c r="K94" s="22" t="str">
        <f t="shared" ca="1" si="5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 s="59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3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4"/>
        <v/>
      </c>
      <c r="K95" s="22" t="str">
        <f t="shared" ca="1" si="5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 s="59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3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4"/>
        <v/>
      </c>
      <c r="K96" s="22" t="str">
        <f t="shared" ca="1" si="5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 s="59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3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4"/>
        <v/>
      </c>
      <c r="K97" s="22" t="str">
        <f t="shared" ca="1" si="5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 s="59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3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4"/>
        <v/>
      </c>
      <c r="K98" s="22" t="str">
        <f t="shared" ca="1" si="5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 s="59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3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4"/>
        <v/>
      </c>
      <c r="K99" s="22" t="str">
        <f t="shared" ca="1" si="5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 s="5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3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4"/>
        <v/>
      </c>
      <c r="K100" s="22" t="str">
        <f t="shared" ca="1" si="5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 s="59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3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4"/>
        <v/>
      </c>
      <c r="K101" s="22" t="str">
        <f t="shared" ca="1" si="5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 s="59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3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4"/>
        <v/>
      </c>
      <c r="K102" s="22" t="str">
        <f t="shared" ca="1" si="5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 s="59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3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4"/>
        <v/>
      </c>
      <c r="K103" s="22" t="str">
        <f t="shared" ca="1" si="5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 s="59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3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4"/>
        <v/>
      </c>
      <c r="K104" s="22" t="str">
        <f t="shared" ca="1" si="5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 s="59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3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4"/>
        <v/>
      </c>
      <c r="K105" s="22" t="str">
        <f t="shared" ca="1" si="5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 s="59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3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4"/>
        <v/>
      </c>
      <c r="K106" s="22" t="str">
        <f t="shared" ca="1" si="5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 s="59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3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 s="59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3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6"/>
        <v/>
      </c>
      <c r="K108" s="22" t="str">
        <f t="shared" ca="1" si="7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 s="59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3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6"/>
        <v/>
      </c>
      <c r="K109" s="22" t="str">
        <f t="shared" ca="1" si="7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 s="5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3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6"/>
        <v/>
      </c>
      <c r="K110" s="22" t="str">
        <f t="shared" ca="1" si="7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 s="59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3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6"/>
        <v/>
      </c>
      <c r="K111" s="22" t="str">
        <f t="shared" ca="1" si="7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 s="59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3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6"/>
        <v/>
      </c>
      <c r="K112" s="22" t="str">
        <f t="shared" ca="1" si="7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 s="59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3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6"/>
        <v/>
      </c>
      <c r="K113" s="22" t="str">
        <f t="shared" ca="1" si="7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 s="59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3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6"/>
        <v/>
      </c>
      <c r="K114" s="22" t="str">
        <f t="shared" ca="1" si="7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 s="59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3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6"/>
        <v/>
      </c>
      <c r="K115" s="22" t="str">
        <f t="shared" ca="1" si="7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 s="59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3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6"/>
        <v/>
      </c>
      <c r="K116" s="22" t="str">
        <f t="shared" ca="1" si="7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 s="59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3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6"/>
        <v/>
      </c>
      <c r="K117" s="22" t="str">
        <f t="shared" ca="1" si="7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 s="59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3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6"/>
        <v/>
      </c>
      <c r="K118" s="22" t="str">
        <f t="shared" ca="1" si="7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 s="59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3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6"/>
        <v/>
      </c>
      <c r="K119" s="22" t="str">
        <f t="shared" ca="1" si="7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 s="5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3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6"/>
        <v/>
      </c>
      <c r="K120" s="22" t="str">
        <f t="shared" ca="1" si="7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 s="59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3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6"/>
        <v/>
      </c>
      <c r="K121" s="22" t="str">
        <f t="shared" ca="1" si="7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 s="59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3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6"/>
        <v/>
      </c>
      <c r="K122" s="22" t="str">
        <f t="shared" ca="1" si="7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 s="59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3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6"/>
        <v/>
      </c>
      <c r="K123" s="22" t="str">
        <f t="shared" ca="1" si="7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 s="59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3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6"/>
        <v/>
      </c>
      <c r="K124" s="22" t="str">
        <f t="shared" ca="1" si="7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 s="59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3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6"/>
        <v/>
      </c>
      <c r="K125" s="22" t="str">
        <f t="shared" ca="1" si="7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 s="59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3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6"/>
        <v/>
      </c>
      <c r="K126" s="22" t="str">
        <f t="shared" ca="1" si="7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 s="59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3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6"/>
        <v/>
      </c>
      <c r="K127" s="22" t="str">
        <f t="shared" ca="1" si="7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 s="59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3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6"/>
        <v/>
      </c>
      <c r="K128" s="22" t="str">
        <f t="shared" ca="1" si="7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 s="59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3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6"/>
        <v/>
      </c>
      <c r="K129" s="22" t="str">
        <f t="shared" ca="1" si="7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 s="5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3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6"/>
        <v/>
      </c>
      <c r="K130" s="22" t="str">
        <f t="shared" ca="1" si="7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 s="59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3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6"/>
        <v/>
      </c>
      <c r="K131" s="22" t="str">
        <f t="shared" ca="1" si="7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 s="59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3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6"/>
        <v/>
      </c>
      <c r="K132" s="22" t="str">
        <f t="shared" ca="1" si="7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 s="59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3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6"/>
        <v/>
      </c>
      <c r="K133" s="22" t="str">
        <f t="shared" ca="1" si="7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 s="59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3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6"/>
        <v/>
      </c>
      <c r="K134" s="22" t="str">
        <f t="shared" ca="1" si="7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 s="59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3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6"/>
        <v/>
      </c>
      <c r="K135" s="22" t="str">
        <f t="shared" ca="1" si="7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 s="59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3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6"/>
        <v/>
      </c>
      <c r="K136" s="22" t="str">
        <f t="shared" ca="1" si="7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 s="59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3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6"/>
        <v/>
      </c>
      <c r="K137" s="22" t="str">
        <f t="shared" ca="1" si="7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 s="59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3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6"/>
        <v/>
      </c>
      <c r="K138" s="22" t="str">
        <f t="shared" ca="1" si="7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 s="59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3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 s="5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3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8"/>
        <v/>
      </c>
      <c r="K140" s="22" t="str">
        <f t="shared" ca="1" si="9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 s="59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3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8"/>
        <v/>
      </c>
      <c r="K141" s="22" t="str">
        <f t="shared" ca="1" si="9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 s="59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3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8"/>
        <v/>
      </c>
      <c r="K142" s="22" t="str">
        <f t="shared" ca="1" si="9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 s="59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3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8"/>
        <v/>
      </c>
      <c r="K143" s="22" t="str">
        <f t="shared" ca="1" si="9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 s="59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3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8"/>
        <v/>
      </c>
      <c r="K144" s="22" t="str">
        <f t="shared" ca="1" si="9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 s="59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3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8"/>
        <v/>
      </c>
      <c r="K145" s="22" t="str">
        <f t="shared" ca="1" si="9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 s="59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3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8"/>
        <v/>
      </c>
      <c r="K146" s="22" t="str">
        <f t="shared" ca="1" si="9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 s="59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3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8"/>
        <v/>
      </c>
      <c r="K147" s="22" t="str">
        <f t="shared" ca="1" si="9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 s="59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3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8"/>
        <v/>
      </c>
      <c r="K148" s="22" t="str">
        <f t="shared" ca="1" si="9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 s="59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3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8"/>
        <v/>
      </c>
      <c r="K149" s="22" t="str">
        <f t="shared" ca="1" si="9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 s="5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3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8"/>
        <v/>
      </c>
      <c r="K150" s="22" t="str">
        <f t="shared" ca="1" si="9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 s="59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3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8"/>
        <v/>
      </c>
      <c r="K151" s="22" t="str">
        <f t="shared" ca="1" si="9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 s="59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3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8"/>
        <v/>
      </c>
      <c r="K152" s="22" t="str">
        <f t="shared" ca="1" si="9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 s="59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3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8"/>
        <v/>
      </c>
      <c r="K153" s="22" t="str">
        <f t="shared" ca="1" si="9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 s="59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3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8"/>
        <v/>
      </c>
      <c r="K154" s="22" t="str">
        <f t="shared" ca="1" si="9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 s="59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3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8"/>
        <v/>
      </c>
      <c r="K155" s="22" t="str">
        <f t="shared" ca="1" si="9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 s="59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3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8"/>
        <v/>
      </c>
      <c r="K156" s="22" t="str">
        <f t="shared" ca="1" si="9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 s="59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3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8"/>
        <v/>
      </c>
      <c r="K157" s="22" t="str">
        <f t="shared" ca="1" si="9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 s="59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3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8"/>
        <v/>
      </c>
      <c r="K158" s="22" t="str">
        <f t="shared" ca="1" si="9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 s="59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3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8"/>
        <v/>
      </c>
      <c r="K159" s="22" t="str">
        <f t="shared" ca="1" si="9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 s="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3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8"/>
        <v/>
      </c>
      <c r="K160" s="22" t="str">
        <f t="shared" ca="1" si="9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 s="59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53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 s="59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54" t="s">
        <v>111</v>
      </c>
      <c r="B162" s="32" t="s">
        <v>112</v>
      </c>
      <c r="C162" s="33">
        <f ca="1">COUNTIFS('Email Campaigns'!$A$2:$A$2,TODAY(),'Email Campaigns'!$C$2:$C$2,"&lt;&gt;")+COUNTIFS('SMS Campaigns'!$A$2:$A$2,TODAY(),'SMS Campaigns'!$C$2:$C$2,"&lt;&gt;")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 s="59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55" t="s">
        <v>71</v>
      </c>
      <c r="B163" s="34" t="s">
        <v>114</v>
      </c>
      <c r="C163" s="35">
        <f>COUNTIFS('Email Campaigns'!$C$2:$C$2,"&lt;&gt;",'Email Campaigns'!$T$2:$T$2,"&lt;=0")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 s="59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56" t="s">
        <v>72</v>
      </c>
      <c r="B164" s="36" t="s">
        <v>114</v>
      </c>
      <c r="C164" s="37">
        <f>COUNTIFS('SMS Campaigns'!$C$2:$C$2,"&lt;&gt;",'SMS Campaigns'!$O$2:$O$2,"&lt;=0")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 s="59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55" t="s">
        <v>73</v>
      </c>
      <c r="B165" s="34" t="s">
        <v>112</v>
      </c>
      <c r="C165" s="35">
        <f>COUNTIFS('Email Campaigns'!$C$2:$C$2,"&lt;&gt;",'Email Campaigns'!$M$2:$M$2,FALSE)+COUNTIFS('SMS Campaigns'!$C$2:$C$2,"&lt;&gt;",'SMS Campaigns'!$I$2:$I$2,FALSE)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 s="59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56" t="s">
        <v>74</v>
      </c>
      <c r="B166" s="36" t="s">
        <v>118</v>
      </c>
      <c r="C166" s="37">
        <f>COUNTIF('Email Campaigns'!$T$2:$T$2,"&gt;0")+COUNTIF('SMS Campaigns'!$O$2:$O$2,"&gt;0")</f>
        <v>0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 s="59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53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 s="59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53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 s="59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53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 s="5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53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 s="59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53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60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53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60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53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60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53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60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53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60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53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60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53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60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53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60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53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60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53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60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57"/>
      <c r="AA181" s="61"/>
    </row>
    <row r="182" spans="1:38">
      <c r="A182" s="57"/>
      <c r="AA182" s="61"/>
    </row>
    <row r="183" spans="1:38">
      <c r="A183" s="57"/>
      <c r="AA183" s="61"/>
    </row>
    <row r="184" spans="1:38">
      <c r="A184" s="57"/>
      <c r="AA184" s="61"/>
    </row>
    <row r="185" spans="1:38">
      <c r="A185" s="57"/>
      <c r="AA185" s="61"/>
    </row>
    <row r="186" spans="1:38">
      <c r="A186" s="57"/>
      <c r="AA186" s="61"/>
    </row>
    <row r="187" spans="1:38">
      <c r="A187" s="57"/>
      <c r="AA187" s="61"/>
    </row>
    <row r="188" spans="1:38">
      <c r="A188" s="57"/>
      <c r="AA188" s="61"/>
    </row>
    <row r="189" spans="1:38">
      <c r="A189" s="57"/>
      <c r="AA189" s="61"/>
    </row>
    <row r="190" spans="1:38">
      <c r="A190" s="57"/>
      <c r="AA190" s="61"/>
    </row>
    <row r="191" spans="1:38">
      <c r="A191" s="57"/>
      <c r="AA191" s="61"/>
    </row>
    <row r="192" spans="1:38">
      <c r="A192" s="57"/>
      <c r="AA192" s="61"/>
    </row>
    <row r="193" spans="1:27">
      <c r="A193" s="57"/>
      <c r="AA193" s="61"/>
    </row>
    <row r="194" spans="1:27">
      <c r="A194" s="57"/>
      <c r="AA194" s="61"/>
    </row>
    <row r="195" spans="1:27">
      <c r="A195" s="57"/>
      <c r="AA195" s="61"/>
    </row>
    <row r="196" spans="1:27">
      <c r="A196" s="57"/>
      <c r="AA196" s="61"/>
    </row>
    <row r="197" spans="1:27">
      <c r="A197" s="57"/>
      <c r="AA197" s="61"/>
    </row>
    <row r="198" spans="1:27">
      <c r="A198" s="57"/>
      <c r="AA198" s="61"/>
    </row>
    <row r="199" spans="1:27">
      <c r="A199" s="57"/>
      <c r="AA199" s="61"/>
    </row>
    <row r="200" spans="1:27">
      <c r="A200" s="57"/>
      <c r="AA200" s="61"/>
    </row>
    <row r="201" spans="1:27">
      <c r="A201" s="57"/>
    </row>
    <row r="202" spans="1:27">
      <c r="A202" s="57"/>
    </row>
    <row r="203" spans="1:27">
      <c r="A203" s="57"/>
    </row>
    <row r="204" spans="1:27">
      <c r="A204" s="57"/>
    </row>
    <row r="205" spans="1:27">
      <c r="A205" s="57"/>
    </row>
    <row r="206" spans="1:27">
      <c r="A206" s="57"/>
    </row>
    <row r="207" spans="1:27">
      <c r="A207" s="57"/>
    </row>
    <row r="208" spans="1:27">
      <c r="A208" s="57"/>
    </row>
    <row r="209" spans="1:1">
      <c r="A209" s="57"/>
    </row>
    <row r="210" spans="1:1">
      <c r="A210" s="57"/>
    </row>
    <row r="211" spans="1:1">
      <c r="A211" s="57"/>
    </row>
    <row r="212" spans="1:1">
      <c r="A212" s="57"/>
    </row>
    <row r="213" spans="1:1">
      <c r="A213" s="57"/>
    </row>
    <row r="214" spans="1:1">
      <c r="A214" s="57"/>
    </row>
    <row r="215" spans="1:1">
      <c r="A215" s="57"/>
    </row>
    <row r="216" spans="1:1">
      <c r="A216" s="57"/>
    </row>
    <row r="217" spans="1:1">
      <c r="A217" s="57"/>
    </row>
    <row r="218" spans="1:1">
      <c r="A218" s="57"/>
    </row>
    <row r="219" spans="1:1">
      <c r="A219" s="57"/>
    </row>
    <row r="220" spans="1:1">
      <c r="A220" s="57"/>
    </row>
    <row r="221" spans="1:1">
      <c r="A221" s="57"/>
    </row>
    <row r="222" spans="1:1">
      <c r="A222" s="57"/>
    </row>
    <row r="223" spans="1:1">
      <c r="A223" s="57"/>
    </row>
    <row r="224" spans="1:1">
      <c r="A224" s="57"/>
    </row>
    <row r="225" spans="1:1">
      <c r="A225" s="57"/>
    </row>
    <row r="226" spans="1:1">
      <c r="A226" s="57"/>
    </row>
    <row r="227" spans="1:1">
      <c r="A227" s="57"/>
    </row>
    <row r="228" spans="1:1">
      <c r="A228" s="57"/>
    </row>
    <row r="229" spans="1:1">
      <c r="A229" s="57"/>
    </row>
    <row r="230" spans="1:1">
      <c r="A230" s="57"/>
    </row>
    <row r="231" spans="1:1">
      <c r="A231" s="57"/>
    </row>
    <row r="232" spans="1:1">
      <c r="A232" s="57"/>
    </row>
    <row r="233" spans="1:1">
      <c r="A233" s="57"/>
    </row>
    <row r="234" spans="1:1">
      <c r="A234" s="57"/>
    </row>
    <row r="235" spans="1:1">
      <c r="A235" s="57"/>
    </row>
    <row r="236" spans="1:1">
      <c r="A236" s="57"/>
    </row>
    <row r="237" spans="1:1">
      <c r="A237" s="57"/>
    </row>
    <row r="238" spans="1:1">
      <c r="A238" s="57"/>
    </row>
    <row r="239" spans="1:1">
      <c r="A239" s="57"/>
    </row>
    <row r="240" spans="1:1">
      <c r="A240" s="57"/>
    </row>
    <row r="241" spans="1:1">
      <c r="A241" s="57"/>
    </row>
    <row r="242" spans="1:1">
      <c r="A242" s="57"/>
    </row>
    <row r="243" spans="1:1">
      <c r="A243" s="57"/>
    </row>
    <row r="244" spans="1:1">
      <c r="A244" s="57"/>
    </row>
    <row r="245" spans="1:1">
      <c r="A245" s="57"/>
    </row>
    <row r="246" spans="1:1">
      <c r="A246" s="57"/>
    </row>
    <row r="247" spans="1:1">
      <c r="A247" s="57"/>
    </row>
    <row r="248" spans="1:1">
      <c r="A248" s="57"/>
    </row>
    <row r="249" spans="1:1">
      <c r="A249" s="57"/>
    </row>
    <row r="250" spans="1:1">
      <c r="A250" s="57"/>
    </row>
    <row r="251" spans="1:1">
      <c r="A251" s="57"/>
    </row>
    <row r="252" spans="1:1">
      <c r="A252" s="57"/>
    </row>
    <row r="253" spans="1:1">
      <c r="A253" s="57"/>
    </row>
    <row r="254" spans="1:1">
      <c r="A254" s="57"/>
    </row>
    <row r="255" spans="1:1">
      <c r="A255" s="57"/>
    </row>
    <row r="256" spans="1:1">
      <c r="A256" s="57"/>
    </row>
    <row r="257" spans="1:1">
      <c r="A257" s="57"/>
    </row>
    <row r="258" spans="1:1">
      <c r="A258" s="57"/>
    </row>
    <row r="259" spans="1:1">
      <c r="A259" s="57"/>
    </row>
    <row r="260" spans="1:1">
      <c r="A260" s="57"/>
    </row>
    <row r="261" spans="1:1">
      <c r="A261" s="57"/>
    </row>
    <row r="262" spans="1:1">
      <c r="A262" s="57"/>
    </row>
    <row r="263" spans="1:1">
      <c r="A263" s="57"/>
    </row>
    <row r="264" spans="1:1">
      <c r="A264" s="57"/>
    </row>
    <row r="265" spans="1:1">
      <c r="A265" s="57"/>
    </row>
    <row r="266" spans="1:1">
      <c r="A266" s="57"/>
    </row>
    <row r="267" spans="1:1">
      <c r="A267" s="57"/>
    </row>
    <row r="268" spans="1:1">
      <c r="A268" s="57"/>
    </row>
    <row r="269" spans="1:1">
      <c r="A269" s="57"/>
    </row>
    <row r="270" spans="1:1">
      <c r="A270" s="57"/>
    </row>
    <row r="271" spans="1:1">
      <c r="A271" s="57"/>
    </row>
    <row r="272" spans="1:1">
      <c r="A272" s="57"/>
    </row>
    <row r="273" spans="1:1">
      <c r="A273" s="57"/>
    </row>
    <row r="274" spans="1:1">
      <c r="A274" s="57"/>
    </row>
    <row r="275" spans="1:1">
      <c r="A275" s="57"/>
    </row>
    <row r="276" spans="1:1">
      <c r="A276" s="57"/>
    </row>
    <row r="277" spans="1:1">
      <c r="A277" s="57"/>
    </row>
    <row r="278" spans="1:1">
      <c r="A278" s="57"/>
    </row>
    <row r="279" spans="1:1">
      <c r="A279" s="57"/>
    </row>
    <row r="280" spans="1:1">
      <c r="A280" s="57"/>
    </row>
    <row r="281" spans="1:1">
      <c r="A281" s="57"/>
    </row>
    <row r="282" spans="1:1">
      <c r="A282" s="57"/>
    </row>
    <row r="283" spans="1:1">
      <c r="A283" s="57"/>
    </row>
    <row r="284" spans="1:1">
      <c r="A284" s="57"/>
    </row>
    <row r="285" spans="1:1">
      <c r="A285" s="57"/>
    </row>
    <row r="286" spans="1:1">
      <c r="A286" s="57"/>
    </row>
    <row r="287" spans="1:1">
      <c r="A287" s="57"/>
    </row>
    <row r="288" spans="1:1">
      <c r="A288" s="57"/>
    </row>
    <row r="289" spans="1:1">
      <c r="A289" s="57"/>
    </row>
    <row r="290" spans="1:1">
      <c r="A290" s="57"/>
    </row>
    <row r="291" spans="1:1">
      <c r="A291" s="57"/>
    </row>
    <row r="292" spans="1:1">
      <c r="A292" s="57"/>
    </row>
    <row r="293" spans="1:1">
      <c r="A293" s="57"/>
    </row>
    <row r="294" spans="1:1">
      <c r="A294" s="57"/>
    </row>
    <row r="295" spans="1:1">
      <c r="A295" s="57"/>
    </row>
    <row r="296" spans="1:1">
      <c r="A296" s="57"/>
    </row>
    <row r="297" spans="1:1">
      <c r="A297" s="57"/>
    </row>
    <row r="298" spans="1:1">
      <c r="A298" s="57"/>
    </row>
    <row r="299" spans="1:1">
      <c r="A299" s="57"/>
    </row>
    <row r="300" spans="1:1">
      <c r="A300" s="57"/>
    </row>
    <row r="301" spans="1:1">
      <c r="A301" s="57"/>
    </row>
    <row r="302" spans="1:1">
      <c r="A302" s="57"/>
    </row>
    <row r="303" spans="1:1">
      <c r="A303" s="57"/>
    </row>
    <row r="304" spans="1:1">
      <c r="A304" s="57"/>
    </row>
    <row r="305" spans="1:1">
      <c r="A305" s="57"/>
    </row>
    <row r="306" spans="1:1">
      <c r="A306" s="57"/>
    </row>
    <row r="307" spans="1:1">
      <c r="A307" s="57"/>
    </row>
    <row r="308" spans="1:1">
      <c r="A308" s="57"/>
    </row>
    <row r="309" spans="1:1">
      <c r="A309" s="57"/>
    </row>
    <row r="310" spans="1:1">
      <c r="A310" s="57"/>
    </row>
    <row r="311" spans="1:1">
      <c r="A311" s="57"/>
    </row>
    <row r="312" spans="1:1">
      <c r="A312" s="57"/>
    </row>
    <row r="313" spans="1:1">
      <c r="A313" s="57"/>
    </row>
    <row r="314" spans="1:1">
      <c r="A314" s="57"/>
    </row>
    <row r="315" spans="1:1">
      <c r="A315" s="57"/>
    </row>
    <row r="316" spans="1:1">
      <c r="A316" s="57"/>
    </row>
    <row r="317" spans="1:1">
      <c r="A317" s="57"/>
    </row>
    <row r="318" spans="1:1">
      <c r="A318" s="57"/>
    </row>
    <row r="319" spans="1:1">
      <c r="A319" s="57"/>
    </row>
    <row r="320" spans="1:1">
      <c r="A320" s="57"/>
    </row>
    <row r="321" spans="1:1">
      <c r="A321" s="57"/>
    </row>
    <row r="322" spans="1:1">
      <c r="A322" s="57"/>
    </row>
    <row r="323" spans="1:1">
      <c r="A323" s="57"/>
    </row>
    <row r="324" spans="1:1">
      <c r="A324" s="57"/>
    </row>
    <row r="325" spans="1:1">
      <c r="A325" s="57"/>
    </row>
    <row r="326" spans="1:1">
      <c r="A326" s="57"/>
    </row>
    <row r="327" spans="1:1">
      <c r="A327" s="57"/>
    </row>
    <row r="328" spans="1:1">
      <c r="A328" s="57"/>
    </row>
    <row r="329" spans="1:1">
      <c r="A329" s="57"/>
    </row>
    <row r="330" spans="1:1">
      <c r="A330" s="57"/>
    </row>
    <row r="331" spans="1:1">
      <c r="A331" s="57"/>
    </row>
    <row r="332" spans="1:1">
      <c r="A332" s="57"/>
    </row>
    <row r="333" spans="1:1">
      <c r="A333" s="57"/>
    </row>
    <row r="334" spans="1:1">
      <c r="A334" s="57"/>
    </row>
    <row r="335" spans="1:1">
      <c r="A335" s="57"/>
    </row>
    <row r="336" spans="1:1">
      <c r="A336" s="57"/>
    </row>
    <row r="337" spans="1:1">
      <c r="A337" s="57"/>
    </row>
    <row r="338" spans="1:1">
      <c r="A338" s="57"/>
    </row>
    <row r="339" spans="1:1">
      <c r="A339" s="57"/>
    </row>
    <row r="340" spans="1:1">
      <c r="A340" s="57"/>
    </row>
    <row r="341" spans="1:1">
      <c r="A341" s="57"/>
    </row>
    <row r="342" spans="1:1">
      <c r="A342" s="57"/>
    </row>
    <row r="343" spans="1:1">
      <c r="A343" s="57"/>
    </row>
    <row r="344" spans="1:1">
      <c r="A344" s="57"/>
    </row>
    <row r="345" spans="1:1">
      <c r="A345" s="57"/>
    </row>
    <row r="346" spans="1:1">
      <c r="A346" s="57"/>
    </row>
    <row r="347" spans="1:1">
      <c r="A347" s="57"/>
    </row>
    <row r="348" spans="1:1">
      <c r="A348" s="57"/>
    </row>
    <row r="349" spans="1:1">
      <c r="A349" s="57"/>
    </row>
    <row r="350" spans="1:1">
      <c r="A350" s="57"/>
    </row>
    <row r="351" spans="1:1">
      <c r="A351" s="57"/>
    </row>
    <row r="352" spans="1:1">
      <c r="A352" s="57"/>
    </row>
    <row r="353" spans="1:1">
      <c r="A353" s="57"/>
    </row>
    <row r="354" spans="1:1">
      <c r="A354" s="57"/>
    </row>
    <row r="355" spans="1:1">
      <c r="A355" s="57"/>
    </row>
    <row r="356" spans="1:1">
      <c r="A356" s="57"/>
    </row>
    <row r="357" spans="1:1">
      <c r="A357" s="57"/>
    </row>
    <row r="358" spans="1:1">
      <c r="A358" s="57"/>
    </row>
    <row r="359" spans="1:1">
      <c r="A359" s="57"/>
    </row>
    <row r="360" spans="1:1">
      <c r="A360" s="57"/>
    </row>
    <row r="361" spans="1:1">
      <c r="A361" s="57"/>
    </row>
    <row r="362" spans="1:1">
      <c r="A362" s="57"/>
    </row>
    <row r="363" spans="1:1">
      <c r="A363" s="57"/>
    </row>
    <row r="364" spans="1:1">
      <c r="A364" s="57"/>
    </row>
    <row r="365" spans="1:1">
      <c r="A365" s="57"/>
    </row>
    <row r="366" spans="1:1">
      <c r="A366" s="57"/>
    </row>
    <row r="367" spans="1:1">
      <c r="A367" s="57"/>
    </row>
    <row r="368" spans="1:1">
      <c r="A368" s="57"/>
    </row>
    <row r="369" spans="1:1">
      <c r="A369" s="57"/>
    </row>
    <row r="370" spans="1:1">
      <c r="A370" s="57"/>
    </row>
    <row r="371" spans="1:1">
      <c r="A371" s="57"/>
    </row>
    <row r="372" spans="1:1">
      <c r="A372" s="57"/>
    </row>
    <row r="373" spans="1:1">
      <c r="A373" s="57"/>
    </row>
    <row r="374" spans="1:1">
      <c r="A374" s="57"/>
    </row>
    <row r="375" spans="1:1">
      <c r="A375" s="57"/>
    </row>
    <row r="376" spans="1:1">
      <c r="A376" s="57"/>
    </row>
    <row r="377" spans="1:1">
      <c r="A377" s="57"/>
    </row>
    <row r="378" spans="1:1">
      <c r="A378" s="57"/>
    </row>
    <row r="379" spans="1:1">
      <c r="A379" s="57"/>
    </row>
    <row r="380" spans="1:1">
      <c r="A380" s="57"/>
    </row>
    <row r="381" spans="1:1">
      <c r="A381" s="57"/>
    </row>
    <row r="382" spans="1:1">
      <c r="A382" s="57"/>
    </row>
    <row r="383" spans="1:1">
      <c r="A383" s="57"/>
    </row>
    <row r="384" spans="1:1">
      <c r="A384" s="57"/>
    </row>
    <row r="385" spans="1:1">
      <c r="A385" s="57"/>
    </row>
    <row r="386" spans="1:1">
      <c r="A386" s="57"/>
    </row>
    <row r="387" spans="1:1">
      <c r="A387" s="57"/>
    </row>
    <row r="388" spans="1:1">
      <c r="A388" s="57"/>
    </row>
    <row r="389" spans="1:1">
      <c r="A389" s="57"/>
    </row>
    <row r="390" spans="1:1">
      <c r="A390" s="57"/>
    </row>
    <row r="391" spans="1:1">
      <c r="A391" s="57"/>
    </row>
    <row r="392" spans="1:1">
      <c r="A392" s="57"/>
    </row>
    <row r="393" spans="1:1">
      <c r="A393" s="57"/>
    </row>
    <row r="394" spans="1:1">
      <c r="A394" s="57"/>
    </row>
    <row r="395" spans="1:1">
      <c r="A395" s="57"/>
    </row>
    <row r="396" spans="1:1">
      <c r="A396" s="57"/>
    </row>
    <row r="397" spans="1:1">
      <c r="A397" s="57"/>
    </row>
    <row r="398" spans="1:1">
      <c r="A398" s="57"/>
    </row>
    <row r="399" spans="1:1">
      <c r="A399" s="57"/>
    </row>
    <row r="400" spans="1:1">
      <c r="A400" s="57"/>
    </row>
    <row r="401" spans="1:1">
      <c r="A401" s="57"/>
    </row>
    <row r="402" spans="1:1">
      <c r="A402" s="57"/>
    </row>
    <row r="403" spans="1:1">
      <c r="A403" s="57"/>
    </row>
    <row r="404" spans="1:1">
      <c r="A404" s="57"/>
    </row>
    <row r="405" spans="1:1">
      <c r="A405" s="57"/>
    </row>
    <row r="406" spans="1:1">
      <c r="A406" s="57"/>
    </row>
    <row r="407" spans="1:1">
      <c r="A407" s="57"/>
    </row>
    <row r="408" spans="1:1">
      <c r="A408" s="57"/>
    </row>
    <row r="409" spans="1:1">
      <c r="A409" s="57"/>
    </row>
    <row r="410" spans="1:1">
      <c r="A410" s="57"/>
    </row>
    <row r="411" spans="1:1">
      <c r="A411" s="57"/>
    </row>
    <row r="412" spans="1:1">
      <c r="A412" s="57"/>
    </row>
    <row r="413" spans="1:1">
      <c r="A413" s="57"/>
    </row>
    <row r="414" spans="1:1">
      <c r="A414" s="57"/>
    </row>
    <row r="415" spans="1:1">
      <c r="A415" s="57"/>
    </row>
    <row r="416" spans="1:1">
      <c r="A416" s="57"/>
    </row>
    <row r="417" spans="1:1">
      <c r="A417" s="57"/>
    </row>
    <row r="418" spans="1:1">
      <c r="A418" s="57"/>
    </row>
    <row r="419" spans="1:1">
      <c r="A419" s="57"/>
    </row>
    <row r="420" spans="1:1">
      <c r="A420" s="57"/>
    </row>
    <row r="421" spans="1:1">
      <c r="A421" s="57"/>
    </row>
    <row r="422" spans="1:1">
      <c r="A422" s="57"/>
    </row>
    <row r="423" spans="1:1">
      <c r="A423" s="57"/>
    </row>
    <row r="424" spans="1:1">
      <c r="A424" s="57"/>
    </row>
    <row r="425" spans="1:1">
      <c r="A425" s="57"/>
    </row>
    <row r="426" spans="1:1">
      <c r="A426" s="57"/>
    </row>
    <row r="427" spans="1:1">
      <c r="A427" s="57"/>
    </row>
    <row r="428" spans="1:1">
      <c r="A428" s="57"/>
    </row>
    <row r="429" spans="1:1">
      <c r="A429" s="57"/>
    </row>
    <row r="430" spans="1:1">
      <c r="A430" s="57"/>
    </row>
    <row r="431" spans="1:1">
      <c r="A431" s="57"/>
    </row>
    <row r="432" spans="1:1">
      <c r="A432" s="57"/>
    </row>
    <row r="433" spans="1:1">
      <c r="A433" s="57"/>
    </row>
    <row r="434" spans="1:1">
      <c r="A434" s="57"/>
    </row>
    <row r="435" spans="1:1">
      <c r="A435" s="57"/>
    </row>
    <row r="436" spans="1:1">
      <c r="A436" s="57"/>
    </row>
    <row r="437" spans="1:1">
      <c r="A437" s="57"/>
    </row>
    <row r="438" spans="1:1">
      <c r="A438" s="57"/>
    </row>
    <row r="439" spans="1:1">
      <c r="A439" s="57"/>
    </row>
    <row r="440" spans="1:1">
      <c r="A440" s="57"/>
    </row>
    <row r="441" spans="1:1">
      <c r="A441" s="57"/>
    </row>
    <row r="442" spans="1:1">
      <c r="A442" s="57"/>
    </row>
    <row r="443" spans="1:1">
      <c r="A443" s="57"/>
    </row>
    <row r="444" spans="1:1">
      <c r="A444" s="57"/>
    </row>
    <row r="445" spans="1:1">
      <c r="A445" s="57"/>
    </row>
    <row r="446" spans="1:1">
      <c r="A446" s="57"/>
    </row>
    <row r="447" spans="1:1">
      <c r="A447" s="57"/>
    </row>
    <row r="448" spans="1:1">
      <c r="A448" s="57"/>
    </row>
    <row r="449" spans="1:1">
      <c r="A449" s="57"/>
    </row>
    <row r="450" spans="1:1">
      <c r="A450" s="57"/>
    </row>
    <row r="451" spans="1:1">
      <c r="A451" s="57"/>
    </row>
    <row r="452" spans="1:1">
      <c r="A452" s="57"/>
    </row>
    <row r="453" spans="1:1">
      <c r="A453" s="57"/>
    </row>
    <row r="454" spans="1:1">
      <c r="A454" s="57"/>
    </row>
    <row r="455" spans="1:1">
      <c r="A455" s="57"/>
    </row>
    <row r="456" spans="1:1">
      <c r="A456" s="57"/>
    </row>
    <row r="457" spans="1:1">
      <c r="A457" s="57"/>
    </row>
    <row r="458" spans="1:1">
      <c r="A458" s="57"/>
    </row>
    <row r="459" spans="1:1">
      <c r="A459" s="57"/>
    </row>
    <row r="460" spans="1:1">
      <c r="A460" s="57"/>
    </row>
    <row r="461" spans="1:1">
      <c r="A461" s="57"/>
    </row>
    <row r="462" spans="1:1">
      <c r="A462" s="57"/>
    </row>
    <row r="463" spans="1:1">
      <c r="A463" s="57"/>
    </row>
    <row r="464" spans="1:1">
      <c r="A464" s="57"/>
    </row>
    <row r="465" spans="1:1">
      <c r="A465" s="57"/>
    </row>
    <row r="466" spans="1:1">
      <c r="A466" s="57"/>
    </row>
    <row r="467" spans="1:1">
      <c r="A467" s="57"/>
    </row>
    <row r="468" spans="1:1">
      <c r="A468" s="57"/>
    </row>
    <row r="469" spans="1:1">
      <c r="A469" s="57"/>
    </row>
    <row r="470" spans="1:1">
      <c r="A470" s="57"/>
    </row>
    <row r="471" spans="1:1">
      <c r="A471" s="57"/>
    </row>
    <row r="472" spans="1:1">
      <c r="A472" s="57"/>
    </row>
    <row r="473" spans="1:1">
      <c r="A473" s="57"/>
    </row>
    <row r="474" spans="1:1">
      <c r="A474" s="57"/>
    </row>
    <row r="475" spans="1:1">
      <c r="A475" s="57"/>
    </row>
    <row r="476" spans="1:1">
      <c r="A476" s="57"/>
    </row>
    <row r="477" spans="1:1">
      <c r="A477" s="57"/>
    </row>
    <row r="478" spans="1:1">
      <c r="A478" s="57"/>
    </row>
    <row r="479" spans="1:1">
      <c r="A479" s="57"/>
    </row>
    <row r="480" spans="1:1">
      <c r="A480" s="57"/>
    </row>
    <row r="481" spans="1:1">
      <c r="A481" s="57"/>
    </row>
    <row r="482" spans="1:1">
      <c r="A482" s="57"/>
    </row>
    <row r="483" spans="1:1">
      <c r="A483" s="57"/>
    </row>
    <row r="484" spans="1:1">
      <c r="A484" s="57"/>
    </row>
    <row r="485" spans="1:1">
      <c r="A485" s="57"/>
    </row>
    <row r="486" spans="1:1">
      <c r="A486" s="57"/>
    </row>
    <row r="487" spans="1:1">
      <c r="A487" s="57"/>
    </row>
    <row r="488" spans="1:1">
      <c r="A488" s="57"/>
    </row>
    <row r="489" spans="1:1">
      <c r="A489" s="57"/>
    </row>
    <row r="490" spans="1:1">
      <c r="A490" s="57"/>
    </row>
    <row r="491" spans="1:1">
      <c r="A491" s="57"/>
    </row>
    <row r="492" spans="1:1">
      <c r="A492" s="57"/>
    </row>
    <row r="493" spans="1:1">
      <c r="A493" s="57"/>
    </row>
    <row r="494" spans="1:1">
      <c r="A494" s="57"/>
    </row>
    <row r="495" spans="1:1">
      <c r="A495" s="57"/>
    </row>
    <row r="496" spans="1:1">
      <c r="A496" s="57"/>
    </row>
    <row r="497" spans="1:1">
      <c r="A497" s="57"/>
    </row>
    <row r="498" spans="1:1">
      <c r="A498" s="57"/>
    </row>
    <row r="499" spans="1:1">
      <c r="A499" s="57"/>
    </row>
    <row r="500" spans="1:1">
      <c r="A500" s="57"/>
    </row>
    <row r="501" spans="1:1">
      <c r="A501" s="57"/>
    </row>
    <row r="502" spans="1:1">
      <c r="A502" s="57"/>
    </row>
    <row r="503" spans="1:1">
      <c r="A503" s="57"/>
    </row>
    <row r="504" spans="1:1">
      <c r="A504" s="57"/>
    </row>
    <row r="505" spans="1:1">
      <c r="A505" s="57"/>
    </row>
    <row r="506" spans="1:1">
      <c r="A506" s="57"/>
    </row>
    <row r="507" spans="1:1">
      <c r="A507" s="57"/>
    </row>
    <row r="508" spans="1:1">
      <c r="A508" s="57"/>
    </row>
    <row r="509" spans="1:1">
      <c r="A509" s="57"/>
    </row>
    <row r="510" spans="1:1">
      <c r="A510" s="57"/>
    </row>
    <row r="511" spans="1:1">
      <c r="A511" s="57"/>
    </row>
    <row r="512" spans="1:1">
      <c r="A512" s="57"/>
    </row>
    <row r="513" spans="1:1">
      <c r="A513" s="57"/>
    </row>
    <row r="514" spans="1:1">
      <c r="A514" s="57"/>
    </row>
    <row r="515" spans="1:1">
      <c r="A515" s="57"/>
    </row>
    <row r="516" spans="1:1">
      <c r="A516" s="57"/>
    </row>
    <row r="517" spans="1:1">
      <c r="A517" s="57"/>
    </row>
    <row r="518" spans="1:1">
      <c r="A518" s="57"/>
    </row>
    <row r="519" spans="1:1">
      <c r="A519" s="57"/>
    </row>
    <row r="520" spans="1:1">
      <c r="A520" s="57"/>
    </row>
    <row r="521" spans="1:1">
      <c r="A521" s="57"/>
    </row>
    <row r="522" spans="1:1">
      <c r="A522" s="57"/>
    </row>
    <row r="523" spans="1:1">
      <c r="A523" s="57"/>
    </row>
    <row r="524" spans="1:1">
      <c r="A524" s="57"/>
    </row>
    <row r="525" spans="1:1">
      <c r="A525" s="57"/>
    </row>
    <row r="526" spans="1:1">
      <c r="A526" s="57"/>
    </row>
    <row r="527" spans="1:1">
      <c r="A527" s="57"/>
    </row>
    <row r="528" spans="1:1">
      <c r="A528" s="57"/>
    </row>
    <row r="529" spans="1:1">
      <c r="A529" s="57"/>
    </row>
    <row r="530" spans="1:1">
      <c r="A530" s="57"/>
    </row>
    <row r="531" spans="1:1">
      <c r="A531" s="57"/>
    </row>
    <row r="532" spans="1:1">
      <c r="A532" s="57"/>
    </row>
    <row r="533" spans="1:1">
      <c r="A533" s="57"/>
    </row>
    <row r="534" spans="1:1">
      <c r="A534" s="57"/>
    </row>
    <row r="535" spans="1:1">
      <c r="A535" s="57"/>
    </row>
    <row r="536" spans="1:1">
      <c r="A536" s="57"/>
    </row>
    <row r="537" spans="1:1">
      <c r="A537" s="57"/>
    </row>
    <row r="538" spans="1:1">
      <c r="A538" s="57"/>
    </row>
    <row r="539" spans="1:1">
      <c r="A539" s="57"/>
    </row>
    <row r="540" spans="1:1">
      <c r="A540" s="57"/>
    </row>
    <row r="541" spans="1:1">
      <c r="A541" s="57"/>
    </row>
    <row r="542" spans="1:1">
      <c r="A542" s="57"/>
    </row>
    <row r="543" spans="1:1">
      <c r="A543" s="57"/>
    </row>
    <row r="544" spans="1:1">
      <c r="A544" s="57"/>
    </row>
    <row r="545" spans="1:1">
      <c r="A545" s="57"/>
    </row>
    <row r="546" spans="1:1">
      <c r="A546" s="57"/>
    </row>
    <row r="547" spans="1:1">
      <c r="A547" s="57"/>
    </row>
    <row r="548" spans="1:1">
      <c r="A548" s="57"/>
    </row>
    <row r="549" spans="1:1">
      <c r="A549" s="57"/>
    </row>
    <row r="550" spans="1:1">
      <c r="A550" s="57"/>
    </row>
    <row r="551" spans="1:1">
      <c r="A551" s="57"/>
    </row>
    <row r="552" spans="1:1">
      <c r="A552" s="57"/>
    </row>
    <row r="553" spans="1:1">
      <c r="A553" s="57"/>
    </row>
    <row r="554" spans="1:1">
      <c r="A554" s="57"/>
    </row>
    <row r="555" spans="1:1">
      <c r="A555" s="57"/>
    </row>
    <row r="556" spans="1:1">
      <c r="A556" s="57"/>
    </row>
    <row r="557" spans="1:1">
      <c r="A557" s="57"/>
    </row>
    <row r="558" spans="1:1">
      <c r="A558" s="57"/>
    </row>
    <row r="559" spans="1:1">
      <c r="A559" s="57"/>
    </row>
    <row r="560" spans="1:1">
      <c r="A560" s="57"/>
    </row>
    <row r="561" spans="1:1">
      <c r="A561" s="57"/>
    </row>
    <row r="562" spans="1:1">
      <c r="A562" s="57"/>
    </row>
    <row r="563" spans="1:1">
      <c r="A563" s="57"/>
    </row>
    <row r="564" spans="1:1">
      <c r="A564" s="57"/>
    </row>
    <row r="565" spans="1:1">
      <c r="A565" s="57"/>
    </row>
    <row r="566" spans="1:1">
      <c r="A566" s="57"/>
    </row>
    <row r="567" spans="1:1">
      <c r="A567" s="57"/>
    </row>
    <row r="568" spans="1:1">
      <c r="A568" s="57"/>
    </row>
    <row r="569" spans="1:1">
      <c r="A569" s="57"/>
    </row>
    <row r="570" spans="1:1">
      <c r="A570" s="57"/>
    </row>
    <row r="571" spans="1:1">
      <c r="A571" s="57"/>
    </row>
    <row r="572" spans="1:1">
      <c r="A572" s="57"/>
    </row>
    <row r="573" spans="1:1">
      <c r="A573" s="57"/>
    </row>
    <row r="574" spans="1:1">
      <c r="A574" s="57"/>
    </row>
    <row r="575" spans="1:1">
      <c r="A575" s="57"/>
    </row>
    <row r="576" spans="1:1">
      <c r="A576" s="57"/>
    </row>
    <row r="577" spans="1:1">
      <c r="A577" s="57"/>
    </row>
    <row r="578" spans="1:1">
      <c r="A578" s="57"/>
    </row>
    <row r="579" spans="1:1">
      <c r="A579" s="57"/>
    </row>
    <row r="580" spans="1:1">
      <c r="A580" s="57"/>
    </row>
    <row r="581" spans="1:1">
      <c r="A581" s="57"/>
    </row>
    <row r="582" spans="1:1">
      <c r="A582" s="57"/>
    </row>
    <row r="583" spans="1:1">
      <c r="A583" s="57"/>
    </row>
    <row r="584" spans="1:1">
      <c r="A584" s="57"/>
    </row>
    <row r="585" spans="1:1">
      <c r="A585" s="57"/>
    </row>
    <row r="586" spans="1:1">
      <c r="A586" s="57"/>
    </row>
    <row r="587" spans="1:1">
      <c r="A587" s="57"/>
    </row>
    <row r="588" spans="1:1">
      <c r="A588" s="57"/>
    </row>
    <row r="589" spans="1:1">
      <c r="A589" s="57"/>
    </row>
    <row r="590" spans="1:1">
      <c r="A590" s="57"/>
    </row>
    <row r="591" spans="1:1">
      <c r="A591" s="57"/>
    </row>
    <row r="592" spans="1:1">
      <c r="A592" s="57"/>
    </row>
    <row r="593" spans="1:1">
      <c r="A593" s="57"/>
    </row>
    <row r="594" spans="1:1">
      <c r="A594" s="57"/>
    </row>
    <row r="595" spans="1:1">
      <c r="A595" s="57"/>
    </row>
    <row r="596" spans="1:1">
      <c r="A596" s="57"/>
    </row>
    <row r="597" spans="1:1">
      <c r="A597" s="57"/>
    </row>
    <row r="598" spans="1:1">
      <c r="A598" s="57"/>
    </row>
    <row r="599" spans="1:1">
      <c r="A599" s="57"/>
    </row>
    <row r="600" spans="1:1">
      <c r="A600" s="57"/>
    </row>
    <row r="601" spans="1:1">
      <c r="A601" s="57"/>
    </row>
    <row r="602" spans="1:1">
      <c r="A602" s="57"/>
    </row>
    <row r="603" spans="1:1">
      <c r="A603" s="57"/>
    </row>
    <row r="604" spans="1:1">
      <c r="A604" s="57"/>
    </row>
    <row r="605" spans="1:1">
      <c r="A605" s="57"/>
    </row>
    <row r="606" spans="1:1">
      <c r="A606" s="57"/>
    </row>
    <row r="607" spans="1:1">
      <c r="A607" s="57"/>
    </row>
    <row r="608" spans="1:1">
      <c r="A608" s="57"/>
    </row>
    <row r="609" spans="1:1">
      <c r="A609" s="57"/>
    </row>
    <row r="610" spans="1:1">
      <c r="A610" s="57"/>
    </row>
    <row r="611" spans="1:1">
      <c r="A611" s="57"/>
    </row>
    <row r="612" spans="1:1">
      <c r="A612" s="57"/>
    </row>
    <row r="613" spans="1:1">
      <c r="A613" s="57"/>
    </row>
    <row r="614" spans="1:1">
      <c r="A614" s="57"/>
    </row>
    <row r="615" spans="1:1">
      <c r="A615" s="57"/>
    </row>
    <row r="616" spans="1:1">
      <c r="A616" s="57"/>
    </row>
    <row r="617" spans="1:1">
      <c r="A617" s="57"/>
    </row>
    <row r="618" spans="1:1">
      <c r="A618" s="57"/>
    </row>
    <row r="619" spans="1:1">
      <c r="A619" s="57"/>
    </row>
    <row r="620" spans="1:1">
      <c r="A620" s="57"/>
    </row>
    <row r="621" spans="1:1">
      <c r="A621" s="57"/>
    </row>
    <row r="622" spans="1:1">
      <c r="A622" s="57"/>
    </row>
    <row r="623" spans="1:1">
      <c r="A623" s="57"/>
    </row>
    <row r="624" spans="1:1">
      <c r="A624" s="57"/>
    </row>
    <row r="625" spans="1:1">
      <c r="A625" s="57"/>
    </row>
    <row r="626" spans="1:1">
      <c r="A626" s="57"/>
    </row>
    <row r="627" spans="1:1">
      <c r="A627" s="57"/>
    </row>
    <row r="628" spans="1:1">
      <c r="A628" s="57"/>
    </row>
    <row r="629" spans="1:1">
      <c r="A629" s="57"/>
    </row>
    <row r="630" spans="1:1">
      <c r="A630" s="57"/>
    </row>
    <row r="631" spans="1:1">
      <c r="A631" s="57"/>
    </row>
    <row r="632" spans="1:1">
      <c r="A632" s="57"/>
    </row>
    <row r="633" spans="1:1">
      <c r="A633" s="57"/>
    </row>
    <row r="634" spans="1:1">
      <c r="A634" s="57"/>
    </row>
    <row r="635" spans="1:1">
      <c r="A635" s="57"/>
    </row>
    <row r="636" spans="1:1">
      <c r="A636" s="57"/>
    </row>
    <row r="637" spans="1:1">
      <c r="A637" s="57"/>
    </row>
    <row r="638" spans="1:1">
      <c r="A638" s="57"/>
    </row>
    <row r="639" spans="1:1">
      <c r="A639" s="57"/>
    </row>
    <row r="640" spans="1:1">
      <c r="A640" s="57"/>
    </row>
    <row r="641" spans="1:1">
      <c r="A641" s="57"/>
    </row>
    <row r="642" spans="1:1">
      <c r="A642" s="57"/>
    </row>
    <row r="643" spans="1:1">
      <c r="A643" s="57"/>
    </row>
    <row r="644" spans="1:1">
      <c r="A644" s="57"/>
    </row>
    <row r="645" spans="1:1">
      <c r="A645" s="57"/>
    </row>
    <row r="646" spans="1:1">
      <c r="A646" s="57"/>
    </row>
    <row r="647" spans="1:1">
      <c r="A647" s="57"/>
    </row>
    <row r="648" spans="1:1">
      <c r="A648" s="57"/>
    </row>
    <row r="649" spans="1:1">
      <c r="A649" s="57"/>
    </row>
    <row r="650" spans="1:1">
      <c r="A650" s="57"/>
    </row>
    <row r="651" spans="1:1">
      <c r="A651" s="57"/>
    </row>
    <row r="652" spans="1:1">
      <c r="A652" s="57"/>
    </row>
    <row r="653" spans="1:1">
      <c r="A653" s="57"/>
    </row>
    <row r="654" spans="1:1">
      <c r="A654" s="57"/>
    </row>
    <row r="655" spans="1:1">
      <c r="A655" s="57"/>
    </row>
    <row r="656" spans="1:1">
      <c r="A656" s="57"/>
    </row>
    <row r="657" spans="1:1">
      <c r="A657" s="57"/>
    </row>
    <row r="658" spans="1:1">
      <c r="A658" s="57"/>
    </row>
    <row r="659" spans="1:1">
      <c r="A659" s="57"/>
    </row>
    <row r="660" spans="1:1">
      <c r="A660" s="57"/>
    </row>
    <row r="661" spans="1:1">
      <c r="A661" s="57"/>
    </row>
    <row r="662" spans="1:1">
      <c r="A662" s="57"/>
    </row>
    <row r="663" spans="1:1">
      <c r="A663" s="57"/>
    </row>
    <row r="664" spans="1:1">
      <c r="A664" s="57"/>
    </row>
    <row r="665" spans="1:1">
      <c r="A665" s="57"/>
    </row>
    <row r="666" spans="1:1">
      <c r="A666" s="57"/>
    </row>
    <row r="667" spans="1:1">
      <c r="A667" s="57"/>
    </row>
    <row r="668" spans="1:1">
      <c r="A668" s="57"/>
    </row>
    <row r="669" spans="1:1">
      <c r="A669" s="57"/>
    </row>
    <row r="670" spans="1:1">
      <c r="A670" s="57"/>
    </row>
    <row r="671" spans="1:1">
      <c r="A671" s="57"/>
    </row>
    <row r="672" spans="1:1">
      <c r="A672" s="57"/>
    </row>
    <row r="673" spans="1:1">
      <c r="A673" s="57"/>
    </row>
    <row r="674" spans="1:1">
      <c r="A674" s="57"/>
    </row>
    <row r="675" spans="1:1">
      <c r="A675" s="57"/>
    </row>
    <row r="676" spans="1:1">
      <c r="A676" s="57"/>
    </row>
    <row r="677" spans="1:1">
      <c r="A677" s="57"/>
    </row>
    <row r="678" spans="1:1">
      <c r="A678" s="57"/>
    </row>
    <row r="679" spans="1:1">
      <c r="A679" s="57"/>
    </row>
    <row r="680" spans="1:1">
      <c r="A680" s="57"/>
    </row>
    <row r="681" spans="1:1">
      <c r="A681" s="57"/>
    </row>
    <row r="682" spans="1:1">
      <c r="A682" s="57"/>
    </row>
    <row r="683" spans="1:1">
      <c r="A683" s="57"/>
    </row>
    <row r="684" spans="1:1">
      <c r="A684" s="57"/>
    </row>
    <row r="685" spans="1:1">
      <c r="A685" s="57"/>
    </row>
    <row r="686" spans="1:1">
      <c r="A686" s="57"/>
    </row>
    <row r="687" spans="1:1">
      <c r="A687" s="57"/>
    </row>
    <row r="688" spans="1:1">
      <c r="A688" s="57"/>
    </row>
    <row r="689" spans="1:1">
      <c r="A689" s="57"/>
    </row>
    <row r="690" spans="1:1">
      <c r="A690" s="57"/>
    </row>
    <row r="691" spans="1:1">
      <c r="A691" s="57"/>
    </row>
    <row r="692" spans="1:1">
      <c r="A692" s="57"/>
    </row>
    <row r="693" spans="1:1">
      <c r="A693" s="57"/>
    </row>
    <row r="694" spans="1:1">
      <c r="A694" s="57"/>
    </row>
    <row r="695" spans="1:1">
      <c r="A695" s="57"/>
    </row>
    <row r="696" spans="1:1">
      <c r="A696" s="57"/>
    </row>
    <row r="697" spans="1:1">
      <c r="A697" s="57"/>
    </row>
    <row r="698" spans="1:1">
      <c r="A698" s="57"/>
    </row>
    <row r="699" spans="1:1">
      <c r="A699" s="57"/>
    </row>
    <row r="700" spans="1:1">
      <c r="A700" s="57"/>
    </row>
    <row r="701" spans="1:1">
      <c r="A701" s="57"/>
    </row>
    <row r="702" spans="1:1">
      <c r="A702" s="57"/>
    </row>
    <row r="703" spans="1:1">
      <c r="A703" s="57"/>
    </row>
    <row r="704" spans="1:1">
      <c r="A704" s="57"/>
    </row>
    <row r="705" spans="1:1">
      <c r="A705" s="57"/>
    </row>
    <row r="706" spans="1:1">
      <c r="A706" s="57"/>
    </row>
    <row r="707" spans="1:1">
      <c r="A707" s="57"/>
    </row>
    <row r="708" spans="1:1">
      <c r="A708" s="57"/>
    </row>
    <row r="709" spans="1:1">
      <c r="A709" s="57"/>
    </row>
    <row r="710" spans="1:1">
      <c r="A710" s="57"/>
    </row>
    <row r="711" spans="1:1">
      <c r="A711" s="57"/>
    </row>
    <row r="712" spans="1:1">
      <c r="A712" s="57"/>
    </row>
    <row r="713" spans="1:1">
      <c r="A713" s="57"/>
    </row>
    <row r="714" spans="1:1">
      <c r="A714" s="57"/>
    </row>
    <row r="715" spans="1:1">
      <c r="A715" s="57"/>
    </row>
    <row r="716" spans="1:1">
      <c r="A716" s="57"/>
    </row>
    <row r="717" spans="1:1">
      <c r="A717" s="57"/>
    </row>
    <row r="718" spans="1:1">
      <c r="A718" s="57"/>
    </row>
    <row r="719" spans="1:1">
      <c r="A719" s="57"/>
    </row>
    <row r="720" spans="1:1">
      <c r="A720" s="57"/>
    </row>
    <row r="721" spans="1:1">
      <c r="A721" s="57"/>
    </row>
    <row r="722" spans="1:1">
      <c r="A722" s="57"/>
    </row>
    <row r="723" spans="1:1">
      <c r="A723" s="57"/>
    </row>
    <row r="724" spans="1:1">
      <c r="A724" s="57"/>
    </row>
    <row r="725" spans="1:1">
      <c r="A725" s="57"/>
    </row>
    <row r="726" spans="1:1">
      <c r="A726" s="57"/>
    </row>
    <row r="727" spans="1:1">
      <c r="A727" s="57"/>
    </row>
    <row r="728" spans="1:1">
      <c r="A728" s="57"/>
    </row>
    <row r="729" spans="1:1">
      <c r="A729" s="57"/>
    </row>
    <row r="730" spans="1:1">
      <c r="A730" s="57"/>
    </row>
    <row r="731" spans="1:1">
      <c r="A731" s="57"/>
    </row>
    <row r="732" spans="1:1">
      <c r="A732" s="57"/>
    </row>
    <row r="733" spans="1:1">
      <c r="A733" s="57"/>
    </row>
    <row r="734" spans="1:1">
      <c r="A734" s="57"/>
    </row>
    <row r="735" spans="1:1">
      <c r="A735" s="57"/>
    </row>
    <row r="736" spans="1:1">
      <c r="A736" s="57"/>
    </row>
    <row r="737" spans="1:1">
      <c r="A737" s="57"/>
    </row>
    <row r="738" spans="1:1">
      <c r="A738" s="57"/>
    </row>
    <row r="739" spans="1:1">
      <c r="A739" s="57"/>
    </row>
    <row r="740" spans="1:1">
      <c r="A740" s="57"/>
    </row>
    <row r="741" spans="1:1">
      <c r="A741" s="57"/>
    </row>
    <row r="742" spans="1:1">
      <c r="A742" s="57"/>
    </row>
    <row r="743" spans="1:1">
      <c r="A743" s="57"/>
    </row>
    <row r="744" spans="1:1">
      <c r="A744" s="57"/>
    </row>
    <row r="745" spans="1:1">
      <c r="A745" s="57"/>
    </row>
    <row r="746" spans="1:1">
      <c r="A746" s="57"/>
    </row>
    <row r="747" spans="1:1">
      <c r="A747" s="57"/>
    </row>
    <row r="748" spans="1:1">
      <c r="A748" s="57"/>
    </row>
    <row r="749" spans="1:1">
      <c r="A749" s="57"/>
    </row>
    <row r="750" spans="1:1">
      <c r="A750" s="57"/>
    </row>
    <row r="751" spans="1:1">
      <c r="A751" s="57"/>
    </row>
    <row r="752" spans="1:1">
      <c r="A752" s="57"/>
    </row>
    <row r="753" spans="1:1">
      <c r="A753" s="57"/>
    </row>
    <row r="754" spans="1:1">
      <c r="A754" s="57"/>
    </row>
    <row r="755" spans="1:1">
      <c r="A755" s="57"/>
    </row>
    <row r="756" spans="1:1">
      <c r="A756" s="57"/>
    </row>
    <row r="757" spans="1:1">
      <c r="A757" s="57"/>
    </row>
    <row r="758" spans="1:1">
      <c r="A758" s="57"/>
    </row>
    <row r="759" spans="1:1">
      <c r="A759" s="57"/>
    </row>
    <row r="760" spans="1:1">
      <c r="A760" s="57"/>
    </row>
    <row r="761" spans="1:1">
      <c r="A761" s="57"/>
    </row>
    <row r="762" spans="1:1">
      <c r="A762" s="57"/>
    </row>
    <row r="763" spans="1:1">
      <c r="A763" s="57"/>
    </row>
    <row r="764" spans="1:1">
      <c r="A764" s="57"/>
    </row>
    <row r="765" spans="1:1">
      <c r="A765" s="57"/>
    </row>
    <row r="766" spans="1:1">
      <c r="A766" s="57"/>
    </row>
    <row r="767" spans="1:1">
      <c r="A767" s="57"/>
    </row>
    <row r="768" spans="1:1">
      <c r="A768" s="57"/>
    </row>
    <row r="769" spans="1:1">
      <c r="A769" s="57"/>
    </row>
    <row r="770" spans="1:1">
      <c r="A770" s="57"/>
    </row>
    <row r="771" spans="1:1">
      <c r="A771" s="57"/>
    </row>
    <row r="772" spans="1:1">
      <c r="A772" s="57"/>
    </row>
    <row r="773" spans="1:1">
      <c r="A773" s="57"/>
    </row>
    <row r="774" spans="1:1">
      <c r="A774" s="57"/>
    </row>
    <row r="775" spans="1:1">
      <c r="A775" s="57"/>
    </row>
    <row r="776" spans="1:1">
      <c r="A776" s="57"/>
    </row>
    <row r="777" spans="1:1">
      <c r="A777" s="57"/>
    </row>
    <row r="778" spans="1:1">
      <c r="A778" s="57"/>
    </row>
    <row r="779" spans="1:1">
      <c r="A779" s="57"/>
    </row>
    <row r="780" spans="1:1">
      <c r="A780" s="57"/>
    </row>
    <row r="781" spans="1:1">
      <c r="A781" s="57"/>
    </row>
    <row r="782" spans="1:1">
      <c r="A782" s="57"/>
    </row>
    <row r="783" spans="1:1">
      <c r="A783" s="57"/>
    </row>
    <row r="784" spans="1:1">
      <c r="A784" s="57"/>
    </row>
    <row r="785" spans="1:1">
      <c r="A785" s="57"/>
    </row>
    <row r="786" spans="1:1">
      <c r="A786" s="57"/>
    </row>
    <row r="787" spans="1:1">
      <c r="A787" s="57"/>
    </row>
    <row r="788" spans="1:1">
      <c r="A788" s="57"/>
    </row>
    <row r="789" spans="1:1">
      <c r="A789" s="57"/>
    </row>
    <row r="790" spans="1:1">
      <c r="A790" s="57"/>
    </row>
    <row r="791" spans="1:1">
      <c r="A791" s="57"/>
    </row>
    <row r="792" spans="1:1">
      <c r="A792" s="57"/>
    </row>
    <row r="793" spans="1:1">
      <c r="A793" s="57"/>
    </row>
    <row r="794" spans="1:1">
      <c r="A794" s="57"/>
    </row>
    <row r="795" spans="1:1">
      <c r="A795" s="57"/>
    </row>
    <row r="796" spans="1:1">
      <c r="A796" s="57"/>
    </row>
    <row r="797" spans="1:1">
      <c r="A797" s="57"/>
    </row>
    <row r="798" spans="1:1">
      <c r="A798" s="57"/>
    </row>
    <row r="799" spans="1:1">
      <c r="A799" s="57"/>
    </row>
    <row r="800" spans="1:1">
      <c r="A800" s="57"/>
    </row>
    <row r="801" spans="1:1">
      <c r="A801" s="57"/>
    </row>
    <row r="802" spans="1:1">
      <c r="A802" s="57"/>
    </row>
    <row r="803" spans="1:1">
      <c r="A803" s="57"/>
    </row>
    <row r="804" spans="1:1">
      <c r="A804" s="57"/>
    </row>
    <row r="805" spans="1:1">
      <c r="A805" s="57"/>
    </row>
    <row r="806" spans="1:1">
      <c r="A806" s="57"/>
    </row>
    <row r="807" spans="1:1">
      <c r="A807" s="57"/>
    </row>
    <row r="808" spans="1:1">
      <c r="A808" s="57"/>
    </row>
    <row r="809" spans="1:1">
      <c r="A809" s="57"/>
    </row>
    <row r="810" spans="1:1">
      <c r="A810" s="57"/>
    </row>
    <row r="811" spans="1:1">
      <c r="A811" s="57"/>
    </row>
    <row r="812" spans="1:1">
      <c r="A812" s="57"/>
    </row>
    <row r="813" spans="1:1">
      <c r="A813" s="57"/>
    </row>
    <row r="814" spans="1:1">
      <c r="A814" s="57"/>
    </row>
    <row r="815" spans="1:1">
      <c r="A815" s="57"/>
    </row>
    <row r="816" spans="1:1">
      <c r="A816" s="57"/>
    </row>
    <row r="817" spans="1:1">
      <c r="A817" s="57"/>
    </row>
    <row r="818" spans="1:1">
      <c r="A818" s="57"/>
    </row>
    <row r="819" spans="1:1">
      <c r="A819" s="57"/>
    </row>
    <row r="820" spans="1:1">
      <c r="A820" s="57"/>
    </row>
    <row r="821" spans="1:1">
      <c r="A821" s="57"/>
    </row>
    <row r="822" spans="1:1">
      <c r="A822" s="57"/>
    </row>
    <row r="823" spans="1:1">
      <c r="A823" s="57"/>
    </row>
    <row r="824" spans="1:1">
      <c r="A824" s="57"/>
    </row>
    <row r="825" spans="1:1">
      <c r="A825" s="57"/>
    </row>
    <row r="826" spans="1:1">
      <c r="A826" s="57"/>
    </row>
    <row r="827" spans="1:1">
      <c r="A827" s="57"/>
    </row>
    <row r="828" spans="1:1">
      <c r="A828" s="57"/>
    </row>
    <row r="829" spans="1:1">
      <c r="A829" s="57"/>
    </row>
    <row r="830" spans="1:1">
      <c r="A830" s="57"/>
    </row>
    <row r="831" spans="1:1">
      <c r="A831" s="57"/>
    </row>
    <row r="832" spans="1:1">
      <c r="A832" s="57"/>
    </row>
    <row r="833" spans="1:1">
      <c r="A833" s="57"/>
    </row>
    <row r="834" spans="1:1">
      <c r="A834" s="57"/>
    </row>
    <row r="835" spans="1:1">
      <c r="A835" s="57"/>
    </row>
    <row r="836" spans="1:1">
      <c r="A836" s="57"/>
    </row>
    <row r="837" spans="1:1">
      <c r="A837" s="57"/>
    </row>
    <row r="838" spans="1:1">
      <c r="A838" s="57"/>
    </row>
    <row r="839" spans="1:1">
      <c r="A839" s="57"/>
    </row>
    <row r="840" spans="1:1">
      <c r="A840" s="57"/>
    </row>
    <row r="841" spans="1:1">
      <c r="A841" s="57"/>
    </row>
    <row r="842" spans="1:1">
      <c r="A842" s="57"/>
    </row>
    <row r="843" spans="1:1">
      <c r="A843" s="57"/>
    </row>
    <row r="844" spans="1:1">
      <c r="A844" s="57"/>
    </row>
    <row r="845" spans="1:1">
      <c r="A845" s="57"/>
    </row>
    <row r="846" spans="1:1">
      <c r="A846" s="57"/>
    </row>
    <row r="847" spans="1:1">
      <c r="A847" s="57"/>
    </row>
    <row r="848" spans="1:1">
      <c r="A848" s="57"/>
    </row>
    <row r="849" spans="1:1">
      <c r="A849" s="57"/>
    </row>
    <row r="850" spans="1:1">
      <c r="A850" s="57"/>
    </row>
    <row r="851" spans="1:1">
      <c r="A851" s="57"/>
    </row>
    <row r="852" spans="1:1">
      <c r="A852" s="57"/>
    </row>
    <row r="853" spans="1:1">
      <c r="A853" s="57"/>
    </row>
    <row r="854" spans="1:1">
      <c r="A854" s="57"/>
    </row>
    <row r="855" spans="1:1">
      <c r="A855" s="57"/>
    </row>
    <row r="856" spans="1:1">
      <c r="A856" s="57"/>
    </row>
    <row r="857" spans="1:1">
      <c r="A857" s="57"/>
    </row>
    <row r="858" spans="1:1">
      <c r="A858" s="57"/>
    </row>
    <row r="859" spans="1:1">
      <c r="A859" s="57"/>
    </row>
    <row r="860" spans="1:1">
      <c r="A860" s="57"/>
    </row>
    <row r="861" spans="1:1">
      <c r="A861" s="57"/>
    </row>
    <row r="862" spans="1:1">
      <c r="A862" s="57"/>
    </row>
    <row r="863" spans="1:1">
      <c r="A863" s="57"/>
    </row>
    <row r="864" spans="1:1">
      <c r="A864" s="57"/>
    </row>
    <row r="865" spans="1:1">
      <c r="A865" s="57"/>
    </row>
    <row r="866" spans="1:1">
      <c r="A866" s="57"/>
    </row>
    <row r="867" spans="1:1">
      <c r="A867" s="57"/>
    </row>
    <row r="868" spans="1:1">
      <c r="A868" s="57"/>
    </row>
    <row r="869" spans="1:1">
      <c r="A869" s="57"/>
    </row>
    <row r="870" spans="1:1">
      <c r="A870" s="57"/>
    </row>
    <row r="871" spans="1:1">
      <c r="A871" s="57"/>
    </row>
    <row r="872" spans="1:1">
      <c r="A872" s="57"/>
    </row>
    <row r="873" spans="1:1">
      <c r="A873" s="57"/>
    </row>
    <row r="874" spans="1:1">
      <c r="A874" s="57"/>
    </row>
    <row r="875" spans="1:1">
      <c r="A875" s="57"/>
    </row>
    <row r="876" spans="1:1">
      <c r="A876" s="57"/>
    </row>
    <row r="877" spans="1:1">
      <c r="A877" s="57"/>
    </row>
    <row r="878" spans="1:1">
      <c r="A878" s="57"/>
    </row>
    <row r="879" spans="1:1">
      <c r="A879" s="57"/>
    </row>
    <row r="880" spans="1:1">
      <c r="A880" s="57"/>
    </row>
    <row r="881" spans="1:1">
      <c r="A881" s="57"/>
    </row>
    <row r="882" spans="1:1">
      <c r="A882" s="57"/>
    </row>
    <row r="883" spans="1:1">
      <c r="A883" s="57"/>
    </row>
    <row r="884" spans="1:1">
      <c r="A884" s="57"/>
    </row>
    <row r="885" spans="1:1">
      <c r="A885" s="57"/>
    </row>
    <row r="886" spans="1:1">
      <c r="A886" s="57"/>
    </row>
    <row r="887" spans="1:1">
      <c r="A887" s="57"/>
    </row>
    <row r="888" spans="1:1">
      <c r="A888" s="57"/>
    </row>
    <row r="889" spans="1:1">
      <c r="A889" s="57"/>
    </row>
    <row r="890" spans="1:1">
      <c r="A890" s="57"/>
    </row>
    <row r="891" spans="1:1">
      <c r="A891" s="57"/>
    </row>
    <row r="892" spans="1:1">
      <c r="A892" s="57"/>
    </row>
    <row r="893" spans="1:1">
      <c r="A893" s="57"/>
    </row>
    <row r="894" spans="1:1">
      <c r="A894" s="57"/>
    </row>
    <row r="895" spans="1:1">
      <c r="A895" s="57"/>
    </row>
    <row r="896" spans="1:1">
      <c r="A896" s="57"/>
    </row>
    <row r="897" spans="1:1">
      <c r="A897" s="57"/>
    </row>
    <row r="898" spans="1:1">
      <c r="A898" s="57"/>
    </row>
    <row r="899" spans="1:1">
      <c r="A899" s="57"/>
    </row>
    <row r="900" spans="1:1">
      <c r="A900" s="57"/>
    </row>
    <row r="901" spans="1:1">
      <c r="A901" s="57"/>
    </row>
    <row r="902" spans="1:1">
      <c r="A902" s="57"/>
    </row>
    <row r="903" spans="1:1">
      <c r="A903" s="57"/>
    </row>
    <row r="904" spans="1:1">
      <c r="A904" s="57"/>
    </row>
    <row r="905" spans="1:1">
      <c r="A905" s="57"/>
    </row>
    <row r="906" spans="1:1">
      <c r="A906" s="57"/>
    </row>
    <row r="907" spans="1:1">
      <c r="A907" s="57"/>
    </row>
    <row r="908" spans="1:1">
      <c r="A908" s="57"/>
    </row>
    <row r="909" spans="1:1">
      <c r="A909" s="57"/>
    </row>
    <row r="910" spans="1:1">
      <c r="A910" s="57"/>
    </row>
    <row r="911" spans="1:1">
      <c r="A911" s="57"/>
    </row>
    <row r="912" spans="1:1">
      <c r="A912" s="57"/>
    </row>
    <row r="913" spans="1:1">
      <c r="A913" s="57"/>
    </row>
    <row r="914" spans="1:1">
      <c r="A914" s="57"/>
    </row>
    <row r="915" spans="1:1">
      <c r="A915" s="57"/>
    </row>
    <row r="916" spans="1:1">
      <c r="A916" s="57"/>
    </row>
    <row r="917" spans="1:1">
      <c r="A917" s="57"/>
    </row>
    <row r="918" spans="1:1">
      <c r="A918" s="57"/>
    </row>
    <row r="919" spans="1:1">
      <c r="A919" s="57"/>
    </row>
    <row r="920" spans="1:1">
      <c r="A920" s="57"/>
    </row>
    <row r="921" spans="1:1">
      <c r="A921" s="57"/>
    </row>
    <row r="922" spans="1:1">
      <c r="A922" s="57"/>
    </row>
    <row r="923" spans="1:1">
      <c r="A923" s="57"/>
    </row>
    <row r="924" spans="1:1">
      <c r="A924" s="57"/>
    </row>
    <row r="925" spans="1:1">
      <c r="A925" s="57"/>
    </row>
    <row r="926" spans="1:1">
      <c r="A926" s="57"/>
    </row>
    <row r="927" spans="1:1">
      <c r="A927" s="57"/>
    </row>
    <row r="928" spans="1:1">
      <c r="A928" s="57"/>
    </row>
    <row r="929" spans="1:1">
      <c r="A929" s="57"/>
    </row>
    <row r="930" spans="1:1">
      <c r="A930" s="57"/>
    </row>
    <row r="931" spans="1:1">
      <c r="A931" s="57"/>
    </row>
    <row r="932" spans="1:1">
      <c r="A932" s="57"/>
    </row>
    <row r="933" spans="1:1">
      <c r="A933" s="57"/>
    </row>
    <row r="934" spans="1:1">
      <c r="A934" s="57"/>
    </row>
    <row r="935" spans="1:1">
      <c r="A935" s="57"/>
    </row>
    <row r="936" spans="1:1">
      <c r="A936" s="57"/>
    </row>
    <row r="937" spans="1:1">
      <c r="A937" s="57"/>
    </row>
    <row r="938" spans="1:1">
      <c r="A938" s="57"/>
    </row>
    <row r="939" spans="1:1">
      <c r="A939" s="57"/>
    </row>
    <row r="940" spans="1:1">
      <c r="A940" s="57"/>
    </row>
    <row r="941" spans="1:1">
      <c r="A941" s="57"/>
    </row>
    <row r="942" spans="1:1">
      <c r="A942" s="57"/>
    </row>
    <row r="943" spans="1:1">
      <c r="A943" s="57"/>
    </row>
    <row r="944" spans="1:1">
      <c r="A944" s="57"/>
    </row>
    <row r="945" spans="1:1">
      <c r="A945" s="57"/>
    </row>
    <row r="946" spans="1:1">
      <c r="A946" s="57"/>
    </row>
    <row r="947" spans="1:1">
      <c r="A947" s="57"/>
    </row>
    <row r="948" spans="1:1">
      <c r="A948" s="57"/>
    </row>
    <row r="949" spans="1:1">
      <c r="A949" s="57"/>
    </row>
    <row r="950" spans="1:1">
      <c r="A950" s="57"/>
    </row>
    <row r="951" spans="1:1">
      <c r="A951" s="57"/>
    </row>
    <row r="952" spans="1:1">
      <c r="A952" s="57"/>
    </row>
    <row r="953" spans="1:1">
      <c r="A953" s="57"/>
    </row>
    <row r="954" spans="1:1">
      <c r="A954" s="57"/>
    </row>
    <row r="955" spans="1:1">
      <c r="A955" s="57"/>
    </row>
    <row r="956" spans="1:1">
      <c r="A956" s="57"/>
    </row>
    <row r="957" spans="1:1">
      <c r="A957" s="57"/>
    </row>
    <row r="958" spans="1:1">
      <c r="A958" s="57"/>
    </row>
    <row r="959" spans="1:1">
      <c r="A959" s="57"/>
    </row>
    <row r="960" spans="1:1">
      <c r="A960" s="57"/>
    </row>
    <row r="961" spans="1:1">
      <c r="A961" s="57"/>
    </row>
    <row r="962" spans="1:1">
      <c r="A962" s="57"/>
    </row>
    <row r="963" spans="1:1">
      <c r="A963" s="57"/>
    </row>
    <row r="964" spans="1:1">
      <c r="A964" s="57"/>
    </row>
    <row r="965" spans="1:1">
      <c r="A965" s="57"/>
    </row>
    <row r="966" spans="1:1">
      <c r="A966" s="57"/>
    </row>
    <row r="967" spans="1:1">
      <c r="A967" s="57"/>
    </row>
    <row r="968" spans="1:1">
      <c r="A968" s="57"/>
    </row>
    <row r="969" spans="1:1">
      <c r="A969" s="57"/>
    </row>
    <row r="970" spans="1:1">
      <c r="A970" s="57"/>
    </row>
    <row r="971" spans="1:1">
      <c r="A971" s="57"/>
    </row>
    <row r="972" spans="1:1">
      <c r="A972" s="57"/>
    </row>
    <row r="973" spans="1:1">
      <c r="A973" s="57"/>
    </row>
    <row r="974" spans="1:1">
      <c r="A974" s="57"/>
    </row>
    <row r="975" spans="1:1">
      <c r="A975" s="57"/>
    </row>
    <row r="976" spans="1:1">
      <c r="A976" s="57"/>
    </row>
    <row r="977" spans="1:1">
      <c r="A977" s="57"/>
    </row>
    <row r="978" spans="1:1">
      <c r="A978" s="57"/>
    </row>
    <row r="979" spans="1:1">
      <c r="A979" s="57"/>
    </row>
    <row r="980" spans="1:1">
      <c r="A980" s="57"/>
    </row>
    <row r="981" spans="1:1">
      <c r="A981" s="57"/>
    </row>
    <row r="982" spans="1:1">
      <c r="A982" s="57"/>
    </row>
    <row r="983" spans="1:1">
      <c r="A983" s="57"/>
    </row>
    <row r="984" spans="1:1">
      <c r="A984" s="57"/>
    </row>
    <row r="985" spans="1:1">
      <c r="A985" s="57"/>
    </row>
    <row r="986" spans="1:1">
      <c r="A986" s="57"/>
    </row>
    <row r="987" spans="1:1">
      <c r="A987" s="57"/>
    </row>
    <row r="988" spans="1:1">
      <c r="A988" s="57"/>
    </row>
    <row r="989" spans="1:1">
      <c r="A989" s="57"/>
    </row>
    <row r="990" spans="1:1">
      <c r="A990" s="57"/>
    </row>
    <row r="991" spans="1:1">
      <c r="A991" s="57"/>
    </row>
    <row r="992" spans="1:1">
      <c r="A992" s="57"/>
    </row>
    <row r="993" spans="1:1">
      <c r="A993" s="57"/>
    </row>
    <row r="994" spans="1:1">
      <c r="A994" s="57"/>
    </row>
    <row r="995" spans="1:1">
      <c r="A995" s="57"/>
    </row>
    <row r="996" spans="1:1">
      <c r="A996" s="57"/>
    </row>
    <row r="997" spans="1:1">
      <c r="A997" s="57"/>
    </row>
    <row r="998" spans="1:1">
      <c r="A998" s="57"/>
    </row>
    <row r="999" spans="1:1">
      <c r="A999" s="57"/>
    </row>
    <row r="1000" spans="1:1">
      <c r="A1000" s="57"/>
    </row>
  </sheetData>
  <sheetProtection sheet="1" objects="1" scenarios="1"/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W797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5" width="13.625" style="5" customWidth="1"/>
    <col min="16" max="19" width="14.625" style="5" customWidth="1"/>
    <col min="20" max="20" width="12.625" style="5" customWidth="1"/>
    <col min="21" max="21" width="20.625" style="5" hidden="1" customWidth="1"/>
    <col min="22" max="22" width="18.625" style="5" hidden="1" customWidth="1"/>
    <col min="23" max="23" width="50.625" style="5" customWidth="1"/>
    <col min="24" max="24" width="19" style="1" customWidth="1"/>
    <col min="25" max="16384" width="9" style="1"/>
  </cols>
  <sheetData>
    <row r="1" spans="1:23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223</v>
      </c>
      <c r="P1" s="17" t="s">
        <v>130</v>
      </c>
      <c r="Q1" s="17" t="s">
        <v>131</v>
      </c>
      <c r="R1" s="17" t="s">
        <v>132</v>
      </c>
      <c r="S1" s="17" t="s">
        <v>133</v>
      </c>
      <c r="T1" s="17" t="s">
        <v>134</v>
      </c>
      <c r="U1" s="17" t="s">
        <v>135</v>
      </c>
      <c r="V1" s="17" t="s">
        <v>136</v>
      </c>
      <c r="W1" s="17" t="s">
        <v>137</v>
      </c>
    </row>
    <row r="2" spans="1:23" s="7" customFormat="1" ht="15.75">
      <c r="A2" s="50"/>
      <c r="B2" s="18"/>
      <c r="C2" s="6"/>
      <c r="D2" s="6"/>
      <c r="E2" s="6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" s="39" t="s">
        <v>241</v>
      </c>
      <c r="G2" s="42"/>
      <c r="H2" s="42"/>
      <c r="I2" s="42"/>
      <c r="J2" s="42"/>
      <c r="K2" s="42"/>
      <c r="L2" s="42"/>
      <c r="M2" s="42"/>
      <c r="N2" s="42"/>
      <c r="O2" s="42" t="b">
        <v>0</v>
      </c>
      <c r="P2" s="45"/>
      <c r="Q2" s="45"/>
      <c r="R2" s="45"/>
      <c r="S2" s="43"/>
      <c r="T2" s="43"/>
      <c r="U2" s="44">
        <v>46181.836770833332</v>
      </c>
      <c r="V2" s="39" t="s">
        <v>242</v>
      </c>
      <c r="W2" s="39" t="s">
        <v>241</v>
      </c>
    </row>
    <row r="3" spans="1:23" s="7" customFormat="1">
      <c r="A3" s="5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s="7" customFormat="1">
      <c r="A4" s="51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s="7" customFormat="1">
      <c r="A5" s="51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s="7" customFormat="1">
      <c r="A6" s="5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s="7" customFormat="1">
      <c r="A7" s="5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s="7" customFormat="1">
      <c r="A8" s="5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s="7" customFormat="1">
      <c r="A9" s="5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s="7" customFormat="1">
      <c r="A10" s="5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s="7" customFormat="1">
      <c r="A11" s="5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s="7" customFormat="1">
      <c r="A12" s="5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7" customFormat="1">
      <c r="A13" s="5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1"/>
    </row>
    <row r="15" spans="1:23">
      <c r="A15" s="51"/>
    </row>
    <row r="16" spans="1:23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1">
      <c r="A97" s="51"/>
    </row>
    <row r="98" spans="1:1">
      <c r="A98" s="51"/>
    </row>
    <row r="99" spans="1:1">
      <c r="A99" s="51"/>
    </row>
    <row r="100" spans="1:1">
      <c r="A100" s="51"/>
    </row>
    <row r="101" spans="1:1">
      <c r="A101" s="51"/>
    </row>
    <row r="102" spans="1:1">
      <c r="A102" s="51"/>
    </row>
    <row r="103" spans="1:1">
      <c r="A103" s="51"/>
    </row>
    <row r="104" spans="1:1">
      <c r="A104" s="51"/>
    </row>
    <row r="105" spans="1:1">
      <c r="A105" s="51"/>
    </row>
    <row r="106" spans="1:1">
      <c r="A106" s="51"/>
    </row>
    <row r="107" spans="1:1">
      <c r="A107" s="51"/>
    </row>
    <row r="108" spans="1:1">
      <c r="A108" s="51"/>
    </row>
    <row r="109" spans="1:1">
      <c r="A109" s="51"/>
    </row>
    <row r="110" spans="1:1">
      <c r="A110" s="51"/>
    </row>
    <row r="111" spans="1:1">
      <c r="A111" s="51"/>
    </row>
    <row r="112" spans="1:1">
      <c r="A112" s="51"/>
    </row>
    <row r="113" spans="1:1">
      <c r="A113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22" spans="1:1">
      <c r="A122" s="51"/>
    </row>
    <row r="123" spans="1:1">
      <c r="A123" s="51"/>
    </row>
    <row r="124" spans="1:1">
      <c r="A124" s="51"/>
    </row>
    <row r="125" spans="1:1">
      <c r="A125" s="51"/>
    </row>
    <row r="126" spans="1:1">
      <c r="A126" s="51"/>
    </row>
    <row r="127" spans="1:1">
      <c r="A127" s="51"/>
    </row>
    <row r="128" spans="1:1">
      <c r="A128" s="51"/>
    </row>
    <row r="129" spans="1:1">
      <c r="A129" s="51"/>
    </row>
    <row r="130" spans="1:1">
      <c r="A130" s="51"/>
    </row>
    <row r="131" spans="1:1">
      <c r="A131" s="51"/>
    </row>
    <row r="132" spans="1:1">
      <c r="A132" s="51"/>
    </row>
    <row r="133" spans="1:1">
      <c r="A133" s="51"/>
    </row>
    <row r="134" spans="1:1">
      <c r="A134" s="51"/>
    </row>
    <row r="135" spans="1:1">
      <c r="A135" s="51"/>
    </row>
    <row r="136" spans="1:1">
      <c r="A136" s="51"/>
    </row>
    <row r="137" spans="1:1">
      <c r="A137" s="51"/>
    </row>
    <row r="138" spans="1:1">
      <c r="A138" s="51"/>
    </row>
    <row r="139" spans="1:1">
      <c r="A139" s="51"/>
    </row>
    <row r="140" spans="1:1">
      <c r="A140" s="51"/>
    </row>
    <row r="141" spans="1:1">
      <c r="A141" s="51"/>
    </row>
    <row r="142" spans="1:1">
      <c r="A142" s="51"/>
    </row>
    <row r="143" spans="1:1">
      <c r="A143" s="51"/>
    </row>
    <row r="144" spans="1:1">
      <c r="A144" s="51"/>
    </row>
    <row r="145" spans="1:1">
      <c r="A145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54" spans="1:1">
      <c r="A154" s="51"/>
    </row>
    <row r="155" spans="1:1">
      <c r="A155" s="51"/>
    </row>
    <row r="156" spans="1:1">
      <c r="A156" s="51"/>
    </row>
    <row r="157" spans="1:1">
      <c r="A157" s="51"/>
    </row>
    <row r="158" spans="1:1">
      <c r="A158" s="51"/>
    </row>
    <row r="159" spans="1:1">
      <c r="A159" s="51"/>
    </row>
    <row r="160" spans="1:1">
      <c r="A160" s="51"/>
    </row>
    <row r="161" spans="1:1">
      <c r="A161" s="51"/>
    </row>
    <row r="162" spans="1:1">
      <c r="A162" s="51"/>
    </row>
    <row r="163" spans="1:1">
      <c r="A163" s="51"/>
    </row>
    <row r="164" spans="1:1">
      <c r="A164" s="51"/>
    </row>
    <row r="165" spans="1:1">
      <c r="A165" s="51"/>
    </row>
    <row r="166" spans="1:1">
      <c r="A166" s="51"/>
    </row>
    <row r="167" spans="1:1">
      <c r="A167" s="51"/>
    </row>
    <row r="168" spans="1:1">
      <c r="A168" s="51"/>
    </row>
    <row r="169" spans="1:1">
      <c r="A169" s="51"/>
    </row>
    <row r="170" spans="1:1">
      <c r="A170" s="51"/>
    </row>
    <row r="171" spans="1:1">
      <c r="A171" s="51"/>
    </row>
    <row r="172" spans="1:1">
      <c r="A172" s="51"/>
    </row>
    <row r="173" spans="1:1">
      <c r="A173" s="51"/>
    </row>
    <row r="174" spans="1:1">
      <c r="A174" s="51"/>
    </row>
    <row r="175" spans="1:1">
      <c r="A175" s="51"/>
    </row>
    <row r="176" spans="1:1">
      <c r="A176" s="51"/>
    </row>
    <row r="177" spans="1:1">
      <c r="A177" s="51"/>
    </row>
    <row r="178" spans="1:1">
      <c r="A178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187" spans="1:1">
      <c r="A187" s="51"/>
    </row>
    <row r="188" spans="1:1">
      <c r="A188" s="51"/>
    </row>
    <row r="189" spans="1:1">
      <c r="A189" s="51"/>
    </row>
    <row r="190" spans="1:1">
      <c r="A190" s="51"/>
    </row>
    <row r="191" spans="1:1">
      <c r="A191" s="51"/>
    </row>
    <row r="192" spans="1:1">
      <c r="A192" s="51"/>
    </row>
    <row r="193" spans="1:1">
      <c r="A193" s="51"/>
    </row>
    <row r="194" spans="1:1">
      <c r="A194" s="51"/>
    </row>
    <row r="195" spans="1:1">
      <c r="A195" s="51"/>
    </row>
    <row r="196" spans="1:1">
      <c r="A196" s="51"/>
    </row>
    <row r="197" spans="1:1">
      <c r="A197" s="51"/>
    </row>
    <row r="198" spans="1:1">
      <c r="A198" s="51"/>
    </row>
    <row r="199" spans="1:1">
      <c r="A199" s="51"/>
    </row>
    <row r="200" spans="1:1">
      <c r="A200" s="51"/>
    </row>
    <row r="201" spans="1:1">
      <c r="A201" s="51"/>
    </row>
    <row r="202" spans="1:1">
      <c r="A202" s="51"/>
    </row>
    <row r="203" spans="1:1">
      <c r="A203" s="51"/>
    </row>
    <row r="204" spans="1:1">
      <c r="A204" s="51"/>
    </row>
    <row r="205" spans="1:1">
      <c r="A205" s="51"/>
    </row>
    <row r="206" spans="1:1">
      <c r="A206" s="51"/>
    </row>
    <row r="207" spans="1:1">
      <c r="A207" s="51"/>
    </row>
    <row r="208" spans="1:1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</sheetData>
  <conditionalFormatting sqref="E2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1"/>
  <sheetViews>
    <sheetView showGridLines="0" zoomScale="85" zoomScaleNormal="85" workbookViewId="0">
      <selection activeCell="F15" sqref="F15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75" style="5" customWidth="1"/>
    <col min="12" max="12" width="13.5" style="5" bestFit="1" customWidth="1"/>
    <col min="13" max="13" width="19.25" style="5" bestFit="1" customWidth="1"/>
    <col min="14" max="15" width="14.625" style="5" customWidth="1"/>
    <col min="16" max="16" width="18.25" style="5" hidden="1" customWidth="1"/>
    <col min="17" max="17" width="18.625" style="5" hidden="1" customWidth="1"/>
    <col min="18" max="18" width="50.625" style="5" customWidth="1"/>
    <col min="19" max="19" width="36.625" style="5" customWidth="1"/>
    <col min="20" max="16384" width="9" style="1"/>
  </cols>
  <sheetData>
    <row r="1" spans="1:18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144</v>
      </c>
      <c r="H1" s="6" t="s">
        <v>145</v>
      </c>
      <c r="I1" s="6" t="s">
        <v>104</v>
      </c>
      <c r="J1" s="6" t="s">
        <v>105</v>
      </c>
      <c r="K1" s="6" t="s">
        <v>223</v>
      </c>
      <c r="L1" s="6" t="s">
        <v>146</v>
      </c>
      <c r="M1" s="6" t="s">
        <v>132</v>
      </c>
      <c r="N1" s="6" t="s">
        <v>133</v>
      </c>
      <c r="O1" s="6" t="s">
        <v>134</v>
      </c>
      <c r="P1" s="6" t="s">
        <v>135</v>
      </c>
      <c r="Q1" s="6" t="s">
        <v>136</v>
      </c>
      <c r="R1" s="6" t="s">
        <v>137</v>
      </c>
    </row>
    <row r="2" spans="1:18" s="7" customFormat="1">
      <c r="A2" s="50"/>
      <c r="B2" s="18"/>
      <c r="C2" s="6"/>
      <c r="D2" s="6"/>
      <c r="E2" s="6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" s="39" t="s">
        <v>241</v>
      </c>
      <c r="G2" s="40"/>
      <c r="H2" s="40"/>
      <c r="I2" s="40"/>
      <c r="J2" s="40"/>
      <c r="K2" s="40" t="b">
        <v>0</v>
      </c>
      <c r="L2" s="45"/>
      <c r="M2" s="58"/>
      <c r="N2" s="43"/>
      <c r="O2" s="43"/>
      <c r="P2" s="41">
        <v>46181.836770833332</v>
      </c>
      <c r="Q2" s="39" t="s">
        <v>242</v>
      </c>
      <c r="R2" s="39" t="s">
        <v>241</v>
      </c>
    </row>
    <row r="3" spans="1:18" s="7" customFormat="1">
      <c r="A3" s="5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s="7" customFormat="1">
      <c r="A4" s="51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7" customFormat="1">
      <c r="A5" s="51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s="7" customFormat="1">
      <c r="A6" s="5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1:18" s="7" customFormat="1">
      <c r="A7" s="5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s="7" customFormat="1">
      <c r="A8" s="5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s="7" customFormat="1">
      <c r="A9" s="5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7" customFormat="1">
      <c r="A10" s="5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7" customFormat="1">
      <c r="A11" s="5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s="7" customFormat="1">
      <c r="A12" s="5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s="7" customFormat="1">
      <c r="A13" s="5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s="7" customFormat="1">
      <c r="A14" s="51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s="7" customFormat="1">
      <c r="A15" s="51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s="7" customFormat="1">
      <c r="A16" s="51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s="7" customFormat="1">
      <c r="A17" s="51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s="7" customFormat="1">
      <c r="A18" s="5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s="7" customFormat="1">
      <c r="A19" s="5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s="7" customFormat="1">
      <c r="A20" s="5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s="7" customFormat="1">
      <c r="A21" s="5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s="7" customFormat="1">
      <c r="A22" s="5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s="7" customFormat="1">
      <c r="A23" s="5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s="7" customFormat="1">
      <c r="A24" s="51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s="7" customFormat="1">
      <c r="A25" s="51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s="7" customFormat="1">
      <c r="A26" s="51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s="7" customFormat="1">
      <c r="A27" s="51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s="7" customFormat="1">
      <c r="A28" s="51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s="7" customFormat="1">
      <c r="A29" s="51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s="7" customFormat="1">
      <c r="A30" s="51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s="7" customFormat="1">
      <c r="A31" s="51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s="7" customFormat="1">
      <c r="A32" s="51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s="7" customFormat="1">
      <c r="A33" s="51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s="7" customFormat="1">
      <c r="A34" s="51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s="7" customFormat="1">
      <c r="A35" s="51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s="7" customFormat="1">
      <c r="A36" s="51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s="7" customFormat="1">
      <c r="A37" s="51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s="7" customFormat="1">
      <c r="A38" s="51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s="7" customFormat="1">
      <c r="A39" s="51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s="7" customFormat="1">
      <c r="A40" s="51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 s="7" customFormat="1">
      <c r="A41" s="51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 s="7" customFormat="1">
      <c r="A42" s="51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 s="7" customFormat="1">
      <c r="A43" s="51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s="7" customFormat="1">
      <c r="A44" s="51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 s="7" customFormat="1">
      <c r="A45" s="51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 s="7" customFormat="1">
      <c r="A46" s="51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 s="7" customFormat="1">
      <c r="A47" s="51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 s="7" customFormat="1">
      <c r="A48" s="51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 s="7" customFormat="1">
      <c r="A49" s="51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 s="7" customFormat="1">
      <c r="A50" s="51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 s="7" customFormat="1">
      <c r="A51" s="51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 s="7" customFormat="1">
      <c r="A52" s="51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 s="7" customFormat="1">
      <c r="A53" s="51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 s="7" customFormat="1">
      <c r="A54" s="51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 s="7" customFormat="1">
      <c r="A55" s="51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 s="7" customFormat="1">
      <c r="A56" s="51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 s="7" customFormat="1">
      <c r="A57" s="51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 s="7" customFormat="1">
      <c r="A58" s="51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 s="7" customFormat="1">
      <c r="A59" s="51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 s="7" customFormat="1">
      <c r="A60" s="51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 s="7" customFormat="1">
      <c r="A61" s="51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 s="7" customFormat="1">
      <c r="A62" s="51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 s="7" customFormat="1">
      <c r="A63" s="51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 s="7" customFormat="1">
      <c r="A64" s="51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 s="7" customFormat="1">
      <c r="A65" s="51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s="7" customFormat="1">
      <c r="A66" s="51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 s="7" customFormat="1">
      <c r="A67" s="51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 s="7" customFormat="1">
      <c r="A68" s="51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 s="7" customFormat="1">
      <c r="A69" s="51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 s="7" customFormat="1">
      <c r="A70" s="51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 s="7" customFormat="1">
      <c r="A71" s="51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 s="7" customFormat="1">
      <c r="A72" s="51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 s="7" customFormat="1">
      <c r="A73" s="51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 s="7" customFormat="1">
      <c r="A74" s="51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 s="7" customFormat="1">
      <c r="A75" s="51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 s="7" customFormat="1">
      <c r="A76" s="51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 s="7" customFormat="1">
      <c r="A77" s="51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 s="7" customFormat="1">
      <c r="A78" s="51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 s="7" customFormat="1">
      <c r="A79" s="51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 s="7" customFormat="1">
      <c r="A80" s="51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 s="7" customFormat="1">
      <c r="A81" s="51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 s="7" customFormat="1">
      <c r="A82" s="51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 s="7" customFormat="1">
      <c r="A83" s="51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 s="7" customFormat="1">
      <c r="A84" s="51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 s="7" customFormat="1">
      <c r="A85" s="51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 s="7" customFormat="1">
      <c r="A86" s="51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 s="7" customFormat="1">
      <c r="A87" s="51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 s="7" customFormat="1">
      <c r="A88" s="51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 s="7" customFormat="1">
      <c r="A89" s="51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 s="7" customFormat="1">
      <c r="A90" s="51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 s="7" customFormat="1">
      <c r="A91" s="51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 s="7" customFormat="1">
      <c r="A92" s="51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 s="7" customFormat="1">
      <c r="A93" s="51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 s="7" customFormat="1">
      <c r="A94" s="51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 s="7" customFormat="1">
      <c r="A95" s="51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 s="7" customFormat="1">
      <c r="A96" s="51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 s="7" customFormat="1">
      <c r="A97" s="51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 s="7" customFormat="1">
      <c r="A98" s="51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 s="7" customFormat="1">
      <c r="A99" s="51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 s="7" customFormat="1">
      <c r="A100" s="51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 s="7" customFormat="1">
      <c r="A101" s="51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 s="7" customFormat="1">
      <c r="A102" s="51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 s="7" customFormat="1">
      <c r="A103" s="51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 s="7" customFormat="1">
      <c r="A104" s="51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 s="7" customFormat="1">
      <c r="A105" s="51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 s="7" customFormat="1">
      <c r="A106" s="51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 s="7" customFormat="1">
      <c r="A107" s="51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 s="7" customFormat="1">
      <c r="A108" s="51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 s="7" customFormat="1">
      <c r="A109" s="51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 s="7" customFormat="1">
      <c r="A110" s="51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 s="7" customFormat="1">
      <c r="A111" s="51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 s="7" customFormat="1">
      <c r="A112" s="51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 s="7" customFormat="1">
      <c r="A113" s="51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 s="7" customFormat="1">
      <c r="A114" s="51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 s="7" customFormat="1">
      <c r="A115" s="51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 s="7" customFormat="1">
      <c r="A116" s="51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 s="7" customFormat="1">
      <c r="A117" s="51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 s="7" customFormat="1">
      <c r="A118" s="51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 s="7" customFormat="1">
      <c r="A119" s="51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 s="7" customFormat="1">
      <c r="A120" s="51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 s="7" customFormat="1">
      <c r="A121" s="51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 s="7" customFormat="1">
      <c r="A122" s="51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 s="7" customFormat="1">
      <c r="A123" s="51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 s="7" customFormat="1">
      <c r="A124" s="51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 s="7" customFormat="1">
      <c r="A125" s="51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 s="7" customFormat="1">
      <c r="A126" s="51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 s="7" customFormat="1">
      <c r="A127" s="51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 s="7" customFormat="1">
      <c r="A128" s="51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 s="7" customFormat="1">
      <c r="A129" s="51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 s="7" customFormat="1">
      <c r="A130" s="51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 s="7" customFormat="1">
      <c r="A131" s="51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 s="7" customFormat="1">
      <c r="A132" s="51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 s="7" customFormat="1">
      <c r="A133" s="51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 s="7" customFormat="1">
      <c r="A134" s="51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 s="7" customFormat="1">
      <c r="A135" s="51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 s="7" customFormat="1">
      <c r="A136" s="51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 s="7" customFormat="1">
      <c r="A137" s="51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 s="7" customFormat="1">
      <c r="A138" s="51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 s="7" customFormat="1">
      <c r="A139" s="51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 s="7" customFormat="1">
      <c r="A140" s="51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 s="7" customFormat="1">
      <c r="A141" s="51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 s="7" customFormat="1">
      <c r="A142" s="51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 s="7" customFormat="1">
      <c r="A143" s="51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 s="7" customFormat="1">
      <c r="A144" s="51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 s="7" customFormat="1">
      <c r="A145" s="51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 s="7" customFormat="1">
      <c r="A146" s="51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 s="7" customFormat="1">
      <c r="A147" s="51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 s="7" customFormat="1">
      <c r="A148" s="51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 s="7" customFormat="1">
      <c r="A149" s="51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 s="7" customFormat="1">
      <c r="A150" s="51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 s="7" customFormat="1">
      <c r="A151" s="51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 s="7" customFormat="1">
      <c r="A152" s="51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 s="7" customFormat="1">
      <c r="A153" s="51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 s="7" customFormat="1">
      <c r="A154" s="51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 s="7" customFormat="1">
      <c r="A155" s="51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 s="7" customFormat="1">
      <c r="A156" s="51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 s="7" customFormat="1">
      <c r="A157" s="51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 s="7" customFormat="1">
      <c r="A158" s="51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 s="7" customFormat="1">
      <c r="A159" s="51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 s="7" customFormat="1">
      <c r="A160" s="51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 s="7" customFormat="1">
      <c r="A161" s="51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 s="7" customFormat="1">
      <c r="A162" s="51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 s="7" customFormat="1">
      <c r="A163" s="51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 s="7" customFormat="1">
      <c r="A164" s="51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 s="7" customFormat="1">
      <c r="A165" s="51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 s="7" customFormat="1">
      <c r="A166" s="51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 s="7" customFormat="1">
      <c r="A167" s="51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 s="7" customFormat="1">
      <c r="A168" s="51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 s="7" customFormat="1">
      <c r="A169" s="51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 s="7" customFormat="1">
      <c r="A170" s="51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 s="7" customFormat="1">
      <c r="A171" s="51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 s="7" customFormat="1">
      <c r="A172" s="51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 s="7" customFormat="1">
      <c r="A173" s="51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 s="7" customFormat="1">
      <c r="A174" s="51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 s="7" customFormat="1">
      <c r="A175" s="51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 s="7" customFormat="1">
      <c r="A176" s="51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 s="7" customFormat="1">
      <c r="A177" s="51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 s="7" customFormat="1">
      <c r="A178" s="51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 s="7" customFormat="1">
      <c r="A179" s="51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 s="7" customFormat="1">
      <c r="A180" s="51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 s="7" customFormat="1">
      <c r="A181" s="51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 s="7" customFormat="1">
      <c r="A182" s="51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 s="7" customFormat="1">
      <c r="A183" s="51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 s="7" customFormat="1">
      <c r="A184" s="51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 s="7" customFormat="1">
      <c r="A185" s="51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 s="7" customFormat="1">
      <c r="A186" s="51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s="7" customFormat="1">
      <c r="A187" s="51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s="7" customFormat="1">
      <c r="A188" s="51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s="7" customFormat="1">
      <c r="A189" s="51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s="7" customFormat="1">
      <c r="A190" s="51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s="7" customFormat="1">
      <c r="A191" s="51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s="7" customFormat="1">
      <c r="A192" s="51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s="7" customFormat="1">
      <c r="A193" s="51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s="7" customFormat="1">
      <c r="A194" s="51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s="7" customFormat="1">
      <c r="A195" s="51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s="7" customFormat="1">
      <c r="A196" s="51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 s="7" customFormat="1">
      <c r="A197" s="51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s="7" customFormat="1">
      <c r="A198" s="51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s="7" customFormat="1">
      <c r="A199" s="51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s="7" customFormat="1">
      <c r="A200" s="51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 s="7" customFormat="1">
      <c r="A201" s="51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>
      <c r="A202" s="51"/>
    </row>
    <row r="203" spans="1:18">
      <c r="A203" s="51"/>
    </row>
    <row r="204" spans="1:18">
      <c r="A204" s="51"/>
    </row>
    <row r="205" spans="1:18">
      <c r="A205" s="51"/>
    </row>
    <row r="206" spans="1:18">
      <c r="A206" s="51"/>
    </row>
    <row r="207" spans="1:18">
      <c r="A207" s="51"/>
    </row>
    <row r="208" spans="1:18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  <row r="798" spans="1:1">
      <c r="A798" s="51"/>
    </row>
    <row r="799" spans="1:1">
      <c r="A799" s="51"/>
    </row>
    <row r="800" spans="1:1">
      <c r="A800" s="51"/>
    </row>
    <row r="801" spans="1:1">
      <c r="A801" s="51"/>
    </row>
  </sheetData>
  <conditionalFormatting sqref="E2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229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151</v>
      </c>
      <c r="G3" s="12" t="s">
        <v>152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4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4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4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4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4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230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163</v>
      </c>
      <c r="G3" s="12" t="s">
        <v>164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4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4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4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4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4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231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165</v>
      </c>
      <c r="G3" s="12" t="s">
        <v>166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4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4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4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4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4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232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167</v>
      </c>
      <c r="G3" s="12" t="s">
        <v>168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4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4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4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4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4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233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169</v>
      </c>
      <c r="G3" s="12" t="s">
        <v>170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4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4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4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4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4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48" t="str">
        <f t="shared" si="0"/>
        <v>Week 23</v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B7" sqref="B7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234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171</v>
      </c>
      <c r="G3" s="12" t="s">
        <v>172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</v>
      </c>
      <c r="G6" s="4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</v>
      </c>
      <c r="H6" s="4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4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4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4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4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4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235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173</v>
      </c>
      <c r="G3" s="12" t="s">
        <v>174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4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4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4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4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4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5" priority="1" stopIfTrue="1">
      <formula>ISNUMBER(SEARCH(CHAR(10),A6))</formula>
    </cfRule>
    <cfRule type="expression" dxfId="144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236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175</v>
      </c>
      <c r="G3" s="12" t="s">
        <v>176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4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4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4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4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4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48" t="str">
        <f t="shared" si="0"/>
        <v>Week 36</v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237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177</v>
      </c>
      <c r="G3" s="12" t="s">
        <v>178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4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4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4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4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4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238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179</v>
      </c>
      <c r="G3" s="12" t="s">
        <v>180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4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4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4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4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4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239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181</v>
      </c>
      <c r="G3" s="12" t="s">
        <v>182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4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4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4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4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4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240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183</v>
      </c>
      <c r="G3" s="12" t="s">
        <v>184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4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4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4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4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4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185</v>
      </c>
      <c r="D1" s="16" t="s">
        <v>186</v>
      </c>
      <c r="E1" s="16" t="s">
        <v>187</v>
      </c>
    </row>
    <row r="2" spans="1:5">
      <c r="A2" s="14" t="s">
        <v>138</v>
      </c>
      <c r="B2" s="14" t="s">
        <v>188</v>
      </c>
      <c r="C2" s="14" t="s">
        <v>38</v>
      </c>
      <c r="D2" s="14" t="s">
        <v>189</v>
      </c>
      <c r="E2" s="14" t="s">
        <v>190</v>
      </c>
    </row>
    <row r="3" spans="1:5">
      <c r="A3" s="14" t="s">
        <v>140</v>
      </c>
      <c r="B3" s="14" t="s">
        <v>191</v>
      </c>
      <c r="C3" s="14" t="s">
        <v>188</v>
      </c>
      <c r="D3" s="14" t="s">
        <v>192</v>
      </c>
      <c r="E3" s="14" t="s">
        <v>193</v>
      </c>
    </row>
    <row r="4" spans="1:5">
      <c r="A4" s="14" t="s">
        <v>139</v>
      </c>
      <c r="B4" s="14" t="s">
        <v>194</v>
      </c>
      <c r="C4" s="14" t="s">
        <v>195</v>
      </c>
      <c r="D4" s="14" t="s">
        <v>196</v>
      </c>
      <c r="E4" s="14" t="s">
        <v>197</v>
      </c>
    </row>
    <row r="5" spans="1:5">
      <c r="A5" s="14" t="s">
        <v>142</v>
      </c>
      <c r="B5" s="14" t="s">
        <v>198</v>
      </c>
      <c r="C5" s="14" t="s">
        <v>199</v>
      </c>
      <c r="D5" s="14" t="s">
        <v>200</v>
      </c>
      <c r="E5" s="14" t="s">
        <v>201</v>
      </c>
    </row>
    <row r="6" spans="1:5">
      <c r="A6" s="14" t="s">
        <v>143</v>
      </c>
      <c r="B6" s="14" t="s">
        <v>202</v>
      </c>
      <c r="C6" s="14" t="s">
        <v>203</v>
      </c>
      <c r="D6" s="14" t="s">
        <v>204</v>
      </c>
      <c r="E6" s="14" t="s">
        <v>205</v>
      </c>
    </row>
    <row r="7" spans="1:5">
      <c r="A7" s="14" t="s">
        <v>206</v>
      </c>
      <c r="B7" s="14" t="s">
        <v>207</v>
      </c>
      <c r="C7" s="14" t="s">
        <v>208</v>
      </c>
      <c r="D7" s="14" t="s">
        <v>209</v>
      </c>
      <c r="E7" s="14" t="s">
        <v>210</v>
      </c>
    </row>
    <row r="8" spans="1:5">
      <c r="A8" s="14" t="s">
        <v>211</v>
      </c>
      <c r="B8" s="14" t="s">
        <v>212</v>
      </c>
      <c r="C8" s="14" t="s">
        <v>213</v>
      </c>
      <c r="D8" s="14" t="s">
        <v>214</v>
      </c>
      <c r="E8" s="14" t="s">
        <v>215</v>
      </c>
    </row>
    <row r="9" spans="1:5">
      <c r="A9" s="14"/>
      <c r="B9" s="14" t="s">
        <v>216</v>
      </c>
      <c r="C9" s="14" t="s">
        <v>209</v>
      </c>
      <c r="D9" s="14"/>
      <c r="E9" s="14"/>
    </row>
    <row r="10" spans="1:5">
      <c r="A10" s="14"/>
      <c r="B10" s="14" t="s">
        <v>217</v>
      </c>
      <c r="C10" s="14" t="s">
        <v>218</v>
      </c>
      <c r="D10" s="14"/>
      <c r="E10" s="14"/>
    </row>
    <row r="11" spans="1:5">
      <c r="A11" s="14"/>
      <c r="B11" s="14" t="s">
        <v>219</v>
      </c>
      <c r="C11" s="14" t="s">
        <v>220</v>
      </c>
      <c r="D11" s="14"/>
      <c r="E11" s="14"/>
    </row>
    <row r="12" spans="1:5">
      <c r="A12" s="14"/>
      <c r="B12" s="14" t="s">
        <v>221</v>
      </c>
      <c r="C12" s="14" t="s">
        <v>222</v>
      </c>
      <c r="D12" s="14"/>
      <c r="E12" s="14"/>
    </row>
    <row r="13" spans="1:5">
      <c r="A13" s="14"/>
      <c r="B13" s="14" t="s">
        <v>223</v>
      </c>
      <c r="C13" s="14" t="s">
        <v>224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204</v>
      </c>
      <c r="C15" s="14" t="s">
        <v>223</v>
      </c>
      <c r="D15" s="14"/>
      <c r="E15" s="14"/>
    </row>
    <row r="16" spans="1:5">
      <c r="A16" s="14"/>
      <c r="B16" s="14" t="s">
        <v>141</v>
      </c>
      <c r="C16" s="14" t="s">
        <v>204</v>
      </c>
      <c r="D16" s="14"/>
      <c r="E16" s="14"/>
    </row>
    <row r="17" spans="1:5">
      <c r="A17" s="14"/>
      <c r="B17" s="14"/>
      <c r="C17" s="14" t="s">
        <v>141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225</v>
      </c>
      <c r="B1" s="16" t="s">
        <v>226</v>
      </c>
      <c r="C1" s="16" t="s">
        <v>227</v>
      </c>
      <c r="D1" s="16" t="s">
        <v>228</v>
      </c>
    </row>
    <row r="2" spans="1:4">
      <c r="A2" s="15"/>
      <c r="B2" s="14"/>
      <c r="C2" s="14"/>
      <c r="D2" s="1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2026-06-09T02:49:39Z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