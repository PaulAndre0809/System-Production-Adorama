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0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2CD3FBE6-6457-42BD-8B6E-90B0A024E4F5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Dashboard" sheetId="2" r:id="rId1"/>
    <sheet name="Email Campaigns" sheetId="1" r:id="rId2"/>
    <sheet name="SMS Campaigns" sheetId="19" r:id="rId3"/>
    <sheet name="Notes - Instructions" sheetId="21" r:id="rId4"/>
    <sheet name="Dropdowns" sheetId="4" state="veryHidden" r:id="rId5"/>
    <sheet name="Automation Log" sheetId="5" state="veryHidden" r:id="rId6"/>
  </sheets>
  <functionGroups builtInGroupCount="19"/>
  <definedNames>
    <definedName name="_xlpm.allDone" hidden="1" xlm="1">#NAME?</definedName>
    <definedName name="_xlpm.audience" hidden="1" xlm="1">#NAME?</definedName>
    <definedName name="_xlpm.ch" hidden="1" xlm="1">#NAME?</definedName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delivered" hidden="1" xlm="1">#NAME?</definedName>
    <definedName name="_xlpm.e_cancel" hidden="1" xlm="1">#NAME?</definedName>
    <definedName name="_xlpm.e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s_cancel" hidden="1" xlm="1">#NAME?</definedName>
    <definedName name="_xlpm.sCancel" hidden="1" xlm="1">#NAME?</definedName>
    <definedName name="_xlpm.sMax" hidden="1" xlm="1">#NAME?</definedName>
    <definedName name="_xlpm.sms" hidden="1" xlm="1">#NAME?</definedName>
    <definedName name="_xlpm.we" hidden="1" xlm="1">#NAME?</definedName>
    <definedName name="_xlpm.ws" hidden="1" xlm="1">#NAME?</definedName>
  </definedNames>
  <calcPr calcId="191029" calcOnSave="0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1" i="2" l="1" a="1"/>
  <c r="E2" i="19"/>
  <c r="G5" i="2" s="1" a="1"/>
  <c r="C164" i="2" s="1"/>
  <c r="E2" i="1"/>
  <c r="K5" i="2" s="1" a="1"/>
  <c r="C166" i="2" s="1"/>
  <c r="AA3" i="2"/>
  <c r="D3" i="2" s="1"/>
  <c r="B3" i="2"/>
  <c r="C5" i="2" l="1" a="1"/>
  <c r="C162" i="2" s="1"/>
  <c r="I5" i="2" a="1"/>
  <c r="C165" i="2" s="1"/>
  <c r="E5" i="2" a="1"/>
  <c r="C163" i="2" s="1"/>
  <c r="J11" i="2"/>
  <c r="J12" i="2"/>
  <c r="J13" i="2"/>
  <c r="J14" i="2"/>
  <c r="J15" i="2"/>
  <c r="J16" i="2"/>
  <c r="J17" i="2"/>
  <c r="J18" i="2"/>
  <c r="J19" i="2"/>
  <c r="J20" i="2"/>
  <c r="J65" i="2"/>
  <c r="J70" i="2"/>
  <c r="J74" i="2"/>
  <c r="J80" i="2"/>
  <c r="J86" i="2"/>
  <c r="J93" i="2"/>
  <c r="J98" i="2"/>
  <c r="J105" i="2"/>
  <c r="J111" i="2"/>
  <c r="J119" i="2"/>
  <c r="J127" i="2"/>
  <c r="J138" i="2"/>
  <c r="J148" i="2"/>
  <c r="J157" i="2"/>
  <c r="J21" i="2"/>
  <c r="J22" i="2"/>
  <c r="J23" i="2"/>
  <c r="J24" i="2"/>
  <c r="J25" i="2"/>
  <c r="J26" i="2"/>
  <c r="J27" i="2"/>
  <c r="J28" i="2"/>
  <c r="J29" i="2"/>
  <c r="J30" i="2"/>
  <c r="J66" i="2"/>
  <c r="J71" i="2"/>
  <c r="J78" i="2"/>
  <c r="J84" i="2"/>
  <c r="J88" i="2"/>
  <c r="J95" i="2"/>
  <c r="J102" i="2"/>
  <c r="J109" i="2"/>
  <c r="J115" i="2"/>
  <c r="J123" i="2"/>
  <c r="J132" i="2"/>
  <c r="J142" i="2"/>
  <c r="J152" i="2"/>
  <c r="J31" i="2"/>
  <c r="J32" i="2"/>
  <c r="J33" i="2"/>
  <c r="J34" i="2"/>
  <c r="J35" i="2"/>
  <c r="J36" i="2"/>
  <c r="J37" i="2"/>
  <c r="J38" i="2"/>
  <c r="J39" i="2"/>
  <c r="J40" i="2"/>
  <c r="J49" i="2"/>
  <c r="J57" i="2"/>
  <c r="J60" i="2"/>
  <c r="J67" i="2"/>
  <c r="J72" i="2"/>
  <c r="J77" i="2"/>
  <c r="J85" i="2"/>
  <c r="J90" i="2"/>
  <c r="J97" i="2"/>
  <c r="J104" i="2"/>
  <c r="J112" i="2"/>
  <c r="J120" i="2"/>
  <c r="J131" i="2"/>
  <c r="J140" i="2"/>
  <c r="J151" i="2"/>
  <c r="J41" i="2"/>
  <c r="J42" i="2"/>
  <c r="J43" i="2"/>
  <c r="J44" i="2"/>
  <c r="J45" i="2"/>
  <c r="J46" i="2"/>
  <c r="J47" i="2"/>
  <c r="J48" i="2"/>
  <c r="J50" i="2"/>
  <c r="J59" i="2"/>
  <c r="J62" i="2"/>
  <c r="J68" i="2"/>
  <c r="J75" i="2"/>
  <c r="J83" i="2"/>
  <c r="J89" i="2"/>
  <c r="J96" i="2"/>
  <c r="J103" i="2"/>
  <c r="J110" i="2"/>
  <c r="J121" i="2"/>
  <c r="J128" i="2"/>
  <c r="J139" i="2"/>
  <c r="J149" i="2"/>
  <c r="J159" i="2"/>
  <c r="J51" i="2"/>
  <c r="J52" i="2"/>
  <c r="J53" i="2"/>
  <c r="J54" i="2"/>
  <c r="J55" i="2"/>
  <c r="J56" i="2"/>
  <c r="J58" i="2"/>
  <c r="J63" i="2"/>
  <c r="J69" i="2"/>
  <c r="J76" i="2"/>
  <c r="J82" i="2"/>
  <c r="J92" i="2"/>
  <c r="J99" i="2"/>
  <c r="J106" i="2"/>
  <c r="J113" i="2"/>
  <c r="J122" i="2"/>
  <c r="J129" i="2"/>
  <c r="J136" i="2"/>
  <c r="J145" i="2"/>
  <c r="J154" i="2"/>
  <c r="J61" i="2"/>
  <c r="J64" i="2"/>
  <c r="J73" i="2"/>
  <c r="J81" i="2"/>
  <c r="J87" i="2"/>
  <c r="J94" i="2"/>
  <c r="J100" i="2"/>
  <c r="J108" i="2"/>
  <c r="J117" i="2"/>
  <c r="J124" i="2"/>
  <c r="J133" i="2"/>
  <c r="J141" i="2"/>
  <c r="J150" i="2"/>
  <c r="J160" i="2"/>
  <c r="J79" i="2"/>
  <c r="J130" i="2"/>
  <c r="J147" i="2"/>
  <c r="J158" i="2"/>
  <c r="J114" i="2"/>
  <c r="J91" i="2"/>
  <c r="J107" i="2"/>
  <c r="J118" i="2"/>
  <c r="J126" i="2"/>
  <c r="J134" i="2"/>
  <c r="J144" i="2"/>
  <c r="J153" i="2"/>
  <c r="J101" i="2"/>
  <c r="J125" i="2"/>
  <c r="J135" i="2"/>
  <c r="J146" i="2"/>
  <c r="J156" i="2"/>
  <c r="J116" i="2"/>
  <c r="J143" i="2"/>
  <c r="J155" i="2"/>
  <c r="J137" i="2"/>
  <c r="A5" i="2" l="1"/>
  <c r="K11" i="2"/>
  <c r="K12" i="2"/>
  <c r="K13" i="2"/>
  <c r="K14" i="2"/>
  <c r="K15" i="2"/>
  <c r="K16" i="2"/>
  <c r="K22" i="2"/>
  <c r="K25" i="2"/>
  <c r="K24" i="2"/>
  <c r="K28" i="2"/>
  <c r="K30" i="2"/>
  <c r="K26" i="2"/>
  <c r="K27" i="2"/>
  <c r="K31" i="2"/>
  <c r="K32" i="2"/>
  <c r="K34" i="2"/>
  <c r="K35" i="2"/>
  <c r="K18" i="2"/>
  <c r="K20" i="2"/>
  <c r="K29" i="2"/>
  <c r="K33" i="2"/>
  <c r="K17" i="2"/>
  <c r="K19" i="2"/>
  <c r="K21" i="2"/>
  <c r="K23" i="2"/>
  <c r="K36" i="2"/>
  <c r="K37" i="2"/>
  <c r="K38" i="2"/>
  <c r="K39" i="2"/>
  <c r="K40" i="2"/>
  <c r="K41" i="2"/>
  <c r="K42" i="2"/>
  <c r="K45" i="2"/>
  <c r="K43" i="2"/>
  <c r="K44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A11" i="2" l="1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<sst xmlns="http://schemas.openxmlformats.org/spreadsheetml/2006/main" count="261" uniqueCount="202">
  <si>
    <t>Detailed Notes and Instructions</t>
  </si>
  <si>
    <t>Component</t>
  </si>
  <si>
    <t>N/A</t>
  </si>
  <si>
    <t>Email &amp; SMS Campaign Summary</t>
  </si>
  <si>
    <t>Current week through next week Email and SMS campaigns.</t>
  </si>
  <si>
    <t>Last Refresh</t>
  </si>
  <si>
    <t>Last Edited By</t>
  </si>
  <si>
    <t>Active Work</t>
  </si>
  <si>
    <t>Sending Today</t>
  </si>
  <si>
    <t>Email Active</t>
  </si>
  <si>
    <t>SMS Active</t>
  </si>
  <si>
    <t>Approval Pending</t>
  </si>
  <si>
    <t>Sent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</si>
  <si>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</si>
  <si>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</si>
  <si>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</si>
  <si>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</si>
  <si>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</si>
  <si>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</si>
  <si>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</si>
  <si>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</si>
  <si>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</si>
  <si>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</si>
  <si>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</si>
  <si>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</si>
  <si>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</si>
  <si>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</si>
  <si>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</si>
  <si>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</si>
  <si>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</si>
  <si>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</si>
  <si>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</si>
  <si>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</si>
  <si>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</si>
  <si>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</si>
  <si>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</si>
  <si>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</si>
  <si>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</si>
  <si>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</si>
  <si>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</si>
  <si>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</si>
  <si>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</si>
  <si>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</si>
  <si>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</si>
  <si>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</si>
  <si>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</si>
  <si>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</si>
  <si>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</si>
  <si>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</si>
  <si>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</si>
  <si>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</si>
  <si>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</si>
  <si>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</si>
  <si>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</si>
  <si>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</si>
  <si>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</si>
  <si>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</si>
  <si>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</si>
  <si>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</si>
  <si>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</si>
  <si>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Promo</t>
  </si>
  <si>
    <t>Loyalty &amp; PLCC</t>
  </si>
  <si>
    <t>Services</t>
  </si>
  <si>
    <t>Cancelled</t>
  </si>
  <si>
    <t>Newsletters</t>
  </si>
  <si>
    <t>Events</t>
  </si>
  <si>
    <t>Send SMS Options</t>
  </si>
  <si>
    <t>Send Test</t>
  </si>
  <si>
    <t>Proof of Schedule</t>
  </si>
  <si>
    <t>Dashboard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</si>
  <si>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</si>
  <si>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</si>
  <si>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</si>
  <si>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</si>
  <si>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</si>
  <si>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</si>
  <si>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</si>
  <si>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</si>
  <si>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</si>
  <si>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</si>
  <si>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</si>
  <si>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</si>
  <si>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</si>
  <si>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</si>
  <si>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</si>
  <si>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</si>
  <si>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</si>
  <si>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</si>
  <si>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</si>
  <si>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</si>
  <si>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</si>
  <si>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NPA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</si>
  <si>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</si>
  <si>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</si>
  <si>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</si>
  <si>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</si>
  <si>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</si>
  <si>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</si>
  <si>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</si>
  <si>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</si>
  <si>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</si>
  <si>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</si>
  <si>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</si>
  <si>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</si>
  <si>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</si>
  <si>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</si>
  <si>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</si>
  <si>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</si>
  <si>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</si>
  <si>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</si>
  <si>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</si>
  <si>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</si>
  <si>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</si>
  <si>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</si>
  <si>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/>
  </si>
  <si>
    <t>Kim Chim</t>
  </si>
  <si>
    <t>How It Works</t>
  </si>
  <si>
    <t>Required / Avoid</t>
  </si>
  <si>
    <t>Compatibility Notes</t>
  </si>
  <si>
    <t>Email Campaigns</t>
  </si>
  <si>
    <t>Add or edit a campaign</t>
  </si>
  <si>
    <t>Enter one campaign per table row. Send Date drives the Dashboard's current-week through next-week view.</t>
  </si>
  <si>
    <t>Complete Campaign Name and Send Date. Do not rename table headers or delete calculated/audit columns.</t>
  </si>
  <si>
    <t>Filters, formulas, and dropdowns work in desktop Excel and Excel for the web.</t>
  </si>
  <si>
    <t>Track workflow</t>
  </si>
  <si>
    <t>Click workflow cells to toggle checkboxes. Current Stage lists every checked item and shows Completed when all required steps are done.</t>
  </si>
  <si>
    <t>Use the checkbox columns as provided. Do not replace them with dropdowns or typed status text.</t>
  </si>
  <si>
    <t>Desktop Excel provides click-to-toggle behavior; web users can enter TRUE or FALSE in checkbox-backed cells.</t>
  </si>
  <si>
    <t>SMS Campaigns</t>
  </si>
  <si>
    <t>Use the same row-based process as Email Campaigns. SMS workflow uses Send SMS Options, Send Test, Approval, and Segments.</t>
  </si>
  <si>
    <t>Complete Campaign Name and Send Date. Keep the SMS table name and headers unchanged.</t>
  </si>
  <si>
    <t>The Dashboard combines qualifying Email and SMS rows automatically.</t>
  </si>
  <si>
    <t>Choose or enter a type</t>
  </si>
  <si>
    <t>Use Promo, Services, Loyalty &amp; PLCC, Newsletters, Events, NPA, Others, or blank. Custom text is allowed when needed.</t>
  </si>
  <si>
    <t>The dropdown source is maintained on the hidden Dropdowns sheet. Do not change its range or delete the sheet.</t>
  </si>
  <si>
    <t>Custom entries are not added permanently to the dropdown list.</t>
  </si>
  <si>
    <t>Filters</t>
  </si>
  <si>
    <t>Hide completed or older work</t>
  </si>
  <si>
    <t>Use the table filter arrows on Send Date and Delivered to focus on active campaigns or the current month.</t>
  </si>
  <si>
    <t>Clear filters before assuming a campaign row is missing.</t>
  </si>
  <si>
    <t>Native Excel table filters are SharePoint and web compatible.</t>
  </si>
  <si>
    <t>Review upcoming work</t>
  </si>
  <si>
    <t>The main table displays Email and SMS campaigns scheduled from the current Sunday through the following Saturday.</t>
  </si>
  <si>
    <t>Update source rows rather than typing into Dashboard output cells. Approval shows Done/Not Yet and Segments shows Provided/Pending.</t>
  </si>
  <si>
    <t>Native formulas support web viewing; desktop macros provide the full refresh and formatting path.</t>
  </si>
  <si>
    <t>Refresh outputs</t>
  </si>
  <si>
    <t>Last Refresh is formula-driven. Desktop users can run RefreshDashboard after source-table changes.</t>
  </si>
  <si>
    <t>Keep helper columns AA:AL hidden and intact because they support native Dashboard output.</t>
  </si>
  <si>
    <t>Excel for the web does not run VBA, but saved formulas and table data remain available.</t>
  </si>
  <si>
    <t>Retired Features</t>
  </si>
  <si>
    <t>Calendars and weekly comparisons</t>
  </si>
  <si>
    <t>Monthly Calendar sheets and Last Week vs Current Week Email/SMS comparison tables and charts were intentionally removed.</t>
  </si>
  <si>
    <t>Do not recreate sheets with Calendar in the name or Dashboard comparison objects named DeliveredComparison.</t>
  </si>
  <si>
    <t>Legacy macro names remain as safe compatibility wrappers and will not recreate retired features.</t>
  </si>
  <si>
    <t>Audit Fields</t>
  </si>
  <si>
    <t>Last Updated / Last Updated By</t>
  </si>
  <si>
    <t>Desktop edits stamp the row timestamp and editor when macros are enabled. Web edits should use SharePoint version history as the authoritative editor record.</t>
  </si>
  <si>
    <t>Do not overwrite audit formulas or automation code. Last Updated By remains manually editable for web collaboration.</t>
  </si>
  <si>
    <t>Excel for the web cannot execute VBA events or reliably expose the signed-in editor to workbook formulas.</t>
  </si>
  <si>
    <t>SharePoint</t>
  </si>
  <si>
    <t>Collaborate safely</t>
  </si>
  <si>
    <t>Store and open the XLSM directly from SharePoint. Avoid simultaneous structural edits to tables or VBA.</t>
  </si>
  <si>
    <t>Do not convert the file to XLSX. No external Python, PowerShell, or BAS file is required.</t>
  </si>
  <si>
    <t>Macros run in desktop Excel only; formulas, tables, filters, and saved results are available in the browser.</t>
  </si>
  <si>
    <t>Maintenance</t>
  </si>
  <si>
    <t>Refresh the Dashboard</t>
  </si>
  <si>
    <t>RefreshDashboard recalculates the native current-week through next-week output without rebuilding source tables.</t>
  </si>
  <si>
    <t>Create a SharePoint version or backup before intentional table/header redesigns.</t>
  </si>
  <si>
    <t>Retired Calendar and comparison features remain removed after configuration refreshes.</t>
  </si>
  <si>
    <t>Enter a campaign date</t>
  </si>
  <si>
    <t>Enter a real Excel date. It displays as Wednesday, June 10, 2026 while remaining sortable and usable by Dashboard formulas.</t>
  </si>
  <si>
    <t>Use a recognized date value. Avoid typing the weekday and month as a plain text sentence.</t>
  </si>
  <si>
    <t>The custom dddd, mmmm d, yyyy format is saved in the workbook and works in desktop Excel and Excel for the web.</t>
  </si>
  <si>
    <t>Enter a time or scheduling label</t>
  </si>
  <si>
    <t>Real times display in 12-hour format such as 10:00 AM or 10:00 PM. Text such as STO or Local Timezone is also accepted.</t>
  </si>
  <si>
    <t>Do not add blocking validation to this column. Use an Excel time or the required scheduling text.</t>
  </si>
  <si>
    <t>Text remains text; numeric Excel times receive the h:mm AM/PM display automatically.</t>
  </si>
  <si>
    <t>Troubleshooting</t>
  </si>
  <si>
    <t>VBA compile and edit errors</t>
  </si>
  <si>
    <t>The embedded VBA project is compiled during QA. Line-continuation characters must be followed immediately by the next VBA line.</t>
  </si>
  <si>
    <t>Do not insert blank lines after an underscore continuation character. Keep macros enabled in desktop Excel for event automation.</t>
  </si>
  <si>
    <t>Excel for the web does not compile or run VBA; saved formulas and formats continue to work there.</t>
  </si>
  <si>
    <t>Performance</t>
  </si>
  <si>
    <t>Keep calculations responsive</t>
  </si>
  <si>
    <t>Dashboard KPIs and the current-week feed use expanding table references. Desktop edits recalculate once per edit batch.</t>
  </si>
  <si>
    <t>Do not replace table formulas with entire-column worksheet references or rename tables and headers.</t>
  </si>
  <si>
    <t>RefreshDashboard repairs KPI formulas and recalculates only the Dashboard output ranges.</t>
  </si>
  <si>
    <t>Sheet Protection</t>
  </si>
  <si>
    <t>Maintain the instruction sheet</t>
  </si>
  <si>
    <t>Notes - Instructions is protected to prevent accidental structural edits.</t>
  </si>
  <si>
    <t>Worksheet protection is an editing safeguard, not encryption or access control.</t>
  </si>
  <si>
    <t>Cancelled Campaigns</t>
  </si>
  <si>
    <t>Exclude from Dashboard</t>
  </si>
  <si>
    <t>Rows are excluded when Current Stage or Notes is exactly Cancelled or Canceled, ignoring capitalization and surrounding spaces.</t>
  </si>
  <si>
    <t>Use the exact cancellation status. Do not expect partial phrases such as Cancelled by team to be treated as the status.</t>
  </si>
  <si>
    <t>The Dashboard campaign list and summary KPIs use the same cancellation rule.</t>
  </si>
  <si>
    <t>Timed Link Labels</t>
  </si>
  <si>
    <t>Convert URLs after seven days</t>
  </si>
  <si>
    <t>JIRA, ClickUp, Bluecore/Attentive, and Proof of Schedule links display the full URL until seven days after Send Date and Send Time, then display the platform name.</t>
  </si>
  <si>
    <t>Use a real Send Date and numeric Excel time for an exact timestamp. STO, Local Timezone, or blank time uses midnight on Send Date.</t>
  </si>
  <si>
    <t>Native HYPERLINK and NOW formulas work in desktop Excel and Excel for the web. Desktop Excel also schedules the next due refresh while open.</t>
  </si>
  <si>
    <t>Administrative password: "Adorama@042026_". Reprotect the sheet after intentional maintenance.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</si>
</sst>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\ h:mm\ AM/PM"/>
    <numFmt numFmtId="165" formatCode="dddd\,\ mm/dd/yyyy"/>
    <numFmt numFmtId="166" formatCode="dddd\,\ mmmm\ d\,\ yyyy"/>
  </numFmts>
  <fonts count="17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1"/>
      <name val="Aptos"/>
      <family val="2"/>
    </font>
    <font>
      <b/>
      <sz val="22"/>
      <color rgb="FFFFFFFF"/>
      <name val="Aptos"/>
      <family val="2"/>
    </font>
  </fonts>
  <fills count="15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3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0" fillId="0" borderId="0" xfId="0" applyAlignment="1">
      <alignment vertical="top" wrapText="1"/>
    </xf>
    <xf numFmtId="164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horizontal="center" vertical="center" wrapText="1"/>
    </xf>
    <xf numFmtId="18" fontId="4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  <xf numFmtId="0" fontId="15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1" fontId="3" fillId="2" borderId="1" xfId="0" applyNumberFormat="1" applyFont="1" applyFill="1" applyBorder="1" applyAlignment="1">
      <alignment horizontal="left" vertical="center" wrapText="1"/>
    </xf>
    <xf numFmtId="18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10" fillId="0" borderId="1" xfId="1" applyFont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0" fillId="0" borderId="0" xfId="1" applyFont="1" applyAlignment="1">
      <alignment horizontal="left" vertical="center" wrapText="1"/>
    </xf>
    <xf numFmtId="18" fontId="4" fillId="0" borderId="0" xfId="0" applyNumberFormat="1" applyFont="1" applyAlignment="1">
      <alignment horizontal="left" vertical="center" wrapText="1"/>
    </xf>
    <xf numFmtId="18" fontId="4" fillId="12" borderId="2" xfId="0" applyNumberFormat="1" applyFont="1" applyFill="1" applyBorder="1" applyAlignment="1">
      <alignment horizontal="left" vertical="center" wrapText="1"/>
    </xf>
    <xf numFmtId="0" fontId="4" fillId="12" borderId="2" xfId="0" applyFont="1" applyFill="1" applyBorder="1" applyAlignment="1">
      <alignment horizontal="left" vertical="center" wrapText="1"/>
    </xf>
    <xf numFmtId="18" fontId="4" fillId="0" borderId="2" xfId="0" applyNumberFormat="1" applyFont="1" applyBorder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18" fontId="4" fillId="13" borderId="2" xfId="0" applyNumberFormat="1" applyFont="1" applyFill="1" applyBorder="1" applyAlignment="1">
      <alignment horizontal="left" vertical="center" wrapText="1"/>
    </xf>
    <xf numFmtId="0" fontId="4" fillId="13" borderId="2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4" fillId="0" borderId="0" xfId="0" applyNumberFormat="1" applyFont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left" vertical="center" wrapText="1"/>
    </xf>
    <xf numFmtId="165" fontId="4" fillId="12" borderId="2" xfId="0" applyNumberFormat="1" applyFont="1" applyFill="1" applyBorder="1" applyAlignment="1">
      <alignment horizontal="left" vertical="center" wrapText="1"/>
    </xf>
    <xf numFmtId="165" fontId="4" fillId="0" borderId="2" xfId="0" applyNumberFormat="1" applyFont="1" applyBorder="1" applyAlignment="1">
      <alignment horizontal="left" vertical="center" wrapText="1"/>
    </xf>
    <xf numFmtId="165" fontId="4" fillId="13" borderId="2" xfId="0" applyNumberFormat="1" applyFont="1" applyFill="1" applyBorder="1" applyAlignment="1">
      <alignment horizontal="left" vertical="center" wrapText="1"/>
    </xf>
    <xf numFmtId="0" fontId="2" fillId="0" borderId="1" xfId="1" applyFill="1" applyBorder="1" applyAlignment="1">
      <alignment horizontal="center" vertical="center" wrapText="1"/>
    </xf>
    <xf numFmtId="165" fontId="0" fillId="0" borderId="0" xfId="0" applyNumberFormat="1"/>
    <xf numFmtId="164" fontId="4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 wrapText="1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 wrapText="1"/>
    </xf>
    <xf numFmtId="1" fontId="4" fillId="12" borderId="2" xfId="0" applyNumberFormat="1" applyFont="1" applyFill="1" applyBorder="1" applyAlignment="1">
      <alignment horizontal="left" vertical="center" wrapText="1"/>
    </xf>
    <xf numFmtId="1" fontId="4" fillId="0" borderId="2" xfId="0" applyNumberFormat="1" applyFont="1" applyBorder="1" applyAlignment="1">
      <alignment horizontal="left" vertical="center" wrapText="1"/>
    </xf>
    <xf numFmtId="1" fontId="4" fillId="13" borderId="2" xfId="0" applyNumberFormat="1" applyFont="1" applyFill="1" applyBorder="1" applyAlignment="1">
      <alignment horizontal="left" vertical="center" wrapText="1"/>
    </xf>
    <xf numFmtId="0" fontId="16" fillId="14" borderId="0" xfId="0" applyFont="1" applyFill="1" applyAlignment="1">
      <alignment horizontal="center" vertical="top" wrapText="1"/>
    </xf>
    <xf numFmtId="0" fontId="13" fillId="11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 wrapText="1"/>
    </xf>
    <xf numFmtId="0" fontId="6" fillId="4" borderId="2" xfId="0" applyFont="1" applyFill="1" applyBorder="1" applyAlignment="1">
      <alignment horizontal="left" vertical="center" wrapText="1"/>
    </xf>
    <xf numFmtId="1" fontId="6" fillId="4" borderId="2" xfId="0" applyNumberFormat="1" applyFont="1" applyFill="1" applyBorder="1" applyAlignment="1">
      <alignment horizontal="left" vertical="center" wrapText="1"/>
    </xf>
    <xf numFmtId="1" fontId="14" fillId="4" borderId="2" xfId="0" applyNumberFormat="1" applyFont="1" applyFill="1" applyBorder="1" applyAlignment="1">
      <alignment horizontal="left" vertical="center" wrapText="1"/>
    </xf>
    <xf numFmtId="0" fontId="7" fillId="4" borderId="2" xfId="0" applyFont="1" applyFill="1" applyBorder="1" applyAlignment="1">
      <alignment horizontal="left" vertical="center" wrapText="1"/>
    </xf>
    <xf numFmtId="0" fontId="6" fillId="5" borderId="2" xfId="0" applyFont="1" applyFill="1" applyBorder="1" applyAlignment="1">
      <alignment horizontal="left" vertical="center" wrapText="1"/>
    </xf>
    <xf numFmtId="1" fontId="14" fillId="5" borderId="2" xfId="0" applyNumberFormat="1" applyFont="1" applyFill="1" applyBorder="1" applyAlignment="1">
      <alignment horizontal="left" vertical="center" wrapText="1"/>
    </xf>
    <xf numFmtId="0" fontId="14" fillId="5" borderId="2" xfId="0" applyFont="1" applyFill="1" applyBorder="1" applyAlignment="1">
      <alignment horizontal="left" vertical="center" wrapText="1"/>
    </xf>
    <xf numFmtId="0" fontId="7" fillId="5" borderId="2" xfId="0" applyFont="1" applyFill="1" applyBorder="1" applyAlignment="1">
      <alignment horizontal="left" vertical="center" wrapText="1"/>
    </xf>
    <xf numFmtId="0" fontId="6" fillId="6" borderId="2" xfId="0" applyFont="1" applyFill="1" applyBorder="1" applyAlignment="1">
      <alignment horizontal="left" vertical="center" wrapText="1"/>
    </xf>
    <xf numFmtId="1" fontId="14" fillId="6" borderId="2" xfId="0" applyNumberFormat="1" applyFont="1" applyFill="1" applyBorder="1" applyAlignment="1">
      <alignment horizontal="left" vertical="center" wrapText="1"/>
    </xf>
    <xf numFmtId="0" fontId="14" fillId="6" borderId="2" xfId="0" applyFont="1" applyFill="1" applyBorder="1" applyAlignment="1">
      <alignment horizontal="left" vertical="center" wrapText="1"/>
    </xf>
    <xf numFmtId="0" fontId="7" fillId="6" borderId="2" xfId="0" applyFont="1" applyFill="1" applyBorder="1" applyAlignment="1">
      <alignment horizontal="left" vertical="center" wrapText="1"/>
    </xf>
    <xf numFmtId="0" fontId="6" fillId="7" borderId="2" xfId="0" applyFont="1" applyFill="1" applyBorder="1" applyAlignment="1">
      <alignment horizontal="left" vertical="center" wrapText="1"/>
    </xf>
    <xf numFmtId="1" fontId="14" fillId="7" borderId="2" xfId="0" applyNumberFormat="1" applyFont="1" applyFill="1" applyBorder="1" applyAlignment="1">
      <alignment horizontal="left" vertical="center" wrapText="1"/>
    </xf>
    <xf numFmtId="0" fontId="14" fillId="7" borderId="2" xfId="0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horizontal="left" vertical="center" wrapText="1"/>
    </xf>
    <xf numFmtId="0" fontId="14" fillId="4" borderId="2" xfId="0" applyFont="1" applyFill="1" applyBorder="1" applyAlignment="1">
      <alignment horizontal="left" vertical="center" wrapText="1"/>
    </xf>
    <xf numFmtId="0" fontId="9" fillId="10" borderId="1" xfId="0" applyFont="1" applyFill="1" applyBorder="1" applyAlignment="1">
      <alignment horizontal="left" vertical="center" wrapText="1"/>
    </xf>
    <xf numFmtId="1" fontId="9" fillId="10" borderId="1" xfId="0" applyNumberFormat="1" applyFont="1" applyFill="1" applyBorder="1" applyAlignment="1">
      <alignment horizontal="left" vertical="center" wrapText="1"/>
    </xf>
    <xf numFmtId="0" fontId="9" fillId="10" borderId="0" xfId="0" applyFont="1" applyFill="1" applyAlignment="1">
      <alignment horizontal="left" vertical="center" wrapText="1"/>
    </xf>
    <xf numFmtId="0" fontId="6" fillId="8" borderId="2" xfId="0" applyFont="1" applyFill="1" applyBorder="1" applyAlignment="1">
      <alignment horizontal="left" vertical="center" wrapText="1"/>
    </xf>
    <xf numFmtId="1" fontId="14" fillId="8" borderId="2" xfId="0" applyNumberFormat="1" applyFont="1" applyFill="1" applyBorder="1" applyAlignment="1">
      <alignment horizontal="left" vertical="center" wrapText="1"/>
    </xf>
    <xf numFmtId="0" fontId="14" fillId="8" borderId="2" xfId="0" applyFont="1" applyFill="1" applyBorder="1" applyAlignment="1">
      <alignment horizontal="left" vertical="center" wrapText="1"/>
    </xf>
    <xf numFmtId="0" fontId="7" fillId="8" borderId="2" xfId="0" applyFont="1" applyFill="1" applyBorder="1" applyAlignment="1">
      <alignment horizontal="left" vertical="center" wrapText="1"/>
    </xf>
    <xf numFmtId="0" fontId="8" fillId="9" borderId="1" xfId="0" applyFont="1" applyFill="1" applyBorder="1" applyAlignment="1">
      <alignment horizontal="left" vertical="center" wrapText="1"/>
    </xf>
    <xf numFmtId="1" fontId="8" fillId="9" borderId="1" xfId="0" applyNumberFormat="1" applyFont="1" applyFill="1" applyBorder="1" applyAlignment="1">
      <alignment horizontal="left" vertical="center" wrapText="1"/>
    </xf>
    <xf numFmtId="0" fontId="8" fillId="9" borderId="0" xfId="0" applyFont="1" applyFill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108">
    <dxf>
      <font>
        <strike val="0"/>
        <outline val="0"/>
        <shadow val="0"/>
        <vertAlign val="baseline"/>
        <name val="Aptos"/>
        <family val="2"/>
        <scheme val="none"/>
      </font>
      <numFmt numFmtId="23" formatCode="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mm\ d\,\ yyyy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23" formatCode="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mm\ d\,\ 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23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mm\ d\,\ yyyy"/>
      <alignment horizontal="center" vertical="center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4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4" formatCode="mm/dd/yyyy\ 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\ 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82" dataDxfId="81" totalsRowDxfId="80">
  <tableColumns count="12">
    <tableColumn id="1" xr3:uid="{00000000-0010-0000-0100-000001000000}" name="Send Date" dataDxfId="2">
      <calculatedColumnFormula array="1">IFERROR(INDEX(_xlfn.ANCHORARRAY($AA$11),ROW()-10,1),"")</calculatedColumnFormula>
    </tableColumn>
    <tableColumn id="2" xr3:uid="{00000000-0010-0000-0100-000002000000}" name="Time" dataDxfId="0">
      <calculatedColumnFormula array="1">IFERROR(INDEX(_xlfn.ANCHORARRAY($AA$11),ROW()-10,2),"")</calculatedColumnFormula>
    </tableColumn>
    <tableColumn id="3" xr3:uid="{00000000-0010-0000-0100-000003000000}" name="Channel" dataDxfId="1">
      <calculatedColumnFormula array="1">IFERROR(INDEX(_xlfn.ANCHORARRAY($AA$11),ROW()-10,3),"")</calculatedColumnFormula>
    </tableColumn>
    <tableColumn id="4" xr3:uid="{00000000-0010-0000-0100-000004000000}" name="Campaign" dataDxfId="79">
      <calculatedColumnFormula array="1">IFERROR(INDEX(_xlfn.ANCHORARRAY($AA$11),ROW()-10,4),"")</calculatedColumnFormula>
    </tableColumn>
    <tableColumn id="5" xr3:uid="{00000000-0010-0000-0100-000005000000}" name="Type" dataDxfId="78">
      <calculatedColumnFormula array="1">IFERROR(INDEX(_xlfn.ANCHORARRAY($AA$11),ROW()-10,5),"")</calculatedColumnFormula>
    </tableColumn>
    <tableColumn id="6" xr3:uid="{00000000-0010-0000-0100-000006000000}" name="Stage" dataDxfId="77">
      <calculatedColumnFormula array="1">IFERROR(INDEX(_xlfn.ANCHORARRAY($AA$11),ROW()-10,6),"")</calculatedColumnFormula>
    </tableColumn>
    <tableColumn id="7" xr3:uid="{00000000-0010-0000-0100-000007000000}" name="Owner" dataDxfId="76">
      <calculatedColumnFormula array="1">IFERROR(INDEX(_xlfn.ANCHORARRAY($AA$11),ROW()-10,7),"")</calculatedColumnFormula>
    </tableColumn>
    <tableColumn id="8" xr3:uid="{00000000-0010-0000-0100-000008000000}" name="Approval" dataDxfId="75">
      <calculatedColumnFormula array="1">IFERROR(INDEX(_xlfn.ANCHORARRAY($AA$11),ROW()-10,8),"")</calculatedColumnFormula>
    </tableColumn>
    <tableColumn id="9" xr3:uid="{00000000-0010-0000-0100-000009000000}" name="Segments" dataDxfId="74">
      <calculatedColumnFormula array="1">IFERROR(INDEX(_xlfn.ANCHORARRAY($AA$11),ROW()-10,9),"")</calculatedColumnFormula>
    </tableColumn>
    <tableColumn id="10" xr3:uid="{00000000-0010-0000-0100-00000A000000}" name="Jira" dataDxfId="73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72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71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W2" headerRowDxfId="63" dataDxfId="62" totalsRowDxfId="61">
  <autoFilter ref="A1:W2" xr:uid="{00000000-000C-0000-FFFF-FFFF00000000}"/>
  <tableColumns count="23">
    <tableColumn id="2" xr3:uid="{00000000-0010-0000-0000-000002000000}" name="Send Date" dataDxfId="8"/>
    <tableColumn id="3" xr3:uid="{00000000-0010-0000-0000-000003000000}" name="Send Time" dataDxfId="6"/>
    <tableColumn id="4" xr3:uid="{00000000-0010-0000-0000-000004000000}" name="Campaign Name" dataDxfId="7"/>
    <tableColumn id="5" xr3:uid="{00000000-0010-0000-0000-000005000000}" name="Campaign Type" dataDxfId="60"/>
    <tableColumn id="6" xr3:uid="{00000000-0010-0000-0000-000006000000}" name="Current Stage" dataDxfId="59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calculatedColumnFormula>
    </tableColumn>
    <tableColumn id="7" xr3:uid="{00000000-0010-0000-0000-000007000000}" name="Owner" dataDxfId="58"/>
    <tableColumn id="1" xr3:uid="{B2077B23-1D1A-459D-9583-F63147D6D936}" name="Campaign Name and UTM Parameter (Source Code)" dataDxfId="57"/>
    <tableColumn id="8" xr3:uid="{63A16BD6-6B10-4AD5-B57D-B92EA2935F36}" name="Creative Brief, SL &amp; PH" dataDxfId="56"/>
    <tableColumn id="9" xr3:uid="{23EAD37F-5B0E-461E-85FF-0AAFD24BAA68}" name="SKUs" dataDxfId="55"/>
    <tableColumn id="10" xr3:uid="{9640EB9F-78BB-44D9-B70D-05FDE06036E4}" name="In-Design" dataDxfId="54"/>
    <tableColumn id="11" xr3:uid="{ADDF4395-0E99-41A9-BED7-3DBCF6006F91}" name="Build, QA" dataDxfId="53"/>
    <tableColumn id="12" xr3:uid="{6DF2B722-97C3-4902-87DE-A2A9727C8024}" name="Route" dataDxfId="52"/>
    <tableColumn id="14" xr3:uid="{2C5B824E-A4DE-4EA9-87E9-7663BB92F9D4}" name="Approval" dataDxfId="51"/>
    <tableColumn id="15" xr3:uid="{4CE14FFB-3FFB-4445-B89C-5D3C3D24D6C0}" name="Segments" dataDxfId="50"/>
    <tableColumn id="22" xr3:uid="{A8BEA7EB-5815-4C39-93F0-EE8E15E2EF00}" name="Scheduled" dataDxfId="49"/>
    <tableColumn id="17" xr3:uid="{00000000-0010-0000-0000-000011000000}" name="Jira Link" dataDxfId="48"/>
    <tableColumn id="18" xr3:uid="{00000000-0010-0000-0000-000012000000}" name="ClickUp Link" dataDxfId="47"/>
    <tableColumn id="19" xr3:uid="{00000000-0010-0000-0000-000013000000}" name="Bluecore/Attentive Link" dataDxfId="46"/>
    <tableColumn id="20" xr3:uid="{00000000-0010-0000-0000-000014000000}" name="Est. Audience" dataDxfId="45"/>
    <tableColumn id="21" xr3:uid="{00000000-0010-0000-0000-000015000000}" name="Delivered" dataDxfId="44"/>
    <tableColumn id="23" xr3:uid="{00000000-0010-0000-0000-000017000000}" name="Last Updated" dataDxfId="43"/>
    <tableColumn id="13" xr3:uid="{6717C158-5D55-49BD-B0A1-8EF5E6BE7E59}" name="Last Updated By" dataDxfId="42"/>
    <tableColumn id="16" xr3:uid="{45C4D116-AEA5-4484-9652-2029E5D3A263}" name="Notes" dataDxfId="41" totalsRowDxfId="4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2" totalsRowShown="0" headerRowDxfId="32" dataDxfId="31">
  <autoFilter ref="A1:R2" xr:uid="{5BA5B085-3B5F-4682-B501-752F9044F617}"/>
  <tableColumns count="18">
    <tableColumn id="1" xr3:uid="{A00F9C46-9585-47C9-83D4-D97802A976D5}" name="Send Date" dataDxfId="5"/>
    <tableColumn id="2" xr3:uid="{FA54A5FD-1AB7-4749-AF9C-A820CCD54864}" name="Send Time" dataDxfId="3"/>
    <tableColumn id="3" xr3:uid="{D8232C60-1B45-4E39-B4FB-F7D15854588A}" name="Campaign Name" dataDxfId="4"/>
    <tableColumn id="4" xr3:uid="{488CC129-7AB9-4CDE-A0F4-708CCF476FDC}" name="Campaign Type" dataDxfId="30"/>
    <tableColumn id="5" xr3:uid="{60402621-821D-4B42-BBBF-04ECD600240D}" name="Current Stage" dataDxfId="29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calculatedColumnFormula>
    </tableColumn>
    <tableColumn id="6" xr3:uid="{BCB79FBA-6E48-4196-9FCA-87C1D34838D7}" name="Owner" dataDxfId="28"/>
    <tableColumn id="7" xr3:uid="{C602E6A7-154A-4913-82F7-B1297F8FB4AA}" name="Send SMS Options" dataDxfId="27"/>
    <tableColumn id="8" xr3:uid="{050AA88E-4FCE-418E-B3E4-7BADF355F594}" name="Send Test" dataDxfId="26"/>
    <tableColumn id="9" xr3:uid="{CD7DB146-3A9F-407E-8AE2-FB08A35D3255}" name="Approval" dataDxfId="25"/>
    <tableColumn id="10" xr3:uid="{85A3C652-A90B-4131-9C59-60C896B66276}" name="Segments" dataDxfId="24"/>
    <tableColumn id="12" xr3:uid="{B909552C-CA83-4199-92AA-EFB388041D01}" name="Scheduled" dataDxfId="23"/>
    <tableColumn id="11" xr3:uid="{E3A201AA-BB4D-46BF-87B3-3EC3AB5D84A8}" name="Proof of Schedule" dataDxfId="22"/>
    <tableColumn id="13" xr3:uid="{F3B86E58-9B1C-4BE7-ACD4-4A17ABF9CF1F}" name="Bluecore/Attentive Link" dataDxfId="21"/>
    <tableColumn id="14" xr3:uid="{AB05A972-8E88-4F0F-A2C0-E592CA11CF69}" name="Est. Audience" dataDxfId="20"/>
    <tableColumn id="15" xr3:uid="{031FC6D8-9EA2-4822-8ABB-1D691F532C78}" name="Delivered" dataDxfId="19"/>
    <tableColumn id="16" xr3:uid="{677491C6-5902-44D9-B11E-9456715084CA}" name="Last Updated" dataDxfId="18"/>
    <tableColumn id="17" xr3:uid="{D2166D60-5145-4BCB-A4C1-8E83A65F8013}" name="Last Updated By" dataDxfId="17"/>
    <tableColumn id="18" xr3:uid="{98F5A958-53CF-45DE-B03D-F670270697A7}" name="Notes" dataDxfId="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74C8796-6395-4023-80D8-CB223332D199}" name="NotesTable" displayName="NotesTable" ref="A3:E21" totalsRowShown="0" headerRowDxfId="107" dataDxfId="106">
  <autoFilter ref="A3:E21" xr:uid="{674C8796-6395-4023-80D8-CB223332D199}"/>
  <tableColumns count="5">
    <tableColumn id="1" xr3:uid="{ACC447B7-B4CB-4310-9526-2FE0A57B8153}" name="Component" dataDxfId="105"/>
    <tableColumn id="2" xr3:uid="{2C10868E-263C-4082-B69F-1C3B3CEC92F1}" name="Action" dataDxfId="104"/>
    <tableColumn id="3" xr3:uid="{06ED23B8-5E15-4D44-898E-A555387CA8E4}" name="How It Works" dataDxfId="103"/>
    <tableColumn id="4" xr3:uid="{A358AA79-C726-4147-B64A-4413618152C4}" name="Required / Avoid" dataDxfId="102"/>
    <tableColumn id="5" xr3:uid="{3BEA5CCB-AC18-4969-B704-9A5AD38E2B1B}" name="Compatibility Notes" dataDxfId="10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" headerRowDxfId="15" dataDxfId="14" totalsRowDxfId="13">
  <tableColumns count="4">
    <tableColumn id="1" xr3:uid="{00000000-0010-0000-0300-000001000000}" name="Timestamp" dataDxfId="12"/>
    <tableColumn id="2" xr3:uid="{00000000-0010-0000-0300-000002000000}" name="User" dataDxfId="11"/>
    <tableColumn id="3" xr3:uid="{00000000-0010-0000-0300-000003000000}" name="Action" dataDxfId="10"/>
    <tableColumn id="4" xr3:uid="{00000000-0010-0000-0300-000004000000}" name="Details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table" Target="../tables/table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tabSelected="1" zoomScale="90" zoomScaleNormal="90" workbookViewId="0">
      <selection activeCell="E23" sqref="E23"/>
    </sheetView>
  </sheetViews>
  <sheetFormatPr defaultRowHeight="15"/>
  <cols>
    <col min="1" max="1" width="28.625" style="31" customWidth="1"/>
    <col min="2" max="2" width="24.625" style="31" customWidth="1"/>
    <col min="3" max="3" width="15.625" style="31" customWidth="1"/>
    <col min="4" max="4" width="32.625" style="31" customWidth="1"/>
    <col min="5" max="5" width="14.625" style="31" customWidth="1"/>
    <col min="6" max="6" width="42.625" style="16" customWidth="1"/>
    <col min="7" max="7" width="16.625" style="31" customWidth="1"/>
    <col min="8" max="9" width="12.625" style="31" customWidth="1"/>
    <col min="10" max="12" width="11.625" style="31" customWidth="1"/>
    <col min="13" max="13" width="9" style="3"/>
    <col min="14" max="14" width="11.875" style="3" bestFit="1" customWidth="1"/>
    <col min="15" max="15" width="11.625" style="3" bestFit="1" customWidth="1"/>
    <col min="16" max="16" width="10.625" style="3" bestFit="1" customWidth="1"/>
    <col min="17" max="17" width="17.25" style="3" bestFit="1" customWidth="1"/>
    <col min="18" max="18" width="9.625" style="3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53" t="s">
        <v>3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7"/>
      <c r="N1" s="7"/>
      <c r="O1" s="7"/>
      <c r="P1" s="7"/>
      <c r="Q1" s="7"/>
      <c r="R1" s="7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5" customHeight="1">
      <c r="A2" s="54" t="s">
        <v>4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7"/>
      <c r="N2"/>
      <c r="O2"/>
      <c r="P2"/>
      <c r="Q2"/>
      <c r="R2"/>
      <c r="S2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</row>
    <row r="3" spans="1:38">
      <c r="A3" s="13" t="s">
        <v>5</v>
      </c>
      <c r="B3" s="13" t="str">
        <f ca="1">TEXT(NOW(),"m/d/yyyy h:mm AM/PM")</f>
        <v>6/14/2026 2:46 pm</v>
      </c>
      <c r="C3" s="14" t="s">
        <v>6</v>
      </c>
      <c r="D3" s="15" t="str">
        <f>$AA$3</f>
        <v>Kim Chim</v>
      </c>
      <c r="E3" s="16"/>
      <c r="G3" s="16"/>
      <c r="H3" s="16"/>
      <c r="I3" s="16"/>
      <c r="J3" s="16"/>
      <c r="K3" s="16"/>
      <c r="L3" s="16"/>
      <c r="M3" s="7"/>
      <c r="N3"/>
      <c r="O3"/>
      <c r="P3"/>
      <c r="Q3"/>
      <c r="R3"/>
      <c r="S3"/>
      <c r="T3" s="6"/>
      <c r="U3" s="6"/>
      <c r="V3" s="6"/>
      <c r="W3" s="6"/>
      <c r="X3" s="6"/>
      <c r="Y3" s="6"/>
      <c r="Z3" s="6"/>
      <c r="AA3" s="6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1:38">
      <c r="A4" s="56" t="s">
        <v>7</v>
      </c>
      <c r="B4" s="57"/>
      <c r="C4" s="60" t="s">
        <v>8</v>
      </c>
      <c r="D4" s="60"/>
      <c r="E4" s="64" t="s">
        <v>9</v>
      </c>
      <c r="F4" s="64"/>
      <c r="G4" s="68" t="s">
        <v>10</v>
      </c>
      <c r="H4" s="68"/>
      <c r="I4" s="56" t="s">
        <v>11</v>
      </c>
      <c r="J4" s="56"/>
      <c r="K4" s="76" t="s">
        <v>12</v>
      </c>
      <c r="L4" s="76"/>
      <c r="M4" s="7"/>
      <c r="N4"/>
      <c r="O4"/>
      <c r="P4"/>
      <c r="Q4"/>
      <c r="R4"/>
      <c r="S4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</row>
    <row r="5" spans="1:38" ht="21">
      <c r="A5" s="58">
        <f>E5+G5</f>
        <v>0</v>
      </c>
      <c r="B5" s="58"/>
      <c r="C5" s="61" cm="1">
        <f t="array" aca="1" ref="C5" ca="1">SUMPRODUCT(--(IFERROR(INT(EmailCampaignsTable[Send Date]),0)=TODAY()),--(EmailCampaignsTable[Campaign Name]&lt;&gt;""),--(LOWER(TRIM(EmailCampaignsTable[Current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Stage]))&lt;&gt;"canceled"),--(LOWER(TRIM(EmailCampaignsTable[Notes]))&lt;&gt;"cancelled"),--(LOWER(TRIM(EmailCampaignsTable[Notes]))&lt;&gt;"canceled"))+SUMPRODUCT(--(IFERROR(INT(SMSCampaignsTable[Send Date]),0)=TODAY()),--(SMSCampaignsTable[Campaign Name]&lt;&gt;""),--(LOWER(TRIM(SMSCampaignsTable[Current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D5" s="62"/>
      <c r="E5" s="65" cm="1">
        <f t="array" ref="E5">SUMPRODUCT(--(EmailCampaignsTable[Campaign Name]&lt;&gt;""),--(IFERROR(--EmailCampaignsTable[Delivered],0)&lt;=0),--(LOWER(TRIM(EmailCampaignsTable[Current Stage]))&lt;&gt;"cancelled"),--(LOWER(TRIM(EmailCampaignsTable[Current Stage]))&lt;&gt;"canceled"),--(LOWER(TRIM(EmailCampaignsTable[Notes]))&lt;&gt;"cancelled"),--(LOWER(TRIM(EmailCampaignsTable[Notes]))&lt;&gt;"canceled"))</f>
        <v>0</v>
      </c>
      <c r="F5" s="66"/>
      <c r="G5" s="69" cm="1">
        <f t="array" ref="G5">SUMPRODUCT(--(SMSCampaignsTable[Campaign Name]&lt;&gt;""),--(IFERROR(--SMSCampaignsTable[Delivered],0)&lt;=0),--(LOWER(TRIM(SMSCampaignsTable[Current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H5" s="70"/>
      <c r="I5" s="58" cm="1">
        <f t="array" ref="I5">SUMPRODUCT(--(EmailCampaignsTable[Campaign Name]&lt;&gt;""),--(EmailCampaignsTable[Approval]=FALSE),--(LOWER(TRIM(EmailCampaignsTable[Current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Name]&lt;&gt;""),--(SMSCampaignsTable[Approval]=FALSE),--(LOWER(TRIM(SMSCampaignsTable[Current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J5" s="72"/>
      <c r="K5" s="77" cm="1">
        <f t="array" ref="K5">SUMPRODUCT(--(EmailCampaignsTable[Campaign Name]&lt;&gt;""),--(IFERROR(--EmailCampaignsTable[Delivered],0)&gt;0),--(LOWER(TRIM(EmailCampaignsTable[Current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Name]&lt;&gt;""),--(IFERROR(--SMSCampaignsTable[Delivered],0)&gt;0),--(LOWER(TRIM(SMSCampaignsTable[Current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L5" s="78"/>
      <c r="M5" s="7"/>
      <c r="N5"/>
      <c r="O5"/>
      <c r="P5"/>
      <c r="Q5"/>
      <c r="R5"/>
      <c r="S5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</row>
    <row r="6" spans="1:38">
      <c r="A6" s="59" t="s">
        <v>13</v>
      </c>
      <c r="B6" s="57"/>
      <c r="C6" s="63" t="s">
        <v>14</v>
      </c>
      <c r="D6" s="60"/>
      <c r="E6" s="67" t="s">
        <v>15</v>
      </c>
      <c r="F6" s="64"/>
      <c r="G6" s="71" t="s">
        <v>16</v>
      </c>
      <c r="H6" s="68"/>
      <c r="I6" s="59" t="s">
        <v>17</v>
      </c>
      <c r="J6" s="56"/>
      <c r="K6" s="79" t="s">
        <v>18</v>
      </c>
      <c r="L6" s="76"/>
      <c r="M6" s="7"/>
      <c r="N6"/>
      <c r="O6"/>
      <c r="P6"/>
      <c r="Q6"/>
      <c r="R6"/>
      <c r="S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</row>
    <row r="7" spans="1:38">
      <c r="A7"/>
      <c r="B7"/>
      <c r="C7"/>
      <c r="D7"/>
      <c r="E7"/>
      <c r="F7"/>
      <c r="G7"/>
      <c r="H7"/>
      <c r="I7"/>
      <c r="J7"/>
      <c r="K7"/>
      <c r="L7"/>
      <c r="M7" s="7"/>
      <c r="N7"/>
      <c r="O7"/>
      <c r="P7"/>
      <c r="Q7"/>
      <c r="R7"/>
      <c r="S7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7.25">
      <c r="A8" s="80" t="s">
        <v>19</v>
      </c>
      <c r="B8" s="81"/>
      <c r="C8" s="82"/>
      <c r="D8" s="82"/>
      <c r="E8" s="82"/>
      <c r="F8" s="82"/>
      <c r="G8" s="82"/>
      <c r="H8" s="82"/>
      <c r="I8" s="82"/>
      <c r="J8" s="82"/>
      <c r="K8" s="82"/>
      <c r="L8" s="82"/>
      <c r="M8" s="7"/>
      <c r="N8"/>
      <c r="O8"/>
      <c r="P8"/>
      <c r="Q8"/>
      <c r="R8"/>
      <c r="S8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</row>
    <row r="9" spans="1:38">
      <c r="A9" s="73" t="s">
        <v>20</v>
      </c>
      <c r="B9" s="74"/>
      <c r="C9" s="75"/>
      <c r="D9" s="75"/>
      <c r="E9" s="75"/>
      <c r="F9" s="75"/>
      <c r="G9" s="75"/>
      <c r="H9" s="75"/>
      <c r="I9" s="75"/>
      <c r="J9" s="75"/>
      <c r="K9" s="75"/>
      <c r="L9" s="75"/>
      <c r="M9" s="7"/>
      <c r="N9"/>
      <c r="O9"/>
      <c r="P9"/>
      <c r="Q9"/>
      <c r="R9"/>
      <c r="S9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30">
      <c r="A10" s="17" t="s">
        <v>21</v>
      </c>
      <c r="B10" s="18" t="s">
        <v>22</v>
      </c>
      <c r="C10" s="17" t="s">
        <v>23</v>
      </c>
      <c r="D10" s="17" t="s">
        <v>24</v>
      </c>
      <c r="E10" s="17" t="s">
        <v>25</v>
      </c>
      <c r="F10" s="17" t="s">
        <v>26</v>
      </c>
      <c r="G10" s="17" t="s">
        <v>27</v>
      </c>
      <c r="H10" s="17" t="s">
        <v>28</v>
      </c>
      <c r="I10" s="17" t="s">
        <v>29</v>
      </c>
      <c r="J10" s="17" t="s">
        <v>30</v>
      </c>
      <c r="K10" s="17" t="s">
        <v>31</v>
      </c>
      <c r="L10" s="17" t="s">
        <v>32</v>
      </c>
      <c r="M10" s="7"/>
      <c r="N10"/>
      <c r="O10"/>
      <c r="P10"/>
      <c r="Q10"/>
      <c r="R10"/>
      <c r="S10"/>
      <c r="T10" s="6"/>
      <c r="U10" s="6"/>
      <c r="V10" s="6"/>
      <c r="W10" s="6"/>
      <c r="X10" s="6"/>
      <c r="Y10" s="6"/>
      <c r="Z10" s="6"/>
      <c r="AA10" t="s">
        <v>21</v>
      </c>
      <c r="AB10" t="s">
        <v>22</v>
      </c>
      <c r="AC10" t="s">
        <v>23</v>
      </c>
      <c r="AD10" t="s">
        <v>24</v>
      </c>
      <c r="AE10" t="s">
        <v>25</v>
      </c>
      <c r="AF10" t="s">
        <v>26</v>
      </c>
      <c r="AG10" t="s">
        <v>27</v>
      </c>
      <c r="AH10" t="s">
        <v>28</v>
      </c>
      <c r="AI10" t="s">
        <v>29</v>
      </c>
      <c r="AJ10" t="s">
        <v>30</v>
      </c>
      <c r="AK10" t="s">
        <v>31</v>
      </c>
      <c r="AL10" t="s">
        <v>32</v>
      </c>
    </row>
    <row r="11" spans="1:38">
      <c r="A11" s="47" t="str" cm="1">
        <f t="array" aca="1" ref="A11" ca="1">IFERROR(INDEX(_xlfn.ANCHORARRAY($AA$11),ROW()-10,1),"")</f>
        <v/>
      </c>
      <c r="B11" s="19" t="str" cm="1">
        <f t="array" aca="1" ref="B11" ca="1">IFERROR(INDEX(_xlfn.ANCHORARRAY($AA$11),ROW()-10,2),"")</f>
        <v/>
      </c>
      <c r="C11" s="20" t="str" cm="1">
        <f t="array" aca="1" ref="C11" ca="1">IFERROR(INDEX(_xlfn.ANCHORARRAY($AA$11),ROW()-10,3),"")</f>
        <v/>
      </c>
      <c r="D11" s="20" t="str" cm="1">
        <f t="array" aca="1" ref="D11" ca="1">IFERROR(INDEX(_xlfn.ANCHORARRAY($AA$11),ROW()-10,4),"")</f>
        <v/>
      </c>
      <c r="E11" s="20" t="str" cm="1">
        <f t="array" aca="1" ref="E11" ca="1">IFERROR(INDEX(_xlfn.ANCHORARRAY($AA$11),ROW()-10,5),"")</f>
        <v/>
      </c>
      <c r="F11" s="20" t="str" cm="1">
        <f t="array" aca="1" ref="F11" ca="1">IFERROR(INDEX(_xlfn.ANCHORARRAY($AA$11),ROW()-10,6),"")</f>
        <v/>
      </c>
      <c r="G11" s="20" t="str" cm="1">
        <f t="array" aca="1" ref="G11" ca="1">IFERROR(INDEX(_xlfn.ANCHORARRAY($AA$11),ROW()-10,7),"")</f>
        <v/>
      </c>
      <c r="H11" s="20" t="str" cm="1">
        <f t="array" aca="1" ref="H11" ca="1">IFERROR(INDEX(_xlfn.ANCHORARRAY($AA$11),ROW()-10,8),"")</f>
        <v/>
      </c>
      <c r="I11" s="20" t="str" cm="1">
        <f t="array" aca="1" ref="I11" ca="1">IFERROR(INDEX(_xlfn.ANCHORARRAY($AA$11),ROW()-10,9),"")</f>
        <v/>
      </c>
      <c r="J11" s="21" t="str">
        <f t="shared" ref="J11:J42" ca="1" si="0">_xlfn.LET(_xlpm.ch,IFERROR(INDEX(_xlfn.ANCHORARRAY($AA$11),ROW()-10,3),""),_xlpm.link,IFERROR(INDEX(_xlfn.ANCHORARRAY($AA$11),ROW()-10,10),""),IF(OR(_xlpm.link="",_xlpm.ch="SMS"),"",HYPERLINK(_xlpm.link,"JIRA")))</f>
        <v/>
      </c>
      <c r="K11" s="21" t="str">
        <f t="shared" ref="K11:K45" ca="1" si="1">_xlfn.LET(_xlpm.ch,IFERROR(INDEX(_xlfn.ANCHORARRAY($AA$11),ROW()-10,3),""),_xlpm.link,IFERROR(INDEX(_xlfn.ANCHORARRAY($AA$11),ROW()-10,11),""),IF(OR(_xlpm.link="",_xlpm.ch="SMS"),"",HYPERLINK(_xlpm.link,"ClickUp")))</f>
        <v/>
      </c>
      <c r="L11" s="21" t="str" cm="1">
        <f t="array" aca="1" ref="L11" ca="1">_xlfn.LET(_xlpm.link,IFERROR(INDEX(_xlfn.ANCHORARRAY($AA$11),ROW()-10,12),""),IF(_xlpm.link="","",HYPERLINK(_xlpm.link,"Bluecore/Attentive")))</f>
        <v/>
      </c>
      <c r="M11" s="7"/>
      <c r="N11"/>
      <c r="O11"/>
      <c r="P11"/>
      <c r="Q11"/>
      <c r="R11"/>
      <c r="S11"/>
      <c r="T11" s="6"/>
      <c r="U11" s="6"/>
      <c r="V11" s="6"/>
      <c r="W11" s="6"/>
      <c r="X11" s="6"/>
      <c r="Y11" s="6"/>
      <c r="Z11" s="6"/>
      <c r="AA11" s="43" t="str" cm="1">
        <f t="array" aca="1" ref="AA11" ca="1">_xlfn.LET(_xlpm.ws,TODAY()-WEEKDAY(TODAY(),1)+1,_xlpm.we,_xlpm.ws+13,_xlpm.empty,_xlfn.HSTACK("","","","","","","","","","","",""),_xlpm.email,_xlfn._xlws.FILTER(_xlfn.HSTACK(EmailCampaignsTable[Send Date],EmailCampaignsTable[Send Time],IF(EmailCampaignsTable[Campaign Name]&lt;&gt;"","Email",""),EmailCampaignsTable[Campaign Name],EmailCampaignsTable[Campaign Type],EmailCampaignsTable[Current Stage],EmailCampaignsTable[Owner],IF(EmailCampaignsTable[Approval],"Done","Not Yet"),IF(EmailCampaignsTable[Segments],"Provided","Pending"),EmailCampaignsTable[Jira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Date]),0)&lt;=_xlpm.we)*(((LOWER(TRIM(EmailCampaignsTable[Current Stage]))="cancelled")+(LOWER(TRIM(EmailCampaignsTable[Current Stage]))="canceled")+(LOWER(TRIM(EmailCampaignsTable[Notes]))="cancelled")+(LOWER(TRIM(EmailCampaignsTable[Notes]))="canceled"))=0),_xlpm.empty),_xlpm.sms,_xlfn._xlws.FILTER(_xlfn.HSTACK(SMSCampaignsTable[Send Date],SMSCampaignsTable[Send Time],IF(SMSCampaignsTable[Campaign Name]&lt;&gt;"","SMS",""),SMSCampaignsTable[Campaign Name],SMSCampaignsTable[Campaign Type],SMSCampaignsTable[Current Stage],SMSCampaignsTable[Owner],IF(SMSCampaignsTable[Approval],"Done","Not Yet"),IF(SMSCampaignsTable[Segments],"Provided","Pending"),SMSCampaignsTable[Proof of Schedule],"",SMSCampaignsTable[Bluecore/Attentive Link]),(SMSCampaignsTable[Campaign Name]&lt;&gt;"")*(IFERROR(INT(SMSCampaignsTable[Send Date]),0)&gt;=_xlpm.ws)*(IFERROR(INT(SMSCampaignsTable[Send Date]),0)&lt;=_xlpm.we)*(((LOWER(TRIM(SMSCampaignsTable[Current Stage]))="cancelled")+(LOWER(TRIM(SMSCampaignsTable[Current Stage]))="canceled")+(LOWER(TRIM(SMSCampaignsTable[Notes]))="cancelled")+(LOWER(TRIM(SMSCampaignsTable[Notes]))="canceled"))=0),_xlpm.empty),_xlpm.data,_xlfn.VSTACK(_xlpm.email,_xlpm.sms),_xlpm.clean,_xlfn._xlws.FILTER(_xlpm.data,_xlfn.CHOOSECOLS(_xlpm.data,4)&lt;&gt;""),IFERROR(_xlfn.SORTBY(_xlpm.clean,_xlfn.CHOOSECOLS(_xlpm.clean,1),1,IFERROR(--_xlfn.CHOOSECOLS(_xlpm.clean,2),0),1,_xlfn.CHOOSECOLS(_xlpm.clean,3),1,_xlfn.CHOOSECOLS(_xlpm.clean,4),1),""))</f>
        <v/>
      </c>
      <c r="AB11"/>
      <c r="AC11"/>
      <c r="AD11"/>
      <c r="AE11"/>
      <c r="AF11"/>
      <c r="AG11"/>
      <c r="AH11"/>
      <c r="AI11"/>
      <c r="AJ11"/>
      <c r="AK11"/>
      <c r="AL11"/>
    </row>
    <row r="12" spans="1:38">
      <c r="A12" s="47" t="str" cm="1">
        <f t="array" aca="1" ref="A12" ca="1">IFERROR(INDEX(_xlfn.ANCHORARRAY($AA$11),ROW()-10,1),"")</f>
        <v/>
      </c>
      <c r="B12" s="19" t="str" cm="1">
        <f t="array" aca="1" ref="B12" ca="1">IFERROR(INDEX(_xlfn.ANCHORARRAY($AA$11),ROW()-10,2),"")</f>
        <v/>
      </c>
      <c r="C12" s="16" t="str" cm="1">
        <f t="array" aca="1" ref="C12" ca="1">IFERROR(INDEX(_xlfn.ANCHORARRAY($AA$11),ROW()-10,3),"")</f>
        <v/>
      </c>
      <c r="D12" s="16" t="str" cm="1">
        <f t="array" aca="1" ref="D12" ca="1">IFERROR(INDEX(_xlfn.ANCHORARRAY($AA$11),ROW()-10,4),"")</f>
        <v/>
      </c>
      <c r="E12" s="16" t="str" cm="1">
        <f t="array" aca="1" ref="E12" ca="1">IFERROR(INDEX(_xlfn.ANCHORARRAY($AA$11),ROW()-10,5),"")</f>
        <v/>
      </c>
      <c r="F12" s="16" t="str" cm="1">
        <f t="array" aca="1" ref="F12" ca="1">IFERROR(INDEX(_xlfn.ANCHORARRAY($AA$11),ROW()-10,6),"")</f>
        <v/>
      </c>
      <c r="G12" s="16" t="str" cm="1">
        <f t="array" aca="1" ref="G12" ca="1">IFERROR(INDEX(_xlfn.ANCHORARRAY($AA$11),ROW()-10,7),"")</f>
        <v/>
      </c>
      <c r="H12" s="16" t="str" cm="1">
        <f t="array" aca="1" ref="H12" ca="1">IFERROR(INDEX(_xlfn.ANCHORARRAY($AA$11),ROW()-10,8),"")</f>
        <v/>
      </c>
      <c r="I12" s="16" t="str" cm="1">
        <f t="array" aca="1" ref="I12" ca="1">IFERROR(INDEX(_xlfn.ANCHORARRAY($AA$11),ROW()-10,9),"")</f>
        <v/>
      </c>
      <c r="J12" s="21" t="str">
        <f t="shared" ca="1" si="0"/>
        <v/>
      </c>
      <c r="K12" s="20" t="str">
        <f t="shared" ca="1" si="1"/>
        <v/>
      </c>
      <c r="L12" s="20" t="str" cm="1">
        <f t="array" aca="1" ref="L12" ca="1">_xlfn.LET(_xlpm.link,IFERROR(INDEX(_xlfn.ANCHORARRAY($AA$11),ROW()-10,12),""),IF(_xlpm.link="","",HYPERLINK(_xlpm.link,"Bluecore/Attentive")))</f>
        <v/>
      </c>
      <c r="M12" s="7"/>
      <c r="N12"/>
      <c r="O12"/>
      <c r="P12"/>
      <c r="Q12"/>
      <c r="R12"/>
      <c r="S12"/>
      <c r="T12" s="6"/>
      <c r="U12" s="6"/>
      <c r="V12" s="6"/>
      <c r="W12" s="6"/>
      <c r="X12" s="6"/>
      <c r="Y12" s="6"/>
      <c r="Z12" s="6"/>
      <c r="AA12" s="43"/>
      <c r="AB12"/>
      <c r="AC12"/>
      <c r="AD12"/>
      <c r="AE12"/>
      <c r="AF12"/>
      <c r="AG12"/>
      <c r="AH12"/>
      <c r="AI12"/>
      <c r="AJ12"/>
      <c r="AK12"/>
      <c r="AL12"/>
    </row>
    <row r="13" spans="1:38">
      <c r="A13" s="47" t="str" cm="1">
        <f t="array" aca="1" ref="A13" ca="1">IFERROR(INDEX(_xlfn.ANCHORARRAY($AA$11),ROW()-10,1),"")</f>
        <v/>
      </c>
      <c r="B13" s="19" t="str" cm="1">
        <f t="array" aca="1" ref="B13" ca="1">IFERROR(INDEX(_xlfn.ANCHORARRAY($AA$11),ROW()-10,2),"")</f>
        <v/>
      </c>
      <c r="C13" s="16" t="str" cm="1">
        <f t="array" aca="1" ref="C13" ca="1">IFERROR(INDEX(_xlfn.ANCHORARRAY($AA$11),ROW()-10,3),"")</f>
        <v/>
      </c>
      <c r="D13" s="16" t="str" cm="1">
        <f t="array" aca="1" ref="D13" ca="1">IFERROR(INDEX(_xlfn.ANCHORARRAY($AA$11),ROW()-10,4),"")</f>
        <v/>
      </c>
      <c r="E13" s="16" t="str" cm="1">
        <f t="array" aca="1" ref="E13" ca="1">IFERROR(INDEX(_xlfn.ANCHORARRAY($AA$11),ROW()-10,5),"")</f>
        <v/>
      </c>
      <c r="F13" s="16" t="str" cm="1">
        <f t="array" aca="1" ref="F13" ca="1">IFERROR(INDEX(_xlfn.ANCHORARRAY($AA$11),ROW()-10,6),"")</f>
        <v/>
      </c>
      <c r="G13" s="16" t="str" cm="1">
        <f t="array" aca="1" ref="G13" ca="1">IFERROR(INDEX(_xlfn.ANCHORARRAY($AA$11),ROW()-10,7),"")</f>
        <v/>
      </c>
      <c r="H13" s="16" t="str" cm="1">
        <f t="array" aca="1" ref="H13" ca="1">IFERROR(INDEX(_xlfn.ANCHORARRAY($AA$11),ROW()-10,8),"")</f>
        <v/>
      </c>
      <c r="I13" s="16" t="str" cm="1">
        <f t="array" aca="1" ref="I13" ca="1">IFERROR(INDEX(_xlfn.ANCHORARRAY($AA$11),ROW()-10,9),"")</f>
        <v/>
      </c>
      <c r="J13" s="21" t="str">
        <f t="shared" ca="1" si="0"/>
        <v/>
      </c>
      <c r="K13" s="22" t="str">
        <f t="shared" ca="1" si="1"/>
        <v/>
      </c>
      <c r="L13" s="22" t="str" cm="1">
        <f t="array" aca="1" ref="L13" ca="1">_xlfn.LET(_xlpm.link,IFERROR(INDEX(_xlfn.ANCHORARRAY($AA$11),ROW()-10,12),""),IF(_xlpm.link="","",HYPERLINK(_xlpm.link,"Bluecore/Attentive")))</f>
        <v/>
      </c>
      <c r="M13" s="7"/>
      <c r="N13"/>
      <c r="O13"/>
      <c r="P13"/>
      <c r="Q13"/>
      <c r="R13"/>
      <c r="S13"/>
      <c r="T13" s="6"/>
      <c r="U13" s="6"/>
      <c r="V13" s="6"/>
      <c r="W13" s="6"/>
      <c r="X13" s="6"/>
      <c r="Y13" s="6"/>
      <c r="Z13" s="6"/>
      <c r="AA13" s="43"/>
      <c r="AB13"/>
      <c r="AC13"/>
      <c r="AD13"/>
      <c r="AE13"/>
      <c r="AF13"/>
      <c r="AG13"/>
      <c r="AH13"/>
      <c r="AI13"/>
      <c r="AJ13"/>
      <c r="AK13"/>
      <c r="AL13"/>
    </row>
    <row r="14" spans="1:38">
      <c r="A14" s="47" t="str" cm="1">
        <f t="array" aca="1" ref="A14" ca="1">IFERROR(INDEX(_xlfn.ANCHORARRAY($AA$11),ROW()-10,1),"")</f>
        <v/>
      </c>
      <c r="B14" s="19" t="str" cm="1">
        <f t="array" aca="1" ref="B14" ca="1">IFERROR(INDEX(_xlfn.ANCHORARRAY($AA$11),ROW()-10,2),"")</f>
        <v/>
      </c>
      <c r="C14" s="16" t="str" cm="1">
        <f t="array" aca="1" ref="C14" ca="1">IFERROR(INDEX(_xlfn.ANCHORARRAY($AA$11),ROW()-10,3),"")</f>
        <v/>
      </c>
      <c r="D14" s="16" t="str" cm="1">
        <f t="array" aca="1" ref="D14" ca="1">IFERROR(INDEX(_xlfn.ANCHORARRAY($AA$11),ROW()-10,4),"")</f>
        <v/>
      </c>
      <c r="E14" s="16" t="str" cm="1">
        <f t="array" aca="1" ref="E14" ca="1">IFERROR(INDEX(_xlfn.ANCHORARRAY($AA$11),ROW()-10,5),"")</f>
        <v/>
      </c>
      <c r="F14" s="16" t="str" cm="1">
        <f t="array" aca="1" ref="F14" ca="1">IFERROR(INDEX(_xlfn.ANCHORARRAY($AA$11),ROW()-10,6),"")</f>
        <v/>
      </c>
      <c r="G14" s="16" t="str" cm="1">
        <f t="array" aca="1" ref="G14" ca="1">IFERROR(INDEX(_xlfn.ANCHORARRAY($AA$11),ROW()-10,7),"")</f>
        <v/>
      </c>
      <c r="H14" s="16" t="str" cm="1">
        <f t="array" aca="1" ref="H14" ca="1">IFERROR(INDEX(_xlfn.ANCHORARRAY($AA$11),ROW()-10,8),"")</f>
        <v/>
      </c>
      <c r="I14" s="16" t="str" cm="1">
        <f t="array" aca="1" ref="I14" ca="1">IFERROR(INDEX(_xlfn.ANCHORARRAY($AA$11),ROW()-10,9),"")</f>
        <v/>
      </c>
      <c r="J14" s="21" t="str">
        <f t="shared" ca="1" si="0"/>
        <v/>
      </c>
      <c r="K14" s="23" t="str">
        <f t="shared" ca="1" si="1"/>
        <v/>
      </c>
      <c r="L14" s="23" t="str" cm="1">
        <f t="array" aca="1" ref="L14" ca="1">_xlfn.LET(_xlpm.link,IFERROR(INDEX(_xlfn.ANCHORARRAY($AA$11),ROW()-10,12),""),IF(_xlpm.link="","",HYPERLINK(_xlpm.link,"Bluecore/Attentive")))</f>
        <v/>
      </c>
      <c r="M14" s="7"/>
      <c r="N14"/>
      <c r="O14"/>
      <c r="P14"/>
      <c r="Q14"/>
      <c r="R14"/>
      <c r="S14"/>
      <c r="T14" s="6"/>
      <c r="U14" s="6"/>
      <c r="V14" s="6"/>
      <c r="W14" s="6"/>
      <c r="X14" s="6"/>
      <c r="Y14" s="6"/>
      <c r="Z14" s="6"/>
      <c r="AA14" s="43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47" t="str" cm="1">
        <f t="array" aca="1" ref="A15" ca="1">IFERROR(INDEX(_xlfn.ANCHORARRAY($AA$11),ROW()-10,1),"")</f>
        <v/>
      </c>
      <c r="B15" s="19" t="str" cm="1">
        <f t="array" aca="1" ref="B15" ca="1">IFERROR(INDEX(_xlfn.ANCHORARRAY($AA$11),ROW()-10,2),"")</f>
        <v/>
      </c>
      <c r="C15" s="16" t="str" cm="1">
        <f t="array" aca="1" ref="C15" ca="1">IFERROR(INDEX(_xlfn.ANCHORARRAY($AA$11),ROW()-10,3),"")</f>
        <v/>
      </c>
      <c r="D15" s="16" t="str" cm="1">
        <f t="array" aca="1" ref="D15" ca="1">IFERROR(INDEX(_xlfn.ANCHORARRAY($AA$11),ROW()-10,4),"")</f>
        <v/>
      </c>
      <c r="E15" s="16" t="str" cm="1">
        <f t="array" aca="1" ref="E15" ca="1">IFERROR(INDEX(_xlfn.ANCHORARRAY($AA$11),ROW()-10,5),"")</f>
        <v/>
      </c>
      <c r="F15" s="16" t="str" cm="1">
        <f t="array" aca="1" ref="F15" ca="1">IFERROR(INDEX(_xlfn.ANCHORARRAY($AA$11),ROW()-10,6),"")</f>
        <v/>
      </c>
      <c r="G15" s="16" t="str" cm="1">
        <f t="array" aca="1" ref="G15" ca="1">IFERROR(INDEX(_xlfn.ANCHORARRAY($AA$11),ROW()-10,7),"")</f>
        <v/>
      </c>
      <c r="H15" s="16" t="str" cm="1">
        <f t="array" aca="1" ref="H15" ca="1">IFERROR(INDEX(_xlfn.ANCHORARRAY($AA$11),ROW()-10,8),"")</f>
        <v/>
      </c>
      <c r="I15" s="16" t="str" cm="1">
        <f t="array" aca="1" ref="I15" ca="1">IFERROR(INDEX(_xlfn.ANCHORARRAY($AA$11),ROW()-10,9),"")</f>
        <v/>
      </c>
      <c r="J15" s="21" t="str">
        <f t="shared" ca="1" si="0"/>
        <v/>
      </c>
      <c r="K15" s="20" t="str">
        <f t="shared" ca="1" si="1"/>
        <v/>
      </c>
      <c r="L15" s="20" t="str" cm="1">
        <f t="array" aca="1" ref="L15" ca="1">_xlfn.LET(_xlpm.link,IFERROR(INDEX(_xlfn.ANCHORARRAY($AA$11),ROW()-10,12),""),IF(_xlpm.link="","",HYPERLINK(_xlpm.link,"Bluecore/Attentive")))</f>
        <v/>
      </c>
      <c r="M15" s="7"/>
      <c r="N15"/>
      <c r="O15"/>
      <c r="P15"/>
      <c r="Q15"/>
      <c r="R15"/>
      <c r="S15"/>
      <c r="T15" s="6"/>
      <c r="U15" s="6"/>
      <c r="V15" s="6"/>
      <c r="W15" s="6"/>
      <c r="X15" s="6"/>
      <c r="Y15" s="6"/>
      <c r="Z15" s="6"/>
      <c r="AA15" s="43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48" t="str" cm="1">
        <f t="array" aca="1" ref="A16" ca="1">IFERROR(INDEX(_xlfn.ANCHORARRAY($AA$11),ROW()-10,1),"")</f>
        <v/>
      </c>
      <c r="B16" s="24" t="str" cm="1">
        <f t="array" aca="1" ref="B16" ca="1">IFERROR(INDEX(_xlfn.ANCHORARRAY($AA$11),ROW()-10,2),"")</f>
        <v/>
      </c>
      <c r="C16" s="16" t="str" cm="1">
        <f t="array" aca="1" ref="C16" ca="1">IFERROR(INDEX(_xlfn.ANCHORARRAY($AA$11),ROW()-10,3),"")</f>
        <v/>
      </c>
      <c r="D16" s="16" t="str" cm="1">
        <f t="array" aca="1" ref="D16" ca="1">IFERROR(INDEX(_xlfn.ANCHORARRAY($AA$11),ROW()-10,4),"")</f>
        <v/>
      </c>
      <c r="E16" s="16" t="str" cm="1">
        <f t="array" aca="1" ref="E16" ca="1">IFERROR(INDEX(_xlfn.ANCHORARRAY($AA$11),ROW()-10,5),"")</f>
        <v/>
      </c>
      <c r="F16" s="16" t="str" cm="1">
        <f t="array" aca="1" ref="F16" ca="1">IFERROR(INDEX(_xlfn.ANCHORARRAY($AA$11),ROW()-10,6),"")</f>
        <v/>
      </c>
      <c r="G16" s="16" t="str" cm="1">
        <f t="array" aca="1" ref="G16" ca="1">IFERROR(INDEX(_xlfn.ANCHORARRAY($AA$11),ROW()-10,7),"")</f>
        <v/>
      </c>
      <c r="H16" s="16" t="str" cm="1">
        <f t="array" aca="1" ref="H16" ca="1">IFERROR(INDEX(_xlfn.ANCHORARRAY($AA$11),ROW()-10,8),"")</f>
        <v/>
      </c>
      <c r="I16" s="16" t="str" cm="1">
        <f t="array" aca="1" ref="I16" ca="1">IFERROR(INDEX(_xlfn.ANCHORARRAY($AA$11),ROW()-10,9),"")</f>
        <v/>
      </c>
      <c r="J16" s="21" t="str">
        <f t="shared" ca="1" si="0"/>
        <v/>
      </c>
      <c r="K16" s="23" t="str">
        <f t="shared" ca="1" si="1"/>
        <v/>
      </c>
      <c r="L16" s="23" t="str" cm="1">
        <f t="array" aca="1" ref="L16" ca="1">_xlfn.LET(_xlpm.link,IFERROR(INDEX(_xlfn.ANCHORARRAY($AA$11),ROW()-10,12),""),IF(_xlpm.link="","",HYPERLINK(_xlpm.link,"Bluecore/Attentive")))</f>
        <v/>
      </c>
      <c r="M16" s="7"/>
      <c r="N16"/>
      <c r="O16"/>
      <c r="P16"/>
      <c r="Q16"/>
      <c r="R16"/>
      <c r="S16"/>
      <c r="T16" s="6"/>
      <c r="U16" s="6"/>
      <c r="V16" s="6"/>
      <c r="W16" s="6"/>
      <c r="X16" s="6"/>
      <c r="Y16" s="6"/>
      <c r="Z16" s="6"/>
      <c r="AA16" s="43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48" t="str" cm="1">
        <f t="array" aca="1" ref="A17" ca="1">IFERROR(INDEX(_xlfn.ANCHORARRAY($AA$11),ROW()-10,1),"")</f>
        <v/>
      </c>
      <c r="B17" s="24" t="str" cm="1">
        <f t="array" aca="1" ref="B17" ca="1">IFERROR(INDEX(_xlfn.ANCHORARRAY($AA$11),ROW()-10,2),"")</f>
        <v/>
      </c>
      <c r="C17" s="16" t="str" cm="1">
        <f t="array" aca="1" ref="C17" ca="1">IFERROR(INDEX(_xlfn.ANCHORARRAY($AA$11),ROW()-10,3),"")</f>
        <v/>
      </c>
      <c r="D17" s="16" t="str" cm="1">
        <f t="array" aca="1" ref="D17" ca="1">IFERROR(INDEX(_xlfn.ANCHORARRAY($AA$11),ROW()-10,4),"")</f>
        <v/>
      </c>
      <c r="E17" s="16" t="str" cm="1">
        <f t="array" aca="1" ref="E17" ca="1">IFERROR(INDEX(_xlfn.ANCHORARRAY($AA$11),ROW()-10,5),"")</f>
        <v/>
      </c>
      <c r="F17" s="16" t="str" cm="1">
        <f t="array" aca="1" ref="F17" ca="1">IFERROR(INDEX(_xlfn.ANCHORARRAY($AA$11),ROW()-10,6),"")</f>
        <v/>
      </c>
      <c r="G17" s="16" t="str" cm="1">
        <f t="array" aca="1" ref="G17" ca="1">IFERROR(INDEX(_xlfn.ANCHORARRAY($AA$11),ROW()-10,7),"")</f>
        <v/>
      </c>
      <c r="H17" s="16" t="str" cm="1">
        <f t="array" aca="1" ref="H17" ca="1">IFERROR(INDEX(_xlfn.ANCHORARRAY($AA$11),ROW()-10,8),"")</f>
        <v/>
      </c>
      <c r="I17" s="16" t="str" cm="1">
        <f t="array" aca="1" ref="I17" ca="1">IFERROR(INDEX(_xlfn.ANCHORARRAY($AA$11),ROW()-10,9),"")</f>
        <v/>
      </c>
      <c r="J17" s="16" t="str">
        <f t="shared" ca="1" si="0"/>
        <v/>
      </c>
      <c r="K17" s="16" t="str">
        <f t="shared" ca="1" si="1"/>
        <v/>
      </c>
      <c r="L17" s="16" t="str" cm="1">
        <f t="array" aca="1" ref="L17" ca="1">_xlfn.LET(_xlpm.link,IFERROR(INDEX(_xlfn.ANCHORARRAY($AA$11),ROW()-10,12),""),IF(_xlpm.link="","",HYPERLINK(_xlpm.link,"Bluecore/Attentive")))</f>
        <v/>
      </c>
      <c r="M17" s="7"/>
      <c r="N17"/>
      <c r="O17"/>
      <c r="P17"/>
      <c r="Q17"/>
      <c r="R17"/>
      <c r="S17"/>
      <c r="T17" s="6"/>
      <c r="U17" s="6"/>
      <c r="V17" s="6"/>
      <c r="W17" s="6"/>
      <c r="X17" s="6"/>
      <c r="Y17" s="6"/>
      <c r="Z17" s="6"/>
      <c r="AA17" s="43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48" t="str" cm="1">
        <f t="array" aca="1" ref="A18" ca="1">IFERROR(INDEX(_xlfn.ANCHORARRAY($AA$11),ROW()-10,1),"")</f>
        <v/>
      </c>
      <c r="B18" s="24" t="str" cm="1">
        <f t="array" aca="1" ref="B18" ca="1">IFERROR(INDEX(_xlfn.ANCHORARRAY($AA$11),ROW()-10,2),"")</f>
        <v/>
      </c>
      <c r="C18" s="16" t="str" cm="1">
        <f t="array" aca="1" ref="C18" ca="1">IFERROR(INDEX(_xlfn.ANCHORARRAY($AA$11),ROW()-10,3),"")</f>
        <v/>
      </c>
      <c r="D18" s="16" t="str" cm="1">
        <f t="array" aca="1" ref="D18" ca="1">IFERROR(INDEX(_xlfn.ANCHORARRAY($AA$11),ROW()-10,4),"")</f>
        <v/>
      </c>
      <c r="E18" s="16" t="str" cm="1">
        <f t="array" aca="1" ref="E18" ca="1">IFERROR(INDEX(_xlfn.ANCHORARRAY($AA$11),ROW()-10,5),"")</f>
        <v/>
      </c>
      <c r="F18" s="16" t="str" cm="1">
        <f t="array" aca="1" ref="F18" ca="1">IFERROR(INDEX(_xlfn.ANCHORARRAY($AA$11),ROW()-10,6),"")</f>
        <v/>
      </c>
      <c r="G18" s="16" t="str" cm="1">
        <f t="array" aca="1" ref="G18" ca="1">IFERROR(INDEX(_xlfn.ANCHORARRAY($AA$11),ROW()-10,7),"")</f>
        <v/>
      </c>
      <c r="H18" s="16" t="str" cm="1">
        <f t="array" aca="1" ref="H18" ca="1">IFERROR(INDEX(_xlfn.ANCHORARRAY($AA$11),ROW()-10,8),"")</f>
        <v/>
      </c>
      <c r="I18" s="16" t="str" cm="1">
        <f t="array" aca="1" ref="I18" ca="1">IFERROR(INDEX(_xlfn.ANCHORARRAY($AA$11),ROW()-10,9),"")</f>
        <v/>
      </c>
      <c r="J18" s="16" t="str">
        <f t="shared" ca="1" si="0"/>
        <v/>
      </c>
      <c r="K18" s="16" t="str">
        <f t="shared" ca="1" si="1"/>
        <v/>
      </c>
      <c r="L18" s="16" t="str" cm="1">
        <f t="array" aca="1" ref="L18" ca="1">_xlfn.LET(_xlpm.link,IFERROR(INDEX(_xlfn.ANCHORARRAY($AA$11),ROW()-10,12),""),IF(_xlpm.link="","",HYPERLINK(_xlpm.link,"Bluecore/Attentive")))</f>
        <v/>
      </c>
      <c r="M18" s="7"/>
      <c r="N18"/>
      <c r="O18"/>
      <c r="P18"/>
      <c r="Q18"/>
      <c r="R18"/>
      <c r="S18"/>
      <c r="T18" s="6"/>
      <c r="U18" s="6"/>
      <c r="V18" s="6"/>
      <c r="W18" s="6"/>
      <c r="X18" s="6"/>
      <c r="Y18" s="6"/>
      <c r="Z18" s="6"/>
      <c r="AA18" s="43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48" t="str" cm="1">
        <f t="array" aca="1" ref="A19" ca="1">IFERROR(INDEX(_xlfn.ANCHORARRAY($AA$11),ROW()-10,1),"")</f>
        <v/>
      </c>
      <c r="B19" s="24" t="str" cm="1">
        <f t="array" aca="1" ref="B19" ca="1">IFERROR(INDEX(_xlfn.ANCHORARRAY($AA$11),ROW()-10,2),"")</f>
        <v/>
      </c>
      <c r="C19" s="16" t="str" cm="1">
        <f t="array" aca="1" ref="C19" ca="1">IFERROR(INDEX(_xlfn.ANCHORARRAY($AA$11),ROW()-10,3),"")</f>
        <v/>
      </c>
      <c r="D19" s="16" t="str" cm="1">
        <f t="array" aca="1" ref="D19" ca="1">IFERROR(INDEX(_xlfn.ANCHORARRAY($AA$11),ROW()-10,4),"")</f>
        <v/>
      </c>
      <c r="E19" s="16" t="str" cm="1">
        <f t="array" aca="1" ref="E19" ca="1">IFERROR(INDEX(_xlfn.ANCHORARRAY($AA$11),ROW()-10,5),"")</f>
        <v/>
      </c>
      <c r="F19" s="16" t="str" cm="1">
        <f t="array" aca="1" ref="F19" ca="1">IFERROR(INDEX(_xlfn.ANCHORARRAY($AA$11),ROW()-10,6),"")</f>
        <v/>
      </c>
      <c r="G19" s="16" t="str" cm="1">
        <f t="array" aca="1" ref="G19" ca="1">IFERROR(INDEX(_xlfn.ANCHORARRAY($AA$11),ROW()-10,7),"")</f>
        <v/>
      </c>
      <c r="H19" s="16" t="str" cm="1">
        <f t="array" aca="1" ref="H19" ca="1">IFERROR(INDEX(_xlfn.ANCHORARRAY($AA$11),ROW()-10,8),"")</f>
        <v/>
      </c>
      <c r="I19" s="16" t="str" cm="1">
        <f t="array" aca="1" ref="I19" ca="1">IFERROR(INDEX(_xlfn.ANCHORARRAY($AA$11),ROW()-10,9),"")</f>
        <v/>
      </c>
      <c r="J19" s="16" t="str">
        <f t="shared" ca="1" si="0"/>
        <v/>
      </c>
      <c r="K19" s="16" t="str">
        <f t="shared" ca="1" si="1"/>
        <v/>
      </c>
      <c r="L19" s="16" t="str" cm="1">
        <f t="array" aca="1" ref="L19" ca="1">_xlfn.LET(_xlpm.link,IFERROR(INDEX(_xlfn.ANCHORARRAY($AA$11),ROW()-10,12),""),IF(_xlpm.link="","",HYPERLINK(_xlpm.link,"Bluecore/Attentive")))</f>
        <v/>
      </c>
      <c r="M19" s="7"/>
      <c r="N19"/>
      <c r="O19"/>
      <c r="P19"/>
      <c r="Q19"/>
      <c r="R19"/>
      <c r="S19"/>
      <c r="T19" s="6"/>
      <c r="U19" s="6"/>
      <c r="V19" s="6"/>
      <c r="W19" s="6"/>
      <c r="X19" s="6"/>
      <c r="Y19" s="6"/>
      <c r="Z19" s="6"/>
      <c r="AA19" s="43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48" t="str" cm="1">
        <f t="array" aca="1" ref="A20" ca="1">IFERROR(INDEX(_xlfn.ANCHORARRAY($AA$11),ROW()-10,1),"")</f>
        <v/>
      </c>
      <c r="B20" s="24" t="str" cm="1">
        <f t="array" aca="1" ref="B20" ca="1">IFERROR(INDEX(_xlfn.ANCHORARRAY($AA$11),ROW()-10,2),"")</f>
        <v/>
      </c>
      <c r="C20" s="16" t="str" cm="1">
        <f t="array" aca="1" ref="C20" ca="1">IFERROR(INDEX(_xlfn.ANCHORARRAY($AA$11),ROW()-10,3),"")</f>
        <v/>
      </c>
      <c r="D20" s="16" t="str" cm="1">
        <f t="array" aca="1" ref="D20" ca="1">IFERROR(INDEX(_xlfn.ANCHORARRAY($AA$11),ROW()-10,4),"")</f>
        <v/>
      </c>
      <c r="E20" s="16" t="str" cm="1">
        <f t="array" aca="1" ref="E20" ca="1">IFERROR(INDEX(_xlfn.ANCHORARRAY($AA$11),ROW()-10,5),"")</f>
        <v/>
      </c>
      <c r="F20" s="16" t="str" cm="1">
        <f t="array" aca="1" ref="F20" ca="1">IFERROR(INDEX(_xlfn.ANCHORARRAY($AA$11),ROW()-10,6),"")</f>
        <v/>
      </c>
      <c r="G20" s="16" t="str" cm="1">
        <f t="array" aca="1" ref="G20" ca="1">IFERROR(INDEX(_xlfn.ANCHORARRAY($AA$11),ROW()-10,7),"")</f>
        <v/>
      </c>
      <c r="H20" s="16" t="str" cm="1">
        <f t="array" aca="1" ref="H20" ca="1">IFERROR(INDEX(_xlfn.ANCHORARRAY($AA$11),ROW()-10,8),"")</f>
        <v/>
      </c>
      <c r="I20" s="16" t="str" cm="1">
        <f t="array" aca="1" ref="I20" ca="1">IFERROR(INDEX(_xlfn.ANCHORARRAY($AA$11),ROW()-10,9),"")</f>
        <v/>
      </c>
      <c r="J20" s="16" t="str">
        <f t="shared" ca="1" si="0"/>
        <v/>
      </c>
      <c r="K20" s="16" t="str">
        <f t="shared" ca="1" si="1"/>
        <v/>
      </c>
      <c r="L20" s="16" t="str" cm="1">
        <f t="array" aca="1" ref="L20" ca="1">_xlfn.LET(_xlpm.link,IFERROR(INDEX(_xlfn.ANCHORARRAY($AA$11),ROW()-10,12),""),IF(_xlpm.link="","",HYPERLINK(_xlpm.link,"Bluecore/Attentive")))</f>
        <v/>
      </c>
      <c r="M20" s="7"/>
      <c r="N20"/>
      <c r="O20"/>
      <c r="P20"/>
      <c r="Q20"/>
      <c r="R20"/>
      <c r="S20"/>
      <c r="T20" s="6"/>
      <c r="U20" s="6"/>
      <c r="V20" s="6"/>
      <c r="W20" s="6"/>
      <c r="X20" s="6"/>
      <c r="Y20" s="6"/>
      <c r="Z20" s="6"/>
      <c r="AA20" s="43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48" t="str" cm="1">
        <f t="array" aca="1" ref="A21" ca="1">IFERROR(INDEX(_xlfn.ANCHORARRAY($AA$11),ROW()-10,1),"")</f>
        <v/>
      </c>
      <c r="B21" s="24" t="str" cm="1">
        <f t="array" aca="1" ref="B21" ca="1">IFERROR(INDEX(_xlfn.ANCHORARRAY($AA$11),ROW()-10,2),"")</f>
        <v/>
      </c>
      <c r="C21" s="16" t="str" cm="1">
        <f t="array" aca="1" ref="C21" ca="1">IFERROR(INDEX(_xlfn.ANCHORARRAY($AA$11),ROW()-10,3),"")</f>
        <v/>
      </c>
      <c r="D21" s="16" t="str" cm="1">
        <f t="array" aca="1" ref="D21" ca="1">IFERROR(INDEX(_xlfn.ANCHORARRAY($AA$11),ROW()-10,4),"")</f>
        <v/>
      </c>
      <c r="E21" s="16" t="str" cm="1">
        <f t="array" aca="1" ref="E21" ca="1">IFERROR(INDEX(_xlfn.ANCHORARRAY($AA$11),ROW()-10,5),"")</f>
        <v/>
      </c>
      <c r="F21" s="16" t="str" cm="1">
        <f t="array" aca="1" ref="F21" ca="1">IFERROR(INDEX(_xlfn.ANCHORARRAY($AA$11),ROW()-10,6),"")</f>
        <v/>
      </c>
      <c r="G21" s="16" t="str" cm="1">
        <f t="array" aca="1" ref="G21" ca="1">IFERROR(INDEX(_xlfn.ANCHORARRAY($AA$11),ROW()-10,7),"")</f>
        <v/>
      </c>
      <c r="H21" s="16" t="str" cm="1">
        <f t="array" aca="1" ref="H21" ca="1">IFERROR(INDEX(_xlfn.ANCHORARRAY($AA$11),ROW()-10,8),"")</f>
        <v/>
      </c>
      <c r="I21" s="16" t="str" cm="1">
        <f t="array" aca="1" ref="I21" ca="1">IFERROR(INDEX(_xlfn.ANCHORARRAY($AA$11),ROW()-10,9),"")</f>
        <v/>
      </c>
      <c r="J21" s="16" t="str">
        <f t="shared" ca="1" si="0"/>
        <v/>
      </c>
      <c r="K21" s="16" t="str">
        <f t="shared" ca="1" si="1"/>
        <v/>
      </c>
      <c r="L21" s="16" t="str" cm="1">
        <f t="array" aca="1" ref="L21" ca="1">_xlfn.LET(_xlpm.link,IFERROR(INDEX(_xlfn.ANCHORARRAY($AA$11),ROW()-10,12),""),IF(_xlpm.link="","",HYPERLINK(_xlpm.link,"Bluecore/Attentive")))</f>
        <v/>
      </c>
      <c r="M21" s="7"/>
      <c r="N21"/>
      <c r="O21"/>
      <c r="P21"/>
      <c r="Q21"/>
      <c r="R21"/>
      <c r="S21"/>
      <c r="T21" s="6"/>
      <c r="U21" s="6"/>
      <c r="V21" s="6"/>
      <c r="W21" s="6"/>
      <c r="X21" s="6"/>
      <c r="Y21" s="6"/>
      <c r="Z21" s="6"/>
      <c r="AA21" s="43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48" t="str" cm="1">
        <f t="array" aca="1" ref="A22" ca="1">IFERROR(INDEX(_xlfn.ANCHORARRAY($AA$11),ROW()-10,1),"")</f>
        <v/>
      </c>
      <c r="B22" s="24" t="str" cm="1">
        <f t="array" aca="1" ref="B22" ca="1">IFERROR(INDEX(_xlfn.ANCHORARRAY($AA$11),ROW()-10,2),"")</f>
        <v/>
      </c>
      <c r="C22" s="16" t="str" cm="1">
        <f t="array" aca="1" ref="C22" ca="1">IFERROR(INDEX(_xlfn.ANCHORARRAY($AA$11),ROW()-10,3),"")</f>
        <v/>
      </c>
      <c r="D22" s="16" t="str" cm="1">
        <f t="array" aca="1" ref="D22" ca="1">IFERROR(INDEX(_xlfn.ANCHORARRAY($AA$11),ROW()-10,4),"")</f>
        <v/>
      </c>
      <c r="E22" s="16" t="str" cm="1">
        <f t="array" aca="1" ref="E22" ca="1">IFERROR(INDEX(_xlfn.ANCHORARRAY($AA$11),ROW()-10,5),"")</f>
        <v/>
      </c>
      <c r="F22" s="16" t="str" cm="1">
        <f t="array" aca="1" ref="F22" ca="1">IFERROR(INDEX(_xlfn.ANCHORARRAY($AA$11),ROW()-10,6),"")</f>
        <v/>
      </c>
      <c r="G22" s="16" t="str" cm="1">
        <f t="array" aca="1" ref="G22" ca="1">IFERROR(INDEX(_xlfn.ANCHORARRAY($AA$11),ROW()-10,7),"")</f>
        <v/>
      </c>
      <c r="H22" s="16" t="str" cm="1">
        <f t="array" aca="1" ref="H22" ca="1">IFERROR(INDEX(_xlfn.ANCHORARRAY($AA$11),ROW()-10,8),"")</f>
        <v/>
      </c>
      <c r="I22" s="16" t="str" cm="1">
        <f t="array" aca="1" ref="I22" ca="1">IFERROR(INDEX(_xlfn.ANCHORARRAY($AA$11),ROW()-10,9),"")</f>
        <v/>
      </c>
      <c r="J22" s="16" t="str">
        <f t="shared" ca="1" si="0"/>
        <v/>
      </c>
      <c r="K22" s="16" t="str">
        <f t="shared" ca="1" si="1"/>
        <v/>
      </c>
      <c r="L22" s="16" t="str" cm="1">
        <f t="array" aca="1" ref="L22" ca="1">_xlfn.LET(_xlpm.link,IFERROR(INDEX(_xlfn.ANCHORARRAY($AA$11),ROW()-10,12),""),IF(_xlpm.link="","",HYPERLINK(_xlpm.link,"Bluecore/Attentive")))</f>
        <v/>
      </c>
      <c r="M22" s="7"/>
      <c r="N22"/>
      <c r="O22"/>
      <c r="P22"/>
      <c r="Q22"/>
      <c r="R22"/>
      <c r="S22"/>
      <c r="T22" s="6"/>
      <c r="U22" s="6"/>
      <c r="V22" s="6"/>
      <c r="W22" s="6"/>
      <c r="X22" s="6"/>
      <c r="Y22" s="6"/>
      <c r="Z22" s="6"/>
      <c r="AA22" s="43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48" t="str" cm="1">
        <f t="array" aca="1" ref="A23" ca="1">IFERROR(INDEX(_xlfn.ANCHORARRAY($AA$11),ROW()-10,1),"")</f>
        <v/>
      </c>
      <c r="B23" s="24" t="str" cm="1">
        <f t="array" aca="1" ref="B23" ca="1">IFERROR(INDEX(_xlfn.ANCHORARRAY($AA$11),ROW()-10,2),"")</f>
        <v/>
      </c>
      <c r="C23" s="16" t="str" cm="1">
        <f t="array" aca="1" ref="C23" ca="1">IFERROR(INDEX(_xlfn.ANCHORARRAY($AA$11),ROW()-10,3),"")</f>
        <v/>
      </c>
      <c r="D23" s="16" t="str" cm="1">
        <f t="array" aca="1" ref="D23" ca="1">IFERROR(INDEX(_xlfn.ANCHORARRAY($AA$11),ROW()-10,4),"")</f>
        <v/>
      </c>
      <c r="E23" s="16" t="str" cm="1">
        <f t="array" aca="1" ref="E23" ca="1">IFERROR(INDEX(_xlfn.ANCHORARRAY($AA$11),ROW()-10,5),"")</f>
        <v/>
      </c>
      <c r="F23" s="16" t="str" cm="1">
        <f t="array" aca="1" ref="F23" ca="1">IFERROR(INDEX(_xlfn.ANCHORARRAY($AA$11),ROW()-10,6),"")</f>
        <v/>
      </c>
      <c r="G23" s="16" t="str" cm="1">
        <f t="array" aca="1" ref="G23" ca="1">IFERROR(INDEX(_xlfn.ANCHORARRAY($AA$11),ROW()-10,7),"")</f>
        <v/>
      </c>
      <c r="H23" s="16" t="str" cm="1">
        <f t="array" aca="1" ref="H23" ca="1">IFERROR(INDEX(_xlfn.ANCHORARRAY($AA$11),ROW()-10,8),"")</f>
        <v/>
      </c>
      <c r="I23" s="16" t="str" cm="1">
        <f t="array" aca="1" ref="I23" ca="1">IFERROR(INDEX(_xlfn.ANCHORARRAY($AA$11),ROW()-10,9),"")</f>
        <v/>
      </c>
      <c r="J23" s="16" t="str">
        <f t="shared" ca="1" si="0"/>
        <v/>
      </c>
      <c r="K23" s="16" t="str">
        <f t="shared" ca="1" si="1"/>
        <v/>
      </c>
      <c r="L23" s="16" t="str" cm="1">
        <f t="array" aca="1" ref="L23" ca="1">_xlfn.LET(_xlpm.link,IFERROR(INDEX(_xlfn.ANCHORARRAY($AA$11),ROW()-10,12),""),IF(_xlpm.link="","",HYPERLINK(_xlpm.link,"Bluecore/Attentive")))</f>
        <v/>
      </c>
      <c r="M23" s="7"/>
      <c r="N23"/>
      <c r="O23"/>
      <c r="P23"/>
      <c r="Q23"/>
      <c r="R23"/>
      <c r="S23"/>
      <c r="T23" s="6"/>
      <c r="U23" s="6"/>
      <c r="V23" s="6"/>
      <c r="W23" s="6"/>
      <c r="X23" s="6"/>
      <c r="Y23" s="6"/>
      <c r="Z23" s="6"/>
      <c r="AA23" s="4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>
      <c r="A24" s="48" t="str" cm="1">
        <f t="array" aca="1" ref="A24" ca="1">IFERROR(INDEX(_xlfn.ANCHORARRAY($AA$11),ROW()-10,1),"")</f>
        <v/>
      </c>
      <c r="B24" s="24" t="str" cm="1">
        <f t="array" aca="1" ref="B24" ca="1">IFERROR(INDEX(_xlfn.ANCHORARRAY($AA$11),ROW()-10,2),"")</f>
        <v/>
      </c>
      <c r="C24" s="16" t="str" cm="1">
        <f t="array" aca="1" ref="C24" ca="1">IFERROR(INDEX(_xlfn.ANCHORARRAY($AA$11),ROW()-10,3),"")</f>
        <v/>
      </c>
      <c r="D24" s="16" t="str" cm="1">
        <f t="array" aca="1" ref="D24" ca="1">IFERROR(INDEX(_xlfn.ANCHORARRAY($AA$11),ROW()-10,4),"")</f>
        <v/>
      </c>
      <c r="E24" s="16" t="str" cm="1">
        <f t="array" aca="1" ref="E24" ca="1">IFERROR(INDEX(_xlfn.ANCHORARRAY($AA$11),ROW()-10,5),"")</f>
        <v/>
      </c>
      <c r="F24" s="16" t="str" cm="1">
        <f t="array" aca="1" ref="F24" ca="1">IFERROR(INDEX(_xlfn.ANCHORARRAY($AA$11),ROW()-10,6),"")</f>
        <v/>
      </c>
      <c r="G24" s="16" t="str" cm="1">
        <f t="array" aca="1" ref="G24" ca="1">IFERROR(INDEX(_xlfn.ANCHORARRAY($AA$11),ROW()-10,7),"")</f>
        <v/>
      </c>
      <c r="H24" s="16" t="str" cm="1">
        <f t="array" aca="1" ref="H24" ca="1">IFERROR(INDEX(_xlfn.ANCHORARRAY($AA$11),ROW()-10,8),"")</f>
        <v/>
      </c>
      <c r="I24" s="16" t="str" cm="1">
        <f t="array" aca="1" ref="I24" ca="1">IFERROR(INDEX(_xlfn.ANCHORARRAY($AA$11),ROW()-10,9),"")</f>
        <v/>
      </c>
      <c r="J24" s="16" t="str">
        <f t="shared" ca="1" si="0"/>
        <v/>
      </c>
      <c r="K24" s="16" t="str">
        <f t="shared" ca="1" si="1"/>
        <v/>
      </c>
      <c r="L24" s="16" t="str" cm="1">
        <f t="array" aca="1" ref="L24" ca="1">_xlfn.LET(_xlpm.link,IFERROR(INDEX(_xlfn.ANCHORARRAY($AA$11),ROW()-10,12),""),IF(_xlpm.link="","",HYPERLINK(_xlpm.link,"Bluecore/Attentive")))</f>
        <v/>
      </c>
      <c r="M24" s="7"/>
      <c r="N24"/>
      <c r="O24"/>
      <c r="P24"/>
      <c r="Q24"/>
      <c r="R24"/>
      <c r="S24"/>
      <c r="T24" s="6"/>
      <c r="U24" s="6"/>
      <c r="V24" s="6"/>
      <c r="W24" s="6"/>
      <c r="X24" s="6"/>
      <c r="Y24" s="6"/>
      <c r="Z24" s="6"/>
      <c r="AA24" s="43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48" t="str" cm="1">
        <f t="array" aca="1" ref="A25" ca="1">IFERROR(INDEX(_xlfn.ANCHORARRAY($AA$11),ROW()-10,1),"")</f>
        <v/>
      </c>
      <c r="B25" s="24" t="str" cm="1">
        <f t="array" aca="1" ref="B25" ca="1">IFERROR(INDEX(_xlfn.ANCHORARRAY($AA$11),ROW()-10,2),"")</f>
        <v/>
      </c>
      <c r="C25" s="16" t="str" cm="1">
        <f t="array" aca="1" ref="C25" ca="1">IFERROR(INDEX(_xlfn.ANCHORARRAY($AA$11),ROW()-10,3),"")</f>
        <v/>
      </c>
      <c r="D25" s="16" t="str" cm="1">
        <f t="array" aca="1" ref="D25" ca="1">IFERROR(INDEX(_xlfn.ANCHORARRAY($AA$11),ROW()-10,4),"")</f>
        <v/>
      </c>
      <c r="E25" s="16" t="str" cm="1">
        <f t="array" aca="1" ref="E25" ca="1">IFERROR(INDEX(_xlfn.ANCHORARRAY($AA$11),ROW()-10,5),"")</f>
        <v/>
      </c>
      <c r="F25" s="16" t="str" cm="1">
        <f t="array" aca="1" ref="F25" ca="1">IFERROR(INDEX(_xlfn.ANCHORARRAY($AA$11),ROW()-10,6),"")</f>
        <v/>
      </c>
      <c r="G25" s="16" t="str" cm="1">
        <f t="array" aca="1" ref="G25" ca="1">IFERROR(INDEX(_xlfn.ANCHORARRAY($AA$11),ROW()-10,7),"")</f>
        <v/>
      </c>
      <c r="H25" s="16" t="str" cm="1">
        <f t="array" aca="1" ref="H25" ca="1">IFERROR(INDEX(_xlfn.ANCHORARRAY($AA$11),ROW()-10,8),"")</f>
        <v/>
      </c>
      <c r="I25" s="16" t="str" cm="1">
        <f t="array" aca="1" ref="I25" ca="1">IFERROR(INDEX(_xlfn.ANCHORARRAY($AA$11),ROW()-10,9),"")</f>
        <v/>
      </c>
      <c r="J25" s="16" t="str">
        <f t="shared" ca="1" si="0"/>
        <v/>
      </c>
      <c r="K25" s="16" t="str">
        <f t="shared" ca="1" si="1"/>
        <v/>
      </c>
      <c r="L25" s="16" t="str" cm="1">
        <f t="array" aca="1" ref="L25" ca="1">_xlfn.LET(_xlpm.link,IFERROR(INDEX(_xlfn.ANCHORARRAY($AA$11),ROW()-10,12),""),IF(_xlpm.link="","",HYPERLINK(_xlpm.link,"Bluecore/Attentive")))</f>
        <v/>
      </c>
      <c r="M25" s="7"/>
      <c r="N25"/>
      <c r="O25"/>
      <c r="P25"/>
      <c r="Q25"/>
      <c r="R25"/>
      <c r="S25"/>
      <c r="T25" s="6"/>
      <c r="U25" s="6"/>
      <c r="V25" s="6"/>
      <c r="W25" s="6"/>
      <c r="X25" s="6"/>
      <c r="Y25" s="6"/>
      <c r="Z25" s="6"/>
      <c r="AA25" s="43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48" t="str" cm="1">
        <f t="array" aca="1" ref="A26" ca="1">IFERROR(INDEX(_xlfn.ANCHORARRAY($AA$11),ROW()-10,1),"")</f>
        <v/>
      </c>
      <c r="B26" s="24" t="str" cm="1">
        <f t="array" aca="1" ref="B26" ca="1">IFERROR(INDEX(_xlfn.ANCHORARRAY($AA$11),ROW()-10,2),"")</f>
        <v/>
      </c>
      <c r="C26" s="16" t="str" cm="1">
        <f t="array" aca="1" ref="C26" ca="1">IFERROR(INDEX(_xlfn.ANCHORARRAY($AA$11),ROW()-10,3),"")</f>
        <v/>
      </c>
      <c r="D26" s="16" t="str" cm="1">
        <f t="array" aca="1" ref="D26" ca="1">IFERROR(INDEX(_xlfn.ANCHORARRAY($AA$11),ROW()-10,4),"")</f>
        <v/>
      </c>
      <c r="E26" s="16" t="str" cm="1">
        <f t="array" aca="1" ref="E26" ca="1">IFERROR(INDEX(_xlfn.ANCHORARRAY($AA$11),ROW()-10,5),"")</f>
        <v/>
      </c>
      <c r="F26" s="16" t="str" cm="1">
        <f t="array" aca="1" ref="F26" ca="1">IFERROR(INDEX(_xlfn.ANCHORARRAY($AA$11),ROW()-10,6),"")</f>
        <v/>
      </c>
      <c r="G26" s="16" t="str" cm="1">
        <f t="array" aca="1" ref="G26" ca="1">IFERROR(INDEX(_xlfn.ANCHORARRAY($AA$11),ROW()-10,7),"")</f>
        <v/>
      </c>
      <c r="H26" s="16" t="str" cm="1">
        <f t="array" aca="1" ref="H26" ca="1">IFERROR(INDEX(_xlfn.ANCHORARRAY($AA$11),ROW()-10,8),"")</f>
        <v/>
      </c>
      <c r="I26" s="16" t="str" cm="1">
        <f t="array" aca="1" ref="I26" ca="1">IFERROR(INDEX(_xlfn.ANCHORARRAY($AA$11),ROW()-10,9),"")</f>
        <v/>
      </c>
      <c r="J26" s="16" t="str">
        <f t="shared" ca="1" si="0"/>
        <v/>
      </c>
      <c r="K26" s="16" t="str">
        <f t="shared" ca="1" si="1"/>
        <v/>
      </c>
      <c r="L26" s="16" t="str" cm="1">
        <f t="array" aca="1" ref="L26" ca="1">_xlfn.LET(_xlpm.link,IFERROR(INDEX(_xlfn.ANCHORARRAY($AA$11),ROW()-10,12),""),IF(_xlpm.link="","",HYPERLINK(_xlpm.link,"Bluecore/Attentive")))</f>
        <v/>
      </c>
      <c r="M26" s="7"/>
      <c r="N26"/>
      <c r="O26"/>
      <c r="P26"/>
      <c r="Q26"/>
      <c r="R26"/>
      <c r="S26"/>
      <c r="T26" s="6"/>
      <c r="U26" s="6"/>
      <c r="V26" s="6"/>
      <c r="W26" s="6"/>
      <c r="X26" s="6"/>
      <c r="Y26" s="6"/>
      <c r="Z26" s="6"/>
      <c r="AA26" s="43"/>
      <c r="AB26"/>
      <c r="AC26"/>
      <c r="AD26"/>
      <c r="AE26"/>
      <c r="AF26"/>
      <c r="AG26"/>
      <c r="AH26"/>
      <c r="AI26"/>
      <c r="AJ26"/>
      <c r="AK26"/>
      <c r="AL26"/>
    </row>
    <row r="27" spans="1:38">
      <c r="A27" s="48" t="str" cm="1">
        <f t="array" aca="1" ref="A27" ca="1">IFERROR(INDEX(_xlfn.ANCHORARRAY($AA$11),ROW()-10,1),"")</f>
        <v/>
      </c>
      <c r="B27" s="24" t="str" cm="1">
        <f t="array" aca="1" ref="B27" ca="1">IFERROR(INDEX(_xlfn.ANCHORARRAY($AA$11),ROW()-10,2),"")</f>
        <v/>
      </c>
      <c r="C27" s="16" t="str" cm="1">
        <f t="array" aca="1" ref="C27" ca="1">IFERROR(INDEX(_xlfn.ANCHORARRAY($AA$11),ROW()-10,3),"")</f>
        <v/>
      </c>
      <c r="D27" s="16" t="str" cm="1">
        <f t="array" aca="1" ref="D27" ca="1">IFERROR(INDEX(_xlfn.ANCHORARRAY($AA$11),ROW()-10,4),"")</f>
        <v/>
      </c>
      <c r="E27" s="16" t="str" cm="1">
        <f t="array" aca="1" ref="E27" ca="1">IFERROR(INDEX(_xlfn.ANCHORARRAY($AA$11),ROW()-10,5),"")</f>
        <v/>
      </c>
      <c r="F27" s="16" t="str" cm="1">
        <f t="array" aca="1" ref="F27" ca="1">IFERROR(INDEX(_xlfn.ANCHORARRAY($AA$11),ROW()-10,6),"")</f>
        <v/>
      </c>
      <c r="G27" s="16" t="str" cm="1">
        <f t="array" aca="1" ref="G27" ca="1">IFERROR(INDEX(_xlfn.ANCHORARRAY($AA$11),ROW()-10,7),"")</f>
        <v/>
      </c>
      <c r="H27" s="16" t="str" cm="1">
        <f t="array" aca="1" ref="H27" ca="1">IFERROR(INDEX(_xlfn.ANCHORARRAY($AA$11),ROW()-10,8),"")</f>
        <v/>
      </c>
      <c r="I27" s="16" t="str" cm="1">
        <f t="array" aca="1" ref="I27" ca="1">IFERROR(INDEX(_xlfn.ANCHORARRAY($AA$11),ROW()-10,9),"")</f>
        <v/>
      </c>
      <c r="J27" s="16" t="str">
        <f t="shared" ca="1" si="0"/>
        <v/>
      </c>
      <c r="K27" s="16" t="str">
        <f t="shared" ca="1" si="1"/>
        <v/>
      </c>
      <c r="L27" s="16" t="str" cm="1">
        <f t="array" aca="1" ref="L27" ca="1">_xlfn.LET(_xlpm.link,IFERROR(INDEX(_xlfn.ANCHORARRAY($AA$11),ROW()-10,12),""),IF(_xlpm.link="","",HYPERLINK(_xlpm.link,"Bluecore/Attentive")))</f>
        <v/>
      </c>
      <c r="M27" s="7"/>
      <c r="N27"/>
      <c r="O27"/>
      <c r="P27"/>
      <c r="Q27"/>
      <c r="R27"/>
      <c r="S27"/>
      <c r="T27" s="6"/>
      <c r="U27" s="6"/>
      <c r="V27" s="6"/>
      <c r="W27" s="6"/>
      <c r="X27" s="6"/>
      <c r="Y27" s="6"/>
      <c r="Z27" s="6"/>
      <c r="AA27" s="43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48" t="str" cm="1">
        <f t="array" aca="1" ref="A28" ca="1">IFERROR(INDEX(_xlfn.ANCHORARRAY($AA$11),ROW()-10,1),"")</f>
        <v/>
      </c>
      <c r="B28" s="24" t="str" cm="1">
        <f t="array" aca="1" ref="B28" ca="1">IFERROR(INDEX(_xlfn.ANCHORARRAY($AA$11),ROW()-10,2),"")</f>
        <v/>
      </c>
      <c r="C28" s="16" t="str" cm="1">
        <f t="array" aca="1" ref="C28" ca="1">IFERROR(INDEX(_xlfn.ANCHORARRAY($AA$11),ROW()-10,3),"")</f>
        <v/>
      </c>
      <c r="D28" s="16" t="str" cm="1">
        <f t="array" aca="1" ref="D28" ca="1">IFERROR(INDEX(_xlfn.ANCHORARRAY($AA$11),ROW()-10,4),"")</f>
        <v/>
      </c>
      <c r="E28" s="16" t="str" cm="1">
        <f t="array" aca="1" ref="E28" ca="1">IFERROR(INDEX(_xlfn.ANCHORARRAY($AA$11),ROW()-10,5),"")</f>
        <v/>
      </c>
      <c r="F28" s="16" t="str" cm="1">
        <f t="array" aca="1" ref="F28" ca="1">IFERROR(INDEX(_xlfn.ANCHORARRAY($AA$11),ROW()-10,6),"")</f>
        <v/>
      </c>
      <c r="G28" s="16" t="str" cm="1">
        <f t="array" aca="1" ref="G28" ca="1">IFERROR(INDEX(_xlfn.ANCHORARRAY($AA$11),ROW()-10,7),"")</f>
        <v/>
      </c>
      <c r="H28" s="16" t="str" cm="1">
        <f t="array" aca="1" ref="H28" ca="1">IFERROR(INDEX(_xlfn.ANCHORARRAY($AA$11),ROW()-10,8),"")</f>
        <v/>
      </c>
      <c r="I28" s="16" t="str" cm="1">
        <f t="array" aca="1" ref="I28" ca="1">IFERROR(INDEX(_xlfn.ANCHORARRAY($AA$11),ROW()-10,9),"")</f>
        <v/>
      </c>
      <c r="J28" s="16" t="str">
        <f t="shared" ca="1" si="0"/>
        <v/>
      </c>
      <c r="K28" s="16" t="str">
        <f t="shared" ca="1" si="1"/>
        <v/>
      </c>
      <c r="L28" s="16" t="str" cm="1">
        <f t="array" aca="1" ref="L28" ca="1">_xlfn.LET(_xlpm.link,IFERROR(INDEX(_xlfn.ANCHORARRAY($AA$11),ROW()-10,12),""),IF(_xlpm.link="","",HYPERLINK(_xlpm.link,"Bluecore/Attentive")))</f>
        <v/>
      </c>
      <c r="M28" s="7"/>
      <c r="N28"/>
      <c r="O28"/>
      <c r="P28"/>
      <c r="Q28"/>
      <c r="R28"/>
      <c r="S28"/>
      <c r="T28" s="6"/>
      <c r="U28" s="6"/>
      <c r="V28" s="6"/>
      <c r="W28" s="6"/>
      <c r="X28" s="6"/>
      <c r="Y28" s="6"/>
      <c r="Z28" s="6"/>
      <c r="AA28" s="43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48" t="str" cm="1">
        <f t="array" aca="1" ref="A29" ca="1">IFERROR(INDEX(_xlfn.ANCHORARRAY($AA$11),ROW()-10,1),"")</f>
        <v/>
      </c>
      <c r="B29" s="24" t="str" cm="1">
        <f t="array" aca="1" ref="B29" ca="1">IFERROR(INDEX(_xlfn.ANCHORARRAY($AA$11),ROW()-10,2),"")</f>
        <v/>
      </c>
      <c r="C29" s="16" t="str" cm="1">
        <f t="array" aca="1" ref="C29" ca="1">IFERROR(INDEX(_xlfn.ANCHORARRAY($AA$11),ROW()-10,3),"")</f>
        <v/>
      </c>
      <c r="D29" s="16" t="str" cm="1">
        <f t="array" aca="1" ref="D29" ca="1">IFERROR(INDEX(_xlfn.ANCHORARRAY($AA$11),ROW()-10,4),"")</f>
        <v/>
      </c>
      <c r="E29" s="16" t="str" cm="1">
        <f t="array" aca="1" ref="E29" ca="1">IFERROR(INDEX(_xlfn.ANCHORARRAY($AA$11),ROW()-10,5),"")</f>
        <v/>
      </c>
      <c r="F29" s="16" t="str" cm="1">
        <f t="array" aca="1" ref="F29" ca="1">IFERROR(INDEX(_xlfn.ANCHORARRAY($AA$11),ROW()-10,6),"")</f>
        <v/>
      </c>
      <c r="G29" s="16" t="str" cm="1">
        <f t="array" aca="1" ref="G29" ca="1">IFERROR(INDEX(_xlfn.ANCHORARRAY($AA$11),ROW()-10,7),"")</f>
        <v/>
      </c>
      <c r="H29" s="16" t="str" cm="1">
        <f t="array" aca="1" ref="H29" ca="1">IFERROR(INDEX(_xlfn.ANCHORARRAY($AA$11),ROW()-10,8),"")</f>
        <v/>
      </c>
      <c r="I29" s="16" t="str" cm="1">
        <f t="array" aca="1" ref="I29" ca="1">IFERROR(INDEX(_xlfn.ANCHORARRAY($AA$11),ROW()-10,9),"")</f>
        <v/>
      </c>
      <c r="J29" s="16" t="str">
        <f t="shared" ca="1" si="0"/>
        <v/>
      </c>
      <c r="K29" s="16" t="str">
        <f t="shared" ca="1" si="1"/>
        <v/>
      </c>
      <c r="L29" s="16" t="str" cm="1">
        <f t="array" aca="1" ref="L29" ca="1">_xlfn.LET(_xlpm.link,IFERROR(INDEX(_xlfn.ANCHORARRAY($AA$11),ROW()-10,12),""),IF(_xlpm.link="","",HYPERLINK(_xlpm.link,"Bluecore/Attentive")))</f>
        <v/>
      </c>
      <c r="M29" s="7"/>
      <c r="N29"/>
      <c r="O29"/>
      <c r="P29"/>
      <c r="Q29"/>
      <c r="R29"/>
      <c r="S29"/>
      <c r="T29" s="6"/>
      <c r="U29" s="6"/>
      <c r="V29" s="6"/>
      <c r="W29" s="6"/>
      <c r="X29" s="6"/>
      <c r="Y29" s="6"/>
      <c r="Z29" s="6"/>
      <c r="AA29" s="43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48" t="str" cm="1">
        <f t="array" aca="1" ref="A30" ca="1">IFERROR(INDEX(_xlfn.ANCHORARRAY($AA$11),ROW()-10,1),"")</f>
        <v/>
      </c>
      <c r="B30" s="24" t="str" cm="1">
        <f t="array" aca="1" ref="B30" ca="1">IFERROR(INDEX(_xlfn.ANCHORARRAY($AA$11),ROW()-10,2),"")</f>
        <v/>
      </c>
      <c r="C30" s="16" t="str" cm="1">
        <f t="array" aca="1" ref="C30" ca="1">IFERROR(INDEX(_xlfn.ANCHORARRAY($AA$11),ROW()-10,3),"")</f>
        <v/>
      </c>
      <c r="D30" s="16" t="str" cm="1">
        <f t="array" aca="1" ref="D30" ca="1">IFERROR(INDEX(_xlfn.ANCHORARRAY($AA$11),ROW()-10,4),"")</f>
        <v/>
      </c>
      <c r="E30" s="16" t="str" cm="1">
        <f t="array" aca="1" ref="E30" ca="1">IFERROR(INDEX(_xlfn.ANCHORARRAY($AA$11),ROW()-10,5),"")</f>
        <v/>
      </c>
      <c r="F30" s="16" t="str" cm="1">
        <f t="array" aca="1" ref="F30" ca="1">IFERROR(INDEX(_xlfn.ANCHORARRAY($AA$11),ROW()-10,6),"")</f>
        <v/>
      </c>
      <c r="G30" s="16" t="str" cm="1">
        <f t="array" aca="1" ref="G30" ca="1">IFERROR(INDEX(_xlfn.ANCHORARRAY($AA$11),ROW()-10,7),"")</f>
        <v/>
      </c>
      <c r="H30" s="16" t="str" cm="1">
        <f t="array" aca="1" ref="H30" ca="1">IFERROR(INDEX(_xlfn.ANCHORARRAY($AA$11),ROW()-10,8),"")</f>
        <v/>
      </c>
      <c r="I30" s="16" t="str" cm="1">
        <f t="array" aca="1" ref="I30" ca="1">IFERROR(INDEX(_xlfn.ANCHORARRAY($AA$11),ROW()-10,9),"")</f>
        <v/>
      </c>
      <c r="J30" s="16" t="str">
        <f t="shared" ca="1" si="0"/>
        <v/>
      </c>
      <c r="K30" s="16" t="str">
        <f t="shared" ca="1" si="1"/>
        <v/>
      </c>
      <c r="L30" s="16" t="str" cm="1">
        <f t="array" aca="1" ref="L30" ca="1">_xlfn.LET(_xlpm.link,IFERROR(INDEX(_xlfn.ANCHORARRAY($AA$11),ROW()-10,12),""),IF(_xlpm.link="","",HYPERLINK(_xlpm.link,"Bluecore/Attentive")))</f>
        <v/>
      </c>
      <c r="M30" s="7"/>
      <c r="N30"/>
      <c r="O30"/>
      <c r="P30"/>
      <c r="Q30"/>
      <c r="R30"/>
      <c r="S30"/>
      <c r="T30" s="6"/>
      <c r="U30" s="6"/>
      <c r="V30" s="6"/>
      <c r="W30" s="6"/>
      <c r="X30" s="6"/>
      <c r="Y30" s="6"/>
      <c r="Z30" s="6"/>
      <c r="AA30" s="43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48" t="str" cm="1">
        <f t="array" aca="1" ref="A31" ca="1">IFERROR(INDEX(_xlfn.ANCHORARRAY($AA$11),ROW()-10,1),"")</f>
        <v/>
      </c>
      <c r="B31" s="24" t="str" cm="1">
        <f t="array" aca="1" ref="B31" ca="1">IFERROR(INDEX(_xlfn.ANCHORARRAY($AA$11),ROW()-10,2),"")</f>
        <v/>
      </c>
      <c r="C31" s="16" t="str" cm="1">
        <f t="array" aca="1" ref="C31" ca="1">IFERROR(INDEX(_xlfn.ANCHORARRAY($AA$11),ROW()-10,3),"")</f>
        <v/>
      </c>
      <c r="D31" s="16" t="str" cm="1">
        <f t="array" aca="1" ref="D31" ca="1">IFERROR(INDEX(_xlfn.ANCHORARRAY($AA$11),ROW()-10,4),"")</f>
        <v/>
      </c>
      <c r="E31" s="16" t="str" cm="1">
        <f t="array" aca="1" ref="E31" ca="1">IFERROR(INDEX(_xlfn.ANCHORARRAY($AA$11),ROW()-10,5),"")</f>
        <v/>
      </c>
      <c r="F31" s="16" t="str" cm="1">
        <f t="array" aca="1" ref="F31" ca="1">IFERROR(INDEX(_xlfn.ANCHORARRAY($AA$11),ROW()-10,6),"")</f>
        <v/>
      </c>
      <c r="G31" s="16" t="str" cm="1">
        <f t="array" aca="1" ref="G31" ca="1">IFERROR(INDEX(_xlfn.ANCHORARRAY($AA$11),ROW()-10,7),"")</f>
        <v/>
      </c>
      <c r="H31" s="16" t="str" cm="1">
        <f t="array" aca="1" ref="H31" ca="1">IFERROR(INDEX(_xlfn.ANCHORARRAY($AA$11),ROW()-10,8),"")</f>
        <v/>
      </c>
      <c r="I31" s="16" t="str" cm="1">
        <f t="array" aca="1" ref="I31" ca="1">IFERROR(INDEX(_xlfn.ANCHORARRAY($AA$11),ROW()-10,9),"")</f>
        <v/>
      </c>
      <c r="J31" s="16" t="str">
        <f t="shared" ca="1" si="0"/>
        <v/>
      </c>
      <c r="K31" s="16" t="str">
        <f t="shared" ca="1" si="1"/>
        <v/>
      </c>
      <c r="L31" s="16" t="str" cm="1">
        <f t="array" aca="1" ref="L31" ca="1">_xlfn.LET(_xlpm.link,IFERROR(INDEX(_xlfn.ANCHORARRAY($AA$11),ROW()-10,12),""),IF(_xlpm.link="","",HYPERLINK(_xlpm.link,"Bluecore/Attentive")))</f>
        <v/>
      </c>
      <c r="M31" s="7"/>
      <c r="N31"/>
      <c r="O31"/>
      <c r="P31"/>
      <c r="Q31"/>
      <c r="R31"/>
      <c r="S31"/>
      <c r="T31" s="6"/>
      <c r="U31" s="6"/>
      <c r="V31" s="6"/>
      <c r="W31" s="6"/>
      <c r="X31" s="6"/>
      <c r="Y31" s="6"/>
      <c r="Z31" s="6"/>
      <c r="AA31" s="43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48" t="str" cm="1">
        <f t="array" aca="1" ref="A32" ca="1">IFERROR(INDEX(_xlfn.ANCHORARRAY($AA$11),ROW()-10,1),"")</f>
        <v/>
      </c>
      <c r="B32" s="24" t="str" cm="1">
        <f t="array" aca="1" ref="B32" ca="1">IFERROR(INDEX(_xlfn.ANCHORARRAY($AA$11),ROW()-10,2),"")</f>
        <v/>
      </c>
      <c r="C32" s="16" t="str" cm="1">
        <f t="array" aca="1" ref="C32" ca="1">IFERROR(INDEX(_xlfn.ANCHORARRAY($AA$11),ROW()-10,3),"")</f>
        <v/>
      </c>
      <c r="D32" s="16" t="str" cm="1">
        <f t="array" aca="1" ref="D32" ca="1">IFERROR(INDEX(_xlfn.ANCHORARRAY($AA$11),ROW()-10,4),"")</f>
        <v/>
      </c>
      <c r="E32" s="16" t="str" cm="1">
        <f t="array" aca="1" ref="E32" ca="1">IFERROR(INDEX(_xlfn.ANCHORARRAY($AA$11),ROW()-10,5),"")</f>
        <v/>
      </c>
      <c r="F32" s="16" t="str" cm="1">
        <f t="array" aca="1" ref="F32" ca="1">IFERROR(INDEX(_xlfn.ANCHORARRAY($AA$11),ROW()-10,6),"")</f>
        <v/>
      </c>
      <c r="G32" s="16" t="str" cm="1">
        <f t="array" aca="1" ref="G32" ca="1">IFERROR(INDEX(_xlfn.ANCHORARRAY($AA$11),ROW()-10,7),"")</f>
        <v/>
      </c>
      <c r="H32" s="16" t="str" cm="1">
        <f t="array" aca="1" ref="H32" ca="1">IFERROR(INDEX(_xlfn.ANCHORARRAY($AA$11),ROW()-10,8),"")</f>
        <v/>
      </c>
      <c r="I32" s="16" t="str" cm="1">
        <f t="array" aca="1" ref="I32" ca="1">IFERROR(INDEX(_xlfn.ANCHORARRAY($AA$11),ROW()-10,9),"")</f>
        <v/>
      </c>
      <c r="J32" s="16" t="str">
        <f t="shared" ca="1" si="0"/>
        <v/>
      </c>
      <c r="K32" s="16" t="str">
        <f t="shared" ca="1" si="1"/>
        <v/>
      </c>
      <c r="L32" s="16" t="str" cm="1">
        <f t="array" aca="1" ref="L32" ca="1">_xlfn.LET(_xlpm.link,IFERROR(INDEX(_xlfn.ANCHORARRAY($AA$11),ROW()-10,12),""),IF(_xlpm.link="","",HYPERLINK(_xlpm.link,"Bluecore/Attentive")))</f>
        <v/>
      </c>
      <c r="M32" s="7"/>
      <c r="N32"/>
      <c r="O32"/>
      <c r="P32"/>
      <c r="Q32"/>
      <c r="R32"/>
      <c r="S32"/>
      <c r="T32" s="6"/>
      <c r="U32" s="6"/>
      <c r="V32" s="6"/>
      <c r="W32" s="6"/>
      <c r="X32" s="6"/>
      <c r="Y32" s="6"/>
      <c r="Z32" s="6"/>
      <c r="AA32" s="43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48" t="str" cm="1">
        <f t="array" aca="1" ref="A33" ca="1">IFERROR(INDEX(_xlfn.ANCHORARRAY($AA$11),ROW()-10,1),"")</f>
        <v/>
      </c>
      <c r="B33" s="24" t="str" cm="1">
        <f t="array" aca="1" ref="B33" ca="1">IFERROR(INDEX(_xlfn.ANCHORARRAY($AA$11),ROW()-10,2),"")</f>
        <v/>
      </c>
      <c r="C33" s="16" t="str" cm="1">
        <f t="array" aca="1" ref="C33" ca="1">IFERROR(INDEX(_xlfn.ANCHORARRAY($AA$11),ROW()-10,3),"")</f>
        <v/>
      </c>
      <c r="D33" s="16" t="str" cm="1">
        <f t="array" aca="1" ref="D33" ca="1">IFERROR(INDEX(_xlfn.ANCHORARRAY($AA$11),ROW()-10,4),"")</f>
        <v/>
      </c>
      <c r="E33" s="16" t="str" cm="1">
        <f t="array" aca="1" ref="E33" ca="1">IFERROR(INDEX(_xlfn.ANCHORARRAY($AA$11),ROW()-10,5),"")</f>
        <v/>
      </c>
      <c r="F33" s="16" t="str" cm="1">
        <f t="array" aca="1" ref="F33" ca="1">IFERROR(INDEX(_xlfn.ANCHORARRAY($AA$11),ROW()-10,6),"")</f>
        <v/>
      </c>
      <c r="G33" s="16" t="str" cm="1">
        <f t="array" aca="1" ref="G33" ca="1">IFERROR(INDEX(_xlfn.ANCHORARRAY($AA$11),ROW()-10,7),"")</f>
        <v/>
      </c>
      <c r="H33" s="16" t="str" cm="1">
        <f t="array" aca="1" ref="H33" ca="1">IFERROR(INDEX(_xlfn.ANCHORARRAY($AA$11),ROW()-10,8),"")</f>
        <v/>
      </c>
      <c r="I33" s="16" t="str" cm="1">
        <f t="array" aca="1" ref="I33" ca="1">IFERROR(INDEX(_xlfn.ANCHORARRAY($AA$11),ROW()-10,9),"")</f>
        <v/>
      </c>
      <c r="J33" s="16" t="str">
        <f t="shared" ca="1" si="0"/>
        <v/>
      </c>
      <c r="K33" s="16" t="str">
        <f t="shared" ca="1" si="1"/>
        <v/>
      </c>
      <c r="L33" s="16" t="str" cm="1">
        <f t="array" aca="1" ref="L33" ca="1">_xlfn.LET(_xlpm.link,IFERROR(INDEX(_xlfn.ANCHORARRAY($AA$11),ROW()-10,12),""),IF(_xlpm.link="","",HYPERLINK(_xlpm.link,"Bluecore/Attentive")))</f>
        <v/>
      </c>
      <c r="M33" s="7"/>
      <c r="N33"/>
      <c r="O33"/>
      <c r="P33"/>
      <c r="Q33"/>
      <c r="R33"/>
      <c r="S33"/>
      <c r="T33" s="6"/>
      <c r="U33" s="6"/>
      <c r="V33" s="6"/>
      <c r="W33" s="6"/>
      <c r="X33" s="6"/>
      <c r="Y33" s="6"/>
      <c r="Z33" s="6"/>
      <c r="AA33" s="4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48" t="str" cm="1">
        <f t="array" aca="1" ref="A34" ca="1">IFERROR(INDEX(_xlfn.ANCHORARRAY($AA$11),ROW()-10,1),"")</f>
        <v/>
      </c>
      <c r="B34" s="24" t="str" cm="1">
        <f t="array" aca="1" ref="B34" ca="1">IFERROR(INDEX(_xlfn.ANCHORARRAY($AA$11),ROW()-10,2),"")</f>
        <v/>
      </c>
      <c r="C34" s="16" t="str" cm="1">
        <f t="array" aca="1" ref="C34" ca="1">IFERROR(INDEX(_xlfn.ANCHORARRAY($AA$11),ROW()-10,3),"")</f>
        <v/>
      </c>
      <c r="D34" s="16" t="str" cm="1">
        <f t="array" aca="1" ref="D34" ca="1">IFERROR(INDEX(_xlfn.ANCHORARRAY($AA$11),ROW()-10,4),"")</f>
        <v/>
      </c>
      <c r="E34" s="16" t="str" cm="1">
        <f t="array" aca="1" ref="E34" ca="1">IFERROR(INDEX(_xlfn.ANCHORARRAY($AA$11),ROW()-10,5),"")</f>
        <v/>
      </c>
      <c r="F34" s="16" t="str" cm="1">
        <f t="array" aca="1" ref="F34" ca="1">IFERROR(INDEX(_xlfn.ANCHORARRAY($AA$11),ROW()-10,6),"")</f>
        <v/>
      </c>
      <c r="G34" s="16" t="str" cm="1">
        <f t="array" aca="1" ref="G34" ca="1">IFERROR(INDEX(_xlfn.ANCHORARRAY($AA$11),ROW()-10,7),"")</f>
        <v/>
      </c>
      <c r="H34" s="16" t="str" cm="1">
        <f t="array" aca="1" ref="H34" ca="1">IFERROR(INDEX(_xlfn.ANCHORARRAY($AA$11),ROW()-10,8),"")</f>
        <v/>
      </c>
      <c r="I34" s="16" t="str" cm="1">
        <f t="array" aca="1" ref="I34" ca="1">IFERROR(INDEX(_xlfn.ANCHORARRAY($AA$11),ROW()-10,9),"")</f>
        <v/>
      </c>
      <c r="J34" s="16" t="str">
        <f t="shared" ca="1" si="0"/>
        <v/>
      </c>
      <c r="K34" s="16" t="str">
        <f t="shared" ca="1" si="1"/>
        <v/>
      </c>
      <c r="L34" s="16" t="str" cm="1">
        <f t="array" aca="1" ref="L34" ca="1">_xlfn.LET(_xlpm.link,IFERROR(INDEX(_xlfn.ANCHORARRAY($AA$11),ROW()-10,12),""),IF(_xlpm.link="","",HYPERLINK(_xlpm.link,"Bluecore/Attentive")))</f>
        <v/>
      </c>
      <c r="M34" s="7"/>
      <c r="N34"/>
      <c r="O34"/>
      <c r="P34"/>
      <c r="Q34"/>
      <c r="R34"/>
      <c r="S34"/>
      <c r="T34" s="6"/>
      <c r="U34" s="6"/>
      <c r="V34" s="6"/>
      <c r="W34" s="6"/>
      <c r="X34" s="6"/>
      <c r="Y34" s="6"/>
      <c r="Z34" s="6"/>
      <c r="AA34" s="43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48" t="str" cm="1">
        <f t="array" aca="1" ref="A35" ca="1">IFERROR(INDEX(_xlfn.ANCHORARRAY($AA$11),ROW()-10,1),"")</f>
        <v/>
      </c>
      <c r="B35" s="24" t="str" cm="1">
        <f t="array" aca="1" ref="B35" ca="1">IFERROR(INDEX(_xlfn.ANCHORARRAY($AA$11),ROW()-10,2),"")</f>
        <v/>
      </c>
      <c r="C35" s="16" t="str" cm="1">
        <f t="array" aca="1" ref="C35" ca="1">IFERROR(INDEX(_xlfn.ANCHORARRAY($AA$11),ROW()-10,3),"")</f>
        <v/>
      </c>
      <c r="D35" s="16" t="str" cm="1">
        <f t="array" aca="1" ref="D35" ca="1">IFERROR(INDEX(_xlfn.ANCHORARRAY($AA$11),ROW()-10,4),"")</f>
        <v/>
      </c>
      <c r="E35" s="16" t="str" cm="1">
        <f t="array" aca="1" ref="E35" ca="1">IFERROR(INDEX(_xlfn.ANCHORARRAY($AA$11),ROW()-10,5),"")</f>
        <v/>
      </c>
      <c r="F35" s="16" t="str" cm="1">
        <f t="array" aca="1" ref="F35" ca="1">IFERROR(INDEX(_xlfn.ANCHORARRAY($AA$11),ROW()-10,6),"")</f>
        <v/>
      </c>
      <c r="G35" s="16" t="str" cm="1">
        <f t="array" aca="1" ref="G35" ca="1">IFERROR(INDEX(_xlfn.ANCHORARRAY($AA$11),ROW()-10,7),"")</f>
        <v/>
      </c>
      <c r="H35" s="16" t="str" cm="1">
        <f t="array" aca="1" ref="H35" ca="1">IFERROR(INDEX(_xlfn.ANCHORARRAY($AA$11),ROW()-10,8),"")</f>
        <v/>
      </c>
      <c r="I35" s="16" t="str" cm="1">
        <f t="array" aca="1" ref="I35" ca="1">IFERROR(INDEX(_xlfn.ANCHORARRAY($AA$11),ROW()-10,9),"")</f>
        <v/>
      </c>
      <c r="J35" s="16" t="str">
        <f t="shared" ca="1" si="0"/>
        <v/>
      </c>
      <c r="K35" s="16" t="str">
        <f t="shared" ca="1" si="1"/>
        <v/>
      </c>
      <c r="L35" s="16" t="str" cm="1">
        <f t="array" aca="1" ref="L35" ca="1">_xlfn.LET(_xlpm.link,IFERROR(INDEX(_xlfn.ANCHORARRAY($AA$11),ROW()-10,12),""),IF(_xlpm.link="","",HYPERLINK(_xlpm.link,"Bluecore/Attentive")))</f>
        <v/>
      </c>
      <c r="M35" s="7"/>
      <c r="N35"/>
      <c r="O35"/>
      <c r="P35"/>
      <c r="Q35"/>
      <c r="R35"/>
      <c r="S35"/>
      <c r="T35" s="6"/>
      <c r="U35" s="6"/>
      <c r="V35" s="6"/>
      <c r="W35" s="6"/>
      <c r="X35" s="6"/>
      <c r="Y35" s="6"/>
      <c r="Z35" s="6"/>
      <c r="AA35" s="43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48" t="str" cm="1">
        <f t="array" aca="1" ref="A36" ca="1">IFERROR(INDEX(_xlfn.ANCHORARRAY($AA$11),ROW()-10,1),"")</f>
        <v/>
      </c>
      <c r="B36" s="24" t="str" cm="1">
        <f t="array" aca="1" ref="B36" ca="1">IFERROR(INDEX(_xlfn.ANCHORARRAY($AA$11),ROW()-10,2),"")</f>
        <v/>
      </c>
      <c r="C36" s="16" t="str" cm="1">
        <f t="array" aca="1" ref="C36" ca="1">IFERROR(INDEX(_xlfn.ANCHORARRAY($AA$11),ROW()-10,3),"")</f>
        <v/>
      </c>
      <c r="D36" s="16" t="str" cm="1">
        <f t="array" aca="1" ref="D36" ca="1">IFERROR(INDEX(_xlfn.ANCHORARRAY($AA$11),ROW()-10,4),"")</f>
        <v/>
      </c>
      <c r="E36" s="16" t="str" cm="1">
        <f t="array" aca="1" ref="E36" ca="1">IFERROR(INDEX(_xlfn.ANCHORARRAY($AA$11),ROW()-10,5),"")</f>
        <v/>
      </c>
      <c r="F36" s="16" t="str" cm="1">
        <f t="array" aca="1" ref="F36" ca="1">IFERROR(INDEX(_xlfn.ANCHORARRAY($AA$11),ROW()-10,6),"")</f>
        <v/>
      </c>
      <c r="G36" s="16" t="str" cm="1">
        <f t="array" aca="1" ref="G36" ca="1">IFERROR(INDEX(_xlfn.ANCHORARRAY($AA$11),ROW()-10,7),"")</f>
        <v/>
      </c>
      <c r="H36" s="16" t="str" cm="1">
        <f t="array" aca="1" ref="H36" ca="1">IFERROR(INDEX(_xlfn.ANCHORARRAY($AA$11),ROW()-10,8),"")</f>
        <v/>
      </c>
      <c r="I36" s="16" t="str" cm="1">
        <f t="array" aca="1" ref="I36" ca="1">IFERROR(INDEX(_xlfn.ANCHORARRAY($AA$11),ROW()-10,9),"")</f>
        <v/>
      </c>
      <c r="J36" s="16" t="str">
        <f t="shared" ca="1" si="0"/>
        <v/>
      </c>
      <c r="K36" s="16" t="str">
        <f t="shared" ca="1" si="1"/>
        <v/>
      </c>
      <c r="L36" s="16" t="str" cm="1">
        <f t="array" aca="1" ref="L36" ca="1">_xlfn.LET(_xlpm.link,IFERROR(INDEX(_xlfn.ANCHORARRAY($AA$11),ROW()-10,12),""),IF(_xlpm.link="","",HYPERLINK(_xlpm.link,"Bluecore/Attentive")))</f>
        <v/>
      </c>
      <c r="M36" s="7"/>
      <c r="N36"/>
      <c r="O36"/>
      <c r="P36"/>
      <c r="Q36"/>
      <c r="R36"/>
      <c r="S36"/>
      <c r="T36" s="6"/>
      <c r="U36" s="6"/>
      <c r="V36" s="6"/>
      <c r="W36" s="6"/>
      <c r="X36" s="6"/>
      <c r="Y36" s="6"/>
      <c r="Z36" s="6"/>
      <c r="AA36" s="43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48" t="str" cm="1">
        <f t="array" aca="1" ref="A37" ca="1">IFERROR(INDEX(_xlfn.ANCHORARRAY($AA$11),ROW()-10,1),"")</f>
        <v/>
      </c>
      <c r="B37" s="24" t="str" cm="1">
        <f t="array" aca="1" ref="B37" ca="1">IFERROR(INDEX(_xlfn.ANCHORARRAY($AA$11),ROW()-10,2),"")</f>
        <v/>
      </c>
      <c r="C37" s="16" t="str" cm="1">
        <f t="array" aca="1" ref="C37" ca="1">IFERROR(INDEX(_xlfn.ANCHORARRAY($AA$11),ROW()-10,3),"")</f>
        <v/>
      </c>
      <c r="D37" s="16" t="str" cm="1">
        <f t="array" aca="1" ref="D37" ca="1">IFERROR(INDEX(_xlfn.ANCHORARRAY($AA$11),ROW()-10,4),"")</f>
        <v/>
      </c>
      <c r="E37" s="16" t="str" cm="1">
        <f t="array" aca="1" ref="E37" ca="1">IFERROR(INDEX(_xlfn.ANCHORARRAY($AA$11),ROW()-10,5),"")</f>
        <v/>
      </c>
      <c r="F37" s="16" t="str" cm="1">
        <f t="array" aca="1" ref="F37" ca="1">IFERROR(INDEX(_xlfn.ANCHORARRAY($AA$11),ROW()-10,6),"")</f>
        <v/>
      </c>
      <c r="G37" s="16" t="str" cm="1">
        <f t="array" aca="1" ref="G37" ca="1">IFERROR(INDEX(_xlfn.ANCHORARRAY($AA$11),ROW()-10,7),"")</f>
        <v/>
      </c>
      <c r="H37" s="16" t="str" cm="1">
        <f t="array" aca="1" ref="H37" ca="1">IFERROR(INDEX(_xlfn.ANCHORARRAY($AA$11),ROW()-10,8),"")</f>
        <v/>
      </c>
      <c r="I37" s="16" t="str" cm="1">
        <f t="array" aca="1" ref="I37" ca="1">IFERROR(INDEX(_xlfn.ANCHORARRAY($AA$11),ROW()-10,9),"")</f>
        <v/>
      </c>
      <c r="J37" s="16" t="str">
        <f t="shared" ca="1" si="0"/>
        <v/>
      </c>
      <c r="K37" s="16" t="str">
        <f t="shared" ca="1" si="1"/>
        <v/>
      </c>
      <c r="L37" s="16" t="str" cm="1">
        <f t="array" aca="1" ref="L37" ca="1">_xlfn.LET(_xlpm.link,IFERROR(INDEX(_xlfn.ANCHORARRAY($AA$11),ROW()-10,12),""),IF(_xlpm.link="","",HYPERLINK(_xlpm.link,"Bluecore/Attentive")))</f>
        <v/>
      </c>
      <c r="M37" s="7"/>
      <c r="N37"/>
      <c r="O37"/>
      <c r="P37"/>
      <c r="Q37"/>
      <c r="R37"/>
      <c r="S37"/>
      <c r="T37" s="6"/>
      <c r="U37" s="6"/>
      <c r="V37" s="6"/>
      <c r="W37" s="6"/>
      <c r="X37" s="6"/>
      <c r="Y37" s="6"/>
      <c r="Z37" s="6"/>
      <c r="AA37" s="43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48" t="str" cm="1">
        <f t="array" aca="1" ref="A38" ca="1">IFERROR(INDEX(_xlfn.ANCHORARRAY($AA$11),ROW()-10,1),"")</f>
        <v/>
      </c>
      <c r="B38" s="24" t="str" cm="1">
        <f t="array" aca="1" ref="B38" ca="1">IFERROR(INDEX(_xlfn.ANCHORARRAY($AA$11),ROW()-10,2),"")</f>
        <v/>
      </c>
      <c r="C38" s="16" t="str" cm="1">
        <f t="array" aca="1" ref="C38" ca="1">IFERROR(INDEX(_xlfn.ANCHORARRAY($AA$11),ROW()-10,3),"")</f>
        <v/>
      </c>
      <c r="D38" s="16" t="str" cm="1">
        <f t="array" aca="1" ref="D38" ca="1">IFERROR(INDEX(_xlfn.ANCHORARRAY($AA$11),ROW()-10,4),"")</f>
        <v/>
      </c>
      <c r="E38" s="16" t="str" cm="1">
        <f t="array" aca="1" ref="E38" ca="1">IFERROR(INDEX(_xlfn.ANCHORARRAY($AA$11),ROW()-10,5),"")</f>
        <v/>
      </c>
      <c r="F38" s="16" t="str" cm="1">
        <f t="array" aca="1" ref="F38" ca="1">IFERROR(INDEX(_xlfn.ANCHORARRAY($AA$11),ROW()-10,6),"")</f>
        <v/>
      </c>
      <c r="G38" s="16" t="str" cm="1">
        <f t="array" aca="1" ref="G38" ca="1">IFERROR(INDEX(_xlfn.ANCHORARRAY($AA$11),ROW()-10,7),"")</f>
        <v/>
      </c>
      <c r="H38" s="16" t="str" cm="1">
        <f t="array" aca="1" ref="H38" ca="1">IFERROR(INDEX(_xlfn.ANCHORARRAY($AA$11),ROW()-10,8),"")</f>
        <v/>
      </c>
      <c r="I38" s="16" t="str" cm="1">
        <f t="array" aca="1" ref="I38" ca="1">IFERROR(INDEX(_xlfn.ANCHORARRAY($AA$11),ROW()-10,9),"")</f>
        <v/>
      </c>
      <c r="J38" s="16" t="str">
        <f t="shared" ca="1" si="0"/>
        <v/>
      </c>
      <c r="K38" s="16" t="str">
        <f t="shared" ca="1" si="1"/>
        <v/>
      </c>
      <c r="L38" s="16" t="str" cm="1">
        <f t="array" aca="1" ref="L38" ca="1">_xlfn.LET(_xlpm.link,IFERROR(INDEX(_xlfn.ANCHORARRAY($AA$11),ROW()-10,12),""),IF(_xlpm.link="","",HYPERLINK(_xlpm.link,"Bluecore/Attentive")))</f>
        <v/>
      </c>
      <c r="M38" s="7"/>
      <c r="N38"/>
      <c r="O38"/>
      <c r="P38"/>
      <c r="Q38"/>
      <c r="R38"/>
      <c r="S38"/>
      <c r="T38" s="6"/>
      <c r="U38" s="6"/>
      <c r="V38" s="6"/>
      <c r="W38" s="6"/>
      <c r="X38" s="6"/>
      <c r="Y38" s="6"/>
      <c r="Z38" s="6"/>
      <c r="AA38" s="43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48" t="str" cm="1">
        <f t="array" aca="1" ref="A39" ca="1">IFERROR(INDEX(_xlfn.ANCHORARRAY($AA$11),ROW()-10,1),"")</f>
        <v/>
      </c>
      <c r="B39" s="24" t="str" cm="1">
        <f t="array" aca="1" ref="B39" ca="1">IFERROR(INDEX(_xlfn.ANCHORARRAY($AA$11),ROW()-10,2),"")</f>
        <v/>
      </c>
      <c r="C39" s="16" t="str" cm="1">
        <f t="array" aca="1" ref="C39" ca="1">IFERROR(INDEX(_xlfn.ANCHORARRAY($AA$11),ROW()-10,3),"")</f>
        <v/>
      </c>
      <c r="D39" s="16" t="str" cm="1">
        <f t="array" aca="1" ref="D39" ca="1">IFERROR(INDEX(_xlfn.ANCHORARRAY($AA$11),ROW()-10,4),"")</f>
        <v/>
      </c>
      <c r="E39" s="16" t="str" cm="1">
        <f t="array" aca="1" ref="E39" ca="1">IFERROR(INDEX(_xlfn.ANCHORARRAY($AA$11),ROW()-10,5),"")</f>
        <v/>
      </c>
      <c r="F39" s="16" t="str" cm="1">
        <f t="array" aca="1" ref="F39" ca="1">IFERROR(INDEX(_xlfn.ANCHORARRAY($AA$11),ROW()-10,6),"")</f>
        <v/>
      </c>
      <c r="G39" s="16" t="str" cm="1">
        <f t="array" aca="1" ref="G39" ca="1">IFERROR(INDEX(_xlfn.ANCHORARRAY($AA$11),ROW()-10,7),"")</f>
        <v/>
      </c>
      <c r="H39" s="16" t="str" cm="1">
        <f t="array" aca="1" ref="H39" ca="1">IFERROR(INDEX(_xlfn.ANCHORARRAY($AA$11),ROW()-10,8),"")</f>
        <v/>
      </c>
      <c r="I39" s="16" t="str" cm="1">
        <f t="array" aca="1" ref="I39" ca="1">IFERROR(INDEX(_xlfn.ANCHORARRAY($AA$11),ROW()-10,9),"")</f>
        <v/>
      </c>
      <c r="J39" s="16" t="str">
        <f t="shared" ca="1" si="0"/>
        <v/>
      </c>
      <c r="K39" s="16" t="str">
        <f t="shared" ca="1" si="1"/>
        <v/>
      </c>
      <c r="L39" s="16" t="str" cm="1">
        <f t="array" aca="1" ref="L39" ca="1">_xlfn.LET(_xlpm.link,IFERROR(INDEX(_xlfn.ANCHORARRAY($AA$11),ROW()-10,12),""),IF(_xlpm.link="","",HYPERLINK(_xlpm.link,"Bluecore/Attentive")))</f>
        <v/>
      </c>
      <c r="M39" s="7"/>
      <c r="N39"/>
      <c r="O39"/>
      <c r="P39"/>
      <c r="Q39"/>
      <c r="R39"/>
      <c r="S39"/>
      <c r="T39" s="6"/>
      <c r="U39" s="6"/>
      <c r="V39" s="6"/>
      <c r="W39" s="6"/>
      <c r="X39" s="6"/>
      <c r="Y39" s="6"/>
      <c r="Z39" s="6"/>
      <c r="AA39" s="43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48" t="str" cm="1">
        <f t="array" aca="1" ref="A40" ca="1">IFERROR(INDEX(_xlfn.ANCHORARRAY($AA$11),ROW()-10,1),"")</f>
        <v/>
      </c>
      <c r="B40" s="24" t="str" cm="1">
        <f t="array" aca="1" ref="B40" ca="1">IFERROR(INDEX(_xlfn.ANCHORARRAY($AA$11),ROW()-10,2),"")</f>
        <v/>
      </c>
      <c r="C40" s="16" t="str" cm="1">
        <f t="array" aca="1" ref="C40" ca="1">IFERROR(INDEX(_xlfn.ANCHORARRAY($AA$11),ROW()-10,3),"")</f>
        <v/>
      </c>
      <c r="D40" s="16" t="str" cm="1">
        <f t="array" aca="1" ref="D40" ca="1">IFERROR(INDEX(_xlfn.ANCHORARRAY($AA$11),ROW()-10,4),"")</f>
        <v/>
      </c>
      <c r="E40" s="16" t="str" cm="1">
        <f t="array" aca="1" ref="E40" ca="1">IFERROR(INDEX(_xlfn.ANCHORARRAY($AA$11),ROW()-10,5),"")</f>
        <v/>
      </c>
      <c r="F40" s="16" t="str" cm="1">
        <f t="array" aca="1" ref="F40" ca="1">IFERROR(INDEX(_xlfn.ANCHORARRAY($AA$11),ROW()-10,6),"")</f>
        <v/>
      </c>
      <c r="G40" s="16" t="str" cm="1">
        <f t="array" aca="1" ref="G40" ca="1">IFERROR(INDEX(_xlfn.ANCHORARRAY($AA$11),ROW()-10,7),"")</f>
        <v/>
      </c>
      <c r="H40" s="16" t="str" cm="1">
        <f t="array" aca="1" ref="H40" ca="1">IFERROR(INDEX(_xlfn.ANCHORARRAY($AA$11),ROW()-10,8),"")</f>
        <v/>
      </c>
      <c r="I40" s="16" t="str" cm="1">
        <f t="array" aca="1" ref="I40" ca="1">IFERROR(INDEX(_xlfn.ANCHORARRAY($AA$11),ROW()-10,9),"")</f>
        <v/>
      </c>
      <c r="J40" s="16" t="str">
        <f t="shared" ca="1" si="0"/>
        <v/>
      </c>
      <c r="K40" s="16" t="str">
        <f t="shared" ca="1" si="1"/>
        <v/>
      </c>
      <c r="L40" s="16" t="str" cm="1">
        <f t="array" aca="1" ref="L40" ca="1">_xlfn.LET(_xlpm.link,IFERROR(INDEX(_xlfn.ANCHORARRAY($AA$11),ROW()-10,12),""),IF(_xlpm.link="","",HYPERLINK(_xlpm.link,"Bluecore/Attentive")))</f>
        <v/>
      </c>
      <c r="M40" s="7"/>
      <c r="N40"/>
      <c r="O40"/>
      <c r="P40"/>
      <c r="Q40"/>
      <c r="R40"/>
      <c r="S40"/>
      <c r="T40" s="6"/>
      <c r="U40" s="6"/>
      <c r="V40" s="6"/>
      <c r="W40" s="6"/>
      <c r="X40" s="6"/>
      <c r="Y40" s="6"/>
      <c r="Z40" s="6"/>
      <c r="AA40" s="43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48" t="str" cm="1">
        <f t="array" aca="1" ref="A41" ca="1">IFERROR(INDEX(_xlfn.ANCHORARRAY($AA$11),ROW()-10,1),"")</f>
        <v/>
      </c>
      <c r="B41" s="24" t="str" cm="1">
        <f t="array" aca="1" ref="B41" ca="1">IFERROR(INDEX(_xlfn.ANCHORARRAY($AA$11),ROW()-10,2),"")</f>
        <v/>
      </c>
      <c r="C41" s="16" t="str" cm="1">
        <f t="array" aca="1" ref="C41" ca="1">IFERROR(INDEX(_xlfn.ANCHORARRAY($AA$11),ROW()-10,3),"")</f>
        <v/>
      </c>
      <c r="D41" s="16" t="str" cm="1">
        <f t="array" aca="1" ref="D41" ca="1">IFERROR(INDEX(_xlfn.ANCHORARRAY($AA$11),ROW()-10,4),"")</f>
        <v/>
      </c>
      <c r="E41" s="16" t="str" cm="1">
        <f t="array" aca="1" ref="E41" ca="1">IFERROR(INDEX(_xlfn.ANCHORARRAY($AA$11),ROW()-10,5),"")</f>
        <v/>
      </c>
      <c r="F41" s="16" t="str" cm="1">
        <f t="array" aca="1" ref="F41" ca="1">IFERROR(INDEX(_xlfn.ANCHORARRAY($AA$11),ROW()-10,6),"")</f>
        <v/>
      </c>
      <c r="G41" s="16" t="str" cm="1">
        <f t="array" aca="1" ref="G41" ca="1">IFERROR(INDEX(_xlfn.ANCHORARRAY($AA$11),ROW()-10,7),"")</f>
        <v/>
      </c>
      <c r="H41" s="16" t="str" cm="1">
        <f t="array" aca="1" ref="H41" ca="1">IFERROR(INDEX(_xlfn.ANCHORARRAY($AA$11),ROW()-10,8),"")</f>
        <v/>
      </c>
      <c r="I41" s="16" t="str" cm="1">
        <f t="array" aca="1" ref="I41" ca="1">IFERROR(INDEX(_xlfn.ANCHORARRAY($AA$11),ROW()-10,9),"")</f>
        <v/>
      </c>
      <c r="J41" s="16" t="str">
        <f t="shared" ca="1" si="0"/>
        <v/>
      </c>
      <c r="K41" s="16" t="str">
        <f t="shared" ca="1" si="1"/>
        <v/>
      </c>
      <c r="L41" s="16" t="str" cm="1">
        <f t="array" aca="1" ref="L41" ca="1">_xlfn.LET(_xlpm.link,IFERROR(INDEX(_xlfn.ANCHORARRAY($AA$11),ROW()-10,12),""),IF(_xlpm.link="","",HYPERLINK(_xlpm.link,"Bluecore/Attentive")))</f>
        <v/>
      </c>
      <c r="M41" s="7"/>
      <c r="N41"/>
      <c r="O41"/>
      <c r="P41"/>
      <c r="Q41"/>
      <c r="R41"/>
      <c r="S41"/>
      <c r="T41" s="6"/>
      <c r="U41" s="6"/>
      <c r="V41" s="6"/>
      <c r="W41" s="6"/>
      <c r="X41" s="6"/>
      <c r="Y41" s="6"/>
      <c r="Z41" s="6"/>
      <c r="AA41" s="43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48" t="str" cm="1">
        <f t="array" aca="1" ref="A42" ca="1">IFERROR(INDEX(_xlfn.ANCHORARRAY($AA$11),ROW()-10,1),"")</f>
        <v/>
      </c>
      <c r="B42" s="24" t="str" cm="1">
        <f t="array" aca="1" ref="B42" ca="1">IFERROR(INDEX(_xlfn.ANCHORARRAY($AA$11),ROW()-10,2),"")</f>
        <v/>
      </c>
      <c r="C42" s="16" t="str" cm="1">
        <f t="array" aca="1" ref="C42" ca="1">IFERROR(INDEX(_xlfn.ANCHORARRAY($AA$11),ROW()-10,3),"")</f>
        <v/>
      </c>
      <c r="D42" s="16" t="str" cm="1">
        <f t="array" aca="1" ref="D42" ca="1">IFERROR(INDEX(_xlfn.ANCHORARRAY($AA$11),ROW()-10,4),"")</f>
        <v/>
      </c>
      <c r="E42" s="16" t="str" cm="1">
        <f t="array" aca="1" ref="E42" ca="1">IFERROR(INDEX(_xlfn.ANCHORARRAY($AA$11),ROW()-10,5),"")</f>
        <v/>
      </c>
      <c r="F42" s="16" t="str" cm="1">
        <f t="array" aca="1" ref="F42" ca="1">IFERROR(INDEX(_xlfn.ANCHORARRAY($AA$11),ROW()-10,6),"")</f>
        <v/>
      </c>
      <c r="G42" s="16" t="str" cm="1">
        <f t="array" aca="1" ref="G42" ca="1">IFERROR(INDEX(_xlfn.ANCHORARRAY($AA$11),ROW()-10,7),"")</f>
        <v/>
      </c>
      <c r="H42" s="16" t="str" cm="1">
        <f t="array" aca="1" ref="H42" ca="1">IFERROR(INDEX(_xlfn.ANCHORARRAY($AA$11),ROW()-10,8),"")</f>
        <v/>
      </c>
      <c r="I42" s="16" t="str" cm="1">
        <f t="array" aca="1" ref="I42" ca="1">IFERROR(INDEX(_xlfn.ANCHORARRAY($AA$11),ROW()-10,9),"")</f>
        <v/>
      </c>
      <c r="J42" s="16" t="str">
        <f t="shared" ca="1" si="0"/>
        <v/>
      </c>
      <c r="K42" s="16" t="str">
        <f t="shared" ca="1" si="1"/>
        <v/>
      </c>
      <c r="L42" s="16" t="str" cm="1">
        <f t="array" aca="1" ref="L42" ca="1">_xlfn.LET(_xlpm.link,IFERROR(INDEX(_xlfn.ANCHORARRAY($AA$11),ROW()-10,12),""),IF(_xlpm.link="","",HYPERLINK(_xlpm.link,"Bluecore/Attentive")))</f>
        <v/>
      </c>
      <c r="M42" s="7"/>
      <c r="N42"/>
      <c r="O42"/>
      <c r="P42"/>
      <c r="Q42"/>
      <c r="R42"/>
      <c r="S42"/>
      <c r="T42" s="6"/>
      <c r="U42" s="6"/>
      <c r="V42" s="6"/>
      <c r="W42" s="6"/>
      <c r="X42" s="6"/>
      <c r="Y42" s="6"/>
      <c r="Z42" s="6"/>
      <c r="AA42" s="43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48" t="str" cm="1">
        <f t="array" aca="1" ref="A43" ca="1">IFERROR(INDEX(_xlfn.ANCHORARRAY($AA$11),ROW()-10,1),"")</f>
        <v/>
      </c>
      <c r="B43" s="24" t="str" cm="1">
        <f t="array" aca="1" ref="B43" ca="1">IFERROR(INDEX(_xlfn.ANCHORARRAY($AA$11),ROW()-10,2),"")</f>
        <v/>
      </c>
      <c r="C43" s="16" t="str" cm="1">
        <f t="array" aca="1" ref="C43" ca="1">IFERROR(INDEX(_xlfn.ANCHORARRAY($AA$11),ROW()-10,3),"")</f>
        <v/>
      </c>
      <c r="D43" s="16" t="str" cm="1">
        <f t="array" aca="1" ref="D43" ca="1">IFERROR(INDEX(_xlfn.ANCHORARRAY($AA$11),ROW()-10,4),"")</f>
        <v/>
      </c>
      <c r="E43" s="16" t="str" cm="1">
        <f t="array" aca="1" ref="E43" ca="1">IFERROR(INDEX(_xlfn.ANCHORARRAY($AA$11),ROW()-10,5),"")</f>
        <v/>
      </c>
      <c r="F43" s="16" t="str" cm="1">
        <f t="array" aca="1" ref="F43" ca="1">IFERROR(INDEX(_xlfn.ANCHORARRAY($AA$11),ROW()-10,6),"")</f>
        <v/>
      </c>
      <c r="G43" s="16" t="str" cm="1">
        <f t="array" aca="1" ref="G43" ca="1">IFERROR(INDEX(_xlfn.ANCHORARRAY($AA$11),ROW()-10,7),"")</f>
        <v/>
      </c>
      <c r="H43" s="16" t="str" cm="1">
        <f t="array" aca="1" ref="H43" ca="1">IFERROR(INDEX(_xlfn.ANCHORARRAY($AA$11),ROW()-10,8),"")</f>
        <v/>
      </c>
      <c r="I43" s="16" t="str" cm="1">
        <f t="array" aca="1" ref="I43" ca="1">IFERROR(INDEX(_xlfn.ANCHORARRAY($AA$11),ROW()-10,9),"")</f>
        <v/>
      </c>
      <c r="J43" s="16" t="str">
        <f t="shared" ref="J43:J74" ca="1" si="2">_xlfn.LET(_xlpm.ch,IFERROR(INDEX(_xlfn.ANCHORARRAY($AA$11),ROW()-10,3),""),_xlpm.link,IFERROR(INDEX(_xlfn.ANCHORARRAY($AA$11),ROW()-10,10),""),IF(OR(_xlpm.link="",_xlpm.ch="SMS"),"",HYPERLINK(_xlpm.link,"JIRA")))</f>
        <v/>
      </c>
      <c r="K43" s="16" t="str">
        <f t="shared" ca="1" si="1"/>
        <v/>
      </c>
      <c r="L43" s="16" t="str" cm="1">
        <f t="array" aca="1" ref="L43" ca="1">_xlfn.LET(_xlpm.link,IFERROR(INDEX(_xlfn.ANCHORARRAY($AA$11),ROW()-10,12),""),IF(_xlpm.link="","",HYPERLINK(_xlpm.link,"Bluecore/Attentive")))</f>
        <v/>
      </c>
      <c r="M43" s="7"/>
      <c r="N43"/>
      <c r="O43"/>
      <c r="P43"/>
      <c r="Q43"/>
      <c r="R43"/>
      <c r="S43"/>
      <c r="T43" s="6"/>
      <c r="U43" s="6"/>
      <c r="V43" s="6"/>
      <c r="W43" s="6"/>
      <c r="X43" s="6"/>
      <c r="Y43" s="6"/>
      <c r="Z43" s="6"/>
      <c r="AA43" s="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48" t="str" cm="1">
        <f t="array" aca="1" ref="A44" ca="1">IFERROR(INDEX(_xlfn.ANCHORARRAY($AA$11),ROW()-10,1),"")</f>
        <v/>
      </c>
      <c r="B44" s="24" t="str" cm="1">
        <f t="array" aca="1" ref="B44" ca="1">IFERROR(INDEX(_xlfn.ANCHORARRAY($AA$11),ROW()-10,2),"")</f>
        <v/>
      </c>
      <c r="C44" s="16" t="str" cm="1">
        <f t="array" aca="1" ref="C44" ca="1">IFERROR(INDEX(_xlfn.ANCHORARRAY($AA$11),ROW()-10,3),"")</f>
        <v/>
      </c>
      <c r="D44" s="16" t="str" cm="1">
        <f t="array" aca="1" ref="D44" ca="1">IFERROR(INDEX(_xlfn.ANCHORARRAY($AA$11),ROW()-10,4),"")</f>
        <v/>
      </c>
      <c r="E44" s="16" t="str" cm="1">
        <f t="array" aca="1" ref="E44" ca="1">IFERROR(INDEX(_xlfn.ANCHORARRAY($AA$11),ROW()-10,5),"")</f>
        <v/>
      </c>
      <c r="F44" s="16" t="str" cm="1">
        <f t="array" aca="1" ref="F44" ca="1">IFERROR(INDEX(_xlfn.ANCHORARRAY($AA$11),ROW()-10,6),"")</f>
        <v/>
      </c>
      <c r="G44" s="16" t="str" cm="1">
        <f t="array" aca="1" ref="G44" ca="1">IFERROR(INDEX(_xlfn.ANCHORARRAY($AA$11),ROW()-10,7),"")</f>
        <v/>
      </c>
      <c r="H44" s="16" t="str" cm="1">
        <f t="array" aca="1" ref="H44" ca="1">IFERROR(INDEX(_xlfn.ANCHORARRAY($AA$11),ROW()-10,8),"")</f>
        <v/>
      </c>
      <c r="I44" s="16" t="str" cm="1">
        <f t="array" aca="1" ref="I44" ca="1">IFERROR(INDEX(_xlfn.ANCHORARRAY($AA$11),ROW()-10,9),"")</f>
        <v/>
      </c>
      <c r="J44" s="16" t="str">
        <f t="shared" ca="1" si="2"/>
        <v/>
      </c>
      <c r="K44" s="16" t="str">
        <f t="shared" ca="1" si="1"/>
        <v/>
      </c>
      <c r="L44" s="16" t="str" cm="1">
        <f t="array" aca="1" ref="L44" ca="1">_xlfn.LET(_xlpm.link,IFERROR(INDEX(_xlfn.ANCHORARRAY($AA$11),ROW()-10,12),""),IF(_xlpm.link="","",HYPERLINK(_xlpm.link,"Bluecore/Attentive")))</f>
        <v/>
      </c>
      <c r="M44" s="7"/>
      <c r="N44"/>
      <c r="O44"/>
      <c r="P44"/>
      <c r="Q44"/>
      <c r="R44"/>
      <c r="S44"/>
      <c r="T44" s="6"/>
      <c r="U44" s="6"/>
      <c r="V44" s="6"/>
      <c r="W44" s="6"/>
      <c r="X44" s="6"/>
      <c r="Y44" s="6"/>
      <c r="Z44" s="6"/>
      <c r="AA44" s="43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48" t="str" cm="1">
        <f t="array" aca="1" ref="A45" ca="1">IFERROR(INDEX(_xlfn.ANCHORARRAY($AA$11),ROW()-10,1),"")</f>
        <v/>
      </c>
      <c r="B45" s="24" t="str" cm="1">
        <f t="array" aca="1" ref="B45" ca="1">IFERROR(INDEX(_xlfn.ANCHORARRAY($AA$11),ROW()-10,2),"")</f>
        <v/>
      </c>
      <c r="C45" s="16" t="str" cm="1">
        <f t="array" aca="1" ref="C45" ca="1">IFERROR(INDEX(_xlfn.ANCHORARRAY($AA$11),ROW()-10,3),"")</f>
        <v/>
      </c>
      <c r="D45" s="16" t="str" cm="1">
        <f t="array" aca="1" ref="D45" ca="1">IFERROR(INDEX(_xlfn.ANCHORARRAY($AA$11),ROW()-10,4),"")</f>
        <v/>
      </c>
      <c r="E45" s="16" t="str" cm="1">
        <f t="array" aca="1" ref="E45" ca="1">IFERROR(INDEX(_xlfn.ANCHORARRAY($AA$11),ROW()-10,5),"")</f>
        <v/>
      </c>
      <c r="F45" s="16" t="str" cm="1">
        <f t="array" aca="1" ref="F45" ca="1">IFERROR(INDEX(_xlfn.ANCHORARRAY($AA$11),ROW()-10,6),"")</f>
        <v/>
      </c>
      <c r="G45" s="16" t="str" cm="1">
        <f t="array" aca="1" ref="G45" ca="1">IFERROR(INDEX(_xlfn.ANCHORARRAY($AA$11),ROW()-10,7),"")</f>
        <v/>
      </c>
      <c r="H45" s="16" t="str" cm="1">
        <f t="array" aca="1" ref="H45" ca="1">IFERROR(INDEX(_xlfn.ANCHORARRAY($AA$11),ROW()-10,8),"")</f>
        <v/>
      </c>
      <c r="I45" s="16" t="str" cm="1">
        <f t="array" aca="1" ref="I45" ca="1">IFERROR(INDEX(_xlfn.ANCHORARRAY($AA$11),ROW()-10,9),"")</f>
        <v/>
      </c>
      <c r="J45" s="16" t="str">
        <f t="shared" ca="1" si="2"/>
        <v/>
      </c>
      <c r="K45" s="16" t="str">
        <f t="shared" ca="1" si="1"/>
        <v/>
      </c>
      <c r="L45" s="16" t="str" cm="1">
        <f t="array" aca="1" ref="L45" ca="1">_xlfn.LET(_xlpm.link,IFERROR(INDEX(_xlfn.ANCHORARRAY($AA$11),ROW()-10,12),""),IF(_xlpm.link="","",HYPERLINK(_xlpm.link,"Bluecore/Attentive")))</f>
        <v/>
      </c>
      <c r="M45" s="7"/>
      <c r="N45" s="7"/>
      <c r="O45" s="7"/>
      <c r="P45" s="7"/>
      <c r="Q45" s="7"/>
      <c r="R45" s="7"/>
      <c r="S45" s="6"/>
      <c r="T45" s="6"/>
      <c r="U45" s="6"/>
      <c r="V45" s="6"/>
      <c r="W45" s="6"/>
      <c r="X45" s="6"/>
      <c r="Y45" s="6"/>
      <c r="Z45" s="6"/>
      <c r="AA45" s="43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48" t="str" cm="1">
        <f t="array" aca="1" ref="A46" ca="1">IFERROR(INDEX(_xlfn.ANCHORARRAY($AA$11),ROW()-10,1),"")</f>
        <v/>
      </c>
      <c r="B46" s="24" t="str" cm="1">
        <f t="array" aca="1" ref="B46" ca="1">IFERROR(INDEX(_xlfn.ANCHORARRAY($AA$11),ROW()-10,2),"")</f>
        <v/>
      </c>
      <c r="C46" s="16" t="str" cm="1">
        <f t="array" aca="1" ref="C46" ca="1">IFERROR(INDEX(_xlfn.ANCHORARRAY($AA$11),ROW()-10,3),"")</f>
        <v/>
      </c>
      <c r="D46" s="16" t="str" cm="1">
        <f t="array" aca="1" ref="D46" ca="1">IFERROR(INDEX(_xlfn.ANCHORARRAY($AA$11),ROW()-10,4),"")</f>
        <v/>
      </c>
      <c r="E46" s="16" t="str" cm="1">
        <f t="array" aca="1" ref="E46" ca="1">IFERROR(INDEX(_xlfn.ANCHORARRAY($AA$11),ROW()-10,5),"")</f>
        <v/>
      </c>
      <c r="F46" s="16" t="str" cm="1">
        <f t="array" aca="1" ref="F46" ca="1">IFERROR(INDEX(_xlfn.ANCHORARRAY($AA$11),ROW()-10,6),"")</f>
        <v/>
      </c>
      <c r="G46" s="16" t="str" cm="1">
        <f t="array" aca="1" ref="G46" ca="1">IFERROR(INDEX(_xlfn.ANCHORARRAY($AA$11),ROW()-10,7),"")</f>
        <v/>
      </c>
      <c r="H46" s="16" t="str" cm="1">
        <f t="array" aca="1" ref="H46" ca="1">IFERROR(INDEX(_xlfn.ANCHORARRAY($AA$11),ROW()-10,8),"")</f>
        <v/>
      </c>
      <c r="I46" s="16" t="str" cm="1">
        <f t="array" aca="1" ref="I46" ca="1">IFERROR(INDEX(_xlfn.ANCHORARRAY($AA$11),ROW()-10,9),"")</f>
        <v/>
      </c>
      <c r="J46" s="16" t="str">
        <f t="shared" ca="1" si="2"/>
        <v/>
      </c>
      <c r="K46" s="16" t="str">
        <f t="shared" ref="K46:K74" ca="1" si="3">_xlfn.LET(_xlpm.ch,IFERROR(INDEX(_xlfn.ANCHORARRAY($AA$11),ROW()-10,3),""),_xlpm.link,IFERROR(INDEX(_xlfn.ANCHORARRAY($AA$11),ROW()-10,11),""),IF(OR(_xlpm.link="",_xlpm.ch="SMS"),"",HYPERLINK(_xlpm.link,"ClickUp")))</f>
        <v/>
      </c>
      <c r="L46" s="16" t="str" cm="1">
        <f t="array" aca="1" ref="L46" ca="1">_xlfn.LET(_xlpm.link,IFERROR(INDEX(_xlfn.ANCHORARRAY($AA$11),ROW()-10,12),""),IF(_xlpm.link="","",HYPERLINK(_xlpm.link,"Bluecore/Attentive")))</f>
        <v/>
      </c>
      <c r="M46" s="7"/>
      <c r="N46" s="7"/>
      <c r="O46" s="7"/>
      <c r="P46" s="7"/>
      <c r="Q46" s="7"/>
      <c r="R46" s="7"/>
      <c r="S46" s="6"/>
      <c r="T46" s="6"/>
      <c r="U46" s="6"/>
      <c r="V46" s="6"/>
      <c r="W46" s="6"/>
      <c r="X46" s="6"/>
      <c r="Y46" s="6"/>
      <c r="Z46" s="6"/>
      <c r="AA46" s="43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48" t="str" cm="1">
        <f t="array" aca="1" ref="A47" ca="1">IFERROR(INDEX(_xlfn.ANCHORARRAY($AA$11),ROW()-10,1),"")</f>
        <v/>
      </c>
      <c r="B47" s="24" t="str" cm="1">
        <f t="array" aca="1" ref="B47" ca="1">IFERROR(INDEX(_xlfn.ANCHORARRAY($AA$11),ROW()-10,2),"")</f>
        <v/>
      </c>
      <c r="C47" s="16" t="str" cm="1">
        <f t="array" aca="1" ref="C47" ca="1">IFERROR(INDEX(_xlfn.ANCHORARRAY($AA$11),ROW()-10,3),"")</f>
        <v/>
      </c>
      <c r="D47" s="16" t="str" cm="1">
        <f t="array" aca="1" ref="D47" ca="1">IFERROR(INDEX(_xlfn.ANCHORARRAY($AA$11),ROW()-10,4),"")</f>
        <v/>
      </c>
      <c r="E47" s="16" t="str" cm="1">
        <f t="array" aca="1" ref="E47" ca="1">IFERROR(INDEX(_xlfn.ANCHORARRAY($AA$11),ROW()-10,5),"")</f>
        <v/>
      </c>
      <c r="F47" s="16" t="str" cm="1">
        <f t="array" aca="1" ref="F47" ca="1">IFERROR(INDEX(_xlfn.ANCHORARRAY($AA$11),ROW()-10,6),"")</f>
        <v/>
      </c>
      <c r="G47" s="16" t="str" cm="1">
        <f t="array" aca="1" ref="G47" ca="1">IFERROR(INDEX(_xlfn.ANCHORARRAY($AA$11),ROW()-10,7),"")</f>
        <v/>
      </c>
      <c r="H47" s="16" t="str" cm="1">
        <f t="array" aca="1" ref="H47" ca="1">IFERROR(INDEX(_xlfn.ANCHORARRAY($AA$11),ROW()-10,8),"")</f>
        <v/>
      </c>
      <c r="I47" s="16" t="str" cm="1">
        <f t="array" aca="1" ref="I47" ca="1">IFERROR(INDEX(_xlfn.ANCHORARRAY($AA$11),ROW()-10,9),"")</f>
        <v/>
      </c>
      <c r="J47" s="16" t="str">
        <f t="shared" ca="1" si="2"/>
        <v/>
      </c>
      <c r="K47" s="16" t="str">
        <f t="shared" ca="1" si="3"/>
        <v/>
      </c>
      <c r="L47" s="16" t="str" cm="1">
        <f t="array" aca="1" ref="L47" ca="1">_xlfn.LET(_xlpm.link,IFERROR(INDEX(_xlfn.ANCHORARRAY($AA$11),ROW()-10,12),""),IF(_xlpm.link="","",HYPERLINK(_xlpm.link,"Bluecore/Attentive")))</f>
        <v/>
      </c>
      <c r="M47" s="7"/>
      <c r="N47" s="7"/>
      <c r="O47" s="7"/>
      <c r="P47" s="7"/>
      <c r="Q47" s="7"/>
      <c r="R47" s="7"/>
      <c r="S47" s="6"/>
      <c r="T47" s="6"/>
      <c r="U47" s="6"/>
      <c r="V47" s="6"/>
      <c r="W47" s="6"/>
      <c r="X47" s="6"/>
      <c r="Y47" s="6"/>
      <c r="Z47" s="6"/>
      <c r="AA47" s="43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48" t="str" cm="1">
        <f t="array" aca="1" ref="A48" ca="1">IFERROR(INDEX(_xlfn.ANCHORARRAY($AA$11),ROW()-10,1),"")</f>
        <v/>
      </c>
      <c r="B48" s="24" t="str" cm="1">
        <f t="array" aca="1" ref="B48" ca="1">IFERROR(INDEX(_xlfn.ANCHORARRAY($AA$11),ROW()-10,2),"")</f>
        <v/>
      </c>
      <c r="C48" s="16" t="str" cm="1">
        <f t="array" aca="1" ref="C48" ca="1">IFERROR(INDEX(_xlfn.ANCHORARRAY($AA$11),ROW()-10,3),"")</f>
        <v/>
      </c>
      <c r="D48" s="16" t="str" cm="1">
        <f t="array" aca="1" ref="D48" ca="1">IFERROR(INDEX(_xlfn.ANCHORARRAY($AA$11),ROW()-10,4),"")</f>
        <v/>
      </c>
      <c r="E48" s="16" t="str" cm="1">
        <f t="array" aca="1" ref="E48" ca="1">IFERROR(INDEX(_xlfn.ANCHORARRAY($AA$11),ROW()-10,5),"")</f>
        <v/>
      </c>
      <c r="F48" s="16" t="str" cm="1">
        <f t="array" aca="1" ref="F48" ca="1">IFERROR(INDEX(_xlfn.ANCHORARRAY($AA$11),ROW()-10,6),"")</f>
        <v/>
      </c>
      <c r="G48" s="16" t="str" cm="1">
        <f t="array" aca="1" ref="G48" ca="1">IFERROR(INDEX(_xlfn.ANCHORARRAY($AA$11),ROW()-10,7),"")</f>
        <v/>
      </c>
      <c r="H48" s="16" t="str" cm="1">
        <f t="array" aca="1" ref="H48" ca="1">IFERROR(INDEX(_xlfn.ANCHORARRAY($AA$11),ROW()-10,8),"")</f>
        <v/>
      </c>
      <c r="I48" s="16" t="str" cm="1">
        <f t="array" aca="1" ref="I48" ca="1">IFERROR(INDEX(_xlfn.ANCHORARRAY($AA$11),ROW()-10,9),"")</f>
        <v/>
      </c>
      <c r="J48" s="16" t="str">
        <f t="shared" ca="1" si="2"/>
        <v/>
      </c>
      <c r="K48" s="16" t="str">
        <f t="shared" ca="1" si="3"/>
        <v/>
      </c>
      <c r="L48" s="16" t="str" cm="1">
        <f t="array" aca="1" ref="L48" ca="1">_xlfn.LET(_xlpm.link,IFERROR(INDEX(_xlfn.ANCHORARRAY($AA$11),ROW()-10,12),""),IF(_xlpm.link="","",HYPERLINK(_xlpm.link,"Bluecore/Attentive")))</f>
        <v/>
      </c>
      <c r="M48" s="7"/>
      <c r="N48" s="7"/>
      <c r="O48" s="7"/>
      <c r="P48" s="7"/>
      <c r="Q48" s="7"/>
      <c r="R48" s="7"/>
      <c r="S48" s="6"/>
      <c r="T48" s="6"/>
      <c r="U48" s="6"/>
      <c r="V48" s="6"/>
      <c r="W48" s="6"/>
      <c r="X48" s="6"/>
      <c r="Y48" s="6"/>
      <c r="Z48" s="6"/>
      <c r="AA48" s="43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48" t="str" cm="1">
        <f t="array" aca="1" ref="A49" ca="1">IFERROR(INDEX(_xlfn.ANCHORARRAY($AA$11),ROW()-10,1),"")</f>
        <v/>
      </c>
      <c r="B49" s="24" t="str" cm="1">
        <f t="array" aca="1" ref="B49" ca="1">IFERROR(INDEX(_xlfn.ANCHORARRAY($AA$11),ROW()-10,2),"")</f>
        <v/>
      </c>
      <c r="C49" s="16" t="str" cm="1">
        <f t="array" aca="1" ref="C49" ca="1">IFERROR(INDEX(_xlfn.ANCHORARRAY($AA$11),ROW()-10,3),"")</f>
        <v/>
      </c>
      <c r="D49" s="16" t="str" cm="1">
        <f t="array" aca="1" ref="D49" ca="1">IFERROR(INDEX(_xlfn.ANCHORARRAY($AA$11),ROW()-10,4),"")</f>
        <v/>
      </c>
      <c r="E49" s="16" t="str" cm="1">
        <f t="array" aca="1" ref="E49" ca="1">IFERROR(INDEX(_xlfn.ANCHORARRAY($AA$11),ROW()-10,5),"")</f>
        <v/>
      </c>
      <c r="F49" s="16" t="str" cm="1">
        <f t="array" aca="1" ref="F49" ca="1">IFERROR(INDEX(_xlfn.ANCHORARRAY($AA$11),ROW()-10,6),"")</f>
        <v/>
      </c>
      <c r="G49" s="16" t="str" cm="1">
        <f t="array" aca="1" ref="G49" ca="1">IFERROR(INDEX(_xlfn.ANCHORARRAY($AA$11),ROW()-10,7),"")</f>
        <v/>
      </c>
      <c r="H49" s="16" t="str" cm="1">
        <f t="array" aca="1" ref="H49" ca="1">IFERROR(INDEX(_xlfn.ANCHORARRAY($AA$11),ROW()-10,8),"")</f>
        <v/>
      </c>
      <c r="I49" s="16" t="str" cm="1">
        <f t="array" aca="1" ref="I49" ca="1">IFERROR(INDEX(_xlfn.ANCHORARRAY($AA$11),ROW()-10,9),"")</f>
        <v/>
      </c>
      <c r="J49" s="16" t="str">
        <f t="shared" ca="1" si="2"/>
        <v/>
      </c>
      <c r="K49" s="16" t="str">
        <f t="shared" ca="1" si="3"/>
        <v/>
      </c>
      <c r="L49" s="16" t="str" cm="1">
        <f t="array" aca="1" ref="L49" ca="1">_xlfn.LET(_xlpm.link,IFERROR(INDEX(_xlfn.ANCHORARRAY($AA$11),ROW()-10,12),""),IF(_xlpm.link="","",HYPERLINK(_xlpm.link,"Bluecore/Attentive")))</f>
        <v/>
      </c>
      <c r="M49" s="7"/>
      <c r="N49" s="7"/>
      <c r="O49" s="7"/>
      <c r="P49" s="7"/>
      <c r="Q49" s="7"/>
      <c r="R49" s="7"/>
      <c r="S49" s="6"/>
      <c r="T49" s="6"/>
      <c r="U49" s="6"/>
      <c r="V49" s="6"/>
      <c r="W49" s="6"/>
      <c r="X49" s="6"/>
      <c r="Y49" s="6"/>
      <c r="Z49" s="6"/>
      <c r="AA49" s="43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48" t="str" cm="1">
        <f t="array" aca="1" ref="A50" ca="1">IFERROR(INDEX(_xlfn.ANCHORARRAY($AA$11),ROW()-10,1),"")</f>
        <v/>
      </c>
      <c r="B50" s="24" t="str" cm="1">
        <f t="array" aca="1" ref="B50" ca="1">IFERROR(INDEX(_xlfn.ANCHORARRAY($AA$11),ROW()-10,2),"")</f>
        <v/>
      </c>
      <c r="C50" s="16" t="str" cm="1">
        <f t="array" aca="1" ref="C50" ca="1">IFERROR(INDEX(_xlfn.ANCHORARRAY($AA$11),ROW()-10,3),"")</f>
        <v/>
      </c>
      <c r="D50" s="16" t="str" cm="1">
        <f t="array" aca="1" ref="D50" ca="1">IFERROR(INDEX(_xlfn.ANCHORARRAY($AA$11),ROW()-10,4),"")</f>
        <v/>
      </c>
      <c r="E50" s="16" t="str" cm="1">
        <f t="array" aca="1" ref="E50" ca="1">IFERROR(INDEX(_xlfn.ANCHORARRAY($AA$11),ROW()-10,5),"")</f>
        <v/>
      </c>
      <c r="F50" s="16" t="str" cm="1">
        <f t="array" aca="1" ref="F50" ca="1">IFERROR(INDEX(_xlfn.ANCHORARRAY($AA$11),ROW()-10,6),"")</f>
        <v/>
      </c>
      <c r="G50" s="16" t="str" cm="1">
        <f t="array" aca="1" ref="G50" ca="1">IFERROR(INDEX(_xlfn.ANCHORARRAY($AA$11),ROW()-10,7),"")</f>
        <v/>
      </c>
      <c r="H50" s="16" t="str" cm="1">
        <f t="array" aca="1" ref="H50" ca="1">IFERROR(INDEX(_xlfn.ANCHORARRAY($AA$11),ROW()-10,8),"")</f>
        <v/>
      </c>
      <c r="I50" s="16" t="str" cm="1">
        <f t="array" aca="1" ref="I50" ca="1">IFERROR(INDEX(_xlfn.ANCHORARRAY($AA$11),ROW()-10,9),"")</f>
        <v/>
      </c>
      <c r="J50" s="16" t="str">
        <f t="shared" ca="1" si="2"/>
        <v/>
      </c>
      <c r="K50" s="16" t="str">
        <f t="shared" ca="1" si="3"/>
        <v/>
      </c>
      <c r="L50" s="16" t="str" cm="1">
        <f t="array" aca="1" ref="L50" ca="1">_xlfn.LET(_xlpm.link,IFERROR(INDEX(_xlfn.ANCHORARRAY($AA$11),ROW()-10,12),""),IF(_xlpm.link="","",HYPERLINK(_xlpm.link,"Bluecore/Attentive")))</f>
        <v/>
      </c>
      <c r="M50" s="7"/>
      <c r="N50" s="7"/>
      <c r="O50" s="7"/>
      <c r="P50" s="7"/>
      <c r="Q50" s="7"/>
      <c r="R50" s="7"/>
      <c r="S50" s="6"/>
      <c r="T50" s="6"/>
      <c r="U50" s="6"/>
      <c r="V50" s="6"/>
      <c r="W50" s="6"/>
      <c r="X50" s="6"/>
      <c r="Y50" s="6"/>
      <c r="Z50" s="6"/>
      <c r="AA50" s="43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48" t="str" cm="1">
        <f t="array" aca="1" ref="A51" ca="1">IFERROR(INDEX(_xlfn.ANCHORARRAY($AA$11),ROW()-10,1),"")</f>
        <v/>
      </c>
      <c r="B51" s="24" t="str" cm="1">
        <f t="array" aca="1" ref="B51" ca="1">IFERROR(INDEX(_xlfn.ANCHORARRAY($AA$11),ROW()-10,2),"")</f>
        <v/>
      </c>
      <c r="C51" s="16" t="str" cm="1">
        <f t="array" aca="1" ref="C51" ca="1">IFERROR(INDEX(_xlfn.ANCHORARRAY($AA$11),ROW()-10,3),"")</f>
        <v/>
      </c>
      <c r="D51" s="16" t="str" cm="1">
        <f t="array" aca="1" ref="D51" ca="1">IFERROR(INDEX(_xlfn.ANCHORARRAY($AA$11),ROW()-10,4),"")</f>
        <v/>
      </c>
      <c r="E51" s="16" t="str" cm="1">
        <f t="array" aca="1" ref="E51" ca="1">IFERROR(INDEX(_xlfn.ANCHORARRAY($AA$11),ROW()-10,5),"")</f>
        <v/>
      </c>
      <c r="F51" s="16" t="str" cm="1">
        <f t="array" aca="1" ref="F51" ca="1">IFERROR(INDEX(_xlfn.ANCHORARRAY($AA$11),ROW()-10,6),"")</f>
        <v/>
      </c>
      <c r="G51" s="16" t="str" cm="1">
        <f t="array" aca="1" ref="G51" ca="1">IFERROR(INDEX(_xlfn.ANCHORARRAY($AA$11),ROW()-10,7),"")</f>
        <v/>
      </c>
      <c r="H51" s="16" t="str" cm="1">
        <f t="array" aca="1" ref="H51" ca="1">IFERROR(INDEX(_xlfn.ANCHORARRAY($AA$11),ROW()-10,8),"")</f>
        <v/>
      </c>
      <c r="I51" s="16" t="str" cm="1">
        <f t="array" aca="1" ref="I51" ca="1">IFERROR(INDEX(_xlfn.ANCHORARRAY($AA$11),ROW()-10,9),"")</f>
        <v/>
      </c>
      <c r="J51" s="16" t="str">
        <f t="shared" ca="1" si="2"/>
        <v/>
      </c>
      <c r="K51" s="16" t="str">
        <f t="shared" ca="1" si="3"/>
        <v/>
      </c>
      <c r="L51" s="16" t="str" cm="1">
        <f t="array" aca="1" ref="L51" ca="1">_xlfn.LET(_xlpm.link,IFERROR(INDEX(_xlfn.ANCHORARRAY($AA$11),ROW()-10,12),""),IF(_xlpm.link="","",HYPERLINK(_xlpm.link,"Bluecore/Attentive")))</f>
        <v/>
      </c>
      <c r="M51" s="7"/>
      <c r="N51" s="7"/>
      <c r="O51" s="7"/>
      <c r="P51" s="7"/>
      <c r="Q51" s="7"/>
      <c r="R51" s="7"/>
      <c r="S51" s="6"/>
      <c r="T51" s="6"/>
      <c r="U51" s="6"/>
      <c r="V51" s="6"/>
      <c r="W51" s="6"/>
      <c r="X51" s="6"/>
      <c r="Y51" s="6"/>
      <c r="Z51" s="6"/>
      <c r="AA51" s="43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48" t="str" cm="1">
        <f t="array" aca="1" ref="A52" ca="1">IFERROR(INDEX(_xlfn.ANCHORARRAY($AA$11),ROW()-10,1),"")</f>
        <v/>
      </c>
      <c r="B52" s="24" t="str" cm="1">
        <f t="array" aca="1" ref="B52" ca="1">IFERROR(INDEX(_xlfn.ANCHORARRAY($AA$11),ROW()-10,2),"")</f>
        <v/>
      </c>
      <c r="C52" s="16" t="str" cm="1">
        <f t="array" aca="1" ref="C52" ca="1">IFERROR(INDEX(_xlfn.ANCHORARRAY($AA$11),ROW()-10,3),"")</f>
        <v/>
      </c>
      <c r="D52" s="16" t="str" cm="1">
        <f t="array" aca="1" ref="D52" ca="1">IFERROR(INDEX(_xlfn.ANCHORARRAY($AA$11),ROW()-10,4),"")</f>
        <v/>
      </c>
      <c r="E52" s="16" t="str" cm="1">
        <f t="array" aca="1" ref="E52" ca="1">IFERROR(INDEX(_xlfn.ANCHORARRAY($AA$11),ROW()-10,5),"")</f>
        <v/>
      </c>
      <c r="F52" s="16" t="str" cm="1">
        <f t="array" aca="1" ref="F52" ca="1">IFERROR(INDEX(_xlfn.ANCHORARRAY($AA$11),ROW()-10,6),"")</f>
        <v/>
      </c>
      <c r="G52" s="16" t="str" cm="1">
        <f t="array" aca="1" ref="G52" ca="1">IFERROR(INDEX(_xlfn.ANCHORARRAY($AA$11),ROW()-10,7),"")</f>
        <v/>
      </c>
      <c r="H52" s="16" t="str" cm="1">
        <f t="array" aca="1" ref="H52" ca="1">IFERROR(INDEX(_xlfn.ANCHORARRAY($AA$11),ROW()-10,8),"")</f>
        <v/>
      </c>
      <c r="I52" s="16" t="str" cm="1">
        <f t="array" aca="1" ref="I52" ca="1">IFERROR(INDEX(_xlfn.ANCHORARRAY($AA$11),ROW()-10,9),"")</f>
        <v/>
      </c>
      <c r="J52" s="16" t="str">
        <f t="shared" ca="1" si="2"/>
        <v/>
      </c>
      <c r="K52" s="16" t="str">
        <f t="shared" ca="1" si="3"/>
        <v/>
      </c>
      <c r="L52" s="16" t="str" cm="1">
        <f t="array" aca="1" ref="L52" ca="1">_xlfn.LET(_xlpm.link,IFERROR(INDEX(_xlfn.ANCHORARRAY($AA$11),ROW()-10,12),""),IF(_xlpm.link="","",HYPERLINK(_xlpm.link,"Bluecore/Attentive")))</f>
        <v/>
      </c>
      <c r="M52" s="7"/>
      <c r="N52" s="7"/>
      <c r="O52" s="7"/>
      <c r="P52" s="7"/>
      <c r="Q52" s="7"/>
      <c r="R52" s="7"/>
      <c r="S52" s="6"/>
      <c r="T52" s="6"/>
      <c r="U52" s="6"/>
      <c r="V52" s="6"/>
      <c r="W52" s="6"/>
      <c r="X52" s="6"/>
      <c r="Y52" s="6"/>
      <c r="Z52" s="6"/>
      <c r="AA52" s="43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48" t="str" cm="1">
        <f t="array" aca="1" ref="A53" ca="1">IFERROR(INDEX(_xlfn.ANCHORARRAY($AA$11),ROW()-10,1),"")</f>
        <v/>
      </c>
      <c r="B53" s="24" t="str" cm="1">
        <f t="array" aca="1" ref="B53" ca="1">IFERROR(INDEX(_xlfn.ANCHORARRAY($AA$11),ROW()-10,2),"")</f>
        <v/>
      </c>
      <c r="C53" s="16" t="str" cm="1">
        <f t="array" aca="1" ref="C53" ca="1">IFERROR(INDEX(_xlfn.ANCHORARRAY($AA$11),ROW()-10,3),"")</f>
        <v/>
      </c>
      <c r="D53" s="16" t="str" cm="1">
        <f t="array" aca="1" ref="D53" ca="1">IFERROR(INDEX(_xlfn.ANCHORARRAY($AA$11),ROW()-10,4),"")</f>
        <v/>
      </c>
      <c r="E53" s="16" t="str" cm="1">
        <f t="array" aca="1" ref="E53" ca="1">IFERROR(INDEX(_xlfn.ANCHORARRAY($AA$11),ROW()-10,5),"")</f>
        <v/>
      </c>
      <c r="F53" s="16" t="str" cm="1">
        <f t="array" aca="1" ref="F53" ca="1">IFERROR(INDEX(_xlfn.ANCHORARRAY($AA$11),ROW()-10,6),"")</f>
        <v/>
      </c>
      <c r="G53" s="16" t="str" cm="1">
        <f t="array" aca="1" ref="G53" ca="1">IFERROR(INDEX(_xlfn.ANCHORARRAY($AA$11),ROW()-10,7),"")</f>
        <v/>
      </c>
      <c r="H53" s="16" t="str" cm="1">
        <f t="array" aca="1" ref="H53" ca="1">IFERROR(INDEX(_xlfn.ANCHORARRAY($AA$11),ROW()-10,8),"")</f>
        <v/>
      </c>
      <c r="I53" s="16" t="str" cm="1">
        <f t="array" aca="1" ref="I53" ca="1">IFERROR(INDEX(_xlfn.ANCHORARRAY($AA$11),ROW()-10,9),"")</f>
        <v/>
      </c>
      <c r="J53" s="16" t="str">
        <f t="shared" ca="1" si="2"/>
        <v/>
      </c>
      <c r="K53" s="16" t="str">
        <f t="shared" ca="1" si="3"/>
        <v/>
      </c>
      <c r="L53" s="16" t="str" cm="1">
        <f t="array" aca="1" ref="L53" ca="1">_xlfn.LET(_xlpm.link,IFERROR(INDEX(_xlfn.ANCHORARRAY($AA$11),ROW()-10,12),""),IF(_xlpm.link="","",HYPERLINK(_xlpm.link,"Bluecore/Attentive")))</f>
        <v/>
      </c>
      <c r="M53" s="7"/>
      <c r="N53" s="7"/>
      <c r="O53" s="7"/>
      <c r="P53" s="7"/>
      <c r="Q53" s="7"/>
      <c r="R53" s="7"/>
      <c r="S53" s="6"/>
      <c r="T53" s="6"/>
      <c r="U53" s="6"/>
      <c r="V53" s="6"/>
      <c r="W53" s="6"/>
      <c r="X53" s="6"/>
      <c r="Y53" s="6"/>
      <c r="Z53" s="6"/>
      <c r="AA53" s="4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48" t="str" cm="1">
        <f t="array" aca="1" ref="A54" ca="1">IFERROR(INDEX(_xlfn.ANCHORARRAY($AA$11),ROW()-10,1),"")</f>
        <v/>
      </c>
      <c r="B54" s="24" t="str" cm="1">
        <f t="array" aca="1" ref="B54" ca="1">IFERROR(INDEX(_xlfn.ANCHORARRAY($AA$11),ROW()-10,2),"")</f>
        <v/>
      </c>
      <c r="C54" s="16" t="str" cm="1">
        <f t="array" aca="1" ref="C54" ca="1">IFERROR(INDEX(_xlfn.ANCHORARRAY($AA$11),ROW()-10,3),"")</f>
        <v/>
      </c>
      <c r="D54" s="16" t="str" cm="1">
        <f t="array" aca="1" ref="D54" ca="1">IFERROR(INDEX(_xlfn.ANCHORARRAY($AA$11),ROW()-10,4),"")</f>
        <v/>
      </c>
      <c r="E54" s="16" t="str" cm="1">
        <f t="array" aca="1" ref="E54" ca="1">IFERROR(INDEX(_xlfn.ANCHORARRAY($AA$11),ROW()-10,5),"")</f>
        <v/>
      </c>
      <c r="F54" s="16" t="str" cm="1">
        <f t="array" aca="1" ref="F54" ca="1">IFERROR(INDEX(_xlfn.ANCHORARRAY($AA$11),ROW()-10,6),"")</f>
        <v/>
      </c>
      <c r="G54" s="16" t="str" cm="1">
        <f t="array" aca="1" ref="G54" ca="1">IFERROR(INDEX(_xlfn.ANCHORARRAY($AA$11),ROW()-10,7),"")</f>
        <v/>
      </c>
      <c r="H54" s="16" t="str" cm="1">
        <f t="array" aca="1" ref="H54" ca="1">IFERROR(INDEX(_xlfn.ANCHORARRAY($AA$11),ROW()-10,8),"")</f>
        <v/>
      </c>
      <c r="I54" s="16" t="str" cm="1">
        <f t="array" aca="1" ref="I54" ca="1">IFERROR(INDEX(_xlfn.ANCHORARRAY($AA$11),ROW()-10,9),"")</f>
        <v/>
      </c>
      <c r="J54" s="16" t="str">
        <f t="shared" ca="1" si="2"/>
        <v/>
      </c>
      <c r="K54" s="16" t="str">
        <f t="shared" ca="1" si="3"/>
        <v/>
      </c>
      <c r="L54" s="16" t="str" cm="1">
        <f t="array" aca="1" ref="L54" ca="1">_xlfn.LET(_xlpm.link,IFERROR(INDEX(_xlfn.ANCHORARRAY($AA$11),ROW()-10,12),""),IF(_xlpm.link="","",HYPERLINK(_xlpm.link,"Bluecore/Attentive")))</f>
        <v/>
      </c>
      <c r="M54" s="7"/>
      <c r="N54" s="7"/>
      <c r="O54" s="7"/>
      <c r="P54" s="7"/>
      <c r="Q54" s="7"/>
      <c r="R54" s="7"/>
      <c r="S54" s="6"/>
      <c r="T54" s="6"/>
      <c r="U54" s="6"/>
      <c r="V54" s="6"/>
      <c r="W54" s="6"/>
      <c r="X54" s="6"/>
      <c r="Y54" s="6"/>
      <c r="Z54" s="6"/>
      <c r="AA54" s="43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48" t="str" cm="1">
        <f t="array" aca="1" ref="A55" ca="1">IFERROR(INDEX(_xlfn.ANCHORARRAY($AA$11),ROW()-10,1),"")</f>
        <v/>
      </c>
      <c r="B55" s="24" t="str" cm="1">
        <f t="array" aca="1" ref="B55" ca="1">IFERROR(INDEX(_xlfn.ANCHORARRAY($AA$11),ROW()-10,2),"")</f>
        <v/>
      </c>
      <c r="C55" s="16" t="str" cm="1">
        <f t="array" aca="1" ref="C55" ca="1">IFERROR(INDEX(_xlfn.ANCHORARRAY($AA$11),ROW()-10,3),"")</f>
        <v/>
      </c>
      <c r="D55" s="16" t="str" cm="1">
        <f t="array" aca="1" ref="D55" ca="1">IFERROR(INDEX(_xlfn.ANCHORARRAY($AA$11),ROW()-10,4),"")</f>
        <v/>
      </c>
      <c r="E55" s="16" t="str" cm="1">
        <f t="array" aca="1" ref="E55" ca="1">IFERROR(INDEX(_xlfn.ANCHORARRAY($AA$11),ROW()-10,5),"")</f>
        <v/>
      </c>
      <c r="F55" s="16" t="str" cm="1">
        <f t="array" aca="1" ref="F55" ca="1">IFERROR(INDEX(_xlfn.ANCHORARRAY($AA$11),ROW()-10,6),"")</f>
        <v/>
      </c>
      <c r="G55" s="16" t="str" cm="1">
        <f t="array" aca="1" ref="G55" ca="1">IFERROR(INDEX(_xlfn.ANCHORARRAY($AA$11),ROW()-10,7),"")</f>
        <v/>
      </c>
      <c r="H55" s="16" t="str" cm="1">
        <f t="array" aca="1" ref="H55" ca="1">IFERROR(INDEX(_xlfn.ANCHORARRAY($AA$11),ROW()-10,8),"")</f>
        <v/>
      </c>
      <c r="I55" s="16" t="str" cm="1">
        <f t="array" aca="1" ref="I55" ca="1">IFERROR(INDEX(_xlfn.ANCHORARRAY($AA$11),ROW()-10,9),"")</f>
        <v/>
      </c>
      <c r="J55" s="16" t="str">
        <f t="shared" ca="1" si="2"/>
        <v/>
      </c>
      <c r="K55" s="16" t="str">
        <f t="shared" ca="1" si="3"/>
        <v/>
      </c>
      <c r="L55" s="16" t="str" cm="1">
        <f t="array" aca="1" ref="L55" ca="1">_xlfn.LET(_xlpm.link,IFERROR(INDEX(_xlfn.ANCHORARRAY($AA$11),ROW()-10,12),""),IF(_xlpm.link="","",HYPERLINK(_xlpm.link,"Bluecore/Attentive")))</f>
        <v/>
      </c>
      <c r="M55" s="7"/>
      <c r="N55" s="7"/>
      <c r="O55" s="7"/>
      <c r="P55" s="7"/>
      <c r="Q55" s="7"/>
      <c r="R55" s="7"/>
      <c r="S55" s="6"/>
      <c r="T55" s="6"/>
      <c r="U55" s="6"/>
      <c r="V55" s="6"/>
      <c r="W55" s="6"/>
      <c r="X55" s="6"/>
      <c r="Y55" s="6"/>
      <c r="Z55" s="6"/>
      <c r="AA55" s="43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48" t="str" cm="1">
        <f t="array" aca="1" ref="A56" ca="1">IFERROR(INDEX(_xlfn.ANCHORARRAY($AA$11),ROW()-10,1),"")</f>
        <v/>
      </c>
      <c r="B56" s="24" t="str" cm="1">
        <f t="array" aca="1" ref="B56" ca="1">IFERROR(INDEX(_xlfn.ANCHORARRAY($AA$11),ROW()-10,2),"")</f>
        <v/>
      </c>
      <c r="C56" s="16" t="str" cm="1">
        <f t="array" aca="1" ref="C56" ca="1">IFERROR(INDEX(_xlfn.ANCHORARRAY($AA$11),ROW()-10,3),"")</f>
        <v/>
      </c>
      <c r="D56" s="16" t="str" cm="1">
        <f t="array" aca="1" ref="D56" ca="1">IFERROR(INDEX(_xlfn.ANCHORARRAY($AA$11),ROW()-10,4),"")</f>
        <v/>
      </c>
      <c r="E56" s="16" t="str" cm="1">
        <f t="array" aca="1" ref="E56" ca="1">IFERROR(INDEX(_xlfn.ANCHORARRAY($AA$11),ROW()-10,5),"")</f>
        <v/>
      </c>
      <c r="F56" s="16" t="str" cm="1">
        <f t="array" aca="1" ref="F56" ca="1">IFERROR(INDEX(_xlfn.ANCHORARRAY($AA$11),ROW()-10,6),"")</f>
        <v/>
      </c>
      <c r="G56" s="16" t="str" cm="1">
        <f t="array" aca="1" ref="G56" ca="1">IFERROR(INDEX(_xlfn.ANCHORARRAY($AA$11),ROW()-10,7),"")</f>
        <v/>
      </c>
      <c r="H56" s="16" t="str" cm="1">
        <f t="array" aca="1" ref="H56" ca="1">IFERROR(INDEX(_xlfn.ANCHORARRAY($AA$11),ROW()-10,8),"")</f>
        <v/>
      </c>
      <c r="I56" s="16" t="str" cm="1">
        <f t="array" aca="1" ref="I56" ca="1">IFERROR(INDEX(_xlfn.ANCHORARRAY($AA$11),ROW()-10,9),"")</f>
        <v/>
      </c>
      <c r="J56" s="16" t="str">
        <f t="shared" ca="1" si="2"/>
        <v/>
      </c>
      <c r="K56" s="16" t="str">
        <f t="shared" ca="1" si="3"/>
        <v/>
      </c>
      <c r="L56" s="16" t="str" cm="1">
        <f t="array" aca="1" ref="L56" ca="1">_xlfn.LET(_xlpm.link,IFERROR(INDEX(_xlfn.ANCHORARRAY($AA$11),ROW()-10,12),""),IF(_xlpm.link="","",HYPERLINK(_xlpm.link,"Bluecore/Attentive")))</f>
        <v/>
      </c>
      <c r="M56" s="7"/>
      <c r="N56" s="7"/>
      <c r="O56" s="7"/>
      <c r="P56" s="7"/>
      <c r="Q56" s="7"/>
      <c r="R56" s="7"/>
      <c r="S56" s="6"/>
      <c r="T56" s="6"/>
      <c r="U56" s="6"/>
      <c r="V56" s="6"/>
      <c r="W56" s="6"/>
      <c r="X56" s="6"/>
      <c r="Y56" s="6"/>
      <c r="Z56" s="6"/>
      <c r="AA56" s="43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48" t="str" cm="1">
        <f t="array" aca="1" ref="A57" ca="1">IFERROR(INDEX(_xlfn.ANCHORARRAY($AA$11),ROW()-10,1),"")</f>
        <v/>
      </c>
      <c r="B57" s="24" t="str" cm="1">
        <f t="array" aca="1" ref="B57" ca="1">IFERROR(INDEX(_xlfn.ANCHORARRAY($AA$11),ROW()-10,2),"")</f>
        <v/>
      </c>
      <c r="C57" s="16" t="str" cm="1">
        <f t="array" aca="1" ref="C57" ca="1">IFERROR(INDEX(_xlfn.ANCHORARRAY($AA$11),ROW()-10,3),"")</f>
        <v/>
      </c>
      <c r="D57" s="16" t="str" cm="1">
        <f t="array" aca="1" ref="D57" ca="1">IFERROR(INDEX(_xlfn.ANCHORARRAY($AA$11),ROW()-10,4),"")</f>
        <v/>
      </c>
      <c r="E57" s="16" t="str" cm="1">
        <f t="array" aca="1" ref="E57" ca="1">IFERROR(INDEX(_xlfn.ANCHORARRAY($AA$11),ROW()-10,5),"")</f>
        <v/>
      </c>
      <c r="F57" s="16" t="str" cm="1">
        <f t="array" aca="1" ref="F57" ca="1">IFERROR(INDEX(_xlfn.ANCHORARRAY($AA$11),ROW()-10,6),"")</f>
        <v/>
      </c>
      <c r="G57" s="16" t="str" cm="1">
        <f t="array" aca="1" ref="G57" ca="1">IFERROR(INDEX(_xlfn.ANCHORARRAY($AA$11),ROW()-10,7),"")</f>
        <v/>
      </c>
      <c r="H57" s="16" t="str" cm="1">
        <f t="array" aca="1" ref="H57" ca="1">IFERROR(INDEX(_xlfn.ANCHORARRAY($AA$11),ROW()-10,8),"")</f>
        <v/>
      </c>
      <c r="I57" s="16" t="str" cm="1">
        <f t="array" aca="1" ref="I57" ca="1">IFERROR(INDEX(_xlfn.ANCHORARRAY($AA$11),ROW()-10,9),"")</f>
        <v/>
      </c>
      <c r="J57" s="16" t="str">
        <f t="shared" ca="1" si="2"/>
        <v/>
      </c>
      <c r="K57" s="16" t="str">
        <f t="shared" ca="1" si="3"/>
        <v/>
      </c>
      <c r="L57" s="16" t="str" cm="1">
        <f t="array" aca="1" ref="L57" ca="1">_xlfn.LET(_xlpm.link,IFERROR(INDEX(_xlfn.ANCHORARRAY($AA$11),ROW()-10,12),""),IF(_xlpm.link="","",HYPERLINK(_xlpm.link,"Bluecore/Attentive")))</f>
        <v/>
      </c>
      <c r="M57" s="7"/>
      <c r="N57" s="7"/>
      <c r="O57" s="7"/>
      <c r="P57" s="7"/>
      <c r="Q57" s="7"/>
      <c r="R57" s="7"/>
      <c r="S57" s="6"/>
      <c r="T57" s="6"/>
      <c r="U57" s="6"/>
      <c r="V57" s="6"/>
      <c r="W57" s="6"/>
      <c r="X57" s="6"/>
      <c r="Y57" s="6"/>
      <c r="Z57" s="6"/>
      <c r="AA57" s="43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48" t="str" cm="1">
        <f t="array" aca="1" ref="A58" ca="1">IFERROR(INDEX(_xlfn.ANCHORARRAY($AA$11),ROW()-10,1),"")</f>
        <v/>
      </c>
      <c r="B58" s="24" t="str" cm="1">
        <f t="array" aca="1" ref="B58" ca="1">IFERROR(INDEX(_xlfn.ANCHORARRAY($AA$11),ROW()-10,2),"")</f>
        <v/>
      </c>
      <c r="C58" s="16" t="str" cm="1">
        <f t="array" aca="1" ref="C58" ca="1">IFERROR(INDEX(_xlfn.ANCHORARRAY($AA$11),ROW()-10,3),"")</f>
        <v/>
      </c>
      <c r="D58" s="16" t="str" cm="1">
        <f t="array" aca="1" ref="D58" ca="1">IFERROR(INDEX(_xlfn.ANCHORARRAY($AA$11),ROW()-10,4),"")</f>
        <v/>
      </c>
      <c r="E58" s="16" t="str" cm="1">
        <f t="array" aca="1" ref="E58" ca="1">IFERROR(INDEX(_xlfn.ANCHORARRAY($AA$11),ROW()-10,5),"")</f>
        <v/>
      </c>
      <c r="F58" s="16" t="str" cm="1">
        <f t="array" aca="1" ref="F58" ca="1">IFERROR(INDEX(_xlfn.ANCHORARRAY($AA$11),ROW()-10,6),"")</f>
        <v/>
      </c>
      <c r="G58" s="16" t="str" cm="1">
        <f t="array" aca="1" ref="G58" ca="1">IFERROR(INDEX(_xlfn.ANCHORARRAY($AA$11),ROW()-10,7),"")</f>
        <v/>
      </c>
      <c r="H58" s="16" t="str" cm="1">
        <f t="array" aca="1" ref="H58" ca="1">IFERROR(INDEX(_xlfn.ANCHORARRAY($AA$11),ROW()-10,8),"")</f>
        <v/>
      </c>
      <c r="I58" s="16" t="str" cm="1">
        <f t="array" aca="1" ref="I58" ca="1">IFERROR(INDEX(_xlfn.ANCHORARRAY($AA$11),ROW()-10,9),"")</f>
        <v/>
      </c>
      <c r="J58" s="16" t="str">
        <f t="shared" ca="1" si="2"/>
        <v/>
      </c>
      <c r="K58" s="16" t="str">
        <f t="shared" ca="1" si="3"/>
        <v/>
      </c>
      <c r="L58" s="16" t="str" cm="1">
        <f t="array" aca="1" ref="L58" ca="1">_xlfn.LET(_xlpm.link,IFERROR(INDEX(_xlfn.ANCHORARRAY($AA$11),ROW()-10,12),""),IF(_xlpm.link="","",HYPERLINK(_xlpm.link,"Bluecore/Attentive")))</f>
        <v/>
      </c>
      <c r="M58" s="7"/>
      <c r="N58" s="7"/>
      <c r="O58" s="7"/>
      <c r="P58" s="7"/>
      <c r="Q58" s="7"/>
      <c r="R58" s="7"/>
      <c r="S58" s="6"/>
      <c r="T58" s="6"/>
      <c r="U58" s="6"/>
      <c r="V58" s="6"/>
      <c r="W58" s="6"/>
      <c r="X58" s="6"/>
      <c r="Y58" s="6"/>
      <c r="Z58" s="6"/>
      <c r="AA58" s="43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48" t="str" cm="1">
        <f t="array" aca="1" ref="A59" ca="1">IFERROR(INDEX(_xlfn.ANCHORARRAY($AA$11),ROW()-10,1),"")</f>
        <v/>
      </c>
      <c r="B59" s="24" t="str" cm="1">
        <f t="array" aca="1" ref="B59" ca="1">IFERROR(INDEX(_xlfn.ANCHORARRAY($AA$11),ROW()-10,2),"")</f>
        <v/>
      </c>
      <c r="C59" s="16" t="str" cm="1">
        <f t="array" aca="1" ref="C59" ca="1">IFERROR(INDEX(_xlfn.ANCHORARRAY($AA$11),ROW()-10,3),"")</f>
        <v/>
      </c>
      <c r="D59" s="16" t="str" cm="1">
        <f t="array" aca="1" ref="D59" ca="1">IFERROR(INDEX(_xlfn.ANCHORARRAY($AA$11),ROW()-10,4),"")</f>
        <v/>
      </c>
      <c r="E59" s="16" t="str" cm="1">
        <f t="array" aca="1" ref="E59" ca="1">IFERROR(INDEX(_xlfn.ANCHORARRAY($AA$11),ROW()-10,5),"")</f>
        <v/>
      </c>
      <c r="F59" s="16" t="str" cm="1">
        <f t="array" aca="1" ref="F59" ca="1">IFERROR(INDEX(_xlfn.ANCHORARRAY($AA$11),ROW()-10,6),"")</f>
        <v/>
      </c>
      <c r="G59" s="16" t="str" cm="1">
        <f t="array" aca="1" ref="G59" ca="1">IFERROR(INDEX(_xlfn.ANCHORARRAY($AA$11),ROW()-10,7),"")</f>
        <v/>
      </c>
      <c r="H59" s="16" t="str" cm="1">
        <f t="array" aca="1" ref="H59" ca="1">IFERROR(INDEX(_xlfn.ANCHORARRAY($AA$11),ROW()-10,8),"")</f>
        <v/>
      </c>
      <c r="I59" s="16" t="str" cm="1">
        <f t="array" aca="1" ref="I59" ca="1">IFERROR(INDEX(_xlfn.ANCHORARRAY($AA$11),ROW()-10,9),"")</f>
        <v/>
      </c>
      <c r="J59" s="16" t="str">
        <f t="shared" ca="1" si="2"/>
        <v/>
      </c>
      <c r="K59" s="16" t="str">
        <f t="shared" ca="1" si="3"/>
        <v/>
      </c>
      <c r="L59" s="16" t="str" cm="1">
        <f t="array" aca="1" ref="L59" ca="1">_xlfn.LET(_xlpm.link,IFERROR(INDEX(_xlfn.ANCHORARRAY($AA$11),ROW()-10,12),""),IF(_xlpm.link="","",HYPERLINK(_xlpm.link,"Bluecore/Attentive")))</f>
        <v/>
      </c>
      <c r="M59" s="7"/>
      <c r="N59" s="7"/>
      <c r="O59" s="7"/>
      <c r="P59" s="7"/>
      <c r="Q59" s="7"/>
      <c r="R59" s="7"/>
      <c r="S59" s="6"/>
      <c r="T59" s="6"/>
      <c r="U59" s="6"/>
      <c r="V59" s="6"/>
      <c r="W59" s="6"/>
      <c r="X59" s="6"/>
      <c r="Y59" s="6"/>
      <c r="Z59" s="6"/>
      <c r="AA59" s="43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48" t="str" cm="1">
        <f t="array" aca="1" ref="A60" ca="1">IFERROR(INDEX(_xlfn.ANCHORARRAY($AA$11),ROW()-10,1),"")</f>
        <v/>
      </c>
      <c r="B60" s="24" t="str" cm="1">
        <f t="array" aca="1" ref="B60" ca="1">IFERROR(INDEX(_xlfn.ANCHORARRAY($AA$11),ROW()-10,2),"")</f>
        <v/>
      </c>
      <c r="C60" s="16" t="str" cm="1">
        <f t="array" aca="1" ref="C60" ca="1">IFERROR(INDEX(_xlfn.ANCHORARRAY($AA$11),ROW()-10,3),"")</f>
        <v/>
      </c>
      <c r="D60" s="16" t="str" cm="1">
        <f t="array" aca="1" ref="D60" ca="1">IFERROR(INDEX(_xlfn.ANCHORARRAY($AA$11),ROW()-10,4),"")</f>
        <v/>
      </c>
      <c r="E60" s="16" t="str" cm="1">
        <f t="array" aca="1" ref="E60" ca="1">IFERROR(INDEX(_xlfn.ANCHORARRAY($AA$11),ROW()-10,5),"")</f>
        <v/>
      </c>
      <c r="F60" s="16" t="str" cm="1">
        <f t="array" aca="1" ref="F60" ca="1">IFERROR(INDEX(_xlfn.ANCHORARRAY($AA$11),ROW()-10,6),"")</f>
        <v/>
      </c>
      <c r="G60" s="16" t="str" cm="1">
        <f t="array" aca="1" ref="G60" ca="1">IFERROR(INDEX(_xlfn.ANCHORARRAY($AA$11),ROW()-10,7),"")</f>
        <v/>
      </c>
      <c r="H60" s="16" t="str" cm="1">
        <f t="array" aca="1" ref="H60" ca="1">IFERROR(INDEX(_xlfn.ANCHORARRAY($AA$11),ROW()-10,8),"")</f>
        <v/>
      </c>
      <c r="I60" s="16" t="str" cm="1">
        <f t="array" aca="1" ref="I60" ca="1">IFERROR(INDEX(_xlfn.ANCHORARRAY($AA$11),ROW()-10,9),"")</f>
        <v/>
      </c>
      <c r="J60" s="16" t="str">
        <f t="shared" ca="1" si="2"/>
        <v/>
      </c>
      <c r="K60" s="16" t="str">
        <f t="shared" ca="1" si="3"/>
        <v/>
      </c>
      <c r="L60" s="16" t="str" cm="1">
        <f t="array" aca="1" ref="L60" ca="1">_xlfn.LET(_xlpm.link,IFERROR(INDEX(_xlfn.ANCHORARRAY($AA$11),ROW()-10,12),""),IF(_xlpm.link="","",HYPERLINK(_xlpm.link,"Bluecore/Attentive")))</f>
        <v/>
      </c>
      <c r="M60" s="7"/>
      <c r="N60" s="7"/>
      <c r="O60" s="7"/>
      <c r="P60" s="7"/>
      <c r="Q60" s="7"/>
      <c r="R60" s="7"/>
      <c r="S60" s="6"/>
      <c r="T60" s="6"/>
      <c r="U60" s="6"/>
      <c r="V60" s="6"/>
      <c r="W60" s="6"/>
      <c r="X60" s="6"/>
      <c r="Y60" s="6"/>
      <c r="Z60" s="6"/>
      <c r="AA60" s="43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48" t="str" cm="1">
        <f t="array" aca="1" ref="A61" ca="1">IFERROR(INDEX(_xlfn.ANCHORARRAY($AA$11),ROW()-10,1),"")</f>
        <v/>
      </c>
      <c r="B61" s="24" t="str" cm="1">
        <f t="array" aca="1" ref="B61" ca="1">IFERROR(INDEX(_xlfn.ANCHORARRAY($AA$11),ROW()-10,2),"")</f>
        <v/>
      </c>
      <c r="C61" s="16" t="str" cm="1">
        <f t="array" aca="1" ref="C61" ca="1">IFERROR(INDEX(_xlfn.ANCHORARRAY($AA$11),ROW()-10,3),"")</f>
        <v/>
      </c>
      <c r="D61" s="16" t="str" cm="1">
        <f t="array" aca="1" ref="D61" ca="1">IFERROR(INDEX(_xlfn.ANCHORARRAY($AA$11),ROW()-10,4),"")</f>
        <v/>
      </c>
      <c r="E61" s="16" t="str" cm="1">
        <f t="array" aca="1" ref="E61" ca="1">IFERROR(INDEX(_xlfn.ANCHORARRAY($AA$11),ROW()-10,5),"")</f>
        <v/>
      </c>
      <c r="F61" s="16" t="str" cm="1">
        <f t="array" aca="1" ref="F61" ca="1">IFERROR(INDEX(_xlfn.ANCHORARRAY($AA$11),ROW()-10,6),"")</f>
        <v/>
      </c>
      <c r="G61" s="16" t="str" cm="1">
        <f t="array" aca="1" ref="G61" ca="1">IFERROR(INDEX(_xlfn.ANCHORARRAY($AA$11),ROW()-10,7),"")</f>
        <v/>
      </c>
      <c r="H61" s="16" t="str" cm="1">
        <f t="array" aca="1" ref="H61" ca="1">IFERROR(INDEX(_xlfn.ANCHORARRAY($AA$11),ROW()-10,8),"")</f>
        <v/>
      </c>
      <c r="I61" s="16" t="str" cm="1">
        <f t="array" aca="1" ref="I61" ca="1">IFERROR(INDEX(_xlfn.ANCHORARRAY($AA$11),ROW()-10,9),"")</f>
        <v/>
      </c>
      <c r="J61" s="16" t="str">
        <f t="shared" ca="1" si="2"/>
        <v/>
      </c>
      <c r="K61" s="16" t="str">
        <f t="shared" ca="1" si="3"/>
        <v/>
      </c>
      <c r="L61" s="16" t="str" cm="1">
        <f t="array" aca="1" ref="L61" ca="1">_xlfn.LET(_xlpm.link,IFERROR(INDEX(_xlfn.ANCHORARRAY($AA$11),ROW()-10,12),""),IF(_xlpm.link="","",HYPERLINK(_xlpm.link,"Bluecore/Attentive")))</f>
        <v/>
      </c>
      <c r="M61" s="7"/>
      <c r="N61" s="7"/>
      <c r="O61" s="7"/>
      <c r="P61" s="7"/>
      <c r="Q61" s="7"/>
      <c r="R61" s="7"/>
      <c r="S61" s="6"/>
      <c r="T61" s="6"/>
      <c r="U61" s="6"/>
      <c r="V61" s="6"/>
      <c r="W61" s="6"/>
      <c r="X61" s="6"/>
      <c r="Y61" s="6"/>
      <c r="Z61" s="6"/>
      <c r="AA61" s="43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48" t="str" cm="1">
        <f t="array" aca="1" ref="A62" ca="1">IFERROR(INDEX(_xlfn.ANCHORARRAY($AA$11),ROW()-10,1),"")</f>
        <v/>
      </c>
      <c r="B62" s="24" t="str" cm="1">
        <f t="array" aca="1" ref="B62" ca="1">IFERROR(INDEX(_xlfn.ANCHORARRAY($AA$11),ROW()-10,2),"")</f>
        <v/>
      </c>
      <c r="C62" s="16" t="str" cm="1">
        <f t="array" aca="1" ref="C62" ca="1">IFERROR(INDEX(_xlfn.ANCHORARRAY($AA$11),ROW()-10,3),"")</f>
        <v/>
      </c>
      <c r="D62" s="16" t="str" cm="1">
        <f t="array" aca="1" ref="D62" ca="1">IFERROR(INDEX(_xlfn.ANCHORARRAY($AA$11),ROW()-10,4),"")</f>
        <v/>
      </c>
      <c r="E62" s="16" t="str" cm="1">
        <f t="array" aca="1" ref="E62" ca="1">IFERROR(INDEX(_xlfn.ANCHORARRAY($AA$11),ROW()-10,5),"")</f>
        <v/>
      </c>
      <c r="F62" s="16" t="str" cm="1">
        <f t="array" aca="1" ref="F62" ca="1">IFERROR(INDEX(_xlfn.ANCHORARRAY($AA$11),ROW()-10,6),"")</f>
        <v/>
      </c>
      <c r="G62" s="16" t="str" cm="1">
        <f t="array" aca="1" ref="G62" ca="1">IFERROR(INDEX(_xlfn.ANCHORARRAY($AA$11),ROW()-10,7),"")</f>
        <v/>
      </c>
      <c r="H62" s="16" t="str" cm="1">
        <f t="array" aca="1" ref="H62" ca="1">IFERROR(INDEX(_xlfn.ANCHORARRAY($AA$11),ROW()-10,8),"")</f>
        <v/>
      </c>
      <c r="I62" s="16" t="str" cm="1">
        <f t="array" aca="1" ref="I62" ca="1">IFERROR(INDEX(_xlfn.ANCHORARRAY($AA$11),ROW()-10,9),"")</f>
        <v/>
      </c>
      <c r="J62" s="16" t="str">
        <f t="shared" ca="1" si="2"/>
        <v/>
      </c>
      <c r="K62" s="16" t="str">
        <f t="shared" ca="1" si="3"/>
        <v/>
      </c>
      <c r="L62" s="16" t="str" cm="1">
        <f t="array" aca="1" ref="L62" ca="1">_xlfn.LET(_xlpm.link,IFERROR(INDEX(_xlfn.ANCHORARRAY($AA$11),ROW()-10,12),""),IF(_xlpm.link="","",HYPERLINK(_xlpm.link,"Bluecore/Attentive")))</f>
        <v/>
      </c>
      <c r="M62" s="7"/>
      <c r="N62" s="7"/>
      <c r="O62" s="7"/>
      <c r="P62" s="7"/>
      <c r="Q62" s="7"/>
      <c r="R62" s="7"/>
      <c r="S62" s="6"/>
      <c r="T62" s="6"/>
      <c r="U62" s="6"/>
      <c r="V62" s="6"/>
      <c r="W62" s="6"/>
      <c r="X62" s="6"/>
      <c r="Y62" s="6"/>
      <c r="Z62" s="6"/>
      <c r="AA62" s="43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48" t="str" cm="1">
        <f t="array" aca="1" ref="A63" ca="1">IFERROR(INDEX(_xlfn.ANCHORARRAY($AA$11),ROW()-10,1),"")</f>
        <v/>
      </c>
      <c r="B63" s="24" t="str" cm="1">
        <f t="array" aca="1" ref="B63" ca="1">IFERROR(INDEX(_xlfn.ANCHORARRAY($AA$11),ROW()-10,2),"")</f>
        <v/>
      </c>
      <c r="C63" s="16" t="str" cm="1">
        <f t="array" aca="1" ref="C63" ca="1">IFERROR(INDEX(_xlfn.ANCHORARRAY($AA$11),ROW()-10,3),"")</f>
        <v/>
      </c>
      <c r="D63" s="16" t="str" cm="1">
        <f t="array" aca="1" ref="D63" ca="1">IFERROR(INDEX(_xlfn.ANCHORARRAY($AA$11),ROW()-10,4),"")</f>
        <v/>
      </c>
      <c r="E63" s="16" t="str" cm="1">
        <f t="array" aca="1" ref="E63" ca="1">IFERROR(INDEX(_xlfn.ANCHORARRAY($AA$11),ROW()-10,5),"")</f>
        <v/>
      </c>
      <c r="F63" s="16" t="str" cm="1">
        <f t="array" aca="1" ref="F63" ca="1">IFERROR(INDEX(_xlfn.ANCHORARRAY($AA$11),ROW()-10,6),"")</f>
        <v/>
      </c>
      <c r="G63" s="16" t="str" cm="1">
        <f t="array" aca="1" ref="G63" ca="1">IFERROR(INDEX(_xlfn.ANCHORARRAY($AA$11),ROW()-10,7),"")</f>
        <v/>
      </c>
      <c r="H63" s="16" t="str" cm="1">
        <f t="array" aca="1" ref="H63" ca="1">IFERROR(INDEX(_xlfn.ANCHORARRAY($AA$11),ROW()-10,8),"")</f>
        <v/>
      </c>
      <c r="I63" s="16" t="str" cm="1">
        <f t="array" aca="1" ref="I63" ca="1">IFERROR(INDEX(_xlfn.ANCHORARRAY($AA$11),ROW()-10,9),"")</f>
        <v/>
      </c>
      <c r="J63" s="16" t="str">
        <f t="shared" ca="1" si="2"/>
        <v/>
      </c>
      <c r="K63" s="16" t="str">
        <f t="shared" ca="1" si="3"/>
        <v/>
      </c>
      <c r="L63" s="16" t="str" cm="1">
        <f t="array" aca="1" ref="L63" ca="1">_xlfn.LET(_xlpm.link,IFERROR(INDEX(_xlfn.ANCHORARRAY($AA$11),ROW()-10,12),""),IF(_xlpm.link="","",HYPERLINK(_xlpm.link,"Bluecore/Attentive")))</f>
        <v/>
      </c>
      <c r="M63" s="7"/>
      <c r="N63" s="7"/>
      <c r="O63" s="7"/>
      <c r="P63" s="7"/>
      <c r="Q63" s="7"/>
      <c r="R63" s="7"/>
      <c r="S63" s="6"/>
      <c r="T63" s="6"/>
      <c r="U63" s="6"/>
      <c r="V63" s="6"/>
      <c r="W63" s="6"/>
      <c r="X63" s="6"/>
      <c r="Y63" s="6"/>
      <c r="Z63" s="6"/>
      <c r="AA63" s="4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48" t="str" cm="1">
        <f t="array" aca="1" ref="A64" ca="1">IFERROR(INDEX(_xlfn.ANCHORARRAY($AA$11),ROW()-10,1),"")</f>
        <v/>
      </c>
      <c r="B64" s="24" t="str" cm="1">
        <f t="array" aca="1" ref="B64" ca="1">IFERROR(INDEX(_xlfn.ANCHORARRAY($AA$11),ROW()-10,2),"")</f>
        <v/>
      </c>
      <c r="C64" s="16" t="str" cm="1">
        <f t="array" aca="1" ref="C64" ca="1">IFERROR(INDEX(_xlfn.ANCHORARRAY($AA$11),ROW()-10,3),"")</f>
        <v/>
      </c>
      <c r="D64" s="16" t="str" cm="1">
        <f t="array" aca="1" ref="D64" ca="1">IFERROR(INDEX(_xlfn.ANCHORARRAY($AA$11),ROW()-10,4),"")</f>
        <v/>
      </c>
      <c r="E64" s="16" t="str" cm="1">
        <f t="array" aca="1" ref="E64" ca="1">IFERROR(INDEX(_xlfn.ANCHORARRAY($AA$11),ROW()-10,5),"")</f>
        <v/>
      </c>
      <c r="F64" s="16" t="str" cm="1">
        <f t="array" aca="1" ref="F64" ca="1">IFERROR(INDEX(_xlfn.ANCHORARRAY($AA$11),ROW()-10,6),"")</f>
        <v/>
      </c>
      <c r="G64" s="16" t="str" cm="1">
        <f t="array" aca="1" ref="G64" ca="1">IFERROR(INDEX(_xlfn.ANCHORARRAY($AA$11),ROW()-10,7),"")</f>
        <v/>
      </c>
      <c r="H64" s="16" t="str" cm="1">
        <f t="array" aca="1" ref="H64" ca="1">IFERROR(INDEX(_xlfn.ANCHORARRAY($AA$11),ROW()-10,8),"")</f>
        <v/>
      </c>
      <c r="I64" s="16" t="str" cm="1">
        <f t="array" aca="1" ref="I64" ca="1">IFERROR(INDEX(_xlfn.ANCHORARRAY($AA$11),ROW()-10,9),"")</f>
        <v/>
      </c>
      <c r="J64" s="16" t="str">
        <f t="shared" ca="1" si="2"/>
        <v/>
      </c>
      <c r="K64" s="16" t="str">
        <f t="shared" ca="1" si="3"/>
        <v/>
      </c>
      <c r="L64" s="16" t="str" cm="1">
        <f t="array" aca="1" ref="L64" ca="1">_xlfn.LET(_xlpm.link,IFERROR(INDEX(_xlfn.ANCHORARRAY($AA$11),ROW()-10,12),""),IF(_xlpm.link="","",HYPERLINK(_xlpm.link,"Bluecore/Attentive")))</f>
        <v/>
      </c>
      <c r="M64" s="7"/>
      <c r="N64" s="7"/>
      <c r="O64" s="7"/>
      <c r="P64" s="7"/>
      <c r="Q64" s="7"/>
      <c r="R64" s="7"/>
      <c r="S64" s="6"/>
      <c r="T64" s="6"/>
      <c r="U64" s="6"/>
      <c r="V64" s="6"/>
      <c r="W64" s="6"/>
      <c r="X64" s="6"/>
      <c r="Y64" s="6"/>
      <c r="Z64" s="6"/>
      <c r="AA64" s="43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48" t="str" cm="1">
        <f t="array" aca="1" ref="A65" ca="1">IFERROR(INDEX(_xlfn.ANCHORARRAY($AA$11),ROW()-10,1),"")</f>
        <v/>
      </c>
      <c r="B65" s="24" t="str" cm="1">
        <f t="array" aca="1" ref="B65" ca="1">IFERROR(INDEX(_xlfn.ANCHORARRAY($AA$11),ROW()-10,2),"")</f>
        <v/>
      </c>
      <c r="C65" s="16" t="str" cm="1">
        <f t="array" aca="1" ref="C65" ca="1">IFERROR(INDEX(_xlfn.ANCHORARRAY($AA$11),ROW()-10,3),"")</f>
        <v/>
      </c>
      <c r="D65" s="16" t="str" cm="1">
        <f t="array" aca="1" ref="D65" ca="1">IFERROR(INDEX(_xlfn.ANCHORARRAY($AA$11),ROW()-10,4),"")</f>
        <v/>
      </c>
      <c r="E65" s="16" t="str" cm="1">
        <f t="array" aca="1" ref="E65" ca="1">IFERROR(INDEX(_xlfn.ANCHORARRAY($AA$11),ROW()-10,5),"")</f>
        <v/>
      </c>
      <c r="F65" s="16" t="str" cm="1">
        <f t="array" aca="1" ref="F65" ca="1">IFERROR(INDEX(_xlfn.ANCHORARRAY($AA$11),ROW()-10,6),"")</f>
        <v/>
      </c>
      <c r="G65" s="16" t="str" cm="1">
        <f t="array" aca="1" ref="G65" ca="1">IFERROR(INDEX(_xlfn.ANCHORARRAY($AA$11),ROW()-10,7),"")</f>
        <v/>
      </c>
      <c r="H65" s="16" t="str" cm="1">
        <f t="array" aca="1" ref="H65" ca="1">IFERROR(INDEX(_xlfn.ANCHORARRAY($AA$11),ROW()-10,8),"")</f>
        <v/>
      </c>
      <c r="I65" s="16" t="str" cm="1">
        <f t="array" aca="1" ref="I65" ca="1">IFERROR(INDEX(_xlfn.ANCHORARRAY($AA$11),ROW()-10,9),"")</f>
        <v/>
      </c>
      <c r="J65" s="16" t="str">
        <f t="shared" ca="1" si="2"/>
        <v/>
      </c>
      <c r="K65" s="16" t="str">
        <f t="shared" ca="1" si="3"/>
        <v/>
      </c>
      <c r="L65" s="16" t="str" cm="1">
        <f t="array" aca="1" ref="L65" ca="1">_xlfn.LET(_xlpm.link,IFERROR(INDEX(_xlfn.ANCHORARRAY($AA$11),ROW()-10,12),""),IF(_xlpm.link="","",HYPERLINK(_xlpm.link,"Bluecore/Attentive")))</f>
        <v/>
      </c>
      <c r="M65" s="7"/>
      <c r="N65" s="7"/>
      <c r="O65" s="7"/>
      <c r="P65" s="7"/>
      <c r="Q65" s="7"/>
      <c r="R65" s="7"/>
      <c r="S65" s="6"/>
      <c r="T65" s="6"/>
      <c r="U65" s="6"/>
      <c r="V65" s="6"/>
      <c r="W65" s="6"/>
      <c r="X65" s="6"/>
      <c r="Y65" s="6"/>
      <c r="Z65" s="6"/>
      <c r="AA65" s="43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48" t="str" cm="1">
        <f t="array" aca="1" ref="A66" ca="1">IFERROR(INDEX(_xlfn.ANCHORARRAY($AA$11),ROW()-10,1),"")</f>
        <v/>
      </c>
      <c r="B66" s="24" t="str" cm="1">
        <f t="array" aca="1" ref="B66" ca="1">IFERROR(INDEX(_xlfn.ANCHORARRAY($AA$11),ROW()-10,2),"")</f>
        <v/>
      </c>
      <c r="C66" s="16" t="str" cm="1">
        <f t="array" aca="1" ref="C66" ca="1">IFERROR(INDEX(_xlfn.ANCHORARRAY($AA$11),ROW()-10,3),"")</f>
        <v/>
      </c>
      <c r="D66" s="16" t="str" cm="1">
        <f t="array" aca="1" ref="D66" ca="1">IFERROR(INDEX(_xlfn.ANCHORARRAY($AA$11),ROW()-10,4),"")</f>
        <v/>
      </c>
      <c r="E66" s="16" t="str" cm="1">
        <f t="array" aca="1" ref="E66" ca="1">IFERROR(INDEX(_xlfn.ANCHORARRAY($AA$11),ROW()-10,5),"")</f>
        <v/>
      </c>
      <c r="F66" s="16" t="str" cm="1">
        <f t="array" aca="1" ref="F66" ca="1">IFERROR(INDEX(_xlfn.ANCHORARRAY($AA$11),ROW()-10,6),"")</f>
        <v/>
      </c>
      <c r="G66" s="16" t="str" cm="1">
        <f t="array" aca="1" ref="G66" ca="1">IFERROR(INDEX(_xlfn.ANCHORARRAY($AA$11),ROW()-10,7),"")</f>
        <v/>
      </c>
      <c r="H66" s="16" t="str" cm="1">
        <f t="array" aca="1" ref="H66" ca="1">IFERROR(INDEX(_xlfn.ANCHORARRAY($AA$11),ROW()-10,8),"")</f>
        <v/>
      </c>
      <c r="I66" s="16" t="str" cm="1">
        <f t="array" aca="1" ref="I66" ca="1">IFERROR(INDEX(_xlfn.ANCHORARRAY($AA$11),ROW()-10,9),"")</f>
        <v/>
      </c>
      <c r="J66" s="16" t="str">
        <f t="shared" ca="1" si="2"/>
        <v/>
      </c>
      <c r="K66" s="16" t="str">
        <f t="shared" ca="1" si="3"/>
        <v/>
      </c>
      <c r="L66" s="16" t="str" cm="1">
        <f t="array" aca="1" ref="L66" ca="1">_xlfn.LET(_xlpm.link,IFERROR(INDEX(_xlfn.ANCHORARRAY($AA$11),ROW()-10,12),""),IF(_xlpm.link="","",HYPERLINK(_xlpm.link,"Bluecore/Attentive")))</f>
        <v/>
      </c>
      <c r="M66" s="7"/>
      <c r="N66" s="7"/>
      <c r="O66" s="7"/>
      <c r="P66" s="7"/>
      <c r="Q66" s="7"/>
      <c r="R66" s="7"/>
      <c r="S66" s="6"/>
      <c r="T66" s="6"/>
      <c r="U66" s="6"/>
      <c r="V66" s="6"/>
      <c r="W66" s="6"/>
      <c r="X66" s="6"/>
      <c r="Y66" s="6"/>
      <c r="Z66" s="6"/>
      <c r="AA66" s="43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48" t="str" cm="1">
        <f t="array" aca="1" ref="A67" ca="1">IFERROR(INDEX(_xlfn.ANCHORARRAY($AA$11),ROW()-10,1),"")</f>
        <v/>
      </c>
      <c r="B67" s="24" t="str" cm="1">
        <f t="array" aca="1" ref="B67" ca="1">IFERROR(INDEX(_xlfn.ANCHORARRAY($AA$11),ROW()-10,2),"")</f>
        <v/>
      </c>
      <c r="C67" s="16" t="str" cm="1">
        <f t="array" aca="1" ref="C67" ca="1">IFERROR(INDEX(_xlfn.ANCHORARRAY($AA$11),ROW()-10,3),"")</f>
        <v/>
      </c>
      <c r="D67" s="16" t="str" cm="1">
        <f t="array" aca="1" ref="D67" ca="1">IFERROR(INDEX(_xlfn.ANCHORARRAY($AA$11),ROW()-10,4),"")</f>
        <v/>
      </c>
      <c r="E67" s="16" t="str" cm="1">
        <f t="array" aca="1" ref="E67" ca="1">IFERROR(INDEX(_xlfn.ANCHORARRAY($AA$11),ROW()-10,5),"")</f>
        <v/>
      </c>
      <c r="F67" s="16" t="str" cm="1">
        <f t="array" aca="1" ref="F67" ca="1">IFERROR(INDEX(_xlfn.ANCHORARRAY($AA$11),ROW()-10,6),"")</f>
        <v/>
      </c>
      <c r="G67" s="16" t="str" cm="1">
        <f t="array" aca="1" ref="G67" ca="1">IFERROR(INDEX(_xlfn.ANCHORARRAY($AA$11),ROW()-10,7),"")</f>
        <v/>
      </c>
      <c r="H67" s="16" t="str" cm="1">
        <f t="array" aca="1" ref="H67" ca="1">IFERROR(INDEX(_xlfn.ANCHORARRAY($AA$11),ROW()-10,8),"")</f>
        <v/>
      </c>
      <c r="I67" s="16" t="str" cm="1">
        <f t="array" aca="1" ref="I67" ca="1">IFERROR(INDEX(_xlfn.ANCHORARRAY($AA$11),ROW()-10,9),"")</f>
        <v/>
      </c>
      <c r="J67" s="16" t="str">
        <f t="shared" ca="1" si="2"/>
        <v/>
      </c>
      <c r="K67" s="16" t="str">
        <f t="shared" ca="1" si="3"/>
        <v/>
      </c>
      <c r="L67" s="16" t="str" cm="1">
        <f t="array" aca="1" ref="L67" ca="1">_xlfn.LET(_xlpm.link,IFERROR(INDEX(_xlfn.ANCHORARRAY($AA$11),ROW()-10,12),""),IF(_xlpm.link="","",HYPERLINK(_xlpm.link,"Bluecore/Attentive")))</f>
        <v/>
      </c>
      <c r="M67" s="7"/>
      <c r="N67" s="7"/>
      <c r="O67" s="7"/>
      <c r="P67" s="7"/>
      <c r="Q67" s="7"/>
      <c r="R67" s="7"/>
      <c r="S67" s="6"/>
      <c r="T67" s="6"/>
      <c r="U67" s="6"/>
      <c r="V67" s="6"/>
      <c r="W67" s="6"/>
      <c r="X67" s="6"/>
      <c r="Y67" s="6"/>
      <c r="Z67" s="6"/>
      <c r="AA67" s="43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48" t="str" cm="1">
        <f t="array" aca="1" ref="A68" ca="1">IFERROR(INDEX(_xlfn.ANCHORARRAY($AA$11),ROW()-10,1),"")</f>
        <v/>
      </c>
      <c r="B68" s="24" t="str" cm="1">
        <f t="array" aca="1" ref="B68" ca="1">IFERROR(INDEX(_xlfn.ANCHORARRAY($AA$11),ROW()-10,2),"")</f>
        <v/>
      </c>
      <c r="C68" s="16" t="str" cm="1">
        <f t="array" aca="1" ref="C68" ca="1">IFERROR(INDEX(_xlfn.ANCHORARRAY($AA$11),ROW()-10,3),"")</f>
        <v/>
      </c>
      <c r="D68" s="16" t="str" cm="1">
        <f t="array" aca="1" ref="D68" ca="1">IFERROR(INDEX(_xlfn.ANCHORARRAY($AA$11),ROW()-10,4),"")</f>
        <v/>
      </c>
      <c r="E68" s="16" t="str" cm="1">
        <f t="array" aca="1" ref="E68" ca="1">IFERROR(INDEX(_xlfn.ANCHORARRAY($AA$11),ROW()-10,5),"")</f>
        <v/>
      </c>
      <c r="F68" s="16" t="str" cm="1">
        <f t="array" aca="1" ref="F68" ca="1">IFERROR(INDEX(_xlfn.ANCHORARRAY($AA$11),ROW()-10,6),"")</f>
        <v/>
      </c>
      <c r="G68" s="16" t="str" cm="1">
        <f t="array" aca="1" ref="G68" ca="1">IFERROR(INDEX(_xlfn.ANCHORARRAY($AA$11),ROW()-10,7),"")</f>
        <v/>
      </c>
      <c r="H68" s="16" t="str" cm="1">
        <f t="array" aca="1" ref="H68" ca="1">IFERROR(INDEX(_xlfn.ANCHORARRAY($AA$11),ROW()-10,8),"")</f>
        <v/>
      </c>
      <c r="I68" s="16" t="str" cm="1">
        <f t="array" aca="1" ref="I68" ca="1">IFERROR(INDEX(_xlfn.ANCHORARRAY($AA$11),ROW()-10,9),"")</f>
        <v/>
      </c>
      <c r="J68" s="16" t="str">
        <f t="shared" ca="1" si="2"/>
        <v/>
      </c>
      <c r="K68" s="16" t="str">
        <f t="shared" ca="1" si="3"/>
        <v/>
      </c>
      <c r="L68" s="16" t="str" cm="1">
        <f t="array" aca="1" ref="L68" ca="1">_xlfn.LET(_xlpm.link,IFERROR(INDEX(_xlfn.ANCHORARRAY($AA$11),ROW()-10,12),""),IF(_xlpm.link="","",HYPERLINK(_xlpm.link,"Bluecore/Attentive")))</f>
        <v/>
      </c>
      <c r="M68" s="7"/>
      <c r="N68" s="7"/>
      <c r="O68" s="7"/>
      <c r="P68" s="7"/>
      <c r="Q68" s="7"/>
      <c r="R68" s="7"/>
      <c r="S68" s="6"/>
      <c r="T68" s="6"/>
      <c r="U68" s="6"/>
      <c r="V68" s="6"/>
      <c r="W68" s="6"/>
      <c r="X68" s="6"/>
      <c r="Y68" s="6"/>
      <c r="Z68" s="6"/>
      <c r="AA68" s="43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48" t="str" cm="1">
        <f t="array" aca="1" ref="A69" ca="1">IFERROR(INDEX(_xlfn.ANCHORARRAY($AA$11),ROW()-10,1),"")</f>
        <v/>
      </c>
      <c r="B69" s="24" t="str" cm="1">
        <f t="array" aca="1" ref="B69" ca="1">IFERROR(INDEX(_xlfn.ANCHORARRAY($AA$11),ROW()-10,2),"")</f>
        <v/>
      </c>
      <c r="C69" s="16" t="str" cm="1">
        <f t="array" aca="1" ref="C69" ca="1">IFERROR(INDEX(_xlfn.ANCHORARRAY($AA$11),ROW()-10,3),"")</f>
        <v/>
      </c>
      <c r="D69" s="16" t="str" cm="1">
        <f t="array" aca="1" ref="D69" ca="1">IFERROR(INDEX(_xlfn.ANCHORARRAY($AA$11),ROW()-10,4),"")</f>
        <v/>
      </c>
      <c r="E69" s="16" t="str" cm="1">
        <f t="array" aca="1" ref="E69" ca="1">IFERROR(INDEX(_xlfn.ANCHORARRAY($AA$11),ROW()-10,5),"")</f>
        <v/>
      </c>
      <c r="F69" s="16" t="str" cm="1">
        <f t="array" aca="1" ref="F69" ca="1">IFERROR(INDEX(_xlfn.ANCHORARRAY($AA$11),ROW()-10,6),"")</f>
        <v/>
      </c>
      <c r="G69" s="16" t="str" cm="1">
        <f t="array" aca="1" ref="G69" ca="1">IFERROR(INDEX(_xlfn.ANCHORARRAY($AA$11),ROW()-10,7),"")</f>
        <v/>
      </c>
      <c r="H69" s="16" t="str" cm="1">
        <f t="array" aca="1" ref="H69" ca="1">IFERROR(INDEX(_xlfn.ANCHORARRAY($AA$11),ROW()-10,8),"")</f>
        <v/>
      </c>
      <c r="I69" s="16" t="str" cm="1">
        <f t="array" aca="1" ref="I69" ca="1">IFERROR(INDEX(_xlfn.ANCHORARRAY($AA$11),ROW()-10,9),"")</f>
        <v/>
      </c>
      <c r="J69" s="16" t="str">
        <f t="shared" ca="1" si="2"/>
        <v/>
      </c>
      <c r="K69" s="16" t="str">
        <f t="shared" ca="1" si="3"/>
        <v/>
      </c>
      <c r="L69" s="16" t="str" cm="1">
        <f t="array" aca="1" ref="L69" ca="1">_xlfn.LET(_xlpm.link,IFERROR(INDEX(_xlfn.ANCHORARRAY($AA$11),ROW()-10,12),""),IF(_xlpm.link="","",HYPERLINK(_xlpm.link,"Bluecore/Attentive")))</f>
        <v/>
      </c>
      <c r="M69" s="7"/>
      <c r="N69" s="7"/>
      <c r="O69" s="7"/>
      <c r="P69" s="7"/>
      <c r="Q69" s="7"/>
      <c r="R69" s="7"/>
      <c r="S69" s="6"/>
      <c r="T69" s="6"/>
      <c r="U69" s="6"/>
      <c r="V69" s="6"/>
      <c r="W69" s="6"/>
      <c r="X69" s="6"/>
      <c r="Y69" s="6"/>
      <c r="Z69" s="6"/>
      <c r="AA69" s="43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48" t="str" cm="1">
        <f t="array" aca="1" ref="A70" ca="1">IFERROR(INDEX(_xlfn.ANCHORARRAY($AA$11),ROW()-10,1),"")</f>
        <v/>
      </c>
      <c r="B70" s="24" t="str" cm="1">
        <f t="array" aca="1" ref="B70" ca="1">IFERROR(INDEX(_xlfn.ANCHORARRAY($AA$11),ROW()-10,2),"")</f>
        <v/>
      </c>
      <c r="C70" s="16" t="str" cm="1">
        <f t="array" aca="1" ref="C70" ca="1">IFERROR(INDEX(_xlfn.ANCHORARRAY($AA$11),ROW()-10,3),"")</f>
        <v/>
      </c>
      <c r="D70" s="16" t="str" cm="1">
        <f t="array" aca="1" ref="D70" ca="1">IFERROR(INDEX(_xlfn.ANCHORARRAY($AA$11),ROW()-10,4),"")</f>
        <v/>
      </c>
      <c r="E70" s="16" t="str" cm="1">
        <f t="array" aca="1" ref="E70" ca="1">IFERROR(INDEX(_xlfn.ANCHORARRAY($AA$11),ROW()-10,5),"")</f>
        <v/>
      </c>
      <c r="F70" s="16" t="str" cm="1">
        <f t="array" aca="1" ref="F70" ca="1">IFERROR(INDEX(_xlfn.ANCHORARRAY($AA$11),ROW()-10,6),"")</f>
        <v/>
      </c>
      <c r="G70" s="16" t="str" cm="1">
        <f t="array" aca="1" ref="G70" ca="1">IFERROR(INDEX(_xlfn.ANCHORARRAY($AA$11),ROW()-10,7),"")</f>
        <v/>
      </c>
      <c r="H70" s="16" t="str" cm="1">
        <f t="array" aca="1" ref="H70" ca="1">IFERROR(INDEX(_xlfn.ANCHORARRAY($AA$11),ROW()-10,8),"")</f>
        <v/>
      </c>
      <c r="I70" s="16" t="str" cm="1">
        <f t="array" aca="1" ref="I70" ca="1">IFERROR(INDEX(_xlfn.ANCHORARRAY($AA$11),ROW()-10,9),"")</f>
        <v/>
      </c>
      <c r="J70" s="16" t="str">
        <f t="shared" ca="1" si="2"/>
        <v/>
      </c>
      <c r="K70" s="16" t="str">
        <f t="shared" ca="1" si="3"/>
        <v/>
      </c>
      <c r="L70" s="16" t="str" cm="1">
        <f t="array" aca="1" ref="L70" ca="1">_xlfn.LET(_xlpm.link,IFERROR(INDEX(_xlfn.ANCHORARRAY($AA$11),ROW()-10,12),""),IF(_xlpm.link="","",HYPERLINK(_xlpm.link,"Bluecore/Attentive")))</f>
        <v/>
      </c>
      <c r="M70" s="7"/>
      <c r="N70" s="7"/>
      <c r="O70" s="7"/>
      <c r="P70" s="7"/>
      <c r="Q70" s="7"/>
      <c r="R70" s="7"/>
      <c r="S70" s="6"/>
      <c r="T70" s="6"/>
      <c r="U70" s="6"/>
      <c r="V70" s="6"/>
      <c r="W70" s="6"/>
      <c r="X70" s="6"/>
      <c r="Y70" s="6"/>
      <c r="Z70" s="6"/>
      <c r="AA70" s="43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48" t="str" cm="1">
        <f t="array" aca="1" ref="A71" ca="1">IFERROR(INDEX(_xlfn.ANCHORARRAY($AA$11),ROW()-10,1),"")</f>
        <v/>
      </c>
      <c r="B71" s="24" t="str" cm="1">
        <f t="array" aca="1" ref="B71" ca="1">IFERROR(INDEX(_xlfn.ANCHORARRAY($AA$11),ROW()-10,2),"")</f>
        <v/>
      </c>
      <c r="C71" s="16" t="str" cm="1">
        <f t="array" aca="1" ref="C71" ca="1">IFERROR(INDEX(_xlfn.ANCHORARRAY($AA$11),ROW()-10,3),"")</f>
        <v/>
      </c>
      <c r="D71" s="16" t="str" cm="1">
        <f t="array" aca="1" ref="D71" ca="1">IFERROR(INDEX(_xlfn.ANCHORARRAY($AA$11),ROW()-10,4),"")</f>
        <v/>
      </c>
      <c r="E71" s="16" t="str" cm="1">
        <f t="array" aca="1" ref="E71" ca="1">IFERROR(INDEX(_xlfn.ANCHORARRAY($AA$11),ROW()-10,5),"")</f>
        <v/>
      </c>
      <c r="F71" s="16" t="str" cm="1">
        <f t="array" aca="1" ref="F71" ca="1">IFERROR(INDEX(_xlfn.ANCHORARRAY($AA$11),ROW()-10,6),"")</f>
        <v/>
      </c>
      <c r="G71" s="16" t="str" cm="1">
        <f t="array" aca="1" ref="G71" ca="1">IFERROR(INDEX(_xlfn.ANCHORARRAY($AA$11),ROW()-10,7),"")</f>
        <v/>
      </c>
      <c r="H71" s="16" t="str" cm="1">
        <f t="array" aca="1" ref="H71" ca="1">IFERROR(INDEX(_xlfn.ANCHORARRAY($AA$11),ROW()-10,8),"")</f>
        <v/>
      </c>
      <c r="I71" s="16" t="str" cm="1">
        <f t="array" aca="1" ref="I71" ca="1">IFERROR(INDEX(_xlfn.ANCHORARRAY($AA$11),ROW()-10,9),"")</f>
        <v/>
      </c>
      <c r="J71" s="16" t="str">
        <f t="shared" ca="1" si="2"/>
        <v/>
      </c>
      <c r="K71" s="16" t="str">
        <f t="shared" ca="1" si="3"/>
        <v/>
      </c>
      <c r="L71" s="16" t="str" cm="1">
        <f t="array" aca="1" ref="L71" ca="1">_xlfn.LET(_xlpm.link,IFERROR(INDEX(_xlfn.ANCHORARRAY($AA$11),ROW()-10,12),""),IF(_xlpm.link="","",HYPERLINK(_xlpm.link,"Bluecore/Attentive")))</f>
        <v/>
      </c>
      <c r="M71" s="7"/>
      <c r="N71" s="7"/>
      <c r="O71" s="7"/>
      <c r="P71" s="7"/>
      <c r="Q71" s="7"/>
      <c r="R71" s="7"/>
      <c r="S71" s="6"/>
      <c r="T71" s="6"/>
      <c r="U71" s="6"/>
      <c r="V71" s="6"/>
      <c r="W71" s="6"/>
      <c r="X71" s="6"/>
      <c r="Y71" s="6"/>
      <c r="Z71" s="6"/>
      <c r="AA71" s="43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48" t="str" cm="1">
        <f t="array" aca="1" ref="A72" ca="1">IFERROR(INDEX(_xlfn.ANCHORARRAY($AA$11),ROW()-10,1),"")</f>
        <v/>
      </c>
      <c r="B72" s="24" t="str" cm="1">
        <f t="array" aca="1" ref="B72" ca="1">IFERROR(INDEX(_xlfn.ANCHORARRAY($AA$11),ROW()-10,2),"")</f>
        <v/>
      </c>
      <c r="C72" s="16" t="str" cm="1">
        <f t="array" aca="1" ref="C72" ca="1">IFERROR(INDEX(_xlfn.ANCHORARRAY($AA$11),ROW()-10,3),"")</f>
        <v/>
      </c>
      <c r="D72" s="16" t="str" cm="1">
        <f t="array" aca="1" ref="D72" ca="1">IFERROR(INDEX(_xlfn.ANCHORARRAY($AA$11),ROW()-10,4),"")</f>
        <v/>
      </c>
      <c r="E72" s="16" t="str" cm="1">
        <f t="array" aca="1" ref="E72" ca="1">IFERROR(INDEX(_xlfn.ANCHORARRAY($AA$11),ROW()-10,5),"")</f>
        <v/>
      </c>
      <c r="F72" s="16" t="str" cm="1">
        <f t="array" aca="1" ref="F72" ca="1">IFERROR(INDEX(_xlfn.ANCHORARRAY($AA$11),ROW()-10,6),"")</f>
        <v/>
      </c>
      <c r="G72" s="16" t="str" cm="1">
        <f t="array" aca="1" ref="G72" ca="1">IFERROR(INDEX(_xlfn.ANCHORARRAY($AA$11),ROW()-10,7),"")</f>
        <v/>
      </c>
      <c r="H72" s="16" t="str" cm="1">
        <f t="array" aca="1" ref="H72" ca="1">IFERROR(INDEX(_xlfn.ANCHORARRAY($AA$11),ROW()-10,8),"")</f>
        <v/>
      </c>
      <c r="I72" s="16" t="str" cm="1">
        <f t="array" aca="1" ref="I72" ca="1">IFERROR(INDEX(_xlfn.ANCHORARRAY($AA$11),ROW()-10,9),"")</f>
        <v/>
      </c>
      <c r="J72" s="16" t="str">
        <f t="shared" ca="1" si="2"/>
        <v/>
      </c>
      <c r="K72" s="16" t="str">
        <f t="shared" ca="1" si="3"/>
        <v/>
      </c>
      <c r="L72" s="16" t="str" cm="1">
        <f t="array" aca="1" ref="L72" ca="1">_xlfn.LET(_xlpm.link,IFERROR(INDEX(_xlfn.ANCHORARRAY($AA$11),ROW()-10,12),""),IF(_xlpm.link="","",HYPERLINK(_xlpm.link,"Bluecore/Attentive")))</f>
        <v/>
      </c>
      <c r="M72" s="7"/>
      <c r="N72" s="7"/>
      <c r="O72" s="7"/>
      <c r="P72" s="7"/>
      <c r="Q72" s="7"/>
      <c r="R72" s="7"/>
      <c r="S72" s="6"/>
      <c r="T72" s="6"/>
      <c r="U72" s="6"/>
      <c r="V72" s="6"/>
      <c r="W72" s="6"/>
      <c r="X72" s="6"/>
      <c r="Y72" s="6"/>
      <c r="Z72" s="6"/>
      <c r="AA72" s="43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48" t="str" cm="1">
        <f t="array" aca="1" ref="A73" ca="1">IFERROR(INDEX(_xlfn.ANCHORARRAY($AA$11),ROW()-10,1),"")</f>
        <v/>
      </c>
      <c r="B73" s="24" t="str" cm="1">
        <f t="array" aca="1" ref="B73" ca="1">IFERROR(INDEX(_xlfn.ANCHORARRAY($AA$11),ROW()-10,2),"")</f>
        <v/>
      </c>
      <c r="C73" s="16" t="str" cm="1">
        <f t="array" aca="1" ref="C73" ca="1">IFERROR(INDEX(_xlfn.ANCHORARRAY($AA$11),ROW()-10,3),"")</f>
        <v/>
      </c>
      <c r="D73" s="16" t="str" cm="1">
        <f t="array" aca="1" ref="D73" ca="1">IFERROR(INDEX(_xlfn.ANCHORARRAY($AA$11),ROW()-10,4),"")</f>
        <v/>
      </c>
      <c r="E73" s="16" t="str" cm="1">
        <f t="array" aca="1" ref="E73" ca="1">IFERROR(INDEX(_xlfn.ANCHORARRAY($AA$11),ROW()-10,5),"")</f>
        <v/>
      </c>
      <c r="F73" s="16" t="str" cm="1">
        <f t="array" aca="1" ref="F73" ca="1">IFERROR(INDEX(_xlfn.ANCHORARRAY($AA$11),ROW()-10,6),"")</f>
        <v/>
      </c>
      <c r="G73" s="16" t="str" cm="1">
        <f t="array" aca="1" ref="G73" ca="1">IFERROR(INDEX(_xlfn.ANCHORARRAY($AA$11),ROW()-10,7),"")</f>
        <v/>
      </c>
      <c r="H73" s="16" t="str" cm="1">
        <f t="array" aca="1" ref="H73" ca="1">IFERROR(INDEX(_xlfn.ANCHORARRAY($AA$11),ROW()-10,8),"")</f>
        <v/>
      </c>
      <c r="I73" s="16" t="str" cm="1">
        <f t="array" aca="1" ref="I73" ca="1">IFERROR(INDEX(_xlfn.ANCHORARRAY($AA$11),ROW()-10,9),"")</f>
        <v/>
      </c>
      <c r="J73" s="16" t="str">
        <f t="shared" ca="1" si="2"/>
        <v/>
      </c>
      <c r="K73" s="16" t="str">
        <f t="shared" ca="1" si="3"/>
        <v/>
      </c>
      <c r="L73" s="16" t="str" cm="1">
        <f t="array" aca="1" ref="L73" ca="1">_xlfn.LET(_xlpm.link,IFERROR(INDEX(_xlfn.ANCHORARRAY($AA$11),ROW()-10,12),""),IF(_xlpm.link="","",HYPERLINK(_xlpm.link,"Bluecore/Attentive")))</f>
        <v/>
      </c>
      <c r="M73" s="7"/>
      <c r="N73" s="7"/>
      <c r="O73" s="7"/>
      <c r="P73" s="7"/>
      <c r="Q73" s="7"/>
      <c r="R73" s="7"/>
      <c r="S73" s="6"/>
      <c r="T73" s="6"/>
      <c r="U73" s="6"/>
      <c r="V73" s="6"/>
      <c r="W73" s="6"/>
      <c r="X73" s="6"/>
      <c r="Y73" s="6"/>
      <c r="Z73" s="6"/>
      <c r="AA73" s="4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48" t="str" cm="1">
        <f t="array" aca="1" ref="A74" ca="1">IFERROR(INDEX(_xlfn.ANCHORARRAY($AA$11),ROW()-10,1),"")</f>
        <v/>
      </c>
      <c r="B74" s="24" t="str" cm="1">
        <f t="array" aca="1" ref="B74" ca="1">IFERROR(INDEX(_xlfn.ANCHORARRAY($AA$11),ROW()-10,2),"")</f>
        <v/>
      </c>
      <c r="C74" s="16" t="str" cm="1">
        <f t="array" aca="1" ref="C74" ca="1">IFERROR(INDEX(_xlfn.ANCHORARRAY($AA$11),ROW()-10,3),"")</f>
        <v/>
      </c>
      <c r="D74" s="16" t="str" cm="1">
        <f t="array" aca="1" ref="D74" ca="1">IFERROR(INDEX(_xlfn.ANCHORARRAY($AA$11),ROW()-10,4),"")</f>
        <v/>
      </c>
      <c r="E74" s="16" t="str" cm="1">
        <f t="array" aca="1" ref="E74" ca="1">IFERROR(INDEX(_xlfn.ANCHORARRAY($AA$11),ROW()-10,5),"")</f>
        <v/>
      </c>
      <c r="F74" s="16" t="str" cm="1">
        <f t="array" aca="1" ref="F74" ca="1">IFERROR(INDEX(_xlfn.ANCHORARRAY($AA$11),ROW()-10,6),"")</f>
        <v/>
      </c>
      <c r="G74" s="16" t="str" cm="1">
        <f t="array" aca="1" ref="G74" ca="1">IFERROR(INDEX(_xlfn.ANCHORARRAY($AA$11),ROW()-10,7),"")</f>
        <v/>
      </c>
      <c r="H74" s="16" t="str" cm="1">
        <f t="array" aca="1" ref="H74" ca="1">IFERROR(INDEX(_xlfn.ANCHORARRAY($AA$11),ROW()-10,8),"")</f>
        <v/>
      </c>
      <c r="I74" s="16" t="str" cm="1">
        <f t="array" aca="1" ref="I74" ca="1">IFERROR(INDEX(_xlfn.ANCHORARRAY($AA$11),ROW()-10,9),"")</f>
        <v/>
      </c>
      <c r="J74" s="16" t="str">
        <f t="shared" ca="1" si="2"/>
        <v/>
      </c>
      <c r="K74" s="16" t="str">
        <f t="shared" ca="1" si="3"/>
        <v/>
      </c>
      <c r="L74" s="16" t="str" cm="1">
        <f t="array" aca="1" ref="L74" ca="1">_xlfn.LET(_xlpm.link,IFERROR(INDEX(_xlfn.ANCHORARRAY($AA$11),ROW()-10,12),""),IF(_xlpm.link="","",HYPERLINK(_xlpm.link,"Bluecore/Attentive")))</f>
        <v/>
      </c>
      <c r="M74" s="7"/>
      <c r="N74" s="7"/>
      <c r="O74" s="7"/>
      <c r="P74" s="7"/>
      <c r="Q74" s="7"/>
      <c r="R74" s="7"/>
      <c r="S74" s="6"/>
      <c r="T74" s="6"/>
      <c r="U74" s="6"/>
      <c r="V74" s="6"/>
      <c r="W74" s="6"/>
      <c r="X74" s="6"/>
      <c r="Y74" s="6"/>
      <c r="Z74" s="6"/>
      <c r="AA74" s="43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48" t="str" cm="1">
        <f t="array" aca="1" ref="A75" ca="1">IFERROR(INDEX(_xlfn.ANCHORARRAY($AA$11),ROW()-10,1),"")</f>
        <v/>
      </c>
      <c r="B75" s="24" t="str" cm="1">
        <f t="array" aca="1" ref="B75" ca="1">IFERROR(INDEX(_xlfn.ANCHORARRAY($AA$11),ROW()-10,2),"")</f>
        <v/>
      </c>
      <c r="C75" s="16" t="str" cm="1">
        <f t="array" aca="1" ref="C75" ca="1">IFERROR(INDEX(_xlfn.ANCHORARRAY($AA$11),ROW()-10,3),"")</f>
        <v/>
      </c>
      <c r="D75" s="16" t="str" cm="1">
        <f t="array" aca="1" ref="D75" ca="1">IFERROR(INDEX(_xlfn.ANCHORARRAY($AA$11),ROW()-10,4),"")</f>
        <v/>
      </c>
      <c r="E75" s="16" t="str" cm="1">
        <f t="array" aca="1" ref="E75" ca="1">IFERROR(INDEX(_xlfn.ANCHORARRAY($AA$11),ROW()-10,5),"")</f>
        <v/>
      </c>
      <c r="F75" s="16" t="str" cm="1">
        <f t="array" aca="1" ref="F75" ca="1">IFERROR(INDEX(_xlfn.ANCHORARRAY($AA$11),ROW()-10,6),"")</f>
        <v/>
      </c>
      <c r="G75" s="16" t="str" cm="1">
        <f t="array" aca="1" ref="G75" ca="1">IFERROR(INDEX(_xlfn.ANCHORARRAY($AA$11),ROW()-10,7),"")</f>
        <v/>
      </c>
      <c r="H75" s="16" t="str" cm="1">
        <f t="array" aca="1" ref="H75" ca="1">IFERROR(INDEX(_xlfn.ANCHORARRAY($AA$11),ROW()-10,8),"")</f>
        <v/>
      </c>
      <c r="I75" s="16" t="str" cm="1">
        <f t="array" aca="1" ref="I75" ca="1">IFERROR(INDEX(_xlfn.ANCHORARRAY($AA$11),ROW()-10,9),"")</f>
        <v/>
      </c>
      <c r="J75" s="16" t="str">
        <f t="shared" ref="J75:J106" ca="1" si="4">_xlfn.LET(_xlpm.ch,IFERROR(INDEX(_xlfn.ANCHORARRAY($AA$11),ROW()-10,3),""),_xlpm.link,IFERROR(INDEX(_xlfn.ANCHORARRAY($AA$11),ROW()-10,10),""),IF(OR(_xlpm.link="",_xlpm.ch="SMS"),"",HYPERLINK(_xlpm.link,"JIRA")))</f>
        <v/>
      </c>
      <c r="K75" s="16" t="str">
        <f t="shared" ref="K75:K106" ca="1" si="5">_xlfn.LET(_xlpm.ch,IFERROR(INDEX(_xlfn.ANCHORARRAY($AA$11),ROW()-10,3),""),_xlpm.link,IFERROR(INDEX(_xlfn.ANCHORARRAY($AA$11),ROW()-10,11),""),IF(OR(_xlpm.link="",_xlpm.ch="SMS"),"",HYPERLINK(_xlpm.link,"ClickUp")))</f>
        <v/>
      </c>
      <c r="L75" s="16" t="str" cm="1">
        <f t="array" aca="1" ref="L75" ca="1">_xlfn.LET(_xlpm.link,IFERROR(INDEX(_xlfn.ANCHORARRAY($AA$11),ROW()-10,12),""),IF(_xlpm.link="","",HYPERLINK(_xlpm.link,"Bluecore/Attentive")))</f>
        <v/>
      </c>
      <c r="M75" s="7"/>
      <c r="N75" s="7"/>
      <c r="O75" s="7"/>
      <c r="P75" s="7"/>
      <c r="Q75" s="7"/>
      <c r="R75" s="7"/>
      <c r="S75" s="6"/>
      <c r="T75" s="6"/>
      <c r="U75" s="6"/>
      <c r="V75" s="6"/>
      <c r="W75" s="6"/>
      <c r="X75" s="6"/>
      <c r="Y75" s="6"/>
      <c r="Z75" s="6"/>
      <c r="AA75" s="43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48" t="str" cm="1">
        <f t="array" aca="1" ref="A76" ca="1">IFERROR(INDEX(_xlfn.ANCHORARRAY($AA$11),ROW()-10,1),"")</f>
        <v/>
      </c>
      <c r="B76" s="24" t="str" cm="1">
        <f t="array" aca="1" ref="B76" ca="1">IFERROR(INDEX(_xlfn.ANCHORARRAY($AA$11),ROW()-10,2),"")</f>
        <v/>
      </c>
      <c r="C76" s="16" t="str" cm="1">
        <f t="array" aca="1" ref="C76" ca="1">IFERROR(INDEX(_xlfn.ANCHORARRAY($AA$11),ROW()-10,3),"")</f>
        <v/>
      </c>
      <c r="D76" s="16" t="str" cm="1">
        <f t="array" aca="1" ref="D76" ca="1">IFERROR(INDEX(_xlfn.ANCHORARRAY($AA$11),ROW()-10,4),"")</f>
        <v/>
      </c>
      <c r="E76" s="16" t="str" cm="1">
        <f t="array" aca="1" ref="E76" ca="1">IFERROR(INDEX(_xlfn.ANCHORARRAY($AA$11),ROW()-10,5),"")</f>
        <v/>
      </c>
      <c r="F76" s="16" t="str" cm="1">
        <f t="array" aca="1" ref="F76" ca="1">IFERROR(INDEX(_xlfn.ANCHORARRAY($AA$11),ROW()-10,6),"")</f>
        <v/>
      </c>
      <c r="G76" s="16" t="str" cm="1">
        <f t="array" aca="1" ref="G76" ca="1">IFERROR(INDEX(_xlfn.ANCHORARRAY($AA$11),ROW()-10,7),"")</f>
        <v/>
      </c>
      <c r="H76" s="16" t="str" cm="1">
        <f t="array" aca="1" ref="H76" ca="1">IFERROR(INDEX(_xlfn.ANCHORARRAY($AA$11),ROW()-10,8),"")</f>
        <v/>
      </c>
      <c r="I76" s="16" t="str" cm="1">
        <f t="array" aca="1" ref="I76" ca="1">IFERROR(INDEX(_xlfn.ANCHORARRAY($AA$11),ROW()-10,9),"")</f>
        <v/>
      </c>
      <c r="J76" s="16" t="str">
        <f t="shared" ca="1" si="4"/>
        <v/>
      </c>
      <c r="K76" s="16" t="str">
        <f t="shared" ca="1" si="5"/>
        <v/>
      </c>
      <c r="L76" s="16" t="str" cm="1">
        <f t="array" aca="1" ref="L76" ca="1">_xlfn.LET(_xlpm.link,IFERROR(INDEX(_xlfn.ANCHORARRAY($AA$11),ROW()-10,12),""),IF(_xlpm.link="","",HYPERLINK(_xlpm.link,"Bluecore/Attentive")))</f>
        <v/>
      </c>
      <c r="M76" s="7"/>
      <c r="N76" s="7"/>
      <c r="O76" s="7"/>
      <c r="P76" s="7"/>
      <c r="Q76" s="7"/>
      <c r="R76" s="7"/>
      <c r="S76" s="6"/>
      <c r="T76" s="6"/>
      <c r="U76" s="6"/>
      <c r="V76" s="6"/>
      <c r="W76" s="6"/>
      <c r="X76" s="6"/>
      <c r="Y76" s="6"/>
      <c r="Z76" s="6"/>
      <c r="AA76" s="43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48" t="str" cm="1">
        <f t="array" aca="1" ref="A77" ca="1">IFERROR(INDEX(_xlfn.ANCHORARRAY($AA$11),ROW()-10,1),"")</f>
        <v/>
      </c>
      <c r="B77" s="24" t="str" cm="1">
        <f t="array" aca="1" ref="B77" ca="1">IFERROR(INDEX(_xlfn.ANCHORARRAY($AA$11),ROW()-10,2),"")</f>
        <v/>
      </c>
      <c r="C77" s="16" t="str" cm="1">
        <f t="array" aca="1" ref="C77" ca="1">IFERROR(INDEX(_xlfn.ANCHORARRAY($AA$11),ROW()-10,3),"")</f>
        <v/>
      </c>
      <c r="D77" s="16" t="str" cm="1">
        <f t="array" aca="1" ref="D77" ca="1">IFERROR(INDEX(_xlfn.ANCHORARRAY($AA$11),ROW()-10,4),"")</f>
        <v/>
      </c>
      <c r="E77" s="16" t="str" cm="1">
        <f t="array" aca="1" ref="E77" ca="1">IFERROR(INDEX(_xlfn.ANCHORARRAY($AA$11),ROW()-10,5),"")</f>
        <v/>
      </c>
      <c r="F77" s="16" t="str" cm="1">
        <f t="array" aca="1" ref="F77" ca="1">IFERROR(INDEX(_xlfn.ANCHORARRAY($AA$11),ROW()-10,6),"")</f>
        <v/>
      </c>
      <c r="G77" s="16" t="str" cm="1">
        <f t="array" aca="1" ref="G77" ca="1">IFERROR(INDEX(_xlfn.ANCHORARRAY($AA$11),ROW()-10,7),"")</f>
        <v/>
      </c>
      <c r="H77" s="16" t="str" cm="1">
        <f t="array" aca="1" ref="H77" ca="1">IFERROR(INDEX(_xlfn.ANCHORARRAY($AA$11),ROW()-10,8),"")</f>
        <v/>
      </c>
      <c r="I77" s="16" t="str" cm="1">
        <f t="array" aca="1" ref="I77" ca="1">IFERROR(INDEX(_xlfn.ANCHORARRAY($AA$11),ROW()-10,9),"")</f>
        <v/>
      </c>
      <c r="J77" s="16" t="str">
        <f t="shared" ca="1" si="4"/>
        <v/>
      </c>
      <c r="K77" s="16" t="str">
        <f t="shared" ca="1" si="5"/>
        <v/>
      </c>
      <c r="L77" s="16" t="str" cm="1">
        <f t="array" aca="1" ref="L77" ca="1">_xlfn.LET(_xlpm.link,IFERROR(INDEX(_xlfn.ANCHORARRAY($AA$11),ROW()-10,12),""),IF(_xlpm.link="","",HYPERLINK(_xlpm.link,"Bluecore/Attentive")))</f>
        <v/>
      </c>
      <c r="M77" s="7"/>
      <c r="N77" s="7"/>
      <c r="O77" s="7"/>
      <c r="P77" s="7"/>
      <c r="Q77" s="7"/>
      <c r="R77" s="7"/>
      <c r="S77" s="6"/>
      <c r="T77" s="6"/>
      <c r="U77" s="6"/>
      <c r="V77" s="6"/>
      <c r="W77" s="6"/>
      <c r="X77" s="6"/>
      <c r="Y77" s="6"/>
      <c r="Z77" s="6"/>
      <c r="AA77" s="43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48" t="str" cm="1">
        <f t="array" aca="1" ref="A78" ca="1">IFERROR(INDEX(_xlfn.ANCHORARRAY($AA$11),ROW()-10,1),"")</f>
        <v/>
      </c>
      <c r="B78" s="24" t="str" cm="1">
        <f t="array" aca="1" ref="B78" ca="1">IFERROR(INDEX(_xlfn.ANCHORARRAY($AA$11),ROW()-10,2),"")</f>
        <v/>
      </c>
      <c r="C78" s="16" t="str" cm="1">
        <f t="array" aca="1" ref="C78" ca="1">IFERROR(INDEX(_xlfn.ANCHORARRAY($AA$11),ROW()-10,3),"")</f>
        <v/>
      </c>
      <c r="D78" s="16" t="str" cm="1">
        <f t="array" aca="1" ref="D78" ca="1">IFERROR(INDEX(_xlfn.ANCHORARRAY($AA$11),ROW()-10,4),"")</f>
        <v/>
      </c>
      <c r="E78" s="16" t="str" cm="1">
        <f t="array" aca="1" ref="E78" ca="1">IFERROR(INDEX(_xlfn.ANCHORARRAY($AA$11),ROW()-10,5),"")</f>
        <v/>
      </c>
      <c r="F78" s="16" t="str" cm="1">
        <f t="array" aca="1" ref="F78" ca="1">IFERROR(INDEX(_xlfn.ANCHORARRAY($AA$11),ROW()-10,6),"")</f>
        <v/>
      </c>
      <c r="G78" s="16" t="str" cm="1">
        <f t="array" aca="1" ref="G78" ca="1">IFERROR(INDEX(_xlfn.ANCHORARRAY($AA$11),ROW()-10,7),"")</f>
        <v/>
      </c>
      <c r="H78" s="16" t="str" cm="1">
        <f t="array" aca="1" ref="H78" ca="1">IFERROR(INDEX(_xlfn.ANCHORARRAY($AA$11),ROW()-10,8),"")</f>
        <v/>
      </c>
      <c r="I78" s="16" t="str" cm="1">
        <f t="array" aca="1" ref="I78" ca="1">IFERROR(INDEX(_xlfn.ANCHORARRAY($AA$11),ROW()-10,9),"")</f>
        <v/>
      </c>
      <c r="J78" s="16" t="str">
        <f t="shared" ca="1" si="4"/>
        <v/>
      </c>
      <c r="K78" s="16" t="str">
        <f t="shared" ca="1" si="5"/>
        <v/>
      </c>
      <c r="L78" s="16" t="str" cm="1">
        <f t="array" aca="1" ref="L78" ca="1">_xlfn.LET(_xlpm.link,IFERROR(INDEX(_xlfn.ANCHORARRAY($AA$11),ROW()-10,12),""),IF(_xlpm.link="","",HYPERLINK(_xlpm.link,"Bluecore/Attentive")))</f>
        <v/>
      </c>
      <c r="M78" s="7"/>
      <c r="N78" s="7"/>
      <c r="O78" s="7"/>
      <c r="P78" s="7"/>
      <c r="Q78" s="7"/>
      <c r="R78" s="7"/>
      <c r="S78" s="6"/>
      <c r="T78" s="6"/>
      <c r="U78" s="6"/>
      <c r="V78" s="6"/>
      <c r="W78" s="6"/>
      <c r="X78" s="6"/>
      <c r="Y78" s="6"/>
      <c r="Z78" s="6"/>
      <c r="AA78" s="43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48" t="str" cm="1">
        <f t="array" aca="1" ref="A79" ca="1">IFERROR(INDEX(_xlfn.ANCHORARRAY($AA$11),ROW()-10,1),"")</f>
        <v/>
      </c>
      <c r="B79" s="24" t="str" cm="1">
        <f t="array" aca="1" ref="B79" ca="1">IFERROR(INDEX(_xlfn.ANCHORARRAY($AA$11),ROW()-10,2),"")</f>
        <v/>
      </c>
      <c r="C79" s="16" t="str" cm="1">
        <f t="array" aca="1" ref="C79" ca="1">IFERROR(INDEX(_xlfn.ANCHORARRAY($AA$11),ROW()-10,3),"")</f>
        <v/>
      </c>
      <c r="D79" s="16" t="str" cm="1">
        <f t="array" aca="1" ref="D79" ca="1">IFERROR(INDEX(_xlfn.ANCHORARRAY($AA$11),ROW()-10,4),"")</f>
        <v/>
      </c>
      <c r="E79" s="16" t="str" cm="1">
        <f t="array" aca="1" ref="E79" ca="1">IFERROR(INDEX(_xlfn.ANCHORARRAY($AA$11),ROW()-10,5),"")</f>
        <v/>
      </c>
      <c r="F79" s="16" t="str" cm="1">
        <f t="array" aca="1" ref="F79" ca="1">IFERROR(INDEX(_xlfn.ANCHORARRAY($AA$11),ROW()-10,6),"")</f>
        <v/>
      </c>
      <c r="G79" s="16" t="str" cm="1">
        <f t="array" aca="1" ref="G79" ca="1">IFERROR(INDEX(_xlfn.ANCHORARRAY($AA$11),ROW()-10,7),"")</f>
        <v/>
      </c>
      <c r="H79" s="16" t="str" cm="1">
        <f t="array" aca="1" ref="H79" ca="1">IFERROR(INDEX(_xlfn.ANCHORARRAY($AA$11),ROW()-10,8),"")</f>
        <v/>
      </c>
      <c r="I79" s="16" t="str" cm="1">
        <f t="array" aca="1" ref="I79" ca="1">IFERROR(INDEX(_xlfn.ANCHORARRAY($AA$11),ROW()-10,9),"")</f>
        <v/>
      </c>
      <c r="J79" s="16" t="str">
        <f t="shared" ca="1" si="4"/>
        <v/>
      </c>
      <c r="K79" s="16" t="str">
        <f t="shared" ca="1" si="5"/>
        <v/>
      </c>
      <c r="L79" s="16" t="str" cm="1">
        <f t="array" aca="1" ref="L79" ca="1">_xlfn.LET(_xlpm.link,IFERROR(INDEX(_xlfn.ANCHORARRAY($AA$11),ROW()-10,12),""),IF(_xlpm.link="","",HYPERLINK(_xlpm.link,"Bluecore/Attentive")))</f>
        <v/>
      </c>
      <c r="M79" s="7"/>
      <c r="N79" s="7"/>
      <c r="O79" s="7"/>
      <c r="P79" s="7"/>
      <c r="Q79" s="7"/>
      <c r="R79" s="7"/>
      <c r="S79" s="6"/>
      <c r="T79" s="6"/>
      <c r="U79" s="6"/>
      <c r="V79" s="6"/>
      <c r="W79" s="6"/>
      <c r="X79" s="6"/>
      <c r="Y79" s="6"/>
      <c r="Z79" s="6"/>
      <c r="AA79" s="43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48" t="str" cm="1">
        <f t="array" aca="1" ref="A80" ca="1">IFERROR(INDEX(_xlfn.ANCHORARRAY($AA$11),ROW()-10,1),"")</f>
        <v/>
      </c>
      <c r="B80" s="24" t="str" cm="1">
        <f t="array" aca="1" ref="B80" ca="1">IFERROR(INDEX(_xlfn.ANCHORARRAY($AA$11),ROW()-10,2),"")</f>
        <v/>
      </c>
      <c r="C80" s="16" t="str" cm="1">
        <f t="array" aca="1" ref="C80" ca="1">IFERROR(INDEX(_xlfn.ANCHORARRAY($AA$11),ROW()-10,3),"")</f>
        <v/>
      </c>
      <c r="D80" s="16" t="str" cm="1">
        <f t="array" aca="1" ref="D80" ca="1">IFERROR(INDEX(_xlfn.ANCHORARRAY($AA$11),ROW()-10,4),"")</f>
        <v/>
      </c>
      <c r="E80" s="16" t="str" cm="1">
        <f t="array" aca="1" ref="E80" ca="1">IFERROR(INDEX(_xlfn.ANCHORARRAY($AA$11),ROW()-10,5),"")</f>
        <v/>
      </c>
      <c r="F80" s="16" t="str" cm="1">
        <f t="array" aca="1" ref="F80" ca="1">IFERROR(INDEX(_xlfn.ANCHORARRAY($AA$11),ROW()-10,6),"")</f>
        <v/>
      </c>
      <c r="G80" s="16" t="str" cm="1">
        <f t="array" aca="1" ref="G80" ca="1">IFERROR(INDEX(_xlfn.ANCHORARRAY($AA$11),ROW()-10,7),"")</f>
        <v/>
      </c>
      <c r="H80" s="16" t="str" cm="1">
        <f t="array" aca="1" ref="H80" ca="1">IFERROR(INDEX(_xlfn.ANCHORARRAY($AA$11),ROW()-10,8),"")</f>
        <v/>
      </c>
      <c r="I80" s="16" t="str" cm="1">
        <f t="array" aca="1" ref="I80" ca="1">IFERROR(INDEX(_xlfn.ANCHORARRAY($AA$11),ROW()-10,9),"")</f>
        <v/>
      </c>
      <c r="J80" s="16" t="str">
        <f t="shared" ca="1" si="4"/>
        <v/>
      </c>
      <c r="K80" s="16" t="str">
        <f t="shared" ca="1" si="5"/>
        <v/>
      </c>
      <c r="L80" s="16" t="str" cm="1">
        <f t="array" aca="1" ref="L80" ca="1">_xlfn.LET(_xlpm.link,IFERROR(INDEX(_xlfn.ANCHORARRAY($AA$11),ROW()-10,12),""),IF(_xlpm.link="","",HYPERLINK(_xlpm.link,"Bluecore/Attentive")))</f>
        <v/>
      </c>
      <c r="M80" s="7"/>
      <c r="N80" s="7"/>
      <c r="O80" s="7"/>
      <c r="P80" s="7"/>
      <c r="Q80" s="7"/>
      <c r="R80" s="7"/>
      <c r="S80" s="6"/>
      <c r="T80" s="6"/>
      <c r="U80" s="6"/>
      <c r="V80" s="6"/>
      <c r="W80" s="6"/>
      <c r="X80" s="6"/>
      <c r="Y80" s="6"/>
      <c r="Z80" s="6"/>
      <c r="AA80" s="43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48" t="str" cm="1">
        <f t="array" aca="1" ref="A81" ca="1">IFERROR(INDEX(_xlfn.ANCHORARRAY($AA$11),ROW()-10,1),"")</f>
        <v/>
      </c>
      <c r="B81" s="24" t="str" cm="1">
        <f t="array" aca="1" ref="B81" ca="1">IFERROR(INDEX(_xlfn.ANCHORARRAY($AA$11),ROW()-10,2),"")</f>
        <v/>
      </c>
      <c r="C81" s="16" t="str" cm="1">
        <f t="array" aca="1" ref="C81" ca="1">IFERROR(INDEX(_xlfn.ANCHORARRAY($AA$11),ROW()-10,3),"")</f>
        <v/>
      </c>
      <c r="D81" s="16" t="str" cm="1">
        <f t="array" aca="1" ref="D81" ca="1">IFERROR(INDEX(_xlfn.ANCHORARRAY($AA$11),ROW()-10,4),"")</f>
        <v/>
      </c>
      <c r="E81" s="16" t="str" cm="1">
        <f t="array" aca="1" ref="E81" ca="1">IFERROR(INDEX(_xlfn.ANCHORARRAY($AA$11),ROW()-10,5),"")</f>
        <v/>
      </c>
      <c r="F81" s="16" t="str" cm="1">
        <f t="array" aca="1" ref="F81" ca="1">IFERROR(INDEX(_xlfn.ANCHORARRAY($AA$11),ROW()-10,6),"")</f>
        <v/>
      </c>
      <c r="G81" s="16" t="str" cm="1">
        <f t="array" aca="1" ref="G81" ca="1">IFERROR(INDEX(_xlfn.ANCHORARRAY($AA$11),ROW()-10,7),"")</f>
        <v/>
      </c>
      <c r="H81" s="16" t="str" cm="1">
        <f t="array" aca="1" ref="H81" ca="1">IFERROR(INDEX(_xlfn.ANCHORARRAY($AA$11),ROW()-10,8),"")</f>
        <v/>
      </c>
      <c r="I81" s="16" t="str" cm="1">
        <f t="array" aca="1" ref="I81" ca="1">IFERROR(INDEX(_xlfn.ANCHORARRAY($AA$11),ROW()-10,9),"")</f>
        <v/>
      </c>
      <c r="J81" s="16" t="str">
        <f t="shared" ca="1" si="4"/>
        <v/>
      </c>
      <c r="K81" s="16" t="str">
        <f t="shared" ca="1" si="5"/>
        <v/>
      </c>
      <c r="L81" s="16" t="str" cm="1">
        <f t="array" aca="1" ref="L81" ca="1">_xlfn.LET(_xlpm.link,IFERROR(INDEX(_xlfn.ANCHORARRAY($AA$11),ROW()-10,12),""),IF(_xlpm.link="","",HYPERLINK(_xlpm.link,"Bluecore/Attentive")))</f>
        <v/>
      </c>
      <c r="M81" s="7"/>
      <c r="N81" s="7"/>
      <c r="O81" s="7"/>
      <c r="P81" s="7"/>
      <c r="Q81" s="7"/>
      <c r="R81" s="7"/>
      <c r="S81" s="6"/>
      <c r="T81" s="6"/>
      <c r="U81" s="6"/>
      <c r="V81" s="6"/>
      <c r="W81" s="6"/>
      <c r="X81" s="6"/>
      <c r="Y81" s="6"/>
      <c r="Z81" s="6"/>
      <c r="AA81" s="43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48" t="str" cm="1">
        <f t="array" aca="1" ref="A82" ca="1">IFERROR(INDEX(_xlfn.ANCHORARRAY($AA$11),ROW()-10,1),"")</f>
        <v/>
      </c>
      <c r="B82" s="24" t="str" cm="1">
        <f t="array" aca="1" ref="B82" ca="1">IFERROR(INDEX(_xlfn.ANCHORARRAY($AA$11),ROW()-10,2),"")</f>
        <v/>
      </c>
      <c r="C82" s="16" t="str" cm="1">
        <f t="array" aca="1" ref="C82" ca="1">IFERROR(INDEX(_xlfn.ANCHORARRAY($AA$11),ROW()-10,3),"")</f>
        <v/>
      </c>
      <c r="D82" s="16" t="str" cm="1">
        <f t="array" aca="1" ref="D82" ca="1">IFERROR(INDEX(_xlfn.ANCHORARRAY($AA$11),ROW()-10,4),"")</f>
        <v/>
      </c>
      <c r="E82" s="16" t="str" cm="1">
        <f t="array" aca="1" ref="E82" ca="1">IFERROR(INDEX(_xlfn.ANCHORARRAY($AA$11),ROW()-10,5),"")</f>
        <v/>
      </c>
      <c r="F82" s="16" t="str" cm="1">
        <f t="array" aca="1" ref="F82" ca="1">IFERROR(INDEX(_xlfn.ANCHORARRAY($AA$11),ROW()-10,6),"")</f>
        <v/>
      </c>
      <c r="G82" s="16" t="str" cm="1">
        <f t="array" aca="1" ref="G82" ca="1">IFERROR(INDEX(_xlfn.ANCHORARRAY($AA$11),ROW()-10,7),"")</f>
        <v/>
      </c>
      <c r="H82" s="16" t="str" cm="1">
        <f t="array" aca="1" ref="H82" ca="1">IFERROR(INDEX(_xlfn.ANCHORARRAY($AA$11),ROW()-10,8),"")</f>
        <v/>
      </c>
      <c r="I82" s="16" t="str" cm="1">
        <f t="array" aca="1" ref="I82" ca="1">IFERROR(INDEX(_xlfn.ANCHORARRAY($AA$11),ROW()-10,9),"")</f>
        <v/>
      </c>
      <c r="J82" s="16" t="str">
        <f t="shared" ca="1" si="4"/>
        <v/>
      </c>
      <c r="K82" s="16" t="str">
        <f t="shared" ca="1" si="5"/>
        <v/>
      </c>
      <c r="L82" s="16" t="str" cm="1">
        <f t="array" aca="1" ref="L82" ca="1">_xlfn.LET(_xlpm.link,IFERROR(INDEX(_xlfn.ANCHORARRAY($AA$11),ROW()-10,12),""),IF(_xlpm.link="","",HYPERLINK(_xlpm.link,"Bluecore/Attentive")))</f>
        <v/>
      </c>
      <c r="M82" s="7"/>
      <c r="N82" s="7"/>
      <c r="O82" s="7"/>
      <c r="P82" s="7"/>
      <c r="Q82" s="7"/>
      <c r="R82" s="7"/>
      <c r="S82" s="6"/>
      <c r="T82" s="6"/>
      <c r="U82" s="6"/>
      <c r="V82" s="6"/>
      <c r="W82" s="6"/>
      <c r="X82" s="6"/>
      <c r="Y82" s="6"/>
      <c r="Z82" s="6"/>
      <c r="AA82" s="43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48" t="str" cm="1">
        <f t="array" aca="1" ref="A83" ca="1">IFERROR(INDEX(_xlfn.ANCHORARRAY($AA$11),ROW()-10,1),"")</f>
        <v/>
      </c>
      <c r="B83" s="24" t="str" cm="1">
        <f t="array" aca="1" ref="B83" ca="1">IFERROR(INDEX(_xlfn.ANCHORARRAY($AA$11),ROW()-10,2),"")</f>
        <v/>
      </c>
      <c r="C83" s="16" t="str" cm="1">
        <f t="array" aca="1" ref="C83" ca="1">IFERROR(INDEX(_xlfn.ANCHORARRAY($AA$11),ROW()-10,3),"")</f>
        <v/>
      </c>
      <c r="D83" s="16" t="str" cm="1">
        <f t="array" aca="1" ref="D83" ca="1">IFERROR(INDEX(_xlfn.ANCHORARRAY($AA$11),ROW()-10,4),"")</f>
        <v/>
      </c>
      <c r="E83" s="16" t="str" cm="1">
        <f t="array" aca="1" ref="E83" ca="1">IFERROR(INDEX(_xlfn.ANCHORARRAY($AA$11),ROW()-10,5),"")</f>
        <v/>
      </c>
      <c r="F83" s="16" t="str" cm="1">
        <f t="array" aca="1" ref="F83" ca="1">IFERROR(INDEX(_xlfn.ANCHORARRAY($AA$11),ROW()-10,6),"")</f>
        <v/>
      </c>
      <c r="G83" s="16" t="str" cm="1">
        <f t="array" aca="1" ref="G83" ca="1">IFERROR(INDEX(_xlfn.ANCHORARRAY($AA$11),ROW()-10,7),"")</f>
        <v/>
      </c>
      <c r="H83" s="16" t="str" cm="1">
        <f t="array" aca="1" ref="H83" ca="1">IFERROR(INDEX(_xlfn.ANCHORARRAY($AA$11),ROW()-10,8),"")</f>
        <v/>
      </c>
      <c r="I83" s="16" t="str" cm="1">
        <f t="array" aca="1" ref="I83" ca="1">IFERROR(INDEX(_xlfn.ANCHORARRAY($AA$11),ROW()-10,9),"")</f>
        <v/>
      </c>
      <c r="J83" s="16" t="str">
        <f t="shared" ca="1" si="4"/>
        <v/>
      </c>
      <c r="K83" s="16" t="str">
        <f t="shared" ca="1" si="5"/>
        <v/>
      </c>
      <c r="L83" s="16" t="str" cm="1">
        <f t="array" aca="1" ref="L83" ca="1">_xlfn.LET(_xlpm.link,IFERROR(INDEX(_xlfn.ANCHORARRAY($AA$11),ROW()-10,12),""),IF(_xlpm.link="","",HYPERLINK(_xlpm.link,"Bluecore/Attentive")))</f>
        <v/>
      </c>
      <c r="M83" s="7"/>
      <c r="N83" s="7"/>
      <c r="O83" s="7"/>
      <c r="P83" s="7"/>
      <c r="Q83" s="7"/>
      <c r="R83" s="7"/>
      <c r="S83" s="6"/>
      <c r="T83" s="6"/>
      <c r="U83" s="6"/>
      <c r="V83" s="6"/>
      <c r="W83" s="6"/>
      <c r="X83" s="6"/>
      <c r="Y83" s="6"/>
      <c r="Z83" s="6"/>
      <c r="AA83" s="4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48" t="str" cm="1">
        <f t="array" aca="1" ref="A84" ca="1">IFERROR(INDEX(_xlfn.ANCHORARRAY($AA$11),ROW()-10,1),"")</f>
        <v/>
      </c>
      <c r="B84" s="24" t="str" cm="1">
        <f t="array" aca="1" ref="B84" ca="1">IFERROR(INDEX(_xlfn.ANCHORARRAY($AA$11),ROW()-10,2),"")</f>
        <v/>
      </c>
      <c r="C84" s="16" t="str" cm="1">
        <f t="array" aca="1" ref="C84" ca="1">IFERROR(INDEX(_xlfn.ANCHORARRAY($AA$11),ROW()-10,3),"")</f>
        <v/>
      </c>
      <c r="D84" s="16" t="str" cm="1">
        <f t="array" aca="1" ref="D84" ca="1">IFERROR(INDEX(_xlfn.ANCHORARRAY($AA$11),ROW()-10,4),"")</f>
        <v/>
      </c>
      <c r="E84" s="16" t="str" cm="1">
        <f t="array" aca="1" ref="E84" ca="1">IFERROR(INDEX(_xlfn.ANCHORARRAY($AA$11),ROW()-10,5),"")</f>
        <v/>
      </c>
      <c r="F84" s="16" t="str" cm="1">
        <f t="array" aca="1" ref="F84" ca="1">IFERROR(INDEX(_xlfn.ANCHORARRAY($AA$11),ROW()-10,6),"")</f>
        <v/>
      </c>
      <c r="G84" s="16" t="str" cm="1">
        <f t="array" aca="1" ref="G84" ca="1">IFERROR(INDEX(_xlfn.ANCHORARRAY($AA$11),ROW()-10,7),"")</f>
        <v/>
      </c>
      <c r="H84" s="16" t="str" cm="1">
        <f t="array" aca="1" ref="H84" ca="1">IFERROR(INDEX(_xlfn.ANCHORARRAY($AA$11),ROW()-10,8),"")</f>
        <v/>
      </c>
      <c r="I84" s="16" t="str" cm="1">
        <f t="array" aca="1" ref="I84" ca="1">IFERROR(INDEX(_xlfn.ANCHORARRAY($AA$11),ROW()-10,9),"")</f>
        <v/>
      </c>
      <c r="J84" s="16" t="str">
        <f t="shared" ca="1" si="4"/>
        <v/>
      </c>
      <c r="K84" s="16" t="str">
        <f t="shared" ca="1" si="5"/>
        <v/>
      </c>
      <c r="L84" s="16" t="str" cm="1">
        <f t="array" aca="1" ref="L84" ca="1">_xlfn.LET(_xlpm.link,IFERROR(INDEX(_xlfn.ANCHORARRAY($AA$11),ROW()-10,12),""),IF(_xlpm.link="","",HYPERLINK(_xlpm.link,"Bluecore/Attentive")))</f>
        <v/>
      </c>
      <c r="M84" s="7"/>
      <c r="N84" s="7"/>
      <c r="O84" s="7"/>
      <c r="P84" s="7"/>
      <c r="Q84" s="7"/>
      <c r="R84" s="7"/>
      <c r="S84" s="6"/>
      <c r="T84" s="6"/>
      <c r="U84" s="6"/>
      <c r="V84" s="6"/>
      <c r="W84" s="6"/>
      <c r="X84" s="6"/>
      <c r="Y84" s="6"/>
      <c r="Z84" s="6"/>
      <c r="AA84" s="43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48" t="str" cm="1">
        <f t="array" aca="1" ref="A85" ca="1">IFERROR(INDEX(_xlfn.ANCHORARRAY($AA$11),ROW()-10,1),"")</f>
        <v/>
      </c>
      <c r="B85" s="24" t="str" cm="1">
        <f t="array" aca="1" ref="B85" ca="1">IFERROR(INDEX(_xlfn.ANCHORARRAY($AA$11),ROW()-10,2),"")</f>
        <v/>
      </c>
      <c r="C85" s="16" t="str" cm="1">
        <f t="array" aca="1" ref="C85" ca="1">IFERROR(INDEX(_xlfn.ANCHORARRAY($AA$11),ROW()-10,3),"")</f>
        <v/>
      </c>
      <c r="D85" s="16" t="str" cm="1">
        <f t="array" aca="1" ref="D85" ca="1">IFERROR(INDEX(_xlfn.ANCHORARRAY($AA$11),ROW()-10,4),"")</f>
        <v/>
      </c>
      <c r="E85" s="16" t="str" cm="1">
        <f t="array" aca="1" ref="E85" ca="1">IFERROR(INDEX(_xlfn.ANCHORARRAY($AA$11),ROW()-10,5),"")</f>
        <v/>
      </c>
      <c r="F85" s="16" t="str" cm="1">
        <f t="array" aca="1" ref="F85" ca="1">IFERROR(INDEX(_xlfn.ANCHORARRAY($AA$11),ROW()-10,6),"")</f>
        <v/>
      </c>
      <c r="G85" s="16" t="str" cm="1">
        <f t="array" aca="1" ref="G85" ca="1">IFERROR(INDEX(_xlfn.ANCHORARRAY($AA$11),ROW()-10,7),"")</f>
        <v/>
      </c>
      <c r="H85" s="16" t="str" cm="1">
        <f t="array" aca="1" ref="H85" ca="1">IFERROR(INDEX(_xlfn.ANCHORARRAY($AA$11),ROW()-10,8),"")</f>
        <v/>
      </c>
      <c r="I85" s="16" t="str" cm="1">
        <f t="array" aca="1" ref="I85" ca="1">IFERROR(INDEX(_xlfn.ANCHORARRAY($AA$11),ROW()-10,9),"")</f>
        <v/>
      </c>
      <c r="J85" s="16" t="str">
        <f t="shared" ca="1" si="4"/>
        <v/>
      </c>
      <c r="K85" s="16" t="str">
        <f t="shared" ca="1" si="5"/>
        <v/>
      </c>
      <c r="L85" s="16" t="str" cm="1">
        <f t="array" aca="1" ref="L85" ca="1">_xlfn.LET(_xlpm.link,IFERROR(INDEX(_xlfn.ANCHORARRAY($AA$11),ROW()-10,12),""),IF(_xlpm.link="","",HYPERLINK(_xlpm.link,"Bluecore/Attentive")))</f>
        <v/>
      </c>
      <c r="M85" s="7"/>
      <c r="N85" s="7"/>
      <c r="O85" s="7"/>
      <c r="P85" s="7"/>
      <c r="Q85" s="7"/>
      <c r="R85" s="7"/>
      <c r="S85" s="6"/>
      <c r="T85" s="6"/>
      <c r="U85" s="6"/>
      <c r="V85" s="6"/>
      <c r="W85" s="6"/>
      <c r="X85" s="6"/>
      <c r="Y85" s="6"/>
      <c r="Z85" s="6"/>
      <c r="AA85" s="43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48" t="str" cm="1">
        <f t="array" aca="1" ref="A86" ca="1">IFERROR(INDEX(_xlfn.ANCHORARRAY($AA$11),ROW()-10,1),"")</f>
        <v/>
      </c>
      <c r="B86" s="24" t="str" cm="1">
        <f t="array" aca="1" ref="B86" ca="1">IFERROR(INDEX(_xlfn.ANCHORARRAY($AA$11),ROW()-10,2),"")</f>
        <v/>
      </c>
      <c r="C86" s="16" t="str" cm="1">
        <f t="array" aca="1" ref="C86" ca="1">IFERROR(INDEX(_xlfn.ANCHORARRAY($AA$11),ROW()-10,3),"")</f>
        <v/>
      </c>
      <c r="D86" s="16" t="str" cm="1">
        <f t="array" aca="1" ref="D86" ca="1">IFERROR(INDEX(_xlfn.ANCHORARRAY($AA$11),ROW()-10,4),"")</f>
        <v/>
      </c>
      <c r="E86" s="16" t="str" cm="1">
        <f t="array" aca="1" ref="E86" ca="1">IFERROR(INDEX(_xlfn.ANCHORARRAY($AA$11),ROW()-10,5),"")</f>
        <v/>
      </c>
      <c r="F86" s="16" t="str" cm="1">
        <f t="array" aca="1" ref="F86" ca="1">IFERROR(INDEX(_xlfn.ANCHORARRAY($AA$11),ROW()-10,6),"")</f>
        <v/>
      </c>
      <c r="G86" s="16" t="str" cm="1">
        <f t="array" aca="1" ref="G86" ca="1">IFERROR(INDEX(_xlfn.ANCHORARRAY($AA$11),ROW()-10,7),"")</f>
        <v/>
      </c>
      <c r="H86" s="16" t="str" cm="1">
        <f t="array" aca="1" ref="H86" ca="1">IFERROR(INDEX(_xlfn.ANCHORARRAY($AA$11),ROW()-10,8),"")</f>
        <v/>
      </c>
      <c r="I86" s="16" t="str" cm="1">
        <f t="array" aca="1" ref="I86" ca="1">IFERROR(INDEX(_xlfn.ANCHORARRAY($AA$11),ROW()-10,9),"")</f>
        <v/>
      </c>
      <c r="J86" s="16" t="str">
        <f t="shared" ca="1" si="4"/>
        <v/>
      </c>
      <c r="K86" s="16" t="str">
        <f t="shared" ca="1" si="5"/>
        <v/>
      </c>
      <c r="L86" s="16" t="str" cm="1">
        <f t="array" aca="1" ref="L86" ca="1">_xlfn.LET(_xlpm.link,IFERROR(INDEX(_xlfn.ANCHORARRAY($AA$11),ROW()-10,12),""),IF(_xlpm.link="","",HYPERLINK(_xlpm.link,"Bluecore/Attentive")))</f>
        <v/>
      </c>
      <c r="M86" s="7"/>
      <c r="N86" s="7"/>
      <c r="O86" s="7"/>
      <c r="P86" s="7"/>
      <c r="Q86" s="7"/>
      <c r="R86" s="7"/>
      <c r="S86" s="6"/>
      <c r="T86" s="6"/>
      <c r="U86" s="6"/>
      <c r="V86" s="6"/>
      <c r="W86" s="6"/>
      <c r="X86" s="6"/>
      <c r="Y86" s="6"/>
      <c r="Z86" s="6"/>
      <c r="AA86" s="43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48" t="str" cm="1">
        <f t="array" aca="1" ref="A87" ca="1">IFERROR(INDEX(_xlfn.ANCHORARRAY($AA$11),ROW()-10,1),"")</f>
        <v/>
      </c>
      <c r="B87" s="24" t="str" cm="1">
        <f t="array" aca="1" ref="B87" ca="1">IFERROR(INDEX(_xlfn.ANCHORARRAY($AA$11),ROW()-10,2),"")</f>
        <v/>
      </c>
      <c r="C87" s="16" t="str" cm="1">
        <f t="array" aca="1" ref="C87" ca="1">IFERROR(INDEX(_xlfn.ANCHORARRAY($AA$11),ROW()-10,3),"")</f>
        <v/>
      </c>
      <c r="D87" s="16" t="str" cm="1">
        <f t="array" aca="1" ref="D87" ca="1">IFERROR(INDEX(_xlfn.ANCHORARRAY($AA$11),ROW()-10,4),"")</f>
        <v/>
      </c>
      <c r="E87" s="16" t="str" cm="1">
        <f t="array" aca="1" ref="E87" ca="1">IFERROR(INDEX(_xlfn.ANCHORARRAY($AA$11),ROW()-10,5),"")</f>
        <v/>
      </c>
      <c r="F87" s="16" t="str" cm="1">
        <f t="array" aca="1" ref="F87" ca="1">IFERROR(INDEX(_xlfn.ANCHORARRAY($AA$11),ROW()-10,6),"")</f>
        <v/>
      </c>
      <c r="G87" s="16" t="str" cm="1">
        <f t="array" aca="1" ref="G87" ca="1">IFERROR(INDEX(_xlfn.ANCHORARRAY($AA$11),ROW()-10,7),"")</f>
        <v/>
      </c>
      <c r="H87" s="16" t="str" cm="1">
        <f t="array" aca="1" ref="H87" ca="1">IFERROR(INDEX(_xlfn.ANCHORARRAY($AA$11),ROW()-10,8),"")</f>
        <v/>
      </c>
      <c r="I87" s="16" t="str" cm="1">
        <f t="array" aca="1" ref="I87" ca="1">IFERROR(INDEX(_xlfn.ANCHORARRAY($AA$11),ROW()-10,9),"")</f>
        <v/>
      </c>
      <c r="J87" s="16" t="str">
        <f t="shared" ca="1" si="4"/>
        <v/>
      </c>
      <c r="K87" s="16" t="str">
        <f t="shared" ca="1" si="5"/>
        <v/>
      </c>
      <c r="L87" s="16" t="str" cm="1">
        <f t="array" aca="1" ref="L87" ca="1">_xlfn.LET(_xlpm.link,IFERROR(INDEX(_xlfn.ANCHORARRAY($AA$11),ROW()-10,12),""),IF(_xlpm.link="","",HYPERLINK(_xlpm.link,"Bluecore/Attentive")))</f>
        <v/>
      </c>
      <c r="M87" s="7"/>
      <c r="N87" s="7"/>
      <c r="O87" s="7"/>
      <c r="P87" s="7"/>
      <c r="Q87" s="7"/>
      <c r="R87" s="7"/>
      <c r="S87" s="6"/>
      <c r="T87" s="6"/>
      <c r="U87" s="6"/>
      <c r="V87" s="6"/>
      <c r="W87" s="6"/>
      <c r="X87" s="6"/>
      <c r="Y87" s="6"/>
      <c r="Z87" s="6"/>
      <c r="AA87" s="43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48" t="str" cm="1">
        <f t="array" aca="1" ref="A88" ca="1">IFERROR(INDEX(_xlfn.ANCHORARRAY($AA$11),ROW()-10,1),"")</f>
        <v/>
      </c>
      <c r="B88" s="24" t="str" cm="1">
        <f t="array" aca="1" ref="B88" ca="1">IFERROR(INDEX(_xlfn.ANCHORARRAY($AA$11),ROW()-10,2),"")</f>
        <v/>
      </c>
      <c r="C88" s="16" t="str" cm="1">
        <f t="array" aca="1" ref="C88" ca="1">IFERROR(INDEX(_xlfn.ANCHORARRAY($AA$11),ROW()-10,3),"")</f>
        <v/>
      </c>
      <c r="D88" s="16" t="str" cm="1">
        <f t="array" aca="1" ref="D88" ca="1">IFERROR(INDEX(_xlfn.ANCHORARRAY($AA$11),ROW()-10,4),"")</f>
        <v/>
      </c>
      <c r="E88" s="16" t="str" cm="1">
        <f t="array" aca="1" ref="E88" ca="1">IFERROR(INDEX(_xlfn.ANCHORARRAY($AA$11),ROW()-10,5),"")</f>
        <v/>
      </c>
      <c r="F88" s="16" t="str" cm="1">
        <f t="array" aca="1" ref="F88" ca="1">IFERROR(INDEX(_xlfn.ANCHORARRAY($AA$11),ROW()-10,6),"")</f>
        <v/>
      </c>
      <c r="G88" s="16" t="str" cm="1">
        <f t="array" aca="1" ref="G88" ca="1">IFERROR(INDEX(_xlfn.ANCHORARRAY($AA$11),ROW()-10,7),"")</f>
        <v/>
      </c>
      <c r="H88" s="16" t="str" cm="1">
        <f t="array" aca="1" ref="H88" ca="1">IFERROR(INDEX(_xlfn.ANCHORARRAY($AA$11),ROW()-10,8),"")</f>
        <v/>
      </c>
      <c r="I88" s="16" t="str" cm="1">
        <f t="array" aca="1" ref="I88" ca="1">IFERROR(INDEX(_xlfn.ANCHORARRAY($AA$11),ROW()-10,9),"")</f>
        <v/>
      </c>
      <c r="J88" s="16" t="str">
        <f t="shared" ca="1" si="4"/>
        <v/>
      </c>
      <c r="K88" s="16" t="str">
        <f t="shared" ca="1" si="5"/>
        <v/>
      </c>
      <c r="L88" s="16" t="str" cm="1">
        <f t="array" aca="1" ref="L88" ca="1">_xlfn.LET(_xlpm.link,IFERROR(INDEX(_xlfn.ANCHORARRAY($AA$11),ROW()-10,12),""),IF(_xlpm.link="","",HYPERLINK(_xlpm.link,"Bluecore/Attentive")))</f>
        <v/>
      </c>
      <c r="M88" s="7"/>
      <c r="N88" s="7"/>
      <c r="O88" s="7"/>
      <c r="P88" s="7"/>
      <c r="Q88" s="7"/>
      <c r="R88" s="7"/>
      <c r="S88" s="6"/>
      <c r="T88" s="6"/>
      <c r="U88" s="6"/>
      <c r="V88" s="6"/>
      <c r="W88" s="6"/>
      <c r="X88" s="6"/>
      <c r="Y88" s="6"/>
      <c r="Z88" s="6"/>
      <c r="AA88" s="43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48" t="str" cm="1">
        <f t="array" aca="1" ref="A89" ca="1">IFERROR(INDEX(_xlfn.ANCHORARRAY($AA$11),ROW()-10,1),"")</f>
        <v/>
      </c>
      <c r="B89" s="24" t="str" cm="1">
        <f t="array" aca="1" ref="B89" ca="1">IFERROR(INDEX(_xlfn.ANCHORARRAY($AA$11),ROW()-10,2),"")</f>
        <v/>
      </c>
      <c r="C89" s="16" t="str" cm="1">
        <f t="array" aca="1" ref="C89" ca="1">IFERROR(INDEX(_xlfn.ANCHORARRAY($AA$11),ROW()-10,3),"")</f>
        <v/>
      </c>
      <c r="D89" s="16" t="str" cm="1">
        <f t="array" aca="1" ref="D89" ca="1">IFERROR(INDEX(_xlfn.ANCHORARRAY($AA$11),ROW()-10,4),"")</f>
        <v/>
      </c>
      <c r="E89" s="16" t="str" cm="1">
        <f t="array" aca="1" ref="E89" ca="1">IFERROR(INDEX(_xlfn.ANCHORARRAY($AA$11),ROW()-10,5),"")</f>
        <v/>
      </c>
      <c r="F89" s="16" t="str" cm="1">
        <f t="array" aca="1" ref="F89" ca="1">IFERROR(INDEX(_xlfn.ANCHORARRAY($AA$11),ROW()-10,6),"")</f>
        <v/>
      </c>
      <c r="G89" s="16" t="str" cm="1">
        <f t="array" aca="1" ref="G89" ca="1">IFERROR(INDEX(_xlfn.ANCHORARRAY($AA$11),ROW()-10,7),"")</f>
        <v/>
      </c>
      <c r="H89" s="16" t="str" cm="1">
        <f t="array" aca="1" ref="H89" ca="1">IFERROR(INDEX(_xlfn.ANCHORARRAY($AA$11),ROW()-10,8),"")</f>
        <v/>
      </c>
      <c r="I89" s="16" t="str" cm="1">
        <f t="array" aca="1" ref="I89" ca="1">IFERROR(INDEX(_xlfn.ANCHORARRAY($AA$11),ROW()-10,9),"")</f>
        <v/>
      </c>
      <c r="J89" s="16" t="str">
        <f t="shared" ca="1" si="4"/>
        <v/>
      </c>
      <c r="K89" s="16" t="str">
        <f t="shared" ca="1" si="5"/>
        <v/>
      </c>
      <c r="L89" s="16" t="str" cm="1">
        <f t="array" aca="1" ref="L89" ca="1">_xlfn.LET(_xlpm.link,IFERROR(INDEX(_xlfn.ANCHORARRAY($AA$11),ROW()-10,12),""),IF(_xlpm.link="","",HYPERLINK(_xlpm.link,"Bluecore/Attentive")))</f>
        <v/>
      </c>
      <c r="M89" s="7"/>
      <c r="N89" s="7"/>
      <c r="O89" s="7"/>
      <c r="P89" s="7"/>
      <c r="Q89" s="7"/>
      <c r="R89" s="7"/>
      <c r="S89" s="6"/>
      <c r="T89" s="6"/>
      <c r="U89" s="6"/>
      <c r="V89" s="6"/>
      <c r="W89" s="6"/>
      <c r="X89" s="6"/>
      <c r="Y89" s="6"/>
      <c r="Z89" s="6"/>
      <c r="AA89" s="43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48" t="str" cm="1">
        <f t="array" aca="1" ref="A90" ca="1">IFERROR(INDEX(_xlfn.ANCHORARRAY($AA$11),ROW()-10,1),"")</f>
        <v/>
      </c>
      <c r="B90" s="24" t="str" cm="1">
        <f t="array" aca="1" ref="B90" ca="1">IFERROR(INDEX(_xlfn.ANCHORARRAY($AA$11),ROW()-10,2),"")</f>
        <v/>
      </c>
      <c r="C90" s="16" t="str" cm="1">
        <f t="array" aca="1" ref="C90" ca="1">IFERROR(INDEX(_xlfn.ANCHORARRAY($AA$11),ROW()-10,3),"")</f>
        <v/>
      </c>
      <c r="D90" s="16" t="str" cm="1">
        <f t="array" aca="1" ref="D90" ca="1">IFERROR(INDEX(_xlfn.ANCHORARRAY($AA$11),ROW()-10,4),"")</f>
        <v/>
      </c>
      <c r="E90" s="16" t="str" cm="1">
        <f t="array" aca="1" ref="E90" ca="1">IFERROR(INDEX(_xlfn.ANCHORARRAY($AA$11),ROW()-10,5),"")</f>
        <v/>
      </c>
      <c r="F90" s="16" t="str" cm="1">
        <f t="array" aca="1" ref="F90" ca="1">IFERROR(INDEX(_xlfn.ANCHORARRAY($AA$11),ROW()-10,6),"")</f>
        <v/>
      </c>
      <c r="G90" s="16" t="str" cm="1">
        <f t="array" aca="1" ref="G90" ca="1">IFERROR(INDEX(_xlfn.ANCHORARRAY($AA$11),ROW()-10,7),"")</f>
        <v/>
      </c>
      <c r="H90" s="16" t="str" cm="1">
        <f t="array" aca="1" ref="H90" ca="1">IFERROR(INDEX(_xlfn.ANCHORARRAY($AA$11),ROW()-10,8),"")</f>
        <v/>
      </c>
      <c r="I90" s="16" t="str" cm="1">
        <f t="array" aca="1" ref="I90" ca="1">IFERROR(INDEX(_xlfn.ANCHORARRAY($AA$11),ROW()-10,9),"")</f>
        <v/>
      </c>
      <c r="J90" s="16" t="str">
        <f t="shared" ca="1" si="4"/>
        <v/>
      </c>
      <c r="K90" s="16" t="str">
        <f t="shared" ca="1" si="5"/>
        <v/>
      </c>
      <c r="L90" s="16" t="str" cm="1">
        <f t="array" aca="1" ref="L90" ca="1">_xlfn.LET(_xlpm.link,IFERROR(INDEX(_xlfn.ANCHORARRAY($AA$11),ROW()-10,12),""),IF(_xlpm.link="","",HYPERLINK(_xlpm.link,"Bluecore/Attentive")))</f>
        <v/>
      </c>
      <c r="M90" s="7"/>
      <c r="N90" s="7"/>
      <c r="O90" s="7"/>
      <c r="P90" s="7"/>
      <c r="Q90" s="7"/>
      <c r="R90" s="7"/>
      <c r="S90" s="6"/>
      <c r="T90" s="6"/>
      <c r="U90" s="6"/>
      <c r="V90" s="6"/>
      <c r="W90" s="6"/>
      <c r="X90" s="6"/>
      <c r="Y90" s="6"/>
      <c r="Z90" s="6"/>
      <c r="AA90" s="43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48" t="str" cm="1">
        <f t="array" aca="1" ref="A91" ca="1">IFERROR(INDEX(_xlfn.ANCHORARRAY($AA$11),ROW()-10,1),"")</f>
        <v/>
      </c>
      <c r="B91" s="24" t="str" cm="1">
        <f t="array" aca="1" ref="B91" ca="1">IFERROR(INDEX(_xlfn.ANCHORARRAY($AA$11),ROW()-10,2),"")</f>
        <v/>
      </c>
      <c r="C91" s="16" t="str" cm="1">
        <f t="array" aca="1" ref="C91" ca="1">IFERROR(INDEX(_xlfn.ANCHORARRAY($AA$11),ROW()-10,3),"")</f>
        <v/>
      </c>
      <c r="D91" s="16" t="str" cm="1">
        <f t="array" aca="1" ref="D91" ca="1">IFERROR(INDEX(_xlfn.ANCHORARRAY($AA$11),ROW()-10,4),"")</f>
        <v/>
      </c>
      <c r="E91" s="16" t="str" cm="1">
        <f t="array" aca="1" ref="E91" ca="1">IFERROR(INDEX(_xlfn.ANCHORARRAY($AA$11),ROW()-10,5),"")</f>
        <v/>
      </c>
      <c r="F91" s="16" t="str" cm="1">
        <f t="array" aca="1" ref="F91" ca="1">IFERROR(INDEX(_xlfn.ANCHORARRAY($AA$11),ROW()-10,6),"")</f>
        <v/>
      </c>
      <c r="G91" s="16" t="str" cm="1">
        <f t="array" aca="1" ref="G91" ca="1">IFERROR(INDEX(_xlfn.ANCHORARRAY($AA$11),ROW()-10,7),"")</f>
        <v/>
      </c>
      <c r="H91" s="16" t="str" cm="1">
        <f t="array" aca="1" ref="H91" ca="1">IFERROR(INDEX(_xlfn.ANCHORARRAY($AA$11),ROW()-10,8),"")</f>
        <v/>
      </c>
      <c r="I91" s="16" t="str" cm="1">
        <f t="array" aca="1" ref="I91" ca="1">IFERROR(INDEX(_xlfn.ANCHORARRAY($AA$11),ROW()-10,9),"")</f>
        <v/>
      </c>
      <c r="J91" s="16" t="str">
        <f t="shared" ca="1" si="4"/>
        <v/>
      </c>
      <c r="K91" s="16" t="str">
        <f t="shared" ca="1" si="5"/>
        <v/>
      </c>
      <c r="L91" s="16" t="str" cm="1">
        <f t="array" aca="1" ref="L91" ca="1">_xlfn.LET(_xlpm.link,IFERROR(INDEX(_xlfn.ANCHORARRAY($AA$11),ROW()-10,12),""),IF(_xlpm.link="","",HYPERLINK(_xlpm.link,"Bluecore/Attentive")))</f>
        <v/>
      </c>
      <c r="M91" s="7"/>
      <c r="N91" s="7"/>
      <c r="O91" s="7"/>
      <c r="P91" s="7"/>
      <c r="Q91" s="7"/>
      <c r="R91" s="7"/>
      <c r="S91" s="6"/>
      <c r="T91" s="6"/>
      <c r="U91" s="6"/>
      <c r="V91" s="6"/>
      <c r="W91" s="6"/>
      <c r="X91" s="6"/>
      <c r="Y91" s="6"/>
      <c r="Z91" s="6"/>
      <c r="AA91" s="43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48" t="str" cm="1">
        <f t="array" aca="1" ref="A92" ca="1">IFERROR(INDEX(_xlfn.ANCHORARRAY($AA$11),ROW()-10,1),"")</f>
        <v/>
      </c>
      <c r="B92" s="24" t="str" cm="1">
        <f t="array" aca="1" ref="B92" ca="1">IFERROR(INDEX(_xlfn.ANCHORARRAY($AA$11),ROW()-10,2),"")</f>
        <v/>
      </c>
      <c r="C92" s="16" t="str" cm="1">
        <f t="array" aca="1" ref="C92" ca="1">IFERROR(INDEX(_xlfn.ANCHORARRAY($AA$11),ROW()-10,3),"")</f>
        <v/>
      </c>
      <c r="D92" s="16" t="str" cm="1">
        <f t="array" aca="1" ref="D92" ca="1">IFERROR(INDEX(_xlfn.ANCHORARRAY($AA$11),ROW()-10,4),"")</f>
        <v/>
      </c>
      <c r="E92" s="16" t="str" cm="1">
        <f t="array" aca="1" ref="E92" ca="1">IFERROR(INDEX(_xlfn.ANCHORARRAY($AA$11),ROW()-10,5),"")</f>
        <v/>
      </c>
      <c r="F92" s="16" t="str" cm="1">
        <f t="array" aca="1" ref="F92" ca="1">IFERROR(INDEX(_xlfn.ANCHORARRAY($AA$11),ROW()-10,6),"")</f>
        <v/>
      </c>
      <c r="G92" s="16" t="str" cm="1">
        <f t="array" aca="1" ref="G92" ca="1">IFERROR(INDEX(_xlfn.ANCHORARRAY($AA$11),ROW()-10,7),"")</f>
        <v/>
      </c>
      <c r="H92" s="16" t="str" cm="1">
        <f t="array" aca="1" ref="H92" ca="1">IFERROR(INDEX(_xlfn.ANCHORARRAY($AA$11),ROW()-10,8),"")</f>
        <v/>
      </c>
      <c r="I92" s="16" t="str" cm="1">
        <f t="array" aca="1" ref="I92" ca="1">IFERROR(INDEX(_xlfn.ANCHORARRAY($AA$11),ROW()-10,9),"")</f>
        <v/>
      </c>
      <c r="J92" s="16" t="str">
        <f t="shared" ca="1" si="4"/>
        <v/>
      </c>
      <c r="K92" s="16" t="str">
        <f t="shared" ca="1" si="5"/>
        <v/>
      </c>
      <c r="L92" s="16" t="str" cm="1">
        <f t="array" aca="1" ref="L92" ca="1">_xlfn.LET(_xlpm.link,IFERROR(INDEX(_xlfn.ANCHORARRAY($AA$11),ROW()-10,12),""),IF(_xlpm.link="","",HYPERLINK(_xlpm.link,"Bluecore/Attentive")))</f>
        <v/>
      </c>
      <c r="M92" s="7"/>
      <c r="N92" s="7"/>
      <c r="O92" s="7"/>
      <c r="P92" s="7"/>
      <c r="Q92" s="7"/>
      <c r="R92" s="7"/>
      <c r="S92" s="6"/>
      <c r="T92" s="6"/>
      <c r="U92" s="6"/>
      <c r="V92" s="6"/>
      <c r="W92" s="6"/>
      <c r="X92" s="6"/>
      <c r="Y92" s="6"/>
      <c r="Z92" s="6"/>
      <c r="AA92" s="43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48" t="str" cm="1">
        <f t="array" aca="1" ref="A93" ca="1">IFERROR(INDEX(_xlfn.ANCHORARRAY($AA$11),ROW()-10,1),"")</f>
        <v/>
      </c>
      <c r="B93" s="24" t="str" cm="1">
        <f t="array" aca="1" ref="B93" ca="1">IFERROR(INDEX(_xlfn.ANCHORARRAY($AA$11),ROW()-10,2),"")</f>
        <v/>
      </c>
      <c r="C93" s="16" t="str" cm="1">
        <f t="array" aca="1" ref="C93" ca="1">IFERROR(INDEX(_xlfn.ANCHORARRAY($AA$11),ROW()-10,3),"")</f>
        <v/>
      </c>
      <c r="D93" s="16" t="str" cm="1">
        <f t="array" aca="1" ref="D93" ca="1">IFERROR(INDEX(_xlfn.ANCHORARRAY($AA$11),ROW()-10,4),"")</f>
        <v/>
      </c>
      <c r="E93" s="16" t="str" cm="1">
        <f t="array" aca="1" ref="E93" ca="1">IFERROR(INDEX(_xlfn.ANCHORARRAY($AA$11),ROW()-10,5),"")</f>
        <v/>
      </c>
      <c r="F93" s="16" t="str" cm="1">
        <f t="array" aca="1" ref="F93" ca="1">IFERROR(INDEX(_xlfn.ANCHORARRAY($AA$11),ROW()-10,6),"")</f>
        <v/>
      </c>
      <c r="G93" s="16" t="str" cm="1">
        <f t="array" aca="1" ref="G93" ca="1">IFERROR(INDEX(_xlfn.ANCHORARRAY($AA$11),ROW()-10,7),"")</f>
        <v/>
      </c>
      <c r="H93" s="16" t="str" cm="1">
        <f t="array" aca="1" ref="H93" ca="1">IFERROR(INDEX(_xlfn.ANCHORARRAY($AA$11),ROW()-10,8),"")</f>
        <v/>
      </c>
      <c r="I93" s="16" t="str" cm="1">
        <f t="array" aca="1" ref="I93" ca="1">IFERROR(INDEX(_xlfn.ANCHORARRAY($AA$11),ROW()-10,9),"")</f>
        <v/>
      </c>
      <c r="J93" s="16" t="str">
        <f t="shared" ca="1" si="4"/>
        <v/>
      </c>
      <c r="K93" s="16" t="str">
        <f t="shared" ca="1" si="5"/>
        <v/>
      </c>
      <c r="L93" s="16" t="str" cm="1">
        <f t="array" aca="1" ref="L93" ca="1">_xlfn.LET(_xlpm.link,IFERROR(INDEX(_xlfn.ANCHORARRAY($AA$11),ROW()-10,12),""),IF(_xlpm.link="","",HYPERLINK(_xlpm.link,"Bluecore/Attentive")))</f>
        <v/>
      </c>
      <c r="M93" s="7"/>
      <c r="N93" s="7"/>
      <c r="O93" s="7"/>
      <c r="P93" s="7"/>
      <c r="Q93" s="7"/>
      <c r="R93" s="7"/>
      <c r="S93" s="6"/>
      <c r="T93" s="6"/>
      <c r="U93" s="6"/>
      <c r="V93" s="6"/>
      <c r="W93" s="6"/>
      <c r="X93" s="6"/>
      <c r="Y93" s="6"/>
      <c r="Z93" s="6"/>
      <c r="AA93" s="4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48" t="str" cm="1">
        <f t="array" aca="1" ref="A94" ca="1">IFERROR(INDEX(_xlfn.ANCHORARRAY($AA$11),ROW()-10,1),"")</f>
        <v/>
      </c>
      <c r="B94" s="24" t="str" cm="1">
        <f t="array" aca="1" ref="B94" ca="1">IFERROR(INDEX(_xlfn.ANCHORARRAY($AA$11),ROW()-10,2),"")</f>
        <v/>
      </c>
      <c r="C94" s="16" t="str" cm="1">
        <f t="array" aca="1" ref="C94" ca="1">IFERROR(INDEX(_xlfn.ANCHORARRAY($AA$11),ROW()-10,3),"")</f>
        <v/>
      </c>
      <c r="D94" s="16" t="str" cm="1">
        <f t="array" aca="1" ref="D94" ca="1">IFERROR(INDEX(_xlfn.ANCHORARRAY($AA$11),ROW()-10,4),"")</f>
        <v/>
      </c>
      <c r="E94" s="16" t="str" cm="1">
        <f t="array" aca="1" ref="E94" ca="1">IFERROR(INDEX(_xlfn.ANCHORARRAY($AA$11),ROW()-10,5),"")</f>
        <v/>
      </c>
      <c r="F94" s="16" t="str" cm="1">
        <f t="array" aca="1" ref="F94" ca="1">IFERROR(INDEX(_xlfn.ANCHORARRAY($AA$11),ROW()-10,6),"")</f>
        <v/>
      </c>
      <c r="G94" s="16" t="str" cm="1">
        <f t="array" aca="1" ref="G94" ca="1">IFERROR(INDEX(_xlfn.ANCHORARRAY($AA$11),ROW()-10,7),"")</f>
        <v/>
      </c>
      <c r="H94" s="16" t="str" cm="1">
        <f t="array" aca="1" ref="H94" ca="1">IFERROR(INDEX(_xlfn.ANCHORARRAY($AA$11),ROW()-10,8),"")</f>
        <v/>
      </c>
      <c r="I94" s="16" t="str" cm="1">
        <f t="array" aca="1" ref="I94" ca="1">IFERROR(INDEX(_xlfn.ANCHORARRAY($AA$11),ROW()-10,9),"")</f>
        <v/>
      </c>
      <c r="J94" s="16" t="str">
        <f t="shared" ca="1" si="4"/>
        <v/>
      </c>
      <c r="K94" s="16" t="str">
        <f t="shared" ca="1" si="5"/>
        <v/>
      </c>
      <c r="L94" s="16" t="str" cm="1">
        <f t="array" aca="1" ref="L94" ca="1">_xlfn.LET(_xlpm.link,IFERROR(INDEX(_xlfn.ANCHORARRAY($AA$11),ROW()-10,12),""),IF(_xlpm.link="","",HYPERLINK(_xlpm.link,"Bluecore/Attentive")))</f>
        <v/>
      </c>
      <c r="M94" s="7"/>
      <c r="N94" s="7"/>
      <c r="O94" s="7"/>
      <c r="P94" s="7"/>
      <c r="Q94" s="7"/>
      <c r="R94" s="7"/>
      <c r="S94" s="6"/>
      <c r="T94" s="6"/>
      <c r="U94" s="6"/>
      <c r="V94" s="6"/>
      <c r="W94" s="6"/>
      <c r="X94" s="6"/>
      <c r="Y94" s="6"/>
      <c r="Z94" s="6"/>
      <c r="AA94" s="43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48" t="str" cm="1">
        <f t="array" aca="1" ref="A95" ca="1">IFERROR(INDEX(_xlfn.ANCHORARRAY($AA$11),ROW()-10,1),"")</f>
        <v/>
      </c>
      <c r="B95" s="24" t="str" cm="1">
        <f t="array" aca="1" ref="B95" ca="1">IFERROR(INDEX(_xlfn.ANCHORARRAY($AA$11),ROW()-10,2),"")</f>
        <v/>
      </c>
      <c r="C95" s="16" t="str" cm="1">
        <f t="array" aca="1" ref="C95" ca="1">IFERROR(INDEX(_xlfn.ANCHORARRAY($AA$11),ROW()-10,3),"")</f>
        <v/>
      </c>
      <c r="D95" s="16" t="str" cm="1">
        <f t="array" aca="1" ref="D95" ca="1">IFERROR(INDEX(_xlfn.ANCHORARRAY($AA$11),ROW()-10,4),"")</f>
        <v/>
      </c>
      <c r="E95" s="16" t="str" cm="1">
        <f t="array" aca="1" ref="E95" ca="1">IFERROR(INDEX(_xlfn.ANCHORARRAY($AA$11),ROW()-10,5),"")</f>
        <v/>
      </c>
      <c r="F95" s="16" t="str" cm="1">
        <f t="array" aca="1" ref="F95" ca="1">IFERROR(INDEX(_xlfn.ANCHORARRAY($AA$11),ROW()-10,6),"")</f>
        <v/>
      </c>
      <c r="G95" s="16" t="str" cm="1">
        <f t="array" aca="1" ref="G95" ca="1">IFERROR(INDEX(_xlfn.ANCHORARRAY($AA$11),ROW()-10,7),"")</f>
        <v/>
      </c>
      <c r="H95" s="16" t="str" cm="1">
        <f t="array" aca="1" ref="H95" ca="1">IFERROR(INDEX(_xlfn.ANCHORARRAY($AA$11),ROW()-10,8),"")</f>
        <v/>
      </c>
      <c r="I95" s="16" t="str" cm="1">
        <f t="array" aca="1" ref="I95" ca="1">IFERROR(INDEX(_xlfn.ANCHORARRAY($AA$11),ROW()-10,9),"")</f>
        <v/>
      </c>
      <c r="J95" s="16" t="str">
        <f t="shared" ca="1" si="4"/>
        <v/>
      </c>
      <c r="K95" s="16" t="str">
        <f t="shared" ca="1" si="5"/>
        <v/>
      </c>
      <c r="L95" s="16" t="str" cm="1">
        <f t="array" aca="1" ref="L95" ca="1">_xlfn.LET(_xlpm.link,IFERROR(INDEX(_xlfn.ANCHORARRAY($AA$11),ROW()-10,12),""),IF(_xlpm.link="","",HYPERLINK(_xlpm.link,"Bluecore/Attentive")))</f>
        <v/>
      </c>
      <c r="M95" s="7"/>
      <c r="N95" s="7"/>
      <c r="O95" s="7"/>
      <c r="P95" s="7"/>
      <c r="Q95" s="7"/>
      <c r="R95" s="7"/>
      <c r="S95" s="6"/>
      <c r="T95" s="6"/>
      <c r="U95" s="6"/>
      <c r="V95" s="6"/>
      <c r="W95" s="6"/>
      <c r="X95" s="6"/>
      <c r="Y95" s="6"/>
      <c r="Z95" s="6"/>
      <c r="AA95" s="43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48" t="str" cm="1">
        <f t="array" aca="1" ref="A96" ca="1">IFERROR(INDEX(_xlfn.ANCHORARRAY($AA$11),ROW()-10,1),"")</f>
        <v/>
      </c>
      <c r="B96" s="24" t="str" cm="1">
        <f t="array" aca="1" ref="B96" ca="1">IFERROR(INDEX(_xlfn.ANCHORARRAY($AA$11),ROW()-10,2),"")</f>
        <v/>
      </c>
      <c r="C96" s="16" t="str" cm="1">
        <f t="array" aca="1" ref="C96" ca="1">IFERROR(INDEX(_xlfn.ANCHORARRAY($AA$11),ROW()-10,3),"")</f>
        <v/>
      </c>
      <c r="D96" s="16" t="str" cm="1">
        <f t="array" aca="1" ref="D96" ca="1">IFERROR(INDEX(_xlfn.ANCHORARRAY($AA$11),ROW()-10,4),"")</f>
        <v/>
      </c>
      <c r="E96" s="16" t="str" cm="1">
        <f t="array" aca="1" ref="E96" ca="1">IFERROR(INDEX(_xlfn.ANCHORARRAY($AA$11),ROW()-10,5),"")</f>
        <v/>
      </c>
      <c r="F96" s="16" t="str" cm="1">
        <f t="array" aca="1" ref="F96" ca="1">IFERROR(INDEX(_xlfn.ANCHORARRAY($AA$11),ROW()-10,6),"")</f>
        <v/>
      </c>
      <c r="G96" s="16" t="str" cm="1">
        <f t="array" aca="1" ref="G96" ca="1">IFERROR(INDEX(_xlfn.ANCHORARRAY($AA$11),ROW()-10,7),"")</f>
        <v/>
      </c>
      <c r="H96" s="16" t="str" cm="1">
        <f t="array" aca="1" ref="H96" ca="1">IFERROR(INDEX(_xlfn.ANCHORARRAY($AA$11),ROW()-10,8),"")</f>
        <v/>
      </c>
      <c r="I96" s="16" t="str" cm="1">
        <f t="array" aca="1" ref="I96" ca="1">IFERROR(INDEX(_xlfn.ANCHORARRAY($AA$11),ROW()-10,9),"")</f>
        <v/>
      </c>
      <c r="J96" s="16" t="str">
        <f t="shared" ca="1" si="4"/>
        <v/>
      </c>
      <c r="K96" s="16" t="str">
        <f t="shared" ca="1" si="5"/>
        <v/>
      </c>
      <c r="L96" s="16" t="str" cm="1">
        <f t="array" aca="1" ref="L96" ca="1">_xlfn.LET(_xlpm.link,IFERROR(INDEX(_xlfn.ANCHORARRAY($AA$11),ROW()-10,12),""),IF(_xlpm.link="","",HYPERLINK(_xlpm.link,"Bluecore/Attentive")))</f>
        <v/>
      </c>
      <c r="M96" s="7"/>
      <c r="N96" s="7"/>
      <c r="O96" s="7"/>
      <c r="P96" s="7"/>
      <c r="Q96" s="7"/>
      <c r="R96" s="7"/>
      <c r="S96" s="6"/>
      <c r="T96" s="6"/>
      <c r="U96" s="6"/>
      <c r="V96" s="6"/>
      <c r="W96" s="6"/>
      <c r="X96" s="6"/>
      <c r="Y96" s="6"/>
      <c r="Z96" s="6"/>
      <c r="AA96" s="43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48" t="str" cm="1">
        <f t="array" aca="1" ref="A97" ca="1">IFERROR(INDEX(_xlfn.ANCHORARRAY($AA$11),ROW()-10,1),"")</f>
        <v/>
      </c>
      <c r="B97" s="24" t="str" cm="1">
        <f t="array" aca="1" ref="B97" ca="1">IFERROR(INDEX(_xlfn.ANCHORARRAY($AA$11),ROW()-10,2),"")</f>
        <v/>
      </c>
      <c r="C97" s="16" t="str" cm="1">
        <f t="array" aca="1" ref="C97" ca="1">IFERROR(INDEX(_xlfn.ANCHORARRAY($AA$11),ROW()-10,3),"")</f>
        <v/>
      </c>
      <c r="D97" s="16" t="str" cm="1">
        <f t="array" aca="1" ref="D97" ca="1">IFERROR(INDEX(_xlfn.ANCHORARRAY($AA$11),ROW()-10,4),"")</f>
        <v/>
      </c>
      <c r="E97" s="16" t="str" cm="1">
        <f t="array" aca="1" ref="E97" ca="1">IFERROR(INDEX(_xlfn.ANCHORARRAY($AA$11),ROW()-10,5),"")</f>
        <v/>
      </c>
      <c r="F97" s="16" t="str" cm="1">
        <f t="array" aca="1" ref="F97" ca="1">IFERROR(INDEX(_xlfn.ANCHORARRAY($AA$11),ROW()-10,6),"")</f>
        <v/>
      </c>
      <c r="G97" s="16" t="str" cm="1">
        <f t="array" aca="1" ref="G97" ca="1">IFERROR(INDEX(_xlfn.ANCHORARRAY($AA$11),ROW()-10,7),"")</f>
        <v/>
      </c>
      <c r="H97" s="16" t="str" cm="1">
        <f t="array" aca="1" ref="H97" ca="1">IFERROR(INDEX(_xlfn.ANCHORARRAY($AA$11),ROW()-10,8),"")</f>
        <v/>
      </c>
      <c r="I97" s="16" t="str" cm="1">
        <f t="array" aca="1" ref="I97" ca="1">IFERROR(INDEX(_xlfn.ANCHORARRAY($AA$11),ROW()-10,9),"")</f>
        <v/>
      </c>
      <c r="J97" s="16" t="str">
        <f t="shared" ca="1" si="4"/>
        <v/>
      </c>
      <c r="K97" s="16" t="str">
        <f t="shared" ca="1" si="5"/>
        <v/>
      </c>
      <c r="L97" s="16" t="str" cm="1">
        <f t="array" aca="1" ref="L97" ca="1">_xlfn.LET(_xlpm.link,IFERROR(INDEX(_xlfn.ANCHORARRAY($AA$11),ROW()-10,12),""),IF(_xlpm.link="","",HYPERLINK(_xlpm.link,"Bluecore/Attentive")))</f>
        <v/>
      </c>
      <c r="M97" s="7"/>
      <c r="N97" s="7"/>
      <c r="O97" s="7"/>
      <c r="P97" s="7"/>
      <c r="Q97" s="7"/>
      <c r="R97" s="7"/>
      <c r="S97" s="6"/>
      <c r="T97" s="6"/>
      <c r="U97" s="6"/>
      <c r="V97" s="6"/>
      <c r="W97" s="6"/>
      <c r="X97" s="6"/>
      <c r="Y97" s="6"/>
      <c r="Z97" s="6"/>
      <c r="AA97" s="43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48" t="str" cm="1">
        <f t="array" aca="1" ref="A98" ca="1">IFERROR(INDEX(_xlfn.ANCHORARRAY($AA$11),ROW()-10,1),"")</f>
        <v/>
      </c>
      <c r="B98" s="24" t="str" cm="1">
        <f t="array" aca="1" ref="B98" ca="1">IFERROR(INDEX(_xlfn.ANCHORARRAY($AA$11),ROW()-10,2),"")</f>
        <v/>
      </c>
      <c r="C98" s="16" t="str" cm="1">
        <f t="array" aca="1" ref="C98" ca="1">IFERROR(INDEX(_xlfn.ANCHORARRAY($AA$11),ROW()-10,3),"")</f>
        <v/>
      </c>
      <c r="D98" s="16" t="str" cm="1">
        <f t="array" aca="1" ref="D98" ca="1">IFERROR(INDEX(_xlfn.ANCHORARRAY($AA$11),ROW()-10,4),"")</f>
        <v/>
      </c>
      <c r="E98" s="16" t="str" cm="1">
        <f t="array" aca="1" ref="E98" ca="1">IFERROR(INDEX(_xlfn.ANCHORARRAY($AA$11),ROW()-10,5),"")</f>
        <v/>
      </c>
      <c r="F98" s="16" t="str" cm="1">
        <f t="array" aca="1" ref="F98" ca="1">IFERROR(INDEX(_xlfn.ANCHORARRAY($AA$11),ROW()-10,6),"")</f>
        <v/>
      </c>
      <c r="G98" s="16" t="str" cm="1">
        <f t="array" aca="1" ref="G98" ca="1">IFERROR(INDEX(_xlfn.ANCHORARRAY($AA$11),ROW()-10,7),"")</f>
        <v/>
      </c>
      <c r="H98" s="16" t="str" cm="1">
        <f t="array" aca="1" ref="H98" ca="1">IFERROR(INDEX(_xlfn.ANCHORARRAY($AA$11),ROW()-10,8),"")</f>
        <v/>
      </c>
      <c r="I98" s="16" t="str" cm="1">
        <f t="array" aca="1" ref="I98" ca="1">IFERROR(INDEX(_xlfn.ANCHORARRAY($AA$11),ROW()-10,9),"")</f>
        <v/>
      </c>
      <c r="J98" s="16" t="str">
        <f t="shared" ca="1" si="4"/>
        <v/>
      </c>
      <c r="K98" s="16" t="str">
        <f t="shared" ca="1" si="5"/>
        <v/>
      </c>
      <c r="L98" s="16" t="str" cm="1">
        <f t="array" aca="1" ref="L98" ca="1">_xlfn.LET(_xlpm.link,IFERROR(INDEX(_xlfn.ANCHORARRAY($AA$11),ROW()-10,12),""),IF(_xlpm.link="","",HYPERLINK(_xlpm.link,"Bluecore/Attentive")))</f>
        <v/>
      </c>
      <c r="M98" s="7"/>
      <c r="N98" s="7"/>
      <c r="O98" s="7"/>
      <c r="P98" s="7"/>
      <c r="Q98" s="7"/>
      <c r="R98" s="7"/>
      <c r="S98" s="6"/>
      <c r="T98" s="6"/>
      <c r="U98" s="6"/>
      <c r="V98" s="6"/>
      <c r="W98" s="6"/>
      <c r="X98" s="6"/>
      <c r="Y98" s="6"/>
      <c r="Z98" s="6"/>
      <c r="AA98" s="43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48" t="str" cm="1">
        <f t="array" aca="1" ref="A99" ca="1">IFERROR(INDEX(_xlfn.ANCHORARRAY($AA$11),ROW()-10,1),"")</f>
        <v/>
      </c>
      <c r="B99" s="24" t="str" cm="1">
        <f t="array" aca="1" ref="B99" ca="1">IFERROR(INDEX(_xlfn.ANCHORARRAY($AA$11),ROW()-10,2),"")</f>
        <v/>
      </c>
      <c r="C99" s="16" t="str" cm="1">
        <f t="array" aca="1" ref="C99" ca="1">IFERROR(INDEX(_xlfn.ANCHORARRAY($AA$11),ROW()-10,3),"")</f>
        <v/>
      </c>
      <c r="D99" s="16" t="str" cm="1">
        <f t="array" aca="1" ref="D99" ca="1">IFERROR(INDEX(_xlfn.ANCHORARRAY($AA$11),ROW()-10,4),"")</f>
        <v/>
      </c>
      <c r="E99" s="16" t="str" cm="1">
        <f t="array" aca="1" ref="E99" ca="1">IFERROR(INDEX(_xlfn.ANCHORARRAY($AA$11),ROW()-10,5),"")</f>
        <v/>
      </c>
      <c r="F99" s="16" t="str" cm="1">
        <f t="array" aca="1" ref="F99" ca="1">IFERROR(INDEX(_xlfn.ANCHORARRAY($AA$11),ROW()-10,6),"")</f>
        <v/>
      </c>
      <c r="G99" s="16" t="str" cm="1">
        <f t="array" aca="1" ref="G99" ca="1">IFERROR(INDEX(_xlfn.ANCHORARRAY($AA$11),ROW()-10,7),"")</f>
        <v/>
      </c>
      <c r="H99" s="16" t="str" cm="1">
        <f t="array" aca="1" ref="H99" ca="1">IFERROR(INDEX(_xlfn.ANCHORARRAY($AA$11),ROW()-10,8),"")</f>
        <v/>
      </c>
      <c r="I99" s="16" t="str" cm="1">
        <f t="array" aca="1" ref="I99" ca="1">IFERROR(INDEX(_xlfn.ANCHORARRAY($AA$11),ROW()-10,9),"")</f>
        <v/>
      </c>
      <c r="J99" s="16" t="str">
        <f t="shared" ca="1" si="4"/>
        <v/>
      </c>
      <c r="K99" s="16" t="str">
        <f t="shared" ca="1" si="5"/>
        <v/>
      </c>
      <c r="L99" s="16" t="str" cm="1">
        <f t="array" aca="1" ref="L99" ca="1">_xlfn.LET(_xlpm.link,IFERROR(INDEX(_xlfn.ANCHORARRAY($AA$11),ROW()-10,12),""),IF(_xlpm.link="","",HYPERLINK(_xlpm.link,"Bluecore/Attentive")))</f>
        <v/>
      </c>
      <c r="M99" s="7"/>
      <c r="N99" s="7"/>
      <c r="O99" s="7"/>
      <c r="P99" s="7"/>
      <c r="Q99" s="7"/>
      <c r="R99" s="7"/>
      <c r="S99" s="6"/>
      <c r="T99" s="6"/>
      <c r="U99" s="6"/>
      <c r="V99" s="6"/>
      <c r="W99" s="6"/>
      <c r="X99" s="6"/>
      <c r="Y99" s="6"/>
      <c r="Z99" s="6"/>
      <c r="AA99" s="43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48" t="str" cm="1">
        <f t="array" aca="1" ref="A100" ca="1">IFERROR(INDEX(_xlfn.ANCHORARRAY($AA$11),ROW()-10,1),"")</f>
        <v/>
      </c>
      <c r="B100" s="24" t="str" cm="1">
        <f t="array" aca="1" ref="B100" ca="1">IFERROR(INDEX(_xlfn.ANCHORARRAY($AA$11),ROW()-10,2),"")</f>
        <v/>
      </c>
      <c r="C100" s="16" t="str" cm="1">
        <f t="array" aca="1" ref="C100" ca="1">IFERROR(INDEX(_xlfn.ANCHORARRAY($AA$11),ROW()-10,3),"")</f>
        <v/>
      </c>
      <c r="D100" s="16" t="str" cm="1">
        <f t="array" aca="1" ref="D100" ca="1">IFERROR(INDEX(_xlfn.ANCHORARRAY($AA$11),ROW()-10,4),"")</f>
        <v/>
      </c>
      <c r="E100" s="16" t="str" cm="1">
        <f t="array" aca="1" ref="E100" ca="1">IFERROR(INDEX(_xlfn.ANCHORARRAY($AA$11),ROW()-10,5),"")</f>
        <v/>
      </c>
      <c r="F100" s="16" t="str" cm="1">
        <f t="array" aca="1" ref="F100" ca="1">IFERROR(INDEX(_xlfn.ANCHORARRAY($AA$11),ROW()-10,6),"")</f>
        <v/>
      </c>
      <c r="G100" s="16" t="str" cm="1">
        <f t="array" aca="1" ref="G100" ca="1">IFERROR(INDEX(_xlfn.ANCHORARRAY($AA$11),ROW()-10,7),"")</f>
        <v/>
      </c>
      <c r="H100" s="16" t="str" cm="1">
        <f t="array" aca="1" ref="H100" ca="1">IFERROR(INDEX(_xlfn.ANCHORARRAY($AA$11),ROW()-10,8),"")</f>
        <v/>
      </c>
      <c r="I100" s="16" t="str" cm="1">
        <f t="array" aca="1" ref="I100" ca="1">IFERROR(INDEX(_xlfn.ANCHORARRAY($AA$11),ROW()-10,9),"")</f>
        <v/>
      </c>
      <c r="J100" s="16" t="str">
        <f t="shared" ca="1" si="4"/>
        <v/>
      </c>
      <c r="K100" s="16" t="str">
        <f t="shared" ca="1" si="5"/>
        <v/>
      </c>
      <c r="L100" s="16" t="str" cm="1">
        <f t="array" aca="1" ref="L100" ca="1">_xlfn.LET(_xlpm.link,IFERROR(INDEX(_xlfn.ANCHORARRAY($AA$11),ROW()-10,12),""),IF(_xlpm.link="","",HYPERLINK(_xlpm.link,"Bluecore/Attentive")))</f>
        <v/>
      </c>
      <c r="M100" s="7"/>
      <c r="N100" s="7"/>
      <c r="O100" s="7"/>
      <c r="P100" s="7"/>
      <c r="Q100" s="7"/>
      <c r="R100" s="7"/>
      <c r="S100" s="6"/>
      <c r="T100" s="6"/>
      <c r="U100" s="6"/>
      <c r="V100" s="6"/>
      <c r="W100" s="6"/>
      <c r="X100" s="6"/>
      <c r="Y100" s="6"/>
      <c r="Z100" s="6"/>
      <c r="AA100" s="43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48" t="str" cm="1">
        <f t="array" aca="1" ref="A101" ca="1">IFERROR(INDEX(_xlfn.ANCHORARRAY($AA$11),ROW()-10,1),"")</f>
        <v/>
      </c>
      <c r="B101" s="24" t="str" cm="1">
        <f t="array" aca="1" ref="B101" ca="1">IFERROR(INDEX(_xlfn.ANCHORARRAY($AA$11),ROW()-10,2),"")</f>
        <v/>
      </c>
      <c r="C101" s="16" t="str" cm="1">
        <f t="array" aca="1" ref="C101" ca="1">IFERROR(INDEX(_xlfn.ANCHORARRAY($AA$11),ROW()-10,3),"")</f>
        <v/>
      </c>
      <c r="D101" s="16" t="str" cm="1">
        <f t="array" aca="1" ref="D101" ca="1">IFERROR(INDEX(_xlfn.ANCHORARRAY($AA$11),ROW()-10,4),"")</f>
        <v/>
      </c>
      <c r="E101" s="16" t="str" cm="1">
        <f t="array" aca="1" ref="E101" ca="1">IFERROR(INDEX(_xlfn.ANCHORARRAY($AA$11),ROW()-10,5),"")</f>
        <v/>
      </c>
      <c r="F101" s="16" t="str" cm="1">
        <f t="array" aca="1" ref="F101" ca="1">IFERROR(INDEX(_xlfn.ANCHORARRAY($AA$11),ROW()-10,6),"")</f>
        <v/>
      </c>
      <c r="G101" s="16" t="str" cm="1">
        <f t="array" aca="1" ref="G101" ca="1">IFERROR(INDEX(_xlfn.ANCHORARRAY($AA$11),ROW()-10,7),"")</f>
        <v/>
      </c>
      <c r="H101" s="16" t="str" cm="1">
        <f t="array" aca="1" ref="H101" ca="1">IFERROR(INDEX(_xlfn.ANCHORARRAY($AA$11),ROW()-10,8),"")</f>
        <v/>
      </c>
      <c r="I101" s="16" t="str" cm="1">
        <f t="array" aca="1" ref="I101" ca="1">IFERROR(INDEX(_xlfn.ANCHORARRAY($AA$11),ROW()-10,9),"")</f>
        <v/>
      </c>
      <c r="J101" s="16" t="str">
        <f t="shared" ca="1" si="4"/>
        <v/>
      </c>
      <c r="K101" s="16" t="str">
        <f t="shared" ca="1" si="5"/>
        <v/>
      </c>
      <c r="L101" s="16" t="str" cm="1">
        <f t="array" aca="1" ref="L101" ca="1">_xlfn.LET(_xlpm.link,IFERROR(INDEX(_xlfn.ANCHORARRAY($AA$11),ROW()-10,12),""),IF(_xlpm.link="","",HYPERLINK(_xlpm.link,"Bluecore/Attentive")))</f>
        <v/>
      </c>
      <c r="M101" s="7"/>
      <c r="N101" s="7"/>
      <c r="O101" s="7"/>
      <c r="P101" s="7"/>
      <c r="Q101" s="7"/>
      <c r="R101" s="7"/>
      <c r="S101" s="6"/>
      <c r="T101" s="6"/>
      <c r="U101" s="6"/>
      <c r="V101" s="6"/>
      <c r="W101" s="6"/>
      <c r="X101" s="6"/>
      <c r="Y101" s="6"/>
      <c r="Z101" s="6"/>
      <c r="AA101" s="43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48" t="str" cm="1">
        <f t="array" aca="1" ref="A102" ca="1">IFERROR(INDEX(_xlfn.ANCHORARRAY($AA$11),ROW()-10,1),"")</f>
        <v/>
      </c>
      <c r="B102" s="24" t="str" cm="1">
        <f t="array" aca="1" ref="B102" ca="1">IFERROR(INDEX(_xlfn.ANCHORARRAY($AA$11),ROW()-10,2),"")</f>
        <v/>
      </c>
      <c r="C102" s="16" t="str" cm="1">
        <f t="array" aca="1" ref="C102" ca="1">IFERROR(INDEX(_xlfn.ANCHORARRAY($AA$11),ROW()-10,3),"")</f>
        <v/>
      </c>
      <c r="D102" s="16" t="str" cm="1">
        <f t="array" aca="1" ref="D102" ca="1">IFERROR(INDEX(_xlfn.ANCHORARRAY($AA$11),ROW()-10,4),"")</f>
        <v/>
      </c>
      <c r="E102" s="16" t="str" cm="1">
        <f t="array" aca="1" ref="E102" ca="1">IFERROR(INDEX(_xlfn.ANCHORARRAY($AA$11),ROW()-10,5),"")</f>
        <v/>
      </c>
      <c r="F102" s="16" t="str" cm="1">
        <f t="array" aca="1" ref="F102" ca="1">IFERROR(INDEX(_xlfn.ANCHORARRAY($AA$11),ROW()-10,6),"")</f>
        <v/>
      </c>
      <c r="G102" s="16" t="str" cm="1">
        <f t="array" aca="1" ref="G102" ca="1">IFERROR(INDEX(_xlfn.ANCHORARRAY($AA$11),ROW()-10,7),"")</f>
        <v/>
      </c>
      <c r="H102" s="16" t="str" cm="1">
        <f t="array" aca="1" ref="H102" ca="1">IFERROR(INDEX(_xlfn.ANCHORARRAY($AA$11),ROW()-10,8),"")</f>
        <v/>
      </c>
      <c r="I102" s="16" t="str" cm="1">
        <f t="array" aca="1" ref="I102" ca="1">IFERROR(INDEX(_xlfn.ANCHORARRAY($AA$11),ROW()-10,9),"")</f>
        <v/>
      </c>
      <c r="J102" s="16" t="str">
        <f t="shared" ca="1" si="4"/>
        <v/>
      </c>
      <c r="K102" s="16" t="str">
        <f t="shared" ca="1" si="5"/>
        <v/>
      </c>
      <c r="L102" s="16" t="str" cm="1">
        <f t="array" aca="1" ref="L102" ca="1">_xlfn.LET(_xlpm.link,IFERROR(INDEX(_xlfn.ANCHORARRAY($AA$11),ROW()-10,12),""),IF(_xlpm.link="","",HYPERLINK(_xlpm.link,"Bluecore/Attentive")))</f>
        <v/>
      </c>
      <c r="M102" s="7"/>
      <c r="N102" s="7"/>
      <c r="O102" s="7"/>
      <c r="P102" s="7"/>
      <c r="Q102" s="7"/>
      <c r="R102" s="7"/>
      <c r="S102" s="6"/>
      <c r="T102" s="6"/>
      <c r="U102" s="6"/>
      <c r="V102" s="6"/>
      <c r="W102" s="6"/>
      <c r="X102" s="6"/>
      <c r="Y102" s="6"/>
      <c r="Z102" s="6"/>
      <c r="AA102" s="43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48" t="str" cm="1">
        <f t="array" aca="1" ref="A103" ca="1">IFERROR(INDEX(_xlfn.ANCHORARRAY($AA$11),ROW()-10,1),"")</f>
        <v/>
      </c>
      <c r="B103" s="24" t="str" cm="1">
        <f t="array" aca="1" ref="B103" ca="1">IFERROR(INDEX(_xlfn.ANCHORARRAY($AA$11),ROW()-10,2),"")</f>
        <v/>
      </c>
      <c r="C103" s="16" t="str" cm="1">
        <f t="array" aca="1" ref="C103" ca="1">IFERROR(INDEX(_xlfn.ANCHORARRAY($AA$11),ROW()-10,3),"")</f>
        <v/>
      </c>
      <c r="D103" s="16" t="str" cm="1">
        <f t="array" aca="1" ref="D103" ca="1">IFERROR(INDEX(_xlfn.ANCHORARRAY($AA$11),ROW()-10,4),"")</f>
        <v/>
      </c>
      <c r="E103" s="16" t="str" cm="1">
        <f t="array" aca="1" ref="E103" ca="1">IFERROR(INDEX(_xlfn.ANCHORARRAY($AA$11),ROW()-10,5),"")</f>
        <v/>
      </c>
      <c r="F103" s="16" t="str" cm="1">
        <f t="array" aca="1" ref="F103" ca="1">IFERROR(INDEX(_xlfn.ANCHORARRAY($AA$11),ROW()-10,6),"")</f>
        <v/>
      </c>
      <c r="G103" s="16" t="str" cm="1">
        <f t="array" aca="1" ref="G103" ca="1">IFERROR(INDEX(_xlfn.ANCHORARRAY($AA$11),ROW()-10,7),"")</f>
        <v/>
      </c>
      <c r="H103" s="16" t="str" cm="1">
        <f t="array" aca="1" ref="H103" ca="1">IFERROR(INDEX(_xlfn.ANCHORARRAY($AA$11),ROW()-10,8),"")</f>
        <v/>
      </c>
      <c r="I103" s="16" t="str" cm="1">
        <f t="array" aca="1" ref="I103" ca="1">IFERROR(INDEX(_xlfn.ANCHORARRAY($AA$11),ROW()-10,9),"")</f>
        <v/>
      </c>
      <c r="J103" s="16" t="str">
        <f t="shared" ca="1" si="4"/>
        <v/>
      </c>
      <c r="K103" s="16" t="str">
        <f t="shared" ca="1" si="5"/>
        <v/>
      </c>
      <c r="L103" s="16" t="str" cm="1">
        <f t="array" aca="1" ref="L103" ca="1">_xlfn.LET(_xlpm.link,IFERROR(INDEX(_xlfn.ANCHORARRAY($AA$11),ROW()-10,12),""),IF(_xlpm.link="","",HYPERLINK(_xlpm.link,"Bluecore/Attentive")))</f>
        <v/>
      </c>
      <c r="M103" s="7"/>
      <c r="N103" s="7"/>
      <c r="O103" s="7"/>
      <c r="P103" s="7"/>
      <c r="Q103" s="7"/>
      <c r="R103" s="7"/>
      <c r="S103" s="6"/>
      <c r="T103" s="6"/>
      <c r="U103" s="6"/>
      <c r="V103" s="6"/>
      <c r="W103" s="6"/>
      <c r="X103" s="6"/>
      <c r="Y103" s="6"/>
      <c r="Z103" s="6"/>
      <c r="AA103" s="4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48" t="str" cm="1">
        <f t="array" aca="1" ref="A104" ca="1">IFERROR(INDEX(_xlfn.ANCHORARRAY($AA$11),ROW()-10,1),"")</f>
        <v/>
      </c>
      <c r="B104" s="24" t="str" cm="1">
        <f t="array" aca="1" ref="B104" ca="1">IFERROR(INDEX(_xlfn.ANCHORARRAY($AA$11),ROW()-10,2),"")</f>
        <v/>
      </c>
      <c r="C104" s="16" t="str" cm="1">
        <f t="array" aca="1" ref="C104" ca="1">IFERROR(INDEX(_xlfn.ANCHORARRAY($AA$11),ROW()-10,3),"")</f>
        <v/>
      </c>
      <c r="D104" s="16" t="str" cm="1">
        <f t="array" aca="1" ref="D104" ca="1">IFERROR(INDEX(_xlfn.ANCHORARRAY($AA$11),ROW()-10,4),"")</f>
        <v/>
      </c>
      <c r="E104" s="16" t="str" cm="1">
        <f t="array" aca="1" ref="E104" ca="1">IFERROR(INDEX(_xlfn.ANCHORARRAY($AA$11),ROW()-10,5),"")</f>
        <v/>
      </c>
      <c r="F104" s="16" t="str" cm="1">
        <f t="array" aca="1" ref="F104" ca="1">IFERROR(INDEX(_xlfn.ANCHORARRAY($AA$11),ROW()-10,6),"")</f>
        <v/>
      </c>
      <c r="G104" s="16" t="str" cm="1">
        <f t="array" aca="1" ref="G104" ca="1">IFERROR(INDEX(_xlfn.ANCHORARRAY($AA$11),ROW()-10,7),"")</f>
        <v/>
      </c>
      <c r="H104" s="16" t="str" cm="1">
        <f t="array" aca="1" ref="H104" ca="1">IFERROR(INDEX(_xlfn.ANCHORARRAY($AA$11),ROW()-10,8),"")</f>
        <v/>
      </c>
      <c r="I104" s="16" t="str" cm="1">
        <f t="array" aca="1" ref="I104" ca="1">IFERROR(INDEX(_xlfn.ANCHORARRAY($AA$11),ROW()-10,9),"")</f>
        <v/>
      </c>
      <c r="J104" s="16" t="str">
        <f t="shared" ca="1" si="4"/>
        <v/>
      </c>
      <c r="K104" s="16" t="str">
        <f t="shared" ca="1" si="5"/>
        <v/>
      </c>
      <c r="L104" s="16" t="str" cm="1">
        <f t="array" aca="1" ref="L104" ca="1">_xlfn.LET(_xlpm.link,IFERROR(INDEX(_xlfn.ANCHORARRAY($AA$11),ROW()-10,12),""),IF(_xlpm.link="","",HYPERLINK(_xlpm.link,"Bluecore/Attentive")))</f>
        <v/>
      </c>
      <c r="M104" s="7"/>
      <c r="N104" s="7"/>
      <c r="O104" s="7"/>
      <c r="P104" s="7"/>
      <c r="Q104" s="7"/>
      <c r="R104" s="7"/>
      <c r="S104" s="6"/>
      <c r="T104" s="6"/>
      <c r="U104" s="6"/>
      <c r="V104" s="6"/>
      <c r="W104" s="6"/>
      <c r="X104" s="6"/>
      <c r="Y104" s="6"/>
      <c r="Z104" s="6"/>
      <c r="AA104" s="43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48" t="str" cm="1">
        <f t="array" aca="1" ref="A105" ca="1">IFERROR(INDEX(_xlfn.ANCHORARRAY($AA$11),ROW()-10,1),"")</f>
        <v/>
      </c>
      <c r="B105" s="24" t="str" cm="1">
        <f t="array" aca="1" ref="B105" ca="1">IFERROR(INDEX(_xlfn.ANCHORARRAY($AA$11),ROW()-10,2),"")</f>
        <v/>
      </c>
      <c r="C105" s="16" t="str" cm="1">
        <f t="array" aca="1" ref="C105" ca="1">IFERROR(INDEX(_xlfn.ANCHORARRAY($AA$11),ROW()-10,3),"")</f>
        <v/>
      </c>
      <c r="D105" s="16" t="str" cm="1">
        <f t="array" aca="1" ref="D105" ca="1">IFERROR(INDEX(_xlfn.ANCHORARRAY($AA$11),ROW()-10,4),"")</f>
        <v/>
      </c>
      <c r="E105" s="16" t="str" cm="1">
        <f t="array" aca="1" ref="E105" ca="1">IFERROR(INDEX(_xlfn.ANCHORARRAY($AA$11),ROW()-10,5),"")</f>
        <v/>
      </c>
      <c r="F105" s="16" t="str" cm="1">
        <f t="array" aca="1" ref="F105" ca="1">IFERROR(INDEX(_xlfn.ANCHORARRAY($AA$11),ROW()-10,6),"")</f>
        <v/>
      </c>
      <c r="G105" s="16" t="str" cm="1">
        <f t="array" aca="1" ref="G105" ca="1">IFERROR(INDEX(_xlfn.ANCHORARRAY($AA$11),ROW()-10,7),"")</f>
        <v/>
      </c>
      <c r="H105" s="16" t="str" cm="1">
        <f t="array" aca="1" ref="H105" ca="1">IFERROR(INDEX(_xlfn.ANCHORARRAY($AA$11),ROW()-10,8),"")</f>
        <v/>
      </c>
      <c r="I105" s="16" t="str" cm="1">
        <f t="array" aca="1" ref="I105" ca="1">IFERROR(INDEX(_xlfn.ANCHORARRAY($AA$11),ROW()-10,9),"")</f>
        <v/>
      </c>
      <c r="J105" s="16" t="str">
        <f t="shared" ca="1" si="4"/>
        <v/>
      </c>
      <c r="K105" s="16" t="str">
        <f t="shared" ca="1" si="5"/>
        <v/>
      </c>
      <c r="L105" s="16" t="str" cm="1">
        <f t="array" aca="1" ref="L105" ca="1">_xlfn.LET(_xlpm.link,IFERROR(INDEX(_xlfn.ANCHORARRAY($AA$11),ROW()-10,12),""),IF(_xlpm.link="","",HYPERLINK(_xlpm.link,"Bluecore/Attentive")))</f>
        <v/>
      </c>
      <c r="M105" s="7"/>
      <c r="N105" s="7"/>
      <c r="O105" s="7"/>
      <c r="P105" s="7"/>
      <c r="Q105" s="7"/>
      <c r="R105" s="7"/>
      <c r="S105" s="6"/>
      <c r="T105" s="6"/>
      <c r="U105" s="6"/>
      <c r="V105" s="6"/>
      <c r="W105" s="6"/>
      <c r="X105" s="6"/>
      <c r="Y105" s="6"/>
      <c r="Z105" s="6"/>
      <c r="AA105" s="43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48" t="str" cm="1">
        <f t="array" aca="1" ref="A106" ca="1">IFERROR(INDEX(_xlfn.ANCHORARRAY($AA$11),ROW()-10,1),"")</f>
        <v/>
      </c>
      <c r="B106" s="24" t="str" cm="1">
        <f t="array" aca="1" ref="B106" ca="1">IFERROR(INDEX(_xlfn.ANCHORARRAY($AA$11),ROW()-10,2),"")</f>
        <v/>
      </c>
      <c r="C106" s="16" t="str" cm="1">
        <f t="array" aca="1" ref="C106" ca="1">IFERROR(INDEX(_xlfn.ANCHORARRAY($AA$11),ROW()-10,3),"")</f>
        <v/>
      </c>
      <c r="D106" s="16" t="str" cm="1">
        <f t="array" aca="1" ref="D106" ca="1">IFERROR(INDEX(_xlfn.ANCHORARRAY($AA$11),ROW()-10,4),"")</f>
        <v/>
      </c>
      <c r="E106" s="16" t="str" cm="1">
        <f t="array" aca="1" ref="E106" ca="1">IFERROR(INDEX(_xlfn.ANCHORARRAY($AA$11),ROW()-10,5),"")</f>
        <v/>
      </c>
      <c r="F106" s="16" t="str" cm="1">
        <f t="array" aca="1" ref="F106" ca="1">IFERROR(INDEX(_xlfn.ANCHORARRAY($AA$11),ROW()-10,6),"")</f>
        <v/>
      </c>
      <c r="G106" s="16" t="str" cm="1">
        <f t="array" aca="1" ref="G106" ca="1">IFERROR(INDEX(_xlfn.ANCHORARRAY($AA$11),ROW()-10,7),"")</f>
        <v/>
      </c>
      <c r="H106" s="16" t="str" cm="1">
        <f t="array" aca="1" ref="H106" ca="1">IFERROR(INDEX(_xlfn.ANCHORARRAY($AA$11),ROW()-10,8),"")</f>
        <v/>
      </c>
      <c r="I106" s="16" t="str" cm="1">
        <f t="array" aca="1" ref="I106" ca="1">IFERROR(INDEX(_xlfn.ANCHORARRAY($AA$11),ROW()-10,9),"")</f>
        <v/>
      </c>
      <c r="J106" s="16" t="str">
        <f t="shared" ca="1" si="4"/>
        <v/>
      </c>
      <c r="K106" s="16" t="str">
        <f t="shared" ca="1" si="5"/>
        <v/>
      </c>
      <c r="L106" s="16" t="str" cm="1">
        <f t="array" aca="1" ref="L106" ca="1">_xlfn.LET(_xlpm.link,IFERROR(INDEX(_xlfn.ANCHORARRAY($AA$11),ROW()-10,12),""),IF(_xlpm.link="","",HYPERLINK(_xlpm.link,"Bluecore/Attentive")))</f>
        <v/>
      </c>
      <c r="M106" s="7"/>
      <c r="N106" s="7"/>
      <c r="O106" s="7"/>
      <c r="P106" s="7"/>
      <c r="Q106" s="7"/>
      <c r="R106" s="7"/>
      <c r="S106" s="6"/>
      <c r="T106" s="6"/>
      <c r="U106" s="6"/>
      <c r="V106" s="6"/>
      <c r="W106" s="6"/>
      <c r="X106" s="6"/>
      <c r="Y106" s="6"/>
      <c r="Z106" s="6"/>
      <c r="AA106" s="43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48" t="str" cm="1">
        <f t="array" aca="1" ref="A107" ca="1">IFERROR(INDEX(_xlfn.ANCHORARRAY($AA$11),ROW()-10,1),"")</f>
        <v/>
      </c>
      <c r="B107" s="24" t="str" cm="1">
        <f t="array" aca="1" ref="B107" ca="1">IFERROR(INDEX(_xlfn.ANCHORARRAY($AA$11),ROW()-10,2),"")</f>
        <v/>
      </c>
      <c r="C107" s="16" t="str" cm="1">
        <f t="array" aca="1" ref="C107" ca="1">IFERROR(INDEX(_xlfn.ANCHORARRAY($AA$11),ROW()-10,3),"")</f>
        <v/>
      </c>
      <c r="D107" s="16" t="str" cm="1">
        <f t="array" aca="1" ref="D107" ca="1">IFERROR(INDEX(_xlfn.ANCHORARRAY($AA$11),ROW()-10,4),"")</f>
        <v/>
      </c>
      <c r="E107" s="16" t="str" cm="1">
        <f t="array" aca="1" ref="E107" ca="1">IFERROR(INDEX(_xlfn.ANCHORARRAY($AA$11),ROW()-10,5),"")</f>
        <v/>
      </c>
      <c r="F107" s="16" t="str" cm="1">
        <f t="array" aca="1" ref="F107" ca="1">IFERROR(INDEX(_xlfn.ANCHORARRAY($AA$11),ROW()-10,6),"")</f>
        <v/>
      </c>
      <c r="G107" s="16" t="str" cm="1">
        <f t="array" aca="1" ref="G107" ca="1">IFERROR(INDEX(_xlfn.ANCHORARRAY($AA$11),ROW()-10,7),"")</f>
        <v/>
      </c>
      <c r="H107" s="16" t="str" cm="1">
        <f t="array" aca="1" ref="H107" ca="1">IFERROR(INDEX(_xlfn.ANCHORARRAY($AA$11),ROW()-10,8),"")</f>
        <v/>
      </c>
      <c r="I107" s="16" t="str" cm="1">
        <f t="array" aca="1" ref="I107" ca="1">IFERROR(INDEX(_xlfn.ANCHORARRAY($AA$11),ROW()-10,9),"")</f>
        <v/>
      </c>
      <c r="J107" s="16" t="str">
        <f t="shared" ref="J107:J138" ca="1" si="6">_xlfn.LET(_xlpm.ch,IFERROR(INDEX(_xlfn.ANCHORARRAY($AA$11),ROW()-10,3),""),_xlpm.link,IFERROR(INDEX(_xlfn.ANCHORARRAY($AA$11),ROW()-10,10),""),IF(OR(_xlpm.link="",_xlpm.ch="SMS"),"",HYPERLINK(_xlpm.link,"JIRA")))</f>
        <v/>
      </c>
      <c r="K107" s="16" t="str">
        <f t="shared" ref="K107:K138" ca="1" si="7">_xlfn.LET(_xlpm.ch,IFERROR(INDEX(_xlfn.ANCHORARRAY($AA$11),ROW()-10,3),""),_xlpm.link,IFERROR(INDEX(_xlfn.ANCHORARRAY($AA$11),ROW()-10,11),""),IF(OR(_xlpm.link="",_xlpm.ch="SMS"),"",HYPERLINK(_xlpm.link,"ClickUp")))</f>
        <v/>
      </c>
      <c r="L107" s="16" t="str" cm="1">
        <f t="array" aca="1" ref="L107" ca="1">_xlfn.LET(_xlpm.link,IFERROR(INDEX(_xlfn.ANCHORARRAY($AA$11),ROW()-10,12),""),IF(_xlpm.link="","",HYPERLINK(_xlpm.link,"Bluecore/Attentive")))</f>
        <v/>
      </c>
      <c r="M107" s="7"/>
      <c r="N107" s="7"/>
      <c r="O107" s="7"/>
      <c r="P107" s="7"/>
      <c r="Q107" s="7"/>
      <c r="R107" s="7"/>
      <c r="S107" s="6"/>
      <c r="T107" s="6"/>
      <c r="U107" s="6"/>
      <c r="V107" s="6"/>
      <c r="W107" s="6"/>
      <c r="X107" s="6"/>
      <c r="Y107" s="6"/>
      <c r="Z107" s="6"/>
      <c r="AA107" s="43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48" t="str" cm="1">
        <f t="array" aca="1" ref="A108" ca="1">IFERROR(INDEX(_xlfn.ANCHORARRAY($AA$11),ROW()-10,1),"")</f>
        <v/>
      </c>
      <c r="B108" s="24" t="str" cm="1">
        <f t="array" aca="1" ref="B108" ca="1">IFERROR(INDEX(_xlfn.ANCHORARRAY($AA$11),ROW()-10,2),"")</f>
        <v/>
      </c>
      <c r="C108" s="16" t="str" cm="1">
        <f t="array" aca="1" ref="C108" ca="1">IFERROR(INDEX(_xlfn.ANCHORARRAY($AA$11),ROW()-10,3),"")</f>
        <v/>
      </c>
      <c r="D108" s="16" t="str" cm="1">
        <f t="array" aca="1" ref="D108" ca="1">IFERROR(INDEX(_xlfn.ANCHORARRAY($AA$11),ROW()-10,4),"")</f>
        <v/>
      </c>
      <c r="E108" s="16" t="str" cm="1">
        <f t="array" aca="1" ref="E108" ca="1">IFERROR(INDEX(_xlfn.ANCHORARRAY($AA$11),ROW()-10,5),"")</f>
        <v/>
      </c>
      <c r="F108" s="16" t="str" cm="1">
        <f t="array" aca="1" ref="F108" ca="1">IFERROR(INDEX(_xlfn.ANCHORARRAY($AA$11),ROW()-10,6),"")</f>
        <v/>
      </c>
      <c r="G108" s="16" t="str" cm="1">
        <f t="array" aca="1" ref="G108" ca="1">IFERROR(INDEX(_xlfn.ANCHORARRAY($AA$11),ROW()-10,7),"")</f>
        <v/>
      </c>
      <c r="H108" s="16" t="str" cm="1">
        <f t="array" aca="1" ref="H108" ca="1">IFERROR(INDEX(_xlfn.ANCHORARRAY($AA$11),ROW()-10,8),"")</f>
        <v/>
      </c>
      <c r="I108" s="16" t="str" cm="1">
        <f t="array" aca="1" ref="I108" ca="1">IFERROR(INDEX(_xlfn.ANCHORARRAY($AA$11),ROW()-10,9),"")</f>
        <v/>
      </c>
      <c r="J108" s="16" t="str">
        <f t="shared" ca="1" si="6"/>
        <v/>
      </c>
      <c r="K108" s="16" t="str">
        <f t="shared" ca="1" si="7"/>
        <v/>
      </c>
      <c r="L108" s="16" t="str" cm="1">
        <f t="array" aca="1" ref="L108" ca="1">_xlfn.LET(_xlpm.link,IFERROR(INDEX(_xlfn.ANCHORARRAY($AA$11),ROW()-10,12),""),IF(_xlpm.link="","",HYPERLINK(_xlpm.link,"Bluecore/Attentive")))</f>
        <v/>
      </c>
      <c r="M108" s="7"/>
      <c r="N108" s="7"/>
      <c r="O108" s="7"/>
      <c r="P108" s="7"/>
      <c r="Q108" s="7"/>
      <c r="R108" s="7"/>
      <c r="S108" s="6"/>
      <c r="T108" s="6"/>
      <c r="U108" s="6"/>
      <c r="V108" s="6"/>
      <c r="W108" s="6"/>
      <c r="X108" s="6"/>
      <c r="Y108" s="6"/>
      <c r="Z108" s="6"/>
      <c r="AA108" s="43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48" t="str" cm="1">
        <f t="array" aca="1" ref="A109" ca="1">IFERROR(INDEX(_xlfn.ANCHORARRAY($AA$11),ROW()-10,1),"")</f>
        <v/>
      </c>
      <c r="B109" s="24" t="str" cm="1">
        <f t="array" aca="1" ref="B109" ca="1">IFERROR(INDEX(_xlfn.ANCHORARRAY($AA$11),ROW()-10,2),"")</f>
        <v/>
      </c>
      <c r="C109" s="16" t="str" cm="1">
        <f t="array" aca="1" ref="C109" ca="1">IFERROR(INDEX(_xlfn.ANCHORARRAY($AA$11),ROW()-10,3),"")</f>
        <v/>
      </c>
      <c r="D109" s="16" t="str" cm="1">
        <f t="array" aca="1" ref="D109" ca="1">IFERROR(INDEX(_xlfn.ANCHORARRAY($AA$11),ROW()-10,4),"")</f>
        <v/>
      </c>
      <c r="E109" s="16" t="str" cm="1">
        <f t="array" aca="1" ref="E109" ca="1">IFERROR(INDEX(_xlfn.ANCHORARRAY($AA$11),ROW()-10,5),"")</f>
        <v/>
      </c>
      <c r="F109" s="16" t="str" cm="1">
        <f t="array" aca="1" ref="F109" ca="1">IFERROR(INDEX(_xlfn.ANCHORARRAY($AA$11),ROW()-10,6),"")</f>
        <v/>
      </c>
      <c r="G109" s="16" t="str" cm="1">
        <f t="array" aca="1" ref="G109" ca="1">IFERROR(INDEX(_xlfn.ANCHORARRAY($AA$11),ROW()-10,7),"")</f>
        <v/>
      </c>
      <c r="H109" s="16" t="str" cm="1">
        <f t="array" aca="1" ref="H109" ca="1">IFERROR(INDEX(_xlfn.ANCHORARRAY($AA$11),ROW()-10,8),"")</f>
        <v/>
      </c>
      <c r="I109" s="16" t="str" cm="1">
        <f t="array" aca="1" ref="I109" ca="1">IFERROR(INDEX(_xlfn.ANCHORARRAY($AA$11),ROW()-10,9),"")</f>
        <v/>
      </c>
      <c r="J109" s="16" t="str">
        <f t="shared" ca="1" si="6"/>
        <v/>
      </c>
      <c r="K109" s="16" t="str">
        <f t="shared" ca="1" si="7"/>
        <v/>
      </c>
      <c r="L109" s="16" t="str" cm="1">
        <f t="array" aca="1" ref="L109" ca="1">_xlfn.LET(_xlpm.link,IFERROR(INDEX(_xlfn.ANCHORARRAY($AA$11),ROW()-10,12),""),IF(_xlpm.link="","",HYPERLINK(_xlpm.link,"Bluecore/Attentive")))</f>
        <v/>
      </c>
      <c r="M109" s="7"/>
      <c r="N109" s="7"/>
      <c r="O109" s="7"/>
      <c r="P109" s="7"/>
      <c r="Q109" s="7"/>
      <c r="R109" s="7"/>
      <c r="S109" s="6"/>
      <c r="T109" s="6"/>
      <c r="U109" s="6"/>
      <c r="V109" s="6"/>
      <c r="W109" s="6"/>
      <c r="X109" s="6"/>
      <c r="Y109" s="6"/>
      <c r="Z109" s="6"/>
      <c r="AA109" s="43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48" t="str" cm="1">
        <f t="array" aca="1" ref="A110" ca="1">IFERROR(INDEX(_xlfn.ANCHORARRAY($AA$11),ROW()-10,1),"")</f>
        <v/>
      </c>
      <c r="B110" s="24" t="str" cm="1">
        <f t="array" aca="1" ref="B110" ca="1">IFERROR(INDEX(_xlfn.ANCHORARRAY($AA$11),ROW()-10,2),"")</f>
        <v/>
      </c>
      <c r="C110" s="16" t="str" cm="1">
        <f t="array" aca="1" ref="C110" ca="1">IFERROR(INDEX(_xlfn.ANCHORARRAY($AA$11),ROW()-10,3),"")</f>
        <v/>
      </c>
      <c r="D110" s="16" t="str" cm="1">
        <f t="array" aca="1" ref="D110" ca="1">IFERROR(INDEX(_xlfn.ANCHORARRAY($AA$11),ROW()-10,4),"")</f>
        <v/>
      </c>
      <c r="E110" s="16" t="str" cm="1">
        <f t="array" aca="1" ref="E110" ca="1">IFERROR(INDEX(_xlfn.ANCHORARRAY($AA$11),ROW()-10,5),"")</f>
        <v/>
      </c>
      <c r="F110" s="16" t="str" cm="1">
        <f t="array" aca="1" ref="F110" ca="1">IFERROR(INDEX(_xlfn.ANCHORARRAY($AA$11),ROW()-10,6),"")</f>
        <v/>
      </c>
      <c r="G110" s="16" t="str" cm="1">
        <f t="array" aca="1" ref="G110" ca="1">IFERROR(INDEX(_xlfn.ANCHORARRAY($AA$11),ROW()-10,7),"")</f>
        <v/>
      </c>
      <c r="H110" s="16" t="str" cm="1">
        <f t="array" aca="1" ref="H110" ca="1">IFERROR(INDEX(_xlfn.ANCHORARRAY($AA$11),ROW()-10,8),"")</f>
        <v/>
      </c>
      <c r="I110" s="16" t="str" cm="1">
        <f t="array" aca="1" ref="I110" ca="1">IFERROR(INDEX(_xlfn.ANCHORARRAY($AA$11),ROW()-10,9),"")</f>
        <v/>
      </c>
      <c r="J110" s="16" t="str">
        <f t="shared" ca="1" si="6"/>
        <v/>
      </c>
      <c r="K110" s="16" t="str">
        <f t="shared" ca="1" si="7"/>
        <v/>
      </c>
      <c r="L110" s="16" t="str" cm="1">
        <f t="array" aca="1" ref="L110" ca="1">_xlfn.LET(_xlpm.link,IFERROR(INDEX(_xlfn.ANCHORARRAY($AA$11),ROW()-10,12),""),IF(_xlpm.link="","",HYPERLINK(_xlpm.link,"Bluecore/Attentive")))</f>
        <v/>
      </c>
      <c r="M110" s="7"/>
      <c r="N110" s="7"/>
      <c r="O110" s="7"/>
      <c r="P110" s="7"/>
      <c r="Q110" s="7"/>
      <c r="R110" s="7"/>
      <c r="S110" s="6"/>
      <c r="T110" s="6"/>
      <c r="U110" s="6"/>
      <c r="V110" s="6"/>
      <c r="W110" s="6"/>
      <c r="X110" s="6"/>
      <c r="Y110" s="6"/>
      <c r="Z110" s="6"/>
      <c r="AA110" s="43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48" t="str" cm="1">
        <f t="array" aca="1" ref="A111" ca="1">IFERROR(INDEX(_xlfn.ANCHORARRAY($AA$11),ROW()-10,1),"")</f>
        <v/>
      </c>
      <c r="B111" s="24" t="str" cm="1">
        <f t="array" aca="1" ref="B111" ca="1">IFERROR(INDEX(_xlfn.ANCHORARRAY($AA$11),ROW()-10,2),"")</f>
        <v/>
      </c>
      <c r="C111" s="16" t="str" cm="1">
        <f t="array" aca="1" ref="C111" ca="1">IFERROR(INDEX(_xlfn.ANCHORARRAY($AA$11),ROW()-10,3),"")</f>
        <v/>
      </c>
      <c r="D111" s="16" t="str" cm="1">
        <f t="array" aca="1" ref="D111" ca="1">IFERROR(INDEX(_xlfn.ANCHORARRAY($AA$11),ROW()-10,4),"")</f>
        <v/>
      </c>
      <c r="E111" s="16" t="str" cm="1">
        <f t="array" aca="1" ref="E111" ca="1">IFERROR(INDEX(_xlfn.ANCHORARRAY($AA$11),ROW()-10,5),"")</f>
        <v/>
      </c>
      <c r="F111" s="16" t="str" cm="1">
        <f t="array" aca="1" ref="F111" ca="1">IFERROR(INDEX(_xlfn.ANCHORARRAY($AA$11),ROW()-10,6),"")</f>
        <v/>
      </c>
      <c r="G111" s="16" t="str" cm="1">
        <f t="array" aca="1" ref="G111" ca="1">IFERROR(INDEX(_xlfn.ANCHORARRAY($AA$11),ROW()-10,7),"")</f>
        <v/>
      </c>
      <c r="H111" s="16" t="str" cm="1">
        <f t="array" aca="1" ref="H111" ca="1">IFERROR(INDEX(_xlfn.ANCHORARRAY($AA$11),ROW()-10,8),"")</f>
        <v/>
      </c>
      <c r="I111" s="16" t="str" cm="1">
        <f t="array" aca="1" ref="I111" ca="1">IFERROR(INDEX(_xlfn.ANCHORARRAY($AA$11),ROW()-10,9),"")</f>
        <v/>
      </c>
      <c r="J111" s="16" t="str">
        <f t="shared" ca="1" si="6"/>
        <v/>
      </c>
      <c r="K111" s="16" t="str">
        <f t="shared" ca="1" si="7"/>
        <v/>
      </c>
      <c r="L111" s="16" t="str" cm="1">
        <f t="array" aca="1" ref="L111" ca="1">_xlfn.LET(_xlpm.link,IFERROR(INDEX(_xlfn.ANCHORARRAY($AA$11),ROW()-10,12),""),IF(_xlpm.link="","",HYPERLINK(_xlpm.link,"Bluecore/Attentive")))</f>
        <v/>
      </c>
      <c r="M111" s="7"/>
      <c r="N111" s="7"/>
      <c r="O111" s="7"/>
      <c r="P111" s="7"/>
      <c r="Q111" s="7"/>
      <c r="R111" s="7"/>
      <c r="S111" s="6"/>
      <c r="T111" s="6"/>
      <c r="U111" s="6"/>
      <c r="V111" s="6"/>
      <c r="W111" s="6"/>
      <c r="X111" s="6"/>
      <c r="Y111" s="6"/>
      <c r="Z111" s="6"/>
      <c r="AA111" s="43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48" t="str" cm="1">
        <f t="array" aca="1" ref="A112" ca="1">IFERROR(INDEX(_xlfn.ANCHORARRAY($AA$11),ROW()-10,1),"")</f>
        <v/>
      </c>
      <c r="B112" s="24" t="str" cm="1">
        <f t="array" aca="1" ref="B112" ca="1">IFERROR(INDEX(_xlfn.ANCHORARRAY($AA$11),ROW()-10,2),"")</f>
        <v/>
      </c>
      <c r="C112" s="16" t="str" cm="1">
        <f t="array" aca="1" ref="C112" ca="1">IFERROR(INDEX(_xlfn.ANCHORARRAY($AA$11),ROW()-10,3),"")</f>
        <v/>
      </c>
      <c r="D112" s="16" t="str" cm="1">
        <f t="array" aca="1" ref="D112" ca="1">IFERROR(INDEX(_xlfn.ANCHORARRAY($AA$11),ROW()-10,4),"")</f>
        <v/>
      </c>
      <c r="E112" s="16" t="str" cm="1">
        <f t="array" aca="1" ref="E112" ca="1">IFERROR(INDEX(_xlfn.ANCHORARRAY($AA$11),ROW()-10,5),"")</f>
        <v/>
      </c>
      <c r="F112" s="16" t="str" cm="1">
        <f t="array" aca="1" ref="F112" ca="1">IFERROR(INDEX(_xlfn.ANCHORARRAY($AA$11),ROW()-10,6),"")</f>
        <v/>
      </c>
      <c r="G112" s="16" t="str" cm="1">
        <f t="array" aca="1" ref="G112" ca="1">IFERROR(INDEX(_xlfn.ANCHORARRAY($AA$11),ROW()-10,7),"")</f>
        <v/>
      </c>
      <c r="H112" s="16" t="str" cm="1">
        <f t="array" aca="1" ref="H112" ca="1">IFERROR(INDEX(_xlfn.ANCHORARRAY($AA$11),ROW()-10,8),"")</f>
        <v/>
      </c>
      <c r="I112" s="16" t="str" cm="1">
        <f t="array" aca="1" ref="I112" ca="1">IFERROR(INDEX(_xlfn.ANCHORARRAY($AA$11),ROW()-10,9),"")</f>
        <v/>
      </c>
      <c r="J112" s="16" t="str">
        <f t="shared" ca="1" si="6"/>
        <v/>
      </c>
      <c r="K112" s="16" t="str">
        <f t="shared" ca="1" si="7"/>
        <v/>
      </c>
      <c r="L112" s="16" t="str" cm="1">
        <f t="array" aca="1" ref="L112" ca="1">_xlfn.LET(_xlpm.link,IFERROR(INDEX(_xlfn.ANCHORARRAY($AA$11),ROW()-10,12),""),IF(_xlpm.link="","",HYPERLINK(_xlpm.link,"Bluecore/Attentive")))</f>
        <v/>
      </c>
      <c r="M112" s="7"/>
      <c r="N112" s="7"/>
      <c r="O112" s="7"/>
      <c r="P112" s="7"/>
      <c r="Q112" s="7"/>
      <c r="R112" s="7"/>
      <c r="S112" s="6"/>
      <c r="T112" s="6"/>
      <c r="U112" s="6"/>
      <c r="V112" s="6"/>
      <c r="W112" s="6"/>
      <c r="X112" s="6"/>
      <c r="Y112" s="6"/>
      <c r="Z112" s="6"/>
      <c r="AA112" s="43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48" t="str" cm="1">
        <f t="array" aca="1" ref="A113" ca="1">IFERROR(INDEX(_xlfn.ANCHORARRAY($AA$11),ROW()-10,1),"")</f>
        <v/>
      </c>
      <c r="B113" s="24" t="str" cm="1">
        <f t="array" aca="1" ref="B113" ca="1">IFERROR(INDEX(_xlfn.ANCHORARRAY($AA$11),ROW()-10,2),"")</f>
        <v/>
      </c>
      <c r="C113" s="16" t="str" cm="1">
        <f t="array" aca="1" ref="C113" ca="1">IFERROR(INDEX(_xlfn.ANCHORARRAY($AA$11),ROW()-10,3),"")</f>
        <v/>
      </c>
      <c r="D113" s="16" t="str" cm="1">
        <f t="array" aca="1" ref="D113" ca="1">IFERROR(INDEX(_xlfn.ANCHORARRAY($AA$11),ROW()-10,4),"")</f>
        <v/>
      </c>
      <c r="E113" s="16" t="str" cm="1">
        <f t="array" aca="1" ref="E113" ca="1">IFERROR(INDEX(_xlfn.ANCHORARRAY($AA$11),ROW()-10,5),"")</f>
        <v/>
      </c>
      <c r="F113" s="16" t="str" cm="1">
        <f t="array" aca="1" ref="F113" ca="1">IFERROR(INDEX(_xlfn.ANCHORARRAY($AA$11),ROW()-10,6),"")</f>
        <v/>
      </c>
      <c r="G113" s="16" t="str" cm="1">
        <f t="array" aca="1" ref="G113" ca="1">IFERROR(INDEX(_xlfn.ANCHORARRAY($AA$11),ROW()-10,7),"")</f>
        <v/>
      </c>
      <c r="H113" s="16" t="str" cm="1">
        <f t="array" aca="1" ref="H113" ca="1">IFERROR(INDEX(_xlfn.ANCHORARRAY($AA$11),ROW()-10,8),"")</f>
        <v/>
      </c>
      <c r="I113" s="16" t="str" cm="1">
        <f t="array" aca="1" ref="I113" ca="1">IFERROR(INDEX(_xlfn.ANCHORARRAY($AA$11),ROW()-10,9),"")</f>
        <v/>
      </c>
      <c r="J113" s="16" t="str">
        <f t="shared" ca="1" si="6"/>
        <v/>
      </c>
      <c r="K113" s="16" t="str">
        <f t="shared" ca="1" si="7"/>
        <v/>
      </c>
      <c r="L113" s="16" t="str" cm="1">
        <f t="array" aca="1" ref="L113" ca="1">_xlfn.LET(_xlpm.link,IFERROR(INDEX(_xlfn.ANCHORARRAY($AA$11),ROW()-10,12),""),IF(_xlpm.link="","",HYPERLINK(_xlpm.link,"Bluecore/Attentive")))</f>
        <v/>
      </c>
      <c r="M113" s="7"/>
      <c r="N113" s="7"/>
      <c r="O113" s="7"/>
      <c r="P113" s="7"/>
      <c r="Q113" s="7"/>
      <c r="R113" s="7"/>
      <c r="S113" s="6"/>
      <c r="T113" s="6"/>
      <c r="U113" s="6"/>
      <c r="V113" s="6"/>
      <c r="W113" s="6"/>
      <c r="X113" s="6"/>
      <c r="Y113" s="6"/>
      <c r="Z113" s="6"/>
      <c r="AA113" s="4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48" t="str" cm="1">
        <f t="array" aca="1" ref="A114" ca="1">IFERROR(INDEX(_xlfn.ANCHORARRAY($AA$11),ROW()-10,1),"")</f>
        <v/>
      </c>
      <c r="B114" s="24" t="str" cm="1">
        <f t="array" aca="1" ref="B114" ca="1">IFERROR(INDEX(_xlfn.ANCHORARRAY($AA$11),ROW()-10,2),"")</f>
        <v/>
      </c>
      <c r="C114" s="16" t="str" cm="1">
        <f t="array" aca="1" ref="C114" ca="1">IFERROR(INDEX(_xlfn.ANCHORARRAY($AA$11),ROW()-10,3),"")</f>
        <v/>
      </c>
      <c r="D114" s="16" t="str" cm="1">
        <f t="array" aca="1" ref="D114" ca="1">IFERROR(INDEX(_xlfn.ANCHORARRAY($AA$11),ROW()-10,4),"")</f>
        <v/>
      </c>
      <c r="E114" s="16" t="str" cm="1">
        <f t="array" aca="1" ref="E114" ca="1">IFERROR(INDEX(_xlfn.ANCHORARRAY($AA$11),ROW()-10,5),"")</f>
        <v/>
      </c>
      <c r="F114" s="16" t="str" cm="1">
        <f t="array" aca="1" ref="F114" ca="1">IFERROR(INDEX(_xlfn.ANCHORARRAY($AA$11),ROW()-10,6),"")</f>
        <v/>
      </c>
      <c r="G114" s="16" t="str" cm="1">
        <f t="array" aca="1" ref="G114" ca="1">IFERROR(INDEX(_xlfn.ANCHORARRAY($AA$11),ROW()-10,7),"")</f>
        <v/>
      </c>
      <c r="H114" s="16" t="str" cm="1">
        <f t="array" aca="1" ref="H114" ca="1">IFERROR(INDEX(_xlfn.ANCHORARRAY($AA$11),ROW()-10,8),"")</f>
        <v/>
      </c>
      <c r="I114" s="16" t="str" cm="1">
        <f t="array" aca="1" ref="I114" ca="1">IFERROR(INDEX(_xlfn.ANCHORARRAY($AA$11),ROW()-10,9),"")</f>
        <v/>
      </c>
      <c r="J114" s="16" t="str">
        <f t="shared" ca="1" si="6"/>
        <v/>
      </c>
      <c r="K114" s="16" t="str">
        <f t="shared" ca="1" si="7"/>
        <v/>
      </c>
      <c r="L114" s="16" t="str" cm="1">
        <f t="array" aca="1" ref="L114" ca="1">_xlfn.LET(_xlpm.link,IFERROR(INDEX(_xlfn.ANCHORARRAY($AA$11),ROW()-10,12),""),IF(_xlpm.link="","",HYPERLINK(_xlpm.link,"Bluecore/Attentive")))</f>
        <v/>
      </c>
      <c r="M114" s="7"/>
      <c r="N114" s="7"/>
      <c r="O114" s="7"/>
      <c r="P114" s="7"/>
      <c r="Q114" s="7"/>
      <c r="R114" s="7"/>
      <c r="S114" s="6"/>
      <c r="T114" s="6"/>
      <c r="U114" s="6"/>
      <c r="V114" s="6"/>
      <c r="W114" s="6"/>
      <c r="X114" s="6"/>
      <c r="Y114" s="6"/>
      <c r="Z114" s="6"/>
      <c r="AA114" s="43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48" t="str" cm="1">
        <f t="array" aca="1" ref="A115" ca="1">IFERROR(INDEX(_xlfn.ANCHORARRAY($AA$11),ROW()-10,1),"")</f>
        <v/>
      </c>
      <c r="B115" s="24" t="str" cm="1">
        <f t="array" aca="1" ref="B115" ca="1">IFERROR(INDEX(_xlfn.ANCHORARRAY($AA$11),ROW()-10,2),"")</f>
        <v/>
      </c>
      <c r="C115" s="16" t="str" cm="1">
        <f t="array" aca="1" ref="C115" ca="1">IFERROR(INDEX(_xlfn.ANCHORARRAY($AA$11),ROW()-10,3),"")</f>
        <v/>
      </c>
      <c r="D115" s="16" t="str" cm="1">
        <f t="array" aca="1" ref="D115" ca="1">IFERROR(INDEX(_xlfn.ANCHORARRAY($AA$11),ROW()-10,4),"")</f>
        <v/>
      </c>
      <c r="E115" s="16" t="str" cm="1">
        <f t="array" aca="1" ref="E115" ca="1">IFERROR(INDEX(_xlfn.ANCHORARRAY($AA$11),ROW()-10,5),"")</f>
        <v/>
      </c>
      <c r="F115" s="16" t="str" cm="1">
        <f t="array" aca="1" ref="F115" ca="1">IFERROR(INDEX(_xlfn.ANCHORARRAY($AA$11),ROW()-10,6),"")</f>
        <v/>
      </c>
      <c r="G115" s="16" t="str" cm="1">
        <f t="array" aca="1" ref="G115" ca="1">IFERROR(INDEX(_xlfn.ANCHORARRAY($AA$11),ROW()-10,7),"")</f>
        <v/>
      </c>
      <c r="H115" s="16" t="str" cm="1">
        <f t="array" aca="1" ref="H115" ca="1">IFERROR(INDEX(_xlfn.ANCHORARRAY($AA$11),ROW()-10,8),"")</f>
        <v/>
      </c>
      <c r="I115" s="16" t="str" cm="1">
        <f t="array" aca="1" ref="I115" ca="1">IFERROR(INDEX(_xlfn.ANCHORARRAY($AA$11),ROW()-10,9),"")</f>
        <v/>
      </c>
      <c r="J115" s="16" t="str">
        <f t="shared" ca="1" si="6"/>
        <v/>
      </c>
      <c r="K115" s="16" t="str">
        <f t="shared" ca="1" si="7"/>
        <v/>
      </c>
      <c r="L115" s="16" t="str" cm="1">
        <f t="array" aca="1" ref="L115" ca="1">_xlfn.LET(_xlpm.link,IFERROR(INDEX(_xlfn.ANCHORARRAY($AA$11),ROW()-10,12),""),IF(_xlpm.link="","",HYPERLINK(_xlpm.link,"Bluecore/Attentive")))</f>
        <v/>
      </c>
      <c r="M115" s="7"/>
      <c r="N115" s="7"/>
      <c r="O115" s="7"/>
      <c r="P115" s="7"/>
      <c r="Q115" s="7"/>
      <c r="R115" s="7"/>
      <c r="S115" s="6"/>
      <c r="T115" s="6"/>
      <c r="U115" s="6"/>
      <c r="V115" s="6"/>
      <c r="W115" s="6"/>
      <c r="X115" s="6"/>
      <c r="Y115" s="6"/>
      <c r="Z115" s="6"/>
      <c r="AA115" s="43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48" t="str" cm="1">
        <f t="array" aca="1" ref="A116" ca="1">IFERROR(INDEX(_xlfn.ANCHORARRAY($AA$11),ROW()-10,1),"")</f>
        <v/>
      </c>
      <c r="B116" s="24" t="str" cm="1">
        <f t="array" aca="1" ref="B116" ca="1">IFERROR(INDEX(_xlfn.ANCHORARRAY($AA$11),ROW()-10,2),"")</f>
        <v/>
      </c>
      <c r="C116" s="16" t="str" cm="1">
        <f t="array" aca="1" ref="C116" ca="1">IFERROR(INDEX(_xlfn.ANCHORARRAY($AA$11),ROW()-10,3),"")</f>
        <v/>
      </c>
      <c r="D116" s="16" t="str" cm="1">
        <f t="array" aca="1" ref="D116" ca="1">IFERROR(INDEX(_xlfn.ANCHORARRAY($AA$11),ROW()-10,4),"")</f>
        <v/>
      </c>
      <c r="E116" s="16" t="str" cm="1">
        <f t="array" aca="1" ref="E116" ca="1">IFERROR(INDEX(_xlfn.ANCHORARRAY($AA$11),ROW()-10,5),"")</f>
        <v/>
      </c>
      <c r="F116" s="16" t="str" cm="1">
        <f t="array" aca="1" ref="F116" ca="1">IFERROR(INDEX(_xlfn.ANCHORARRAY($AA$11),ROW()-10,6),"")</f>
        <v/>
      </c>
      <c r="G116" s="16" t="str" cm="1">
        <f t="array" aca="1" ref="G116" ca="1">IFERROR(INDEX(_xlfn.ANCHORARRAY($AA$11),ROW()-10,7),"")</f>
        <v/>
      </c>
      <c r="H116" s="16" t="str" cm="1">
        <f t="array" aca="1" ref="H116" ca="1">IFERROR(INDEX(_xlfn.ANCHORARRAY($AA$11),ROW()-10,8),"")</f>
        <v/>
      </c>
      <c r="I116" s="16" t="str" cm="1">
        <f t="array" aca="1" ref="I116" ca="1">IFERROR(INDEX(_xlfn.ANCHORARRAY($AA$11),ROW()-10,9),"")</f>
        <v/>
      </c>
      <c r="J116" s="16" t="str">
        <f t="shared" ca="1" si="6"/>
        <v/>
      </c>
      <c r="K116" s="16" t="str">
        <f t="shared" ca="1" si="7"/>
        <v/>
      </c>
      <c r="L116" s="16" t="str" cm="1">
        <f t="array" aca="1" ref="L116" ca="1">_xlfn.LET(_xlpm.link,IFERROR(INDEX(_xlfn.ANCHORARRAY($AA$11),ROW()-10,12),""),IF(_xlpm.link="","",HYPERLINK(_xlpm.link,"Bluecore/Attentive")))</f>
        <v/>
      </c>
      <c r="M116" s="7"/>
      <c r="N116" s="7"/>
      <c r="O116" s="7"/>
      <c r="P116" s="7"/>
      <c r="Q116" s="7"/>
      <c r="R116" s="7"/>
      <c r="S116" s="6"/>
      <c r="T116" s="6"/>
      <c r="U116" s="6"/>
      <c r="V116" s="6"/>
      <c r="W116" s="6"/>
      <c r="X116" s="6"/>
      <c r="Y116" s="6"/>
      <c r="Z116" s="6"/>
      <c r="AA116" s="43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48" t="str" cm="1">
        <f t="array" aca="1" ref="A117" ca="1">IFERROR(INDEX(_xlfn.ANCHORARRAY($AA$11),ROW()-10,1),"")</f>
        <v/>
      </c>
      <c r="B117" s="24" t="str" cm="1">
        <f t="array" aca="1" ref="B117" ca="1">IFERROR(INDEX(_xlfn.ANCHORARRAY($AA$11),ROW()-10,2),"")</f>
        <v/>
      </c>
      <c r="C117" s="16" t="str" cm="1">
        <f t="array" aca="1" ref="C117" ca="1">IFERROR(INDEX(_xlfn.ANCHORARRAY($AA$11),ROW()-10,3),"")</f>
        <v/>
      </c>
      <c r="D117" s="16" t="str" cm="1">
        <f t="array" aca="1" ref="D117" ca="1">IFERROR(INDEX(_xlfn.ANCHORARRAY($AA$11),ROW()-10,4),"")</f>
        <v/>
      </c>
      <c r="E117" s="16" t="str" cm="1">
        <f t="array" aca="1" ref="E117" ca="1">IFERROR(INDEX(_xlfn.ANCHORARRAY($AA$11),ROW()-10,5),"")</f>
        <v/>
      </c>
      <c r="F117" s="16" t="str" cm="1">
        <f t="array" aca="1" ref="F117" ca="1">IFERROR(INDEX(_xlfn.ANCHORARRAY($AA$11),ROW()-10,6),"")</f>
        <v/>
      </c>
      <c r="G117" s="16" t="str" cm="1">
        <f t="array" aca="1" ref="G117" ca="1">IFERROR(INDEX(_xlfn.ANCHORARRAY($AA$11),ROW()-10,7),"")</f>
        <v/>
      </c>
      <c r="H117" s="16" t="str" cm="1">
        <f t="array" aca="1" ref="H117" ca="1">IFERROR(INDEX(_xlfn.ANCHORARRAY($AA$11),ROW()-10,8),"")</f>
        <v/>
      </c>
      <c r="I117" s="16" t="str" cm="1">
        <f t="array" aca="1" ref="I117" ca="1">IFERROR(INDEX(_xlfn.ANCHORARRAY($AA$11),ROW()-10,9),"")</f>
        <v/>
      </c>
      <c r="J117" s="16" t="str">
        <f t="shared" ca="1" si="6"/>
        <v/>
      </c>
      <c r="K117" s="16" t="str">
        <f t="shared" ca="1" si="7"/>
        <v/>
      </c>
      <c r="L117" s="16" t="str" cm="1">
        <f t="array" aca="1" ref="L117" ca="1">_xlfn.LET(_xlpm.link,IFERROR(INDEX(_xlfn.ANCHORARRAY($AA$11),ROW()-10,12),""),IF(_xlpm.link="","",HYPERLINK(_xlpm.link,"Bluecore/Attentive")))</f>
        <v/>
      </c>
      <c r="M117" s="7"/>
      <c r="N117" s="7"/>
      <c r="O117" s="7"/>
      <c r="P117" s="7"/>
      <c r="Q117" s="7"/>
      <c r="R117" s="7"/>
      <c r="S117" s="6"/>
      <c r="T117" s="6"/>
      <c r="U117" s="6"/>
      <c r="V117" s="6"/>
      <c r="W117" s="6"/>
      <c r="X117" s="6"/>
      <c r="Y117" s="6"/>
      <c r="Z117" s="6"/>
      <c r="AA117" s="43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48" t="str" cm="1">
        <f t="array" aca="1" ref="A118" ca="1">IFERROR(INDEX(_xlfn.ANCHORARRAY($AA$11),ROW()-10,1),"")</f>
        <v/>
      </c>
      <c r="B118" s="24" t="str" cm="1">
        <f t="array" aca="1" ref="B118" ca="1">IFERROR(INDEX(_xlfn.ANCHORARRAY($AA$11),ROW()-10,2),"")</f>
        <v/>
      </c>
      <c r="C118" s="16" t="str" cm="1">
        <f t="array" aca="1" ref="C118" ca="1">IFERROR(INDEX(_xlfn.ANCHORARRAY($AA$11),ROW()-10,3),"")</f>
        <v/>
      </c>
      <c r="D118" s="16" t="str" cm="1">
        <f t="array" aca="1" ref="D118" ca="1">IFERROR(INDEX(_xlfn.ANCHORARRAY($AA$11),ROW()-10,4),"")</f>
        <v/>
      </c>
      <c r="E118" s="16" t="str" cm="1">
        <f t="array" aca="1" ref="E118" ca="1">IFERROR(INDEX(_xlfn.ANCHORARRAY($AA$11),ROW()-10,5),"")</f>
        <v/>
      </c>
      <c r="F118" s="16" t="str" cm="1">
        <f t="array" aca="1" ref="F118" ca="1">IFERROR(INDEX(_xlfn.ANCHORARRAY($AA$11),ROW()-10,6),"")</f>
        <v/>
      </c>
      <c r="G118" s="16" t="str" cm="1">
        <f t="array" aca="1" ref="G118" ca="1">IFERROR(INDEX(_xlfn.ANCHORARRAY($AA$11),ROW()-10,7),"")</f>
        <v/>
      </c>
      <c r="H118" s="16" t="str" cm="1">
        <f t="array" aca="1" ref="H118" ca="1">IFERROR(INDEX(_xlfn.ANCHORARRAY($AA$11),ROW()-10,8),"")</f>
        <v/>
      </c>
      <c r="I118" s="16" t="str" cm="1">
        <f t="array" aca="1" ref="I118" ca="1">IFERROR(INDEX(_xlfn.ANCHORARRAY($AA$11),ROW()-10,9),"")</f>
        <v/>
      </c>
      <c r="J118" s="16" t="str">
        <f t="shared" ca="1" si="6"/>
        <v/>
      </c>
      <c r="K118" s="16" t="str">
        <f t="shared" ca="1" si="7"/>
        <v/>
      </c>
      <c r="L118" s="16" t="str" cm="1">
        <f t="array" aca="1" ref="L118" ca="1">_xlfn.LET(_xlpm.link,IFERROR(INDEX(_xlfn.ANCHORARRAY($AA$11),ROW()-10,12),""),IF(_xlpm.link="","",HYPERLINK(_xlpm.link,"Bluecore/Attentive")))</f>
        <v/>
      </c>
      <c r="M118" s="7"/>
      <c r="N118" s="7"/>
      <c r="O118" s="7"/>
      <c r="P118" s="7"/>
      <c r="Q118" s="7"/>
      <c r="R118" s="7"/>
      <c r="S118" s="6"/>
      <c r="T118" s="6"/>
      <c r="U118" s="6"/>
      <c r="V118" s="6"/>
      <c r="W118" s="6"/>
      <c r="X118" s="6"/>
      <c r="Y118" s="6"/>
      <c r="Z118" s="6"/>
      <c r="AA118" s="43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48" t="str" cm="1">
        <f t="array" aca="1" ref="A119" ca="1">IFERROR(INDEX(_xlfn.ANCHORARRAY($AA$11),ROW()-10,1),"")</f>
        <v/>
      </c>
      <c r="B119" s="24" t="str" cm="1">
        <f t="array" aca="1" ref="B119" ca="1">IFERROR(INDEX(_xlfn.ANCHORARRAY($AA$11),ROW()-10,2),"")</f>
        <v/>
      </c>
      <c r="C119" s="16" t="str" cm="1">
        <f t="array" aca="1" ref="C119" ca="1">IFERROR(INDEX(_xlfn.ANCHORARRAY($AA$11),ROW()-10,3),"")</f>
        <v/>
      </c>
      <c r="D119" s="16" t="str" cm="1">
        <f t="array" aca="1" ref="D119" ca="1">IFERROR(INDEX(_xlfn.ANCHORARRAY($AA$11),ROW()-10,4),"")</f>
        <v/>
      </c>
      <c r="E119" s="16" t="str" cm="1">
        <f t="array" aca="1" ref="E119" ca="1">IFERROR(INDEX(_xlfn.ANCHORARRAY($AA$11),ROW()-10,5),"")</f>
        <v/>
      </c>
      <c r="F119" s="16" t="str" cm="1">
        <f t="array" aca="1" ref="F119" ca="1">IFERROR(INDEX(_xlfn.ANCHORARRAY($AA$11),ROW()-10,6),"")</f>
        <v/>
      </c>
      <c r="G119" s="16" t="str" cm="1">
        <f t="array" aca="1" ref="G119" ca="1">IFERROR(INDEX(_xlfn.ANCHORARRAY($AA$11),ROW()-10,7),"")</f>
        <v/>
      </c>
      <c r="H119" s="16" t="str" cm="1">
        <f t="array" aca="1" ref="H119" ca="1">IFERROR(INDEX(_xlfn.ANCHORARRAY($AA$11),ROW()-10,8),"")</f>
        <v/>
      </c>
      <c r="I119" s="16" t="str" cm="1">
        <f t="array" aca="1" ref="I119" ca="1">IFERROR(INDEX(_xlfn.ANCHORARRAY($AA$11),ROW()-10,9),"")</f>
        <v/>
      </c>
      <c r="J119" s="16" t="str">
        <f t="shared" ca="1" si="6"/>
        <v/>
      </c>
      <c r="K119" s="16" t="str">
        <f t="shared" ca="1" si="7"/>
        <v/>
      </c>
      <c r="L119" s="16" t="str" cm="1">
        <f t="array" aca="1" ref="L119" ca="1">_xlfn.LET(_xlpm.link,IFERROR(INDEX(_xlfn.ANCHORARRAY($AA$11),ROW()-10,12),""),IF(_xlpm.link="","",HYPERLINK(_xlpm.link,"Bluecore/Attentive")))</f>
        <v/>
      </c>
      <c r="M119" s="7"/>
      <c r="N119" s="7"/>
      <c r="O119" s="7"/>
      <c r="P119" s="7"/>
      <c r="Q119" s="7"/>
      <c r="R119" s="7"/>
      <c r="S119" s="6"/>
      <c r="T119" s="6"/>
      <c r="U119" s="6"/>
      <c r="V119" s="6"/>
      <c r="W119" s="6"/>
      <c r="X119" s="6"/>
      <c r="Y119" s="6"/>
      <c r="Z119" s="6"/>
      <c r="AA119" s="43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48" t="str" cm="1">
        <f t="array" aca="1" ref="A120" ca="1">IFERROR(INDEX(_xlfn.ANCHORARRAY($AA$11),ROW()-10,1),"")</f>
        <v/>
      </c>
      <c r="B120" s="24" t="str" cm="1">
        <f t="array" aca="1" ref="B120" ca="1">IFERROR(INDEX(_xlfn.ANCHORARRAY($AA$11),ROW()-10,2),"")</f>
        <v/>
      </c>
      <c r="C120" s="16" t="str" cm="1">
        <f t="array" aca="1" ref="C120" ca="1">IFERROR(INDEX(_xlfn.ANCHORARRAY($AA$11),ROW()-10,3),"")</f>
        <v/>
      </c>
      <c r="D120" s="16" t="str" cm="1">
        <f t="array" aca="1" ref="D120" ca="1">IFERROR(INDEX(_xlfn.ANCHORARRAY($AA$11),ROW()-10,4),"")</f>
        <v/>
      </c>
      <c r="E120" s="16" t="str" cm="1">
        <f t="array" aca="1" ref="E120" ca="1">IFERROR(INDEX(_xlfn.ANCHORARRAY($AA$11),ROW()-10,5),"")</f>
        <v/>
      </c>
      <c r="F120" s="16" t="str" cm="1">
        <f t="array" aca="1" ref="F120" ca="1">IFERROR(INDEX(_xlfn.ANCHORARRAY($AA$11),ROW()-10,6),"")</f>
        <v/>
      </c>
      <c r="G120" s="16" t="str" cm="1">
        <f t="array" aca="1" ref="G120" ca="1">IFERROR(INDEX(_xlfn.ANCHORARRAY($AA$11),ROW()-10,7),"")</f>
        <v/>
      </c>
      <c r="H120" s="16" t="str" cm="1">
        <f t="array" aca="1" ref="H120" ca="1">IFERROR(INDEX(_xlfn.ANCHORARRAY($AA$11),ROW()-10,8),"")</f>
        <v/>
      </c>
      <c r="I120" s="16" t="str" cm="1">
        <f t="array" aca="1" ref="I120" ca="1">IFERROR(INDEX(_xlfn.ANCHORARRAY($AA$11),ROW()-10,9),"")</f>
        <v/>
      </c>
      <c r="J120" s="16" t="str">
        <f t="shared" ca="1" si="6"/>
        <v/>
      </c>
      <c r="K120" s="16" t="str">
        <f t="shared" ca="1" si="7"/>
        <v/>
      </c>
      <c r="L120" s="16" t="str" cm="1">
        <f t="array" aca="1" ref="L120" ca="1">_xlfn.LET(_xlpm.link,IFERROR(INDEX(_xlfn.ANCHORARRAY($AA$11),ROW()-10,12),""),IF(_xlpm.link="","",HYPERLINK(_xlpm.link,"Bluecore/Attentive")))</f>
        <v/>
      </c>
      <c r="M120" s="7"/>
      <c r="N120" s="7"/>
      <c r="O120" s="7"/>
      <c r="P120" s="7"/>
      <c r="Q120" s="7"/>
      <c r="R120" s="7"/>
      <c r="S120" s="6"/>
      <c r="T120" s="6"/>
      <c r="U120" s="6"/>
      <c r="V120" s="6"/>
      <c r="W120" s="6"/>
      <c r="X120" s="6"/>
      <c r="Y120" s="6"/>
      <c r="Z120" s="6"/>
      <c r="AA120" s="43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48" t="str" cm="1">
        <f t="array" aca="1" ref="A121" ca="1">IFERROR(INDEX(_xlfn.ANCHORARRAY($AA$11),ROW()-10,1),"")</f>
        <v/>
      </c>
      <c r="B121" s="24" t="str" cm="1">
        <f t="array" aca="1" ref="B121" ca="1">IFERROR(INDEX(_xlfn.ANCHORARRAY($AA$11),ROW()-10,2),"")</f>
        <v/>
      </c>
      <c r="C121" s="16" t="str" cm="1">
        <f t="array" aca="1" ref="C121" ca="1">IFERROR(INDEX(_xlfn.ANCHORARRAY($AA$11),ROW()-10,3),"")</f>
        <v/>
      </c>
      <c r="D121" s="16" t="str" cm="1">
        <f t="array" aca="1" ref="D121" ca="1">IFERROR(INDEX(_xlfn.ANCHORARRAY($AA$11),ROW()-10,4),"")</f>
        <v/>
      </c>
      <c r="E121" s="16" t="str" cm="1">
        <f t="array" aca="1" ref="E121" ca="1">IFERROR(INDEX(_xlfn.ANCHORARRAY($AA$11),ROW()-10,5),"")</f>
        <v/>
      </c>
      <c r="F121" s="16" t="str" cm="1">
        <f t="array" aca="1" ref="F121" ca="1">IFERROR(INDEX(_xlfn.ANCHORARRAY($AA$11),ROW()-10,6),"")</f>
        <v/>
      </c>
      <c r="G121" s="16" t="str" cm="1">
        <f t="array" aca="1" ref="G121" ca="1">IFERROR(INDEX(_xlfn.ANCHORARRAY($AA$11),ROW()-10,7),"")</f>
        <v/>
      </c>
      <c r="H121" s="16" t="str" cm="1">
        <f t="array" aca="1" ref="H121" ca="1">IFERROR(INDEX(_xlfn.ANCHORARRAY($AA$11),ROW()-10,8),"")</f>
        <v/>
      </c>
      <c r="I121" s="16" t="str" cm="1">
        <f t="array" aca="1" ref="I121" ca="1">IFERROR(INDEX(_xlfn.ANCHORARRAY($AA$11),ROW()-10,9),"")</f>
        <v/>
      </c>
      <c r="J121" s="16" t="str">
        <f t="shared" ca="1" si="6"/>
        <v/>
      </c>
      <c r="K121" s="16" t="str">
        <f t="shared" ca="1" si="7"/>
        <v/>
      </c>
      <c r="L121" s="16" t="str" cm="1">
        <f t="array" aca="1" ref="L121" ca="1">_xlfn.LET(_xlpm.link,IFERROR(INDEX(_xlfn.ANCHORARRAY($AA$11),ROW()-10,12),""),IF(_xlpm.link="","",HYPERLINK(_xlpm.link,"Bluecore/Attentive")))</f>
        <v/>
      </c>
      <c r="M121" s="7"/>
      <c r="N121" s="7"/>
      <c r="O121" s="7"/>
      <c r="P121" s="7"/>
      <c r="Q121" s="7"/>
      <c r="R121" s="7"/>
      <c r="S121" s="6"/>
      <c r="T121" s="6"/>
      <c r="U121" s="6"/>
      <c r="V121" s="6"/>
      <c r="W121" s="6"/>
      <c r="X121" s="6"/>
      <c r="Y121" s="6"/>
      <c r="Z121" s="6"/>
      <c r="AA121" s="43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48" t="str" cm="1">
        <f t="array" aca="1" ref="A122" ca="1">IFERROR(INDEX(_xlfn.ANCHORARRAY($AA$11),ROW()-10,1),"")</f>
        <v/>
      </c>
      <c r="B122" s="24" t="str" cm="1">
        <f t="array" aca="1" ref="B122" ca="1">IFERROR(INDEX(_xlfn.ANCHORARRAY($AA$11),ROW()-10,2),"")</f>
        <v/>
      </c>
      <c r="C122" s="16" t="str" cm="1">
        <f t="array" aca="1" ref="C122" ca="1">IFERROR(INDEX(_xlfn.ANCHORARRAY($AA$11),ROW()-10,3),"")</f>
        <v/>
      </c>
      <c r="D122" s="16" t="str" cm="1">
        <f t="array" aca="1" ref="D122" ca="1">IFERROR(INDEX(_xlfn.ANCHORARRAY($AA$11),ROW()-10,4),"")</f>
        <v/>
      </c>
      <c r="E122" s="16" t="str" cm="1">
        <f t="array" aca="1" ref="E122" ca="1">IFERROR(INDEX(_xlfn.ANCHORARRAY($AA$11),ROW()-10,5),"")</f>
        <v/>
      </c>
      <c r="F122" s="16" t="str" cm="1">
        <f t="array" aca="1" ref="F122" ca="1">IFERROR(INDEX(_xlfn.ANCHORARRAY($AA$11),ROW()-10,6),"")</f>
        <v/>
      </c>
      <c r="G122" s="16" t="str" cm="1">
        <f t="array" aca="1" ref="G122" ca="1">IFERROR(INDEX(_xlfn.ANCHORARRAY($AA$11),ROW()-10,7),"")</f>
        <v/>
      </c>
      <c r="H122" s="16" t="str" cm="1">
        <f t="array" aca="1" ref="H122" ca="1">IFERROR(INDEX(_xlfn.ANCHORARRAY($AA$11),ROW()-10,8),"")</f>
        <v/>
      </c>
      <c r="I122" s="16" t="str" cm="1">
        <f t="array" aca="1" ref="I122" ca="1">IFERROR(INDEX(_xlfn.ANCHORARRAY($AA$11),ROW()-10,9),"")</f>
        <v/>
      </c>
      <c r="J122" s="16" t="str">
        <f t="shared" ca="1" si="6"/>
        <v/>
      </c>
      <c r="K122" s="16" t="str">
        <f t="shared" ca="1" si="7"/>
        <v/>
      </c>
      <c r="L122" s="16" t="str" cm="1">
        <f t="array" aca="1" ref="L122" ca="1">_xlfn.LET(_xlpm.link,IFERROR(INDEX(_xlfn.ANCHORARRAY($AA$11),ROW()-10,12),""),IF(_xlpm.link="","",HYPERLINK(_xlpm.link,"Bluecore/Attentive")))</f>
        <v/>
      </c>
      <c r="M122" s="7"/>
      <c r="N122" s="7"/>
      <c r="O122" s="7"/>
      <c r="P122" s="7"/>
      <c r="Q122" s="7"/>
      <c r="R122" s="7"/>
      <c r="S122" s="6"/>
      <c r="T122" s="6"/>
      <c r="U122" s="6"/>
      <c r="V122" s="6"/>
      <c r="W122" s="6"/>
      <c r="X122" s="6"/>
      <c r="Y122" s="6"/>
      <c r="Z122" s="6"/>
      <c r="AA122" s="43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48" t="str" cm="1">
        <f t="array" aca="1" ref="A123" ca="1">IFERROR(INDEX(_xlfn.ANCHORARRAY($AA$11),ROW()-10,1),"")</f>
        <v/>
      </c>
      <c r="B123" s="24" t="str" cm="1">
        <f t="array" aca="1" ref="B123" ca="1">IFERROR(INDEX(_xlfn.ANCHORARRAY($AA$11),ROW()-10,2),"")</f>
        <v/>
      </c>
      <c r="C123" s="16" t="str" cm="1">
        <f t="array" aca="1" ref="C123" ca="1">IFERROR(INDEX(_xlfn.ANCHORARRAY($AA$11),ROW()-10,3),"")</f>
        <v/>
      </c>
      <c r="D123" s="16" t="str" cm="1">
        <f t="array" aca="1" ref="D123" ca="1">IFERROR(INDEX(_xlfn.ANCHORARRAY($AA$11),ROW()-10,4),"")</f>
        <v/>
      </c>
      <c r="E123" s="16" t="str" cm="1">
        <f t="array" aca="1" ref="E123" ca="1">IFERROR(INDEX(_xlfn.ANCHORARRAY($AA$11),ROW()-10,5),"")</f>
        <v/>
      </c>
      <c r="F123" s="16" t="str" cm="1">
        <f t="array" aca="1" ref="F123" ca="1">IFERROR(INDEX(_xlfn.ANCHORARRAY($AA$11),ROW()-10,6),"")</f>
        <v/>
      </c>
      <c r="G123" s="16" t="str" cm="1">
        <f t="array" aca="1" ref="G123" ca="1">IFERROR(INDEX(_xlfn.ANCHORARRAY($AA$11),ROW()-10,7),"")</f>
        <v/>
      </c>
      <c r="H123" s="16" t="str" cm="1">
        <f t="array" aca="1" ref="H123" ca="1">IFERROR(INDEX(_xlfn.ANCHORARRAY($AA$11),ROW()-10,8),"")</f>
        <v/>
      </c>
      <c r="I123" s="16" t="str" cm="1">
        <f t="array" aca="1" ref="I123" ca="1">IFERROR(INDEX(_xlfn.ANCHORARRAY($AA$11),ROW()-10,9),"")</f>
        <v/>
      </c>
      <c r="J123" s="16" t="str">
        <f t="shared" ca="1" si="6"/>
        <v/>
      </c>
      <c r="K123" s="16" t="str">
        <f t="shared" ca="1" si="7"/>
        <v/>
      </c>
      <c r="L123" s="16" t="str" cm="1">
        <f t="array" aca="1" ref="L123" ca="1">_xlfn.LET(_xlpm.link,IFERROR(INDEX(_xlfn.ANCHORARRAY($AA$11),ROW()-10,12),""),IF(_xlpm.link="","",HYPERLINK(_xlpm.link,"Bluecore/Attentive")))</f>
        <v/>
      </c>
      <c r="M123" s="7"/>
      <c r="N123" s="7"/>
      <c r="O123" s="7"/>
      <c r="P123" s="7"/>
      <c r="Q123" s="7"/>
      <c r="R123" s="7"/>
      <c r="S123" s="6"/>
      <c r="T123" s="6"/>
      <c r="U123" s="6"/>
      <c r="V123" s="6"/>
      <c r="W123" s="6"/>
      <c r="X123" s="6"/>
      <c r="Y123" s="6"/>
      <c r="Z123" s="6"/>
      <c r="AA123" s="4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48" t="str" cm="1">
        <f t="array" aca="1" ref="A124" ca="1">IFERROR(INDEX(_xlfn.ANCHORARRAY($AA$11),ROW()-10,1),"")</f>
        <v/>
      </c>
      <c r="B124" s="24" t="str" cm="1">
        <f t="array" aca="1" ref="B124" ca="1">IFERROR(INDEX(_xlfn.ANCHORARRAY($AA$11),ROW()-10,2),"")</f>
        <v/>
      </c>
      <c r="C124" s="16" t="str" cm="1">
        <f t="array" aca="1" ref="C124" ca="1">IFERROR(INDEX(_xlfn.ANCHORARRAY($AA$11),ROW()-10,3),"")</f>
        <v/>
      </c>
      <c r="D124" s="16" t="str" cm="1">
        <f t="array" aca="1" ref="D124" ca="1">IFERROR(INDEX(_xlfn.ANCHORARRAY($AA$11),ROW()-10,4),"")</f>
        <v/>
      </c>
      <c r="E124" s="16" t="str" cm="1">
        <f t="array" aca="1" ref="E124" ca="1">IFERROR(INDEX(_xlfn.ANCHORARRAY($AA$11),ROW()-10,5),"")</f>
        <v/>
      </c>
      <c r="F124" s="16" t="str" cm="1">
        <f t="array" aca="1" ref="F124" ca="1">IFERROR(INDEX(_xlfn.ANCHORARRAY($AA$11),ROW()-10,6),"")</f>
        <v/>
      </c>
      <c r="G124" s="16" t="str" cm="1">
        <f t="array" aca="1" ref="G124" ca="1">IFERROR(INDEX(_xlfn.ANCHORARRAY($AA$11),ROW()-10,7),"")</f>
        <v/>
      </c>
      <c r="H124" s="16" t="str" cm="1">
        <f t="array" aca="1" ref="H124" ca="1">IFERROR(INDEX(_xlfn.ANCHORARRAY($AA$11),ROW()-10,8),"")</f>
        <v/>
      </c>
      <c r="I124" s="16" t="str" cm="1">
        <f t="array" aca="1" ref="I124" ca="1">IFERROR(INDEX(_xlfn.ANCHORARRAY($AA$11),ROW()-10,9),"")</f>
        <v/>
      </c>
      <c r="J124" s="16" t="str">
        <f t="shared" ca="1" si="6"/>
        <v/>
      </c>
      <c r="K124" s="16" t="str">
        <f t="shared" ca="1" si="7"/>
        <v/>
      </c>
      <c r="L124" s="16" t="str" cm="1">
        <f t="array" aca="1" ref="L124" ca="1">_xlfn.LET(_xlpm.link,IFERROR(INDEX(_xlfn.ANCHORARRAY($AA$11),ROW()-10,12),""),IF(_xlpm.link="","",HYPERLINK(_xlpm.link,"Bluecore/Attentive")))</f>
        <v/>
      </c>
      <c r="M124" s="7"/>
      <c r="N124" s="7"/>
      <c r="O124" s="7"/>
      <c r="P124" s="7"/>
      <c r="Q124" s="7"/>
      <c r="R124" s="7"/>
      <c r="S124" s="6"/>
      <c r="T124" s="6"/>
      <c r="U124" s="6"/>
      <c r="V124" s="6"/>
      <c r="W124" s="6"/>
      <c r="X124" s="6"/>
      <c r="Y124" s="6"/>
      <c r="Z124" s="6"/>
      <c r="AA124" s="43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48" t="str" cm="1">
        <f t="array" aca="1" ref="A125" ca="1">IFERROR(INDEX(_xlfn.ANCHORARRAY($AA$11),ROW()-10,1),"")</f>
        <v/>
      </c>
      <c r="B125" s="24" t="str" cm="1">
        <f t="array" aca="1" ref="B125" ca="1">IFERROR(INDEX(_xlfn.ANCHORARRAY($AA$11),ROW()-10,2),"")</f>
        <v/>
      </c>
      <c r="C125" s="16" t="str" cm="1">
        <f t="array" aca="1" ref="C125" ca="1">IFERROR(INDEX(_xlfn.ANCHORARRAY($AA$11),ROW()-10,3),"")</f>
        <v/>
      </c>
      <c r="D125" s="16" t="str" cm="1">
        <f t="array" aca="1" ref="D125" ca="1">IFERROR(INDEX(_xlfn.ANCHORARRAY($AA$11),ROW()-10,4),"")</f>
        <v/>
      </c>
      <c r="E125" s="16" t="str" cm="1">
        <f t="array" aca="1" ref="E125" ca="1">IFERROR(INDEX(_xlfn.ANCHORARRAY($AA$11),ROW()-10,5),"")</f>
        <v/>
      </c>
      <c r="F125" s="16" t="str" cm="1">
        <f t="array" aca="1" ref="F125" ca="1">IFERROR(INDEX(_xlfn.ANCHORARRAY($AA$11),ROW()-10,6),"")</f>
        <v/>
      </c>
      <c r="G125" s="16" t="str" cm="1">
        <f t="array" aca="1" ref="G125" ca="1">IFERROR(INDEX(_xlfn.ANCHORARRAY($AA$11),ROW()-10,7),"")</f>
        <v/>
      </c>
      <c r="H125" s="16" t="str" cm="1">
        <f t="array" aca="1" ref="H125" ca="1">IFERROR(INDEX(_xlfn.ANCHORARRAY($AA$11),ROW()-10,8),"")</f>
        <v/>
      </c>
      <c r="I125" s="16" t="str" cm="1">
        <f t="array" aca="1" ref="I125" ca="1">IFERROR(INDEX(_xlfn.ANCHORARRAY($AA$11),ROW()-10,9),"")</f>
        <v/>
      </c>
      <c r="J125" s="16" t="str">
        <f t="shared" ca="1" si="6"/>
        <v/>
      </c>
      <c r="K125" s="16" t="str">
        <f t="shared" ca="1" si="7"/>
        <v/>
      </c>
      <c r="L125" s="16" t="str" cm="1">
        <f t="array" aca="1" ref="L125" ca="1">_xlfn.LET(_xlpm.link,IFERROR(INDEX(_xlfn.ANCHORARRAY($AA$11),ROW()-10,12),""),IF(_xlpm.link="","",HYPERLINK(_xlpm.link,"Bluecore/Attentive")))</f>
        <v/>
      </c>
      <c r="M125" s="7"/>
      <c r="N125" s="7"/>
      <c r="O125" s="7"/>
      <c r="P125" s="7"/>
      <c r="Q125" s="7"/>
      <c r="R125" s="7"/>
      <c r="S125" s="6"/>
      <c r="T125" s="6"/>
      <c r="U125" s="6"/>
      <c r="V125" s="6"/>
      <c r="W125" s="6"/>
      <c r="X125" s="6"/>
      <c r="Y125" s="6"/>
      <c r="Z125" s="6"/>
      <c r="AA125" s="43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48" t="str" cm="1">
        <f t="array" aca="1" ref="A126" ca="1">IFERROR(INDEX(_xlfn.ANCHORARRAY($AA$11),ROW()-10,1),"")</f>
        <v/>
      </c>
      <c r="B126" s="24" t="str" cm="1">
        <f t="array" aca="1" ref="B126" ca="1">IFERROR(INDEX(_xlfn.ANCHORARRAY($AA$11),ROW()-10,2),"")</f>
        <v/>
      </c>
      <c r="C126" s="16" t="str" cm="1">
        <f t="array" aca="1" ref="C126" ca="1">IFERROR(INDEX(_xlfn.ANCHORARRAY($AA$11),ROW()-10,3),"")</f>
        <v/>
      </c>
      <c r="D126" s="16" t="str" cm="1">
        <f t="array" aca="1" ref="D126" ca="1">IFERROR(INDEX(_xlfn.ANCHORARRAY($AA$11),ROW()-10,4),"")</f>
        <v/>
      </c>
      <c r="E126" s="16" t="str" cm="1">
        <f t="array" aca="1" ref="E126" ca="1">IFERROR(INDEX(_xlfn.ANCHORARRAY($AA$11),ROW()-10,5),"")</f>
        <v/>
      </c>
      <c r="F126" s="16" t="str" cm="1">
        <f t="array" aca="1" ref="F126" ca="1">IFERROR(INDEX(_xlfn.ANCHORARRAY($AA$11),ROW()-10,6),"")</f>
        <v/>
      </c>
      <c r="G126" s="16" t="str" cm="1">
        <f t="array" aca="1" ref="G126" ca="1">IFERROR(INDEX(_xlfn.ANCHORARRAY($AA$11),ROW()-10,7),"")</f>
        <v/>
      </c>
      <c r="H126" s="16" t="str" cm="1">
        <f t="array" aca="1" ref="H126" ca="1">IFERROR(INDEX(_xlfn.ANCHORARRAY($AA$11),ROW()-10,8),"")</f>
        <v/>
      </c>
      <c r="I126" s="16" t="str" cm="1">
        <f t="array" aca="1" ref="I126" ca="1">IFERROR(INDEX(_xlfn.ANCHORARRAY($AA$11),ROW()-10,9),"")</f>
        <v/>
      </c>
      <c r="J126" s="16" t="str">
        <f t="shared" ca="1" si="6"/>
        <v/>
      </c>
      <c r="K126" s="16" t="str">
        <f t="shared" ca="1" si="7"/>
        <v/>
      </c>
      <c r="L126" s="16" t="str" cm="1">
        <f t="array" aca="1" ref="L126" ca="1">_xlfn.LET(_xlpm.link,IFERROR(INDEX(_xlfn.ANCHORARRAY($AA$11),ROW()-10,12),""),IF(_xlpm.link="","",HYPERLINK(_xlpm.link,"Bluecore/Attentive")))</f>
        <v/>
      </c>
      <c r="M126" s="7"/>
      <c r="N126" s="7"/>
      <c r="O126" s="7"/>
      <c r="P126" s="7"/>
      <c r="Q126" s="7"/>
      <c r="R126" s="7"/>
      <c r="S126" s="6"/>
      <c r="T126" s="6"/>
      <c r="U126" s="6"/>
      <c r="V126" s="6"/>
      <c r="W126" s="6"/>
      <c r="X126" s="6"/>
      <c r="Y126" s="6"/>
      <c r="Z126" s="6"/>
      <c r="AA126" s="43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48" t="str" cm="1">
        <f t="array" aca="1" ref="A127" ca="1">IFERROR(INDEX(_xlfn.ANCHORARRAY($AA$11),ROW()-10,1),"")</f>
        <v/>
      </c>
      <c r="B127" s="24" t="str" cm="1">
        <f t="array" aca="1" ref="B127" ca="1">IFERROR(INDEX(_xlfn.ANCHORARRAY($AA$11),ROW()-10,2),"")</f>
        <v/>
      </c>
      <c r="C127" s="16" t="str" cm="1">
        <f t="array" aca="1" ref="C127" ca="1">IFERROR(INDEX(_xlfn.ANCHORARRAY($AA$11),ROW()-10,3),"")</f>
        <v/>
      </c>
      <c r="D127" s="16" t="str" cm="1">
        <f t="array" aca="1" ref="D127" ca="1">IFERROR(INDEX(_xlfn.ANCHORARRAY($AA$11),ROW()-10,4),"")</f>
        <v/>
      </c>
      <c r="E127" s="16" t="str" cm="1">
        <f t="array" aca="1" ref="E127" ca="1">IFERROR(INDEX(_xlfn.ANCHORARRAY($AA$11),ROW()-10,5),"")</f>
        <v/>
      </c>
      <c r="F127" s="16" t="str" cm="1">
        <f t="array" aca="1" ref="F127" ca="1">IFERROR(INDEX(_xlfn.ANCHORARRAY($AA$11),ROW()-10,6),"")</f>
        <v/>
      </c>
      <c r="G127" s="16" t="str" cm="1">
        <f t="array" aca="1" ref="G127" ca="1">IFERROR(INDEX(_xlfn.ANCHORARRAY($AA$11),ROW()-10,7),"")</f>
        <v/>
      </c>
      <c r="H127" s="16" t="str" cm="1">
        <f t="array" aca="1" ref="H127" ca="1">IFERROR(INDEX(_xlfn.ANCHORARRAY($AA$11),ROW()-10,8),"")</f>
        <v/>
      </c>
      <c r="I127" s="16" t="str" cm="1">
        <f t="array" aca="1" ref="I127" ca="1">IFERROR(INDEX(_xlfn.ANCHORARRAY($AA$11),ROW()-10,9),"")</f>
        <v/>
      </c>
      <c r="J127" s="16" t="str">
        <f t="shared" ca="1" si="6"/>
        <v/>
      </c>
      <c r="K127" s="16" t="str">
        <f t="shared" ca="1" si="7"/>
        <v/>
      </c>
      <c r="L127" s="16" t="str" cm="1">
        <f t="array" aca="1" ref="L127" ca="1">_xlfn.LET(_xlpm.link,IFERROR(INDEX(_xlfn.ANCHORARRAY($AA$11),ROW()-10,12),""),IF(_xlpm.link="","",HYPERLINK(_xlpm.link,"Bluecore/Attentive")))</f>
        <v/>
      </c>
      <c r="M127" s="7"/>
      <c r="N127" s="7"/>
      <c r="O127" s="7"/>
      <c r="P127" s="7"/>
      <c r="Q127" s="7"/>
      <c r="R127" s="7"/>
      <c r="S127" s="6"/>
      <c r="T127" s="6"/>
      <c r="U127" s="6"/>
      <c r="V127" s="6"/>
      <c r="W127" s="6"/>
      <c r="X127" s="6"/>
      <c r="Y127" s="6"/>
      <c r="Z127" s="6"/>
      <c r="AA127" s="43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48" t="str" cm="1">
        <f t="array" aca="1" ref="A128" ca="1">IFERROR(INDEX(_xlfn.ANCHORARRAY($AA$11),ROW()-10,1),"")</f>
        <v/>
      </c>
      <c r="B128" s="24" t="str" cm="1">
        <f t="array" aca="1" ref="B128" ca="1">IFERROR(INDEX(_xlfn.ANCHORARRAY($AA$11),ROW()-10,2),"")</f>
        <v/>
      </c>
      <c r="C128" s="16" t="str" cm="1">
        <f t="array" aca="1" ref="C128" ca="1">IFERROR(INDEX(_xlfn.ANCHORARRAY($AA$11),ROW()-10,3),"")</f>
        <v/>
      </c>
      <c r="D128" s="16" t="str" cm="1">
        <f t="array" aca="1" ref="D128" ca="1">IFERROR(INDEX(_xlfn.ANCHORARRAY($AA$11),ROW()-10,4),"")</f>
        <v/>
      </c>
      <c r="E128" s="16" t="str" cm="1">
        <f t="array" aca="1" ref="E128" ca="1">IFERROR(INDEX(_xlfn.ANCHORARRAY($AA$11),ROW()-10,5),"")</f>
        <v/>
      </c>
      <c r="F128" s="16" t="str" cm="1">
        <f t="array" aca="1" ref="F128" ca="1">IFERROR(INDEX(_xlfn.ANCHORARRAY($AA$11),ROW()-10,6),"")</f>
        <v/>
      </c>
      <c r="G128" s="16" t="str" cm="1">
        <f t="array" aca="1" ref="G128" ca="1">IFERROR(INDEX(_xlfn.ANCHORARRAY($AA$11),ROW()-10,7),"")</f>
        <v/>
      </c>
      <c r="H128" s="16" t="str" cm="1">
        <f t="array" aca="1" ref="H128" ca="1">IFERROR(INDEX(_xlfn.ANCHORARRAY($AA$11),ROW()-10,8),"")</f>
        <v/>
      </c>
      <c r="I128" s="16" t="str" cm="1">
        <f t="array" aca="1" ref="I128" ca="1">IFERROR(INDEX(_xlfn.ANCHORARRAY($AA$11),ROW()-10,9),"")</f>
        <v/>
      </c>
      <c r="J128" s="16" t="str">
        <f t="shared" ca="1" si="6"/>
        <v/>
      </c>
      <c r="K128" s="16" t="str">
        <f t="shared" ca="1" si="7"/>
        <v/>
      </c>
      <c r="L128" s="16" t="str" cm="1">
        <f t="array" aca="1" ref="L128" ca="1">_xlfn.LET(_xlpm.link,IFERROR(INDEX(_xlfn.ANCHORARRAY($AA$11),ROW()-10,12),""),IF(_xlpm.link="","",HYPERLINK(_xlpm.link,"Bluecore/Attentive")))</f>
        <v/>
      </c>
      <c r="M128" s="7"/>
      <c r="N128" s="7"/>
      <c r="O128" s="7"/>
      <c r="P128" s="7"/>
      <c r="Q128" s="7"/>
      <c r="R128" s="7"/>
      <c r="S128" s="6"/>
      <c r="T128" s="6"/>
      <c r="U128" s="6"/>
      <c r="V128" s="6"/>
      <c r="W128" s="6"/>
      <c r="X128" s="6"/>
      <c r="Y128" s="6"/>
      <c r="Z128" s="6"/>
      <c r="AA128" s="43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48" t="str" cm="1">
        <f t="array" aca="1" ref="A129" ca="1">IFERROR(INDEX(_xlfn.ANCHORARRAY($AA$11),ROW()-10,1),"")</f>
        <v/>
      </c>
      <c r="B129" s="24" t="str" cm="1">
        <f t="array" aca="1" ref="B129" ca="1">IFERROR(INDEX(_xlfn.ANCHORARRAY($AA$11),ROW()-10,2),"")</f>
        <v/>
      </c>
      <c r="C129" s="16" t="str" cm="1">
        <f t="array" aca="1" ref="C129" ca="1">IFERROR(INDEX(_xlfn.ANCHORARRAY($AA$11),ROW()-10,3),"")</f>
        <v/>
      </c>
      <c r="D129" s="16" t="str" cm="1">
        <f t="array" aca="1" ref="D129" ca="1">IFERROR(INDEX(_xlfn.ANCHORARRAY($AA$11),ROW()-10,4),"")</f>
        <v/>
      </c>
      <c r="E129" s="16" t="str" cm="1">
        <f t="array" aca="1" ref="E129" ca="1">IFERROR(INDEX(_xlfn.ANCHORARRAY($AA$11),ROW()-10,5),"")</f>
        <v/>
      </c>
      <c r="F129" s="16" t="str" cm="1">
        <f t="array" aca="1" ref="F129" ca="1">IFERROR(INDEX(_xlfn.ANCHORARRAY($AA$11),ROW()-10,6),"")</f>
        <v/>
      </c>
      <c r="G129" s="16" t="str" cm="1">
        <f t="array" aca="1" ref="G129" ca="1">IFERROR(INDEX(_xlfn.ANCHORARRAY($AA$11),ROW()-10,7),"")</f>
        <v/>
      </c>
      <c r="H129" s="16" t="str" cm="1">
        <f t="array" aca="1" ref="H129" ca="1">IFERROR(INDEX(_xlfn.ANCHORARRAY($AA$11),ROW()-10,8),"")</f>
        <v/>
      </c>
      <c r="I129" s="16" t="str" cm="1">
        <f t="array" aca="1" ref="I129" ca="1">IFERROR(INDEX(_xlfn.ANCHORARRAY($AA$11),ROW()-10,9),"")</f>
        <v/>
      </c>
      <c r="J129" s="16" t="str">
        <f t="shared" ca="1" si="6"/>
        <v/>
      </c>
      <c r="K129" s="16" t="str">
        <f t="shared" ca="1" si="7"/>
        <v/>
      </c>
      <c r="L129" s="16" t="str" cm="1">
        <f t="array" aca="1" ref="L129" ca="1">_xlfn.LET(_xlpm.link,IFERROR(INDEX(_xlfn.ANCHORARRAY($AA$11),ROW()-10,12),""),IF(_xlpm.link="","",HYPERLINK(_xlpm.link,"Bluecore/Attentive")))</f>
        <v/>
      </c>
      <c r="M129" s="7"/>
      <c r="N129" s="7"/>
      <c r="O129" s="7"/>
      <c r="P129" s="7"/>
      <c r="Q129" s="7"/>
      <c r="R129" s="7"/>
      <c r="S129" s="6"/>
      <c r="T129" s="6"/>
      <c r="U129" s="6"/>
      <c r="V129" s="6"/>
      <c r="W129" s="6"/>
      <c r="X129" s="6"/>
      <c r="Y129" s="6"/>
      <c r="Z129" s="6"/>
      <c r="AA129" s="43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48" t="str" cm="1">
        <f t="array" aca="1" ref="A130" ca="1">IFERROR(INDEX(_xlfn.ANCHORARRAY($AA$11),ROW()-10,1),"")</f>
        <v/>
      </c>
      <c r="B130" s="24" t="str" cm="1">
        <f t="array" aca="1" ref="B130" ca="1">IFERROR(INDEX(_xlfn.ANCHORARRAY($AA$11),ROW()-10,2),"")</f>
        <v/>
      </c>
      <c r="C130" s="16" t="str" cm="1">
        <f t="array" aca="1" ref="C130" ca="1">IFERROR(INDEX(_xlfn.ANCHORARRAY($AA$11),ROW()-10,3),"")</f>
        <v/>
      </c>
      <c r="D130" s="16" t="str" cm="1">
        <f t="array" aca="1" ref="D130" ca="1">IFERROR(INDEX(_xlfn.ANCHORARRAY($AA$11),ROW()-10,4),"")</f>
        <v/>
      </c>
      <c r="E130" s="16" t="str" cm="1">
        <f t="array" aca="1" ref="E130" ca="1">IFERROR(INDEX(_xlfn.ANCHORARRAY($AA$11),ROW()-10,5),"")</f>
        <v/>
      </c>
      <c r="F130" s="16" t="str" cm="1">
        <f t="array" aca="1" ref="F130" ca="1">IFERROR(INDEX(_xlfn.ANCHORARRAY($AA$11),ROW()-10,6),"")</f>
        <v/>
      </c>
      <c r="G130" s="16" t="str" cm="1">
        <f t="array" aca="1" ref="G130" ca="1">IFERROR(INDEX(_xlfn.ANCHORARRAY($AA$11),ROW()-10,7),"")</f>
        <v/>
      </c>
      <c r="H130" s="16" t="str" cm="1">
        <f t="array" aca="1" ref="H130" ca="1">IFERROR(INDEX(_xlfn.ANCHORARRAY($AA$11),ROW()-10,8),"")</f>
        <v/>
      </c>
      <c r="I130" s="16" t="str" cm="1">
        <f t="array" aca="1" ref="I130" ca="1">IFERROR(INDEX(_xlfn.ANCHORARRAY($AA$11),ROW()-10,9),"")</f>
        <v/>
      </c>
      <c r="J130" s="16" t="str">
        <f t="shared" ca="1" si="6"/>
        <v/>
      </c>
      <c r="K130" s="16" t="str">
        <f t="shared" ca="1" si="7"/>
        <v/>
      </c>
      <c r="L130" s="16" t="str" cm="1">
        <f t="array" aca="1" ref="L130" ca="1">_xlfn.LET(_xlpm.link,IFERROR(INDEX(_xlfn.ANCHORARRAY($AA$11),ROW()-10,12),""),IF(_xlpm.link="","",HYPERLINK(_xlpm.link,"Bluecore/Attentive")))</f>
        <v/>
      </c>
      <c r="M130" s="7"/>
      <c r="N130" s="7"/>
      <c r="O130" s="7"/>
      <c r="P130" s="7"/>
      <c r="Q130" s="7"/>
      <c r="R130" s="7"/>
      <c r="S130" s="6"/>
      <c r="T130" s="6"/>
      <c r="U130" s="6"/>
      <c r="V130" s="6"/>
      <c r="W130" s="6"/>
      <c r="X130" s="6"/>
      <c r="Y130" s="6"/>
      <c r="Z130" s="6"/>
      <c r="AA130" s="43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48" t="str" cm="1">
        <f t="array" aca="1" ref="A131" ca="1">IFERROR(INDEX(_xlfn.ANCHORARRAY($AA$11),ROW()-10,1),"")</f>
        <v/>
      </c>
      <c r="B131" s="24" t="str" cm="1">
        <f t="array" aca="1" ref="B131" ca="1">IFERROR(INDEX(_xlfn.ANCHORARRAY($AA$11),ROW()-10,2),"")</f>
        <v/>
      </c>
      <c r="C131" s="16" t="str" cm="1">
        <f t="array" aca="1" ref="C131" ca="1">IFERROR(INDEX(_xlfn.ANCHORARRAY($AA$11),ROW()-10,3),"")</f>
        <v/>
      </c>
      <c r="D131" s="16" t="str" cm="1">
        <f t="array" aca="1" ref="D131" ca="1">IFERROR(INDEX(_xlfn.ANCHORARRAY($AA$11),ROW()-10,4),"")</f>
        <v/>
      </c>
      <c r="E131" s="16" t="str" cm="1">
        <f t="array" aca="1" ref="E131" ca="1">IFERROR(INDEX(_xlfn.ANCHORARRAY($AA$11),ROW()-10,5),"")</f>
        <v/>
      </c>
      <c r="F131" s="16" t="str" cm="1">
        <f t="array" aca="1" ref="F131" ca="1">IFERROR(INDEX(_xlfn.ANCHORARRAY($AA$11),ROW()-10,6),"")</f>
        <v/>
      </c>
      <c r="G131" s="16" t="str" cm="1">
        <f t="array" aca="1" ref="G131" ca="1">IFERROR(INDEX(_xlfn.ANCHORARRAY($AA$11),ROW()-10,7),"")</f>
        <v/>
      </c>
      <c r="H131" s="16" t="str" cm="1">
        <f t="array" aca="1" ref="H131" ca="1">IFERROR(INDEX(_xlfn.ANCHORARRAY($AA$11),ROW()-10,8),"")</f>
        <v/>
      </c>
      <c r="I131" s="16" t="str" cm="1">
        <f t="array" aca="1" ref="I131" ca="1">IFERROR(INDEX(_xlfn.ANCHORARRAY($AA$11),ROW()-10,9),"")</f>
        <v/>
      </c>
      <c r="J131" s="16" t="str">
        <f t="shared" ca="1" si="6"/>
        <v/>
      </c>
      <c r="K131" s="16" t="str">
        <f t="shared" ca="1" si="7"/>
        <v/>
      </c>
      <c r="L131" s="16" t="str" cm="1">
        <f t="array" aca="1" ref="L131" ca="1">_xlfn.LET(_xlpm.link,IFERROR(INDEX(_xlfn.ANCHORARRAY($AA$11),ROW()-10,12),""),IF(_xlpm.link="","",HYPERLINK(_xlpm.link,"Bluecore/Attentive")))</f>
        <v/>
      </c>
      <c r="M131" s="7"/>
      <c r="N131" s="7"/>
      <c r="O131" s="7"/>
      <c r="P131" s="7"/>
      <c r="Q131" s="7"/>
      <c r="R131" s="7"/>
      <c r="S131" s="6"/>
      <c r="T131" s="6"/>
      <c r="U131" s="6"/>
      <c r="V131" s="6"/>
      <c r="W131" s="6"/>
      <c r="X131" s="6"/>
      <c r="Y131" s="6"/>
      <c r="Z131" s="6"/>
      <c r="AA131" s="43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48" t="str" cm="1">
        <f t="array" aca="1" ref="A132" ca="1">IFERROR(INDEX(_xlfn.ANCHORARRAY($AA$11),ROW()-10,1),"")</f>
        <v/>
      </c>
      <c r="B132" s="24" t="str" cm="1">
        <f t="array" aca="1" ref="B132" ca="1">IFERROR(INDEX(_xlfn.ANCHORARRAY($AA$11),ROW()-10,2),"")</f>
        <v/>
      </c>
      <c r="C132" s="16" t="str" cm="1">
        <f t="array" aca="1" ref="C132" ca="1">IFERROR(INDEX(_xlfn.ANCHORARRAY($AA$11),ROW()-10,3),"")</f>
        <v/>
      </c>
      <c r="D132" s="16" t="str" cm="1">
        <f t="array" aca="1" ref="D132" ca="1">IFERROR(INDEX(_xlfn.ANCHORARRAY($AA$11),ROW()-10,4),"")</f>
        <v/>
      </c>
      <c r="E132" s="16" t="str" cm="1">
        <f t="array" aca="1" ref="E132" ca="1">IFERROR(INDEX(_xlfn.ANCHORARRAY($AA$11),ROW()-10,5),"")</f>
        <v/>
      </c>
      <c r="F132" s="16" t="str" cm="1">
        <f t="array" aca="1" ref="F132" ca="1">IFERROR(INDEX(_xlfn.ANCHORARRAY($AA$11),ROW()-10,6),"")</f>
        <v/>
      </c>
      <c r="G132" s="16" t="str" cm="1">
        <f t="array" aca="1" ref="G132" ca="1">IFERROR(INDEX(_xlfn.ANCHORARRAY($AA$11),ROW()-10,7),"")</f>
        <v/>
      </c>
      <c r="H132" s="16" t="str" cm="1">
        <f t="array" aca="1" ref="H132" ca="1">IFERROR(INDEX(_xlfn.ANCHORARRAY($AA$11),ROW()-10,8),"")</f>
        <v/>
      </c>
      <c r="I132" s="16" t="str" cm="1">
        <f t="array" aca="1" ref="I132" ca="1">IFERROR(INDEX(_xlfn.ANCHORARRAY($AA$11),ROW()-10,9),"")</f>
        <v/>
      </c>
      <c r="J132" s="16" t="str">
        <f t="shared" ca="1" si="6"/>
        <v/>
      </c>
      <c r="K132" s="16" t="str">
        <f t="shared" ca="1" si="7"/>
        <v/>
      </c>
      <c r="L132" s="16" t="str" cm="1">
        <f t="array" aca="1" ref="L132" ca="1">_xlfn.LET(_xlpm.link,IFERROR(INDEX(_xlfn.ANCHORARRAY($AA$11),ROW()-10,12),""),IF(_xlpm.link="","",HYPERLINK(_xlpm.link,"Bluecore/Attentive")))</f>
        <v/>
      </c>
      <c r="M132" s="7"/>
      <c r="N132" s="7"/>
      <c r="O132" s="7"/>
      <c r="P132" s="7"/>
      <c r="Q132" s="7"/>
      <c r="R132" s="7"/>
      <c r="S132" s="6"/>
      <c r="T132" s="6"/>
      <c r="U132" s="6"/>
      <c r="V132" s="6"/>
      <c r="W132" s="6"/>
      <c r="X132" s="6"/>
      <c r="Y132" s="6"/>
      <c r="Z132" s="6"/>
      <c r="AA132" s="43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48" t="str" cm="1">
        <f t="array" aca="1" ref="A133" ca="1">IFERROR(INDEX(_xlfn.ANCHORARRAY($AA$11),ROW()-10,1),"")</f>
        <v/>
      </c>
      <c r="B133" s="24" t="str" cm="1">
        <f t="array" aca="1" ref="B133" ca="1">IFERROR(INDEX(_xlfn.ANCHORARRAY($AA$11),ROW()-10,2),"")</f>
        <v/>
      </c>
      <c r="C133" s="16" t="str" cm="1">
        <f t="array" aca="1" ref="C133" ca="1">IFERROR(INDEX(_xlfn.ANCHORARRAY($AA$11),ROW()-10,3),"")</f>
        <v/>
      </c>
      <c r="D133" s="16" t="str" cm="1">
        <f t="array" aca="1" ref="D133" ca="1">IFERROR(INDEX(_xlfn.ANCHORARRAY($AA$11),ROW()-10,4),"")</f>
        <v/>
      </c>
      <c r="E133" s="16" t="str" cm="1">
        <f t="array" aca="1" ref="E133" ca="1">IFERROR(INDEX(_xlfn.ANCHORARRAY($AA$11),ROW()-10,5),"")</f>
        <v/>
      </c>
      <c r="F133" s="16" t="str" cm="1">
        <f t="array" aca="1" ref="F133" ca="1">IFERROR(INDEX(_xlfn.ANCHORARRAY($AA$11),ROW()-10,6),"")</f>
        <v/>
      </c>
      <c r="G133" s="16" t="str" cm="1">
        <f t="array" aca="1" ref="G133" ca="1">IFERROR(INDEX(_xlfn.ANCHORARRAY($AA$11),ROW()-10,7),"")</f>
        <v/>
      </c>
      <c r="H133" s="16" t="str" cm="1">
        <f t="array" aca="1" ref="H133" ca="1">IFERROR(INDEX(_xlfn.ANCHORARRAY($AA$11),ROW()-10,8),"")</f>
        <v/>
      </c>
      <c r="I133" s="16" t="str" cm="1">
        <f t="array" aca="1" ref="I133" ca="1">IFERROR(INDEX(_xlfn.ANCHORARRAY($AA$11),ROW()-10,9),"")</f>
        <v/>
      </c>
      <c r="J133" s="16" t="str">
        <f t="shared" ca="1" si="6"/>
        <v/>
      </c>
      <c r="K133" s="16" t="str">
        <f t="shared" ca="1" si="7"/>
        <v/>
      </c>
      <c r="L133" s="16" t="str" cm="1">
        <f t="array" aca="1" ref="L133" ca="1">_xlfn.LET(_xlpm.link,IFERROR(INDEX(_xlfn.ANCHORARRAY($AA$11),ROW()-10,12),""),IF(_xlpm.link="","",HYPERLINK(_xlpm.link,"Bluecore/Attentive")))</f>
        <v/>
      </c>
      <c r="M133" s="7"/>
      <c r="N133" s="7"/>
      <c r="O133" s="7"/>
      <c r="P133" s="7"/>
      <c r="Q133" s="7"/>
      <c r="R133" s="7"/>
      <c r="S133" s="6"/>
      <c r="T133" s="6"/>
      <c r="U133" s="6"/>
      <c r="V133" s="6"/>
      <c r="W133" s="6"/>
      <c r="X133" s="6"/>
      <c r="Y133" s="6"/>
      <c r="Z133" s="6"/>
      <c r="AA133" s="4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48" t="str" cm="1">
        <f t="array" aca="1" ref="A134" ca="1">IFERROR(INDEX(_xlfn.ANCHORARRAY($AA$11),ROW()-10,1),"")</f>
        <v/>
      </c>
      <c r="B134" s="24" t="str" cm="1">
        <f t="array" aca="1" ref="B134" ca="1">IFERROR(INDEX(_xlfn.ANCHORARRAY($AA$11),ROW()-10,2),"")</f>
        <v/>
      </c>
      <c r="C134" s="16" t="str" cm="1">
        <f t="array" aca="1" ref="C134" ca="1">IFERROR(INDEX(_xlfn.ANCHORARRAY($AA$11),ROW()-10,3),"")</f>
        <v/>
      </c>
      <c r="D134" s="16" t="str" cm="1">
        <f t="array" aca="1" ref="D134" ca="1">IFERROR(INDEX(_xlfn.ANCHORARRAY($AA$11),ROW()-10,4),"")</f>
        <v/>
      </c>
      <c r="E134" s="16" t="str" cm="1">
        <f t="array" aca="1" ref="E134" ca="1">IFERROR(INDEX(_xlfn.ANCHORARRAY($AA$11),ROW()-10,5),"")</f>
        <v/>
      </c>
      <c r="F134" s="16" t="str" cm="1">
        <f t="array" aca="1" ref="F134" ca="1">IFERROR(INDEX(_xlfn.ANCHORARRAY($AA$11),ROW()-10,6),"")</f>
        <v/>
      </c>
      <c r="G134" s="16" t="str" cm="1">
        <f t="array" aca="1" ref="G134" ca="1">IFERROR(INDEX(_xlfn.ANCHORARRAY($AA$11),ROW()-10,7),"")</f>
        <v/>
      </c>
      <c r="H134" s="16" t="str" cm="1">
        <f t="array" aca="1" ref="H134" ca="1">IFERROR(INDEX(_xlfn.ANCHORARRAY($AA$11),ROW()-10,8),"")</f>
        <v/>
      </c>
      <c r="I134" s="16" t="str" cm="1">
        <f t="array" aca="1" ref="I134" ca="1">IFERROR(INDEX(_xlfn.ANCHORARRAY($AA$11),ROW()-10,9),"")</f>
        <v/>
      </c>
      <c r="J134" s="16" t="str">
        <f t="shared" ca="1" si="6"/>
        <v/>
      </c>
      <c r="K134" s="16" t="str">
        <f t="shared" ca="1" si="7"/>
        <v/>
      </c>
      <c r="L134" s="16" t="str" cm="1">
        <f t="array" aca="1" ref="L134" ca="1">_xlfn.LET(_xlpm.link,IFERROR(INDEX(_xlfn.ANCHORARRAY($AA$11),ROW()-10,12),""),IF(_xlpm.link="","",HYPERLINK(_xlpm.link,"Bluecore/Attentive")))</f>
        <v/>
      </c>
      <c r="M134" s="7"/>
      <c r="N134" s="7"/>
      <c r="O134" s="7"/>
      <c r="P134" s="7"/>
      <c r="Q134" s="7"/>
      <c r="R134" s="7"/>
      <c r="S134" s="6"/>
      <c r="T134" s="6"/>
      <c r="U134" s="6"/>
      <c r="V134" s="6"/>
      <c r="W134" s="6"/>
      <c r="X134" s="6"/>
      <c r="Y134" s="6"/>
      <c r="Z134" s="6"/>
      <c r="AA134" s="43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48" t="str" cm="1">
        <f t="array" aca="1" ref="A135" ca="1">IFERROR(INDEX(_xlfn.ANCHORARRAY($AA$11),ROW()-10,1),"")</f>
        <v/>
      </c>
      <c r="B135" s="24" t="str" cm="1">
        <f t="array" aca="1" ref="B135" ca="1">IFERROR(INDEX(_xlfn.ANCHORARRAY($AA$11),ROW()-10,2),"")</f>
        <v/>
      </c>
      <c r="C135" s="16" t="str" cm="1">
        <f t="array" aca="1" ref="C135" ca="1">IFERROR(INDEX(_xlfn.ANCHORARRAY($AA$11),ROW()-10,3),"")</f>
        <v/>
      </c>
      <c r="D135" s="16" t="str" cm="1">
        <f t="array" aca="1" ref="D135" ca="1">IFERROR(INDEX(_xlfn.ANCHORARRAY($AA$11),ROW()-10,4),"")</f>
        <v/>
      </c>
      <c r="E135" s="16" t="str" cm="1">
        <f t="array" aca="1" ref="E135" ca="1">IFERROR(INDEX(_xlfn.ANCHORARRAY($AA$11),ROW()-10,5),"")</f>
        <v/>
      </c>
      <c r="F135" s="16" t="str" cm="1">
        <f t="array" aca="1" ref="F135" ca="1">IFERROR(INDEX(_xlfn.ANCHORARRAY($AA$11),ROW()-10,6),"")</f>
        <v/>
      </c>
      <c r="G135" s="16" t="str" cm="1">
        <f t="array" aca="1" ref="G135" ca="1">IFERROR(INDEX(_xlfn.ANCHORARRAY($AA$11),ROW()-10,7),"")</f>
        <v/>
      </c>
      <c r="H135" s="16" t="str" cm="1">
        <f t="array" aca="1" ref="H135" ca="1">IFERROR(INDEX(_xlfn.ANCHORARRAY($AA$11),ROW()-10,8),"")</f>
        <v/>
      </c>
      <c r="I135" s="16" t="str" cm="1">
        <f t="array" aca="1" ref="I135" ca="1">IFERROR(INDEX(_xlfn.ANCHORARRAY($AA$11),ROW()-10,9),"")</f>
        <v/>
      </c>
      <c r="J135" s="16" t="str">
        <f t="shared" ca="1" si="6"/>
        <v/>
      </c>
      <c r="K135" s="16" t="str">
        <f t="shared" ca="1" si="7"/>
        <v/>
      </c>
      <c r="L135" s="16" t="str" cm="1">
        <f t="array" aca="1" ref="L135" ca="1">_xlfn.LET(_xlpm.link,IFERROR(INDEX(_xlfn.ANCHORARRAY($AA$11),ROW()-10,12),""),IF(_xlpm.link="","",HYPERLINK(_xlpm.link,"Bluecore/Attentive")))</f>
        <v/>
      </c>
      <c r="M135" s="7"/>
      <c r="N135" s="7"/>
      <c r="O135" s="7"/>
      <c r="P135" s="7"/>
      <c r="Q135" s="7"/>
      <c r="R135" s="7"/>
      <c r="S135" s="6"/>
      <c r="T135" s="6"/>
      <c r="U135" s="6"/>
      <c r="V135" s="6"/>
      <c r="W135" s="6"/>
      <c r="X135" s="6"/>
      <c r="Y135" s="6"/>
      <c r="Z135" s="6"/>
      <c r="AA135" s="43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48" t="str" cm="1">
        <f t="array" aca="1" ref="A136" ca="1">IFERROR(INDEX(_xlfn.ANCHORARRAY($AA$11),ROW()-10,1),"")</f>
        <v/>
      </c>
      <c r="B136" s="24" t="str" cm="1">
        <f t="array" aca="1" ref="B136" ca="1">IFERROR(INDEX(_xlfn.ANCHORARRAY($AA$11),ROW()-10,2),"")</f>
        <v/>
      </c>
      <c r="C136" s="16" t="str" cm="1">
        <f t="array" aca="1" ref="C136" ca="1">IFERROR(INDEX(_xlfn.ANCHORARRAY($AA$11),ROW()-10,3),"")</f>
        <v/>
      </c>
      <c r="D136" s="16" t="str" cm="1">
        <f t="array" aca="1" ref="D136" ca="1">IFERROR(INDEX(_xlfn.ANCHORARRAY($AA$11),ROW()-10,4),"")</f>
        <v/>
      </c>
      <c r="E136" s="16" t="str" cm="1">
        <f t="array" aca="1" ref="E136" ca="1">IFERROR(INDEX(_xlfn.ANCHORARRAY($AA$11),ROW()-10,5),"")</f>
        <v/>
      </c>
      <c r="F136" s="16" t="str" cm="1">
        <f t="array" aca="1" ref="F136" ca="1">IFERROR(INDEX(_xlfn.ANCHORARRAY($AA$11),ROW()-10,6),"")</f>
        <v/>
      </c>
      <c r="G136" s="16" t="str" cm="1">
        <f t="array" aca="1" ref="G136" ca="1">IFERROR(INDEX(_xlfn.ANCHORARRAY($AA$11),ROW()-10,7),"")</f>
        <v/>
      </c>
      <c r="H136" s="16" t="str" cm="1">
        <f t="array" aca="1" ref="H136" ca="1">IFERROR(INDEX(_xlfn.ANCHORARRAY($AA$11),ROW()-10,8),"")</f>
        <v/>
      </c>
      <c r="I136" s="16" t="str" cm="1">
        <f t="array" aca="1" ref="I136" ca="1">IFERROR(INDEX(_xlfn.ANCHORARRAY($AA$11),ROW()-10,9),"")</f>
        <v/>
      </c>
      <c r="J136" s="16" t="str">
        <f t="shared" ca="1" si="6"/>
        <v/>
      </c>
      <c r="K136" s="16" t="str">
        <f t="shared" ca="1" si="7"/>
        <v/>
      </c>
      <c r="L136" s="16" t="str" cm="1">
        <f t="array" aca="1" ref="L136" ca="1">_xlfn.LET(_xlpm.link,IFERROR(INDEX(_xlfn.ANCHORARRAY($AA$11),ROW()-10,12),""),IF(_xlpm.link="","",HYPERLINK(_xlpm.link,"Bluecore/Attentive")))</f>
        <v/>
      </c>
      <c r="M136" s="7"/>
      <c r="N136" s="7"/>
      <c r="O136" s="7"/>
      <c r="P136" s="7"/>
      <c r="Q136" s="7"/>
      <c r="R136" s="7"/>
      <c r="S136" s="6"/>
      <c r="T136" s="6"/>
      <c r="U136" s="6"/>
      <c r="V136" s="6"/>
      <c r="W136" s="6"/>
      <c r="X136" s="6"/>
      <c r="Y136" s="6"/>
      <c r="Z136" s="6"/>
      <c r="AA136" s="43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48" t="str" cm="1">
        <f t="array" aca="1" ref="A137" ca="1">IFERROR(INDEX(_xlfn.ANCHORARRAY($AA$11),ROW()-10,1),"")</f>
        <v/>
      </c>
      <c r="B137" s="24" t="str" cm="1">
        <f t="array" aca="1" ref="B137" ca="1">IFERROR(INDEX(_xlfn.ANCHORARRAY($AA$11),ROW()-10,2),"")</f>
        <v/>
      </c>
      <c r="C137" s="16" t="str" cm="1">
        <f t="array" aca="1" ref="C137" ca="1">IFERROR(INDEX(_xlfn.ANCHORARRAY($AA$11),ROW()-10,3),"")</f>
        <v/>
      </c>
      <c r="D137" s="16" t="str" cm="1">
        <f t="array" aca="1" ref="D137" ca="1">IFERROR(INDEX(_xlfn.ANCHORARRAY($AA$11),ROW()-10,4),"")</f>
        <v/>
      </c>
      <c r="E137" s="16" t="str" cm="1">
        <f t="array" aca="1" ref="E137" ca="1">IFERROR(INDEX(_xlfn.ANCHORARRAY($AA$11),ROW()-10,5),"")</f>
        <v/>
      </c>
      <c r="F137" s="16" t="str" cm="1">
        <f t="array" aca="1" ref="F137" ca="1">IFERROR(INDEX(_xlfn.ANCHORARRAY($AA$11),ROW()-10,6),"")</f>
        <v/>
      </c>
      <c r="G137" s="16" t="str" cm="1">
        <f t="array" aca="1" ref="G137" ca="1">IFERROR(INDEX(_xlfn.ANCHORARRAY($AA$11),ROW()-10,7),"")</f>
        <v/>
      </c>
      <c r="H137" s="16" t="str" cm="1">
        <f t="array" aca="1" ref="H137" ca="1">IFERROR(INDEX(_xlfn.ANCHORARRAY($AA$11),ROW()-10,8),"")</f>
        <v/>
      </c>
      <c r="I137" s="16" t="str" cm="1">
        <f t="array" aca="1" ref="I137" ca="1">IFERROR(INDEX(_xlfn.ANCHORARRAY($AA$11),ROW()-10,9),"")</f>
        <v/>
      </c>
      <c r="J137" s="16" t="str">
        <f t="shared" ca="1" si="6"/>
        <v/>
      </c>
      <c r="K137" s="16" t="str">
        <f t="shared" ca="1" si="7"/>
        <v/>
      </c>
      <c r="L137" s="16" t="str" cm="1">
        <f t="array" aca="1" ref="L137" ca="1">_xlfn.LET(_xlpm.link,IFERROR(INDEX(_xlfn.ANCHORARRAY($AA$11),ROW()-10,12),""),IF(_xlpm.link="","",HYPERLINK(_xlpm.link,"Bluecore/Attentive")))</f>
        <v/>
      </c>
      <c r="M137" s="7"/>
      <c r="N137" s="7"/>
      <c r="O137" s="7"/>
      <c r="P137" s="7"/>
      <c r="Q137" s="7"/>
      <c r="R137" s="7"/>
      <c r="S137" s="6"/>
      <c r="T137" s="6"/>
      <c r="U137" s="6"/>
      <c r="V137" s="6"/>
      <c r="W137" s="6"/>
      <c r="X137" s="6"/>
      <c r="Y137" s="6"/>
      <c r="Z137" s="6"/>
      <c r="AA137" s="43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48" t="str" cm="1">
        <f t="array" aca="1" ref="A138" ca="1">IFERROR(INDEX(_xlfn.ANCHORARRAY($AA$11),ROW()-10,1),"")</f>
        <v/>
      </c>
      <c r="B138" s="24" t="str" cm="1">
        <f t="array" aca="1" ref="B138" ca="1">IFERROR(INDEX(_xlfn.ANCHORARRAY($AA$11),ROW()-10,2),"")</f>
        <v/>
      </c>
      <c r="C138" s="16" t="str" cm="1">
        <f t="array" aca="1" ref="C138" ca="1">IFERROR(INDEX(_xlfn.ANCHORARRAY($AA$11),ROW()-10,3),"")</f>
        <v/>
      </c>
      <c r="D138" s="16" t="str" cm="1">
        <f t="array" aca="1" ref="D138" ca="1">IFERROR(INDEX(_xlfn.ANCHORARRAY($AA$11),ROW()-10,4),"")</f>
        <v/>
      </c>
      <c r="E138" s="16" t="str" cm="1">
        <f t="array" aca="1" ref="E138" ca="1">IFERROR(INDEX(_xlfn.ANCHORARRAY($AA$11),ROW()-10,5),"")</f>
        <v/>
      </c>
      <c r="F138" s="16" t="str" cm="1">
        <f t="array" aca="1" ref="F138" ca="1">IFERROR(INDEX(_xlfn.ANCHORARRAY($AA$11),ROW()-10,6),"")</f>
        <v/>
      </c>
      <c r="G138" s="16" t="str" cm="1">
        <f t="array" aca="1" ref="G138" ca="1">IFERROR(INDEX(_xlfn.ANCHORARRAY($AA$11),ROW()-10,7),"")</f>
        <v/>
      </c>
      <c r="H138" s="16" t="str" cm="1">
        <f t="array" aca="1" ref="H138" ca="1">IFERROR(INDEX(_xlfn.ANCHORARRAY($AA$11),ROW()-10,8),"")</f>
        <v/>
      </c>
      <c r="I138" s="16" t="str" cm="1">
        <f t="array" aca="1" ref="I138" ca="1">IFERROR(INDEX(_xlfn.ANCHORARRAY($AA$11),ROW()-10,9),"")</f>
        <v/>
      </c>
      <c r="J138" s="16" t="str">
        <f t="shared" ca="1" si="6"/>
        <v/>
      </c>
      <c r="K138" s="16" t="str">
        <f t="shared" ca="1" si="7"/>
        <v/>
      </c>
      <c r="L138" s="16" t="str" cm="1">
        <f t="array" aca="1" ref="L138" ca="1">_xlfn.LET(_xlpm.link,IFERROR(INDEX(_xlfn.ANCHORARRAY($AA$11),ROW()-10,12),""),IF(_xlpm.link="","",HYPERLINK(_xlpm.link,"Bluecore/Attentive")))</f>
        <v/>
      </c>
      <c r="M138" s="7"/>
      <c r="N138" s="7"/>
      <c r="O138" s="7"/>
      <c r="P138" s="7"/>
      <c r="Q138" s="7"/>
      <c r="R138" s="7"/>
      <c r="S138" s="6"/>
      <c r="T138" s="6"/>
      <c r="U138" s="6"/>
      <c r="V138" s="6"/>
      <c r="W138" s="6"/>
      <c r="X138" s="6"/>
      <c r="Y138" s="6"/>
      <c r="Z138" s="6"/>
      <c r="AA138" s="43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48" t="str" cm="1">
        <f t="array" aca="1" ref="A139" ca="1">IFERROR(INDEX(_xlfn.ANCHORARRAY($AA$11),ROW()-10,1),"")</f>
        <v/>
      </c>
      <c r="B139" s="24" t="str" cm="1">
        <f t="array" aca="1" ref="B139" ca="1">IFERROR(INDEX(_xlfn.ANCHORARRAY($AA$11),ROW()-10,2),"")</f>
        <v/>
      </c>
      <c r="C139" s="16" t="str" cm="1">
        <f t="array" aca="1" ref="C139" ca="1">IFERROR(INDEX(_xlfn.ANCHORARRAY($AA$11),ROW()-10,3),"")</f>
        <v/>
      </c>
      <c r="D139" s="16" t="str" cm="1">
        <f t="array" aca="1" ref="D139" ca="1">IFERROR(INDEX(_xlfn.ANCHORARRAY($AA$11),ROW()-10,4),"")</f>
        <v/>
      </c>
      <c r="E139" s="16" t="str" cm="1">
        <f t="array" aca="1" ref="E139" ca="1">IFERROR(INDEX(_xlfn.ANCHORARRAY($AA$11),ROW()-10,5),"")</f>
        <v/>
      </c>
      <c r="F139" s="16" t="str" cm="1">
        <f t="array" aca="1" ref="F139" ca="1">IFERROR(INDEX(_xlfn.ANCHORARRAY($AA$11),ROW()-10,6),"")</f>
        <v/>
      </c>
      <c r="G139" s="16" t="str" cm="1">
        <f t="array" aca="1" ref="G139" ca="1">IFERROR(INDEX(_xlfn.ANCHORARRAY($AA$11),ROW()-10,7),"")</f>
        <v/>
      </c>
      <c r="H139" s="16" t="str" cm="1">
        <f t="array" aca="1" ref="H139" ca="1">IFERROR(INDEX(_xlfn.ANCHORARRAY($AA$11),ROW()-10,8),"")</f>
        <v/>
      </c>
      <c r="I139" s="16" t="str" cm="1">
        <f t="array" aca="1" ref="I139" ca="1">IFERROR(INDEX(_xlfn.ANCHORARRAY($AA$11),ROW()-10,9),"")</f>
        <v/>
      </c>
      <c r="J139" s="16" t="str">
        <f t="shared" ref="J139:J160" ca="1" si="8">_xlfn.LET(_xlpm.ch,IFERROR(INDEX(_xlfn.ANCHORARRAY($AA$11),ROW()-10,3),""),_xlpm.link,IFERROR(INDEX(_xlfn.ANCHORARRAY($AA$11),ROW()-10,10),""),IF(OR(_xlpm.link="",_xlpm.ch="SMS"),"",HYPERLINK(_xlpm.link,"JIRA")))</f>
        <v/>
      </c>
      <c r="K139" s="16" t="str">
        <f t="shared" ref="K139:K160" ca="1" si="9">_xlfn.LET(_xlpm.ch,IFERROR(INDEX(_xlfn.ANCHORARRAY($AA$11),ROW()-10,3),""),_xlpm.link,IFERROR(INDEX(_xlfn.ANCHORARRAY($AA$11),ROW()-10,11),""),IF(OR(_xlpm.link="",_xlpm.ch="SMS"),"",HYPERLINK(_xlpm.link,"ClickUp")))</f>
        <v/>
      </c>
      <c r="L139" s="16" t="str" cm="1">
        <f t="array" aca="1" ref="L139" ca="1">_xlfn.LET(_xlpm.link,IFERROR(INDEX(_xlfn.ANCHORARRAY($AA$11),ROW()-10,12),""),IF(_xlpm.link="","",HYPERLINK(_xlpm.link,"Bluecore/Attentive")))</f>
        <v/>
      </c>
      <c r="M139" s="7"/>
      <c r="N139" s="7"/>
      <c r="O139" s="7"/>
      <c r="P139" s="7"/>
      <c r="Q139" s="7"/>
      <c r="R139" s="7"/>
      <c r="S139" s="6"/>
      <c r="T139" s="6"/>
      <c r="U139" s="6"/>
      <c r="V139" s="6"/>
      <c r="W139" s="6"/>
      <c r="X139" s="6"/>
      <c r="Y139" s="6"/>
      <c r="Z139" s="6"/>
      <c r="AA139" s="43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48" t="str" cm="1">
        <f t="array" aca="1" ref="A140" ca="1">IFERROR(INDEX(_xlfn.ANCHORARRAY($AA$11),ROW()-10,1),"")</f>
        <v/>
      </c>
      <c r="B140" s="24" t="str" cm="1">
        <f t="array" aca="1" ref="B140" ca="1">IFERROR(INDEX(_xlfn.ANCHORARRAY($AA$11),ROW()-10,2),"")</f>
        <v/>
      </c>
      <c r="C140" s="16" t="str" cm="1">
        <f t="array" aca="1" ref="C140" ca="1">IFERROR(INDEX(_xlfn.ANCHORARRAY($AA$11),ROW()-10,3),"")</f>
        <v/>
      </c>
      <c r="D140" s="16" t="str" cm="1">
        <f t="array" aca="1" ref="D140" ca="1">IFERROR(INDEX(_xlfn.ANCHORARRAY($AA$11),ROW()-10,4),"")</f>
        <v/>
      </c>
      <c r="E140" s="16" t="str" cm="1">
        <f t="array" aca="1" ref="E140" ca="1">IFERROR(INDEX(_xlfn.ANCHORARRAY($AA$11),ROW()-10,5),"")</f>
        <v/>
      </c>
      <c r="F140" s="16" t="str" cm="1">
        <f t="array" aca="1" ref="F140" ca="1">IFERROR(INDEX(_xlfn.ANCHORARRAY($AA$11),ROW()-10,6),"")</f>
        <v/>
      </c>
      <c r="G140" s="16" t="str" cm="1">
        <f t="array" aca="1" ref="G140" ca="1">IFERROR(INDEX(_xlfn.ANCHORARRAY($AA$11),ROW()-10,7),"")</f>
        <v/>
      </c>
      <c r="H140" s="16" t="str" cm="1">
        <f t="array" aca="1" ref="H140" ca="1">IFERROR(INDEX(_xlfn.ANCHORARRAY($AA$11),ROW()-10,8),"")</f>
        <v/>
      </c>
      <c r="I140" s="16" t="str" cm="1">
        <f t="array" aca="1" ref="I140" ca="1">IFERROR(INDEX(_xlfn.ANCHORARRAY($AA$11),ROW()-10,9),"")</f>
        <v/>
      </c>
      <c r="J140" s="16" t="str">
        <f t="shared" ca="1" si="8"/>
        <v/>
      </c>
      <c r="K140" s="16" t="str">
        <f t="shared" ca="1" si="9"/>
        <v/>
      </c>
      <c r="L140" s="16" t="str" cm="1">
        <f t="array" aca="1" ref="L140" ca="1">_xlfn.LET(_xlpm.link,IFERROR(INDEX(_xlfn.ANCHORARRAY($AA$11),ROW()-10,12),""),IF(_xlpm.link="","",HYPERLINK(_xlpm.link,"Bluecore/Attentive")))</f>
        <v/>
      </c>
      <c r="M140" s="7"/>
      <c r="N140" s="7"/>
      <c r="O140" s="7"/>
      <c r="P140" s="7"/>
      <c r="Q140" s="7"/>
      <c r="R140" s="7"/>
      <c r="S140" s="6"/>
      <c r="T140" s="6"/>
      <c r="U140" s="6"/>
      <c r="V140" s="6"/>
      <c r="W140" s="6"/>
      <c r="X140" s="6"/>
      <c r="Y140" s="6"/>
      <c r="Z140" s="6"/>
      <c r="AA140" s="43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48" t="str" cm="1">
        <f t="array" aca="1" ref="A141" ca="1">IFERROR(INDEX(_xlfn.ANCHORARRAY($AA$11),ROW()-10,1),"")</f>
        <v/>
      </c>
      <c r="B141" s="24" t="str" cm="1">
        <f t="array" aca="1" ref="B141" ca="1">IFERROR(INDEX(_xlfn.ANCHORARRAY($AA$11),ROW()-10,2),"")</f>
        <v/>
      </c>
      <c r="C141" s="16" t="str" cm="1">
        <f t="array" aca="1" ref="C141" ca="1">IFERROR(INDEX(_xlfn.ANCHORARRAY($AA$11),ROW()-10,3),"")</f>
        <v/>
      </c>
      <c r="D141" s="16" t="str" cm="1">
        <f t="array" aca="1" ref="D141" ca="1">IFERROR(INDEX(_xlfn.ANCHORARRAY($AA$11),ROW()-10,4),"")</f>
        <v/>
      </c>
      <c r="E141" s="16" t="str" cm="1">
        <f t="array" aca="1" ref="E141" ca="1">IFERROR(INDEX(_xlfn.ANCHORARRAY($AA$11),ROW()-10,5),"")</f>
        <v/>
      </c>
      <c r="F141" s="16" t="str" cm="1">
        <f t="array" aca="1" ref="F141" ca="1">IFERROR(INDEX(_xlfn.ANCHORARRAY($AA$11),ROW()-10,6),"")</f>
        <v/>
      </c>
      <c r="G141" s="16" t="str" cm="1">
        <f t="array" aca="1" ref="G141" ca="1">IFERROR(INDEX(_xlfn.ANCHORARRAY($AA$11),ROW()-10,7),"")</f>
        <v/>
      </c>
      <c r="H141" s="16" t="str" cm="1">
        <f t="array" aca="1" ref="H141" ca="1">IFERROR(INDEX(_xlfn.ANCHORARRAY($AA$11),ROW()-10,8),"")</f>
        <v/>
      </c>
      <c r="I141" s="16" t="str" cm="1">
        <f t="array" aca="1" ref="I141" ca="1">IFERROR(INDEX(_xlfn.ANCHORARRAY($AA$11),ROW()-10,9),"")</f>
        <v/>
      </c>
      <c r="J141" s="16" t="str">
        <f t="shared" ca="1" si="8"/>
        <v/>
      </c>
      <c r="K141" s="16" t="str">
        <f t="shared" ca="1" si="9"/>
        <v/>
      </c>
      <c r="L141" s="16" t="str" cm="1">
        <f t="array" aca="1" ref="L141" ca="1">_xlfn.LET(_xlpm.link,IFERROR(INDEX(_xlfn.ANCHORARRAY($AA$11),ROW()-10,12),""),IF(_xlpm.link="","",HYPERLINK(_xlpm.link,"Bluecore/Attentive")))</f>
        <v/>
      </c>
      <c r="M141" s="7"/>
      <c r="N141" s="7"/>
      <c r="O141" s="7"/>
      <c r="P141" s="7"/>
      <c r="Q141" s="7"/>
      <c r="R141" s="7"/>
      <c r="S141" s="6"/>
      <c r="T141" s="6"/>
      <c r="U141" s="6"/>
      <c r="V141" s="6"/>
      <c r="W141" s="6"/>
      <c r="X141" s="6"/>
      <c r="Y141" s="6"/>
      <c r="Z141" s="6"/>
      <c r="AA141" s="43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48" t="str" cm="1">
        <f t="array" aca="1" ref="A142" ca="1">IFERROR(INDEX(_xlfn.ANCHORARRAY($AA$11),ROW()-10,1),"")</f>
        <v/>
      </c>
      <c r="B142" s="24" t="str" cm="1">
        <f t="array" aca="1" ref="B142" ca="1">IFERROR(INDEX(_xlfn.ANCHORARRAY($AA$11),ROW()-10,2),"")</f>
        <v/>
      </c>
      <c r="C142" s="16" t="str" cm="1">
        <f t="array" aca="1" ref="C142" ca="1">IFERROR(INDEX(_xlfn.ANCHORARRAY($AA$11),ROW()-10,3),"")</f>
        <v/>
      </c>
      <c r="D142" s="16" t="str" cm="1">
        <f t="array" aca="1" ref="D142" ca="1">IFERROR(INDEX(_xlfn.ANCHORARRAY($AA$11),ROW()-10,4),"")</f>
        <v/>
      </c>
      <c r="E142" s="16" t="str" cm="1">
        <f t="array" aca="1" ref="E142" ca="1">IFERROR(INDEX(_xlfn.ANCHORARRAY($AA$11),ROW()-10,5),"")</f>
        <v/>
      </c>
      <c r="F142" s="16" t="str" cm="1">
        <f t="array" aca="1" ref="F142" ca="1">IFERROR(INDEX(_xlfn.ANCHORARRAY($AA$11),ROW()-10,6),"")</f>
        <v/>
      </c>
      <c r="G142" s="16" t="str" cm="1">
        <f t="array" aca="1" ref="G142" ca="1">IFERROR(INDEX(_xlfn.ANCHORARRAY($AA$11),ROW()-10,7),"")</f>
        <v/>
      </c>
      <c r="H142" s="16" t="str" cm="1">
        <f t="array" aca="1" ref="H142" ca="1">IFERROR(INDEX(_xlfn.ANCHORARRAY($AA$11),ROW()-10,8),"")</f>
        <v/>
      </c>
      <c r="I142" s="16" t="str" cm="1">
        <f t="array" aca="1" ref="I142" ca="1">IFERROR(INDEX(_xlfn.ANCHORARRAY($AA$11),ROW()-10,9),"")</f>
        <v/>
      </c>
      <c r="J142" s="16" t="str">
        <f t="shared" ca="1" si="8"/>
        <v/>
      </c>
      <c r="K142" s="16" t="str">
        <f t="shared" ca="1" si="9"/>
        <v/>
      </c>
      <c r="L142" s="16" t="str" cm="1">
        <f t="array" aca="1" ref="L142" ca="1">_xlfn.LET(_xlpm.link,IFERROR(INDEX(_xlfn.ANCHORARRAY($AA$11),ROW()-10,12),""),IF(_xlpm.link="","",HYPERLINK(_xlpm.link,"Bluecore/Attentive")))</f>
        <v/>
      </c>
      <c r="M142" s="7"/>
      <c r="N142" s="7"/>
      <c r="O142" s="7"/>
      <c r="P142" s="7"/>
      <c r="Q142" s="7"/>
      <c r="R142" s="7"/>
      <c r="S142" s="6"/>
      <c r="T142" s="6"/>
      <c r="U142" s="6"/>
      <c r="V142" s="6"/>
      <c r="W142" s="6"/>
      <c r="X142" s="6"/>
      <c r="Y142" s="6"/>
      <c r="Z142" s="6"/>
      <c r="AA142" s="43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48" t="str" cm="1">
        <f t="array" aca="1" ref="A143" ca="1">IFERROR(INDEX(_xlfn.ANCHORARRAY($AA$11),ROW()-10,1),"")</f>
        <v/>
      </c>
      <c r="B143" s="24" t="str" cm="1">
        <f t="array" aca="1" ref="B143" ca="1">IFERROR(INDEX(_xlfn.ANCHORARRAY($AA$11),ROW()-10,2),"")</f>
        <v/>
      </c>
      <c r="C143" s="16" t="str" cm="1">
        <f t="array" aca="1" ref="C143" ca="1">IFERROR(INDEX(_xlfn.ANCHORARRAY($AA$11),ROW()-10,3),"")</f>
        <v/>
      </c>
      <c r="D143" s="16" t="str" cm="1">
        <f t="array" aca="1" ref="D143" ca="1">IFERROR(INDEX(_xlfn.ANCHORARRAY($AA$11),ROW()-10,4),"")</f>
        <v/>
      </c>
      <c r="E143" s="16" t="str" cm="1">
        <f t="array" aca="1" ref="E143" ca="1">IFERROR(INDEX(_xlfn.ANCHORARRAY($AA$11),ROW()-10,5),"")</f>
        <v/>
      </c>
      <c r="F143" s="16" t="str" cm="1">
        <f t="array" aca="1" ref="F143" ca="1">IFERROR(INDEX(_xlfn.ANCHORARRAY($AA$11),ROW()-10,6),"")</f>
        <v/>
      </c>
      <c r="G143" s="16" t="str" cm="1">
        <f t="array" aca="1" ref="G143" ca="1">IFERROR(INDEX(_xlfn.ANCHORARRAY($AA$11),ROW()-10,7),"")</f>
        <v/>
      </c>
      <c r="H143" s="16" t="str" cm="1">
        <f t="array" aca="1" ref="H143" ca="1">IFERROR(INDEX(_xlfn.ANCHORARRAY($AA$11),ROW()-10,8),"")</f>
        <v/>
      </c>
      <c r="I143" s="16" t="str" cm="1">
        <f t="array" aca="1" ref="I143" ca="1">IFERROR(INDEX(_xlfn.ANCHORARRAY($AA$11),ROW()-10,9),"")</f>
        <v/>
      </c>
      <c r="J143" s="16" t="str">
        <f t="shared" ca="1" si="8"/>
        <v/>
      </c>
      <c r="K143" s="16" t="str">
        <f t="shared" ca="1" si="9"/>
        <v/>
      </c>
      <c r="L143" s="16" t="str" cm="1">
        <f t="array" aca="1" ref="L143" ca="1">_xlfn.LET(_xlpm.link,IFERROR(INDEX(_xlfn.ANCHORARRAY($AA$11),ROW()-10,12),""),IF(_xlpm.link="","",HYPERLINK(_xlpm.link,"Bluecore/Attentive")))</f>
        <v/>
      </c>
      <c r="M143" s="7"/>
      <c r="N143" s="7"/>
      <c r="O143" s="7"/>
      <c r="P143" s="7"/>
      <c r="Q143" s="7"/>
      <c r="R143" s="7"/>
      <c r="S143" s="6"/>
      <c r="T143" s="6"/>
      <c r="U143" s="6"/>
      <c r="V143" s="6"/>
      <c r="W143" s="6"/>
      <c r="X143" s="6"/>
      <c r="Y143" s="6"/>
      <c r="Z143" s="6"/>
      <c r="AA143" s="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48" t="str" cm="1">
        <f t="array" aca="1" ref="A144" ca="1">IFERROR(INDEX(_xlfn.ANCHORARRAY($AA$11),ROW()-10,1),"")</f>
        <v/>
      </c>
      <c r="B144" s="24" t="str" cm="1">
        <f t="array" aca="1" ref="B144" ca="1">IFERROR(INDEX(_xlfn.ANCHORARRAY($AA$11),ROW()-10,2),"")</f>
        <v/>
      </c>
      <c r="C144" s="16" t="str" cm="1">
        <f t="array" aca="1" ref="C144" ca="1">IFERROR(INDEX(_xlfn.ANCHORARRAY($AA$11),ROW()-10,3),"")</f>
        <v/>
      </c>
      <c r="D144" s="16" t="str" cm="1">
        <f t="array" aca="1" ref="D144" ca="1">IFERROR(INDEX(_xlfn.ANCHORARRAY($AA$11),ROW()-10,4),"")</f>
        <v/>
      </c>
      <c r="E144" s="16" t="str" cm="1">
        <f t="array" aca="1" ref="E144" ca="1">IFERROR(INDEX(_xlfn.ANCHORARRAY($AA$11),ROW()-10,5),"")</f>
        <v/>
      </c>
      <c r="F144" s="16" t="str" cm="1">
        <f t="array" aca="1" ref="F144" ca="1">IFERROR(INDEX(_xlfn.ANCHORARRAY($AA$11),ROW()-10,6),"")</f>
        <v/>
      </c>
      <c r="G144" s="16" t="str" cm="1">
        <f t="array" aca="1" ref="G144" ca="1">IFERROR(INDEX(_xlfn.ANCHORARRAY($AA$11),ROW()-10,7),"")</f>
        <v/>
      </c>
      <c r="H144" s="16" t="str" cm="1">
        <f t="array" aca="1" ref="H144" ca="1">IFERROR(INDEX(_xlfn.ANCHORARRAY($AA$11),ROW()-10,8),"")</f>
        <v/>
      </c>
      <c r="I144" s="16" t="str" cm="1">
        <f t="array" aca="1" ref="I144" ca="1">IFERROR(INDEX(_xlfn.ANCHORARRAY($AA$11),ROW()-10,9),"")</f>
        <v/>
      </c>
      <c r="J144" s="16" t="str">
        <f t="shared" ca="1" si="8"/>
        <v/>
      </c>
      <c r="K144" s="16" t="str">
        <f t="shared" ca="1" si="9"/>
        <v/>
      </c>
      <c r="L144" s="16" t="str" cm="1">
        <f t="array" aca="1" ref="L144" ca="1">_xlfn.LET(_xlpm.link,IFERROR(INDEX(_xlfn.ANCHORARRAY($AA$11),ROW()-10,12),""),IF(_xlpm.link="","",HYPERLINK(_xlpm.link,"Bluecore/Attentive")))</f>
        <v/>
      </c>
      <c r="M144" s="7"/>
      <c r="N144" s="7"/>
      <c r="O144" s="7"/>
      <c r="P144" s="7"/>
      <c r="Q144" s="7"/>
      <c r="R144" s="7"/>
      <c r="S144" s="6"/>
      <c r="T144" s="6"/>
      <c r="U144" s="6"/>
      <c r="V144" s="6"/>
      <c r="W144" s="6"/>
      <c r="X144" s="6"/>
      <c r="Y144" s="6"/>
      <c r="Z144" s="6"/>
      <c r="AA144" s="43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48" t="str" cm="1">
        <f t="array" aca="1" ref="A145" ca="1">IFERROR(INDEX(_xlfn.ANCHORARRAY($AA$11),ROW()-10,1),"")</f>
        <v/>
      </c>
      <c r="B145" s="24" t="str" cm="1">
        <f t="array" aca="1" ref="B145" ca="1">IFERROR(INDEX(_xlfn.ANCHORARRAY($AA$11),ROW()-10,2),"")</f>
        <v/>
      </c>
      <c r="C145" s="16" t="str" cm="1">
        <f t="array" aca="1" ref="C145" ca="1">IFERROR(INDEX(_xlfn.ANCHORARRAY($AA$11),ROW()-10,3),"")</f>
        <v/>
      </c>
      <c r="D145" s="16" t="str" cm="1">
        <f t="array" aca="1" ref="D145" ca="1">IFERROR(INDEX(_xlfn.ANCHORARRAY($AA$11),ROW()-10,4),"")</f>
        <v/>
      </c>
      <c r="E145" s="16" t="str" cm="1">
        <f t="array" aca="1" ref="E145" ca="1">IFERROR(INDEX(_xlfn.ANCHORARRAY($AA$11),ROW()-10,5),"")</f>
        <v/>
      </c>
      <c r="F145" s="16" t="str" cm="1">
        <f t="array" aca="1" ref="F145" ca="1">IFERROR(INDEX(_xlfn.ANCHORARRAY($AA$11),ROW()-10,6),"")</f>
        <v/>
      </c>
      <c r="G145" s="16" t="str" cm="1">
        <f t="array" aca="1" ref="G145" ca="1">IFERROR(INDEX(_xlfn.ANCHORARRAY($AA$11),ROW()-10,7),"")</f>
        <v/>
      </c>
      <c r="H145" s="16" t="str" cm="1">
        <f t="array" aca="1" ref="H145" ca="1">IFERROR(INDEX(_xlfn.ANCHORARRAY($AA$11),ROW()-10,8),"")</f>
        <v/>
      </c>
      <c r="I145" s="16" t="str" cm="1">
        <f t="array" aca="1" ref="I145" ca="1">IFERROR(INDEX(_xlfn.ANCHORARRAY($AA$11),ROW()-10,9),"")</f>
        <v/>
      </c>
      <c r="J145" s="16" t="str">
        <f t="shared" ca="1" si="8"/>
        <v/>
      </c>
      <c r="K145" s="16" t="str">
        <f t="shared" ca="1" si="9"/>
        <v/>
      </c>
      <c r="L145" s="16" t="str" cm="1">
        <f t="array" aca="1" ref="L145" ca="1">_xlfn.LET(_xlpm.link,IFERROR(INDEX(_xlfn.ANCHORARRAY($AA$11),ROW()-10,12),""),IF(_xlpm.link="","",HYPERLINK(_xlpm.link,"Bluecore/Attentive")))</f>
        <v/>
      </c>
      <c r="M145" s="7"/>
      <c r="N145" s="7"/>
      <c r="O145" s="7"/>
      <c r="P145" s="7"/>
      <c r="Q145" s="7"/>
      <c r="R145" s="7"/>
      <c r="S145" s="6"/>
      <c r="T145" s="6"/>
      <c r="U145" s="6"/>
      <c r="V145" s="6"/>
      <c r="W145" s="6"/>
      <c r="X145" s="6"/>
      <c r="Y145" s="6"/>
      <c r="Z145" s="6"/>
      <c r="AA145" s="43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48" t="str" cm="1">
        <f t="array" aca="1" ref="A146" ca="1">IFERROR(INDEX(_xlfn.ANCHORARRAY($AA$11),ROW()-10,1),"")</f>
        <v/>
      </c>
      <c r="B146" s="24" t="str" cm="1">
        <f t="array" aca="1" ref="B146" ca="1">IFERROR(INDEX(_xlfn.ANCHORARRAY($AA$11),ROW()-10,2),"")</f>
        <v/>
      </c>
      <c r="C146" s="16" t="str" cm="1">
        <f t="array" aca="1" ref="C146" ca="1">IFERROR(INDEX(_xlfn.ANCHORARRAY($AA$11),ROW()-10,3),"")</f>
        <v/>
      </c>
      <c r="D146" s="16" t="str" cm="1">
        <f t="array" aca="1" ref="D146" ca="1">IFERROR(INDEX(_xlfn.ANCHORARRAY($AA$11),ROW()-10,4),"")</f>
        <v/>
      </c>
      <c r="E146" s="16" t="str" cm="1">
        <f t="array" aca="1" ref="E146" ca="1">IFERROR(INDEX(_xlfn.ANCHORARRAY($AA$11),ROW()-10,5),"")</f>
        <v/>
      </c>
      <c r="F146" s="16" t="str" cm="1">
        <f t="array" aca="1" ref="F146" ca="1">IFERROR(INDEX(_xlfn.ANCHORARRAY($AA$11),ROW()-10,6),"")</f>
        <v/>
      </c>
      <c r="G146" s="16" t="str" cm="1">
        <f t="array" aca="1" ref="G146" ca="1">IFERROR(INDEX(_xlfn.ANCHORARRAY($AA$11),ROW()-10,7),"")</f>
        <v/>
      </c>
      <c r="H146" s="16" t="str" cm="1">
        <f t="array" aca="1" ref="H146" ca="1">IFERROR(INDEX(_xlfn.ANCHORARRAY($AA$11),ROW()-10,8),"")</f>
        <v/>
      </c>
      <c r="I146" s="16" t="str" cm="1">
        <f t="array" aca="1" ref="I146" ca="1">IFERROR(INDEX(_xlfn.ANCHORARRAY($AA$11),ROW()-10,9),"")</f>
        <v/>
      </c>
      <c r="J146" s="16" t="str">
        <f t="shared" ca="1" si="8"/>
        <v/>
      </c>
      <c r="K146" s="16" t="str">
        <f t="shared" ca="1" si="9"/>
        <v/>
      </c>
      <c r="L146" s="16" t="str" cm="1">
        <f t="array" aca="1" ref="L146" ca="1">_xlfn.LET(_xlpm.link,IFERROR(INDEX(_xlfn.ANCHORARRAY($AA$11),ROW()-10,12),""),IF(_xlpm.link="","",HYPERLINK(_xlpm.link,"Bluecore/Attentive")))</f>
        <v/>
      </c>
      <c r="M146" s="7"/>
      <c r="N146" s="7"/>
      <c r="O146" s="7"/>
      <c r="P146" s="7"/>
      <c r="Q146" s="7"/>
      <c r="R146" s="7"/>
      <c r="S146" s="6"/>
      <c r="T146" s="6"/>
      <c r="U146" s="6"/>
      <c r="V146" s="6"/>
      <c r="W146" s="6"/>
      <c r="X146" s="6"/>
      <c r="Y146" s="6"/>
      <c r="Z146" s="6"/>
      <c r="AA146" s="43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48" t="str" cm="1">
        <f t="array" aca="1" ref="A147" ca="1">IFERROR(INDEX(_xlfn.ANCHORARRAY($AA$11),ROW()-10,1),"")</f>
        <v/>
      </c>
      <c r="B147" s="24" t="str" cm="1">
        <f t="array" aca="1" ref="B147" ca="1">IFERROR(INDEX(_xlfn.ANCHORARRAY($AA$11),ROW()-10,2),"")</f>
        <v/>
      </c>
      <c r="C147" s="16" t="str" cm="1">
        <f t="array" aca="1" ref="C147" ca="1">IFERROR(INDEX(_xlfn.ANCHORARRAY($AA$11),ROW()-10,3),"")</f>
        <v/>
      </c>
      <c r="D147" s="16" t="str" cm="1">
        <f t="array" aca="1" ref="D147" ca="1">IFERROR(INDEX(_xlfn.ANCHORARRAY($AA$11),ROW()-10,4),"")</f>
        <v/>
      </c>
      <c r="E147" s="16" t="str" cm="1">
        <f t="array" aca="1" ref="E147" ca="1">IFERROR(INDEX(_xlfn.ANCHORARRAY($AA$11),ROW()-10,5),"")</f>
        <v/>
      </c>
      <c r="F147" s="16" t="str" cm="1">
        <f t="array" aca="1" ref="F147" ca="1">IFERROR(INDEX(_xlfn.ANCHORARRAY($AA$11),ROW()-10,6),"")</f>
        <v/>
      </c>
      <c r="G147" s="16" t="str" cm="1">
        <f t="array" aca="1" ref="G147" ca="1">IFERROR(INDEX(_xlfn.ANCHORARRAY($AA$11),ROW()-10,7),"")</f>
        <v/>
      </c>
      <c r="H147" s="16" t="str" cm="1">
        <f t="array" aca="1" ref="H147" ca="1">IFERROR(INDEX(_xlfn.ANCHORARRAY($AA$11),ROW()-10,8),"")</f>
        <v/>
      </c>
      <c r="I147" s="16" t="str" cm="1">
        <f t="array" aca="1" ref="I147" ca="1">IFERROR(INDEX(_xlfn.ANCHORARRAY($AA$11),ROW()-10,9),"")</f>
        <v/>
      </c>
      <c r="J147" s="16" t="str">
        <f t="shared" ca="1" si="8"/>
        <v/>
      </c>
      <c r="K147" s="16" t="str">
        <f t="shared" ca="1" si="9"/>
        <v/>
      </c>
      <c r="L147" s="16" t="str" cm="1">
        <f t="array" aca="1" ref="L147" ca="1">_xlfn.LET(_xlpm.link,IFERROR(INDEX(_xlfn.ANCHORARRAY($AA$11),ROW()-10,12),""),IF(_xlpm.link="","",HYPERLINK(_xlpm.link,"Bluecore/Attentive")))</f>
        <v/>
      </c>
      <c r="M147" s="7"/>
      <c r="N147" s="7"/>
      <c r="O147" s="7"/>
      <c r="P147" s="7"/>
      <c r="Q147" s="7"/>
      <c r="R147" s="7"/>
      <c r="S147" s="6"/>
      <c r="T147" s="6"/>
      <c r="U147" s="6"/>
      <c r="V147" s="6"/>
      <c r="W147" s="6"/>
      <c r="X147" s="6"/>
      <c r="Y147" s="6"/>
      <c r="Z147" s="6"/>
      <c r="AA147" s="43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48" t="str" cm="1">
        <f t="array" aca="1" ref="A148" ca="1">IFERROR(INDEX(_xlfn.ANCHORARRAY($AA$11),ROW()-10,1),"")</f>
        <v/>
      </c>
      <c r="B148" s="24" t="str" cm="1">
        <f t="array" aca="1" ref="B148" ca="1">IFERROR(INDEX(_xlfn.ANCHORARRAY($AA$11),ROW()-10,2),"")</f>
        <v/>
      </c>
      <c r="C148" s="16" t="str" cm="1">
        <f t="array" aca="1" ref="C148" ca="1">IFERROR(INDEX(_xlfn.ANCHORARRAY($AA$11),ROW()-10,3),"")</f>
        <v/>
      </c>
      <c r="D148" s="16" t="str" cm="1">
        <f t="array" aca="1" ref="D148" ca="1">IFERROR(INDEX(_xlfn.ANCHORARRAY($AA$11),ROW()-10,4),"")</f>
        <v/>
      </c>
      <c r="E148" s="16" t="str" cm="1">
        <f t="array" aca="1" ref="E148" ca="1">IFERROR(INDEX(_xlfn.ANCHORARRAY($AA$11),ROW()-10,5),"")</f>
        <v/>
      </c>
      <c r="F148" s="16" t="str" cm="1">
        <f t="array" aca="1" ref="F148" ca="1">IFERROR(INDEX(_xlfn.ANCHORARRAY($AA$11),ROW()-10,6),"")</f>
        <v/>
      </c>
      <c r="G148" s="16" t="str" cm="1">
        <f t="array" aca="1" ref="G148" ca="1">IFERROR(INDEX(_xlfn.ANCHORARRAY($AA$11),ROW()-10,7),"")</f>
        <v/>
      </c>
      <c r="H148" s="16" t="str" cm="1">
        <f t="array" aca="1" ref="H148" ca="1">IFERROR(INDEX(_xlfn.ANCHORARRAY($AA$11),ROW()-10,8),"")</f>
        <v/>
      </c>
      <c r="I148" s="16" t="str" cm="1">
        <f t="array" aca="1" ref="I148" ca="1">IFERROR(INDEX(_xlfn.ANCHORARRAY($AA$11),ROW()-10,9),"")</f>
        <v/>
      </c>
      <c r="J148" s="16" t="str">
        <f t="shared" ca="1" si="8"/>
        <v/>
      </c>
      <c r="K148" s="16" t="str">
        <f t="shared" ca="1" si="9"/>
        <v/>
      </c>
      <c r="L148" s="16" t="str" cm="1">
        <f t="array" aca="1" ref="L148" ca="1">_xlfn.LET(_xlpm.link,IFERROR(INDEX(_xlfn.ANCHORARRAY($AA$11),ROW()-10,12),""),IF(_xlpm.link="","",HYPERLINK(_xlpm.link,"Bluecore/Attentive")))</f>
        <v/>
      </c>
      <c r="M148" s="7"/>
      <c r="N148" s="7"/>
      <c r="O148" s="7"/>
      <c r="P148" s="7"/>
      <c r="Q148" s="7"/>
      <c r="R148" s="7"/>
      <c r="S148" s="6"/>
      <c r="T148" s="6"/>
      <c r="U148" s="6"/>
      <c r="V148" s="6"/>
      <c r="W148" s="6"/>
      <c r="X148" s="6"/>
      <c r="Y148" s="6"/>
      <c r="Z148" s="6"/>
      <c r="AA148" s="43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48" t="str" cm="1">
        <f t="array" aca="1" ref="A149" ca="1">IFERROR(INDEX(_xlfn.ANCHORARRAY($AA$11),ROW()-10,1),"")</f>
        <v/>
      </c>
      <c r="B149" s="24" t="str" cm="1">
        <f t="array" aca="1" ref="B149" ca="1">IFERROR(INDEX(_xlfn.ANCHORARRAY($AA$11),ROW()-10,2),"")</f>
        <v/>
      </c>
      <c r="C149" s="16" t="str" cm="1">
        <f t="array" aca="1" ref="C149" ca="1">IFERROR(INDEX(_xlfn.ANCHORARRAY($AA$11),ROW()-10,3),"")</f>
        <v/>
      </c>
      <c r="D149" s="16" t="str" cm="1">
        <f t="array" aca="1" ref="D149" ca="1">IFERROR(INDEX(_xlfn.ANCHORARRAY($AA$11),ROW()-10,4),"")</f>
        <v/>
      </c>
      <c r="E149" s="16" t="str" cm="1">
        <f t="array" aca="1" ref="E149" ca="1">IFERROR(INDEX(_xlfn.ANCHORARRAY($AA$11),ROW()-10,5),"")</f>
        <v/>
      </c>
      <c r="F149" s="16" t="str" cm="1">
        <f t="array" aca="1" ref="F149" ca="1">IFERROR(INDEX(_xlfn.ANCHORARRAY($AA$11),ROW()-10,6),"")</f>
        <v/>
      </c>
      <c r="G149" s="16" t="str" cm="1">
        <f t="array" aca="1" ref="G149" ca="1">IFERROR(INDEX(_xlfn.ANCHORARRAY($AA$11),ROW()-10,7),"")</f>
        <v/>
      </c>
      <c r="H149" s="16" t="str" cm="1">
        <f t="array" aca="1" ref="H149" ca="1">IFERROR(INDEX(_xlfn.ANCHORARRAY($AA$11),ROW()-10,8),"")</f>
        <v/>
      </c>
      <c r="I149" s="16" t="str" cm="1">
        <f t="array" aca="1" ref="I149" ca="1">IFERROR(INDEX(_xlfn.ANCHORARRAY($AA$11),ROW()-10,9),"")</f>
        <v/>
      </c>
      <c r="J149" s="16" t="str">
        <f t="shared" ca="1" si="8"/>
        <v/>
      </c>
      <c r="K149" s="16" t="str">
        <f t="shared" ca="1" si="9"/>
        <v/>
      </c>
      <c r="L149" s="16" t="str" cm="1">
        <f t="array" aca="1" ref="L149" ca="1">_xlfn.LET(_xlpm.link,IFERROR(INDEX(_xlfn.ANCHORARRAY($AA$11),ROW()-10,12),""),IF(_xlpm.link="","",HYPERLINK(_xlpm.link,"Bluecore/Attentive")))</f>
        <v/>
      </c>
      <c r="M149" s="7"/>
      <c r="N149" s="7"/>
      <c r="O149" s="7"/>
      <c r="P149" s="7"/>
      <c r="Q149" s="7"/>
      <c r="R149" s="7"/>
      <c r="S149" s="6"/>
      <c r="T149" s="6"/>
      <c r="U149" s="6"/>
      <c r="V149" s="6"/>
      <c r="W149" s="6"/>
      <c r="X149" s="6"/>
      <c r="Y149" s="6"/>
      <c r="Z149" s="6"/>
      <c r="AA149" s="43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48" t="str" cm="1">
        <f t="array" aca="1" ref="A150" ca="1">IFERROR(INDEX(_xlfn.ANCHORARRAY($AA$11),ROW()-10,1),"")</f>
        <v/>
      </c>
      <c r="B150" s="24" t="str" cm="1">
        <f t="array" aca="1" ref="B150" ca="1">IFERROR(INDEX(_xlfn.ANCHORARRAY($AA$11),ROW()-10,2),"")</f>
        <v/>
      </c>
      <c r="C150" s="16" t="str" cm="1">
        <f t="array" aca="1" ref="C150" ca="1">IFERROR(INDEX(_xlfn.ANCHORARRAY($AA$11),ROW()-10,3),"")</f>
        <v/>
      </c>
      <c r="D150" s="16" t="str" cm="1">
        <f t="array" aca="1" ref="D150" ca="1">IFERROR(INDEX(_xlfn.ANCHORARRAY($AA$11),ROW()-10,4),"")</f>
        <v/>
      </c>
      <c r="E150" s="16" t="str" cm="1">
        <f t="array" aca="1" ref="E150" ca="1">IFERROR(INDEX(_xlfn.ANCHORARRAY($AA$11),ROW()-10,5),"")</f>
        <v/>
      </c>
      <c r="F150" s="16" t="str" cm="1">
        <f t="array" aca="1" ref="F150" ca="1">IFERROR(INDEX(_xlfn.ANCHORARRAY($AA$11),ROW()-10,6),"")</f>
        <v/>
      </c>
      <c r="G150" s="16" t="str" cm="1">
        <f t="array" aca="1" ref="G150" ca="1">IFERROR(INDEX(_xlfn.ANCHORARRAY($AA$11),ROW()-10,7),"")</f>
        <v/>
      </c>
      <c r="H150" s="16" t="str" cm="1">
        <f t="array" aca="1" ref="H150" ca="1">IFERROR(INDEX(_xlfn.ANCHORARRAY($AA$11),ROW()-10,8),"")</f>
        <v/>
      </c>
      <c r="I150" s="16" t="str" cm="1">
        <f t="array" aca="1" ref="I150" ca="1">IFERROR(INDEX(_xlfn.ANCHORARRAY($AA$11),ROW()-10,9),"")</f>
        <v/>
      </c>
      <c r="J150" s="16" t="str">
        <f t="shared" ca="1" si="8"/>
        <v/>
      </c>
      <c r="K150" s="16" t="str">
        <f t="shared" ca="1" si="9"/>
        <v/>
      </c>
      <c r="L150" s="16" t="str" cm="1">
        <f t="array" aca="1" ref="L150" ca="1">_xlfn.LET(_xlpm.link,IFERROR(INDEX(_xlfn.ANCHORARRAY($AA$11),ROW()-10,12),""),IF(_xlpm.link="","",HYPERLINK(_xlpm.link,"Bluecore/Attentive")))</f>
        <v/>
      </c>
      <c r="M150" s="7"/>
      <c r="N150" s="7"/>
      <c r="O150" s="7"/>
      <c r="P150" s="7"/>
      <c r="Q150" s="7"/>
      <c r="R150" s="7"/>
      <c r="S150" s="6"/>
      <c r="T150" s="6"/>
      <c r="U150" s="6"/>
      <c r="V150" s="6"/>
      <c r="W150" s="6"/>
      <c r="X150" s="6"/>
      <c r="Y150" s="6"/>
      <c r="Z150" s="6"/>
      <c r="AA150" s="43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48" t="str" cm="1">
        <f t="array" aca="1" ref="A151" ca="1">IFERROR(INDEX(_xlfn.ANCHORARRAY($AA$11),ROW()-10,1),"")</f>
        <v/>
      </c>
      <c r="B151" s="24" t="str" cm="1">
        <f t="array" aca="1" ref="B151" ca="1">IFERROR(INDEX(_xlfn.ANCHORARRAY($AA$11),ROW()-10,2),"")</f>
        <v/>
      </c>
      <c r="C151" s="16" t="str" cm="1">
        <f t="array" aca="1" ref="C151" ca="1">IFERROR(INDEX(_xlfn.ANCHORARRAY($AA$11),ROW()-10,3),"")</f>
        <v/>
      </c>
      <c r="D151" s="16" t="str" cm="1">
        <f t="array" aca="1" ref="D151" ca="1">IFERROR(INDEX(_xlfn.ANCHORARRAY($AA$11),ROW()-10,4),"")</f>
        <v/>
      </c>
      <c r="E151" s="16" t="str" cm="1">
        <f t="array" aca="1" ref="E151" ca="1">IFERROR(INDEX(_xlfn.ANCHORARRAY($AA$11),ROW()-10,5),"")</f>
        <v/>
      </c>
      <c r="F151" s="16" t="str" cm="1">
        <f t="array" aca="1" ref="F151" ca="1">IFERROR(INDEX(_xlfn.ANCHORARRAY($AA$11),ROW()-10,6),"")</f>
        <v/>
      </c>
      <c r="G151" s="16" t="str" cm="1">
        <f t="array" aca="1" ref="G151" ca="1">IFERROR(INDEX(_xlfn.ANCHORARRAY($AA$11),ROW()-10,7),"")</f>
        <v/>
      </c>
      <c r="H151" s="16" t="str" cm="1">
        <f t="array" aca="1" ref="H151" ca="1">IFERROR(INDEX(_xlfn.ANCHORARRAY($AA$11),ROW()-10,8),"")</f>
        <v/>
      </c>
      <c r="I151" s="16" t="str" cm="1">
        <f t="array" aca="1" ref="I151" ca="1">IFERROR(INDEX(_xlfn.ANCHORARRAY($AA$11),ROW()-10,9),"")</f>
        <v/>
      </c>
      <c r="J151" s="16" t="str">
        <f t="shared" ca="1" si="8"/>
        <v/>
      </c>
      <c r="K151" s="16" t="str">
        <f t="shared" ca="1" si="9"/>
        <v/>
      </c>
      <c r="L151" s="16" t="str" cm="1">
        <f t="array" aca="1" ref="L151" ca="1">_xlfn.LET(_xlpm.link,IFERROR(INDEX(_xlfn.ANCHORARRAY($AA$11),ROW()-10,12),""),IF(_xlpm.link="","",HYPERLINK(_xlpm.link,"Bluecore/Attentive")))</f>
        <v/>
      </c>
      <c r="M151" s="7"/>
      <c r="N151" s="7"/>
      <c r="O151" s="7"/>
      <c r="P151" s="7"/>
      <c r="Q151" s="7"/>
      <c r="R151" s="7"/>
      <c r="S151" s="6"/>
      <c r="T151" s="6"/>
      <c r="U151" s="6"/>
      <c r="V151" s="6"/>
      <c r="W151" s="6"/>
      <c r="X151" s="6"/>
      <c r="Y151" s="6"/>
      <c r="Z151" s="6"/>
      <c r="AA151" s="43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48" t="str" cm="1">
        <f t="array" aca="1" ref="A152" ca="1">IFERROR(INDEX(_xlfn.ANCHORARRAY($AA$11),ROW()-10,1),"")</f>
        <v/>
      </c>
      <c r="B152" s="24" t="str" cm="1">
        <f t="array" aca="1" ref="B152" ca="1">IFERROR(INDEX(_xlfn.ANCHORARRAY($AA$11),ROW()-10,2),"")</f>
        <v/>
      </c>
      <c r="C152" s="16" t="str" cm="1">
        <f t="array" aca="1" ref="C152" ca="1">IFERROR(INDEX(_xlfn.ANCHORARRAY($AA$11),ROW()-10,3),"")</f>
        <v/>
      </c>
      <c r="D152" s="16" t="str" cm="1">
        <f t="array" aca="1" ref="D152" ca="1">IFERROR(INDEX(_xlfn.ANCHORARRAY($AA$11),ROW()-10,4),"")</f>
        <v/>
      </c>
      <c r="E152" s="16" t="str" cm="1">
        <f t="array" aca="1" ref="E152" ca="1">IFERROR(INDEX(_xlfn.ANCHORARRAY($AA$11),ROW()-10,5),"")</f>
        <v/>
      </c>
      <c r="F152" s="16" t="str" cm="1">
        <f t="array" aca="1" ref="F152" ca="1">IFERROR(INDEX(_xlfn.ANCHORARRAY($AA$11),ROW()-10,6),"")</f>
        <v/>
      </c>
      <c r="G152" s="16" t="str" cm="1">
        <f t="array" aca="1" ref="G152" ca="1">IFERROR(INDEX(_xlfn.ANCHORARRAY($AA$11),ROW()-10,7),"")</f>
        <v/>
      </c>
      <c r="H152" s="16" t="str" cm="1">
        <f t="array" aca="1" ref="H152" ca="1">IFERROR(INDEX(_xlfn.ANCHORARRAY($AA$11),ROW()-10,8),"")</f>
        <v/>
      </c>
      <c r="I152" s="16" t="str" cm="1">
        <f t="array" aca="1" ref="I152" ca="1">IFERROR(INDEX(_xlfn.ANCHORARRAY($AA$11),ROW()-10,9),"")</f>
        <v/>
      </c>
      <c r="J152" s="16" t="str">
        <f t="shared" ca="1" si="8"/>
        <v/>
      </c>
      <c r="K152" s="16" t="str">
        <f t="shared" ca="1" si="9"/>
        <v/>
      </c>
      <c r="L152" s="16" t="str" cm="1">
        <f t="array" aca="1" ref="L152" ca="1">_xlfn.LET(_xlpm.link,IFERROR(INDEX(_xlfn.ANCHORARRAY($AA$11),ROW()-10,12),""),IF(_xlpm.link="","",HYPERLINK(_xlpm.link,"Bluecore/Attentive")))</f>
        <v/>
      </c>
      <c r="M152" s="7"/>
      <c r="N152" s="7"/>
      <c r="O152" s="7"/>
      <c r="P152" s="7"/>
      <c r="Q152" s="7"/>
      <c r="R152" s="7"/>
      <c r="S152" s="6"/>
      <c r="T152" s="6"/>
      <c r="U152" s="6"/>
      <c r="V152" s="6"/>
      <c r="W152" s="6"/>
      <c r="X152" s="6"/>
      <c r="Y152" s="6"/>
      <c r="Z152" s="6"/>
      <c r="AA152" s="43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48" t="str" cm="1">
        <f t="array" aca="1" ref="A153" ca="1">IFERROR(INDEX(_xlfn.ANCHORARRAY($AA$11),ROW()-10,1),"")</f>
        <v/>
      </c>
      <c r="B153" s="24" t="str" cm="1">
        <f t="array" aca="1" ref="B153" ca="1">IFERROR(INDEX(_xlfn.ANCHORARRAY($AA$11),ROW()-10,2),"")</f>
        <v/>
      </c>
      <c r="C153" s="16" t="str" cm="1">
        <f t="array" aca="1" ref="C153" ca="1">IFERROR(INDEX(_xlfn.ANCHORARRAY($AA$11),ROW()-10,3),"")</f>
        <v/>
      </c>
      <c r="D153" s="16" t="str" cm="1">
        <f t="array" aca="1" ref="D153" ca="1">IFERROR(INDEX(_xlfn.ANCHORARRAY($AA$11),ROW()-10,4),"")</f>
        <v/>
      </c>
      <c r="E153" s="16" t="str" cm="1">
        <f t="array" aca="1" ref="E153" ca="1">IFERROR(INDEX(_xlfn.ANCHORARRAY($AA$11),ROW()-10,5),"")</f>
        <v/>
      </c>
      <c r="F153" s="16" t="str" cm="1">
        <f t="array" aca="1" ref="F153" ca="1">IFERROR(INDEX(_xlfn.ANCHORARRAY($AA$11),ROW()-10,6),"")</f>
        <v/>
      </c>
      <c r="G153" s="16" t="str" cm="1">
        <f t="array" aca="1" ref="G153" ca="1">IFERROR(INDEX(_xlfn.ANCHORARRAY($AA$11),ROW()-10,7),"")</f>
        <v/>
      </c>
      <c r="H153" s="16" t="str" cm="1">
        <f t="array" aca="1" ref="H153" ca="1">IFERROR(INDEX(_xlfn.ANCHORARRAY($AA$11),ROW()-10,8),"")</f>
        <v/>
      </c>
      <c r="I153" s="16" t="str" cm="1">
        <f t="array" aca="1" ref="I153" ca="1">IFERROR(INDEX(_xlfn.ANCHORARRAY($AA$11),ROW()-10,9),"")</f>
        <v/>
      </c>
      <c r="J153" s="16" t="str">
        <f t="shared" ca="1" si="8"/>
        <v/>
      </c>
      <c r="K153" s="16" t="str">
        <f t="shared" ca="1" si="9"/>
        <v/>
      </c>
      <c r="L153" s="16" t="str" cm="1">
        <f t="array" aca="1" ref="L153" ca="1">_xlfn.LET(_xlpm.link,IFERROR(INDEX(_xlfn.ANCHORARRAY($AA$11),ROW()-10,12),""),IF(_xlpm.link="","",HYPERLINK(_xlpm.link,"Bluecore/Attentive")))</f>
        <v/>
      </c>
      <c r="M153" s="7"/>
      <c r="N153" s="7"/>
      <c r="O153" s="7"/>
      <c r="P153" s="7"/>
      <c r="Q153" s="7"/>
      <c r="R153" s="7"/>
      <c r="S153" s="6"/>
      <c r="T153" s="6"/>
      <c r="U153" s="6"/>
      <c r="V153" s="6"/>
      <c r="W153" s="6"/>
      <c r="X153" s="6"/>
      <c r="Y153" s="6"/>
      <c r="Z153" s="6"/>
      <c r="AA153" s="4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48" t="str" cm="1">
        <f t="array" aca="1" ref="A154" ca="1">IFERROR(INDEX(_xlfn.ANCHORARRAY($AA$11),ROW()-10,1),"")</f>
        <v/>
      </c>
      <c r="B154" s="24" t="str" cm="1">
        <f t="array" aca="1" ref="B154" ca="1">IFERROR(INDEX(_xlfn.ANCHORARRAY($AA$11),ROW()-10,2),"")</f>
        <v/>
      </c>
      <c r="C154" s="16" t="str" cm="1">
        <f t="array" aca="1" ref="C154" ca="1">IFERROR(INDEX(_xlfn.ANCHORARRAY($AA$11),ROW()-10,3),"")</f>
        <v/>
      </c>
      <c r="D154" s="16" t="str" cm="1">
        <f t="array" aca="1" ref="D154" ca="1">IFERROR(INDEX(_xlfn.ANCHORARRAY($AA$11),ROW()-10,4),"")</f>
        <v/>
      </c>
      <c r="E154" s="16" t="str" cm="1">
        <f t="array" aca="1" ref="E154" ca="1">IFERROR(INDEX(_xlfn.ANCHORARRAY($AA$11),ROW()-10,5),"")</f>
        <v/>
      </c>
      <c r="F154" s="16" t="str" cm="1">
        <f t="array" aca="1" ref="F154" ca="1">IFERROR(INDEX(_xlfn.ANCHORARRAY($AA$11),ROW()-10,6),"")</f>
        <v/>
      </c>
      <c r="G154" s="16" t="str" cm="1">
        <f t="array" aca="1" ref="G154" ca="1">IFERROR(INDEX(_xlfn.ANCHORARRAY($AA$11),ROW()-10,7),"")</f>
        <v/>
      </c>
      <c r="H154" s="16" t="str" cm="1">
        <f t="array" aca="1" ref="H154" ca="1">IFERROR(INDEX(_xlfn.ANCHORARRAY($AA$11),ROW()-10,8),"")</f>
        <v/>
      </c>
      <c r="I154" s="16" t="str" cm="1">
        <f t="array" aca="1" ref="I154" ca="1">IFERROR(INDEX(_xlfn.ANCHORARRAY($AA$11),ROW()-10,9),"")</f>
        <v/>
      </c>
      <c r="J154" s="16" t="str">
        <f t="shared" ca="1" si="8"/>
        <v/>
      </c>
      <c r="K154" s="16" t="str">
        <f t="shared" ca="1" si="9"/>
        <v/>
      </c>
      <c r="L154" s="16" t="str" cm="1">
        <f t="array" aca="1" ref="L154" ca="1">_xlfn.LET(_xlpm.link,IFERROR(INDEX(_xlfn.ANCHORARRAY($AA$11),ROW()-10,12),""),IF(_xlpm.link="","",HYPERLINK(_xlpm.link,"Bluecore/Attentive")))</f>
        <v/>
      </c>
      <c r="M154" s="7"/>
      <c r="N154" s="7"/>
      <c r="O154" s="7"/>
      <c r="P154" s="7"/>
      <c r="Q154" s="7"/>
      <c r="R154" s="7"/>
      <c r="S154" s="6"/>
      <c r="T154" s="6"/>
      <c r="U154" s="6"/>
      <c r="V154" s="6"/>
      <c r="W154" s="6"/>
      <c r="X154" s="6"/>
      <c r="Y154" s="6"/>
      <c r="Z154" s="6"/>
      <c r="AA154" s="43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48" t="str" cm="1">
        <f t="array" aca="1" ref="A155" ca="1">IFERROR(INDEX(_xlfn.ANCHORARRAY($AA$11),ROW()-10,1),"")</f>
        <v/>
      </c>
      <c r="B155" s="24" t="str" cm="1">
        <f t="array" aca="1" ref="B155" ca="1">IFERROR(INDEX(_xlfn.ANCHORARRAY($AA$11),ROW()-10,2),"")</f>
        <v/>
      </c>
      <c r="C155" s="16" t="str" cm="1">
        <f t="array" aca="1" ref="C155" ca="1">IFERROR(INDEX(_xlfn.ANCHORARRAY($AA$11),ROW()-10,3),"")</f>
        <v/>
      </c>
      <c r="D155" s="16" t="str" cm="1">
        <f t="array" aca="1" ref="D155" ca="1">IFERROR(INDEX(_xlfn.ANCHORARRAY($AA$11),ROW()-10,4),"")</f>
        <v/>
      </c>
      <c r="E155" s="16" t="str" cm="1">
        <f t="array" aca="1" ref="E155" ca="1">IFERROR(INDEX(_xlfn.ANCHORARRAY($AA$11),ROW()-10,5),"")</f>
        <v/>
      </c>
      <c r="F155" s="16" t="str" cm="1">
        <f t="array" aca="1" ref="F155" ca="1">IFERROR(INDEX(_xlfn.ANCHORARRAY($AA$11),ROW()-10,6),"")</f>
        <v/>
      </c>
      <c r="G155" s="16" t="str" cm="1">
        <f t="array" aca="1" ref="G155" ca="1">IFERROR(INDEX(_xlfn.ANCHORARRAY($AA$11),ROW()-10,7),"")</f>
        <v/>
      </c>
      <c r="H155" s="16" t="str" cm="1">
        <f t="array" aca="1" ref="H155" ca="1">IFERROR(INDEX(_xlfn.ANCHORARRAY($AA$11),ROW()-10,8),"")</f>
        <v/>
      </c>
      <c r="I155" s="16" t="str" cm="1">
        <f t="array" aca="1" ref="I155" ca="1">IFERROR(INDEX(_xlfn.ANCHORARRAY($AA$11),ROW()-10,9),"")</f>
        <v/>
      </c>
      <c r="J155" s="16" t="str">
        <f t="shared" ca="1" si="8"/>
        <v/>
      </c>
      <c r="K155" s="16" t="str">
        <f t="shared" ca="1" si="9"/>
        <v/>
      </c>
      <c r="L155" s="16" t="str" cm="1">
        <f t="array" aca="1" ref="L155" ca="1">_xlfn.LET(_xlpm.link,IFERROR(INDEX(_xlfn.ANCHORARRAY($AA$11),ROW()-10,12),""),IF(_xlpm.link="","",HYPERLINK(_xlpm.link,"Bluecore/Attentive")))</f>
        <v/>
      </c>
      <c r="M155" s="7"/>
      <c r="N155" s="7"/>
      <c r="O155" s="7"/>
      <c r="P155" s="7"/>
      <c r="Q155" s="7"/>
      <c r="R155" s="7"/>
      <c r="S155" s="6"/>
      <c r="T155" s="6"/>
      <c r="U155" s="6"/>
      <c r="V155" s="6"/>
      <c r="W155" s="6"/>
      <c r="X155" s="6"/>
      <c r="Y155" s="6"/>
      <c r="Z155" s="6"/>
      <c r="AA155" s="43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48" t="str" cm="1">
        <f t="array" aca="1" ref="A156" ca="1">IFERROR(INDEX(_xlfn.ANCHORARRAY($AA$11),ROW()-10,1),"")</f>
        <v/>
      </c>
      <c r="B156" s="24" t="str" cm="1">
        <f t="array" aca="1" ref="B156" ca="1">IFERROR(INDEX(_xlfn.ANCHORARRAY($AA$11),ROW()-10,2),"")</f>
        <v/>
      </c>
      <c r="C156" s="16" t="str" cm="1">
        <f t="array" aca="1" ref="C156" ca="1">IFERROR(INDEX(_xlfn.ANCHORARRAY($AA$11),ROW()-10,3),"")</f>
        <v/>
      </c>
      <c r="D156" s="16" t="str" cm="1">
        <f t="array" aca="1" ref="D156" ca="1">IFERROR(INDEX(_xlfn.ANCHORARRAY($AA$11),ROW()-10,4),"")</f>
        <v/>
      </c>
      <c r="E156" s="16" t="str" cm="1">
        <f t="array" aca="1" ref="E156" ca="1">IFERROR(INDEX(_xlfn.ANCHORARRAY($AA$11),ROW()-10,5),"")</f>
        <v/>
      </c>
      <c r="F156" s="16" t="str" cm="1">
        <f t="array" aca="1" ref="F156" ca="1">IFERROR(INDEX(_xlfn.ANCHORARRAY($AA$11),ROW()-10,6),"")</f>
        <v/>
      </c>
      <c r="G156" s="16" t="str" cm="1">
        <f t="array" aca="1" ref="G156" ca="1">IFERROR(INDEX(_xlfn.ANCHORARRAY($AA$11),ROW()-10,7),"")</f>
        <v/>
      </c>
      <c r="H156" s="16" t="str" cm="1">
        <f t="array" aca="1" ref="H156" ca="1">IFERROR(INDEX(_xlfn.ANCHORARRAY($AA$11),ROW()-10,8),"")</f>
        <v/>
      </c>
      <c r="I156" s="16" t="str" cm="1">
        <f t="array" aca="1" ref="I156" ca="1">IFERROR(INDEX(_xlfn.ANCHORARRAY($AA$11),ROW()-10,9),"")</f>
        <v/>
      </c>
      <c r="J156" s="16" t="str">
        <f t="shared" ca="1" si="8"/>
        <v/>
      </c>
      <c r="K156" s="16" t="str">
        <f t="shared" ca="1" si="9"/>
        <v/>
      </c>
      <c r="L156" s="16" t="str" cm="1">
        <f t="array" aca="1" ref="L156" ca="1">_xlfn.LET(_xlpm.link,IFERROR(INDEX(_xlfn.ANCHORARRAY($AA$11),ROW()-10,12),""),IF(_xlpm.link="","",HYPERLINK(_xlpm.link,"Bluecore/Attentive")))</f>
        <v/>
      </c>
      <c r="M156" s="7"/>
      <c r="N156" s="7"/>
      <c r="O156" s="7"/>
      <c r="P156" s="7"/>
      <c r="Q156" s="7"/>
      <c r="R156" s="7"/>
      <c r="S156" s="6"/>
      <c r="T156" s="6"/>
      <c r="U156" s="6"/>
      <c r="V156" s="6"/>
      <c r="W156" s="6"/>
      <c r="X156" s="6"/>
      <c r="Y156" s="6"/>
      <c r="Z156" s="6"/>
      <c r="AA156" s="43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48" t="str" cm="1">
        <f t="array" aca="1" ref="A157" ca="1">IFERROR(INDEX(_xlfn.ANCHORARRAY($AA$11),ROW()-10,1),"")</f>
        <v/>
      </c>
      <c r="B157" s="24" t="str" cm="1">
        <f t="array" aca="1" ref="B157" ca="1">IFERROR(INDEX(_xlfn.ANCHORARRAY($AA$11),ROW()-10,2),"")</f>
        <v/>
      </c>
      <c r="C157" s="16" t="str" cm="1">
        <f t="array" aca="1" ref="C157" ca="1">IFERROR(INDEX(_xlfn.ANCHORARRAY($AA$11),ROW()-10,3),"")</f>
        <v/>
      </c>
      <c r="D157" s="16" t="str" cm="1">
        <f t="array" aca="1" ref="D157" ca="1">IFERROR(INDEX(_xlfn.ANCHORARRAY($AA$11),ROW()-10,4),"")</f>
        <v/>
      </c>
      <c r="E157" s="16" t="str" cm="1">
        <f t="array" aca="1" ref="E157" ca="1">IFERROR(INDEX(_xlfn.ANCHORARRAY($AA$11),ROW()-10,5),"")</f>
        <v/>
      </c>
      <c r="F157" s="16" t="str" cm="1">
        <f t="array" aca="1" ref="F157" ca="1">IFERROR(INDEX(_xlfn.ANCHORARRAY($AA$11),ROW()-10,6),"")</f>
        <v/>
      </c>
      <c r="G157" s="16" t="str" cm="1">
        <f t="array" aca="1" ref="G157" ca="1">IFERROR(INDEX(_xlfn.ANCHORARRAY($AA$11),ROW()-10,7),"")</f>
        <v/>
      </c>
      <c r="H157" s="16" t="str" cm="1">
        <f t="array" aca="1" ref="H157" ca="1">IFERROR(INDEX(_xlfn.ANCHORARRAY($AA$11),ROW()-10,8),"")</f>
        <v/>
      </c>
      <c r="I157" s="16" t="str" cm="1">
        <f t="array" aca="1" ref="I157" ca="1">IFERROR(INDEX(_xlfn.ANCHORARRAY($AA$11),ROW()-10,9),"")</f>
        <v/>
      </c>
      <c r="J157" s="16" t="str">
        <f t="shared" ca="1" si="8"/>
        <v/>
      </c>
      <c r="K157" s="16" t="str">
        <f t="shared" ca="1" si="9"/>
        <v/>
      </c>
      <c r="L157" s="16" t="str" cm="1">
        <f t="array" aca="1" ref="L157" ca="1">_xlfn.LET(_xlpm.link,IFERROR(INDEX(_xlfn.ANCHORARRAY($AA$11),ROW()-10,12),""),IF(_xlpm.link="","",HYPERLINK(_xlpm.link,"Bluecore/Attentive")))</f>
        <v/>
      </c>
      <c r="M157" s="7"/>
      <c r="N157" s="7"/>
      <c r="O157" s="7"/>
      <c r="P157" s="7"/>
      <c r="Q157" s="7"/>
      <c r="R157" s="7"/>
      <c r="S157" s="6"/>
      <c r="T157" s="6"/>
      <c r="U157" s="6"/>
      <c r="V157" s="6"/>
      <c r="W157" s="6"/>
      <c r="X157" s="6"/>
      <c r="Y157" s="6"/>
      <c r="Z157" s="6"/>
      <c r="AA157" s="43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48" t="str" cm="1">
        <f t="array" aca="1" ref="A158" ca="1">IFERROR(INDEX(_xlfn.ANCHORARRAY($AA$11),ROW()-10,1),"")</f>
        <v/>
      </c>
      <c r="B158" s="24" t="str" cm="1">
        <f t="array" aca="1" ref="B158" ca="1">IFERROR(INDEX(_xlfn.ANCHORARRAY($AA$11),ROW()-10,2),"")</f>
        <v/>
      </c>
      <c r="C158" s="16" t="str" cm="1">
        <f t="array" aca="1" ref="C158" ca="1">IFERROR(INDEX(_xlfn.ANCHORARRAY($AA$11),ROW()-10,3),"")</f>
        <v/>
      </c>
      <c r="D158" s="16" t="str" cm="1">
        <f t="array" aca="1" ref="D158" ca="1">IFERROR(INDEX(_xlfn.ANCHORARRAY($AA$11),ROW()-10,4),"")</f>
        <v/>
      </c>
      <c r="E158" s="16" t="str" cm="1">
        <f t="array" aca="1" ref="E158" ca="1">IFERROR(INDEX(_xlfn.ANCHORARRAY($AA$11),ROW()-10,5),"")</f>
        <v/>
      </c>
      <c r="F158" s="16" t="str" cm="1">
        <f t="array" aca="1" ref="F158" ca="1">IFERROR(INDEX(_xlfn.ANCHORARRAY($AA$11),ROW()-10,6),"")</f>
        <v/>
      </c>
      <c r="G158" s="16" t="str" cm="1">
        <f t="array" aca="1" ref="G158" ca="1">IFERROR(INDEX(_xlfn.ANCHORARRAY($AA$11),ROW()-10,7),"")</f>
        <v/>
      </c>
      <c r="H158" s="16" t="str" cm="1">
        <f t="array" aca="1" ref="H158" ca="1">IFERROR(INDEX(_xlfn.ANCHORARRAY($AA$11),ROW()-10,8),"")</f>
        <v/>
      </c>
      <c r="I158" s="16" t="str" cm="1">
        <f t="array" aca="1" ref="I158" ca="1">IFERROR(INDEX(_xlfn.ANCHORARRAY($AA$11),ROW()-10,9),"")</f>
        <v/>
      </c>
      <c r="J158" s="16" t="str">
        <f t="shared" ca="1" si="8"/>
        <v/>
      </c>
      <c r="K158" s="16" t="str">
        <f t="shared" ca="1" si="9"/>
        <v/>
      </c>
      <c r="L158" s="16" t="str" cm="1">
        <f t="array" aca="1" ref="L158" ca="1">_xlfn.LET(_xlpm.link,IFERROR(INDEX(_xlfn.ANCHORARRAY($AA$11),ROW()-10,12),""),IF(_xlpm.link="","",HYPERLINK(_xlpm.link,"Bluecore/Attentive")))</f>
        <v/>
      </c>
      <c r="M158" s="7"/>
      <c r="N158" s="7"/>
      <c r="O158" s="7"/>
      <c r="P158" s="7"/>
      <c r="Q158" s="7"/>
      <c r="R158" s="7"/>
      <c r="S158" s="6"/>
      <c r="T158" s="6"/>
      <c r="U158" s="6"/>
      <c r="V158" s="6"/>
      <c r="W158" s="6"/>
      <c r="X158" s="6"/>
      <c r="Y158" s="6"/>
      <c r="Z158" s="6"/>
      <c r="AA158" s="43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48" t="str" cm="1">
        <f t="array" aca="1" ref="A159" ca="1">IFERROR(INDEX(_xlfn.ANCHORARRAY($AA$11),ROW()-10,1),"")</f>
        <v/>
      </c>
      <c r="B159" s="24" t="str" cm="1">
        <f t="array" aca="1" ref="B159" ca="1">IFERROR(INDEX(_xlfn.ANCHORARRAY($AA$11),ROW()-10,2),"")</f>
        <v/>
      </c>
      <c r="C159" s="16" t="str" cm="1">
        <f t="array" aca="1" ref="C159" ca="1">IFERROR(INDEX(_xlfn.ANCHORARRAY($AA$11),ROW()-10,3),"")</f>
        <v/>
      </c>
      <c r="D159" s="16" t="str" cm="1">
        <f t="array" aca="1" ref="D159" ca="1">IFERROR(INDEX(_xlfn.ANCHORARRAY($AA$11),ROW()-10,4),"")</f>
        <v/>
      </c>
      <c r="E159" s="16" t="str" cm="1">
        <f t="array" aca="1" ref="E159" ca="1">IFERROR(INDEX(_xlfn.ANCHORARRAY($AA$11),ROW()-10,5),"")</f>
        <v/>
      </c>
      <c r="F159" s="16" t="str" cm="1">
        <f t="array" aca="1" ref="F159" ca="1">IFERROR(INDEX(_xlfn.ANCHORARRAY($AA$11),ROW()-10,6),"")</f>
        <v/>
      </c>
      <c r="G159" s="16" t="str" cm="1">
        <f t="array" aca="1" ref="G159" ca="1">IFERROR(INDEX(_xlfn.ANCHORARRAY($AA$11),ROW()-10,7),"")</f>
        <v/>
      </c>
      <c r="H159" s="16" t="str" cm="1">
        <f t="array" aca="1" ref="H159" ca="1">IFERROR(INDEX(_xlfn.ANCHORARRAY($AA$11),ROW()-10,8),"")</f>
        <v/>
      </c>
      <c r="I159" s="16" t="str" cm="1">
        <f t="array" aca="1" ref="I159" ca="1">IFERROR(INDEX(_xlfn.ANCHORARRAY($AA$11),ROW()-10,9),"")</f>
        <v/>
      </c>
      <c r="J159" s="16" t="str">
        <f t="shared" ca="1" si="8"/>
        <v/>
      </c>
      <c r="K159" s="16" t="str">
        <f t="shared" ca="1" si="9"/>
        <v/>
      </c>
      <c r="L159" s="16" t="str" cm="1">
        <f t="array" aca="1" ref="L159" ca="1">_xlfn.LET(_xlpm.link,IFERROR(INDEX(_xlfn.ANCHORARRAY($AA$11),ROW()-10,12),""),IF(_xlpm.link="","",HYPERLINK(_xlpm.link,"Bluecore/Attentive")))</f>
        <v/>
      </c>
      <c r="M159" s="7"/>
      <c r="N159" s="7"/>
      <c r="O159" s="7"/>
      <c r="P159" s="7"/>
      <c r="Q159" s="7"/>
      <c r="R159" s="7"/>
      <c r="S159" s="6"/>
      <c r="T159" s="6"/>
      <c r="U159" s="6"/>
      <c r="V159" s="6"/>
      <c r="W159" s="6"/>
      <c r="X159" s="6"/>
      <c r="Y159" s="6"/>
      <c r="Z159" s="6"/>
      <c r="AA159" s="43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48" t="str" cm="1">
        <f t="array" aca="1" ref="A160" ca="1">IFERROR(INDEX(_xlfn.ANCHORARRAY($AA$11),ROW()-10,1),"")</f>
        <v/>
      </c>
      <c r="B160" s="24" t="str" cm="1">
        <f t="array" aca="1" ref="B160" ca="1">IFERROR(INDEX(_xlfn.ANCHORARRAY($AA$11),ROW()-10,2),"")</f>
        <v/>
      </c>
      <c r="C160" s="16" t="str" cm="1">
        <f t="array" aca="1" ref="C160" ca="1">IFERROR(INDEX(_xlfn.ANCHORARRAY($AA$11),ROW()-10,3),"")</f>
        <v/>
      </c>
      <c r="D160" s="16" t="str" cm="1">
        <f t="array" aca="1" ref="D160" ca="1">IFERROR(INDEX(_xlfn.ANCHORARRAY($AA$11),ROW()-10,4),"")</f>
        <v/>
      </c>
      <c r="E160" s="16" t="str" cm="1">
        <f t="array" aca="1" ref="E160" ca="1">IFERROR(INDEX(_xlfn.ANCHORARRAY($AA$11),ROW()-10,5),"")</f>
        <v/>
      </c>
      <c r="F160" s="16" t="str" cm="1">
        <f t="array" aca="1" ref="F160" ca="1">IFERROR(INDEX(_xlfn.ANCHORARRAY($AA$11),ROW()-10,6),"")</f>
        <v/>
      </c>
      <c r="G160" s="16" t="str" cm="1">
        <f t="array" aca="1" ref="G160" ca="1">IFERROR(INDEX(_xlfn.ANCHORARRAY($AA$11),ROW()-10,7),"")</f>
        <v/>
      </c>
      <c r="H160" s="16" t="str" cm="1">
        <f t="array" aca="1" ref="H160" ca="1">IFERROR(INDEX(_xlfn.ANCHORARRAY($AA$11),ROW()-10,8),"")</f>
        <v/>
      </c>
      <c r="I160" s="16" t="str" cm="1">
        <f t="array" aca="1" ref="I160" ca="1">IFERROR(INDEX(_xlfn.ANCHORARRAY($AA$11),ROW()-10,9),"")</f>
        <v/>
      </c>
      <c r="J160" s="16" t="str">
        <f t="shared" ca="1" si="8"/>
        <v/>
      </c>
      <c r="K160" s="16" t="str">
        <f t="shared" ca="1" si="9"/>
        <v/>
      </c>
      <c r="L160" s="16" t="str" cm="1">
        <f t="array" aca="1" ref="L160" ca="1">_xlfn.LET(_xlpm.link,IFERROR(INDEX(_xlfn.ANCHORARRAY($AA$11),ROW()-10,12),""),IF(_xlpm.link="","",HYPERLINK(_xlpm.link,"Bluecore/Attentive")))</f>
        <v/>
      </c>
      <c r="M160" s="7"/>
      <c r="N160" s="7"/>
      <c r="O160" s="7"/>
      <c r="P160" s="7"/>
      <c r="Q160" s="7"/>
      <c r="R160" s="7"/>
      <c r="S160" s="6"/>
      <c r="T160" s="6"/>
      <c r="U160" s="6"/>
      <c r="V160" s="6"/>
      <c r="W160" s="6"/>
      <c r="X160" s="6"/>
      <c r="Y160" s="6"/>
      <c r="Z160" s="6"/>
      <c r="AA160" s="43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38"/>
      <c r="B161" s="24"/>
      <c r="C161" s="16"/>
      <c r="D161" s="16"/>
      <c r="E161" s="16"/>
      <c r="G161" s="16"/>
      <c r="H161" s="16"/>
      <c r="I161" s="16"/>
      <c r="J161" s="16"/>
      <c r="K161" s="16"/>
      <c r="L161" s="16"/>
      <c r="M161" s="7"/>
      <c r="N161" s="7"/>
      <c r="O161" s="7"/>
      <c r="P161" s="7"/>
      <c r="Q161" s="7"/>
      <c r="R161" s="7"/>
      <c r="S161" s="6"/>
      <c r="T161" s="6"/>
      <c r="U161" s="6"/>
      <c r="V161" s="6"/>
      <c r="W161" s="6"/>
      <c r="X161" s="6"/>
      <c r="Y161" s="6"/>
      <c r="Z161" s="6"/>
      <c r="AA161" s="43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39" t="s">
        <v>33</v>
      </c>
      <c r="B162" s="25" t="s">
        <v>34</v>
      </c>
      <c r="C162" s="49">
        <f ca="1">C5</f>
        <v>0</v>
      </c>
      <c r="D162" s="26" t="s">
        <v>35</v>
      </c>
      <c r="E162" s="16"/>
      <c r="G162" s="16"/>
      <c r="H162" s="16"/>
      <c r="I162" s="16"/>
      <c r="J162" s="16"/>
      <c r="K162" s="16"/>
      <c r="L162" s="16"/>
      <c r="M162" s="7"/>
      <c r="N162" s="7"/>
      <c r="O162" s="7"/>
      <c r="P162" s="7"/>
      <c r="Q162" s="7"/>
      <c r="R162" s="7"/>
      <c r="S162" s="6"/>
      <c r="T162" s="6"/>
      <c r="U162" s="6"/>
      <c r="V162" s="6"/>
      <c r="W162" s="6"/>
      <c r="X162" s="6"/>
      <c r="Y162" s="6"/>
      <c r="Z162" s="6"/>
      <c r="AA162" s="43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40" t="s">
        <v>9</v>
      </c>
      <c r="B163" s="27" t="s">
        <v>36</v>
      </c>
      <c r="C163" s="50">
        <f>E5</f>
        <v>0</v>
      </c>
      <c r="D163" s="28" t="s">
        <v>37</v>
      </c>
      <c r="E163" s="16"/>
      <c r="G163" s="16"/>
      <c r="H163" s="16"/>
      <c r="I163" s="16"/>
      <c r="J163" s="16"/>
      <c r="K163" s="16"/>
      <c r="L163" s="16"/>
      <c r="M163" s="7"/>
      <c r="N163" s="7"/>
      <c r="O163" s="7"/>
      <c r="P163" s="7"/>
      <c r="Q163" s="7"/>
      <c r="R163" s="7"/>
      <c r="S163" s="6"/>
      <c r="T163" s="6"/>
      <c r="U163" s="6"/>
      <c r="V163" s="6"/>
      <c r="W163" s="6"/>
      <c r="X163" s="6"/>
      <c r="Y163" s="6"/>
      <c r="Z163" s="6"/>
      <c r="AA163" s="4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41" t="s">
        <v>10</v>
      </c>
      <c r="B164" s="29" t="s">
        <v>36</v>
      </c>
      <c r="C164" s="51">
        <f>G5</f>
        <v>0</v>
      </c>
      <c r="D164" s="30" t="s">
        <v>38</v>
      </c>
      <c r="E164" s="16"/>
      <c r="G164" s="16"/>
      <c r="H164" s="16"/>
      <c r="I164" s="16"/>
      <c r="J164" s="16"/>
      <c r="K164" s="16"/>
      <c r="L164" s="16"/>
      <c r="M164" s="7"/>
      <c r="N164" s="7"/>
      <c r="O164" s="7"/>
      <c r="P164" s="7"/>
      <c r="Q164" s="7"/>
      <c r="R164" s="7"/>
      <c r="S164" s="6"/>
      <c r="T164" s="6"/>
      <c r="U164" s="6"/>
      <c r="V164" s="6"/>
      <c r="W164" s="6"/>
      <c r="X164" s="6"/>
      <c r="Y164" s="6"/>
      <c r="Z164" s="6"/>
      <c r="AA164" s="43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40" t="s">
        <v>11</v>
      </c>
      <c r="B165" s="27" t="s">
        <v>34</v>
      </c>
      <c r="C165" s="50">
        <f>I5</f>
        <v>0</v>
      </c>
      <c r="D165" s="28" t="s">
        <v>39</v>
      </c>
      <c r="E165" s="16"/>
      <c r="G165" s="16"/>
      <c r="H165" s="16"/>
      <c r="I165" s="16"/>
      <c r="J165" s="16"/>
      <c r="K165" s="16"/>
      <c r="L165" s="16"/>
      <c r="M165" s="7"/>
      <c r="N165" s="7"/>
      <c r="O165" s="7"/>
      <c r="P165" s="7"/>
      <c r="Q165" s="7"/>
      <c r="R165" s="7"/>
      <c r="S165" s="6"/>
      <c r="T165" s="6"/>
      <c r="U165" s="6"/>
      <c r="V165" s="6"/>
      <c r="W165" s="6"/>
      <c r="X165" s="6"/>
      <c r="Y165" s="6"/>
      <c r="Z165" s="6"/>
      <c r="AA165" s="43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41" t="s">
        <v>12</v>
      </c>
      <c r="B166" s="29" t="s">
        <v>40</v>
      </c>
      <c r="C166" s="51">
        <f>K5</f>
        <v>0</v>
      </c>
      <c r="D166" s="30" t="s">
        <v>41</v>
      </c>
      <c r="E166" s="16"/>
      <c r="G166" s="16"/>
      <c r="H166" s="16"/>
      <c r="I166" s="16"/>
      <c r="J166" s="16"/>
      <c r="K166" s="16"/>
      <c r="L166" s="16"/>
      <c r="M166" s="7"/>
      <c r="N166" s="7"/>
      <c r="O166" s="7"/>
      <c r="P166" s="7"/>
      <c r="Q166" s="7"/>
      <c r="R166" s="7"/>
      <c r="S166" s="6"/>
      <c r="T166" s="6"/>
      <c r="U166" s="6"/>
      <c r="V166" s="6"/>
      <c r="W166" s="6"/>
      <c r="X166" s="6"/>
      <c r="Y166" s="6"/>
      <c r="Z166" s="6"/>
      <c r="AA166" s="43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1:38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1:38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1:38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1:38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1:38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1:38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1:38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1:38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1:38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1:38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1:38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1:38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1:38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1:38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1:38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1:38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1:38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89" spans="1:38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</row>
    <row r="190" spans="1:38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</row>
    <row r="191" spans="1:38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</row>
    <row r="192" spans="1:38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  <row r="193" spans="1:38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</row>
    <row r="194" spans="1:38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1:38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</row>
    <row r="196" spans="1:38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</row>
    <row r="197" spans="1:38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</row>
    <row r="198" spans="1:38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</row>
    <row r="199" spans="1:38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</row>
    <row r="200" spans="1:38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</row>
    <row r="201" spans="1:38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</row>
    <row r="202" spans="1:38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</row>
    <row r="203" spans="1:38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</row>
    <row r="204" spans="1:38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</row>
    <row r="205" spans="1:38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</row>
    <row r="206" spans="1:38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</row>
    <row r="207" spans="1:38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</row>
    <row r="208" spans="1:38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</row>
    <row r="209" spans="1:38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</row>
    <row r="210" spans="1:38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</row>
    <row r="211" spans="1:38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</row>
    <row r="212" spans="1:38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</row>
    <row r="213" spans="1:38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</row>
    <row r="214" spans="1:38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</row>
    <row r="215" spans="1:38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</row>
    <row r="216" spans="1:38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</row>
    <row r="217" spans="1:38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</row>
    <row r="218" spans="1:38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</row>
    <row r="219" spans="1:38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</row>
    <row r="220" spans="1:38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</row>
    <row r="221" spans="1:38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</row>
    <row r="222" spans="1:38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</row>
    <row r="223" spans="1:38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</row>
    <row r="224" spans="1:38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</row>
    <row r="225" spans="1:38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</row>
    <row r="226" spans="1:38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</row>
    <row r="227" spans="1:38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</row>
    <row r="228" spans="1:38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</row>
    <row r="229" spans="1:38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</row>
    <row r="230" spans="1:38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</row>
    <row r="231" spans="1:38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</row>
    <row r="232" spans="1:38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</row>
    <row r="233" spans="1:38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</row>
    <row r="234" spans="1:38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</row>
    <row r="235" spans="1:38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</row>
    <row r="236" spans="1:38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</row>
    <row r="237" spans="1:38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</row>
    <row r="238" spans="1:38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</row>
    <row r="239" spans="1:38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</row>
    <row r="240" spans="1:38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</row>
    <row r="241" spans="1:38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</row>
    <row r="242" spans="1:38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</row>
    <row r="243" spans="1:38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</row>
    <row r="244" spans="1:38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</row>
    <row r="245" spans="1:38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</row>
    <row r="246" spans="1:38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</row>
    <row r="247" spans="1:38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</row>
    <row r="248" spans="1:38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</row>
    <row r="249" spans="1:38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</row>
    <row r="250" spans="1:38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</row>
    <row r="251" spans="1:38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</row>
    <row r="252" spans="1:38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</row>
    <row r="253" spans="1:38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</row>
    <row r="254" spans="1:38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</row>
    <row r="255" spans="1:38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</row>
    <row r="256" spans="1:38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</row>
    <row r="257" spans="1:38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</row>
    <row r="258" spans="1:38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</row>
    <row r="259" spans="1:38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</row>
    <row r="260" spans="1:38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</row>
    <row r="261" spans="1:38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</row>
    <row r="262" spans="1:38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</row>
    <row r="263" spans="1:38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</row>
    <row r="264" spans="1:38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</row>
    <row r="265" spans="1:38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</row>
    <row r="266" spans="1:38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</row>
    <row r="267" spans="1:38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</row>
    <row r="268" spans="1:38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</row>
    <row r="269" spans="1:38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</row>
    <row r="270" spans="1:38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</row>
    <row r="271" spans="1:38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</row>
    <row r="272" spans="1:38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</row>
    <row r="273" spans="1:38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</row>
    <row r="274" spans="1:38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</row>
    <row r="275" spans="1:38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</row>
    <row r="276" spans="1:38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</row>
    <row r="277" spans="1:38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</row>
    <row r="278" spans="1:38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</row>
    <row r="279" spans="1:38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</row>
    <row r="280" spans="1:38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</row>
    <row r="281" spans="1:38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</row>
    <row r="282" spans="1:38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</row>
    <row r="283" spans="1:38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</row>
    <row r="284" spans="1:38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</row>
    <row r="285" spans="1:38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</row>
    <row r="286" spans="1:38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</row>
    <row r="287" spans="1:38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</row>
    <row r="288" spans="1:38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</row>
    <row r="289" spans="1:38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</row>
    <row r="290" spans="1:38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</row>
    <row r="291" spans="1:38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</row>
    <row r="292" spans="1:38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</row>
    <row r="293" spans="1:38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</row>
    <row r="294" spans="1:38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</row>
    <row r="295" spans="1:38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</row>
    <row r="296" spans="1:38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</row>
    <row r="297" spans="1:38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</row>
    <row r="298" spans="1:38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</row>
    <row r="299" spans="1:38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</row>
    <row r="300" spans="1:38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</row>
    <row r="301" spans="1:38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</row>
    <row r="302" spans="1:38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</row>
    <row r="303" spans="1:38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</row>
    <row r="304" spans="1:38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</row>
    <row r="305" spans="1:38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</row>
    <row r="306" spans="1:38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</row>
    <row r="307" spans="1:38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</row>
    <row r="308" spans="1:38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</row>
    <row r="309" spans="1:38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</row>
    <row r="310" spans="1:38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</row>
    <row r="311" spans="1:38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</row>
    <row r="312" spans="1:38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</row>
    <row r="313" spans="1:38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</row>
    <row r="314" spans="1:38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</row>
    <row r="315" spans="1:38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</row>
    <row r="316" spans="1:38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</row>
    <row r="317" spans="1:38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</row>
    <row r="318" spans="1:38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</row>
    <row r="319" spans="1:38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</row>
    <row r="320" spans="1:38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</row>
    <row r="321" spans="1:38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</row>
    <row r="322" spans="1:38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</row>
    <row r="323" spans="1:38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</row>
    <row r="324" spans="1:38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</row>
    <row r="325" spans="1:38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</row>
    <row r="326" spans="1:38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</row>
    <row r="327" spans="1:38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</row>
    <row r="328" spans="1:38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</row>
    <row r="329" spans="1:38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</row>
    <row r="330" spans="1:38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</row>
    <row r="331" spans="1:38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</row>
    <row r="332" spans="1:38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</row>
    <row r="333" spans="1:38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</row>
    <row r="334" spans="1:38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</row>
    <row r="335" spans="1:38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</row>
    <row r="336" spans="1:38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</row>
    <row r="337" spans="1:38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</row>
    <row r="338" spans="1:38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</row>
    <row r="339" spans="1:38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</row>
    <row r="340" spans="1:38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</row>
    <row r="341" spans="1:38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</row>
    <row r="342" spans="1:38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</row>
    <row r="343" spans="1:38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</row>
    <row r="344" spans="1:38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</row>
    <row r="345" spans="1:38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</row>
    <row r="346" spans="1:38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</row>
    <row r="347" spans="1:38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</row>
    <row r="348" spans="1:38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</row>
    <row r="349" spans="1:38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</row>
    <row r="350" spans="1:38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</row>
    <row r="351" spans="1:38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</row>
    <row r="352" spans="1:38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</row>
    <row r="353" spans="1:38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</row>
    <row r="354" spans="1:38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</row>
    <row r="355" spans="1:38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</row>
    <row r="356" spans="1:38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</row>
    <row r="357" spans="1:38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</row>
    <row r="358" spans="1:38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</row>
    <row r="359" spans="1:38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</row>
    <row r="360" spans="1:38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</row>
    <row r="361" spans="1:38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</row>
    <row r="362" spans="1:38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</row>
    <row r="363" spans="1:38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</row>
    <row r="364" spans="1:38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</row>
    <row r="365" spans="1:38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</row>
    <row r="366" spans="1:38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</row>
    <row r="367" spans="1:38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</row>
    <row r="368" spans="1:38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</row>
    <row r="369" spans="1:38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</row>
    <row r="370" spans="1:38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</row>
    <row r="371" spans="1:38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</row>
    <row r="372" spans="1:38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</row>
    <row r="373" spans="1:38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</row>
    <row r="374" spans="1:38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</row>
    <row r="375" spans="1:38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</row>
    <row r="376" spans="1:38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</row>
    <row r="377" spans="1:38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</row>
    <row r="378" spans="1:38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</row>
    <row r="379" spans="1:38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</row>
    <row r="380" spans="1:38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</row>
    <row r="381" spans="1:38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</row>
    <row r="382" spans="1:38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</row>
    <row r="383" spans="1:38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</row>
    <row r="384" spans="1:38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</row>
    <row r="385" spans="1:38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</row>
    <row r="386" spans="1:38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</row>
    <row r="387" spans="1:38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</row>
    <row r="388" spans="1:38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</row>
    <row r="389" spans="1:38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</row>
    <row r="390" spans="1:38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</row>
    <row r="391" spans="1:38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</row>
    <row r="392" spans="1:38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</row>
    <row r="393" spans="1:38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</row>
    <row r="394" spans="1:38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</row>
    <row r="395" spans="1:38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</row>
    <row r="396" spans="1:38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</row>
    <row r="397" spans="1:38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</row>
    <row r="398" spans="1:38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</row>
    <row r="399" spans="1:38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</row>
    <row r="400" spans="1:38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</row>
    <row r="401" spans="1:38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</row>
    <row r="402" spans="1:38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</row>
    <row r="403" spans="1:38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</row>
    <row r="404" spans="1:38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</row>
    <row r="405" spans="1:38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</row>
    <row r="406" spans="1:38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</row>
    <row r="407" spans="1:38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</row>
    <row r="408" spans="1:38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</row>
    <row r="409" spans="1:38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</row>
    <row r="410" spans="1:38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</row>
    <row r="411" spans="1:38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</row>
    <row r="412" spans="1:38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</row>
    <row r="413" spans="1:38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</row>
    <row r="414" spans="1:38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</row>
    <row r="415" spans="1:38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</row>
    <row r="416" spans="1:38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</row>
    <row r="417" spans="1:38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</row>
    <row r="418" spans="1:38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</row>
    <row r="419" spans="1:38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</row>
    <row r="420" spans="1:38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</row>
    <row r="421" spans="1:38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</row>
    <row r="422" spans="1:38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</row>
    <row r="423" spans="1:38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</row>
    <row r="424" spans="1:38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</row>
    <row r="425" spans="1:38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</row>
    <row r="426" spans="1:38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</row>
    <row r="427" spans="1:38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</row>
    <row r="428" spans="1:38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</row>
    <row r="429" spans="1:38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</row>
    <row r="430" spans="1:38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</row>
    <row r="431" spans="1:38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</row>
    <row r="432" spans="1:38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</row>
    <row r="433" spans="1:38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</row>
    <row r="434" spans="1:38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</row>
    <row r="435" spans="1:38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</row>
    <row r="436" spans="1:38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</row>
    <row r="437" spans="1:38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</row>
    <row r="438" spans="1:38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</row>
    <row r="439" spans="1:38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</row>
    <row r="440" spans="1:38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</row>
    <row r="441" spans="1:38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</row>
    <row r="442" spans="1:38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</row>
    <row r="443" spans="1:38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</row>
    <row r="444" spans="1:38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</row>
    <row r="445" spans="1:38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</row>
    <row r="446" spans="1:38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</row>
    <row r="447" spans="1:38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</row>
    <row r="448" spans="1:38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</row>
    <row r="449" spans="1:38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</row>
    <row r="450" spans="1:38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</row>
    <row r="451" spans="1:38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</row>
    <row r="452" spans="1:38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</row>
    <row r="453" spans="1:38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</row>
    <row r="454" spans="1:38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</row>
    <row r="455" spans="1:38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</row>
    <row r="456" spans="1:38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</row>
    <row r="457" spans="1:38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</row>
    <row r="458" spans="1:38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</row>
    <row r="459" spans="1:38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</row>
    <row r="460" spans="1:38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</row>
    <row r="461" spans="1:38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</row>
    <row r="462" spans="1:38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</row>
    <row r="463" spans="1:38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</row>
    <row r="464" spans="1:38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</row>
    <row r="465" spans="1:38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</row>
    <row r="466" spans="1:38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</row>
    <row r="467" spans="1:38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</row>
    <row r="468" spans="1:38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</row>
    <row r="469" spans="1:38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</row>
    <row r="470" spans="1:38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</row>
    <row r="471" spans="1:38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</row>
    <row r="472" spans="1:38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</row>
    <row r="473" spans="1:38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</row>
    <row r="474" spans="1:38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</row>
    <row r="475" spans="1:38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</row>
    <row r="476" spans="1:38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</row>
    <row r="477" spans="1:38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</row>
    <row r="478" spans="1:38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</row>
    <row r="479" spans="1:38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</row>
    <row r="480" spans="1:38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</row>
    <row r="481" spans="1:38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</row>
    <row r="482" spans="1:38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</row>
    <row r="483" spans="1:38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</row>
    <row r="484" spans="1:38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</row>
    <row r="485" spans="1:38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</row>
    <row r="486" spans="1:38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</row>
    <row r="487" spans="1:38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</row>
    <row r="488" spans="1:38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</row>
    <row r="489" spans="1:38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</row>
    <row r="490" spans="1:38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</row>
    <row r="491" spans="1:38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</row>
    <row r="492" spans="1:38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</row>
    <row r="493" spans="1:38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</row>
    <row r="494" spans="1:38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</row>
    <row r="495" spans="1:38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</row>
    <row r="496" spans="1:38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</row>
    <row r="497" spans="1:38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</row>
    <row r="498" spans="1:38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</row>
    <row r="499" spans="1:38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</row>
    <row r="500" spans="1:38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</row>
    <row r="501" spans="1:38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</row>
    <row r="502" spans="1:38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</row>
    <row r="503" spans="1:38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</row>
    <row r="504" spans="1:38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</row>
    <row r="505" spans="1:38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</row>
    <row r="506" spans="1:38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</row>
    <row r="507" spans="1:38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</row>
    <row r="508" spans="1:38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</row>
    <row r="509" spans="1:38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</row>
    <row r="510" spans="1:38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</row>
    <row r="511" spans="1:38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</row>
    <row r="512" spans="1:38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</row>
    <row r="513" spans="1:38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</row>
    <row r="514" spans="1:38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</row>
    <row r="515" spans="1:38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</row>
    <row r="516" spans="1:38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</row>
    <row r="517" spans="1:38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</row>
    <row r="518" spans="1:38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</row>
    <row r="519" spans="1:38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</row>
    <row r="520" spans="1:38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</row>
    <row r="521" spans="1:38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</row>
    <row r="522" spans="1:38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</row>
    <row r="523" spans="1:38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</row>
    <row r="524" spans="1:38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</row>
    <row r="525" spans="1:38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</row>
    <row r="526" spans="1:38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</row>
    <row r="527" spans="1:38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</row>
    <row r="528" spans="1:38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</row>
    <row r="529" spans="1:38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</row>
    <row r="530" spans="1:38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</row>
    <row r="531" spans="1:38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</row>
    <row r="532" spans="1:38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</row>
    <row r="533" spans="1:38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</row>
    <row r="534" spans="1:38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</row>
    <row r="535" spans="1:38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</row>
    <row r="536" spans="1:38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</row>
    <row r="537" spans="1:38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</row>
    <row r="538" spans="1:38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</row>
    <row r="539" spans="1:38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</row>
    <row r="540" spans="1:38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</row>
    <row r="541" spans="1:38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</row>
    <row r="542" spans="1:38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</row>
    <row r="543" spans="1:38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</row>
    <row r="544" spans="1:38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</row>
    <row r="545" spans="1:38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</row>
    <row r="546" spans="1:38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</row>
    <row r="547" spans="1:38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</row>
    <row r="548" spans="1:38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</row>
    <row r="549" spans="1:38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</row>
    <row r="550" spans="1:38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</row>
    <row r="551" spans="1:38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</row>
    <row r="552" spans="1:38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</row>
    <row r="553" spans="1:38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</row>
    <row r="554" spans="1:38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</row>
    <row r="555" spans="1:38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</row>
    <row r="556" spans="1:38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</row>
    <row r="557" spans="1:38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</row>
    <row r="558" spans="1:38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</row>
    <row r="559" spans="1:38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</row>
    <row r="560" spans="1:38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</row>
    <row r="561" spans="1:38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</row>
    <row r="562" spans="1:38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</row>
    <row r="563" spans="1:38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</row>
    <row r="564" spans="1:38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</row>
    <row r="565" spans="1:38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</row>
    <row r="566" spans="1:38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</row>
    <row r="567" spans="1:38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</row>
    <row r="568" spans="1:38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</row>
    <row r="569" spans="1:38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</row>
    <row r="570" spans="1:38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</row>
    <row r="571" spans="1:38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</row>
    <row r="572" spans="1:38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</row>
    <row r="573" spans="1:38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</row>
    <row r="574" spans="1:38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</row>
    <row r="575" spans="1:38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</row>
    <row r="576" spans="1:38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</row>
    <row r="577" spans="1:38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</row>
    <row r="578" spans="1:38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</row>
    <row r="579" spans="1:38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</row>
    <row r="580" spans="1:38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</row>
    <row r="581" spans="1:38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</row>
    <row r="582" spans="1:38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</row>
    <row r="583" spans="1:38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</row>
    <row r="584" spans="1:38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</row>
    <row r="585" spans="1:38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</row>
    <row r="586" spans="1:38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</row>
    <row r="587" spans="1:38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</row>
    <row r="588" spans="1:38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</row>
    <row r="589" spans="1:38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</row>
    <row r="590" spans="1:38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</row>
    <row r="591" spans="1:38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</row>
    <row r="592" spans="1:38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</row>
    <row r="593" spans="1:38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</row>
    <row r="594" spans="1:38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</row>
    <row r="595" spans="1:38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</row>
    <row r="596" spans="1:38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</row>
    <row r="597" spans="1:38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</row>
    <row r="598" spans="1:38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</row>
    <row r="599" spans="1:38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</row>
    <row r="600" spans="1:38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</row>
    <row r="601" spans="1:38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</row>
    <row r="602" spans="1:38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</row>
    <row r="603" spans="1:38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</row>
    <row r="604" spans="1:38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</row>
    <row r="605" spans="1:38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</row>
    <row r="606" spans="1:38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</row>
    <row r="607" spans="1:38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</row>
    <row r="608" spans="1:38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</row>
    <row r="609" spans="1:38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</row>
    <row r="610" spans="1:38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</row>
    <row r="611" spans="1:38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</row>
    <row r="612" spans="1:38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</row>
    <row r="613" spans="1:38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</row>
    <row r="614" spans="1:38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</row>
    <row r="615" spans="1:38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</row>
    <row r="616" spans="1:38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</row>
    <row r="617" spans="1:38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</row>
    <row r="618" spans="1:38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</row>
    <row r="619" spans="1:38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</row>
    <row r="620" spans="1:38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</row>
    <row r="621" spans="1:38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</row>
    <row r="622" spans="1:38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</row>
    <row r="623" spans="1:38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</row>
    <row r="624" spans="1:38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</row>
    <row r="625" spans="1:38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</row>
    <row r="626" spans="1:38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</row>
    <row r="627" spans="1:38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</row>
    <row r="628" spans="1:38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</row>
    <row r="629" spans="1:38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</row>
    <row r="630" spans="1:38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</row>
    <row r="631" spans="1:38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</row>
    <row r="632" spans="1:38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</row>
    <row r="633" spans="1:38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</row>
    <row r="634" spans="1:38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</row>
    <row r="635" spans="1:38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</row>
    <row r="636" spans="1:38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</row>
    <row r="637" spans="1:38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</row>
    <row r="638" spans="1:38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</row>
    <row r="639" spans="1:38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</row>
    <row r="640" spans="1:38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</row>
    <row r="641" spans="1:38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</row>
    <row r="642" spans="1:38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</row>
    <row r="643" spans="1:38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</row>
    <row r="644" spans="1:38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</row>
    <row r="645" spans="1:38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</row>
    <row r="646" spans="1:38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</row>
    <row r="647" spans="1:38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</row>
    <row r="648" spans="1:38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</row>
    <row r="649" spans="1:38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</row>
    <row r="650" spans="1:38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</row>
    <row r="651" spans="1:38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</row>
    <row r="652" spans="1:38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</row>
    <row r="653" spans="1:38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</row>
    <row r="654" spans="1:38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</row>
    <row r="655" spans="1:38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</row>
    <row r="656" spans="1:38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</row>
    <row r="657" spans="1:38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</row>
    <row r="658" spans="1:38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</row>
    <row r="659" spans="1:38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</row>
    <row r="660" spans="1:38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</row>
    <row r="661" spans="1:38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</row>
    <row r="662" spans="1:38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</row>
    <row r="663" spans="1:38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</row>
    <row r="664" spans="1:38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</row>
    <row r="665" spans="1:38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</row>
    <row r="666" spans="1:38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</row>
    <row r="667" spans="1:38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</row>
    <row r="668" spans="1:38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</row>
    <row r="669" spans="1:38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</row>
    <row r="670" spans="1:38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</row>
    <row r="671" spans="1:38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</row>
    <row r="672" spans="1:38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</row>
    <row r="673" spans="1:38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</row>
    <row r="674" spans="1:38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</row>
    <row r="675" spans="1:38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</row>
    <row r="676" spans="1:38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</row>
    <row r="677" spans="1:38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</row>
    <row r="678" spans="1:38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</row>
    <row r="679" spans="1:38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</row>
    <row r="680" spans="1:38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</row>
    <row r="681" spans="1:38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</row>
    <row r="682" spans="1:38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</row>
    <row r="683" spans="1:38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</row>
    <row r="684" spans="1:38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</row>
    <row r="685" spans="1:38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</row>
    <row r="686" spans="1:38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</row>
    <row r="687" spans="1:38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</row>
    <row r="688" spans="1:38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</row>
    <row r="689" spans="1:38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</row>
    <row r="690" spans="1:38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</row>
    <row r="691" spans="1:38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</row>
    <row r="692" spans="1:38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</row>
    <row r="693" spans="1:38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</row>
    <row r="694" spans="1:38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</row>
    <row r="695" spans="1:38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</row>
    <row r="696" spans="1:38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</row>
    <row r="697" spans="1:38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</row>
    <row r="698" spans="1:38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</row>
    <row r="699" spans="1:38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</row>
    <row r="700" spans="1:38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</row>
    <row r="701" spans="1:38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</row>
    <row r="702" spans="1:38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</row>
    <row r="703" spans="1:38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</row>
    <row r="704" spans="1:38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</row>
    <row r="705" spans="1:38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</row>
    <row r="706" spans="1:38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</row>
    <row r="707" spans="1:38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</row>
    <row r="708" spans="1:38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</row>
    <row r="709" spans="1:38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</row>
    <row r="710" spans="1:38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</row>
    <row r="711" spans="1:38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</row>
    <row r="712" spans="1:38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</row>
    <row r="713" spans="1:38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</row>
    <row r="714" spans="1:38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</row>
    <row r="715" spans="1:38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</row>
    <row r="716" spans="1:38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</row>
    <row r="717" spans="1:38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</row>
    <row r="718" spans="1:38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</row>
    <row r="719" spans="1:38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</row>
    <row r="720" spans="1:38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</row>
    <row r="721" spans="1:38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</row>
    <row r="722" spans="1:38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</row>
    <row r="723" spans="1:38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</row>
    <row r="724" spans="1:38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</row>
    <row r="725" spans="1:38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</row>
    <row r="726" spans="1:38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</row>
    <row r="727" spans="1:38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</row>
    <row r="728" spans="1:38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</row>
    <row r="729" spans="1:38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</row>
    <row r="730" spans="1:38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</row>
    <row r="731" spans="1:38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</row>
    <row r="732" spans="1:38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</row>
    <row r="733" spans="1:38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</row>
    <row r="734" spans="1:38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</row>
    <row r="735" spans="1:38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</row>
    <row r="736" spans="1:38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</row>
    <row r="737" spans="1:38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</row>
    <row r="738" spans="1:38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</row>
    <row r="739" spans="1:38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</row>
    <row r="740" spans="1:38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</row>
    <row r="741" spans="1:38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</row>
    <row r="742" spans="1:38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</row>
    <row r="743" spans="1:38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</row>
    <row r="744" spans="1:38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</row>
    <row r="745" spans="1:38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</row>
    <row r="746" spans="1:38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</row>
    <row r="747" spans="1:38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</row>
    <row r="748" spans="1:38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</row>
    <row r="749" spans="1:38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</row>
    <row r="750" spans="1:38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</row>
    <row r="751" spans="1:38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</row>
    <row r="752" spans="1:38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</row>
    <row r="753" spans="1:38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</row>
    <row r="754" spans="1:38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</row>
    <row r="755" spans="1:38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</row>
    <row r="756" spans="1:38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</row>
    <row r="757" spans="1:38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</row>
    <row r="758" spans="1:38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</row>
    <row r="759" spans="1:38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</row>
    <row r="760" spans="1:38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</row>
    <row r="761" spans="1:38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</row>
    <row r="762" spans="1:38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</row>
    <row r="763" spans="1:38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</row>
    <row r="764" spans="1:38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</row>
    <row r="765" spans="1:38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</row>
    <row r="766" spans="1:38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</row>
    <row r="767" spans="1:38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</row>
    <row r="768" spans="1:38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</row>
    <row r="769" spans="1:38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</row>
    <row r="770" spans="1:38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</row>
    <row r="771" spans="1:38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</row>
    <row r="772" spans="1:38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</row>
    <row r="773" spans="1:38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</row>
    <row r="774" spans="1:38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</row>
    <row r="775" spans="1:38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</row>
    <row r="776" spans="1:38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</row>
    <row r="777" spans="1:38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</row>
    <row r="778" spans="1:38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</row>
    <row r="779" spans="1:38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</row>
    <row r="780" spans="1:38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</row>
    <row r="781" spans="1:38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</row>
    <row r="782" spans="1:38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</row>
    <row r="783" spans="1:38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</row>
    <row r="784" spans="1:38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</row>
    <row r="785" spans="1:38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</row>
    <row r="786" spans="1:38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</row>
    <row r="787" spans="1:38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</row>
    <row r="788" spans="1:38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</row>
    <row r="789" spans="1:38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</row>
    <row r="790" spans="1:38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</row>
    <row r="791" spans="1:38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</row>
    <row r="792" spans="1:38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</row>
    <row r="793" spans="1:38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</row>
    <row r="794" spans="1:38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</row>
    <row r="795" spans="1:38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</row>
    <row r="796" spans="1:38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</row>
    <row r="797" spans="1:38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</row>
    <row r="798" spans="1:38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</row>
    <row r="799" spans="1:38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</row>
    <row r="800" spans="1:38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</row>
    <row r="801" spans="1:38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</row>
    <row r="802" spans="1:38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</row>
    <row r="803" spans="1:38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</row>
    <row r="804" spans="1:38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</row>
    <row r="805" spans="1:38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</row>
    <row r="806" spans="1:38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</row>
    <row r="807" spans="1:38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</row>
    <row r="808" spans="1:38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</row>
    <row r="809" spans="1:38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</row>
    <row r="810" spans="1:38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</row>
    <row r="811" spans="1:38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</row>
    <row r="812" spans="1:38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</row>
    <row r="813" spans="1:38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</row>
    <row r="814" spans="1:38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</row>
    <row r="815" spans="1:38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</row>
    <row r="816" spans="1:38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</row>
    <row r="817" spans="1:38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</row>
    <row r="818" spans="1:38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</row>
    <row r="819" spans="1:38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</row>
    <row r="820" spans="1:38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</row>
    <row r="821" spans="1:38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</row>
    <row r="822" spans="1:38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</row>
    <row r="823" spans="1:38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</row>
    <row r="824" spans="1:38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</row>
    <row r="825" spans="1:38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</row>
    <row r="826" spans="1:38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</row>
    <row r="827" spans="1:38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</row>
    <row r="828" spans="1:38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</row>
    <row r="829" spans="1:38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</row>
    <row r="830" spans="1:38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</row>
    <row r="831" spans="1:38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</row>
    <row r="832" spans="1:38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</row>
    <row r="833" spans="1:38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</row>
    <row r="834" spans="1:38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</row>
    <row r="835" spans="1:38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</row>
    <row r="836" spans="1:38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</row>
    <row r="837" spans="1:38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</row>
    <row r="838" spans="1:38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</row>
    <row r="839" spans="1:38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</row>
    <row r="840" spans="1:38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</row>
    <row r="841" spans="1:38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</row>
    <row r="842" spans="1:38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</row>
    <row r="843" spans="1:38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</row>
    <row r="844" spans="1:38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</row>
    <row r="845" spans="1:38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</row>
    <row r="846" spans="1:38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</row>
    <row r="847" spans="1:38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</row>
    <row r="848" spans="1:38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</row>
    <row r="849" spans="1:38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</row>
    <row r="850" spans="1:38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</row>
    <row r="851" spans="1:38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</row>
    <row r="852" spans="1:38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</row>
    <row r="853" spans="1:38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</row>
    <row r="854" spans="1:38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</row>
    <row r="855" spans="1:38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</row>
    <row r="856" spans="1:38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</row>
    <row r="857" spans="1:38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</row>
    <row r="858" spans="1:38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</row>
    <row r="859" spans="1:38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</row>
    <row r="860" spans="1:38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</row>
    <row r="861" spans="1:38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</row>
    <row r="862" spans="1:38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</row>
    <row r="863" spans="1:38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</row>
    <row r="864" spans="1:38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</row>
    <row r="865" spans="1:38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</row>
    <row r="866" spans="1:38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</row>
    <row r="867" spans="1:38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</row>
    <row r="868" spans="1:38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</row>
    <row r="869" spans="1:38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</row>
    <row r="870" spans="1:38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</row>
    <row r="871" spans="1:38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</row>
    <row r="872" spans="1:38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</row>
    <row r="873" spans="1:38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</row>
    <row r="874" spans="1:38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</row>
    <row r="875" spans="1:38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</row>
    <row r="876" spans="1:38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</row>
    <row r="877" spans="1:38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</row>
    <row r="878" spans="1:38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</row>
    <row r="879" spans="1:38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</row>
    <row r="880" spans="1:38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</row>
    <row r="881" spans="1:38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</row>
    <row r="882" spans="1:38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</row>
    <row r="883" spans="1:38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</row>
    <row r="884" spans="1:38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</row>
    <row r="885" spans="1:38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</row>
    <row r="886" spans="1:38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</row>
    <row r="887" spans="1:38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</row>
    <row r="888" spans="1:38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</row>
    <row r="889" spans="1:38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</row>
    <row r="890" spans="1:38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</row>
    <row r="891" spans="1:38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</row>
    <row r="892" spans="1:38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</row>
    <row r="893" spans="1:38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</row>
    <row r="894" spans="1:38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</row>
    <row r="895" spans="1:38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</row>
    <row r="896" spans="1:38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</row>
    <row r="897" spans="1:38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</row>
    <row r="898" spans="1:38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</row>
    <row r="899" spans="1:38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</row>
    <row r="900" spans="1:38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</row>
    <row r="901" spans="1:38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</row>
    <row r="902" spans="1:38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</row>
    <row r="903" spans="1:38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</row>
    <row r="904" spans="1:38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</row>
    <row r="905" spans="1:38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</row>
    <row r="906" spans="1:38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</row>
    <row r="907" spans="1:38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</row>
    <row r="908" spans="1:38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</row>
    <row r="909" spans="1:38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</row>
    <row r="910" spans="1:38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</row>
    <row r="911" spans="1:38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</row>
    <row r="912" spans="1:38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</row>
    <row r="913" spans="1:38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</row>
    <row r="914" spans="1:38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</row>
    <row r="915" spans="1:38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</row>
    <row r="916" spans="1:38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</row>
    <row r="917" spans="1:38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</row>
    <row r="918" spans="1:38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</row>
    <row r="919" spans="1:38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</row>
    <row r="920" spans="1:38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</row>
    <row r="921" spans="1:38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</row>
    <row r="922" spans="1:38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</row>
    <row r="923" spans="1:38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</row>
    <row r="924" spans="1:38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</row>
    <row r="925" spans="1:38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</row>
    <row r="926" spans="1:38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</row>
    <row r="927" spans="1:38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</row>
    <row r="928" spans="1:38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</row>
    <row r="929" spans="1:38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</row>
    <row r="930" spans="1:38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</row>
    <row r="931" spans="1:38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</row>
    <row r="932" spans="1:38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</row>
    <row r="933" spans="1:38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</row>
    <row r="934" spans="1:38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</row>
    <row r="935" spans="1:38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</row>
    <row r="936" spans="1:38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</row>
    <row r="937" spans="1:38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</row>
    <row r="938" spans="1:38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</row>
    <row r="939" spans="1:38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</row>
    <row r="940" spans="1:38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</row>
    <row r="941" spans="1:38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</row>
    <row r="942" spans="1:38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</row>
    <row r="943" spans="1:38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</row>
    <row r="944" spans="1:38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</row>
    <row r="945" spans="1:38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</row>
    <row r="946" spans="1:38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</row>
    <row r="947" spans="1:38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</row>
    <row r="948" spans="1:38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</row>
    <row r="949" spans="1:38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</row>
    <row r="950" spans="1:38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</row>
    <row r="951" spans="1:38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</row>
    <row r="952" spans="1:38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</row>
    <row r="953" spans="1:38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</row>
    <row r="954" spans="1:38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</row>
    <row r="955" spans="1:38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</row>
    <row r="956" spans="1:38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</row>
    <row r="957" spans="1:38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</row>
    <row r="958" spans="1:38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</row>
    <row r="959" spans="1:38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</row>
    <row r="960" spans="1:38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</row>
    <row r="961" spans="1:38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</row>
    <row r="962" spans="1:38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</row>
    <row r="963" spans="1:38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</row>
    <row r="964" spans="1:38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</row>
    <row r="965" spans="1:38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</row>
    <row r="966" spans="1:38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</row>
    <row r="967" spans="1:38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</row>
    <row r="968" spans="1:38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</row>
    <row r="969" spans="1:38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</row>
    <row r="970" spans="1:38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</row>
    <row r="971" spans="1:38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</row>
    <row r="972" spans="1:38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</row>
    <row r="973" spans="1:38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</row>
    <row r="974" spans="1:38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</row>
    <row r="975" spans="1:38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</row>
    <row r="976" spans="1:38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</row>
    <row r="977" spans="1:38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</row>
    <row r="978" spans="1:38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</row>
    <row r="979" spans="1:38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</row>
    <row r="980" spans="1:38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</row>
    <row r="981" spans="1:38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</row>
    <row r="982" spans="1:38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</row>
    <row r="983" spans="1:38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</row>
    <row r="984" spans="1:38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</row>
    <row r="985" spans="1:38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</row>
    <row r="986" spans="1:38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</row>
    <row r="987" spans="1:38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</row>
    <row r="988" spans="1:38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</row>
    <row r="989" spans="1:38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</row>
    <row r="990" spans="1:38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</row>
    <row r="991" spans="1:38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</row>
    <row r="992" spans="1:38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</row>
    <row r="993" spans="1:38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</row>
    <row r="994" spans="1:38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</row>
    <row r="995" spans="1:38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</row>
    <row r="996" spans="1:38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</row>
    <row r="997" spans="1:38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</row>
    <row r="998" spans="1:38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</row>
    <row r="999" spans="1:38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</row>
    <row r="1000" spans="1:38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</row>
  </sheetData>
  <sheetProtection algorithmName="SHA-512" hashValue="zxq4T+BRdUP6wJ7PPY+NLg0y5wDZoL/sUuuVNY6h86Z8kCaxgso5pEbuG6BrMsBRjzcLEgTAEw2yTXocqNeEgw==" saltValue="7Hgo92i+cNRL58OIjSvg1w==" spinCount="100000" sheet="1" objects="1" scenarios="1"/>
  <mergeCells count="22">
    <mergeCell ref="A9:L9"/>
    <mergeCell ref="I6:J6"/>
    <mergeCell ref="K4:L4"/>
    <mergeCell ref="K5:L5"/>
    <mergeCell ref="K6:L6"/>
    <mergeCell ref="A8:L8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</mergeCells>
  <conditionalFormatting sqref="B6 B8">
    <cfRule type="cellIs" dxfId="100" priority="1" operator="greaterThan">
      <formula>0</formula>
    </cfRule>
  </conditionalFormatting>
  <conditionalFormatting sqref="B8">
    <cfRule type="cellIs" dxfId="99" priority="2" operator="greaterThan">
      <formula>0</formula>
    </cfRule>
  </conditionalFormatting>
  <conditionalFormatting sqref="B9">
    <cfRule type="cellIs" dxfId="98" priority="3" operator="greaterThan">
      <formula>0</formula>
    </cfRule>
  </conditionalFormatting>
  <conditionalFormatting sqref="F11:F160">
    <cfRule type="expression" dxfId="97" priority="10">
      <formula>F11="Scheduled"</formula>
    </cfRule>
    <cfRule type="expression" dxfId="96" priority="11">
      <formula>F11="Sent"</formula>
    </cfRule>
    <cfRule type="expression" dxfId="95" priority="12">
      <formula>F11="Blocked"</formula>
    </cfRule>
  </conditionalFormatting>
  <conditionalFormatting sqref="F11:F160">
    <cfRule type="expression" dxfId="94" priority="4">
      <formula>F11="Critical"</formula>
    </cfRule>
    <cfRule type="expression" dxfId="93" priority="5">
      <formula>F11="High Risk"</formula>
    </cfRule>
    <cfRule type="expression" dxfId="92" priority="6">
      <formula>F11="At Risk"</formula>
    </cfRule>
    <cfRule type="expression" dxfId="91" priority="7">
      <formula>F11="Blocked"</formula>
    </cfRule>
    <cfRule type="expression" dxfId="90" priority="8">
      <formula>F11="Ready"</formula>
    </cfRule>
    <cfRule type="expression" dxfId="89" priority="9">
      <formula>OR(F11="Complete",F11="Completed")</formula>
    </cfRule>
  </conditionalFormatting>
  <conditionalFormatting sqref="H11:H160">
    <cfRule type="cellIs" dxfId="88" priority="129" stopIfTrue="1" operator="equal">
      <formula>"Done"</formula>
    </cfRule>
  </conditionalFormatting>
  <conditionalFormatting sqref="H11:H160">
    <cfRule type="cellIs" dxfId="87" priority="130" stopIfTrue="1" operator="equal">
      <formula>"Not Yet"</formula>
    </cfRule>
  </conditionalFormatting>
  <conditionalFormatting sqref="I11:I160">
    <cfRule type="cellIs" dxfId="86" priority="131" stopIfTrue="1" operator="equal">
      <formula>"Provided"</formula>
    </cfRule>
  </conditionalFormatting>
  <conditionalFormatting sqref="I11:I160">
    <cfRule type="cellIs" dxfId="85" priority="132" stopIfTrue="1" operator="equal">
      <formula>"Pending"</formula>
    </cfRule>
  </conditionalFormatting>
  <conditionalFormatting sqref="A11:L160">
    <cfRule type="expression" dxfId="84" priority="133">
      <formula>LEFT($D11,9)="CANCELLED"</formula>
    </cfRule>
  </conditionalFormatting>
  <conditionalFormatting sqref="A11:L45">
    <cfRule type="expression" dxfId="83" priority="134">
      <formula>LEFT($D11,9)="CANCELLED"</formula>
    </cfRule>
  </conditionalFormatting>
  <hyperlinks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X797"/>
  <sheetViews>
    <sheetView showGridLines="0" topLeftCell="F1" zoomScale="85" zoomScaleNormal="85" workbookViewId="0">
      <selection activeCell="S8" sqref="S8"/>
    </sheetView>
  </sheetViews>
  <sheetFormatPr defaultRowHeight="15"/>
  <cols>
    <col min="1" max="1" width="28.625" style="3" customWidth="1"/>
    <col min="2" max="2" width="20.625" style="3" customWidth="1"/>
    <col min="3" max="3" width="34.625" style="3" customWidth="1"/>
    <col min="4" max="4" width="16.625" style="3" customWidth="1"/>
    <col min="5" max="5" width="42.625" style="3" hidden="1" customWidth="1"/>
    <col min="6" max="6" width="16.625" style="3" customWidth="1"/>
    <col min="7" max="7" width="22.625" style="3" customWidth="1"/>
    <col min="8" max="8" width="20.625" style="3" customWidth="1"/>
    <col min="9" max="9" width="12.625" style="3" customWidth="1"/>
    <col min="10" max="11" width="13.625" style="3" customWidth="1"/>
    <col min="12" max="12" width="12.625" style="3" customWidth="1"/>
    <col min="13" max="15" width="13.625" style="3" customWidth="1"/>
    <col min="16" max="19" width="14.625" style="3" customWidth="1"/>
    <col min="20" max="20" width="12.625" style="3" customWidth="1"/>
    <col min="21" max="21" width="20.625" style="3" hidden="1" customWidth="1"/>
    <col min="22" max="22" width="18.625" style="3" hidden="1" customWidth="1"/>
    <col min="23" max="23" width="50.625" style="3" customWidth="1"/>
    <col min="24" max="24" width="19" style="1" customWidth="1"/>
    <col min="25" max="16384" width="9" style="1"/>
  </cols>
  <sheetData>
    <row r="1" spans="1:24" s="2" customFormat="1" ht="45">
      <c r="A1" s="11" t="s">
        <v>21</v>
      </c>
      <c r="B1" s="11" t="s">
        <v>42</v>
      </c>
      <c r="C1" s="11" t="s">
        <v>43</v>
      </c>
      <c r="D1" s="11" t="s">
        <v>44</v>
      </c>
      <c r="E1" s="11" t="s">
        <v>45</v>
      </c>
      <c r="F1" s="11" t="s">
        <v>27</v>
      </c>
      <c r="G1" s="11" t="s">
        <v>46</v>
      </c>
      <c r="H1" s="11" t="s">
        <v>47</v>
      </c>
      <c r="I1" s="11" t="s">
        <v>48</v>
      </c>
      <c r="J1" s="11" t="s">
        <v>49</v>
      </c>
      <c r="K1" s="11" t="s">
        <v>50</v>
      </c>
      <c r="L1" s="11" t="s">
        <v>51</v>
      </c>
      <c r="M1" s="11" t="s">
        <v>28</v>
      </c>
      <c r="N1" s="11" t="s">
        <v>29</v>
      </c>
      <c r="O1" s="11" t="s">
        <v>108</v>
      </c>
      <c r="P1" s="11" t="s">
        <v>52</v>
      </c>
      <c r="Q1" s="11" t="s">
        <v>53</v>
      </c>
      <c r="R1" s="11" t="s">
        <v>54</v>
      </c>
      <c r="S1" s="11" t="s">
        <v>55</v>
      </c>
      <c r="T1" s="11" t="s">
        <v>56</v>
      </c>
      <c r="U1" s="11" t="s">
        <v>57</v>
      </c>
      <c r="V1" s="11" t="s">
        <v>58</v>
      </c>
      <c r="W1" s="11" t="s">
        <v>59</v>
      </c>
    </row>
    <row r="2" spans="1:24" s="5" customFormat="1" ht="15.75">
      <c r="A2" s="46"/>
      <c r="B2" s="12"/>
      <c r="C2" s="4"/>
      <c r="D2" s="4"/>
      <c r="E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" s="32" t="s">
        <v>114</v>
      </c>
      <c r="G2" s="34" t="b">
        <v>0</v>
      </c>
      <c r="H2" s="34" t="b">
        <v>0</v>
      </c>
      <c r="I2" s="34" t="b">
        <v>0</v>
      </c>
      <c r="J2" s="34" t="b">
        <v>0</v>
      </c>
      <c r="K2" s="34" t="b">
        <v>0</v>
      </c>
      <c r="L2" s="34" t="b">
        <v>0</v>
      </c>
      <c r="M2" s="34" t="b">
        <v>0</v>
      </c>
      <c r="N2" s="34" t="b">
        <v>0</v>
      </c>
      <c r="O2" s="34" t="b">
        <v>0</v>
      </c>
      <c r="P2" s="36"/>
      <c r="Q2" s="36"/>
      <c r="R2" s="36"/>
      <c r="S2" s="35"/>
      <c r="T2" s="35"/>
      <c r="U2" s="44">
        <v>46181.836770833332</v>
      </c>
      <c r="V2" s="32" t="s">
        <v>115</v>
      </c>
      <c r="W2" s="32" t="s">
        <v>114</v>
      </c>
    </row>
    <row r="3" spans="1:24" s="5" customForma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4" s="5" customForma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4" s="5" customForma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4" s="5" customForma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</row>
    <row r="7" spans="1:24" s="5" customFormat="1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</row>
    <row r="8" spans="1:24" s="5" customFormat="1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</row>
    <row r="9" spans="1:24" s="5" customFormat="1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</row>
    <row r="10" spans="1:24" s="5" customFormat="1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</row>
    <row r="11" spans="1:24" s="5" customForma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</row>
    <row r="12" spans="1:24" s="5" customForma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</row>
    <row r="13" spans="1:24" s="5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</row>
    <row r="14" spans="1:2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</row>
    <row r="15" spans="1:2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</row>
    <row r="16" spans="1:2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1:24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1:24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1:24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1:24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1:24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1:24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1:24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2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4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1:24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1:2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1:2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1:2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1:2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1:2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1:2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2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2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2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2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2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2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1:2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1:2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1:2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1:2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1:2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1:2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1:2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1:2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1:2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1:2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1:2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1:2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1:2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1:2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1:2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1:2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1:2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1:2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1:2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1:2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1:2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1:2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1:2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1:2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1:2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1:2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1:2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1:2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1:2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1:2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1:2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1:2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1:2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1:2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1:2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1:2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1:2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1:2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1:2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1:2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1:2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1:2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1:2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1:2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1:2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1:2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1:2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1:2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1:2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1:2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1:2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1:2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1:2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1:2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1:2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1:2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1:2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1:2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1:2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1:2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1:2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1:2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1:2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1:2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1:2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1:2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1:2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1:2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1:2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1:2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1:2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1:2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1:2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1:2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1:2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1:2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1:2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  <row r="206" spans="1:2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</row>
    <row r="207" spans="1:2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</row>
    <row r="208" spans="1:2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</row>
    <row r="209" spans="1:2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</row>
    <row r="210" spans="1:2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</row>
    <row r="211" spans="1:2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</row>
    <row r="212" spans="1:2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</row>
    <row r="213" spans="1:2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</row>
    <row r="214" spans="1:2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</row>
    <row r="215" spans="1:2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</row>
    <row r="216" spans="1:2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</row>
    <row r="217" spans="1:2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</row>
    <row r="218" spans="1:2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</row>
    <row r="219" spans="1:2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</row>
    <row r="220" spans="1:2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</row>
    <row r="221" spans="1:2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</row>
    <row r="222" spans="1:2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</row>
    <row r="223" spans="1:2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</row>
    <row r="224" spans="1:2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</row>
    <row r="225" spans="1:2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</row>
    <row r="226" spans="1:2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</row>
    <row r="227" spans="1:2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</row>
    <row r="228" spans="1:2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</row>
    <row r="229" spans="1:2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</row>
    <row r="230" spans="1:2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</row>
    <row r="231" spans="1:2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</row>
    <row r="232" spans="1:2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</row>
    <row r="233" spans="1:2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</row>
    <row r="234" spans="1:2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</row>
    <row r="235" spans="1:2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</row>
    <row r="236" spans="1:2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</row>
    <row r="237" spans="1:2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</row>
    <row r="238" spans="1:2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</row>
    <row r="239" spans="1:2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</row>
    <row r="240" spans="1:2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</row>
    <row r="241" spans="1:2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</row>
    <row r="242" spans="1:2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</row>
    <row r="243" spans="1:2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</row>
    <row r="244" spans="1:2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</row>
    <row r="245" spans="1:2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</row>
    <row r="246" spans="1:2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</row>
    <row r="247" spans="1:2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</row>
    <row r="248" spans="1:2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</row>
    <row r="249" spans="1:2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</row>
    <row r="250" spans="1:2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</row>
    <row r="251" spans="1:2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</row>
    <row r="252" spans="1:2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</row>
    <row r="253" spans="1:2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</row>
    <row r="254" spans="1:2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</row>
    <row r="255" spans="1:2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</row>
    <row r="256" spans="1:2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</row>
    <row r="257" spans="1:2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</row>
    <row r="258" spans="1:2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</row>
    <row r="259" spans="1:2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</row>
    <row r="260" spans="1:2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</row>
    <row r="261" spans="1:2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</row>
    <row r="262" spans="1:2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</row>
    <row r="263" spans="1:2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</row>
    <row r="264" spans="1:2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</row>
    <row r="265" spans="1:2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</row>
    <row r="266" spans="1:2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</row>
    <row r="267" spans="1:2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</row>
    <row r="268" spans="1:2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</row>
    <row r="269" spans="1:2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</row>
    <row r="270" spans="1:2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</row>
    <row r="271" spans="1:2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</row>
    <row r="272" spans="1:2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</row>
    <row r="273" spans="1:2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</row>
    <row r="274" spans="1:2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</row>
    <row r="275" spans="1:2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</row>
    <row r="276" spans="1:2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</row>
    <row r="277" spans="1:2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</row>
    <row r="278" spans="1:2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</row>
    <row r="279" spans="1:2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</row>
    <row r="280" spans="1:2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</row>
    <row r="281" spans="1:2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</row>
    <row r="282" spans="1:2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</row>
    <row r="283" spans="1:2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</row>
    <row r="284" spans="1:2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</row>
    <row r="285" spans="1:2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</row>
    <row r="286" spans="1:2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</row>
    <row r="287" spans="1:2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</row>
    <row r="288" spans="1:2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</row>
    <row r="289" spans="1:2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</row>
    <row r="290" spans="1:2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</row>
    <row r="291" spans="1:2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</row>
    <row r="292" spans="1:2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</row>
    <row r="293" spans="1:2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</row>
    <row r="294" spans="1:2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</row>
    <row r="295" spans="1:2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</row>
    <row r="296" spans="1:2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</row>
    <row r="297" spans="1:2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</row>
    <row r="298" spans="1:2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</row>
    <row r="299" spans="1:2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</row>
    <row r="300" spans="1:2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</row>
    <row r="301" spans="1:2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</row>
    <row r="302" spans="1:2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</row>
    <row r="303" spans="1:2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</row>
    <row r="304" spans="1:2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</row>
    <row r="305" spans="1:2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</row>
    <row r="306" spans="1:2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</row>
    <row r="307" spans="1:2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</row>
    <row r="308" spans="1:2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</row>
    <row r="309" spans="1:2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</row>
    <row r="310" spans="1:2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</row>
    <row r="311" spans="1:2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</row>
    <row r="312" spans="1:2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</row>
    <row r="313" spans="1:2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</row>
    <row r="314" spans="1:2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</row>
    <row r="315" spans="1:2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</row>
    <row r="316" spans="1:2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</row>
    <row r="317" spans="1:2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</row>
    <row r="318" spans="1:2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</row>
    <row r="319" spans="1:2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</row>
    <row r="320" spans="1:2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</row>
    <row r="321" spans="1:2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</row>
    <row r="322" spans="1:2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</row>
    <row r="323" spans="1:2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</row>
    <row r="324" spans="1:2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</row>
    <row r="325" spans="1:2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</row>
    <row r="326" spans="1:2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</row>
    <row r="327" spans="1:2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</row>
    <row r="328" spans="1:2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</row>
    <row r="329" spans="1:2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</row>
    <row r="330" spans="1:2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</row>
    <row r="331" spans="1:2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</row>
    <row r="332" spans="1:2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</row>
    <row r="333" spans="1:2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</row>
    <row r="334" spans="1:2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</row>
    <row r="335" spans="1:2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</row>
    <row r="336" spans="1:2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</row>
    <row r="337" spans="1:2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</row>
    <row r="338" spans="1:2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</row>
    <row r="339" spans="1:2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</row>
    <row r="340" spans="1:2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</row>
    <row r="341" spans="1:2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</row>
    <row r="342" spans="1:2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</row>
    <row r="343" spans="1:2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</row>
    <row r="344" spans="1:2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</row>
    <row r="345" spans="1:2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</row>
    <row r="346" spans="1:2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</row>
    <row r="347" spans="1:2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</row>
    <row r="348" spans="1:2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</row>
    <row r="349" spans="1:2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</row>
    <row r="350" spans="1:2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</row>
    <row r="351" spans="1:2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</row>
    <row r="352" spans="1:2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</row>
    <row r="353" spans="1:2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</row>
    <row r="354" spans="1:2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</row>
    <row r="355" spans="1:2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</row>
    <row r="356" spans="1:2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</row>
    <row r="357" spans="1:2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</row>
    <row r="358" spans="1:2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</row>
    <row r="359" spans="1:2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</row>
    <row r="360" spans="1:2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</row>
    <row r="361" spans="1:2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</row>
    <row r="362" spans="1:2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</row>
    <row r="363" spans="1:2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</row>
    <row r="364" spans="1:2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</row>
    <row r="365" spans="1:2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</row>
    <row r="366" spans="1:2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</row>
    <row r="367" spans="1:2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</row>
    <row r="368" spans="1:2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</row>
    <row r="369" spans="1:2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</row>
    <row r="370" spans="1:2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</row>
    <row r="371" spans="1:2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</row>
    <row r="372" spans="1:2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</row>
    <row r="373" spans="1:2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</row>
    <row r="374" spans="1:2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</row>
    <row r="375" spans="1:2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</row>
    <row r="376" spans="1:2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</row>
    <row r="377" spans="1:2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</row>
    <row r="378" spans="1:2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</row>
    <row r="379" spans="1:2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</row>
    <row r="380" spans="1:2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</row>
    <row r="381" spans="1:2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</row>
    <row r="382" spans="1:2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</row>
    <row r="383" spans="1:2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</row>
    <row r="384" spans="1:2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</row>
    <row r="385" spans="1:2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</row>
    <row r="386" spans="1:2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</row>
    <row r="387" spans="1:2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</row>
    <row r="388" spans="1:2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</row>
    <row r="389" spans="1:2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</row>
    <row r="390" spans="1:2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</row>
    <row r="391" spans="1:2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</row>
    <row r="392" spans="1:2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</row>
    <row r="393" spans="1:2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</row>
    <row r="394" spans="1:2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</row>
    <row r="395" spans="1:2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</row>
    <row r="396" spans="1:2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</row>
    <row r="397" spans="1:2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</row>
    <row r="398" spans="1:2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</row>
    <row r="399" spans="1:2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</row>
    <row r="400" spans="1:2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</row>
    <row r="401" spans="1:2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</row>
    <row r="402" spans="1:2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</row>
    <row r="403" spans="1:2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</row>
    <row r="404" spans="1:2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</row>
    <row r="405" spans="1:2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</row>
    <row r="406" spans="1:2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</row>
    <row r="407" spans="1:2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</row>
    <row r="408" spans="1:2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</row>
    <row r="409" spans="1:2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</row>
    <row r="410" spans="1:2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</row>
    <row r="411" spans="1:2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</row>
    <row r="412" spans="1:2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</row>
    <row r="413" spans="1:2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</row>
    <row r="414" spans="1:2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</row>
    <row r="415" spans="1:2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</row>
    <row r="416" spans="1:2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</row>
    <row r="417" spans="1:2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</row>
    <row r="418" spans="1:2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</row>
    <row r="419" spans="1:2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</row>
    <row r="420" spans="1:2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</row>
    <row r="421" spans="1:2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</row>
    <row r="422" spans="1:2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</row>
    <row r="423" spans="1:2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</row>
    <row r="424" spans="1:2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</row>
    <row r="425" spans="1:2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</row>
    <row r="426" spans="1:2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</row>
    <row r="427" spans="1:2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</row>
    <row r="428" spans="1:2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</row>
    <row r="429" spans="1:2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</row>
    <row r="430" spans="1:2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</row>
    <row r="431" spans="1:2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</row>
    <row r="432" spans="1:2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</row>
    <row r="433" spans="1:2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</row>
    <row r="434" spans="1:2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</row>
    <row r="435" spans="1:2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</row>
    <row r="436" spans="1:2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</row>
    <row r="437" spans="1:2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</row>
    <row r="438" spans="1:2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</row>
    <row r="439" spans="1:2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</row>
    <row r="440" spans="1:2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</row>
    <row r="441" spans="1:2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</row>
    <row r="442" spans="1:2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</row>
    <row r="443" spans="1:2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</row>
    <row r="444" spans="1:2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</row>
    <row r="445" spans="1:2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</row>
    <row r="446" spans="1:2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</row>
    <row r="447" spans="1:2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</row>
    <row r="448" spans="1:2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</row>
    <row r="449" spans="1:2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</row>
    <row r="450" spans="1:2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</row>
    <row r="451" spans="1:2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</row>
    <row r="452" spans="1:2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</row>
    <row r="453" spans="1:2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</row>
    <row r="454" spans="1:2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</row>
    <row r="455" spans="1:2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</row>
    <row r="456" spans="1:2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</row>
    <row r="457" spans="1:2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</row>
    <row r="458" spans="1:2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</row>
    <row r="459" spans="1:2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</row>
    <row r="460" spans="1:2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</row>
    <row r="461" spans="1:2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</row>
    <row r="462" spans="1:2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</row>
    <row r="463" spans="1:2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</row>
    <row r="464" spans="1:2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</row>
    <row r="465" spans="1:2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</row>
    <row r="466" spans="1:2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</row>
    <row r="467" spans="1:2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</row>
    <row r="468" spans="1:2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</row>
    <row r="469" spans="1:2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</row>
    <row r="470" spans="1:2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</row>
    <row r="471" spans="1:2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</row>
    <row r="472" spans="1:2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</row>
    <row r="473" spans="1:2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</row>
    <row r="474" spans="1:2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</row>
    <row r="475" spans="1:2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</row>
    <row r="476" spans="1:2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</row>
    <row r="477" spans="1:2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</row>
    <row r="478" spans="1:2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</row>
    <row r="479" spans="1:2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</row>
    <row r="480" spans="1:2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</row>
    <row r="481" spans="1:2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</row>
    <row r="482" spans="1:2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</row>
    <row r="483" spans="1:2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</row>
    <row r="484" spans="1:2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</row>
    <row r="485" spans="1:2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</row>
    <row r="486" spans="1:2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</row>
    <row r="487" spans="1:2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</row>
    <row r="488" spans="1:2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</row>
    <row r="489" spans="1:2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</row>
    <row r="490" spans="1:2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</row>
    <row r="491" spans="1:2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</row>
    <row r="492" spans="1:2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</row>
    <row r="493" spans="1:2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</row>
    <row r="494" spans="1:2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</row>
    <row r="495" spans="1:2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</row>
    <row r="496" spans="1:2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</row>
    <row r="497" spans="1:2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</row>
    <row r="498" spans="1:2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</row>
    <row r="499" spans="1:2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</row>
    <row r="500" spans="1:2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</row>
    <row r="501" spans="1:2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</row>
    <row r="502" spans="1:2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</row>
    <row r="503" spans="1:2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</row>
    <row r="504" spans="1:2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</row>
    <row r="505" spans="1:2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</row>
    <row r="506" spans="1:2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</row>
    <row r="507" spans="1:2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</row>
    <row r="508" spans="1:2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</row>
    <row r="509" spans="1:2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</row>
    <row r="510" spans="1:2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</row>
    <row r="511" spans="1:2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</row>
    <row r="512" spans="1:2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</row>
    <row r="513" spans="1:2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</row>
    <row r="514" spans="1:2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</row>
    <row r="515" spans="1:2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</row>
    <row r="516" spans="1:2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</row>
    <row r="517" spans="1:2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</row>
    <row r="518" spans="1:2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</row>
    <row r="519" spans="1:2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</row>
    <row r="520" spans="1:2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</row>
    <row r="521" spans="1:2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</row>
    <row r="522" spans="1:2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</row>
    <row r="523" spans="1:2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</row>
    <row r="524" spans="1:2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</row>
    <row r="525" spans="1:2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</row>
    <row r="526" spans="1:2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</row>
    <row r="527" spans="1:2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</row>
    <row r="528" spans="1:2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</row>
    <row r="529" spans="1:2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</row>
    <row r="530" spans="1:2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</row>
    <row r="531" spans="1:2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</row>
    <row r="532" spans="1:2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</row>
    <row r="533" spans="1:2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</row>
    <row r="534" spans="1:2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</row>
    <row r="535" spans="1:2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</row>
    <row r="536" spans="1:2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</row>
    <row r="537" spans="1:2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</row>
    <row r="538" spans="1:2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</row>
    <row r="539" spans="1:2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</row>
    <row r="540" spans="1:2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</row>
    <row r="541" spans="1:2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</row>
    <row r="542" spans="1:2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</row>
    <row r="543" spans="1:2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</row>
    <row r="544" spans="1:2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</row>
    <row r="545" spans="1:2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</row>
    <row r="546" spans="1:2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</row>
    <row r="547" spans="1:2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</row>
    <row r="548" spans="1:2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</row>
    <row r="549" spans="1:2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</row>
    <row r="550" spans="1:2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</row>
    <row r="551" spans="1:2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</row>
    <row r="552" spans="1:2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</row>
    <row r="553" spans="1:2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</row>
    <row r="554" spans="1:2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</row>
    <row r="555" spans="1:2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</row>
    <row r="556" spans="1:2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</row>
    <row r="557" spans="1:2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</row>
    <row r="558" spans="1:2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</row>
    <row r="559" spans="1:2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</row>
    <row r="560" spans="1:2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</row>
    <row r="561" spans="1:2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</row>
    <row r="562" spans="1:2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</row>
    <row r="563" spans="1:2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</row>
    <row r="564" spans="1:2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</row>
    <row r="565" spans="1:2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</row>
    <row r="566" spans="1:2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</row>
    <row r="567" spans="1:2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</row>
    <row r="568" spans="1:2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</row>
    <row r="569" spans="1:2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</row>
    <row r="570" spans="1:2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</row>
    <row r="571" spans="1:2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</row>
    <row r="572" spans="1:2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</row>
    <row r="573" spans="1:2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</row>
    <row r="574" spans="1:2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</row>
    <row r="575" spans="1:2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</row>
    <row r="576" spans="1:2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</row>
    <row r="577" spans="1:2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</row>
    <row r="578" spans="1:2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</row>
    <row r="579" spans="1:2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</row>
    <row r="580" spans="1:2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</row>
    <row r="581" spans="1:2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</row>
    <row r="582" spans="1:2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</row>
    <row r="583" spans="1:2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</row>
    <row r="584" spans="1:2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</row>
    <row r="585" spans="1:2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</row>
    <row r="586" spans="1:2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</row>
    <row r="587" spans="1:2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</row>
    <row r="588" spans="1:2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</row>
    <row r="589" spans="1:2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</row>
    <row r="590" spans="1:2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</row>
    <row r="591" spans="1:2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</row>
    <row r="592" spans="1:2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</row>
    <row r="593" spans="1:2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</row>
    <row r="594" spans="1:2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</row>
    <row r="595" spans="1:2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</row>
    <row r="596" spans="1:2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</row>
    <row r="597" spans="1:2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</row>
    <row r="598" spans="1:2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</row>
    <row r="599" spans="1:2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</row>
    <row r="600" spans="1:2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</row>
    <row r="601" spans="1:2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</row>
    <row r="602" spans="1:2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</row>
    <row r="603" spans="1:2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</row>
    <row r="604" spans="1:2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</row>
    <row r="605" spans="1:2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</row>
    <row r="606" spans="1:2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</row>
    <row r="607" spans="1:2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</row>
    <row r="608" spans="1:2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</row>
    <row r="609" spans="1:2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</row>
    <row r="610" spans="1:2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</row>
    <row r="611" spans="1:2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</row>
    <row r="612" spans="1:2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</row>
    <row r="613" spans="1:2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</row>
    <row r="614" spans="1:2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</row>
    <row r="615" spans="1:2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</row>
    <row r="616" spans="1:2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</row>
    <row r="617" spans="1:2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</row>
    <row r="618" spans="1:2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</row>
    <row r="619" spans="1:2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</row>
    <row r="620" spans="1:2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</row>
    <row r="621" spans="1:2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</row>
    <row r="622" spans="1:2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</row>
    <row r="623" spans="1:2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</row>
    <row r="624" spans="1:2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</row>
    <row r="625" spans="1:2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</row>
    <row r="626" spans="1:2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</row>
    <row r="627" spans="1:2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</row>
    <row r="628" spans="1:2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</row>
    <row r="629" spans="1:2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</row>
    <row r="630" spans="1:2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</row>
    <row r="631" spans="1:2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</row>
    <row r="632" spans="1:2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</row>
    <row r="633" spans="1:2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</row>
    <row r="634" spans="1:2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</row>
    <row r="635" spans="1:2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</row>
    <row r="636" spans="1:2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</row>
    <row r="637" spans="1:2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</row>
    <row r="638" spans="1:2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</row>
    <row r="639" spans="1:2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</row>
    <row r="640" spans="1:2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</row>
    <row r="641" spans="1:2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</row>
    <row r="642" spans="1:2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</row>
    <row r="643" spans="1:2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</row>
    <row r="644" spans="1:2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</row>
    <row r="645" spans="1:2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</row>
    <row r="646" spans="1:2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</row>
    <row r="647" spans="1:2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</row>
    <row r="648" spans="1:2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</row>
    <row r="649" spans="1:2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</row>
    <row r="650" spans="1:2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</row>
    <row r="651" spans="1:2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</row>
    <row r="652" spans="1:2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</row>
    <row r="653" spans="1:2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</row>
    <row r="654" spans="1:2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</row>
    <row r="655" spans="1:2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</row>
    <row r="656" spans="1:2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</row>
    <row r="657" spans="1:2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</row>
    <row r="658" spans="1:2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</row>
    <row r="659" spans="1:2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</row>
    <row r="660" spans="1:2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</row>
    <row r="661" spans="1:2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</row>
    <row r="662" spans="1:2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</row>
    <row r="663" spans="1:2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</row>
    <row r="664" spans="1:2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</row>
    <row r="665" spans="1:2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</row>
    <row r="666" spans="1:2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</row>
    <row r="667" spans="1:2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</row>
    <row r="668" spans="1:2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</row>
    <row r="669" spans="1:2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</row>
    <row r="670" spans="1:2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</row>
    <row r="671" spans="1:2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</row>
    <row r="672" spans="1:2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</row>
    <row r="673" spans="1:2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</row>
    <row r="674" spans="1:2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</row>
    <row r="675" spans="1:2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</row>
    <row r="676" spans="1:2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</row>
    <row r="677" spans="1:2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</row>
    <row r="678" spans="1:2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</row>
    <row r="679" spans="1:2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</row>
    <row r="680" spans="1:2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</row>
    <row r="681" spans="1:2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</row>
    <row r="682" spans="1:2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</row>
    <row r="683" spans="1:2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</row>
    <row r="684" spans="1:2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</row>
    <row r="685" spans="1:2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</row>
    <row r="686" spans="1:2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</row>
    <row r="687" spans="1:2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</row>
    <row r="688" spans="1:2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</row>
    <row r="689" spans="1:2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</row>
    <row r="690" spans="1:2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</row>
    <row r="691" spans="1:2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</row>
    <row r="692" spans="1:2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</row>
    <row r="693" spans="1:2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</row>
    <row r="694" spans="1:2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</row>
    <row r="695" spans="1:2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</row>
    <row r="696" spans="1:2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</row>
    <row r="697" spans="1:2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</row>
    <row r="698" spans="1:2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</row>
    <row r="699" spans="1:2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</row>
    <row r="700" spans="1:2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</row>
    <row r="701" spans="1:2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</row>
    <row r="702" spans="1:2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</row>
    <row r="703" spans="1:2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</row>
    <row r="704" spans="1:2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</row>
    <row r="705" spans="1:2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</row>
    <row r="706" spans="1:2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</row>
    <row r="707" spans="1:2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</row>
    <row r="708" spans="1:2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</row>
    <row r="709" spans="1:2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</row>
    <row r="710" spans="1:2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</row>
    <row r="711" spans="1:2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</row>
    <row r="712" spans="1:2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</row>
    <row r="713" spans="1:2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</row>
    <row r="714" spans="1:2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</row>
    <row r="715" spans="1:2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</row>
    <row r="716" spans="1:2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</row>
    <row r="717" spans="1:2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</row>
    <row r="718" spans="1:2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</row>
    <row r="719" spans="1:2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</row>
    <row r="720" spans="1:2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</row>
    <row r="721" spans="1:2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</row>
    <row r="722" spans="1:2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</row>
    <row r="723" spans="1:2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</row>
    <row r="724" spans="1:2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</row>
    <row r="725" spans="1:2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</row>
    <row r="726" spans="1:2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</row>
    <row r="727" spans="1:2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</row>
    <row r="728" spans="1:2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</row>
    <row r="729" spans="1:2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</row>
    <row r="730" spans="1:2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</row>
    <row r="731" spans="1:2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</row>
    <row r="732" spans="1:2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</row>
    <row r="733" spans="1:2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</row>
    <row r="734" spans="1:2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</row>
    <row r="735" spans="1:2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</row>
    <row r="736" spans="1:2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</row>
    <row r="737" spans="1:2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</row>
    <row r="738" spans="1:2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</row>
    <row r="739" spans="1:2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</row>
    <row r="740" spans="1:2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</row>
    <row r="741" spans="1:2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</row>
    <row r="742" spans="1:2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</row>
    <row r="743" spans="1:2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</row>
    <row r="744" spans="1:2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</row>
    <row r="745" spans="1:2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</row>
    <row r="746" spans="1:2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</row>
    <row r="747" spans="1:2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</row>
    <row r="748" spans="1:2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</row>
    <row r="749" spans="1:2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</row>
    <row r="750" spans="1:2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</row>
    <row r="751" spans="1:2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</row>
    <row r="752" spans="1:2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</row>
    <row r="753" spans="1:2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</row>
    <row r="754" spans="1:2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</row>
    <row r="755" spans="1:2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</row>
    <row r="756" spans="1:2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</row>
    <row r="757" spans="1:2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</row>
    <row r="758" spans="1:2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</row>
    <row r="759" spans="1:2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</row>
    <row r="760" spans="1:2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</row>
    <row r="761" spans="1:2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</row>
    <row r="762" spans="1:2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</row>
    <row r="763" spans="1:2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</row>
    <row r="764" spans="1:2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</row>
    <row r="765" spans="1:2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</row>
    <row r="766" spans="1:2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</row>
    <row r="767" spans="1:2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</row>
    <row r="768" spans="1:2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</row>
    <row r="769" spans="1:2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</row>
    <row r="770" spans="1:2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</row>
    <row r="771" spans="1:2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</row>
    <row r="772" spans="1:2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</row>
    <row r="773" spans="1:2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</row>
    <row r="774" spans="1:2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</row>
    <row r="775" spans="1:2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</row>
    <row r="776" spans="1:2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</row>
    <row r="777" spans="1:2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</row>
    <row r="778" spans="1:2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</row>
    <row r="779" spans="1:2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</row>
    <row r="780" spans="1:2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</row>
    <row r="781" spans="1:2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</row>
    <row r="782" spans="1:2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</row>
    <row r="783" spans="1:2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</row>
    <row r="784" spans="1:2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</row>
    <row r="785" spans="1:2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</row>
    <row r="786" spans="1:2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</row>
    <row r="787" spans="1:2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</row>
    <row r="788" spans="1:2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</row>
    <row r="789" spans="1:2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</row>
    <row r="790" spans="1:2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</row>
    <row r="791" spans="1:2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</row>
    <row r="792" spans="1:2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</row>
    <row r="793" spans="1:2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</row>
    <row r="794" spans="1:2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</row>
    <row r="795" spans="1:2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</row>
    <row r="796" spans="1:2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</row>
    <row r="797" spans="1:2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</row>
  </sheetData>
  <conditionalFormatting sqref="E2">
    <cfRule type="containsText" dxfId="70" priority="73" stopIfTrue="1" operator="containsText" text="Checked:">
      <formula>NOT(ISERROR(SEARCH("Checked:",E2)))</formula>
    </cfRule>
    <cfRule type="cellIs" dxfId="69" priority="74" stopIfTrue="1" operator="equal">
      <formula>"No checklist items checked"</formula>
    </cfRule>
    <cfRule type="cellIs" dxfId="68" priority="75" stopIfTrue="1" operator="equal">
      <formula>"Sent"</formula>
    </cfRule>
    <cfRule type="cellIs" dxfId="67" priority="76" stopIfTrue="1" operator="equal">
      <formula>"Scheduled"</formula>
    </cfRule>
    <cfRule type="cellIs" dxfId="66" priority="77" stopIfTrue="1" operator="equal">
      <formula>"Ready to Schedule"</formula>
    </cfRule>
  </conditionalFormatting>
  <conditionalFormatting sqref="A2:W2">
    <cfRule type="expression" dxfId="65" priority="78">
      <formula>OR(LOWER(TRIM($W2))="cancelled",LOWER(TRIM($W2))="canceled")</formula>
    </cfRule>
    <cfRule type="expression" dxfId="64" priority="79">
      <formula>OR(LOWER(TRIM($W2))="cancelled",LOWER(TRIM($W2))="canceled")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200-000000000000}">
          <x14:formula1>
            <xm:f>Dropdowns!$A$2:$A$8</xm:f>
          </x14:formula1>
          <xm:sqref>D798:D1000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Dropdowns!$A$2:$A$8</xm:f>
          </x14:formula1>
          <xm:sqref>D798:D1000</xm:sqref>
        </x14:dataValidation>
        <x14:dataValidation type="list" allowBlank="1" showInputMessage="1" xr:uid="{9731C111-3682-45A6-8165-6E4102DA16B4}">
          <x14:formula1>
            <xm:f>Dropdowns!$A$2:$A$9</xm:f>
          </x14:formula1>
          <xm:sqref>D2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S801"/>
  <sheetViews>
    <sheetView showGridLines="0" zoomScale="85" zoomScaleNormal="85" workbookViewId="0">
      <selection activeCell="F15" sqref="F15"/>
    </sheetView>
  </sheetViews>
  <sheetFormatPr defaultRowHeight="15"/>
  <cols>
    <col min="1" max="1" width="28.625" style="3" customWidth="1"/>
    <col min="2" max="2" width="20.625" style="3" customWidth="1"/>
    <col min="3" max="3" width="34.625" style="3" customWidth="1"/>
    <col min="4" max="4" width="16.625" style="3" customWidth="1"/>
    <col min="5" max="5" width="42.625" style="3" hidden="1" customWidth="1"/>
    <col min="6" max="6" width="16.625" style="3" customWidth="1"/>
    <col min="7" max="7" width="13.625" style="3" customWidth="1"/>
    <col min="8" max="8" width="12.625" style="3" customWidth="1"/>
    <col min="9" max="9" width="13.625" style="3" customWidth="1"/>
    <col min="10" max="10" width="13.75" style="3" bestFit="1" customWidth="1"/>
    <col min="11" max="11" width="13.75" style="3" customWidth="1"/>
    <col min="12" max="12" width="13.5" style="3" bestFit="1" customWidth="1"/>
    <col min="13" max="13" width="19.25" style="3" bestFit="1" customWidth="1"/>
    <col min="14" max="15" width="14.625" style="3" customWidth="1"/>
    <col min="16" max="16" width="18.25" style="3" hidden="1" customWidth="1"/>
    <col min="17" max="17" width="18.625" style="3" hidden="1" customWidth="1"/>
    <col min="18" max="18" width="50.625" style="3" customWidth="1"/>
    <col min="19" max="19" width="36.625" style="3" customWidth="1"/>
    <col min="20" max="16384" width="9" style="1"/>
  </cols>
  <sheetData>
    <row r="1" spans="1:18" s="2" customFormat="1" ht="30">
      <c r="A1" s="4" t="s">
        <v>21</v>
      </c>
      <c r="B1" s="4" t="s">
        <v>42</v>
      </c>
      <c r="C1" s="4" t="s">
        <v>43</v>
      </c>
      <c r="D1" s="4" t="s">
        <v>44</v>
      </c>
      <c r="E1" s="4" t="s">
        <v>45</v>
      </c>
      <c r="F1" s="4" t="s">
        <v>27</v>
      </c>
      <c r="G1" s="4" t="s">
        <v>66</v>
      </c>
      <c r="H1" s="4" t="s">
        <v>67</v>
      </c>
      <c r="I1" s="4" t="s">
        <v>28</v>
      </c>
      <c r="J1" s="4" t="s">
        <v>29</v>
      </c>
      <c r="K1" s="4" t="s">
        <v>108</v>
      </c>
      <c r="L1" s="4" t="s">
        <v>68</v>
      </c>
      <c r="M1" s="4" t="s">
        <v>54</v>
      </c>
      <c r="N1" s="4" t="s">
        <v>55</v>
      </c>
      <c r="O1" s="4" t="s">
        <v>56</v>
      </c>
      <c r="P1" s="4" t="s">
        <v>57</v>
      </c>
      <c r="Q1" s="4" t="s">
        <v>58</v>
      </c>
      <c r="R1" s="4" t="s">
        <v>59</v>
      </c>
    </row>
    <row r="2" spans="1:18" s="5" customFormat="1">
      <c r="A2" s="46"/>
      <c r="B2" s="12"/>
      <c r="C2" s="4"/>
      <c r="D2" s="4"/>
      <c r="E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" s="32" t="s">
        <v>114</v>
      </c>
      <c r="G2" s="33" t="b">
        <v>0</v>
      </c>
      <c r="H2" s="33" t="b">
        <v>0</v>
      </c>
      <c r="I2" s="33" t="b">
        <v>0</v>
      </c>
      <c r="J2" s="33" t="b">
        <v>0</v>
      </c>
      <c r="K2" s="33" t="b">
        <v>0</v>
      </c>
      <c r="L2" s="36"/>
      <c r="M2" s="42"/>
      <c r="N2" s="35"/>
      <c r="O2" s="35"/>
      <c r="P2" s="45">
        <v>46181.836770833332</v>
      </c>
      <c r="Q2" s="32" t="s">
        <v>115</v>
      </c>
      <c r="R2" s="32" t="s">
        <v>114</v>
      </c>
    </row>
    <row r="3" spans="1:18" s="5" customFormat="1">
      <c r="A3" s="37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s="5" customFormat="1">
      <c r="A4" s="37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s="5" customFormat="1">
      <c r="A5" s="37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s="5" customFormat="1">
      <c r="A6" s="37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s="5" customFormat="1">
      <c r="A7" s="37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</row>
    <row r="8" spans="1:18" s="5" customFormat="1">
      <c r="A8" s="37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s="5" customFormat="1">
      <c r="A9" s="37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</row>
    <row r="10" spans="1:18" s="5" customFormat="1">
      <c r="A10" s="37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</row>
    <row r="11" spans="1:18" s="5" customFormat="1">
      <c r="A11" s="37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</row>
    <row r="12" spans="1:18" s="5" customFormat="1">
      <c r="A12" s="37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1:18" s="5" customFormat="1">
      <c r="A13" s="37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</row>
    <row r="14" spans="1:18" s="5" customFormat="1">
      <c r="A14" s="37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</row>
    <row r="15" spans="1:18" s="5" customFormat="1">
      <c r="A15" s="37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</row>
    <row r="16" spans="1:18" s="5" customFormat="1">
      <c r="A16" s="37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</row>
    <row r="17" spans="1:18" s="5" customFormat="1">
      <c r="A17" s="37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</row>
    <row r="18" spans="1:18" s="5" customFormat="1">
      <c r="A18" s="37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</row>
    <row r="19" spans="1:18" s="5" customFormat="1">
      <c r="A19" s="37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</row>
    <row r="20" spans="1:18" s="5" customFormat="1">
      <c r="A20" s="37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</row>
    <row r="21" spans="1:18" s="5" customFormat="1">
      <c r="A21" s="37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</row>
    <row r="22" spans="1:18" s="5" customFormat="1">
      <c r="A22" s="37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</row>
    <row r="23" spans="1:18" s="5" customFormat="1">
      <c r="A23" s="37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</row>
    <row r="24" spans="1:18" s="5" customFormat="1">
      <c r="A24" s="37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</row>
    <row r="25" spans="1:18" s="5" customFormat="1">
      <c r="A25" s="37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</row>
    <row r="26" spans="1:18" s="5" customFormat="1">
      <c r="A26" s="37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</row>
    <row r="27" spans="1:18" s="5" customFormat="1">
      <c r="A27" s="37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</row>
    <row r="28" spans="1:18" s="5" customFormat="1">
      <c r="A28" s="37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</row>
    <row r="29" spans="1:18" s="5" customFormat="1">
      <c r="A29" s="37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</row>
    <row r="30" spans="1:18" s="5" customFormat="1">
      <c r="A30" s="37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</row>
    <row r="31" spans="1:18" s="5" customFormat="1">
      <c r="A31" s="37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</row>
    <row r="32" spans="1:18" s="5" customFormat="1">
      <c r="A32" s="37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</row>
    <row r="33" spans="1:18" s="5" customFormat="1">
      <c r="A33" s="37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</row>
    <row r="34" spans="1:18" s="5" customFormat="1">
      <c r="A34" s="37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</row>
    <row r="35" spans="1:18" s="5" customFormat="1">
      <c r="A35" s="37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</row>
    <row r="36" spans="1:18" s="5" customFormat="1">
      <c r="A36" s="37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</row>
    <row r="37" spans="1:18" s="5" customFormat="1">
      <c r="A37" s="37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1:18" s="5" customFormat="1">
      <c r="A38" s="37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</row>
    <row r="39" spans="1:18" s="5" customFormat="1">
      <c r="A39" s="37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</row>
    <row r="40" spans="1:18" s="5" customFormat="1">
      <c r="A40" s="37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</row>
    <row r="41" spans="1:18" s="5" customFormat="1">
      <c r="A41" s="37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</row>
    <row r="42" spans="1:18" s="5" customFormat="1">
      <c r="A42" s="37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</row>
    <row r="43" spans="1:18" s="5" customFormat="1">
      <c r="A43" s="37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</row>
    <row r="44" spans="1:18" s="5" customFormat="1">
      <c r="A44" s="37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</row>
    <row r="45" spans="1:18" s="5" customFormat="1">
      <c r="A45" s="37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</row>
    <row r="46" spans="1:18" s="5" customFormat="1">
      <c r="A46" s="37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</row>
    <row r="47" spans="1:18" s="5" customFormat="1">
      <c r="A47" s="37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</row>
    <row r="48" spans="1:18" s="5" customFormat="1">
      <c r="A48" s="37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</row>
    <row r="49" spans="1:18" s="5" customFormat="1">
      <c r="A49" s="37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</row>
    <row r="50" spans="1:18" s="5" customFormat="1">
      <c r="A50" s="37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</row>
    <row r="51" spans="1:18" s="5" customFormat="1">
      <c r="A51" s="37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</row>
    <row r="52" spans="1:18" s="5" customFormat="1">
      <c r="A52" s="37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</row>
    <row r="53" spans="1:18" s="5" customFormat="1">
      <c r="A53" s="37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</row>
    <row r="54" spans="1:18" s="5" customFormat="1">
      <c r="A54" s="37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</row>
    <row r="55" spans="1:18" s="5" customFormat="1">
      <c r="A55" s="37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</row>
    <row r="56" spans="1:18" s="5" customFormat="1">
      <c r="A56" s="37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</row>
    <row r="57" spans="1:18" s="5" customFormat="1">
      <c r="A57" s="37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</row>
    <row r="58" spans="1:18" s="5" customFormat="1">
      <c r="A58" s="37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</row>
    <row r="59" spans="1:18" s="5" customFormat="1">
      <c r="A59" s="37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</row>
    <row r="60" spans="1:18" s="5" customFormat="1">
      <c r="A60" s="37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8" s="5" customFormat="1">
      <c r="A61" s="37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</row>
    <row r="62" spans="1:18" s="5" customFormat="1">
      <c r="A62" s="37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</row>
    <row r="63" spans="1:18" s="5" customFormat="1">
      <c r="A63" s="37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</row>
    <row r="64" spans="1:18" s="5" customFormat="1">
      <c r="A64" s="37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</row>
    <row r="65" spans="1:18" s="5" customFormat="1">
      <c r="A65" s="37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</row>
    <row r="66" spans="1:18" s="5" customFormat="1">
      <c r="A66" s="37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</row>
    <row r="67" spans="1:18" s="5" customFormat="1">
      <c r="A67" s="37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</row>
    <row r="68" spans="1:18" s="5" customFormat="1">
      <c r="A68" s="37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</row>
    <row r="69" spans="1:18" s="5" customFormat="1">
      <c r="A69" s="37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</row>
    <row r="70" spans="1:18" s="5" customFormat="1">
      <c r="A70" s="37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</row>
    <row r="71" spans="1:18" s="5" customFormat="1">
      <c r="A71" s="37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</row>
    <row r="72" spans="1:18" s="5" customFormat="1">
      <c r="A72" s="37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</row>
    <row r="73" spans="1:18" s="5" customFormat="1">
      <c r="A73" s="37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</row>
    <row r="74" spans="1:18" s="5" customFormat="1">
      <c r="A74" s="37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</row>
    <row r="75" spans="1:18" s="5" customFormat="1">
      <c r="A75" s="37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</row>
    <row r="76" spans="1:18" s="5" customFormat="1">
      <c r="A76" s="37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</row>
    <row r="77" spans="1:18" s="5" customFormat="1">
      <c r="A77" s="37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</row>
    <row r="78" spans="1:18" s="5" customFormat="1">
      <c r="A78" s="37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</row>
    <row r="79" spans="1:18" s="5" customFormat="1">
      <c r="A79" s="37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</row>
    <row r="80" spans="1:18" s="5" customFormat="1">
      <c r="A80" s="37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</row>
    <row r="81" spans="1:18" s="5" customFormat="1">
      <c r="A81" s="37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</row>
    <row r="82" spans="1:18" s="5" customFormat="1">
      <c r="A82" s="37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</row>
    <row r="83" spans="1:18" s="5" customFormat="1">
      <c r="A83" s="37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</row>
    <row r="84" spans="1:18" s="5" customFormat="1">
      <c r="A84" s="37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</row>
    <row r="85" spans="1:18" s="5" customFormat="1">
      <c r="A85" s="37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</row>
    <row r="86" spans="1:18" s="5" customFormat="1">
      <c r="A86" s="37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</row>
    <row r="87" spans="1:18" s="5" customFormat="1">
      <c r="A87" s="37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</row>
    <row r="88" spans="1:18" s="5" customFormat="1">
      <c r="A88" s="37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</row>
    <row r="89" spans="1:18" s="5" customFormat="1">
      <c r="A89" s="37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</row>
    <row r="90" spans="1:18" s="5" customFormat="1">
      <c r="A90" s="37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</row>
    <row r="91" spans="1:18" s="5" customFormat="1">
      <c r="A91" s="37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</row>
    <row r="92" spans="1:18" s="5" customFormat="1">
      <c r="A92" s="37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</row>
    <row r="93" spans="1:18" s="5" customFormat="1">
      <c r="A93" s="37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</row>
    <row r="94" spans="1:18" s="5" customFormat="1">
      <c r="A94" s="37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</row>
    <row r="95" spans="1:18" s="5" customFormat="1">
      <c r="A95" s="37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</row>
    <row r="96" spans="1:18" s="5" customFormat="1">
      <c r="A96" s="37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</row>
    <row r="97" spans="1:18" s="5" customFormat="1">
      <c r="A97" s="37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</row>
    <row r="98" spans="1:18" s="5" customFormat="1">
      <c r="A98" s="37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</row>
    <row r="99" spans="1:18" s="5" customFormat="1">
      <c r="A99" s="37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</row>
    <row r="100" spans="1:18" s="5" customFormat="1">
      <c r="A100" s="37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</row>
    <row r="101" spans="1:18" s="5" customFormat="1">
      <c r="A101" s="37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</row>
    <row r="102" spans="1:18" s="5" customFormat="1">
      <c r="A102" s="37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</row>
    <row r="103" spans="1:18" s="5" customFormat="1">
      <c r="A103" s="37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</row>
    <row r="104" spans="1:18" s="5" customFormat="1">
      <c r="A104" s="37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</row>
    <row r="105" spans="1:18" s="5" customFormat="1">
      <c r="A105" s="37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</row>
    <row r="106" spans="1:18" s="5" customFormat="1">
      <c r="A106" s="37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</row>
    <row r="107" spans="1:18" s="5" customFormat="1">
      <c r="A107" s="37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</row>
    <row r="108" spans="1:18" s="5" customFormat="1">
      <c r="A108" s="37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</row>
    <row r="109" spans="1:18" s="5" customFormat="1">
      <c r="A109" s="37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</row>
    <row r="110" spans="1:18" s="5" customFormat="1">
      <c r="A110" s="37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</row>
    <row r="111" spans="1:18" s="5" customFormat="1">
      <c r="A111" s="37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</row>
    <row r="112" spans="1:18" s="5" customFormat="1">
      <c r="A112" s="37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</row>
    <row r="113" spans="1:18" s="5" customFormat="1">
      <c r="A113" s="37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</row>
    <row r="114" spans="1:18" s="5" customFormat="1">
      <c r="A114" s="37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</row>
    <row r="115" spans="1:18" s="5" customFormat="1">
      <c r="A115" s="37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</row>
    <row r="116" spans="1:18" s="5" customFormat="1">
      <c r="A116" s="37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</row>
    <row r="117" spans="1:18" s="5" customFormat="1">
      <c r="A117" s="37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</row>
    <row r="118" spans="1:18" s="5" customFormat="1">
      <c r="A118" s="37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</row>
    <row r="119" spans="1:18" s="5" customFormat="1">
      <c r="A119" s="37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</row>
    <row r="120" spans="1:18" s="5" customFormat="1">
      <c r="A120" s="37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</row>
    <row r="121" spans="1:18" s="5" customFormat="1">
      <c r="A121" s="37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</row>
    <row r="122" spans="1:18" s="5" customFormat="1">
      <c r="A122" s="37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</row>
    <row r="123" spans="1:18" s="5" customFormat="1">
      <c r="A123" s="37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</row>
    <row r="124" spans="1:18" s="5" customFormat="1">
      <c r="A124" s="37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</row>
    <row r="125" spans="1:18" s="5" customFormat="1">
      <c r="A125" s="37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</row>
    <row r="126" spans="1:18" s="5" customFormat="1">
      <c r="A126" s="37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</row>
    <row r="127" spans="1:18" s="5" customFormat="1">
      <c r="A127" s="37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</row>
    <row r="128" spans="1:18" s="5" customFormat="1">
      <c r="A128" s="37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</row>
    <row r="129" spans="1:18" s="5" customFormat="1">
      <c r="A129" s="37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</row>
    <row r="130" spans="1:18" s="5" customFormat="1">
      <c r="A130" s="37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</row>
    <row r="131" spans="1:18" s="5" customFormat="1">
      <c r="A131" s="37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</row>
    <row r="132" spans="1:18" s="5" customFormat="1">
      <c r="A132" s="37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</row>
    <row r="133" spans="1:18" s="5" customFormat="1">
      <c r="A133" s="37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</row>
    <row r="134" spans="1:18" s="5" customFormat="1">
      <c r="A134" s="37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</row>
    <row r="135" spans="1:18" s="5" customFormat="1">
      <c r="A135" s="37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</row>
    <row r="136" spans="1:18" s="5" customFormat="1">
      <c r="A136" s="37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</row>
    <row r="137" spans="1:18" s="5" customFormat="1">
      <c r="A137" s="37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</row>
    <row r="138" spans="1:18" s="5" customFormat="1">
      <c r="A138" s="37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</row>
    <row r="139" spans="1:18" s="5" customFormat="1">
      <c r="A139" s="37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</row>
    <row r="140" spans="1:18" s="5" customFormat="1">
      <c r="A140" s="37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</row>
    <row r="141" spans="1:18" s="5" customFormat="1">
      <c r="A141" s="37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</row>
    <row r="142" spans="1:18" s="5" customFormat="1">
      <c r="A142" s="37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</row>
    <row r="143" spans="1:18" s="5" customFormat="1">
      <c r="A143" s="37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</row>
    <row r="144" spans="1:18" s="5" customFormat="1">
      <c r="A144" s="37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</row>
    <row r="145" spans="1:18" s="5" customFormat="1">
      <c r="A145" s="37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</row>
    <row r="146" spans="1:18" s="5" customFormat="1">
      <c r="A146" s="37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</row>
    <row r="147" spans="1:18" s="5" customFormat="1">
      <c r="A147" s="37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</row>
    <row r="148" spans="1:18" s="5" customFormat="1">
      <c r="A148" s="37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</row>
    <row r="149" spans="1:18" s="5" customFormat="1">
      <c r="A149" s="37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</row>
    <row r="150" spans="1:18" s="5" customFormat="1">
      <c r="A150" s="37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</row>
    <row r="151" spans="1:18" s="5" customFormat="1">
      <c r="A151" s="37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</row>
    <row r="152" spans="1:18" s="5" customFormat="1">
      <c r="A152" s="37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</row>
    <row r="153" spans="1:18" s="5" customFormat="1">
      <c r="A153" s="37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</row>
    <row r="154" spans="1:18" s="5" customFormat="1">
      <c r="A154" s="37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</row>
    <row r="155" spans="1:18" s="5" customFormat="1">
      <c r="A155" s="37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</row>
    <row r="156" spans="1:18" s="5" customFormat="1">
      <c r="A156" s="37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</row>
    <row r="157" spans="1:18" s="5" customFormat="1">
      <c r="A157" s="37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</row>
    <row r="158" spans="1:18" s="5" customFormat="1">
      <c r="A158" s="37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</row>
    <row r="159" spans="1:18" s="5" customFormat="1">
      <c r="A159" s="37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</row>
    <row r="160" spans="1:18" s="5" customFormat="1">
      <c r="A160" s="37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</row>
    <row r="161" spans="1:18" s="5" customFormat="1">
      <c r="A161" s="37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</row>
    <row r="162" spans="1:18" s="5" customFormat="1">
      <c r="A162" s="37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</row>
    <row r="163" spans="1:18" s="5" customFormat="1">
      <c r="A163" s="37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</row>
    <row r="164" spans="1:18" s="5" customFormat="1">
      <c r="A164" s="37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</row>
    <row r="165" spans="1:18" s="5" customFormat="1">
      <c r="A165" s="37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</row>
    <row r="166" spans="1:18" s="5" customFormat="1">
      <c r="A166" s="37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</row>
    <row r="167" spans="1:18" s="5" customFormat="1">
      <c r="A167" s="37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</row>
    <row r="168" spans="1:18" s="5" customFormat="1">
      <c r="A168" s="37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</row>
    <row r="169" spans="1:18" s="5" customFormat="1">
      <c r="A169" s="37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</row>
    <row r="170" spans="1:18" s="5" customFormat="1">
      <c r="A170" s="37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</row>
    <row r="171" spans="1:18" s="5" customFormat="1">
      <c r="A171" s="37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</row>
    <row r="172" spans="1:18" s="5" customFormat="1">
      <c r="A172" s="37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</row>
    <row r="173" spans="1:18" s="5" customFormat="1">
      <c r="A173" s="37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</row>
    <row r="174" spans="1:18" s="5" customFormat="1">
      <c r="A174" s="37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</row>
    <row r="175" spans="1:18" s="5" customFormat="1">
      <c r="A175" s="37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</row>
    <row r="176" spans="1:18" s="5" customFormat="1">
      <c r="A176" s="37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</row>
    <row r="177" spans="1:18" s="5" customFormat="1">
      <c r="A177" s="37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</row>
    <row r="178" spans="1:18" s="5" customFormat="1">
      <c r="A178" s="37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</row>
    <row r="179" spans="1:18" s="5" customFormat="1">
      <c r="A179" s="37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</row>
    <row r="180" spans="1:18" s="5" customFormat="1">
      <c r="A180" s="37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</row>
    <row r="181" spans="1:18" s="5" customFormat="1">
      <c r="A181" s="37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</row>
    <row r="182" spans="1:18" s="5" customFormat="1">
      <c r="A182" s="37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</row>
    <row r="183" spans="1:18" s="5" customFormat="1">
      <c r="A183" s="37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</row>
    <row r="184" spans="1:18" s="5" customFormat="1">
      <c r="A184" s="37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</row>
    <row r="185" spans="1:18" s="5" customFormat="1">
      <c r="A185" s="37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</row>
    <row r="186" spans="1:18" s="5" customFormat="1">
      <c r="A186" s="37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</row>
    <row r="187" spans="1:18" s="5" customFormat="1">
      <c r="A187" s="37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</row>
    <row r="188" spans="1:18" s="5" customFormat="1">
      <c r="A188" s="37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</row>
    <row r="189" spans="1:18" s="5" customFormat="1">
      <c r="A189" s="37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</row>
    <row r="190" spans="1:18" s="5" customFormat="1">
      <c r="A190" s="37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</row>
    <row r="191" spans="1:18" s="5" customFormat="1">
      <c r="A191" s="37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</row>
    <row r="192" spans="1:18" s="5" customFormat="1">
      <c r="A192" s="37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</row>
    <row r="193" spans="1:18" s="5" customFormat="1">
      <c r="A193" s="37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</row>
    <row r="194" spans="1:18" s="5" customFormat="1">
      <c r="A194" s="37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</row>
    <row r="195" spans="1:18" s="5" customFormat="1">
      <c r="A195" s="37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</row>
    <row r="196" spans="1:18" s="5" customFormat="1">
      <c r="A196" s="37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</row>
    <row r="197" spans="1:18" s="5" customFormat="1">
      <c r="A197" s="37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</row>
    <row r="198" spans="1:18" s="5" customFormat="1">
      <c r="A198" s="37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</row>
    <row r="199" spans="1:18" s="5" customFormat="1">
      <c r="A199" s="37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</row>
    <row r="200" spans="1:18" s="5" customFormat="1">
      <c r="A200" s="37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</row>
    <row r="201" spans="1:18" s="5" customFormat="1">
      <c r="A201" s="37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</row>
    <row r="202" spans="1:18">
      <c r="A202" s="37"/>
    </row>
    <row r="203" spans="1:18">
      <c r="A203" s="37"/>
    </row>
    <row r="204" spans="1:18">
      <c r="A204" s="37"/>
    </row>
    <row r="205" spans="1:18">
      <c r="A205" s="37"/>
    </row>
    <row r="206" spans="1:18">
      <c r="A206" s="37"/>
    </row>
    <row r="207" spans="1:18">
      <c r="A207" s="37"/>
    </row>
    <row r="208" spans="1:18">
      <c r="A208" s="37"/>
    </row>
    <row r="209" spans="1:1">
      <c r="A209" s="37"/>
    </row>
    <row r="210" spans="1:1">
      <c r="A210" s="37"/>
    </row>
    <row r="211" spans="1:1">
      <c r="A211" s="37"/>
    </row>
    <row r="212" spans="1:1">
      <c r="A212" s="37"/>
    </row>
    <row r="213" spans="1:1">
      <c r="A213" s="37"/>
    </row>
    <row r="214" spans="1:1">
      <c r="A214" s="37"/>
    </row>
    <row r="215" spans="1:1">
      <c r="A215" s="37"/>
    </row>
    <row r="216" spans="1:1">
      <c r="A216" s="37"/>
    </row>
    <row r="217" spans="1:1">
      <c r="A217" s="37"/>
    </row>
    <row r="218" spans="1:1">
      <c r="A218" s="37"/>
    </row>
    <row r="219" spans="1:1">
      <c r="A219" s="37"/>
    </row>
    <row r="220" spans="1:1">
      <c r="A220" s="37"/>
    </row>
    <row r="221" spans="1:1">
      <c r="A221" s="37"/>
    </row>
    <row r="222" spans="1:1">
      <c r="A222" s="37"/>
    </row>
    <row r="223" spans="1:1">
      <c r="A223" s="37"/>
    </row>
    <row r="224" spans="1:1">
      <c r="A224" s="37"/>
    </row>
    <row r="225" spans="1:1">
      <c r="A225" s="37"/>
    </row>
    <row r="226" spans="1:1">
      <c r="A226" s="37"/>
    </row>
    <row r="227" spans="1:1">
      <c r="A227" s="37"/>
    </row>
    <row r="228" spans="1:1">
      <c r="A228" s="37"/>
    </row>
    <row r="229" spans="1:1">
      <c r="A229" s="37"/>
    </row>
    <row r="230" spans="1:1">
      <c r="A230" s="37"/>
    </row>
    <row r="231" spans="1:1">
      <c r="A231" s="37"/>
    </row>
    <row r="232" spans="1:1">
      <c r="A232" s="37"/>
    </row>
    <row r="233" spans="1:1">
      <c r="A233" s="37"/>
    </row>
    <row r="234" spans="1:1">
      <c r="A234" s="37"/>
    </row>
    <row r="235" spans="1:1">
      <c r="A235" s="37"/>
    </row>
    <row r="236" spans="1:1">
      <c r="A236" s="37"/>
    </row>
    <row r="237" spans="1:1">
      <c r="A237" s="37"/>
    </row>
    <row r="238" spans="1:1">
      <c r="A238" s="37"/>
    </row>
    <row r="239" spans="1:1">
      <c r="A239" s="37"/>
    </row>
    <row r="240" spans="1:1">
      <c r="A240" s="37"/>
    </row>
    <row r="241" spans="1:1">
      <c r="A241" s="37"/>
    </row>
    <row r="242" spans="1:1">
      <c r="A242" s="37"/>
    </row>
    <row r="243" spans="1:1">
      <c r="A243" s="37"/>
    </row>
    <row r="244" spans="1:1">
      <c r="A244" s="37"/>
    </row>
    <row r="245" spans="1:1">
      <c r="A245" s="37"/>
    </row>
    <row r="246" spans="1:1">
      <c r="A246" s="37"/>
    </row>
    <row r="247" spans="1:1">
      <c r="A247" s="37"/>
    </row>
    <row r="248" spans="1:1">
      <c r="A248" s="37"/>
    </row>
    <row r="249" spans="1:1">
      <c r="A249" s="37"/>
    </row>
    <row r="250" spans="1:1">
      <c r="A250" s="37"/>
    </row>
    <row r="251" spans="1:1">
      <c r="A251" s="37"/>
    </row>
    <row r="252" spans="1:1">
      <c r="A252" s="37"/>
    </row>
    <row r="253" spans="1:1">
      <c r="A253" s="37"/>
    </row>
    <row r="254" spans="1:1">
      <c r="A254" s="37"/>
    </row>
    <row r="255" spans="1:1">
      <c r="A255" s="37"/>
    </row>
    <row r="256" spans="1:1">
      <c r="A256" s="37"/>
    </row>
    <row r="257" spans="1:1">
      <c r="A257" s="37"/>
    </row>
    <row r="258" spans="1:1">
      <c r="A258" s="37"/>
    </row>
    <row r="259" spans="1:1">
      <c r="A259" s="37"/>
    </row>
    <row r="260" spans="1:1">
      <c r="A260" s="37"/>
    </row>
    <row r="261" spans="1:1">
      <c r="A261" s="37"/>
    </row>
    <row r="262" spans="1:1">
      <c r="A262" s="37"/>
    </row>
    <row r="263" spans="1:1">
      <c r="A263" s="37"/>
    </row>
    <row r="264" spans="1:1">
      <c r="A264" s="37"/>
    </row>
    <row r="265" spans="1:1">
      <c r="A265" s="37"/>
    </row>
    <row r="266" spans="1:1">
      <c r="A266" s="37"/>
    </row>
    <row r="267" spans="1:1">
      <c r="A267" s="37"/>
    </row>
    <row r="268" spans="1:1">
      <c r="A268" s="37"/>
    </row>
    <row r="269" spans="1:1">
      <c r="A269" s="37"/>
    </row>
    <row r="270" spans="1:1">
      <c r="A270" s="37"/>
    </row>
    <row r="271" spans="1:1">
      <c r="A271" s="37"/>
    </row>
    <row r="272" spans="1:1">
      <c r="A272" s="37"/>
    </row>
    <row r="273" spans="1:1">
      <c r="A273" s="37"/>
    </row>
    <row r="274" spans="1:1">
      <c r="A274" s="37"/>
    </row>
    <row r="275" spans="1:1">
      <c r="A275" s="37"/>
    </row>
    <row r="276" spans="1:1">
      <c r="A276" s="37"/>
    </row>
    <row r="277" spans="1:1">
      <c r="A277" s="37"/>
    </row>
    <row r="278" spans="1:1">
      <c r="A278" s="37"/>
    </row>
    <row r="279" spans="1:1">
      <c r="A279" s="37"/>
    </row>
    <row r="280" spans="1:1">
      <c r="A280" s="37"/>
    </row>
    <row r="281" spans="1:1">
      <c r="A281" s="37"/>
    </row>
    <row r="282" spans="1:1">
      <c r="A282" s="37"/>
    </row>
    <row r="283" spans="1:1">
      <c r="A283" s="37"/>
    </row>
    <row r="284" spans="1:1">
      <c r="A284" s="37"/>
    </row>
    <row r="285" spans="1:1">
      <c r="A285" s="37"/>
    </row>
    <row r="286" spans="1:1">
      <c r="A286" s="37"/>
    </row>
    <row r="287" spans="1:1">
      <c r="A287" s="37"/>
    </row>
    <row r="288" spans="1:1">
      <c r="A288" s="37"/>
    </row>
    <row r="289" spans="1:1">
      <c r="A289" s="37"/>
    </row>
    <row r="290" spans="1:1">
      <c r="A290" s="37"/>
    </row>
    <row r="291" spans="1:1">
      <c r="A291" s="37"/>
    </row>
    <row r="292" spans="1:1">
      <c r="A292" s="37"/>
    </row>
    <row r="293" spans="1:1">
      <c r="A293" s="37"/>
    </row>
    <row r="294" spans="1:1">
      <c r="A294" s="37"/>
    </row>
    <row r="295" spans="1:1">
      <c r="A295" s="37"/>
    </row>
    <row r="296" spans="1:1">
      <c r="A296" s="37"/>
    </row>
    <row r="297" spans="1:1">
      <c r="A297" s="37"/>
    </row>
    <row r="298" spans="1:1">
      <c r="A298" s="37"/>
    </row>
    <row r="299" spans="1:1">
      <c r="A299" s="37"/>
    </row>
    <row r="300" spans="1:1">
      <c r="A300" s="37"/>
    </row>
    <row r="301" spans="1:1">
      <c r="A301" s="37"/>
    </row>
    <row r="302" spans="1:1">
      <c r="A302" s="37"/>
    </row>
    <row r="303" spans="1:1">
      <c r="A303" s="37"/>
    </row>
    <row r="304" spans="1:1">
      <c r="A304" s="37"/>
    </row>
    <row r="305" spans="1:1">
      <c r="A305" s="37"/>
    </row>
    <row r="306" spans="1:1">
      <c r="A306" s="37"/>
    </row>
    <row r="307" spans="1:1">
      <c r="A307" s="37"/>
    </row>
    <row r="308" spans="1:1">
      <c r="A308" s="37"/>
    </row>
    <row r="309" spans="1:1">
      <c r="A309" s="37"/>
    </row>
    <row r="310" spans="1:1">
      <c r="A310" s="37"/>
    </row>
    <row r="311" spans="1:1">
      <c r="A311" s="37"/>
    </row>
    <row r="312" spans="1:1">
      <c r="A312" s="37"/>
    </row>
    <row r="313" spans="1:1">
      <c r="A313" s="37"/>
    </row>
    <row r="314" spans="1:1">
      <c r="A314" s="37"/>
    </row>
    <row r="315" spans="1:1">
      <c r="A315" s="37"/>
    </row>
    <row r="316" spans="1:1">
      <c r="A316" s="37"/>
    </row>
    <row r="317" spans="1:1">
      <c r="A317" s="37"/>
    </row>
    <row r="318" spans="1:1">
      <c r="A318" s="37"/>
    </row>
    <row r="319" spans="1:1">
      <c r="A319" s="37"/>
    </row>
    <row r="320" spans="1:1">
      <c r="A320" s="37"/>
    </row>
    <row r="321" spans="1:1">
      <c r="A321" s="37"/>
    </row>
    <row r="322" spans="1:1">
      <c r="A322" s="37"/>
    </row>
    <row r="323" spans="1:1">
      <c r="A323" s="37"/>
    </row>
    <row r="324" spans="1:1">
      <c r="A324" s="37"/>
    </row>
    <row r="325" spans="1:1">
      <c r="A325" s="37"/>
    </row>
    <row r="326" spans="1:1">
      <c r="A326" s="37"/>
    </row>
    <row r="327" spans="1:1">
      <c r="A327" s="37"/>
    </row>
    <row r="328" spans="1:1">
      <c r="A328" s="37"/>
    </row>
    <row r="329" spans="1:1">
      <c r="A329" s="37"/>
    </row>
    <row r="330" spans="1:1">
      <c r="A330" s="37"/>
    </row>
    <row r="331" spans="1:1">
      <c r="A331" s="37"/>
    </row>
    <row r="332" spans="1:1">
      <c r="A332" s="37"/>
    </row>
    <row r="333" spans="1:1">
      <c r="A333" s="37"/>
    </row>
    <row r="334" spans="1:1">
      <c r="A334" s="37"/>
    </row>
    <row r="335" spans="1:1">
      <c r="A335" s="37"/>
    </row>
    <row r="336" spans="1:1">
      <c r="A336" s="37"/>
    </row>
    <row r="337" spans="1:1">
      <c r="A337" s="37"/>
    </row>
    <row r="338" spans="1:1">
      <c r="A338" s="37"/>
    </row>
    <row r="339" spans="1:1">
      <c r="A339" s="37"/>
    </row>
    <row r="340" spans="1:1">
      <c r="A340" s="37"/>
    </row>
    <row r="341" spans="1:1">
      <c r="A341" s="37"/>
    </row>
    <row r="342" spans="1:1">
      <c r="A342" s="37"/>
    </row>
    <row r="343" spans="1:1">
      <c r="A343" s="37"/>
    </row>
    <row r="344" spans="1:1">
      <c r="A344" s="37"/>
    </row>
    <row r="345" spans="1:1">
      <c r="A345" s="37"/>
    </row>
    <row r="346" spans="1:1">
      <c r="A346" s="37"/>
    </row>
    <row r="347" spans="1:1">
      <c r="A347" s="37"/>
    </row>
    <row r="348" spans="1:1">
      <c r="A348" s="37"/>
    </row>
    <row r="349" spans="1:1">
      <c r="A349" s="37"/>
    </row>
    <row r="350" spans="1:1">
      <c r="A350" s="37"/>
    </row>
    <row r="351" spans="1:1">
      <c r="A351" s="37"/>
    </row>
    <row r="352" spans="1:1">
      <c r="A352" s="37"/>
    </row>
    <row r="353" spans="1:1">
      <c r="A353" s="37"/>
    </row>
    <row r="354" spans="1:1">
      <c r="A354" s="37"/>
    </row>
    <row r="355" spans="1:1">
      <c r="A355" s="37"/>
    </row>
    <row r="356" spans="1:1">
      <c r="A356" s="37"/>
    </row>
    <row r="357" spans="1:1">
      <c r="A357" s="37"/>
    </row>
    <row r="358" spans="1:1">
      <c r="A358" s="37"/>
    </row>
    <row r="359" spans="1:1">
      <c r="A359" s="37"/>
    </row>
    <row r="360" spans="1:1">
      <c r="A360" s="37"/>
    </row>
    <row r="361" spans="1:1">
      <c r="A361" s="37"/>
    </row>
    <row r="362" spans="1:1">
      <c r="A362" s="37"/>
    </row>
    <row r="363" spans="1:1">
      <c r="A363" s="37"/>
    </row>
    <row r="364" spans="1:1">
      <c r="A364" s="37"/>
    </row>
    <row r="365" spans="1:1">
      <c r="A365" s="37"/>
    </row>
    <row r="366" spans="1:1">
      <c r="A366" s="37"/>
    </row>
    <row r="367" spans="1:1">
      <c r="A367" s="37"/>
    </row>
    <row r="368" spans="1:1">
      <c r="A368" s="37"/>
    </row>
    <row r="369" spans="1:1">
      <c r="A369" s="37"/>
    </row>
    <row r="370" spans="1:1">
      <c r="A370" s="37"/>
    </row>
    <row r="371" spans="1:1">
      <c r="A371" s="37"/>
    </row>
    <row r="372" spans="1:1">
      <c r="A372" s="37"/>
    </row>
    <row r="373" spans="1:1">
      <c r="A373" s="37"/>
    </row>
    <row r="374" spans="1:1">
      <c r="A374" s="37"/>
    </row>
    <row r="375" spans="1:1">
      <c r="A375" s="37"/>
    </row>
    <row r="376" spans="1:1">
      <c r="A376" s="37"/>
    </row>
    <row r="377" spans="1:1">
      <c r="A377" s="37"/>
    </row>
    <row r="378" spans="1:1">
      <c r="A378" s="37"/>
    </row>
    <row r="379" spans="1:1">
      <c r="A379" s="37"/>
    </row>
    <row r="380" spans="1:1">
      <c r="A380" s="37"/>
    </row>
    <row r="381" spans="1:1">
      <c r="A381" s="37"/>
    </row>
    <row r="382" spans="1:1">
      <c r="A382" s="37"/>
    </row>
    <row r="383" spans="1:1">
      <c r="A383" s="37"/>
    </row>
    <row r="384" spans="1:1">
      <c r="A384" s="37"/>
    </row>
    <row r="385" spans="1:1">
      <c r="A385" s="37"/>
    </row>
    <row r="386" spans="1:1">
      <c r="A386" s="37"/>
    </row>
    <row r="387" spans="1:1">
      <c r="A387" s="37"/>
    </row>
    <row r="388" spans="1:1">
      <c r="A388" s="37"/>
    </row>
    <row r="389" spans="1:1">
      <c r="A389" s="37"/>
    </row>
    <row r="390" spans="1:1">
      <c r="A390" s="37"/>
    </row>
    <row r="391" spans="1:1">
      <c r="A391" s="37"/>
    </row>
    <row r="392" spans="1:1">
      <c r="A392" s="37"/>
    </row>
    <row r="393" spans="1:1">
      <c r="A393" s="37"/>
    </row>
    <row r="394" spans="1:1">
      <c r="A394" s="37"/>
    </row>
    <row r="395" spans="1:1">
      <c r="A395" s="37"/>
    </row>
    <row r="396" spans="1:1">
      <c r="A396" s="37"/>
    </row>
    <row r="397" spans="1:1">
      <c r="A397" s="37"/>
    </row>
    <row r="398" spans="1:1">
      <c r="A398" s="37"/>
    </row>
    <row r="399" spans="1:1">
      <c r="A399" s="37"/>
    </row>
    <row r="400" spans="1:1">
      <c r="A400" s="37"/>
    </row>
    <row r="401" spans="1:1">
      <c r="A401" s="37"/>
    </row>
    <row r="402" spans="1:1">
      <c r="A402" s="37"/>
    </row>
    <row r="403" spans="1:1">
      <c r="A403" s="37"/>
    </row>
    <row r="404" spans="1:1">
      <c r="A404" s="37"/>
    </row>
    <row r="405" spans="1:1">
      <c r="A405" s="37"/>
    </row>
    <row r="406" spans="1:1">
      <c r="A406" s="37"/>
    </row>
    <row r="407" spans="1:1">
      <c r="A407" s="37"/>
    </row>
    <row r="408" spans="1:1">
      <c r="A408" s="37"/>
    </row>
    <row r="409" spans="1:1">
      <c r="A409" s="37"/>
    </row>
    <row r="410" spans="1:1">
      <c r="A410" s="37"/>
    </row>
    <row r="411" spans="1:1">
      <c r="A411" s="37"/>
    </row>
    <row r="412" spans="1:1">
      <c r="A412" s="37"/>
    </row>
    <row r="413" spans="1:1">
      <c r="A413" s="37"/>
    </row>
    <row r="414" spans="1:1">
      <c r="A414" s="37"/>
    </row>
    <row r="415" spans="1:1">
      <c r="A415" s="37"/>
    </row>
    <row r="416" spans="1:1">
      <c r="A416" s="37"/>
    </row>
    <row r="417" spans="1:1">
      <c r="A417" s="37"/>
    </row>
    <row r="418" spans="1:1">
      <c r="A418" s="37"/>
    </row>
    <row r="419" spans="1:1">
      <c r="A419" s="37"/>
    </row>
    <row r="420" spans="1:1">
      <c r="A420" s="37"/>
    </row>
    <row r="421" spans="1:1">
      <c r="A421" s="37"/>
    </row>
    <row r="422" spans="1:1">
      <c r="A422" s="37"/>
    </row>
    <row r="423" spans="1:1">
      <c r="A423" s="37"/>
    </row>
    <row r="424" spans="1:1">
      <c r="A424" s="37"/>
    </row>
    <row r="425" spans="1:1">
      <c r="A425" s="37"/>
    </row>
    <row r="426" spans="1:1">
      <c r="A426" s="37"/>
    </row>
    <row r="427" spans="1:1">
      <c r="A427" s="37"/>
    </row>
    <row r="428" spans="1:1">
      <c r="A428" s="37"/>
    </row>
    <row r="429" spans="1:1">
      <c r="A429" s="37"/>
    </row>
    <row r="430" spans="1:1">
      <c r="A430" s="37"/>
    </row>
    <row r="431" spans="1:1">
      <c r="A431" s="37"/>
    </row>
    <row r="432" spans="1:1">
      <c r="A432" s="37"/>
    </row>
    <row r="433" spans="1:1">
      <c r="A433" s="37"/>
    </row>
    <row r="434" spans="1:1">
      <c r="A434" s="37"/>
    </row>
    <row r="435" spans="1:1">
      <c r="A435" s="37"/>
    </row>
    <row r="436" spans="1:1">
      <c r="A436" s="37"/>
    </row>
    <row r="437" spans="1:1">
      <c r="A437" s="37"/>
    </row>
    <row r="438" spans="1:1">
      <c r="A438" s="37"/>
    </row>
    <row r="439" spans="1:1">
      <c r="A439" s="37"/>
    </row>
    <row r="440" spans="1:1">
      <c r="A440" s="37"/>
    </row>
    <row r="441" spans="1:1">
      <c r="A441" s="37"/>
    </row>
    <row r="442" spans="1:1">
      <c r="A442" s="37"/>
    </row>
    <row r="443" spans="1:1">
      <c r="A443" s="37"/>
    </row>
    <row r="444" spans="1:1">
      <c r="A444" s="37"/>
    </row>
    <row r="445" spans="1:1">
      <c r="A445" s="37"/>
    </row>
    <row r="446" spans="1:1">
      <c r="A446" s="37"/>
    </row>
    <row r="447" spans="1:1">
      <c r="A447" s="37"/>
    </row>
    <row r="448" spans="1:1">
      <c r="A448" s="37"/>
    </row>
    <row r="449" spans="1:1">
      <c r="A449" s="37"/>
    </row>
    <row r="450" spans="1:1">
      <c r="A450" s="37"/>
    </row>
    <row r="451" spans="1:1">
      <c r="A451" s="37"/>
    </row>
    <row r="452" spans="1:1">
      <c r="A452" s="37"/>
    </row>
    <row r="453" spans="1:1">
      <c r="A453" s="37"/>
    </row>
    <row r="454" spans="1:1">
      <c r="A454" s="37"/>
    </row>
    <row r="455" spans="1:1">
      <c r="A455" s="37"/>
    </row>
    <row r="456" spans="1:1">
      <c r="A456" s="37"/>
    </row>
    <row r="457" spans="1:1">
      <c r="A457" s="37"/>
    </row>
    <row r="458" spans="1:1">
      <c r="A458" s="37"/>
    </row>
    <row r="459" spans="1:1">
      <c r="A459" s="37"/>
    </row>
    <row r="460" spans="1:1">
      <c r="A460" s="37"/>
    </row>
    <row r="461" spans="1:1">
      <c r="A461" s="37"/>
    </row>
    <row r="462" spans="1:1">
      <c r="A462" s="37"/>
    </row>
    <row r="463" spans="1:1">
      <c r="A463" s="37"/>
    </row>
    <row r="464" spans="1:1">
      <c r="A464" s="37"/>
    </row>
    <row r="465" spans="1:1">
      <c r="A465" s="37"/>
    </row>
    <row r="466" spans="1:1">
      <c r="A466" s="37"/>
    </row>
    <row r="467" spans="1:1">
      <c r="A467" s="37"/>
    </row>
    <row r="468" spans="1:1">
      <c r="A468" s="37"/>
    </row>
    <row r="469" spans="1:1">
      <c r="A469" s="37"/>
    </row>
    <row r="470" spans="1:1">
      <c r="A470" s="37"/>
    </row>
    <row r="471" spans="1:1">
      <c r="A471" s="37"/>
    </row>
    <row r="472" spans="1:1">
      <c r="A472" s="37"/>
    </row>
    <row r="473" spans="1:1">
      <c r="A473" s="37"/>
    </row>
    <row r="474" spans="1:1">
      <c r="A474" s="37"/>
    </row>
    <row r="475" spans="1:1">
      <c r="A475" s="37"/>
    </row>
    <row r="476" spans="1:1">
      <c r="A476" s="37"/>
    </row>
    <row r="477" spans="1:1">
      <c r="A477" s="37"/>
    </row>
    <row r="478" spans="1:1">
      <c r="A478" s="37"/>
    </row>
    <row r="479" spans="1:1">
      <c r="A479" s="37"/>
    </row>
    <row r="480" spans="1:1">
      <c r="A480" s="37"/>
    </row>
    <row r="481" spans="1:1">
      <c r="A481" s="37"/>
    </row>
    <row r="482" spans="1:1">
      <c r="A482" s="37"/>
    </row>
    <row r="483" spans="1:1">
      <c r="A483" s="37"/>
    </row>
    <row r="484" spans="1:1">
      <c r="A484" s="37"/>
    </row>
    <row r="485" spans="1:1">
      <c r="A485" s="37"/>
    </row>
    <row r="486" spans="1:1">
      <c r="A486" s="37"/>
    </row>
    <row r="487" spans="1:1">
      <c r="A487" s="37"/>
    </row>
    <row r="488" spans="1:1">
      <c r="A488" s="37"/>
    </row>
    <row r="489" spans="1:1">
      <c r="A489" s="37"/>
    </row>
    <row r="490" spans="1:1">
      <c r="A490" s="37"/>
    </row>
    <row r="491" spans="1:1">
      <c r="A491" s="37"/>
    </row>
    <row r="492" spans="1:1">
      <c r="A492" s="37"/>
    </row>
    <row r="493" spans="1:1">
      <c r="A493" s="37"/>
    </row>
    <row r="494" spans="1:1">
      <c r="A494" s="37"/>
    </row>
    <row r="495" spans="1:1">
      <c r="A495" s="37"/>
    </row>
    <row r="496" spans="1:1">
      <c r="A496" s="37"/>
    </row>
    <row r="497" spans="1:1">
      <c r="A497" s="37"/>
    </row>
    <row r="498" spans="1:1">
      <c r="A498" s="37"/>
    </row>
    <row r="499" spans="1:1">
      <c r="A499" s="37"/>
    </row>
    <row r="500" spans="1:1">
      <c r="A500" s="37"/>
    </row>
    <row r="501" spans="1:1">
      <c r="A501" s="37"/>
    </row>
    <row r="502" spans="1:1">
      <c r="A502" s="37"/>
    </row>
    <row r="503" spans="1:1">
      <c r="A503" s="37"/>
    </row>
    <row r="504" spans="1:1">
      <c r="A504" s="37"/>
    </row>
    <row r="505" spans="1:1">
      <c r="A505" s="37"/>
    </row>
    <row r="506" spans="1:1">
      <c r="A506" s="37"/>
    </row>
    <row r="507" spans="1:1">
      <c r="A507" s="37"/>
    </row>
    <row r="508" spans="1:1">
      <c r="A508" s="37"/>
    </row>
    <row r="509" spans="1:1">
      <c r="A509" s="37"/>
    </row>
    <row r="510" spans="1:1">
      <c r="A510" s="37"/>
    </row>
    <row r="511" spans="1:1">
      <c r="A511" s="37"/>
    </row>
    <row r="512" spans="1:1">
      <c r="A512" s="37"/>
    </row>
    <row r="513" spans="1:1">
      <c r="A513" s="37"/>
    </row>
    <row r="514" spans="1:1">
      <c r="A514" s="37"/>
    </row>
    <row r="515" spans="1:1">
      <c r="A515" s="37"/>
    </row>
    <row r="516" spans="1:1">
      <c r="A516" s="37"/>
    </row>
    <row r="517" spans="1:1">
      <c r="A517" s="37"/>
    </row>
    <row r="518" spans="1:1">
      <c r="A518" s="37"/>
    </row>
    <row r="519" spans="1:1">
      <c r="A519" s="37"/>
    </row>
    <row r="520" spans="1:1">
      <c r="A520" s="37"/>
    </row>
    <row r="521" spans="1:1">
      <c r="A521" s="37"/>
    </row>
    <row r="522" spans="1:1">
      <c r="A522" s="37"/>
    </row>
    <row r="523" spans="1:1">
      <c r="A523" s="37"/>
    </row>
    <row r="524" spans="1:1">
      <c r="A524" s="37"/>
    </row>
    <row r="525" spans="1:1">
      <c r="A525" s="37"/>
    </row>
    <row r="526" spans="1:1">
      <c r="A526" s="37"/>
    </row>
    <row r="527" spans="1:1">
      <c r="A527" s="37"/>
    </row>
    <row r="528" spans="1:1">
      <c r="A528" s="37"/>
    </row>
    <row r="529" spans="1:1">
      <c r="A529" s="37"/>
    </row>
    <row r="530" spans="1:1">
      <c r="A530" s="37"/>
    </row>
    <row r="531" spans="1:1">
      <c r="A531" s="37"/>
    </row>
    <row r="532" spans="1:1">
      <c r="A532" s="37"/>
    </row>
    <row r="533" spans="1:1">
      <c r="A533" s="37"/>
    </row>
    <row r="534" spans="1:1">
      <c r="A534" s="37"/>
    </row>
    <row r="535" spans="1:1">
      <c r="A535" s="37"/>
    </row>
    <row r="536" spans="1:1">
      <c r="A536" s="37"/>
    </row>
    <row r="537" spans="1:1">
      <c r="A537" s="37"/>
    </row>
    <row r="538" spans="1:1">
      <c r="A538" s="37"/>
    </row>
    <row r="539" spans="1:1">
      <c r="A539" s="37"/>
    </row>
    <row r="540" spans="1:1">
      <c r="A540" s="37"/>
    </row>
    <row r="541" spans="1:1">
      <c r="A541" s="37"/>
    </row>
    <row r="542" spans="1:1">
      <c r="A542" s="37"/>
    </row>
    <row r="543" spans="1:1">
      <c r="A543" s="37"/>
    </row>
    <row r="544" spans="1:1">
      <c r="A544" s="37"/>
    </row>
    <row r="545" spans="1:1">
      <c r="A545" s="37"/>
    </row>
    <row r="546" spans="1:1">
      <c r="A546" s="37"/>
    </row>
    <row r="547" spans="1:1">
      <c r="A547" s="37"/>
    </row>
    <row r="548" spans="1:1">
      <c r="A548" s="37"/>
    </row>
    <row r="549" spans="1:1">
      <c r="A549" s="37"/>
    </row>
    <row r="550" spans="1:1">
      <c r="A550" s="37"/>
    </row>
    <row r="551" spans="1:1">
      <c r="A551" s="37"/>
    </row>
    <row r="552" spans="1:1">
      <c r="A552" s="37"/>
    </row>
    <row r="553" spans="1:1">
      <c r="A553" s="37"/>
    </row>
    <row r="554" spans="1:1">
      <c r="A554" s="37"/>
    </row>
    <row r="555" spans="1:1">
      <c r="A555" s="37"/>
    </row>
    <row r="556" spans="1:1">
      <c r="A556" s="37"/>
    </row>
    <row r="557" spans="1:1">
      <c r="A557" s="37"/>
    </row>
    <row r="558" spans="1:1">
      <c r="A558" s="37"/>
    </row>
    <row r="559" spans="1:1">
      <c r="A559" s="37"/>
    </row>
    <row r="560" spans="1:1">
      <c r="A560" s="37"/>
    </row>
    <row r="561" spans="1:1">
      <c r="A561" s="37"/>
    </row>
    <row r="562" spans="1:1">
      <c r="A562" s="37"/>
    </row>
    <row r="563" spans="1:1">
      <c r="A563" s="37"/>
    </row>
    <row r="564" spans="1:1">
      <c r="A564" s="37"/>
    </row>
    <row r="565" spans="1:1">
      <c r="A565" s="37"/>
    </row>
    <row r="566" spans="1:1">
      <c r="A566" s="37"/>
    </row>
    <row r="567" spans="1:1">
      <c r="A567" s="37"/>
    </row>
    <row r="568" spans="1:1">
      <c r="A568" s="37"/>
    </row>
    <row r="569" spans="1:1">
      <c r="A569" s="37"/>
    </row>
    <row r="570" spans="1:1">
      <c r="A570" s="37"/>
    </row>
    <row r="571" spans="1:1">
      <c r="A571" s="37"/>
    </row>
    <row r="572" spans="1:1">
      <c r="A572" s="37"/>
    </row>
    <row r="573" spans="1:1">
      <c r="A573" s="37"/>
    </row>
    <row r="574" spans="1:1">
      <c r="A574" s="37"/>
    </row>
    <row r="575" spans="1:1">
      <c r="A575" s="37"/>
    </row>
    <row r="576" spans="1:1">
      <c r="A576" s="37"/>
    </row>
    <row r="577" spans="1:1">
      <c r="A577" s="37"/>
    </row>
    <row r="578" spans="1:1">
      <c r="A578" s="37"/>
    </row>
    <row r="579" spans="1:1">
      <c r="A579" s="37"/>
    </row>
    <row r="580" spans="1:1">
      <c r="A580" s="37"/>
    </row>
    <row r="581" spans="1:1">
      <c r="A581" s="37"/>
    </row>
    <row r="582" spans="1:1">
      <c r="A582" s="37"/>
    </row>
    <row r="583" spans="1:1">
      <c r="A583" s="37"/>
    </row>
    <row r="584" spans="1:1">
      <c r="A584" s="37"/>
    </row>
    <row r="585" spans="1:1">
      <c r="A585" s="37"/>
    </row>
    <row r="586" spans="1:1">
      <c r="A586" s="37"/>
    </row>
    <row r="587" spans="1:1">
      <c r="A587" s="37"/>
    </row>
    <row r="588" spans="1:1">
      <c r="A588" s="37"/>
    </row>
    <row r="589" spans="1:1">
      <c r="A589" s="37"/>
    </row>
    <row r="590" spans="1:1">
      <c r="A590" s="37"/>
    </row>
    <row r="591" spans="1:1">
      <c r="A591" s="37"/>
    </row>
    <row r="592" spans="1:1">
      <c r="A592" s="37"/>
    </row>
    <row r="593" spans="1:1">
      <c r="A593" s="37"/>
    </row>
    <row r="594" spans="1:1">
      <c r="A594" s="37"/>
    </row>
    <row r="595" spans="1:1">
      <c r="A595" s="37"/>
    </row>
    <row r="596" spans="1:1">
      <c r="A596" s="37"/>
    </row>
    <row r="597" spans="1:1">
      <c r="A597" s="37"/>
    </row>
    <row r="598" spans="1:1">
      <c r="A598" s="37"/>
    </row>
    <row r="599" spans="1:1">
      <c r="A599" s="37"/>
    </row>
    <row r="600" spans="1:1">
      <c r="A600" s="37"/>
    </row>
    <row r="601" spans="1:1">
      <c r="A601" s="37"/>
    </row>
    <row r="602" spans="1:1">
      <c r="A602" s="37"/>
    </row>
    <row r="603" spans="1:1">
      <c r="A603" s="37"/>
    </row>
    <row r="604" spans="1:1">
      <c r="A604" s="37"/>
    </row>
    <row r="605" spans="1:1">
      <c r="A605" s="37"/>
    </row>
    <row r="606" spans="1:1">
      <c r="A606" s="37"/>
    </row>
    <row r="607" spans="1:1">
      <c r="A607" s="37"/>
    </row>
    <row r="608" spans="1:1">
      <c r="A608" s="37"/>
    </row>
    <row r="609" spans="1:1">
      <c r="A609" s="37"/>
    </row>
    <row r="610" spans="1:1">
      <c r="A610" s="37"/>
    </row>
    <row r="611" spans="1:1">
      <c r="A611" s="37"/>
    </row>
    <row r="612" spans="1:1">
      <c r="A612" s="37"/>
    </row>
    <row r="613" spans="1:1">
      <c r="A613" s="37"/>
    </row>
    <row r="614" spans="1:1">
      <c r="A614" s="37"/>
    </row>
    <row r="615" spans="1:1">
      <c r="A615" s="37"/>
    </row>
    <row r="616" spans="1:1">
      <c r="A616" s="37"/>
    </row>
    <row r="617" spans="1:1">
      <c r="A617" s="37"/>
    </row>
    <row r="618" spans="1:1">
      <c r="A618" s="37"/>
    </row>
    <row r="619" spans="1:1">
      <c r="A619" s="37"/>
    </row>
    <row r="620" spans="1:1">
      <c r="A620" s="37"/>
    </row>
    <row r="621" spans="1:1">
      <c r="A621" s="37"/>
    </row>
    <row r="622" spans="1:1">
      <c r="A622" s="37"/>
    </row>
    <row r="623" spans="1:1">
      <c r="A623" s="37"/>
    </row>
    <row r="624" spans="1:1">
      <c r="A624" s="37"/>
    </row>
    <row r="625" spans="1:1">
      <c r="A625" s="37"/>
    </row>
    <row r="626" spans="1:1">
      <c r="A626" s="37"/>
    </row>
    <row r="627" spans="1:1">
      <c r="A627" s="37"/>
    </row>
    <row r="628" spans="1:1">
      <c r="A628" s="37"/>
    </row>
    <row r="629" spans="1:1">
      <c r="A629" s="37"/>
    </row>
    <row r="630" spans="1:1">
      <c r="A630" s="37"/>
    </row>
    <row r="631" spans="1:1">
      <c r="A631" s="37"/>
    </row>
    <row r="632" spans="1:1">
      <c r="A632" s="37"/>
    </row>
    <row r="633" spans="1:1">
      <c r="A633" s="37"/>
    </row>
    <row r="634" spans="1:1">
      <c r="A634" s="37"/>
    </row>
    <row r="635" spans="1:1">
      <c r="A635" s="37"/>
    </row>
    <row r="636" spans="1:1">
      <c r="A636" s="37"/>
    </row>
    <row r="637" spans="1:1">
      <c r="A637" s="37"/>
    </row>
    <row r="638" spans="1:1">
      <c r="A638" s="37"/>
    </row>
    <row r="639" spans="1:1">
      <c r="A639" s="37"/>
    </row>
    <row r="640" spans="1:1">
      <c r="A640" s="37"/>
    </row>
    <row r="641" spans="1:1">
      <c r="A641" s="37"/>
    </row>
    <row r="642" spans="1:1">
      <c r="A642" s="37"/>
    </row>
    <row r="643" spans="1:1">
      <c r="A643" s="37"/>
    </row>
    <row r="644" spans="1:1">
      <c r="A644" s="37"/>
    </row>
    <row r="645" spans="1:1">
      <c r="A645" s="37"/>
    </row>
    <row r="646" spans="1:1">
      <c r="A646" s="37"/>
    </row>
    <row r="647" spans="1:1">
      <c r="A647" s="37"/>
    </row>
    <row r="648" spans="1:1">
      <c r="A648" s="37"/>
    </row>
    <row r="649" spans="1:1">
      <c r="A649" s="37"/>
    </row>
    <row r="650" spans="1:1">
      <c r="A650" s="37"/>
    </row>
    <row r="651" spans="1:1">
      <c r="A651" s="37"/>
    </row>
    <row r="652" spans="1:1">
      <c r="A652" s="37"/>
    </row>
    <row r="653" spans="1:1">
      <c r="A653" s="37"/>
    </row>
    <row r="654" spans="1:1">
      <c r="A654" s="37"/>
    </row>
    <row r="655" spans="1:1">
      <c r="A655" s="37"/>
    </row>
    <row r="656" spans="1:1">
      <c r="A656" s="37"/>
    </row>
    <row r="657" spans="1:1">
      <c r="A657" s="37"/>
    </row>
    <row r="658" spans="1:1">
      <c r="A658" s="37"/>
    </row>
    <row r="659" spans="1:1">
      <c r="A659" s="37"/>
    </row>
    <row r="660" spans="1:1">
      <c r="A660" s="37"/>
    </row>
    <row r="661" spans="1:1">
      <c r="A661" s="37"/>
    </row>
    <row r="662" spans="1:1">
      <c r="A662" s="37"/>
    </row>
    <row r="663" spans="1:1">
      <c r="A663" s="37"/>
    </row>
    <row r="664" spans="1:1">
      <c r="A664" s="37"/>
    </row>
    <row r="665" spans="1:1">
      <c r="A665" s="37"/>
    </row>
    <row r="666" spans="1:1">
      <c r="A666" s="37"/>
    </row>
    <row r="667" spans="1:1">
      <c r="A667" s="37"/>
    </row>
    <row r="668" spans="1:1">
      <c r="A668" s="37"/>
    </row>
    <row r="669" spans="1:1">
      <c r="A669" s="37"/>
    </row>
    <row r="670" spans="1:1">
      <c r="A670" s="37"/>
    </row>
    <row r="671" spans="1:1">
      <c r="A671" s="37"/>
    </row>
    <row r="672" spans="1:1">
      <c r="A672" s="37"/>
    </row>
    <row r="673" spans="1:1">
      <c r="A673" s="37"/>
    </row>
    <row r="674" spans="1:1">
      <c r="A674" s="37"/>
    </row>
    <row r="675" spans="1:1">
      <c r="A675" s="37"/>
    </row>
    <row r="676" spans="1:1">
      <c r="A676" s="37"/>
    </row>
    <row r="677" spans="1:1">
      <c r="A677" s="37"/>
    </row>
    <row r="678" spans="1:1">
      <c r="A678" s="37"/>
    </row>
    <row r="679" spans="1:1">
      <c r="A679" s="37"/>
    </row>
    <row r="680" spans="1:1">
      <c r="A680" s="37"/>
    </row>
    <row r="681" spans="1:1">
      <c r="A681" s="37"/>
    </row>
    <row r="682" spans="1:1">
      <c r="A682" s="37"/>
    </row>
    <row r="683" spans="1:1">
      <c r="A683" s="37"/>
    </row>
    <row r="684" spans="1:1">
      <c r="A684" s="37"/>
    </row>
    <row r="685" spans="1:1">
      <c r="A685" s="37"/>
    </row>
    <row r="686" spans="1:1">
      <c r="A686" s="37"/>
    </row>
    <row r="687" spans="1:1">
      <c r="A687" s="37"/>
    </row>
    <row r="688" spans="1:1">
      <c r="A688" s="37"/>
    </row>
    <row r="689" spans="1:1">
      <c r="A689" s="37"/>
    </row>
    <row r="690" spans="1:1">
      <c r="A690" s="37"/>
    </row>
    <row r="691" spans="1:1">
      <c r="A691" s="37"/>
    </row>
    <row r="692" spans="1:1">
      <c r="A692" s="37"/>
    </row>
    <row r="693" spans="1:1">
      <c r="A693" s="37"/>
    </row>
    <row r="694" spans="1:1">
      <c r="A694" s="37"/>
    </row>
    <row r="695" spans="1:1">
      <c r="A695" s="37"/>
    </row>
    <row r="696" spans="1:1">
      <c r="A696" s="37"/>
    </row>
    <row r="697" spans="1:1">
      <c r="A697" s="37"/>
    </row>
    <row r="698" spans="1:1">
      <c r="A698" s="37"/>
    </row>
    <row r="699" spans="1:1">
      <c r="A699" s="37"/>
    </row>
    <row r="700" spans="1:1">
      <c r="A700" s="37"/>
    </row>
    <row r="701" spans="1:1">
      <c r="A701" s="37"/>
    </row>
    <row r="702" spans="1:1">
      <c r="A702" s="37"/>
    </row>
    <row r="703" spans="1:1">
      <c r="A703" s="37"/>
    </row>
    <row r="704" spans="1:1">
      <c r="A704" s="37"/>
    </row>
    <row r="705" spans="1:1">
      <c r="A705" s="37"/>
    </row>
    <row r="706" spans="1:1">
      <c r="A706" s="37"/>
    </row>
    <row r="707" spans="1:1">
      <c r="A707" s="37"/>
    </row>
    <row r="708" spans="1:1">
      <c r="A708" s="37"/>
    </row>
    <row r="709" spans="1:1">
      <c r="A709" s="37"/>
    </row>
    <row r="710" spans="1:1">
      <c r="A710" s="37"/>
    </row>
    <row r="711" spans="1:1">
      <c r="A711" s="37"/>
    </row>
    <row r="712" spans="1:1">
      <c r="A712" s="37"/>
    </row>
    <row r="713" spans="1:1">
      <c r="A713" s="37"/>
    </row>
    <row r="714" spans="1:1">
      <c r="A714" s="37"/>
    </row>
    <row r="715" spans="1:1">
      <c r="A715" s="37"/>
    </row>
    <row r="716" spans="1:1">
      <c r="A716" s="37"/>
    </row>
    <row r="717" spans="1:1">
      <c r="A717" s="37"/>
    </row>
    <row r="718" spans="1:1">
      <c r="A718" s="37"/>
    </row>
    <row r="719" spans="1:1">
      <c r="A719" s="37"/>
    </row>
    <row r="720" spans="1:1">
      <c r="A720" s="37"/>
    </row>
    <row r="721" spans="1:1">
      <c r="A721" s="37"/>
    </row>
    <row r="722" spans="1:1">
      <c r="A722" s="37"/>
    </row>
    <row r="723" spans="1:1">
      <c r="A723" s="37"/>
    </row>
    <row r="724" spans="1:1">
      <c r="A724" s="37"/>
    </row>
    <row r="725" spans="1:1">
      <c r="A725" s="37"/>
    </row>
    <row r="726" spans="1:1">
      <c r="A726" s="37"/>
    </row>
    <row r="727" spans="1:1">
      <c r="A727" s="37"/>
    </row>
    <row r="728" spans="1:1">
      <c r="A728" s="37"/>
    </row>
    <row r="729" spans="1:1">
      <c r="A729" s="37"/>
    </row>
    <row r="730" spans="1:1">
      <c r="A730" s="37"/>
    </row>
    <row r="731" spans="1:1">
      <c r="A731" s="37"/>
    </row>
    <row r="732" spans="1:1">
      <c r="A732" s="37"/>
    </row>
    <row r="733" spans="1:1">
      <c r="A733" s="37"/>
    </row>
    <row r="734" spans="1:1">
      <c r="A734" s="37"/>
    </row>
    <row r="735" spans="1:1">
      <c r="A735" s="37"/>
    </row>
    <row r="736" spans="1:1">
      <c r="A736" s="37"/>
    </row>
    <row r="737" spans="1:1">
      <c r="A737" s="37"/>
    </row>
    <row r="738" spans="1:1">
      <c r="A738" s="37"/>
    </row>
    <row r="739" spans="1:1">
      <c r="A739" s="37"/>
    </row>
    <row r="740" spans="1:1">
      <c r="A740" s="37"/>
    </row>
    <row r="741" spans="1:1">
      <c r="A741" s="37"/>
    </row>
    <row r="742" spans="1:1">
      <c r="A742" s="37"/>
    </row>
    <row r="743" spans="1:1">
      <c r="A743" s="37"/>
    </row>
    <row r="744" spans="1:1">
      <c r="A744" s="37"/>
    </row>
    <row r="745" spans="1:1">
      <c r="A745" s="37"/>
    </row>
    <row r="746" spans="1:1">
      <c r="A746" s="37"/>
    </row>
    <row r="747" spans="1:1">
      <c r="A747" s="37"/>
    </row>
    <row r="748" spans="1:1">
      <c r="A748" s="37"/>
    </row>
    <row r="749" spans="1:1">
      <c r="A749" s="37"/>
    </row>
    <row r="750" spans="1:1">
      <c r="A750" s="37"/>
    </row>
    <row r="751" spans="1:1">
      <c r="A751" s="37"/>
    </row>
    <row r="752" spans="1:1">
      <c r="A752" s="37"/>
    </row>
    <row r="753" spans="1:1">
      <c r="A753" s="37"/>
    </row>
    <row r="754" spans="1:1">
      <c r="A754" s="37"/>
    </row>
    <row r="755" spans="1:1">
      <c r="A755" s="37"/>
    </row>
    <row r="756" spans="1:1">
      <c r="A756" s="37"/>
    </row>
    <row r="757" spans="1:1">
      <c r="A757" s="37"/>
    </row>
    <row r="758" spans="1:1">
      <c r="A758" s="37"/>
    </row>
    <row r="759" spans="1:1">
      <c r="A759" s="37"/>
    </row>
    <row r="760" spans="1:1">
      <c r="A760" s="37"/>
    </row>
    <row r="761" spans="1:1">
      <c r="A761" s="37"/>
    </row>
    <row r="762" spans="1:1">
      <c r="A762" s="37"/>
    </row>
    <row r="763" spans="1:1">
      <c r="A763" s="37"/>
    </row>
    <row r="764" spans="1:1">
      <c r="A764" s="37"/>
    </row>
    <row r="765" spans="1:1">
      <c r="A765" s="37"/>
    </row>
    <row r="766" spans="1:1">
      <c r="A766" s="37"/>
    </row>
    <row r="767" spans="1:1">
      <c r="A767" s="37"/>
    </row>
    <row r="768" spans="1:1">
      <c r="A768" s="37"/>
    </row>
    <row r="769" spans="1:1">
      <c r="A769" s="37"/>
    </row>
    <row r="770" spans="1:1">
      <c r="A770" s="37"/>
    </row>
    <row r="771" spans="1:1">
      <c r="A771" s="37"/>
    </row>
    <row r="772" spans="1:1">
      <c r="A772" s="37"/>
    </row>
    <row r="773" spans="1:1">
      <c r="A773" s="37"/>
    </row>
    <row r="774" spans="1:1">
      <c r="A774" s="37"/>
    </row>
    <row r="775" spans="1:1">
      <c r="A775" s="37"/>
    </row>
    <row r="776" spans="1:1">
      <c r="A776" s="37"/>
    </row>
    <row r="777" spans="1:1">
      <c r="A777" s="37"/>
    </row>
    <row r="778" spans="1:1">
      <c r="A778" s="37"/>
    </row>
    <row r="779" spans="1:1">
      <c r="A779" s="37"/>
    </row>
    <row r="780" spans="1:1">
      <c r="A780" s="37"/>
    </row>
    <row r="781" spans="1:1">
      <c r="A781" s="37"/>
    </row>
    <row r="782" spans="1:1">
      <c r="A782" s="37"/>
    </row>
    <row r="783" spans="1:1">
      <c r="A783" s="37"/>
    </row>
    <row r="784" spans="1:1">
      <c r="A784" s="37"/>
    </row>
    <row r="785" spans="1:1">
      <c r="A785" s="37"/>
    </row>
    <row r="786" spans="1:1">
      <c r="A786" s="37"/>
    </row>
    <row r="787" spans="1:1">
      <c r="A787" s="37"/>
    </row>
    <row r="788" spans="1:1">
      <c r="A788" s="37"/>
    </row>
    <row r="789" spans="1:1">
      <c r="A789" s="37"/>
    </row>
    <row r="790" spans="1:1">
      <c r="A790" s="37"/>
    </row>
    <row r="791" spans="1:1">
      <c r="A791" s="37"/>
    </row>
    <row r="792" spans="1:1">
      <c r="A792" s="37"/>
    </row>
    <row r="793" spans="1:1">
      <c r="A793" s="37"/>
    </row>
    <row r="794" spans="1:1">
      <c r="A794" s="37"/>
    </row>
    <row r="795" spans="1:1">
      <c r="A795" s="37"/>
    </row>
    <row r="796" spans="1:1">
      <c r="A796" s="37"/>
    </row>
    <row r="797" spans="1:1">
      <c r="A797" s="37"/>
    </row>
    <row r="798" spans="1:1">
      <c r="A798" s="37"/>
    </row>
    <row r="799" spans="1:1">
      <c r="A799" s="37"/>
    </row>
    <row r="800" spans="1:1">
      <c r="A800" s="37"/>
    </row>
    <row r="801" spans="1:1">
      <c r="A801" s="37"/>
    </row>
  </sheetData>
  <conditionalFormatting sqref="E2">
    <cfRule type="containsText" dxfId="39" priority="19" stopIfTrue="1" operator="containsText" text="Checked:">
      <formula>NOT(ISERROR(SEARCH("Checked:",E2)))</formula>
    </cfRule>
    <cfRule type="cellIs" dxfId="38" priority="20" stopIfTrue="1" operator="equal">
      <formula>"No checklist items checked"</formula>
    </cfRule>
    <cfRule type="cellIs" dxfId="37" priority="21" stopIfTrue="1" operator="equal">
      <formula>"Sent"</formula>
    </cfRule>
    <cfRule type="cellIs" dxfId="36" priority="22" stopIfTrue="1" operator="equal">
      <formula>"Scheduled"</formula>
    </cfRule>
    <cfRule type="cellIs" dxfId="35" priority="23" stopIfTrue="1" operator="equal">
      <formula>"Ready to Schedule"</formula>
    </cfRule>
  </conditionalFormatting>
  <conditionalFormatting sqref="A2:R2">
    <cfRule type="expression" dxfId="34" priority="24">
      <formula>OR(LOWER(TRIM($R2))="cancelled",LOWER(TRIM($R2))="canceled")</formula>
    </cfRule>
    <cfRule type="expression" dxfId="33" priority="25">
      <formula>OR(LOWER(TRIM($R2))="cancelled",LOWER(TRIM($R2))="canceled")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300-000000000000}">
          <x14:formula1>
            <xm:f>Dropdowns!$A$2:$A$8</xm:f>
          </x14:formula1>
          <xm:sqref>D3:D1000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Dropdowns!$A$2:$A$8</xm:f>
          </x14:formula1>
          <xm:sqref>D3:D1000</xm:sqref>
        </x14:dataValidation>
        <x14:dataValidation type="list" allowBlank="1" showInputMessage="1" xr:uid="{DA48203E-39F2-483E-97B2-1295D5DC84F4}">
          <x14:formula1>
            <xm:f>Dropdowns!$A$2:$A$9</xm:f>
          </x14:formula1>
          <xm:sqref>D2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67EB3-DD8D-4F47-A356-37A4EB6DFCD8}">
  <sheetPr codeName="Sheet3">
    <tabColor rgb="FF002060"/>
  </sheetPr>
  <dimension ref="A1:E21"/>
  <sheetViews>
    <sheetView topLeftCell="A11" workbookViewId="0">
      <selection activeCell="D21" sqref="D21"/>
    </sheetView>
  </sheetViews>
  <sheetFormatPr defaultRowHeight="15"/>
  <cols>
    <col min="1" max="1" width="22.625" style="6" customWidth="1"/>
    <col min="2" max="2" width="25.625" style="6" customWidth="1"/>
    <col min="3" max="3" width="48.625" style="6" customWidth="1"/>
    <col min="4" max="4" width="45.625" style="6" customWidth="1"/>
    <col min="5" max="5" width="42.625" style="6" customWidth="1"/>
  </cols>
  <sheetData>
    <row r="1" spans="1:5" ht="14.25">
      <c r="A1" s="52" t="s">
        <v>0</v>
      </c>
      <c r="B1" s="52"/>
      <c r="C1" s="52"/>
      <c r="D1" s="52"/>
      <c r="E1" s="52"/>
    </row>
    <row r="2" spans="1:5" ht="14.25">
      <c r="A2" s="52"/>
      <c r="B2" s="52"/>
      <c r="C2" s="52"/>
      <c r="D2" s="52"/>
      <c r="E2" s="52"/>
    </row>
    <row r="3" spans="1:5">
      <c r="A3" s="6" t="s">
        <v>1</v>
      </c>
      <c r="B3" s="6" t="s">
        <v>112</v>
      </c>
      <c r="C3" s="6" t="s">
        <v>116</v>
      </c>
      <c r="D3" s="6" t="s">
        <v>117</v>
      </c>
      <c r="E3" s="6" t="s">
        <v>118</v>
      </c>
    </row>
    <row r="4" spans="1:5" ht="45">
      <c r="A4" s="6" t="s">
        <v>119</v>
      </c>
      <c r="B4" s="6" t="s">
        <v>120</v>
      </c>
      <c r="C4" s="6" t="s">
        <v>121</v>
      </c>
      <c r="D4" s="6" t="s">
        <v>122</v>
      </c>
      <c r="E4" s="6" t="s">
        <v>123</v>
      </c>
    </row>
    <row r="5" spans="1:5" ht="45">
      <c r="A5" s="6" t="s">
        <v>119</v>
      </c>
      <c r="B5" s="6" t="s">
        <v>124</v>
      </c>
      <c r="C5" s="6" t="s">
        <v>125</v>
      </c>
      <c r="D5" s="6" t="s">
        <v>126</v>
      </c>
      <c r="E5" s="6" t="s">
        <v>127</v>
      </c>
    </row>
    <row r="6" spans="1:5" ht="45">
      <c r="A6" s="6" t="s">
        <v>128</v>
      </c>
      <c r="B6" s="6" t="s">
        <v>120</v>
      </c>
      <c r="C6" s="6" t="s">
        <v>129</v>
      </c>
      <c r="D6" s="6" t="s">
        <v>130</v>
      </c>
      <c r="E6" s="6" t="s">
        <v>131</v>
      </c>
    </row>
    <row r="7" spans="1:5" ht="45">
      <c r="A7" s="6" t="s">
        <v>44</v>
      </c>
      <c r="B7" s="6" t="s">
        <v>132</v>
      </c>
      <c r="C7" s="6" t="s">
        <v>133</v>
      </c>
      <c r="D7" s="6" t="s">
        <v>134</v>
      </c>
      <c r="E7" s="6" t="s">
        <v>135</v>
      </c>
    </row>
    <row r="8" spans="1:5" ht="30">
      <c r="A8" s="6" t="s">
        <v>136</v>
      </c>
      <c r="B8" s="6" t="s">
        <v>137</v>
      </c>
      <c r="C8" s="6" t="s">
        <v>138</v>
      </c>
      <c r="D8" s="6" t="s">
        <v>139</v>
      </c>
      <c r="E8" s="6" t="s">
        <v>140</v>
      </c>
    </row>
    <row r="9" spans="1:5" ht="45">
      <c r="A9" s="6" t="s">
        <v>69</v>
      </c>
      <c r="B9" s="6" t="s">
        <v>141</v>
      </c>
      <c r="C9" s="6" t="s">
        <v>142</v>
      </c>
      <c r="D9" s="6" t="s">
        <v>143</v>
      </c>
      <c r="E9" s="6" t="s">
        <v>144</v>
      </c>
    </row>
    <row r="10" spans="1:5" ht="30">
      <c r="A10" s="6" t="s">
        <v>69</v>
      </c>
      <c r="B10" s="6" t="s">
        <v>145</v>
      </c>
      <c r="C10" s="6" t="s">
        <v>146</v>
      </c>
      <c r="D10" s="6" t="s">
        <v>147</v>
      </c>
      <c r="E10" s="6" t="s">
        <v>148</v>
      </c>
    </row>
    <row r="11" spans="1:5" ht="45">
      <c r="A11" s="6" t="s">
        <v>149</v>
      </c>
      <c r="B11" s="6" t="s">
        <v>150</v>
      </c>
      <c r="C11" s="6" t="s">
        <v>151</v>
      </c>
      <c r="D11" s="6" t="s">
        <v>152</v>
      </c>
      <c r="E11" s="6" t="s">
        <v>153</v>
      </c>
    </row>
    <row r="12" spans="1:5" ht="45">
      <c r="A12" s="6" t="s">
        <v>154</v>
      </c>
      <c r="B12" s="6" t="s">
        <v>155</v>
      </c>
      <c r="C12" s="6" t="s">
        <v>156</v>
      </c>
      <c r="D12" s="6" t="s">
        <v>157</v>
      </c>
      <c r="E12" s="6" t="s">
        <v>158</v>
      </c>
    </row>
    <row r="13" spans="1:5" ht="45">
      <c r="A13" s="6" t="s">
        <v>159</v>
      </c>
      <c r="B13" s="6" t="s">
        <v>160</v>
      </c>
      <c r="C13" s="6" t="s">
        <v>161</v>
      </c>
      <c r="D13" s="6" t="s">
        <v>162</v>
      </c>
      <c r="E13" s="6" t="s">
        <v>163</v>
      </c>
    </row>
    <row r="14" spans="1:5" ht="45">
      <c r="A14" s="6" t="s">
        <v>164</v>
      </c>
      <c r="B14" s="6" t="s">
        <v>165</v>
      </c>
      <c r="C14" s="6" t="s">
        <v>166</v>
      </c>
      <c r="D14" s="6" t="s">
        <v>167</v>
      </c>
      <c r="E14" s="6" t="s">
        <v>168</v>
      </c>
    </row>
    <row r="15" spans="1:5" ht="45">
      <c r="A15" s="6" t="s">
        <v>21</v>
      </c>
      <c r="B15" s="6" t="s">
        <v>169</v>
      </c>
      <c r="C15" s="6" t="s">
        <v>170</v>
      </c>
      <c r="D15" s="6" t="s">
        <v>171</v>
      </c>
      <c r="E15" s="6" t="s">
        <v>172</v>
      </c>
    </row>
    <row r="16" spans="1:5" ht="45">
      <c r="A16" s="6" t="s">
        <v>42</v>
      </c>
      <c r="B16" s="6" t="s">
        <v>173</v>
      </c>
      <c r="C16" s="6" t="s">
        <v>174</v>
      </c>
      <c r="D16" s="6" t="s">
        <v>175</v>
      </c>
      <c r="E16" s="6" t="s">
        <v>176</v>
      </c>
    </row>
    <row r="17" spans="1:5" ht="45">
      <c r="A17" s="6" t="s">
        <v>191</v>
      </c>
      <c r="B17" s="6" t="s">
        <v>192</v>
      </c>
      <c r="C17" s="6" t="s">
        <v>193</v>
      </c>
      <c r="D17" s="6" t="s">
        <v>194</v>
      </c>
      <c r="E17" s="6" t="s">
        <v>195</v>
      </c>
    </row>
    <row r="18" spans="1:5" ht="60">
      <c r="A18" s="6" t="s">
        <v>196</v>
      </c>
      <c r="B18" s="6" t="s">
        <v>197</v>
      </c>
      <c r="C18" s="6" t="s">
        <v>198</v>
      </c>
      <c r="D18" s="6" t="s">
        <v>199</v>
      </c>
      <c r="E18" s="6" t="s">
        <v>200</v>
      </c>
    </row>
    <row r="19" spans="1:5" ht="45">
      <c r="A19" s="6" t="s">
        <v>177</v>
      </c>
      <c r="B19" s="6" t="s">
        <v>178</v>
      </c>
      <c r="C19" s="6" t="s">
        <v>179</v>
      </c>
      <c r="D19" s="6" t="s">
        <v>180</v>
      </c>
      <c r="E19" s="6" t="s">
        <v>181</v>
      </c>
    </row>
    <row r="20" spans="1:5" ht="45">
      <c r="A20" s="6" t="s">
        <v>182</v>
      </c>
      <c r="B20" s="6" t="s">
        <v>183</v>
      </c>
      <c r="C20" s="6" t="s">
        <v>184</v>
      </c>
      <c r="D20" s="6" t="s">
        <v>185</v>
      </c>
      <c r="E20" s="6" t="s">
        <v>186</v>
      </c>
    </row>
    <row r="21" spans="1:5" ht="30">
      <c r="A21" s="6" t="s">
        <v>187</v>
      </c>
      <c r="B21" s="6" t="s">
        <v>188</v>
      </c>
      <c r="C21" s="6" t="s">
        <v>189</v>
      </c>
      <c r="D21" s="6" t="s">
        <v>201</v>
      </c>
      <c r="E21" s="6" t="s">
        <v>190</v>
      </c>
    </row>
  </sheetData>
  <sheetProtection algorithmName="SHA-512" hashValue="6yhfhae7911Wu5z7B348G4YUg1UTkNvWU479lF1uUcTClGNQtj/iWJqvpPwadjA7SXyP4Z7MXWvyIUxA7zx/zQ==" saltValue="halVo3s7Z58tUVDsgFI7iA==" spinCount="100000" sheet="1" objects="1" scenarios="1"/>
  <mergeCells count="1">
    <mergeCell ref="A1:E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0" t="s">
        <v>44</v>
      </c>
      <c r="B1" s="10" t="s">
        <v>45</v>
      </c>
      <c r="C1" s="10" t="s">
        <v>70</v>
      </c>
      <c r="D1" s="10" t="s">
        <v>71</v>
      </c>
      <c r="E1" s="10" t="s">
        <v>72</v>
      </c>
    </row>
    <row r="2" spans="1:5">
      <c r="A2" s="8" t="s">
        <v>60</v>
      </c>
      <c r="B2" s="8" t="s">
        <v>73</v>
      </c>
      <c r="C2" s="8" t="s">
        <v>2</v>
      </c>
      <c r="D2" s="8" t="s">
        <v>74</v>
      </c>
      <c r="E2" s="8" t="s">
        <v>75</v>
      </c>
    </row>
    <row r="3" spans="1:5">
      <c r="A3" s="8" t="s">
        <v>62</v>
      </c>
      <c r="B3" s="8" t="s">
        <v>76</v>
      </c>
      <c r="C3" s="8" t="s">
        <v>73</v>
      </c>
      <c r="D3" s="8" t="s">
        <v>77</v>
      </c>
      <c r="E3" s="8" t="s">
        <v>78</v>
      </c>
    </row>
    <row r="4" spans="1:5">
      <c r="A4" s="8" t="s">
        <v>61</v>
      </c>
      <c r="B4" s="8" t="s">
        <v>79</v>
      </c>
      <c r="C4" s="8" t="s">
        <v>80</v>
      </c>
      <c r="D4" s="8" t="s">
        <v>81</v>
      </c>
      <c r="E4" s="8" t="s">
        <v>82</v>
      </c>
    </row>
    <row r="5" spans="1:5">
      <c r="A5" s="8" t="s">
        <v>64</v>
      </c>
      <c r="B5" s="8" t="s">
        <v>83</v>
      </c>
      <c r="C5" s="8" t="s">
        <v>84</v>
      </c>
      <c r="D5" s="8" t="s">
        <v>85</v>
      </c>
      <c r="E5" s="8" t="s">
        <v>86</v>
      </c>
    </row>
    <row r="6" spans="1:5">
      <c r="A6" s="8" t="s">
        <v>65</v>
      </c>
      <c r="B6" s="8" t="s">
        <v>87</v>
      </c>
      <c r="C6" s="8" t="s">
        <v>88</v>
      </c>
      <c r="D6" s="8" t="s">
        <v>89</v>
      </c>
      <c r="E6" s="8" t="s">
        <v>90</v>
      </c>
    </row>
    <row r="7" spans="1:5">
      <c r="A7" s="8" t="s">
        <v>91</v>
      </c>
      <c r="B7" s="8" t="s">
        <v>92</v>
      </c>
      <c r="C7" s="8" t="s">
        <v>93</v>
      </c>
      <c r="D7" s="8" t="s">
        <v>94</v>
      </c>
      <c r="E7" s="8" t="s">
        <v>95</v>
      </c>
    </row>
    <row r="8" spans="1:5">
      <c r="A8" s="8" t="s">
        <v>96</v>
      </c>
      <c r="B8" s="8" t="s">
        <v>97</v>
      </c>
      <c r="C8" s="8" t="s">
        <v>98</v>
      </c>
      <c r="D8" s="8" t="s">
        <v>99</v>
      </c>
      <c r="E8" s="8" t="s">
        <v>100</v>
      </c>
    </row>
    <row r="9" spans="1:5">
      <c r="A9" s="8"/>
      <c r="B9" s="8" t="s">
        <v>101</v>
      </c>
      <c r="C9" s="8" t="s">
        <v>94</v>
      </c>
      <c r="D9" s="8"/>
      <c r="E9" s="8"/>
    </row>
    <row r="10" spans="1:5">
      <c r="A10" s="8"/>
      <c r="B10" s="8" t="s">
        <v>102</v>
      </c>
      <c r="C10" s="8" t="s">
        <v>103</v>
      </c>
      <c r="D10" s="8"/>
      <c r="E10" s="8"/>
    </row>
    <row r="11" spans="1:5">
      <c r="A11" s="8"/>
      <c r="B11" s="8" t="s">
        <v>104</v>
      </c>
      <c r="C11" s="8" t="s">
        <v>105</v>
      </c>
      <c r="D11" s="8"/>
      <c r="E11" s="8"/>
    </row>
    <row r="12" spans="1:5">
      <c r="A12" s="8"/>
      <c r="B12" s="8" t="s">
        <v>106</v>
      </c>
      <c r="C12" s="8" t="s">
        <v>107</v>
      </c>
      <c r="D12" s="8"/>
      <c r="E12" s="8"/>
    </row>
    <row r="13" spans="1:5">
      <c r="A13" s="8"/>
      <c r="B13" s="8" t="s">
        <v>108</v>
      </c>
      <c r="C13" s="8" t="s">
        <v>109</v>
      </c>
      <c r="D13" s="8"/>
      <c r="E13" s="8"/>
    </row>
    <row r="14" spans="1:5">
      <c r="A14" s="8"/>
      <c r="B14" s="8" t="s">
        <v>12</v>
      </c>
      <c r="C14" s="8" t="s">
        <v>12</v>
      </c>
      <c r="D14" s="8"/>
      <c r="E14" s="8"/>
    </row>
    <row r="15" spans="1:5">
      <c r="A15" s="8"/>
      <c r="B15" s="8" t="s">
        <v>89</v>
      </c>
      <c r="C15" s="8" t="s">
        <v>108</v>
      </c>
      <c r="D15" s="8"/>
      <c r="E15" s="8"/>
    </row>
    <row r="16" spans="1:5">
      <c r="A16" s="8"/>
      <c r="B16" s="8" t="s">
        <v>63</v>
      </c>
      <c r="C16" s="8" t="s">
        <v>89</v>
      </c>
      <c r="D16" s="8"/>
      <c r="E16" s="8"/>
    </row>
    <row r="17" spans="1:5">
      <c r="A17" s="8"/>
      <c r="B17" s="8"/>
      <c r="C17" s="8" t="s">
        <v>63</v>
      </c>
      <c r="D17" s="8"/>
      <c r="E17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"/>
  <sheetViews>
    <sheetView workbookViewId="0"/>
  </sheetViews>
  <sheetFormatPr defaultRowHeight="14.25"/>
  <cols>
    <col min="1" max="4" width="28" customWidth="1"/>
  </cols>
  <sheetData>
    <row r="1" spans="1:4" ht="15">
      <c r="A1" s="10" t="s">
        <v>110</v>
      </c>
      <c r="B1" s="10" t="s">
        <v>111</v>
      </c>
      <c r="C1" s="10" t="s">
        <v>112</v>
      </c>
      <c r="D1" s="10" t="s">
        <v>113</v>
      </c>
    </row>
    <row r="2" spans="1:4">
      <c r="A2" s="9"/>
      <c r="B2" s="8"/>
      <c r="C2" s="8"/>
      <c r="D2" s="8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Props1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Email Campaigns</vt:lpstr>
      <vt:lpstr>SMS Campaigns</vt:lpstr>
      <vt:lpstr>Notes - Instructions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2026-06-14T18:46:14Z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