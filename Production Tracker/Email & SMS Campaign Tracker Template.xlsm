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08" codeName="{26A90621-87C4-6C01-FD6A-EE6E7C140903}"/>
  <workbookPr codeName="ThisWorkbook"/>
  <mc:AlternateContent xmlns:mc="http://schemas.openxmlformats.org/markup-compatibility/2006">
    <mc:Choice Requires="x15">
      <x15ac:absPath xmlns:x15ac="http://schemas.microsoft.com/office/spreadsheetml/2010/11/ac" url="A:\Users\Archim Pameroyan\Documents\GitHub\System-Production-Adorama\Production Tracker\"/>
    </mc:Choice>
  </mc:AlternateContent>
  <xr:revisionPtr revIDLastSave="0" documentId="13_ncr:1_{71B494D1-4760-4DB1-96D9-8FEB3955034D}" xr6:coauthVersionLast="47" xr6:coauthVersionMax="47" xr10:uidLastSave="{00000000-0000-0000-0000-000000000000}"/>
  <bookViews>
    <workbookView xWindow="-120" yWindow="-120" windowWidth="29040" windowHeight="15990" activeTab="3" xr2:uid="{00000000-000D-0000-FFFF-FFFF00000000}"/>
  </bookViews>
  <sheets>
    <sheet name="Dashboard" sheetId="2" r:id="rId1"/>
    <sheet name="Email Campaigns" sheetId="1" r:id="rId2"/>
    <sheet name="SMS Campaigns" sheetId="19" r:id="rId3"/>
    <sheet name="Notes - Instructions" sheetId="21" r:id="rId4"/>
    <sheet name="June 2026 Calendar" sheetId="22" r:id="rId5"/>
    <sheet name="Template for Duplicate" sheetId="23" r:id="rId6"/>
    <sheet name="Dropdowns" sheetId="4" state="veryHidden" r:id="rId7"/>
    <sheet name="Automation Log" sheetId="5" state="veryHidden" r:id="rId8"/>
  </sheets>
  <functionGroups builtInGroupCount="19"/>
  <externalReferences>
    <externalReference r:id="rId9"/>
    <externalReference r:id="rId10"/>
    <externalReference r:id="rId11"/>
    <externalReference r:id="rId12"/>
  </externalReferences>
  <definedNames>
    <definedName name="_xlpm.allDone" hidden="1" xlm="1">#NAME?</definedName>
    <definedName name="_xlpm.audience" hidden="1" xlm="1">#NAME?</definedName>
    <definedName name="_xlpm.camp" hidden="1" xlm="1">#NAME?</definedName>
    <definedName name="_xlpm.ch" hidden="1" xlm="1">#NAME?</definedName>
    <definedName name="_xlpm.checked" hidden="1" xlm="1">#NAME?</definedName>
    <definedName name="_xlpm.clean" hidden="1" xlm="1">#NAME?</definedName>
    <definedName name="_xlpm.code" hidden="1" xlm="1">#NAME?</definedName>
    <definedName name="_xlpm.d" hidden="1" xlm="1">#NAME?</definedName>
    <definedName name="_xlpm.data" hidden="1" xlm="1">#NAME?</definedName>
    <definedName name="_xlpm.delivered" hidden="1" xlm="1">#NAME?</definedName>
    <definedName name="_xlpm.e_cancel" hidden="1" xlm="1">#NAME?</definedName>
    <definedName name="_xlpm.eCancel" hidden="1" xlm="1">#NAME?</definedName>
    <definedName name="_xlpm.email" hidden="1" xlm="1">#NAME?</definedName>
    <definedName name="_xlpm.eMax" hidden="1" xlm="1">#NAME?</definedName>
    <definedName name="_xlpm.empty" hidden="1" xlm="1">#NAME?</definedName>
    <definedName name="_xlpm.first" hidden="1" xlm="1">#NAME?</definedName>
    <definedName name="_xlpm.items" hidden="1" xlm="1">#NAME?</definedName>
    <definedName name="_xlpm.latest" hidden="1" xlm="1">#NAME?</definedName>
    <definedName name="_xlpm.link" hidden="1" xlm="1">#NAME?</definedName>
    <definedName name="_xlpm.parsed" hidden="1" xlm="1">#NAME?</definedName>
    <definedName name="_xlpm.s_cancel" hidden="1" xlm="1">#NAME?</definedName>
    <definedName name="_xlpm.sCancel" hidden="1" xlm="1">#NAME?</definedName>
    <definedName name="_xlpm.sendDate" hidden="1" xlm="1">#NAME?</definedName>
    <definedName name="_xlpm.sMax" hidden="1" xlm="1">#NAME?</definedName>
    <definedName name="_xlpm.sms" hidden="1" xlm="1">#NAME?</definedName>
    <definedName name="_xlpm.useDate" hidden="1" xlm="1">#NAME?</definedName>
    <definedName name="_xlpm.we" hidden="1" xlm="1">#NAME?</definedName>
    <definedName name="_xlpm.ws" hidden="1" xlm="1">#NAME?</definedName>
  </definedNames>
  <calcPr calcId="191029" forceFullCal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19" l="1"/>
  <c r="E3" i="1"/>
  <c r="B31" i="23"/>
  <c r="A30" i="23" a="1"/>
  <c r="A28" i="23" a="1"/>
  <c r="A26" i="23" a="1"/>
  <c r="A24" i="23" a="1"/>
  <c r="A22" i="23" a="1"/>
  <c r="G20" i="23" a="1"/>
  <c r="A20" i="23"/>
  <c r="B19" i="23" a="1"/>
  <c r="B18" i="23" a="1"/>
  <c r="A14" i="23" a="1"/>
  <c r="A12" i="23" a="1"/>
  <c r="A10" i="23" a="1"/>
  <c r="A8" i="23" a="1"/>
  <c r="A6" i="23" a="1"/>
  <c r="G4" i="23" a="1"/>
  <c r="A4" i="23"/>
  <c r="H3" i="23"/>
  <c r="G3" i="23"/>
  <c r="F3" i="23"/>
  <c r="E3" i="23"/>
  <c r="D3" i="23"/>
  <c r="C3" i="23"/>
  <c r="B3" i="23"/>
  <c r="B2" i="23" a="1"/>
  <c r="H29" i="22"/>
  <c r="G29" i="22"/>
  <c r="F29" i="22"/>
  <c r="E29" i="22"/>
  <c r="D29" i="22"/>
  <c r="C29" i="22"/>
  <c r="B29" i="22"/>
  <c r="H28" i="22"/>
  <c r="G28" i="22"/>
  <c r="F28" i="22"/>
  <c r="E28" i="22"/>
  <c r="D28" i="22"/>
  <c r="C28" i="22"/>
  <c r="B28" i="22"/>
  <c r="A28" i="22"/>
  <c r="H27" i="22"/>
  <c r="G27" i="22"/>
  <c r="F27" i="22"/>
  <c r="E27" i="22"/>
  <c r="D27" i="22"/>
  <c r="C27" i="22"/>
  <c r="B27" i="22"/>
  <c r="H26" i="22"/>
  <c r="G26" i="22"/>
  <c r="F26" i="22"/>
  <c r="E26" i="22"/>
  <c r="D26" i="22"/>
  <c r="C26" i="22"/>
  <c r="B26" i="22"/>
  <c r="A26" i="22"/>
  <c r="H25" i="22"/>
  <c r="G25" i="22"/>
  <c r="F25" i="22"/>
  <c r="E25" i="22"/>
  <c r="D25" i="22"/>
  <c r="C25" i="22"/>
  <c r="B25" i="22"/>
  <c r="H24" i="22"/>
  <c r="G24" i="22"/>
  <c r="F24" i="22"/>
  <c r="E24" i="22"/>
  <c r="D24" i="22"/>
  <c r="C24" i="22"/>
  <c r="B24" i="22"/>
  <c r="A24" i="22"/>
  <c r="H23" i="22"/>
  <c r="G23" i="22"/>
  <c r="F23" i="22"/>
  <c r="E23" i="22"/>
  <c r="D23" i="22"/>
  <c r="C23" i="22"/>
  <c r="B23" i="22"/>
  <c r="H22" i="22"/>
  <c r="G22" i="22"/>
  <c r="F22" i="22"/>
  <c r="E22" i="22"/>
  <c r="D22" i="22"/>
  <c r="C22" i="22"/>
  <c r="B22" i="22"/>
  <c r="A22" i="22"/>
  <c r="H21" i="22"/>
  <c r="G21" i="22"/>
  <c r="F21" i="22"/>
  <c r="E21" i="22"/>
  <c r="D21" i="22"/>
  <c r="C21" i="22"/>
  <c r="B21" i="22"/>
  <c r="H20" i="22"/>
  <c r="G20" i="22"/>
  <c r="F20" i="22"/>
  <c r="E20" i="22"/>
  <c r="D20" i="22"/>
  <c r="C20" i="22"/>
  <c r="B20" i="22"/>
  <c r="A20" i="22"/>
  <c r="H19" i="22"/>
  <c r="G19" i="22"/>
  <c r="F19" i="22"/>
  <c r="E19" i="22"/>
  <c r="D19" i="22"/>
  <c r="C19" i="22"/>
  <c r="B19" i="22"/>
  <c r="H18" i="22"/>
  <c r="G18" i="22"/>
  <c r="F18" i="22"/>
  <c r="E18" i="22"/>
  <c r="D18" i="22"/>
  <c r="C18" i="22"/>
  <c r="B18" i="22"/>
  <c r="H13" i="22"/>
  <c r="G13" i="22"/>
  <c r="F13" i="22"/>
  <c r="E13" i="22"/>
  <c r="D13" i="22"/>
  <c r="C13" i="22"/>
  <c r="B13" i="22"/>
  <c r="H12" i="22"/>
  <c r="G12" i="22"/>
  <c r="F12" i="22"/>
  <c r="E12" i="22"/>
  <c r="D12" i="22"/>
  <c r="C12" i="22"/>
  <c r="B12" i="22"/>
  <c r="A12" i="22"/>
  <c r="H11" i="22"/>
  <c r="G11" i="22"/>
  <c r="F11" i="22"/>
  <c r="E11" i="22"/>
  <c r="D11" i="22"/>
  <c r="C11" i="22"/>
  <c r="B11" i="22"/>
  <c r="H10" i="22"/>
  <c r="G10" i="22"/>
  <c r="F10" i="22"/>
  <c r="E10" i="22"/>
  <c r="D10" i="22"/>
  <c r="C10" i="22"/>
  <c r="B10" i="22"/>
  <c r="A10" i="22"/>
  <c r="H9" i="22"/>
  <c r="G9" i="22"/>
  <c r="F9" i="22"/>
  <c r="E9" i="22"/>
  <c r="D9" i="22"/>
  <c r="C9" i="22"/>
  <c r="B9" i="22"/>
  <c r="H8" i="22"/>
  <c r="G8" i="22"/>
  <c r="F8" i="22"/>
  <c r="E8" i="22"/>
  <c r="D8" i="22"/>
  <c r="C8" i="22"/>
  <c r="B8" i="22"/>
  <c r="A8" i="22"/>
  <c r="H7" i="22"/>
  <c r="G7" i="22"/>
  <c r="F7" i="22"/>
  <c r="E7" i="22"/>
  <c r="D7" i="22"/>
  <c r="C7" i="22"/>
  <c r="B7" i="22"/>
  <c r="H6" i="22"/>
  <c r="G6" i="22"/>
  <c r="F6" i="22"/>
  <c r="E6" i="22"/>
  <c r="D6" i="22"/>
  <c r="C6" i="22"/>
  <c r="B6" i="22"/>
  <c r="A6" i="22"/>
  <c r="H5" i="22"/>
  <c r="G5" i="22"/>
  <c r="F5" i="22"/>
  <c r="E5" i="22"/>
  <c r="D5" i="22"/>
  <c r="C5" i="22"/>
  <c r="H4" i="22"/>
  <c r="G4" i="22"/>
  <c r="F4" i="22"/>
  <c r="E4" i="22"/>
  <c r="D4" i="22"/>
  <c r="C4" i="22"/>
  <c r="B4" i="22"/>
  <c r="A4" i="22"/>
  <c r="H3" i="22"/>
  <c r="G3" i="22"/>
  <c r="F3" i="22"/>
  <c r="E3" i="22"/>
  <c r="D3" i="22"/>
  <c r="C3" i="22"/>
  <c r="B3" i="22"/>
  <c r="H2" i="22"/>
  <c r="G2" i="22"/>
  <c r="F2" i="22"/>
  <c r="E2" i="22"/>
  <c r="D2" i="22"/>
  <c r="C2" i="22"/>
  <c r="B2" i="22"/>
  <c r="M5" i="2"/>
  <c r="E2" i="19"/>
  <c r="G5" i="2" s="1" a="1"/>
  <c r="C164" i="2" s="1"/>
  <c r="E2" i="1"/>
  <c r="AA11" i="2" s="1" a="1"/>
  <c r="AA3" i="2"/>
  <c r="D3" i="2" s="1"/>
  <c r="B3" i="2"/>
  <c r="I5" i="2" l="1" a="1"/>
  <c r="C165" i="2" s="1"/>
  <c r="K5" i="2" a="1"/>
  <c r="C166" i="2" s="1"/>
  <c r="E5" i="2" a="1"/>
  <c r="C163" i="2" s="1"/>
  <c r="C5" i="2" a="1"/>
  <c r="C162" i="2" s="1"/>
  <c r="A5" i="2" l="1"/>
  <c r="J12" i="2"/>
  <c r="J13" i="2"/>
  <c r="J14" i="2"/>
  <c r="J15" i="2"/>
  <c r="J16" i="2"/>
  <c r="J17" i="2"/>
  <c r="J18" i="2"/>
  <c r="J19" i="2"/>
  <c r="J20" i="2"/>
  <c r="J65" i="2"/>
  <c r="J70" i="2"/>
  <c r="J80" i="2"/>
  <c r="J86" i="2"/>
  <c r="J93" i="2"/>
  <c r="J98" i="2"/>
  <c r="J105" i="2"/>
  <c r="J119" i="2"/>
  <c r="J138" i="2"/>
  <c r="J85" i="2"/>
  <c r="J112" i="2"/>
  <c r="J151" i="2"/>
  <c r="J44" i="2"/>
  <c r="J50" i="2"/>
  <c r="J75" i="2"/>
  <c r="J110" i="2"/>
  <c r="J139" i="2"/>
  <c r="J74" i="2"/>
  <c r="J111" i="2"/>
  <c r="J127" i="2"/>
  <c r="J77" i="2"/>
  <c r="J104" i="2"/>
  <c r="J140" i="2"/>
  <c r="J43" i="2"/>
  <c r="J48" i="2"/>
  <c r="J68" i="2"/>
  <c r="J103" i="2"/>
  <c r="J149" i="2"/>
  <c r="J148" i="2"/>
  <c r="J157" i="2"/>
  <c r="J21" i="2"/>
  <c r="J22" i="2"/>
  <c r="J23" i="2"/>
  <c r="J24" i="2"/>
  <c r="J25" i="2"/>
  <c r="J26" i="2"/>
  <c r="J27" i="2"/>
  <c r="J28" i="2"/>
  <c r="J29" i="2"/>
  <c r="J32" i="2"/>
  <c r="J34" i="2"/>
  <c r="J36" i="2"/>
  <c r="J38" i="2"/>
  <c r="J40" i="2"/>
  <c r="J57" i="2"/>
  <c r="J67" i="2"/>
  <c r="J90" i="2"/>
  <c r="J120" i="2"/>
  <c r="J41" i="2"/>
  <c r="J45" i="2"/>
  <c r="J59" i="2"/>
  <c r="J83" i="2"/>
  <c r="J121" i="2"/>
  <c r="J159" i="2"/>
  <c r="J30" i="2"/>
  <c r="J66" i="2"/>
  <c r="J71" i="2"/>
  <c r="J78" i="2"/>
  <c r="J84" i="2"/>
  <c r="J88" i="2"/>
  <c r="J95" i="2"/>
  <c r="J102" i="2"/>
  <c r="J109" i="2"/>
  <c r="J115" i="2"/>
  <c r="J123" i="2"/>
  <c r="J132" i="2"/>
  <c r="J142" i="2"/>
  <c r="J152" i="2"/>
  <c r="J31" i="2"/>
  <c r="J33" i="2"/>
  <c r="J35" i="2"/>
  <c r="J37" i="2"/>
  <c r="J39" i="2"/>
  <c r="J49" i="2"/>
  <c r="J60" i="2"/>
  <c r="J72" i="2"/>
  <c r="J97" i="2"/>
  <c r="J131" i="2"/>
  <c r="J42" i="2"/>
  <c r="J46" i="2"/>
  <c r="J62" i="2"/>
  <c r="J89" i="2"/>
  <c r="J128" i="2"/>
  <c r="J51" i="2"/>
  <c r="J47" i="2"/>
  <c r="J96" i="2"/>
  <c r="J11" i="2"/>
  <c r="J52" i="2"/>
  <c r="J53" i="2"/>
  <c r="J54" i="2"/>
  <c r="J55" i="2"/>
  <c r="J56" i="2"/>
  <c r="J58" i="2"/>
  <c r="J63" i="2"/>
  <c r="J69" i="2"/>
  <c r="J76" i="2"/>
  <c r="J82" i="2"/>
  <c r="J92" i="2"/>
  <c r="J99" i="2"/>
  <c r="J106" i="2"/>
  <c r="J113" i="2"/>
  <c r="J122" i="2"/>
  <c r="J129" i="2"/>
  <c r="J136" i="2"/>
  <c r="J145" i="2"/>
  <c r="J154" i="2"/>
  <c r="J61" i="2"/>
  <c r="J64" i="2"/>
  <c r="J100" i="2"/>
  <c r="J117" i="2"/>
  <c r="J133" i="2"/>
  <c r="J150" i="2"/>
  <c r="J79" i="2"/>
  <c r="J158" i="2"/>
  <c r="J91" i="2"/>
  <c r="J118" i="2"/>
  <c r="J156" i="2"/>
  <c r="J143" i="2"/>
  <c r="J73" i="2"/>
  <c r="J81" i="2"/>
  <c r="J87" i="2"/>
  <c r="J94" i="2"/>
  <c r="J108" i="2"/>
  <c r="J124" i="2"/>
  <c r="J141" i="2"/>
  <c r="J160" i="2"/>
  <c r="J130" i="2"/>
  <c r="J147" i="2"/>
  <c r="J114" i="2"/>
  <c r="J107" i="2"/>
  <c r="J126" i="2"/>
  <c r="J116" i="2"/>
  <c r="J134" i="2"/>
  <c r="J144" i="2"/>
  <c r="J153" i="2"/>
  <c r="J101" i="2"/>
  <c r="J125" i="2"/>
  <c r="J135" i="2"/>
  <c r="J146" i="2"/>
  <c r="J155" i="2"/>
  <c r="J137" i="2"/>
  <c r="K11" i="2"/>
  <c r="K12" i="2"/>
  <c r="K13" i="2"/>
  <c r="K14" i="2"/>
  <c r="K15" i="2"/>
  <c r="K16" i="2"/>
  <c r="K22" i="2"/>
  <c r="K25" i="2"/>
  <c r="K24" i="2"/>
  <c r="K28" i="2"/>
  <c r="K30" i="2"/>
  <c r="K26" i="2"/>
  <c r="K27" i="2"/>
  <c r="K31" i="2"/>
  <c r="K32" i="2"/>
  <c r="K34" i="2"/>
  <c r="K35" i="2"/>
  <c r="K18" i="2"/>
  <c r="K20" i="2"/>
  <c r="K29" i="2"/>
  <c r="K33" i="2"/>
  <c r="K17" i="2"/>
  <c r="K19" i="2"/>
  <c r="K21" i="2"/>
  <c r="K23" i="2"/>
  <c r="K36" i="2"/>
  <c r="K37" i="2"/>
  <c r="K38" i="2"/>
  <c r="K39" i="2"/>
  <c r="K40" i="2"/>
  <c r="K41" i="2"/>
  <c r="K42" i="2"/>
  <c r="K45" i="2"/>
  <c r="K43" i="2"/>
  <c r="K44"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L116" i="2" a="1"/>
  <c r="L117" i="2" a="1"/>
  <c r="L118" i="2" a="1"/>
  <c r="L119" i="2" a="1"/>
  <c r="L120" i="2" a="1"/>
  <c r="L121" i="2" a="1"/>
  <c r="L122" i="2" a="1"/>
  <c r="L123" i="2" a="1"/>
  <c r="L124" i="2" a="1"/>
  <c r="L125" i="2" a="1"/>
  <c r="L126" i="2" a="1"/>
  <c r="L127" i="2" a="1"/>
  <c r="L128" i="2" a="1"/>
  <c r="L129" i="2" a="1"/>
  <c r="L130" i="2" a="1"/>
  <c r="L131" i="2" a="1"/>
  <c r="L132" i="2" a="1"/>
  <c r="L133" i="2" a="1"/>
  <c r="L134" i="2" a="1"/>
  <c r="L135" i="2" a="1"/>
  <c r="L136" i="2" a="1"/>
  <c r="L137" i="2" a="1"/>
  <c r="L138" i="2" a="1"/>
  <c r="L139" i="2" a="1"/>
  <c r="L140" i="2" a="1"/>
  <c r="L141" i="2" a="1"/>
  <c r="L142" i="2" a="1"/>
  <c r="L143" i="2" a="1"/>
  <c r="L144" i="2" a="1"/>
  <c r="L145" i="2" a="1"/>
  <c r="L146" i="2" a="1"/>
  <c r="L148" i="2" a="1"/>
  <c r="L149" i="2" a="1"/>
  <c r="L151" i="2" a="1"/>
  <c r="L153" i="2" a="1"/>
  <c r="L155" i="2" a="1"/>
  <c r="L157" i="2" a="1"/>
  <c r="L159" i="2" a="1"/>
  <c r="L147" i="2" a="1"/>
  <c r="I111" i="2" a="1"/>
  <c r="I113" i="2" a="1"/>
  <c r="I116" i="2" a="1"/>
  <c r="I119" i="2" a="1"/>
  <c r="C84" i="2" a="1"/>
  <c r="C87" i="2" a="1"/>
  <c r="C95" i="2" a="1"/>
  <c r="C105" i="2" a="1"/>
  <c r="C109" i="2" a="1"/>
  <c r="C115" i="2" a="1"/>
  <c r="B26" i="2" a="1"/>
  <c r="B34" i="2" a="1"/>
  <c r="B44" i="2" a="1"/>
  <c r="B50" i="2" a="1"/>
  <c r="B62" i="2" a="1"/>
  <c r="B72" i="2" a="1"/>
  <c r="B132" i="2" a="1"/>
  <c r="L160" i="2" a="1"/>
  <c r="L107" i="2" a="1"/>
  <c r="I114" i="2" a="1"/>
  <c r="I117" i="2" a="1"/>
  <c r="I120" i="2" a="1"/>
  <c r="C140" i="2" a="1"/>
  <c r="C81" i="2" a="1"/>
  <c r="C86" i="2" a="1"/>
  <c r="C93" i="2" a="1"/>
  <c r="C118" i="2" a="1"/>
  <c r="B25" i="2" a="1"/>
  <c r="B29" i="2" a="1"/>
  <c r="B32" i="2" a="1"/>
  <c r="B38" i="2" a="1"/>
  <c r="B43" i="2" a="1"/>
  <c r="B49" i="2" a="1"/>
  <c r="B65" i="2" a="1"/>
  <c r="B74" i="2" a="1"/>
  <c r="B143" i="2" a="1"/>
  <c r="L70" i="2" a="1"/>
  <c r="L152" i="2" a="1"/>
  <c r="L81" i="2" a="1"/>
  <c r="L86" i="2" a="1"/>
  <c r="L99" i="2" a="1"/>
  <c r="L103" i="2" a="1"/>
  <c r="I46" i="2" a="1"/>
  <c r="I48" i="2" a="1"/>
  <c r="I50" i="2" a="1"/>
  <c r="I52" i="2" a="1"/>
  <c r="I54" i="2" a="1"/>
  <c r="I56" i="2" a="1"/>
  <c r="I57" i="2" a="1"/>
  <c r="I121" i="2" a="1"/>
  <c r="C142" i="2" a="1"/>
  <c r="C85" i="2" a="1"/>
  <c r="C90" i="2" a="1"/>
  <c r="C101" i="2" a="1"/>
  <c r="C106" i="2" a="1"/>
  <c r="C112" i="2" a="1"/>
  <c r="I11" i="2" a="1"/>
  <c r="I12" i="2" a="1"/>
  <c r="I13" i="2" a="1"/>
  <c r="I14" i="2" a="1"/>
  <c r="I15" i="2" a="1"/>
  <c r="I16" i="2" a="1"/>
  <c r="I17" i="2" a="1"/>
  <c r="I18" i="2" a="1"/>
  <c r="I19" i="2" a="1"/>
  <c r="I20" i="2" a="1"/>
  <c r="I21" i="2" a="1"/>
  <c r="I22" i="2" a="1"/>
  <c r="I23" i="2" a="1"/>
  <c r="I24" i="2" a="1"/>
  <c r="I25" i="2" a="1"/>
  <c r="I26" i="2" a="1"/>
  <c r="I27" i="2" a="1"/>
  <c r="I28" i="2" a="1"/>
  <c r="I29" i="2" a="1"/>
  <c r="I30" i="2" a="1"/>
  <c r="I31" i="2" a="1"/>
  <c r="I32" i="2" a="1"/>
  <c r="I33" i="2" a="1"/>
  <c r="I34" i="2" a="1"/>
  <c r="I35" i="2" a="1"/>
  <c r="I36" i="2" a="1"/>
  <c r="I37" i="2" a="1"/>
  <c r="I38" i="2" a="1"/>
  <c r="I39" i="2" a="1"/>
  <c r="I40" i="2" a="1"/>
  <c r="I41" i="2" a="1"/>
  <c r="I42" i="2" a="1"/>
  <c r="I43" i="2" a="1"/>
  <c r="I44" i="2" a="1"/>
  <c r="I45" i="2" a="1"/>
  <c r="I47" i="2" a="1"/>
  <c r="I49" i="2" a="1"/>
  <c r="I51" i="2" a="1"/>
  <c r="I53" i="2" a="1"/>
  <c r="I55" i="2" a="1"/>
  <c r="I58" i="2" a="1"/>
  <c r="I59" i="2" a="1"/>
  <c r="I60" i="2" a="1"/>
  <c r="I61" i="2" a="1"/>
  <c r="I62" i="2" a="1"/>
  <c r="I63" i="2" a="1"/>
  <c r="I64" i="2" a="1"/>
  <c r="I65" i="2" a="1"/>
  <c r="I66" i="2" a="1"/>
  <c r="I67" i="2" a="1"/>
  <c r="I68" i="2" a="1"/>
  <c r="I69" i="2" a="1"/>
  <c r="I70" i="2" a="1"/>
  <c r="I71" i="2" a="1"/>
  <c r="I72" i="2" a="1"/>
  <c r="I73" i="2" a="1"/>
  <c r="I74" i="2" a="1"/>
  <c r="I75" i="2" a="1"/>
  <c r="I76" i="2" a="1"/>
  <c r="I77" i="2" a="1"/>
  <c r="I78" i="2" a="1"/>
  <c r="I143" i="2" a="1"/>
  <c r="I145" i="2" a="1"/>
  <c r="I79" i="2" a="1"/>
  <c r="I80" i="2" a="1"/>
  <c r="I81" i="2" a="1"/>
  <c r="I82" i="2" a="1"/>
  <c r="I83" i="2" a="1"/>
  <c r="I84" i="2" a="1"/>
  <c r="I85" i="2" a="1"/>
  <c r="I86" i="2" a="1"/>
  <c r="I87" i="2" a="1"/>
  <c r="I88" i="2" a="1"/>
  <c r="I89" i="2" a="1"/>
  <c r="I90" i="2" a="1"/>
  <c r="I91" i="2" a="1"/>
  <c r="I92" i="2" a="1"/>
  <c r="I93" i="2" a="1"/>
  <c r="I94" i="2" a="1"/>
  <c r="I95" i="2" a="1"/>
  <c r="I96" i="2" a="1"/>
  <c r="I97" i="2" a="1"/>
  <c r="I98" i="2" a="1"/>
  <c r="I99" i="2" a="1"/>
  <c r="I100" i="2" a="1"/>
  <c r="I101" i="2" a="1"/>
  <c r="I102" i="2" a="1"/>
  <c r="I103" i="2" a="1"/>
  <c r="I104" i="2" a="1"/>
  <c r="I105" i="2" a="1"/>
  <c r="I106" i="2" a="1"/>
  <c r="I107" i="2" a="1"/>
  <c r="I108" i="2" a="1"/>
  <c r="I109" i="2" a="1"/>
  <c r="I110" i="2" a="1"/>
  <c r="I112" i="2" a="1"/>
  <c r="I115" i="2" a="1"/>
  <c r="I118" i="2" a="1"/>
  <c r="C144" i="2" a="1"/>
  <c r="C89" i="2" a="1"/>
  <c r="C94" i="2" a="1"/>
  <c r="C104" i="2" a="1"/>
  <c r="C117" i="2" a="1"/>
  <c r="C120" i="2" a="1"/>
  <c r="B35" i="2" a="1"/>
  <c r="B40" i="2" a="1"/>
  <c r="B52" i="2" a="1"/>
  <c r="B57" i="2" a="1"/>
  <c r="B64" i="2" a="1"/>
  <c r="B70" i="2" a="1"/>
  <c r="B135" i="2" a="1"/>
  <c r="B79" i="2" a="1"/>
  <c r="L67" i="2" a="1"/>
  <c r="L75" i="2" a="1"/>
  <c r="L78" i="2" a="1"/>
  <c r="L84" i="2" a="1"/>
  <c r="L93" i="2" a="1"/>
  <c r="L98" i="2" a="1"/>
  <c r="L101" i="2" a="1"/>
  <c r="L108" i="2" a="1"/>
  <c r="I122" i="2" a="1"/>
  <c r="I123" i="2" a="1"/>
  <c r="I124" i="2" a="1"/>
  <c r="I125" i="2" a="1"/>
  <c r="I126" i="2" a="1"/>
  <c r="I127" i="2" a="1"/>
  <c r="I128" i="2" a="1"/>
  <c r="I129" i="2" a="1"/>
  <c r="I130" i="2" a="1"/>
  <c r="I131" i="2" a="1"/>
  <c r="I132" i="2" a="1"/>
  <c r="I133" i="2" a="1"/>
  <c r="I134" i="2" a="1"/>
  <c r="I135" i="2" a="1"/>
  <c r="I136" i="2" a="1"/>
  <c r="I137" i="2" a="1"/>
  <c r="I138" i="2" a="1"/>
  <c r="I139" i="2" a="1"/>
  <c r="I140" i="2" a="1"/>
  <c r="I141" i="2" a="1"/>
  <c r="I142" i="2" a="1"/>
  <c r="I144" i="2" a="1"/>
  <c r="I146" i="2" a="1"/>
  <c r="I147" i="2" a="1"/>
  <c r="I148" i="2" a="1"/>
  <c r="I149" i="2" a="1"/>
  <c r="I150" i="2" a="1"/>
  <c r="I151" i="2" a="1"/>
  <c r="I152" i="2" a="1"/>
  <c r="I153" i="2" a="1"/>
  <c r="I154" i="2" a="1"/>
  <c r="I155" i="2" a="1"/>
  <c r="I156" i="2" a="1"/>
  <c r="I157" i="2" a="1"/>
  <c r="I158" i="2" a="1"/>
  <c r="I159" i="2" a="1"/>
  <c r="I160" i="2" a="1"/>
  <c r="H11" i="2" a="1"/>
  <c r="H12" i="2" a="1"/>
  <c r="H13" i="2" a="1"/>
  <c r="H14" i="2" a="1"/>
  <c r="H15" i="2" a="1"/>
  <c r="H16" i="2" a="1"/>
  <c r="H17" i="2" a="1"/>
  <c r="H18" i="2" a="1"/>
  <c r="H19" i="2" a="1"/>
  <c r="H20" i="2" a="1"/>
  <c r="H21" i="2" a="1"/>
  <c r="H22" i="2" a="1"/>
  <c r="H23" i="2" a="1"/>
  <c r="H24" i="2" a="1"/>
  <c r="H25" i="2" a="1"/>
  <c r="H26" i="2" a="1"/>
  <c r="H27" i="2" a="1"/>
  <c r="H28" i="2" a="1"/>
  <c r="H29" i="2" a="1"/>
  <c r="H30" i="2" a="1"/>
  <c r="H31" i="2" a="1"/>
  <c r="H32" i="2" a="1"/>
  <c r="H33" i="2" a="1"/>
  <c r="H34" i="2" a="1"/>
  <c r="H35" i="2" a="1"/>
  <c r="H36" i="2" a="1"/>
  <c r="H37" i="2" a="1"/>
  <c r="H38" i="2" a="1"/>
  <c r="H39" i="2" a="1"/>
  <c r="H40" i="2" a="1"/>
  <c r="H41" i="2" a="1"/>
  <c r="H42" i="2" a="1"/>
  <c r="H43" i="2" a="1"/>
  <c r="H44" i="2" a="1"/>
  <c r="H45" i="2" a="1"/>
  <c r="H46" i="2" a="1"/>
  <c r="H47" i="2" a="1"/>
  <c r="H48" i="2" a="1"/>
  <c r="H49" i="2" a="1"/>
  <c r="H50" i="2" a="1"/>
  <c r="H51" i="2" a="1"/>
  <c r="H52" i="2" a="1"/>
  <c r="H53" i="2" a="1"/>
  <c r="H54" i="2" a="1"/>
  <c r="H55" i="2" a="1"/>
  <c r="H56" i="2" a="1"/>
  <c r="H57" i="2" a="1"/>
  <c r="H58" i="2" a="1"/>
  <c r="H59" i="2" a="1"/>
  <c r="H60" i="2" a="1"/>
  <c r="H61" i="2" a="1"/>
  <c r="H62" i="2" a="1"/>
  <c r="H63" i="2" a="1"/>
  <c r="H64" i="2" a="1"/>
  <c r="H65" i="2" a="1"/>
  <c r="H66" i="2" a="1"/>
  <c r="H67" i="2" a="1"/>
  <c r="H68" i="2" a="1"/>
  <c r="H69" i="2" a="1"/>
  <c r="H70" i="2" a="1"/>
  <c r="H71" i="2" a="1"/>
  <c r="H72" i="2" a="1"/>
  <c r="H73" i="2" a="1"/>
  <c r="H74" i="2" a="1"/>
  <c r="H75" i="2" a="1"/>
  <c r="H76" i="2" a="1"/>
  <c r="H77" i="2" a="1"/>
  <c r="H78" i="2" a="1"/>
  <c r="H119" i="2" a="1"/>
  <c r="H122" i="2" a="1"/>
  <c r="H124" i="2" a="1"/>
  <c r="H125" i="2" a="1"/>
  <c r="H127" i="2" a="1"/>
  <c r="H129" i="2" a="1"/>
  <c r="H131" i="2" a="1"/>
  <c r="H153" i="2" a="1"/>
  <c r="H155" i="2" a="1"/>
  <c r="H157" i="2" a="1"/>
  <c r="H159" i="2" a="1"/>
  <c r="G11" i="2" a="1"/>
  <c r="G13" i="2" a="1"/>
  <c r="G15" i="2" a="1"/>
  <c r="G17" i="2" a="1"/>
  <c r="G19" i="2" a="1"/>
  <c r="G21" i="2" a="1"/>
  <c r="G23" i="2" a="1"/>
  <c r="G25" i="2" a="1"/>
  <c r="G27" i="2" a="1"/>
  <c r="G29" i="2" a="1"/>
  <c r="G31" i="2" a="1"/>
  <c r="G33" i="2" a="1"/>
  <c r="G35" i="2" a="1"/>
  <c r="G37" i="2" a="1"/>
  <c r="G39" i="2" a="1"/>
  <c r="G41" i="2" a="1"/>
  <c r="G42" i="2" a="1"/>
  <c r="G43" i="2" a="1"/>
  <c r="G44" i="2" a="1"/>
  <c r="G45" i="2" a="1"/>
  <c r="G46" i="2" a="1"/>
  <c r="G47" i="2" a="1"/>
  <c r="G48" i="2" a="1"/>
  <c r="G125" i="2" a="1"/>
  <c r="G127" i="2" a="1"/>
  <c r="G130" i="2" a="1"/>
  <c r="G135" i="2" a="1"/>
  <c r="G142" i="2" a="1"/>
  <c r="G144" i="2" a="1"/>
  <c r="G145" i="2" a="1"/>
  <c r="G147" i="2" a="1"/>
  <c r="G149" i="2" a="1"/>
  <c r="G151" i="2" a="1"/>
  <c r="G153" i="2" a="1"/>
  <c r="G155" i="2" a="1"/>
  <c r="G157" i="2" a="1"/>
  <c r="G159" i="2" a="1"/>
  <c r="F11" i="2" a="1"/>
  <c r="D83" i="2" a="1"/>
  <c r="D89" i="2" a="1"/>
  <c r="D94" i="2" a="1"/>
  <c r="D99" i="2" a="1"/>
  <c r="D104" i="2" a="1"/>
  <c r="D108" i="2" a="1"/>
  <c r="D114" i="2" a="1"/>
  <c r="D119" i="2" a="1"/>
  <c r="D124" i="2" a="1"/>
  <c r="D128" i="2" a="1"/>
  <c r="D135" i="2" a="1"/>
  <c r="D140" i="2" a="1"/>
  <c r="D144" i="2" a="1"/>
  <c r="D149" i="2" a="1"/>
  <c r="D154" i="2" a="1"/>
  <c r="C11" i="2" a="1"/>
  <c r="C46" i="2" a="1"/>
  <c r="C74" i="2" a="1"/>
  <c r="C79" i="2" a="1"/>
  <c r="C88" i="2" a="1"/>
  <c r="C96" i="2" a="1"/>
  <c r="C116" i="2" a="1"/>
  <c r="B23" i="2" a="1"/>
  <c r="B31" i="2" a="1"/>
  <c r="B36" i="2" a="1"/>
  <c r="B48" i="2" a="1"/>
  <c r="B66" i="2" a="1"/>
  <c r="B75" i="2" a="1"/>
  <c r="B145" i="2" a="1"/>
  <c r="L74" i="2" a="1"/>
  <c r="L156" i="2" a="1"/>
  <c r="L80" i="2" a="1"/>
  <c r="L85" i="2" a="1"/>
  <c r="L96" i="2" a="1"/>
  <c r="H133" i="2" a="1"/>
  <c r="H135" i="2" a="1"/>
  <c r="H137" i="2" a="1"/>
  <c r="H139" i="2" a="1"/>
  <c r="H141" i="2" a="1"/>
  <c r="H143" i="2" a="1"/>
  <c r="H145" i="2" a="1"/>
  <c r="H146" i="2" a="1"/>
  <c r="H79" i="2" a="1"/>
  <c r="H80" i="2" a="1"/>
  <c r="H81" i="2" a="1"/>
  <c r="H82" i="2" a="1"/>
  <c r="H83" i="2" a="1"/>
  <c r="H84" i="2" a="1"/>
  <c r="H85" i="2" a="1"/>
  <c r="H86" i="2" a="1"/>
  <c r="H87" i="2" a="1"/>
  <c r="H88" i="2" a="1"/>
  <c r="H89" i="2" a="1"/>
  <c r="H90" i="2" a="1"/>
  <c r="H91" i="2" a="1"/>
  <c r="H92" i="2" a="1"/>
  <c r="H93" i="2" a="1"/>
  <c r="H94" i="2" a="1"/>
  <c r="H95" i="2" a="1"/>
  <c r="H96" i="2" a="1"/>
  <c r="H97" i="2" a="1"/>
  <c r="H98" i="2" a="1"/>
  <c r="H99" i="2" a="1"/>
  <c r="H100" i="2" a="1"/>
  <c r="H101" i="2" a="1"/>
  <c r="H102" i="2" a="1"/>
  <c r="H103" i="2" a="1"/>
  <c r="H104" i="2" a="1"/>
  <c r="H105" i="2" a="1"/>
  <c r="H106" i="2" a="1"/>
  <c r="H107" i="2" a="1"/>
  <c r="H108" i="2" a="1"/>
  <c r="H109" i="2" a="1"/>
  <c r="H110" i="2" a="1"/>
  <c r="H111" i="2" a="1"/>
  <c r="H112" i="2" a="1"/>
  <c r="H113" i="2" a="1"/>
  <c r="H114" i="2" a="1"/>
  <c r="H115" i="2" a="1"/>
  <c r="H116" i="2" a="1"/>
  <c r="H117" i="2" a="1"/>
  <c r="H118" i="2" a="1"/>
  <c r="H120" i="2" a="1"/>
  <c r="H121" i="2" a="1"/>
  <c r="H123" i="2" a="1"/>
  <c r="H126" i="2" a="1"/>
  <c r="H128" i="2" a="1"/>
  <c r="H130" i="2" a="1"/>
  <c r="H132" i="2" a="1"/>
  <c r="H134" i="2" a="1"/>
  <c r="H136" i="2" a="1"/>
  <c r="H138" i="2" a="1"/>
  <c r="H140" i="2" a="1"/>
  <c r="H142" i="2" a="1"/>
  <c r="H144" i="2" a="1"/>
  <c r="H147" i="2" a="1"/>
  <c r="H148" i="2" a="1"/>
  <c r="H149" i="2" a="1"/>
  <c r="H150" i="2" a="1"/>
  <c r="H151" i="2" a="1"/>
  <c r="H152" i="2" a="1"/>
  <c r="H154" i="2" a="1"/>
  <c r="H156" i="2" a="1"/>
  <c r="H158" i="2" a="1"/>
  <c r="H160" i="2" a="1"/>
  <c r="G12" i="2" a="1"/>
  <c r="G14" i="2" a="1"/>
  <c r="G16" i="2" a="1"/>
  <c r="G18" i="2" a="1"/>
  <c r="G20" i="2" a="1"/>
  <c r="G22" i="2" a="1"/>
  <c r="G24" i="2" a="1"/>
  <c r="G26" i="2" a="1"/>
  <c r="G28" i="2" a="1"/>
  <c r="G30" i="2" a="1"/>
  <c r="G32" i="2" a="1"/>
  <c r="G34" i="2" a="1"/>
  <c r="G36" i="2" a="1"/>
  <c r="G38" i="2" a="1"/>
  <c r="G40" i="2" a="1"/>
  <c r="C43" i="2" a="1"/>
  <c r="C50" i="2" a="1"/>
  <c r="C56" i="2" a="1"/>
  <c r="C61" i="2" a="1"/>
  <c r="C66" i="2" a="1"/>
  <c r="C70" i="2" a="1"/>
  <c r="C76" i="2" a="1"/>
  <c r="C103" i="2" a="1"/>
  <c r="C111" i="2" a="1"/>
  <c r="C114" i="2" a="1"/>
  <c r="B30" i="2" a="1"/>
  <c r="B47" i="2" a="1"/>
  <c r="B53" i="2" a="1"/>
  <c r="B63" i="2" a="1"/>
  <c r="B71" i="2" a="1"/>
  <c r="B76" i="2" a="1"/>
  <c r="L72" i="2" a="1"/>
  <c r="L106" i="2" a="1"/>
  <c r="G49" i="2" a="1"/>
  <c r="G50" i="2" a="1"/>
  <c r="G51" i="2" a="1"/>
  <c r="G52" i="2" a="1"/>
  <c r="G53" i="2" a="1"/>
  <c r="G54" i="2" a="1"/>
  <c r="G55" i="2" a="1"/>
  <c r="G56" i="2" a="1"/>
  <c r="G57" i="2" a="1"/>
  <c r="G58" i="2" a="1"/>
  <c r="G59" i="2" a="1"/>
  <c r="G60" i="2" a="1"/>
  <c r="G61" i="2" a="1"/>
  <c r="G62" i="2" a="1"/>
  <c r="G63" i="2" a="1"/>
  <c r="G64" i="2" a="1"/>
  <c r="G65" i="2" a="1"/>
  <c r="G66" i="2" a="1"/>
  <c r="G67" i="2" a="1"/>
  <c r="G68" i="2" a="1"/>
  <c r="G69" i="2" a="1"/>
  <c r="G70" i="2" a="1"/>
  <c r="G71" i="2" a="1"/>
  <c r="G72" i="2" a="1"/>
  <c r="G73" i="2" a="1"/>
  <c r="G74" i="2" a="1"/>
  <c r="G75" i="2" a="1"/>
  <c r="G76" i="2" a="1"/>
  <c r="G77" i="2" a="1"/>
  <c r="G78" i="2" a="1"/>
  <c r="G112" i="2" a="1"/>
  <c r="G114" i="2" a="1"/>
  <c r="G116" i="2" a="1"/>
  <c r="G117" i="2" a="1"/>
  <c r="G119" i="2" a="1"/>
  <c r="G121" i="2" a="1"/>
  <c r="G123" i="2" a="1"/>
  <c r="G124" i="2" a="1"/>
  <c r="G126" i="2" a="1"/>
  <c r="G128" i="2" a="1"/>
  <c r="G129" i="2" a="1"/>
  <c r="G131" i="2" a="1"/>
  <c r="G133" i="2" a="1"/>
  <c r="G134" i="2" a="1"/>
  <c r="G136" i="2" a="1"/>
  <c r="G138" i="2" a="1"/>
  <c r="G139" i="2" a="1"/>
  <c r="G141" i="2" a="1"/>
  <c r="G79" i="2" a="1"/>
  <c r="G80" i="2" a="1"/>
  <c r="G81" i="2" a="1"/>
  <c r="G82" i="2" a="1"/>
  <c r="G83" i="2" a="1"/>
  <c r="G84" i="2" a="1"/>
  <c r="G85" i="2" a="1"/>
  <c r="G86" i="2" a="1"/>
  <c r="G87" i="2" a="1"/>
  <c r="G88" i="2" a="1"/>
  <c r="G89" i="2" a="1"/>
  <c r="G90" i="2" a="1"/>
  <c r="G91" i="2" a="1"/>
  <c r="G92" i="2" a="1"/>
  <c r="G93" i="2" a="1"/>
  <c r="G94" i="2" a="1"/>
  <c r="G95" i="2" a="1"/>
  <c r="G96" i="2" a="1"/>
  <c r="G97" i="2" a="1"/>
  <c r="G98" i="2" a="1"/>
  <c r="G99" i="2" a="1"/>
  <c r="G100" i="2" a="1"/>
  <c r="G101" i="2" a="1"/>
  <c r="G102" i="2" a="1"/>
  <c r="G103" i="2" a="1"/>
  <c r="G104" i="2" a="1"/>
  <c r="G105" i="2" a="1"/>
  <c r="G106" i="2" a="1"/>
  <c r="G107" i="2" a="1"/>
  <c r="G108" i="2" a="1"/>
  <c r="G109" i="2" a="1"/>
  <c r="G110" i="2" a="1"/>
  <c r="G111" i="2" a="1"/>
  <c r="G113" i="2" a="1"/>
  <c r="G115" i="2" a="1"/>
  <c r="G118" i="2" a="1"/>
  <c r="G120" i="2" a="1"/>
  <c r="G122" i="2" a="1"/>
  <c r="G132" i="2" a="1"/>
  <c r="G137" i="2" a="1"/>
  <c r="G140" i="2" a="1"/>
  <c r="G143" i="2" a="1"/>
  <c r="G146" i="2" a="1"/>
  <c r="G148" i="2" a="1"/>
  <c r="G150" i="2" a="1"/>
  <c r="G152" i="2" a="1"/>
  <c r="G154" i="2" a="1"/>
  <c r="G156" i="2" a="1"/>
  <c r="G158" i="2" a="1"/>
  <c r="G160" i="2" a="1"/>
  <c r="D82" i="2" a="1"/>
  <c r="D87" i="2" a="1"/>
  <c r="D92" i="2" a="1"/>
  <c r="D97" i="2" a="1"/>
  <c r="D102" i="2" a="1"/>
  <c r="D107" i="2" a="1"/>
  <c r="D112" i="2" a="1"/>
  <c r="D117" i="2" a="1"/>
  <c r="D122" i="2" a="1"/>
  <c r="D127" i="2" a="1"/>
  <c r="D133" i="2" a="1"/>
  <c r="D138" i="2" a="1"/>
  <c r="D143" i="2" a="1"/>
  <c r="D148" i="2" a="1"/>
  <c r="D153" i="2" a="1"/>
  <c r="D158" i="2" a="1"/>
  <c r="C12" i="2" a="1"/>
  <c r="C48" i="2" a="1"/>
  <c r="C53" i="2" a="1"/>
  <c r="C59" i="2" a="1"/>
  <c r="C63" i="2" a="1"/>
  <c r="C68" i="2" a="1"/>
  <c r="C75" i="2" a="1"/>
  <c r="C92" i="2" a="1"/>
  <c r="C99" i="2" a="1"/>
  <c r="C110" i="2" a="1"/>
  <c r="B24" i="2" a="1"/>
  <c r="B37" i="2" a="1"/>
  <c r="B41" i="2" a="1"/>
  <c r="B55" i="2" a="1"/>
  <c r="B59" i="2" a="1"/>
  <c r="B73" i="2" a="1"/>
  <c r="B77" i="2" a="1"/>
  <c r="L89" i="2" a="1"/>
  <c r="L100" i="2" a="1"/>
  <c r="L113" i="2" a="1"/>
  <c r="F12" i="2" a="1"/>
  <c r="F13" i="2" a="1"/>
  <c r="F14" i="2" a="1"/>
  <c r="F15" i="2" a="1"/>
  <c r="F16" i="2" a="1"/>
  <c r="F17" i="2" a="1"/>
  <c r="F18" i="2" a="1"/>
  <c r="F19" i="2" a="1"/>
  <c r="F20" i="2" a="1"/>
  <c r="F21" i="2" a="1"/>
  <c r="F22" i="2" a="1"/>
  <c r="F23" i="2" a="1"/>
  <c r="F24" i="2" a="1"/>
  <c r="F25" i="2" a="1"/>
  <c r="F26" i="2" a="1"/>
  <c r="F27" i="2" a="1"/>
  <c r="F28" i="2" a="1"/>
  <c r="F29" i="2" a="1"/>
  <c r="F30" i="2" a="1"/>
  <c r="F31" i="2" a="1"/>
  <c r="F32" i="2" a="1"/>
  <c r="F33" i="2" a="1"/>
  <c r="F34" i="2" a="1"/>
  <c r="F35" i="2" a="1"/>
  <c r="F36" i="2" a="1"/>
  <c r="F37" i="2" a="1"/>
  <c r="F38" i="2" a="1"/>
  <c r="F39" i="2" a="1"/>
  <c r="F40" i="2" a="1"/>
  <c r="F41" i="2" a="1"/>
  <c r="F42" i="2" a="1"/>
  <c r="F43" i="2" a="1"/>
  <c r="F44" i="2" a="1"/>
  <c r="F45" i="2" a="1"/>
  <c r="F46" i="2" a="1"/>
  <c r="F47" i="2" a="1"/>
  <c r="F48" i="2" a="1"/>
  <c r="F49" i="2" a="1"/>
  <c r="F50" i="2" a="1"/>
  <c r="F51" i="2" a="1"/>
  <c r="F52" i="2" a="1"/>
  <c r="F53" i="2" a="1"/>
  <c r="F54" i="2" a="1"/>
  <c r="F55" i="2" a="1"/>
  <c r="F56" i="2" a="1"/>
  <c r="F57" i="2" a="1"/>
  <c r="F58" i="2" a="1"/>
  <c r="F59" i="2" a="1"/>
  <c r="F60" i="2" a="1"/>
  <c r="F61" i="2" a="1"/>
  <c r="F62" i="2" a="1"/>
  <c r="F63" i="2" a="1"/>
  <c r="F64" i="2" a="1"/>
  <c r="F65" i="2" a="1"/>
  <c r="F66" i="2" a="1"/>
  <c r="F67" i="2" a="1"/>
  <c r="F68" i="2" a="1"/>
  <c r="F69" i="2" a="1"/>
  <c r="F70" i="2" a="1"/>
  <c r="F71" i="2" a="1"/>
  <c r="F72" i="2" a="1"/>
  <c r="F73" i="2" a="1"/>
  <c r="F74" i="2" a="1"/>
  <c r="F75" i="2" a="1"/>
  <c r="F76" i="2" a="1"/>
  <c r="F77" i="2" a="1"/>
  <c r="F78" i="2" a="1"/>
  <c r="F116" i="2" a="1"/>
  <c r="F118" i="2" a="1"/>
  <c r="F119" i="2" a="1"/>
  <c r="F121" i="2" a="1"/>
  <c r="F123" i="2" a="1"/>
  <c r="F125" i="2" a="1"/>
  <c r="F127" i="2" a="1"/>
  <c r="F128" i="2" a="1"/>
  <c r="F130" i="2" a="1"/>
  <c r="F132" i="2" a="1"/>
  <c r="F134" i="2" a="1"/>
  <c r="F135" i="2" a="1"/>
  <c r="F137" i="2" a="1"/>
  <c r="F139" i="2" a="1"/>
  <c r="F140" i="2" a="1"/>
  <c r="F142" i="2" a="1"/>
  <c r="F144" i="2" a="1"/>
  <c r="F146" i="2" a="1"/>
  <c r="F79" i="2" a="1"/>
  <c r="F80" i="2" a="1"/>
  <c r="F81" i="2" a="1"/>
  <c r="F82" i="2" a="1"/>
  <c r="F83" i="2" a="1"/>
  <c r="F84" i="2" a="1"/>
  <c r="F85" i="2" a="1"/>
  <c r="F86" i="2" a="1"/>
  <c r="F87" i="2" a="1"/>
  <c r="F88" i="2" a="1"/>
  <c r="F89" i="2" a="1"/>
  <c r="F90" i="2" a="1"/>
  <c r="F91" i="2" a="1"/>
  <c r="F92" i="2" a="1"/>
  <c r="F93" i="2" a="1"/>
  <c r="F94" i="2" a="1"/>
  <c r="F95" i="2" a="1"/>
  <c r="F96" i="2" a="1"/>
  <c r="F97" i="2" a="1"/>
  <c r="F98" i="2" a="1"/>
  <c r="F99" i="2" a="1"/>
  <c r="F100" i="2" a="1"/>
  <c r="F101" i="2" a="1"/>
  <c r="F102" i="2" a="1"/>
  <c r="F103" i="2" a="1"/>
  <c r="F104" i="2" a="1"/>
  <c r="F105" i="2" a="1"/>
  <c r="F106" i="2" a="1"/>
  <c r="E86" i="2" a="1"/>
  <c r="D24" i="2" a="1"/>
  <c r="D26" i="2" a="1"/>
  <c r="D28" i="2" a="1"/>
  <c r="D30" i="2" a="1"/>
  <c r="D32" i="2" a="1"/>
  <c r="D34" i="2" a="1"/>
  <c r="D36" i="2" a="1"/>
  <c r="D38" i="2" a="1"/>
  <c r="D40" i="2" a="1"/>
  <c r="D44" i="2" a="1"/>
  <c r="D47" i="2" a="1"/>
  <c r="D48" i="2" a="1"/>
  <c r="D51" i="2" a="1"/>
  <c r="D54" i="2" a="1"/>
  <c r="D57" i="2" a="1"/>
  <c r="D61" i="2" a="1"/>
  <c r="D63" i="2" a="1"/>
  <c r="D68" i="2" a="1"/>
  <c r="D71" i="2" a="1"/>
  <c r="D74" i="2" a="1"/>
  <c r="D77" i="2" a="1"/>
  <c r="D80" i="2" a="1"/>
  <c r="D85" i="2" a="1"/>
  <c r="D90" i="2" a="1"/>
  <c r="D95" i="2" a="1"/>
  <c r="D100" i="2" a="1"/>
  <c r="D106" i="2" a="1"/>
  <c r="D111" i="2" a="1"/>
  <c r="D116" i="2" a="1"/>
  <c r="D121" i="2" a="1"/>
  <c r="D126" i="2" a="1"/>
  <c r="D130" i="2" a="1"/>
  <c r="D134" i="2" a="1"/>
  <c r="D139" i="2" a="1"/>
  <c r="D145" i="2" a="1"/>
  <c r="D150" i="2" a="1"/>
  <c r="D155" i="2" a="1"/>
  <c r="D159" i="2" a="1"/>
  <c r="C45" i="2" a="1"/>
  <c r="C49" i="2" a="1"/>
  <c r="C54" i="2" a="1"/>
  <c r="C58" i="2" a="1"/>
  <c r="C64" i="2" a="1"/>
  <c r="C69" i="2" a="1"/>
  <c r="C73" i="2" a="1"/>
  <c r="C82" i="2" a="1"/>
  <c r="C98" i="2" a="1"/>
  <c r="C107" i="2" a="1"/>
  <c r="C121" i="2" a="1"/>
  <c r="B28" i="2" a="1"/>
  <c r="B58" i="2" a="1"/>
  <c r="B68" i="2" a="1"/>
  <c r="B139" i="2" a="1"/>
  <c r="L109" i="2" a="1"/>
  <c r="L115" i="2" a="1"/>
  <c r="F107" i="2" a="1"/>
  <c r="F108" i="2" a="1"/>
  <c r="F109" i="2" a="1"/>
  <c r="F110" i="2" a="1"/>
  <c r="F111" i="2" a="1"/>
  <c r="F112" i="2" a="1"/>
  <c r="F113" i="2" a="1"/>
  <c r="F114" i="2" a="1"/>
  <c r="F115" i="2" a="1"/>
  <c r="F117" i="2" a="1"/>
  <c r="F120" i="2" a="1"/>
  <c r="F122" i="2" a="1"/>
  <c r="F124" i="2" a="1"/>
  <c r="F126" i="2" a="1"/>
  <c r="F129" i="2" a="1"/>
  <c r="F131" i="2" a="1"/>
  <c r="F133" i="2" a="1"/>
  <c r="F136" i="2" a="1"/>
  <c r="F138" i="2" a="1"/>
  <c r="F141" i="2" a="1"/>
  <c r="F143" i="2" a="1"/>
  <c r="F145" i="2" a="1"/>
  <c r="F160" i="2" a="1"/>
  <c r="F147" i="2" a="1"/>
  <c r="F148" i="2" a="1"/>
  <c r="F149" i="2" a="1"/>
  <c r="F150" i="2" a="1"/>
  <c r="F151" i="2" a="1"/>
  <c r="F152" i="2" a="1"/>
  <c r="F153" i="2" a="1"/>
  <c r="F154" i="2" a="1"/>
  <c r="F155" i="2" a="1"/>
  <c r="F156" i="2" a="1"/>
  <c r="F157" i="2" a="1"/>
  <c r="F158" i="2" a="1"/>
  <c r="F159" i="2" a="1"/>
  <c r="E11" i="2" a="1"/>
  <c r="E12" i="2" a="1"/>
  <c r="E13" i="2" a="1"/>
  <c r="E14" i="2" a="1"/>
  <c r="E15" i="2" a="1"/>
  <c r="E16" i="2" a="1"/>
  <c r="E17" i="2" a="1"/>
  <c r="E18" i="2" a="1"/>
  <c r="E19" i="2" a="1"/>
  <c r="E20" i="2" a="1"/>
  <c r="E21" i="2" a="1"/>
  <c r="E22" i="2" a="1"/>
  <c r="E23" i="2" a="1"/>
  <c r="E24" i="2" a="1"/>
  <c r="E25" i="2" a="1"/>
  <c r="E26" i="2" a="1"/>
  <c r="E27" i="2" a="1"/>
  <c r="E28" i="2" a="1"/>
  <c r="E29" i="2" a="1"/>
  <c r="E30" i="2" a="1"/>
  <c r="E31" i="2" a="1"/>
  <c r="E32" i="2" a="1"/>
  <c r="E33" i="2" a="1"/>
  <c r="E34" i="2" a="1"/>
  <c r="E35" i="2" a="1"/>
  <c r="E36" i="2" a="1"/>
  <c r="E37" i="2" a="1"/>
  <c r="E38" i="2" a="1"/>
  <c r="E39" i="2" a="1"/>
  <c r="E40" i="2" a="1"/>
  <c r="E41" i="2" a="1"/>
  <c r="E42" i="2" a="1"/>
  <c r="E43" i="2" a="1"/>
  <c r="E44" i="2" a="1"/>
  <c r="E45" i="2" a="1"/>
  <c r="E46" i="2" a="1"/>
  <c r="E47" i="2" a="1"/>
  <c r="E48" i="2" a="1"/>
  <c r="E49" i="2" a="1"/>
  <c r="E50" i="2" a="1"/>
  <c r="E51" i="2" a="1"/>
  <c r="E52" i="2" a="1"/>
  <c r="E53" i="2" a="1"/>
  <c r="E54" i="2" a="1"/>
  <c r="E55" i="2" a="1"/>
  <c r="E56" i="2" a="1"/>
  <c r="E57" i="2" a="1"/>
  <c r="E58" i="2" a="1"/>
  <c r="E59" i="2" a="1"/>
  <c r="E60" i="2" a="1"/>
  <c r="E61" i="2" a="1"/>
  <c r="E62" i="2" a="1"/>
  <c r="E63" i="2" a="1"/>
  <c r="E64" i="2" a="1"/>
  <c r="E65" i="2" a="1"/>
  <c r="E66" i="2" a="1"/>
  <c r="E67" i="2" a="1"/>
  <c r="E68" i="2" a="1"/>
  <c r="E69" i="2" a="1"/>
  <c r="E70" i="2" a="1"/>
  <c r="E71" i="2" a="1"/>
  <c r="E72" i="2" a="1"/>
  <c r="E73" i="2" a="1"/>
  <c r="E74" i="2" a="1"/>
  <c r="E75" i="2" a="1"/>
  <c r="E76" i="2" a="1"/>
  <c r="E77" i="2" a="1"/>
  <c r="E78" i="2" a="1"/>
  <c r="E79" i="2" a="1"/>
  <c r="E80" i="2" a="1"/>
  <c r="E81" i="2" a="1"/>
  <c r="E82" i="2" a="1"/>
  <c r="E83" i="2" a="1"/>
  <c r="E84" i="2" a="1"/>
  <c r="E85" i="2" a="1"/>
  <c r="E87" i="2" a="1"/>
  <c r="D25" i="2" a="1"/>
  <c r="D27" i="2" a="1"/>
  <c r="D29" i="2" a="1"/>
  <c r="D31" i="2" a="1"/>
  <c r="D33" i="2" a="1"/>
  <c r="D35" i="2" a="1"/>
  <c r="D37" i="2" a="1"/>
  <c r="D39" i="2" a="1"/>
  <c r="D42" i="2" a="1"/>
  <c r="D45" i="2" a="1"/>
  <c r="D50" i="2" a="1"/>
  <c r="D53" i="2" a="1"/>
  <c r="D56" i="2" a="1"/>
  <c r="D59" i="2" a="1"/>
  <c r="D62" i="2" a="1"/>
  <c r="D65" i="2" a="1"/>
  <c r="D67" i="2" a="1"/>
  <c r="D70" i="2" a="1"/>
  <c r="D73" i="2" a="1"/>
  <c r="D76" i="2" a="1"/>
  <c r="D79" i="2" a="1"/>
  <c r="D84" i="2" a="1"/>
  <c r="D88" i="2" a="1"/>
  <c r="D93" i="2" a="1"/>
  <c r="D98" i="2" a="1"/>
  <c r="D103" i="2" a="1"/>
  <c r="D109" i="2" a="1"/>
  <c r="D115" i="2" a="1"/>
  <c r="D120" i="2" a="1"/>
  <c r="D125" i="2" a="1"/>
  <c r="D132" i="2" a="1"/>
  <c r="D136" i="2" a="1"/>
  <c r="D142" i="2" a="1"/>
  <c r="D147" i="2" a="1"/>
  <c r="D152" i="2" a="1"/>
  <c r="D156" i="2" a="1"/>
  <c r="D160" i="2" a="1"/>
  <c r="C47" i="2" a="1"/>
  <c r="C51" i="2" a="1"/>
  <c r="C55" i="2" a="1"/>
  <c r="C60" i="2" a="1"/>
  <c r="C65" i="2" a="1"/>
  <c r="C71" i="2" a="1"/>
  <c r="C78" i="2" a="1"/>
  <c r="C80" i="2" a="1"/>
  <c r="C91" i="2" a="1"/>
  <c r="C100" i="2" a="1"/>
  <c r="C119" i="2" a="1"/>
  <c r="B42" i="2" a="1"/>
  <c r="B46" i="2" a="1"/>
  <c r="B54" i="2" a="1"/>
  <c r="B61" i="2" a="1"/>
  <c r="B137" i="2" a="1"/>
  <c r="B80" i="2" a="1"/>
  <c r="L68" i="2" a="1"/>
  <c r="L158" i="2" a="1"/>
  <c r="L83" i="2" a="1"/>
  <c r="L92" i="2" a="1"/>
  <c r="L110" i="2" a="1"/>
  <c r="E88" i="2" a="1"/>
  <c r="E89" i="2" a="1"/>
  <c r="E90" i="2" a="1"/>
  <c r="E91" i="2" a="1"/>
  <c r="E92" i="2" a="1"/>
  <c r="E93" i="2" a="1"/>
  <c r="E94" i="2" a="1"/>
  <c r="E95" i="2" a="1"/>
  <c r="E96" i="2" a="1"/>
  <c r="E97" i="2" a="1"/>
  <c r="E98" i="2" a="1"/>
  <c r="E99" i="2" a="1"/>
  <c r="E100" i="2" a="1"/>
  <c r="E101" i="2" a="1"/>
  <c r="E102" i="2" a="1"/>
  <c r="E103" i="2" a="1"/>
  <c r="E104" i="2" a="1"/>
  <c r="E105" i="2" a="1"/>
  <c r="E106" i="2" a="1"/>
  <c r="E107" i="2" a="1"/>
  <c r="E108" i="2" a="1"/>
  <c r="E109" i="2" a="1"/>
  <c r="E110" i="2" a="1"/>
  <c r="E111" i="2" a="1"/>
  <c r="E112" i="2" a="1"/>
  <c r="E113" i="2" a="1"/>
  <c r="E114" i="2" a="1"/>
  <c r="E115" i="2" a="1"/>
  <c r="E116" i="2" a="1"/>
  <c r="E117" i="2" a="1"/>
  <c r="E118" i="2" a="1"/>
  <c r="E119" i="2" a="1"/>
  <c r="E120" i="2" a="1"/>
  <c r="E121" i="2" a="1"/>
  <c r="E122" i="2" a="1"/>
  <c r="E123" i="2" a="1"/>
  <c r="E124" i="2" a="1"/>
  <c r="E125" i="2" a="1"/>
  <c r="E126" i="2" a="1"/>
  <c r="E127" i="2" a="1"/>
  <c r="E128" i="2" a="1"/>
  <c r="E129" i="2" a="1"/>
  <c r="E130" i="2" a="1"/>
  <c r="E131" i="2" a="1"/>
  <c r="E132" i="2" a="1"/>
  <c r="E133" i="2" a="1"/>
  <c r="E134" i="2" a="1"/>
  <c r="E135" i="2" a="1"/>
  <c r="E136" i="2" a="1"/>
  <c r="E137" i="2" a="1"/>
  <c r="E138" i="2" a="1"/>
  <c r="E139" i="2" a="1"/>
  <c r="E140" i="2" a="1"/>
  <c r="E141" i="2" a="1"/>
  <c r="E142" i="2" a="1"/>
  <c r="E143" i="2" a="1"/>
  <c r="E144" i="2" a="1"/>
  <c r="E145" i="2" a="1"/>
  <c r="E146" i="2" a="1"/>
  <c r="E155" i="2" a="1"/>
  <c r="E156" i="2" a="1"/>
  <c r="E157" i="2" a="1"/>
  <c r="E147" i="2" a="1"/>
  <c r="E148" i="2" a="1"/>
  <c r="E149" i="2" a="1"/>
  <c r="E150" i="2" a="1"/>
  <c r="E151" i="2" a="1"/>
  <c r="E152" i="2" a="1"/>
  <c r="E153" i="2" a="1"/>
  <c r="E154" i="2" a="1"/>
  <c r="E158" i="2" a="1"/>
  <c r="E159" i="2" a="1"/>
  <c r="E160" i="2" a="1"/>
  <c r="D11" i="2" a="1"/>
  <c r="D12" i="2" a="1"/>
  <c r="D13" i="2" a="1"/>
  <c r="D14" i="2" a="1"/>
  <c r="D15" i="2" a="1"/>
  <c r="D16" i="2" a="1"/>
  <c r="D17" i="2" a="1"/>
  <c r="D18" i="2" a="1"/>
  <c r="D19" i="2" a="1"/>
  <c r="D20" i="2" a="1"/>
  <c r="D21" i="2" a="1"/>
  <c r="D22" i="2" a="1"/>
  <c r="D23" i="2" a="1"/>
  <c r="D41" i="2" a="1"/>
  <c r="D43" i="2" a="1"/>
  <c r="D46" i="2" a="1"/>
  <c r="D49" i="2" a="1"/>
  <c r="D52" i="2" a="1"/>
  <c r="D55" i="2" a="1"/>
  <c r="D58" i="2" a="1"/>
  <c r="D60" i="2" a="1"/>
  <c r="D64" i="2" a="1"/>
  <c r="D66" i="2" a="1"/>
  <c r="D69" i="2" a="1"/>
  <c r="D72" i="2" a="1"/>
  <c r="D75" i="2" a="1"/>
  <c r="D78" i="2" a="1"/>
  <c r="D81" i="2" a="1"/>
  <c r="D86" i="2" a="1"/>
  <c r="D91" i="2" a="1"/>
  <c r="D96" i="2" a="1"/>
  <c r="D101" i="2" a="1"/>
  <c r="D105" i="2" a="1"/>
  <c r="D110" i="2" a="1"/>
  <c r="D113" i="2" a="1"/>
  <c r="D118" i="2" a="1"/>
  <c r="D123" i="2" a="1"/>
  <c r="D129" i="2" a="1"/>
  <c r="D131" i="2" a="1"/>
  <c r="D137" i="2" a="1"/>
  <c r="D141" i="2" a="1"/>
  <c r="D146" i="2" a="1"/>
  <c r="D151" i="2" a="1"/>
  <c r="D157" i="2" a="1"/>
  <c r="C44" i="2" a="1"/>
  <c r="C52" i="2" a="1"/>
  <c r="C57" i="2" a="1"/>
  <c r="C62" i="2" a="1"/>
  <c r="C67" i="2" a="1"/>
  <c r="C72" i="2" a="1"/>
  <c r="C77" i="2" a="1"/>
  <c r="C146" i="2" a="1"/>
  <c r="C83" i="2" a="1"/>
  <c r="C97" i="2" a="1"/>
  <c r="C102" i="2" a="1"/>
  <c r="C108" i="2" a="1"/>
  <c r="C113" i="2" a="1"/>
  <c r="B27" i="2" a="1"/>
  <c r="B33" i="2" a="1"/>
  <c r="B39" i="2" a="1"/>
  <c r="B45" i="2" a="1"/>
  <c r="B51" i="2" a="1"/>
  <c r="B56" i="2" a="1"/>
  <c r="B60" i="2" a="1"/>
  <c r="B67" i="2" a="1"/>
  <c r="B69" i="2" a="1"/>
  <c r="B78" i="2" a="1"/>
  <c r="B81" i="2" a="1"/>
  <c r="L69" i="2" a="1"/>
  <c r="L77" i="2" a="1"/>
  <c r="L88" i="2" a="1"/>
  <c r="L95" i="2" a="1"/>
  <c r="L105" i="2" a="1"/>
  <c r="L111" i="2" a="1"/>
  <c r="L114" i="2" a="1"/>
  <c r="C13" i="2" a="1"/>
  <c r="C14" i="2" a="1"/>
  <c r="C15" i="2" a="1"/>
  <c r="C16" i="2" a="1"/>
  <c r="C17" i="2" a="1"/>
  <c r="C18" i="2" a="1"/>
  <c r="C19" i="2" a="1"/>
  <c r="C20" i="2" a="1"/>
  <c r="C21" i="2" a="1"/>
  <c r="C22" i="2" a="1"/>
  <c r="C23" i="2" a="1"/>
  <c r="C24" i="2" a="1"/>
  <c r="C25" i="2" a="1"/>
  <c r="C26" i="2" a="1"/>
  <c r="C27" i="2" a="1"/>
  <c r="C28" i="2" a="1"/>
  <c r="C29" i="2" a="1"/>
  <c r="C30" i="2" a="1"/>
  <c r="C31" i="2" a="1"/>
  <c r="C32" i="2" a="1"/>
  <c r="C33" i="2" a="1"/>
  <c r="C34" i="2" a="1"/>
  <c r="C35" i="2" a="1"/>
  <c r="C36" i="2" a="1"/>
  <c r="C37" i="2" a="1"/>
  <c r="C38" i="2" a="1"/>
  <c r="C39" i="2" a="1"/>
  <c r="C40" i="2" a="1"/>
  <c r="C41" i="2" a="1"/>
  <c r="C42" i="2" a="1"/>
  <c r="B141" i="2" a="1"/>
  <c r="L65" i="2" a="1"/>
  <c r="L76" i="2" a="1"/>
  <c r="L150" i="2" a="1"/>
  <c r="L79" i="2" a="1"/>
  <c r="L90" i="2" a="1"/>
  <c r="L97" i="2" a="1"/>
  <c r="C122" i="2" a="1"/>
  <c r="C123" i="2" a="1"/>
  <c r="C124" i="2" a="1"/>
  <c r="C125" i="2" a="1"/>
  <c r="C126" i="2" a="1"/>
  <c r="C127" i="2" a="1"/>
  <c r="C128" i="2" a="1"/>
  <c r="C129" i="2" a="1"/>
  <c r="C130" i="2" a="1"/>
  <c r="C131" i="2" a="1"/>
  <c r="C132" i="2" a="1"/>
  <c r="C133" i="2" a="1"/>
  <c r="C134" i="2" a="1"/>
  <c r="C135" i="2" a="1"/>
  <c r="C136" i="2" a="1"/>
  <c r="C137" i="2" a="1"/>
  <c r="C138" i="2" a="1"/>
  <c r="C139" i="2" a="1"/>
  <c r="C141" i="2" a="1"/>
  <c r="C143" i="2" a="1"/>
  <c r="C145" i="2" a="1"/>
  <c r="C147" i="2" a="1"/>
  <c r="C148" i="2" a="1"/>
  <c r="C149" i="2" a="1"/>
  <c r="C150" i="2" a="1"/>
  <c r="C151" i="2" a="1"/>
  <c r="C152" i="2" a="1"/>
  <c r="C153" i="2" a="1"/>
  <c r="C154" i="2" a="1"/>
  <c r="C155" i="2" a="1"/>
  <c r="C156" i="2" a="1"/>
  <c r="C157" i="2" a="1"/>
  <c r="C158" i="2" a="1"/>
  <c r="C159" i="2" a="1"/>
  <c r="C160" i="2" a="1"/>
  <c r="B11" i="2" a="1"/>
  <c r="B12" i="2" a="1"/>
  <c r="B13" i="2" a="1"/>
  <c r="B14" i="2" a="1"/>
  <c r="B15" i="2" a="1"/>
  <c r="B16" i="2" a="1"/>
  <c r="B17" i="2" a="1"/>
  <c r="B18" i="2" a="1"/>
  <c r="B19" i="2" a="1"/>
  <c r="B20" i="2" a="1"/>
  <c r="B21" i="2" a="1"/>
  <c r="B22" i="2" a="1"/>
  <c r="B82" i="2" a="1"/>
  <c r="B83" i="2" a="1"/>
  <c r="B84" i="2" a="1"/>
  <c r="B85" i="2" a="1"/>
  <c r="B86" i="2" a="1"/>
  <c r="B87" i="2" a="1"/>
  <c r="B88" i="2" a="1"/>
  <c r="B89" i="2" a="1"/>
  <c r="B90" i="2" a="1"/>
  <c r="B91" i="2" a="1"/>
  <c r="B92" i="2" a="1"/>
  <c r="B93" i="2" a="1"/>
  <c r="B94" i="2" a="1"/>
  <c r="B95" i="2" a="1"/>
  <c r="B96" i="2" a="1"/>
  <c r="B97" i="2" a="1"/>
  <c r="B98" i="2" a="1"/>
  <c r="B99" i="2" a="1"/>
  <c r="B100" i="2" a="1"/>
  <c r="B101" i="2" a="1"/>
  <c r="B102" i="2" a="1"/>
  <c r="B103" i="2" a="1"/>
  <c r="B104" i="2" a="1"/>
  <c r="B105" i="2" a="1"/>
  <c r="B106" i="2" a="1"/>
  <c r="B107" i="2" a="1"/>
  <c r="B108" i="2" a="1"/>
  <c r="B109" i="2" a="1"/>
  <c r="B110" i="2" a="1"/>
  <c r="B111" i="2" a="1"/>
  <c r="B112" i="2" a="1"/>
  <c r="B113" i="2" a="1"/>
  <c r="B114" i="2" a="1"/>
  <c r="B115" i="2" a="1"/>
  <c r="B116" i="2" a="1"/>
  <c r="B117" i="2" a="1"/>
  <c r="B118" i="2" a="1"/>
  <c r="B119" i="2" a="1"/>
  <c r="B120" i="2" a="1"/>
  <c r="B121" i="2" a="1"/>
  <c r="B122" i="2" a="1"/>
  <c r="B123" i="2" a="1"/>
  <c r="B124" i="2" a="1"/>
  <c r="B125" i="2" a="1"/>
  <c r="B126" i="2" a="1"/>
  <c r="B127" i="2" a="1"/>
  <c r="B128" i="2" a="1"/>
  <c r="B129" i="2" a="1"/>
  <c r="B130" i="2" a="1"/>
  <c r="B131" i="2" a="1"/>
  <c r="B133" i="2" a="1"/>
  <c r="B134" i="2" a="1"/>
  <c r="B136" i="2" a="1"/>
  <c r="B138" i="2" a="1"/>
  <c r="B140" i="2" a="1"/>
  <c r="B142" i="2" a="1"/>
  <c r="B144" i="2" a="1"/>
  <c r="B146" i="2" a="1"/>
  <c r="B147" i="2" a="1"/>
  <c r="B148" i="2" a="1"/>
  <c r="B149" i="2" a="1"/>
  <c r="B150" i="2" a="1"/>
  <c r="B151" i="2" a="1"/>
  <c r="B152" i="2" a="1"/>
  <c r="B153" i="2" a="1"/>
  <c r="B154" i="2" a="1"/>
  <c r="B155" i="2" a="1"/>
  <c r="B156" i="2" a="1"/>
  <c r="B157" i="2" a="1"/>
  <c r="B158" i="2" a="1"/>
  <c r="B159" i="2" a="1"/>
  <c r="B160" i="2" a="1"/>
  <c r="A12" i="2" a="1"/>
  <c r="A13" i="2" a="1"/>
  <c r="A14" i="2" a="1"/>
  <c r="A15" i="2" a="1"/>
  <c r="A16" i="2" a="1"/>
  <c r="A17" i="2" a="1"/>
  <c r="A18" i="2" a="1"/>
  <c r="A19" i="2" a="1"/>
  <c r="A20" i="2" a="1"/>
  <c r="A21" i="2" a="1"/>
  <c r="A22" i="2" a="1"/>
  <c r="A23" i="2" a="1"/>
  <c r="A24" i="2" a="1"/>
  <c r="A25" i="2" a="1"/>
  <c r="A26" i="2" a="1"/>
  <c r="A27" i="2" a="1"/>
  <c r="A28" i="2" a="1"/>
  <c r="A29" i="2" a="1"/>
  <c r="A30" i="2" a="1"/>
  <c r="A31" i="2" a="1"/>
  <c r="A32" i="2" a="1"/>
  <c r="A33" i="2" a="1"/>
  <c r="A34" i="2" a="1"/>
  <c r="A35" i="2" a="1"/>
  <c r="A36" i="2" a="1"/>
  <c r="A37" i="2" a="1"/>
  <c r="A38" i="2" a="1"/>
  <c r="A39" i="2" a="1"/>
  <c r="A40" i="2" a="1"/>
  <c r="A41" i="2" a="1"/>
  <c r="A42" i="2" a="1"/>
  <c r="A43" i="2" a="1"/>
  <c r="A44" i="2" a="1"/>
  <c r="A45" i="2" a="1"/>
  <c r="A46" i="2" a="1"/>
  <c r="A47" i="2" a="1"/>
  <c r="A48" i="2" a="1"/>
  <c r="A49" i="2" a="1"/>
  <c r="A50" i="2" a="1"/>
  <c r="A51" i="2" a="1"/>
  <c r="A139" i="2" a="1"/>
  <c r="A141" i="2" a="1"/>
  <c r="A143" i="2" a="1"/>
  <c r="A146" i="2" a="1"/>
  <c r="A148" i="2" a="1"/>
  <c r="A150" i="2" a="1"/>
  <c r="A152" i="2" a="1"/>
  <c r="A154" i="2" a="1"/>
  <c r="A156" i="2" a="1"/>
  <c r="A158" i="2" a="1"/>
  <c r="A160" i="2" a="1"/>
  <c r="L12" i="2" a="1"/>
  <c r="L15" i="2" a="1"/>
  <c r="L17" i="2" a="1"/>
  <c r="L19" i="2" a="1"/>
  <c r="L21" i="2" a="1"/>
  <c r="L23" i="2" a="1"/>
  <c r="L24" i="2" a="1"/>
  <c r="L26" i="2" a="1"/>
  <c r="L28" i="2" a="1"/>
  <c r="L30" i="2" a="1"/>
  <c r="L32" i="2" a="1"/>
  <c r="L35" i="2" a="1"/>
  <c r="L36" i="2" a="1"/>
  <c r="L38" i="2" a="1"/>
  <c r="L40" i="2" a="1"/>
  <c r="L42" i="2" a="1"/>
  <c r="L44" i="2" a="1"/>
  <c r="L46" i="2" a="1"/>
  <c r="L48" i="2" a="1"/>
  <c r="L50" i="2" a="1"/>
  <c r="L51" i="2" a="1"/>
  <c r="L53" i="2" a="1"/>
  <c r="L55" i="2" a="1"/>
  <c r="L56" i="2" a="1"/>
  <c r="L58" i="2" a="1"/>
  <c r="L60" i="2" a="1"/>
  <c r="L62" i="2" a="1"/>
  <c r="L64" i="2" a="1"/>
  <c r="L71" i="2" a="1"/>
  <c r="L154" i="2" a="1"/>
  <c r="L82" i="2" a="1"/>
  <c r="L91" i="2" a="1"/>
  <c r="L102" i="2" a="1"/>
  <c r="L112" i="2" a="1"/>
  <c r="A52" i="2" a="1"/>
  <c r="A53" i="2" a="1"/>
  <c r="A54" i="2" a="1"/>
  <c r="A55" i="2" a="1"/>
  <c r="A56" i="2" a="1"/>
  <c r="A57" i="2" a="1"/>
  <c r="A58" i="2" a="1"/>
  <c r="A59" i="2" a="1"/>
  <c r="A60" i="2" a="1"/>
  <c r="A61" i="2" a="1"/>
  <c r="A62" i="2" a="1"/>
  <c r="A63" i="2" a="1"/>
  <c r="A64" i="2" a="1"/>
  <c r="A65" i="2" a="1"/>
  <c r="A66" i="2" a="1"/>
  <c r="A67" i="2" a="1"/>
  <c r="A68" i="2" a="1"/>
  <c r="A69" i="2" a="1"/>
  <c r="A70" i="2" a="1"/>
  <c r="A71" i="2" a="1"/>
  <c r="A72" i="2" a="1"/>
  <c r="A73" i="2" a="1"/>
  <c r="A74" i="2" a="1"/>
  <c r="A75" i="2" a="1"/>
  <c r="A76" i="2" a="1"/>
  <c r="A77" i="2" a="1"/>
  <c r="A78" i="2" a="1"/>
  <c r="A144" i="2" a="1"/>
  <c r="A79" i="2" a="1"/>
  <c r="A80" i="2" a="1"/>
  <c r="A81" i="2" a="1"/>
  <c r="A82" i="2" a="1"/>
  <c r="A83" i="2" a="1"/>
  <c r="A84" i="2" a="1"/>
  <c r="A85" i="2" a="1"/>
  <c r="A86" i="2" a="1"/>
  <c r="A87" i="2" a="1"/>
  <c r="A88" i="2" a="1"/>
  <c r="A89" i="2" a="1"/>
  <c r="A90" i="2" a="1"/>
  <c r="A91" i="2" a="1"/>
  <c r="A92" i="2" a="1"/>
  <c r="A93" i="2" a="1"/>
  <c r="A94" i="2" a="1"/>
  <c r="A95" i="2" a="1"/>
  <c r="A96" i="2" a="1"/>
  <c r="A97" i="2" a="1"/>
  <c r="A98" i="2" a="1"/>
  <c r="A99" i="2" a="1"/>
  <c r="A100" i="2" a="1"/>
  <c r="A101" i="2" a="1"/>
  <c r="A102" i="2" a="1"/>
  <c r="A103" i="2" a="1"/>
  <c r="A104" i="2" a="1"/>
  <c r="A105" i="2" a="1"/>
  <c r="A106" i="2" a="1"/>
  <c r="A107" i="2" a="1"/>
  <c r="A108" i="2" a="1"/>
  <c r="A109" i="2" a="1"/>
  <c r="A110" i="2" a="1"/>
  <c r="A111" i="2" a="1"/>
  <c r="A112" i="2" a="1"/>
  <c r="A113" i="2" a="1"/>
  <c r="A114" i="2" a="1"/>
  <c r="A115" i="2" a="1"/>
  <c r="A116" i="2" a="1"/>
  <c r="A117" i="2" a="1"/>
  <c r="A118" i="2" a="1"/>
  <c r="A119" i="2" a="1"/>
  <c r="A120" i="2" a="1"/>
  <c r="A121" i="2" a="1"/>
  <c r="A122" i="2" a="1"/>
  <c r="A123" i="2" a="1"/>
  <c r="A124" i="2" a="1"/>
  <c r="A125" i="2" a="1"/>
  <c r="A126" i="2" a="1"/>
  <c r="A127" i="2" a="1"/>
  <c r="A128" i="2" a="1"/>
  <c r="A129" i="2" a="1"/>
  <c r="A130" i="2" a="1"/>
  <c r="A131" i="2" a="1"/>
  <c r="A132" i="2" a="1"/>
  <c r="A133" i="2" a="1"/>
  <c r="A134" i="2" a="1"/>
  <c r="A135" i="2" a="1"/>
  <c r="A136" i="2" a="1"/>
  <c r="A137" i="2" a="1"/>
  <c r="A138" i="2" a="1"/>
  <c r="A140" i="2" a="1"/>
  <c r="A142" i="2" a="1"/>
  <c r="A145" i="2" a="1"/>
  <c r="A147" i="2" a="1"/>
  <c r="A149" i="2" a="1"/>
  <c r="A151" i="2" a="1"/>
  <c r="A153" i="2" a="1"/>
  <c r="A155" i="2" a="1"/>
  <c r="A157" i="2" a="1"/>
  <c r="A159" i="2" a="1"/>
  <c r="L11" i="2" a="1"/>
  <c r="L13" i="2" a="1"/>
  <c r="L14" i="2" a="1"/>
  <c r="L16" i="2" a="1"/>
  <c r="L18" i="2" a="1"/>
  <c r="L20" i="2" a="1"/>
  <c r="L22" i="2" a="1"/>
  <c r="L25" i="2" a="1"/>
  <c r="L27" i="2" a="1"/>
  <c r="L29" i="2" a="1"/>
  <c r="L31" i="2" a="1"/>
  <c r="L33" i="2" a="1"/>
  <c r="L34" i="2" a="1"/>
  <c r="L37" i="2" a="1"/>
  <c r="L39" i="2" a="1"/>
  <c r="L41" i="2" a="1"/>
  <c r="L43" i="2" a="1"/>
  <c r="L45" i="2" a="1"/>
  <c r="L47" i="2" a="1"/>
  <c r="L49" i="2" a="1"/>
  <c r="L52" i="2" a="1"/>
  <c r="L54" i="2" a="1"/>
  <c r="L57" i="2" a="1"/>
  <c r="L59" i="2" a="1"/>
  <c r="L61" i="2" a="1"/>
  <c r="L63" i="2" a="1"/>
  <c r="L66" i="2" a="1"/>
  <c r="L73" i="2" a="1"/>
  <c r="L87" i="2" a="1"/>
  <c r="L94" i="2" a="1"/>
  <c r="L104" i="2" a="1"/>
  <c r="M77" i="2" l="1"/>
  <c r="M23" i="2"/>
  <c r="M22" i="2"/>
  <c r="M21" i="2"/>
  <c r="M49" i="2"/>
  <c r="M34" i="2"/>
  <c r="M24" i="2"/>
  <c r="M28" i="2"/>
  <c r="M32" i="2"/>
  <c r="M38" i="2"/>
  <c r="M26" i="2"/>
  <c r="M30" i="2"/>
  <c r="M36" i="2"/>
  <c r="M40" i="2"/>
  <c r="M120" i="2"/>
  <c r="M125" i="2"/>
  <c r="M83" i="2"/>
  <c r="M89" i="2"/>
  <c r="M80" i="2"/>
  <c r="M85" i="2"/>
  <c r="M41" i="2"/>
  <c r="M17" i="2"/>
  <c r="M18" i="2"/>
  <c r="M19" i="2"/>
  <c r="M20" i="2"/>
  <c r="M94" i="2"/>
  <c r="M99" i="2"/>
  <c r="M74" i="2"/>
  <c r="M90" i="2"/>
  <c r="M95" i="2"/>
  <c r="M76" i="2"/>
  <c r="M79" i="2"/>
  <c r="M84" i="2"/>
  <c r="M88" i="2"/>
  <c r="M93" i="2"/>
  <c r="M98" i="2"/>
  <c r="M103" i="2"/>
  <c r="M109" i="2"/>
  <c r="M115" i="2"/>
  <c r="M144" i="2"/>
  <c r="M104" i="2"/>
  <c r="M108" i="2"/>
  <c r="M100" i="2"/>
  <c r="M71" i="2"/>
  <c r="M106" i="2"/>
  <c r="M37" i="2"/>
  <c r="M39" i="2"/>
  <c r="M13" i="2"/>
  <c r="M14" i="2"/>
  <c r="M15" i="2"/>
  <c r="M16" i="2"/>
  <c r="M114" i="2"/>
  <c r="M111" i="2"/>
  <c r="M12" i="2"/>
  <c r="M116" i="2"/>
  <c r="M121" i="2"/>
  <c r="M73" i="2"/>
  <c r="M119" i="2"/>
  <c r="M140" i="2"/>
  <c r="M154" i="2"/>
  <c r="M139" i="2"/>
  <c r="M156" i="2"/>
  <c r="M55" i="2"/>
  <c r="M135" i="2"/>
  <c r="M149" i="2"/>
  <c r="M134" i="2"/>
  <c r="M152" i="2"/>
  <c r="M124" i="2"/>
  <c r="M128" i="2"/>
  <c r="M147" i="2"/>
  <c r="M145" i="2"/>
  <c r="M160" i="2"/>
  <c r="M130" i="2"/>
  <c r="M142" i="2"/>
  <c r="M58" i="2"/>
  <c r="M82" i="2"/>
  <c r="M87" i="2"/>
  <c r="M44" i="2"/>
  <c r="M47" i="2"/>
  <c r="M48" i="2"/>
  <c r="M51" i="2"/>
  <c r="M126" i="2"/>
  <c r="M132" i="2"/>
  <c r="M150" i="2"/>
  <c r="M136" i="2"/>
  <c r="M42" i="2"/>
  <c r="M45" i="2"/>
  <c r="M50" i="2"/>
  <c r="M70" i="2"/>
  <c r="M43" i="2"/>
  <c r="M46" i="2"/>
  <c r="M52" i="2"/>
  <c r="M72" i="2"/>
  <c r="M75" i="2"/>
  <c r="M78" i="2"/>
  <c r="M81" i="2"/>
  <c r="M86" i="2"/>
  <c r="M91" i="2"/>
  <c r="M96" i="2"/>
  <c r="M101" i="2"/>
  <c r="M105" i="2"/>
  <c r="M110" i="2"/>
  <c r="M113" i="2"/>
  <c r="M118" i="2"/>
  <c r="M123" i="2"/>
  <c r="M141" i="2"/>
  <c r="M146" i="2"/>
  <c r="M157" i="2"/>
  <c r="M68" i="2"/>
  <c r="M129" i="2"/>
  <c r="M131" i="2"/>
  <c r="M137" i="2"/>
  <c r="M151" i="2"/>
  <c r="M92" i="2"/>
  <c r="M97" i="2"/>
  <c r="M102" i="2"/>
  <c r="M107" i="2"/>
  <c r="M112" i="2"/>
  <c r="M117" i="2"/>
  <c r="M155" i="2"/>
  <c r="M69" i="2"/>
  <c r="M122" i="2"/>
  <c r="M127" i="2"/>
  <c r="M133" i="2"/>
  <c r="M138" i="2"/>
  <c r="M143" i="2"/>
  <c r="M148" i="2"/>
  <c r="M153" i="2"/>
  <c r="M158" i="2"/>
  <c r="M54" i="2"/>
  <c r="M57" i="2"/>
  <c r="M61" i="2"/>
  <c r="M63" i="2"/>
  <c r="M159" i="2"/>
  <c r="M25" i="2"/>
  <c r="M27" i="2"/>
  <c r="M29" i="2"/>
  <c r="M31" i="2"/>
  <c r="M33" i="2"/>
  <c r="M35" i="2"/>
  <c r="M53" i="2"/>
  <c r="M56" i="2"/>
  <c r="M59" i="2"/>
  <c r="M62" i="2"/>
  <c r="M65" i="2"/>
  <c r="M67" i="2"/>
  <c r="M60" i="2"/>
  <c r="M64" i="2"/>
  <c r="M66" i="2"/>
  <c r="A11" i="2" a="1"/>
  <c r="M11" i="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<sst xmlns="http://schemas.openxmlformats.org/spreadsheetml/2006/main" count="311" uniqueCount="227">
  <si>
    <t>Detailed Notes and Instructions</t>
  </si>
  <si>
    <t>N/A</t>
  </si>
  <si>
    <t>Email &amp; SMS Campaign Summary</t>
  </si>
  <si>
    <t>Current week through next week Email and SMS campaigns.</t>
  </si>
  <si>
    <t>Last Refresh</t>
  </si>
  <si>
    <t>Last Edited By</t>
  </si>
  <si>
    <t>Active Work</t>
  </si>
  <si>
    <t>Sending Today</t>
  </si>
  <si>
    <t>Email Active</t>
  </si>
  <si>
    <t>SMS Active</t>
  </si>
  <si>
    <t>Approval Pending</t>
  </si>
  <si>
    <t>Sent</t>
  </si>
  <si>
    <t>Email + SMS not yet sent</t>
  </si>
  <si>
    <t>Email + SMS scheduled today</t>
  </si>
  <si>
    <t>Open email campaigns</t>
  </si>
  <si>
    <t>Open SMS campaigns</t>
  </si>
  <si>
    <t>Approval checkbox is open</t>
  </si>
  <si>
    <t>Campaigns with Delivered &gt; 0</t>
  </si>
  <si>
    <t>Current Week + Next Week Campaigns</t>
  </si>
  <si>
    <t>All campaigns scheduled from this Sunday through next Saturday.</t>
  </si>
  <si>
    <t>Send Date</t>
  </si>
  <si>
    <t>Time</t>
  </si>
  <si>
    <t>Channel</t>
  </si>
  <si>
    <t>Campaign</t>
  </si>
  <si>
    <t>Type</t>
  </si>
  <si>
    <t>Stage</t>
  </si>
  <si>
    <t>Owner</t>
  </si>
  <si>
    <t>Approval</t>
  </si>
  <si>
    <t>Segments</t>
  </si>
  <si>
    <t>Jira</t>
  </si>
  <si>
    <t>ClickUp</t>
  </si>
  <si>
    <t>Bluecore/Attentive</t>
  </si>
  <si>
    <t>Today's Sends</t>
  </si>
  <si>
    <t>Email + SMS</t>
  </si>
  <si>
    <t>Confirm scheduled and send status</t>
  </si>
  <si>
    <t>Current production</t>
  </si>
  <si>
    <t>Complete the email workflow</t>
  </si>
  <si>
    <t>Complete the SMS workflow</t>
  </si>
  <si>
    <t>Obtain final approval</t>
  </si>
  <si>
    <t>Delivered &gt; 0</t>
  </si>
  <si>
    <t>Completed campaigns</t>
  </si>
  <si>
    <t>Send Time</t>
  </si>
  <si>
    <t>Campaign Name</t>
  </si>
  <si>
    <t>Campaign Type</t>
  </si>
  <si>
    <t>Current Stage</t>
  </si>
  <si>
    <t>Campaign Name and UTM Parameter (Source Code)</t>
  </si>
  <si>
    <t>Creative Brief, SL &amp; PH</t>
  </si>
  <si>
    <t>SKUs</t>
  </si>
  <si>
    <t>In-Design</t>
  </si>
  <si>
    <t>Build, QA</t>
  </si>
  <si>
    <t>Route</t>
  </si>
  <si>
    <t>Jira Link</t>
  </si>
  <si>
    <t>ClickUp Link</t>
  </si>
  <si>
    <t>Bluecore/Attentive Link</t>
  </si>
  <si>
    <t>Est. Audience</t>
  </si>
  <si>
    <t>Delivered</t>
  </si>
  <si>
    <t>Last Updated</t>
  </si>
  <si>
    <t>Last Updated By</t>
  </si>
  <si>
    <t>Notes</t>
  </si>
  <si>
    <t>Promo</t>
  </si>
  <si>
    <t>Services</t>
  </si>
  <si>
    <t>Cancelled</t>
  </si>
  <si>
    <t>Newsletters</t>
  </si>
  <si>
    <t>Events</t>
  </si>
  <si>
    <t>Send SMS Options</t>
  </si>
  <si>
    <t>Send Test</t>
  </si>
  <si>
    <t>Proof of Schedule</t>
  </si>
  <si>
    <t>Dashboard</t>
  </si>
  <si>
    <t>Status Values</t>
  </si>
  <si>
    <t>Risk Level</t>
  </si>
  <si>
    <t>Owner List</t>
  </si>
  <si>
    <t>Not Started</t>
  </si>
  <si>
    <t>On Track</t>
  </si>
  <si>
    <t>Manager</t>
  </si>
  <si>
    <t>Waiting for SKUs</t>
  </si>
  <si>
    <t>At Risk</t>
  </si>
  <si>
    <t>Email Manager</t>
  </si>
  <si>
    <t>Brief in Progress</t>
  </si>
  <si>
    <t>Needed</t>
  </si>
  <si>
    <t>High Risk</t>
  </si>
  <si>
    <t>Associate</t>
  </si>
  <si>
    <t>Brief Ready</t>
  </si>
  <si>
    <t>Requested</t>
  </si>
  <si>
    <t>Critical</t>
  </si>
  <si>
    <t>Designer</t>
  </si>
  <si>
    <t>With Design</t>
  </si>
  <si>
    <t>Received</t>
  </si>
  <si>
    <t>Blocked</t>
  </si>
  <si>
    <t>Builder</t>
  </si>
  <si>
    <t>NPA</t>
  </si>
  <si>
    <t>Design Ready</t>
  </si>
  <si>
    <t>Draft</t>
  </si>
  <si>
    <t>Ready</t>
  </si>
  <si>
    <t>Client</t>
  </si>
  <si>
    <t>Others</t>
  </si>
  <si>
    <t>Sent to Builder</t>
  </si>
  <si>
    <t>In Progress</t>
  </si>
  <si>
    <t>Complete</t>
  </si>
  <si>
    <t>TBD</t>
  </si>
  <si>
    <t>Built in Bluecore</t>
  </si>
  <si>
    <t>Segment Ready</t>
  </si>
  <si>
    <t>Approved</t>
  </si>
  <si>
    <t>QA in Progress</t>
  </si>
  <si>
    <t>Created</t>
  </si>
  <si>
    <t>QA Passed</t>
  </si>
  <si>
    <t>Passed</t>
  </si>
  <si>
    <t>Scheduled</t>
  </si>
  <si>
    <t>Failed</t>
  </si>
  <si>
    <t>Timestamp</t>
  </si>
  <si>
    <t>User</t>
  </si>
  <si>
    <t>Action</t>
  </si>
  <si>
    <t>Details</t>
  </si>
  <si>
    <t/>
  </si>
  <si>
    <t>Kim Chim</t>
  </si>
  <si>
    <t>Email Campaigns</t>
  </si>
  <si>
    <t>SMS Campaigns</t>
  </si>
  <si>
    <t>Filters</t>
  </si>
  <si>
    <t>Audit Fields</t>
  </si>
  <si>
    <t>SharePoint</t>
  </si>
  <si>
    <t>Maintenance</t>
  </si>
  <si>
    <t>Troubleshooting</t>
  </si>
  <si>
    <t>Performance</t>
  </si>
  <si>
    <t>Sheet Protection</t>
  </si>
  <si>
    <t>Cancelled Campaigns</t>
  </si>
  <si>
    <t>Timed Link Labels</t>
  </si>
  <si>
    <t>Week Number</t>
  </si>
  <si>
    <t>Current + next week (Sun-Sat)</t>
  </si>
  <si>
    <t>Schedule-Gap Highlighting</t>
  </si>
  <si>
    <t>Dashboard Week Number</t>
  </si>
  <si>
    <t>ApplyCampaignEntryFormats</t>
  </si>
  <si>
    <t>Error 1004: Unable to set the NumberFormat property of the Range class</t>
  </si>
  <si>
    <t>Loyalty</t>
  </si>
  <si>
    <t>PLCC</t>
  </si>
  <si>
    <t>Email Calendar</t>
  </si>
  <si>
    <t>June Email Framework</t>
  </si>
  <si>
    <t>June SMS Framework</t>
  </si>
  <si>
    <t>SMS Calendar</t>
  </si>
  <si>
    <t>Monthly Calendars</t>
  </si>
  <si>
    <t>Placeholder</t>
  </si>
  <si>
    <t>Archim</t>
  </si>
  <si>
    <t>Test</t>
  </si>
  <si>
    <t>STO</t>
  </si>
  <si>
    <t>11:00:00 am Local Timezone</t>
  </si>
  <si>
    <t>Feature</t>
  </si>
  <si>
    <t>What you do</t>
  </si>
  <si>
    <t>How it works (in plain words)</t>
  </si>
  <si>
    <t>Please do / Please avoid</t>
  </si>
  <si>
    <t>Where it works</t>
  </si>
  <si>
    <t>Add or change an email campaign</t>
  </si>
  <si>
    <t>This is the list of every email campaign. Put one campaign on each row. The most important box is the Send Date - that is the day the email goes out, and the Dashboard summary page uses it to show what is coming up.</t>
  </si>
  <si>
    <t>Please fill in at least the Campaign Name and the Send Date. Do not rename the column titles along the top, and do not delete the columns that fill in by themselves.</t>
  </si>
  <si>
    <t>Works in the Excel app on your computer and in a web browser.</t>
  </si>
  <si>
    <t>Tick off each step as you finish it</t>
  </si>
  <si>
    <t>Every campaign has a row of small tick boxes for the work that needs doing. Click a box to tick it. The Current Stage box then lists everything you have ticked, and says Completed once all the needed steps are done.</t>
  </si>
  <si>
    <t>Please use the tick boxes that are already there. Do not type words in them or swap them for drop-down lists.</t>
  </si>
  <si>
    <t>On your computer you click to tick. In a web browser, type TRUE to tick or FALSE to untick.</t>
  </si>
  <si>
    <t>Add or change a text-message campaign</t>
  </si>
  <si>
    <t>This list works exactly like the email list, but for text messages. Its steps are Send SMS Options, Send Test, Approval, and Segments.</t>
  </si>
  <si>
    <t>Please fill in the Campaign Name and the Send Date. Do not rename this sheet or its column titles.</t>
  </si>
  <si>
    <t>The Dashboard blends the email and text campaigns together for you automatically.</t>
  </si>
  <si>
    <t>Pick the kind of campaign</t>
  </si>
  <si>
    <t>Click the little arrow in the Campaign Type box and choose from the list: Promo, Services, Loyalty, PLCC, Newsletters, Events, NPA, Others, or leave it blank. Loyalty and PLCC are now two separate choices. If you pick Others, a small box pops up so you can type your own wording for just that one row.</t>
  </si>
  <si>
    <t>The list of choices is kept on a hidden helper sheet called Dropdowns. Please do not delete that sheet.</t>
  </si>
  <si>
    <t>Anything you type into the Others pop-up is used on that one row only - it is not added to the list for next time.</t>
  </si>
  <si>
    <t>Temporarily hide rows you don't need</t>
  </si>
  <si>
    <t>Click the little arrow at the top of a column (for example Send Date or Delivered) to hide some rows for now, so you can focus on, say, just this month's work.</t>
  </si>
  <si>
    <t>If a campaign looks like it has gone missing, clear the filters first - it is almost always just hidden.</t>
  </si>
  <si>
    <t>See what is coming up</t>
  </si>
  <si>
    <t>The Dashboard is the summary page. Its main table gathers the email and text campaigns going out from this Sunday through the following Saturday, all in one place.</t>
  </si>
  <si>
    <t>Please make your changes on the Email or SMS sheets, not on the Dashboard - the Dashboard fills itself in. (Approval shows Done or Not Yet; Segments shows Provided or Pending.)</t>
  </si>
  <si>
    <t>You can read it in a web browser; the full automatic updating happens in the Excel app on your computer.</t>
  </si>
  <si>
    <t>Update the Dashboard</t>
  </si>
  <si>
    <t>The Last Refresh time updates on its own. If you have just changed the campaign lists and want the Dashboard to catch up straight away, use the Refresh Dashboard command (in the Excel app on your computer).</t>
  </si>
  <si>
    <t>Off to the right are some light-gray helper columns the file uses to do its sums. Please leave them hidden and do not type in them.</t>
  </si>
  <si>
    <t>A web browser cannot run the little helper programs, but the saved numbers and tables still show correctly.</t>
  </si>
  <si>
    <t>Look at the planning calendars</t>
  </si>
  <si>
    <t>The June 2026 Calendar (and a hidden May 2026 Calendar) show the team's monthly plan. They fill in automatically from the team's files kept on SharePoint, so you do not type anything here. Template for Duplicate is a blank, ready-made month you can copy to make a new one.</t>
  </si>
  <si>
    <t>To add a new month: (1) right-click the Template for Duplicate tab and choose Move or Copy to make a copy; (2) rename the copy, for example July 2026 Calendar; (3) go to Data &gt; Edit Links and point it to that month's SharePoint files; (4) click Update. Please keep the calendar's look exactly the same.</t>
  </si>
  <si>
    <t>The calendars refresh in the Excel app on your computer when you can reach the SharePoint files - if asked, click Update Values.</t>
  </si>
  <si>
    <t>See who changed a row, and when</t>
  </si>
  <si>
    <t>The Last Updated and Last Updated By boxes quietly record the date and time, and the name of the person who last changed a campaign row. On your computer this fills in by itself.</t>
  </si>
  <si>
    <t>Please do not type over these boxes. (In a web browser you may fill in Last Updated By yourself if you wish.)</t>
  </si>
  <si>
    <t>A web browser cannot record the name automatically - to see who changed something there, use SharePoint's version history.</t>
  </si>
  <si>
    <t>Share the file safely</t>
  </si>
  <si>
    <t>Keep this file in SharePoint and open it from there, so everyone is working on the same copy.</t>
  </si>
  <si>
    <t>Please do not save it as a plain .xlsx file - that throws away the built-in helpers. Try not to have two people rearranging the tables at the very same moment.</t>
  </si>
  <si>
    <t>The automatic helpers run in the Excel app on your computer; the numbers, tables, and filters can still be viewed in a web browser.</t>
  </si>
  <si>
    <t>Keep everything tidy</t>
  </si>
  <si>
    <t>If the Dashboard ever looks out of date, use the Refresh Dashboard command. It simply re-does the sums; it does not rebuild or change your campaign lists.</t>
  </si>
  <si>
    <t>Before making big changes to the tables or the column titles, save a backup copy (or a SharePoint version) first, just in case.</t>
  </si>
  <si>
    <t>A refresh repairs the Dashboard's sums and look without touching your source lists or the calendars.</t>
  </si>
  <si>
    <t>Type the day a campaign goes out</t>
  </si>
  <si>
    <t>Type a normal date, for example 6/10/2026. The file then shows it nicely as Wednesday, June 10, 2026, but underneath it stays a real date the Dashboard can use.</t>
  </si>
  <si>
    <t>Please type a real date. Do not type the weekday and month out as a plain sentence.</t>
  </si>
  <si>
    <t>The nice Wednesday, June 10, 2026 style is saved in the file and looks the same on your computer and in a web browser.</t>
  </si>
  <si>
    <t>Type a time, or a short label</t>
  </si>
  <si>
    <t>Type a normal time and it shows as 10:00 AM or 10:00 PM. When there is no exact time yet, you may instead type a short label such as STO or Local Timezone.</t>
  </si>
  <si>
    <t>Please type either a real time or the agreed label. Do not add a rule that blocks typing in this box.</t>
  </si>
  <si>
    <t>Words stay as words; real times automatically get the 10:00 AM style.</t>
  </si>
  <si>
    <t>Take a campaign off the Dashboard</t>
  </si>
  <si>
    <t>To remove a campaign from the Dashboard, type just the single word Cancelled (or Canceled) in its Notes box - nothing else.</t>
  </si>
  <si>
    <t>Type only that one word. Extra words such as 'Cancelled by team' will NOT count (capital letters and spaces do not matter, but extra words do).</t>
  </si>
  <si>
    <t>The Dashboard list and the summary count boxes both follow this same rule.</t>
  </si>
  <si>
    <t>Links tidy themselves up after a week</t>
  </si>
  <si>
    <t>For the JIRA, ClickUp, Bluecore/Attentive, and Proof of Schedule links, the box shows the full web address for the first seven days after the send. After that it neatly shows just the name (such as JIRA), and the link still works when clicked.</t>
  </si>
  <si>
    <t>For exact timing, give the row a real Send Date and a real time. If the time is STO, Local Timezone, or left blank, the seven days are counted from midnight on the Send Date.</t>
  </si>
  <si>
    <t>Works in the Excel app on your computer and in a web browser. Your computer also refreshes it at the next due time while the file is open.</t>
  </si>
  <si>
    <t>If something does not look right</t>
  </si>
  <si>
    <t>Most of the automatic features only run in the Excel app on your computer, with macros (the built-in helper programs) allowed. If something seems stuck, close the file and open it again on your computer.</t>
  </si>
  <si>
    <t>When in doubt, open the file in the Excel app on your computer and click Enable if it asks about macros.</t>
  </si>
  <si>
    <t>A web browser shows the saved numbers and formatting but does not run the helpers.</t>
  </si>
  <si>
    <t>The file stays quick on its own</t>
  </si>
  <si>
    <t>The file is set up to stay fast. It updates the Dashboard once after a batch of edits, rather than after every single change.</t>
  </si>
  <si>
    <t>Please do not rename the tables or column titles, and do not paste over the hidden helper area - that is what keeps it fast and correct.</t>
  </si>
  <si>
    <t>The Refresh Dashboard command only re-does the Dashboard's sums, so it stays speedy.</t>
  </si>
  <si>
    <t>This page is locked on purpose</t>
  </si>
  <si>
    <t>This Notes page is locked so it cannot be changed by accident.</t>
  </si>
  <si>
    <t>If the person who looks after the file needs to edit it, the unlock password is Adorama@042026_. Please lock the page again afterwards.</t>
  </si>
  <si>
    <t>The lock only prevents accidental edits - it is not security and does not hide the file's contents.</t>
  </si>
  <si>
    <t>A colour warning for sends that are not booked yet</t>
  </si>
  <si>
    <t>On the Email and SMS sheets, a row turns orange (email) or yellow (text) when it is due to go out the next day but its Scheduled box is not ticked yet. On Fridays the warning also covers Saturday, Sunday, and Monday. The Dashboard shows the same warning colours.</t>
  </si>
  <si>
    <t>Once the campaign is booked, tick the Scheduled box and the colour clears by itself. Please do not remove this colouring or rename the Scheduled, Send Date, Campaign Name, or Notes columns.</t>
  </si>
  <si>
    <t>The colouring updates with today's date and works on your computer and in a web browser.</t>
  </si>
  <si>
    <t>See which week of the year it is</t>
  </si>
  <si>
    <t>Beside the summary boxes, a small Week Number tile shows the current two weeks of the year as a range, such as 25-26. The campaign list also has a Week Number column that shows the week for each row (it reads the date code at the start of the campaign name, or uses the Send Date when there is no code).</t>
  </si>
  <si>
    <t>This is for reading only - please do not type over it.</t>
  </si>
  <si>
    <t>It updates by itself with today's date, on your computer and in a web browser.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</si>
</sst>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m/dd/yyyy\ h:mm\ AM/PM"/>
    <numFmt numFmtId="165" formatCode="dddd\,\ mm/dd/yyyy"/>
    <numFmt numFmtId="166" formatCode="dddd\,\ mmmm\ d\,\ yyyy"/>
    <numFmt numFmtId="167" formatCode="m/d/yy;@"/>
  </numFmts>
  <fonts count="25">
    <font>
      <sz val="11"/>
      <name val="Carlito"/>
    </font>
    <font>
      <sz val="11"/>
      <color theme="1"/>
      <name val="Calibri"/>
      <family val="2"/>
      <scheme val="minor"/>
    </font>
    <font>
      <b/>
      <sz val="11"/>
      <color rgb="FFFFFFFF"/>
      <name val="Carlito"/>
    </font>
    <font>
      <u/>
      <sz val="11"/>
      <color theme="10"/>
      <name val="Carlito"/>
    </font>
    <font>
      <b/>
      <sz val="11"/>
      <color rgb="FFFFFFFF"/>
      <name val="Aptos"/>
      <family val="2"/>
    </font>
    <font>
      <sz val="11"/>
      <name val="Aptos"/>
      <family val="2"/>
    </font>
    <font>
      <b/>
      <sz val="10"/>
      <color rgb="FFFFFFFF"/>
      <name val="Aptos"/>
      <family val="2"/>
    </font>
    <font>
      <b/>
      <sz val="11"/>
      <color rgb="FF17365D"/>
      <name val="Aptos"/>
      <family val="2"/>
    </font>
    <font>
      <b/>
      <sz val="9"/>
      <color rgb="FF17365D"/>
      <name val="Aptos"/>
      <family val="2"/>
    </font>
    <font>
      <b/>
      <sz val="13"/>
      <color rgb="FFFFFFFF"/>
      <name val="Aptos"/>
      <family val="2"/>
    </font>
    <font>
      <i/>
      <sz val="11"/>
      <color rgb="FF17365D"/>
      <name val="Aptos"/>
      <family val="2"/>
    </font>
    <font>
      <u/>
      <sz val="11"/>
      <color theme="10"/>
      <name val="Aptos"/>
      <family val="2"/>
    </font>
    <font>
      <sz val="11"/>
      <color rgb="FF0563C1"/>
      <name val="Aptos"/>
      <family val="2"/>
    </font>
    <font>
      <sz val="12"/>
      <name val="Aptos"/>
      <family val="2"/>
    </font>
    <font>
      <b/>
      <sz val="20"/>
      <color rgb="FFFFFFFF"/>
      <name val="Aptos"/>
      <family val="2"/>
    </font>
    <font>
      <b/>
      <sz val="16"/>
      <color rgb="FF17365D"/>
      <name val="Aptos"/>
      <family val="2"/>
    </font>
    <font>
      <b/>
      <sz val="11"/>
      <name val="Aptos"/>
      <family val="2"/>
    </font>
    <font>
      <b/>
      <sz val="22"/>
      <color rgb="FFFFFFFF"/>
      <name val="Aptos"/>
      <family val="2"/>
    </font>
    <font>
      <sz val="11"/>
      <color theme="1"/>
      <name val="Aptos"/>
      <family val="2"/>
    </font>
    <font>
      <b/>
      <sz val="20"/>
      <color theme="1"/>
      <name val="Calibri"/>
      <family val="2"/>
      <scheme val="minor"/>
    </font>
    <font>
      <b/>
      <u/>
      <sz val="11"/>
      <color theme="10"/>
      <name val="Carlito"/>
    </font>
    <font>
      <b/>
      <sz val="16"/>
      <color theme="1"/>
      <name val="Calibri"/>
      <family val="2"/>
      <scheme val="minor"/>
    </font>
    <font>
      <sz val="11"/>
      <name val="Calibri"/>
      <family val="2"/>
      <scheme val="minor"/>
    </font>
    <font>
      <u/>
      <sz val="11"/>
      <color theme="10"/>
      <name val="Calibri"/>
      <family val="2"/>
      <scheme val="minor"/>
    </font>
    <font>
      <b/>
      <u/>
      <sz val="14"/>
      <color theme="10"/>
      <name val="Calibri"/>
      <family val="2"/>
      <scheme val="minor"/>
    </font>
  </fonts>
  <fills count="24">
    <fill>
      <patternFill patternType="none"/>
    </fill>
    <fill>
      <patternFill patternType="gray125"/>
    </fill>
    <fill>
      <patternFill patternType="solid">
        <fgColor rgb="FF1F4E79"/>
      </patternFill>
    </fill>
    <fill>
      <patternFill patternType="solid">
        <fgColor rgb="FFF2F2F2"/>
      </patternFill>
    </fill>
    <fill>
      <patternFill patternType="solid">
        <fgColor rgb="FFD9EAD3"/>
      </patternFill>
    </fill>
    <fill>
      <patternFill patternType="solid">
        <fgColor rgb="FFD9EAF7"/>
      </patternFill>
    </fill>
    <fill>
      <patternFill patternType="solid">
        <fgColor rgb="FFD9D2E9"/>
      </patternFill>
    </fill>
    <fill>
      <patternFill patternType="solid">
        <fgColor rgb="FFFFF2CC"/>
      </patternFill>
    </fill>
    <fill>
      <patternFill patternType="solid">
        <fgColor rgb="FFD9D9D9"/>
      </patternFill>
    </fill>
    <fill>
      <patternFill patternType="solid">
        <fgColor rgb="FF17365D"/>
      </patternFill>
    </fill>
    <fill>
      <patternFill patternType="solid">
        <fgColor rgb="FFEAF4FB"/>
      </patternFill>
    </fill>
    <fill>
      <patternFill patternType="solid">
        <fgColor rgb="FF1F4E79"/>
        <bgColor indexed="64"/>
      </patternFill>
    </fill>
    <fill>
      <patternFill patternType="solid">
        <fgColor rgb="FFDDEBF7"/>
        <bgColor indexed="64"/>
      </patternFill>
    </fill>
    <fill>
      <patternFill patternType="solid">
        <fgColor rgb="FFF2F2F2"/>
        <bgColor indexed="64"/>
      </patternFill>
    </fill>
    <fill>
      <patternFill patternType="solid">
        <fgColor rgb="FF002060"/>
        <bgColor indexed="64"/>
      </patternFill>
    </fill>
    <fill>
      <patternFill patternType="solid">
        <fgColor theme="4" tint="0.79998168889431442"/>
        <bgColor theme="4" tint="0.79998168889431442"/>
      </patternFill>
    </fill>
    <fill>
      <patternFill patternType="solid">
        <fgColor theme="9"/>
        <bgColor indexed="64"/>
      </patternFill>
    </fill>
    <fill>
      <patternFill patternType="solid">
        <fgColor theme="7" tint="0.59999389629810485"/>
        <bgColor indexed="64"/>
      </patternFill>
    </fill>
    <fill>
      <patternFill patternType="solid">
        <fgColor theme="2" tint="-9.9978637043366805E-2"/>
        <bgColor indexed="64"/>
      </patternFill>
    </fill>
    <fill>
      <patternFill patternType="solid">
        <fgColor theme="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BA4646"/>
        <bgColor indexed="64"/>
      </patternFill>
    </fill>
    <fill>
      <patternFill patternType="solid">
        <fgColor theme="4"/>
        <bgColor indexed="64"/>
      </patternFill>
    </fill>
  </fills>
  <borders count="7">
    <border>
      <left/>
      <right/>
      <top/>
      <bottom/>
      <diagonal/>
    </border>
    <border>
      <left/>
      <right/>
      <top/>
      <bottom/>
      <diagonal/>
    </border>
    <border>
      <left style="thin">
        <color rgb="FFD9E1F2"/>
      </left>
      <right style="thin">
        <color rgb="FFD9E1F2"/>
      </right>
      <top style="thin">
        <color rgb="FFD9E1F2"/>
      </top>
      <bottom style="thin">
        <color rgb="FFD9E1F2"/>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5">
    <xf numFmtId="0" fontId="0" fillId="0" borderId="0"/>
    <xf numFmtId="0" fontId="3" fillId="0" borderId="0" applyNumberFormat="0" applyFill="0" applyBorder="0" applyAlignment="0" applyProtection="0"/>
    <xf numFmtId="0" fontId="1" fillId="0" borderId="1"/>
    <xf numFmtId="0" fontId="3" fillId="0" borderId="1" applyNumberFormat="0" applyFill="0" applyBorder="0" applyAlignment="0" applyProtection="0"/>
    <xf numFmtId="0" fontId="23" fillId="0" borderId="1" applyNumberFormat="0" applyFill="0" applyBorder="0" applyAlignment="0" applyProtection="0"/>
  </cellStyleXfs>
  <cellXfs count="116">
    <xf numFmtId="0" fontId="0" fillId="0" borderId="0" xfId="0"/>
    <xf numFmtId="0" fontId="5" fillId="0" borderId="0" xfId="0" applyFont="1"/>
    <xf numFmtId="0" fontId="5" fillId="0" borderId="0" xfId="0" applyFont="1" applyAlignment="1">
      <alignment vertical="center" wrapText="1"/>
    </xf>
    <xf numFmtId="0" fontId="5" fillId="0" borderId="0" xfId="0" applyFont="1" applyAlignment="1">
      <alignment horizontal="center" vertical="center"/>
    </xf>
    <xf numFmtId="0" fontId="5" fillId="0" borderId="0" xfId="0" applyFont="1" applyAlignment="1">
      <alignment horizontal="center" vertical="center" wrapText="1"/>
    </xf>
    <xf numFmtId="0" fontId="5" fillId="0" borderId="0" xfId="0" applyFont="1" applyAlignment="1">
      <alignment wrapText="1"/>
    </xf>
    <xf numFmtId="0" fontId="5" fillId="0" borderId="0" xfId="0" applyFont="1" applyAlignment="1">
      <alignment vertical="top" wrapText="1"/>
    </xf>
    <xf numFmtId="0" fontId="5" fillId="0" borderId="0" xfId="0" applyFont="1" applyAlignment="1">
      <alignment horizontal="center" vertical="top" wrapText="1"/>
    </xf>
    <xf numFmtId="0" fontId="0" fillId="0" borderId="0" xfId="0" applyAlignment="1">
      <alignment vertical="top" wrapText="1"/>
    </xf>
    <xf numFmtId="164" fontId="0" fillId="0" borderId="0" xfId="0" applyNumberFormat="1" applyAlignment="1">
      <alignment vertical="top" wrapText="1"/>
    </xf>
    <xf numFmtId="0" fontId="2" fillId="2" borderId="0" xfId="0" applyFont="1" applyFill="1" applyAlignment="1">
      <alignment horizontal="center" vertical="top" wrapText="1"/>
    </xf>
    <xf numFmtId="0" fontId="4" fillId="2" borderId="0" xfId="0" applyFont="1" applyFill="1" applyAlignment="1">
      <alignment horizontal="center" vertical="center" wrapText="1"/>
    </xf>
    <xf numFmtId="0" fontId="7" fillId="3" borderId="0" xfId="0" applyFont="1" applyFill="1" applyAlignment="1">
      <alignment horizontal="left" vertical="center" wrapText="1"/>
    </xf>
    <xf numFmtId="0" fontId="16" fillId="0" borderId="0" xfId="0" applyFont="1" applyAlignment="1">
      <alignment horizontal="left" vertical="center" wrapText="1"/>
    </xf>
    <xf numFmtId="0" fontId="4" fillId="0" borderId="0" xfId="0" applyFont="1" applyAlignment="1">
      <alignment horizontal="left" vertical="center" wrapText="1"/>
    </xf>
    <xf numFmtId="0" fontId="5" fillId="0" borderId="0" xfId="0" applyFont="1" applyAlignment="1">
      <alignment horizontal="left" vertical="center" wrapText="1"/>
    </xf>
    <xf numFmtId="0" fontId="4" fillId="2" borderId="1" xfId="0" applyFont="1" applyFill="1" applyBorder="1" applyAlignment="1">
      <alignment horizontal="left" vertical="center" wrapText="1"/>
    </xf>
    <xf numFmtId="1" fontId="4" fillId="2" borderId="1" xfId="0" applyNumberFormat="1" applyFont="1" applyFill="1" applyBorder="1" applyAlignment="1">
      <alignment horizontal="left" vertical="center" wrapText="1"/>
    </xf>
    <xf numFmtId="18" fontId="5" fillId="0" borderId="1" xfId="0" applyNumberFormat="1" applyFont="1" applyBorder="1" applyAlignment="1">
      <alignment horizontal="left" vertical="center" wrapText="1"/>
    </xf>
    <xf numFmtId="0" fontId="5" fillId="0" borderId="1" xfId="0" applyFont="1" applyBorder="1" applyAlignment="1">
      <alignment horizontal="left" vertical="center" wrapText="1"/>
    </xf>
    <xf numFmtId="18" fontId="5" fillId="0" borderId="0" xfId="0" applyNumberFormat="1" applyFont="1" applyAlignment="1">
      <alignment horizontal="left" vertical="center" wrapText="1"/>
    </xf>
    <xf numFmtId="18" fontId="5" fillId="12" borderId="2" xfId="0" applyNumberFormat="1" applyFont="1" applyFill="1" applyBorder="1" applyAlignment="1">
      <alignment horizontal="left" vertical="center" wrapText="1"/>
    </xf>
    <xf numFmtId="0" fontId="5" fillId="12" borderId="2" xfId="0" applyFont="1" applyFill="1" applyBorder="1" applyAlignment="1">
      <alignment horizontal="left" vertical="center" wrapText="1"/>
    </xf>
    <xf numFmtId="18" fontId="5" fillId="0" borderId="2" xfId="0" applyNumberFormat="1" applyFont="1" applyBorder="1" applyAlignment="1">
      <alignment horizontal="left" vertical="center" wrapText="1"/>
    </xf>
    <xf numFmtId="0" fontId="5" fillId="0" borderId="2" xfId="0" applyFont="1" applyBorder="1" applyAlignment="1">
      <alignment horizontal="left" vertical="center" wrapText="1"/>
    </xf>
    <xf numFmtId="18" fontId="5" fillId="13" borderId="2" xfId="0" applyNumberFormat="1" applyFont="1" applyFill="1" applyBorder="1" applyAlignment="1">
      <alignment horizontal="left" vertical="center" wrapText="1"/>
    </xf>
    <xf numFmtId="0" fontId="5" fillId="13" borderId="2" xfId="0" applyFont="1" applyFill="1" applyBorder="1" applyAlignment="1">
      <alignment horizontal="left" vertical="center" wrapText="1"/>
    </xf>
    <xf numFmtId="0" fontId="5" fillId="0" borderId="0" xfId="0" applyFont="1" applyAlignment="1">
      <alignment horizontal="left" vertical="center"/>
    </xf>
    <xf numFmtId="165" fontId="5" fillId="0" borderId="0" xfId="0" applyNumberFormat="1" applyFont="1" applyAlignment="1">
      <alignment horizontal="left" vertical="center" wrapText="1"/>
    </xf>
    <xf numFmtId="165" fontId="5" fillId="12" borderId="2" xfId="0" applyNumberFormat="1" applyFont="1" applyFill="1" applyBorder="1" applyAlignment="1">
      <alignment horizontal="left" vertical="center" wrapText="1"/>
    </xf>
    <xf numFmtId="165" fontId="5" fillId="0" borderId="2" xfId="0" applyNumberFormat="1" applyFont="1" applyBorder="1" applyAlignment="1">
      <alignment horizontal="left" vertical="center" wrapText="1"/>
    </xf>
    <xf numFmtId="165" fontId="5" fillId="13" borderId="2" xfId="0" applyNumberFormat="1" applyFont="1" applyFill="1" applyBorder="1" applyAlignment="1">
      <alignment horizontal="left" vertical="center" wrapText="1"/>
    </xf>
    <xf numFmtId="165" fontId="0" fillId="0" borderId="0" xfId="0" applyNumberFormat="1"/>
    <xf numFmtId="166" fontId="5" fillId="0" borderId="1" xfId="0" applyNumberFormat="1" applyFont="1" applyBorder="1" applyAlignment="1">
      <alignment horizontal="left" vertical="center" wrapText="1"/>
    </xf>
    <xf numFmtId="166" fontId="5" fillId="0" borderId="0" xfId="0" applyNumberFormat="1" applyFont="1" applyAlignment="1">
      <alignment horizontal="left" vertical="center" wrapText="1"/>
    </xf>
    <xf numFmtId="1" fontId="5" fillId="12" borderId="2" xfId="0" applyNumberFormat="1" applyFont="1" applyFill="1" applyBorder="1" applyAlignment="1">
      <alignment horizontal="left" vertical="center" wrapText="1"/>
    </xf>
    <xf numFmtId="1" fontId="5" fillId="0" borderId="2" xfId="0" applyNumberFormat="1" applyFont="1" applyBorder="1" applyAlignment="1">
      <alignment horizontal="left" vertical="center" wrapText="1"/>
    </xf>
    <xf numFmtId="1" fontId="5" fillId="13" borderId="2" xfId="0" applyNumberFormat="1" applyFont="1" applyFill="1" applyBorder="1" applyAlignment="1">
      <alignment horizontal="left" vertical="center" wrapText="1"/>
    </xf>
    <xf numFmtId="0" fontId="1" fillId="0" borderId="1" xfId="2"/>
    <xf numFmtId="0" fontId="21" fillId="18" borderId="1" xfId="2" applyFont="1" applyFill="1" applyAlignment="1">
      <alignment horizontal="center" vertical="center" wrapText="1"/>
    </xf>
    <xf numFmtId="0" fontId="21" fillId="19" borderId="1" xfId="2" applyFont="1" applyFill="1" applyAlignment="1">
      <alignment horizontal="center" vertical="center" wrapText="1"/>
    </xf>
    <xf numFmtId="16" fontId="1" fillId="0" borderId="1" xfId="2" applyNumberFormat="1" applyAlignment="1">
      <alignment horizontal="center" vertical="center" wrapText="1"/>
    </xf>
    <xf numFmtId="16" fontId="1" fillId="20" borderId="1" xfId="2" applyNumberFormat="1" applyFill="1" applyAlignment="1">
      <alignment horizontal="center" vertical="center" wrapText="1"/>
    </xf>
    <xf numFmtId="0" fontId="22" fillId="21" borderId="1" xfId="2" applyFont="1" applyFill="1" applyAlignment="1">
      <alignment horizontal="center" vertical="center" wrapText="1"/>
    </xf>
    <xf numFmtId="0" fontId="22" fillId="0" borderId="1" xfId="2" applyFont="1" applyAlignment="1">
      <alignment horizontal="center" vertical="center" wrapText="1"/>
    </xf>
    <xf numFmtId="16" fontId="22" fillId="0" borderId="1" xfId="4" applyNumberFormat="1" applyFont="1" applyAlignment="1">
      <alignment horizontal="center" vertical="center" wrapText="1"/>
    </xf>
    <xf numFmtId="0" fontId="1" fillId="0" borderId="1" xfId="2" applyAlignment="1">
      <alignment horizontal="center" vertical="center" wrapText="1"/>
    </xf>
    <xf numFmtId="0" fontId="1" fillId="22" borderId="1" xfId="2" applyFill="1" applyAlignment="1">
      <alignment horizontal="center" vertical="center" wrapText="1"/>
    </xf>
    <xf numFmtId="167" fontId="1" fillId="20" borderId="1" xfId="2" applyNumberFormat="1" applyFill="1" applyAlignment="1">
      <alignment horizontal="center" vertical="center" wrapText="1"/>
    </xf>
    <xf numFmtId="16" fontId="1" fillId="21" borderId="1" xfId="2" applyNumberFormat="1" applyFill="1" applyAlignment="1">
      <alignment horizontal="center" vertical="center" wrapText="1"/>
    </xf>
    <xf numFmtId="0" fontId="1" fillId="21" borderId="1" xfId="2" applyFill="1" applyAlignment="1">
      <alignment horizontal="center" vertical="center" wrapText="1"/>
    </xf>
    <xf numFmtId="16" fontId="1" fillId="22" borderId="1" xfId="2" applyNumberFormat="1" applyFill="1" applyAlignment="1">
      <alignment horizontal="center" vertical="center" wrapText="1"/>
    </xf>
    <xf numFmtId="16" fontId="23" fillId="0" borderId="1" xfId="4" applyNumberFormat="1" applyAlignment="1">
      <alignment horizontal="center" vertical="center" wrapText="1"/>
    </xf>
    <xf numFmtId="0" fontId="4" fillId="2" borderId="1" xfId="0" applyFont="1" applyFill="1" applyBorder="1" applyAlignment="1">
      <alignment horizontal="center" vertical="center" wrapText="1"/>
    </xf>
    <xf numFmtId="0" fontId="5" fillId="0" borderId="1" xfId="0" applyFont="1" applyBorder="1" applyAlignment="1">
      <alignment horizontal="center" vertical="center" wrapText="1"/>
    </xf>
    <xf numFmtId="0" fontId="4" fillId="2" borderId="4" xfId="0" applyFont="1" applyFill="1" applyBorder="1" applyAlignment="1">
      <alignment horizontal="center" vertical="center" wrapText="1"/>
    </xf>
    <xf numFmtId="0" fontId="11" fillId="0" borderId="1" xfId="1" applyFont="1" applyBorder="1" applyAlignment="1">
      <alignment horizontal="center" vertical="center" wrapText="1"/>
    </xf>
    <xf numFmtId="0" fontId="18" fillId="15" borderId="3" xfId="0" applyFont="1" applyFill="1" applyBorder="1" applyAlignment="1">
      <alignment horizontal="center" vertical="center" wrapText="1"/>
    </xf>
    <xf numFmtId="0" fontId="18" fillId="0" borderId="3" xfId="0" applyFont="1" applyBorder="1" applyAlignment="1">
      <alignment horizontal="center" vertical="center" wrapText="1"/>
    </xf>
    <xf numFmtId="0" fontId="12" fillId="0" borderId="0" xfId="0" applyFont="1" applyAlignment="1">
      <alignment horizontal="center" vertical="center" wrapText="1"/>
    </xf>
    <xf numFmtId="0" fontId="11" fillId="0" borderId="0" xfId="1" applyFont="1" applyAlignment="1">
      <alignment horizontal="center" vertical="center" wrapText="1"/>
    </xf>
    <xf numFmtId="0" fontId="4" fillId="2" borderId="6" xfId="0" applyFont="1" applyFill="1" applyBorder="1" applyAlignment="1">
      <alignment horizontal="center" vertical="center" wrapText="1"/>
    </xf>
    <xf numFmtId="49" fontId="5" fillId="0" borderId="6" xfId="0" applyNumberFormat="1" applyFont="1" applyBorder="1" applyAlignment="1">
      <alignment horizontal="center" vertical="center" wrapText="1"/>
    </xf>
    <xf numFmtId="0" fontId="13" fillId="0" borderId="6" xfId="0" applyFont="1" applyBorder="1" applyAlignment="1">
      <alignment horizontal="center" vertical="center" wrapText="1"/>
      <extLst>
        <ext xmlns:xfpb="http://schemas.microsoft.com/office/spreadsheetml/2022/featurepropertybag" uri="{C7286773-470A-42A8-94C5-96B5CB345126}">
          <xfpb:xfComplement i="0"/>
        </ext>
      </extLst>
    </xf>
    <xf numFmtId="0" fontId="3" fillId="0" borderId="6" xfId="1" applyBorder="1" applyAlignment="1">
      <alignment horizontal="center" vertical="center" wrapText="1"/>
    </xf>
    <xf numFmtId="3" fontId="5" fillId="0" borderId="6" xfId="0" applyNumberFormat="1" applyFont="1" applyBorder="1" applyAlignment="1">
      <alignment horizontal="center" vertical="center" wrapText="1"/>
    </xf>
    <xf numFmtId="164" fontId="5" fillId="0" borderId="6" xfId="0" applyNumberFormat="1" applyFont="1" applyBorder="1" applyAlignment="1">
      <alignment horizontal="left" vertical="center" wrapText="1"/>
    </xf>
    <xf numFmtId="49" fontId="5" fillId="0" borderId="6" xfId="0" applyNumberFormat="1" applyFont="1" applyBorder="1" applyAlignment="1">
      <alignment horizontal="left" vertical="center" wrapText="1"/>
    </xf>
    <xf numFmtId="0" fontId="11" fillId="0" borderId="6" xfId="1" applyFont="1" applyBorder="1" applyAlignment="1">
      <alignment horizontal="center" vertical="center" wrapText="1"/>
    </xf>
    <xf numFmtId="0" fontId="0" fillId="0" borderId="6" xfId="0" applyBorder="1" applyAlignment="1">
      <alignment horizontal="center"/>
    </xf>
    <xf numFmtId="0" fontId="0" fillId="0" borderId="6" xfId="0" applyBorder="1"/>
    <xf numFmtId="0" fontId="0" fillId="0" borderId="6" xfId="0" applyBorder="1" applyAlignment="1">
      <alignment horizontal="left"/>
    </xf>
    <xf numFmtId="0" fontId="5" fillId="0" borderId="6" xfId="0" applyFont="1" applyBorder="1" applyAlignment="1">
      <alignment horizontal="center" vertical="center"/>
    </xf>
    <xf numFmtId="0" fontId="5" fillId="0" borderId="6" xfId="0" applyFont="1" applyBorder="1" applyAlignment="1">
      <alignment horizontal="left" vertical="center"/>
    </xf>
    <xf numFmtId="0" fontId="4" fillId="2" borderId="6" xfId="0" applyFont="1" applyFill="1" applyBorder="1" applyAlignment="1">
      <alignment horizontal="left" vertical="center" wrapText="1"/>
    </xf>
    <xf numFmtId="166" fontId="5" fillId="0" borderId="6" xfId="0" applyNumberFormat="1" applyFont="1" applyBorder="1" applyAlignment="1">
      <alignment horizontal="left" vertical="center" wrapText="1"/>
    </xf>
    <xf numFmtId="18" fontId="5" fillId="0" borderId="6" xfId="0" applyNumberFormat="1" applyFont="1" applyBorder="1" applyAlignment="1">
      <alignment horizontal="left" vertical="center" wrapText="1"/>
    </xf>
    <xf numFmtId="0" fontId="5" fillId="0" borderId="6" xfId="0" applyFont="1" applyBorder="1" applyAlignment="1">
      <alignment horizontal="left" vertical="center" wrapText="1"/>
    </xf>
    <xf numFmtId="0" fontId="5" fillId="0" borderId="6" xfId="0" applyFont="1" applyBorder="1" applyAlignment="1">
      <alignment horizontal="center" vertical="center" wrapText="1"/>
    </xf>
    <xf numFmtId="0" fontId="5" fillId="0" borderId="6" xfId="0" applyFont="1" applyBorder="1" applyAlignment="1">
      <alignment horizontal="center" vertical="center" wrapText="1"/>
      <extLst>
        <ext xmlns:xfpb="http://schemas.microsoft.com/office/spreadsheetml/2022/featurepropertybag" uri="{C7286773-470A-42A8-94C5-96B5CB345126}">
          <xfpb:xfComplement i="0"/>
        </ext>
      </extLst>
    </xf>
    <xf numFmtId="0" fontId="3" fillId="0" borderId="6" xfId="1" applyFill="1" applyBorder="1" applyAlignment="1">
      <alignment horizontal="center" vertical="center" wrapText="1"/>
    </xf>
    <xf numFmtId="164" fontId="5" fillId="0" borderId="6" xfId="0" applyNumberFormat="1" applyFont="1" applyBorder="1" applyAlignment="1">
      <alignment horizontal="center" vertical="center" wrapText="1"/>
    </xf>
    <xf numFmtId="0" fontId="5" fillId="0" borderId="6" xfId="1" applyFont="1" applyBorder="1" applyAlignment="1">
      <alignment horizontal="center" vertical="center" wrapText="1"/>
    </xf>
    <xf numFmtId="0" fontId="5" fillId="0" borderId="6" xfId="1" applyFont="1" applyFill="1" applyBorder="1" applyAlignment="1">
      <alignment horizontal="center" vertical="center" wrapText="1"/>
    </xf>
    <xf numFmtId="165" fontId="5" fillId="0" borderId="6" xfId="0" applyNumberFormat="1" applyFont="1" applyBorder="1" applyAlignment="1">
      <alignment horizontal="left" vertical="center"/>
    </xf>
    <xf numFmtId="0" fontId="17" fillId="14" borderId="0" xfId="0" applyFont="1" applyFill="1" applyAlignment="1">
      <alignment horizontal="center" vertical="top" wrapText="1"/>
    </xf>
    <xf numFmtId="0" fontId="7" fillId="8" borderId="2" xfId="0" applyFont="1" applyFill="1" applyBorder="1" applyAlignment="1">
      <alignment horizontal="left" vertical="center" wrapText="1"/>
    </xf>
    <xf numFmtId="1" fontId="15" fillId="8" borderId="2" xfId="0" applyNumberFormat="1" applyFont="1" applyFill="1" applyBorder="1" applyAlignment="1">
      <alignment horizontal="left" vertical="center" wrapText="1"/>
    </xf>
    <xf numFmtId="0" fontId="15" fillId="8" borderId="2" xfId="0" applyFont="1" applyFill="1" applyBorder="1" applyAlignment="1">
      <alignment horizontal="left" vertical="center" wrapText="1"/>
    </xf>
    <xf numFmtId="0" fontId="8" fillId="8" borderId="2" xfId="0" applyFont="1" applyFill="1" applyBorder="1" applyAlignment="1">
      <alignment horizontal="left" vertical="center" wrapText="1"/>
    </xf>
    <xf numFmtId="0" fontId="7" fillId="7" borderId="2" xfId="0" applyFont="1" applyFill="1" applyBorder="1" applyAlignment="1">
      <alignment horizontal="left" vertical="center" wrapText="1"/>
    </xf>
    <xf numFmtId="1" fontId="15" fillId="7" borderId="2" xfId="0" applyNumberFormat="1" applyFont="1" applyFill="1" applyBorder="1" applyAlignment="1">
      <alignment horizontal="left" vertical="center" wrapText="1"/>
    </xf>
    <xf numFmtId="0" fontId="15" fillId="7" borderId="2" xfId="0" applyFont="1" applyFill="1" applyBorder="1" applyAlignment="1">
      <alignment horizontal="left" vertical="center" wrapText="1"/>
    </xf>
    <xf numFmtId="0" fontId="8" fillId="7" borderId="2" xfId="0" applyFont="1" applyFill="1" applyBorder="1" applyAlignment="1">
      <alignment horizontal="left" vertical="center" wrapText="1"/>
    </xf>
    <xf numFmtId="0" fontId="7" fillId="4" borderId="2" xfId="0" applyFont="1" applyFill="1" applyBorder="1" applyAlignment="1">
      <alignment horizontal="left" vertical="center" wrapText="1"/>
    </xf>
    <xf numFmtId="1" fontId="15" fillId="4" borderId="2" xfId="0" applyNumberFormat="1" applyFont="1" applyFill="1" applyBorder="1" applyAlignment="1">
      <alignment horizontal="left" vertical="center" wrapText="1"/>
    </xf>
    <xf numFmtId="0" fontId="15" fillId="4" borderId="2" xfId="0" applyFont="1" applyFill="1" applyBorder="1" applyAlignment="1">
      <alignment horizontal="left" vertical="center" wrapText="1"/>
    </xf>
    <xf numFmtId="0" fontId="8" fillId="4" borderId="2" xfId="0" applyFont="1" applyFill="1" applyBorder="1" applyAlignment="1">
      <alignment horizontal="left" vertical="center" wrapText="1"/>
    </xf>
    <xf numFmtId="0" fontId="14" fillId="11" borderId="0" xfId="0" applyFont="1" applyFill="1" applyAlignment="1">
      <alignment horizontal="center" vertical="center" wrapText="1"/>
    </xf>
    <xf numFmtId="0" fontId="6" fillId="2" borderId="0" xfId="0" applyFont="1" applyFill="1" applyAlignment="1">
      <alignment horizontal="center" vertical="center" wrapText="1"/>
    </xf>
    <xf numFmtId="0" fontId="9" fillId="9" borderId="1" xfId="0" applyFont="1" applyFill="1" applyBorder="1" applyAlignment="1">
      <alignment horizontal="center" vertical="center" wrapText="1"/>
    </xf>
    <xf numFmtId="0" fontId="10" fillId="10" borderId="1" xfId="0" applyFont="1" applyFill="1" applyBorder="1" applyAlignment="1">
      <alignment horizontal="center" vertical="center" wrapText="1"/>
    </xf>
    <xf numFmtId="1" fontId="7" fillId="4" borderId="2" xfId="0" applyNumberFormat="1" applyFont="1" applyFill="1" applyBorder="1" applyAlignment="1">
      <alignment horizontal="left" vertical="center" wrapText="1"/>
    </xf>
    <xf numFmtId="0" fontId="7" fillId="5" borderId="2" xfId="0" applyFont="1" applyFill="1" applyBorder="1" applyAlignment="1">
      <alignment horizontal="left" vertical="center" wrapText="1"/>
    </xf>
    <xf numFmtId="1" fontId="15" fillId="5" borderId="2" xfId="0" applyNumberFormat="1" applyFont="1" applyFill="1" applyBorder="1" applyAlignment="1">
      <alignment horizontal="left" vertical="center" wrapText="1"/>
    </xf>
    <xf numFmtId="0" fontId="15" fillId="5" borderId="2" xfId="0" applyFont="1" applyFill="1" applyBorder="1" applyAlignment="1">
      <alignment horizontal="left" vertical="center" wrapText="1"/>
    </xf>
    <xf numFmtId="0" fontId="8" fillId="5" borderId="2" xfId="0" applyFont="1" applyFill="1" applyBorder="1" applyAlignment="1">
      <alignment horizontal="left" vertical="center" wrapText="1"/>
    </xf>
    <xf numFmtId="0" fontId="7" fillId="6" borderId="2" xfId="0" applyFont="1" applyFill="1" applyBorder="1" applyAlignment="1">
      <alignment horizontal="left" vertical="center" wrapText="1"/>
    </xf>
    <xf numFmtId="1" fontId="15" fillId="6" borderId="2" xfId="0" applyNumberFormat="1" applyFont="1" applyFill="1" applyBorder="1" applyAlignment="1">
      <alignment horizontal="left" vertical="center" wrapText="1"/>
    </xf>
    <xf numFmtId="0" fontId="15" fillId="6" borderId="2" xfId="0" applyFont="1" applyFill="1" applyBorder="1" applyAlignment="1">
      <alignment horizontal="left" vertical="center" wrapText="1"/>
    </xf>
    <xf numFmtId="0" fontId="8" fillId="6" borderId="2" xfId="0" applyFont="1" applyFill="1" applyBorder="1" applyAlignment="1">
      <alignment horizontal="left" vertical="center" wrapText="1"/>
    </xf>
    <xf numFmtId="0" fontId="19" fillId="16" borderId="1" xfId="2" applyFont="1" applyFill="1" applyAlignment="1">
      <alignment horizontal="center" vertical="center" wrapText="1"/>
    </xf>
    <xf numFmtId="0" fontId="20" fillId="17" borderId="5" xfId="3" applyFont="1" applyFill="1" applyBorder="1" applyAlignment="1">
      <alignment horizontal="center" vertical="center" wrapText="1"/>
    </xf>
    <xf numFmtId="0" fontId="19" fillId="23" borderId="1" xfId="2" applyFont="1" applyFill="1" applyAlignment="1">
      <alignment horizontal="center" vertical="center" wrapText="1"/>
    </xf>
    <xf numFmtId="0" fontId="24" fillId="17" borderId="5" xfId="4" applyFont="1" applyFill="1" applyBorder="1" applyAlignment="1">
      <alignment horizontal="center" vertical="center" wrapText="1"/>
    </xf>
    <xf numFmtId="0" fontId="1" fillId="17" borderId="5" xfId="2" applyFill="1" applyBorder="1" applyAlignment="1">
      <alignment horizontal="center" vertical="center" wrapText="1"/>
    </xf>
  </cellXfs>
  <cellStyles count="5">
    <cellStyle name="Hyperlink" xfId="1" builtinId="8"/>
    <cellStyle name="Hyperlink 2" xfId="3" xr:uid="{7F593E7C-B0B4-4DD7-B4D1-D63F35187178}"/>
    <cellStyle name="Hyperlink 2 2" xfId="4" xr:uid="{429306B0-9608-4175-9D5A-0C14443AA9E0}"/>
    <cellStyle name="Normal" xfId="0" builtinId="0"/>
    <cellStyle name="Normal 2" xfId="2" xr:uid="{1CC83829-2A09-4A79-97F3-51D6BADC2BEB}"/>
  </cellStyles>
  <dxfs count="112">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164" formatCode="mm/dd/yyyy\ h:mm\ AM/PM"/>
      <alignment horizontal="general" vertical="top" textRotation="0" wrapText="1" indent="0" justifyLastLine="0" shrinkToFit="0" readingOrder="0"/>
    </dxf>
    <dxf>
      <alignment vertical="top" textRotation="0" wrapText="1" indent="0" justifyLastLine="0" shrinkToFit="0" readingOrder="0"/>
    </dxf>
    <dxf>
      <alignment horizontal="general" vertical="top" textRotation="0" wrapText="1" indent="0" justifyLastLine="0" shrinkToFit="0" readingOrder="0"/>
    </dxf>
    <dxf>
      <alignment vertical="top" textRotation="0" wrapText="1" indent="0" justifyLastLine="0" shrinkToFit="0" readingOrder="0"/>
    </dxf>
    <dxf>
      <font>
        <b val="0"/>
        <i val="0"/>
        <strike val="0"/>
        <outline val="0"/>
        <shadow val="0"/>
        <u val="none"/>
        <vertAlign val="baseline"/>
        <sz val="11"/>
        <color auto="1"/>
        <name val="Aptos"/>
        <family val="2"/>
        <scheme val="none"/>
      </font>
      <numFmt numFmtId="30" formatCode="@"/>
      <alignment horizontal="left"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1"/>
        <color auto="1"/>
        <name val="Aptos"/>
        <family val="2"/>
        <scheme val="none"/>
      </font>
      <numFmt numFmtId="30" formatCode="@"/>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1"/>
        <color auto="1"/>
        <name val="Aptos"/>
        <family val="2"/>
        <scheme val="none"/>
      </font>
      <numFmt numFmtId="164" formatCode="mm/dd/yyyy\ h:mm\ AM/PM"/>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30" formatCode="@"/>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1"/>
        <color auto="1"/>
        <name val="Aptos"/>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outline val="0"/>
        <shadow val="0"/>
        <u val="none"/>
        <vertAlign val="baseline"/>
        <sz val="11"/>
        <color auto="1"/>
        <name val="Aptos"/>
        <family val="2"/>
        <scheme val="none"/>
      </font>
      <numFmt numFmtId="168" formatCode="h:mm\ AM/PM"/>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outline val="0"/>
        <shadow val="0"/>
        <u val="none"/>
        <vertAlign val="baseline"/>
        <sz val="11"/>
        <color auto="1"/>
        <name val="Aptos"/>
        <family val="2"/>
        <scheme val="none"/>
      </font>
      <numFmt numFmtId="166" formatCode="dddd\,\ mmmm\ d\,\ yyyy"/>
      <alignment horizontal="left" vertical="center" textRotation="0" wrapText="1" indent="0" justifyLastLine="0" shrinkToFit="0" readingOrder="0"/>
      <border diagonalUp="0" diagonalDown="0" outline="0">
        <left/>
        <right style="thin">
          <color indexed="64"/>
        </right>
        <top style="thin">
          <color indexed="64"/>
        </top>
        <bottom style="thin">
          <color indexed="64"/>
        </bottom>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000000"/>
      </font>
      <fill>
        <patternFill>
          <bgColor rgb="FFFFFF00"/>
        </patternFill>
      </fill>
    </dxf>
    <dxf>
      <fill>
        <patternFill>
          <bgColor rgb="FFFF9E9E"/>
        </patternFill>
      </fill>
    </dxf>
    <dxf>
      <fill>
        <patternFill>
          <bgColor rgb="FFFF9E9E"/>
        </patternFill>
      </fill>
    </dxf>
    <dxf>
      <font>
        <color rgb="FF9C6500"/>
      </font>
      <fill>
        <patternFill>
          <bgColor rgb="FFFFEB9C"/>
        </patternFill>
      </fill>
    </dxf>
    <dxf>
      <font>
        <color rgb="FF1F4E79"/>
      </font>
      <fill>
        <patternFill>
          <bgColor rgb="FFDDEBF7"/>
        </patternFill>
      </fill>
    </dxf>
    <dxf>
      <font>
        <color rgb="FF006100"/>
      </font>
      <fill>
        <patternFill>
          <bgColor rgb="FFC6EFCE"/>
        </patternFill>
      </fill>
    </dxf>
    <dxf>
      <font>
        <color rgb="FF9C6500"/>
      </font>
      <fill>
        <patternFill>
          <bgColor rgb="FFFFF2CC"/>
        </patternFill>
      </fill>
    </dxf>
    <dxf>
      <font>
        <color rgb="FF1F4E79"/>
      </font>
      <fill>
        <patternFill>
          <bgColor rgb="FFDDEBF7"/>
        </patternFill>
      </fill>
    </dxf>
    <dxf>
      <font>
        <strike val="0"/>
        <outline val="0"/>
        <shadow val="0"/>
        <vertAlign val="baseline"/>
        <name val="Aptos"/>
        <family val="2"/>
        <scheme val="none"/>
      </font>
      <alignment horizontal="center" vertical="center" textRotation="0" indent="0" justifyLastLine="0" shrinkToFit="0" readingOrder="0"/>
    </dxf>
    <dxf>
      <font>
        <strike val="0"/>
        <outline val="0"/>
        <shadow val="0"/>
        <vertAlign val="baseline"/>
        <name val="Aptos"/>
        <family val="2"/>
        <scheme val="none"/>
      </font>
      <numFmt numFmtId="30" formatCode="@"/>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Aptos"/>
        <family val="2"/>
        <scheme val="none"/>
      </font>
      <numFmt numFmtId="30" formatCode="@"/>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Aptos"/>
        <family val="2"/>
        <scheme val="none"/>
      </font>
      <numFmt numFmtId="164" formatCode="mm/dd/yyyy\ h:mm\ AM/PM"/>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strike val="0"/>
        <outline val="0"/>
        <shadow val="0"/>
        <vertAlign val="baseline"/>
        <name val="Aptos"/>
        <family val="2"/>
        <scheme val="none"/>
      </font>
      <numFmt numFmtId="30" formatCode="@"/>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Aptos"/>
        <family val="2"/>
        <scheme val="none"/>
      </font>
      <numFmt numFmtId="0" formatCode="General"/>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Aptos"/>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vertAlign val="baseline"/>
        <name val="Aptos"/>
        <family val="2"/>
        <scheme val="none"/>
      </font>
      <numFmt numFmtId="168" formatCode="h:mm\ AM/PM"/>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vertAlign val="baseline"/>
        <name val="Aptos"/>
        <family val="2"/>
        <scheme val="none"/>
      </font>
      <numFmt numFmtId="166" formatCode="dddd\,\ mmmm\ d\,\ yyyy"/>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color rgb="FF000000"/>
      </font>
      <fill>
        <patternFill>
          <bgColor rgb="FFFFC000"/>
        </patternFill>
      </fill>
    </dxf>
    <dxf>
      <fill>
        <patternFill>
          <bgColor rgb="FFFF9E9E"/>
        </patternFill>
      </fill>
    </dxf>
    <dxf>
      <fill>
        <patternFill>
          <bgColor rgb="FFFF9E9E"/>
        </patternFill>
      </fill>
    </dxf>
    <dxf>
      <font>
        <color rgb="FF9C6500"/>
      </font>
      <fill>
        <patternFill>
          <bgColor rgb="FFFFEB9C"/>
        </patternFill>
      </fill>
    </dxf>
    <dxf>
      <font>
        <color rgb="FF1F4E79"/>
      </font>
      <fill>
        <patternFill>
          <bgColor rgb="FFDDEBF7"/>
        </patternFill>
      </fill>
    </dxf>
    <dxf>
      <font>
        <color rgb="FF006100"/>
      </font>
      <fill>
        <patternFill>
          <bgColor rgb="FFC6EFCE"/>
        </patternFill>
      </fill>
    </dxf>
    <dxf>
      <font>
        <color rgb="FF9C6500"/>
      </font>
      <fill>
        <patternFill>
          <bgColor rgb="FFFFF2CC"/>
        </patternFill>
      </fill>
    </dxf>
    <dxf>
      <font>
        <color rgb="FF1F4E79"/>
      </font>
      <fill>
        <patternFill>
          <bgColor rgb="FFDDEBF7"/>
        </patternFill>
      </fill>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numFmt numFmtId="0" formatCode="General"/>
      <alignment horizontal="center" vertical="center" textRotation="0" wrapText="1" indent="0" justifyLastLine="0" shrinkToFit="0" readingOrder="0"/>
    </dxf>
    <dxf>
      <font>
        <strike val="0"/>
        <outline val="0"/>
        <shadow val="0"/>
        <vertAlign val="baseline"/>
        <name val="Aptos"/>
        <family val="2"/>
        <scheme val="none"/>
      </font>
      <numFmt numFmtId="0" formatCode="General"/>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numFmt numFmtId="168" formatCode="h:mm\ AM/PM"/>
      <alignment horizontal="left" vertical="center" textRotation="0" wrapText="1" indent="0" justifyLastLine="0" shrinkToFit="0" readingOrder="0"/>
    </dxf>
    <dxf>
      <font>
        <strike val="0"/>
        <outline val="0"/>
        <shadow val="0"/>
        <vertAlign val="baseline"/>
        <name val="Aptos"/>
        <family val="2"/>
        <scheme val="none"/>
      </font>
      <numFmt numFmtId="166" formatCode="dddd\,\ mmmm\ d\,\ yyyy"/>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ill>
        <patternFill>
          <bgColor rgb="FFFF9E9E"/>
        </patternFill>
      </fill>
    </dxf>
    <dxf>
      <fill>
        <patternFill>
          <bgColor rgb="FFFF9E9E"/>
        </patternFill>
      </fill>
    </dxf>
    <dxf>
      <fill>
        <patternFill>
          <bgColor rgb="FFFF9E9E"/>
        </patternFill>
      </fill>
    </dxf>
    <dxf>
      <font>
        <color rgb="FF000000"/>
      </font>
      <fill>
        <patternFill>
          <bgColor rgb="FFFFFF00"/>
        </patternFill>
      </fill>
    </dxf>
    <dxf>
      <font>
        <color rgb="FF000000"/>
      </font>
      <fill>
        <patternFill>
          <bgColor rgb="FFFFC000"/>
        </patternFill>
      </fill>
    </dxf>
    <dxf>
      <fill>
        <patternFill>
          <bgColor rgb="FFFF9E9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b/>
        <color rgb="FF666666"/>
      </font>
      <fill>
        <patternFill patternType="solid">
          <bgColor rgb="FFD9D9D9"/>
        </patternFill>
      </fill>
    </dxf>
    <dxf>
      <font>
        <b/>
        <color rgb="FF274E13"/>
      </font>
      <fill>
        <patternFill patternType="solid">
          <bgColor rgb="FFD9EAD3"/>
        </patternFill>
      </fill>
    </dxf>
    <dxf>
      <font>
        <b/>
        <color rgb="FF351C75"/>
      </font>
      <fill>
        <patternFill patternType="solid">
          <bgColor rgb="FFD9D2E9"/>
        </patternFill>
      </fill>
    </dxf>
    <dxf>
      <font>
        <b/>
        <color rgb="FF7F6000"/>
      </font>
      <fill>
        <patternFill patternType="solid">
          <bgColor rgb="FFFFE699"/>
        </patternFill>
      </fill>
    </dxf>
    <dxf>
      <font>
        <b/>
        <color rgb="FF7F6000"/>
      </font>
      <fill>
        <patternFill patternType="solid">
          <bgColor rgb="FFFFF2CC"/>
        </patternFill>
      </fill>
    </dxf>
    <dxf>
      <font>
        <b/>
        <color rgb="FF9C0006"/>
      </font>
      <fill>
        <patternFill patternType="solid">
          <bgColor rgb="FFF4CCCC"/>
        </patternFill>
      </fill>
    </dxf>
    <dxf>
      <font>
        <b/>
        <color rgb="FF351C75"/>
      </font>
      <fill>
        <patternFill patternType="solid">
          <bgColor rgb="FFD9D2E9"/>
        </patternFill>
      </fill>
    </dxf>
    <dxf>
      <font>
        <b/>
        <color rgb="FF666666"/>
      </font>
      <fill>
        <patternFill patternType="solid">
          <bgColor rgb="FFD9D9D9"/>
        </patternFill>
      </fill>
    </dxf>
    <dxf>
      <font>
        <b/>
        <color rgb="FF274E13"/>
      </font>
      <fill>
        <patternFill patternType="solid">
          <bgColor rgb="FFD9EAD3"/>
        </patternFill>
      </fill>
    </dxf>
    <dxf>
      <fill>
        <patternFill>
          <bgColor rgb="FFFFF2CC"/>
        </patternFill>
      </fill>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microsoft.com/office/2022/11/relationships/FeaturePropertyBag" Target="featurePropertyBag/featurePropertyBag.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2.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tyles" Target="styles.xml"/><Relationship Id="rId22" Type="http://schemas.microsoft.com/office/2006/relationships/vbaProject" Target="vbaProject.bin"/></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EMAIL%20PLANNING/2026/06-June/ADORAMA/2026%20Adorama%20June%20Email%20Calendar.xlsx" TargetMode="External"/><Relationship Id="rId1" Type="http://schemas.openxmlformats.org/officeDocument/2006/relationships/externalLinkPath" Target="https://adorama.sharepoint.com/sites/EmailMarketingTeam/Shared%20Documents/EMAIL%20PLANNING/2026/06-June/ADORAMA/2026%20Adorama%20June%20Email%20Calendar.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SMS%20Planning/2026/06-June/ADORAMA/2026%20Adorama%20June%20SMS%20Calendar.xlsx" TargetMode="External"/><Relationship Id="rId1" Type="http://schemas.openxmlformats.org/officeDocument/2006/relationships/externalLinkPath" Target="https://adorama.sharepoint.com/sites/EmailMarketingTeam/Shared%20Documents/SMS%20Planning/2026/06-June/ADORAMA/2026%20Adorama%20June%20SMS%20Calendar.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EMAIL%20PLANNING/2026/05-May/ADORAMA/2026%20Adorama%20May%20Email%20Calendar.xlsx" TargetMode="External"/><Relationship Id="rId1" Type="http://schemas.openxmlformats.org/officeDocument/2006/relationships/externalLinkPath" Target="https://adorama.sharepoint.com/sites/EmailMarketingTeam/Shared%20Documents/EMAIL%20PLANNING/2026/05-May/ADORAMA/2026%20Adorama%20May%20Email%20Calendar.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SMS%20Planning/2026/05-May/ADORAMA/2026%20Adorama%20May%20SMS%20Calendar.xlsx" TargetMode="External"/><Relationship Id="rId1" Type="http://schemas.openxmlformats.org/officeDocument/2006/relationships/externalLinkPath" Target="https://adorama.sharepoint.com/sites/EmailMarketingTeam/Shared%20Documents/SMS%20Planning/2026/05-May/ADORAMA/2026%20Adorama%20May%20SMS%20Calenda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4SY7E25YZDINE2ZUXA3HXXNYOI">
      <xxl21:absoluteUrl r:id="rId2"/>
    </xxl21:alternateUrls>
    <sheetNames>
      <sheetName val="2026 June Email Calendar"/>
      <sheetName val="2026 March Banner Placements"/>
      <sheetName val="2025 June Email Calendar "/>
      <sheetName val="2025 June Performance (AW)"/>
      <sheetName val="2025 June Email Revenue_Looker "/>
      <sheetName val="Notes"/>
    </sheetNames>
    <sheetDataSet>
      <sheetData sheetId="0">
        <row r="2">
          <cell r="B2" t="str">
            <v>Sunday</v>
          </cell>
          <cell r="C2" t="str">
            <v>Monday</v>
          </cell>
          <cell r="D2" t="str">
            <v>Tuesday</v>
          </cell>
          <cell r="E2" t="str">
            <v>Wednesday</v>
          </cell>
          <cell r="F2" t="str">
            <v>Thursday</v>
          </cell>
          <cell r="G2" t="str">
            <v>Friday</v>
          </cell>
          <cell r="H2" t="str">
            <v>Saturday</v>
          </cell>
        </row>
        <row r="3">
          <cell r="A3" t="str">
            <v>Wk. 23: May 31 – June 06</v>
          </cell>
          <cell r="B3">
            <v>46173</v>
          </cell>
          <cell r="C3">
            <v>46174</v>
          </cell>
          <cell r="D3">
            <v>46175</v>
          </cell>
          <cell r="E3">
            <v>46176</v>
          </cell>
          <cell r="F3">
            <v>46177</v>
          </cell>
          <cell r="G3">
            <v>46178</v>
          </cell>
          <cell r="H3">
            <v>46179</v>
          </cell>
        </row>
        <row r="4">
          <cell r="C4" t="str">
            <v>Promo: 
Bundle &amp; Save
STO</v>
          </cell>
          <cell r="D4" t="str">
            <v>Loyalty: 
VIP Summary (Adorama - existing VIPs)
V1: VIP Rewards
V2: VIP Perks
V3: VIP PRO
STO</v>
          </cell>
          <cell r="E4" t="str">
            <v xml:space="preserve">Services: 
Open Box
STO
</v>
          </cell>
          <cell r="F4" t="str">
            <v>PLCC:
Open To Buy (targeted)
STO</v>
          </cell>
          <cell r="G4" t="str">
            <v>Promo: 
EM1: Gaming with Products
8AM
EM2: Weekend Deals with Products (video)
9AM
EM3: Weekend Deals with Products (photo + other categories)
10AM
NO EMAILS AFTER 8:00PM</v>
          </cell>
          <cell r="H4" t="str">
            <v>Newsletters:
Creators Huddle 
10PM
NO EMAILS BEFORE 9:40PM</v>
          </cell>
        </row>
        <row r="5">
          <cell r="A5" t="str">
            <v>Wk. 24: June 07 - June 13</v>
          </cell>
          <cell r="B5">
            <v>45815</v>
          </cell>
          <cell r="C5">
            <v>45816</v>
          </cell>
          <cell r="D5">
            <v>45817</v>
          </cell>
          <cell r="E5">
            <v>45818</v>
          </cell>
          <cell r="F5">
            <v>45819</v>
          </cell>
          <cell r="G5">
            <v>45820</v>
          </cell>
          <cell r="H5">
            <v>45821</v>
          </cell>
        </row>
        <row r="6">
          <cell r="B6" t="str">
            <v>Event: 
JK x ADORAMA NYC WORKSHOP
Targeted to New York metropolitan area (tri-state area)
STO
In-Stock:
Sony ISOA7R6
STO</v>
          </cell>
          <cell r="C6" t="str">
            <v>Promo: 
Photo Rebates with Products
STO</v>
          </cell>
          <cell r="D6" t="str">
            <v>Newsletter:
Store (include Sunday's event)
STO
NPA:
Insta360 Luna Ultra Gimbal Camera</v>
          </cell>
          <cell r="E6" t="str">
            <v xml:space="preserve">Services:
Private Brands (include Sunday's event)
STO
</v>
          </cell>
          <cell r="F6" t="str">
            <v>Loyalty: 
EM1: Non Member Acquisition
STO
EM2: 1,000 Points Card Member Reminder
STO</v>
          </cell>
          <cell r="G6" t="str">
            <v>Promo: 
EM1: Father's Day
8AM
EM2: Photo Rebates Resend
(targeting: people who received 6/8/26 Photo Rebates, opened them, but did not buy)
3PM
NO EMAILS AFTER 8:05PM</v>
          </cell>
          <cell r="H6" t="str">
            <v>Newsletter: 
Photo (supporting FIFA World Cup 2026)
10PM
NO EMAILS BEFORE 9:45PM</v>
          </cell>
        </row>
        <row r="7">
          <cell r="A7" t="str">
            <v>Wk. 25: June 14 - June 20</v>
          </cell>
          <cell r="B7">
            <v>45822</v>
          </cell>
          <cell r="C7">
            <v>45823</v>
          </cell>
          <cell r="D7">
            <v>45824</v>
          </cell>
          <cell r="E7">
            <v>45825</v>
          </cell>
          <cell r="F7">
            <v>45826</v>
          </cell>
          <cell r="G7">
            <v>45827</v>
          </cell>
          <cell r="H7">
            <v>45828</v>
          </cell>
        </row>
        <row r="8">
          <cell r="B8" t="str">
            <v>Event:
EM1: FIFA World Cup 2026
9AM
EM2: ABS Giveaway
10AM</v>
          </cell>
          <cell r="C8" t="str">
            <v>EM1: NPA:
Leica 
9AM
EM1: 24-Hour Sale
7AM</v>
          </cell>
          <cell r="D8"/>
          <cell r="E8" t="str">
            <v>Services:
Trade
STO</v>
          </cell>
          <cell r="F8" t="str">
            <v>PLCC: 
Adorama Brands (Coupon email for cardmembers - targeted)
STO</v>
          </cell>
          <cell r="G8" t="str">
            <v>Promo: 
Warehouse Sale
8AM
NO EMAILS AFTER 8:07PM</v>
          </cell>
          <cell r="H8" t="str">
            <v>Newsletter:
Video
10PM
NO EMAILS BEFORE 9:50PM</v>
          </cell>
        </row>
        <row r="9">
          <cell r="A9" t="str">
            <v>Wk. 26: June 21 - June 27</v>
          </cell>
          <cell r="B9">
            <v>45829</v>
          </cell>
          <cell r="C9">
            <v>45830</v>
          </cell>
          <cell r="D9">
            <v>45831</v>
          </cell>
          <cell r="E9">
            <v>45832</v>
          </cell>
          <cell r="F9">
            <v>45833</v>
          </cell>
          <cell r="G9">
            <v>45834</v>
          </cell>
          <cell r="H9">
            <v>45835</v>
          </cell>
        </row>
        <row r="10">
          <cell r="B10" t="str">
            <v>Events: 
Lighting for Narrative Cinematography
Date: Wednesday, June 24th · 5pm - 6pm ET
OnSet with Daniel Norton: Portraits with a Point and Shoot
Date: Thursday, June 25th · 5 - 6pm ET</v>
          </cell>
          <cell r="C10" t="str">
            <v>Promo: 
EM1. Top Deals (Photo) with Products
EM2. Top Deals (cross category) with Products
EM3: Top Deals (Lighting &amp; Studio) with Products</v>
          </cell>
          <cell r="D10" t="str">
            <v>Promo: 
Summer Cyber Sale
STO</v>
          </cell>
          <cell r="E10" t="str">
            <v xml:space="preserve">Services: 
EM1: EDU with products (8AM)
EM2: Used with products (9AM)
</v>
          </cell>
          <cell r="F10" t="str">
            <v>EM1: PLCC: 
1,000 points new cardmember reminder - 30 15 days out (targeted)
STO
EM2: Summer Save w/ Products (Lighting &amp; Studio)</v>
          </cell>
          <cell r="G10" t="str">
            <v>Promo: 
Weekend Deals (cross category)
Summer Cyber Sale LC
9AM
NO EMAILS AFTER 8:10PM</v>
          </cell>
          <cell r="H10" t="str">
            <v>Newsletter: 
Creators Huddle
10PM
NO EMAILS BEFORE 9:50PM</v>
          </cell>
        </row>
        <row r="11">
          <cell r="A11" t="str">
            <v>Wk. 27: June 28 - July 04</v>
          </cell>
          <cell r="B11">
            <v>45836</v>
          </cell>
          <cell r="C11">
            <v>45837</v>
          </cell>
          <cell r="D11">
            <v>45838</v>
          </cell>
          <cell r="E11">
            <v>45839</v>
          </cell>
          <cell r="F11">
            <v>45840</v>
          </cell>
          <cell r="G11">
            <v>45841</v>
          </cell>
          <cell r="H11">
            <v>45842</v>
          </cell>
        </row>
        <row r="12">
          <cell r="B12" t="str">
            <v xml:space="preserve">Events:
Agreeable Strangers: From Passion Project to Published Book with Charles Chessler
Date: Wednesday, July 1st · 5pm - 6pm ET
Agreeable Strangers: From Passion Project to Published Book with Charles Chessler
Date: Wednesday, July 1st · 5pm - 6pm ET
</v>
          </cell>
          <cell r="C12" t="str">
            <v>July 4th Sale Launch (products + Categories)
STO</v>
          </cell>
          <cell r="D12"/>
          <cell r="E12" t="str">
            <v>EM1: July 4th Sale Going on Now (Brands and categories)
STO
EM2: 4th of July w/ Products - lightning &amp; studio</v>
          </cell>
          <cell r="F12"/>
          <cell r="G12" t="str">
            <v>July 4th Sale Ends Tomorrow (with Products and categories + countdown timer)
8AM
NO EMAILS AFTER 8:10PM</v>
          </cell>
          <cell r="H12" t="str">
            <v>July 4th Sale (Products and Brands)
10PM
NO EMAILS BEFORE 9:50PM</v>
          </cell>
        </row>
        <row r="15">
          <cell r="B15" t="str">
            <v>Events</v>
          </cell>
          <cell r="C15" t="str">
            <v>Promo</v>
          </cell>
          <cell r="D15"/>
          <cell r="E15" t="str">
            <v>Services</v>
          </cell>
          <cell r="F15" t="str">
            <v>PLCC &amp; Loyalty</v>
          </cell>
          <cell r="G15" t="str">
            <v>Promo</v>
          </cell>
          <cell r="H15" t="str">
            <v>Newsletters</v>
          </cell>
        </row>
      </sheetData>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6KGPRAQZEIHVAKJDVP25LDMW4T">
      <xxl21:absoluteUrl r:id="rId2"/>
    </xxl21:alternateUrls>
    <sheetNames>
      <sheetName val="2024 October Revenue (Looker)"/>
      <sheetName val="2026 June SMS Calendar"/>
      <sheetName val="2025 June SMS Calendar"/>
      <sheetName val="Looker Monthly Data"/>
      <sheetName val="Attentive_Campaign_Performance"/>
      <sheetName val="2025 SMS Performance"/>
      <sheetName val="2025 JuneSMS Financials(Looker)"/>
      <sheetName val="October 23 vs. 24 - Raw Data"/>
      <sheetName val="Notes"/>
    </sheetNames>
    <sheetDataSet>
      <sheetData sheetId="0"/>
      <sheetData sheetId="1">
        <row r="2">
          <cell r="B2" t="str">
            <v>Sunday</v>
          </cell>
          <cell r="C2" t="str">
            <v>Monday</v>
          </cell>
          <cell r="D2" t="str">
            <v>Tuesday</v>
          </cell>
          <cell r="E2" t="str">
            <v>Wednesday</v>
          </cell>
          <cell r="F2" t="str">
            <v>Thursday</v>
          </cell>
          <cell r="G2" t="str">
            <v>Friday</v>
          </cell>
          <cell r="H2" t="str">
            <v>Saturday</v>
          </cell>
        </row>
        <row r="3">
          <cell r="A3" t="str">
            <v>Wk. 23: May 31 – June 06</v>
          </cell>
          <cell r="B3">
            <v>46173</v>
          </cell>
          <cell r="C3">
            <v>46174</v>
          </cell>
          <cell r="D3">
            <v>46175</v>
          </cell>
          <cell r="E3">
            <v>46176</v>
          </cell>
          <cell r="F3">
            <v>46177</v>
          </cell>
          <cell r="G3">
            <v>46178</v>
          </cell>
          <cell r="H3">
            <v>46179</v>
          </cell>
        </row>
        <row r="4">
          <cell r="B4" t="str">
            <v xml:space="preserve">Event: 
JK x ADORAMA NYC WORKSHOP
Targeted to New York metropolitan area (tri-state area)
11AM Local
</v>
          </cell>
          <cell r="C4" t="str">
            <v>Services: 
Open Box
11AM Local</v>
          </cell>
          <cell r="D4"/>
          <cell r="E4"/>
          <cell r="F4"/>
          <cell r="G4" t="str">
            <v>SMS1: Top Deals
11AM Local
SMS : In-Stock: Sony ISOA746
3:45PM Local
NO EMAILS AFTER 8:00PM</v>
          </cell>
          <cell r="H4" t="str">
            <v xml:space="preserve">
NO EMAILS BEFORE 9:40PM</v>
          </cell>
        </row>
        <row r="5">
          <cell r="A5" t="str">
            <v>Wk. 24: June 07 - June 13</v>
          </cell>
          <cell r="B5">
            <v>45815</v>
          </cell>
          <cell r="C5">
            <v>45816</v>
          </cell>
          <cell r="D5">
            <v>45817</v>
          </cell>
          <cell r="E5">
            <v>45818</v>
          </cell>
          <cell r="F5">
            <v>45819</v>
          </cell>
          <cell r="G5">
            <v>45820</v>
          </cell>
          <cell r="H5">
            <v>45821</v>
          </cell>
        </row>
        <row r="6">
          <cell r="B6" t="str">
            <v>Event: 
JK x ADORAMA NYC WORKSHOP
Targeted to New York metropolitan area (tri-state area)
11AM Local
In-Stock:
Sony ISOA746
11:30AM Local</v>
          </cell>
          <cell r="C6" t="str">
            <v>Promo: 
Photo Rebates with Products
11AM Local</v>
          </cell>
          <cell r="D6"/>
          <cell r="E6" t="str">
            <v>NPA:
Skyrover Drone with smart remotes
In Stock
11AM</v>
          </cell>
          <cell r="F6"/>
          <cell r="G6" t="str">
            <v>Promo: 
Father's Day
11AM Local
NO EMAILS AFTER 8:05PM</v>
          </cell>
          <cell r="H6" t="str">
            <v>NO EMAILS BEFORE 9:45PM</v>
          </cell>
        </row>
        <row r="7">
          <cell r="A7" t="str">
            <v>Wk. 25: June 14 - June 20</v>
          </cell>
          <cell r="B7">
            <v>45822</v>
          </cell>
          <cell r="C7">
            <v>45823</v>
          </cell>
          <cell r="D7">
            <v>45824</v>
          </cell>
          <cell r="E7">
            <v>45825</v>
          </cell>
          <cell r="F7">
            <v>45826</v>
          </cell>
          <cell r="G7">
            <v>45827</v>
          </cell>
          <cell r="H7">
            <v>45828</v>
          </cell>
        </row>
        <row r="8">
          <cell r="B8"/>
          <cell r="C8" t="str">
            <v xml:space="preserve">EM1: NPA:
Leica 
9AM
</v>
          </cell>
          <cell r="D8"/>
          <cell r="E8" t="str">
            <v>Services:
Trade
STO</v>
          </cell>
          <cell r="F8"/>
          <cell r="G8" t="str">
            <v>Promo: 
Warehouse Sale
11AM Local
NO EMAILS AFTER 8:07PM</v>
          </cell>
          <cell r="H8" t="str">
            <v xml:space="preserve">
NO EMAILS BEFORE 9:50PM</v>
          </cell>
        </row>
        <row r="9">
          <cell r="A9" t="str">
            <v>Wk. 26: June 21 - June 27</v>
          </cell>
          <cell r="B9">
            <v>45829</v>
          </cell>
          <cell r="C9">
            <v>45830</v>
          </cell>
          <cell r="D9">
            <v>45831</v>
          </cell>
          <cell r="E9">
            <v>45832</v>
          </cell>
          <cell r="F9">
            <v>45833</v>
          </cell>
          <cell r="G9">
            <v>45834</v>
          </cell>
          <cell r="H9">
            <v>45835</v>
          </cell>
        </row>
        <row r="10">
          <cell r="B10" t="str">
            <v>Events: 
Lighting for Narrative Cinematography
Date: Wednesday, June 24th · 5pm - 6pm ET
OnSet with Daniel Norton: Portraits with a Point and Shoot
Date: Thursday, June 25th · 5 - 6pm ET
11AM Local</v>
          </cell>
          <cell r="C10" t="str">
            <v xml:space="preserve">Promo: 
Photo Top Deals with Products
11AM Local
</v>
          </cell>
          <cell r="D10"/>
          <cell r="E10" t="str">
            <v xml:space="preserve">Services: 
Used with products
11AM Local
</v>
          </cell>
          <cell r="F10"/>
          <cell r="G10" t="str">
            <v>Promo: 
Weekend Deals (cross category)
11AM Local
NO EMAILS AFTER 8:10PM</v>
          </cell>
          <cell r="H10" t="str">
            <v>NO EMAILS BEFORE 9:50PM</v>
          </cell>
        </row>
        <row r="11">
          <cell r="A11" t="str">
            <v>Wk. 27: June 28 - July 04</v>
          </cell>
          <cell r="B11">
            <v>11</v>
          </cell>
          <cell r="C11">
            <v>45837</v>
          </cell>
          <cell r="D11">
            <v>45838</v>
          </cell>
          <cell r="E11">
            <v>45839</v>
          </cell>
          <cell r="F11">
            <v>45840</v>
          </cell>
          <cell r="G11">
            <v>45841</v>
          </cell>
          <cell r="H11">
            <v>45842</v>
          </cell>
        </row>
        <row r="12">
          <cell r="B12" t="str">
            <v>Events:
Agreeable Strangers: From Passion Project to Published Book with Charles Chessler
Date: Wednesday, July 1st · 5pm - 6pm ET
Agreeable Strangers: From Passion Project to Published Book with Charles Chessler
Date: Wednesday, July 1st · 5pm - 6pm ET
11AM Local</v>
          </cell>
          <cell r="C12" t="str">
            <v>July 4th Sale Launch (products + Categories)
11AM Local</v>
          </cell>
          <cell r="D12"/>
          <cell r="E12"/>
          <cell r="F12"/>
          <cell r="G12" t="str">
            <v>July 4th Sale 
11AM Local
NO EMAILS AFTER 8:10PM</v>
          </cell>
          <cell r="H12" t="str">
            <v>NO EMAILS BEFORE 9:50PM</v>
          </cell>
        </row>
        <row r="15">
          <cell r="B15" t="str">
            <v>Events</v>
          </cell>
          <cell r="C15" t="str">
            <v>Promo</v>
          </cell>
          <cell r="D15"/>
          <cell r="E15" t="str">
            <v>Services</v>
          </cell>
          <cell r="F15" t="str">
            <v>PLCC &amp; Loyalty</v>
          </cell>
          <cell r="G15" t="str">
            <v>Promo</v>
          </cell>
          <cell r="H15" t="str">
            <v>Newsletters</v>
          </cell>
        </row>
      </sheetData>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7GG52BUKHCW5AIVR54D3S25E65">
      <xxl21:absoluteUrl r:id="rId2"/>
    </xxl21:alternateUrls>
    <sheetNames>
      <sheetName val="2026 May Email Calendar"/>
      <sheetName val="2026 March Banner Placements"/>
      <sheetName val="2025 May Email Calendar "/>
      <sheetName val="2025 May Performance (AW)"/>
      <sheetName val="2025 May Email Revenue_Looker "/>
      <sheetName val="2024 May Email Revenue_Looker"/>
      <sheetName val="Notes"/>
      <sheetName val="2026 Adorama May Email Calendar"/>
    </sheetNames>
    <sheetDataSet>
      <sheetData sheetId="0">
        <row r="2">
          <cell r="B2" t="str">
            <v>Sunday</v>
          </cell>
          <cell r="C2" t="str">
            <v>Monday</v>
          </cell>
          <cell r="D2" t="str">
            <v>Tuesday</v>
          </cell>
          <cell r="E2" t="str">
            <v>Wednesday</v>
          </cell>
          <cell r="F2" t="str">
            <v>Thursday</v>
          </cell>
          <cell r="G2" t="str">
            <v>Friday</v>
          </cell>
          <cell r="H2" t="str">
            <v>Saturday</v>
          </cell>
        </row>
        <row r="3">
          <cell r="A3" t="str">
            <v>Wk. 18: April 26 – May 02</v>
          </cell>
          <cell r="G3">
            <v>46143</v>
          </cell>
          <cell r="H3">
            <v>46144</v>
          </cell>
        </row>
        <row r="5">
          <cell r="A5" t="str">
            <v>Wk. 19: May 03 – May 09</v>
          </cell>
          <cell r="B5">
            <v>46145</v>
          </cell>
          <cell r="C5">
            <v>46146</v>
          </cell>
          <cell r="D5">
            <v>46147</v>
          </cell>
          <cell r="E5">
            <v>46148</v>
          </cell>
          <cell r="F5">
            <v>46149</v>
          </cell>
          <cell r="G5">
            <v>46150</v>
          </cell>
          <cell r="H5">
            <v>46151</v>
          </cell>
        </row>
        <row r="7">
          <cell r="A7" t="str">
            <v>Wk. 20: May 10 – May 16</v>
          </cell>
          <cell r="B7">
            <v>46152</v>
          </cell>
          <cell r="C7">
            <v>46153</v>
          </cell>
          <cell r="D7">
            <v>46154</v>
          </cell>
          <cell r="E7">
            <v>46155</v>
          </cell>
          <cell r="F7">
            <v>46156</v>
          </cell>
          <cell r="G7">
            <v>46157</v>
          </cell>
          <cell r="H7">
            <v>46158</v>
          </cell>
        </row>
        <row r="9">
          <cell r="A9" t="str">
            <v>Wk. 21: May 17 – May 23</v>
          </cell>
          <cell r="B9">
            <v>46159</v>
          </cell>
          <cell r="C9">
            <v>46160</v>
          </cell>
          <cell r="D9">
            <v>46161</v>
          </cell>
          <cell r="E9">
            <v>46162</v>
          </cell>
          <cell r="F9">
            <v>46163</v>
          </cell>
          <cell r="G9">
            <v>46164</v>
          </cell>
          <cell r="H9">
            <v>46165</v>
          </cell>
        </row>
        <row r="11">
          <cell r="A11" t="str">
            <v>Wk. 22: May 24 – May 30</v>
          </cell>
          <cell r="B11">
            <v>46166</v>
          </cell>
          <cell r="C11">
            <v>46167</v>
          </cell>
          <cell r="D11">
            <v>46168</v>
          </cell>
          <cell r="E11">
            <v>46169</v>
          </cell>
          <cell r="F11">
            <v>46170</v>
          </cell>
          <cell r="G11">
            <v>46171</v>
          </cell>
          <cell r="H11">
            <v>46172</v>
          </cell>
        </row>
        <row r="13">
          <cell r="A13" t="str">
            <v>Wk. 23: May 31 – June 06</v>
          </cell>
          <cell r="B13">
            <v>46173</v>
          </cell>
        </row>
        <row r="16">
          <cell r="B16" t="str">
            <v>Events</v>
          </cell>
          <cell r="C16" t="str">
            <v>Promo</v>
          </cell>
          <cell r="D16"/>
          <cell r="E16" t="str">
            <v>Services</v>
          </cell>
          <cell r="F16" t="str">
            <v>PLCC &amp; Loyalty</v>
          </cell>
          <cell r="G16" t="str">
            <v>Promo</v>
          </cell>
          <cell r="H16" t="str">
            <v>Newsletters</v>
          </cell>
        </row>
      </sheetData>
      <sheetData sheetId="1"/>
      <sheetData sheetId="2"/>
      <sheetData sheetId="3"/>
      <sheetData sheetId="4"/>
      <sheetData sheetId="5"/>
      <sheetData sheetId="6"/>
      <sheetData sheetId="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3NOWVBDUTAYNAKUFOK2KDVRQY4">
      <xxl21:absoluteUrl r:id="rId2"/>
    </xxl21:alternateUrls>
    <sheetNames>
      <sheetName val="2024 October Revenue (Looker)"/>
      <sheetName val="2026 May SMS Calendar"/>
      <sheetName val="2025 May SMS Calendar"/>
      <sheetName val="Looker Monthly Data"/>
      <sheetName val="Attentive_Campaign_Performance"/>
      <sheetName val="2025 SMS Performance"/>
      <sheetName val="2025 May SMS Financials(Looker)"/>
      <sheetName val="October 23 vs. 24 - Raw Data"/>
      <sheetName val="Notes"/>
      <sheetName val="SMS Performance"/>
      <sheetName val="2026 Adorama May SMS Calendar"/>
    </sheetNames>
    <sheetDataSet>
      <sheetData sheetId="0"/>
      <sheetData sheetId="1">
        <row r="2">
          <cell r="B2" t="str">
            <v>Sunday</v>
          </cell>
          <cell r="C2" t="str">
            <v>Monday</v>
          </cell>
          <cell r="D2" t="str">
            <v>Tuesday</v>
          </cell>
          <cell r="E2" t="str">
            <v>Wednesday</v>
          </cell>
          <cell r="F2" t="str">
            <v>Thursday</v>
          </cell>
          <cell r="G2" t="str">
            <v>Friday</v>
          </cell>
          <cell r="H2" t="str">
            <v>Saturday</v>
          </cell>
        </row>
        <row r="3">
          <cell r="A3" t="str">
            <v>Wk. 18: April 26 – May 02</v>
          </cell>
          <cell r="G3">
            <v>46143</v>
          </cell>
          <cell r="H3">
            <v>46144</v>
          </cell>
        </row>
        <row r="5">
          <cell r="A5" t="str">
            <v>Wk. 19: May 03 – May 09</v>
          </cell>
          <cell r="B5">
            <v>46145</v>
          </cell>
          <cell r="C5">
            <v>46146</v>
          </cell>
          <cell r="D5">
            <v>46147</v>
          </cell>
          <cell r="E5">
            <v>46148</v>
          </cell>
          <cell r="F5">
            <v>46149</v>
          </cell>
          <cell r="G5">
            <v>46150</v>
          </cell>
          <cell r="H5">
            <v>46151</v>
          </cell>
        </row>
        <row r="7">
          <cell r="A7" t="str">
            <v>Wk. 20: May 10 – May 16</v>
          </cell>
          <cell r="B7">
            <v>46152</v>
          </cell>
          <cell r="C7">
            <v>46153</v>
          </cell>
          <cell r="D7">
            <v>46154</v>
          </cell>
          <cell r="E7">
            <v>46155</v>
          </cell>
          <cell r="F7">
            <v>46156</v>
          </cell>
          <cell r="G7">
            <v>46157</v>
          </cell>
          <cell r="H7">
            <v>46158</v>
          </cell>
        </row>
        <row r="9">
          <cell r="A9" t="str">
            <v>Wk. 21: May 17 – May 23</v>
          </cell>
          <cell r="B9">
            <v>46159</v>
          </cell>
          <cell r="C9">
            <v>46160</v>
          </cell>
          <cell r="D9">
            <v>46161</v>
          </cell>
          <cell r="E9">
            <v>46162</v>
          </cell>
          <cell r="F9">
            <v>46163</v>
          </cell>
          <cell r="G9">
            <v>46164</v>
          </cell>
          <cell r="H9">
            <v>46165</v>
          </cell>
        </row>
        <row r="11">
          <cell r="A11" t="str">
            <v>Wk. 22: May 24 – May 30</v>
          </cell>
          <cell r="B11">
            <v>46166</v>
          </cell>
          <cell r="C11">
            <v>46167</v>
          </cell>
          <cell r="D11">
            <v>46168</v>
          </cell>
          <cell r="E11">
            <v>46169</v>
          </cell>
          <cell r="F11">
            <v>46170</v>
          </cell>
          <cell r="G11">
            <v>46171</v>
          </cell>
          <cell r="H11">
            <v>46172</v>
          </cell>
        </row>
        <row r="13">
          <cell r="A13" t="str">
            <v>Wk. 23: May 31 – June 06</v>
          </cell>
          <cell r="B13">
            <v>46173</v>
          </cell>
        </row>
        <row r="14">
          <cell r="B14"/>
        </row>
      </sheetData>
      <sheetData sheetId="2"/>
      <sheetData sheetId="3"/>
      <sheetData sheetId="4"/>
      <sheetData sheetId="5"/>
      <sheetData sheetId="6"/>
      <sheetData sheetId="7"/>
      <sheetData sheetId="8"/>
      <sheetData sheetId="9" refreshError="1"/>
      <sheetData sheetId="10"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DashboardWorkTable" displayName="DashboardWorkTable" ref="A10:L160" headerRowDxfId="84" dataDxfId="83" totalsRowDxfId="82">
  <tableColumns count="12">
    <tableColumn id="1" xr3:uid="{00000000-0010-0000-0100-000001000000}" name="Send Date" dataDxfId="81">
      <calculatedColumnFormula array="1">IFERROR(INDEX(_xlfn.ANCHORARRAY($AA$11),ROW()-10,1),"")</calculatedColumnFormula>
    </tableColumn>
    <tableColumn id="2" xr3:uid="{00000000-0010-0000-0100-000002000000}" name="Time" dataDxfId="80">
      <calculatedColumnFormula array="1">IFERROR(INDEX(_xlfn.ANCHORARRAY($AA$11),ROW()-10,2),"")</calculatedColumnFormula>
    </tableColumn>
    <tableColumn id="3" xr3:uid="{00000000-0010-0000-0100-000003000000}" name="Channel" dataDxfId="79">
      <calculatedColumnFormula array="1">IFERROR(INDEX(_xlfn.ANCHORARRAY($AA$11),ROW()-10,3),"")</calculatedColumnFormula>
    </tableColumn>
    <tableColumn id="4" xr3:uid="{00000000-0010-0000-0100-000004000000}" name="Campaign" dataDxfId="78">
      <calculatedColumnFormula array="1">IFERROR(INDEX(_xlfn.ANCHORARRAY($AA$11),ROW()-10,4),"")</calculatedColumnFormula>
    </tableColumn>
    <tableColumn id="5" xr3:uid="{00000000-0010-0000-0100-000005000000}" name="Type" dataDxfId="77">
      <calculatedColumnFormula array="1">IFERROR(INDEX(_xlfn.ANCHORARRAY($AA$11),ROW()-10,5),"")</calculatedColumnFormula>
    </tableColumn>
    <tableColumn id="6" xr3:uid="{00000000-0010-0000-0100-000006000000}" name="Stage" dataDxfId="76">
      <calculatedColumnFormula array="1">IFERROR(INDEX(_xlfn.ANCHORARRAY($AA$11),ROW()-10,6),"")</calculatedColumnFormula>
    </tableColumn>
    <tableColumn id="7" xr3:uid="{00000000-0010-0000-0100-000007000000}" name="Owner" dataDxfId="75">
      <calculatedColumnFormula array="1">IFERROR(INDEX(_xlfn.ANCHORARRAY($AA$11),ROW()-10,7),"")</calculatedColumnFormula>
    </tableColumn>
    <tableColumn id="8" xr3:uid="{00000000-0010-0000-0100-000008000000}" name="Approval" dataDxfId="74">
      <calculatedColumnFormula array="1">IFERROR(INDEX(_xlfn.ANCHORARRAY($AA$11),ROW()-10,8),"")</calculatedColumnFormula>
    </tableColumn>
    <tableColumn id="9" xr3:uid="{00000000-0010-0000-0100-000009000000}" name="Segments" dataDxfId="73">
      <calculatedColumnFormula array="1">IFERROR(INDEX(_xlfn.ANCHORARRAY($AA$11),ROW()-10,9),"")</calculatedColumnFormula>
    </tableColumn>
    <tableColumn id="10" xr3:uid="{00000000-0010-0000-0100-00000A000000}" name="Jira" dataDxfId="72">
      <calculatedColumnFormula>_xlfn.LET(_xlpm.ch,IFERROR(INDEX(_xlfn.ANCHORARRAY($AA$11),ROW()-10,3),""),_xlpm.link,IFERROR(INDEX(_xlfn.ANCHORARRAY($AA$11),ROW()-10,10),""),IF(OR(_xlpm.link="",_xlpm.ch="SMS"),"",HYPERLINK(_xlpm.link,"JIRA")))</calculatedColumnFormula>
    </tableColumn>
    <tableColumn id="11" xr3:uid="{00000000-0010-0000-0100-00000B000000}" name="ClickUp" dataDxfId="71">
      <calculatedColumnFormula>_xlfn.LET(_xlpm.ch,IFERROR(INDEX(_xlfn.ANCHORARRAY($AA$11),ROW()-10,3),""),_xlpm.link,IFERROR(INDEX(_xlfn.ANCHORARRAY($AA$11),ROW()-10,11),""),IF(OR(_xlpm.link="",_xlpm.ch="SMS"),"",HYPERLINK(_xlpm.link,"ClickUp")))</calculatedColumnFormula>
    </tableColumn>
    <tableColumn id="12" xr3:uid="{00000000-0010-0000-0100-00000C000000}" name="Bluecore/Attentive" dataDxfId="70">
      <calculatedColumnFormula array="1">_xlfn.LET(_xlpm.link,IFERROR(INDEX(_xlfn.ANCHORARRAY($AA$11),ROW()-10,12),""),IF(_xlpm.link="","",HYPERLINK(_xlpm.link,"Bluecore/Attentive")))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mailCampaignsTable" displayName="EmailCampaignsTable" ref="A1:W3" headerRowDxfId="61" dataDxfId="60" totalsRowDxfId="59">
  <autoFilter ref="A1:W3" xr:uid="{00000000-000C-0000-FFFF-FFFF00000000}"/>
  <tableColumns count="23">
    <tableColumn id="2" xr3:uid="{00000000-0010-0000-0000-000002000000}" name="Send Date" dataDxfId="58"/>
    <tableColumn id="3" xr3:uid="{00000000-0010-0000-0000-000003000000}" name="Send Time" dataDxfId="57"/>
    <tableColumn id="4" xr3:uid="{00000000-0010-0000-0000-000004000000}" name="Campaign Name" dataDxfId="56"/>
    <tableColumn id="5" xr3:uid="{00000000-0010-0000-0000-000005000000}" name="Campaign Type" dataDxfId="55"/>
    <tableColumn id="6" xr3:uid="{00000000-0010-0000-0000-000006000000}" name="Current Stage" dataDxfId="54">
      <calculatedColumnFormula>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calculatedColumnFormula>
    </tableColumn>
    <tableColumn id="7" xr3:uid="{00000000-0010-0000-0000-000007000000}" name="Owner" dataDxfId="53"/>
    <tableColumn id="1" xr3:uid="{B2077B23-1D1A-459D-9583-F63147D6D936}" name="Campaign Name and UTM Parameter (Source Code)" dataDxfId="52"/>
    <tableColumn id="8" xr3:uid="{63A16BD6-6B10-4AD5-B57D-B92EA2935F36}" name="Creative Brief, SL &amp; PH" dataDxfId="51"/>
    <tableColumn id="9" xr3:uid="{23EAD37F-5B0E-461E-85FF-0AAFD24BAA68}" name="SKUs" dataDxfId="50"/>
    <tableColumn id="10" xr3:uid="{9640EB9F-78BB-44D9-B70D-05FDE06036E4}" name="In-Design" dataDxfId="49"/>
    <tableColumn id="11" xr3:uid="{ADDF4395-0E99-41A9-BED7-3DBCF6006F91}" name="Build, QA" dataDxfId="48"/>
    <tableColumn id="12" xr3:uid="{6DF2B722-97C3-4902-87DE-A2A9727C8024}" name="Route" dataDxfId="47"/>
    <tableColumn id="14" xr3:uid="{2C5B824E-A4DE-4EA9-87E9-7663BB92F9D4}" name="Approval" dataDxfId="46"/>
    <tableColumn id="15" xr3:uid="{4CE14FFB-3FFB-4445-B89C-5D3C3D24D6C0}" name="Segments" dataDxfId="45"/>
    <tableColumn id="22" xr3:uid="{A8BEA7EB-5815-4C39-93F0-EE8E15E2EF00}" name="Scheduled" dataDxfId="44"/>
    <tableColumn id="17" xr3:uid="{00000000-0010-0000-0000-000011000000}" name="Jira Link" dataDxfId="43"/>
    <tableColumn id="18" xr3:uid="{00000000-0010-0000-0000-000012000000}" name="ClickUp Link" dataDxfId="42"/>
    <tableColumn id="19" xr3:uid="{00000000-0010-0000-0000-000013000000}" name="Bluecore/Attentive Link" dataDxfId="41"/>
    <tableColumn id="20" xr3:uid="{00000000-0010-0000-0000-000014000000}" name="Est. Audience" dataDxfId="40"/>
    <tableColumn id="21" xr3:uid="{00000000-0010-0000-0000-000015000000}" name="Delivered" dataDxfId="39"/>
    <tableColumn id="23" xr3:uid="{00000000-0010-0000-0000-000017000000}" name="Last Updated" dataDxfId="38"/>
    <tableColumn id="13" xr3:uid="{6717C158-5D55-49BD-B0A1-8EF5E6BE7E59}" name="Last Updated By" dataDxfId="37"/>
    <tableColumn id="16" xr3:uid="{45C4D116-AEA5-4484-9652-2029E5D3A263}" name="Notes" dataDxfId="36" totalsRowDxfId="3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A5B085-3B5F-4682-B501-752F9044F617}" name="SMSCampaignsTable" displayName="SMSCampaignsTable" ref="A1:R3" totalsRowShown="0" headerRowDxfId="26" dataDxfId="25">
  <autoFilter ref="A1:R3" xr:uid="{5BA5B085-3B5F-4682-B501-752F9044F617}"/>
  <tableColumns count="18">
    <tableColumn id="1" xr3:uid="{A00F9C46-9585-47C9-83D4-D97802A976D5}" name="Send Date" dataDxfId="24"/>
    <tableColumn id="2" xr3:uid="{FA54A5FD-1AB7-4749-AF9C-A820CCD54864}" name="Send Time" dataDxfId="23"/>
    <tableColumn id="3" xr3:uid="{D8232C60-1B45-4E39-B4FB-F7D15854588A}" name="Campaign Name" dataDxfId="22"/>
    <tableColumn id="4" xr3:uid="{488CC129-7AB9-4CDE-A0F4-708CCF476FDC}" name="Campaign Type" dataDxfId="21"/>
    <tableColumn id="5" xr3:uid="{60402621-821D-4B42-BBBF-04ECD600240D}" name="Current Stage" dataDxfId="20">
      <calculatedColumnFormula>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calculatedColumnFormula>
    </tableColumn>
    <tableColumn id="6" xr3:uid="{BCB79FBA-6E48-4196-9FCA-87C1D34838D7}" name="Owner" dataDxfId="19"/>
    <tableColumn id="7" xr3:uid="{C602E6A7-154A-4913-82F7-B1297F8FB4AA}" name="Send SMS Options" dataDxfId="18"/>
    <tableColumn id="8" xr3:uid="{050AA88E-4FCE-418E-B3E4-7BADF355F594}" name="Send Test" dataDxfId="17"/>
    <tableColumn id="9" xr3:uid="{CD7DB146-3A9F-407E-8AE2-FB08A35D3255}" name="Approval" dataDxfId="16"/>
    <tableColumn id="10" xr3:uid="{85A3C652-A90B-4131-9C59-60C896B66276}" name="Segments" dataDxfId="15"/>
    <tableColumn id="12" xr3:uid="{B909552C-CA83-4199-92AA-EFB388041D01}" name="Scheduled" dataDxfId="14"/>
    <tableColumn id="11" xr3:uid="{E3A201AA-BB4D-46BF-87B3-3EC3AB5D84A8}" name="Proof of Schedule" dataDxfId="13"/>
    <tableColumn id="13" xr3:uid="{F3B86E58-9B1C-4BE7-ACD4-4A17ABF9CF1F}" name="Bluecore/Attentive Link" dataDxfId="12"/>
    <tableColumn id="14" xr3:uid="{AB05A972-8E88-4F0F-A2C0-E592CA11CF69}" name="Est. Audience" dataDxfId="11"/>
    <tableColumn id="15" xr3:uid="{031FC6D8-9EA2-4822-8ABB-1D691F532C78}" name="Delivered" dataDxfId="10"/>
    <tableColumn id="16" xr3:uid="{677491C6-5902-44D9-B11E-9456715084CA}" name="Last Updated" dataDxfId="9"/>
    <tableColumn id="17" xr3:uid="{D2166D60-5145-4BCB-A4C1-8E83A65F8013}" name="Last Updated By" dataDxfId="8"/>
    <tableColumn id="18" xr3:uid="{98F5A958-53CF-45DE-B03D-F670270697A7}" name="Notes" dataDxfId="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74C8796-6395-4023-80D8-CB223332D199}" name="NotesTable" displayName="NotesTable" ref="A3:E23" totalsRowShown="0" headerRowDxfId="111" dataDxfId="110">
  <autoFilter ref="A3:E23" xr:uid="{674C8796-6395-4023-80D8-CB223332D199}"/>
  <tableColumns count="5">
    <tableColumn id="1" xr3:uid="{ACC447B7-B4CB-4310-9526-2FE0A57B8153}" name="Feature" dataDxfId="109"/>
    <tableColumn id="2" xr3:uid="{2C10868E-263C-4082-B69F-1C3B3CEC92F1}" name="What you do" dataDxfId="108"/>
    <tableColumn id="3" xr3:uid="{06ED23B8-5E15-4D44-898E-A555387CA8E4}" name="How it works (in plain words)" dataDxfId="107"/>
    <tableColumn id="4" xr3:uid="{A358AA79-C726-4147-B64A-4413618152C4}" name="Please do / Please avoid" dataDxfId="106"/>
    <tableColumn id="5" xr3:uid="{3BEA5CCB-AC18-4969-B704-9A5AD38E2B1B}" name="Where it works" dataDxfId="105"/>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AutomationLogTable" displayName="AutomationLogTable" ref="A1:D7" headerRowDxfId="6" dataDxfId="5" totalsRowDxfId="4">
  <tableColumns count="4">
    <tableColumn id="1" xr3:uid="{00000000-0010-0000-0300-000001000000}" name="Timestamp" dataDxfId="3"/>
    <tableColumn id="2" xr3:uid="{00000000-0010-0000-0300-000002000000}" name="User" dataDxfId="2"/>
    <tableColumn id="3" xr3:uid="{00000000-0010-0000-0300-000003000000}" name="Action" dataDxfId="1"/>
    <tableColumn id="4" xr3:uid="{00000000-0010-0000-0300-000004000000}" name="Details" dataDxfId="0"/>
  </tableColumns>
  <tableStyleInfo name="TableStyleMedium2" showFirstColumn="0" showLastColumn="0" showRowStripes="1"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a:ea typeface="Calibri"/>
        <a:cs typeface="Calibri"/>
      </a:majorFont>
      <a:minorFont>
        <a:latin typeface="Calibri"/>
        <a:ea typeface="Calibri"/>
        <a:cs typeface="Calibri"/>
      </a:minorFont>
    </a:fontScheme>
    <a:fmtScheme name="ChatGPT">
      <a:fillStyleLst>
        <a:solidFill>
          <a:schemeClr val="phClr"/>
        </a:solidFill>
        <a:solidFill>
          <a:schemeClr val="dk1"/>
        </a:solidFill>
        <a:solidFill>
          <a:schemeClr val="accent1"/>
        </a:soli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bluecore.example.com/campaign/005" TargetMode="External"/><Relationship Id="rId13" Type="http://schemas.openxmlformats.org/officeDocument/2006/relationships/table" Target="../tables/table1.xml"/><Relationship Id="rId3" Type="http://schemas.openxmlformats.org/officeDocument/2006/relationships/hyperlink" Target="https://bluecore.example.com/campaign/002" TargetMode="External"/><Relationship Id="rId7" Type="http://schemas.openxmlformats.org/officeDocument/2006/relationships/hyperlink" Target="https://clickup.example.com/task/005" TargetMode="External"/><Relationship Id="rId12" Type="http://schemas.openxmlformats.org/officeDocument/2006/relationships/hyperlink" Target="https://bluecore.example.com/campaign/005" TargetMode="External"/><Relationship Id="rId2" Type="http://schemas.openxmlformats.org/officeDocument/2006/relationships/hyperlink" Target="https://clickup.example.com/task/002" TargetMode="External"/><Relationship Id="rId1" Type="http://schemas.openxmlformats.org/officeDocument/2006/relationships/hyperlink" Target="https://jira.example.com/EMAIL-002" TargetMode="External"/><Relationship Id="rId6" Type="http://schemas.openxmlformats.org/officeDocument/2006/relationships/hyperlink" Target="https://jira.example.com/EMAIL-004" TargetMode="External"/><Relationship Id="rId11" Type="http://schemas.openxmlformats.org/officeDocument/2006/relationships/hyperlink" Target="https://bluecore.example.com/campaign/005" TargetMode="External"/><Relationship Id="rId5" Type="http://schemas.openxmlformats.org/officeDocument/2006/relationships/hyperlink" Target="https://jira.example.com/EMAIL-004" TargetMode="External"/><Relationship Id="rId10" Type="http://schemas.openxmlformats.org/officeDocument/2006/relationships/hyperlink" Target="https://bluecore.example.com/campaign/005" TargetMode="External"/><Relationship Id="rId4" Type="http://schemas.openxmlformats.org/officeDocument/2006/relationships/hyperlink" Target="https://jira.example.com/EMAIL-003" TargetMode="External"/><Relationship Id="rId9" Type="http://schemas.openxmlformats.org/officeDocument/2006/relationships/hyperlink" Target="https://jira.adorama.com/browse/MKT-103183"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hyperlink" Target="https://adorama.sharepoint.com/:x:/r/sites/EmailMarketingTeam/_layouts/15/Doc.aspx?sourcedoc=%7B08E233CA-8864-403D-A48E-AFD756365B93%7D&amp;file=2026%20Adorama%20June%20SMS%20Calendar.xlsx&amp;action=default&amp;mobileredirect=true" TargetMode="External"/><Relationship Id="rId1" Type="http://schemas.openxmlformats.org/officeDocument/2006/relationships/hyperlink" Target="https://adorama.sharepoint.com/:x:/r/sites/EmailMarketingTeam/_layouts/15/Doc.aspx?sourcedoc=%7BAEC9C792-23E3-4943-ACD2-E0D9EF76E1C8%7D&amp;file=2026%20Adorama%20June%20Email%20Calendar.xlsx&amp;action=default&amp;mobileredirect=true"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1F4E79"/>
  </sheetPr>
  <dimension ref="A1:AL1000"/>
  <sheetViews>
    <sheetView showGridLines="0" zoomScale="90" zoomScaleNormal="90" workbookViewId="0">
      <selection activeCell="E24" sqref="E24"/>
    </sheetView>
  </sheetViews>
  <sheetFormatPr defaultRowHeight="15"/>
  <cols>
    <col min="1" max="1" width="28.625" style="27" customWidth="1"/>
    <col min="2" max="2" width="24.625" style="27" customWidth="1"/>
    <col min="3" max="3" width="15.625" style="27" customWidth="1"/>
    <col min="4" max="4" width="32.625" style="27" customWidth="1"/>
    <col min="5" max="5" width="14.625" style="27" customWidth="1"/>
    <col min="6" max="6" width="42.625" style="15" customWidth="1"/>
    <col min="7" max="7" width="16.625" style="27" customWidth="1"/>
    <col min="8" max="9" width="12.625" style="27" customWidth="1"/>
    <col min="10" max="12" width="11.625" style="27" customWidth="1"/>
    <col min="13" max="13" width="9" style="3"/>
    <col min="14" max="14" width="11.875" style="3" bestFit="1" customWidth="1"/>
    <col min="15" max="15" width="11.625" style="3" bestFit="1" customWidth="1"/>
    <col min="16" max="16" width="10.625" style="3" bestFit="1" customWidth="1"/>
    <col min="17" max="17" width="17.25" style="3" bestFit="1" customWidth="1"/>
    <col min="18" max="18" width="9.625" style="3" customWidth="1"/>
    <col min="19" max="26" width="9" style="1"/>
    <col min="27" max="38" width="0" style="1" hidden="1" customWidth="1"/>
    <col min="39" max="16384" width="9" style="1"/>
  </cols>
  <sheetData>
    <row r="1" spans="1:38" ht="26.25" customHeight="1">
      <c r="A1" s="98" t="s">
        <v>2</v>
      </c>
      <c r="B1" s="98"/>
      <c r="C1" s="98"/>
      <c r="D1" s="98"/>
      <c r="E1" s="98"/>
      <c r="F1" s="98"/>
      <c r="G1" s="98"/>
      <c r="H1" s="98"/>
      <c r="I1" s="98"/>
      <c r="J1" s="98"/>
      <c r="K1" s="98"/>
      <c r="L1" s="98"/>
      <c r="M1" s="98"/>
      <c r="N1" s="98"/>
      <c r="O1" s="7"/>
      <c r="P1" s="7"/>
      <c r="Q1" s="7"/>
      <c r="R1" s="7"/>
      <c r="S1" s="6"/>
      <c r="T1" s="6"/>
      <c r="U1" s="6"/>
      <c r="V1" s="6"/>
      <c r="W1" s="6"/>
      <c r="X1" s="6"/>
      <c r="Y1" s="6"/>
      <c r="Z1" s="6"/>
      <c r="AA1" s="6"/>
      <c r="AB1" s="6"/>
      <c r="AC1" s="6"/>
      <c r="AD1" s="6"/>
      <c r="AE1" s="6"/>
      <c r="AF1" s="6"/>
      <c r="AG1" s="6"/>
      <c r="AH1" s="6"/>
      <c r="AI1" s="6"/>
      <c r="AJ1" s="6"/>
      <c r="AK1" s="6"/>
      <c r="AL1" s="6"/>
    </row>
    <row r="2" spans="1:38" ht="15" customHeight="1">
      <c r="A2" s="99" t="s">
        <v>3</v>
      </c>
      <c r="B2" s="99"/>
      <c r="C2" s="99"/>
      <c r="D2" s="99"/>
      <c r="E2" s="99"/>
      <c r="F2" s="99"/>
      <c r="G2" s="99"/>
      <c r="H2" s="99"/>
      <c r="I2" s="99"/>
      <c r="J2" s="99"/>
      <c r="K2" s="99"/>
      <c r="L2" s="99"/>
      <c r="M2" s="99"/>
      <c r="N2" s="99"/>
      <c r="O2"/>
      <c r="P2"/>
      <c r="Q2"/>
      <c r="R2"/>
      <c r="S2"/>
      <c r="T2" s="6"/>
      <c r="U2" s="6"/>
      <c r="V2" s="6"/>
      <c r="W2" s="6"/>
      <c r="X2" s="6"/>
      <c r="Y2" s="6"/>
      <c r="Z2" s="6"/>
      <c r="AA2" s="6"/>
      <c r="AB2" s="6"/>
      <c r="AC2" s="6"/>
      <c r="AD2" s="6"/>
      <c r="AE2" s="6"/>
      <c r="AF2" s="6"/>
      <c r="AG2" s="6"/>
      <c r="AH2" s="6"/>
      <c r="AI2" s="6"/>
      <c r="AJ2" s="6"/>
      <c r="AK2" s="6"/>
      <c r="AL2" s="6"/>
    </row>
    <row r="3" spans="1:38">
      <c r="A3" s="12" t="s">
        <v>4</v>
      </c>
      <c r="B3" s="12" t="str">
        <f ca="1">TEXT(NOW(),"m/d/yyyy h:mm AM/PM")</f>
        <v>6/16/2026 3:49 am</v>
      </c>
      <c r="C3" s="13" t="s">
        <v>5</v>
      </c>
      <c r="D3" s="14" t="str">
        <f>$AA$3</f>
        <v>Kim Chim</v>
      </c>
      <c r="E3" s="15"/>
      <c r="G3" s="15"/>
      <c r="H3" s="15"/>
      <c r="I3" s="15"/>
      <c r="J3" s="15"/>
      <c r="K3" s="15"/>
      <c r="L3" s="15"/>
      <c r="M3" s="7"/>
      <c r="N3"/>
      <c r="O3"/>
      <c r="P3"/>
      <c r="Q3"/>
      <c r="R3"/>
      <c r="S3"/>
      <c r="T3" s="6"/>
      <c r="U3" s="6"/>
      <c r="V3" s="6"/>
      <c r="W3" s="6"/>
      <c r="X3" s="6"/>
      <c r="Y3" s="6"/>
      <c r="Z3" s="6"/>
      <c r="AA3" s="6" t="str">
        <f>_xlfn.LET(_xlpm.eMax,MAX(EmailCampaignsTable[Last Updated]),_xlpm.sMax,MAX(SMSCampaignsTable[Last Updated]),_xlpm.latest,MAX(_xlpm.eMax,_xlpm.sMax),IF(_xlpm.latest=0,"Manual in web / see SharePoint history",IF(_xlpm.eMax&gt;=_xlpm.sMax,IFERROR(INDEX(EmailCampaignsTable[Last Updated By],MATCH(_xlpm.eMax,EmailCampaignsTable[Last Updated],0)),""),IFERROR(INDEX(SMSCampaignsTable[Last Updated By],MATCH(_xlpm.sMax,SMSCampaignsTable[Last Updated],0)),""))))</f>
        <v>Kim Chim</v>
      </c>
      <c r="AB3" s="6"/>
      <c r="AC3" s="6"/>
      <c r="AD3" s="6"/>
      <c r="AE3" s="6"/>
      <c r="AF3" s="6"/>
      <c r="AG3" s="6"/>
      <c r="AH3" s="6"/>
      <c r="AI3" s="6"/>
      <c r="AJ3" s="6"/>
      <c r="AK3" s="6"/>
      <c r="AL3" s="6"/>
    </row>
    <row r="4" spans="1:38">
      <c r="A4" s="94" t="s">
        <v>6</v>
      </c>
      <c r="B4" s="102"/>
      <c r="C4" s="103" t="s">
        <v>7</v>
      </c>
      <c r="D4" s="103"/>
      <c r="E4" s="107" t="s">
        <v>8</v>
      </c>
      <c r="F4" s="107"/>
      <c r="G4" s="90" t="s">
        <v>9</v>
      </c>
      <c r="H4" s="90"/>
      <c r="I4" s="94" t="s">
        <v>10</v>
      </c>
      <c r="J4" s="94"/>
      <c r="K4" s="86" t="s">
        <v>11</v>
      </c>
      <c r="L4" s="86"/>
      <c r="M4" s="86" t="s">
        <v>125</v>
      </c>
      <c r="N4" s="86"/>
      <c r="O4"/>
      <c r="P4"/>
      <c r="Q4"/>
      <c r="R4"/>
      <c r="S4"/>
      <c r="T4" s="6"/>
      <c r="U4" s="6"/>
      <c r="V4" s="6"/>
      <c r="W4" s="6"/>
      <c r="X4" s="6"/>
      <c r="Y4" s="6"/>
      <c r="Z4" s="6"/>
      <c r="AA4" s="6"/>
      <c r="AB4" s="6"/>
      <c r="AC4" s="6"/>
      <c r="AD4" s="6"/>
      <c r="AE4" s="6"/>
      <c r="AF4" s="6"/>
      <c r="AG4" s="6"/>
      <c r="AH4" s="6"/>
      <c r="AI4" s="6"/>
      <c r="AJ4" s="6"/>
      <c r="AK4" s="6"/>
      <c r="AL4" s="6"/>
    </row>
    <row r="5" spans="1:38" ht="21">
      <c r="A5" s="95">
        <f>E5+G5</f>
        <v>2</v>
      </c>
      <c r="B5" s="95"/>
      <c r="C5" s="104" cm="1">
        <f t="array" aca="1" ref="C5" ca="1">SUMPRODUCT(--(IFERROR(INT(EmailCampaignsTable[Send Date]),0)=TODAY()),--(EmailCampaignsTable[Campaign Name]&lt;&gt;""),--(LOWER(TRIM(EmailCampaignsTable[Current Stage]))&lt;&gt;"cancelled"),--(LOWER(TRIM(EmailCampaignsTable[Current Stage]))&lt;&gt;"canceled"),--(LOWER(TRIM(EmailCampaignsTable[Notes]))&lt;&gt;"cancelled"),--(LOWER(TRIM(EmailCampaignsTable[Notes]))&lt;&gt;"canceled"))+SUMPRODUCT(--(IFERROR(INT(SMSCampaignsTable[Send Date]),0)=TODAY()),--(SMSCampaignsTable[Campaign Name]&lt;&gt;""),--(LOWER(TRIM(SMSCampaignsTable[Current Stage]))&lt;&gt;"cancelled"),--(LOWER(TRIM(SMSCampaignsTable[Current Stage]))&lt;&gt;"canceled"),--(LOWER(TRIM(SMSCampaignsTable[Notes]))&lt;&gt;"cancelled"),--(LOWER(TRIM(SMSCampaignsTable[Notes]))&lt;&gt;"canceled"))</f>
        <v>0</v>
      </c>
      <c r="D5" s="105"/>
      <c r="E5" s="108" cm="1">
        <f t="array" ref="E5">SUMPRODUCT(--(EmailCampaignsTable[Campaign Name]&lt;&gt;""),--(IFERROR(--EmailCampaignsTable[Delivered],0)&lt;=0),--(LOWER(TRIM(EmailCampaignsTable[Current Stage]))&lt;&gt;"cancelled"),--(LOWER(TRIM(EmailCampaignsTable[Current Stage]))&lt;&gt;"canceled"),--(LOWER(TRIM(EmailCampaignsTable[Notes]))&lt;&gt;"cancelled"),--(LOWER(TRIM(EmailCampaignsTable[Notes]))&lt;&gt;"canceled"))</f>
        <v>1</v>
      </c>
      <c r="F5" s="109"/>
      <c r="G5" s="91" cm="1">
        <f t="array" ref="G5">SUMPRODUCT(--(SMSCampaignsTable[Campaign Name]&lt;&gt;""),--(IFERROR(--SMSCampaignsTable[Delivered],0)&lt;=0),--(LOWER(TRIM(SMSCampaignsTable[Current Stage]))&lt;&gt;"cancelled"),--(LOWER(TRIM(SMSCampaignsTable[Current Stage]))&lt;&gt;"canceled"),--(LOWER(TRIM(SMSCampaignsTable[Notes]))&lt;&gt;"cancelled"),--(LOWER(TRIM(SMSCampaignsTable[Notes]))&lt;&gt;"canceled"))</f>
        <v>1</v>
      </c>
      <c r="H5" s="92"/>
      <c r="I5" s="95" cm="1">
        <f t="array" ref="I5">SUMPRODUCT(--(EmailCampaignsTable[Campaign Name]&lt;&gt;""),--(EmailCampaignsTable[Approval]=FALSE),--(LOWER(TRIM(EmailCampaignsTable[Current Stage]))&lt;&gt;"cancelled"),--(LOWER(TRIM(EmailCampaignsTable[Current Stage]))&lt;&gt;"canceled"),--(LOWER(TRIM(EmailCampaignsTable[Notes]))&lt;&gt;"cancelled"),--(LOWER(TRIM(EmailCampaignsTable[Notes]))&lt;&gt;"canceled"))+SUMPRODUCT(--(SMSCampaignsTable[Campaign Name]&lt;&gt;""),--(SMSCampaignsTable[Approval]=FALSE),--(LOWER(TRIM(SMSCampaignsTable[Current Stage]))&lt;&gt;"cancelled"),--(LOWER(TRIM(SMSCampaignsTable[Current Stage]))&lt;&gt;"canceled"),--(LOWER(TRIM(SMSCampaignsTable[Notes]))&lt;&gt;"cancelled"),--(LOWER(TRIM(SMSCampaignsTable[Notes]))&lt;&gt;"canceled"))</f>
        <v>2</v>
      </c>
      <c r="J5" s="96"/>
      <c r="K5" s="87" cm="1">
        <f t="array" ref="K5">SUMPRODUCT(--(EmailCampaignsTable[Campaign Name]&lt;&gt;""),--(IFERROR(--EmailCampaignsTable[Delivered],0)&gt;0),--(LOWER(TRIM(EmailCampaignsTable[Current Stage]))&lt;&gt;"cancelled"),--(LOWER(TRIM(EmailCampaignsTable[Current Stage]))&lt;&gt;"canceled"),--(LOWER(TRIM(EmailCampaignsTable[Notes]))&lt;&gt;"cancelled"),--(LOWER(TRIM(EmailCampaignsTable[Notes]))&lt;&gt;"canceled"))+SUMPRODUCT(--(SMSCampaignsTable[Campaign Name]&lt;&gt;""),--(IFERROR(--SMSCampaignsTable[Delivered],0)&gt;0),--(LOWER(TRIM(SMSCampaignsTable[Current Stage]))&lt;&gt;"cancelled"),--(LOWER(TRIM(SMSCampaignsTable[Current Stage]))&lt;&gt;"canceled"),--(LOWER(TRIM(SMSCampaignsTable[Notes]))&lt;&gt;"cancelled"),--(LOWER(TRIM(SMSCampaignsTable[Notes]))&lt;&gt;"canceled"))</f>
        <v>0</v>
      </c>
      <c r="L5" s="88"/>
      <c r="M5" s="87" t="str">
        <f ca="1">WEEKNUM(TODAY(),1)&amp;"-"&amp;WEEKNUM(TODAY()+7,1)</f>
        <v>25-26</v>
      </c>
      <c r="N5" s="88"/>
      <c r="O5"/>
      <c r="P5"/>
      <c r="Q5"/>
      <c r="R5"/>
      <c r="S5"/>
      <c r="T5" s="6"/>
      <c r="U5" s="6"/>
      <c r="V5" s="6"/>
      <c r="W5" s="6"/>
      <c r="X5" s="6"/>
      <c r="Y5" s="6"/>
      <c r="Z5" s="6"/>
      <c r="AA5" s="6"/>
      <c r="AB5" s="6"/>
      <c r="AC5" s="6"/>
      <c r="AD5" s="6"/>
      <c r="AE5" s="6"/>
      <c r="AF5" s="6"/>
      <c r="AG5" s="6"/>
      <c r="AH5" s="6"/>
      <c r="AI5" s="6"/>
      <c r="AJ5" s="6"/>
      <c r="AK5" s="6"/>
      <c r="AL5" s="6"/>
    </row>
    <row r="6" spans="1:38">
      <c r="A6" s="97" t="s">
        <v>12</v>
      </c>
      <c r="B6" s="102"/>
      <c r="C6" s="106" t="s">
        <v>13</v>
      </c>
      <c r="D6" s="103"/>
      <c r="E6" s="110" t="s">
        <v>14</v>
      </c>
      <c r="F6" s="107"/>
      <c r="G6" s="93" t="s">
        <v>15</v>
      </c>
      <c r="H6" s="90"/>
      <c r="I6" s="97" t="s">
        <v>16</v>
      </c>
      <c r="J6" s="94"/>
      <c r="K6" s="89" t="s">
        <v>17</v>
      </c>
      <c r="L6" s="86"/>
      <c r="M6" s="89" t="s">
        <v>126</v>
      </c>
      <c r="N6" s="86"/>
      <c r="O6"/>
      <c r="P6"/>
      <c r="Q6"/>
      <c r="R6"/>
      <c r="S6"/>
      <c r="T6" s="6"/>
      <c r="U6" s="6"/>
      <c r="V6" s="6"/>
      <c r="W6" s="6"/>
      <c r="X6" s="6"/>
      <c r="Y6" s="6"/>
      <c r="Z6" s="6"/>
      <c r="AA6" s="6"/>
      <c r="AB6" s="6"/>
      <c r="AC6" s="6"/>
      <c r="AD6" s="6"/>
      <c r="AE6" s="6"/>
      <c r="AF6" s="6"/>
      <c r="AG6" s="6"/>
      <c r="AH6" s="6"/>
      <c r="AI6" s="6"/>
      <c r="AJ6" s="6"/>
      <c r="AK6" s="6"/>
      <c r="AL6" s="6"/>
    </row>
    <row r="7" spans="1:38">
      <c r="A7"/>
      <c r="B7"/>
      <c r="C7"/>
      <c r="D7"/>
      <c r="E7"/>
      <c r="F7"/>
      <c r="G7"/>
      <c r="H7"/>
      <c r="I7"/>
      <c r="J7"/>
      <c r="K7"/>
      <c r="L7"/>
      <c r="M7" s="7"/>
      <c r="N7"/>
      <c r="O7"/>
      <c r="P7"/>
      <c r="Q7"/>
      <c r="R7"/>
      <c r="S7"/>
      <c r="T7" s="6"/>
      <c r="U7" s="6"/>
      <c r="V7" s="6"/>
      <c r="W7" s="6"/>
      <c r="X7" s="6"/>
      <c r="Y7" s="6"/>
      <c r="Z7" s="6"/>
      <c r="AA7" s="6"/>
      <c r="AB7" s="6"/>
      <c r="AC7" s="6"/>
      <c r="AD7" s="6"/>
      <c r="AE7" s="6"/>
      <c r="AF7" s="6"/>
      <c r="AG7" s="6"/>
      <c r="AH7" s="6"/>
      <c r="AI7" s="6"/>
      <c r="AJ7" s="6"/>
      <c r="AK7" s="6"/>
      <c r="AL7" s="6"/>
    </row>
    <row r="8" spans="1:38" ht="17.25" customHeight="1">
      <c r="A8" s="100" t="s">
        <v>18</v>
      </c>
      <c r="B8" s="100"/>
      <c r="C8" s="100"/>
      <c r="D8" s="100"/>
      <c r="E8" s="100"/>
      <c r="F8" s="100"/>
      <c r="G8" s="100"/>
      <c r="H8" s="100"/>
      <c r="I8" s="100"/>
      <c r="J8" s="100"/>
      <c r="K8" s="100"/>
      <c r="L8" s="100"/>
      <c r="M8" s="100"/>
      <c r="N8" s="100"/>
      <c r="O8"/>
      <c r="P8"/>
      <c r="Q8"/>
      <c r="R8"/>
      <c r="S8"/>
      <c r="T8" s="6"/>
      <c r="U8" s="6"/>
      <c r="V8" s="6"/>
      <c r="W8" s="6"/>
      <c r="X8" s="6"/>
      <c r="Y8" s="6"/>
      <c r="Z8" s="6"/>
      <c r="AA8" s="6"/>
      <c r="AB8" s="6"/>
      <c r="AC8" s="6"/>
      <c r="AD8" s="6"/>
      <c r="AE8" s="6"/>
      <c r="AF8" s="6"/>
      <c r="AG8" s="6"/>
      <c r="AH8" s="6"/>
      <c r="AI8" s="6"/>
      <c r="AJ8" s="6"/>
      <c r="AK8" s="6"/>
      <c r="AL8" s="6"/>
    </row>
    <row r="9" spans="1:38" ht="15" customHeight="1">
      <c r="A9" s="101" t="s">
        <v>19</v>
      </c>
      <c r="B9" s="101"/>
      <c r="C9" s="101"/>
      <c r="D9" s="101"/>
      <c r="E9" s="101"/>
      <c r="F9" s="101"/>
      <c r="G9" s="101"/>
      <c r="H9" s="101"/>
      <c r="I9" s="101"/>
      <c r="J9" s="101"/>
      <c r="K9" s="101"/>
      <c r="L9" s="101"/>
      <c r="M9" s="101"/>
      <c r="N9" s="101"/>
      <c r="O9"/>
      <c r="P9"/>
      <c r="Q9"/>
      <c r="R9"/>
      <c r="S9"/>
      <c r="T9" s="6"/>
      <c r="U9" s="6"/>
      <c r="V9" s="6"/>
      <c r="W9" s="6"/>
      <c r="X9" s="6"/>
      <c r="Y9" s="6"/>
      <c r="Z9" s="6"/>
      <c r="AA9" s="6"/>
      <c r="AB9" s="6"/>
      <c r="AC9" s="6"/>
      <c r="AD9" s="6"/>
      <c r="AE9" s="6"/>
      <c r="AF9" s="6"/>
      <c r="AG9" s="6"/>
      <c r="AH9" s="6"/>
      <c r="AI9" s="6"/>
      <c r="AJ9" s="6"/>
      <c r="AK9" s="6"/>
      <c r="AL9" s="6"/>
    </row>
    <row r="10" spans="1:38" ht="30">
      <c r="A10" s="16" t="s">
        <v>20</v>
      </c>
      <c r="B10" s="17" t="s">
        <v>21</v>
      </c>
      <c r="C10" s="53" t="s">
        <v>22</v>
      </c>
      <c r="D10" s="16" t="s">
        <v>23</v>
      </c>
      <c r="E10" s="53" t="s">
        <v>24</v>
      </c>
      <c r="F10" s="53" t="s">
        <v>25</v>
      </c>
      <c r="G10" s="53" t="s">
        <v>26</v>
      </c>
      <c r="H10" s="53" t="s">
        <v>27</v>
      </c>
      <c r="I10" s="53" t="s">
        <v>28</v>
      </c>
      <c r="J10" s="53" t="s">
        <v>29</v>
      </c>
      <c r="K10" s="53" t="s">
        <v>30</v>
      </c>
      <c r="L10" s="53" t="s">
        <v>31</v>
      </c>
      <c r="M10" s="55" t="s">
        <v>125</v>
      </c>
      <c r="N10"/>
      <c r="O10"/>
      <c r="P10"/>
      <c r="Q10"/>
      <c r="R10"/>
      <c r="S10"/>
      <c r="T10" s="6"/>
      <c r="U10" s="6"/>
      <c r="V10" s="6"/>
      <c r="W10" s="6"/>
      <c r="X10" s="6"/>
      <c r="Y10" s="6"/>
      <c r="Z10" s="6"/>
      <c r="AA10" t="s">
        <v>20</v>
      </c>
      <c r="AB10" t="s">
        <v>21</v>
      </c>
      <c r="AC10" t="s">
        <v>22</v>
      </c>
      <c r="AD10" t="s">
        <v>23</v>
      </c>
      <c r="AE10" t="s">
        <v>24</v>
      </c>
      <c r="AF10" t="s">
        <v>25</v>
      </c>
      <c r="AG10" t="s">
        <v>26</v>
      </c>
      <c r="AH10" t="s">
        <v>27</v>
      </c>
      <c r="AI10" t="s">
        <v>28</v>
      </c>
      <c r="AJ10" t="s">
        <v>29</v>
      </c>
      <c r="AK10" t="s">
        <v>30</v>
      </c>
      <c r="AL10" t="s">
        <v>31</v>
      </c>
    </row>
    <row r="11" spans="1:38">
      <c r="A11" s="33" t="str" cm="1">
        <f t="array" aca="1" ref="A11" ca="1">IFERROR(INDEX(_xlfn.ANCHORARRAY($AA$11),ROW()-10,1),"")</f>
        <v/>
      </c>
      <c r="B11" s="18" t="str" cm="1">
        <f t="array" aca="1" ref="B11" ca="1">IFERROR(INDEX(_xlfn.ANCHORARRAY($AA$11),ROW()-10,2),"")</f>
        <v/>
      </c>
      <c r="C11" s="54" t="str" cm="1">
        <f t="array" aca="1" ref="C11" ca="1">IFERROR(INDEX(_xlfn.ANCHORARRAY($AA$11),ROW()-10,3),"")</f>
        <v/>
      </c>
      <c r="D11" s="19" t="str" cm="1">
        <f t="array" aca="1" ref="D11" ca="1">IFERROR(INDEX(_xlfn.ANCHORARRAY($AA$11),ROW()-10,4),"")</f>
        <v/>
      </c>
      <c r="E11" s="54" t="str" cm="1">
        <f t="array" aca="1" ref="E11" ca="1">IFERROR(INDEX(_xlfn.ANCHORARRAY($AA$11),ROW()-10,5),"")</f>
        <v/>
      </c>
      <c r="F11" s="19" t="str" cm="1">
        <f t="array" aca="1" ref="F11" ca="1">IFERROR(INDEX(_xlfn.ANCHORARRAY($AA$11),ROW()-10,6),"")</f>
        <v/>
      </c>
      <c r="G11" s="54" t="str" cm="1">
        <f t="array" aca="1" ref="G11" ca="1">IFERROR(INDEX(_xlfn.ANCHORARRAY($AA$11),ROW()-10,7),"")</f>
        <v/>
      </c>
      <c r="H11" s="54" t="str" cm="1">
        <f t="array" aca="1" ref="H11" ca="1">IFERROR(INDEX(_xlfn.ANCHORARRAY($AA$11),ROW()-10,8),"")</f>
        <v/>
      </c>
      <c r="I11" s="54" t="str" cm="1">
        <f t="array" aca="1" ref="I11" ca="1">IFERROR(INDEX(_xlfn.ANCHORARRAY($AA$11),ROW()-10,9),"")</f>
        <v/>
      </c>
      <c r="J11" s="56" t="str">
        <f t="shared" ref="J11:J42" ca="1" si="0">_xlfn.LET(_xlpm.ch,IFERROR(INDEX(_xlfn.ANCHORARRAY($AA$11),ROW()-10,3),""),_xlpm.link,IFERROR(INDEX(_xlfn.ANCHORARRAY($AA$11),ROW()-10,10),""),IF(OR(_xlpm.link="",_xlpm.ch="SMS"),"",HYPERLINK(_xlpm.link,"JIRA")))</f>
        <v/>
      </c>
      <c r="K11" s="56" t="str">
        <f t="shared" ref="K11:K42" ca="1" si="1">_xlfn.LET(_xlpm.ch,IFERROR(INDEX(_xlfn.ANCHORARRAY($AA$11),ROW()-10,3),""),_xlpm.link,IFERROR(INDEX(_xlfn.ANCHORARRAY($AA$11),ROW()-10,11),""),IF(OR(_xlpm.link="",_xlpm.ch="SMS"),"",HYPERLINK(_xlpm.link,"ClickUp")))</f>
        <v/>
      </c>
      <c r="L11" s="56" t="str" cm="1">
        <f t="array" aca="1" ref="L11" ca="1">_xlfn.LET(_xlpm.link,IFERROR(INDEX(_xlfn.ANCHORARRAY($AA$11),ROW()-10,12),""),IF(_xlpm.link="","",HYPERLINK(_xlpm.link,"Bluecore/Attentive")))</f>
        <v/>
      </c>
      <c r="M11" s="57" t="str">
        <f t="shared" ref="M11:M42" ca="1" si="2">_xlfn.LET(_xlpm.sendDate,$A11,_xlpm.camp,$D11&amp;"",_xlpm.code,LEFT(_xlpm.camp,6),_xlpm.parsed,IFERROR(DATE(2000+VALUE(MID(_xlpm.code,5,2)),VALUE(LEFT(_xlpm.code,2)),VALUE(MID(_xlpm.code,3,2))),""),_xlpm.useDate,IF(_xlpm.parsed="",IF(ISNUMBER(_xlpm.sendDate),INT(_xlpm.sendDate),""),_xlpm.parsed),IF(_xlpm.useDate="","","Week "&amp;WEEKNUM(_xlpm.useDate,1)))</f>
        <v/>
      </c>
      <c r="N11"/>
      <c r="O11"/>
      <c r="P11"/>
      <c r="Q11"/>
      <c r="R11"/>
      <c r="S11"/>
      <c r="T11" s="6"/>
      <c r="U11" s="6"/>
      <c r="V11" s="6"/>
      <c r="W11" s="6"/>
      <c r="X11" s="6"/>
      <c r="Y11" s="6"/>
      <c r="Z11" s="6"/>
      <c r="AA11" s="32" t="str" cm="1">
        <f t="array" aca="1" ref="AA11" ca="1">_xlfn.LET(_xlpm.ws,TODAY()-WEEKDAY(TODAY(),1)+1,_xlpm.we,_xlpm.ws+13,_xlpm.empty,_xlfn.HSTACK("","","","","","","","","","","",""),_xlpm.email,_xlfn._xlws.FILTER(_xlfn.HSTACK(EmailCampaignsTable[Send Date],EmailCampaignsTable[Send Time],IF(EmailCampaignsTable[Campaign Name]&lt;&gt;"","Email",""),EmailCampaignsTable[Campaign Name],EmailCampaignsTable[Campaign Type],EmailCampaignsTable[Current Stage],EmailCampaignsTable[Owner],IF(EmailCampaignsTable[Approval],"Done","Not Yet"),IF(EmailCampaignsTable[Segments],"Provided","Pending"),EmailCampaignsTable[Jira Link],EmailCampaignsTable[ClickUp Link],EmailCampaignsTable[Bluecore/Attentive Link]),(EmailCampaignsTable[Campaign Name]&lt;&gt;"")*(IFERROR(INT(EmailCampaignsTable[Send Date]),0)&gt;=_xlpm.ws)*(IFERROR(INT(EmailCampaignsTable[Send Date]),0)&lt;=_xlpm.we)*(((LOWER(TRIM(EmailCampaignsTable[Current Stage]))="cancelled")+(LOWER(TRIM(EmailCampaignsTable[Current Stage]))="canceled")+(LOWER(TRIM(EmailCampaignsTable[Notes]))="cancelled")+(LOWER(TRIM(EmailCampaignsTable[Notes]))="canceled"))=0),_xlpm.empty),_xlpm.sms,_xlfn._xlws.FILTER(_xlfn.HSTACK(SMSCampaignsTable[Send Date],SMSCampaignsTable[Send Time],IF(SMSCampaignsTable[Campaign Name]&lt;&gt;"","SMS",""),SMSCampaignsTable[Campaign Name],SMSCampaignsTable[Campaign Type],SMSCampaignsTable[Current Stage],SMSCampaignsTable[Owner],IF(SMSCampaignsTable[Approval],"Done","Not Yet"),IF(SMSCampaignsTable[Segments],"Provided","Pending"),SMSCampaignsTable[Proof of Schedule],"",SMSCampaignsTable[Bluecore/Attentive Link]),(SMSCampaignsTable[Campaign Name]&lt;&gt;"")*(IFERROR(INT(SMSCampaignsTable[Send Date]),0)&gt;=_xlpm.ws)*(IFERROR(INT(SMSCampaignsTable[Send Date]),0)&lt;=_xlpm.we)*(((LOWER(TRIM(SMSCampaignsTable[Current Stage]))="cancelled")+(LOWER(TRIM(SMSCampaignsTable[Current Stage]))="canceled")+(LOWER(TRIM(SMSCampaignsTable[Notes]))="cancelled")+(LOWER(TRIM(SMSCampaignsTable[Notes]))="canceled"))=0),_xlpm.empty),_xlpm.data,_xlfn.VSTACK(_xlpm.email,_xlpm.sms),_xlpm.clean,_xlfn._xlws.FILTER(_xlpm.data,_xlfn.CHOOSECOLS(_xlpm.data,4)&lt;&gt;""),IFERROR(_xlfn.SORTBY(_xlpm.clean,_xlfn.CHOOSECOLS(_xlpm.clean,1),1,IFERROR(--_xlfn.CHOOSECOLS(_xlpm.clean,2),0),1,_xlfn.CHOOSECOLS(_xlpm.clean,3),1,_xlfn.CHOOSECOLS(_xlpm.clean,4),1),""))</f>
        <v/>
      </c>
      <c r="AB11"/>
      <c r="AC11"/>
      <c r="AD11"/>
      <c r="AE11"/>
      <c r="AF11"/>
      <c r="AG11"/>
      <c r="AH11"/>
      <c r="AI11"/>
      <c r="AJ11"/>
      <c r="AK11"/>
      <c r="AL11"/>
    </row>
    <row r="12" spans="1:38">
      <c r="A12" s="33" t="str" cm="1">
        <f t="array" aca="1" ref="A12" ca="1">IFERROR(INDEX(_xlfn.ANCHORARRAY($AA$11),ROW()-10,1),"")</f>
        <v/>
      </c>
      <c r="B12" s="18" t="str" cm="1">
        <f t="array" aca="1" ref="B12" ca="1">IFERROR(INDEX(_xlfn.ANCHORARRAY($AA$11),ROW()-10,2),"")</f>
        <v/>
      </c>
      <c r="C12" s="4" t="str" cm="1">
        <f t="array" aca="1" ref="C12" ca="1">IFERROR(INDEX(_xlfn.ANCHORARRAY($AA$11),ROW()-10,3),"")</f>
        <v/>
      </c>
      <c r="D12" s="15" t="str" cm="1">
        <f t="array" aca="1" ref="D12" ca="1">IFERROR(INDEX(_xlfn.ANCHORARRAY($AA$11),ROW()-10,4),"")</f>
        <v/>
      </c>
      <c r="E12" s="4" t="str" cm="1">
        <f t="array" aca="1" ref="E12" ca="1">IFERROR(INDEX(_xlfn.ANCHORARRAY($AA$11),ROW()-10,5),"")</f>
        <v/>
      </c>
      <c r="F12" s="15" t="str" cm="1">
        <f t="array" aca="1" ref="F12" ca="1">IFERROR(INDEX(_xlfn.ANCHORARRAY($AA$11),ROW()-10,6),"")</f>
        <v/>
      </c>
      <c r="G12" s="4" t="str" cm="1">
        <f t="array" aca="1" ref="G12" ca="1">IFERROR(INDEX(_xlfn.ANCHORARRAY($AA$11),ROW()-10,7),"")</f>
        <v/>
      </c>
      <c r="H12" s="4" t="str" cm="1">
        <f t="array" aca="1" ref="H12" ca="1">IFERROR(INDEX(_xlfn.ANCHORARRAY($AA$11),ROW()-10,8),"")</f>
        <v/>
      </c>
      <c r="I12" s="4" t="str" cm="1">
        <f t="array" aca="1" ref="I12" ca="1">IFERROR(INDEX(_xlfn.ANCHORARRAY($AA$11),ROW()-10,9),"")</f>
        <v/>
      </c>
      <c r="J12" s="56" t="str">
        <f t="shared" ca="1" si="0"/>
        <v/>
      </c>
      <c r="K12" s="54" t="str">
        <f t="shared" ca="1" si="1"/>
        <v/>
      </c>
      <c r="L12" s="54" t="str" cm="1">
        <f t="array" aca="1" ref="L12" ca="1">_xlfn.LET(_xlpm.link,IFERROR(INDEX(_xlfn.ANCHORARRAY($AA$11),ROW()-10,12),""),IF(_xlpm.link="","",HYPERLINK(_xlpm.link,"Bluecore/Attentive")))</f>
        <v/>
      </c>
      <c r="M12" s="58" t="str">
        <f t="shared" ca="1" si="2"/>
        <v/>
      </c>
      <c r="N12"/>
      <c r="O12"/>
      <c r="P12"/>
      <c r="Q12"/>
      <c r="R12"/>
      <c r="S12"/>
      <c r="T12" s="6"/>
      <c r="U12" s="6"/>
      <c r="V12" s="6"/>
      <c r="W12" s="6"/>
      <c r="X12" s="6"/>
      <c r="Y12" s="6"/>
      <c r="Z12" s="6"/>
      <c r="AA12" s="32"/>
      <c r="AB12"/>
      <c r="AC12"/>
      <c r="AD12"/>
      <c r="AE12"/>
      <c r="AF12"/>
      <c r="AG12"/>
      <c r="AH12"/>
      <c r="AI12"/>
      <c r="AJ12"/>
      <c r="AK12"/>
      <c r="AL12"/>
    </row>
    <row r="13" spans="1:38">
      <c r="A13" s="33" t="str" cm="1">
        <f t="array" aca="1" ref="A13" ca="1">IFERROR(INDEX(_xlfn.ANCHORARRAY($AA$11),ROW()-10,1),"")</f>
        <v/>
      </c>
      <c r="B13" s="18" t="str" cm="1">
        <f t="array" aca="1" ref="B13" ca="1">IFERROR(INDEX(_xlfn.ANCHORARRAY($AA$11),ROW()-10,2),"")</f>
        <v/>
      </c>
      <c r="C13" s="4" t="str" cm="1">
        <f t="array" aca="1" ref="C13" ca="1">IFERROR(INDEX(_xlfn.ANCHORARRAY($AA$11),ROW()-10,3),"")</f>
        <v/>
      </c>
      <c r="D13" s="15" t="str" cm="1">
        <f t="array" aca="1" ref="D13" ca="1">IFERROR(INDEX(_xlfn.ANCHORARRAY($AA$11),ROW()-10,4),"")</f>
        <v/>
      </c>
      <c r="E13" s="4" t="str" cm="1">
        <f t="array" aca="1" ref="E13" ca="1">IFERROR(INDEX(_xlfn.ANCHORARRAY($AA$11),ROW()-10,5),"")</f>
        <v/>
      </c>
      <c r="F13" s="15" t="str" cm="1">
        <f t="array" aca="1" ref="F13" ca="1">IFERROR(INDEX(_xlfn.ANCHORARRAY($AA$11),ROW()-10,6),"")</f>
        <v/>
      </c>
      <c r="G13" s="4" t="str" cm="1">
        <f t="array" aca="1" ref="G13" ca="1">IFERROR(INDEX(_xlfn.ANCHORARRAY($AA$11),ROW()-10,7),"")</f>
        <v/>
      </c>
      <c r="H13" s="4" t="str" cm="1">
        <f t="array" aca="1" ref="H13" ca="1">IFERROR(INDEX(_xlfn.ANCHORARRAY($AA$11),ROW()-10,8),"")</f>
        <v/>
      </c>
      <c r="I13" s="4" t="str" cm="1">
        <f t="array" aca="1" ref="I13" ca="1">IFERROR(INDEX(_xlfn.ANCHORARRAY($AA$11),ROW()-10,9),"")</f>
        <v/>
      </c>
      <c r="J13" s="56" t="str">
        <f t="shared" ca="1" si="0"/>
        <v/>
      </c>
      <c r="K13" s="59" t="str">
        <f t="shared" ca="1" si="1"/>
        <v/>
      </c>
      <c r="L13" s="59" t="str" cm="1">
        <f t="array" aca="1" ref="L13" ca="1">_xlfn.LET(_xlpm.link,IFERROR(INDEX(_xlfn.ANCHORARRAY($AA$11),ROW()-10,12),""),IF(_xlpm.link="","",HYPERLINK(_xlpm.link,"Bluecore/Attentive")))</f>
        <v/>
      </c>
      <c r="M13" s="57" t="str">
        <f t="shared" ca="1" si="2"/>
        <v/>
      </c>
      <c r="N13"/>
      <c r="O13"/>
      <c r="P13"/>
      <c r="Q13"/>
      <c r="R13"/>
      <c r="S13"/>
      <c r="T13" s="6"/>
      <c r="U13" s="6"/>
      <c r="V13" s="6"/>
      <c r="W13" s="6"/>
      <c r="X13" s="6"/>
      <c r="Y13" s="6"/>
      <c r="Z13" s="6"/>
      <c r="AA13" s="32"/>
      <c r="AB13"/>
      <c r="AC13"/>
      <c r="AD13"/>
      <c r="AE13"/>
      <c r="AF13"/>
      <c r="AG13"/>
      <c r="AH13"/>
      <c r="AI13"/>
      <c r="AJ13"/>
      <c r="AK13"/>
      <c r="AL13"/>
    </row>
    <row r="14" spans="1:38">
      <c r="A14" s="33" t="str" cm="1">
        <f t="array" aca="1" ref="A14" ca="1">IFERROR(INDEX(_xlfn.ANCHORARRAY($AA$11),ROW()-10,1),"")</f>
        <v/>
      </c>
      <c r="B14" s="18" t="str" cm="1">
        <f t="array" aca="1" ref="B14" ca="1">IFERROR(INDEX(_xlfn.ANCHORARRAY($AA$11),ROW()-10,2),"")</f>
        <v/>
      </c>
      <c r="C14" s="4" t="str" cm="1">
        <f t="array" aca="1" ref="C14" ca="1">IFERROR(INDEX(_xlfn.ANCHORARRAY($AA$11),ROW()-10,3),"")</f>
        <v/>
      </c>
      <c r="D14" s="15" t="str" cm="1">
        <f t="array" aca="1" ref="D14" ca="1">IFERROR(INDEX(_xlfn.ANCHORARRAY($AA$11),ROW()-10,4),"")</f>
        <v/>
      </c>
      <c r="E14" s="4" t="str" cm="1">
        <f t="array" aca="1" ref="E14" ca="1">IFERROR(INDEX(_xlfn.ANCHORARRAY($AA$11),ROW()-10,5),"")</f>
        <v/>
      </c>
      <c r="F14" s="15" t="str" cm="1">
        <f t="array" aca="1" ref="F14" ca="1">IFERROR(INDEX(_xlfn.ANCHORARRAY($AA$11),ROW()-10,6),"")</f>
        <v/>
      </c>
      <c r="G14" s="4" t="str" cm="1">
        <f t="array" aca="1" ref="G14" ca="1">IFERROR(INDEX(_xlfn.ANCHORARRAY($AA$11),ROW()-10,7),"")</f>
        <v/>
      </c>
      <c r="H14" s="4" t="str" cm="1">
        <f t="array" aca="1" ref="H14" ca="1">IFERROR(INDEX(_xlfn.ANCHORARRAY($AA$11),ROW()-10,8),"")</f>
        <v/>
      </c>
      <c r="I14" s="4" t="str" cm="1">
        <f t="array" aca="1" ref="I14" ca="1">IFERROR(INDEX(_xlfn.ANCHORARRAY($AA$11),ROW()-10,9),"")</f>
        <v/>
      </c>
      <c r="J14" s="56" t="str">
        <f t="shared" ca="1" si="0"/>
        <v/>
      </c>
      <c r="K14" s="60" t="str">
        <f t="shared" ca="1" si="1"/>
        <v/>
      </c>
      <c r="L14" s="60" t="str" cm="1">
        <f t="array" aca="1" ref="L14" ca="1">_xlfn.LET(_xlpm.link,IFERROR(INDEX(_xlfn.ANCHORARRAY($AA$11),ROW()-10,12),""),IF(_xlpm.link="","",HYPERLINK(_xlpm.link,"Bluecore/Attentive")))</f>
        <v/>
      </c>
      <c r="M14" s="58" t="str">
        <f t="shared" ca="1" si="2"/>
        <v/>
      </c>
      <c r="N14"/>
      <c r="O14"/>
      <c r="P14"/>
      <c r="Q14"/>
      <c r="R14"/>
      <c r="S14"/>
      <c r="T14" s="6"/>
      <c r="U14" s="6"/>
      <c r="V14" s="6"/>
      <c r="W14" s="6"/>
      <c r="X14" s="6"/>
      <c r="Y14" s="6"/>
      <c r="Z14" s="6"/>
      <c r="AA14" s="32"/>
      <c r="AB14"/>
      <c r="AC14"/>
      <c r="AD14"/>
      <c r="AE14"/>
      <c r="AF14"/>
      <c r="AG14"/>
      <c r="AH14"/>
      <c r="AI14"/>
      <c r="AJ14"/>
      <c r="AK14"/>
      <c r="AL14"/>
    </row>
    <row r="15" spans="1:38">
      <c r="A15" s="33" t="str" cm="1">
        <f t="array" aca="1" ref="A15" ca="1">IFERROR(INDEX(_xlfn.ANCHORARRAY($AA$11),ROW()-10,1),"")</f>
        <v/>
      </c>
      <c r="B15" s="18" t="str" cm="1">
        <f t="array" aca="1" ref="B15" ca="1">IFERROR(INDEX(_xlfn.ANCHORARRAY($AA$11),ROW()-10,2),"")</f>
        <v/>
      </c>
      <c r="C15" s="4" t="str" cm="1">
        <f t="array" aca="1" ref="C15" ca="1">IFERROR(INDEX(_xlfn.ANCHORARRAY($AA$11),ROW()-10,3),"")</f>
        <v/>
      </c>
      <c r="D15" s="15" t="str" cm="1">
        <f t="array" aca="1" ref="D15" ca="1">IFERROR(INDEX(_xlfn.ANCHORARRAY($AA$11),ROW()-10,4),"")</f>
        <v/>
      </c>
      <c r="E15" s="4" t="str" cm="1">
        <f t="array" aca="1" ref="E15" ca="1">IFERROR(INDEX(_xlfn.ANCHORARRAY($AA$11),ROW()-10,5),"")</f>
        <v/>
      </c>
      <c r="F15" s="15" t="str" cm="1">
        <f t="array" aca="1" ref="F15" ca="1">IFERROR(INDEX(_xlfn.ANCHORARRAY($AA$11),ROW()-10,6),"")</f>
        <v/>
      </c>
      <c r="G15" s="4" t="str" cm="1">
        <f t="array" aca="1" ref="G15" ca="1">IFERROR(INDEX(_xlfn.ANCHORARRAY($AA$11),ROW()-10,7),"")</f>
        <v/>
      </c>
      <c r="H15" s="4" t="str" cm="1">
        <f t="array" aca="1" ref="H15" ca="1">IFERROR(INDEX(_xlfn.ANCHORARRAY($AA$11),ROW()-10,8),"")</f>
        <v/>
      </c>
      <c r="I15" s="4" t="str" cm="1">
        <f t="array" aca="1" ref="I15" ca="1">IFERROR(INDEX(_xlfn.ANCHORARRAY($AA$11),ROW()-10,9),"")</f>
        <v/>
      </c>
      <c r="J15" s="56" t="str">
        <f t="shared" ca="1" si="0"/>
        <v/>
      </c>
      <c r="K15" s="54" t="str">
        <f t="shared" ca="1" si="1"/>
        <v/>
      </c>
      <c r="L15" s="54" t="str" cm="1">
        <f t="array" aca="1" ref="L15" ca="1">_xlfn.LET(_xlpm.link,IFERROR(INDEX(_xlfn.ANCHORARRAY($AA$11),ROW()-10,12),""),IF(_xlpm.link="","",HYPERLINK(_xlpm.link,"Bluecore/Attentive")))</f>
        <v/>
      </c>
      <c r="M15" s="57" t="str">
        <f t="shared" ca="1" si="2"/>
        <v/>
      </c>
      <c r="N15"/>
      <c r="O15"/>
      <c r="P15"/>
      <c r="Q15"/>
      <c r="R15"/>
      <c r="S15"/>
      <c r="T15" s="6"/>
      <c r="U15" s="6"/>
      <c r="V15" s="6"/>
      <c r="W15" s="6"/>
      <c r="X15" s="6"/>
      <c r="Y15" s="6"/>
      <c r="Z15" s="6"/>
      <c r="AA15" s="32"/>
      <c r="AB15"/>
      <c r="AC15"/>
      <c r="AD15"/>
      <c r="AE15"/>
      <c r="AF15"/>
      <c r="AG15"/>
      <c r="AH15"/>
      <c r="AI15"/>
      <c r="AJ15"/>
      <c r="AK15"/>
      <c r="AL15"/>
    </row>
    <row r="16" spans="1:38">
      <c r="A16" s="34" t="str" cm="1">
        <f t="array" aca="1" ref="A16" ca="1">IFERROR(INDEX(_xlfn.ANCHORARRAY($AA$11),ROW()-10,1),"")</f>
        <v/>
      </c>
      <c r="B16" s="20" t="str" cm="1">
        <f t="array" aca="1" ref="B16" ca="1">IFERROR(INDEX(_xlfn.ANCHORARRAY($AA$11),ROW()-10,2),"")</f>
        <v/>
      </c>
      <c r="C16" s="4" t="str" cm="1">
        <f t="array" aca="1" ref="C16" ca="1">IFERROR(INDEX(_xlfn.ANCHORARRAY($AA$11),ROW()-10,3),"")</f>
        <v/>
      </c>
      <c r="D16" s="15" t="str" cm="1">
        <f t="array" aca="1" ref="D16" ca="1">IFERROR(INDEX(_xlfn.ANCHORARRAY($AA$11),ROW()-10,4),"")</f>
        <v/>
      </c>
      <c r="E16" s="4" t="str" cm="1">
        <f t="array" aca="1" ref="E16" ca="1">IFERROR(INDEX(_xlfn.ANCHORARRAY($AA$11),ROW()-10,5),"")</f>
        <v/>
      </c>
      <c r="F16" s="15" t="str" cm="1">
        <f t="array" aca="1" ref="F16" ca="1">IFERROR(INDEX(_xlfn.ANCHORARRAY($AA$11),ROW()-10,6),"")</f>
        <v/>
      </c>
      <c r="G16" s="4" t="str" cm="1">
        <f t="array" aca="1" ref="G16" ca="1">IFERROR(INDEX(_xlfn.ANCHORARRAY($AA$11),ROW()-10,7),"")</f>
        <v/>
      </c>
      <c r="H16" s="4" t="str" cm="1">
        <f t="array" aca="1" ref="H16" ca="1">IFERROR(INDEX(_xlfn.ANCHORARRAY($AA$11),ROW()-10,8),"")</f>
        <v/>
      </c>
      <c r="I16" s="4" t="str" cm="1">
        <f t="array" aca="1" ref="I16" ca="1">IFERROR(INDEX(_xlfn.ANCHORARRAY($AA$11),ROW()-10,9),"")</f>
        <v/>
      </c>
      <c r="J16" s="56" t="str">
        <f t="shared" ca="1" si="0"/>
        <v/>
      </c>
      <c r="K16" s="60" t="str">
        <f t="shared" ca="1" si="1"/>
        <v/>
      </c>
      <c r="L16" s="60" t="str" cm="1">
        <f t="array" aca="1" ref="L16" ca="1">_xlfn.LET(_xlpm.link,IFERROR(INDEX(_xlfn.ANCHORARRAY($AA$11),ROW()-10,12),""),IF(_xlpm.link="","",HYPERLINK(_xlpm.link,"Bluecore/Attentive")))</f>
        <v/>
      </c>
      <c r="M16" s="58" t="str">
        <f t="shared" ca="1" si="2"/>
        <v/>
      </c>
      <c r="N16"/>
      <c r="O16"/>
      <c r="P16"/>
      <c r="Q16"/>
      <c r="R16"/>
      <c r="S16"/>
      <c r="T16" s="6"/>
      <c r="U16" s="6"/>
      <c r="V16" s="6"/>
      <c r="W16" s="6"/>
      <c r="X16" s="6"/>
      <c r="Y16" s="6"/>
      <c r="Z16" s="6"/>
      <c r="AA16" s="32"/>
      <c r="AB16"/>
      <c r="AC16"/>
      <c r="AD16"/>
      <c r="AE16"/>
      <c r="AF16"/>
      <c r="AG16"/>
      <c r="AH16"/>
      <c r="AI16"/>
      <c r="AJ16"/>
      <c r="AK16"/>
      <c r="AL16"/>
    </row>
    <row r="17" spans="1:38">
      <c r="A17" s="34" t="str" cm="1">
        <f t="array" aca="1" ref="A17" ca="1">IFERROR(INDEX(_xlfn.ANCHORARRAY($AA$11),ROW()-10,1),"")</f>
        <v/>
      </c>
      <c r="B17" s="20" t="str" cm="1">
        <f t="array" aca="1" ref="B17" ca="1">IFERROR(INDEX(_xlfn.ANCHORARRAY($AA$11),ROW()-10,2),"")</f>
        <v/>
      </c>
      <c r="C17" s="4" t="str" cm="1">
        <f t="array" aca="1" ref="C17" ca="1">IFERROR(INDEX(_xlfn.ANCHORARRAY($AA$11),ROW()-10,3),"")</f>
        <v/>
      </c>
      <c r="D17" s="15" t="str" cm="1">
        <f t="array" aca="1" ref="D17" ca="1">IFERROR(INDEX(_xlfn.ANCHORARRAY($AA$11),ROW()-10,4),"")</f>
        <v/>
      </c>
      <c r="E17" s="4" t="str" cm="1">
        <f t="array" aca="1" ref="E17" ca="1">IFERROR(INDEX(_xlfn.ANCHORARRAY($AA$11),ROW()-10,5),"")</f>
        <v/>
      </c>
      <c r="F17" s="15" t="str" cm="1">
        <f t="array" aca="1" ref="F17" ca="1">IFERROR(INDEX(_xlfn.ANCHORARRAY($AA$11),ROW()-10,6),"")</f>
        <v/>
      </c>
      <c r="G17" s="4" t="str" cm="1">
        <f t="array" aca="1" ref="G17" ca="1">IFERROR(INDEX(_xlfn.ANCHORARRAY($AA$11),ROW()-10,7),"")</f>
        <v/>
      </c>
      <c r="H17" s="4" t="str" cm="1">
        <f t="array" aca="1" ref="H17" ca="1">IFERROR(INDEX(_xlfn.ANCHORARRAY($AA$11),ROW()-10,8),"")</f>
        <v/>
      </c>
      <c r="I17" s="4" t="str" cm="1">
        <f t="array" aca="1" ref="I17" ca="1">IFERROR(INDEX(_xlfn.ANCHORARRAY($AA$11),ROW()-10,9),"")</f>
        <v/>
      </c>
      <c r="J17" s="4" t="str">
        <f t="shared" ca="1" si="0"/>
        <v/>
      </c>
      <c r="K17" s="4" t="str">
        <f t="shared" ca="1" si="1"/>
        <v/>
      </c>
      <c r="L17" s="4" t="str" cm="1">
        <f t="array" aca="1" ref="L17" ca="1">_xlfn.LET(_xlpm.link,IFERROR(INDEX(_xlfn.ANCHORARRAY($AA$11),ROW()-10,12),""),IF(_xlpm.link="","",HYPERLINK(_xlpm.link,"Bluecore/Attentive")))</f>
        <v/>
      </c>
      <c r="M17" s="57" t="str">
        <f t="shared" ca="1" si="2"/>
        <v/>
      </c>
      <c r="N17"/>
      <c r="O17"/>
      <c r="P17"/>
      <c r="Q17"/>
      <c r="R17"/>
      <c r="S17"/>
      <c r="T17" s="6"/>
      <c r="U17" s="6"/>
      <c r="V17" s="6"/>
      <c r="W17" s="6"/>
      <c r="X17" s="6"/>
      <c r="Y17" s="6"/>
      <c r="Z17" s="6"/>
      <c r="AA17" s="32"/>
      <c r="AB17"/>
      <c r="AC17"/>
      <c r="AD17"/>
      <c r="AE17"/>
      <c r="AF17"/>
      <c r="AG17"/>
      <c r="AH17"/>
      <c r="AI17"/>
      <c r="AJ17"/>
      <c r="AK17"/>
      <c r="AL17"/>
    </row>
    <row r="18" spans="1:38">
      <c r="A18" s="34" t="str" cm="1">
        <f t="array" aca="1" ref="A18" ca="1">IFERROR(INDEX(_xlfn.ANCHORARRAY($AA$11),ROW()-10,1),"")</f>
        <v/>
      </c>
      <c r="B18" s="20" t="str" cm="1">
        <f t="array" aca="1" ref="B18" ca="1">IFERROR(INDEX(_xlfn.ANCHORARRAY($AA$11),ROW()-10,2),"")</f>
        <v/>
      </c>
      <c r="C18" s="4" t="str" cm="1">
        <f t="array" aca="1" ref="C18" ca="1">IFERROR(INDEX(_xlfn.ANCHORARRAY($AA$11),ROW()-10,3),"")</f>
        <v/>
      </c>
      <c r="D18" s="15" t="str" cm="1">
        <f t="array" aca="1" ref="D18" ca="1">IFERROR(INDEX(_xlfn.ANCHORARRAY($AA$11),ROW()-10,4),"")</f>
        <v/>
      </c>
      <c r="E18" s="4" t="str" cm="1">
        <f t="array" aca="1" ref="E18" ca="1">IFERROR(INDEX(_xlfn.ANCHORARRAY($AA$11),ROW()-10,5),"")</f>
        <v/>
      </c>
      <c r="F18" s="15" t="str" cm="1">
        <f t="array" aca="1" ref="F18" ca="1">IFERROR(INDEX(_xlfn.ANCHORARRAY($AA$11),ROW()-10,6),"")</f>
        <v/>
      </c>
      <c r="G18" s="4" t="str" cm="1">
        <f t="array" aca="1" ref="G18" ca="1">IFERROR(INDEX(_xlfn.ANCHORARRAY($AA$11),ROW()-10,7),"")</f>
        <v/>
      </c>
      <c r="H18" s="4" t="str" cm="1">
        <f t="array" aca="1" ref="H18" ca="1">IFERROR(INDEX(_xlfn.ANCHORARRAY($AA$11),ROW()-10,8),"")</f>
        <v/>
      </c>
      <c r="I18" s="4" t="str" cm="1">
        <f t="array" aca="1" ref="I18" ca="1">IFERROR(INDEX(_xlfn.ANCHORARRAY($AA$11),ROW()-10,9),"")</f>
        <v/>
      </c>
      <c r="J18" s="4" t="str">
        <f t="shared" ca="1" si="0"/>
        <v/>
      </c>
      <c r="K18" s="4" t="str">
        <f t="shared" ca="1" si="1"/>
        <v/>
      </c>
      <c r="L18" s="4" t="str" cm="1">
        <f t="array" aca="1" ref="L18" ca="1">_xlfn.LET(_xlpm.link,IFERROR(INDEX(_xlfn.ANCHORARRAY($AA$11),ROW()-10,12),""),IF(_xlpm.link="","",HYPERLINK(_xlpm.link,"Bluecore/Attentive")))</f>
        <v/>
      </c>
      <c r="M18" s="58" t="str">
        <f t="shared" ca="1" si="2"/>
        <v/>
      </c>
      <c r="N18"/>
      <c r="O18"/>
      <c r="P18"/>
      <c r="Q18"/>
      <c r="R18"/>
      <c r="S18"/>
      <c r="T18" s="6"/>
      <c r="U18" s="6"/>
      <c r="V18" s="6"/>
      <c r="W18" s="6"/>
      <c r="X18" s="6"/>
      <c r="Y18" s="6"/>
      <c r="Z18" s="6"/>
      <c r="AA18" s="32"/>
      <c r="AB18"/>
      <c r="AC18"/>
      <c r="AD18"/>
      <c r="AE18"/>
      <c r="AF18"/>
      <c r="AG18"/>
      <c r="AH18"/>
      <c r="AI18"/>
      <c r="AJ18"/>
      <c r="AK18"/>
      <c r="AL18"/>
    </row>
    <row r="19" spans="1:38">
      <c r="A19" s="34" t="str" cm="1">
        <f t="array" aca="1" ref="A19" ca="1">IFERROR(INDEX(_xlfn.ANCHORARRAY($AA$11),ROW()-10,1),"")</f>
        <v/>
      </c>
      <c r="B19" s="20" t="str" cm="1">
        <f t="array" aca="1" ref="B19" ca="1">IFERROR(INDEX(_xlfn.ANCHORARRAY($AA$11),ROW()-10,2),"")</f>
        <v/>
      </c>
      <c r="C19" s="4" t="str" cm="1">
        <f t="array" aca="1" ref="C19" ca="1">IFERROR(INDEX(_xlfn.ANCHORARRAY($AA$11),ROW()-10,3),"")</f>
        <v/>
      </c>
      <c r="D19" s="15" t="str" cm="1">
        <f t="array" aca="1" ref="D19" ca="1">IFERROR(INDEX(_xlfn.ANCHORARRAY($AA$11),ROW()-10,4),"")</f>
        <v/>
      </c>
      <c r="E19" s="4" t="str" cm="1">
        <f t="array" aca="1" ref="E19" ca="1">IFERROR(INDEX(_xlfn.ANCHORARRAY($AA$11),ROW()-10,5),"")</f>
        <v/>
      </c>
      <c r="F19" s="15" t="str" cm="1">
        <f t="array" aca="1" ref="F19" ca="1">IFERROR(INDEX(_xlfn.ANCHORARRAY($AA$11),ROW()-10,6),"")</f>
        <v/>
      </c>
      <c r="G19" s="4" t="str" cm="1">
        <f t="array" aca="1" ref="G19" ca="1">IFERROR(INDEX(_xlfn.ANCHORARRAY($AA$11),ROW()-10,7),"")</f>
        <v/>
      </c>
      <c r="H19" s="4" t="str" cm="1">
        <f t="array" aca="1" ref="H19" ca="1">IFERROR(INDEX(_xlfn.ANCHORARRAY($AA$11),ROW()-10,8),"")</f>
        <v/>
      </c>
      <c r="I19" s="4" t="str" cm="1">
        <f t="array" aca="1" ref="I19" ca="1">IFERROR(INDEX(_xlfn.ANCHORARRAY($AA$11),ROW()-10,9),"")</f>
        <v/>
      </c>
      <c r="J19" s="4" t="str">
        <f t="shared" ca="1" si="0"/>
        <v/>
      </c>
      <c r="K19" s="4" t="str">
        <f t="shared" ca="1" si="1"/>
        <v/>
      </c>
      <c r="L19" s="4" t="str" cm="1">
        <f t="array" aca="1" ref="L19" ca="1">_xlfn.LET(_xlpm.link,IFERROR(INDEX(_xlfn.ANCHORARRAY($AA$11),ROW()-10,12),""),IF(_xlpm.link="","",HYPERLINK(_xlpm.link,"Bluecore/Attentive")))</f>
        <v/>
      </c>
      <c r="M19" s="57" t="str">
        <f t="shared" ca="1" si="2"/>
        <v/>
      </c>
      <c r="N19"/>
      <c r="O19"/>
      <c r="P19"/>
      <c r="Q19"/>
      <c r="R19"/>
      <c r="S19"/>
      <c r="T19" s="6"/>
      <c r="U19" s="6"/>
      <c r="V19" s="6"/>
      <c r="W19" s="6"/>
      <c r="X19" s="6"/>
      <c r="Y19" s="6"/>
      <c r="Z19" s="6"/>
      <c r="AA19" s="32"/>
      <c r="AB19"/>
      <c r="AC19"/>
      <c r="AD19"/>
      <c r="AE19"/>
      <c r="AF19"/>
      <c r="AG19"/>
      <c r="AH19"/>
      <c r="AI19"/>
      <c r="AJ19"/>
      <c r="AK19"/>
      <c r="AL19"/>
    </row>
    <row r="20" spans="1:38">
      <c r="A20" s="34" t="str" cm="1">
        <f t="array" aca="1" ref="A20" ca="1">IFERROR(INDEX(_xlfn.ANCHORARRAY($AA$11),ROW()-10,1),"")</f>
        <v/>
      </c>
      <c r="B20" s="20" t="str" cm="1">
        <f t="array" aca="1" ref="B20" ca="1">IFERROR(INDEX(_xlfn.ANCHORARRAY($AA$11),ROW()-10,2),"")</f>
        <v/>
      </c>
      <c r="C20" s="4" t="str" cm="1">
        <f t="array" aca="1" ref="C20" ca="1">IFERROR(INDEX(_xlfn.ANCHORARRAY($AA$11),ROW()-10,3),"")</f>
        <v/>
      </c>
      <c r="D20" s="15" t="str" cm="1">
        <f t="array" aca="1" ref="D20" ca="1">IFERROR(INDEX(_xlfn.ANCHORARRAY($AA$11),ROW()-10,4),"")</f>
        <v/>
      </c>
      <c r="E20" s="4" t="str" cm="1">
        <f t="array" aca="1" ref="E20" ca="1">IFERROR(INDEX(_xlfn.ANCHORARRAY($AA$11),ROW()-10,5),"")</f>
        <v/>
      </c>
      <c r="F20" s="15" t="str" cm="1">
        <f t="array" aca="1" ref="F20" ca="1">IFERROR(INDEX(_xlfn.ANCHORARRAY($AA$11),ROW()-10,6),"")</f>
        <v/>
      </c>
      <c r="G20" s="4" t="str" cm="1">
        <f t="array" aca="1" ref="G20" ca="1">IFERROR(INDEX(_xlfn.ANCHORARRAY($AA$11),ROW()-10,7),"")</f>
        <v/>
      </c>
      <c r="H20" s="4" t="str" cm="1">
        <f t="array" aca="1" ref="H20" ca="1">IFERROR(INDEX(_xlfn.ANCHORARRAY($AA$11),ROW()-10,8),"")</f>
        <v/>
      </c>
      <c r="I20" s="4" t="str" cm="1">
        <f t="array" aca="1" ref="I20" ca="1">IFERROR(INDEX(_xlfn.ANCHORARRAY($AA$11),ROW()-10,9),"")</f>
        <v/>
      </c>
      <c r="J20" s="4" t="str">
        <f t="shared" ca="1" si="0"/>
        <v/>
      </c>
      <c r="K20" s="4" t="str">
        <f t="shared" ca="1" si="1"/>
        <v/>
      </c>
      <c r="L20" s="4" t="str" cm="1">
        <f t="array" aca="1" ref="L20" ca="1">_xlfn.LET(_xlpm.link,IFERROR(INDEX(_xlfn.ANCHORARRAY($AA$11),ROW()-10,12),""),IF(_xlpm.link="","",HYPERLINK(_xlpm.link,"Bluecore/Attentive")))</f>
        <v/>
      </c>
      <c r="M20" s="58" t="str">
        <f t="shared" ca="1" si="2"/>
        <v/>
      </c>
      <c r="N20"/>
      <c r="O20"/>
      <c r="P20"/>
      <c r="Q20"/>
      <c r="R20"/>
      <c r="S20"/>
      <c r="T20" s="6"/>
      <c r="U20" s="6"/>
      <c r="V20" s="6"/>
      <c r="W20" s="6"/>
      <c r="X20" s="6"/>
      <c r="Y20" s="6"/>
      <c r="Z20" s="6"/>
      <c r="AA20" s="32"/>
      <c r="AB20"/>
      <c r="AC20"/>
      <c r="AD20"/>
      <c r="AE20"/>
      <c r="AF20"/>
      <c r="AG20"/>
      <c r="AH20"/>
      <c r="AI20"/>
      <c r="AJ20"/>
      <c r="AK20"/>
      <c r="AL20"/>
    </row>
    <row r="21" spans="1:38">
      <c r="A21" s="34" t="str" cm="1">
        <f t="array" aca="1" ref="A21" ca="1">IFERROR(INDEX(_xlfn.ANCHORARRAY($AA$11),ROW()-10,1),"")</f>
        <v/>
      </c>
      <c r="B21" s="20" t="str" cm="1">
        <f t="array" aca="1" ref="B21" ca="1">IFERROR(INDEX(_xlfn.ANCHORARRAY($AA$11),ROW()-10,2),"")</f>
        <v/>
      </c>
      <c r="C21" s="4" t="str" cm="1">
        <f t="array" aca="1" ref="C21" ca="1">IFERROR(INDEX(_xlfn.ANCHORARRAY($AA$11),ROW()-10,3),"")</f>
        <v/>
      </c>
      <c r="D21" s="15" t="str" cm="1">
        <f t="array" aca="1" ref="D21" ca="1">IFERROR(INDEX(_xlfn.ANCHORARRAY($AA$11),ROW()-10,4),"")</f>
        <v/>
      </c>
      <c r="E21" s="4" t="str" cm="1">
        <f t="array" aca="1" ref="E21" ca="1">IFERROR(INDEX(_xlfn.ANCHORARRAY($AA$11),ROW()-10,5),"")</f>
        <v/>
      </c>
      <c r="F21" s="15" t="str" cm="1">
        <f t="array" aca="1" ref="F21" ca="1">IFERROR(INDEX(_xlfn.ANCHORARRAY($AA$11),ROW()-10,6),"")</f>
        <v/>
      </c>
      <c r="G21" s="4" t="str" cm="1">
        <f t="array" aca="1" ref="G21" ca="1">IFERROR(INDEX(_xlfn.ANCHORARRAY($AA$11),ROW()-10,7),"")</f>
        <v/>
      </c>
      <c r="H21" s="4" t="str" cm="1">
        <f t="array" aca="1" ref="H21" ca="1">IFERROR(INDEX(_xlfn.ANCHORARRAY($AA$11),ROW()-10,8),"")</f>
        <v/>
      </c>
      <c r="I21" s="4" t="str" cm="1">
        <f t="array" aca="1" ref="I21" ca="1">IFERROR(INDEX(_xlfn.ANCHORARRAY($AA$11),ROW()-10,9),"")</f>
        <v/>
      </c>
      <c r="J21" s="4" t="str">
        <f t="shared" ca="1" si="0"/>
        <v/>
      </c>
      <c r="K21" s="4" t="str">
        <f t="shared" ca="1" si="1"/>
        <v/>
      </c>
      <c r="L21" s="4" t="str" cm="1">
        <f t="array" aca="1" ref="L21" ca="1">_xlfn.LET(_xlpm.link,IFERROR(INDEX(_xlfn.ANCHORARRAY($AA$11),ROW()-10,12),""),IF(_xlpm.link="","",HYPERLINK(_xlpm.link,"Bluecore/Attentive")))</f>
        <v/>
      </c>
      <c r="M21" s="57" t="str">
        <f t="shared" ca="1" si="2"/>
        <v/>
      </c>
      <c r="N21"/>
      <c r="O21"/>
      <c r="P21"/>
      <c r="Q21"/>
      <c r="R21"/>
      <c r="S21"/>
      <c r="T21" s="6"/>
      <c r="U21" s="6"/>
      <c r="V21" s="6"/>
      <c r="W21" s="6"/>
      <c r="X21" s="6"/>
      <c r="Y21" s="6"/>
      <c r="Z21" s="6"/>
      <c r="AA21" s="32"/>
      <c r="AB21"/>
      <c r="AC21"/>
      <c r="AD21"/>
      <c r="AE21"/>
      <c r="AF21"/>
      <c r="AG21"/>
      <c r="AH21"/>
      <c r="AI21"/>
      <c r="AJ21"/>
      <c r="AK21"/>
      <c r="AL21"/>
    </row>
    <row r="22" spans="1:38">
      <c r="A22" s="34" t="str" cm="1">
        <f t="array" aca="1" ref="A22" ca="1">IFERROR(INDEX(_xlfn.ANCHORARRAY($AA$11),ROW()-10,1),"")</f>
        <v/>
      </c>
      <c r="B22" s="20" t="str" cm="1">
        <f t="array" aca="1" ref="B22" ca="1">IFERROR(INDEX(_xlfn.ANCHORARRAY($AA$11),ROW()-10,2),"")</f>
        <v/>
      </c>
      <c r="C22" s="4" t="str" cm="1">
        <f t="array" aca="1" ref="C22" ca="1">IFERROR(INDEX(_xlfn.ANCHORARRAY($AA$11),ROW()-10,3),"")</f>
        <v/>
      </c>
      <c r="D22" s="15" t="str" cm="1">
        <f t="array" aca="1" ref="D22" ca="1">IFERROR(INDEX(_xlfn.ANCHORARRAY($AA$11),ROW()-10,4),"")</f>
        <v/>
      </c>
      <c r="E22" s="4" t="str" cm="1">
        <f t="array" aca="1" ref="E22" ca="1">IFERROR(INDEX(_xlfn.ANCHORARRAY($AA$11),ROW()-10,5),"")</f>
        <v/>
      </c>
      <c r="F22" s="15" t="str" cm="1">
        <f t="array" aca="1" ref="F22" ca="1">IFERROR(INDEX(_xlfn.ANCHORARRAY($AA$11),ROW()-10,6),"")</f>
        <v/>
      </c>
      <c r="G22" s="4" t="str" cm="1">
        <f t="array" aca="1" ref="G22" ca="1">IFERROR(INDEX(_xlfn.ANCHORARRAY($AA$11),ROW()-10,7),"")</f>
        <v/>
      </c>
      <c r="H22" s="4" t="str" cm="1">
        <f t="array" aca="1" ref="H22" ca="1">IFERROR(INDEX(_xlfn.ANCHORARRAY($AA$11),ROW()-10,8),"")</f>
        <v/>
      </c>
      <c r="I22" s="4" t="str" cm="1">
        <f t="array" aca="1" ref="I22" ca="1">IFERROR(INDEX(_xlfn.ANCHORARRAY($AA$11),ROW()-10,9),"")</f>
        <v/>
      </c>
      <c r="J22" s="4" t="str">
        <f t="shared" ca="1" si="0"/>
        <v/>
      </c>
      <c r="K22" s="4" t="str">
        <f t="shared" ca="1" si="1"/>
        <v/>
      </c>
      <c r="L22" s="4" t="str" cm="1">
        <f t="array" aca="1" ref="L22" ca="1">_xlfn.LET(_xlpm.link,IFERROR(INDEX(_xlfn.ANCHORARRAY($AA$11),ROW()-10,12),""),IF(_xlpm.link="","",HYPERLINK(_xlpm.link,"Bluecore/Attentive")))</f>
        <v/>
      </c>
      <c r="M22" s="58" t="str">
        <f t="shared" ca="1" si="2"/>
        <v/>
      </c>
      <c r="N22"/>
      <c r="O22"/>
      <c r="P22"/>
      <c r="Q22"/>
      <c r="R22"/>
      <c r="S22"/>
      <c r="T22" s="6"/>
      <c r="U22" s="6"/>
      <c r="V22" s="6"/>
      <c r="W22" s="6"/>
      <c r="X22" s="6"/>
      <c r="Y22" s="6"/>
      <c r="Z22" s="6"/>
      <c r="AA22" s="32"/>
      <c r="AB22"/>
      <c r="AC22"/>
      <c r="AD22"/>
      <c r="AE22"/>
      <c r="AF22"/>
      <c r="AG22"/>
      <c r="AH22"/>
      <c r="AI22"/>
      <c r="AJ22"/>
      <c r="AK22"/>
      <c r="AL22"/>
    </row>
    <row r="23" spans="1:38">
      <c r="A23" s="34" t="str" cm="1">
        <f t="array" aca="1" ref="A23" ca="1">IFERROR(INDEX(_xlfn.ANCHORARRAY($AA$11),ROW()-10,1),"")</f>
        <v/>
      </c>
      <c r="B23" s="20" t="str" cm="1">
        <f t="array" aca="1" ref="B23" ca="1">IFERROR(INDEX(_xlfn.ANCHORARRAY($AA$11),ROW()-10,2),"")</f>
        <v/>
      </c>
      <c r="C23" s="4" t="str" cm="1">
        <f t="array" aca="1" ref="C23" ca="1">IFERROR(INDEX(_xlfn.ANCHORARRAY($AA$11),ROW()-10,3),"")</f>
        <v/>
      </c>
      <c r="D23" s="15" t="str" cm="1">
        <f t="array" aca="1" ref="D23" ca="1">IFERROR(INDEX(_xlfn.ANCHORARRAY($AA$11),ROW()-10,4),"")</f>
        <v/>
      </c>
      <c r="E23" s="4" t="str" cm="1">
        <f t="array" aca="1" ref="E23" ca="1">IFERROR(INDEX(_xlfn.ANCHORARRAY($AA$11),ROW()-10,5),"")</f>
        <v/>
      </c>
      <c r="F23" s="15" t="str" cm="1">
        <f t="array" aca="1" ref="F23" ca="1">IFERROR(INDEX(_xlfn.ANCHORARRAY($AA$11),ROW()-10,6),"")</f>
        <v/>
      </c>
      <c r="G23" s="4" t="str" cm="1">
        <f t="array" aca="1" ref="G23" ca="1">IFERROR(INDEX(_xlfn.ANCHORARRAY($AA$11),ROW()-10,7),"")</f>
        <v/>
      </c>
      <c r="H23" s="4" t="str" cm="1">
        <f t="array" aca="1" ref="H23" ca="1">IFERROR(INDEX(_xlfn.ANCHORARRAY($AA$11),ROW()-10,8),"")</f>
        <v/>
      </c>
      <c r="I23" s="4" t="str" cm="1">
        <f t="array" aca="1" ref="I23" ca="1">IFERROR(INDEX(_xlfn.ANCHORARRAY($AA$11),ROW()-10,9),"")</f>
        <v/>
      </c>
      <c r="J23" s="4" t="str">
        <f t="shared" ca="1" si="0"/>
        <v/>
      </c>
      <c r="K23" s="4" t="str">
        <f t="shared" ca="1" si="1"/>
        <v/>
      </c>
      <c r="L23" s="4" t="str" cm="1">
        <f t="array" aca="1" ref="L23" ca="1">_xlfn.LET(_xlpm.link,IFERROR(INDEX(_xlfn.ANCHORARRAY($AA$11),ROW()-10,12),""),IF(_xlpm.link="","",HYPERLINK(_xlpm.link,"Bluecore/Attentive")))</f>
        <v/>
      </c>
      <c r="M23" s="57" t="str">
        <f t="shared" ca="1" si="2"/>
        <v/>
      </c>
      <c r="N23"/>
      <c r="O23"/>
      <c r="P23"/>
      <c r="Q23"/>
      <c r="R23"/>
      <c r="S23"/>
      <c r="T23" s="6"/>
      <c r="U23" s="6"/>
      <c r="V23" s="6"/>
      <c r="W23" s="6"/>
      <c r="X23" s="6"/>
      <c r="Y23" s="6"/>
      <c r="Z23" s="6"/>
      <c r="AA23" s="32"/>
      <c r="AB23"/>
      <c r="AC23"/>
      <c r="AD23"/>
      <c r="AE23"/>
      <c r="AF23"/>
      <c r="AG23"/>
      <c r="AH23"/>
      <c r="AI23"/>
      <c r="AJ23"/>
      <c r="AK23"/>
      <c r="AL23"/>
    </row>
    <row r="24" spans="1:38" ht="15" customHeight="1">
      <c r="A24" s="34" t="str" cm="1">
        <f t="array" aca="1" ref="A24" ca="1">IFERROR(INDEX(_xlfn.ANCHORARRAY($AA$11),ROW()-10,1),"")</f>
        <v/>
      </c>
      <c r="B24" s="20" t="str" cm="1">
        <f t="array" aca="1" ref="B24" ca="1">IFERROR(INDEX(_xlfn.ANCHORARRAY($AA$11),ROW()-10,2),"")</f>
        <v/>
      </c>
      <c r="C24" s="4" t="str" cm="1">
        <f t="array" aca="1" ref="C24" ca="1">IFERROR(INDEX(_xlfn.ANCHORARRAY($AA$11),ROW()-10,3),"")</f>
        <v/>
      </c>
      <c r="D24" s="15" t="str" cm="1">
        <f t="array" aca="1" ref="D24" ca="1">IFERROR(INDEX(_xlfn.ANCHORARRAY($AA$11),ROW()-10,4),"")</f>
        <v/>
      </c>
      <c r="E24" s="4" t="str" cm="1">
        <f t="array" aca="1" ref="E24" ca="1">IFERROR(INDEX(_xlfn.ANCHORARRAY($AA$11),ROW()-10,5),"")</f>
        <v/>
      </c>
      <c r="F24" s="15" t="str" cm="1">
        <f t="array" aca="1" ref="F24" ca="1">IFERROR(INDEX(_xlfn.ANCHORARRAY($AA$11),ROW()-10,6),"")</f>
        <v/>
      </c>
      <c r="G24" s="4" t="str" cm="1">
        <f t="array" aca="1" ref="G24" ca="1">IFERROR(INDEX(_xlfn.ANCHORARRAY($AA$11),ROW()-10,7),"")</f>
        <v/>
      </c>
      <c r="H24" s="4" t="str" cm="1">
        <f t="array" aca="1" ref="H24" ca="1">IFERROR(INDEX(_xlfn.ANCHORARRAY($AA$11),ROW()-10,8),"")</f>
        <v/>
      </c>
      <c r="I24" s="4" t="str" cm="1">
        <f t="array" aca="1" ref="I24" ca="1">IFERROR(INDEX(_xlfn.ANCHORARRAY($AA$11),ROW()-10,9),"")</f>
        <v/>
      </c>
      <c r="J24" s="4" t="str">
        <f t="shared" ca="1" si="0"/>
        <v/>
      </c>
      <c r="K24" s="4" t="str">
        <f t="shared" ca="1" si="1"/>
        <v/>
      </c>
      <c r="L24" s="4" t="str" cm="1">
        <f t="array" aca="1" ref="L24" ca="1">_xlfn.LET(_xlpm.link,IFERROR(INDEX(_xlfn.ANCHORARRAY($AA$11),ROW()-10,12),""),IF(_xlpm.link="","",HYPERLINK(_xlpm.link,"Bluecore/Attentive")))</f>
        <v/>
      </c>
      <c r="M24" s="58" t="str">
        <f t="shared" ca="1" si="2"/>
        <v/>
      </c>
      <c r="N24"/>
      <c r="O24"/>
      <c r="P24"/>
      <c r="Q24"/>
      <c r="R24"/>
      <c r="S24"/>
      <c r="T24" s="6"/>
      <c r="U24" s="6"/>
      <c r="V24" s="6"/>
      <c r="W24" s="6"/>
      <c r="X24" s="6"/>
      <c r="Y24" s="6"/>
      <c r="Z24" s="6"/>
      <c r="AA24" s="32"/>
      <c r="AB24"/>
      <c r="AC24"/>
      <c r="AD24"/>
      <c r="AE24"/>
      <c r="AF24"/>
      <c r="AG24"/>
      <c r="AH24"/>
      <c r="AI24"/>
      <c r="AJ24"/>
      <c r="AK24"/>
      <c r="AL24"/>
    </row>
    <row r="25" spans="1:38">
      <c r="A25" s="34" t="str" cm="1">
        <f t="array" aca="1" ref="A25" ca="1">IFERROR(INDEX(_xlfn.ANCHORARRAY($AA$11),ROW()-10,1),"")</f>
        <v/>
      </c>
      <c r="B25" s="20" t="str" cm="1">
        <f t="array" aca="1" ref="B25" ca="1">IFERROR(INDEX(_xlfn.ANCHORARRAY($AA$11),ROW()-10,2),"")</f>
        <v/>
      </c>
      <c r="C25" s="4" t="str" cm="1">
        <f t="array" aca="1" ref="C25" ca="1">IFERROR(INDEX(_xlfn.ANCHORARRAY($AA$11),ROW()-10,3),"")</f>
        <v/>
      </c>
      <c r="D25" s="15" t="str" cm="1">
        <f t="array" aca="1" ref="D25" ca="1">IFERROR(INDEX(_xlfn.ANCHORARRAY($AA$11),ROW()-10,4),"")</f>
        <v/>
      </c>
      <c r="E25" s="4" t="str" cm="1">
        <f t="array" aca="1" ref="E25" ca="1">IFERROR(INDEX(_xlfn.ANCHORARRAY($AA$11),ROW()-10,5),"")</f>
        <v/>
      </c>
      <c r="F25" s="15" t="str" cm="1">
        <f t="array" aca="1" ref="F25" ca="1">IFERROR(INDEX(_xlfn.ANCHORARRAY($AA$11),ROW()-10,6),"")</f>
        <v/>
      </c>
      <c r="G25" s="4" t="str" cm="1">
        <f t="array" aca="1" ref="G25" ca="1">IFERROR(INDEX(_xlfn.ANCHORARRAY($AA$11),ROW()-10,7),"")</f>
        <v/>
      </c>
      <c r="H25" s="4" t="str" cm="1">
        <f t="array" aca="1" ref="H25" ca="1">IFERROR(INDEX(_xlfn.ANCHORARRAY($AA$11),ROW()-10,8),"")</f>
        <v/>
      </c>
      <c r="I25" s="4" t="str" cm="1">
        <f t="array" aca="1" ref="I25" ca="1">IFERROR(INDEX(_xlfn.ANCHORARRAY($AA$11),ROW()-10,9),"")</f>
        <v/>
      </c>
      <c r="J25" s="4" t="str">
        <f t="shared" ca="1" si="0"/>
        <v/>
      </c>
      <c r="K25" s="4" t="str">
        <f t="shared" ca="1" si="1"/>
        <v/>
      </c>
      <c r="L25" s="4" t="str" cm="1">
        <f t="array" aca="1" ref="L25" ca="1">_xlfn.LET(_xlpm.link,IFERROR(INDEX(_xlfn.ANCHORARRAY($AA$11),ROW()-10,12),""),IF(_xlpm.link="","",HYPERLINK(_xlpm.link,"Bluecore/Attentive")))</f>
        <v/>
      </c>
      <c r="M25" s="57" t="str">
        <f t="shared" ca="1" si="2"/>
        <v/>
      </c>
      <c r="N25"/>
      <c r="O25"/>
      <c r="P25"/>
      <c r="Q25"/>
      <c r="R25"/>
      <c r="S25"/>
      <c r="T25" s="6"/>
      <c r="U25" s="6"/>
      <c r="V25" s="6"/>
      <c r="W25" s="6"/>
      <c r="X25" s="6"/>
      <c r="Y25" s="6"/>
      <c r="Z25" s="6"/>
      <c r="AA25" s="32"/>
      <c r="AB25"/>
      <c r="AC25"/>
      <c r="AD25"/>
      <c r="AE25"/>
      <c r="AF25"/>
      <c r="AG25"/>
      <c r="AH25"/>
      <c r="AI25"/>
      <c r="AJ25"/>
      <c r="AK25"/>
      <c r="AL25"/>
    </row>
    <row r="26" spans="1:38">
      <c r="A26" s="34" t="str" cm="1">
        <f t="array" aca="1" ref="A26" ca="1">IFERROR(INDEX(_xlfn.ANCHORARRAY($AA$11),ROW()-10,1),"")</f>
        <v/>
      </c>
      <c r="B26" s="20" t="str" cm="1">
        <f t="array" aca="1" ref="B26" ca="1">IFERROR(INDEX(_xlfn.ANCHORARRAY($AA$11),ROW()-10,2),"")</f>
        <v/>
      </c>
      <c r="C26" s="4" t="str" cm="1">
        <f t="array" aca="1" ref="C26" ca="1">IFERROR(INDEX(_xlfn.ANCHORARRAY($AA$11),ROW()-10,3),"")</f>
        <v/>
      </c>
      <c r="D26" s="15" t="str" cm="1">
        <f t="array" aca="1" ref="D26" ca="1">IFERROR(INDEX(_xlfn.ANCHORARRAY($AA$11),ROW()-10,4),"")</f>
        <v/>
      </c>
      <c r="E26" s="4" t="str" cm="1">
        <f t="array" aca="1" ref="E26" ca="1">IFERROR(INDEX(_xlfn.ANCHORARRAY($AA$11),ROW()-10,5),"")</f>
        <v/>
      </c>
      <c r="F26" s="15" t="str" cm="1">
        <f t="array" aca="1" ref="F26" ca="1">IFERROR(INDEX(_xlfn.ANCHORARRAY($AA$11),ROW()-10,6),"")</f>
        <v/>
      </c>
      <c r="G26" s="4" t="str" cm="1">
        <f t="array" aca="1" ref="G26" ca="1">IFERROR(INDEX(_xlfn.ANCHORARRAY($AA$11),ROW()-10,7),"")</f>
        <v/>
      </c>
      <c r="H26" s="4" t="str" cm="1">
        <f t="array" aca="1" ref="H26" ca="1">IFERROR(INDEX(_xlfn.ANCHORARRAY($AA$11),ROW()-10,8),"")</f>
        <v/>
      </c>
      <c r="I26" s="4" t="str" cm="1">
        <f t="array" aca="1" ref="I26" ca="1">IFERROR(INDEX(_xlfn.ANCHORARRAY($AA$11),ROW()-10,9),"")</f>
        <v/>
      </c>
      <c r="J26" s="4" t="str">
        <f t="shared" ca="1" si="0"/>
        <v/>
      </c>
      <c r="K26" s="4" t="str">
        <f t="shared" ca="1" si="1"/>
        <v/>
      </c>
      <c r="L26" s="4" t="str" cm="1">
        <f t="array" aca="1" ref="L26" ca="1">_xlfn.LET(_xlpm.link,IFERROR(INDEX(_xlfn.ANCHORARRAY($AA$11),ROW()-10,12),""),IF(_xlpm.link="","",HYPERLINK(_xlpm.link,"Bluecore/Attentive")))</f>
        <v/>
      </c>
      <c r="M26" s="58" t="str">
        <f t="shared" ca="1" si="2"/>
        <v/>
      </c>
      <c r="N26"/>
      <c r="O26"/>
      <c r="P26"/>
      <c r="Q26"/>
      <c r="R26"/>
      <c r="S26"/>
      <c r="T26" s="6"/>
      <c r="U26" s="6"/>
      <c r="V26" s="6"/>
      <c r="W26" s="6"/>
      <c r="X26" s="6"/>
      <c r="Y26" s="6"/>
      <c r="Z26" s="6"/>
      <c r="AA26" s="32"/>
      <c r="AB26"/>
      <c r="AC26"/>
      <c r="AD26"/>
      <c r="AE26"/>
      <c r="AF26"/>
      <c r="AG26"/>
      <c r="AH26"/>
      <c r="AI26"/>
      <c r="AJ26"/>
      <c r="AK26"/>
      <c r="AL26"/>
    </row>
    <row r="27" spans="1:38">
      <c r="A27" s="34" t="str" cm="1">
        <f t="array" aca="1" ref="A27" ca="1">IFERROR(INDEX(_xlfn.ANCHORARRAY($AA$11),ROW()-10,1),"")</f>
        <v/>
      </c>
      <c r="B27" s="20" t="str" cm="1">
        <f t="array" aca="1" ref="B27" ca="1">IFERROR(INDEX(_xlfn.ANCHORARRAY($AA$11),ROW()-10,2),"")</f>
        <v/>
      </c>
      <c r="C27" s="4" t="str" cm="1">
        <f t="array" aca="1" ref="C27" ca="1">IFERROR(INDEX(_xlfn.ANCHORARRAY($AA$11),ROW()-10,3),"")</f>
        <v/>
      </c>
      <c r="D27" s="15" t="str" cm="1">
        <f t="array" aca="1" ref="D27" ca="1">IFERROR(INDEX(_xlfn.ANCHORARRAY($AA$11),ROW()-10,4),"")</f>
        <v/>
      </c>
      <c r="E27" s="4" t="str" cm="1">
        <f t="array" aca="1" ref="E27" ca="1">IFERROR(INDEX(_xlfn.ANCHORARRAY($AA$11),ROW()-10,5),"")</f>
        <v/>
      </c>
      <c r="F27" s="15" t="str" cm="1">
        <f t="array" aca="1" ref="F27" ca="1">IFERROR(INDEX(_xlfn.ANCHORARRAY($AA$11),ROW()-10,6),"")</f>
        <v/>
      </c>
      <c r="G27" s="4" t="str" cm="1">
        <f t="array" aca="1" ref="G27" ca="1">IFERROR(INDEX(_xlfn.ANCHORARRAY($AA$11),ROW()-10,7),"")</f>
        <v/>
      </c>
      <c r="H27" s="4" t="str" cm="1">
        <f t="array" aca="1" ref="H27" ca="1">IFERROR(INDEX(_xlfn.ANCHORARRAY($AA$11),ROW()-10,8),"")</f>
        <v/>
      </c>
      <c r="I27" s="4" t="str" cm="1">
        <f t="array" aca="1" ref="I27" ca="1">IFERROR(INDEX(_xlfn.ANCHORARRAY($AA$11),ROW()-10,9),"")</f>
        <v/>
      </c>
      <c r="J27" s="4" t="str">
        <f t="shared" ca="1" si="0"/>
        <v/>
      </c>
      <c r="K27" s="4" t="str">
        <f t="shared" ca="1" si="1"/>
        <v/>
      </c>
      <c r="L27" s="4" t="str" cm="1">
        <f t="array" aca="1" ref="L27" ca="1">_xlfn.LET(_xlpm.link,IFERROR(INDEX(_xlfn.ANCHORARRAY($AA$11),ROW()-10,12),""),IF(_xlpm.link="","",HYPERLINK(_xlpm.link,"Bluecore/Attentive")))</f>
        <v/>
      </c>
      <c r="M27" s="57" t="str">
        <f t="shared" ca="1" si="2"/>
        <v/>
      </c>
      <c r="N27"/>
      <c r="O27"/>
      <c r="P27"/>
      <c r="Q27"/>
      <c r="R27"/>
      <c r="S27"/>
      <c r="T27" s="6"/>
      <c r="U27" s="6"/>
      <c r="V27" s="6"/>
      <c r="W27" s="6"/>
      <c r="X27" s="6"/>
      <c r="Y27" s="6"/>
      <c r="Z27" s="6"/>
      <c r="AA27" s="32"/>
      <c r="AB27"/>
      <c r="AC27"/>
      <c r="AD27"/>
      <c r="AE27"/>
      <c r="AF27"/>
      <c r="AG27"/>
      <c r="AH27"/>
      <c r="AI27"/>
      <c r="AJ27"/>
      <c r="AK27"/>
      <c r="AL27"/>
    </row>
    <row r="28" spans="1:38">
      <c r="A28" s="34" t="str" cm="1">
        <f t="array" aca="1" ref="A28" ca="1">IFERROR(INDEX(_xlfn.ANCHORARRAY($AA$11),ROW()-10,1),"")</f>
        <v/>
      </c>
      <c r="B28" s="20" t="str" cm="1">
        <f t="array" aca="1" ref="B28" ca="1">IFERROR(INDEX(_xlfn.ANCHORARRAY($AA$11),ROW()-10,2),"")</f>
        <v/>
      </c>
      <c r="C28" s="4" t="str" cm="1">
        <f t="array" aca="1" ref="C28" ca="1">IFERROR(INDEX(_xlfn.ANCHORARRAY($AA$11),ROW()-10,3),"")</f>
        <v/>
      </c>
      <c r="D28" s="15" t="str" cm="1">
        <f t="array" aca="1" ref="D28" ca="1">IFERROR(INDEX(_xlfn.ANCHORARRAY($AA$11),ROW()-10,4),"")</f>
        <v/>
      </c>
      <c r="E28" s="4" t="str" cm="1">
        <f t="array" aca="1" ref="E28" ca="1">IFERROR(INDEX(_xlfn.ANCHORARRAY($AA$11),ROW()-10,5),"")</f>
        <v/>
      </c>
      <c r="F28" s="15" t="str" cm="1">
        <f t="array" aca="1" ref="F28" ca="1">IFERROR(INDEX(_xlfn.ANCHORARRAY($AA$11),ROW()-10,6),"")</f>
        <v/>
      </c>
      <c r="G28" s="4" t="str" cm="1">
        <f t="array" aca="1" ref="G28" ca="1">IFERROR(INDEX(_xlfn.ANCHORARRAY($AA$11),ROW()-10,7),"")</f>
        <v/>
      </c>
      <c r="H28" s="4" t="str" cm="1">
        <f t="array" aca="1" ref="H28" ca="1">IFERROR(INDEX(_xlfn.ANCHORARRAY($AA$11),ROW()-10,8),"")</f>
        <v/>
      </c>
      <c r="I28" s="4" t="str" cm="1">
        <f t="array" aca="1" ref="I28" ca="1">IFERROR(INDEX(_xlfn.ANCHORARRAY($AA$11),ROW()-10,9),"")</f>
        <v/>
      </c>
      <c r="J28" s="4" t="str">
        <f t="shared" ca="1" si="0"/>
        <v/>
      </c>
      <c r="K28" s="4" t="str">
        <f t="shared" ca="1" si="1"/>
        <v/>
      </c>
      <c r="L28" s="4" t="str" cm="1">
        <f t="array" aca="1" ref="L28" ca="1">_xlfn.LET(_xlpm.link,IFERROR(INDEX(_xlfn.ANCHORARRAY($AA$11),ROW()-10,12),""),IF(_xlpm.link="","",HYPERLINK(_xlpm.link,"Bluecore/Attentive")))</f>
        <v/>
      </c>
      <c r="M28" s="58" t="str">
        <f t="shared" ca="1" si="2"/>
        <v/>
      </c>
      <c r="N28"/>
      <c r="O28"/>
      <c r="P28"/>
      <c r="Q28"/>
      <c r="R28"/>
      <c r="S28"/>
      <c r="T28" s="6"/>
      <c r="U28" s="6"/>
      <c r="V28" s="6"/>
      <c r="W28" s="6"/>
      <c r="X28" s="6"/>
      <c r="Y28" s="6"/>
      <c r="Z28" s="6"/>
      <c r="AA28" s="32"/>
      <c r="AB28"/>
      <c r="AC28"/>
      <c r="AD28"/>
      <c r="AE28"/>
      <c r="AF28"/>
      <c r="AG28"/>
      <c r="AH28"/>
      <c r="AI28"/>
      <c r="AJ28"/>
      <c r="AK28"/>
      <c r="AL28"/>
    </row>
    <row r="29" spans="1:38">
      <c r="A29" s="34" t="str" cm="1">
        <f t="array" aca="1" ref="A29" ca="1">IFERROR(INDEX(_xlfn.ANCHORARRAY($AA$11),ROW()-10,1),"")</f>
        <v/>
      </c>
      <c r="B29" s="20" t="str" cm="1">
        <f t="array" aca="1" ref="B29" ca="1">IFERROR(INDEX(_xlfn.ANCHORARRAY($AA$11),ROW()-10,2),"")</f>
        <v/>
      </c>
      <c r="C29" s="4" t="str" cm="1">
        <f t="array" aca="1" ref="C29" ca="1">IFERROR(INDEX(_xlfn.ANCHORARRAY($AA$11),ROW()-10,3),"")</f>
        <v/>
      </c>
      <c r="D29" s="15" t="str" cm="1">
        <f t="array" aca="1" ref="D29" ca="1">IFERROR(INDEX(_xlfn.ANCHORARRAY($AA$11),ROW()-10,4),"")</f>
        <v/>
      </c>
      <c r="E29" s="4" t="str" cm="1">
        <f t="array" aca="1" ref="E29" ca="1">IFERROR(INDEX(_xlfn.ANCHORARRAY($AA$11),ROW()-10,5),"")</f>
        <v/>
      </c>
      <c r="F29" s="15" t="str" cm="1">
        <f t="array" aca="1" ref="F29" ca="1">IFERROR(INDEX(_xlfn.ANCHORARRAY($AA$11),ROW()-10,6),"")</f>
        <v/>
      </c>
      <c r="G29" s="4" t="str" cm="1">
        <f t="array" aca="1" ref="G29" ca="1">IFERROR(INDEX(_xlfn.ANCHORARRAY($AA$11),ROW()-10,7),"")</f>
        <v/>
      </c>
      <c r="H29" s="4" t="str" cm="1">
        <f t="array" aca="1" ref="H29" ca="1">IFERROR(INDEX(_xlfn.ANCHORARRAY($AA$11),ROW()-10,8),"")</f>
        <v/>
      </c>
      <c r="I29" s="4" t="str" cm="1">
        <f t="array" aca="1" ref="I29" ca="1">IFERROR(INDEX(_xlfn.ANCHORARRAY($AA$11),ROW()-10,9),"")</f>
        <v/>
      </c>
      <c r="J29" s="4" t="str">
        <f t="shared" ca="1" si="0"/>
        <v/>
      </c>
      <c r="K29" s="4" t="str">
        <f t="shared" ca="1" si="1"/>
        <v/>
      </c>
      <c r="L29" s="4" t="str" cm="1">
        <f t="array" aca="1" ref="L29" ca="1">_xlfn.LET(_xlpm.link,IFERROR(INDEX(_xlfn.ANCHORARRAY($AA$11),ROW()-10,12),""),IF(_xlpm.link="","",HYPERLINK(_xlpm.link,"Bluecore/Attentive")))</f>
        <v/>
      </c>
      <c r="M29" s="57" t="str">
        <f t="shared" ca="1" si="2"/>
        <v/>
      </c>
      <c r="N29"/>
      <c r="O29"/>
      <c r="P29"/>
      <c r="Q29"/>
      <c r="R29"/>
      <c r="S29"/>
      <c r="T29" s="6"/>
      <c r="U29" s="6"/>
      <c r="V29" s="6"/>
      <c r="W29" s="6"/>
      <c r="X29" s="6"/>
      <c r="Y29" s="6"/>
      <c r="Z29" s="6"/>
      <c r="AA29" s="32"/>
      <c r="AB29"/>
      <c r="AC29"/>
      <c r="AD29"/>
      <c r="AE29"/>
      <c r="AF29"/>
      <c r="AG29"/>
      <c r="AH29"/>
      <c r="AI29"/>
      <c r="AJ29"/>
      <c r="AK29"/>
      <c r="AL29"/>
    </row>
    <row r="30" spans="1:38">
      <c r="A30" s="34" t="str" cm="1">
        <f t="array" aca="1" ref="A30" ca="1">IFERROR(INDEX(_xlfn.ANCHORARRAY($AA$11),ROW()-10,1),"")</f>
        <v/>
      </c>
      <c r="B30" s="20" t="str" cm="1">
        <f t="array" aca="1" ref="B30" ca="1">IFERROR(INDEX(_xlfn.ANCHORARRAY($AA$11),ROW()-10,2),"")</f>
        <v/>
      </c>
      <c r="C30" s="4" t="str" cm="1">
        <f t="array" aca="1" ref="C30" ca="1">IFERROR(INDEX(_xlfn.ANCHORARRAY($AA$11),ROW()-10,3),"")</f>
        <v/>
      </c>
      <c r="D30" s="15" t="str" cm="1">
        <f t="array" aca="1" ref="D30" ca="1">IFERROR(INDEX(_xlfn.ANCHORARRAY($AA$11),ROW()-10,4),"")</f>
        <v/>
      </c>
      <c r="E30" s="4" t="str" cm="1">
        <f t="array" aca="1" ref="E30" ca="1">IFERROR(INDEX(_xlfn.ANCHORARRAY($AA$11),ROW()-10,5),"")</f>
        <v/>
      </c>
      <c r="F30" s="15" t="str" cm="1">
        <f t="array" aca="1" ref="F30" ca="1">IFERROR(INDEX(_xlfn.ANCHORARRAY($AA$11),ROW()-10,6),"")</f>
        <v/>
      </c>
      <c r="G30" s="4" t="str" cm="1">
        <f t="array" aca="1" ref="G30" ca="1">IFERROR(INDEX(_xlfn.ANCHORARRAY($AA$11),ROW()-10,7),"")</f>
        <v/>
      </c>
      <c r="H30" s="4" t="str" cm="1">
        <f t="array" aca="1" ref="H30" ca="1">IFERROR(INDEX(_xlfn.ANCHORARRAY($AA$11),ROW()-10,8),"")</f>
        <v/>
      </c>
      <c r="I30" s="4" t="str" cm="1">
        <f t="array" aca="1" ref="I30" ca="1">IFERROR(INDEX(_xlfn.ANCHORARRAY($AA$11),ROW()-10,9),"")</f>
        <v/>
      </c>
      <c r="J30" s="4" t="str">
        <f t="shared" ca="1" si="0"/>
        <v/>
      </c>
      <c r="K30" s="4" t="str">
        <f t="shared" ca="1" si="1"/>
        <v/>
      </c>
      <c r="L30" s="4" t="str" cm="1">
        <f t="array" aca="1" ref="L30" ca="1">_xlfn.LET(_xlpm.link,IFERROR(INDEX(_xlfn.ANCHORARRAY($AA$11),ROW()-10,12),""),IF(_xlpm.link="","",HYPERLINK(_xlpm.link,"Bluecore/Attentive")))</f>
        <v/>
      </c>
      <c r="M30" s="58" t="str">
        <f t="shared" ca="1" si="2"/>
        <v/>
      </c>
      <c r="N30"/>
      <c r="O30"/>
      <c r="P30"/>
      <c r="Q30"/>
      <c r="R30"/>
      <c r="S30"/>
      <c r="T30" s="6"/>
      <c r="U30" s="6"/>
      <c r="V30" s="6"/>
      <c r="W30" s="6"/>
      <c r="X30" s="6"/>
      <c r="Y30" s="6"/>
      <c r="Z30" s="6"/>
      <c r="AA30" s="32"/>
      <c r="AB30"/>
      <c r="AC30"/>
      <c r="AD30"/>
      <c r="AE30"/>
      <c r="AF30"/>
      <c r="AG30"/>
      <c r="AH30"/>
      <c r="AI30"/>
      <c r="AJ30"/>
      <c r="AK30"/>
      <c r="AL30"/>
    </row>
    <row r="31" spans="1:38">
      <c r="A31" s="34" t="str" cm="1">
        <f t="array" aca="1" ref="A31" ca="1">IFERROR(INDEX(_xlfn.ANCHORARRAY($AA$11),ROW()-10,1),"")</f>
        <v/>
      </c>
      <c r="B31" s="20" t="str" cm="1">
        <f t="array" aca="1" ref="B31" ca="1">IFERROR(INDEX(_xlfn.ANCHORARRAY($AA$11),ROW()-10,2),"")</f>
        <v/>
      </c>
      <c r="C31" s="4" t="str" cm="1">
        <f t="array" aca="1" ref="C31" ca="1">IFERROR(INDEX(_xlfn.ANCHORARRAY($AA$11),ROW()-10,3),"")</f>
        <v/>
      </c>
      <c r="D31" s="15" t="str" cm="1">
        <f t="array" aca="1" ref="D31" ca="1">IFERROR(INDEX(_xlfn.ANCHORARRAY($AA$11),ROW()-10,4),"")</f>
        <v/>
      </c>
      <c r="E31" s="4" t="str" cm="1">
        <f t="array" aca="1" ref="E31" ca="1">IFERROR(INDEX(_xlfn.ANCHORARRAY($AA$11),ROW()-10,5),"")</f>
        <v/>
      </c>
      <c r="F31" s="15" t="str" cm="1">
        <f t="array" aca="1" ref="F31" ca="1">IFERROR(INDEX(_xlfn.ANCHORARRAY($AA$11),ROW()-10,6),"")</f>
        <v/>
      </c>
      <c r="G31" s="4" t="str" cm="1">
        <f t="array" aca="1" ref="G31" ca="1">IFERROR(INDEX(_xlfn.ANCHORARRAY($AA$11),ROW()-10,7),"")</f>
        <v/>
      </c>
      <c r="H31" s="4" t="str" cm="1">
        <f t="array" aca="1" ref="H31" ca="1">IFERROR(INDEX(_xlfn.ANCHORARRAY($AA$11),ROW()-10,8),"")</f>
        <v/>
      </c>
      <c r="I31" s="4" t="str" cm="1">
        <f t="array" aca="1" ref="I31" ca="1">IFERROR(INDEX(_xlfn.ANCHORARRAY($AA$11),ROW()-10,9),"")</f>
        <v/>
      </c>
      <c r="J31" s="4" t="str">
        <f t="shared" ca="1" si="0"/>
        <v/>
      </c>
      <c r="K31" s="4" t="str">
        <f t="shared" ca="1" si="1"/>
        <v/>
      </c>
      <c r="L31" s="4" t="str" cm="1">
        <f t="array" aca="1" ref="L31" ca="1">_xlfn.LET(_xlpm.link,IFERROR(INDEX(_xlfn.ANCHORARRAY($AA$11),ROW()-10,12),""),IF(_xlpm.link="","",HYPERLINK(_xlpm.link,"Bluecore/Attentive")))</f>
        <v/>
      </c>
      <c r="M31" s="57" t="str">
        <f t="shared" ca="1" si="2"/>
        <v/>
      </c>
      <c r="N31"/>
      <c r="O31"/>
      <c r="P31"/>
      <c r="Q31"/>
      <c r="R31"/>
      <c r="S31"/>
      <c r="T31" s="6"/>
      <c r="U31" s="6"/>
      <c r="V31" s="6"/>
      <c r="W31" s="6"/>
      <c r="X31" s="6"/>
      <c r="Y31" s="6"/>
      <c r="Z31" s="6"/>
      <c r="AA31" s="32"/>
      <c r="AB31"/>
      <c r="AC31"/>
      <c r="AD31"/>
      <c r="AE31"/>
      <c r="AF31"/>
      <c r="AG31"/>
      <c r="AH31"/>
      <c r="AI31"/>
      <c r="AJ31"/>
      <c r="AK31"/>
      <c r="AL31"/>
    </row>
    <row r="32" spans="1:38">
      <c r="A32" s="34" t="str" cm="1">
        <f t="array" aca="1" ref="A32" ca="1">IFERROR(INDEX(_xlfn.ANCHORARRAY($AA$11),ROW()-10,1),"")</f>
        <v/>
      </c>
      <c r="B32" s="20" t="str" cm="1">
        <f t="array" aca="1" ref="B32" ca="1">IFERROR(INDEX(_xlfn.ANCHORARRAY($AA$11),ROW()-10,2),"")</f>
        <v/>
      </c>
      <c r="C32" s="4" t="str" cm="1">
        <f t="array" aca="1" ref="C32" ca="1">IFERROR(INDEX(_xlfn.ANCHORARRAY($AA$11),ROW()-10,3),"")</f>
        <v/>
      </c>
      <c r="D32" s="15" t="str" cm="1">
        <f t="array" aca="1" ref="D32" ca="1">IFERROR(INDEX(_xlfn.ANCHORARRAY($AA$11),ROW()-10,4),"")</f>
        <v/>
      </c>
      <c r="E32" s="4" t="str" cm="1">
        <f t="array" aca="1" ref="E32" ca="1">IFERROR(INDEX(_xlfn.ANCHORARRAY($AA$11),ROW()-10,5),"")</f>
        <v/>
      </c>
      <c r="F32" s="15" t="str" cm="1">
        <f t="array" aca="1" ref="F32" ca="1">IFERROR(INDEX(_xlfn.ANCHORARRAY($AA$11),ROW()-10,6),"")</f>
        <v/>
      </c>
      <c r="G32" s="4" t="str" cm="1">
        <f t="array" aca="1" ref="G32" ca="1">IFERROR(INDEX(_xlfn.ANCHORARRAY($AA$11),ROW()-10,7),"")</f>
        <v/>
      </c>
      <c r="H32" s="4" t="str" cm="1">
        <f t="array" aca="1" ref="H32" ca="1">IFERROR(INDEX(_xlfn.ANCHORARRAY($AA$11),ROW()-10,8),"")</f>
        <v/>
      </c>
      <c r="I32" s="4" t="str" cm="1">
        <f t="array" aca="1" ref="I32" ca="1">IFERROR(INDEX(_xlfn.ANCHORARRAY($AA$11),ROW()-10,9),"")</f>
        <v/>
      </c>
      <c r="J32" s="4" t="str">
        <f t="shared" ca="1" si="0"/>
        <v/>
      </c>
      <c r="K32" s="4" t="str">
        <f t="shared" ca="1" si="1"/>
        <v/>
      </c>
      <c r="L32" s="4" t="str" cm="1">
        <f t="array" aca="1" ref="L32" ca="1">_xlfn.LET(_xlpm.link,IFERROR(INDEX(_xlfn.ANCHORARRAY($AA$11),ROW()-10,12),""),IF(_xlpm.link="","",HYPERLINK(_xlpm.link,"Bluecore/Attentive")))</f>
        <v/>
      </c>
      <c r="M32" s="58" t="str">
        <f t="shared" ca="1" si="2"/>
        <v/>
      </c>
      <c r="N32"/>
      <c r="O32"/>
      <c r="P32"/>
      <c r="Q32"/>
      <c r="R32"/>
      <c r="S32"/>
      <c r="T32" s="6"/>
      <c r="U32" s="6"/>
      <c r="V32" s="6"/>
      <c r="W32" s="6"/>
      <c r="X32" s="6"/>
      <c r="Y32" s="6"/>
      <c r="Z32" s="6"/>
      <c r="AA32" s="32"/>
      <c r="AB32"/>
      <c r="AC32"/>
      <c r="AD32"/>
      <c r="AE32"/>
      <c r="AF32"/>
      <c r="AG32"/>
      <c r="AH32"/>
      <c r="AI32"/>
      <c r="AJ32"/>
      <c r="AK32"/>
      <c r="AL32"/>
    </row>
    <row r="33" spans="1:38">
      <c r="A33" s="34" t="str" cm="1">
        <f t="array" aca="1" ref="A33" ca="1">IFERROR(INDEX(_xlfn.ANCHORARRAY($AA$11),ROW()-10,1),"")</f>
        <v/>
      </c>
      <c r="B33" s="20" t="str" cm="1">
        <f t="array" aca="1" ref="B33" ca="1">IFERROR(INDEX(_xlfn.ANCHORARRAY($AA$11),ROW()-10,2),"")</f>
        <v/>
      </c>
      <c r="C33" s="4" t="str" cm="1">
        <f t="array" aca="1" ref="C33" ca="1">IFERROR(INDEX(_xlfn.ANCHORARRAY($AA$11),ROW()-10,3),"")</f>
        <v/>
      </c>
      <c r="D33" s="15" t="str" cm="1">
        <f t="array" aca="1" ref="D33" ca="1">IFERROR(INDEX(_xlfn.ANCHORARRAY($AA$11),ROW()-10,4),"")</f>
        <v/>
      </c>
      <c r="E33" s="4" t="str" cm="1">
        <f t="array" aca="1" ref="E33" ca="1">IFERROR(INDEX(_xlfn.ANCHORARRAY($AA$11),ROW()-10,5),"")</f>
        <v/>
      </c>
      <c r="F33" s="15" t="str" cm="1">
        <f t="array" aca="1" ref="F33" ca="1">IFERROR(INDEX(_xlfn.ANCHORARRAY($AA$11),ROW()-10,6),"")</f>
        <v/>
      </c>
      <c r="G33" s="4" t="str" cm="1">
        <f t="array" aca="1" ref="G33" ca="1">IFERROR(INDEX(_xlfn.ANCHORARRAY($AA$11),ROW()-10,7),"")</f>
        <v/>
      </c>
      <c r="H33" s="4" t="str" cm="1">
        <f t="array" aca="1" ref="H33" ca="1">IFERROR(INDEX(_xlfn.ANCHORARRAY($AA$11),ROW()-10,8),"")</f>
        <v/>
      </c>
      <c r="I33" s="4" t="str" cm="1">
        <f t="array" aca="1" ref="I33" ca="1">IFERROR(INDEX(_xlfn.ANCHORARRAY($AA$11),ROW()-10,9),"")</f>
        <v/>
      </c>
      <c r="J33" s="4" t="str">
        <f t="shared" ca="1" si="0"/>
        <v/>
      </c>
      <c r="K33" s="4" t="str">
        <f t="shared" ca="1" si="1"/>
        <v/>
      </c>
      <c r="L33" s="4" t="str" cm="1">
        <f t="array" aca="1" ref="L33" ca="1">_xlfn.LET(_xlpm.link,IFERROR(INDEX(_xlfn.ANCHORARRAY($AA$11),ROW()-10,12),""),IF(_xlpm.link="","",HYPERLINK(_xlpm.link,"Bluecore/Attentive")))</f>
        <v/>
      </c>
      <c r="M33" s="57" t="str">
        <f t="shared" ca="1" si="2"/>
        <v/>
      </c>
      <c r="N33"/>
      <c r="O33"/>
      <c r="P33"/>
      <c r="Q33"/>
      <c r="R33"/>
      <c r="S33"/>
      <c r="T33" s="6"/>
      <c r="U33" s="6"/>
      <c r="V33" s="6"/>
      <c r="W33" s="6"/>
      <c r="X33" s="6"/>
      <c r="Y33" s="6"/>
      <c r="Z33" s="6"/>
      <c r="AA33" s="32"/>
      <c r="AB33"/>
      <c r="AC33"/>
      <c r="AD33"/>
      <c r="AE33"/>
      <c r="AF33"/>
      <c r="AG33"/>
      <c r="AH33"/>
      <c r="AI33"/>
      <c r="AJ33"/>
      <c r="AK33"/>
      <c r="AL33"/>
    </row>
    <row r="34" spans="1:38">
      <c r="A34" s="34" t="str" cm="1">
        <f t="array" aca="1" ref="A34" ca="1">IFERROR(INDEX(_xlfn.ANCHORARRAY($AA$11),ROW()-10,1),"")</f>
        <v/>
      </c>
      <c r="B34" s="20" t="str" cm="1">
        <f t="array" aca="1" ref="B34" ca="1">IFERROR(INDEX(_xlfn.ANCHORARRAY($AA$11),ROW()-10,2),"")</f>
        <v/>
      </c>
      <c r="C34" s="4" t="str" cm="1">
        <f t="array" aca="1" ref="C34" ca="1">IFERROR(INDEX(_xlfn.ANCHORARRAY($AA$11),ROW()-10,3),"")</f>
        <v/>
      </c>
      <c r="D34" s="15" t="str" cm="1">
        <f t="array" aca="1" ref="D34" ca="1">IFERROR(INDEX(_xlfn.ANCHORARRAY($AA$11),ROW()-10,4),"")</f>
        <v/>
      </c>
      <c r="E34" s="4" t="str" cm="1">
        <f t="array" aca="1" ref="E34" ca="1">IFERROR(INDEX(_xlfn.ANCHORARRAY($AA$11),ROW()-10,5),"")</f>
        <v/>
      </c>
      <c r="F34" s="15" t="str" cm="1">
        <f t="array" aca="1" ref="F34" ca="1">IFERROR(INDEX(_xlfn.ANCHORARRAY($AA$11),ROW()-10,6),"")</f>
        <v/>
      </c>
      <c r="G34" s="4" t="str" cm="1">
        <f t="array" aca="1" ref="G34" ca="1">IFERROR(INDEX(_xlfn.ANCHORARRAY($AA$11),ROW()-10,7),"")</f>
        <v/>
      </c>
      <c r="H34" s="4" t="str" cm="1">
        <f t="array" aca="1" ref="H34" ca="1">IFERROR(INDEX(_xlfn.ANCHORARRAY($AA$11),ROW()-10,8),"")</f>
        <v/>
      </c>
      <c r="I34" s="4" t="str" cm="1">
        <f t="array" aca="1" ref="I34" ca="1">IFERROR(INDEX(_xlfn.ANCHORARRAY($AA$11),ROW()-10,9),"")</f>
        <v/>
      </c>
      <c r="J34" s="4" t="str">
        <f t="shared" ca="1" si="0"/>
        <v/>
      </c>
      <c r="K34" s="4" t="str">
        <f t="shared" ca="1" si="1"/>
        <v/>
      </c>
      <c r="L34" s="4" t="str" cm="1">
        <f t="array" aca="1" ref="L34" ca="1">_xlfn.LET(_xlpm.link,IFERROR(INDEX(_xlfn.ANCHORARRAY($AA$11),ROW()-10,12),""),IF(_xlpm.link="","",HYPERLINK(_xlpm.link,"Bluecore/Attentive")))</f>
        <v/>
      </c>
      <c r="M34" s="58" t="str">
        <f t="shared" ca="1" si="2"/>
        <v/>
      </c>
      <c r="N34"/>
      <c r="O34"/>
      <c r="P34"/>
      <c r="Q34"/>
      <c r="R34"/>
      <c r="S34"/>
      <c r="T34" s="6"/>
      <c r="U34" s="6"/>
      <c r="V34" s="6"/>
      <c r="W34" s="6"/>
      <c r="X34" s="6"/>
      <c r="Y34" s="6"/>
      <c r="Z34" s="6"/>
      <c r="AA34" s="32"/>
      <c r="AB34"/>
      <c r="AC34"/>
      <c r="AD34"/>
      <c r="AE34"/>
      <c r="AF34"/>
      <c r="AG34"/>
      <c r="AH34"/>
      <c r="AI34"/>
      <c r="AJ34"/>
      <c r="AK34"/>
      <c r="AL34"/>
    </row>
    <row r="35" spans="1:38">
      <c r="A35" s="34" t="str" cm="1">
        <f t="array" aca="1" ref="A35" ca="1">IFERROR(INDEX(_xlfn.ANCHORARRAY($AA$11),ROW()-10,1),"")</f>
        <v/>
      </c>
      <c r="B35" s="20" t="str" cm="1">
        <f t="array" aca="1" ref="B35" ca="1">IFERROR(INDEX(_xlfn.ANCHORARRAY($AA$11),ROW()-10,2),"")</f>
        <v/>
      </c>
      <c r="C35" s="4" t="str" cm="1">
        <f t="array" aca="1" ref="C35" ca="1">IFERROR(INDEX(_xlfn.ANCHORARRAY($AA$11),ROW()-10,3),"")</f>
        <v/>
      </c>
      <c r="D35" s="15" t="str" cm="1">
        <f t="array" aca="1" ref="D35" ca="1">IFERROR(INDEX(_xlfn.ANCHORARRAY($AA$11),ROW()-10,4),"")</f>
        <v/>
      </c>
      <c r="E35" s="4" t="str" cm="1">
        <f t="array" aca="1" ref="E35" ca="1">IFERROR(INDEX(_xlfn.ANCHORARRAY($AA$11),ROW()-10,5),"")</f>
        <v/>
      </c>
      <c r="F35" s="15" t="str" cm="1">
        <f t="array" aca="1" ref="F35" ca="1">IFERROR(INDEX(_xlfn.ANCHORARRAY($AA$11),ROW()-10,6),"")</f>
        <v/>
      </c>
      <c r="G35" s="4" t="str" cm="1">
        <f t="array" aca="1" ref="G35" ca="1">IFERROR(INDEX(_xlfn.ANCHORARRAY($AA$11),ROW()-10,7),"")</f>
        <v/>
      </c>
      <c r="H35" s="4" t="str" cm="1">
        <f t="array" aca="1" ref="H35" ca="1">IFERROR(INDEX(_xlfn.ANCHORARRAY($AA$11),ROW()-10,8),"")</f>
        <v/>
      </c>
      <c r="I35" s="4" t="str" cm="1">
        <f t="array" aca="1" ref="I35" ca="1">IFERROR(INDEX(_xlfn.ANCHORARRAY($AA$11),ROW()-10,9),"")</f>
        <v/>
      </c>
      <c r="J35" s="4" t="str">
        <f t="shared" ca="1" si="0"/>
        <v/>
      </c>
      <c r="K35" s="4" t="str">
        <f t="shared" ca="1" si="1"/>
        <v/>
      </c>
      <c r="L35" s="4" t="str" cm="1">
        <f t="array" aca="1" ref="L35" ca="1">_xlfn.LET(_xlpm.link,IFERROR(INDEX(_xlfn.ANCHORARRAY($AA$11),ROW()-10,12),""),IF(_xlpm.link="","",HYPERLINK(_xlpm.link,"Bluecore/Attentive")))</f>
        <v/>
      </c>
      <c r="M35" s="57" t="str">
        <f t="shared" ca="1" si="2"/>
        <v/>
      </c>
      <c r="N35"/>
      <c r="O35"/>
      <c r="P35"/>
      <c r="Q35"/>
      <c r="R35"/>
      <c r="S35"/>
      <c r="T35" s="6"/>
      <c r="U35" s="6"/>
      <c r="V35" s="6"/>
      <c r="W35" s="6"/>
      <c r="X35" s="6"/>
      <c r="Y35" s="6"/>
      <c r="Z35" s="6"/>
      <c r="AA35" s="32"/>
      <c r="AB35"/>
      <c r="AC35"/>
      <c r="AD35"/>
      <c r="AE35"/>
      <c r="AF35"/>
      <c r="AG35"/>
      <c r="AH35"/>
      <c r="AI35"/>
      <c r="AJ35"/>
      <c r="AK35"/>
      <c r="AL35"/>
    </row>
    <row r="36" spans="1:38">
      <c r="A36" s="34" t="str" cm="1">
        <f t="array" aca="1" ref="A36" ca="1">IFERROR(INDEX(_xlfn.ANCHORARRAY($AA$11),ROW()-10,1),"")</f>
        <v/>
      </c>
      <c r="B36" s="20" t="str" cm="1">
        <f t="array" aca="1" ref="B36" ca="1">IFERROR(INDEX(_xlfn.ANCHORARRAY($AA$11),ROW()-10,2),"")</f>
        <v/>
      </c>
      <c r="C36" s="4" t="str" cm="1">
        <f t="array" aca="1" ref="C36" ca="1">IFERROR(INDEX(_xlfn.ANCHORARRAY($AA$11),ROW()-10,3),"")</f>
        <v/>
      </c>
      <c r="D36" s="15" t="str" cm="1">
        <f t="array" aca="1" ref="D36" ca="1">IFERROR(INDEX(_xlfn.ANCHORARRAY($AA$11),ROW()-10,4),"")</f>
        <v/>
      </c>
      <c r="E36" s="4" t="str" cm="1">
        <f t="array" aca="1" ref="E36" ca="1">IFERROR(INDEX(_xlfn.ANCHORARRAY($AA$11),ROW()-10,5),"")</f>
        <v/>
      </c>
      <c r="F36" s="15" t="str" cm="1">
        <f t="array" aca="1" ref="F36" ca="1">IFERROR(INDEX(_xlfn.ANCHORARRAY($AA$11),ROW()-10,6),"")</f>
        <v/>
      </c>
      <c r="G36" s="4" t="str" cm="1">
        <f t="array" aca="1" ref="G36" ca="1">IFERROR(INDEX(_xlfn.ANCHORARRAY($AA$11),ROW()-10,7),"")</f>
        <v/>
      </c>
      <c r="H36" s="4" t="str" cm="1">
        <f t="array" aca="1" ref="H36" ca="1">IFERROR(INDEX(_xlfn.ANCHORARRAY($AA$11),ROW()-10,8),"")</f>
        <v/>
      </c>
      <c r="I36" s="4" t="str" cm="1">
        <f t="array" aca="1" ref="I36" ca="1">IFERROR(INDEX(_xlfn.ANCHORARRAY($AA$11),ROW()-10,9),"")</f>
        <v/>
      </c>
      <c r="J36" s="4" t="str">
        <f t="shared" ca="1" si="0"/>
        <v/>
      </c>
      <c r="K36" s="4" t="str">
        <f t="shared" ca="1" si="1"/>
        <v/>
      </c>
      <c r="L36" s="4" t="str" cm="1">
        <f t="array" aca="1" ref="L36" ca="1">_xlfn.LET(_xlpm.link,IFERROR(INDEX(_xlfn.ANCHORARRAY($AA$11),ROW()-10,12),""),IF(_xlpm.link="","",HYPERLINK(_xlpm.link,"Bluecore/Attentive")))</f>
        <v/>
      </c>
      <c r="M36" s="58" t="str">
        <f t="shared" ca="1" si="2"/>
        <v/>
      </c>
      <c r="N36"/>
      <c r="O36"/>
      <c r="P36"/>
      <c r="Q36"/>
      <c r="R36"/>
      <c r="S36"/>
      <c r="T36" s="6"/>
      <c r="U36" s="6"/>
      <c r="V36" s="6"/>
      <c r="W36" s="6"/>
      <c r="X36" s="6"/>
      <c r="Y36" s="6"/>
      <c r="Z36" s="6"/>
      <c r="AA36" s="32"/>
      <c r="AB36"/>
      <c r="AC36"/>
      <c r="AD36"/>
      <c r="AE36"/>
      <c r="AF36"/>
      <c r="AG36"/>
      <c r="AH36"/>
      <c r="AI36"/>
      <c r="AJ36"/>
      <c r="AK36"/>
      <c r="AL36"/>
    </row>
    <row r="37" spans="1:38">
      <c r="A37" s="34" t="str" cm="1">
        <f t="array" aca="1" ref="A37" ca="1">IFERROR(INDEX(_xlfn.ANCHORARRAY($AA$11),ROW()-10,1),"")</f>
        <v/>
      </c>
      <c r="B37" s="20" t="str" cm="1">
        <f t="array" aca="1" ref="B37" ca="1">IFERROR(INDEX(_xlfn.ANCHORARRAY($AA$11),ROW()-10,2),"")</f>
        <v/>
      </c>
      <c r="C37" s="4" t="str" cm="1">
        <f t="array" aca="1" ref="C37" ca="1">IFERROR(INDEX(_xlfn.ANCHORARRAY($AA$11),ROW()-10,3),"")</f>
        <v/>
      </c>
      <c r="D37" s="15" t="str" cm="1">
        <f t="array" aca="1" ref="D37" ca="1">IFERROR(INDEX(_xlfn.ANCHORARRAY($AA$11),ROW()-10,4),"")</f>
        <v/>
      </c>
      <c r="E37" s="4" t="str" cm="1">
        <f t="array" aca="1" ref="E37" ca="1">IFERROR(INDEX(_xlfn.ANCHORARRAY($AA$11),ROW()-10,5),"")</f>
        <v/>
      </c>
      <c r="F37" s="15" t="str" cm="1">
        <f t="array" aca="1" ref="F37" ca="1">IFERROR(INDEX(_xlfn.ANCHORARRAY($AA$11),ROW()-10,6),"")</f>
        <v/>
      </c>
      <c r="G37" s="4" t="str" cm="1">
        <f t="array" aca="1" ref="G37" ca="1">IFERROR(INDEX(_xlfn.ANCHORARRAY($AA$11),ROW()-10,7),"")</f>
        <v/>
      </c>
      <c r="H37" s="4" t="str" cm="1">
        <f t="array" aca="1" ref="H37" ca="1">IFERROR(INDEX(_xlfn.ANCHORARRAY($AA$11),ROW()-10,8),"")</f>
        <v/>
      </c>
      <c r="I37" s="4" t="str" cm="1">
        <f t="array" aca="1" ref="I37" ca="1">IFERROR(INDEX(_xlfn.ANCHORARRAY($AA$11),ROW()-10,9),"")</f>
        <v/>
      </c>
      <c r="J37" s="4" t="str">
        <f t="shared" ca="1" si="0"/>
        <v/>
      </c>
      <c r="K37" s="4" t="str">
        <f t="shared" ca="1" si="1"/>
        <v/>
      </c>
      <c r="L37" s="4" t="str" cm="1">
        <f t="array" aca="1" ref="L37" ca="1">_xlfn.LET(_xlpm.link,IFERROR(INDEX(_xlfn.ANCHORARRAY($AA$11),ROW()-10,12),""),IF(_xlpm.link="","",HYPERLINK(_xlpm.link,"Bluecore/Attentive")))</f>
        <v/>
      </c>
      <c r="M37" s="57" t="str">
        <f t="shared" ca="1" si="2"/>
        <v/>
      </c>
      <c r="N37"/>
      <c r="O37"/>
      <c r="P37"/>
      <c r="Q37"/>
      <c r="R37"/>
      <c r="S37"/>
      <c r="T37" s="6"/>
      <c r="U37" s="6"/>
      <c r="V37" s="6"/>
      <c r="W37" s="6"/>
      <c r="X37" s="6"/>
      <c r="Y37" s="6"/>
      <c r="Z37" s="6"/>
      <c r="AA37" s="32"/>
      <c r="AB37"/>
      <c r="AC37"/>
      <c r="AD37"/>
      <c r="AE37"/>
      <c r="AF37"/>
      <c r="AG37"/>
      <c r="AH37"/>
      <c r="AI37"/>
      <c r="AJ37"/>
      <c r="AK37"/>
      <c r="AL37"/>
    </row>
    <row r="38" spans="1:38">
      <c r="A38" s="34" t="str" cm="1">
        <f t="array" aca="1" ref="A38" ca="1">IFERROR(INDEX(_xlfn.ANCHORARRAY($AA$11),ROW()-10,1),"")</f>
        <v/>
      </c>
      <c r="B38" s="20" t="str" cm="1">
        <f t="array" aca="1" ref="B38" ca="1">IFERROR(INDEX(_xlfn.ANCHORARRAY($AA$11),ROW()-10,2),"")</f>
        <v/>
      </c>
      <c r="C38" s="4" t="str" cm="1">
        <f t="array" aca="1" ref="C38" ca="1">IFERROR(INDEX(_xlfn.ANCHORARRAY($AA$11),ROW()-10,3),"")</f>
        <v/>
      </c>
      <c r="D38" s="15" t="str" cm="1">
        <f t="array" aca="1" ref="D38" ca="1">IFERROR(INDEX(_xlfn.ANCHORARRAY($AA$11),ROW()-10,4),"")</f>
        <v/>
      </c>
      <c r="E38" s="4" t="str" cm="1">
        <f t="array" aca="1" ref="E38" ca="1">IFERROR(INDEX(_xlfn.ANCHORARRAY($AA$11),ROW()-10,5),"")</f>
        <v/>
      </c>
      <c r="F38" s="15" t="str" cm="1">
        <f t="array" aca="1" ref="F38" ca="1">IFERROR(INDEX(_xlfn.ANCHORARRAY($AA$11),ROW()-10,6),"")</f>
        <v/>
      </c>
      <c r="G38" s="4" t="str" cm="1">
        <f t="array" aca="1" ref="G38" ca="1">IFERROR(INDEX(_xlfn.ANCHORARRAY($AA$11),ROW()-10,7),"")</f>
        <v/>
      </c>
      <c r="H38" s="4" t="str" cm="1">
        <f t="array" aca="1" ref="H38" ca="1">IFERROR(INDEX(_xlfn.ANCHORARRAY($AA$11),ROW()-10,8),"")</f>
        <v/>
      </c>
      <c r="I38" s="4" t="str" cm="1">
        <f t="array" aca="1" ref="I38" ca="1">IFERROR(INDEX(_xlfn.ANCHORARRAY($AA$11),ROW()-10,9),"")</f>
        <v/>
      </c>
      <c r="J38" s="4" t="str">
        <f t="shared" ca="1" si="0"/>
        <v/>
      </c>
      <c r="K38" s="4" t="str">
        <f t="shared" ca="1" si="1"/>
        <v/>
      </c>
      <c r="L38" s="4" t="str" cm="1">
        <f t="array" aca="1" ref="L38" ca="1">_xlfn.LET(_xlpm.link,IFERROR(INDEX(_xlfn.ANCHORARRAY($AA$11),ROW()-10,12),""),IF(_xlpm.link="","",HYPERLINK(_xlpm.link,"Bluecore/Attentive")))</f>
        <v/>
      </c>
      <c r="M38" s="58" t="str">
        <f t="shared" ca="1" si="2"/>
        <v/>
      </c>
      <c r="N38"/>
      <c r="O38"/>
      <c r="P38"/>
      <c r="Q38"/>
      <c r="R38"/>
      <c r="S38"/>
      <c r="T38" s="6"/>
      <c r="U38" s="6"/>
      <c r="V38" s="6"/>
      <c r="W38" s="6"/>
      <c r="X38" s="6"/>
      <c r="Y38" s="6"/>
      <c r="Z38" s="6"/>
      <c r="AA38" s="32"/>
      <c r="AB38"/>
      <c r="AC38"/>
      <c r="AD38"/>
      <c r="AE38"/>
      <c r="AF38"/>
      <c r="AG38"/>
      <c r="AH38"/>
      <c r="AI38"/>
      <c r="AJ38"/>
      <c r="AK38"/>
      <c r="AL38"/>
    </row>
    <row r="39" spans="1:38">
      <c r="A39" s="34" t="str" cm="1">
        <f t="array" aca="1" ref="A39" ca="1">IFERROR(INDEX(_xlfn.ANCHORARRAY($AA$11),ROW()-10,1),"")</f>
        <v/>
      </c>
      <c r="B39" s="20" t="str" cm="1">
        <f t="array" aca="1" ref="B39" ca="1">IFERROR(INDEX(_xlfn.ANCHORARRAY($AA$11),ROW()-10,2),"")</f>
        <v/>
      </c>
      <c r="C39" s="4" t="str" cm="1">
        <f t="array" aca="1" ref="C39" ca="1">IFERROR(INDEX(_xlfn.ANCHORARRAY($AA$11),ROW()-10,3),"")</f>
        <v/>
      </c>
      <c r="D39" s="15" t="str" cm="1">
        <f t="array" aca="1" ref="D39" ca="1">IFERROR(INDEX(_xlfn.ANCHORARRAY($AA$11),ROW()-10,4),"")</f>
        <v/>
      </c>
      <c r="E39" s="4" t="str" cm="1">
        <f t="array" aca="1" ref="E39" ca="1">IFERROR(INDEX(_xlfn.ANCHORARRAY($AA$11),ROW()-10,5),"")</f>
        <v/>
      </c>
      <c r="F39" s="15" t="str" cm="1">
        <f t="array" aca="1" ref="F39" ca="1">IFERROR(INDEX(_xlfn.ANCHORARRAY($AA$11),ROW()-10,6),"")</f>
        <v/>
      </c>
      <c r="G39" s="4" t="str" cm="1">
        <f t="array" aca="1" ref="G39" ca="1">IFERROR(INDEX(_xlfn.ANCHORARRAY($AA$11),ROW()-10,7),"")</f>
        <v/>
      </c>
      <c r="H39" s="4" t="str" cm="1">
        <f t="array" aca="1" ref="H39" ca="1">IFERROR(INDEX(_xlfn.ANCHORARRAY($AA$11),ROW()-10,8),"")</f>
        <v/>
      </c>
      <c r="I39" s="4" t="str" cm="1">
        <f t="array" aca="1" ref="I39" ca="1">IFERROR(INDEX(_xlfn.ANCHORARRAY($AA$11),ROW()-10,9),"")</f>
        <v/>
      </c>
      <c r="J39" s="4" t="str">
        <f t="shared" ca="1" si="0"/>
        <v/>
      </c>
      <c r="K39" s="4" t="str">
        <f t="shared" ca="1" si="1"/>
        <v/>
      </c>
      <c r="L39" s="4" t="str" cm="1">
        <f t="array" aca="1" ref="L39" ca="1">_xlfn.LET(_xlpm.link,IFERROR(INDEX(_xlfn.ANCHORARRAY($AA$11),ROW()-10,12),""),IF(_xlpm.link="","",HYPERLINK(_xlpm.link,"Bluecore/Attentive")))</f>
        <v/>
      </c>
      <c r="M39" s="57" t="str">
        <f t="shared" ca="1" si="2"/>
        <v/>
      </c>
      <c r="N39"/>
      <c r="O39"/>
      <c r="P39"/>
      <c r="Q39"/>
      <c r="R39"/>
      <c r="S39"/>
      <c r="T39" s="6"/>
      <c r="U39" s="6"/>
      <c r="V39" s="6"/>
      <c r="W39" s="6"/>
      <c r="X39" s="6"/>
      <c r="Y39" s="6"/>
      <c r="Z39" s="6"/>
      <c r="AA39" s="32"/>
      <c r="AB39"/>
      <c r="AC39"/>
      <c r="AD39"/>
      <c r="AE39"/>
      <c r="AF39"/>
      <c r="AG39"/>
      <c r="AH39"/>
      <c r="AI39"/>
      <c r="AJ39"/>
      <c r="AK39"/>
      <c r="AL39"/>
    </row>
    <row r="40" spans="1:38">
      <c r="A40" s="34" t="str" cm="1">
        <f t="array" aca="1" ref="A40" ca="1">IFERROR(INDEX(_xlfn.ANCHORARRAY($AA$11),ROW()-10,1),"")</f>
        <v/>
      </c>
      <c r="B40" s="20" t="str" cm="1">
        <f t="array" aca="1" ref="B40" ca="1">IFERROR(INDEX(_xlfn.ANCHORARRAY($AA$11),ROW()-10,2),"")</f>
        <v/>
      </c>
      <c r="C40" s="4" t="str" cm="1">
        <f t="array" aca="1" ref="C40" ca="1">IFERROR(INDEX(_xlfn.ANCHORARRAY($AA$11),ROW()-10,3),"")</f>
        <v/>
      </c>
      <c r="D40" s="15" t="str" cm="1">
        <f t="array" aca="1" ref="D40" ca="1">IFERROR(INDEX(_xlfn.ANCHORARRAY($AA$11),ROW()-10,4),"")</f>
        <v/>
      </c>
      <c r="E40" s="4" t="str" cm="1">
        <f t="array" aca="1" ref="E40" ca="1">IFERROR(INDEX(_xlfn.ANCHORARRAY($AA$11),ROW()-10,5),"")</f>
        <v/>
      </c>
      <c r="F40" s="15" t="str" cm="1">
        <f t="array" aca="1" ref="F40" ca="1">IFERROR(INDEX(_xlfn.ANCHORARRAY($AA$11),ROW()-10,6),"")</f>
        <v/>
      </c>
      <c r="G40" s="4" t="str" cm="1">
        <f t="array" aca="1" ref="G40" ca="1">IFERROR(INDEX(_xlfn.ANCHORARRAY($AA$11),ROW()-10,7),"")</f>
        <v/>
      </c>
      <c r="H40" s="4" t="str" cm="1">
        <f t="array" aca="1" ref="H40" ca="1">IFERROR(INDEX(_xlfn.ANCHORARRAY($AA$11),ROW()-10,8),"")</f>
        <v/>
      </c>
      <c r="I40" s="4" t="str" cm="1">
        <f t="array" aca="1" ref="I40" ca="1">IFERROR(INDEX(_xlfn.ANCHORARRAY($AA$11),ROW()-10,9),"")</f>
        <v/>
      </c>
      <c r="J40" s="4" t="str">
        <f t="shared" ca="1" si="0"/>
        <v/>
      </c>
      <c r="K40" s="4" t="str">
        <f t="shared" ca="1" si="1"/>
        <v/>
      </c>
      <c r="L40" s="4" t="str" cm="1">
        <f t="array" aca="1" ref="L40" ca="1">_xlfn.LET(_xlpm.link,IFERROR(INDEX(_xlfn.ANCHORARRAY($AA$11),ROW()-10,12),""),IF(_xlpm.link="","",HYPERLINK(_xlpm.link,"Bluecore/Attentive")))</f>
        <v/>
      </c>
      <c r="M40" s="58" t="str">
        <f t="shared" ca="1" si="2"/>
        <v/>
      </c>
      <c r="N40"/>
      <c r="O40"/>
      <c r="P40"/>
      <c r="Q40"/>
      <c r="R40"/>
      <c r="S40"/>
      <c r="T40" s="6"/>
      <c r="U40" s="6"/>
      <c r="V40" s="6"/>
      <c r="W40" s="6"/>
      <c r="X40" s="6"/>
      <c r="Y40" s="6"/>
      <c r="Z40" s="6"/>
      <c r="AA40" s="32"/>
      <c r="AB40"/>
      <c r="AC40"/>
      <c r="AD40"/>
      <c r="AE40"/>
      <c r="AF40"/>
      <c r="AG40"/>
      <c r="AH40"/>
      <c r="AI40"/>
      <c r="AJ40"/>
      <c r="AK40"/>
      <c r="AL40"/>
    </row>
    <row r="41" spans="1:38">
      <c r="A41" s="34" t="str" cm="1">
        <f t="array" aca="1" ref="A41" ca="1">IFERROR(INDEX(_xlfn.ANCHORARRAY($AA$11),ROW()-10,1),"")</f>
        <v/>
      </c>
      <c r="B41" s="20" t="str" cm="1">
        <f t="array" aca="1" ref="B41" ca="1">IFERROR(INDEX(_xlfn.ANCHORARRAY($AA$11),ROW()-10,2),"")</f>
        <v/>
      </c>
      <c r="C41" s="4" t="str" cm="1">
        <f t="array" aca="1" ref="C41" ca="1">IFERROR(INDEX(_xlfn.ANCHORARRAY($AA$11),ROW()-10,3),"")</f>
        <v/>
      </c>
      <c r="D41" s="15" t="str" cm="1">
        <f t="array" aca="1" ref="D41" ca="1">IFERROR(INDEX(_xlfn.ANCHORARRAY($AA$11),ROW()-10,4),"")</f>
        <v/>
      </c>
      <c r="E41" s="4" t="str" cm="1">
        <f t="array" aca="1" ref="E41" ca="1">IFERROR(INDEX(_xlfn.ANCHORARRAY($AA$11),ROW()-10,5),"")</f>
        <v/>
      </c>
      <c r="F41" s="15" t="str" cm="1">
        <f t="array" aca="1" ref="F41" ca="1">IFERROR(INDEX(_xlfn.ANCHORARRAY($AA$11),ROW()-10,6),"")</f>
        <v/>
      </c>
      <c r="G41" s="4" t="str" cm="1">
        <f t="array" aca="1" ref="G41" ca="1">IFERROR(INDEX(_xlfn.ANCHORARRAY($AA$11),ROW()-10,7),"")</f>
        <v/>
      </c>
      <c r="H41" s="4" t="str" cm="1">
        <f t="array" aca="1" ref="H41" ca="1">IFERROR(INDEX(_xlfn.ANCHORARRAY($AA$11),ROW()-10,8),"")</f>
        <v/>
      </c>
      <c r="I41" s="4" t="str" cm="1">
        <f t="array" aca="1" ref="I41" ca="1">IFERROR(INDEX(_xlfn.ANCHORARRAY($AA$11),ROW()-10,9),"")</f>
        <v/>
      </c>
      <c r="J41" s="4" t="str">
        <f t="shared" ca="1" si="0"/>
        <v/>
      </c>
      <c r="K41" s="4" t="str">
        <f t="shared" ca="1" si="1"/>
        <v/>
      </c>
      <c r="L41" s="4" t="str" cm="1">
        <f t="array" aca="1" ref="L41" ca="1">_xlfn.LET(_xlpm.link,IFERROR(INDEX(_xlfn.ANCHORARRAY($AA$11),ROW()-10,12),""),IF(_xlpm.link="","",HYPERLINK(_xlpm.link,"Bluecore/Attentive")))</f>
        <v/>
      </c>
      <c r="M41" s="57" t="str">
        <f t="shared" ca="1" si="2"/>
        <v/>
      </c>
      <c r="N41"/>
      <c r="O41"/>
      <c r="P41"/>
      <c r="Q41"/>
      <c r="R41"/>
      <c r="S41"/>
      <c r="T41" s="6"/>
      <c r="U41" s="6"/>
      <c r="V41" s="6"/>
      <c r="W41" s="6"/>
      <c r="X41" s="6"/>
      <c r="Y41" s="6"/>
      <c r="Z41" s="6"/>
      <c r="AA41" s="32"/>
      <c r="AB41"/>
      <c r="AC41"/>
      <c r="AD41"/>
      <c r="AE41"/>
      <c r="AF41"/>
      <c r="AG41"/>
      <c r="AH41"/>
      <c r="AI41"/>
      <c r="AJ41"/>
      <c r="AK41"/>
      <c r="AL41"/>
    </row>
    <row r="42" spans="1:38">
      <c r="A42" s="34" t="str" cm="1">
        <f t="array" aca="1" ref="A42" ca="1">IFERROR(INDEX(_xlfn.ANCHORARRAY($AA$11),ROW()-10,1),"")</f>
        <v/>
      </c>
      <c r="B42" s="20" t="str" cm="1">
        <f t="array" aca="1" ref="B42" ca="1">IFERROR(INDEX(_xlfn.ANCHORARRAY($AA$11),ROW()-10,2),"")</f>
        <v/>
      </c>
      <c r="C42" s="4" t="str" cm="1">
        <f t="array" aca="1" ref="C42" ca="1">IFERROR(INDEX(_xlfn.ANCHORARRAY($AA$11),ROW()-10,3),"")</f>
        <v/>
      </c>
      <c r="D42" s="15" t="str" cm="1">
        <f t="array" aca="1" ref="D42" ca="1">IFERROR(INDEX(_xlfn.ANCHORARRAY($AA$11),ROW()-10,4),"")</f>
        <v/>
      </c>
      <c r="E42" s="4" t="str" cm="1">
        <f t="array" aca="1" ref="E42" ca="1">IFERROR(INDEX(_xlfn.ANCHORARRAY($AA$11),ROW()-10,5),"")</f>
        <v/>
      </c>
      <c r="F42" s="15" t="str" cm="1">
        <f t="array" aca="1" ref="F42" ca="1">IFERROR(INDEX(_xlfn.ANCHORARRAY($AA$11),ROW()-10,6),"")</f>
        <v/>
      </c>
      <c r="G42" s="4" t="str" cm="1">
        <f t="array" aca="1" ref="G42" ca="1">IFERROR(INDEX(_xlfn.ANCHORARRAY($AA$11),ROW()-10,7),"")</f>
        <v/>
      </c>
      <c r="H42" s="4" t="str" cm="1">
        <f t="array" aca="1" ref="H42" ca="1">IFERROR(INDEX(_xlfn.ANCHORARRAY($AA$11),ROW()-10,8),"")</f>
        <v/>
      </c>
      <c r="I42" s="4" t="str" cm="1">
        <f t="array" aca="1" ref="I42" ca="1">IFERROR(INDEX(_xlfn.ANCHORARRAY($AA$11),ROW()-10,9),"")</f>
        <v/>
      </c>
      <c r="J42" s="4" t="str">
        <f t="shared" ca="1" si="0"/>
        <v/>
      </c>
      <c r="K42" s="4" t="str">
        <f t="shared" ca="1" si="1"/>
        <v/>
      </c>
      <c r="L42" s="4" t="str" cm="1">
        <f t="array" aca="1" ref="L42" ca="1">_xlfn.LET(_xlpm.link,IFERROR(INDEX(_xlfn.ANCHORARRAY($AA$11),ROW()-10,12),""),IF(_xlpm.link="","",HYPERLINK(_xlpm.link,"Bluecore/Attentive")))</f>
        <v/>
      </c>
      <c r="M42" s="58" t="str">
        <f t="shared" ca="1" si="2"/>
        <v/>
      </c>
      <c r="N42"/>
      <c r="O42"/>
      <c r="P42"/>
      <c r="Q42"/>
      <c r="R42"/>
      <c r="S42"/>
      <c r="T42" s="6"/>
      <c r="U42" s="6"/>
      <c r="V42" s="6"/>
      <c r="W42" s="6"/>
      <c r="X42" s="6"/>
      <c r="Y42" s="6"/>
      <c r="Z42" s="6"/>
      <c r="AA42" s="32"/>
      <c r="AB42"/>
      <c r="AC42"/>
      <c r="AD42"/>
      <c r="AE42"/>
      <c r="AF42"/>
      <c r="AG42"/>
      <c r="AH42"/>
      <c r="AI42"/>
      <c r="AJ42"/>
      <c r="AK42"/>
      <c r="AL42"/>
    </row>
    <row r="43" spans="1:38">
      <c r="A43" s="34" t="str" cm="1">
        <f t="array" aca="1" ref="A43" ca="1">IFERROR(INDEX(_xlfn.ANCHORARRAY($AA$11),ROW()-10,1),"")</f>
        <v/>
      </c>
      <c r="B43" s="20" t="str" cm="1">
        <f t="array" aca="1" ref="B43" ca="1">IFERROR(INDEX(_xlfn.ANCHORARRAY($AA$11),ROW()-10,2),"")</f>
        <v/>
      </c>
      <c r="C43" s="4" t="str" cm="1">
        <f t="array" aca="1" ref="C43" ca="1">IFERROR(INDEX(_xlfn.ANCHORARRAY($AA$11),ROW()-10,3),"")</f>
        <v/>
      </c>
      <c r="D43" s="15" t="str" cm="1">
        <f t="array" aca="1" ref="D43" ca="1">IFERROR(INDEX(_xlfn.ANCHORARRAY($AA$11),ROW()-10,4),"")</f>
        <v/>
      </c>
      <c r="E43" s="4" t="str" cm="1">
        <f t="array" aca="1" ref="E43" ca="1">IFERROR(INDEX(_xlfn.ANCHORARRAY($AA$11),ROW()-10,5),"")</f>
        <v/>
      </c>
      <c r="F43" s="15" t="str" cm="1">
        <f t="array" aca="1" ref="F43" ca="1">IFERROR(INDEX(_xlfn.ANCHORARRAY($AA$11),ROW()-10,6),"")</f>
        <v/>
      </c>
      <c r="G43" s="4" t="str" cm="1">
        <f t="array" aca="1" ref="G43" ca="1">IFERROR(INDEX(_xlfn.ANCHORARRAY($AA$11),ROW()-10,7),"")</f>
        <v/>
      </c>
      <c r="H43" s="4" t="str" cm="1">
        <f t="array" aca="1" ref="H43" ca="1">IFERROR(INDEX(_xlfn.ANCHORARRAY($AA$11),ROW()-10,8),"")</f>
        <v/>
      </c>
      <c r="I43" s="4" t="str" cm="1">
        <f t="array" aca="1" ref="I43" ca="1">IFERROR(INDEX(_xlfn.ANCHORARRAY($AA$11),ROW()-10,9),"")</f>
        <v/>
      </c>
      <c r="J43" s="4" t="str">
        <f t="shared" ref="J43:J74" ca="1" si="3">_xlfn.LET(_xlpm.ch,IFERROR(INDEX(_xlfn.ANCHORARRAY($AA$11),ROW()-10,3),""),_xlpm.link,IFERROR(INDEX(_xlfn.ANCHORARRAY($AA$11),ROW()-10,10),""),IF(OR(_xlpm.link="",_xlpm.ch="SMS"),"",HYPERLINK(_xlpm.link,"JIRA")))</f>
        <v/>
      </c>
      <c r="K43" s="4" t="str">
        <f t="shared" ref="K43:K74" ca="1" si="4">_xlfn.LET(_xlpm.ch,IFERROR(INDEX(_xlfn.ANCHORARRAY($AA$11),ROW()-10,3),""),_xlpm.link,IFERROR(INDEX(_xlfn.ANCHORARRAY($AA$11),ROW()-10,11),""),IF(OR(_xlpm.link="",_xlpm.ch="SMS"),"",HYPERLINK(_xlpm.link,"ClickUp")))</f>
        <v/>
      </c>
      <c r="L43" s="4" t="str" cm="1">
        <f t="array" aca="1" ref="L43" ca="1">_xlfn.LET(_xlpm.link,IFERROR(INDEX(_xlfn.ANCHORARRAY($AA$11),ROW()-10,12),""),IF(_xlpm.link="","",HYPERLINK(_xlpm.link,"Bluecore/Attentive")))</f>
        <v/>
      </c>
      <c r="M43" s="57" t="str">
        <f t="shared" ref="M43:M74" ca="1" si="5">_xlfn.LET(_xlpm.sendDate,$A43,_xlpm.camp,$D43&amp;"",_xlpm.code,LEFT(_xlpm.camp,6),_xlpm.parsed,IFERROR(DATE(2000+VALUE(MID(_xlpm.code,5,2)),VALUE(LEFT(_xlpm.code,2)),VALUE(MID(_xlpm.code,3,2))),""),_xlpm.useDate,IF(_xlpm.parsed="",IF(ISNUMBER(_xlpm.sendDate),INT(_xlpm.sendDate),""),_xlpm.parsed),IF(_xlpm.useDate="","","Week "&amp;WEEKNUM(_xlpm.useDate,1)))</f>
        <v/>
      </c>
      <c r="N43"/>
      <c r="O43"/>
      <c r="P43"/>
      <c r="Q43"/>
      <c r="R43"/>
      <c r="S43"/>
      <c r="T43" s="6"/>
      <c r="U43" s="6"/>
      <c r="V43" s="6"/>
      <c r="W43" s="6"/>
      <c r="X43" s="6"/>
      <c r="Y43" s="6"/>
      <c r="Z43" s="6"/>
      <c r="AA43" s="32"/>
      <c r="AB43"/>
      <c r="AC43"/>
      <c r="AD43"/>
      <c r="AE43"/>
      <c r="AF43"/>
      <c r="AG43"/>
      <c r="AH43"/>
      <c r="AI43"/>
      <c r="AJ43"/>
      <c r="AK43"/>
      <c r="AL43"/>
    </row>
    <row r="44" spans="1:38">
      <c r="A44" s="34" t="str" cm="1">
        <f t="array" aca="1" ref="A44" ca="1">IFERROR(INDEX(_xlfn.ANCHORARRAY($AA$11),ROW()-10,1),"")</f>
        <v/>
      </c>
      <c r="B44" s="20" t="str" cm="1">
        <f t="array" aca="1" ref="B44" ca="1">IFERROR(INDEX(_xlfn.ANCHORARRAY($AA$11),ROW()-10,2),"")</f>
        <v/>
      </c>
      <c r="C44" s="4" t="str" cm="1">
        <f t="array" aca="1" ref="C44" ca="1">IFERROR(INDEX(_xlfn.ANCHORARRAY($AA$11),ROW()-10,3),"")</f>
        <v/>
      </c>
      <c r="D44" s="15" t="str" cm="1">
        <f t="array" aca="1" ref="D44" ca="1">IFERROR(INDEX(_xlfn.ANCHORARRAY($AA$11),ROW()-10,4),"")</f>
        <v/>
      </c>
      <c r="E44" s="4" t="str" cm="1">
        <f t="array" aca="1" ref="E44" ca="1">IFERROR(INDEX(_xlfn.ANCHORARRAY($AA$11),ROW()-10,5),"")</f>
        <v/>
      </c>
      <c r="F44" s="15" t="str" cm="1">
        <f t="array" aca="1" ref="F44" ca="1">IFERROR(INDEX(_xlfn.ANCHORARRAY($AA$11),ROW()-10,6),"")</f>
        <v/>
      </c>
      <c r="G44" s="4" t="str" cm="1">
        <f t="array" aca="1" ref="G44" ca="1">IFERROR(INDEX(_xlfn.ANCHORARRAY($AA$11),ROW()-10,7),"")</f>
        <v/>
      </c>
      <c r="H44" s="4" t="str" cm="1">
        <f t="array" aca="1" ref="H44" ca="1">IFERROR(INDEX(_xlfn.ANCHORARRAY($AA$11),ROW()-10,8),"")</f>
        <v/>
      </c>
      <c r="I44" s="4" t="str" cm="1">
        <f t="array" aca="1" ref="I44" ca="1">IFERROR(INDEX(_xlfn.ANCHORARRAY($AA$11),ROW()-10,9),"")</f>
        <v/>
      </c>
      <c r="J44" s="4" t="str">
        <f t="shared" ca="1" si="3"/>
        <v/>
      </c>
      <c r="K44" s="4" t="str">
        <f t="shared" ca="1" si="4"/>
        <v/>
      </c>
      <c r="L44" s="4" t="str" cm="1">
        <f t="array" aca="1" ref="L44" ca="1">_xlfn.LET(_xlpm.link,IFERROR(INDEX(_xlfn.ANCHORARRAY($AA$11),ROW()-10,12),""),IF(_xlpm.link="","",HYPERLINK(_xlpm.link,"Bluecore/Attentive")))</f>
        <v/>
      </c>
      <c r="M44" s="58" t="str">
        <f t="shared" ca="1" si="5"/>
        <v/>
      </c>
      <c r="N44"/>
      <c r="O44"/>
      <c r="P44"/>
      <c r="Q44"/>
      <c r="R44"/>
      <c r="S44"/>
      <c r="T44" s="6"/>
      <c r="U44" s="6"/>
      <c r="V44" s="6"/>
      <c r="W44" s="6"/>
      <c r="X44" s="6"/>
      <c r="Y44" s="6"/>
      <c r="Z44" s="6"/>
      <c r="AA44" s="32"/>
      <c r="AB44"/>
      <c r="AC44"/>
      <c r="AD44"/>
      <c r="AE44"/>
      <c r="AF44"/>
      <c r="AG44"/>
      <c r="AH44"/>
      <c r="AI44"/>
      <c r="AJ44"/>
      <c r="AK44"/>
      <c r="AL44"/>
    </row>
    <row r="45" spans="1:38">
      <c r="A45" s="34" t="str" cm="1">
        <f t="array" aca="1" ref="A45" ca="1">IFERROR(INDEX(_xlfn.ANCHORARRAY($AA$11),ROW()-10,1),"")</f>
        <v/>
      </c>
      <c r="B45" s="20" t="str" cm="1">
        <f t="array" aca="1" ref="B45" ca="1">IFERROR(INDEX(_xlfn.ANCHORARRAY($AA$11),ROW()-10,2),"")</f>
        <v/>
      </c>
      <c r="C45" s="4" t="str" cm="1">
        <f t="array" aca="1" ref="C45" ca="1">IFERROR(INDEX(_xlfn.ANCHORARRAY($AA$11),ROW()-10,3),"")</f>
        <v/>
      </c>
      <c r="D45" s="15" t="str" cm="1">
        <f t="array" aca="1" ref="D45" ca="1">IFERROR(INDEX(_xlfn.ANCHORARRAY($AA$11),ROW()-10,4),"")</f>
        <v/>
      </c>
      <c r="E45" s="4" t="str" cm="1">
        <f t="array" aca="1" ref="E45" ca="1">IFERROR(INDEX(_xlfn.ANCHORARRAY($AA$11),ROW()-10,5),"")</f>
        <v/>
      </c>
      <c r="F45" s="15" t="str" cm="1">
        <f t="array" aca="1" ref="F45" ca="1">IFERROR(INDEX(_xlfn.ANCHORARRAY($AA$11),ROW()-10,6),"")</f>
        <v/>
      </c>
      <c r="G45" s="4" t="str" cm="1">
        <f t="array" aca="1" ref="G45" ca="1">IFERROR(INDEX(_xlfn.ANCHORARRAY($AA$11),ROW()-10,7),"")</f>
        <v/>
      </c>
      <c r="H45" s="4" t="str" cm="1">
        <f t="array" aca="1" ref="H45" ca="1">IFERROR(INDEX(_xlfn.ANCHORARRAY($AA$11),ROW()-10,8),"")</f>
        <v/>
      </c>
      <c r="I45" s="4" t="str" cm="1">
        <f t="array" aca="1" ref="I45" ca="1">IFERROR(INDEX(_xlfn.ANCHORARRAY($AA$11),ROW()-10,9),"")</f>
        <v/>
      </c>
      <c r="J45" s="4" t="str">
        <f t="shared" ca="1" si="3"/>
        <v/>
      </c>
      <c r="K45" s="4" t="str">
        <f t="shared" ca="1" si="4"/>
        <v/>
      </c>
      <c r="L45" s="4" t="str" cm="1">
        <f t="array" aca="1" ref="L45" ca="1">_xlfn.LET(_xlpm.link,IFERROR(INDEX(_xlfn.ANCHORARRAY($AA$11),ROW()-10,12),""),IF(_xlpm.link="","",HYPERLINK(_xlpm.link,"Bluecore/Attentive")))</f>
        <v/>
      </c>
      <c r="M45" s="57" t="str">
        <f t="shared" ca="1" si="5"/>
        <v/>
      </c>
      <c r="N45" s="7"/>
      <c r="O45" s="7"/>
      <c r="P45" s="7"/>
      <c r="Q45" s="7"/>
      <c r="R45" s="7"/>
      <c r="S45" s="6"/>
      <c r="T45" s="6"/>
      <c r="U45" s="6"/>
      <c r="V45" s="6"/>
      <c r="W45" s="6"/>
      <c r="X45" s="6"/>
      <c r="Y45" s="6"/>
      <c r="Z45" s="6"/>
      <c r="AA45" s="32"/>
      <c r="AB45"/>
      <c r="AC45"/>
      <c r="AD45"/>
      <c r="AE45"/>
      <c r="AF45"/>
      <c r="AG45"/>
      <c r="AH45"/>
      <c r="AI45"/>
      <c r="AJ45"/>
      <c r="AK45"/>
      <c r="AL45"/>
    </row>
    <row r="46" spans="1:38">
      <c r="A46" s="34" t="str" cm="1">
        <f t="array" aca="1" ref="A46" ca="1">IFERROR(INDEX(_xlfn.ANCHORARRAY($AA$11),ROW()-10,1),"")</f>
        <v/>
      </c>
      <c r="B46" s="20" t="str" cm="1">
        <f t="array" aca="1" ref="B46" ca="1">IFERROR(INDEX(_xlfn.ANCHORARRAY($AA$11),ROW()-10,2),"")</f>
        <v/>
      </c>
      <c r="C46" s="4" t="str" cm="1">
        <f t="array" aca="1" ref="C46" ca="1">IFERROR(INDEX(_xlfn.ANCHORARRAY($AA$11),ROW()-10,3),"")</f>
        <v/>
      </c>
      <c r="D46" s="15" t="str" cm="1">
        <f t="array" aca="1" ref="D46" ca="1">IFERROR(INDEX(_xlfn.ANCHORARRAY($AA$11),ROW()-10,4),"")</f>
        <v/>
      </c>
      <c r="E46" s="4" t="str" cm="1">
        <f t="array" aca="1" ref="E46" ca="1">IFERROR(INDEX(_xlfn.ANCHORARRAY($AA$11),ROW()-10,5),"")</f>
        <v/>
      </c>
      <c r="F46" s="15" t="str" cm="1">
        <f t="array" aca="1" ref="F46" ca="1">IFERROR(INDEX(_xlfn.ANCHORARRAY($AA$11),ROW()-10,6),"")</f>
        <v/>
      </c>
      <c r="G46" s="4" t="str" cm="1">
        <f t="array" aca="1" ref="G46" ca="1">IFERROR(INDEX(_xlfn.ANCHORARRAY($AA$11),ROW()-10,7),"")</f>
        <v/>
      </c>
      <c r="H46" s="4" t="str" cm="1">
        <f t="array" aca="1" ref="H46" ca="1">IFERROR(INDEX(_xlfn.ANCHORARRAY($AA$11),ROW()-10,8),"")</f>
        <v/>
      </c>
      <c r="I46" s="4" t="str" cm="1">
        <f t="array" aca="1" ref="I46" ca="1">IFERROR(INDEX(_xlfn.ANCHORARRAY($AA$11),ROW()-10,9),"")</f>
        <v/>
      </c>
      <c r="J46" s="4" t="str">
        <f t="shared" ca="1" si="3"/>
        <v/>
      </c>
      <c r="K46" s="4" t="str">
        <f t="shared" ca="1" si="4"/>
        <v/>
      </c>
      <c r="L46" s="4" t="str" cm="1">
        <f t="array" aca="1" ref="L46" ca="1">_xlfn.LET(_xlpm.link,IFERROR(INDEX(_xlfn.ANCHORARRAY($AA$11),ROW()-10,12),""),IF(_xlpm.link="","",HYPERLINK(_xlpm.link,"Bluecore/Attentive")))</f>
        <v/>
      </c>
      <c r="M46" s="58" t="str">
        <f t="shared" ca="1" si="5"/>
        <v/>
      </c>
      <c r="N46" s="7"/>
      <c r="O46" s="7"/>
      <c r="P46" s="7"/>
      <c r="Q46" s="7"/>
      <c r="R46" s="7"/>
      <c r="S46" s="6"/>
      <c r="T46" s="6"/>
      <c r="U46" s="6"/>
      <c r="V46" s="6"/>
      <c r="W46" s="6"/>
      <c r="X46" s="6"/>
      <c r="Y46" s="6"/>
      <c r="Z46" s="6"/>
      <c r="AA46" s="32"/>
      <c r="AB46"/>
      <c r="AC46"/>
      <c r="AD46"/>
      <c r="AE46"/>
      <c r="AF46"/>
      <c r="AG46"/>
      <c r="AH46"/>
      <c r="AI46"/>
      <c r="AJ46"/>
      <c r="AK46"/>
      <c r="AL46"/>
    </row>
    <row r="47" spans="1:38">
      <c r="A47" s="34" t="str" cm="1">
        <f t="array" aca="1" ref="A47" ca="1">IFERROR(INDEX(_xlfn.ANCHORARRAY($AA$11),ROW()-10,1),"")</f>
        <v/>
      </c>
      <c r="B47" s="20" t="str" cm="1">
        <f t="array" aca="1" ref="B47" ca="1">IFERROR(INDEX(_xlfn.ANCHORARRAY($AA$11),ROW()-10,2),"")</f>
        <v/>
      </c>
      <c r="C47" s="4" t="str" cm="1">
        <f t="array" aca="1" ref="C47" ca="1">IFERROR(INDEX(_xlfn.ANCHORARRAY($AA$11),ROW()-10,3),"")</f>
        <v/>
      </c>
      <c r="D47" s="15" t="str" cm="1">
        <f t="array" aca="1" ref="D47" ca="1">IFERROR(INDEX(_xlfn.ANCHORARRAY($AA$11),ROW()-10,4),"")</f>
        <v/>
      </c>
      <c r="E47" s="4" t="str" cm="1">
        <f t="array" aca="1" ref="E47" ca="1">IFERROR(INDEX(_xlfn.ANCHORARRAY($AA$11),ROW()-10,5),"")</f>
        <v/>
      </c>
      <c r="F47" s="15" t="str" cm="1">
        <f t="array" aca="1" ref="F47" ca="1">IFERROR(INDEX(_xlfn.ANCHORARRAY($AA$11),ROW()-10,6),"")</f>
        <v/>
      </c>
      <c r="G47" s="4" t="str" cm="1">
        <f t="array" aca="1" ref="G47" ca="1">IFERROR(INDEX(_xlfn.ANCHORARRAY($AA$11),ROW()-10,7),"")</f>
        <v/>
      </c>
      <c r="H47" s="4" t="str" cm="1">
        <f t="array" aca="1" ref="H47" ca="1">IFERROR(INDEX(_xlfn.ANCHORARRAY($AA$11),ROW()-10,8),"")</f>
        <v/>
      </c>
      <c r="I47" s="4" t="str" cm="1">
        <f t="array" aca="1" ref="I47" ca="1">IFERROR(INDEX(_xlfn.ANCHORARRAY($AA$11),ROW()-10,9),"")</f>
        <v/>
      </c>
      <c r="J47" s="4" t="str">
        <f t="shared" ca="1" si="3"/>
        <v/>
      </c>
      <c r="K47" s="4" t="str">
        <f t="shared" ca="1" si="4"/>
        <v/>
      </c>
      <c r="L47" s="4" t="str" cm="1">
        <f t="array" aca="1" ref="L47" ca="1">_xlfn.LET(_xlpm.link,IFERROR(INDEX(_xlfn.ANCHORARRAY($AA$11),ROW()-10,12),""),IF(_xlpm.link="","",HYPERLINK(_xlpm.link,"Bluecore/Attentive")))</f>
        <v/>
      </c>
      <c r="M47" s="57" t="str">
        <f t="shared" ca="1" si="5"/>
        <v/>
      </c>
      <c r="N47" s="7"/>
      <c r="O47" s="7"/>
      <c r="P47" s="7"/>
      <c r="Q47" s="7"/>
      <c r="R47" s="7"/>
      <c r="S47" s="6"/>
      <c r="T47" s="6"/>
      <c r="U47" s="6"/>
      <c r="V47" s="6"/>
      <c r="W47" s="6"/>
      <c r="X47" s="6"/>
      <c r="Y47" s="6"/>
      <c r="Z47" s="6"/>
      <c r="AA47" s="32"/>
      <c r="AB47"/>
      <c r="AC47"/>
      <c r="AD47"/>
      <c r="AE47"/>
      <c r="AF47"/>
      <c r="AG47"/>
      <c r="AH47"/>
      <c r="AI47"/>
      <c r="AJ47"/>
      <c r="AK47"/>
      <c r="AL47"/>
    </row>
    <row r="48" spans="1:38">
      <c r="A48" s="34" t="str" cm="1">
        <f t="array" aca="1" ref="A48" ca="1">IFERROR(INDEX(_xlfn.ANCHORARRAY($AA$11),ROW()-10,1),"")</f>
        <v/>
      </c>
      <c r="B48" s="20" t="str" cm="1">
        <f t="array" aca="1" ref="B48" ca="1">IFERROR(INDEX(_xlfn.ANCHORARRAY($AA$11),ROW()-10,2),"")</f>
        <v/>
      </c>
      <c r="C48" s="4" t="str" cm="1">
        <f t="array" aca="1" ref="C48" ca="1">IFERROR(INDEX(_xlfn.ANCHORARRAY($AA$11),ROW()-10,3),"")</f>
        <v/>
      </c>
      <c r="D48" s="15" t="str" cm="1">
        <f t="array" aca="1" ref="D48" ca="1">IFERROR(INDEX(_xlfn.ANCHORARRAY($AA$11),ROW()-10,4),"")</f>
        <v/>
      </c>
      <c r="E48" s="4" t="str" cm="1">
        <f t="array" aca="1" ref="E48" ca="1">IFERROR(INDEX(_xlfn.ANCHORARRAY($AA$11),ROW()-10,5),"")</f>
        <v/>
      </c>
      <c r="F48" s="15" t="str" cm="1">
        <f t="array" aca="1" ref="F48" ca="1">IFERROR(INDEX(_xlfn.ANCHORARRAY($AA$11),ROW()-10,6),"")</f>
        <v/>
      </c>
      <c r="G48" s="4" t="str" cm="1">
        <f t="array" aca="1" ref="G48" ca="1">IFERROR(INDEX(_xlfn.ANCHORARRAY($AA$11),ROW()-10,7),"")</f>
        <v/>
      </c>
      <c r="H48" s="4" t="str" cm="1">
        <f t="array" aca="1" ref="H48" ca="1">IFERROR(INDEX(_xlfn.ANCHORARRAY($AA$11),ROW()-10,8),"")</f>
        <v/>
      </c>
      <c r="I48" s="4" t="str" cm="1">
        <f t="array" aca="1" ref="I48" ca="1">IFERROR(INDEX(_xlfn.ANCHORARRAY($AA$11),ROW()-10,9),"")</f>
        <v/>
      </c>
      <c r="J48" s="4" t="str">
        <f t="shared" ca="1" si="3"/>
        <v/>
      </c>
      <c r="K48" s="4" t="str">
        <f t="shared" ca="1" si="4"/>
        <v/>
      </c>
      <c r="L48" s="4" t="str" cm="1">
        <f t="array" aca="1" ref="L48" ca="1">_xlfn.LET(_xlpm.link,IFERROR(INDEX(_xlfn.ANCHORARRAY($AA$11),ROW()-10,12),""),IF(_xlpm.link="","",HYPERLINK(_xlpm.link,"Bluecore/Attentive")))</f>
        <v/>
      </c>
      <c r="M48" s="58" t="str">
        <f t="shared" ca="1" si="5"/>
        <v/>
      </c>
      <c r="N48" s="7"/>
      <c r="O48" s="7"/>
      <c r="P48" s="7"/>
      <c r="Q48" s="7"/>
      <c r="R48" s="7"/>
      <c r="S48" s="6"/>
      <c r="T48" s="6"/>
      <c r="U48" s="6"/>
      <c r="V48" s="6"/>
      <c r="W48" s="6"/>
      <c r="X48" s="6"/>
      <c r="Y48" s="6"/>
      <c r="Z48" s="6"/>
      <c r="AA48" s="32"/>
      <c r="AB48"/>
      <c r="AC48"/>
      <c r="AD48"/>
      <c r="AE48"/>
      <c r="AF48"/>
      <c r="AG48"/>
      <c r="AH48"/>
      <c r="AI48"/>
      <c r="AJ48"/>
      <c r="AK48"/>
      <c r="AL48"/>
    </row>
    <row r="49" spans="1:38">
      <c r="A49" s="34" t="str" cm="1">
        <f t="array" aca="1" ref="A49" ca="1">IFERROR(INDEX(_xlfn.ANCHORARRAY($AA$11),ROW()-10,1),"")</f>
        <v/>
      </c>
      <c r="B49" s="20" t="str" cm="1">
        <f t="array" aca="1" ref="B49" ca="1">IFERROR(INDEX(_xlfn.ANCHORARRAY($AA$11),ROW()-10,2),"")</f>
        <v/>
      </c>
      <c r="C49" s="4" t="str" cm="1">
        <f t="array" aca="1" ref="C49" ca="1">IFERROR(INDEX(_xlfn.ANCHORARRAY($AA$11),ROW()-10,3),"")</f>
        <v/>
      </c>
      <c r="D49" s="15" t="str" cm="1">
        <f t="array" aca="1" ref="D49" ca="1">IFERROR(INDEX(_xlfn.ANCHORARRAY($AA$11),ROW()-10,4),"")</f>
        <v/>
      </c>
      <c r="E49" s="4" t="str" cm="1">
        <f t="array" aca="1" ref="E49" ca="1">IFERROR(INDEX(_xlfn.ANCHORARRAY($AA$11),ROW()-10,5),"")</f>
        <v/>
      </c>
      <c r="F49" s="15" t="str" cm="1">
        <f t="array" aca="1" ref="F49" ca="1">IFERROR(INDEX(_xlfn.ANCHORARRAY($AA$11),ROW()-10,6),"")</f>
        <v/>
      </c>
      <c r="G49" s="4" t="str" cm="1">
        <f t="array" aca="1" ref="G49" ca="1">IFERROR(INDEX(_xlfn.ANCHORARRAY($AA$11),ROW()-10,7),"")</f>
        <v/>
      </c>
      <c r="H49" s="4" t="str" cm="1">
        <f t="array" aca="1" ref="H49" ca="1">IFERROR(INDEX(_xlfn.ANCHORARRAY($AA$11),ROW()-10,8),"")</f>
        <v/>
      </c>
      <c r="I49" s="4" t="str" cm="1">
        <f t="array" aca="1" ref="I49" ca="1">IFERROR(INDEX(_xlfn.ANCHORARRAY($AA$11),ROW()-10,9),"")</f>
        <v/>
      </c>
      <c r="J49" s="4" t="str">
        <f t="shared" ca="1" si="3"/>
        <v/>
      </c>
      <c r="K49" s="4" t="str">
        <f t="shared" ca="1" si="4"/>
        <v/>
      </c>
      <c r="L49" s="4" t="str" cm="1">
        <f t="array" aca="1" ref="L49" ca="1">_xlfn.LET(_xlpm.link,IFERROR(INDEX(_xlfn.ANCHORARRAY($AA$11),ROW()-10,12),""),IF(_xlpm.link="","",HYPERLINK(_xlpm.link,"Bluecore/Attentive")))</f>
        <v/>
      </c>
      <c r="M49" s="57" t="str">
        <f t="shared" ca="1" si="5"/>
        <v/>
      </c>
      <c r="N49" s="7"/>
      <c r="O49" s="7"/>
      <c r="P49" s="7"/>
      <c r="Q49" s="7"/>
      <c r="R49" s="7"/>
      <c r="S49" s="6"/>
      <c r="T49" s="6"/>
      <c r="U49" s="6"/>
      <c r="V49" s="6"/>
      <c r="W49" s="6"/>
      <c r="X49" s="6"/>
      <c r="Y49" s="6"/>
      <c r="Z49" s="6"/>
      <c r="AA49" s="32"/>
      <c r="AB49"/>
      <c r="AC49"/>
      <c r="AD49"/>
      <c r="AE49"/>
      <c r="AF49"/>
      <c r="AG49"/>
      <c r="AH49"/>
      <c r="AI49"/>
      <c r="AJ49"/>
      <c r="AK49"/>
      <c r="AL49"/>
    </row>
    <row r="50" spans="1:38">
      <c r="A50" s="34" t="str" cm="1">
        <f t="array" aca="1" ref="A50" ca="1">IFERROR(INDEX(_xlfn.ANCHORARRAY($AA$11),ROW()-10,1),"")</f>
        <v/>
      </c>
      <c r="B50" s="20" t="str" cm="1">
        <f t="array" aca="1" ref="B50" ca="1">IFERROR(INDEX(_xlfn.ANCHORARRAY($AA$11),ROW()-10,2),"")</f>
        <v/>
      </c>
      <c r="C50" s="4" t="str" cm="1">
        <f t="array" aca="1" ref="C50" ca="1">IFERROR(INDEX(_xlfn.ANCHORARRAY($AA$11),ROW()-10,3),"")</f>
        <v/>
      </c>
      <c r="D50" s="15" t="str" cm="1">
        <f t="array" aca="1" ref="D50" ca="1">IFERROR(INDEX(_xlfn.ANCHORARRAY($AA$11),ROW()-10,4),"")</f>
        <v/>
      </c>
      <c r="E50" s="4" t="str" cm="1">
        <f t="array" aca="1" ref="E50" ca="1">IFERROR(INDEX(_xlfn.ANCHORARRAY($AA$11),ROW()-10,5),"")</f>
        <v/>
      </c>
      <c r="F50" s="15" t="str" cm="1">
        <f t="array" aca="1" ref="F50" ca="1">IFERROR(INDEX(_xlfn.ANCHORARRAY($AA$11),ROW()-10,6),"")</f>
        <v/>
      </c>
      <c r="G50" s="4" t="str" cm="1">
        <f t="array" aca="1" ref="G50" ca="1">IFERROR(INDEX(_xlfn.ANCHORARRAY($AA$11),ROW()-10,7),"")</f>
        <v/>
      </c>
      <c r="H50" s="4" t="str" cm="1">
        <f t="array" aca="1" ref="H50" ca="1">IFERROR(INDEX(_xlfn.ANCHORARRAY($AA$11),ROW()-10,8),"")</f>
        <v/>
      </c>
      <c r="I50" s="4" t="str" cm="1">
        <f t="array" aca="1" ref="I50" ca="1">IFERROR(INDEX(_xlfn.ANCHORARRAY($AA$11),ROW()-10,9),"")</f>
        <v/>
      </c>
      <c r="J50" s="4" t="str">
        <f t="shared" ca="1" si="3"/>
        <v/>
      </c>
      <c r="K50" s="4" t="str">
        <f t="shared" ca="1" si="4"/>
        <v/>
      </c>
      <c r="L50" s="4" t="str" cm="1">
        <f t="array" aca="1" ref="L50" ca="1">_xlfn.LET(_xlpm.link,IFERROR(INDEX(_xlfn.ANCHORARRAY($AA$11),ROW()-10,12),""),IF(_xlpm.link="","",HYPERLINK(_xlpm.link,"Bluecore/Attentive")))</f>
        <v/>
      </c>
      <c r="M50" s="58" t="str">
        <f t="shared" ca="1" si="5"/>
        <v/>
      </c>
      <c r="N50" s="7"/>
      <c r="O50" s="7"/>
      <c r="P50" s="7"/>
      <c r="Q50" s="7"/>
      <c r="R50" s="7"/>
      <c r="S50" s="6"/>
      <c r="T50" s="6"/>
      <c r="U50" s="6"/>
      <c r="V50" s="6"/>
      <c r="W50" s="6"/>
      <c r="X50" s="6"/>
      <c r="Y50" s="6"/>
      <c r="Z50" s="6"/>
      <c r="AA50" s="32"/>
      <c r="AB50"/>
      <c r="AC50"/>
      <c r="AD50"/>
      <c r="AE50"/>
      <c r="AF50"/>
      <c r="AG50"/>
      <c r="AH50"/>
      <c r="AI50"/>
      <c r="AJ50"/>
      <c r="AK50"/>
      <c r="AL50"/>
    </row>
    <row r="51" spans="1:38">
      <c r="A51" s="34" t="str" cm="1">
        <f t="array" aca="1" ref="A51" ca="1">IFERROR(INDEX(_xlfn.ANCHORARRAY($AA$11),ROW()-10,1),"")</f>
        <v/>
      </c>
      <c r="B51" s="20" t="str" cm="1">
        <f t="array" aca="1" ref="B51" ca="1">IFERROR(INDEX(_xlfn.ANCHORARRAY($AA$11),ROW()-10,2),"")</f>
        <v/>
      </c>
      <c r="C51" s="4" t="str" cm="1">
        <f t="array" aca="1" ref="C51" ca="1">IFERROR(INDEX(_xlfn.ANCHORARRAY($AA$11),ROW()-10,3),"")</f>
        <v/>
      </c>
      <c r="D51" s="15" t="str" cm="1">
        <f t="array" aca="1" ref="D51" ca="1">IFERROR(INDEX(_xlfn.ANCHORARRAY($AA$11),ROW()-10,4),"")</f>
        <v/>
      </c>
      <c r="E51" s="4" t="str" cm="1">
        <f t="array" aca="1" ref="E51" ca="1">IFERROR(INDEX(_xlfn.ANCHORARRAY($AA$11),ROW()-10,5),"")</f>
        <v/>
      </c>
      <c r="F51" s="15" t="str" cm="1">
        <f t="array" aca="1" ref="F51" ca="1">IFERROR(INDEX(_xlfn.ANCHORARRAY($AA$11),ROW()-10,6),"")</f>
        <v/>
      </c>
      <c r="G51" s="4" t="str" cm="1">
        <f t="array" aca="1" ref="G51" ca="1">IFERROR(INDEX(_xlfn.ANCHORARRAY($AA$11),ROW()-10,7),"")</f>
        <v/>
      </c>
      <c r="H51" s="4" t="str" cm="1">
        <f t="array" aca="1" ref="H51" ca="1">IFERROR(INDEX(_xlfn.ANCHORARRAY($AA$11),ROW()-10,8),"")</f>
        <v/>
      </c>
      <c r="I51" s="4" t="str" cm="1">
        <f t="array" aca="1" ref="I51" ca="1">IFERROR(INDEX(_xlfn.ANCHORARRAY($AA$11),ROW()-10,9),"")</f>
        <v/>
      </c>
      <c r="J51" s="4" t="str">
        <f t="shared" ca="1" si="3"/>
        <v/>
      </c>
      <c r="K51" s="4" t="str">
        <f t="shared" ca="1" si="4"/>
        <v/>
      </c>
      <c r="L51" s="4" t="str" cm="1">
        <f t="array" aca="1" ref="L51" ca="1">_xlfn.LET(_xlpm.link,IFERROR(INDEX(_xlfn.ANCHORARRAY($AA$11),ROW()-10,12),""),IF(_xlpm.link="","",HYPERLINK(_xlpm.link,"Bluecore/Attentive")))</f>
        <v/>
      </c>
      <c r="M51" s="57" t="str">
        <f t="shared" ca="1" si="5"/>
        <v/>
      </c>
      <c r="N51" s="7"/>
      <c r="O51" s="7"/>
      <c r="P51" s="7"/>
      <c r="Q51" s="7"/>
      <c r="R51" s="7"/>
      <c r="S51" s="6"/>
      <c r="T51" s="6"/>
      <c r="U51" s="6"/>
      <c r="V51" s="6"/>
      <c r="W51" s="6"/>
      <c r="X51" s="6"/>
      <c r="Y51" s="6"/>
      <c r="Z51" s="6"/>
      <c r="AA51" s="32"/>
      <c r="AB51"/>
      <c r="AC51"/>
      <c r="AD51"/>
      <c r="AE51"/>
      <c r="AF51"/>
      <c r="AG51"/>
      <c r="AH51"/>
      <c r="AI51"/>
      <c r="AJ51"/>
      <c r="AK51"/>
      <c r="AL51"/>
    </row>
    <row r="52" spans="1:38">
      <c r="A52" s="34" t="str" cm="1">
        <f t="array" aca="1" ref="A52" ca="1">IFERROR(INDEX(_xlfn.ANCHORARRAY($AA$11),ROW()-10,1),"")</f>
        <v/>
      </c>
      <c r="B52" s="20" t="str" cm="1">
        <f t="array" aca="1" ref="B52" ca="1">IFERROR(INDEX(_xlfn.ANCHORARRAY($AA$11),ROW()-10,2),"")</f>
        <v/>
      </c>
      <c r="C52" s="4" t="str" cm="1">
        <f t="array" aca="1" ref="C52" ca="1">IFERROR(INDEX(_xlfn.ANCHORARRAY($AA$11),ROW()-10,3),"")</f>
        <v/>
      </c>
      <c r="D52" s="15" t="str" cm="1">
        <f t="array" aca="1" ref="D52" ca="1">IFERROR(INDEX(_xlfn.ANCHORARRAY($AA$11),ROW()-10,4),"")</f>
        <v/>
      </c>
      <c r="E52" s="4" t="str" cm="1">
        <f t="array" aca="1" ref="E52" ca="1">IFERROR(INDEX(_xlfn.ANCHORARRAY($AA$11),ROW()-10,5),"")</f>
        <v/>
      </c>
      <c r="F52" s="15" t="str" cm="1">
        <f t="array" aca="1" ref="F52" ca="1">IFERROR(INDEX(_xlfn.ANCHORARRAY($AA$11),ROW()-10,6),"")</f>
        <v/>
      </c>
      <c r="G52" s="4" t="str" cm="1">
        <f t="array" aca="1" ref="G52" ca="1">IFERROR(INDEX(_xlfn.ANCHORARRAY($AA$11),ROW()-10,7),"")</f>
        <v/>
      </c>
      <c r="H52" s="4" t="str" cm="1">
        <f t="array" aca="1" ref="H52" ca="1">IFERROR(INDEX(_xlfn.ANCHORARRAY($AA$11),ROW()-10,8),"")</f>
        <v/>
      </c>
      <c r="I52" s="4" t="str" cm="1">
        <f t="array" aca="1" ref="I52" ca="1">IFERROR(INDEX(_xlfn.ANCHORARRAY($AA$11),ROW()-10,9),"")</f>
        <v/>
      </c>
      <c r="J52" s="4" t="str">
        <f t="shared" ca="1" si="3"/>
        <v/>
      </c>
      <c r="K52" s="4" t="str">
        <f t="shared" ca="1" si="4"/>
        <v/>
      </c>
      <c r="L52" s="4" t="str" cm="1">
        <f t="array" aca="1" ref="L52" ca="1">_xlfn.LET(_xlpm.link,IFERROR(INDEX(_xlfn.ANCHORARRAY($AA$11),ROW()-10,12),""),IF(_xlpm.link="","",HYPERLINK(_xlpm.link,"Bluecore/Attentive")))</f>
        <v/>
      </c>
      <c r="M52" s="58" t="str">
        <f t="shared" ca="1" si="5"/>
        <v/>
      </c>
      <c r="N52" s="7"/>
      <c r="O52" s="7"/>
      <c r="P52" s="7"/>
      <c r="Q52" s="7"/>
      <c r="R52" s="7"/>
      <c r="S52" s="6"/>
      <c r="T52" s="6"/>
      <c r="U52" s="6"/>
      <c r="V52" s="6"/>
      <c r="W52" s="6"/>
      <c r="X52" s="6"/>
      <c r="Y52" s="6"/>
      <c r="Z52" s="6"/>
      <c r="AA52" s="32"/>
      <c r="AB52"/>
      <c r="AC52"/>
      <c r="AD52"/>
      <c r="AE52"/>
      <c r="AF52"/>
      <c r="AG52"/>
      <c r="AH52"/>
      <c r="AI52"/>
      <c r="AJ52"/>
      <c r="AK52"/>
      <c r="AL52"/>
    </row>
    <row r="53" spans="1:38">
      <c r="A53" s="34" t="str" cm="1">
        <f t="array" aca="1" ref="A53" ca="1">IFERROR(INDEX(_xlfn.ANCHORARRAY($AA$11),ROW()-10,1),"")</f>
        <v/>
      </c>
      <c r="B53" s="20" t="str" cm="1">
        <f t="array" aca="1" ref="B53" ca="1">IFERROR(INDEX(_xlfn.ANCHORARRAY($AA$11),ROW()-10,2),"")</f>
        <v/>
      </c>
      <c r="C53" s="4" t="str" cm="1">
        <f t="array" aca="1" ref="C53" ca="1">IFERROR(INDEX(_xlfn.ANCHORARRAY($AA$11),ROW()-10,3),"")</f>
        <v/>
      </c>
      <c r="D53" s="15" t="str" cm="1">
        <f t="array" aca="1" ref="D53" ca="1">IFERROR(INDEX(_xlfn.ANCHORARRAY($AA$11),ROW()-10,4),"")</f>
        <v/>
      </c>
      <c r="E53" s="4" t="str" cm="1">
        <f t="array" aca="1" ref="E53" ca="1">IFERROR(INDEX(_xlfn.ANCHORARRAY($AA$11),ROW()-10,5),"")</f>
        <v/>
      </c>
      <c r="F53" s="15" t="str" cm="1">
        <f t="array" aca="1" ref="F53" ca="1">IFERROR(INDEX(_xlfn.ANCHORARRAY($AA$11),ROW()-10,6),"")</f>
        <v/>
      </c>
      <c r="G53" s="4" t="str" cm="1">
        <f t="array" aca="1" ref="G53" ca="1">IFERROR(INDEX(_xlfn.ANCHORARRAY($AA$11),ROW()-10,7),"")</f>
        <v/>
      </c>
      <c r="H53" s="4" t="str" cm="1">
        <f t="array" aca="1" ref="H53" ca="1">IFERROR(INDEX(_xlfn.ANCHORARRAY($AA$11),ROW()-10,8),"")</f>
        <v/>
      </c>
      <c r="I53" s="4" t="str" cm="1">
        <f t="array" aca="1" ref="I53" ca="1">IFERROR(INDEX(_xlfn.ANCHORARRAY($AA$11),ROW()-10,9),"")</f>
        <v/>
      </c>
      <c r="J53" s="4" t="str">
        <f t="shared" ca="1" si="3"/>
        <v/>
      </c>
      <c r="K53" s="4" t="str">
        <f t="shared" ca="1" si="4"/>
        <v/>
      </c>
      <c r="L53" s="4" t="str" cm="1">
        <f t="array" aca="1" ref="L53" ca="1">_xlfn.LET(_xlpm.link,IFERROR(INDEX(_xlfn.ANCHORARRAY($AA$11),ROW()-10,12),""),IF(_xlpm.link="","",HYPERLINK(_xlpm.link,"Bluecore/Attentive")))</f>
        <v/>
      </c>
      <c r="M53" s="57" t="str">
        <f t="shared" ca="1" si="5"/>
        <v/>
      </c>
      <c r="N53" s="7"/>
      <c r="O53" s="7"/>
      <c r="P53" s="7"/>
      <c r="Q53" s="7"/>
      <c r="R53" s="7"/>
      <c r="S53" s="6"/>
      <c r="T53" s="6"/>
      <c r="U53" s="6"/>
      <c r="V53" s="6"/>
      <c r="W53" s="6"/>
      <c r="X53" s="6"/>
      <c r="Y53" s="6"/>
      <c r="Z53" s="6"/>
      <c r="AA53" s="32"/>
      <c r="AB53"/>
      <c r="AC53"/>
      <c r="AD53"/>
      <c r="AE53"/>
      <c r="AF53"/>
      <c r="AG53"/>
      <c r="AH53"/>
      <c r="AI53"/>
      <c r="AJ53"/>
      <c r="AK53"/>
      <c r="AL53"/>
    </row>
    <row r="54" spans="1:38">
      <c r="A54" s="34" t="str" cm="1">
        <f t="array" aca="1" ref="A54" ca="1">IFERROR(INDEX(_xlfn.ANCHORARRAY($AA$11),ROW()-10,1),"")</f>
        <v/>
      </c>
      <c r="B54" s="20" t="str" cm="1">
        <f t="array" aca="1" ref="B54" ca="1">IFERROR(INDEX(_xlfn.ANCHORARRAY($AA$11),ROW()-10,2),"")</f>
        <v/>
      </c>
      <c r="C54" s="4" t="str" cm="1">
        <f t="array" aca="1" ref="C54" ca="1">IFERROR(INDEX(_xlfn.ANCHORARRAY($AA$11),ROW()-10,3),"")</f>
        <v/>
      </c>
      <c r="D54" s="15" t="str" cm="1">
        <f t="array" aca="1" ref="D54" ca="1">IFERROR(INDEX(_xlfn.ANCHORARRAY($AA$11),ROW()-10,4),"")</f>
        <v/>
      </c>
      <c r="E54" s="4" t="str" cm="1">
        <f t="array" aca="1" ref="E54" ca="1">IFERROR(INDEX(_xlfn.ANCHORARRAY($AA$11),ROW()-10,5),"")</f>
        <v/>
      </c>
      <c r="F54" s="15" t="str" cm="1">
        <f t="array" aca="1" ref="F54" ca="1">IFERROR(INDEX(_xlfn.ANCHORARRAY($AA$11),ROW()-10,6),"")</f>
        <v/>
      </c>
      <c r="G54" s="4" t="str" cm="1">
        <f t="array" aca="1" ref="G54" ca="1">IFERROR(INDEX(_xlfn.ANCHORARRAY($AA$11),ROW()-10,7),"")</f>
        <v/>
      </c>
      <c r="H54" s="4" t="str" cm="1">
        <f t="array" aca="1" ref="H54" ca="1">IFERROR(INDEX(_xlfn.ANCHORARRAY($AA$11),ROW()-10,8),"")</f>
        <v/>
      </c>
      <c r="I54" s="4" t="str" cm="1">
        <f t="array" aca="1" ref="I54" ca="1">IFERROR(INDEX(_xlfn.ANCHORARRAY($AA$11),ROW()-10,9),"")</f>
        <v/>
      </c>
      <c r="J54" s="4" t="str">
        <f t="shared" ca="1" si="3"/>
        <v/>
      </c>
      <c r="K54" s="4" t="str">
        <f t="shared" ca="1" si="4"/>
        <v/>
      </c>
      <c r="L54" s="4" t="str" cm="1">
        <f t="array" aca="1" ref="L54" ca="1">_xlfn.LET(_xlpm.link,IFERROR(INDEX(_xlfn.ANCHORARRAY($AA$11),ROW()-10,12),""),IF(_xlpm.link="","",HYPERLINK(_xlpm.link,"Bluecore/Attentive")))</f>
        <v/>
      </c>
      <c r="M54" s="58" t="str">
        <f t="shared" ca="1" si="5"/>
        <v/>
      </c>
      <c r="N54" s="7"/>
      <c r="O54" s="7"/>
      <c r="P54" s="7"/>
      <c r="Q54" s="7"/>
      <c r="R54" s="7"/>
      <c r="S54" s="6"/>
      <c r="T54" s="6"/>
      <c r="U54" s="6"/>
      <c r="V54" s="6"/>
      <c r="W54" s="6"/>
      <c r="X54" s="6"/>
      <c r="Y54" s="6"/>
      <c r="Z54" s="6"/>
      <c r="AA54" s="32"/>
      <c r="AB54"/>
      <c r="AC54"/>
      <c r="AD54"/>
      <c r="AE54"/>
      <c r="AF54"/>
      <c r="AG54"/>
      <c r="AH54"/>
      <c r="AI54"/>
      <c r="AJ54"/>
      <c r="AK54"/>
      <c r="AL54"/>
    </row>
    <row r="55" spans="1:38">
      <c r="A55" s="34" t="str" cm="1">
        <f t="array" aca="1" ref="A55" ca="1">IFERROR(INDEX(_xlfn.ANCHORARRAY($AA$11),ROW()-10,1),"")</f>
        <v/>
      </c>
      <c r="B55" s="20" t="str" cm="1">
        <f t="array" aca="1" ref="B55" ca="1">IFERROR(INDEX(_xlfn.ANCHORARRAY($AA$11),ROW()-10,2),"")</f>
        <v/>
      </c>
      <c r="C55" s="4" t="str" cm="1">
        <f t="array" aca="1" ref="C55" ca="1">IFERROR(INDEX(_xlfn.ANCHORARRAY($AA$11),ROW()-10,3),"")</f>
        <v/>
      </c>
      <c r="D55" s="15" t="str" cm="1">
        <f t="array" aca="1" ref="D55" ca="1">IFERROR(INDEX(_xlfn.ANCHORARRAY($AA$11),ROW()-10,4),"")</f>
        <v/>
      </c>
      <c r="E55" s="4" t="str" cm="1">
        <f t="array" aca="1" ref="E55" ca="1">IFERROR(INDEX(_xlfn.ANCHORARRAY($AA$11),ROW()-10,5),"")</f>
        <v/>
      </c>
      <c r="F55" s="15" t="str" cm="1">
        <f t="array" aca="1" ref="F55" ca="1">IFERROR(INDEX(_xlfn.ANCHORARRAY($AA$11),ROW()-10,6),"")</f>
        <v/>
      </c>
      <c r="G55" s="4" t="str" cm="1">
        <f t="array" aca="1" ref="G55" ca="1">IFERROR(INDEX(_xlfn.ANCHORARRAY($AA$11),ROW()-10,7),"")</f>
        <v/>
      </c>
      <c r="H55" s="4" t="str" cm="1">
        <f t="array" aca="1" ref="H55" ca="1">IFERROR(INDEX(_xlfn.ANCHORARRAY($AA$11),ROW()-10,8),"")</f>
        <v/>
      </c>
      <c r="I55" s="4" t="str" cm="1">
        <f t="array" aca="1" ref="I55" ca="1">IFERROR(INDEX(_xlfn.ANCHORARRAY($AA$11),ROW()-10,9),"")</f>
        <v/>
      </c>
      <c r="J55" s="4" t="str">
        <f t="shared" ca="1" si="3"/>
        <v/>
      </c>
      <c r="K55" s="4" t="str">
        <f t="shared" ca="1" si="4"/>
        <v/>
      </c>
      <c r="L55" s="4" t="str" cm="1">
        <f t="array" aca="1" ref="L55" ca="1">_xlfn.LET(_xlpm.link,IFERROR(INDEX(_xlfn.ANCHORARRAY($AA$11),ROW()-10,12),""),IF(_xlpm.link="","",HYPERLINK(_xlpm.link,"Bluecore/Attentive")))</f>
        <v/>
      </c>
      <c r="M55" s="57" t="str">
        <f t="shared" ca="1" si="5"/>
        <v/>
      </c>
      <c r="N55" s="7"/>
      <c r="O55" s="7"/>
      <c r="P55" s="7"/>
      <c r="Q55" s="7"/>
      <c r="R55" s="7"/>
      <c r="S55" s="6"/>
      <c r="T55" s="6"/>
      <c r="U55" s="6"/>
      <c r="V55" s="6"/>
      <c r="W55" s="6"/>
      <c r="X55" s="6"/>
      <c r="Y55" s="6"/>
      <c r="Z55" s="6"/>
      <c r="AA55" s="32"/>
      <c r="AB55"/>
      <c r="AC55"/>
      <c r="AD55"/>
      <c r="AE55"/>
      <c r="AF55"/>
      <c r="AG55"/>
      <c r="AH55"/>
      <c r="AI55"/>
      <c r="AJ55"/>
      <c r="AK55"/>
      <c r="AL55"/>
    </row>
    <row r="56" spans="1:38">
      <c r="A56" s="34" t="str" cm="1">
        <f t="array" aca="1" ref="A56" ca="1">IFERROR(INDEX(_xlfn.ANCHORARRAY($AA$11),ROW()-10,1),"")</f>
        <v/>
      </c>
      <c r="B56" s="20" t="str" cm="1">
        <f t="array" aca="1" ref="B56" ca="1">IFERROR(INDEX(_xlfn.ANCHORARRAY($AA$11),ROW()-10,2),"")</f>
        <v/>
      </c>
      <c r="C56" s="4" t="str" cm="1">
        <f t="array" aca="1" ref="C56" ca="1">IFERROR(INDEX(_xlfn.ANCHORARRAY($AA$11),ROW()-10,3),"")</f>
        <v/>
      </c>
      <c r="D56" s="15" t="str" cm="1">
        <f t="array" aca="1" ref="D56" ca="1">IFERROR(INDEX(_xlfn.ANCHORARRAY($AA$11),ROW()-10,4),"")</f>
        <v/>
      </c>
      <c r="E56" s="4" t="str" cm="1">
        <f t="array" aca="1" ref="E56" ca="1">IFERROR(INDEX(_xlfn.ANCHORARRAY($AA$11),ROW()-10,5),"")</f>
        <v/>
      </c>
      <c r="F56" s="15" t="str" cm="1">
        <f t="array" aca="1" ref="F56" ca="1">IFERROR(INDEX(_xlfn.ANCHORARRAY($AA$11),ROW()-10,6),"")</f>
        <v/>
      </c>
      <c r="G56" s="4" t="str" cm="1">
        <f t="array" aca="1" ref="G56" ca="1">IFERROR(INDEX(_xlfn.ANCHORARRAY($AA$11),ROW()-10,7),"")</f>
        <v/>
      </c>
      <c r="H56" s="4" t="str" cm="1">
        <f t="array" aca="1" ref="H56" ca="1">IFERROR(INDEX(_xlfn.ANCHORARRAY($AA$11),ROW()-10,8),"")</f>
        <v/>
      </c>
      <c r="I56" s="4" t="str" cm="1">
        <f t="array" aca="1" ref="I56" ca="1">IFERROR(INDEX(_xlfn.ANCHORARRAY($AA$11),ROW()-10,9),"")</f>
        <v/>
      </c>
      <c r="J56" s="4" t="str">
        <f t="shared" ca="1" si="3"/>
        <v/>
      </c>
      <c r="K56" s="4" t="str">
        <f t="shared" ca="1" si="4"/>
        <v/>
      </c>
      <c r="L56" s="4" t="str" cm="1">
        <f t="array" aca="1" ref="L56" ca="1">_xlfn.LET(_xlpm.link,IFERROR(INDEX(_xlfn.ANCHORARRAY($AA$11),ROW()-10,12),""),IF(_xlpm.link="","",HYPERLINK(_xlpm.link,"Bluecore/Attentive")))</f>
        <v/>
      </c>
      <c r="M56" s="58" t="str">
        <f t="shared" ca="1" si="5"/>
        <v/>
      </c>
      <c r="N56" s="7"/>
      <c r="O56" s="7"/>
      <c r="P56" s="7"/>
      <c r="Q56" s="7"/>
      <c r="R56" s="7"/>
      <c r="S56" s="6"/>
      <c r="T56" s="6"/>
      <c r="U56" s="6"/>
      <c r="V56" s="6"/>
      <c r="W56" s="6"/>
      <c r="X56" s="6"/>
      <c r="Y56" s="6"/>
      <c r="Z56" s="6"/>
      <c r="AA56" s="32"/>
      <c r="AB56"/>
      <c r="AC56"/>
      <c r="AD56"/>
      <c r="AE56"/>
      <c r="AF56"/>
      <c r="AG56"/>
      <c r="AH56"/>
      <c r="AI56"/>
      <c r="AJ56"/>
      <c r="AK56"/>
      <c r="AL56"/>
    </row>
    <row r="57" spans="1:38">
      <c r="A57" s="34" t="str" cm="1">
        <f t="array" aca="1" ref="A57" ca="1">IFERROR(INDEX(_xlfn.ANCHORARRAY($AA$11),ROW()-10,1),"")</f>
        <v/>
      </c>
      <c r="B57" s="20" t="str" cm="1">
        <f t="array" aca="1" ref="B57" ca="1">IFERROR(INDEX(_xlfn.ANCHORARRAY($AA$11),ROW()-10,2),"")</f>
        <v/>
      </c>
      <c r="C57" s="4" t="str" cm="1">
        <f t="array" aca="1" ref="C57" ca="1">IFERROR(INDEX(_xlfn.ANCHORARRAY($AA$11),ROW()-10,3),"")</f>
        <v/>
      </c>
      <c r="D57" s="15" t="str" cm="1">
        <f t="array" aca="1" ref="D57" ca="1">IFERROR(INDEX(_xlfn.ANCHORARRAY($AA$11),ROW()-10,4),"")</f>
        <v/>
      </c>
      <c r="E57" s="4" t="str" cm="1">
        <f t="array" aca="1" ref="E57" ca="1">IFERROR(INDEX(_xlfn.ANCHORARRAY($AA$11),ROW()-10,5),"")</f>
        <v/>
      </c>
      <c r="F57" s="15" t="str" cm="1">
        <f t="array" aca="1" ref="F57" ca="1">IFERROR(INDEX(_xlfn.ANCHORARRAY($AA$11),ROW()-10,6),"")</f>
        <v/>
      </c>
      <c r="G57" s="4" t="str" cm="1">
        <f t="array" aca="1" ref="G57" ca="1">IFERROR(INDEX(_xlfn.ANCHORARRAY($AA$11),ROW()-10,7),"")</f>
        <v/>
      </c>
      <c r="H57" s="4" t="str" cm="1">
        <f t="array" aca="1" ref="H57" ca="1">IFERROR(INDEX(_xlfn.ANCHORARRAY($AA$11),ROW()-10,8),"")</f>
        <v/>
      </c>
      <c r="I57" s="4" t="str" cm="1">
        <f t="array" aca="1" ref="I57" ca="1">IFERROR(INDEX(_xlfn.ANCHORARRAY($AA$11),ROW()-10,9),"")</f>
        <v/>
      </c>
      <c r="J57" s="4" t="str">
        <f t="shared" ca="1" si="3"/>
        <v/>
      </c>
      <c r="K57" s="4" t="str">
        <f t="shared" ca="1" si="4"/>
        <v/>
      </c>
      <c r="L57" s="4" t="str" cm="1">
        <f t="array" aca="1" ref="L57" ca="1">_xlfn.LET(_xlpm.link,IFERROR(INDEX(_xlfn.ANCHORARRAY($AA$11),ROW()-10,12),""),IF(_xlpm.link="","",HYPERLINK(_xlpm.link,"Bluecore/Attentive")))</f>
        <v/>
      </c>
      <c r="M57" s="57" t="str">
        <f t="shared" ca="1" si="5"/>
        <v/>
      </c>
      <c r="N57" s="7"/>
      <c r="O57" s="7"/>
      <c r="P57" s="7"/>
      <c r="Q57" s="7"/>
      <c r="R57" s="7"/>
      <c r="S57" s="6"/>
      <c r="T57" s="6"/>
      <c r="U57" s="6"/>
      <c r="V57" s="6"/>
      <c r="W57" s="6"/>
      <c r="X57" s="6"/>
      <c r="Y57" s="6"/>
      <c r="Z57" s="6"/>
      <c r="AA57" s="32"/>
      <c r="AB57"/>
      <c r="AC57"/>
      <c r="AD57"/>
      <c r="AE57"/>
      <c r="AF57"/>
      <c r="AG57"/>
      <c r="AH57"/>
      <c r="AI57"/>
      <c r="AJ57"/>
      <c r="AK57"/>
      <c r="AL57"/>
    </row>
    <row r="58" spans="1:38">
      <c r="A58" s="34" t="str" cm="1">
        <f t="array" aca="1" ref="A58" ca="1">IFERROR(INDEX(_xlfn.ANCHORARRAY($AA$11),ROW()-10,1),"")</f>
        <v/>
      </c>
      <c r="B58" s="20" t="str" cm="1">
        <f t="array" aca="1" ref="B58" ca="1">IFERROR(INDEX(_xlfn.ANCHORARRAY($AA$11),ROW()-10,2),"")</f>
        <v/>
      </c>
      <c r="C58" s="4" t="str" cm="1">
        <f t="array" aca="1" ref="C58" ca="1">IFERROR(INDEX(_xlfn.ANCHORARRAY($AA$11),ROW()-10,3),"")</f>
        <v/>
      </c>
      <c r="D58" s="15" t="str" cm="1">
        <f t="array" aca="1" ref="D58" ca="1">IFERROR(INDEX(_xlfn.ANCHORARRAY($AA$11),ROW()-10,4),"")</f>
        <v/>
      </c>
      <c r="E58" s="4" t="str" cm="1">
        <f t="array" aca="1" ref="E58" ca="1">IFERROR(INDEX(_xlfn.ANCHORARRAY($AA$11),ROW()-10,5),"")</f>
        <v/>
      </c>
      <c r="F58" s="15" t="str" cm="1">
        <f t="array" aca="1" ref="F58" ca="1">IFERROR(INDEX(_xlfn.ANCHORARRAY($AA$11),ROW()-10,6),"")</f>
        <v/>
      </c>
      <c r="G58" s="4" t="str" cm="1">
        <f t="array" aca="1" ref="G58" ca="1">IFERROR(INDEX(_xlfn.ANCHORARRAY($AA$11),ROW()-10,7),"")</f>
        <v/>
      </c>
      <c r="H58" s="4" t="str" cm="1">
        <f t="array" aca="1" ref="H58" ca="1">IFERROR(INDEX(_xlfn.ANCHORARRAY($AA$11),ROW()-10,8),"")</f>
        <v/>
      </c>
      <c r="I58" s="4" t="str" cm="1">
        <f t="array" aca="1" ref="I58" ca="1">IFERROR(INDEX(_xlfn.ANCHORARRAY($AA$11),ROW()-10,9),"")</f>
        <v/>
      </c>
      <c r="J58" s="4" t="str">
        <f t="shared" ca="1" si="3"/>
        <v/>
      </c>
      <c r="K58" s="4" t="str">
        <f t="shared" ca="1" si="4"/>
        <v/>
      </c>
      <c r="L58" s="4" t="str" cm="1">
        <f t="array" aca="1" ref="L58" ca="1">_xlfn.LET(_xlpm.link,IFERROR(INDEX(_xlfn.ANCHORARRAY($AA$11),ROW()-10,12),""),IF(_xlpm.link="","",HYPERLINK(_xlpm.link,"Bluecore/Attentive")))</f>
        <v/>
      </c>
      <c r="M58" s="58" t="str">
        <f t="shared" ca="1" si="5"/>
        <v/>
      </c>
      <c r="N58" s="7"/>
      <c r="O58" s="7"/>
      <c r="P58" s="7"/>
      <c r="Q58" s="7"/>
      <c r="R58" s="7"/>
      <c r="S58" s="6"/>
      <c r="T58" s="6"/>
      <c r="U58" s="6"/>
      <c r="V58" s="6"/>
      <c r="W58" s="6"/>
      <c r="X58" s="6"/>
      <c r="Y58" s="6"/>
      <c r="Z58" s="6"/>
      <c r="AA58" s="32"/>
      <c r="AB58"/>
      <c r="AC58"/>
      <c r="AD58"/>
      <c r="AE58"/>
      <c r="AF58"/>
      <c r="AG58"/>
      <c r="AH58"/>
      <c r="AI58"/>
      <c r="AJ58"/>
      <c r="AK58"/>
      <c r="AL58"/>
    </row>
    <row r="59" spans="1:38">
      <c r="A59" s="34" t="str" cm="1">
        <f t="array" aca="1" ref="A59" ca="1">IFERROR(INDEX(_xlfn.ANCHORARRAY($AA$11),ROW()-10,1),"")</f>
        <v/>
      </c>
      <c r="B59" s="20" t="str" cm="1">
        <f t="array" aca="1" ref="B59" ca="1">IFERROR(INDEX(_xlfn.ANCHORARRAY($AA$11),ROW()-10,2),"")</f>
        <v/>
      </c>
      <c r="C59" s="4" t="str" cm="1">
        <f t="array" aca="1" ref="C59" ca="1">IFERROR(INDEX(_xlfn.ANCHORARRAY($AA$11),ROW()-10,3),"")</f>
        <v/>
      </c>
      <c r="D59" s="15" t="str" cm="1">
        <f t="array" aca="1" ref="D59" ca="1">IFERROR(INDEX(_xlfn.ANCHORARRAY($AA$11),ROW()-10,4),"")</f>
        <v/>
      </c>
      <c r="E59" s="4" t="str" cm="1">
        <f t="array" aca="1" ref="E59" ca="1">IFERROR(INDEX(_xlfn.ANCHORARRAY($AA$11),ROW()-10,5),"")</f>
        <v/>
      </c>
      <c r="F59" s="15" t="str" cm="1">
        <f t="array" aca="1" ref="F59" ca="1">IFERROR(INDEX(_xlfn.ANCHORARRAY($AA$11),ROW()-10,6),"")</f>
        <v/>
      </c>
      <c r="G59" s="4" t="str" cm="1">
        <f t="array" aca="1" ref="G59" ca="1">IFERROR(INDEX(_xlfn.ANCHORARRAY($AA$11),ROW()-10,7),"")</f>
        <v/>
      </c>
      <c r="H59" s="4" t="str" cm="1">
        <f t="array" aca="1" ref="H59" ca="1">IFERROR(INDEX(_xlfn.ANCHORARRAY($AA$11),ROW()-10,8),"")</f>
        <v/>
      </c>
      <c r="I59" s="4" t="str" cm="1">
        <f t="array" aca="1" ref="I59" ca="1">IFERROR(INDEX(_xlfn.ANCHORARRAY($AA$11),ROW()-10,9),"")</f>
        <v/>
      </c>
      <c r="J59" s="4" t="str">
        <f t="shared" ca="1" si="3"/>
        <v/>
      </c>
      <c r="K59" s="4" t="str">
        <f t="shared" ca="1" si="4"/>
        <v/>
      </c>
      <c r="L59" s="4" t="str" cm="1">
        <f t="array" aca="1" ref="L59" ca="1">_xlfn.LET(_xlpm.link,IFERROR(INDEX(_xlfn.ANCHORARRAY($AA$11),ROW()-10,12),""),IF(_xlpm.link="","",HYPERLINK(_xlpm.link,"Bluecore/Attentive")))</f>
        <v/>
      </c>
      <c r="M59" s="57" t="str">
        <f t="shared" ca="1" si="5"/>
        <v/>
      </c>
      <c r="N59" s="7"/>
      <c r="O59" s="7"/>
      <c r="P59" s="7"/>
      <c r="Q59" s="7"/>
      <c r="R59" s="7"/>
      <c r="S59" s="6"/>
      <c r="T59" s="6"/>
      <c r="U59" s="6"/>
      <c r="V59" s="6"/>
      <c r="W59" s="6"/>
      <c r="X59" s="6"/>
      <c r="Y59" s="6"/>
      <c r="Z59" s="6"/>
      <c r="AA59" s="32"/>
      <c r="AB59"/>
      <c r="AC59"/>
      <c r="AD59"/>
      <c r="AE59"/>
      <c r="AF59"/>
      <c r="AG59"/>
      <c r="AH59"/>
      <c r="AI59"/>
      <c r="AJ59"/>
      <c r="AK59"/>
      <c r="AL59"/>
    </row>
    <row r="60" spans="1:38">
      <c r="A60" s="34" t="str" cm="1">
        <f t="array" aca="1" ref="A60" ca="1">IFERROR(INDEX(_xlfn.ANCHORARRAY($AA$11),ROW()-10,1),"")</f>
        <v/>
      </c>
      <c r="B60" s="20" t="str" cm="1">
        <f t="array" aca="1" ref="B60" ca="1">IFERROR(INDEX(_xlfn.ANCHORARRAY($AA$11),ROW()-10,2),"")</f>
        <v/>
      </c>
      <c r="C60" s="4" t="str" cm="1">
        <f t="array" aca="1" ref="C60" ca="1">IFERROR(INDEX(_xlfn.ANCHORARRAY($AA$11),ROW()-10,3),"")</f>
        <v/>
      </c>
      <c r="D60" s="15" t="str" cm="1">
        <f t="array" aca="1" ref="D60" ca="1">IFERROR(INDEX(_xlfn.ANCHORARRAY($AA$11),ROW()-10,4),"")</f>
        <v/>
      </c>
      <c r="E60" s="4" t="str" cm="1">
        <f t="array" aca="1" ref="E60" ca="1">IFERROR(INDEX(_xlfn.ANCHORARRAY($AA$11),ROW()-10,5),"")</f>
        <v/>
      </c>
      <c r="F60" s="15" t="str" cm="1">
        <f t="array" aca="1" ref="F60" ca="1">IFERROR(INDEX(_xlfn.ANCHORARRAY($AA$11),ROW()-10,6),"")</f>
        <v/>
      </c>
      <c r="G60" s="4" t="str" cm="1">
        <f t="array" aca="1" ref="G60" ca="1">IFERROR(INDEX(_xlfn.ANCHORARRAY($AA$11),ROW()-10,7),"")</f>
        <v/>
      </c>
      <c r="H60" s="4" t="str" cm="1">
        <f t="array" aca="1" ref="H60" ca="1">IFERROR(INDEX(_xlfn.ANCHORARRAY($AA$11),ROW()-10,8),"")</f>
        <v/>
      </c>
      <c r="I60" s="4" t="str" cm="1">
        <f t="array" aca="1" ref="I60" ca="1">IFERROR(INDEX(_xlfn.ANCHORARRAY($AA$11),ROW()-10,9),"")</f>
        <v/>
      </c>
      <c r="J60" s="4" t="str">
        <f t="shared" ca="1" si="3"/>
        <v/>
      </c>
      <c r="K60" s="4" t="str">
        <f t="shared" ca="1" si="4"/>
        <v/>
      </c>
      <c r="L60" s="4" t="str" cm="1">
        <f t="array" aca="1" ref="L60" ca="1">_xlfn.LET(_xlpm.link,IFERROR(INDEX(_xlfn.ANCHORARRAY($AA$11),ROW()-10,12),""),IF(_xlpm.link="","",HYPERLINK(_xlpm.link,"Bluecore/Attentive")))</f>
        <v/>
      </c>
      <c r="M60" s="58" t="str">
        <f t="shared" ca="1" si="5"/>
        <v/>
      </c>
      <c r="N60" s="7"/>
      <c r="O60" s="7"/>
      <c r="P60" s="7"/>
      <c r="Q60" s="7"/>
      <c r="R60" s="7"/>
      <c r="S60" s="6"/>
      <c r="T60" s="6"/>
      <c r="U60" s="6"/>
      <c r="V60" s="6"/>
      <c r="W60" s="6"/>
      <c r="X60" s="6"/>
      <c r="Y60" s="6"/>
      <c r="Z60" s="6"/>
      <c r="AA60" s="32"/>
      <c r="AB60"/>
      <c r="AC60"/>
      <c r="AD60"/>
      <c r="AE60"/>
      <c r="AF60"/>
      <c r="AG60"/>
      <c r="AH60"/>
      <c r="AI60"/>
      <c r="AJ60"/>
      <c r="AK60"/>
      <c r="AL60"/>
    </row>
    <row r="61" spans="1:38">
      <c r="A61" s="34" t="str" cm="1">
        <f t="array" aca="1" ref="A61" ca="1">IFERROR(INDEX(_xlfn.ANCHORARRAY($AA$11),ROW()-10,1),"")</f>
        <v/>
      </c>
      <c r="B61" s="20" t="str" cm="1">
        <f t="array" aca="1" ref="B61" ca="1">IFERROR(INDEX(_xlfn.ANCHORARRAY($AA$11),ROW()-10,2),"")</f>
        <v/>
      </c>
      <c r="C61" s="4" t="str" cm="1">
        <f t="array" aca="1" ref="C61" ca="1">IFERROR(INDEX(_xlfn.ANCHORARRAY($AA$11),ROW()-10,3),"")</f>
        <v/>
      </c>
      <c r="D61" s="15" t="str" cm="1">
        <f t="array" aca="1" ref="D61" ca="1">IFERROR(INDEX(_xlfn.ANCHORARRAY($AA$11),ROW()-10,4),"")</f>
        <v/>
      </c>
      <c r="E61" s="4" t="str" cm="1">
        <f t="array" aca="1" ref="E61" ca="1">IFERROR(INDEX(_xlfn.ANCHORARRAY($AA$11),ROW()-10,5),"")</f>
        <v/>
      </c>
      <c r="F61" s="15" t="str" cm="1">
        <f t="array" aca="1" ref="F61" ca="1">IFERROR(INDEX(_xlfn.ANCHORARRAY($AA$11),ROW()-10,6),"")</f>
        <v/>
      </c>
      <c r="G61" s="4" t="str" cm="1">
        <f t="array" aca="1" ref="G61" ca="1">IFERROR(INDEX(_xlfn.ANCHORARRAY($AA$11),ROW()-10,7),"")</f>
        <v/>
      </c>
      <c r="H61" s="4" t="str" cm="1">
        <f t="array" aca="1" ref="H61" ca="1">IFERROR(INDEX(_xlfn.ANCHORARRAY($AA$11),ROW()-10,8),"")</f>
        <v/>
      </c>
      <c r="I61" s="4" t="str" cm="1">
        <f t="array" aca="1" ref="I61" ca="1">IFERROR(INDEX(_xlfn.ANCHORARRAY($AA$11),ROW()-10,9),"")</f>
        <v/>
      </c>
      <c r="J61" s="4" t="str">
        <f t="shared" ca="1" si="3"/>
        <v/>
      </c>
      <c r="K61" s="4" t="str">
        <f t="shared" ca="1" si="4"/>
        <v/>
      </c>
      <c r="L61" s="4" t="str" cm="1">
        <f t="array" aca="1" ref="L61" ca="1">_xlfn.LET(_xlpm.link,IFERROR(INDEX(_xlfn.ANCHORARRAY($AA$11),ROW()-10,12),""),IF(_xlpm.link="","",HYPERLINK(_xlpm.link,"Bluecore/Attentive")))</f>
        <v/>
      </c>
      <c r="M61" s="57" t="str">
        <f t="shared" ca="1" si="5"/>
        <v/>
      </c>
      <c r="N61" s="7"/>
      <c r="O61" s="7"/>
      <c r="P61" s="7"/>
      <c r="Q61" s="7"/>
      <c r="R61" s="7"/>
      <c r="S61" s="6"/>
      <c r="T61" s="6"/>
      <c r="U61" s="6"/>
      <c r="V61" s="6"/>
      <c r="W61" s="6"/>
      <c r="X61" s="6"/>
      <c r="Y61" s="6"/>
      <c r="Z61" s="6"/>
      <c r="AA61" s="32"/>
      <c r="AB61"/>
      <c r="AC61"/>
      <c r="AD61"/>
      <c r="AE61"/>
      <c r="AF61"/>
      <c r="AG61"/>
      <c r="AH61"/>
      <c r="AI61"/>
      <c r="AJ61"/>
      <c r="AK61"/>
      <c r="AL61"/>
    </row>
    <row r="62" spans="1:38">
      <c r="A62" s="34" t="str" cm="1">
        <f t="array" aca="1" ref="A62" ca="1">IFERROR(INDEX(_xlfn.ANCHORARRAY($AA$11),ROW()-10,1),"")</f>
        <v/>
      </c>
      <c r="B62" s="20" t="str" cm="1">
        <f t="array" aca="1" ref="B62" ca="1">IFERROR(INDEX(_xlfn.ANCHORARRAY($AA$11),ROW()-10,2),"")</f>
        <v/>
      </c>
      <c r="C62" s="4" t="str" cm="1">
        <f t="array" aca="1" ref="C62" ca="1">IFERROR(INDEX(_xlfn.ANCHORARRAY($AA$11),ROW()-10,3),"")</f>
        <v/>
      </c>
      <c r="D62" s="15" t="str" cm="1">
        <f t="array" aca="1" ref="D62" ca="1">IFERROR(INDEX(_xlfn.ANCHORARRAY($AA$11),ROW()-10,4),"")</f>
        <v/>
      </c>
      <c r="E62" s="4" t="str" cm="1">
        <f t="array" aca="1" ref="E62" ca="1">IFERROR(INDEX(_xlfn.ANCHORARRAY($AA$11),ROW()-10,5),"")</f>
        <v/>
      </c>
      <c r="F62" s="15" t="str" cm="1">
        <f t="array" aca="1" ref="F62" ca="1">IFERROR(INDEX(_xlfn.ANCHORARRAY($AA$11),ROW()-10,6),"")</f>
        <v/>
      </c>
      <c r="G62" s="4" t="str" cm="1">
        <f t="array" aca="1" ref="G62" ca="1">IFERROR(INDEX(_xlfn.ANCHORARRAY($AA$11),ROW()-10,7),"")</f>
        <v/>
      </c>
      <c r="H62" s="4" t="str" cm="1">
        <f t="array" aca="1" ref="H62" ca="1">IFERROR(INDEX(_xlfn.ANCHORARRAY($AA$11),ROW()-10,8),"")</f>
        <v/>
      </c>
      <c r="I62" s="4" t="str" cm="1">
        <f t="array" aca="1" ref="I62" ca="1">IFERROR(INDEX(_xlfn.ANCHORARRAY($AA$11),ROW()-10,9),"")</f>
        <v/>
      </c>
      <c r="J62" s="4" t="str">
        <f t="shared" ca="1" si="3"/>
        <v/>
      </c>
      <c r="K62" s="4" t="str">
        <f t="shared" ca="1" si="4"/>
        <v/>
      </c>
      <c r="L62" s="4" t="str" cm="1">
        <f t="array" aca="1" ref="L62" ca="1">_xlfn.LET(_xlpm.link,IFERROR(INDEX(_xlfn.ANCHORARRAY($AA$11),ROW()-10,12),""),IF(_xlpm.link="","",HYPERLINK(_xlpm.link,"Bluecore/Attentive")))</f>
        <v/>
      </c>
      <c r="M62" s="58" t="str">
        <f t="shared" ca="1" si="5"/>
        <v/>
      </c>
      <c r="N62" s="7"/>
      <c r="O62" s="7"/>
      <c r="P62" s="7"/>
      <c r="Q62" s="7"/>
      <c r="R62" s="7"/>
      <c r="S62" s="6"/>
      <c r="T62" s="6"/>
      <c r="U62" s="6"/>
      <c r="V62" s="6"/>
      <c r="W62" s="6"/>
      <c r="X62" s="6"/>
      <c r="Y62" s="6"/>
      <c r="Z62" s="6"/>
      <c r="AA62" s="32"/>
      <c r="AB62"/>
      <c r="AC62"/>
      <c r="AD62"/>
      <c r="AE62"/>
      <c r="AF62"/>
      <c r="AG62"/>
      <c r="AH62"/>
      <c r="AI62"/>
      <c r="AJ62"/>
      <c r="AK62"/>
      <c r="AL62"/>
    </row>
    <row r="63" spans="1:38">
      <c r="A63" s="34" t="str" cm="1">
        <f t="array" aca="1" ref="A63" ca="1">IFERROR(INDEX(_xlfn.ANCHORARRAY($AA$11),ROW()-10,1),"")</f>
        <v/>
      </c>
      <c r="B63" s="20" t="str" cm="1">
        <f t="array" aca="1" ref="B63" ca="1">IFERROR(INDEX(_xlfn.ANCHORARRAY($AA$11),ROW()-10,2),"")</f>
        <v/>
      </c>
      <c r="C63" s="4" t="str" cm="1">
        <f t="array" aca="1" ref="C63" ca="1">IFERROR(INDEX(_xlfn.ANCHORARRAY($AA$11),ROW()-10,3),"")</f>
        <v/>
      </c>
      <c r="D63" s="15" t="str" cm="1">
        <f t="array" aca="1" ref="D63" ca="1">IFERROR(INDEX(_xlfn.ANCHORARRAY($AA$11),ROW()-10,4),"")</f>
        <v/>
      </c>
      <c r="E63" s="4" t="str" cm="1">
        <f t="array" aca="1" ref="E63" ca="1">IFERROR(INDEX(_xlfn.ANCHORARRAY($AA$11),ROW()-10,5),"")</f>
        <v/>
      </c>
      <c r="F63" s="15" t="str" cm="1">
        <f t="array" aca="1" ref="F63" ca="1">IFERROR(INDEX(_xlfn.ANCHORARRAY($AA$11),ROW()-10,6),"")</f>
        <v/>
      </c>
      <c r="G63" s="4" t="str" cm="1">
        <f t="array" aca="1" ref="G63" ca="1">IFERROR(INDEX(_xlfn.ANCHORARRAY($AA$11),ROW()-10,7),"")</f>
        <v/>
      </c>
      <c r="H63" s="4" t="str" cm="1">
        <f t="array" aca="1" ref="H63" ca="1">IFERROR(INDEX(_xlfn.ANCHORARRAY($AA$11),ROW()-10,8),"")</f>
        <v/>
      </c>
      <c r="I63" s="4" t="str" cm="1">
        <f t="array" aca="1" ref="I63" ca="1">IFERROR(INDEX(_xlfn.ANCHORARRAY($AA$11),ROW()-10,9),"")</f>
        <v/>
      </c>
      <c r="J63" s="4" t="str">
        <f t="shared" ca="1" si="3"/>
        <v/>
      </c>
      <c r="K63" s="4" t="str">
        <f t="shared" ca="1" si="4"/>
        <v/>
      </c>
      <c r="L63" s="4" t="str" cm="1">
        <f t="array" aca="1" ref="L63" ca="1">_xlfn.LET(_xlpm.link,IFERROR(INDEX(_xlfn.ANCHORARRAY($AA$11),ROW()-10,12),""),IF(_xlpm.link="","",HYPERLINK(_xlpm.link,"Bluecore/Attentive")))</f>
        <v/>
      </c>
      <c r="M63" s="57" t="str">
        <f t="shared" ca="1" si="5"/>
        <v/>
      </c>
      <c r="N63" s="7"/>
      <c r="O63" s="7"/>
      <c r="P63" s="7"/>
      <c r="Q63" s="7"/>
      <c r="R63" s="7"/>
      <c r="S63" s="6"/>
      <c r="T63" s="6"/>
      <c r="U63" s="6"/>
      <c r="V63" s="6"/>
      <c r="W63" s="6"/>
      <c r="X63" s="6"/>
      <c r="Y63" s="6"/>
      <c r="Z63" s="6"/>
      <c r="AA63" s="32"/>
      <c r="AB63"/>
      <c r="AC63"/>
      <c r="AD63"/>
      <c r="AE63"/>
      <c r="AF63"/>
      <c r="AG63"/>
      <c r="AH63"/>
      <c r="AI63"/>
      <c r="AJ63"/>
      <c r="AK63"/>
      <c r="AL63"/>
    </row>
    <row r="64" spans="1:38">
      <c r="A64" s="34" t="str" cm="1">
        <f t="array" aca="1" ref="A64" ca="1">IFERROR(INDEX(_xlfn.ANCHORARRAY($AA$11),ROW()-10,1),"")</f>
        <v/>
      </c>
      <c r="B64" s="20" t="str" cm="1">
        <f t="array" aca="1" ref="B64" ca="1">IFERROR(INDEX(_xlfn.ANCHORARRAY($AA$11),ROW()-10,2),"")</f>
        <v/>
      </c>
      <c r="C64" s="4" t="str" cm="1">
        <f t="array" aca="1" ref="C64" ca="1">IFERROR(INDEX(_xlfn.ANCHORARRAY($AA$11),ROW()-10,3),"")</f>
        <v/>
      </c>
      <c r="D64" s="15" t="str" cm="1">
        <f t="array" aca="1" ref="D64" ca="1">IFERROR(INDEX(_xlfn.ANCHORARRAY($AA$11),ROW()-10,4),"")</f>
        <v/>
      </c>
      <c r="E64" s="4" t="str" cm="1">
        <f t="array" aca="1" ref="E64" ca="1">IFERROR(INDEX(_xlfn.ANCHORARRAY($AA$11),ROW()-10,5),"")</f>
        <v/>
      </c>
      <c r="F64" s="15" t="str" cm="1">
        <f t="array" aca="1" ref="F64" ca="1">IFERROR(INDEX(_xlfn.ANCHORARRAY($AA$11),ROW()-10,6),"")</f>
        <v/>
      </c>
      <c r="G64" s="4" t="str" cm="1">
        <f t="array" aca="1" ref="G64" ca="1">IFERROR(INDEX(_xlfn.ANCHORARRAY($AA$11),ROW()-10,7),"")</f>
        <v/>
      </c>
      <c r="H64" s="4" t="str" cm="1">
        <f t="array" aca="1" ref="H64" ca="1">IFERROR(INDEX(_xlfn.ANCHORARRAY($AA$11),ROW()-10,8),"")</f>
        <v/>
      </c>
      <c r="I64" s="4" t="str" cm="1">
        <f t="array" aca="1" ref="I64" ca="1">IFERROR(INDEX(_xlfn.ANCHORARRAY($AA$11),ROW()-10,9),"")</f>
        <v/>
      </c>
      <c r="J64" s="4" t="str">
        <f t="shared" ca="1" si="3"/>
        <v/>
      </c>
      <c r="K64" s="4" t="str">
        <f t="shared" ca="1" si="4"/>
        <v/>
      </c>
      <c r="L64" s="4" t="str" cm="1">
        <f t="array" aca="1" ref="L64" ca="1">_xlfn.LET(_xlpm.link,IFERROR(INDEX(_xlfn.ANCHORARRAY($AA$11),ROW()-10,12),""),IF(_xlpm.link="","",HYPERLINK(_xlpm.link,"Bluecore/Attentive")))</f>
        <v/>
      </c>
      <c r="M64" s="58" t="str">
        <f t="shared" ca="1" si="5"/>
        <v/>
      </c>
      <c r="N64" s="7"/>
      <c r="O64" s="7"/>
      <c r="P64" s="7"/>
      <c r="Q64" s="7"/>
      <c r="R64" s="7"/>
      <c r="S64" s="6"/>
      <c r="T64" s="6"/>
      <c r="U64" s="6"/>
      <c r="V64" s="6"/>
      <c r="W64" s="6"/>
      <c r="X64" s="6"/>
      <c r="Y64" s="6"/>
      <c r="Z64" s="6"/>
      <c r="AA64" s="32"/>
      <c r="AB64"/>
      <c r="AC64"/>
      <c r="AD64"/>
      <c r="AE64"/>
      <c r="AF64"/>
      <c r="AG64"/>
      <c r="AH64"/>
      <c r="AI64"/>
      <c r="AJ64"/>
      <c r="AK64"/>
      <c r="AL64"/>
    </row>
    <row r="65" spans="1:38">
      <c r="A65" s="34" t="str" cm="1">
        <f t="array" aca="1" ref="A65" ca="1">IFERROR(INDEX(_xlfn.ANCHORARRAY($AA$11),ROW()-10,1),"")</f>
        <v/>
      </c>
      <c r="B65" s="20" t="str" cm="1">
        <f t="array" aca="1" ref="B65" ca="1">IFERROR(INDEX(_xlfn.ANCHORARRAY($AA$11),ROW()-10,2),"")</f>
        <v/>
      </c>
      <c r="C65" s="4" t="str" cm="1">
        <f t="array" aca="1" ref="C65" ca="1">IFERROR(INDEX(_xlfn.ANCHORARRAY($AA$11),ROW()-10,3),"")</f>
        <v/>
      </c>
      <c r="D65" s="15" t="str" cm="1">
        <f t="array" aca="1" ref="D65" ca="1">IFERROR(INDEX(_xlfn.ANCHORARRAY($AA$11),ROW()-10,4),"")</f>
        <v/>
      </c>
      <c r="E65" s="4" t="str" cm="1">
        <f t="array" aca="1" ref="E65" ca="1">IFERROR(INDEX(_xlfn.ANCHORARRAY($AA$11),ROW()-10,5),"")</f>
        <v/>
      </c>
      <c r="F65" s="15" t="str" cm="1">
        <f t="array" aca="1" ref="F65" ca="1">IFERROR(INDEX(_xlfn.ANCHORARRAY($AA$11),ROW()-10,6),"")</f>
        <v/>
      </c>
      <c r="G65" s="4" t="str" cm="1">
        <f t="array" aca="1" ref="G65" ca="1">IFERROR(INDEX(_xlfn.ANCHORARRAY($AA$11),ROW()-10,7),"")</f>
        <v/>
      </c>
      <c r="H65" s="4" t="str" cm="1">
        <f t="array" aca="1" ref="H65" ca="1">IFERROR(INDEX(_xlfn.ANCHORARRAY($AA$11),ROW()-10,8),"")</f>
        <v/>
      </c>
      <c r="I65" s="4" t="str" cm="1">
        <f t="array" aca="1" ref="I65" ca="1">IFERROR(INDEX(_xlfn.ANCHORARRAY($AA$11),ROW()-10,9),"")</f>
        <v/>
      </c>
      <c r="J65" s="4" t="str">
        <f t="shared" ca="1" si="3"/>
        <v/>
      </c>
      <c r="K65" s="4" t="str">
        <f t="shared" ca="1" si="4"/>
        <v/>
      </c>
      <c r="L65" s="4" t="str" cm="1">
        <f t="array" aca="1" ref="L65" ca="1">_xlfn.LET(_xlpm.link,IFERROR(INDEX(_xlfn.ANCHORARRAY($AA$11),ROW()-10,12),""),IF(_xlpm.link="","",HYPERLINK(_xlpm.link,"Bluecore/Attentive")))</f>
        <v/>
      </c>
      <c r="M65" s="57" t="str">
        <f t="shared" ca="1" si="5"/>
        <v/>
      </c>
      <c r="N65" s="7"/>
      <c r="O65" s="7"/>
      <c r="P65" s="7"/>
      <c r="Q65" s="7"/>
      <c r="R65" s="7"/>
      <c r="S65" s="6"/>
      <c r="T65" s="6"/>
      <c r="U65" s="6"/>
      <c r="V65" s="6"/>
      <c r="W65" s="6"/>
      <c r="X65" s="6"/>
      <c r="Y65" s="6"/>
      <c r="Z65" s="6"/>
      <c r="AA65" s="32"/>
      <c r="AB65"/>
      <c r="AC65"/>
      <c r="AD65"/>
      <c r="AE65"/>
      <c r="AF65"/>
      <c r="AG65"/>
      <c r="AH65"/>
      <c r="AI65"/>
      <c r="AJ65"/>
      <c r="AK65"/>
      <c r="AL65"/>
    </row>
    <row r="66" spans="1:38">
      <c r="A66" s="34" t="str" cm="1">
        <f t="array" aca="1" ref="A66" ca="1">IFERROR(INDEX(_xlfn.ANCHORARRAY($AA$11),ROW()-10,1),"")</f>
        <v/>
      </c>
      <c r="B66" s="20" t="str" cm="1">
        <f t="array" aca="1" ref="B66" ca="1">IFERROR(INDEX(_xlfn.ANCHORARRAY($AA$11),ROW()-10,2),"")</f>
        <v/>
      </c>
      <c r="C66" s="4" t="str" cm="1">
        <f t="array" aca="1" ref="C66" ca="1">IFERROR(INDEX(_xlfn.ANCHORARRAY($AA$11),ROW()-10,3),"")</f>
        <v/>
      </c>
      <c r="D66" s="15" t="str" cm="1">
        <f t="array" aca="1" ref="D66" ca="1">IFERROR(INDEX(_xlfn.ANCHORARRAY($AA$11),ROW()-10,4),"")</f>
        <v/>
      </c>
      <c r="E66" s="4" t="str" cm="1">
        <f t="array" aca="1" ref="E66" ca="1">IFERROR(INDEX(_xlfn.ANCHORARRAY($AA$11),ROW()-10,5),"")</f>
        <v/>
      </c>
      <c r="F66" s="15" t="str" cm="1">
        <f t="array" aca="1" ref="F66" ca="1">IFERROR(INDEX(_xlfn.ANCHORARRAY($AA$11),ROW()-10,6),"")</f>
        <v/>
      </c>
      <c r="G66" s="4" t="str" cm="1">
        <f t="array" aca="1" ref="G66" ca="1">IFERROR(INDEX(_xlfn.ANCHORARRAY($AA$11),ROW()-10,7),"")</f>
        <v/>
      </c>
      <c r="H66" s="4" t="str" cm="1">
        <f t="array" aca="1" ref="H66" ca="1">IFERROR(INDEX(_xlfn.ANCHORARRAY($AA$11),ROW()-10,8),"")</f>
        <v/>
      </c>
      <c r="I66" s="4" t="str" cm="1">
        <f t="array" aca="1" ref="I66" ca="1">IFERROR(INDEX(_xlfn.ANCHORARRAY($AA$11),ROW()-10,9),"")</f>
        <v/>
      </c>
      <c r="J66" s="4" t="str">
        <f t="shared" ca="1" si="3"/>
        <v/>
      </c>
      <c r="K66" s="4" t="str">
        <f t="shared" ca="1" si="4"/>
        <v/>
      </c>
      <c r="L66" s="4" t="str" cm="1">
        <f t="array" aca="1" ref="L66" ca="1">_xlfn.LET(_xlpm.link,IFERROR(INDEX(_xlfn.ANCHORARRAY($AA$11),ROW()-10,12),""),IF(_xlpm.link="","",HYPERLINK(_xlpm.link,"Bluecore/Attentive")))</f>
        <v/>
      </c>
      <c r="M66" s="58" t="str">
        <f t="shared" ca="1" si="5"/>
        <v/>
      </c>
      <c r="N66" s="7"/>
      <c r="O66" s="7"/>
      <c r="P66" s="7"/>
      <c r="Q66" s="7"/>
      <c r="R66" s="7"/>
      <c r="S66" s="6"/>
      <c r="T66" s="6"/>
      <c r="U66" s="6"/>
      <c r="V66" s="6"/>
      <c r="W66" s="6"/>
      <c r="X66" s="6"/>
      <c r="Y66" s="6"/>
      <c r="Z66" s="6"/>
      <c r="AA66" s="32"/>
      <c r="AB66"/>
      <c r="AC66"/>
      <c r="AD66"/>
      <c r="AE66"/>
      <c r="AF66"/>
      <c r="AG66"/>
      <c r="AH66"/>
      <c r="AI66"/>
      <c r="AJ66"/>
      <c r="AK66"/>
      <c r="AL66"/>
    </row>
    <row r="67" spans="1:38">
      <c r="A67" s="34" t="str" cm="1">
        <f t="array" aca="1" ref="A67" ca="1">IFERROR(INDEX(_xlfn.ANCHORARRAY($AA$11),ROW()-10,1),"")</f>
        <v/>
      </c>
      <c r="B67" s="20" t="str" cm="1">
        <f t="array" aca="1" ref="B67" ca="1">IFERROR(INDEX(_xlfn.ANCHORARRAY($AA$11),ROW()-10,2),"")</f>
        <v/>
      </c>
      <c r="C67" s="4" t="str" cm="1">
        <f t="array" aca="1" ref="C67" ca="1">IFERROR(INDEX(_xlfn.ANCHORARRAY($AA$11),ROW()-10,3),"")</f>
        <v/>
      </c>
      <c r="D67" s="15" t="str" cm="1">
        <f t="array" aca="1" ref="D67" ca="1">IFERROR(INDEX(_xlfn.ANCHORARRAY($AA$11),ROW()-10,4),"")</f>
        <v/>
      </c>
      <c r="E67" s="4" t="str" cm="1">
        <f t="array" aca="1" ref="E67" ca="1">IFERROR(INDEX(_xlfn.ANCHORARRAY($AA$11),ROW()-10,5),"")</f>
        <v/>
      </c>
      <c r="F67" s="15" t="str" cm="1">
        <f t="array" aca="1" ref="F67" ca="1">IFERROR(INDEX(_xlfn.ANCHORARRAY($AA$11),ROW()-10,6),"")</f>
        <v/>
      </c>
      <c r="G67" s="4" t="str" cm="1">
        <f t="array" aca="1" ref="G67" ca="1">IFERROR(INDEX(_xlfn.ANCHORARRAY($AA$11),ROW()-10,7),"")</f>
        <v/>
      </c>
      <c r="H67" s="4" t="str" cm="1">
        <f t="array" aca="1" ref="H67" ca="1">IFERROR(INDEX(_xlfn.ANCHORARRAY($AA$11),ROW()-10,8),"")</f>
        <v/>
      </c>
      <c r="I67" s="4" t="str" cm="1">
        <f t="array" aca="1" ref="I67" ca="1">IFERROR(INDEX(_xlfn.ANCHORARRAY($AA$11),ROW()-10,9),"")</f>
        <v/>
      </c>
      <c r="J67" s="4" t="str">
        <f t="shared" ca="1" si="3"/>
        <v/>
      </c>
      <c r="K67" s="4" t="str">
        <f t="shared" ca="1" si="4"/>
        <v/>
      </c>
      <c r="L67" s="4" t="str" cm="1">
        <f t="array" aca="1" ref="L67" ca="1">_xlfn.LET(_xlpm.link,IFERROR(INDEX(_xlfn.ANCHORARRAY($AA$11),ROW()-10,12),""),IF(_xlpm.link="","",HYPERLINK(_xlpm.link,"Bluecore/Attentive")))</f>
        <v/>
      </c>
      <c r="M67" s="57" t="str">
        <f t="shared" ca="1" si="5"/>
        <v/>
      </c>
      <c r="N67" s="7"/>
      <c r="O67" s="7"/>
      <c r="P67" s="7"/>
      <c r="Q67" s="7"/>
      <c r="R67" s="7"/>
      <c r="S67" s="6"/>
      <c r="T67" s="6"/>
      <c r="U67" s="6"/>
      <c r="V67" s="6"/>
      <c r="W67" s="6"/>
      <c r="X67" s="6"/>
      <c r="Y67" s="6"/>
      <c r="Z67" s="6"/>
      <c r="AA67" s="32"/>
      <c r="AB67"/>
      <c r="AC67"/>
      <c r="AD67"/>
      <c r="AE67"/>
      <c r="AF67"/>
      <c r="AG67"/>
      <c r="AH67"/>
      <c r="AI67"/>
      <c r="AJ67"/>
      <c r="AK67"/>
      <c r="AL67"/>
    </row>
    <row r="68" spans="1:38">
      <c r="A68" s="34" t="str" cm="1">
        <f t="array" aca="1" ref="A68" ca="1">IFERROR(INDEX(_xlfn.ANCHORARRAY($AA$11),ROW()-10,1),"")</f>
        <v/>
      </c>
      <c r="B68" s="20" t="str" cm="1">
        <f t="array" aca="1" ref="B68" ca="1">IFERROR(INDEX(_xlfn.ANCHORARRAY($AA$11),ROW()-10,2),"")</f>
        <v/>
      </c>
      <c r="C68" s="4" t="str" cm="1">
        <f t="array" aca="1" ref="C68" ca="1">IFERROR(INDEX(_xlfn.ANCHORARRAY($AA$11),ROW()-10,3),"")</f>
        <v/>
      </c>
      <c r="D68" s="15" t="str" cm="1">
        <f t="array" aca="1" ref="D68" ca="1">IFERROR(INDEX(_xlfn.ANCHORARRAY($AA$11),ROW()-10,4),"")</f>
        <v/>
      </c>
      <c r="E68" s="4" t="str" cm="1">
        <f t="array" aca="1" ref="E68" ca="1">IFERROR(INDEX(_xlfn.ANCHORARRAY($AA$11),ROW()-10,5),"")</f>
        <v/>
      </c>
      <c r="F68" s="15" t="str" cm="1">
        <f t="array" aca="1" ref="F68" ca="1">IFERROR(INDEX(_xlfn.ANCHORARRAY($AA$11),ROW()-10,6),"")</f>
        <v/>
      </c>
      <c r="G68" s="4" t="str" cm="1">
        <f t="array" aca="1" ref="G68" ca="1">IFERROR(INDEX(_xlfn.ANCHORARRAY($AA$11),ROW()-10,7),"")</f>
        <v/>
      </c>
      <c r="H68" s="4" t="str" cm="1">
        <f t="array" aca="1" ref="H68" ca="1">IFERROR(INDEX(_xlfn.ANCHORARRAY($AA$11),ROW()-10,8),"")</f>
        <v/>
      </c>
      <c r="I68" s="4" t="str" cm="1">
        <f t="array" aca="1" ref="I68" ca="1">IFERROR(INDEX(_xlfn.ANCHORARRAY($AA$11),ROW()-10,9),"")</f>
        <v/>
      </c>
      <c r="J68" s="4" t="str">
        <f t="shared" ca="1" si="3"/>
        <v/>
      </c>
      <c r="K68" s="4" t="str">
        <f t="shared" ca="1" si="4"/>
        <v/>
      </c>
      <c r="L68" s="4" t="str" cm="1">
        <f t="array" aca="1" ref="L68" ca="1">_xlfn.LET(_xlpm.link,IFERROR(INDEX(_xlfn.ANCHORARRAY($AA$11),ROW()-10,12),""),IF(_xlpm.link="","",HYPERLINK(_xlpm.link,"Bluecore/Attentive")))</f>
        <v/>
      </c>
      <c r="M68" s="58" t="str">
        <f t="shared" ca="1" si="5"/>
        <v/>
      </c>
      <c r="N68" s="7"/>
      <c r="O68" s="7"/>
      <c r="P68" s="7"/>
      <c r="Q68" s="7"/>
      <c r="R68" s="7"/>
      <c r="S68" s="6"/>
      <c r="T68" s="6"/>
      <c r="U68" s="6"/>
      <c r="V68" s="6"/>
      <c r="W68" s="6"/>
      <c r="X68" s="6"/>
      <c r="Y68" s="6"/>
      <c r="Z68" s="6"/>
      <c r="AA68" s="32"/>
      <c r="AB68"/>
      <c r="AC68"/>
      <c r="AD68"/>
      <c r="AE68"/>
      <c r="AF68"/>
      <c r="AG68"/>
      <c r="AH68"/>
      <c r="AI68"/>
      <c r="AJ68"/>
      <c r="AK68"/>
      <c r="AL68"/>
    </row>
    <row r="69" spans="1:38">
      <c r="A69" s="34" t="str" cm="1">
        <f t="array" aca="1" ref="A69" ca="1">IFERROR(INDEX(_xlfn.ANCHORARRAY($AA$11),ROW()-10,1),"")</f>
        <v/>
      </c>
      <c r="B69" s="20" t="str" cm="1">
        <f t="array" aca="1" ref="B69" ca="1">IFERROR(INDEX(_xlfn.ANCHORARRAY($AA$11),ROW()-10,2),"")</f>
        <v/>
      </c>
      <c r="C69" s="4" t="str" cm="1">
        <f t="array" aca="1" ref="C69" ca="1">IFERROR(INDEX(_xlfn.ANCHORARRAY($AA$11),ROW()-10,3),"")</f>
        <v/>
      </c>
      <c r="D69" s="15" t="str" cm="1">
        <f t="array" aca="1" ref="D69" ca="1">IFERROR(INDEX(_xlfn.ANCHORARRAY($AA$11),ROW()-10,4),"")</f>
        <v/>
      </c>
      <c r="E69" s="4" t="str" cm="1">
        <f t="array" aca="1" ref="E69" ca="1">IFERROR(INDEX(_xlfn.ANCHORARRAY($AA$11),ROW()-10,5),"")</f>
        <v/>
      </c>
      <c r="F69" s="15" t="str" cm="1">
        <f t="array" aca="1" ref="F69" ca="1">IFERROR(INDEX(_xlfn.ANCHORARRAY($AA$11),ROW()-10,6),"")</f>
        <v/>
      </c>
      <c r="G69" s="4" t="str" cm="1">
        <f t="array" aca="1" ref="G69" ca="1">IFERROR(INDEX(_xlfn.ANCHORARRAY($AA$11),ROW()-10,7),"")</f>
        <v/>
      </c>
      <c r="H69" s="4" t="str" cm="1">
        <f t="array" aca="1" ref="H69" ca="1">IFERROR(INDEX(_xlfn.ANCHORARRAY($AA$11),ROW()-10,8),"")</f>
        <v/>
      </c>
      <c r="I69" s="4" t="str" cm="1">
        <f t="array" aca="1" ref="I69" ca="1">IFERROR(INDEX(_xlfn.ANCHORARRAY($AA$11),ROW()-10,9),"")</f>
        <v/>
      </c>
      <c r="J69" s="4" t="str">
        <f t="shared" ca="1" si="3"/>
        <v/>
      </c>
      <c r="K69" s="4" t="str">
        <f t="shared" ca="1" si="4"/>
        <v/>
      </c>
      <c r="L69" s="4" t="str" cm="1">
        <f t="array" aca="1" ref="L69" ca="1">_xlfn.LET(_xlpm.link,IFERROR(INDEX(_xlfn.ANCHORARRAY($AA$11),ROW()-10,12),""),IF(_xlpm.link="","",HYPERLINK(_xlpm.link,"Bluecore/Attentive")))</f>
        <v/>
      </c>
      <c r="M69" s="57" t="str">
        <f t="shared" ca="1" si="5"/>
        <v/>
      </c>
      <c r="N69" s="7"/>
      <c r="O69" s="7"/>
      <c r="P69" s="7"/>
      <c r="Q69" s="7"/>
      <c r="R69" s="7"/>
      <c r="S69" s="6"/>
      <c r="T69" s="6"/>
      <c r="U69" s="6"/>
      <c r="V69" s="6"/>
      <c r="W69" s="6"/>
      <c r="X69" s="6"/>
      <c r="Y69" s="6"/>
      <c r="Z69" s="6"/>
      <c r="AA69" s="32"/>
      <c r="AB69"/>
      <c r="AC69"/>
      <c r="AD69"/>
      <c r="AE69"/>
      <c r="AF69"/>
      <c r="AG69"/>
      <c r="AH69"/>
      <c r="AI69"/>
      <c r="AJ69"/>
      <c r="AK69"/>
      <c r="AL69"/>
    </row>
    <row r="70" spans="1:38">
      <c r="A70" s="34" t="str" cm="1">
        <f t="array" aca="1" ref="A70" ca="1">IFERROR(INDEX(_xlfn.ANCHORARRAY($AA$11),ROW()-10,1),"")</f>
        <v/>
      </c>
      <c r="B70" s="20" t="str" cm="1">
        <f t="array" aca="1" ref="B70" ca="1">IFERROR(INDEX(_xlfn.ANCHORARRAY($AA$11),ROW()-10,2),"")</f>
        <v/>
      </c>
      <c r="C70" s="4" t="str" cm="1">
        <f t="array" aca="1" ref="C70" ca="1">IFERROR(INDEX(_xlfn.ANCHORARRAY($AA$11),ROW()-10,3),"")</f>
        <v/>
      </c>
      <c r="D70" s="15" t="str" cm="1">
        <f t="array" aca="1" ref="D70" ca="1">IFERROR(INDEX(_xlfn.ANCHORARRAY($AA$11),ROW()-10,4),"")</f>
        <v/>
      </c>
      <c r="E70" s="4" t="str" cm="1">
        <f t="array" aca="1" ref="E70" ca="1">IFERROR(INDEX(_xlfn.ANCHORARRAY($AA$11),ROW()-10,5),"")</f>
        <v/>
      </c>
      <c r="F70" s="15" t="str" cm="1">
        <f t="array" aca="1" ref="F70" ca="1">IFERROR(INDEX(_xlfn.ANCHORARRAY($AA$11),ROW()-10,6),"")</f>
        <v/>
      </c>
      <c r="G70" s="4" t="str" cm="1">
        <f t="array" aca="1" ref="G70" ca="1">IFERROR(INDEX(_xlfn.ANCHORARRAY($AA$11),ROW()-10,7),"")</f>
        <v/>
      </c>
      <c r="H70" s="4" t="str" cm="1">
        <f t="array" aca="1" ref="H70" ca="1">IFERROR(INDEX(_xlfn.ANCHORARRAY($AA$11),ROW()-10,8),"")</f>
        <v/>
      </c>
      <c r="I70" s="4" t="str" cm="1">
        <f t="array" aca="1" ref="I70" ca="1">IFERROR(INDEX(_xlfn.ANCHORARRAY($AA$11),ROW()-10,9),"")</f>
        <v/>
      </c>
      <c r="J70" s="4" t="str">
        <f t="shared" ca="1" si="3"/>
        <v/>
      </c>
      <c r="K70" s="4" t="str">
        <f t="shared" ca="1" si="4"/>
        <v/>
      </c>
      <c r="L70" s="4" t="str" cm="1">
        <f t="array" aca="1" ref="L70" ca="1">_xlfn.LET(_xlpm.link,IFERROR(INDEX(_xlfn.ANCHORARRAY($AA$11),ROW()-10,12),""),IF(_xlpm.link="","",HYPERLINK(_xlpm.link,"Bluecore/Attentive")))</f>
        <v/>
      </c>
      <c r="M70" s="58" t="str">
        <f t="shared" ca="1" si="5"/>
        <v/>
      </c>
      <c r="N70" s="7"/>
      <c r="O70" s="7"/>
      <c r="P70" s="7"/>
      <c r="Q70" s="7"/>
      <c r="R70" s="7"/>
      <c r="S70" s="6"/>
      <c r="T70" s="6"/>
      <c r="U70" s="6"/>
      <c r="V70" s="6"/>
      <c r="W70" s="6"/>
      <c r="X70" s="6"/>
      <c r="Y70" s="6"/>
      <c r="Z70" s="6"/>
      <c r="AA70" s="32"/>
      <c r="AB70"/>
      <c r="AC70"/>
      <c r="AD70"/>
      <c r="AE70"/>
      <c r="AF70"/>
      <c r="AG70"/>
      <c r="AH70"/>
      <c r="AI70"/>
      <c r="AJ70"/>
      <c r="AK70"/>
      <c r="AL70"/>
    </row>
    <row r="71" spans="1:38">
      <c r="A71" s="34" t="str" cm="1">
        <f t="array" aca="1" ref="A71" ca="1">IFERROR(INDEX(_xlfn.ANCHORARRAY($AA$11),ROW()-10,1),"")</f>
        <v/>
      </c>
      <c r="B71" s="20" t="str" cm="1">
        <f t="array" aca="1" ref="B71" ca="1">IFERROR(INDEX(_xlfn.ANCHORARRAY($AA$11),ROW()-10,2),"")</f>
        <v/>
      </c>
      <c r="C71" s="4" t="str" cm="1">
        <f t="array" aca="1" ref="C71" ca="1">IFERROR(INDEX(_xlfn.ANCHORARRAY($AA$11),ROW()-10,3),"")</f>
        <v/>
      </c>
      <c r="D71" s="15" t="str" cm="1">
        <f t="array" aca="1" ref="D71" ca="1">IFERROR(INDEX(_xlfn.ANCHORARRAY($AA$11),ROW()-10,4),"")</f>
        <v/>
      </c>
      <c r="E71" s="4" t="str" cm="1">
        <f t="array" aca="1" ref="E71" ca="1">IFERROR(INDEX(_xlfn.ANCHORARRAY($AA$11),ROW()-10,5),"")</f>
        <v/>
      </c>
      <c r="F71" s="15" t="str" cm="1">
        <f t="array" aca="1" ref="F71" ca="1">IFERROR(INDEX(_xlfn.ANCHORARRAY($AA$11),ROW()-10,6),"")</f>
        <v/>
      </c>
      <c r="G71" s="4" t="str" cm="1">
        <f t="array" aca="1" ref="G71" ca="1">IFERROR(INDEX(_xlfn.ANCHORARRAY($AA$11),ROW()-10,7),"")</f>
        <v/>
      </c>
      <c r="H71" s="4" t="str" cm="1">
        <f t="array" aca="1" ref="H71" ca="1">IFERROR(INDEX(_xlfn.ANCHORARRAY($AA$11),ROW()-10,8),"")</f>
        <v/>
      </c>
      <c r="I71" s="4" t="str" cm="1">
        <f t="array" aca="1" ref="I71" ca="1">IFERROR(INDEX(_xlfn.ANCHORARRAY($AA$11),ROW()-10,9),"")</f>
        <v/>
      </c>
      <c r="J71" s="4" t="str">
        <f t="shared" ca="1" si="3"/>
        <v/>
      </c>
      <c r="K71" s="4" t="str">
        <f t="shared" ca="1" si="4"/>
        <v/>
      </c>
      <c r="L71" s="4" t="str" cm="1">
        <f t="array" aca="1" ref="L71" ca="1">_xlfn.LET(_xlpm.link,IFERROR(INDEX(_xlfn.ANCHORARRAY($AA$11),ROW()-10,12),""),IF(_xlpm.link="","",HYPERLINK(_xlpm.link,"Bluecore/Attentive")))</f>
        <v/>
      </c>
      <c r="M71" s="57" t="str">
        <f t="shared" ca="1" si="5"/>
        <v/>
      </c>
      <c r="N71" s="7"/>
      <c r="O71" s="7"/>
      <c r="P71" s="7"/>
      <c r="Q71" s="7"/>
      <c r="R71" s="7"/>
      <c r="S71" s="6"/>
      <c r="T71" s="6"/>
      <c r="U71" s="6"/>
      <c r="V71" s="6"/>
      <c r="W71" s="6"/>
      <c r="X71" s="6"/>
      <c r="Y71" s="6"/>
      <c r="Z71" s="6"/>
      <c r="AA71" s="32"/>
      <c r="AB71"/>
      <c r="AC71"/>
      <c r="AD71"/>
      <c r="AE71"/>
      <c r="AF71"/>
      <c r="AG71"/>
      <c r="AH71"/>
      <c r="AI71"/>
      <c r="AJ71"/>
      <c r="AK71"/>
      <c r="AL71"/>
    </row>
    <row r="72" spans="1:38">
      <c r="A72" s="34" t="str" cm="1">
        <f t="array" aca="1" ref="A72" ca="1">IFERROR(INDEX(_xlfn.ANCHORARRAY($AA$11),ROW()-10,1),"")</f>
        <v/>
      </c>
      <c r="B72" s="20" t="str" cm="1">
        <f t="array" aca="1" ref="B72" ca="1">IFERROR(INDEX(_xlfn.ANCHORARRAY($AA$11),ROW()-10,2),"")</f>
        <v/>
      </c>
      <c r="C72" s="4" t="str" cm="1">
        <f t="array" aca="1" ref="C72" ca="1">IFERROR(INDEX(_xlfn.ANCHORARRAY($AA$11),ROW()-10,3),"")</f>
        <v/>
      </c>
      <c r="D72" s="15" t="str" cm="1">
        <f t="array" aca="1" ref="D72" ca="1">IFERROR(INDEX(_xlfn.ANCHORARRAY($AA$11),ROW()-10,4),"")</f>
        <v/>
      </c>
      <c r="E72" s="4" t="str" cm="1">
        <f t="array" aca="1" ref="E72" ca="1">IFERROR(INDEX(_xlfn.ANCHORARRAY($AA$11),ROW()-10,5),"")</f>
        <v/>
      </c>
      <c r="F72" s="15" t="str" cm="1">
        <f t="array" aca="1" ref="F72" ca="1">IFERROR(INDEX(_xlfn.ANCHORARRAY($AA$11),ROW()-10,6),"")</f>
        <v/>
      </c>
      <c r="G72" s="4" t="str" cm="1">
        <f t="array" aca="1" ref="G72" ca="1">IFERROR(INDEX(_xlfn.ANCHORARRAY($AA$11),ROW()-10,7),"")</f>
        <v/>
      </c>
      <c r="H72" s="4" t="str" cm="1">
        <f t="array" aca="1" ref="H72" ca="1">IFERROR(INDEX(_xlfn.ANCHORARRAY($AA$11),ROW()-10,8),"")</f>
        <v/>
      </c>
      <c r="I72" s="4" t="str" cm="1">
        <f t="array" aca="1" ref="I72" ca="1">IFERROR(INDEX(_xlfn.ANCHORARRAY($AA$11),ROW()-10,9),"")</f>
        <v/>
      </c>
      <c r="J72" s="4" t="str">
        <f t="shared" ca="1" si="3"/>
        <v/>
      </c>
      <c r="K72" s="4" t="str">
        <f t="shared" ca="1" si="4"/>
        <v/>
      </c>
      <c r="L72" s="4" t="str" cm="1">
        <f t="array" aca="1" ref="L72" ca="1">_xlfn.LET(_xlpm.link,IFERROR(INDEX(_xlfn.ANCHORARRAY($AA$11),ROW()-10,12),""),IF(_xlpm.link="","",HYPERLINK(_xlpm.link,"Bluecore/Attentive")))</f>
        <v/>
      </c>
      <c r="M72" s="58" t="str">
        <f t="shared" ca="1" si="5"/>
        <v/>
      </c>
      <c r="N72" s="7"/>
      <c r="O72" s="7"/>
      <c r="P72" s="7"/>
      <c r="Q72" s="7"/>
      <c r="R72" s="7"/>
      <c r="S72" s="6"/>
      <c r="T72" s="6"/>
      <c r="U72" s="6"/>
      <c r="V72" s="6"/>
      <c r="W72" s="6"/>
      <c r="X72" s="6"/>
      <c r="Y72" s="6"/>
      <c r="Z72" s="6"/>
      <c r="AA72" s="32"/>
      <c r="AB72"/>
      <c r="AC72"/>
      <c r="AD72"/>
      <c r="AE72"/>
      <c r="AF72"/>
      <c r="AG72"/>
      <c r="AH72"/>
      <c r="AI72"/>
      <c r="AJ72"/>
      <c r="AK72"/>
      <c r="AL72"/>
    </row>
    <row r="73" spans="1:38">
      <c r="A73" s="34" t="str" cm="1">
        <f t="array" aca="1" ref="A73" ca="1">IFERROR(INDEX(_xlfn.ANCHORARRAY($AA$11),ROW()-10,1),"")</f>
        <v/>
      </c>
      <c r="B73" s="20" t="str" cm="1">
        <f t="array" aca="1" ref="B73" ca="1">IFERROR(INDEX(_xlfn.ANCHORARRAY($AA$11),ROW()-10,2),"")</f>
        <v/>
      </c>
      <c r="C73" s="4" t="str" cm="1">
        <f t="array" aca="1" ref="C73" ca="1">IFERROR(INDEX(_xlfn.ANCHORARRAY($AA$11),ROW()-10,3),"")</f>
        <v/>
      </c>
      <c r="D73" s="15" t="str" cm="1">
        <f t="array" aca="1" ref="D73" ca="1">IFERROR(INDEX(_xlfn.ANCHORARRAY($AA$11),ROW()-10,4),"")</f>
        <v/>
      </c>
      <c r="E73" s="4" t="str" cm="1">
        <f t="array" aca="1" ref="E73" ca="1">IFERROR(INDEX(_xlfn.ANCHORARRAY($AA$11),ROW()-10,5),"")</f>
        <v/>
      </c>
      <c r="F73" s="15" t="str" cm="1">
        <f t="array" aca="1" ref="F73" ca="1">IFERROR(INDEX(_xlfn.ANCHORARRAY($AA$11),ROW()-10,6),"")</f>
        <v/>
      </c>
      <c r="G73" s="4" t="str" cm="1">
        <f t="array" aca="1" ref="G73" ca="1">IFERROR(INDEX(_xlfn.ANCHORARRAY($AA$11),ROW()-10,7),"")</f>
        <v/>
      </c>
      <c r="H73" s="4" t="str" cm="1">
        <f t="array" aca="1" ref="H73" ca="1">IFERROR(INDEX(_xlfn.ANCHORARRAY($AA$11),ROW()-10,8),"")</f>
        <v/>
      </c>
      <c r="I73" s="4" t="str" cm="1">
        <f t="array" aca="1" ref="I73" ca="1">IFERROR(INDEX(_xlfn.ANCHORARRAY($AA$11),ROW()-10,9),"")</f>
        <v/>
      </c>
      <c r="J73" s="4" t="str">
        <f t="shared" ca="1" si="3"/>
        <v/>
      </c>
      <c r="K73" s="4" t="str">
        <f t="shared" ca="1" si="4"/>
        <v/>
      </c>
      <c r="L73" s="4" t="str" cm="1">
        <f t="array" aca="1" ref="L73" ca="1">_xlfn.LET(_xlpm.link,IFERROR(INDEX(_xlfn.ANCHORARRAY($AA$11),ROW()-10,12),""),IF(_xlpm.link="","",HYPERLINK(_xlpm.link,"Bluecore/Attentive")))</f>
        <v/>
      </c>
      <c r="M73" s="57" t="str">
        <f t="shared" ca="1" si="5"/>
        <v/>
      </c>
      <c r="N73" s="7"/>
      <c r="O73" s="7"/>
      <c r="P73" s="7"/>
      <c r="Q73" s="7"/>
      <c r="R73" s="7"/>
      <c r="S73" s="6"/>
      <c r="T73" s="6"/>
      <c r="U73" s="6"/>
      <c r="V73" s="6"/>
      <c r="W73" s="6"/>
      <c r="X73" s="6"/>
      <c r="Y73" s="6"/>
      <c r="Z73" s="6"/>
      <c r="AA73" s="32"/>
      <c r="AB73"/>
      <c r="AC73"/>
      <c r="AD73"/>
      <c r="AE73"/>
      <c r="AF73"/>
      <c r="AG73"/>
      <c r="AH73"/>
      <c r="AI73"/>
      <c r="AJ73"/>
      <c r="AK73"/>
      <c r="AL73"/>
    </row>
    <row r="74" spans="1:38">
      <c r="A74" s="34" t="str" cm="1">
        <f t="array" aca="1" ref="A74" ca="1">IFERROR(INDEX(_xlfn.ANCHORARRAY($AA$11),ROW()-10,1),"")</f>
        <v/>
      </c>
      <c r="B74" s="20" t="str" cm="1">
        <f t="array" aca="1" ref="B74" ca="1">IFERROR(INDEX(_xlfn.ANCHORARRAY($AA$11),ROW()-10,2),"")</f>
        <v/>
      </c>
      <c r="C74" s="4" t="str" cm="1">
        <f t="array" aca="1" ref="C74" ca="1">IFERROR(INDEX(_xlfn.ANCHORARRAY($AA$11),ROW()-10,3),"")</f>
        <v/>
      </c>
      <c r="D74" s="15" t="str" cm="1">
        <f t="array" aca="1" ref="D74" ca="1">IFERROR(INDEX(_xlfn.ANCHORARRAY($AA$11),ROW()-10,4),"")</f>
        <v/>
      </c>
      <c r="E74" s="4" t="str" cm="1">
        <f t="array" aca="1" ref="E74" ca="1">IFERROR(INDEX(_xlfn.ANCHORARRAY($AA$11),ROW()-10,5),"")</f>
        <v/>
      </c>
      <c r="F74" s="15" t="str" cm="1">
        <f t="array" aca="1" ref="F74" ca="1">IFERROR(INDEX(_xlfn.ANCHORARRAY($AA$11),ROW()-10,6),"")</f>
        <v/>
      </c>
      <c r="G74" s="4" t="str" cm="1">
        <f t="array" aca="1" ref="G74" ca="1">IFERROR(INDEX(_xlfn.ANCHORARRAY($AA$11),ROW()-10,7),"")</f>
        <v/>
      </c>
      <c r="H74" s="4" t="str" cm="1">
        <f t="array" aca="1" ref="H74" ca="1">IFERROR(INDEX(_xlfn.ANCHORARRAY($AA$11),ROW()-10,8),"")</f>
        <v/>
      </c>
      <c r="I74" s="4" t="str" cm="1">
        <f t="array" aca="1" ref="I74" ca="1">IFERROR(INDEX(_xlfn.ANCHORARRAY($AA$11),ROW()-10,9),"")</f>
        <v/>
      </c>
      <c r="J74" s="4" t="str">
        <f t="shared" ca="1" si="3"/>
        <v/>
      </c>
      <c r="K74" s="4" t="str">
        <f t="shared" ca="1" si="4"/>
        <v/>
      </c>
      <c r="L74" s="4" t="str" cm="1">
        <f t="array" aca="1" ref="L74" ca="1">_xlfn.LET(_xlpm.link,IFERROR(INDEX(_xlfn.ANCHORARRAY($AA$11),ROW()-10,12),""),IF(_xlpm.link="","",HYPERLINK(_xlpm.link,"Bluecore/Attentive")))</f>
        <v/>
      </c>
      <c r="M74" s="58" t="str">
        <f t="shared" ca="1" si="5"/>
        <v/>
      </c>
      <c r="N74" s="7"/>
      <c r="O74" s="7"/>
      <c r="P74" s="7"/>
      <c r="Q74" s="7"/>
      <c r="R74" s="7"/>
      <c r="S74" s="6"/>
      <c r="T74" s="6"/>
      <c r="U74" s="6"/>
      <c r="V74" s="6"/>
      <c r="W74" s="6"/>
      <c r="X74" s="6"/>
      <c r="Y74" s="6"/>
      <c r="Z74" s="6"/>
      <c r="AA74" s="32"/>
      <c r="AB74"/>
      <c r="AC74"/>
      <c r="AD74"/>
      <c r="AE74"/>
      <c r="AF74"/>
      <c r="AG74"/>
      <c r="AH74"/>
      <c r="AI74"/>
      <c r="AJ74"/>
      <c r="AK74"/>
      <c r="AL74"/>
    </row>
    <row r="75" spans="1:38">
      <c r="A75" s="34" t="str" cm="1">
        <f t="array" aca="1" ref="A75" ca="1">IFERROR(INDEX(_xlfn.ANCHORARRAY($AA$11),ROW()-10,1),"")</f>
        <v/>
      </c>
      <c r="B75" s="20" t="str" cm="1">
        <f t="array" aca="1" ref="B75" ca="1">IFERROR(INDEX(_xlfn.ANCHORARRAY($AA$11),ROW()-10,2),"")</f>
        <v/>
      </c>
      <c r="C75" s="4" t="str" cm="1">
        <f t="array" aca="1" ref="C75" ca="1">IFERROR(INDEX(_xlfn.ANCHORARRAY($AA$11),ROW()-10,3),"")</f>
        <v/>
      </c>
      <c r="D75" s="15" t="str" cm="1">
        <f t="array" aca="1" ref="D75" ca="1">IFERROR(INDEX(_xlfn.ANCHORARRAY($AA$11),ROW()-10,4),"")</f>
        <v/>
      </c>
      <c r="E75" s="4" t="str" cm="1">
        <f t="array" aca="1" ref="E75" ca="1">IFERROR(INDEX(_xlfn.ANCHORARRAY($AA$11),ROW()-10,5),"")</f>
        <v/>
      </c>
      <c r="F75" s="15" t="str" cm="1">
        <f t="array" aca="1" ref="F75" ca="1">IFERROR(INDEX(_xlfn.ANCHORARRAY($AA$11),ROW()-10,6),"")</f>
        <v/>
      </c>
      <c r="G75" s="4" t="str" cm="1">
        <f t="array" aca="1" ref="G75" ca="1">IFERROR(INDEX(_xlfn.ANCHORARRAY($AA$11),ROW()-10,7),"")</f>
        <v/>
      </c>
      <c r="H75" s="4" t="str" cm="1">
        <f t="array" aca="1" ref="H75" ca="1">IFERROR(INDEX(_xlfn.ANCHORARRAY($AA$11),ROW()-10,8),"")</f>
        <v/>
      </c>
      <c r="I75" s="4" t="str" cm="1">
        <f t="array" aca="1" ref="I75" ca="1">IFERROR(INDEX(_xlfn.ANCHORARRAY($AA$11),ROW()-10,9),"")</f>
        <v/>
      </c>
      <c r="J75" s="4" t="str">
        <f t="shared" ref="J75:J106" ca="1" si="6">_xlfn.LET(_xlpm.ch,IFERROR(INDEX(_xlfn.ANCHORARRAY($AA$11),ROW()-10,3),""),_xlpm.link,IFERROR(INDEX(_xlfn.ANCHORARRAY($AA$11),ROW()-10,10),""),IF(OR(_xlpm.link="",_xlpm.ch="SMS"),"",HYPERLINK(_xlpm.link,"JIRA")))</f>
        <v/>
      </c>
      <c r="K75" s="4" t="str">
        <f t="shared" ref="K75:K106" ca="1" si="7">_xlfn.LET(_xlpm.ch,IFERROR(INDEX(_xlfn.ANCHORARRAY($AA$11),ROW()-10,3),""),_xlpm.link,IFERROR(INDEX(_xlfn.ANCHORARRAY($AA$11),ROW()-10,11),""),IF(OR(_xlpm.link="",_xlpm.ch="SMS"),"",HYPERLINK(_xlpm.link,"ClickUp")))</f>
        <v/>
      </c>
      <c r="L75" s="4" t="str" cm="1">
        <f t="array" aca="1" ref="L75" ca="1">_xlfn.LET(_xlpm.link,IFERROR(INDEX(_xlfn.ANCHORARRAY($AA$11),ROW()-10,12),""),IF(_xlpm.link="","",HYPERLINK(_xlpm.link,"Bluecore/Attentive")))</f>
        <v/>
      </c>
      <c r="M75" s="57" t="str">
        <f t="shared" ref="M75:M106" ca="1" si="8">_xlfn.LET(_xlpm.sendDate,$A75,_xlpm.camp,$D75&amp;"",_xlpm.code,LEFT(_xlpm.camp,6),_xlpm.parsed,IFERROR(DATE(2000+VALUE(MID(_xlpm.code,5,2)),VALUE(LEFT(_xlpm.code,2)),VALUE(MID(_xlpm.code,3,2))),""),_xlpm.useDate,IF(_xlpm.parsed="",IF(ISNUMBER(_xlpm.sendDate),INT(_xlpm.sendDate),""),_xlpm.parsed),IF(_xlpm.useDate="","","Week "&amp;WEEKNUM(_xlpm.useDate,1)))</f>
        <v/>
      </c>
      <c r="N75" s="7"/>
      <c r="O75" s="7"/>
      <c r="P75" s="7"/>
      <c r="Q75" s="7"/>
      <c r="R75" s="7"/>
      <c r="S75" s="6"/>
      <c r="T75" s="6"/>
      <c r="U75" s="6"/>
      <c r="V75" s="6"/>
      <c r="W75" s="6"/>
      <c r="X75" s="6"/>
      <c r="Y75" s="6"/>
      <c r="Z75" s="6"/>
      <c r="AA75" s="32"/>
      <c r="AB75"/>
      <c r="AC75"/>
      <c r="AD75"/>
      <c r="AE75"/>
      <c r="AF75"/>
      <c r="AG75"/>
      <c r="AH75"/>
      <c r="AI75"/>
      <c r="AJ75"/>
      <c r="AK75"/>
      <c r="AL75"/>
    </row>
    <row r="76" spans="1:38">
      <c r="A76" s="34" t="str" cm="1">
        <f t="array" aca="1" ref="A76" ca="1">IFERROR(INDEX(_xlfn.ANCHORARRAY($AA$11),ROW()-10,1),"")</f>
        <v/>
      </c>
      <c r="B76" s="20" t="str" cm="1">
        <f t="array" aca="1" ref="B76" ca="1">IFERROR(INDEX(_xlfn.ANCHORARRAY($AA$11),ROW()-10,2),"")</f>
        <v/>
      </c>
      <c r="C76" s="4" t="str" cm="1">
        <f t="array" aca="1" ref="C76" ca="1">IFERROR(INDEX(_xlfn.ANCHORARRAY($AA$11),ROW()-10,3),"")</f>
        <v/>
      </c>
      <c r="D76" s="15" t="str" cm="1">
        <f t="array" aca="1" ref="D76" ca="1">IFERROR(INDEX(_xlfn.ANCHORARRAY($AA$11),ROW()-10,4),"")</f>
        <v/>
      </c>
      <c r="E76" s="4" t="str" cm="1">
        <f t="array" aca="1" ref="E76" ca="1">IFERROR(INDEX(_xlfn.ANCHORARRAY($AA$11),ROW()-10,5),"")</f>
        <v/>
      </c>
      <c r="F76" s="15" t="str" cm="1">
        <f t="array" aca="1" ref="F76" ca="1">IFERROR(INDEX(_xlfn.ANCHORARRAY($AA$11),ROW()-10,6),"")</f>
        <v/>
      </c>
      <c r="G76" s="4" t="str" cm="1">
        <f t="array" aca="1" ref="G76" ca="1">IFERROR(INDEX(_xlfn.ANCHORARRAY($AA$11),ROW()-10,7),"")</f>
        <v/>
      </c>
      <c r="H76" s="4" t="str" cm="1">
        <f t="array" aca="1" ref="H76" ca="1">IFERROR(INDEX(_xlfn.ANCHORARRAY($AA$11),ROW()-10,8),"")</f>
        <v/>
      </c>
      <c r="I76" s="4" t="str" cm="1">
        <f t="array" aca="1" ref="I76" ca="1">IFERROR(INDEX(_xlfn.ANCHORARRAY($AA$11),ROW()-10,9),"")</f>
        <v/>
      </c>
      <c r="J76" s="4" t="str">
        <f t="shared" ca="1" si="6"/>
        <v/>
      </c>
      <c r="K76" s="4" t="str">
        <f t="shared" ca="1" si="7"/>
        <v/>
      </c>
      <c r="L76" s="4" t="str" cm="1">
        <f t="array" aca="1" ref="L76" ca="1">_xlfn.LET(_xlpm.link,IFERROR(INDEX(_xlfn.ANCHORARRAY($AA$11),ROW()-10,12),""),IF(_xlpm.link="","",HYPERLINK(_xlpm.link,"Bluecore/Attentive")))</f>
        <v/>
      </c>
      <c r="M76" s="58" t="str">
        <f t="shared" ca="1" si="8"/>
        <v/>
      </c>
      <c r="N76" s="7"/>
      <c r="O76" s="7"/>
      <c r="P76" s="7"/>
      <c r="Q76" s="7"/>
      <c r="R76" s="7"/>
      <c r="S76" s="6"/>
      <c r="T76" s="6"/>
      <c r="U76" s="6"/>
      <c r="V76" s="6"/>
      <c r="W76" s="6"/>
      <c r="X76" s="6"/>
      <c r="Y76" s="6"/>
      <c r="Z76" s="6"/>
      <c r="AA76" s="32"/>
      <c r="AB76"/>
      <c r="AC76"/>
      <c r="AD76"/>
      <c r="AE76"/>
      <c r="AF76"/>
      <c r="AG76"/>
      <c r="AH76"/>
      <c r="AI76"/>
      <c r="AJ76"/>
      <c r="AK76"/>
      <c r="AL76"/>
    </row>
    <row r="77" spans="1:38">
      <c r="A77" s="34" t="str" cm="1">
        <f t="array" aca="1" ref="A77" ca="1">IFERROR(INDEX(_xlfn.ANCHORARRAY($AA$11),ROW()-10,1),"")</f>
        <v/>
      </c>
      <c r="B77" s="20" t="str" cm="1">
        <f t="array" aca="1" ref="B77" ca="1">IFERROR(INDEX(_xlfn.ANCHORARRAY($AA$11),ROW()-10,2),"")</f>
        <v/>
      </c>
      <c r="C77" s="4" t="str" cm="1">
        <f t="array" aca="1" ref="C77" ca="1">IFERROR(INDEX(_xlfn.ANCHORARRAY($AA$11),ROW()-10,3),"")</f>
        <v/>
      </c>
      <c r="D77" s="15" t="str" cm="1">
        <f t="array" aca="1" ref="D77" ca="1">IFERROR(INDEX(_xlfn.ANCHORARRAY($AA$11),ROW()-10,4),"")</f>
        <v/>
      </c>
      <c r="E77" s="4" t="str" cm="1">
        <f t="array" aca="1" ref="E77" ca="1">IFERROR(INDEX(_xlfn.ANCHORARRAY($AA$11),ROW()-10,5),"")</f>
        <v/>
      </c>
      <c r="F77" s="15" t="str" cm="1">
        <f t="array" aca="1" ref="F77" ca="1">IFERROR(INDEX(_xlfn.ANCHORARRAY($AA$11),ROW()-10,6),"")</f>
        <v/>
      </c>
      <c r="G77" s="4" t="str" cm="1">
        <f t="array" aca="1" ref="G77" ca="1">IFERROR(INDEX(_xlfn.ANCHORARRAY($AA$11),ROW()-10,7),"")</f>
        <v/>
      </c>
      <c r="H77" s="4" t="str" cm="1">
        <f t="array" aca="1" ref="H77" ca="1">IFERROR(INDEX(_xlfn.ANCHORARRAY($AA$11),ROW()-10,8),"")</f>
        <v/>
      </c>
      <c r="I77" s="4" t="str" cm="1">
        <f t="array" aca="1" ref="I77" ca="1">IFERROR(INDEX(_xlfn.ANCHORARRAY($AA$11),ROW()-10,9),"")</f>
        <v/>
      </c>
      <c r="J77" s="4" t="str">
        <f t="shared" ca="1" si="6"/>
        <v/>
      </c>
      <c r="K77" s="4" t="str">
        <f t="shared" ca="1" si="7"/>
        <v/>
      </c>
      <c r="L77" s="4" t="str" cm="1">
        <f t="array" aca="1" ref="L77" ca="1">_xlfn.LET(_xlpm.link,IFERROR(INDEX(_xlfn.ANCHORARRAY($AA$11),ROW()-10,12),""),IF(_xlpm.link="","",HYPERLINK(_xlpm.link,"Bluecore/Attentive")))</f>
        <v/>
      </c>
      <c r="M77" s="57" t="str">
        <f t="shared" ca="1" si="8"/>
        <v/>
      </c>
      <c r="N77" s="7"/>
      <c r="O77" s="7"/>
      <c r="P77" s="7"/>
      <c r="Q77" s="7"/>
      <c r="R77" s="7"/>
      <c r="S77" s="6"/>
      <c r="T77" s="6"/>
      <c r="U77" s="6"/>
      <c r="V77" s="6"/>
      <c r="W77" s="6"/>
      <c r="X77" s="6"/>
      <c r="Y77" s="6"/>
      <c r="Z77" s="6"/>
      <c r="AA77" s="32"/>
      <c r="AB77"/>
      <c r="AC77"/>
      <c r="AD77"/>
      <c r="AE77"/>
      <c r="AF77"/>
      <c r="AG77"/>
      <c r="AH77"/>
      <c r="AI77"/>
      <c r="AJ77"/>
      <c r="AK77"/>
      <c r="AL77"/>
    </row>
    <row r="78" spans="1:38">
      <c r="A78" s="34" t="str" cm="1">
        <f t="array" aca="1" ref="A78" ca="1">IFERROR(INDEX(_xlfn.ANCHORARRAY($AA$11),ROW()-10,1),"")</f>
        <v/>
      </c>
      <c r="B78" s="20" t="str" cm="1">
        <f t="array" aca="1" ref="B78" ca="1">IFERROR(INDEX(_xlfn.ANCHORARRAY($AA$11),ROW()-10,2),"")</f>
        <v/>
      </c>
      <c r="C78" s="4" t="str" cm="1">
        <f t="array" aca="1" ref="C78" ca="1">IFERROR(INDEX(_xlfn.ANCHORARRAY($AA$11),ROW()-10,3),"")</f>
        <v/>
      </c>
      <c r="D78" s="15" t="str" cm="1">
        <f t="array" aca="1" ref="D78" ca="1">IFERROR(INDEX(_xlfn.ANCHORARRAY($AA$11),ROW()-10,4),"")</f>
        <v/>
      </c>
      <c r="E78" s="4" t="str" cm="1">
        <f t="array" aca="1" ref="E78" ca="1">IFERROR(INDEX(_xlfn.ANCHORARRAY($AA$11),ROW()-10,5),"")</f>
        <v/>
      </c>
      <c r="F78" s="15" t="str" cm="1">
        <f t="array" aca="1" ref="F78" ca="1">IFERROR(INDEX(_xlfn.ANCHORARRAY($AA$11),ROW()-10,6),"")</f>
        <v/>
      </c>
      <c r="G78" s="4" t="str" cm="1">
        <f t="array" aca="1" ref="G78" ca="1">IFERROR(INDEX(_xlfn.ANCHORARRAY($AA$11),ROW()-10,7),"")</f>
        <v/>
      </c>
      <c r="H78" s="4" t="str" cm="1">
        <f t="array" aca="1" ref="H78" ca="1">IFERROR(INDEX(_xlfn.ANCHORARRAY($AA$11),ROW()-10,8),"")</f>
        <v/>
      </c>
      <c r="I78" s="4" t="str" cm="1">
        <f t="array" aca="1" ref="I78" ca="1">IFERROR(INDEX(_xlfn.ANCHORARRAY($AA$11),ROW()-10,9),"")</f>
        <v/>
      </c>
      <c r="J78" s="4" t="str">
        <f t="shared" ca="1" si="6"/>
        <v/>
      </c>
      <c r="K78" s="4" t="str">
        <f t="shared" ca="1" si="7"/>
        <v/>
      </c>
      <c r="L78" s="4" t="str" cm="1">
        <f t="array" aca="1" ref="L78" ca="1">_xlfn.LET(_xlpm.link,IFERROR(INDEX(_xlfn.ANCHORARRAY($AA$11),ROW()-10,12),""),IF(_xlpm.link="","",HYPERLINK(_xlpm.link,"Bluecore/Attentive")))</f>
        <v/>
      </c>
      <c r="M78" s="58" t="str">
        <f t="shared" ca="1" si="8"/>
        <v/>
      </c>
      <c r="N78" s="7"/>
      <c r="O78" s="7"/>
      <c r="P78" s="7"/>
      <c r="Q78" s="7"/>
      <c r="R78" s="7"/>
      <c r="S78" s="6"/>
      <c r="T78" s="6"/>
      <c r="U78" s="6"/>
      <c r="V78" s="6"/>
      <c r="W78" s="6"/>
      <c r="X78" s="6"/>
      <c r="Y78" s="6"/>
      <c r="Z78" s="6"/>
      <c r="AA78" s="32"/>
      <c r="AB78"/>
      <c r="AC78"/>
      <c r="AD78"/>
      <c r="AE78"/>
      <c r="AF78"/>
      <c r="AG78"/>
      <c r="AH78"/>
      <c r="AI78"/>
      <c r="AJ78"/>
      <c r="AK78"/>
      <c r="AL78"/>
    </row>
    <row r="79" spans="1:38">
      <c r="A79" s="34" t="str" cm="1">
        <f t="array" aca="1" ref="A79" ca="1">IFERROR(INDEX(_xlfn.ANCHORARRAY($AA$11),ROW()-10,1),"")</f>
        <v/>
      </c>
      <c r="B79" s="20" t="str" cm="1">
        <f t="array" aca="1" ref="B79" ca="1">IFERROR(INDEX(_xlfn.ANCHORARRAY($AA$11),ROW()-10,2),"")</f>
        <v/>
      </c>
      <c r="C79" s="4" t="str" cm="1">
        <f t="array" aca="1" ref="C79" ca="1">IFERROR(INDEX(_xlfn.ANCHORARRAY($AA$11),ROW()-10,3),"")</f>
        <v/>
      </c>
      <c r="D79" s="15" t="str" cm="1">
        <f t="array" aca="1" ref="D79" ca="1">IFERROR(INDEX(_xlfn.ANCHORARRAY($AA$11),ROW()-10,4),"")</f>
        <v/>
      </c>
      <c r="E79" s="4" t="str" cm="1">
        <f t="array" aca="1" ref="E79" ca="1">IFERROR(INDEX(_xlfn.ANCHORARRAY($AA$11),ROW()-10,5),"")</f>
        <v/>
      </c>
      <c r="F79" s="15" t="str" cm="1">
        <f t="array" aca="1" ref="F79" ca="1">IFERROR(INDEX(_xlfn.ANCHORARRAY($AA$11),ROW()-10,6),"")</f>
        <v/>
      </c>
      <c r="G79" s="4" t="str" cm="1">
        <f t="array" aca="1" ref="G79" ca="1">IFERROR(INDEX(_xlfn.ANCHORARRAY($AA$11),ROW()-10,7),"")</f>
        <v/>
      </c>
      <c r="H79" s="4" t="str" cm="1">
        <f t="array" aca="1" ref="H79" ca="1">IFERROR(INDEX(_xlfn.ANCHORARRAY($AA$11),ROW()-10,8),"")</f>
        <v/>
      </c>
      <c r="I79" s="4" t="str" cm="1">
        <f t="array" aca="1" ref="I79" ca="1">IFERROR(INDEX(_xlfn.ANCHORARRAY($AA$11),ROW()-10,9),"")</f>
        <v/>
      </c>
      <c r="J79" s="4" t="str">
        <f t="shared" ca="1" si="6"/>
        <v/>
      </c>
      <c r="K79" s="4" t="str">
        <f t="shared" ca="1" si="7"/>
        <v/>
      </c>
      <c r="L79" s="4" t="str" cm="1">
        <f t="array" aca="1" ref="L79" ca="1">_xlfn.LET(_xlpm.link,IFERROR(INDEX(_xlfn.ANCHORARRAY($AA$11),ROW()-10,12),""),IF(_xlpm.link="","",HYPERLINK(_xlpm.link,"Bluecore/Attentive")))</f>
        <v/>
      </c>
      <c r="M79" s="57" t="str">
        <f t="shared" ca="1" si="8"/>
        <v/>
      </c>
      <c r="N79" s="7"/>
      <c r="O79" s="7"/>
      <c r="P79" s="7"/>
      <c r="Q79" s="7"/>
      <c r="R79" s="7"/>
      <c r="S79" s="6"/>
      <c r="T79" s="6"/>
      <c r="U79" s="6"/>
      <c r="V79" s="6"/>
      <c r="W79" s="6"/>
      <c r="X79" s="6"/>
      <c r="Y79" s="6"/>
      <c r="Z79" s="6"/>
      <c r="AA79" s="32"/>
      <c r="AB79"/>
      <c r="AC79"/>
      <c r="AD79"/>
      <c r="AE79"/>
      <c r="AF79"/>
      <c r="AG79"/>
      <c r="AH79"/>
      <c r="AI79"/>
      <c r="AJ79"/>
      <c r="AK79"/>
      <c r="AL79"/>
    </row>
    <row r="80" spans="1:38">
      <c r="A80" s="34" t="str" cm="1">
        <f t="array" aca="1" ref="A80" ca="1">IFERROR(INDEX(_xlfn.ANCHORARRAY($AA$11),ROW()-10,1),"")</f>
        <v/>
      </c>
      <c r="B80" s="20" t="str" cm="1">
        <f t="array" aca="1" ref="B80" ca="1">IFERROR(INDEX(_xlfn.ANCHORARRAY($AA$11),ROW()-10,2),"")</f>
        <v/>
      </c>
      <c r="C80" s="4" t="str" cm="1">
        <f t="array" aca="1" ref="C80" ca="1">IFERROR(INDEX(_xlfn.ANCHORARRAY($AA$11),ROW()-10,3),"")</f>
        <v/>
      </c>
      <c r="D80" s="15" t="str" cm="1">
        <f t="array" aca="1" ref="D80" ca="1">IFERROR(INDEX(_xlfn.ANCHORARRAY($AA$11),ROW()-10,4),"")</f>
        <v/>
      </c>
      <c r="E80" s="4" t="str" cm="1">
        <f t="array" aca="1" ref="E80" ca="1">IFERROR(INDEX(_xlfn.ANCHORARRAY($AA$11),ROW()-10,5),"")</f>
        <v/>
      </c>
      <c r="F80" s="15" t="str" cm="1">
        <f t="array" aca="1" ref="F80" ca="1">IFERROR(INDEX(_xlfn.ANCHORARRAY($AA$11),ROW()-10,6),"")</f>
        <v/>
      </c>
      <c r="G80" s="4" t="str" cm="1">
        <f t="array" aca="1" ref="G80" ca="1">IFERROR(INDEX(_xlfn.ANCHORARRAY($AA$11),ROW()-10,7),"")</f>
        <v/>
      </c>
      <c r="H80" s="4" t="str" cm="1">
        <f t="array" aca="1" ref="H80" ca="1">IFERROR(INDEX(_xlfn.ANCHORARRAY($AA$11),ROW()-10,8),"")</f>
        <v/>
      </c>
      <c r="I80" s="4" t="str" cm="1">
        <f t="array" aca="1" ref="I80" ca="1">IFERROR(INDEX(_xlfn.ANCHORARRAY($AA$11),ROW()-10,9),"")</f>
        <v/>
      </c>
      <c r="J80" s="4" t="str">
        <f t="shared" ca="1" si="6"/>
        <v/>
      </c>
      <c r="K80" s="4" t="str">
        <f t="shared" ca="1" si="7"/>
        <v/>
      </c>
      <c r="L80" s="4" t="str" cm="1">
        <f t="array" aca="1" ref="L80" ca="1">_xlfn.LET(_xlpm.link,IFERROR(INDEX(_xlfn.ANCHORARRAY($AA$11),ROW()-10,12),""),IF(_xlpm.link="","",HYPERLINK(_xlpm.link,"Bluecore/Attentive")))</f>
        <v/>
      </c>
      <c r="M80" s="58" t="str">
        <f t="shared" ca="1" si="8"/>
        <v/>
      </c>
      <c r="N80" s="7"/>
      <c r="O80" s="7"/>
      <c r="P80" s="7"/>
      <c r="Q80" s="7"/>
      <c r="R80" s="7"/>
      <c r="S80" s="6"/>
      <c r="T80" s="6"/>
      <c r="U80" s="6"/>
      <c r="V80" s="6"/>
      <c r="W80" s="6"/>
      <c r="X80" s="6"/>
      <c r="Y80" s="6"/>
      <c r="Z80" s="6"/>
      <c r="AA80" s="32"/>
      <c r="AB80"/>
      <c r="AC80"/>
      <c r="AD80"/>
      <c r="AE80"/>
      <c r="AF80"/>
      <c r="AG80"/>
      <c r="AH80"/>
      <c r="AI80"/>
      <c r="AJ80"/>
      <c r="AK80"/>
      <c r="AL80"/>
    </row>
    <row r="81" spans="1:38">
      <c r="A81" s="34" t="str" cm="1">
        <f t="array" aca="1" ref="A81" ca="1">IFERROR(INDEX(_xlfn.ANCHORARRAY($AA$11),ROW()-10,1),"")</f>
        <v/>
      </c>
      <c r="B81" s="20" t="str" cm="1">
        <f t="array" aca="1" ref="B81" ca="1">IFERROR(INDEX(_xlfn.ANCHORARRAY($AA$11),ROW()-10,2),"")</f>
        <v/>
      </c>
      <c r="C81" s="4" t="str" cm="1">
        <f t="array" aca="1" ref="C81" ca="1">IFERROR(INDEX(_xlfn.ANCHORARRAY($AA$11),ROW()-10,3),"")</f>
        <v/>
      </c>
      <c r="D81" s="15" t="str" cm="1">
        <f t="array" aca="1" ref="D81" ca="1">IFERROR(INDEX(_xlfn.ANCHORARRAY($AA$11),ROW()-10,4),"")</f>
        <v/>
      </c>
      <c r="E81" s="4" t="str" cm="1">
        <f t="array" aca="1" ref="E81" ca="1">IFERROR(INDEX(_xlfn.ANCHORARRAY($AA$11),ROW()-10,5),"")</f>
        <v/>
      </c>
      <c r="F81" s="15" t="str" cm="1">
        <f t="array" aca="1" ref="F81" ca="1">IFERROR(INDEX(_xlfn.ANCHORARRAY($AA$11),ROW()-10,6),"")</f>
        <v/>
      </c>
      <c r="G81" s="4" t="str" cm="1">
        <f t="array" aca="1" ref="G81" ca="1">IFERROR(INDEX(_xlfn.ANCHORARRAY($AA$11),ROW()-10,7),"")</f>
        <v/>
      </c>
      <c r="H81" s="4" t="str" cm="1">
        <f t="array" aca="1" ref="H81" ca="1">IFERROR(INDEX(_xlfn.ANCHORARRAY($AA$11),ROW()-10,8),"")</f>
        <v/>
      </c>
      <c r="I81" s="4" t="str" cm="1">
        <f t="array" aca="1" ref="I81" ca="1">IFERROR(INDEX(_xlfn.ANCHORARRAY($AA$11),ROW()-10,9),"")</f>
        <v/>
      </c>
      <c r="J81" s="4" t="str">
        <f t="shared" ca="1" si="6"/>
        <v/>
      </c>
      <c r="K81" s="4" t="str">
        <f t="shared" ca="1" si="7"/>
        <v/>
      </c>
      <c r="L81" s="4" t="str" cm="1">
        <f t="array" aca="1" ref="L81" ca="1">_xlfn.LET(_xlpm.link,IFERROR(INDEX(_xlfn.ANCHORARRAY($AA$11),ROW()-10,12),""),IF(_xlpm.link="","",HYPERLINK(_xlpm.link,"Bluecore/Attentive")))</f>
        <v/>
      </c>
      <c r="M81" s="57" t="str">
        <f t="shared" ca="1" si="8"/>
        <v/>
      </c>
      <c r="N81" s="7"/>
      <c r="O81" s="7"/>
      <c r="P81" s="7"/>
      <c r="Q81" s="7"/>
      <c r="R81" s="7"/>
      <c r="S81" s="6"/>
      <c r="T81" s="6"/>
      <c r="U81" s="6"/>
      <c r="V81" s="6"/>
      <c r="W81" s="6"/>
      <c r="X81" s="6"/>
      <c r="Y81" s="6"/>
      <c r="Z81" s="6"/>
      <c r="AA81" s="32"/>
      <c r="AB81"/>
      <c r="AC81"/>
      <c r="AD81"/>
      <c r="AE81"/>
      <c r="AF81"/>
      <c r="AG81"/>
      <c r="AH81"/>
      <c r="AI81"/>
      <c r="AJ81"/>
      <c r="AK81"/>
      <c r="AL81"/>
    </row>
    <row r="82" spans="1:38">
      <c r="A82" s="34" t="str" cm="1">
        <f t="array" aca="1" ref="A82" ca="1">IFERROR(INDEX(_xlfn.ANCHORARRAY($AA$11),ROW()-10,1),"")</f>
        <v/>
      </c>
      <c r="B82" s="20" t="str" cm="1">
        <f t="array" aca="1" ref="B82" ca="1">IFERROR(INDEX(_xlfn.ANCHORARRAY($AA$11),ROW()-10,2),"")</f>
        <v/>
      </c>
      <c r="C82" s="4" t="str" cm="1">
        <f t="array" aca="1" ref="C82" ca="1">IFERROR(INDEX(_xlfn.ANCHORARRAY($AA$11),ROW()-10,3),"")</f>
        <v/>
      </c>
      <c r="D82" s="15" t="str" cm="1">
        <f t="array" aca="1" ref="D82" ca="1">IFERROR(INDEX(_xlfn.ANCHORARRAY($AA$11),ROW()-10,4),"")</f>
        <v/>
      </c>
      <c r="E82" s="4" t="str" cm="1">
        <f t="array" aca="1" ref="E82" ca="1">IFERROR(INDEX(_xlfn.ANCHORARRAY($AA$11),ROW()-10,5),"")</f>
        <v/>
      </c>
      <c r="F82" s="15" t="str" cm="1">
        <f t="array" aca="1" ref="F82" ca="1">IFERROR(INDEX(_xlfn.ANCHORARRAY($AA$11),ROW()-10,6),"")</f>
        <v/>
      </c>
      <c r="G82" s="4" t="str" cm="1">
        <f t="array" aca="1" ref="G82" ca="1">IFERROR(INDEX(_xlfn.ANCHORARRAY($AA$11),ROW()-10,7),"")</f>
        <v/>
      </c>
      <c r="H82" s="4" t="str" cm="1">
        <f t="array" aca="1" ref="H82" ca="1">IFERROR(INDEX(_xlfn.ANCHORARRAY($AA$11),ROW()-10,8),"")</f>
        <v/>
      </c>
      <c r="I82" s="4" t="str" cm="1">
        <f t="array" aca="1" ref="I82" ca="1">IFERROR(INDEX(_xlfn.ANCHORARRAY($AA$11),ROW()-10,9),"")</f>
        <v/>
      </c>
      <c r="J82" s="4" t="str">
        <f t="shared" ca="1" si="6"/>
        <v/>
      </c>
      <c r="K82" s="4" t="str">
        <f t="shared" ca="1" si="7"/>
        <v/>
      </c>
      <c r="L82" s="4" t="str" cm="1">
        <f t="array" aca="1" ref="L82" ca="1">_xlfn.LET(_xlpm.link,IFERROR(INDEX(_xlfn.ANCHORARRAY($AA$11),ROW()-10,12),""),IF(_xlpm.link="","",HYPERLINK(_xlpm.link,"Bluecore/Attentive")))</f>
        <v/>
      </c>
      <c r="M82" s="58" t="str">
        <f t="shared" ca="1" si="8"/>
        <v/>
      </c>
      <c r="N82" s="7"/>
      <c r="O82" s="7"/>
      <c r="P82" s="7"/>
      <c r="Q82" s="7"/>
      <c r="R82" s="7"/>
      <c r="S82" s="6"/>
      <c r="T82" s="6"/>
      <c r="U82" s="6"/>
      <c r="V82" s="6"/>
      <c r="W82" s="6"/>
      <c r="X82" s="6"/>
      <c r="Y82" s="6"/>
      <c r="Z82" s="6"/>
      <c r="AA82" s="32"/>
      <c r="AB82"/>
      <c r="AC82"/>
      <c r="AD82"/>
      <c r="AE82"/>
      <c r="AF82"/>
      <c r="AG82"/>
      <c r="AH82"/>
      <c r="AI82"/>
      <c r="AJ82"/>
      <c r="AK82"/>
      <c r="AL82"/>
    </row>
    <row r="83" spans="1:38">
      <c r="A83" s="34" t="str" cm="1">
        <f t="array" aca="1" ref="A83" ca="1">IFERROR(INDEX(_xlfn.ANCHORARRAY($AA$11),ROW()-10,1),"")</f>
        <v/>
      </c>
      <c r="B83" s="20" t="str" cm="1">
        <f t="array" aca="1" ref="B83" ca="1">IFERROR(INDEX(_xlfn.ANCHORARRAY($AA$11),ROW()-10,2),"")</f>
        <v/>
      </c>
      <c r="C83" s="4" t="str" cm="1">
        <f t="array" aca="1" ref="C83" ca="1">IFERROR(INDEX(_xlfn.ANCHORARRAY($AA$11),ROW()-10,3),"")</f>
        <v/>
      </c>
      <c r="D83" s="15" t="str" cm="1">
        <f t="array" aca="1" ref="D83" ca="1">IFERROR(INDEX(_xlfn.ANCHORARRAY($AA$11),ROW()-10,4),"")</f>
        <v/>
      </c>
      <c r="E83" s="4" t="str" cm="1">
        <f t="array" aca="1" ref="E83" ca="1">IFERROR(INDEX(_xlfn.ANCHORARRAY($AA$11),ROW()-10,5),"")</f>
        <v/>
      </c>
      <c r="F83" s="15" t="str" cm="1">
        <f t="array" aca="1" ref="F83" ca="1">IFERROR(INDEX(_xlfn.ANCHORARRAY($AA$11),ROW()-10,6),"")</f>
        <v/>
      </c>
      <c r="G83" s="4" t="str" cm="1">
        <f t="array" aca="1" ref="G83" ca="1">IFERROR(INDEX(_xlfn.ANCHORARRAY($AA$11),ROW()-10,7),"")</f>
        <v/>
      </c>
      <c r="H83" s="4" t="str" cm="1">
        <f t="array" aca="1" ref="H83" ca="1">IFERROR(INDEX(_xlfn.ANCHORARRAY($AA$11),ROW()-10,8),"")</f>
        <v/>
      </c>
      <c r="I83" s="4" t="str" cm="1">
        <f t="array" aca="1" ref="I83" ca="1">IFERROR(INDEX(_xlfn.ANCHORARRAY($AA$11),ROW()-10,9),"")</f>
        <v/>
      </c>
      <c r="J83" s="4" t="str">
        <f t="shared" ca="1" si="6"/>
        <v/>
      </c>
      <c r="K83" s="4" t="str">
        <f t="shared" ca="1" si="7"/>
        <v/>
      </c>
      <c r="L83" s="4" t="str" cm="1">
        <f t="array" aca="1" ref="L83" ca="1">_xlfn.LET(_xlpm.link,IFERROR(INDEX(_xlfn.ANCHORARRAY($AA$11),ROW()-10,12),""),IF(_xlpm.link="","",HYPERLINK(_xlpm.link,"Bluecore/Attentive")))</f>
        <v/>
      </c>
      <c r="M83" s="57" t="str">
        <f t="shared" ca="1" si="8"/>
        <v/>
      </c>
      <c r="N83" s="7"/>
      <c r="O83" s="7"/>
      <c r="P83" s="7"/>
      <c r="Q83" s="7"/>
      <c r="R83" s="7"/>
      <c r="S83" s="6"/>
      <c r="T83" s="6"/>
      <c r="U83" s="6"/>
      <c r="V83" s="6"/>
      <c r="W83" s="6"/>
      <c r="X83" s="6"/>
      <c r="Y83" s="6"/>
      <c r="Z83" s="6"/>
      <c r="AA83" s="32"/>
      <c r="AB83"/>
      <c r="AC83"/>
      <c r="AD83"/>
      <c r="AE83"/>
      <c r="AF83"/>
      <c r="AG83"/>
      <c r="AH83"/>
      <c r="AI83"/>
      <c r="AJ83"/>
      <c r="AK83"/>
      <c r="AL83"/>
    </row>
    <row r="84" spans="1:38">
      <c r="A84" s="34" t="str" cm="1">
        <f t="array" aca="1" ref="A84" ca="1">IFERROR(INDEX(_xlfn.ANCHORARRAY($AA$11),ROW()-10,1),"")</f>
        <v/>
      </c>
      <c r="B84" s="20" t="str" cm="1">
        <f t="array" aca="1" ref="B84" ca="1">IFERROR(INDEX(_xlfn.ANCHORARRAY($AA$11),ROW()-10,2),"")</f>
        <v/>
      </c>
      <c r="C84" s="4" t="str" cm="1">
        <f t="array" aca="1" ref="C84" ca="1">IFERROR(INDEX(_xlfn.ANCHORARRAY($AA$11),ROW()-10,3),"")</f>
        <v/>
      </c>
      <c r="D84" s="15" t="str" cm="1">
        <f t="array" aca="1" ref="D84" ca="1">IFERROR(INDEX(_xlfn.ANCHORARRAY($AA$11),ROW()-10,4),"")</f>
        <v/>
      </c>
      <c r="E84" s="4" t="str" cm="1">
        <f t="array" aca="1" ref="E84" ca="1">IFERROR(INDEX(_xlfn.ANCHORARRAY($AA$11),ROW()-10,5),"")</f>
        <v/>
      </c>
      <c r="F84" s="15" t="str" cm="1">
        <f t="array" aca="1" ref="F84" ca="1">IFERROR(INDEX(_xlfn.ANCHORARRAY($AA$11),ROW()-10,6),"")</f>
        <v/>
      </c>
      <c r="G84" s="4" t="str" cm="1">
        <f t="array" aca="1" ref="G84" ca="1">IFERROR(INDEX(_xlfn.ANCHORARRAY($AA$11),ROW()-10,7),"")</f>
        <v/>
      </c>
      <c r="H84" s="4" t="str" cm="1">
        <f t="array" aca="1" ref="H84" ca="1">IFERROR(INDEX(_xlfn.ANCHORARRAY($AA$11),ROW()-10,8),"")</f>
        <v/>
      </c>
      <c r="I84" s="4" t="str" cm="1">
        <f t="array" aca="1" ref="I84" ca="1">IFERROR(INDEX(_xlfn.ANCHORARRAY($AA$11),ROW()-10,9),"")</f>
        <v/>
      </c>
      <c r="J84" s="4" t="str">
        <f t="shared" ca="1" si="6"/>
        <v/>
      </c>
      <c r="K84" s="4" t="str">
        <f t="shared" ca="1" si="7"/>
        <v/>
      </c>
      <c r="L84" s="4" t="str" cm="1">
        <f t="array" aca="1" ref="L84" ca="1">_xlfn.LET(_xlpm.link,IFERROR(INDEX(_xlfn.ANCHORARRAY($AA$11),ROW()-10,12),""),IF(_xlpm.link="","",HYPERLINK(_xlpm.link,"Bluecore/Attentive")))</f>
        <v/>
      </c>
      <c r="M84" s="58" t="str">
        <f t="shared" ca="1" si="8"/>
        <v/>
      </c>
      <c r="N84" s="7"/>
      <c r="O84" s="7"/>
      <c r="P84" s="7"/>
      <c r="Q84" s="7"/>
      <c r="R84" s="7"/>
      <c r="S84" s="6"/>
      <c r="T84" s="6"/>
      <c r="U84" s="6"/>
      <c r="V84" s="6"/>
      <c r="W84" s="6"/>
      <c r="X84" s="6"/>
      <c r="Y84" s="6"/>
      <c r="Z84" s="6"/>
      <c r="AA84" s="32"/>
      <c r="AB84"/>
      <c r="AC84"/>
      <c r="AD84"/>
      <c r="AE84"/>
      <c r="AF84"/>
      <c r="AG84"/>
      <c r="AH84"/>
      <c r="AI84"/>
      <c r="AJ84"/>
      <c r="AK84"/>
      <c r="AL84"/>
    </row>
    <row r="85" spans="1:38">
      <c r="A85" s="34" t="str" cm="1">
        <f t="array" aca="1" ref="A85" ca="1">IFERROR(INDEX(_xlfn.ANCHORARRAY($AA$11),ROW()-10,1),"")</f>
        <v/>
      </c>
      <c r="B85" s="20" t="str" cm="1">
        <f t="array" aca="1" ref="B85" ca="1">IFERROR(INDEX(_xlfn.ANCHORARRAY($AA$11),ROW()-10,2),"")</f>
        <v/>
      </c>
      <c r="C85" s="4" t="str" cm="1">
        <f t="array" aca="1" ref="C85" ca="1">IFERROR(INDEX(_xlfn.ANCHORARRAY($AA$11),ROW()-10,3),"")</f>
        <v/>
      </c>
      <c r="D85" s="15" t="str" cm="1">
        <f t="array" aca="1" ref="D85" ca="1">IFERROR(INDEX(_xlfn.ANCHORARRAY($AA$11),ROW()-10,4),"")</f>
        <v/>
      </c>
      <c r="E85" s="4" t="str" cm="1">
        <f t="array" aca="1" ref="E85" ca="1">IFERROR(INDEX(_xlfn.ANCHORARRAY($AA$11),ROW()-10,5),"")</f>
        <v/>
      </c>
      <c r="F85" s="15" t="str" cm="1">
        <f t="array" aca="1" ref="F85" ca="1">IFERROR(INDEX(_xlfn.ANCHORARRAY($AA$11),ROW()-10,6),"")</f>
        <v/>
      </c>
      <c r="G85" s="4" t="str" cm="1">
        <f t="array" aca="1" ref="G85" ca="1">IFERROR(INDEX(_xlfn.ANCHORARRAY($AA$11),ROW()-10,7),"")</f>
        <v/>
      </c>
      <c r="H85" s="4" t="str" cm="1">
        <f t="array" aca="1" ref="H85" ca="1">IFERROR(INDEX(_xlfn.ANCHORARRAY($AA$11),ROW()-10,8),"")</f>
        <v/>
      </c>
      <c r="I85" s="4" t="str" cm="1">
        <f t="array" aca="1" ref="I85" ca="1">IFERROR(INDEX(_xlfn.ANCHORARRAY($AA$11),ROW()-10,9),"")</f>
        <v/>
      </c>
      <c r="J85" s="4" t="str">
        <f t="shared" ca="1" si="6"/>
        <v/>
      </c>
      <c r="K85" s="4" t="str">
        <f t="shared" ca="1" si="7"/>
        <v/>
      </c>
      <c r="L85" s="4" t="str" cm="1">
        <f t="array" aca="1" ref="L85" ca="1">_xlfn.LET(_xlpm.link,IFERROR(INDEX(_xlfn.ANCHORARRAY($AA$11),ROW()-10,12),""),IF(_xlpm.link="","",HYPERLINK(_xlpm.link,"Bluecore/Attentive")))</f>
        <v/>
      </c>
      <c r="M85" s="57" t="str">
        <f t="shared" ca="1" si="8"/>
        <v/>
      </c>
      <c r="N85" s="7"/>
      <c r="O85" s="7"/>
      <c r="P85" s="7"/>
      <c r="Q85" s="7"/>
      <c r="R85" s="7"/>
      <c r="S85" s="6"/>
      <c r="T85" s="6"/>
      <c r="U85" s="6"/>
      <c r="V85" s="6"/>
      <c r="W85" s="6"/>
      <c r="X85" s="6"/>
      <c r="Y85" s="6"/>
      <c r="Z85" s="6"/>
      <c r="AA85" s="32"/>
      <c r="AB85"/>
      <c r="AC85"/>
      <c r="AD85"/>
      <c r="AE85"/>
      <c r="AF85"/>
      <c r="AG85"/>
      <c r="AH85"/>
      <c r="AI85"/>
      <c r="AJ85"/>
      <c r="AK85"/>
      <c r="AL85"/>
    </row>
    <row r="86" spans="1:38">
      <c r="A86" s="34" t="str" cm="1">
        <f t="array" aca="1" ref="A86" ca="1">IFERROR(INDEX(_xlfn.ANCHORARRAY($AA$11),ROW()-10,1),"")</f>
        <v/>
      </c>
      <c r="B86" s="20" t="str" cm="1">
        <f t="array" aca="1" ref="B86" ca="1">IFERROR(INDEX(_xlfn.ANCHORARRAY($AA$11),ROW()-10,2),"")</f>
        <v/>
      </c>
      <c r="C86" s="4" t="str" cm="1">
        <f t="array" aca="1" ref="C86" ca="1">IFERROR(INDEX(_xlfn.ANCHORARRAY($AA$11),ROW()-10,3),"")</f>
        <v/>
      </c>
      <c r="D86" s="15" t="str" cm="1">
        <f t="array" aca="1" ref="D86" ca="1">IFERROR(INDEX(_xlfn.ANCHORARRAY($AA$11),ROW()-10,4),"")</f>
        <v/>
      </c>
      <c r="E86" s="4" t="str" cm="1">
        <f t="array" aca="1" ref="E86" ca="1">IFERROR(INDEX(_xlfn.ANCHORARRAY($AA$11),ROW()-10,5),"")</f>
        <v/>
      </c>
      <c r="F86" s="15" t="str" cm="1">
        <f t="array" aca="1" ref="F86" ca="1">IFERROR(INDEX(_xlfn.ANCHORARRAY($AA$11),ROW()-10,6),"")</f>
        <v/>
      </c>
      <c r="G86" s="4" t="str" cm="1">
        <f t="array" aca="1" ref="G86" ca="1">IFERROR(INDEX(_xlfn.ANCHORARRAY($AA$11),ROW()-10,7),"")</f>
        <v/>
      </c>
      <c r="H86" s="4" t="str" cm="1">
        <f t="array" aca="1" ref="H86" ca="1">IFERROR(INDEX(_xlfn.ANCHORARRAY($AA$11),ROW()-10,8),"")</f>
        <v/>
      </c>
      <c r="I86" s="4" t="str" cm="1">
        <f t="array" aca="1" ref="I86" ca="1">IFERROR(INDEX(_xlfn.ANCHORARRAY($AA$11),ROW()-10,9),"")</f>
        <v/>
      </c>
      <c r="J86" s="4" t="str">
        <f t="shared" ca="1" si="6"/>
        <v/>
      </c>
      <c r="K86" s="4" t="str">
        <f t="shared" ca="1" si="7"/>
        <v/>
      </c>
      <c r="L86" s="4" t="str" cm="1">
        <f t="array" aca="1" ref="L86" ca="1">_xlfn.LET(_xlpm.link,IFERROR(INDEX(_xlfn.ANCHORARRAY($AA$11),ROW()-10,12),""),IF(_xlpm.link="","",HYPERLINK(_xlpm.link,"Bluecore/Attentive")))</f>
        <v/>
      </c>
      <c r="M86" s="58" t="str">
        <f t="shared" ca="1" si="8"/>
        <v/>
      </c>
      <c r="N86" s="7"/>
      <c r="O86" s="7"/>
      <c r="P86" s="7"/>
      <c r="Q86" s="7"/>
      <c r="R86" s="7"/>
      <c r="S86" s="6"/>
      <c r="T86" s="6"/>
      <c r="U86" s="6"/>
      <c r="V86" s="6"/>
      <c r="W86" s="6"/>
      <c r="X86" s="6"/>
      <c r="Y86" s="6"/>
      <c r="Z86" s="6"/>
      <c r="AA86" s="32"/>
      <c r="AB86"/>
      <c r="AC86"/>
      <c r="AD86"/>
      <c r="AE86"/>
      <c r="AF86"/>
      <c r="AG86"/>
      <c r="AH86"/>
      <c r="AI86"/>
      <c r="AJ86"/>
      <c r="AK86"/>
      <c r="AL86"/>
    </row>
    <row r="87" spans="1:38">
      <c r="A87" s="34" t="str" cm="1">
        <f t="array" aca="1" ref="A87" ca="1">IFERROR(INDEX(_xlfn.ANCHORARRAY($AA$11),ROW()-10,1),"")</f>
        <v/>
      </c>
      <c r="B87" s="20" t="str" cm="1">
        <f t="array" aca="1" ref="B87" ca="1">IFERROR(INDEX(_xlfn.ANCHORARRAY($AA$11),ROW()-10,2),"")</f>
        <v/>
      </c>
      <c r="C87" s="4" t="str" cm="1">
        <f t="array" aca="1" ref="C87" ca="1">IFERROR(INDEX(_xlfn.ANCHORARRAY($AA$11),ROW()-10,3),"")</f>
        <v/>
      </c>
      <c r="D87" s="15" t="str" cm="1">
        <f t="array" aca="1" ref="D87" ca="1">IFERROR(INDEX(_xlfn.ANCHORARRAY($AA$11),ROW()-10,4),"")</f>
        <v/>
      </c>
      <c r="E87" s="4" t="str" cm="1">
        <f t="array" aca="1" ref="E87" ca="1">IFERROR(INDEX(_xlfn.ANCHORARRAY($AA$11),ROW()-10,5),"")</f>
        <v/>
      </c>
      <c r="F87" s="15" t="str" cm="1">
        <f t="array" aca="1" ref="F87" ca="1">IFERROR(INDEX(_xlfn.ANCHORARRAY($AA$11),ROW()-10,6),"")</f>
        <v/>
      </c>
      <c r="G87" s="4" t="str" cm="1">
        <f t="array" aca="1" ref="G87" ca="1">IFERROR(INDEX(_xlfn.ANCHORARRAY($AA$11),ROW()-10,7),"")</f>
        <v/>
      </c>
      <c r="H87" s="4" t="str" cm="1">
        <f t="array" aca="1" ref="H87" ca="1">IFERROR(INDEX(_xlfn.ANCHORARRAY($AA$11),ROW()-10,8),"")</f>
        <v/>
      </c>
      <c r="I87" s="4" t="str" cm="1">
        <f t="array" aca="1" ref="I87" ca="1">IFERROR(INDEX(_xlfn.ANCHORARRAY($AA$11),ROW()-10,9),"")</f>
        <v/>
      </c>
      <c r="J87" s="4" t="str">
        <f t="shared" ca="1" si="6"/>
        <v/>
      </c>
      <c r="K87" s="4" t="str">
        <f t="shared" ca="1" si="7"/>
        <v/>
      </c>
      <c r="L87" s="4" t="str" cm="1">
        <f t="array" aca="1" ref="L87" ca="1">_xlfn.LET(_xlpm.link,IFERROR(INDEX(_xlfn.ANCHORARRAY($AA$11),ROW()-10,12),""),IF(_xlpm.link="","",HYPERLINK(_xlpm.link,"Bluecore/Attentive")))</f>
        <v/>
      </c>
      <c r="M87" s="57" t="str">
        <f t="shared" ca="1" si="8"/>
        <v/>
      </c>
      <c r="N87" s="7"/>
      <c r="O87" s="7"/>
      <c r="P87" s="7"/>
      <c r="Q87" s="7"/>
      <c r="R87" s="7"/>
      <c r="S87" s="6"/>
      <c r="T87" s="6"/>
      <c r="U87" s="6"/>
      <c r="V87" s="6"/>
      <c r="W87" s="6"/>
      <c r="X87" s="6"/>
      <c r="Y87" s="6"/>
      <c r="Z87" s="6"/>
      <c r="AA87" s="32"/>
      <c r="AB87"/>
      <c r="AC87"/>
      <c r="AD87"/>
      <c r="AE87"/>
      <c r="AF87"/>
      <c r="AG87"/>
      <c r="AH87"/>
      <c r="AI87"/>
      <c r="AJ87"/>
      <c r="AK87"/>
      <c r="AL87"/>
    </row>
    <row r="88" spans="1:38">
      <c r="A88" s="34" t="str" cm="1">
        <f t="array" aca="1" ref="A88" ca="1">IFERROR(INDEX(_xlfn.ANCHORARRAY($AA$11),ROW()-10,1),"")</f>
        <v/>
      </c>
      <c r="B88" s="20" t="str" cm="1">
        <f t="array" aca="1" ref="B88" ca="1">IFERROR(INDEX(_xlfn.ANCHORARRAY($AA$11),ROW()-10,2),"")</f>
        <v/>
      </c>
      <c r="C88" s="4" t="str" cm="1">
        <f t="array" aca="1" ref="C88" ca="1">IFERROR(INDEX(_xlfn.ANCHORARRAY($AA$11),ROW()-10,3),"")</f>
        <v/>
      </c>
      <c r="D88" s="15" t="str" cm="1">
        <f t="array" aca="1" ref="D88" ca="1">IFERROR(INDEX(_xlfn.ANCHORARRAY($AA$11),ROW()-10,4),"")</f>
        <v/>
      </c>
      <c r="E88" s="4" t="str" cm="1">
        <f t="array" aca="1" ref="E88" ca="1">IFERROR(INDEX(_xlfn.ANCHORARRAY($AA$11),ROW()-10,5),"")</f>
        <v/>
      </c>
      <c r="F88" s="15" t="str" cm="1">
        <f t="array" aca="1" ref="F88" ca="1">IFERROR(INDEX(_xlfn.ANCHORARRAY($AA$11),ROW()-10,6),"")</f>
        <v/>
      </c>
      <c r="G88" s="4" t="str" cm="1">
        <f t="array" aca="1" ref="G88" ca="1">IFERROR(INDEX(_xlfn.ANCHORARRAY($AA$11),ROW()-10,7),"")</f>
        <v/>
      </c>
      <c r="H88" s="4" t="str" cm="1">
        <f t="array" aca="1" ref="H88" ca="1">IFERROR(INDEX(_xlfn.ANCHORARRAY($AA$11),ROW()-10,8),"")</f>
        <v/>
      </c>
      <c r="I88" s="4" t="str" cm="1">
        <f t="array" aca="1" ref="I88" ca="1">IFERROR(INDEX(_xlfn.ANCHORARRAY($AA$11),ROW()-10,9),"")</f>
        <v/>
      </c>
      <c r="J88" s="4" t="str">
        <f t="shared" ca="1" si="6"/>
        <v/>
      </c>
      <c r="K88" s="4" t="str">
        <f t="shared" ca="1" si="7"/>
        <v/>
      </c>
      <c r="L88" s="4" t="str" cm="1">
        <f t="array" aca="1" ref="L88" ca="1">_xlfn.LET(_xlpm.link,IFERROR(INDEX(_xlfn.ANCHORARRAY($AA$11),ROW()-10,12),""),IF(_xlpm.link="","",HYPERLINK(_xlpm.link,"Bluecore/Attentive")))</f>
        <v/>
      </c>
      <c r="M88" s="58" t="str">
        <f t="shared" ca="1" si="8"/>
        <v/>
      </c>
      <c r="N88" s="7"/>
      <c r="O88" s="7"/>
      <c r="P88" s="7"/>
      <c r="Q88" s="7"/>
      <c r="R88" s="7"/>
      <c r="S88" s="6"/>
      <c r="T88" s="6"/>
      <c r="U88" s="6"/>
      <c r="V88" s="6"/>
      <c r="W88" s="6"/>
      <c r="X88" s="6"/>
      <c r="Y88" s="6"/>
      <c r="Z88" s="6"/>
      <c r="AA88" s="32"/>
      <c r="AB88"/>
      <c r="AC88"/>
      <c r="AD88"/>
      <c r="AE88"/>
      <c r="AF88"/>
      <c r="AG88"/>
      <c r="AH88"/>
      <c r="AI88"/>
      <c r="AJ88"/>
      <c r="AK88"/>
      <c r="AL88"/>
    </row>
    <row r="89" spans="1:38">
      <c r="A89" s="34" t="str" cm="1">
        <f t="array" aca="1" ref="A89" ca="1">IFERROR(INDEX(_xlfn.ANCHORARRAY($AA$11),ROW()-10,1),"")</f>
        <v/>
      </c>
      <c r="B89" s="20" t="str" cm="1">
        <f t="array" aca="1" ref="B89" ca="1">IFERROR(INDEX(_xlfn.ANCHORARRAY($AA$11),ROW()-10,2),"")</f>
        <v/>
      </c>
      <c r="C89" s="4" t="str" cm="1">
        <f t="array" aca="1" ref="C89" ca="1">IFERROR(INDEX(_xlfn.ANCHORARRAY($AA$11),ROW()-10,3),"")</f>
        <v/>
      </c>
      <c r="D89" s="15" t="str" cm="1">
        <f t="array" aca="1" ref="D89" ca="1">IFERROR(INDEX(_xlfn.ANCHORARRAY($AA$11),ROW()-10,4),"")</f>
        <v/>
      </c>
      <c r="E89" s="4" t="str" cm="1">
        <f t="array" aca="1" ref="E89" ca="1">IFERROR(INDEX(_xlfn.ANCHORARRAY($AA$11),ROW()-10,5),"")</f>
        <v/>
      </c>
      <c r="F89" s="15" t="str" cm="1">
        <f t="array" aca="1" ref="F89" ca="1">IFERROR(INDEX(_xlfn.ANCHORARRAY($AA$11),ROW()-10,6),"")</f>
        <v/>
      </c>
      <c r="G89" s="4" t="str" cm="1">
        <f t="array" aca="1" ref="G89" ca="1">IFERROR(INDEX(_xlfn.ANCHORARRAY($AA$11),ROW()-10,7),"")</f>
        <v/>
      </c>
      <c r="H89" s="4" t="str" cm="1">
        <f t="array" aca="1" ref="H89" ca="1">IFERROR(INDEX(_xlfn.ANCHORARRAY($AA$11),ROW()-10,8),"")</f>
        <v/>
      </c>
      <c r="I89" s="4" t="str" cm="1">
        <f t="array" aca="1" ref="I89" ca="1">IFERROR(INDEX(_xlfn.ANCHORARRAY($AA$11),ROW()-10,9),"")</f>
        <v/>
      </c>
      <c r="J89" s="4" t="str">
        <f t="shared" ca="1" si="6"/>
        <v/>
      </c>
      <c r="K89" s="4" t="str">
        <f t="shared" ca="1" si="7"/>
        <v/>
      </c>
      <c r="L89" s="4" t="str" cm="1">
        <f t="array" aca="1" ref="L89" ca="1">_xlfn.LET(_xlpm.link,IFERROR(INDEX(_xlfn.ANCHORARRAY($AA$11),ROW()-10,12),""),IF(_xlpm.link="","",HYPERLINK(_xlpm.link,"Bluecore/Attentive")))</f>
        <v/>
      </c>
      <c r="M89" s="57" t="str">
        <f t="shared" ca="1" si="8"/>
        <v/>
      </c>
      <c r="N89" s="7"/>
      <c r="O89" s="7"/>
      <c r="P89" s="7"/>
      <c r="Q89" s="7"/>
      <c r="R89" s="7"/>
      <c r="S89" s="6"/>
      <c r="T89" s="6"/>
      <c r="U89" s="6"/>
      <c r="V89" s="6"/>
      <c r="W89" s="6"/>
      <c r="X89" s="6"/>
      <c r="Y89" s="6"/>
      <c r="Z89" s="6"/>
      <c r="AA89" s="32"/>
      <c r="AB89"/>
      <c r="AC89"/>
      <c r="AD89"/>
      <c r="AE89"/>
      <c r="AF89"/>
      <c r="AG89"/>
      <c r="AH89"/>
      <c r="AI89"/>
      <c r="AJ89"/>
      <c r="AK89"/>
      <c r="AL89"/>
    </row>
    <row r="90" spans="1:38">
      <c r="A90" s="34" t="str" cm="1">
        <f t="array" aca="1" ref="A90" ca="1">IFERROR(INDEX(_xlfn.ANCHORARRAY($AA$11),ROW()-10,1),"")</f>
        <v/>
      </c>
      <c r="B90" s="20" t="str" cm="1">
        <f t="array" aca="1" ref="B90" ca="1">IFERROR(INDEX(_xlfn.ANCHORARRAY($AA$11),ROW()-10,2),"")</f>
        <v/>
      </c>
      <c r="C90" s="4" t="str" cm="1">
        <f t="array" aca="1" ref="C90" ca="1">IFERROR(INDEX(_xlfn.ANCHORARRAY($AA$11),ROW()-10,3),"")</f>
        <v/>
      </c>
      <c r="D90" s="15" t="str" cm="1">
        <f t="array" aca="1" ref="D90" ca="1">IFERROR(INDEX(_xlfn.ANCHORARRAY($AA$11),ROW()-10,4),"")</f>
        <v/>
      </c>
      <c r="E90" s="4" t="str" cm="1">
        <f t="array" aca="1" ref="E90" ca="1">IFERROR(INDEX(_xlfn.ANCHORARRAY($AA$11),ROW()-10,5),"")</f>
        <v/>
      </c>
      <c r="F90" s="15" t="str" cm="1">
        <f t="array" aca="1" ref="F90" ca="1">IFERROR(INDEX(_xlfn.ANCHORARRAY($AA$11),ROW()-10,6),"")</f>
        <v/>
      </c>
      <c r="G90" s="4" t="str" cm="1">
        <f t="array" aca="1" ref="G90" ca="1">IFERROR(INDEX(_xlfn.ANCHORARRAY($AA$11),ROW()-10,7),"")</f>
        <v/>
      </c>
      <c r="H90" s="4" t="str" cm="1">
        <f t="array" aca="1" ref="H90" ca="1">IFERROR(INDEX(_xlfn.ANCHORARRAY($AA$11),ROW()-10,8),"")</f>
        <v/>
      </c>
      <c r="I90" s="4" t="str" cm="1">
        <f t="array" aca="1" ref="I90" ca="1">IFERROR(INDEX(_xlfn.ANCHORARRAY($AA$11),ROW()-10,9),"")</f>
        <v/>
      </c>
      <c r="J90" s="4" t="str">
        <f t="shared" ca="1" si="6"/>
        <v/>
      </c>
      <c r="K90" s="4" t="str">
        <f t="shared" ca="1" si="7"/>
        <v/>
      </c>
      <c r="L90" s="4" t="str" cm="1">
        <f t="array" aca="1" ref="L90" ca="1">_xlfn.LET(_xlpm.link,IFERROR(INDEX(_xlfn.ANCHORARRAY($AA$11),ROW()-10,12),""),IF(_xlpm.link="","",HYPERLINK(_xlpm.link,"Bluecore/Attentive")))</f>
        <v/>
      </c>
      <c r="M90" s="58" t="str">
        <f t="shared" ca="1" si="8"/>
        <v/>
      </c>
      <c r="N90" s="7"/>
      <c r="O90" s="7"/>
      <c r="P90" s="7"/>
      <c r="Q90" s="7"/>
      <c r="R90" s="7"/>
      <c r="S90" s="6"/>
      <c r="T90" s="6"/>
      <c r="U90" s="6"/>
      <c r="V90" s="6"/>
      <c r="W90" s="6"/>
      <c r="X90" s="6"/>
      <c r="Y90" s="6"/>
      <c r="Z90" s="6"/>
      <c r="AA90" s="32"/>
      <c r="AB90"/>
      <c r="AC90"/>
      <c r="AD90"/>
      <c r="AE90"/>
      <c r="AF90"/>
      <c r="AG90"/>
      <c r="AH90"/>
      <c r="AI90"/>
      <c r="AJ90"/>
      <c r="AK90"/>
      <c r="AL90"/>
    </row>
    <row r="91" spans="1:38">
      <c r="A91" s="34" t="str" cm="1">
        <f t="array" aca="1" ref="A91" ca="1">IFERROR(INDEX(_xlfn.ANCHORARRAY($AA$11),ROW()-10,1),"")</f>
        <v/>
      </c>
      <c r="B91" s="20" t="str" cm="1">
        <f t="array" aca="1" ref="B91" ca="1">IFERROR(INDEX(_xlfn.ANCHORARRAY($AA$11),ROW()-10,2),"")</f>
        <v/>
      </c>
      <c r="C91" s="4" t="str" cm="1">
        <f t="array" aca="1" ref="C91" ca="1">IFERROR(INDEX(_xlfn.ANCHORARRAY($AA$11),ROW()-10,3),"")</f>
        <v/>
      </c>
      <c r="D91" s="15" t="str" cm="1">
        <f t="array" aca="1" ref="D91" ca="1">IFERROR(INDEX(_xlfn.ANCHORARRAY($AA$11),ROW()-10,4),"")</f>
        <v/>
      </c>
      <c r="E91" s="4" t="str" cm="1">
        <f t="array" aca="1" ref="E91" ca="1">IFERROR(INDEX(_xlfn.ANCHORARRAY($AA$11),ROW()-10,5),"")</f>
        <v/>
      </c>
      <c r="F91" s="15" t="str" cm="1">
        <f t="array" aca="1" ref="F91" ca="1">IFERROR(INDEX(_xlfn.ANCHORARRAY($AA$11),ROW()-10,6),"")</f>
        <v/>
      </c>
      <c r="G91" s="4" t="str" cm="1">
        <f t="array" aca="1" ref="G91" ca="1">IFERROR(INDEX(_xlfn.ANCHORARRAY($AA$11),ROW()-10,7),"")</f>
        <v/>
      </c>
      <c r="H91" s="4" t="str" cm="1">
        <f t="array" aca="1" ref="H91" ca="1">IFERROR(INDEX(_xlfn.ANCHORARRAY($AA$11),ROW()-10,8),"")</f>
        <v/>
      </c>
      <c r="I91" s="4" t="str" cm="1">
        <f t="array" aca="1" ref="I91" ca="1">IFERROR(INDEX(_xlfn.ANCHORARRAY($AA$11),ROW()-10,9),"")</f>
        <v/>
      </c>
      <c r="J91" s="4" t="str">
        <f t="shared" ca="1" si="6"/>
        <v/>
      </c>
      <c r="K91" s="4" t="str">
        <f t="shared" ca="1" si="7"/>
        <v/>
      </c>
      <c r="L91" s="4" t="str" cm="1">
        <f t="array" aca="1" ref="L91" ca="1">_xlfn.LET(_xlpm.link,IFERROR(INDEX(_xlfn.ANCHORARRAY($AA$11),ROW()-10,12),""),IF(_xlpm.link="","",HYPERLINK(_xlpm.link,"Bluecore/Attentive")))</f>
        <v/>
      </c>
      <c r="M91" s="57" t="str">
        <f t="shared" ca="1" si="8"/>
        <v/>
      </c>
      <c r="N91" s="7"/>
      <c r="O91" s="7"/>
      <c r="P91" s="7"/>
      <c r="Q91" s="7"/>
      <c r="R91" s="7"/>
      <c r="S91" s="6"/>
      <c r="T91" s="6"/>
      <c r="U91" s="6"/>
      <c r="V91" s="6"/>
      <c r="W91" s="6"/>
      <c r="X91" s="6"/>
      <c r="Y91" s="6"/>
      <c r="Z91" s="6"/>
      <c r="AA91" s="32"/>
      <c r="AB91"/>
      <c r="AC91"/>
      <c r="AD91"/>
      <c r="AE91"/>
      <c r="AF91"/>
      <c r="AG91"/>
      <c r="AH91"/>
      <c r="AI91"/>
      <c r="AJ91"/>
      <c r="AK91"/>
      <c r="AL91"/>
    </row>
    <row r="92" spans="1:38">
      <c r="A92" s="34" t="str" cm="1">
        <f t="array" aca="1" ref="A92" ca="1">IFERROR(INDEX(_xlfn.ANCHORARRAY($AA$11),ROW()-10,1),"")</f>
        <v/>
      </c>
      <c r="B92" s="20" t="str" cm="1">
        <f t="array" aca="1" ref="B92" ca="1">IFERROR(INDEX(_xlfn.ANCHORARRAY($AA$11),ROW()-10,2),"")</f>
        <v/>
      </c>
      <c r="C92" s="4" t="str" cm="1">
        <f t="array" aca="1" ref="C92" ca="1">IFERROR(INDEX(_xlfn.ANCHORARRAY($AA$11),ROW()-10,3),"")</f>
        <v/>
      </c>
      <c r="D92" s="15" t="str" cm="1">
        <f t="array" aca="1" ref="D92" ca="1">IFERROR(INDEX(_xlfn.ANCHORARRAY($AA$11),ROW()-10,4),"")</f>
        <v/>
      </c>
      <c r="E92" s="4" t="str" cm="1">
        <f t="array" aca="1" ref="E92" ca="1">IFERROR(INDEX(_xlfn.ANCHORARRAY($AA$11),ROW()-10,5),"")</f>
        <v/>
      </c>
      <c r="F92" s="15" t="str" cm="1">
        <f t="array" aca="1" ref="F92" ca="1">IFERROR(INDEX(_xlfn.ANCHORARRAY($AA$11),ROW()-10,6),"")</f>
        <v/>
      </c>
      <c r="G92" s="4" t="str" cm="1">
        <f t="array" aca="1" ref="G92" ca="1">IFERROR(INDEX(_xlfn.ANCHORARRAY($AA$11),ROW()-10,7),"")</f>
        <v/>
      </c>
      <c r="H92" s="4" t="str" cm="1">
        <f t="array" aca="1" ref="H92" ca="1">IFERROR(INDEX(_xlfn.ANCHORARRAY($AA$11),ROW()-10,8),"")</f>
        <v/>
      </c>
      <c r="I92" s="4" t="str" cm="1">
        <f t="array" aca="1" ref="I92" ca="1">IFERROR(INDEX(_xlfn.ANCHORARRAY($AA$11),ROW()-10,9),"")</f>
        <v/>
      </c>
      <c r="J92" s="4" t="str">
        <f t="shared" ca="1" si="6"/>
        <v/>
      </c>
      <c r="K92" s="4" t="str">
        <f t="shared" ca="1" si="7"/>
        <v/>
      </c>
      <c r="L92" s="4" t="str" cm="1">
        <f t="array" aca="1" ref="L92" ca="1">_xlfn.LET(_xlpm.link,IFERROR(INDEX(_xlfn.ANCHORARRAY($AA$11),ROW()-10,12),""),IF(_xlpm.link="","",HYPERLINK(_xlpm.link,"Bluecore/Attentive")))</f>
        <v/>
      </c>
      <c r="M92" s="58" t="str">
        <f t="shared" ca="1" si="8"/>
        <v/>
      </c>
      <c r="N92" s="7"/>
      <c r="O92" s="7"/>
      <c r="P92" s="7"/>
      <c r="Q92" s="7"/>
      <c r="R92" s="7"/>
      <c r="S92" s="6"/>
      <c r="T92" s="6"/>
      <c r="U92" s="6"/>
      <c r="V92" s="6"/>
      <c r="W92" s="6"/>
      <c r="X92" s="6"/>
      <c r="Y92" s="6"/>
      <c r="Z92" s="6"/>
      <c r="AA92" s="32"/>
      <c r="AB92"/>
      <c r="AC92"/>
      <c r="AD92"/>
      <c r="AE92"/>
      <c r="AF92"/>
      <c r="AG92"/>
      <c r="AH92"/>
      <c r="AI92"/>
      <c r="AJ92"/>
      <c r="AK92"/>
      <c r="AL92"/>
    </row>
    <row r="93" spans="1:38">
      <c r="A93" s="34" t="str" cm="1">
        <f t="array" aca="1" ref="A93" ca="1">IFERROR(INDEX(_xlfn.ANCHORARRAY($AA$11),ROW()-10,1),"")</f>
        <v/>
      </c>
      <c r="B93" s="20" t="str" cm="1">
        <f t="array" aca="1" ref="B93" ca="1">IFERROR(INDEX(_xlfn.ANCHORARRAY($AA$11),ROW()-10,2),"")</f>
        <v/>
      </c>
      <c r="C93" s="4" t="str" cm="1">
        <f t="array" aca="1" ref="C93" ca="1">IFERROR(INDEX(_xlfn.ANCHORARRAY($AA$11),ROW()-10,3),"")</f>
        <v/>
      </c>
      <c r="D93" s="15" t="str" cm="1">
        <f t="array" aca="1" ref="D93" ca="1">IFERROR(INDEX(_xlfn.ANCHORARRAY($AA$11),ROW()-10,4),"")</f>
        <v/>
      </c>
      <c r="E93" s="4" t="str" cm="1">
        <f t="array" aca="1" ref="E93" ca="1">IFERROR(INDEX(_xlfn.ANCHORARRAY($AA$11),ROW()-10,5),"")</f>
        <v/>
      </c>
      <c r="F93" s="15" t="str" cm="1">
        <f t="array" aca="1" ref="F93" ca="1">IFERROR(INDEX(_xlfn.ANCHORARRAY($AA$11),ROW()-10,6),"")</f>
        <v/>
      </c>
      <c r="G93" s="4" t="str" cm="1">
        <f t="array" aca="1" ref="G93" ca="1">IFERROR(INDEX(_xlfn.ANCHORARRAY($AA$11),ROW()-10,7),"")</f>
        <v/>
      </c>
      <c r="H93" s="4" t="str" cm="1">
        <f t="array" aca="1" ref="H93" ca="1">IFERROR(INDEX(_xlfn.ANCHORARRAY($AA$11),ROW()-10,8),"")</f>
        <v/>
      </c>
      <c r="I93" s="4" t="str" cm="1">
        <f t="array" aca="1" ref="I93" ca="1">IFERROR(INDEX(_xlfn.ANCHORARRAY($AA$11),ROW()-10,9),"")</f>
        <v/>
      </c>
      <c r="J93" s="4" t="str">
        <f t="shared" ca="1" si="6"/>
        <v/>
      </c>
      <c r="K93" s="4" t="str">
        <f t="shared" ca="1" si="7"/>
        <v/>
      </c>
      <c r="L93" s="4" t="str" cm="1">
        <f t="array" aca="1" ref="L93" ca="1">_xlfn.LET(_xlpm.link,IFERROR(INDEX(_xlfn.ANCHORARRAY($AA$11),ROW()-10,12),""),IF(_xlpm.link="","",HYPERLINK(_xlpm.link,"Bluecore/Attentive")))</f>
        <v/>
      </c>
      <c r="M93" s="57" t="str">
        <f t="shared" ca="1" si="8"/>
        <v/>
      </c>
      <c r="N93" s="7"/>
      <c r="O93" s="7"/>
      <c r="P93" s="7"/>
      <c r="Q93" s="7"/>
      <c r="R93" s="7"/>
      <c r="S93" s="6"/>
      <c r="T93" s="6"/>
      <c r="U93" s="6"/>
      <c r="V93" s="6"/>
      <c r="W93" s="6"/>
      <c r="X93" s="6"/>
      <c r="Y93" s="6"/>
      <c r="Z93" s="6"/>
      <c r="AA93" s="32"/>
      <c r="AB93"/>
      <c r="AC93"/>
      <c r="AD93"/>
      <c r="AE93"/>
      <c r="AF93"/>
      <c r="AG93"/>
      <c r="AH93"/>
      <c r="AI93"/>
      <c r="AJ93"/>
      <c r="AK93"/>
      <c r="AL93"/>
    </row>
    <row r="94" spans="1:38">
      <c r="A94" s="34" t="str" cm="1">
        <f t="array" aca="1" ref="A94" ca="1">IFERROR(INDEX(_xlfn.ANCHORARRAY($AA$11),ROW()-10,1),"")</f>
        <v/>
      </c>
      <c r="B94" s="20" t="str" cm="1">
        <f t="array" aca="1" ref="B94" ca="1">IFERROR(INDEX(_xlfn.ANCHORARRAY($AA$11),ROW()-10,2),"")</f>
        <v/>
      </c>
      <c r="C94" s="4" t="str" cm="1">
        <f t="array" aca="1" ref="C94" ca="1">IFERROR(INDEX(_xlfn.ANCHORARRAY($AA$11),ROW()-10,3),"")</f>
        <v/>
      </c>
      <c r="D94" s="15" t="str" cm="1">
        <f t="array" aca="1" ref="D94" ca="1">IFERROR(INDEX(_xlfn.ANCHORARRAY($AA$11),ROW()-10,4),"")</f>
        <v/>
      </c>
      <c r="E94" s="4" t="str" cm="1">
        <f t="array" aca="1" ref="E94" ca="1">IFERROR(INDEX(_xlfn.ANCHORARRAY($AA$11),ROW()-10,5),"")</f>
        <v/>
      </c>
      <c r="F94" s="15" t="str" cm="1">
        <f t="array" aca="1" ref="F94" ca="1">IFERROR(INDEX(_xlfn.ANCHORARRAY($AA$11),ROW()-10,6),"")</f>
        <v/>
      </c>
      <c r="G94" s="4" t="str" cm="1">
        <f t="array" aca="1" ref="G94" ca="1">IFERROR(INDEX(_xlfn.ANCHORARRAY($AA$11),ROW()-10,7),"")</f>
        <v/>
      </c>
      <c r="H94" s="4" t="str" cm="1">
        <f t="array" aca="1" ref="H94" ca="1">IFERROR(INDEX(_xlfn.ANCHORARRAY($AA$11),ROW()-10,8),"")</f>
        <v/>
      </c>
      <c r="I94" s="4" t="str" cm="1">
        <f t="array" aca="1" ref="I94" ca="1">IFERROR(INDEX(_xlfn.ANCHORARRAY($AA$11),ROW()-10,9),"")</f>
        <v/>
      </c>
      <c r="J94" s="4" t="str">
        <f t="shared" ca="1" si="6"/>
        <v/>
      </c>
      <c r="K94" s="4" t="str">
        <f t="shared" ca="1" si="7"/>
        <v/>
      </c>
      <c r="L94" s="4" t="str" cm="1">
        <f t="array" aca="1" ref="L94" ca="1">_xlfn.LET(_xlpm.link,IFERROR(INDEX(_xlfn.ANCHORARRAY($AA$11),ROW()-10,12),""),IF(_xlpm.link="","",HYPERLINK(_xlpm.link,"Bluecore/Attentive")))</f>
        <v/>
      </c>
      <c r="M94" s="58" t="str">
        <f t="shared" ca="1" si="8"/>
        <v/>
      </c>
      <c r="N94" s="7"/>
      <c r="O94" s="7"/>
      <c r="P94" s="7"/>
      <c r="Q94" s="7"/>
      <c r="R94" s="7"/>
      <c r="S94" s="6"/>
      <c r="T94" s="6"/>
      <c r="U94" s="6"/>
      <c r="V94" s="6"/>
      <c r="W94" s="6"/>
      <c r="X94" s="6"/>
      <c r="Y94" s="6"/>
      <c r="Z94" s="6"/>
      <c r="AA94" s="32"/>
      <c r="AB94"/>
      <c r="AC94"/>
      <c r="AD94"/>
      <c r="AE94"/>
      <c r="AF94"/>
      <c r="AG94"/>
      <c r="AH94"/>
      <c r="AI94"/>
      <c r="AJ94"/>
      <c r="AK94"/>
      <c r="AL94"/>
    </row>
    <row r="95" spans="1:38">
      <c r="A95" s="34" t="str" cm="1">
        <f t="array" aca="1" ref="A95" ca="1">IFERROR(INDEX(_xlfn.ANCHORARRAY($AA$11),ROW()-10,1),"")</f>
        <v/>
      </c>
      <c r="B95" s="20" t="str" cm="1">
        <f t="array" aca="1" ref="B95" ca="1">IFERROR(INDEX(_xlfn.ANCHORARRAY($AA$11),ROW()-10,2),"")</f>
        <v/>
      </c>
      <c r="C95" s="4" t="str" cm="1">
        <f t="array" aca="1" ref="C95" ca="1">IFERROR(INDEX(_xlfn.ANCHORARRAY($AA$11),ROW()-10,3),"")</f>
        <v/>
      </c>
      <c r="D95" s="15" t="str" cm="1">
        <f t="array" aca="1" ref="D95" ca="1">IFERROR(INDEX(_xlfn.ANCHORARRAY($AA$11),ROW()-10,4),"")</f>
        <v/>
      </c>
      <c r="E95" s="4" t="str" cm="1">
        <f t="array" aca="1" ref="E95" ca="1">IFERROR(INDEX(_xlfn.ANCHORARRAY($AA$11),ROW()-10,5),"")</f>
        <v/>
      </c>
      <c r="F95" s="15" t="str" cm="1">
        <f t="array" aca="1" ref="F95" ca="1">IFERROR(INDEX(_xlfn.ANCHORARRAY($AA$11),ROW()-10,6),"")</f>
        <v/>
      </c>
      <c r="G95" s="4" t="str" cm="1">
        <f t="array" aca="1" ref="G95" ca="1">IFERROR(INDEX(_xlfn.ANCHORARRAY($AA$11),ROW()-10,7),"")</f>
        <v/>
      </c>
      <c r="H95" s="4" t="str" cm="1">
        <f t="array" aca="1" ref="H95" ca="1">IFERROR(INDEX(_xlfn.ANCHORARRAY($AA$11),ROW()-10,8),"")</f>
        <v/>
      </c>
      <c r="I95" s="4" t="str" cm="1">
        <f t="array" aca="1" ref="I95" ca="1">IFERROR(INDEX(_xlfn.ANCHORARRAY($AA$11),ROW()-10,9),"")</f>
        <v/>
      </c>
      <c r="J95" s="4" t="str">
        <f t="shared" ca="1" si="6"/>
        <v/>
      </c>
      <c r="K95" s="4" t="str">
        <f t="shared" ca="1" si="7"/>
        <v/>
      </c>
      <c r="L95" s="4" t="str" cm="1">
        <f t="array" aca="1" ref="L95" ca="1">_xlfn.LET(_xlpm.link,IFERROR(INDEX(_xlfn.ANCHORARRAY($AA$11),ROW()-10,12),""),IF(_xlpm.link="","",HYPERLINK(_xlpm.link,"Bluecore/Attentive")))</f>
        <v/>
      </c>
      <c r="M95" s="57" t="str">
        <f t="shared" ca="1" si="8"/>
        <v/>
      </c>
      <c r="N95" s="7"/>
      <c r="O95" s="7"/>
      <c r="P95" s="7"/>
      <c r="Q95" s="7"/>
      <c r="R95" s="7"/>
      <c r="S95" s="6"/>
      <c r="T95" s="6"/>
      <c r="U95" s="6"/>
      <c r="V95" s="6"/>
      <c r="W95" s="6"/>
      <c r="X95" s="6"/>
      <c r="Y95" s="6"/>
      <c r="Z95" s="6"/>
      <c r="AA95" s="32"/>
      <c r="AB95"/>
      <c r="AC95"/>
      <c r="AD95"/>
      <c r="AE95"/>
      <c r="AF95"/>
      <c r="AG95"/>
      <c r="AH95"/>
      <c r="AI95"/>
      <c r="AJ95"/>
      <c r="AK95"/>
      <c r="AL95"/>
    </row>
    <row r="96" spans="1:38">
      <c r="A96" s="34" t="str" cm="1">
        <f t="array" aca="1" ref="A96" ca="1">IFERROR(INDEX(_xlfn.ANCHORARRAY($AA$11),ROW()-10,1),"")</f>
        <v/>
      </c>
      <c r="B96" s="20" t="str" cm="1">
        <f t="array" aca="1" ref="B96" ca="1">IFERROR(INDEX(_xlfn.ANCHORARRAY($AA$11),ROW()-10,2),"")</f>
        <v/>
      </c>
      <c r="C96" s="4" t="str" cm="1">
        <f t="array" aca="1" ref="C96" ca="1">IFERROR(INDEX(_xlfn.ANCHORARRAY($AA$11),ROW()-10,3),"")</f>
        <v/>
      </c>
      <c r="D96" s="15" t="str" cm="1">
        <f t="array" aca="1" ref="D96" ca="1">IFERROR(INDEX(_xlfn.ANCHORARRAY($AA$11),ROW()-10,4),"")</f>
        <v/>
      </c>
      <c r="E96" s="4" t="str" cm="1">
        <f t="array" aca="1" ref="E96" ca="1">IFERROR(INDEX(_xlfn.ANCHORARRAY($AA$11),ROW()-10,5),"")</f>
        <v/>
      </c>
      <c r="F96" s="15" t="str" cm="1">
        <f t="array" aca="1" ref="F96" ca="1">IFERROR(INDEX(_xlfn.ANCHORARRAY($AA$11),ROW()-10,6),"")</f>
        <v/>
      </c>
      <c r="G96" s="4" t="str" cm="1">
        <f t="array" aca="1" ref="G96" ca="1">IFERROR(INDEX(_xlfn.ANCHORARRAY($AA$11),ROW()-10,7),"")</f>
        <v/>
      </c>
      <c r="H96" s="4" t="str" cm="1">
        <f t="array" aca="1" ref="H96" ca="1">IFERROR(INDEX(_xlfn.ANCHORARRAY($AA$11),ROW()-10,8),"")</f>
        <v/>
      </c>
      <c r="I96" s="4" t="str" cm="1">
        <f t="array" aca="1" ref="I96" ca="1">IFERROR(INDEX(_xlfn.ANCHORARRAY($AA$11),ROW()-10,9),"")</f>
        <v/>
      </c>
      <c r="J96" s="4" t="str">
        <f t="shared" ca="1" si="6"/>
        <v/>
      </c>
      <c r="K96" s="4" t="str">
        <f t="shared" ca="1" si="7"/>
        <v/>
      </c>
      <c r="L96" s="4" t="str" cm="1">
        <f t="array" aca="1" ref="L96" ca="1">_xlfn.LET(_xlpm.link,IFERROR(INDEX(_xlfn.ANCHORARRAY($AA$11),ROW()-10,12),""),IF(_xlpm.link="","",HYPERLINK(_xlpm.link,"Bluecore/Attentive")))</f>
        <v/>
      </c>
      <c r="M96" s="58" t="str">
        <f t="shared" ca="1" si="8"/>
        <v/>
      </c>
      <c r="N96" s="7"/>
      <c r="O96" s="7"/>
      <c r="P96" s="7"/>
      <c r="Q96" s="7"/>
      <c r="R96" s="7"/>
      <c r="S96" s="6"/>
      <c r="T96" s="6"/>
      <c r="U96" s="6"/>
      <c r="V96" s="6"/>
      <c r="W96" s="6"/>
      <c r="X96" s="6"/>
      <c r="Y96" s="6"/>
      <c r="Z96" s="6"/>
      <c r="AA96" s="32"/>
      <c r="AB96"/>
      <c r="AC96"/>
      <c r="AD96"/>
      <c r="AE96"/>
      <c r="AF96"/>
      <c r="AG96"/>
      <c r="AH96"/>
      <c r="AI96"/>
      <c r="AJ96"/>
      <c r="AK96"/>
      <c r="AL96"/>
    </row>
    <row r="97" spans="1:38">
      <c r="A97" s="34" t="str" cm="1">
        <f t="array" aca="1" ref="A97" ca="1">IFERROR(INDEX(_xlfn.ANCHORARRAY($AA$11),ROW()-10,1),"")</f>
        <v/>
      </c>
      <c r="B97" s="20" t="str" cm="1">
        <f t="array" aca="1" ref="B97" ca="1">IFERROR(INDEX(_xlfn.ANCHORARRAY($AA$11),ROW()-10,2),"")</f>
        <v/>
      </c>
      <c r="C97" s="4" t="str" cm="1">
        <f t="array" aca="1" ref="C97" ca="1">IFERROR(INDEX(_xlfn.ANCHORARRAY($AA$11),ROW()-10,3),"")</f>
        <v/>
      </c>
      <c r="D97" s="15" t="str" cm="1">
        <f t="array" aca="1" ref="D97" ca="1">IFERROR(INDEX(_xlfn.ANCHORARRAY($AA$11),ROW()-10,4),"")</f>
        <v/>
      </c>
      <c r="E97" s="4" t="str" cm="1">
        <f t="array" aca="1" ref="E97" ca="1">IFERROR(INDEX(_xlfn.ANCHORARRAY($AA$11),ROW()-10,5),"")</f>
        <v/>
      </c>
      <c r="F97" s="15" t="str" cm="1">
        <f t="array" aca="1" ref="F97" ca="1">IFERROR(INDEX(_xlfn.ANCHORARRAY($AA$11),ROW()-10,6),"")</f>
        <v/>
      </c>
      <c r="G97" s="4" t="str" cm="1">
        <f t="array" aca="1" ref="G97" ca="1">IFERROR(INDEX(_xlfn.ANCHORARRAY($AA$11),ROW()-10,7),"")</f>
        <v/>
      </c>
      <c r="H97" s="4" t="str" cm="1">
        <f t="array" aca="1" ref="H97" ca="1">IFERROR(INDEX(_xlfn.ANCHORARRAY($AA$11),ROW()-10,8),"")</f>
        <v/>
      </c>
      <c r="I97" s="4" t="str" cm="1">
        <f t="array" aca="1" ref="I97" ca="1">IFERROR(INDEX(_xlfn.ANCHORARRAY($AA$11),ROW()-10,9),"")</f>
        <v/>
      </c>
      <c r="J97" s="4" t="str">
        <f t="shared" ca="1" si="6"/>
        <v/>
      </c>
      <c r="K97" s="4" t="str">
        <f t="shared" ca="1" si="7"/>
        <v/>
      </c>
      <c r="L97" s="4" t="str" cm="1">
        <f t="array" aca="1" ref="L97" ca="1">_xlfn.LET(_xlpm.link,IFERROR(INDEX(_xlfn.ANCHORARRAY($AA$11),ROW()-10,12),""),IF(_xlpm.link="","",HYPERLINK(_xlpm.link,"Bluecore/Attentive")))</f>
        <v/>
      </c>
      <c r="M97" s="57" t="str">
        <f t="shared" ca="1" si="8"/>
        <v/>
      </c>
      <c r="N97" s="7"/>
      <c r="O97" s="7"/>
      <c r="P97" s="7"/>
      <c r="Q97" s="7"/>
      <c r="R97" s="7"/>
      <c r="S97" s="6"/>
      <c r="T97" s="6"/>
      <c r="U97" s="6"/>
      <c r="V97" s="6"/>
      <c r="W97" s="6"/>
      <c r="X97" s="6"/>
      <c r="Y97" s="6"/>
      <c r="Z97" s="6"/>
      <c r="AA97" s="32"/>
      <c r="AB97"/>
      <c r="AC97"/>
      <c r="AD97"/>
      <c r="AE97"/>
      <c r="AF97"/>
      <c r="AG97"/>
      <c r="AH97"/>
      <c r="AI97"/>
      <c r="AJ97"/>
      <c r="AK97"/>
      <c r="AL97"/>
    </row>
    <row r="98" spans="1:38">
      <c r="A98" s="34" t="str" cm="1">
        <f t="array" aca="1" ref="A98" ca="1">IFERROR(INDEX(_xlfn.ANCHORARRAY($AA$11),ROW()-10,1),"")</f>
        <v/>
      </c>
      <c r="B98" s="20" t="str" cm="1">
        <f t="array" aca="1" ref="B98" ca="1">IFERROR(INDEX(_xlfn.ANCHORARRAY($AA$11),ROW()-10,2),"")</f>
        <v/>
      </c>
      <c r="C98" s="4" t="str" cm="1">
        <f t="array" aca="1" ref="C98" ca="1">IFERROR(INDEX(_xlfn.ANCHORARRAY($AA$11),ROW()-10,3),"")</f>
        <v/>
      </c>
      <c r="D98" s="15" t="str" cm="1">
        <f t="array" aca="1" ref="D98" ca="1">IFERROR(INDEX(_xlfn.ANCHORARRAY($AA$11),ROW()-10,4),"")</f>
        <v/>
      </c>
      <c r="E98" s="4" t="str" cm="1">
        <f t="array" aca="1" ref="E98" ca="1">IFERROR(INDEX(_xlfn.ANCHORARRAY($AA$11),ROW()-10,5),"")</f>
        <v/>
      </c>
      <c r="F98" s="15" t="str" cm="1">
        <f t="array" aca="1" ref="F98" ca="1">IFERROR(INDEX(_xlfn.ANCHORARRAY($AA$11),ROW()-10,6),"")</f>
        <v/>
      </c>
      <c r="G98" s="4" t="str" cm="1">
        <f t="array" aca="1" ref="G98" ca="1">IFERROR(INDEX(_xlfn.ANCHORARRAY($AA$11),ROW()-10,7),"")</f>
        <v/>
      </c>
      <c r="H98" s="4" t="str" cm="1">
        <f t="array" aca="1" ref="H98" ca="1">IFERROR(INDEX(_xlfn.ANCHORARRAY($AA$11),ROW()-10,8),"")</f>
        <v/>
      </c>
      <c r="I98" s="4" t="str" cm="1">
        <f t="array" aca="1" ref="I98" ca="1">IFERROR(INDEX(_xlfn.ANCHORARRAY($AA$11),ROW()-10,9),"")</f>
        <v/>
      </c>
      <c r="J98" s="4" t="str">
        <f t="shared" ca="1" si="6"/>
        <v/>
      </c>
      <c r="K98" s="4" t="str">
        <f t="shared" ca="1" si="7"/>
        <v/>
      </c>
      <c r="L98" s="4" t="str" cm="1">
        <f t="array" aca="1" ref="L98" ca="1">_xlfn.LET(_xlpm.link,IFERROR(INDEX(_xlfn.ANCHORARRAY($AA$11),ROW()-10,12),""),IF(_xlpm.link="","",HYPERLINK(_xlpm.link,"Bluecore/Attentive")))</f>
        <v/>
      </c>
      <c r="M98" s="58" t="str">
        <f t="shared" ca="1" si="8"/>
        <v/>
      </c>
      <c r="N98" s="7"/>
      <c r="O98" s="7"/>
      <c r="P98" s="7"/>
      <c r="Q98" s="7"/>
      <c r="R98" s="7"/>
      <c r="S98" s="6"/>
      <c r="T98" s="6"/>
      <c r="U98" s="6"/>
      <c r="V98" s="6"/>
      <c r="W98" s="6"/>
      <c r="X98" s="6"/>
      <c r="Y98" s="6"/>
      <c r="Z98" s="6"/>
      <c r="AA98" s="32"/>
      <c r="AB98"/>
      <c r="AC98"/>
      <c r="AD98"/>
      <c r="AE98"/>
      <c r="AF98"/>
      <c r="AG98"/>
      <c r="AH98"/>
      <c r="AI98"/>
      <c r="AJ98"/>
      <c r="AK98"/>
      <c r="AL98"/>
    </row>
    <row r="99" spans="1:38">
      <c r="A99" s="34" t="str" cm="1">
        <f t="array" aca="1" ref="A99" ca="1">IFERROR(INDEX(_xlfn.ANCHORARRAY($AA$11),ROW()-10,1),"")</f>
        <v/>
      </c>
      <c r="B99" s="20" t="str" cm="1">
        <f t="array" aca="1" ref="B99" ca="1">IFERROR(INDEX(_xlfn.ANCHORARRAY($AA$11),ROW()-10,2),"")</f>
        <v/>
      </c>
      <c r="C99" s="4" t="str" cm="1">
        <f t="array" aca="1" ref="C99" ca="1">IFERROR(INDEX(_xlfn.ANCHORARRAY($AA$11),ROW()-10,3),"")</f>
        <v/>
      </c>
      <c r="D99" s="15" t="str" cm="1">
        <f t="array" aca="1" ref="D99" ca="1">IFERROR(INDEX(_xlfn.ANCHORARRAY($AA$11),ROW()-10,4),"")</f>
        <v/>
      </c>
      <c r="E99" s="4" t="str" cm="1">
        <f t="array" aca="1" ref="E99" ca="1">IFERROR(INDEX(_xlfn.ANCHORARRAY($AA$11),ROW()-10,5),"")</f>
        <v/>
      </c>
      <c r="F99" s="15" t="str" cm="1">
        <f t="array" aca="1" ref="F99" ca="1">IFERROR(INDEX(_xlfn.ANCHORARRAY($AA$11),ROW()-10,6),"")</f>
        <v/>
      </c>
      <c r="G99" s="4" t="str" cm="1">
        <f t="array" aca="1" ref="G99" ca="1">IFERROR(INDEX(_xlfn.ANCHORARRAY($AA$11),ROW()-10,7),"")</f>
        <v/>
      </c>
      <c r="H99" s="4" t="str" cm="1">
        <f t="array" aca="1" ref="H99" ca="1">IFERROR(INDEX(_xlfn.ANCHORARRAY($AA$11),ROW()-10,8),"")</f>
        <v/>
      </c>
      <c r="I99" s="4" t="str" cm="1">
        <f t="array" aca="1" ref="I99" ca="1">IFERROR(INDEX(_xlfn.ANCHORARRAY($AA$11),ROW()-10,9),"")</f>
        <v/>
      </c>
      <c r="J99" s="4" t="str">
        <f t="shared" ca="1" si="6"/>
        <v/>
      </c>
      <c r="K99" s="4" t="str">
        <f t="shared" ca="1" si="7"/>
        <v/>
      </c>
      <c r="L99" s="4" t="str" cm="1">
        <f t="array" aca="1" ref="L99" ca="1">_xlfn.LET(_xlpm.link,IFERROR(INDEX(_xlfn.ANCHORARRAY($AA$11),ROW()-10,12),""),IF(_xlpm.link="","",HYPERLINK(_xlpm.link,"Bluecore/Attentive")))</f>
        <v/>
      </c>
      <c r="M99" s="57" t="str">
        <f t="shared" ca="1" si="8"/>
        <v/>
      </c>
      <c r="N99" s="7"/>
      <c r="O99" s="7"/>
      <c r="P99" s="7"/>
      <c r="Q99" s="7"/>
      <c r="R99" s="7"/>
      <c r="S99" s="6"/>
      <c r="T99" s="6"/>
      <c r="U99" s="6"/>
      <c r="V99" s="6"/>
      <c r="W99" s="6"/>
      <c r="X99" s="6"/>
      <c r="Y99" s="6"/>
      <c r="Z99" s="6"/>
      <c r="AA99" s="32"/>
      <c r="AB99"/>
      <c r="AC99"/>
      <c r="AD99"/>
      <c r="AE99"/>
      <c r="AF99"/>
      <c r="AG99"/>
      <c r="AH99"/>
      <c r="AI99"/>
      <c r="AJ99"/>
      <c r="AK99"/>
      <c r="AL99"/>
    </row>
    <row r="100" spans="1:38">
      <c r="A100" s="34" t="str" cm="1">
        <f t="array" aca="1" ref="A100" ca="1">IFERROR(INDEX(_xlfn.ANCHORARRAY($AA$11),ROW()-10,1),"")</f>
        <v/>
      </c>
      <c r="B100" s="20" t="str" cm="1">
        <f t="array" aca="1" ref="B100" ca="1">IFERROR(INDEX(_xlfn.ANCHORARRAY($AA$11),ROW()-10,2),"")</f>
        <v/>
      </c>
      <c r="C100" s="4" t="str" cm="1">
        <f t="array" aca="1" ref="C100" ca="1">IFERROR(INDEX(_xlfn.ANCHORARRAY($AA$11),ROW()-10,3),"")</f>
        <v/>
      </c>
      <c r="D100" s="15" t="str" cm="1">
        <f t="array" aca="1" ref="D100" ca="1">IFERROR(INDEX(_xlfn.ANCHORARRAY($AA$11),ROW()-10,4),"")</f>
        <v/>
      </c>
      <c r="E100" s="4" t="str" cm="1">
        <f t="array" aca="1" ref="E100" ca="1">IFERROR(INDEX(_xlfn.ANCHORARRAY($AA$11),ROW()-10,5),"")</f>
        <v/>
      </c>
      <c r="F100" s="15" t="str" cm="1">
        <f t="array" aca="1" ref="F100" ca="1">IFERROR(INDEX(_xlfn.ANCHORARRAY($AA$11),ROW()-10,6),"")</f>
        <v/>
      </c>
      <c r="G100" s="4" t="str" cm="1">
        <f t="array" aca="1" ref="G100" ca="1">IFERROR(INDEX(_xlfn.ANCHORARRAY($AA$11),ROW()-10,7),"")</f>
        <v/>
      </c>
      <c r="H100" s="4" t="str" cm="1">
        <f t="array" aca="1" ref="H100" ca="1">IFERROR(INDEX(_xlfn.ANCHORARRAY($AA$11),ROW()-10,8),"")</f>
        <v/>
      </c>
      <c r="I100" s="4" t="str" cm="1">
        <f t="array" aca="1" ref="I100" ca="1">IFERROR(INDEX(_xlfn.ANCHORARRAY($AA$11),ROW()-10,9),"")</f>
        <v/>
      </c>
      <c r="J100" s="4" t="str">
        <f t="shared" ca="1" si="6"/>
        <v/>
      </c>
      <c r="K100" s="4" t="str">
        <f t="shared" ca="1" si="7"/>
        <v/>
      </c>
      <c r="L100" s="4" t="str" cm="1">
        <f t="array" aca="1" ref="L100" ca="1">_xlfn.LET(_xlpm.link,IFERROR(INDEX(_xlfn.ANCHORARRAY($AA$11),ROW()-10,12),""),IF(_xlpm.link="","",HYPERLINK(_xlpm.link,"Bluecore/Attentive")))</f>
        <v/>
      </c>
      <c r="M100" s="58" t="str">
        <f t="shared" ca="1" si="8"/>
        <v/>
      </c>
      <c r="N100" s="7"/>
      <c r="O100" s="7"/>
      <c r="P100" s="7"/>
      <c r="Q100" s="7"/>
      <c r="R100" s="7"/>
      <c r="S100" s="6"/>
      <c r="T100" s="6"/>
      <c r="U100" s="6"/>
      <c r="V100" s="6"/>
      <c r="W100" s="6"/>
      <c r="X100" s="6"/>
      <c r="Y100" s="6"/>
      <c r="Z100" s="6"/>
      <c r="AA100" s="32"/>
      <c r="AB100"/>
      <c r="AC100"/>
      <c r="AD100"/>
      <c r="AE100"/>
      <c r="AF100"/>
      <c r="AG100"/>
      <c r="AH100"/>
      <c r="AI100"/>
      <c r="AJ100"/>
      <c r="AK100"/>
      <c r="AL100"/>
    </row>
    <row r="101" spans="1:38">
      <c r="A101" s="34" t="str" cm="1">
        <f t="array" aca="1" ref="A101" ca="1">IFERROR(INDEX(_xlfn.ANCHORARRAY($AA$11),ROW()-10,1),"")</f>
        <v/>
      </c>
      <c r="B101" s="20" t="str" cm="1">
        <f t="array" aca="1" ref="B101" ca="1">IFERROR(INDEX(_xlfn.ANCHORARRAY($AA$11),ROW()-10,2),"")</f>
        <v/>
      </c>
      <c r="C101" s="4" t="str" cm="1">
        <f t="array" aca="1" ref="C101" ca="1">IFERROR(INDEX(_xlfn.ANCHORARRAY($AA$11),ROW()-10,3),"")</f>
        <v/>
      </c>
      <c r="D101" s="15" t="str" cm="1">
        <f t="array" aca="1" ref="D101" ca="1">IFERROR(INDEX(_xlfn.ANCHORARRAY($AA$11),ROW()-10,4),"")</f>
        <v/>
      </c>
      <c r="E101" s="4" t="str" cm="1">
        <f t="array" aca="1" ref="E101" ca="1">IFERROR(INDEX(_xlfn.ANCHORARRAY($AA$11),ROW()-10,5),"")</f>
        <v/>
      </c>
      <c r="F101" s="15" t="str" cm="1">
        <f t="array" aca="1" ref="F101" ca="1">IFERROR(INDEX(_xlfn.ANCHORARRAY($AA$11),ROW()-10,6),"")</f>
        <v/>
      </c>
      <c r="G101" s="4" t="str" cm="1">
        <f t="array" aca="1" ref="G101" ca="1">IFERROR(INDEX(_xlfn.ANCHORARRAY($AA$11),ROW()-10,7),"")</f>
        <v/>
      </c>
      <c r="H101" s="4" t="str" cm="1">
        <f t="array" aca="1" ref="H101" ca="1">IFERROR(INDEX(_xlfn.ANCHORARRAY($AA$11),ROW()-10,8),"")</f>
        <v/>
      </c>
      <c r="I101" s="4" t="str" cm="1">
        <f t="array" aca="1" ref="I101" ca="1">IFERROR(INDEX(_xlfn.ANCHORARRAY($AA$11),ROW()-10,9),"")</f>
        <v/>
      </c>
      <c r="J101" s="4" t="str">
        <f t="shared" ca="1" si="6"/>
        <v/>
      </c>
      <c r="K101" s="4" t="str">
        <f t="shared" ca="1" si="7"/>
        <v/>
      </c>
      <c r="L101" s="4" t="str" cm="1">
        <f t="array" aca="1" ref="L101" ca="1">_xlfn.LET(_xlpm.link,IFERROR(INDEX(_xlfn.ANCHORARRAY($AA$11),ROW()-10,12),""),IF(_xlpm.link="","",HYPERLINK(_xlpm.link,"Bluecore/Attentive")))</f>
        <v/>
      </c>
      <c r="M101" s="57" t="str">
        <f t="shared" ca="1" si="8"/>
        <v/>
      </c>
      <c r="N101" s="7"/>
      <c r="O101" s="7"/>
      <c r="P101" s="7"/>
      <c r="Q101" s="7"/>
      <c r="R101" s="7"/>
      <c r="S101" s="6"/>
      <c r="T101" s="6"/>
      <c r="U101" s="6"/>
      <c r="V101" s="6"/>
      <c r="W101" s="6"/>
      <c r="X101" s="6"/>
      <c r="Y101" s="6"/>
      <c r="Z101" s="6"/>
      <c r="AA101" s="32"/>
      <c r="AB101"/>
      <c r="AC101"/>
      <c r="AD101"/>
      <c r="AE101"/>
      <c r="AF101"/>
      <c r="AG101"/>
      <c r="AH101"/>
      <c r="AI101"/>
      <c r="AJ101"/>
      <c r="AK101"/>
      <c r="AL101"/>
    </row>
    <row r="102" spans="1:38">
      <c r="A102" s="34" t="str" cm="1">
        <f t="array" aca="1" ref="A102" ca="1">IFERROR(INDEX(_xlfn.ANCHORARRAY($AA$11),ROW()-10,1),"")</f>
        <v/>
      </c>
      <c r="B102" s="20" t="str" cm="1">
        <f t="array" aca="1" ref="B102" ca="1">IFERROR(INDEX(_xlfn.ANCHORARRAY($AA$11),ROW()-10,2),"")</f>
        <v/>
      </c>
      <c r="C102" s="4" t="str" cm="1">
        <f t="array" aca="1" ref="C102" ca="1">IFERROR(INDEX(_xlfn.ANCHORARRAY($AA$11),ROW()-10,3),"")</f>
        <v/>
      </c>
      <c r="D102" s="15" t="str" cm="1">
        <f t="array" aca="1" ref="D102" ca="1">IFERROR(INDEX(_xlfn.ANCHORARRAY($AA$11),ROW()-10,4),"")</f>
        <v/>
      </c>
      <c r="E102" s="4" t="str" cm="1">
        <f t="array" aca="1" ref="E102" ca="1">IFERROR(INDEX(_xlfn.ANCHORARRAY($AA$11),ROW()-10,5),"")</f>
        <v/>
      </c>
      <c r="F102" s="15" t="str" cm="1">
        <f t="array" aca="1" ref="F102" ca="1">IFERROR(INDEX(_xlfn.ANCHORARRAY($AA$11),ROW()-10,6),"")</f>
        <v/>
      </c>
      <c r="G102" s="4" t="str" cm="1">
        <f t="array" aca="1" ref="G102" ca="1">IFERROR(INDEX(_xlfn.ANCHORARRAY($AA$11),ROW()-10,7),"")</f>
        <v/>
      </c>
      <c r="H102" s="4" t="str" cm="1">
        <f t="array" aca="1" ref="H102" ca="1">IFERROR(INDEX(_xlfn.ANCHORARRAY($AA$11),ROW()-10,8),"")</f>
        <v/>
      </c>
      <c r="I102" s="4" t="str" cm="1">
        <f t="array" aca="1" ref="I102" ca="1">IFERROR(INDEX(_xlfn.ANCHORARRAY($AA$11),ROW()-10,9),"")</f>
        <v/>
      </c>
      <c r="J102" s="4" t="str">
        <f t="shared" ca="1" si="6"/>
        <v/>
      </c>
      <c r="K102" s="4" t="str">
        <f t="shared" ca="1" si="7"/>
        <v/>
      </c>
      <c r="L102" s="4" t="str" cm="1">
        <f t="array" aca="1" ref="L102" ca="1">_xlfn.LET(_xlpm.link,IFERROR(INDEX(_xlfn.ANCHORARRAY($AA$11),ROW()-10,12),""),IF(_xlpm.link="","",HYPERLINK(_xlpm.link,"Bluecore/Attentive")))</f>
        <v/>
      </c>
      <c r="M102" s="58" t="str">
        <f t="shared" ca="1" si="8"/>
        <v/>
      </c>
      <c r="N102" s="7"/>
      <c r="O102" s="7"/>
      <c r="P102" s="7"/>
      <c r="Q102" s="7"/>
      <c r="R102" s="7"/>
      <c r="S102" s="6"/>
      <c r="T102" s="6"/>
      <c r="U102" s="6"/>
      <c r="V102" s="6"/>
      <c r="W102" s="6"/>
      <c r="X102" s="6"/>
      <c r="Y102" s="6"/>
      <c r="Z102" s="6"/>
      <c r="AA102" s="32"/>
      <c r="AB102"/>
      <c r="AC102"/>
      <c r="AD102"/>
      <c r="AE102"/>
      <c r="AF102"/>
      <c r="AG102"/>
      <c r="AH102"/>
      <c r="AI102"/>
      <c r="AJ102"/>
      <c r="AK102"/>
      <c r="AL102"/>
    </row>
    <row r="103" spans="1:38">
      <c r="A103" s="34" t="str" cm="1">
        <f t="array" aca="1" ref="A103" ca="1">IFERROR(INDEX(_xlfn.ANCHORARRAY($AA$11),ROW()-10,1),"")</f>
        <v/>
      </c>
      <c r="B103" s="20" t="str" cm="1">
        <f t="array" aca="1" ref="B103" ca="1">IFERROR(INDEX(_xlfn.ANCHORARRAY($AA$11),ROW()-10,2),"")</f>
        <v/>
      </c>
      <c r="C103" s="4" t="str" cm="1">
        <f t="array" aca="1" ref="C103" ca="1">IFERROR(INDEX(_xlfn.ANCHORARRAY($AA$11),ROW()-10,3),"")</f>
        <v/>
      </c>
      <c r="D103" s="15" t="str" cm="1">
        <f t="array" aca="1" ref="D103" ca="1">IFERROR(INDEX(_xlfn.ANCHORARRAY($AA$11),ROW()-10,4),"")</f>
        <v/>
      </c>
      <c r="E103" s="4" t="str" cm="1">
        <f t="array" aca="1" ref="E103" ca="1">IFERROR(INDEX(_xlfn.ANCHORARRAY($AA$11),ROW()-10,5),"")</f>
        <v/>
      </c>
      <c r="F103" s="15" t="str" cm="1">
        <f t="array" aca="1" ref="F103" ca="1">IFERROR(INDEX(_xlfn.ANCHORARRAY($AA$11),ROW()-10,6),"")</f>
        <v/>
      </c>
      <c r="G103" s="4" t="str" cm="1">
        <f t="array" aca="1" ref="G103" ca="1">IFERROR(INDEX(_xlfn.ANCHORARRAY($AA$11),ROW()-10,7),"")</f>
        <v/>
      </c>
      <c r="H103" s="4" t="str" cm="1">
        <f t="array" aca="1" ref="H103" ca="1">IFERROR(INDEX(_xlfn.ANCHORARRAY($AA$11),ROW()-10,8),"")</f>
        <v/>
      </c>
      <c r="I103" s="4" t="str" cm="1">
        <f t="array" aca="1" ref="I103" ca="1">IFERROR(INDEX(_xlfn.ANCHORARRAY($AA$11),ROW()-10,9),"")</f>
        <v/>
      </c>
      <c r="J103" s="4" t="str">
        <f t="shared" ca="1" si="6"/>
        <v/>
      </c>
      <c r="K103" s="4" t="str">
        <f t="shared" ca="1" si="7"/>
        <v/>
      </c>
      <c r="L103" s="4" t="str" cm="1">
        <f t="array" aca="1" ref="L103" ca="1">_xlfn.LET(_xlpm.link,IFERROR(INDEX(_xlfn.ANCHORARRAY($AA$11),ROW()-10,12),""),IF(_xlpm.link="","",HYPERLINK(_xlpm.link,"Bluecore/Attentive")))</f>
        <v/>
      </c>
      <c r="M103" s="57" t="str">
        <f t="shared" ca="1" si="8"/>
        <v/>
      </c>
      <c r="N103" s="7"/>
      <c r="O103" s="7"/>
      <c r="P103" s="7"/>
      <c r="Q103" s="7"/>
      <c r="R103" s="7"/>
      <c r="S103" s="6"/>
      <c r="T103" s="6"/>
      <c r="U103" s="6"/>
      <c r="V103" s="6"/>
      <c r="W103" s="6"/>
      <c r="X103" s="6"/>
      <c r="Y103" s="6"/>
      <c r="Z103" s="6"/>
      <c r="AA103" s="32"/>
      <c r="AB103"/>
      <c r="AC103"/>
      <c r="AD103"/>
      <c r="AE103"/>
      <c r="AF103"/>
      <c r="AG103"/>
      <c r="AH103"/>
      <c r="AI103"/>
      <c r="AJ103"/>
      <c r="AK103"/>
      <c r="AL103"/>
    </row>
    <row r="104" spans="1:38">
      <c r="A104" s="34" t="str" cm="1">
        <f t="array" aca="1" ref="A104" ca="1">IFERROR(INDEX(_xlfn.ANCHORARRAY($AA$11),ROW()-10,1),"")</f>
        <v/>
      </c>
      <c r="B104" s="20" t="str" cm="1">
        <f t="array" aca="1" ref="B104" ca="1">IFERROR(INDEX(_xlfn.ANCHORARRAY($AA$11),ROW()-10,2),"")</f>
        <v/>
      </c>
      <c r="C104" s="4" t="str" cm="1">
        <f t="array" aca="1" ref="C104" ca="1">IFERROR(INDEX(_xlfn.ANCHORARRAY($AA$11),ROW()-10,3),"")</f>
        <v/>
      </c>
      <c r="D104" s="15" t="str" cm="1">
        <f t="array" aca="1" ref="D104" ca="1">IFERROR(INDEX(_xlfn.ANCHORARRAY($AA$11),ROW()-10,4),"")</f>
        <v/>
      </c>
      <c r="E104" s="4" t="str" cm="1">
        <f t="array" aca="1" ref="E104" ca="1">IFERROR(INDEX(_xlfn.ANCHORARRAY($AA$11),ROW()-10,5),"")</f>
        <v/>
      </c>
      <c r="F104" s="15" t="str" cm="1">
        <f t="array" aca="1" ref="F104" ca="1">IFERROR(INDEX(_xlfn.ANCHORARRAY($AA$11),ROW()-10,6),"")</f>
        <v/>
      </c>
      <c r="G104" s="4" t="str" cm="1">
        <f t="array" aca="1" ref="G104" ca="1">IFERROR(INDEX(_xlfn.ANCHORARRAY($AA$11),ROW()-10,7),"")</f>
        <v/>
      </c>
      <c r="H104" s="4" t="str" cm="1">
        <f t="array" aca="1" ref="H104" ca="1">IFERROR(INDEX(_xlfn.ANCHORARRAY($AA$11),ROW()-10,8),"")</f>
        <v/>
      </c>
      <c r="I104" s="4" t="str" cm="1">
        <f t="array" aca="1" ref="I104" ca="1">IFERROR(INDEX(_xlfn.ANCHORARRAY($AA$11),ROW()-10,9),"")</f>
        <v/>
      </c>
      <c r="J104" s="4" t="str">
        <f t="shared" ca="1" si="6"/>
        <v/>
      </c>
      <c r="K104" s="4" t="str">
        <f t="shared" ca="1" si="7"/>
        <v/>
      </c>
      <c r="L104" s="4" t="str" cm="1">
        <f t="array" aca="1" ref="L104" ca="1">_xlfn.LET(_xlpm.link,IFERROR(INDEX(_xlfn.ANCHORARRAY($AA$11),ROW()-10,12),""),IF(_xlpm.link="","",HYPERLINK(_xlpm.link,"Bluecore/Attentive")))</f>
        <v/>
      </c>
      <c r="M104" s="58" t="str">
        <f t="shared" ca="1" si="8"/>
        <v/>
      </c>
      <c r="N104" s="7"/>
      <c r="O104" s="7"/>
      <c r="P104" s="7"/>
      <c r="Q104" s="7"/>
      <c r="R104" s="7"/>
      <c r="S104" s="6"/>
      <c r="T104" s="6"/>
      <c r="U104" s="6"/>
      <c r="V104" s="6"/>
      <c r="W104" s="6"/>
      <c r="X104" s="6"/>
      <c r="Y104" s="6"/>
      <c r="Z104" s="6"/>
      <c r="AA104" s="32"/>
      <c r="AB104"/>
      <c r="AC104"/>
      <c r="AD104"/>
      <c r="AE104"/>
      <c r="AF104"/>
      <c r="AG104"/>
      <c r="AH104"/>
      <c r="AI104"/>
      <c r="AJ104"/>
      <c r="AK104"/>
      <c r="AL104"/>
    </row>
    <row r="105" spans="1:38">
      <c r="A105" s="34" t="str" cm="1">
        <f t="array" aca="1" ref="A105" ca="1">IFERROR(INDEX(_xlfn.ANCHORARRAY($AA$11),ROW()-10,1),"")</f>
        <v/>
      </c>
      <c r="B105" s="20" t="str" cm="1">
        <f t="array" aca="1" ref="B105" ca="1">IFERROR(INDEX(_xlfn.ANCHORARRAY($AA$11),ROW()-10,2),"")</f>
        <v/>
      </c>
      <c r="C105" s="4" t="str" cm="1">
        <f t="array" aca="1" ref="C105" ca="1">IFERROR(INDEX(_xlfn.ANCHORARRAY($AA$11),ROW()-10,3),"")</f>
        <v/>
      </c>
      <c r="D105" s="15" t="str" cm="1">
        <f t="array" aca="1" ref="D105" ca="1">IFERROR(INDEX(_xlfn.ANCHORARRAY($AA$11),ROW()-10,4),"")</f>
        <v/>
      </c>
      <c r="E105" s="4" t="str" cm="1">
        <f t="array" aca="1" ref="E105" ca="1">IFERROR(INDEX(_xlfn.ANCHORARRAY($AA$11),ROW()-10,5),"")</f>
        <v/>
      </c>
      <c r="F105" s="15" t="str" cm="1">
        <f t="array" aca="1" ref="F105" ca="1">IFERROR(INDEX(_xlfn.ANCHORARRAY($AA$11),ROW()-10,6),"")</f>
        <v/>
      </c>
      <c r="G105" s="4" t="str" cm="1">
        <f t="array" aca="1" ref="G105" ca="1">IFERROR(INDEX(_xlfn.ANCHORARRAY($AA$11),ROW()-10,7),"")</f>
        <v/>
      </c>
      <c r="H105" s="4" t="str" cm="1">
        <f t="array" aca="1" ref="H105" ca="1">IFERROR(INDEX(_xlfn.ANCHORARRAY($AA$11),ROW()-10,8),"")</f>
        <v/>
      </c>
      <c r="I105" s="4" t="str" cm="1">
        <f t="array" aca="1" ref="I105" ca="1">IFERROR(INDEX(_xlfn.ANCHORARRAY($AA$11),ROW()-10,9),"")</f>
        <v/>
      </c>
      <c r="J105" s="4" t="str">
        <f t="shared" ca="1" si="6"/>
        <v/>
      </c>
      <c r="K105" s="4" t="str">
        <f t="shared" ca="1" si="7"/>
        <v/>
      </c>
      <c r="L105" s="4" t="str" cm="1">
        <f t="array" aca="1" ref="L105" ca="1">_xlfn.LET(_xlpm.link,IFERROR(INDEX(_xlfn.ANCHORARRAY($AA$11),ROW()-10,12),""),IF(_xlpm.link="","",HYPERLINK(_xlpm.link,"Bluecore/Attentive")))</f>
        <v/>
      </c>
      <c r="M105" s="57" t="str">
        <f t="shared" ca="1" si="8"/>
        <v/>
      </c>
      <c r="N105" s="7"/>
      <c r="O105" s="7"/>
      <c r="P105" s="7"/>
      <c r="Q105" s="7"/>
      <c r="R105" s="7"/>
      <c r="S105" s="6"/>
      <c r="T105" s="6"/>
      <c r="U105" s="6"/>
      <c r="V105" s="6"/>
      <c r="W105" s="6"/>
      <c r="X105" s="6"/>
      <c r="Y105" s="6"/>
      <c r="Z105" s="6"/>
      <c r="AA105" s="32"/>
      <c r="AB105"/>
      <c r="AC105"/>
      <c r="AD105"/>
      <c r="AE105"/>
      <c r="AF105"/>
      <c r="AG105"/>
      <c r="AH105"/>
      <c r="AI105"/>
      <c r="AJ105"/>
      <c r="AK105"/>
      <c r="AL105"/>
    </row>
    <row r="106" spans="1:38">
      <c r="A106" s="34" t="str" cm="1">
        <f t="array" aca="1" ref="A106" ca="1">IFERROR(INDEX(_xlfn.ANCHORARRAY($AA$11),ROW()-10,1),"")</f>
        <v/>
      </c>
      <c r="B106" s="20" t="str" cm="1">
        <f t="array" aca="1" ref="B106" ca="1">IFERROR(INDEX(_xlfn.ANCHORARRAY($AA$11),ROW()-10,2),"")</f>
        <v/>
      </c>
      <c r="C106" s="4" t="str" cm="1">
        <f t="array" aca="1" ref="C106" ca="1">IFERROR(INDEX(_xlfn.ANCHORARRAY($AA$11),ROW()-10,3),"")</f>
        <v/>
      </c>
      <c r="D106" s="15" t="str" cm="1">
        <f t="array" aca="1" ref="D106" ca="1">IFERROR(INDEX(_xlfn.ANCHORARRAY($AA$11),ROW()-10,4),"")</f>
        <v/>
      </c>
      <c r="E106" s="4" t="str" cm="1">
        <f t="array" aca="1" ref="E106" ca="1">IFERROR(INDEX(_xlfn.ANCHORARRAY($AA$11),ROW()-10,5),"")</f>
        <v/>
      </c>
      <c r="F106" s="15" t="str" cm="1">
        <f t="array" aca="1" ref="F106" ca="1">IFERROR(INDEX(_xlfn.ANCHORARRAY($AA$11),ROW()-10,6),"")</f>
        <v/>
      </c>
      <c r="G106" s="4" t="str" cm="1">
        <f t="array" aca="1" ref="G106" ca="1">IFERROR(INDEX(_xlfn.ANCHORARRAY($AA$11),ROW()-10,7),"")</f>
        <v/>
      </c>
      <c r="H106" s="4" t="str" cm="1">
        <f t="array" aca="1" ref="H106" ca="1">IFERROR(INDEX(_xlfn.ANCHORARRAY($AA$11),ROW()-10,8),"")</f>
        <v/>
      </c>
      <c r="I106" s="4" t="str" cm="1">
        <f t="array" aca="1" ref="I106" ca="1">IFERROR(INDEX(_xlfn.ANCHORARRAY($AA$11),ROW()-10,9),"")</f>
        <v/>
      </c>
      <c r="J106" s="4" t="str">
        <f t="shared" ca="1" si="6"/>
        <v/>
      </c>
      <c r="K106" s="4" t="str">
        <f t="shared" ca="1" si="7"/>
        <v/>
      </c>
      <c r="L106" s="4" t="str" cm="1">
        <f t="array" aca="1" ref="L106" ca="1">_xlfn.LET(_xlpm.link,IFERROR(INDEX(_xlfn.ANCHORARRAY($AA$11),ROW()-10,12),""),IF(_xlpm.link="","",HYPERLINK(_xlpm.link,"Bluecore/Attentive")))</f>
        <v/>
      </c>
      <c r="M106" s="58" t="str">
        <f t="shared" ca="1" si="8"/>
        <v/>
      </c>
      <c r="N106" s="7"/>
      <c r="O106" s="7"/>
      <c r="P106" s="7"/>
      <c r="Q106" s="7"/>
      <c r="R106" s="7"/>
      <c r="S106" s="6"/>
      <c r="T106" s="6"/>
      <c r="U106" s="6"/>
      <c r="V106" s="6"/>
      <c r="W106" s="6"/>
      <c r="X106" s="6"/>
      <c r="Y106" s="6"/>
      <c r="Z106" s="6"/>
      <c r="AA106" s="32"/>
      <c r="AB106"/>
      <c r="AC106"/>
      <c r="AD106"/>
      <c r="AE106"/>
      <c r="AF106"/>
      <c r="AG106"/>
      <c r="AH106"/>
      <c r="AI106"/>
      <c r="AJ106"/>
      <c r="AK106"/>
      <c r="AL106"/>
    </row>
    <row r="107" spans="1:38">
      <c r="A107" s="34" t="str" cm="1">
        <f t="array" aca="1" ref="A107" ca="1">IFERROR(INDEX(_xlfn.ANCHORARRAY($AA$11),ROW()-10,1),"")</f>
        <v/>
      </c>
      <c r="B107" s="20" t="str" cm="1">
        <f t="array" aca="1" ref="B107" ca="1">IFERROR(INDEX(_xlfn.ANCHORARRAY($AA$11),ROW()-10,2),"")</f>
        <v/>
      </c>
      <c r="C107" s="4" t="str" cm="1">
        <f t="array" aca="1" ref="C107" ca="1">IFERROR(INDEX(_xlfn.ANCHORARRAY($AA$11),ROW()-10,3),"")</f>
        <v/>
      </c>
      <c r="D107" s="15" t="str" cm="1">
        <f t="array" aca="1" ref="D107" ca="1">IFERROR(INDEX(_xlfn.ANCHORARRAY($AA$11),ROW()-10,4),"")</f>
        <v/>
      </c>
      <c r="E107" s="4" t="str" cm="1">
        <f t="array" aca="1" ref="E107" ca="1">IFERROR(INDEX(_xlfn.ANCHORARRAY($AA$11),ROW()-10,5),"")</f>
        <v/>
      </c>
      <c r="F107" s="15" t="str" cm="1">
        <f t="array" aca="1" ref="F107" ca="1">IFERROR(INDEX(_xlfn.ANCHORARRAY($AA$11),ROW()-10,6),"")</f>
        <v/>
      </c>
      <c r="G107" s="4" t="str" cm="1">
        <f t="array" aca="1" ref="G107" ca="1">IFERROR(INDEX(_xlfn.ANCHORARRAY($AA$11),ROW()-10,7),"")</f>
        <v/>
      </c>
      <c r="H107" s="4" t="str" cm="1">
        <f t="array" aca="1" ref="H107" ca="1">IFERROR(INDEX(_xlfn.ANCHORARRAY($AA$11),ROW()-10,8),"")</f>
        <v/>
      </c>
      <c r="I107" s="4" t="str" cm="1">
        <f t="array" aca="1" ref="I107" ca="1">IFERROR(INDEX(_xlfn.ANCHORARRAY($AA$11),ROW()-10,9),"")</f>
        <v/>
      </c>
      <c r="J107" s="4" t="str">
        <f t="shared" ref="J107:J138" ca="1" si="9">_xlfn.LET(_xlpm.ch,IFERROR(INDEX(_xlfn.ANCHORARRAY($AA$11),ROW()-10,3),""),_xlpm.link,IFERROR(INDEX(_xlfn.ANCHORARRAY($AA$11),ROW()-10,10),""),IF(OR(_xlpm.link="",_xlpm.ch="SMS"),"",HYPERLINK(_xlpm.link,"JIRA")))</f>
        <v/>
      </c>
      <c r="K107" s="4" t="str">
        <f t="shared" ref="K107:K138" ca="1" si="10">_xlfn.LET(_xlpm.ch,IFERROR(INDEX(_xlfn.ANCHORARRAY($AA$11),ROW()-10,3),""),_xlpm.link,IFERROR(INDEX(_xlfn.ANCHORARRAY($AA$11),ROW()-10,11),""),IF(OR(_xlpm.link="",_xlpm.ch="SMS"),"",HYPERLINK(_xlpm.link,"ClickUp")))</f>
        <v/>
      </c>
      <c r="L107" s="4" t="str" cm="1">
        <f t="array" aca="1" ref="L107" ca="1">_xlfn.LET(_xlpm.link,IFERROR(INDEX(_xlfn.ANCHORARRAY($AA$11),ROW()-10,12),""),IF(_xlpm.link="","",HYPERLINK(_xlpm.link,"Bluecore/Attentive")))</f>
        <v/>
      </c>
      <c r="M107" s="57" t="str">
        <f t="shared" ref="M107:M138" ca="1" si="11">_xlfn.LET(_xlpm.sendDate,$A107,_xlpm.camp,$D107&amp;"",_xlpm.code,LEFT(_xlpm.camp,6),_xlpm.parsed,IFERROR(DATE(2000+VALUE(MID(_xlpm.code,5,2)),VALUE(LEFT(_xlpm.code,2)),VALUE(MID(_xlpm.code,3,2))),""),_xlpm.useDate,IF(_xlpm.parsed="",IF(ISNUMBER(_xlpm.sendDate),INT(_xlpm.sendDate),""),_xlpm.parsed),IF(_xlpm.useDate="","","Week "&amp;WEEKNUM(_xlpm.useDate,1)))</f>
        <v/>
      </c>
      <c r="N107" s="7"/>
      <c r="O107" s="7"/>
      <c r="P107" s="7"/>
      <c r="Q107" s="7"/>
      <c r="R107" s="7"/>
      <c r="S107" s="6"/>
      <c r="T107" s="6"/>
      <c r="U107" s="6"/>
      <c r="V107" s="6"/>
      <c r="W107" s="6"/>
      <c r="X107" s="6"/>
      <c r="Y107" s="6"/>
      <c r="Z107" s="6"/>
      <c r="AA107" s="32"/>
      <c r="AB107"/>
      <c r="AC107"/>
      <c r="AD107"/>
      <c r="AE107"/>
      <c r="AF107"/>
      <c r="AG107"/>
      <c r="AH107"/>
      <c r="AI107"/>
      <c r="AJ107"/>
      <c r="AK107"/>
      <c r="AL107"/>
    </row>
    <row r="108" spans="1:38">
      <c r="A108" s="34" t="str" cm="1">
        <f t="array" aca="1" ref="A108" ca="1">IFERROR(INDEX(_xlfn.ANCHORARRAY($AA$11),ROW()-10,1),"")</f>
        <v/>
      </c>
      <c r="B108" s="20" t="str" cm="1">
        <f t="array" aca="1" ref="B108" ca="1">IFERROR(INDEX(_xlfn.ANCHORARRAY($AA$11),ROW()-10,2),"")</f>
        <v/>
      </c>
      <c r="C108" s="4" t="str" cm="1">
        <f t="array" aca="1" ref="C108" ca="1">IFERROR(INDEX(_xlfn.ANCHORARRAY($AA$11),ROW()-10,3),"")</f>
        <v/>
      </c>
      <c r="D108" s="15" t="str" cm="1">
        <f t="array" aca="1" ref="D108" ca="1">IFERROR(INDEX(_xlfn.ANCHORARRAY($AA$11),ROW()-10,4),"")</f>
        <v/>
      </c>
      <c r="E108" s="4" t="str" cm="1">
        <f t="array" aca="1" ref="E108" ca="1">IFERROR(INDEX(_xlfn.ANCHORARRAY($AA$11),ROW()-10,5),"")</f>
        <v/>
      </c>
      <c r="F108" s="15" t="str" cm="1">
        <f t="array" aca="1" ref="F108" ca="1">IFERROR(INDEX(_xlfn.ANCHORARRAY($AA$11),ROW()-10,6),"")</f>
        <v/>
      </c>
      <c r="G108" s="4" t="str" cm="1">
        <f t="array" aca="1" ref="G108" ca="1">IFERROR(INDEX(_xlfn.ANCHORARRAY($AA$11),ROW()-10,7),"")</f>
        <v/>
      </c>
      <c r="H108" s="4" t="str" cm="1">
        <f t="array" aca="1" ref="H108" ca="1">IFERROR(INDEX(_xlfn.ANCHORARRAY($AA$11),ROW()-10,8),"")</f>
        <v/>
      </c>
      <c r="I108" s="4" t="str" cm="1">
        <f t="array" aca="1" ref="I108" ca="1">IFERROR(INDEX(_xlfn.ANCHORARRAY($AA$11),ROW()-10,9),"")</f>
        <v/>
      </c>
      <c r="J108" s="4" t="str">
        <f t="shared" ca="1" si="9"/>
        <v/>
      </c>
      <c r="K108" s="4" t="str">
        <f t="shared" ca="1" si="10"/>
        <v/>
      </c>
      <c r="L108" s="4" t="str" cm="1">
        <f t="array" aca="1" ref="L108" ca="1">_xlfn.LET(_xlpm.link,IFERROR(INDEX(_xlfn.ANCHORARRAY($AA$11),ROW()-10,12),""),IF(_xlpm.link="","",HYPERLINK(_xlpm.link,"Bluecore/Attentive")))</f>
        <v/>
      </c>
      <c r="M108" s="58" t="str">
        <f t="shared" ca="1" si="11"/>
        <v/>
      </c>
      <c r="N108" s="7"/>
      <c r="O108" s="7"/>
      <c r="P108" s="7"/>
      <c r="Q108" s="7"/>
      <c r="R108" s="7"/>
      <c r="S108" s="6"/>
      <c r="T108" s="6"/>
      <c r="U108" s="6"/>
      <c r="V108" s="6"/>
      <c r="W108" s="6"/>
      <c r="X108" s="6"/>
      <c r="Y108" s="6"/>
      <c r="Z108" s="6"/>
      <c r="AA108" s="32"/>
      <c r="AB108"/>
      <c r="AC108"/>
      <c r="AD108"/>
      <c r="AE108"/>
      <c r="AF108"/>
      <c r="AG108"/>
      <c r="AH108"/>
      <c r="AI108"/>
      <c r="AJ108"/>
      <c r="AK108"/>
      <c r="AL108"/>
    </row>
    <row r="109" spans="1:38">
      <c r="A109" s="34" t="str" cm="1">
        <f t="array" aca="1" ref="A109" ca="1">IFERROR(INDEX(_xlfn.ANCHORARRAY($AA$11),ROW()-10,1),"")</f>
        <v/>
      </c>
      <c r="B109" s="20" t="str" cm="1">
        <f t="array" aca="1" ref="B109" ca="1">IFERROR(INDEX(_xlfn.ANCHORARRAY($AA$11),ROW()-10,2),"")</f>
        <v/>
      </c>
      <c r="C109" s="4" t="str" cm="1">
        <f t="array" aca="1" ref="C109" ca="1">IFERROR(INDEX(_xlfn.ANCHORARRAY($AA$11),ROW()-10,3),"")</f>
        <v/>
      </c>
      <c r="D109" s="15" t="str" cm="1">
        <f t="array" aca="1" ref="D109" ca="1">IFERROR(INDEX(_xlfn.ANCHORARRAY($AA$11),ROW()-10,4),"")</f>
        <v/>
      </c>
      <c r="E109" s="4" t="str" cm="1">
        <f t="array" aca="1" ref="E109" ca="1">IFERROR(INDEX(_xlfn.ANCHORARRAY($AA$11),ROW()-10,5),"")</f>
        <v/>
      </c>
      <c r="F109" s="15" t="str" cm="1">
        <f t="array" aca="1" ref="F109" ca="1">IFERROR(INDEX(_xlfn.ANCHORARRAY($AA$11),ROW()-10,6),"")</f>
        <v/>
      </c>
      <c r="G109" s="4" t="str" cm="1">
        <f t="array" aca="1" ref="G109" ca="1">IFERROR(INDEX(_xlfn.ANCHORARRAY($AA$11),ROW()-10,7),"")</f>
        <v/>
      </c>
      <c r="H109" s="4" t="str" cm="1">
        <f t="array" aca="1" ref="H109" ca="1">IFERROR(INDEX(_xlfn.ANCHORARRAY($AA$11),ROW()-10,8),"")</f>
        <v/>
      </c>
      <c r="I109" s="4" t="str" cm="1">
        <f t="array" aca="1" ref="I109" ca="1">IFERROR(INDEX(_xlfn.ANCHORARRAY($AA$11),ROW()-10,9),"")</f>
        <v/>
      </c>
      <c r="J109" s="4" t="str">
        <f t="shared" ca="1" si="9"/>
        <v/>
      </c>
      <c r="K109" s="4" t="str">
        <f t="shared" ca="1" si="10"/>
        <v/>
      </c>
      <c r="L109" s="4" t="str" cm="1">
        <f t="array" aca="1" ref="L109" ca="1">_xlfn.LET(_xlpm.link,IFERROR(INDEX(_xlfn.ANCHORARRAY($AA$11),ROW()-10,12),""),IF(_xlpm.link="","",HYPERLINK(_xlpm.link,"Bluecore/Attentive")))</f>
        <v/>
      </c>
      <c r="M109" s="57" t="str">
        <f t="shared" ca="1" si="11"/>
        <v/>
      </c>
      <c r="N109" s="7"/>
      <c r="O109" s="7"/>
      <c r="P109" s="7"/>
      <c r="Q109" s="7"/>
      <c r="R109" s="7"/>
      <c r="S109" s="6"/>
      <c r="T109" s="6"/>
      <c r="U109" s="6"/>
      <c r="V109" s="6"/>
      <c r="W109" s="6"/>
      <c r="X109" s="6"/>
      <c r="Y109" s="6"/>
      <c r="Z109" s="6"/>
      <c r="AA109" s="32"/>
      <c r="AB109"/>
      <c r="AC109"/>
      <c r="AD109"/>
      <c r="AE109"/>
      <c r="AF109"/>
      <c r="AG109"/>
      <c r="AH109"/>
      <c r="AI109"/>
      <c r="AJ109"/>
      <c r="AK109"/>
      <c r="AL109"/>
    </row>
    <row r="110" spans="1:38">
      <c r="A110" s="34" t="str" cm="1">
        <f t="array" aca="1" ref="A110" ca="1">IFERROR(INDEX(_xlfn.ANCHORARRAY($AA$11),ROW()-10,1),"")</f>
        <v/>
      </c>
      <c r="B110" s="20" t="str" cm="1">
        <f t="array" aca="1" ref="B110" ca="1">IFERROR(INDEX(_xlfn.ANCHORARRAY($AA$11),ROW()-10,2),"")</f>
        <v/>
      </c>
      <c r="C110" s="4" t="str" cm="1">
        <f t="array" aca="1" ref="C110" ca="1">IFERROR(INDEX(_xlfn.ANCHORARRAY($AA$11),ROW()-10,3),"")</f>
        <v/>
      </c>
      <c r="D110" s="15" t="str" cm="1">
        <f t="array" aca="1" ref="D110" ca="1">IFERROR(INDEX(_xlfn.ANCHORARRAY($AA$11),ROW()-10,4),"")</f>
        <v/>
      </c>
      <c r="E110" s="4" t="str" cm="1">
        <f t="array" aca="1" ref="E110" ca="1">IFERROR(INDEX(_xlfn.ANCHORARRAY($AA$11),ROW()-10,5),"")</f>
        <v/>
      </c>
      <c r="F110" s="15" t="str" cm="1">
        <f t="array" aca="1" ref="F110" ca="1">IFERROR(INDEX(_xlfn.ANCHORARRAY($AA$11),ROW()-10,6),"")</f>
        <v/>
      </c>
      <c r="G110" s="4" t="str" cm="1">
        <f t="array" aca="1" ref="G110" ca="1">IFERROR(INDEX(_xlfn.ANCHORARRAY($AA$11),ROW()-10,7),"")</f>
        <v/>
      </c>
      <c r="H110" s="4" t="str" cm="1">
        <f t="array" aca="1" ref="H110" ca="1">IFERROR(INDEX(_xlfn.ANCHORARRAY($AA$11),ROW()-10,8),"")</f>
        <v/>
      </c>
      <c r="I110" s="4" t="str" cm="1">
        <f t="array" aca="1" ref="I110" ca="1">IFERROR(INDEX(_xlfn.ANCHORARRAY($AA$11),ROW()-10,9),"")</f>
        <v/>
      </c>
      <c r="J110" s="4" t="str">
        <f t="shared" ca="1" si="9"/>
        <v/>
      </c>
      <c r="K110" s="4" t="str">
        <f t="shared" ca="1" si="10"/>
        <v/>
      </c>
      <c r="L110" s="4" t="str" cm="1">
        <f t="array" aca="1" ref="L110" ca="1">_xlfn.LET(_xlpm.link,IFERROR(INDEX(_xlfn.ANCHORARRAY($AA$11),ROW()-10,12),""),IF(_xlpm.link="","",HYPERLINK(_xlpm.link,"Bluecore/Attentive")))</f>
        <v/>
      </c>
      <c r="M110" s="58" t="str">
        <f t="shared" ca="1" si="11"/>
        <v/>
      </c>
      <c r="N110" s="7"/>
      <c r="O110" s="7"/>
      <c r="P110" s="7"/>
      <c r="Q110" s="7"/>
      <c r="R110" s="7"/>
      <c r="S110" s="6"/>
      <c r="T110" s="6"/>
      <c r="U110" s="6"/>
      <c r="V110" s="6"/>
      <c r="W110" s="6"/>
      <c r="X110" s="6"/>
      <c r="Y110" s="6"/>
      <c r="Z110" s="6"/>
      <c r="AA110" s="32"/>
      <c r="AB110"/>
      <c r="AC110"/>
      <c r="AD110"/>
      <c r="AE110"/>
      <c r="AF110"/>
      <c r="AG110"/>
      <c r="AH110"/>
      <c r="AI110"/>
      <c r="AJ110"/>
      <c r="AK110"/>
      <c r="AL110"/>
    </row>
    <row r="111" spans="1:38">
      <c r="A111" s="34" t="str" cm="1">
        <f t="array" aca="1" ref="A111" ca="1">IFERROR(INDEX(_xlfn.ANCHORARRAY($AA$11),ROW()-10,1),"")</f>
        <v/>
      </c>
      <c r="B111" s="20" t="str" cm="1">
        <f t="array" aca="1" ref="B111" ca="1">IFERROR(INDEX(_xlfn.ANCHORARRAY($AA$11),ROW()-10,2),"")</f>
        <v/>
      </c>
      <c r="C111" s="4" t="str" cm="1">
        <f t="array" aca="1" ref="C111" ca="1">IFERROR(INDEX(_xlfn.ANCHORARRAY($AA$11),ROW()-10,3),"")</f>
        <v/>
      </c>
      <c r="D111" s="15" t="str" cm="1">
        <f t="array" aca="1" ref="D111" ca="1">IFERROR(INDEX(_xlfn.ANCHORARRAY($AA$11),ROW()-10,4),"")</f>
        <v/>
      </c>
      <c r="E111" s="4" t="str" cm="1">
        <f t="array" aca="1" ref="E111" ca="1">IFERROR(INDEX(_xlfn.ANCHORARRAY($AA$11),ROW()-10,5),"")</f>
        <v/>
      </c>
      <c r="F111" s="15" t="str" cm="1">
        <f t="array" aca="1" ref="F111" ca="1">IFERROR(INDEX(_xlfn.ANCHORARRAY($AA$11),ROW()-10,6),"")</f>
        <v/>
      </c>
      <c r="G111" s="4" t="str" cm="1">
        <f t="array" aca="1" ref="G111" ca="1">IFERROR(INDEX(_xlfn.ANCHORARRAY($AA$11),ROW()-10,7),"")</f>
        <v/>
      </c>
      <c r="H111" s="4" t="str" cm="1">
        <f t="array" aca="1" ref="H111" ca="1">IFERROR(INDEX(_xlfn.ANCHORARRAY($AA$11),ROW()-10,8),"")</f>
        <v/>
      </c>
      <c r="I111" s="4" t="str" cm="1">
        <f t="array" aca="1" ref="I111" ca="1">IFERROR(INDEX(_xlfn.ANCHORARRAY($AA$11),ROW()-10,9),"")</f>
        <v/>
      </c>
      <c r="J111" s="4" t="str">
        <f t="shared" ca="1" si="9"/>
        <v/>
      </c>
      <c r="K111" s="4" t="str">
        <f t="shared" ca="1" si="10"/>
        <v/>
      </c>
      <c r="L111" s="4" t="str" cm="1">
        <f t="array" aca="1" ref="L111" ca="1">_xlfn.LET(_xlpm.link,IFERROR(INDEX(_xlfn.ANCHORARRAY($AA$11),ROW()-10,12),""),IF(_xlpm.link="","",HYPERLINK(_xlpm.link,"Bluecore/Attentive")))</f>
        <v/>
      </c>
      <c r="M111" s="57" t="str">
        <f t="shared" ca="1" si="11"/>
        <v/>
      </c>
      <c r="N111" s="7"/>
      <c r="O111" s="7"/>
      <c r="P111" s="7"/>
      <c r="Q111" s="7"/>
      <c r="R111" s="7"/>
      <c r="S111" s="6"/>
      <c r="T111" s="6"/>
      <c r="U111" s="6"/>
      <c r="V111" s="6"/>
      <c r="W111" s="6"/>
      <c r="X111" s="6"/>
      <c r="Y111" s="6"/>
      <c r="Z111" s="6"/>
      <c r="AA111" s="32"/>
      <c r="AB111"/>
      <c r="AC111"/>
      <c r="AD111"/>
      <c r="AE111"/>
      <c r="AF111"/>
      <c r="AG111"/>
      <c r="AH111"/>
      <c r="AI111"/>
      <c r="AJ111"/>
      <c r="AK111"/>
      <c r="AL111"/>
    </row>
    <row r="112" spans="1:38">
      <c r="A112" s="34" t="str" cm="1">
        <f t="array" aca="1" ref="A112" ca="1">IFERROR(INDEX(_xlfn.ANCHORARRAY($AA$11),ROW()-10,1),"")</f>
        <v/>
      </c>
      <c r="B112" s="20" t="str" cm="1">
        <f t="array" aca="1" ref="B112" ca="1">IFERROR(INDEX(_xlfn.ANCHORARRAY($AA$11),ROW()-10,2),"")</f>
        <v/>
      </c>
      <c r="C112" s="4" t="str" cm="1">
        <f t="array" aca="1" ref="C112" ca="1">IFERROR(INDEX(_xlfn.ANCHORARRAY($AA$11),ROW()-10,3),"")</f>
        <v/>
      </c>
      <c r="D112" s="15" t="str" cm="1">
        <f t="array" aca="1" ref="D112" ca="1">IFERROR(INDEX(_xlfn.ANCHORARRAY($AA$11),ROW()-10,4),"")</f>
        <v/>
      </c>
      <c r="E112" s="4" t="str" cm="1">
        <f t="array" aca="1" ref="E112" ca="1">IFERROR(INDEX(_xlfn.ANCHORARRAY($AA$11),ROW()-10,5),"")</f>
        <v/>
      </c>
      <c r="F112" s="15" t="str" cm="1">
        <f t="array" aca="1" ref="F112" ca="1">IFERROR(INDEX(_xlfn.ANCHORARRAY($AA$11),ROW()-10,6),"")</f>
        <v/>
      </c>
      <c r="G112" s="4" t="str" cm="1">
        <f t="array" aca="1" ref="G112" ca="1">IFERROR(INDEX(_xlfn.ANCHORARRAY($AA$11),ROW()-10,7),"")</f>
        <v/>
      </c>
      <c r="H112" s="4" t="str" cm="1">
        <f t="array" aca="1" ref="H112" ca="1">IFERROR(INDEX(_xlfn.ANCHORARRAY($AA$11),ROW()-10,8),"")</f>
        <v/>
      </c>
      <c r="I112" s="4" t="str" cm="1">
        <f t="array" aca="1" ref="I112" ca="1">IFERROR(INDEX(_xlfn.ANCHORARRAY($AA$11),ROW()-10,9),"")</f>
        <v/>
      </c>
      <c r="J112" s="4" t="str">
        <f t="shared" ca="1" si="9"/>
        <v/>
      </c>
      <c r="K112" s="4" t="str">
        <f t="shared" ca="1" si="10"/>
        <v/>
      </c>
      <c r="L112" s="4" t="str" cm="1">
        <f t="array" aca="1" ref="L112" ca="1">_xlfn.LET(_xlpm.link,IFERROR(INDEX(_xlfn.ANCHORARRAY($AA$11),ROW()-10,12),""),IF(_xlpm.link="","",HYPERLINK(_xlpm.link,"Bluecore/Attentive")))</f>
        <v/>
      </c>
      <c r="M112" s="58" t="str">
        <f t="shared" ca="1" si="11"/>
        <v/>
      </c>
      <c r="N112" s="7"/>
      <c r="O112" s="7"/>
      <c r="P112" s="7"/>
      <c r="Q112" s="7"/>
      <c r="R112" s="7"/>
      <c r="S112" s="6"/>
      <c r="T112" s="6"/>
      <c r="U112" s="6"/>
      <c r="V112" s="6"/>
      <c r="W112" s="6"/>
      <c r="X112" s="6"/>
      <c r="Y112" s="6"/>
      <c r="Z112" s="6"/>
      <c r="AA112" s="32"/>
      <c r="AB112"/>
      <c r="AC112"/>
      <c r="AD112"/>
      <c r="AE112"/>
      <c r="AF112"/>
      <c r="AG112"/>
      <c r="AH112"/>
      <c r="AI112"/>
      <c r="AJ112"/>
      <c r="AK112"/>
      <c r="AL112"/>
    </row>
    <row r="113" spans="1:38">
      <c r="A113" s="34" t="str" cm="1">
        <f t="array" aca="1" ref="A113" ca="1">IFERROR(INDEX(_xlfn.ANCHORARRAY($AA$11),ROW()-10,1),"")</f>
        <v/>
      </c>
      <c r="B113" s="20" t="str" cm="1">
        <f t="array" aca="1" ref="B113" ca="1">IFERROR(INDEX(_xlfn.ANCHORARRAY($AA$11),ROW()-10,2),"")</f>
        <v/>
      </c>
      <c r="C113" s="4" t="str" cm="1">
        <f t="array" aca="1" ref="C113" ca="1">IFERROR(INDEX(_xlfn.ANCHORARRAY($AA$11),ROW()-10,3),"")</f>
        <v/>
      </c>
      <c r="D113" s="15" t="str" cm="1">
        <f t="array" aca="1" ref="D113" ca="1">IFERROR(INDEX(_xlfn.ANCHORARRAY($AA$11),ROW()-10,4),"")</f>
        <v/>
      </c>
      <c r="E113" s="4" t="str" cm="1">
        <f t="array" aca="1" ref="E113" ca="1">IFERROR(INDEX(_xlfn.ANCHORARRAY($AA$11),ROW()-10,5),"")</f>
        <v/>
      </c>
      <c r="F113" s="15" t="str" cm="1">
        <f t="array" aca="1" ref="F113" ca="1">IFERROR(INDEX(_xlfn.ANCHORARRAY($AA$11),ROW()-10,6),"")</f>
        <v/>
      </c>
      <c r="G113" s="4" t="str" cm="1">
        <f t="array" aca="1" ref="G113" ca="1">IFERROR(INDEX(_xlfn.ANCHORARRAY($AA$11),ROW()-10,7),"")</f>
        <v/>
      </c>
      <c r="H113" s="4" t="str" cm="1">
        <f t="array" aca="1" ref="H113" ca="1">IFERROR(INDEX(_xlfn.ANCHORARRAY($AA$11),ROW()-10,8),"")</f>
        <v/>
      </c>
      <c r="I113" s="4" t="str" cm="1">
        <f t="array" aca="1" ref="I113" ca="1">IFERROR(INDEX(_xlfn.ANCHORARRAY($AA$11),ROW()-10,9),"")</f>
        <v/>
      </c>
      <c r="J113" s="4" t="str">
        <f t="shared" ca="1" si="9"/>
        <v/>
      </c>
      <c r="K113" s="4" t="str">
        <f t="shared" ca="1" si="10"/>
        <v/>
      </c>
      <c r="L113" s="4" t="str" cm="1">
        <f t="array" aca="1" ref="L113" ca="1">_xlfn.LET(_xlpm.link,IFERROR(INDEX(_xlfn.ANCHORARRAY($AA$11),ROW()-10,12),""),IF(_xlpm.link="","",HYPERLINK(_xlpm.link,"Bluecore/Attentive")))</f>
        <v/>
      </c>
      <c r="M113" s="57" t="str">
        <f t="shared" ca="1" si="11"/>
        <v/>
      </c>
      <c r="N113" s="7"/>
      <c r="O113" s="7"/>
      <c r="P113" s="7"/>
      <c r="Q113" s="7"/>
      <c r="R113" s="7"/>
      <c r="S113" s="6"/>
      <c r="T113" s="6"/>
      <c r="U113" s="6"/>
      <c r="V113" s="6"/>
      <c r="W113" s="6"/>
      <c r="X113" s="6"/>
      <c r="Y113" s="6"/>
      <c r="Z113" s="6"/>
      <c r="AA113" s="32"/>
      <c r="AB113"/>
      <c r="AC113"/>
      <c r="AD113"/>
      <c r="AE113"/>
      <c r="AF113"/>
      <c r="AG113"/>
      <c r="AH113"/>
      <c r="AI113"/>
      <c r="AJ113"/>
      <c r="AK113"/>
      <c r="AL113"/>
    </row>
    <row r="114" spans="1:38">
      <c r="A114" s="34" t="str" cm="1">
        <f t="array" aca="1" ref="A114" ca="1">IFERROR(INDEX(_xlfn.ANCHORARRAY($AA$11),ROW()-10,1),"")</f>
        <v/>
      </c>
      <c r="B114" s="20" t="str" cm="1">
        <f t="array" aca="1" ref="B114" ca="1">IFERROR(INDEX(_xlfn.ANCHORARRAY($AA$11),ROW()-10,2),"")</f>
        <v/>
      </c>
      <c r="C114" s="4" t="str" cm="1">
        <f t="array" aca="1" ref="C114" ca="1">IFERROR(INDEX(_xlfn.ANCHORARRAY($AA$11),ROW()-10,3),"")</f>
        <v/>
      </c>
      <c r="D114" s="15" t="str" cm="1">
        <f t="array" aca="1" ref="D114" ca="1">IFERROR(INDEX(_xlfn.ANCHORARRAY($AA$11),ROW()-10,4),"")</f>
        <v/>
      </c>
      <c r="E114" s="4" t="str" cm="1">
        <f t="array" aca="1" ref="E114" ca="1">IFERROR(INDEX(_xlfn.ANCHORARRAY($AA$11),ROW()-10,5),"")</f>
        <v/>
      </c>
      <c r="F114" s="15" t="str" cm="1">
        <f t="array" aca="1" ref="F114" ca="1">IFERROR(INDEX(_xlfn.ANCHORARRAY($AA$11),ROW()-10,6),"")</f>
        <v/>
      </c>
      <c r="G114" s="4" t="str" cm="1">
        <f t="array" aca="1" ref="G114" ca="1">IFERROR(INDEX(_xlfn.ANCHORARRAY($AA$11),ROW()-10,7),"")</f>
        <v/>
      </c>
      <c r="H114" s="4" t="str" cm="1">
        <f t="array" aca="1" ref="H114" ca="1">IFERROR(INDEX(_xlfn.ANCHORARRAY($AA$11),ROW()-10,8),"")</f>
        <v/>
      </c>
      <c r="I114" s="4" t="str" cm="1">
        <f t="array" aca="1" ref="I114" ca="1">IFERROR(INDEX(_xlfn.ANCHORARRAY($AA$11),ROW()-10,9),"")</f>
        <v/>
      </c>
      <c r="J114" s="4" t="str">
        <f t="shared" ca="1" si="9"/>
        <v/>
      </c>
      <c r="K114" s="4" t="str">
        <f t="shared" ca="1" si="10"/>
        <v/>
      </c>
      <c r="L114" s="4" t="str" cm="1">
        <f t="array" aca="1" ref="L114" ca="1">_xlfn.LET(_xlpm.link,IFERROR(INDEX(_xlfn.ANCHORARRAY($AA$11),ROW()-10,12),""),IF(_xlpm.link="","",HYPERLINK(_xlpm.link,"Bluecore/Attentive")))</f>
        <v/>
      </c>
      <c r="M114" s="58" t="str">
        <f t="shared" ca="1" si="11"/>
        <v/>
      </c>
      <c r="N114" s="7"/>
      <c r="O114" s="7"/>
      <c r="P114" s="7"/>
      <c r="Q114" s="7"/>
      <c r="R114" s="7"/>
      <c r="S114" s="6"/>
      <c r="T114" s="6"/>
      <c r="U114" s="6"/>
      <c r="V114" s="6"/>
      <c r="W114" s="6"/>
      <c r="X114" s="6"/>
      <c r="Y114" s="6"/>
      <c r="Z114" s="6"/>
      <c r="AA114" s="32"/>
      <c r="AB114"/>
      <c r="AC114"/>
      <c r="AD114"/>
      <c r="AE114"/>
      <c r="AF114"/>
      <c r="AG114"/>
      <c r="AH114"/>
      <c r="AI114"/>
      <c r="AJ114"/>
      <c r="AK114"/>
      <c r="AL114"/>
    </row>
    <row r="115" spans="1:38">
      <c r="A115" s="34" t="str" cm="1">
        <f t="array" aca="1" ref="A115" ca="1">IFERROR(INDEX(_xlfn.ANCHORARRAY($AA$11),ROW()-10,1),"")</f>
        <v/>
      </c>
      <c r="B115" s="20" t="str" cm="1">
        <f t="array" aca="1" ref="B115" ca="1">IFERROR(INDEX(_xlfn.ANCHORARRAY($AA$11),ROW()-10,2),"")</f>
        <v/>
      </c>
      <c r="C115" s="4" t="str" cm="1">
        <f t="array" aca="1" ref="C115" ca="1">IFERROR(INDEX(_xlfn.ANCHORARRAY($AA$11),ROW()-10,3),"")</f>
        <v/>
      </c>
      <c r="D115" s="15" t="str" cm="1">
        <f t="array" aca="1" ref="D115" ca="1">IFERROR(INDEX(_xlfn.ANCHORARRAY($AA$11),ROW()-10,4),"")</f>
        <v/>
      </c>
      <c r="E115" s="4" t="str" cm="1">
        <f t="array" aca="1" ref="E115" ca="1">IFERROR(INDEX(_xlfn.ANCHORARRAY($AA$11),ROW()-10,5),"")</f>
        <v/>
      </c>
      <c r="F115" s="15" t="str" cm="1">
        <f t="array" aca="1" ref="F115" ca="1">IFERROR(INDEX(_xlfn.ANCHORARRAY($AA$11),ROW()-10,6),"")</f>
        <v/>
      </c>
      <c r="G115" s="4" t="str" cm="1">
        <f t="array" aca="1" ref="G115" ca="1">IFERROR(INDEX(_xlfn.ANCHORARRAY($AA$11),ROW()-10,7),"")</f>
        <v/>
      </c>
      <c r="H115" s="4" t="str" cm="1">
        <f t="array" aca="1" ref="H115" ca="1">IFERROR(INDEX(_xlfn.ANCHORARRAY($AA$11),ROW()-10,8),"")</f>
        <v/>
      </c>
      <c r="I115" s="4" t="str" cm="1">
        <f t="array" aca="1" ref="I115" ca="1">IFERROR(INDEX(_xlfn.ANCHORARRAY($AA$11),ROW()-10,9),"")</f>
        <v/>
      </c>
      <c r="J115" s="4" t="str">
        <f t="shared" ca="1" si="9"/>
        <v/>
      </c>
      <c r="K115" s="4" t="str">
        <f t="shared" ca="1" si="10"/>
        <v/>
      </c>
      <c r="L115" s="4" t="str" cm="1">
        <f t="array" aca="1" ref="L115" ca="1">_xlfn.LET(_xlpm.link,IFERROR(INDEX(_xlfn.ANCHORARRAY($AA$11),ROW()-10,12),""),IF(_xlpm.link="","",HYPERLINK(_xlpm.link,"Bluecore/Attentive")))</f>
        <v/>
      </c>
      <c r="M115" s="57" t="str">
        <f t="shared" ca="1" si="11"/>
        <v/>
      </c>
      <c r="N115" s="7"/>
      <c r="O115" s="7"/>
      <c r="P115" s="7"/>
      <c r="Q115" s="7"/>
      <c r="R115" s="7"/>
      <c r="S115" s="6"/>
      <c r="T115" s="6"/>
      <c r="U115" s="6"/>
      <c r="V115" s="6"/>
      <c r="W115" s="6"/>
      <c r="X115" s="6"/>
      <c r="Y115" s="6"/>
      <c r="Z115" s="6"/>
      <c r="AA115" s="32"/>
      <c r="AB115"/>
      <c r="AC115"/>
      <c r="AD115"/>
      <c r="AE115"/>
      <c r="AF115"/>
      <c r="AG115"/>
      <c r="AH115"/>
      <c r="AI115"/>
      <c r="AJ115"/>
      <c r="AK115"/>
      <c r="AL115"/>
    </row>
    <row r="116" spans="1:38">
      <c r="A116" s="34" t="str" cm="1">
        <f t="array" aca="1" ref="A116" ca="1">IFERROR(INDEX(_xlfn.ANCHORARRAY($AA$11),ROW()-10,1),"")</f>
        <v/>
      </c>
      <c r="B116" s="20" t="str" cm="1">
        <f t="array" aca="1" ref="B116" ca="1">IFERROR(INDEX(_xlfn.ANCHORARRAY($AA$11),ROW()-10,2),"")</f>
        <v/>
      </c>
      <c r="C116" s="4" t="str" cm="1">
        <f t="array" aca="1" ref="C116" ca="1">IFERROR(INDEX(_xlfn.ANCHORARRAY($AA$11),ROW()-10,3),"")</f>
        <v/>
      </c>
      <c r="D116" s="15" t="str" cm="1">
        <f t="array" aca="1" ref="D116" ca="1">IFERROR(INDEX(_xlfn.ANCHORARRAY($AA$11),ROW()-10,4),"")</f>
        <v/>
      </c>
      <c r="E116" s="4" t="str" cm="1">
        <f t="array" aca="1" ref="E116" ca="1">IFERROR(INDEX(_xlfn.ANCHORARRAY($AA$11),ROW()-10,5),"")</f>
        <v/>
      </c>
      <c r="F116" s="15" t="str" cm="1">
        <f t="array" aca="1" ref="F116" ca="1">IFERROR(INDEX(_xlfn.ANCHORARRAY($AA$11),ROW()-10,6),"")</f>
        <v/>
      </c>
      <c r="G116" s="4" t="str" cm="1">
        <f t="array" aca="1" ref="G116" ca="1">IFERROR(INDEX(_xlfn.ANCHORARRAY($AA$11),ROW()-10,7),"")</f>
        <v/>
      </c>
      <c r="H116" s="4" t="str" cm="1">
        <f t="array" aca="1" ref="H116" ca="1">IFERROR(INDEX(_xlfn.ANCHORARRAY($AA$11),ROW()-10,8),"")</f>
        <v/>
      </c>
      <c r="I116" s="4" t="str" cm="1">
        <f t="array" aca="1" ref="I116" ca="1">IFERROR(INDEX(_xlfn.ANCHORARRAY($AA$11),ROW()-10,9),"")</f>
        <v/>
      </c>
      <c r="J116" s="4" t="str">
        <f t="shared" ca="1" si="9"/>
        <v/>
      </c>
      <c r="K116" s="4" t="str">
        <f t="shared" ca="1" si="10"/>
        <v/>
      </c>
      <c r="L116" s="4" t="str" cm="1">
        <f t="array" aca="1" ref="L116" ca="1">_xlfn.LET(_xlpm.link,IFERROR(INDEX(_xlfn.ANCHORARRAY($AA$11),ROW()-10,12),""),IF(_xlpm.link="","",HYPERLINK(_xlpm.link,"Bluecore/Attentive")))</f>
        <v/>
      </c>
      <c r="M116" s="58" t="str">
        <f t="shared" ca="1" si="11"/>
        <v/>
      </c>
      <c r="N116" s="7"/>
      <c r="O116" s="7"/>
      <c r="P116" s="7"/>
      <c r="Q116" s="7"/>
      <c r="R116" s="7"/>
      <c r="S116" s="6"/>
      <c r="T116" s="6"/>
      <c r="U116" s="6"/>
      <c r="V116" s="6"/>
      <c r="W116" s="6"/>
      <c r="X116" s="6"/>
      <c r="Y116" s="6"/>
      <c r="Z116" s="6"/>
      <c r="AA116" s="32"/>
      <c r="AB116"/>
      <c r="AC116"/>
      <c r="AD116"/>
      <c r="AE116"/>
      <c r="AF116"/>
      <c r="AG116"/>
      <c r="AH116"/>
      <c r="AI116"/>
      <c r="AJ116"/>
      <c r="AK116"/>
      <c r="AL116"/>
    </row>
    <row r="117" spans="1:38">
      <c r="A117" s="34" t="str" cm="1">
        <f t="array" aca="1" ref="A117" ca="1">IFERROR(INDEX(_xlfn.ANCHORARRAY($AA$11),ROW()-10,1),"")</f>
        <v/>
      </c>
      <c r="B117" s="20" t="str" cm="1">
        <f t="array" aca="1" ref="B117" ca="1">IFERROR(INDEX(_xlfn.ANCHORARRAY($AA$11),ROW()-10,2),"")</f>
        <v/>
      </c>
      <c r="C117" s="4" t="str" cm="1">
        <f t="array" aca="1" ref="C117" ca="1">IFERROR(INDEX(_xlfn.ANCHORARRAY($AA$11),ROW()-10,3),"")</f>
        <v/>
      </c>
      <c r="D117" s="15" t="str" cm="1">
        <f t="array" aca="1" ref="D117" ca="1">IFERROR(INDEX(_xlfn.ANCHORARRAY($AA$11),ROW()-10,4),"")</f>
        <v/>
      </c>
      <c r="E117" s="4" t="str" cm="1">
        <f t="array" aca="1" ref="E117" ca="1">IFERROR(INDEX(_xlfn.ANCHORARRAY($AA$11),ROW()-10,5),"")</f>
        <v/>
      </c>
      <c r="F117" s="15" t="str" cm="1">
        <f t="array" aca="1" ref="F117" ca="1">IFERROR(INDEX(_xlfn.ANCHORARRAY($AA$11),ROW()-10,6),"")</f>
        <v/>
      </c>
      <c r="G117" s="4" t="str" cm="1">
        <f t="array" aca="1" ref="G117" ca="1">IFERROR(INDEX(_xlfn.ANCHORARRAY($AA$11),ROW()-10,7),"")</f>
        <v/>
      </c>
      <c r="H117" s="4" t="str" cm="1">
        <f t="array" aca="1" ref="H117" ca="1">IFERROR(INDEX(_xlfn.ANCHORARRAY($AA$11),ROW()-10,8),"")</f>
        <v/>
      </c>
      <c r="I117" s="4" t="str" cm="1">
        <f t="array" aca="1" ref="I117" ca="1">IFERROR(INDEX(_xlfn.ANCHORARRAY($AA$11),ROW()-10,9),"")</f>
        <v/>
      </c>
      <c r="J117" s="4" t="str">
        <f t="shared" ca="1" si="9"/>
        <v/>
      </c>
      <c r="K117" s="4" t="str">
        <f t="shared" ca="1" si="10"/>
        <v/>
      </c>
      <c r="L117" s="4" t="str" cm="1">
        <f t="array" aca="1" ref="L117" ca="1">_xlfn.LET(_xlpm.link,IFERROR(INDEX(_xlfn.ANCHORARRAY($AA$11),ROW()-10,12),""),IF(_xlpm.link="","",HYPERLINK(_xlpm.link,"Bluecore/Attentive")))</f>
        <v/>
      </c>
      <c r="M117" s="57" t="str">
        <f t="shared" ca="1" si="11"/>
        <v/>
      </c>
      <c r="N117" s="7"/>
      <c r="O117" s="7"/>
      <c r="P117" s="7"/>
      <c r="Q117" s="7"/>
      <c r="R117" s="7"/>
      <c r="S117" s="6"/>
      <c r="T117" s="6"/>
      <c r="U117" s="6"/>
      <c r="V117" s="6"/>
      <c r="W117" s="6"/>
      <c r="X117" s="6"/>
      <c r="Y117" s="6"/>
      <c r="Z117" s="6"/>
      <c r="AA117" s="32"/>
      <c r="AB117"/>
      <c r="AC117"/>
      <c r="AD117"/>
      <c r="AE117"/>
      <c r="AF117"/>
      <c r="AG117"/>
      <c r="AH117"/>
      <c r="AI117"/>
      <c r="AJ117"/>
      <c r="AK117"/>
      <c r="AL117"/>
    </row>
    <row r="118" spans="1:38">
      <c r="A118" s="34" t="str" cm="1">
        <f t="array" aca="1" ref="A118" ca="1">IFERROR(INDEX(_xlfn.ANCHORARRAY($AA$11),ROW()-10,1),"")</f>
        <v/>
      </c>
      <c r="B118" s="20" t="str" cm="1">
        <f t="array" aca="1" ref="B118" ca="1">IFERROR(INDEX(_xlfn.ANCHORARRAY($AA$11),ROW()-10,2),"")</f>
        <v/>
      </c>
      <c r="C118" s="4" t="str" cm="1">
        <f t="array" aca="1" ref="C118" ca="1">IFERROR(INDEX(_xlfn.ANCHORARRAY($AA$11),ROW()-10,3),"")</f>
        <v/>
      </c>
      <c r="D118" s="15" t="str" cm="1">
        <f t="array" aca="1" ref="D118" ca="1">IFERROR(INDEX(_xlfn.ANCHORARRAY($AA$11),ROW()-10,4),"")</f>
        <v/>
      </c>
      <c r="E118" s="4" t="str" cm="1">
        <f t="array" aca="1" ref="E118" ca="1">IFERROR(INDEX(_xlfn.ANCHORARRAY($AA$11),ROW()-10,5),"")</f>
        <v/>
      </c>
      <c r="F118" s="15" t="str" cm="1">
        <f t="array" aca="1" ref="F118" ca="1">IFERROR(INDEX(_xlfn.ANCHORARRAY($AA$11),ROW()-10,6),"")</f>
        <v/>
      </c>
      <c r="G118" s="4" t="str" cm="1">
        <f t="array" aca="1" ref="G118" ca="1">IFERROR(INDEX(_xlfn.ANCHORARRAY($AA$11),ROW()-10,7),"")</f>
        <v/>
      </c>
      <c r="H118" s="4" t="str" cm="1">
        <f t="array" aca="1" ref="H118" ca="1">IFERROR(INDEX(_xlfn.ANCHORARRAY($AA$11),ROW()-10,8),"")</f>
        <v/>
      </c>
      <c r="I118" s="4" t="str" cm="1">
        <f t="array" aca="1" ref="I118" ca="1">IFERROR(INDEX(_xlfn.ANCHORARRAY($AA$11),ROW()-10,9),"")</f>
        <v/>
      </c>
      <c r="J118" s="4" t="str">
        <f t="shared" ca="1" si="9"/>
        <v/>
      </c>
      <c r="K118" s="4" t="str">
        <f t="shared" ca="1" si="10"/>
        <v/>
      </c>
      <c r="L118" s="4" t="str" cm="1">
        <f t="array" aca="1" ref="L118" ca="1">_xlfn.LET(_xlpm.link,IFERROR(INDEX(_xlfn.ANCHORARRAY($AA$11),ROW()-10,12),""),IF(_xlpm.link="","",HYPERLINK(_xlpm.link,"Bluecore/Attentive")))</f>
        <v/>
      </c>
      <c r="M118" s="58" t="str">
        <f t="shared" ca="1" si="11"/>
        <v/>
      </c>
      <c r="N118" s="7"/>
      <c r="O118" s="7"/>
      <c r="P118" s="7"/>
      <c r="Q118" s="7"/>
      <c r="R118" s="7"/>
      <c r="S118" s="6"/>
      <c r="T118" s="6"/>
      <c r="U118" s="6"/>
      <c r="V118" s="6"/>
      <c r="W118" s="6"/>
      <c r="X118" s="6"/>
      <c r="Y118" s="6"/>
      <c r="Z118" s="6"/>
      <c r="AA118" s="32"/>
      <c r="AB118"/>
      <c r="AC118"/>
      <c r="AD118"/>
      <c r="AE118"/>
      <c r="AF118"/>
      <c r="AG118"/>
      <c r="AH118"/>
      <c r="AI118"/>
      <c r="AJ118"/>
      <c r="AK118"/>
      <c r="AL118"/>
    </row>
    <row r="119" spans="1:38">
      <c r="A119" s="34" t="str" cm="1">
        <f t="array" aca="1" ref="A119" ca="1">IFERROR(INDEX(_xlfn.ANCHORARRAY($AA$11),ROW()-10,1),"")</f>
        <v/>
      </c>
      <c r="B119" s="20" t="str" cm="1">
        <f t="array" aca="1" ref="B119" ca="1">IFERROR(INDEX(_xlfn.ANCHORARRAY($AA$11),ROW()-10,2),"")</f>
        <v/>
      </c>
      <c r="C119" s="4" t="str" cm="1">
        <f t="array" aca="1" ref="C119" ca="1">IFERROR(INDEX(_xlfn.ANCHORARRAY($AA$11),ROW()-10,3),"")</f>
        <v/>
      </c>
      <c r="D119" s="15" t="str" cm="1">
        <f t="array" aca="1" ref="D119" ca="1">IFERROR(INDEX(_xlfn.ANCHORARRAY($AA$11),ROW()-10,4),"")</f>
        <v/>
      </c>
      <c r="E119" s="4" t="str" cm="1">
        <f t="array" aca="1" ref="E119" ca="1">IFERROR(INDEX(_xlfn.ANCHORARRAY($AA$11),ROW()-10,5),"")</f>
        <v/>
      </c>
      <c r="F119" s="15" t="str" cm="1">
        <f t="array" aca="1" ref="F119" ca="1">IFERROR(INDEX(_xlfn.ANCHORARRAY($AA$11),ROW()-10,6),"")</f>
        <v/>
      </c>
      <c r="G119" s="4" t="str" cm="1">
        <f t="array" aca="1" ref="G119" ca="1">IFERROR(INDEX(_xlfn.ANCHORARRAY($AA$11),ROW()-10,7),"")</f>
        <v/>
      </c>
      <c r="H119" s="4" t="str" cm="1">
        <f t="array" aca="1" ref="H119" ca="1">IFERROR(INDEX(_xlfn.ANCHORARRAY($AA$11),ROW()-10,8),"")</f>
        <v/>
      </c>
      <c r="I119" s="4" t="str" cm="1">
        <f t="array" aca="1" ref="I119" ca="1">IFERROR(INDEX(_xlfn.ANCHORARRAY($AA$11),ROW()-10,9),"")</f>
        <v/>
      </c>
      <c r="J119" s="4" t="str">
        <f t="shared" ca="1" si="9"/>
        <v/>
      </c>
      <c r="K119" s="4" t="str">
        <f t="shared" ca="1" si="10"/>
        <v/>
      </c>
      <c r="L119" s="4" t="str" cm="1">
        <f t="array" aca="1" ref="L119" ca="1">_xlfn.LET(_xlpm.link,IFERROR(INDEX(_xlfn.ANCHORARRAY($AA$11),ROW()-10,12),""),IF(_xlpm.link="","",HYPERLINK(_xlpm.link,"Bluecore/Attentive")))</f>
        <v/>
      </c>
      <c r="M119" s="57" t="str">
        <f t="shared" ca="1" si="11"/>
        <v/>
      </c>
      <c r="N119" s="7"/>
      <c r="O119" s="7"/>
      <c r="P119" s="7"/>
      <c r="Q119" s="7"/>
      <c r="R119" s="7"/>
      <c r="S119" s="6"/>
      <c r="T119" s="6"/>
      <c r="U119" s="6"/>
      <c r="V119" s="6"/>
      <c r="W119" s="6"/>
      <c r="X119" s="6"/>
      <c r="Y119" s="6"/>
      <c r="Z119" s="6"/>
      <c r="AA119" s="32"/>
      <c r="AB119"/>
      <c r="AC119"/>
      <c r="AD119"/>
      <c r="AE119"/>
      <c r="AF119"/>
      <c r="AG119"/>
      <c r="AH119"/>
      <c r="AI119"/>
      <c r="AJ119"/>
      <c r="AK119"/>
      <c r="AL119"/>
    </row>
    <row r="120" spans="1:38">
      <c r="A120" s="34" t="str" cm="1">
        <f t="array" aca="1" ref="A120" ca="1">IFERROR(INDEX(_xlfn.ANCHORARRAY($AA$11),ROW()-10,1),"")</f>
        <v/>
      </c>
      <c r="B120" s="20" t="str" cm="1">
        <f t="array" aca="1" ref="B120" ca="1">IFERROR(INDEX(_xlfn.ANCHORARRAY($AA$11),ROW()-10,2),"")</f>
        <v/>
      </c>
      <c r="C120" s="4" t="str" cm="1">
        <f t="array" aca="1" ref="C120" ca="1">IFERROR(INDEX(_xlfn.ANCHORARRAY($AA$11),ROW()-10,3),"")</f>
        <v/>
      </c>
      <c r="D120" s="15" t="str" cm="1">
        <f t="array" aca="1" ref="D120" ca="1">IFERROR(INDEX(_xlfn.ANCHORARRAY($AA$11),ROW()-10,4),"")</f>
        <v/>
      </c>
      <c r="E120" s="4" t="str" cm="1">
        <f t="array" aca="1" ref="E120" ca="1">IFERROR(INDEX(_xlfn.ANCHORARRAY($AA$11),ROW()-10,5),"")</f>
        <v/>
      </c>
      <c r="F120" s="15" t="str" cm="1">
        <f t="array" aca="1" ref="F120" ca="1">IFERROR(INDEX(_xlfn.ANCHORARRAY($AA$11),ROW()-10,6),"")</f>
        <v/>
      </c>
      <c r="G120" s="4" t="str" cm="1">
        <f t="array" aca="1" ref="G120" ca="1">IFERROR(INDEX(_xlfn.ANCHORARRAY($AA$11),ROW()-10,7),"")</f>
        <v/>
      </c>
      <c r="H120" s="4" t="str" cm="1">
        <f t="array" aca="1" ref="H120" ca="1">IFERROR(INDEX(_xlfn.ANCHORARRAY($AA$11),ROW()-10,8),"")</f>
        <v/>
      </c>
      <c r="I120" s="4" t="str" cm="1">
        <f t="array" aca="1" ref="I120" ca="1">IFERROR(INDEX(_xlfn.ANCHORARRAY($AA$11),ROW()-10,9),"")</f>
        <v/>
      </c>
      <c r="J120" s="4" t="str">
        <f t="shared" ca="1" si="9"/>
        <v/>
      </c>
      <c r="K120" s="4" t="str">
        <f t="shared" ca="1" si="10"/>
        <v/>
      </c>
      <c r="L120" s="4" t="str" cm="1">
        <f t="array" aca="1" ref="L120" ca="1">_xlfn.LET(_xlpm.link,IFERROR(INDEX(_xlfn.ANCHORARRAY($AA$11),ROW()-10,12),""),IF(_xlpm.link="","",HYPERLINK(_xlpm.link,"Bluecore/Attentive")))</f>
        <v/>
      </c>
      <c r="M120" s="58" t="str">
        <f t="shared" ca="1" si="11"/>
        <v/>
      </c>
      <c r="N120" s="7"/>
      <c r="O120" s="7"/>
      <c r="P120" s="7"/>
      <c r="Q120" s="7"/>
      <c r="R120" s="7"/>
      <c r="S120" s="6"/>
      <c r="T120" s="6"/>
      <c r="U120" s="6"/>
      <c r="V120" s="6"/>
      <c r="W120" s="6"/>
      <c r="X120" s="6"/>
      <c r="Y120" s="6"/>
      <c r="Z120" s="6"/>
      <c r="AA120" s="32"/>
      <c r="AB120"/>
      <c r="AC120"/>
      <c r="AD120"/>
      <c r="AE120"/>
      <c r="AF120"/>
      <c r="AG120"/>
      <c r="AH120"/>
      <c r="AI120"/>
      <c r="AJ120"/>
      <c r="AK120"/>
      <c r="AL120"/>
    </row>
    <row r="121" spans="1:38">
      <c r="A121" s="34" t="str" cm="1">
        <f t="array" aca="1" ref="A121" ca="1">IFERROR(INDEX(_xlfn.ANCHORARRAY($AA$11),ROW()-10,1),"")</f>
        <v/>
      </c>
      <c r="B121" s="20" t="str" cm="1">
        <f t="array" aca="1" ref="B121" ca="1">IFERROR(INDEX(_xlfn.ANCHORARRAY($AA$11),ROW()-10,2),"")</f>
        <v/>
      </c>
      <c r="C121" s="4" t="str" cm="1">
        <f t="array" aca="1" ref="C121" ca="1">IFERROR(INDEX(_xlfn.ANCHORARRAY($AA$11),ROW()-10,3),"")</f>
        <v/>
      </c>
      <c r="D121" s="15" t="str" cm="1">
        <f t="array" aca="1" ref="D121" ca="1">IFERROR(INDEX(_xlfn.ANCHORARRAY($AA$11),ROW()-10,4),"")</f>
        <v/>
      </c>
      <c r="E121" s="4" t="str" cm="1">
        <f t="array" aca="1" ref="E121" ca="1">IFERROR(INDEX(_xlfn.ANCHORARRAY($AA$11),ROW()-10,5),"")</f>
        <v/>
      </c>
      <c r="F121" s="15" t="str" cm="1">
        <f t="array" aca="1" ref="F121" ca="1">IFERROR(INDEX(_xlfn.ANCHORARRAY($AA$11),ROW()-10,6),"")</f>
        <v/>
      </c>
      <c r="G121" s="4" t="str" cm="1">
        <f t="array" aca="1" ref="G121" ca="1">IFERROR(INDEX(_xlfn.ANCHORARRAY($AA$11),ROW()-10,7),"")</f>
        <v/>
      </c>
      <c r="H121" s="4" t="str" cm="1">
        <f t="array" aca="1" ref="H121" ca="1">IFERROR(INDEX(_xlfn.ANCHORARRAY($AA$11),ROW()-10,8),"")</f>
        <v/>
      </c>
      <c r="I121" s="4" t="str" cm="1">
        <f t="array" aca="1" ref="I121" ca="1">IFERROR(INDEX(_xlfn.ANCHORARRAY($AA$11),ROW()-10,9),"")</f>
        <v/>
      </c>
      <c r="J121" s="4" t="str">
        <f t="shared" ca="1" si="9"/>
        <v/>
      </c>
      <c r="K121" s="4" t="str">
        <f t="shared" ca="1" si="10"/>
        <v/>
      </c>
      <c r="L121" s="4" t="str" cm="1">
        <f t="array" aca="1" ref="L121" ca="1">_xlfn.LET(_xlpm.link,IFERROR(INDEX(_xlfn.ANCHORARRAY($AA$11),ROW()-10,12),""),IF(_xlpm.link="","",HYPERLINK(_xlpm.link,"Bluecore/Attentive")))</f>
        <v/>
      </c>
      <c r="M121" s="57" t="str">
        <f t="shared" ca="1" si="11"/>
        <v/>
      </c>
      <c r="N121" s="7"/>
      <c r="O121" s="7"/>
      <c r="P121" s="7"/>
      <c r="Q121" s="7"/>
      <c r="R121" s="7"/>
      <c r="S121" s="6"/>
      <c r="T121" s="6"/>
      <c r="U121" s="6"/>
      <c r="V121" s="6"/>
      <c r="W121" s="6"/>
      <c r="X121" s="6"/>
      <c r="Y121" s="6"/>
      <c r="Z121" s="6"/>
      <c r="AA121" s="32"/>
      <c r="AB121"/>
      <c r="AC121"/>
      <c r="AD121"/>
      <c r="AE121"/>
      <c r="AF121"/>
      <c r="AG121"/>
      <c r="AH121"/>
      <c r="AI121"/>
      <c r="AJ121"/>
      <c r="AK121"/>
      <c r="AL121"/>
    </row>
    <row r="122" spans="1:38">
      <c r="A122" s="34" t="str" cm="1">
        <f t="array" aca="1" ref="A122" ca="1">IFERROR(INDEX(_xlfn.ANCHORARRAY($AA$11),ROW()-10,1),"")</f>
        <v/>
      </c>
      <c r="B122" s="20" t="str" cm="1">
        <f t="array" aca="1" ref="B122" ca="1">IFERROR(INDEX(_xlfn.ANCHORARRAY($AA$11),ROW()-10,2),"")</f>
        <v/>
      </c>
      <c r="C122" s="4" t="str" cm="1">
        <f t="array" aca="1" ref="C122" ca="1">IFERROR(INDEX(_xlfn.ANCHORARRAY($AA$11),ROW()-10,3),"")</f>
        <v/>
      </c>
      <c r="D122" s="15" t="str" cm="1">
        <f t="array" aca="1" ref="D122" ca="1">IFERROR(INDEX(_xlfn.ANCHORARRAY($AA$11),ROW()-10,4),"")</f>
        <v/>
      </c>
      <c r="E122" s="4" t="str" cm="1">
        <f t="array" aca="1" ref="E122" ca="1">IFERROR(INDEX(_xlfn.ANCHORARRAY($AA$11),ROW()-10,5),"")</f>
        <v/>
      </c>
      <c r="F122" s="15" t="str" cm="1">
        <f t="array" aca="1" ref="F122" ca="1">IFERROR(INDEX(_xlfn.ANCHORARRAY($AA$11),ROW()-10,6),"")</f>
        <v/>
      </c>
      <c r="G122" s="4" t="str" cm="1">
        <f t="array" aca="1" ref="G122" ca="1">IFERROR(INDEX(_xlfn.ANCHORARRAY($AA$11),ROW()-10,7),"")</f>
        <v/>
      </c>
      <c r="H122" s="4" t="str" cm="1">
        <f t="array" aca="1" ref="H122" ca="1">IFERROR(INDEX(_xlfn.ANCHORARRAY($AA$11),ROW()-10,8),"")</f>
        <v/>
      </c>
      <c r="I122" s="4" t="str" cm="1">
        <f t="array" aca="1" ref="I122" ca="1">IFERROR(INDEX(_xlfn.ANCHORARRAY($AA$11),ROW()-10,9),"")</f>
        <v/>
      </c>
      <c r="J122" s="4" t="str">
        <f t="shared" ca="1" si="9"/>
        <v/>
      </c>
      <c r="K122" s="4" t="str">
        <f t="shared" ca="1" si="10"/>
        <v/>
      </c>
      <c r="L122" s="4" t="str" cm="1">
        <f t="array" aca="1" ref="L122" ca="1">_xlfn.LET(_xlpm.link,IFERROR(INDEX(_xlfn.ANCHORARRAY($AA$11),ROW()-10,12),""),IF(_xlpm.link="","",HYPERLINK(_xlpm.link,"Bluecore/Attentive")))</f>
        <v/>
      </c>
      <c r="M122" s="58" t="str">
        <f t="shared" ca="1" si="11"/>
        <v/>
      </c>
      <c r="N122" s="7"/>
      <c r="O122" s="7"/>
      <c r="P122" s="7"/>
      <c r="Q122" s="7"/>
      <c r="R122" s="7"/>
      <c r="S122" s="6"/>
      <c r="T122" s="6"/>
      <c r="U122" s="6"/>
      <c r="V122" s="6"/>
      <c r="W122" s="6"/>
      <c r="X122" s="6"/>
      <c r="Y122" s="6"/>
      <c r="Z122" s="6"/>
      <c r="AA122" s="32"/>
      <c r="AB122"/>
      <c r="AC122"/>
      <c r="AD122"/>
      <c r="AE122"/>
      <c r="AF122"/>
      <c r="AG122"/>
      <c r="AH122"/>
      <c r="AI122"/>
      <c r="AJ122"/>
      <c r="AK122"/>
      <c r="AL122"/>
    </row>
    <row r="123" spans="1:38">
      <c r="A123" s="34" t="str" cm="1">
        <f t="array" aca="1" ref="A123" ca="1">IFERROR(INDEX(_xlfn.ANCHORARRAY($AA$11),ROW()-10,1),"")</f>
        <v/>
      </c>
      <c r="B123" s="20" t="str" cm="1">
        <f t="array" aca="1" ref="B123" ca="1">IFERROR(INDEX(_xlfn.ANCHORARRAY($AA$11),ROW()-10,2),"")</f>
        <v/>
      </c>
      <c r="C123" s="4" t="str" cm="1">
        <f t="array" aca="1" ref="C123" ca="1">IFERROR(INDEX(_xlfn.ANCHORARRAY($AA$11),ROW()-10,3),"")</f>
        <v/>
      </c>
      <c r="D123" s="15" t="str" cm="1">
        <f t="array" aca="1" ref="D123" ca="1">IFERROR(INDEX(_xlfn.ANCHORARRAY($AA$11),ROW()-10,4),"")</f>
        <v/>
      </c>
      <c r="E123" s="4" t="str" cm="1">
        <f t="array" aca="1" ref="E123" ca="1">IFERROR(INDEX(_xlfn.ANCHORARRAY($AA$11),ROW()-10,5),"")</f>
        <v/>
      </c>
      <c r="F123" s="15" t="str" cm="1">
        <f t="array" aca="1" ref="F123" ca="1">IFERROR(INDEX(_xlfn.ANCHORARRAY($AA$11),ROW()-10,6),"")</f>
        <v/>
      </c>
      <c r="G123" s="4" t="str" cm="1">
        <f t="array" aca="1" ref="G123" ca="1">IFERROR(INDEX(_xlfn.ANCHORARRAY($AA$11),ROW()-10,7),"")</f>
        <v/>
      </c>
      <c r="H123" s="4" t="str" cm="1">
        <f t="array" aca="1" ref="H123" ca="1">IFERROR(INDEX(_xlfn.ANCHORARRAY($AA$11),ROW()-10,8),"")</f>
        <v/>
      </c>
      <c r="I123" s="4" t="str" cm="1">
        <f t="array" aca="1" ref="I123" ca="1">IFERROR(INDEX(_xlfn.ANCHORARRAY($AA$11),ROW()-10,9),"")</f>
        <v/>
      </c>
      <c r="J123" s="4" t="str">
        <f t="shared" ca="1" si="9"/>
        <v/>
      </c>
      <c r="K123" s="4" t="str">
        <f t="shared" ca="1" si="10"/>
        <v/>
      </c>
      <c r="L123" s="4" t="str" cm="1">
        <f t="array" aca="1" ref="L123" ca="1">_xlfn.LET(_xlpm.link,IFERROR(INDEX(_xlfn.ANCHORARRAY($AA$11),ROW()-10,12),""),IF(_xlpm.link="","",HYPERLINK(_xlpm.link,"Bluecore/Attentive")))</f>
        <v/>
      </c>
      <c r="M123" s="57" t="str">
        <f t="shared" ca="1" si="11"/>
        <v/>
      </c>
      <c r="N123" s="7"/>
      <c r="O123" s="7"/>
      <c r="P123" s="7"/>
      <c r="Q123" s="7"/>
      <c r="R123" s="7"/>
      <c r="S123" s="6"/>
      <c r="T123" s="6"/>
      <c r="U123" s="6"/>
      <c r="V123" s="6"/>
      <c r="W123" s="6"/>
      <c r="X123" s="6"/>
      <c r="Y123" s="6"/>
      <c r="Z123" s="6"/>
      <c r="AA123" s="32"/>
      <c r="AB123"/>
      <c r="AC123"/>
      <c r="AD123"/>
      <c r="AE123"/>
      <c r="AF123"/>
      <c r="AG123"/>
      <c r="AH123"/>
      <c r="AI123"/>
      <c r="AJ123"/>
      <c r="AK123"/>
      <c r="AL123"/>
    </row>
    <row r="124" spans="1:38">
      <c r="A124" s="34" t="str" cm="1">
        <f t="array" aca="1" ref="A124" ca="1">IFERROR(INDEX(_xlfn.ANCHORARRAY($AA$11),ROW()-10,1),"")</f>
        <v/>
      </c>
      <c r="B124" s="20" t="str" cm="1">
        <f t="array" aca="1" ref="B124" ca="1">IFERROR(INDEX(_xlfn.ANCHORARRAY($AA$11),ROW()-10,2),"")</f>
        <v/>
      </c>
      <c r="C124" s="4" t="str" cm="1">
        <f t="array" aca="1" ref="C124" ca="1">IFERROR(INDEX(_xlfn.ANCHORARRAY($AA$11),ROW()-10,3),"")</f>
        <v/>
      </c>
      <c r="D124" s="15" t="str" cm="1">
        <f t="array" aca="1" ref="D124" ca="1">IFERROR(INDEX(_xlfn.ANCHORARRAY($AA$11),ROW()-10,4),"")</f>
        <v/>
      </c>
      <c r="E124" s="4" t="str" cm="1">
        <f t="array" aca="1" ref="E124" ca="1">IFERROR(INDEX(_xlfn.ANCHORARRAY($AA$11),ROW()-10,5),"")</f>
        <v/>
      </c>
      <c r="F124" s="15" t="str" cm="1">
        <f t="array" aca="1" ref="F124" ca="1">IFERROR(INDEX(_xlfn.ANCHORARRAY($AA$11),ROW()-10,6),"")</f>
        <v/>
      </c>
      <c r="G124" s="4" t="str" cm="1">
        <f t="array" aca="1" ref="G124" ca="1">IFERROR(INDEX(_xlfn.ANCHORARRAY($AA$11),ROW()-10,7),"")</f>
        <v/>
      </c>
      <c r="H124" s="4" t="str" cm="1">
        <f t="array" aca="1" ref="H124" ca="1">IFERROR(INDEX(_xlfn.ANCHORARRAY($AA$11),ROW()-10,8),"")</f>
        <v/>
      </c>
      <c r="I124" s="4" t="str" cm="1">
        <f t="array" aca="1" ref="I124" ca="1">IFERROR(INDEX(_xlfn.ANCHORARRAY($AA$11),ROW()-10,9),"")</f>
        <v/>
      </c>
      <c r="J124" s="4" t="str">
        <f t="shared" ca="1" si="9"/>
        <v/>
      </c>
      <c r="K124" s="4" t="str">
        <f t="shared" ca="1" si="10"/>
        <v/>
      </c>
      <c r="L124" s="4" t="str" cm="1">
        <f t="array" aca="1" ref="L124" ca="1">_xlfn.LET(_xlpm.link,IFERROR(INDEX(_xlfn.ANCHORARRAY($AA$11),ROW()-10,12),""),IF(_xlpm.link="","",HYPERLINK(_xlpm.link,"Bluecore/Attentive")))</f>
        <v/>
      </c>
      <c r="M124" s="58" t="str">
        <f t="shared" ca="1" si="11"/>
        <v/>
      </c>
      <c r="N124" s="7"/>
      <c r="O124" s="7"/>
      <c r="P124" s="7"/>
      <c r="Q124" s="7"/>
      <c r="R124" s="7"/>
      <c r="S124" s="6"/>
      <c r="T124" s="6"/>
      <c r="U124" s="6"/>
      <c r="V124" s="6"/>
      <c r="W124" s="6"/>
      <c r="X124" s="6"/>
      <c r="Y124" s="6"/>
      <c r="Z124" s="6"/>
      <c r="AA124" s="32"/>
      <c r="AB124"/>
      <c r="AC124"/>
      <c r="AD124"/>
      <c r="AE124"/>
      <c r="AF124"/>
      <c r="AG124"/>
      <c r="AH124"/>
      <c r="AI124"/>
      <c r="AJ124"/>
      <c r="AK124"/>
      <c r="AL124"/>
    </row>
    <row r="125" spans="1:38">
      <c r="A125" s="34" t="str" cm="1">
        <f t="array" aca="1" ref="A125" ca="1">IFERROR(INDEX(_xlfn.ANCHORARRAY($AA$11),ROW()-10,1),"")</f>
        <v/>
      </c>
      <c r="B125" s="20" t="str" cm="1">
        <f t="array" aca="1" ref="B125" ca="1">IFERROR(INDEX(_xlfn.ANCHORARRAY($AA$11),ROW()-10,2),"")</f>
        <v/>
      </c>
      <c r="C125" s="4" t="str" cm="1">
        <f t="array" aca="1" ref="C125" ca="1">IFERROR(INDEX(_xlfn.ANCHORARRAY($AA$11),ROW()-10,3),"")</f>
        <v/>
      </c>
      <c r="D125" s="15" t="str" cm="1">
        <f t="array" aca="1" ref="D125" ca="1">IFERROR(INDEX(_xlfn.ANCHORARRAY($AA$11),ROW()-10,4),"")</f>
        <v/>
      </c>
      <c r="E125" s="4" t="str" cm="1">
        <f t="array" aca="1" ref="E125" ca="1">IFERROR(INDEX(_xlfn.ANCHORARRAY($AA$11),ROW()-10,5),"")</f>
        <v/>
      </c>
      <c r="F125" s="15" t="str" cm="1">
        <f t="array" aca="1" ref="F125" ca="1">IFERROR(INDEX(_xlfn.ANCHORARRAY($AA$11),ROW()-10,6),"")</f>
        <v/>
      </c>
      <c r="G125" s="4" t="str" cm="1">
        <f t="array" aca="1" ref="G125" ca="1">IFERROR(INDEX(_xlfn.ANCHORARRAY($AA$11),ROW()-10,7),"")</f>
        <v/>
      </c>
      <c r="H125" s="4" t="str" cm="1">
        <f t="array" aca="1" ref="H125" ca="1">IFERROR(INDEX(_xlfn.ANCHORARRAY($AA$11),ROW()-10,8),"")</f>
        <v/>
      </c>
      <c r="I125" s="4" t="str" cm="1">
        <f t="array" aca="1" ref="I125" ca="1">IFERROR(INDEX(_xlfn.ANCHORARRAY($AA$11),ROW()-10,9),"")</f>
        <v/>
      </c>
      <c r="J125" s="4" t="str">
        <f t="shared" ca="1" si="9"/>
        <v/>
      </c>
      <c r="K125" s="4" t="str">
        <f t="shared" ca="1" si="10"/>
        <v/>
      </c>
      <c r="L125" s="4" t="str" cm="1">
        <f t="array" aca="1" ref="L125" ca="1">_xlfn.LET(_xlpm.link,IFERROR(INDEX(_xlfn.ANCHORARRAY($AA$11),ROW()-10,12),""),IF(_xlpm.link="","",HYPERLINK(_xlpm.link,"Bluecore/Attentive")))</f>
        <v/>
      </c>
      <c r="M125" s="57" t="str">
        <f t="shared" ca="1" si="11"/>
        <v/>
      </c>
      <c r="N125" s="7"/>
      <c r="O125" s="7"/>
      <c r="P125" s="7"/>
      <c r="Q125" s="7"/>
      <c r="R125" s="7"/>
      <c r="S125" s="6"/>
      <c r="T125" s="6"/>
      <c r="U125" s="6"/>
      <c r="V125" s="6"/>
      <c r="W125" s="6"/>
      <c r="X125" s="6"/>
      <c r="Y125" s="6"/>
      <c r="Z125" s="6"/>
      <c r="AA125" s="32"/>
      <c r="AB125"/>
      <c r="AC125"/>
      <c r="AD125"/>
      <c r="AE125"/>
      <c r="AF125"/>
      <c r="AG125"/>
      <c r="AH125"/>
      <c r="AI125"/>
      <c r="AJ125"/>
      <c r="AK125"/>
      <c r="AL125"/>
    </row>
    <row r="126" spans="1:38">
      <c r="A126" s="34" t="str" cm="1">
        <f t="array" aca="1" ref="A126" ca="1">IFERROR(INDEX(_xlfn.ANCHORARRAY($AA$11),ROW()-10,1),"")</f>
        <v/>
      </c>
      <c r="B126" s="20" t="str" cm="1">
        <f t="array" aca="1" ref="B126" ca="1">IFERROR(INDEX(_xlfn.ANCHORARRAY($AA$11),ROW()-10,2),"")</f>
        <v/>
      </c>
      <c r="C126" s="4" t="str" cm="1">
        <f t="array" aca="1" ref="C126" ca="1">IFERROR(INDEX(_xlfn.ANCHORARRAY($AA$11),ROW()-10,3),"")</f>
        <v/>
      </c>
      <c r="D126" s="15" t="str" cm="1">
        <f t="array" aca="1" ref="D126" ca="1">IFERROR(INDEX(_xlfn.ANCHORARRAY($AA$11),ROW()-10,4),"")</f>
        <v/>
      </c>
      <c r="E126" s="4" t="str" cm="1">
        <f t="array" aca="1" ref="E126" ca="1">IFERROR(INDEX(_xlfn.ANCHORARRAY($AA$11),ROW()-10,5),"")</f>
        <v/>
      </c>
      <c r="F126" s="15" t="str" cm="1">
        <f t="array" aca="1" ref="F126" ca="1">IFERROR(INDEX(_xlfn.ANCHORARRAY($AA$11),ROW()-10,6),"")</f>
        <v/>
      </c>
      <c r="G126" s="4" t="str" cm="1">
        <f t="array" aca="1" ref="G126" ca="1">IFERROR(INDEX(_xlfn.ANCHORARRAY($AA$11),ROW()-10,7),"")</f>
        <v/>
      </c>
      <c r="H126" s="4" t="str" cm="1">
        <f t="array" aca="1" ref="H126" ca="1">IFERROR(INDEX(_xlfn.ANCHORARRAY($AA$11),ROW()-10,8),"")</f>
        <v/>
      </c>
      <c r="I126" s="4" t="str" cm="1">
        <f t="array" aca="1" ref="I126" ca="1">IFERROR(INDEX(_xlfn.ANCHORARRAY($AA$11),ROW()-10,9),"")</f>
        <v/>
      </c>
      <c r="J126" s="4" t="str">
        <f t="shared" ca="1" si="9"/>
        <v/>
      </c>
      <c r="K126" s="4" t="str">
        <f t="shared" ca="1" si="10"/>
        <v/>
      </c>
      <c r="L126" s="4" t="str" cm="1">
        <f t="array" aca="1" ref="L126" ca="1">_xlfn.LET(_xlpm.link,IFERROR(INDEX(_xlfn.ANCHORARRAY($AA$11),ROW()-10,12),""),IF(_xlpm.link="","",HYPERLINK(_xlpm.link,"Bluecore/Attentive")))</f>
        <v/>
      </c>
      <c r="M126" s="58" t="str">
        <f t="shared" ca="1" si="11"/>
        <v/>
      </c>
      <c r="N126" s="7"/>
      <c r="O126" s="7"/>
      <c r="P126" s="7"/>
      <c r="Q126" s="7"/>
      <c r="R126" s="7"/>
      <c r="S126" s="6"/>
      <c r="T126" s="6"/>
      <c r="U126" s="6"/>
      <c r="V126" s="6"/>
      <c r="W126" s="6"/>
      <c r="X126" s="6"/>
      <c r="Y126" s="6"/>
      <c r="Z126" s="6"/>
      <c r="AA126" s="32"/>
      <c r="AB126"/>
      <c r="AC126"/>
      <c r="AD126"/>
      <c r="AE126"/>
      <c r="AF126"/>
      <c r="AG126"/>
      <c r="AH126"/>
      <c r="AI126"/>
      <c r="AJ126"/>
      <c r="AK126"/>
      <c r="AL126"/>
    </row>
    <row r="127" spans="1:38">
      <c r="A127" s="34" t="str" cm="1">
        <f t="array" aca="1" ref="A127" ca="1">IFERROR(INDEX(_xlfn.ANCHORARRAY($AA$11),ROW()-10,1),"")</f>
        <v/>
      </c>
      <c r="B127" s="20" t="str" cm="1">
        <f t="array" aca="1" ref="B127" ca="1">IFERROR(INDEX(_xlfn.ANCHORARRAY($AA$11),ROW()-10,2),"")</f>
        <v/>
      </c>
      <c r="C127" s="4" t="str" cm="1">
        <f t="array" aca="1" ref="C127" ca="1">IFERROR(INDEX(_xlfn.ANCHORARRAY($AA$11),ROW()-10,3),"")</f>
        <v/>
      </c>
      <c r="D127" s="15" t="str" cm="1">
        <f t="array" aca="1" ref="D127" ca="1">IFERROR(INDEX(_xlfn.ANCHORARRAY($AA$11),ROW()-10,4),"")</f>
        <v/>
      </c>
      <c r="E127" s="4" t="str" cm="1">
        <f t="array" aca="1" ref="E127" ca="1">IFERROR(INDEX(_xlfn.ANCHORARRAY($AA$11),ROW()-10,5),"")</f>
        <v/>
      </c>
      <c r="F127" s="15" t="str" cm="1">
        <f t="array" aca="1" ref="F127" ca="1">IFERROR(INDEX(_xlfn.ANCHORARRAY($AA$11),ROW()-10,6),"")</f>
        <v/>
      </c>
      <c r="G127" s="4" t="str" cm="1">
        <f t="array" aca="1" ref="G127" ca="1">IFERROR(INDEX(_xlfn.ANCHORARRAY($AA$11),ROW()-10,7),"")</f>
        <v/>
      </c>
      <c r="H127" s="4" t="str" cm="1">
        <f t="array" aca="1" ref="H127" ca="1">IFERROR(INDEX(_xlfn.ANCHORARRAY($AA$11),ROW()-10,8),"")</f>
        <v/>
      </c>
      <c r="I127" s="4" t="str" cm="1">
        <f t="array" aca="1" ref="I127" ca="1">IFERROR(INDEX(_xlfn.ANCHORARRAY($AA$11),ROW()-10,9),"")</f>
        <v/>
      </c>
      <c r="J127" s="4" t="str">
        <f t="shared" ca="1" si="9"/>
        <v/>
      </c>
      <c r="K127" s="4" t="str">
        <f t="shared" ca="1" si="10"/>
        <v/>
      </c>
      <c r="L127" s="4" t="str" cm="1">
        <f t="array" aca="1" ref="L127" ca="1">_xlfn.LET(_xlpm.link,IFERROR(INDEX(_xlfn.ANCHORARRAY($AA$11),ROW()-10,12),""),IF(_xlpm.link="","",HYPERLINK(_xlpm.link,"Bluecore/Attentive")))</f>
        <v/>
      </c>
      <c r="M127" s="57" t="str">
        <f t="shared" ca="1" si="11"/>
        <v/>
      </c>
      <c r="N127" s="7"/>
      <c r="O127" s="7"/>
      <c r="P127" s="7"/>
      <c r="Q127" s="7"/>
      <c r="R127" s="7"/>
      <c r="S127" s="6"/>
      <c r="T127" s="6"/>
      <c r="U127" s="6"/>
      <c r="V127" s="6"/>
      <c r="W127" s="6"/>
      <c r="X127" s="6"/>
      <c r="Y127" s="6"/>
      <c r="Z127" s="6"/>
      <c r="AA127" s="32"/>
      <c r="AB127"/>
      <c r="AC127"/>
      <c r="AD127"/>
      <c r="AE127"/>
      <c r="AF127"/>
      <c r="AG127"/>
      <c r="AH127"/>
      <c r="AI127"/>
      <c r="AJ127"/>
      <c r="AK127"/>
      <c r="AL127"/>
    </row>
    <row r="128" spans="1:38">
      <c r="A128" s="34" t="str" cm="1">
        <f t="array" aca="1" ref="A128" ca="1">IFERROR(INDEX(_xlfn.ANCHORARRAY($AA$11),ROW()-10,1),"")</f>
        <v/>
      </c>
      <c r="B128" s="20" t="str" cm="1">
        <f t="array" aca="1" ref="B128" ca="1">IFERROR(INDEX(_xlfn.ANCHORARRAY($AA$11),ROW()-10,2),"")</f>
        <v/>
      </c>
      <c r="C128" s="4" t="str" cm="1">
        <f t="array" aca="1" ref="C128" ca="1">IFERROR(INDEX(_xlfn.ANCHORARRAY($AA$11),ROW()-10,3),"")</f>
        <v/>
      </c>
      <c r="D128" s="15" t="str" cm="1">
        <f t="array" aca="1" ref="D128" ca="1">IFERROR(INDEX(_xlfn.ANCHORARRAY($AA$11),ROW()-10,4),"")</f>
        <v/>
      </c>
      <c r="E128" s="4" t="str" cm="1">
        <f t="array" aca="1" ref="E128" ca="1">IFERROR(INDEX(_xlfn.ANCHORARRAY($AA$11),ROW()-10,5),"")</f>
        <v/>
      </c>
      <c r="F128" s="15" t="str" cm="1">
        <f t="array" aca="1" ref="F128" ca="1">IFERROR(INDEX(_xlfn.ANCHORARRAY($AA$11),ROW()-10,6),"")</f>
        <v/>
      </c>
      <c r="G128" s="4" t="str" cm="1">
        <f t="array" aca="1" ref="G128" ca="1">IFERROR(INDEX(_xlfn.ANCHORARRAY($AA$11),ROW()-10,7),"")</f>
        <v/>
      </c>
      <c r="H128" s="4" t="str" cm="1">
        <f t="array" aca="1" ref="H128" ca="1">IFERROR(INDEX(_xlfn.ANCHORARRAY($AA$11),ROW()-10,8),"")</f>
        <v/>
      </c>
      <c r="I128" s="4" t="str" cm="1">
        <f t="array" aca="1" ref="I128" ca="1">IFERROR(INDEX(_xlfn.ANCHORARRAY($AA$11),ROW()-10,9),"")</f>
        <v/>
      </c>
      <c r="J128" s="4" t="str">
        <f t="shared" ca="1" si="9"/>
        <v/>
      </c>
      <c r="K128" s="4" t="str">
        <f t="shared" ca="1" si="10"/>
        <v/>
      </c>
      <c r="L128" s="4" t="str" cm="1">
        <f t="array" aca="1" ref="L128" ca="1">_xlfn.LET(_xlpm.link,IFERROR(INDEX(_xlfn.ANCHORARRAY($AA$11),ROW()-10,12),""),IF(_xlpm.link="","",HYPERLINK(_xlpm.link,"Bluecore/Attentive")))</f>
        <v/>
      </c>
      <c r="M128" s="58" t="str">
        <f t="shared" ca="1" si="11"/>
        <v/>
      </c>
      <c r="N128" s="7"/>
      <c r="O128" s="7"/>
      <c r="P128" s="7"/>
      <c r="Q128" s="7"/>
      <c r="R128" s="7"/>
      <c r="S128" s="6"/>
      <c r="T128" s="6"/>
      <c r="U128" s="6"/>
      <c r="V128" s="6"/>
      <c r="W128" s="6"/>
      <c r="X128" s="6"/>
      <c r="Y128" s="6"/>
      <c r="Z128" s="6"/>
      <c r="AA128" s="32"/>
      <c r="AB128"/>
      <c r="AC128"/>
      <c r="AD128"/>
      <c r="AE128"/>
      <c r="AF128"/>
      <c r="AG128"/>
      <c r="AH128"/>
      <c r="AI128"/>
      <c r="AJ128"/>
      <c r="AK128"/>
      <c r="AL128"/>
    </row>
    <row r="129" spans="1:38">
      <c r="A129" s="34" t="str" cm="1">
        <f t="array" aca="1" ref="A129" ca="1">IFERROR(INDEX(_xlfn.ANCHORARRAY($AA$11),ROW()-10,1),"")</f>
        <v/>
      </c>
      <c r="B129" s="20" t="str" cm="1">
        <f t="array" aca="1" ref="B129" ca="1">IFERROR(INDEX(_xlfn.ANCHORARRAY($AA$11),ROW()-10,2),"")</f>
        <v/>
      </c>
      <c r="C129" s="4" t="str" cm="1">
        <f t="array" aca="1" ref="C129" ca="1">IFERROR(INDEX(_xlfn.ANCHORARRAY($AA$11),ROW()-10,3),"")</f>
        <v/>
      </c>
      <c r="D129" s="15" t="str" cm="1">
        <f t="array" aca="1" ref="D129" ca="1">IFERROR(INDEX(_xlfn.ANCHORARRAY($AA$11),ROW()-10,4),"")</f>
        <v/>
      </c>
      <c r="E129" s="4" t="str" cm="1">
        <f t="array" aca="1" ref="E129" ca="1">IFERROR(INDEX(_xlfn.ANCHORARRAY($AA$11),ROW()-10,5),"")</f>
        <v/>
      </c>
      <c r="F129" s="15" t="str" cm="1">
        <f t="array" aca="1" ref="F129" ca="1">IFERROR(INDEX(_xlfn.ANCHORARRAY($AA$11),ROW()-10,6),"")</f>
        <v/>
      </c>
      <c r="G129" s="4" t="str" cm="1">
        <f t="array" aca="1" ref="G129" ca="1">IFERROR(INDEX(_xlfn.ANCHORARRAY($AA$11),ROW()-10,7),"")</f>
        <v/>
      </c>
      <c r="H129" s="4" t="str" cm="1">
        <f t="array" aca="1" ref="H129" ca="1">IFERROR(INDEX(_xlfn.ANCHORARRAY($AA$11),ROW()-10,8),"")</f>
        <v/>
      </c>
      <c r="I129" s="4" t="str" cm="1">
        <f t="array" aca="1" ref="I129" ca="1">IFERROR(INDEX(_xlfn.ANCHORARRAY($AA$11),ROW()-10,9),"")</f>
        <v/>
      </c>
      <c r="J129" s="4" t="str">
        <f t="shared" ca="1" si="9"/>
        <v/>
      </c>
      <c r="K129" s="4" t="str">
        <f t="shared" ca="1" si="10"/>
        <v/>
      </c>
      <c r="L129" s="4" t="str" cm="1">
        <f t="array" aca="1" ref="L129" ca="1">_xlfn.LET(_xlpm.link,IFERROR(INDEX(_xlfn.ANCHORARRAY($AA$11),ROW()-10,12),""),IF(_xlpm.link="","",HYPERLINK(_xlpm.link,"Bluecore/Attentive")))</f>
        <v/>
      </c>
      <c r="M129" s="57" t="str">
        <f t="shared" ca="1" si="11"/>
        <v/>
      </c>
      <c r="N129" s="7"/>
      <c r="O129" s="7"/>
      <c r="P129" s="7"/>
      <c r="Q129" s="7"/>
      <c r="R129" s="7"/>
      <c r="S129" s="6"/>
      <c r="T129" s="6"/>
      <c r="U129" s="6"/>
      <c r="V129" s="6"/>
      <c r="W129" s="6"/>
      <c r="X129" s="6"/>
      <c r="Y129" s="6"/>
      <c r="Z129" s="6"/>
      <c r="AA129" s="32"/>
      <c r="AB129"/>
      <c r="AC129"/>
      <c r="AD129"/>
      <c r="AE129"/>
      <c r="AF129"/>
      <c r="AG129"/>
      <c r="AH129"/>
      <c r="AI129"/>
      <c r="AJ129"/>
      <c r="AK129"/>
      <c r="AL129"/>
    </row>
    <row r="130" spans="1:38">
      <c r="A130" s="34" t="str" cm="1">
        <f t="array" aca="1" ref="A130" ca="1">IFERROR(INDEX(_xlfn.ANCHORARRAY($AA$11),ROW()-10,1),"")</f>
        <v/>
      </c>
      <c r="B130" s="20" t="str" cm="1">
        <f t="array" aca="1" ref="B130" ca="1">IFERROR(INDEX(_xlfn.ANCHORARRAY($AA$11),ROW()-10,2),"")</f>
        <v/>
      </c>
      <c r="C130" s="4" t="str" cm="1">
        <f t="array" aca="1" ref="C130" ca="1">IFERROR(INDEX(_xlfn.ANCHORARRAY($AA$11),ROW()-10,3),"")</f>
        <v/>
      </c>
      <c r="D130" s="15" t="str" cm="1">
        <f t="array" aca="1" ref="D130" ca="1">IFERROR(INDEX(_xlfn.ANCHORARRAY($AA$11),ROW()-10,4),"")</f>
        <v/>
      </c>
      <c r="E130" s="4" t="str" cm="1">
        <f t="array" aca="1" ref="E130" ca="1">IFERROR(INDEX(_xlfn.ANCHORARRAY($AA$11),ROW()-10,5),"")</f>
        <v/>
      </c>
      <c r="F130" s="15" t="str" cm="1">
        <f t="array" aca="1" ref="F130" ca="1">IFERROR(INDEX(_xlfn.ANCHORARRAY($AA$11),ROW()-10,6),"")</f>
        <v/>
      </c>
      <c r="G130" s="4" t="str" cm="1">
        <f t="array" aca="1" ref="G130" ca="1">IFERROR(INDEX(_xlfn.ANCHORARRAY($AA$11),ROW()-10,7),"")</f>
        <v/>
      </c>
      <c r="H130" s="4" t="str" cm="1">
        <f t="array" aca="1" ref="H130" ca="1">IFERROR(INDEX(_xlfn.ANCHORARRAY($AA$11),ROW()-10,8),"")</f>
        <v/>
      </c>
      <c r="I130" s="4" t="str" cm="1">
        <f t="array" aca="1" ref="I130" ca="1">IFERROR(INDEX(_xlfn.ANCHORARRAY($AA$11),ROW()-10,9),"")</f>
        <v/>
      </c>
      <c r="J130" s="4" t="str">
        <f t="shared" ca="1" si="9"/>
        <v/>
      </c>
      <c r="K130" s="4" t="str">
        <f t="shared" ca="1" si="10"/>
        <v/>
      </c>
      <c r="L130" s="4" t="str" cm="1">
        <f t="array" aca="1" ref="L130" ca="1">_xlfn.LET(_xlpm.link,IFERROR(INDEX(_xlfn.ANCHORARRAY($AA$11),ROW()-10,12),""),IF(_xlpm.link="","",HYPERLINK(_xlpm.link,"Bluecore/Attentive")))</f>
        <v/>
      </c>
      <c r="M130" s="58" t="str">
        <f t="shared" ca="1" si="11"/>
        <v/>
      </c>
      <c r="N130" s="7"/>
      <c r="O130" s="7"/>
      <c r="P130" s="7"/>
      <c r="Q130" s="7"/>
      <c r="R130" s="7"/>
      <c r="S130" s="6"/>
      <c r="T130" s="6"/>
      <c r="U130" s="6"/>
      <c r="V130" s="6"/>
      <c r="W130" s="6"/>
      <c r="X130" s="6"/>
      <c r="Y130" s="6"/>
      <c r="Z130" s="6"/>
      <c r="AA130" s="32"/>
      <c r="AB130"/>
      <c r="AC130"/>
      <c r="AD130"/>
      <c r="AE130"/>
      <c r="AF130"/>
      <c r="AG130"/>
      <c r="AH130"/>
      <c r="AI130"/>
      <c r="AJ130"/>
      <c r="AK130"/>
      <c r="AL130"/>
    </row>
    <row r="131" spans="1:38">
      <c r="A131" s="34" t="str" cm="1">
        <f t="array" aca="1" ref="A131" ca="1">IFERROR(INDEX(_xlfn.ANCHORARRAY($AA$11),ROW()-10,1),"")</f>
        <v/>
      </c>
      <c r="B131" s="20" t="str" cm="1">
        <f t="array" aca="1" ref="B131" ca="1">IFERROR(INDEX(_xlfn.ANCHORARRAY($AA$11),ROW()-10,2),"")</f>
        <v/>
      </c>
      <c r="C131" s="4" t="str" cm="1">
        <f t="array" aca="1" ref="C131" ca="1">IFERROR(INDEX(_xlfn.ANCHORARRAY($AA$11),ROW()-10,3),"")</f>
        <v/>
      </c>
      <c r="D131" s="15" t="str" cm="1">
        <f t="array" aca="1" ref="D131" ca="1">IFERROR(INDEX(_xlfn.ANCHORARRAY($AA$11),ROW()-10,4),"")</f>
        <v/>
      </c>
      <c r="E131" s="4" t="str" cm="1">
        <f t="array" aca="1" ref="E131" ca="1">IFERROR(INDEX(_xlfn.ANCHORARRAY($AA$11),ROW()-10,5),"")</f>
        <v/>
      </c>
      <c r="F131" s="15" t="str" cm="1">
        <f t="array" aca="1" ref="F131" ca="1">IFERROR(INDEX(_xlfn.ANCHORARRAY($AA$11),ROW()-10,6),"")</f>
        <v/>
      </c>
      <c r="G131" s="4" t="str" cm="1">
        <f t="array" aca="1" ref="G131" ca="1">IFERROR(INDEX(_xlfn.ANCHORARRAY($AA$11),ROW()-10,7),"")</f>
        <v/>
      </c>
      <c r="H131" s="4" t="str" cm="1">
        <f t="array" aca="1" ref="H131" ca="1">IFERROR(INDEX(_xlfn.ANCHORARRAY($AA$11),ROW()-10,8),"")</f>
        <v/>
      </c>
      <c r="I131" s="4" t="str" cm="1">
        <f t="array" aca="1" ref="I131" ca="1">IFERROR(INDEX(_xlfn.ANCHORARRAY($AA$11),ROW()-10,9),"")</f>
        <v/>
      </c>
      <c r="J131" s="4" t="str">
        <f t="shared" ca="1" si="9"/>
        <v/>
      </c>
      <c r="K131" s="4" t="str">
        <f t="shared" ca="1" si="10"/>
        <v/>
      </c>
      <c r="L131" s="4" t="str" cm="1">
        <f t="array" aca="1" ref="L131" ca="1">_xlfn.LET(_xlpm.link,IFERROR(INDEX(_xlfn.ANCHORARRAY($AA$11),ROW()-10,12),""),IF(_xlpm.link="","",HYPERLINK(_xlpm.link,"Bluecore/Attentive")))</f>
        <v/>
      </c>
      <c r="M131" s="57" t="str">
        <f t="shared" ca="1" si="11"/>
        <v/>
      </c>
      <c r="N131" s="7"/>
      <c r="O131" s="7"/>
      <c r="P131" s="7"/>
      <c r="Q131" s="7"/>
      <c r="R131" s="7"/>
      <c r="S131" s="6"/>
      <c r="T131" s="6"/>
      <c r="U131" s="6"/>
      <c r="V131" s="6"/>
      <c r="W131" s="6"/>
      <c r="X131" s="6"/>
      <c r="Y131" s="6"/>
      <c r="Z131" s="6"/>
      <c r="AA131" s="32"/>
      <c r="AB131"/>
      <c r="AC131"/>
      <c r="AD131"/>
      <c r="AE131"/>
      <c r="AF131"/>
      <c r="AG131"/>
      <c r="AH131"/>
      <c r="AI131"/>
      <c r="AJ131"/>
      <c r="AK131"/>
      <c r="AL131"/>
    </row>
    <row r="132" spans="1:38">
      <c r="A132" s="34" t="str" cm="1">
        <f t="array" aca="1" ref="A132" ca="1">IFERROR(INDEX(_xlfn.ANCHORARRAY($AA$11),ROW()-10,1),"")</f>
        <v/>
      </c>
      <c r="B132" s="20" t="str" cm="1">
        <f t="array" aca="1" ref="B132" ca="1">IFERROR(INDEX(_xlfn.ANCHORARRAY($AA$11),ROW()-10,2),"")</f>
        <v/>
      </c>
      <c r="C132" s="4" t="str" cm="1">
        <f t="array" aca="1" ref="C132" ca="1">IFERROR(INDEX(_xlfn.ANCHORARRAY($AA$11),ROW()-10,3),"")</f>
        <v/>
      </c>
      <c r="D132" s="15" t="str" cm="1">
        <f t="array" aca="1" ref="D132" ca="1">IFERROR(INDEX(_xlfn.ANCHORARRAY($AA$11),ROW()-10,4),"")</f>
        <v/>
      </c>
      <c r="E132" s="4" t="str" cm="1">
        <f t="array" aca="1" ref="E132" ca="1">IFERROR(INDEX(_xlfn.ANCHORARRAY($AA$11),ROW()-10,5),"")</f>
        <v/>
      </c>
      <c r="F132" s="15" t="str" cm="1">
        <f t="array" aca="1" ref="F132" ca="1">IFERROR(INDEX(_xlfn.ANCHORARRAY($AA$11),ROW()-10,6),"")</f>
        <v/>
      </c>
      <c r="G132" s="4" t="str" cm="1">
        <f t="array" aca="1" ref="G132" ca="1">IFERROR(INDEX(_xlfn.ANCHORARRAY($AA$11),ROW()-10,7),"")</f>
        <v/>
      </c>
      <c r="H132" s="4" t="str" cm="1">
        <f t="array" aca="1" ref="H132" ca="1">IFERROR(INDEX(_xlfn.ANCHORARRAY($AA$11),ROW()-10,8),"")</f>
        <v/>
      </c>
      <c r="I132" s="4" t="str" cm="1">
        <f t="array" aca="1" ref="I132" ca="1">IFERROR(INDEX(_xlfn.ANCHORARRAY($AA$11),ROW()-10,9),"")</f>
        <v/>
      </c>
      <c r="J132" s="4" t="str">
        <f t="shared" ca="1" si="9"/>
        <v/>
      </c>
      <c r="K132" s="4" t="str">
        <f t="shared" ca="1" si="10"/>
        <v/>
      </c>
      <c r="L132" s="4" t="str" cm="1">
        <f t="array" aca="1" ref="L132" ca="1">_xlfn.LET(_xlpm.link,IFERROR(INDEX(_xlfn.ANCHORARRAY($AA$11),ROW()-10,12),""),IF(_xlpm.link="","",HYPERLINK(_xlpm.link,"Bluecore/Attentive")))</f>
        <v/>
      </c>
      <c r="M132" s="58" t="str">
        <f t="shared" ca="1" si="11"/>
        <v/>
      </c>
      <c r="N132" s="7"/>
      <c r="O132" s="7"/>
      <c r="P132" s="7"/>
      <c r="Q132" s="7"/>
      <c r="R132" s="7"/>
      <c r="S132" s="6"/>
      <c r="T132" s="6"/>
      <c r="U132" s="6"/>
      <c r="V132" s="6"/>
      <c r="W132" s="6"/>
      <c r="X132" s="6"/>
      <c r="Y132" s="6"/>
      <c r="Z132" s="6"/>
      <c r="AA132" s="32"/>
      <c r="AB132"/>
      <c r="AC132"/>
      <c r="AD132"/>
      <c r="AE132"/>
      <c r="AF132"/>
      <c r="AG132"/>
      <c r="AH132"/>
      <c r="AI132"/>
      <c r="AJ132"/>
      <c r="AK132"/>
      <c r="AL132"/>
    </row>
    <row r="133" spans="1:38">
      <c r="A133" s="34" t="str" cm="1">
        <f t="array" aca="1" ref="A133" ca="1">IFERROR(INDEX(_xlfn.ANCHORARRAY($AA$11),ROW()-10,1),"")</f>
        <v/>
      </c>
      <c r="B133" s="20" t="str" cm="1">
        <f t="array" aca="1" ref="B133" ca="1">IFERROR(INDEX(_xlfn.ANCHORARRAY($AA$11),ROW()-10,2),"")</f>
        <v/>
      </c>
      <c r="C133" s="4" t="str" cm="1">
        <f t="array" aca="1" ref="C133" ca="1">IFERROR(INDEX(_xlfn.ANCHORARRAY($AA$11),ROW()-10,3),"")</f>
        <v/>
      </c>
      <c r="D133" s="15" t="str" cm="1">
        <f t="array" aca="1" ref="D133" ca="1">IFERROR(INDEX(_xlfn.ANCHORARRAY($AA$11),ROW()-10,4),"")</f>
        <v/>
      </c>
      <c r="E133" s="4" t="str" cm="1">
        <f t="array" aca="1" ref="E133" ca="1">IFERROR(INDEX(_xlfn.ANCHORARRAY($AA$11),ROW()-10,5),"")</f>
        <v/>
      </c>
      <c r="F133" s="15" t="str" cm="1">
        <f t="array" aca="1" ref="F133" ca="1">IFERROR(INDEX(_xlfn.ANCHORARRAY($AA$11),ROW()-10,6),"")</f>
        <v/>
      </c>
      <c r="G133" s="4" t="str" cm="1">
        <f t="array" aca="1" ref="G133" ca="1">IFERROR(INDEX(_xlfn.ANCHORARRAY($AA$11),ROW()-10,7),"")</f>
        <v/>
      </c>
      <c r="H133" s="4" t="str" cm="1">
        <f t="array" aca="1" ref="H133" ca="1">IFERROR(INDEX(_xlfn.ANCHORARRAY($AA$11),ROW()-10,8),"")</f>
        <v/>
      </c>
      <c r="I133" s="4" t="str" cm="1">
        <f t="array" aca="1" ref="I133" ca="1">IFERROR(INDEX(_xlfn.ANCHORARRAY($AA$11),ROW()-10,9),"")</f>
        <v/>
      </c>
      <c r="J133" s="4" t="str">
        <f t="shared" ca="1" si="9"/>
        <v/>
      </c>
      <c r="K133" s="4" t="str">
        <f t="shared" ca="1" si="10"/>
        <v/>
      </c>
      <c r="L133" s="4" t="str" cm="1">
        <f t="array" aca="1" ref="L133" ca="1">_xlfn.LET(_xlpm.link,IFERROR(INDEX(_xlfn.ANCHORARRAY($AA$11),ROW()-10,12),""),IF(_xlpm.link="","",HYPERLINK(_xlpm.link,"Bluecore/Attentive")))</f>
        <v/>
      </c>
      <c r="M133" s="57" t="str">
        <f t="shared" ca="1" si="11"/>
        <v/>
      </c>
      <c r="N133" s="7"/>
      <c r="O133" s="7"/>
      <c r="P133" s="7"/>
      <c r="Q133" s="7"/>
      <c r="R133" s="7"/>
      <c r="S133" s="6"/>
      <c r="T133" s="6"/>
      <c r="U133" s="6"/>
      <c r="V133" s="6"/>
      <c r="W133" s="6"/>
      <c r="X133" s="6"/>
      <c r="Y133" s="6"/>
      <c r="Z133" s="6"/>
      <c r="AA133" s="32"/>
      <c r="AB133"/>
      <c r="AC133"/>
      <c r="AD133"/>
      <c r="AE133"/>
      <c r="AF133"/>
      <c r="AG133"/>
      <c r="AH133"/>
      <c r="AI133"/>
      <c r="AJ133"/>
      <c r="AK133"/>
      <c r="AL133"/>
    </row>
    <row r="134" spans="1:38">
      <c r="A134" s="34" t="str" cm="1">
        <f t="array" aca="1" ref="A134" ca="1">IFERROR(INDEX(_xlfn.ANCHORARRAY($AA$11),ROW()-10,1),"")</f>
        <v/>
      </c>
      <c r="B134" s="20" t="str" cm="1">
        <f t="array" aca="1" ref="B134" ca="1">IFERROR(INDEX(_xlfn.ANCHORARRAY($AA$11),ROW()-10,2),"")</f>
        <v/>
      </c>
      <c r="C134" s="4" t="str" cm="1">
        <f t="array" aca="1" ref="C134" ca="1">IFERROR(INDEX(_xlfn.ANCHORARRAY($AA$11),ROW()-10,3),"")</f>
        <v/>
      </c>
      <c r="D134" s="15" t="str" cm="1">
        <f t="array" aca="1" ref="D134" ca="1">IFERROR(INDEX(_xlfn.ANCHORARRAY($AA$11),ROW()-10,4),"")</f>
        <v/>
      </c>
      <c r="E134" s="4" t="str" cm="1">
        <f t="array" aca="1" ref="E134" ca="1">IFERROR(INDEX(_xlfn.ANCHORARRAY($AA$11),ROW()-10,5),"")</f>
        <v/>
      </c>
      <c r="F134" s="15" t="str" cm="1">
        <f t="array" aca="1" ref="F134" ca="1">IFERROR(INDEX(_xlfn.ANCHORARRAY($AA$11),ROW()-10,6),"")</f>
        <v/>
      </c>
      <c r="G134" s="4" t="str" cm="1">
        <f t="array" aca="1" ref="G134" ca="1">IFERROR(INDEX(_xlfn.ANCHORARRAY($AA$11),ROW()-10,7),"")</f>
        <v/>
      </c>
      <c r="H134" s="4" t="str" cm="1">
        <f t="array" aca="1" ref="H134" ca="1">IFERROR(INDEX(_xlfn.ANCHORARRAY($AA$11),ROW()-10,8),"")</f>
        <v/>
      </c>
      <c r="I134" s="4" t="str" cm="1">
        <f t="array" aca="1" ref="I134" ca="1">IFERROR(INDEX(_xlfn.ANCHORARRAY($AA$11),ROW()-10,9),"")</f>
        <v/>
      </c>
      <c r="J134" s="4" t="str">
        <f t="shared" ca="1" si="9"/>
        <v/>
      </c>
      <c r="K134" s="4" t="str">
        <f t="shared" ca="1" si="10"/>
        <v/>
      </c>
      <c r="L134" s="4" t="str" cm="1">
        <f t="array" aca="1" ref="L134" ca="1">_xlfn.LET(_xlpm.link,IFERROR(INDEX(_xlfn.ANCHORARRAY($AA$11),ROW()-10,12),""),IF(_xlpm.link="","",HYPERLINK(_xlpm.link,"Bluecore/Attentive")))</f>
        <v/>
      </c>
      <c r="M134" s="58" t="str">
        <f t="shared" ca="1" si="11"/>
        <v/>
      </c>
      <c r="N134" s="7"/>
      <c r="O134" s="7"/>
      <c r="P134" s="7"/>
      <c r="Q134" s="7"/>
      <c r="R134" s="7"/>
      <c r="S134" s="6"/>
      <c r="T134" s="6"/>
      <c r="U134" s="6"/>
      <c r="V134" s="6"/>
      <c r="W134" s="6"/>
      <c r="X134" s="6"/>
      <c r="Y134" s="6"/>
      <c r="Z134" s="6"/>
      <c r="AA134" s="32"/>
      <c r="AB134"/>
      <c r="AC134"/>
      <c r="AD134"/>
      <c r="AE134"/>
      <c r="AF134"/>
      <c r="AG134"/>
      <c r="AH134"/>
      <c r="AI134"/>
      <c r="AJ134"/>
      <c r="AK134"/>
      <c r="AL134"/>
    </row>
    <row r="135" spans="1:38">
      <c r="A135" s="34" t="str" cm="1">
        <f t="array" aca="1" ref="A135" ca="1">IFERROR(INDEX(_xlfn.ANCHORARRAY($AA$11),ROW()-10,1),"")</f>
        <v/>
      </c>
      <c r="B135" s="20" t="str" cm="1">
        <f t="array" aca="1" ref="B135" ca="1">IFERROR(INDEX(_xlfn.ANCHORARRAY($AA$11),ROW()-10,2),"")</f>
        <v/>
      </c>
      <c r="C135" s="4" t="str" cm="1">
        <f t="array" aca="1" ref="C135" ca="1">IFERROR(INDEX(_xlfn.ANCHORARRAY($AA$11),ROW()-10,3),"")</f>
        <v/>
      </c>
      <c r="D135" s="15" t="str" cm="1">
        <f t="array" aca="1" ref="D135" ca="1">IFERROR(INDEX(_xlfn.ANCHORARRAY($AA$11),ROW()-10,4),"")</f>
        <v/>
      </c>
      <c r="E135" s="4" t="str" cm="1">
        <f t="array" aca="1" ref="E135" ca="1">IFERROR(INDEX(_xlfn.ANCHORARRAY($AA$11),ROW()-10,5),"")</f>
        <v/>
      </c>
      <c r="F135" s="15" t="str" cm="1">
        <f t="array" aca="1" ref="F135" ca="1">IFERROR(INDEX(_xlfn.ANCHORARRAY($AA$11),ROW()-10,6),"")</f>
        <v/>
      </c>
      <c r="G135" s="4" t="str" cm="1">
        <f t="array" aca="1" ref="G135" ca="1">IFERROR(INDEX(_xlfn.ANCHORARRAY($AA$11),ROW()-10,7),"")</f>
        <v/>
      </c>
      <c r="H135" s="4" t="str" cm="1">
        <f t="array" aca="1" ref="H135" ca="1">IFERROR(INDEX(_xlfn.ANCHORARRAY($AA$11),ROW()-10,8),"")</f>
        <v/>
      </c>
      <c r="I135" s="4" t="str" cm="1">
        <f t="array" aca="1" ref="I135" ca="1">IFERROR(INDEX(_xlfn.ANCHORARRAY($AA$11),ROW()-10,9),"")</f>
        <v/>
      </c>
      <c r="J135" s="4" t="str">
        <f t="shared" ca="1" si="9"/>
        <v/>
      </c>
      <c r="K135" s="4" t="str">
        <f t="shared" ca="1" si="10"/>
        <v/>
      </c>
      <c r="L135" s="4" t="str" cm="1">
        <f t="array" aca="1" ref="L135" ca="1">_xlfn.LET(_xlpm.link,IFERROR(INDEX(_xlfn.ANCHORARRAY($AA$11),ROW()-10,12),""),IF(_xlpm.link="","",HYPERLINK(_xlpm.link,"Bluecore/Attentive")))</f>
        <v/>
      </c>
      <c r="M135" s="57" t="str">
        <f t="shared" ca="1" si="11"/>
        <v/>
      </c>
      <c r="N135" s="7"/>
      <c r="O135" s="7"/>
      <c r="P135" s="7"/>
      <c r="Q135" s="7"/>
      <c r="R135" s="7"/>
      <c r="S135" s="6"/>
      <c r="T135" s="6"/>
      <c r="U135" s="6"/>
      <c r="V135" s="6"/>
      <c r="W135" s="6"/>
      <c r="X135" s="6"/>
      <c r="Y135" s="6"/>
      <c r="Z135" s="6"/>
      <c r="AA135" s="32"/>
      <c r="AB135"/>
      <c r="AC135"/>
      <c r="AD135"/>
      <c r="AE135"/>
      <c r="AF135"/>
      <c r="AG135"/>
      <c r="AH135"/>
      <c r="AI135"/>
      <c r="AJ135"/>
      <c r="AK135"/>
      <c r="AL135"/>
    </row>
    <row r="136" spans="1:38">
      <c r="A136" s="34" t="str" cm="1">
        <f t="array" aca="1" ref="A136" ca="1">IFERROR(INDEX(_xlfn.ANCHORARRAY($AA$11),ROW()-10,1),"")</f>
        <v/>
      </c>
      <c r="B136" s="20" t="str" cm="1">
        <f t="array" aca="1" ref="B136" ca="1">IFERROR(INDEX(_xlfn.ANCHORARRAY($AA$11),ROW()-10,2),"")</f>
        <v/>
      </c>
      <c r="C136" s="4" t="str" cm="1">
        <f t="array" aca="1" ref="C136" ca="1">IFERROR(INDEX(_xlfn.ANCHORARRAY($AA$11),ROW()-10,3),"")</f>
        <v/>
      </c>
      <c r="D136" s="15" t="str" cm="1">
        <f t="array" aca="1" ref="D136" ca="1">IFERROR(INDEX(_xlfn.ANCHORARRAY($AA$11),ROW()-10,4),"")</f>
        <v/>
      </c>
      <c r="E136" s="4" t="str" cm="1">
        <f t="array" aca="1" ref="E136" ca="1">IFERROR(INDEX(_xlfn.ANCHORARRAY($AA$11),ROW()-10,5),"")</f>
        <v/>
      </c>
      <c r="F136" s="15" t="str" cm="1">
        <f t="array" aca="1" ref="F136" ca="1">IFERROR(INDEX(_xlfn.ANCHORARRAY($AA$11),ROW()-10,6),"")</f>
        <v/>
      </c>
      <c r="G136" s="4" t="str" cm="1">
        <f t="array" aca="1" ref="G136" ca="1">IFERROR(INDEX(_xlfn.ANCHORARRAY($AA$11),ROW()-10,7),"")</f>
        <v/>
      </c>
      <c r="H136" s="4" t="str" cm="1">
        <f t="array" aca="1" ref="H136" ca="1">IFERROR(INDEX(_xlfn.ANCHORARRAY($AA$11),ROW()-10,8),"")</f>
        <v/>
      </c>
      <c r="I136" s="4" t="str" cm="1">
        <f t="array" aca="1" ref="I136" ca="1">IFERROR(INDEX(_xlfn.ANCHORARRAY($AA$11),ROW()-10,9),"")</f>
        <v/>
      </c>
      <c r="J136" s="4" t="str">
        <f t="shared" ca="1" si="9"/>
        <v/>
      </c>
      <c r="K136" s="4" t="str">
        <f t="shared" ca="1" si="10"/>
        <v/>
      </c>
      <c r="L136" s="4" t="str" cm="1">
        <f t="array" aca="1" ref="L136" ca="1">_xlfn.LET(_xlpm.link,IFERROR(INDEX(_xlfn.ANCHORARRAY($AA$11),ROW()-10,12),""),IF(_xlpm.link="","",HYPERLINK(_xlpm.link,"Bluecore/Attentive")))</f>
        <v/>
      </c>
      <c r="M136" s="58" t="str">
        <f t="shared" ca="1" si="11"/>
        <v/>
      </c>
      <c r="N136" s="7"/>
      <c r="O136" s="7"/>
      <c r="P136" s="7"/>
      <c r="Q136" s="7"/>
      <c r="R136" s="7"/>
      <c r="S136" s="6"/>
      <c r="T136" s="6"/>
      <c r="U136" s="6"/>
      <c r="V136" s="6"/>
      <c r="W136" s="6"/>
      <c r="X136" s="6"/>
      <c r="Y136" s="6"/>
      <c r="Z136" s="6"/>
      <c r="AA136" s="32"/>
      <c r="AB136"/>
      <c r="AC136"/>
      <c r="AD136"/>
      <c r="AE136"/>
      <c r="AF136"/>
      <c r="AG136"/>
      <c r="AH136"/>
      <c r="AI136"/>
      <c r="AJ136"/>
      <c r="AK136"/>
      <c r="AL136"/>
    </row>
    <row r="137" spans="1:38">
      <c r="A137" s="34" t="str" cm="1">
        <f t="array" aca="1" ref="A137" ca="1">IFERROR(INDEX(_xlfn.ANCHORARRAY($AA$11),ROW()-10,1),"")</f>
        <v/>
      </c>
      <c r="B137" s="20" t="str" cm="1">
        <f t="array" aca="1" ref="B137" ca="1">IFERROR(INDEX(_xlfn.ANCHORARRAY($AA$11),ROW()-10,2),"")</f>
        <v/>
      </c>
      <c r="C137" s="4" t="str" cm="1">
        <f t="array" aca="1" ref="C137" ca="1">IFERROR(INDEX(_xlfn.ANCHORARRAY($AA$11),ROW()-10,3),"")</f>
        <v/>
      </c>
      <c r="D137" s="15" t="str" cm="1">
        <f t="array" aca="1" ref="D137" ca="1">IFERROR(INDEX(_xlfn.ANCHORARRAY($AA$11),ROW()-10,4),"")</f>
        <v/>
      </c>
      <c r="E137" s="4" t="str" cm="1">
        <f t="array" aca="1" ref="E137" ca="1">IFERROR(INDEX(_xlfn.ANCHORARRAY($AA$11),ROW()-10,5),"")</f>
        <v/>
      </c>
      <c r="F137" s="15" t="str" cm="1">
        <f t="array" aca="1" ref="F137" ca="1">IFERROR(INDEX(_xlfn.ANCHORARRAY($AA$11),ROW()-10,6),"")</f>
        <v/>
      </c>
      <c r="G137" s="4" t="str" cm="1">
        <f t="array" aca="1" ref="G137" ca="1">IFERROR(INDEX(_xlfn.ANCHORARRAY($AA$11),ROW()-10,7),"")</f>
        <v/>
      </c>
      <c r="H137" s="4" t="str" cm="1">
        <f t="array" aca="1" ref="H137" ca="1">IFERROR(INDEX(_xlfn.ANCHORARRAY($AA$11),ROW()-10,8),"")</f>
        <v/>
      </c>
      <c r="I137" s="4" t="str" cm="1">
        <f t="array" aca="1" ref="I137" ca="1">IFERROR(INDEX(_xlfn.ANCHORARRAY($AA$11),ROW()-10,9),"")</f>
        <v/>
      </c>
      <c r="J137" s="4" t="str">
        <f t="shared" ca="1" si="9"/>
        <v/>
      </c>
      <c r="K137" s="4" t="str">
        <f t="shared" ca="1" si="10"/>
        <v/>
      </c>
      <c r="L137" s="4" t="str" cm="1">
        <f t="array" aca="1" ref="L137" ca="1">_xlfn.LET(_xlpm.link,IFERROR(INDEX(_xlfn.ANCHORARRAY($AA$11),ROW()-10,12),""),IF(_xlpm.link="","",HYPERLINK(_xlpm.link,"Bluecore/Attentive")))</f>
        <v/>
      </c>
      <c r="M137" s="57" t="str">
        <f t="shared" ca="1" si="11"/>
        <v/>
      </c>
      <c r="N137" s="7"/>
      <c r="O137" s="7"/>
      <c r="P137" s="7"/>
      <c r="Q137" s="7"/>
      <c r="R137" s="7"/>
      <c r="S137" s="6"/>
      <c r="T137" s="6"/>
      <c r="U137" s="6"/>
      <c r="V137" s="6"/>
      <c r="W137" s="6"/>
      <c r="X137" s="6"/>
      <c r="Y137" s="6"/>
      <c r="Z137" s="6"/>
      <c r="AA137" s="32"/>
      <c r="AB137"/>
      <c r="AC137"/>
      <c r="AD137"/>
      <c r="AE137"/>
      <c r="AF137"/>
      <c r="AG137"/>
      <c r="AH137"/>
      <c r="AI137"/>
      <c r="AJ137"/>
      <c r="AK137"/>
      <c r="AL137"/>
    </row>
    <row r="138" spans="1:38">
      <c r="A138" s="34" t="str" cm="1">
        <f t="array" aca="1" ref="A138" ca="1">IFERROR(INDEX(_xlfn.ANCHORARRAY($AA$11),ROW()-10,1),"")</f>
        <v/>
      </c>
      <c r="B138" s="20" t="str" cm="1">
        <f t="array" aca="1" ref="B138" ca="1">IFERROR(INDEX(_xlfn.ANCHORARRAY($AA$11),ROW()-10,2),"")</f>
        <v/>
      </c>
      <c r="C138" s="4" t="str" cm="1">
        <f t="array" aca="1" ref="C138" ca="1">IFERROR(INDEX(_xlfn.ANCHORARRAY($AA$11),ROW()-10,3),"")</f>
        <v/>
      </c>
      <c r="D138" s="15" t="str" cm="1">
        <f t="array" aca="1" ref="D138" ca="1">IFERROR(INDEX(_xlfn.ANCHORARRAY($AA$11),ROW()-10,4),"")</f>
        <v/>
      </c>
      <c r="E138" s="4" t="str" cm="1">
        <f t="array" aca="1" ref="E138" ca="1">IFERROR(INDEX(_xlfn.ANCHORARRAY($AA$11),ROW()-10,5),"")</f>
        <v/>
      </c>
      <c r="F138" s="15" t="str" cm="1">
        <f t="array" aca="1" ref="F138" ca="1">IFERROR(INDEX(_xlfn.ANCHORARRAY($AA$11),ROW()-10,6),"")</f>
        <v/>
      </c>
      <c r="G138" s="4" t="str" cm="1">
        <f t="array" aca="1" ref="G138" ca="1">IFERROR(INDEX(_xlfn.ANCHORARRAY($AA$11),ROW()-10,7),"")</f>
        <v/>
      </c>
      <c r="H138" s="4" t="str" cm="1">
        <f t="array" aca="1" ref="H138" ca="1">IFERROR(INDEX(_xlfn.ANCHORARRAY($AA$11),ROW()-10,8),"")</f>
        <v/>
      </c>
      <c r="I138" s="4" t="str" cm="1">
        <f t="array" aca="1" ref="I138" ca="1">IFERROR(INDEX(_xlfn.ANCHORARRAY($AA$11),ROW()-10,9),"")</f>
        <v/>
      </c>
      <c r="J138" s="4" t="str">
        <f t="shared" ca="1" si="9"/>
        <v/>
      </c>
      <c r="K138" s="4" t="str">
        <f t="shared" ca="1" si="10"/>
        <v/>
      </c>
      <c r="L138" s="4" t="str" cm="1">
        <f t="array" aca="1" ref="L138" ca="1">_xlfn.LET(_xlpm.link,IFERROR(INDEX(_xlfn.ANCHORARRAY($AA$11),ROW()-10,12),""),IF(_xlpm.link="","",HYPERLINK(_xlpm.link,"Bluecore/Attentive")))</f>
        <v/>
      </c>
      <c r="M138" s="58" t="str">
        <f t="shared" ca="1" si="11"/>
        <v/>
      </c>
      <c r="N138" s="7"/>
      <c r="O138" s="7"/>
      <c r="P138" s="7"/>
      <c r="Q138" s="7"/>
      <c r="R138" s="7"/>
      <c r="S138" s="6"/>
      <c r="T138" s="6"/>
      <c r="U138" s="6"/>
      <c r="V138" s="6"/>
      <c r="W138" s="6"/>
      <c r="X138" s="6"/>
      <c r="Y138" s="6"/>
      <c r="Z138" s="6"/>
      <c r="AA138" s="32"/>
      <c r="AB138"/>
      <c r="AC138"/>
      <c r="AD138"/>
      <c r="AE138"/>
      <c r="AF138"/>
      <c r="AG138"/>
      <c r="AH138"/>
      <c r="AI138"/>
      <c r="AJ138"/>
      <c r="AK138"/>
      <c r="AL138"/>
    </row>
    <row r="139" spans="1:38">
      <c r="A139" s="34" t="str" cm="1">
        <f t="array" aca="1" ref="A139" ca="1">IFERROR(INDEX(_xlfn.ANCHORARRAY($AA$11),ROW()-10,1),"")</f>
        <v/>
      </c>
      <c r="B139" s="20" t="str" cm="1">
        <f t="array" aca="1" ref="B139" ca="1">IFERROR(INDEX(_xlfn.ANCHORARRAY($AA$11),ROW()-10,2),"")</f>
        <v/>
      </c>
      <c r="C139" s="4" t="str" cm="1">
        <f t="array" aca="1" ref="C139" ca="1">IFERROR(INDEX(_xlfn.ANCHORARRAY($AA$11),ROW()-10,3),"")</f>
        <v/>
      </c>
      <c r="D139" s="15" t="str" cm="1">
        <f t="array" aca="1" ref="D139" ca="1">IFERROR(INDEX(_xlfn.ANCHORARRAY($AA$11),ROW()-10,4),"")</f>
        <v/>
      </c>
      <c r="E139" s="4" t="str" cm="1">
        <f t="array" aca="1" ref="E139" ca="1">IFERROR(INDEX(_xlfn.ANCHORARRAY($AA$11),ROW()-10,5),"")</f>
        <v/>
      </c>
      <c r="F139" s="15" t="str" cm="1">
        <f t="array" aca="1" ref="F139" ca="1">IFERROR(INDEX(_xlfn.ANCHORARRAY($AA$11),ROW()-10,6),"")</f>
        <v/>
      </c>
      <c r="G139" s="4" t="str" cm="1">
        <f t="array" aca="1" ref="G139" ca="1">IFERROR(INDEX(_xlfn.ANCHORARRAY($AA$11),ROW()-10,7),"")</f>
        <v/>
      </c>
      <c r="H139" s="4" t="str" cm="1">
        <f t="array" aca="1" ref="H139" ca="1">IFERROR(INDEX(_xlfn.ANCHORARRAY($AA$11),ROW()-10,8),"")</f>
        <v/>
      </c>
      <c r="I139" s="4" t="str" cm="1">
        <f t="array" aca="1" ref="I139" ca="1">IFERROR(INDEX(_xlfn.ANCHORARRAY($AA$11),ROW()-10,9),"")</f>
        <v/>
      </c>
      <c r="J139" s="4" t="str">
        <f t="shared" ref="J139:J160" ca="1" si="12">_xlfn.LET(_xlpm.ch,IFERROR(INDEX(_xlfn.ANCHORARRAY($AA$11),ROW()-10,3),""),_xlpm.link,IFERROR(INDEX(_xlfn.ANCHORARRAY($AA$11),ROW()-10,10),""),IF(OR(_xlpm.link="",_xlpm.ch="SMS"),"",HYPERLINK(_xlpm.link,"JIRA")))</f>
        <v/>
      </c>
      <c r="K139" s="4" t="str">
        <f t="shared" ref="K139:K160" ca="1" si="13">_xlfn.LET(_xlpm.ch,IFERROR(INDEX(_xlfn.ANCHORARRAY($AA$11),ROW()-10,3),""),_xlpm.link,IFERROR(INDEX(_xlfn.ANCHORARRAY($AA$11),ROW()-10,11),""),IF(OR(_xlpm.link="",_xlpm.ch="SMS"),"",HYPERLINK(_xlpm.link,"ClickUp")))</f>
        <v/>
      </c>
      <c r="L139" s="4" t="str" cm="1">
        <f t="array" aca="1" ref="L139" ca="1">_xlfn.LET(_xlpm.link,IFERROR(INDEX(_xlfn.ANCHORARRAY($AA$11),ROW()-10,12),""),IF(_xlpm.link="","",HYPERLINK(_xlpm.link,"Bluecore/Attentive")))</f>
        <v/>
      </c>
      <c r="M139" s="57" t="str">
        <f t="shared" ref="M139:M160" ca="1" si="14">_xlfn.LET(_xlpm.sendDate,$A139,_xlpm.camp,$D139&amp;"",_xlpm.code,LEFT(_xlpm.camp,6),_xlpm.parsed,IFERROR(DATE(2000+VALUE(MID(_xlpm.code,5,2)),VALUE(LEFT(_xlpm.code,2)),VALUE(MID(_xlpm.code,3,2))),""),_xlpm.useDate,IF(_xlpm.parsed="",IF(ISNUMBER(_xlpm.sendDate),INT(_xlpm.sendDate),""),_xlpm.parsed),IF(_xlpm.useDate="","","Week "&amp;WEEKNUM(_xlpm.useDate,1)))</f>
        <v/>
      </c>
      <c r="N139" s="7"/>
      <c r="O139" s="7"/>
      <c r="P139" s="7"/>
      <c r="Q139" s="7"/>
      <c r="R139" s="7"/>
      <c r="S139" s="6"/>
      <c r="T139" s="6"/>
      <c r="U139" s="6"/>
      <c r="V139" s="6"/>
      <c r="W139" s="6"/>
      <c r="X139" s="6"/>
      <c r="Y139" s="6"/>
      <c r="Z139" s="6"/>
      <c r="AA139" s="32"/>
      <c r="AB139"/>
      <c r="AC139"/>
      <c r="AD139"/>
      <c r="AE139"/>
      <c r="AF139"/>
      <c r="AG139"/>
      <c r="AH139"/>
      <c r="AI139"/>
      <c r="AJ139"/>
      <c r="AK139"/>
      <c r="AL139"/>
    </row>
    <row r="140" spans="1:38">
      <c r="A140" s="34" t="str" cm="1">
        <f t="array" aca="1" ref="A140" ca="1">IFERROR(INDEX(_xlfn.ANCHORARRAY($AA$11),ROW()-10,1),"")</f>
        <v/>
      </c>
      <c r="B140" s="20" t="str" cm="1">
        <f t="array" aca="1" ref="B140" ca="1">IFERROR(INDEX(_xlfn.ANCHORARRAY($AA$11),ROW()-10,2),"")</f>
        <v/>
      </c>
      <c r="C140" s="4" t="str" cm="1">
        <f t="array" aca="1" ref="C140" ca="1">IFERROR(INDEX(_xlfn.ANCHORARRAY($AA$11),ROW()-10,3),"")</f>
        <v/>
      </c>
      <c r="D140" s="15" t="str" cm="1">
        <f t="array" aca="1" ref="D140" ca="1">IFERROR(INDEX(_xlfn.ANCHORARRAY($AA$11),ROW()-10,4),"")</f>
        <v/>
      </c>
      <c r="E140" s="4" t="str" cm="1">
        <f t="array" aca="1" ref="E140" ca="1">IFERROR(INDEX(_xlfn.ANCHORARRAY($AA$11),ROW()-10,5),"")</f>
        <v/>
      </c>
      <c r="F140" s="15" t="str" cm="1">
        <f t="array" aca="1" ref="F140" ca="1">IFERROR(INDEX(_xlfn.ANCHORARRAY($AA$11),ROW()-10,6),"")</f>
        <v/>
      </c>
      <c r="G140" s="4" t="str" cm="1">
        <f t="array" aca="1" ref="G140" ca="1">IFERROR(INDEX(_xlfn.ANCHORARRAY($AA$11),ROW()-10,7),"")</f>
        <v/>
      </c>
      <c r="H140" s="4" t="str" cm="1">
        <f t="array" aca="1" ref="H140" ca="1">IFERROR(INDEX(_xlfn.ANCHORARRAY($AA$11),ROW()-10,8),"")</f>
        <v/>
      </c>
      <c r="I140" s="4" t="str" cm="1">
        <f t="array" aca="1" ref="I140" ca="1">IFERROR(INDEX(_xlfn.ANCHORARRAY($AA$11),ROW()-10,9),"")</f>
        <v/>
      </c>
      <c r="J140" s="4" t="str">
        <f t="shared" ca="1" si="12"/>
        <v/>
      </c>
      <c r="K140" s="4" t="str">
        <f t="shared" ca="1" si="13"/>
        <v/>
      </c>
      <c r="L140" s="4" t="str" cm="1">
        <f t="array" aca="1" ref="L140" ca="1">_xlfn.LET(_xlpm.link,IFERROR(INDEX(_xlfn.ANCHORARRAY($AA$11),ROW()-10,12),""),IF(_xlpm.link="","",HYPERLINK(_xlpm.link,"Bluecore/Attentive")))</f>
        <v/>
      </c>
      <c r="M140" s="58" t="str">
        <f t="shared" ca="1" si="14"/>
        <v/>
      </c>
      <c r="N140" s="7"/>
      <c r="O140" s="7"/>
      <c r="P140" s="7"/>
      <c r="Q140" s="7"/>
      <c r="R140" s="7"/>
      <c r="S140" s="6"/>
      <c r="T140" s="6"/>
      <c r="U140" s="6"/>
      <c r="V140" s="6"/>
      <c r="W140" s="6"/>
      <c r="X140" s="6"/>
      <c r="Y140" s="6"/>
      <c r="Z140" s="6"/>
      <c r="AA140" s="32"/>
      <c r="AB140"/>
      <c r="AC140"/>
      <c r="AD140"/>
      <c r="AE140"/>
      <c r="AF140"/>
      <c r="AG140"/>
      <c r="AH140"/>
      <c r="AI140"/>
      <c r="AJ140"/>
      <c r="AK140"/>
      <c r="AL140"/>
    </row>
    <row r="141" spans="1:38">
      <c r="A141" s="34" t="str" cm="1">
        <f t="array" aca="1" ref="A141" ca="1">IFERROR(INDEX(_xlfn.ANCHORARRAY($AA$11),ROW()-10,1),"")</f>
        <v/>
      </c>
      <c r="B141" s="20" t="str" cm="1">
        <f t="array" aca="1" ref="B141" ca="1">IFERROR(INDEX(_xlfn.ANCHORARRAY($AA$11),ROW()-10,2),"")</f>
        <v/>
      </c>
      <c r="C141" s="4" t="str" cm="1">
        <f t="array" aca="1" ref="C141" ca="1">IFERROR(INDEX(_xlfn.ANCHORARRAY($AA$11),ROW()-10,3),"")</f>
        <v/>
      </c>
      <c r="D141" s="15" t="str" cm="1">
        <f t="array" aca="1" ref="D141" ca="1">IFERROR(INDEX(_xlfn.ANCHORARRAY($AA$11),ROW()-10,4),"")</f>
        <v/>
      </c>
      <c r="E141" s="4" t="str" cm="1">
        <f t="array" aca="1" ref="E141" ca="1">IFERROR(INDEX(_xlfn.ANCHORARRAY($AA$11),ROW()-10,5),"")</f>
        <v/>
      </c>
      <c r="F141" s="15" t="str" cm="1">
        <f t="array" aca="1" ref="F141" ca="1">IFERROR(INDEX(_xlfn.ANCHORARRAY($AA$11),ROW()-10,6),"")</f>
        <v/>
      </c>
      <c r="G141" s="4" t="str" cm="1">
        <f t="array" aca="1" ref="G141" ca="1">IFERROR(INDEX(_xlfn.ANCHORARRAY($AA$11),ROW()-10,7),"")</f>
        <v/>
      </c>
      <c r="H141" s="4" t="str" cm="1">
        <f t="array" aca="1" ref="H141" ca="1">IFERROR(INDEX(_xlfn.ANCHORARRAY($AA$11),ROW()-10,8),"")</f>
        <v/>
      </c>
      <c r="I141" s="4" t="str" cm="1">
        <f t="array" aca="1" ref="I141" ca="1">IFERROR(INDEX(_xlfn.ANCHORARRAY($AA$11),ROW()-10,9),"")</f>
        <v/>
      </c>
      <c r="J141" s="4" t="str">
        <f t="shared" ca="1" si="12"/>
        <v/>
      </c>
      <c r="K141" s="4" t="str">
        <f t="shared" ca="1" si="13"/>
        <v/>
      </c>
      <c r="L141" s="4" t="str" cm="1">
        <f t="array" aca="1" ref="L141" ca="1">_xlfn.LET(_xlpm.link,IFERROR(INDEX(_xlfn.ANCHORARRAY($AA$11),ROW()-10,12),""),IF(_xlpm.link="","",HYPERLINK(_xlpm.link,"Bluecore/Attentive")))</f>
        <v/>
      </c>
      <c r="M141" s="57" t="str">
        <f t="shared" ca="1" si="14"/>
        <v/>
      </c>
      <c r="N141" s="7"/>
      <c r="O141" s="7"/>
      <c r="P141" s="7"/>
      <c r="Q141" s="7"/>
      <c r="R141" s="7"/>
      <c r="S141" s="6"/>
      <c r="T141" s="6"/>
      <c r="U141" s="6"/>
      <c r="V141" s="6"/>
      <c r="W141" s="6"/>
      <c r="X141" s="6"/>
      <c r="Y141" s="6"/>
      <c r="Z141" s="6"/>
      <c r="AA141" s="32"/>
      <c r="AB141"/>
      <c r="AC141"/>
      <c r="AD141"/>
      <c r="AE141"/>
      <c r="AF141"/>
      <c r="AG141"/>
      <c r="AH141"/>
      <c r="AI141"/>
      <c r="AJ141"/>
      <c r="AK141"/>
      <c r="AL141"/>
    </row>
    <row r="142" spans="1:38">
      <c r="A142" s="34" t="str" cm="1">
        <f t="array" aca="1" ref="A142" ca="1">IFERROR(INDEX(_xlfn.ANCHORARRAY($AA$11),ROW()-10,1),"")</f>
        <v/>
      </c>
      <c r="B142" s="20" t="str" cm="1">
        <f t="array" aca="1" ref="B142" ca="1">IFERROR(INDEX(_xlfn.ANCHORARRAY($AA$11),ROW()-10,2),"")</f>
        <v/>
      </c>
      <c r="C142" s="4" t="str" cm="1">
        <f t="array" aca="1" ref="C142" ca="1">IFERROR(INDEX(_xlfn.ANCHORARRAY($AA$11),ROW()-10,3),"")</f>
        <v/>
      </c>
      <c r="D142" s="15" t="str" cm="1">
        <f t="array" aca="1" ref="D142" ca="1">IFERROR(INDEX(_xlfn.ANCHORARRAY($AA$11),ROW()-10,4),"")</f>
        <v/>
      </c>
      <c r="E142" s="4" t="str" cm="1">
        <f t="array" aca="1" ref="E142" ca="1">IFERROR(INDEX(_xlfn.ANCHORARRAY($AA$11),ROW()-10,5),"")</f>
        <v/>
      </c>
      <c r="F142" s="15" t="str" cm="1">
        <f t="array" aca="1" ref="F142" ca="1">IFERROR(INDEX(_xlfn.ANCHORARRAY($AA$11),ROW()-10,6),"")</f>
        <v/>
      </c>
      <c r="G142" s="4" t="str" cm="1">
        <f t="array" aca="1" ref="G142" ca="1">IFERROR(INDEX(_xlfn.ANCHORARRAY($AA$11),ROW()-10,7),"")</f>
        <v/>
      </c>
      <c r="H142" s="4" t="str" cm="1">
        <f t="array" aca="1" ref="H142" ca="1">IFERROR(INDEX(_xlfn.ANCHORARRAY($AA$11),ROW()-10,8),"")</f>
        <v/>
      </c>
      <c r="I142" s="4" t="str" cm="1">
        <f t="array" aca="1" ref="I142" ca="1">IFERROR(INDEX(_xlfn.ANCHORARRAY($AA$11),ROW()-10,9),"")</f>
        <v/>
      </c>
      <c r="J142" s="4" t="str">
        <f t="shared" ca="1" si="12"/>
        <v/>
      </c>
      <c r="K142" s="4" t="str">
        <f t="shared" ca="1" si="13"/>
        <v/>
      </c>
      <c r="L142" s="4" t="str" cm="1">
        <f t="array" aca="1" ref="L142" ca="1">_xlfn.LET(_xlpm.link,IFERROR(INDEX(_xlfn.ANCHORARRAY($AA$11),ROW()-10,12),""),IF(_xlpm.link="","",HYPERLINK(_xlpm.link,"Bluecore/Attentive")))</f>
        <v/>
      </c>
      <c r="M142" s="58" t="str">
        <f t="shared" ca="1" si="14"/>
        <v/>
      </c>
      <c r="N142" s="7"/>
      <c r="O142" s="7"/>
      <c r="P142" s="7"/>
      <c r="Q142" s="7"/>
      <c r="R142" s="7"/>
      <c r="S142" s="6"/>
      <c r="T142" s="6"/>
      <c r="U142" s="6"/>
      <c r="V142" s="6"/>
      <c r="W142" s="6"/>
      <c r="X142" s="6"/>
      <c r="Y142" s="6"/>
      <c r="Z142" s="6"/>
      <c r="AA142" s="32"/>
      <c r="AB142"/>
      <c r="AC142"/>
      <c r="AD142"/>
      <c r="AE142"/>
      <c r="AF142"/>
      <c r="AG142"/>
      <c r="AH142"/>
      <c r="AI142"/>
      <c r="AJ142"/>
      <c r="AK142"/>
      <c r="AL142"/>
    </row>
    <row r="143" spans="1:38">
      <c r="A143" s="34" t="str" cm="1">
        <f t="array" aca="1" ref="A143" ca="1">IFERROR(INDEX(_xlfn.ANCHORARRAY($AA$11),ROW()-10,1),"")</f>
        <v/>
      </c>
      <c r="B143" s="20" t="str" cm="1">
        <f t="array" aca="1" ref="B143" ca="1">IFERROR(INDEX(_xlfn.ANCHORARRAY($AA$11),ROW()-10,2),"")</f>
        <v/>
      </c>
      <c r="C143" s="4" t="str" cm="1">
        <f t="array" aca="1" ref="C143" ca="1">IFERROR(INDEX(_xlfn.ANCHORARRAY($AA$11),ROW()-10,3),"")</f>
        <v/>
      </c>
      <c r="D143" s="15" t="str" cm="1">
        <f t="array" aca="1" ref="D143" ca="1">IFERROR(INDEX(_xlfn.ANCHORARRAY($AA$11),ROW()-10,4),"")</f>
        <v/>
      </c>
      <c r="E143" s="4" t="str" cm="1">
        <f t="array" aca="1" ref="E143" ca="1">IFERROR(INDEX(_xlfn.ANCHORARRAY($AA$11),ROW()-10,5),"")</f>
        <v/>
      </c>
      <c r="F143" s="15" t="str" cm="1">
        <f t="array" aca="1" ref="F143" ca="1">IFERROR(INDEX(_xlfn.ANCHORARRAY($AA$11),ROW()-10,6),"")</f>
        <v/>
      </c>
      <c r="G143" s="4" t="str" cm="1">
        <f t="array" aca="1" ref="G143" ca="1">IFERROR(INDEX(_xlfn.ANCHORARRAY($AA$11),ROW()-10,7),"")</f>
        <v/>
      </c>
      <c r="H143" s="4" t="str" cm="1">
        <f t="array" aca="1" ref="H143" ca="1">IFERROR(INDEX(_xlfn.ANCHORARRAY($AA$11),ROW()-10,8),"")</f>
        <v/>
      </c>
      <c r="I143" s="4" t="str" cm="1">
        <f t="array" aca="1" ref="I143" ca="1">IFERROR(INDEX(_xlfn.ANCHORARRAY($AA$11),ROW()-10,9),"")</f>
        <v/>
      </c>
      <c r="J143" s="4" t="str">
        <f t="shared" ca="1" si="12"/>
        <v/>
      </c>
      <c r="K143" s="4" t="str">
        <f t="shared" ca="1" si="13"/>
        <v/>
      </c>
      <c r="L143" s="4" t="str" cm="1">
        <f t="array" aca="1" ref="L143" ca="1">_xlfn.LET(_xlpm.link,IFERROR(INDEX(_xlfn.ANCHORARRAY($AA$11),ROW()-10,12),""),IF(_xlpm.link="","",HYPERLINK(_xlpm.link,"Bluecore/Attentive")))</f>
        <v/>
      </c>
      <c r="M143" s="57" t="str">
        <f t="shared" ca="1" si="14"/>
        <v/>
      </c>
      <c r="N143" s="7"/>
      <c r="O143" s="7"/>
      <c r="P143" s="7"/>
      <c r="Q143" s="7"/>
      <c r="R143" s="7"/>
      <c r="S143" s="6"/>
      <c r="T143" s="6"/>
      <c r="U143" s="6"/>
      <c r="V143" s="6"/>
      <c r="W143" s="6"/>
      <c r="X143" s="6"/>
      <c r="Y143" s="6"/>
      <c r="Z143" s="6"/>
      <c r="AA143" s="32"/>
      <c r="AB143"/>
      <c r="AC143"/>
      <c r="AD143"/>
      <c r="AE143"/>
      <c r="AF143"/>
      <c r="AG143"/>
      <c r="AH143"/>
      <c r="AI143"/>
      <c r="AJ143"/>
      <c r="AK143"/>
      <c r="AL143"/>
    </row>
    <row r="144" spans="1:38">
      <c r="A144" s="34" t="str" cm="1">
        <f t="array" aca="1" ref="A144" ca="1">IFERROR(INDEX(_xlfn.ANCHORARRAY($AA$11),ROW()-10,1),"")</f>
        <v/>
      </c>
      <c r="B144" s="20" t="str" cm="1">
        <f t="array" aca="1" ref="B144" ca="1">IFERROR(INDEX(_xlfn.ANCHORARRAY($AA$11),ROW()-10,2),"")</f>
        <v/>
      </c>
      <c r="C144" s="4" t="str" cm="1">
        <f t="array" aca="1" ref="C144" ca="1">IFERROR(INDEX(_xlfn.ANCHORARRAY($AA$11),ROW()-10,3),"")</f>
        <v/>
      </c>
      <c r="D144" s="15" t="str" cm="1">
        <f t="array" aca="1" ref="D144" ca="1">IFERROR(INDEX(_xlfn.ANCHORARRAY($AA$11),ROW()-10,4),"")</f>
        <v/>
      </c>
      <c r="E144" s="4" t="str" cm="1">
        <f t="array" aca="1" ref="E144" ca="1">IFERROR(INDEX(_xlfn.ANCHORARRAY($AA$11),ROW()-10,5),"")</f>
        <v/>
      </c>
      <c r="F144" s="15" t="str" cm="1">
        <f t="array" aca="1" ref="F144" ca="1">IFERROR(INDEX(_xlfn.ANCHORARRAY($AA$11),ROW()-10,6),"")</f>
        <v/>
      </c>
      <c r="G144" s="4" t="str" cm="1">
        <f t="array" aca="1" ref="G144" ca="1">IFERROR(INDEX(_xlfn.ANCHORARRAY($AA$11),ROW()-10,7),"")</f>
        <v/>
      </c>
      <c r="H144" s="4" t="str" cm="1">
        <f t="array" aca="1" ref="H144" ca="1">IFERROR(INDEX(_xlfn.ANCHORARRAY($AA$11),ROW()-10,8),"")</f>
        <v/>
      </c>
      <c r="I144" s="4" t="str" cm="1">
        <f t="array" aca="1" ref="I144" ca="1">IFERROR(INDEX(_xlfn.ANCHORARRAY($AA$11),ROW()-10,9),"")</f>
        <v/>
      </c>
      <c r="J144" s="4" t="str">
        <f t="shared" ca="1" si="12"/>
        <v/>
      </c>
      <c r="K144" s="4" t="str">
        <f t="shared" ca="1" si="13"/>
        <v/>
      </c>
      <c r="L144" s="4" t="str" cm="1">
        <f t="array" aca="1" ref="L144" ca="1">_xlfn.LET(_xlpm.link,IFERROR(INDEX(_xlfn.ANCHORARRAY($AA$11),ROW()-10,12),""),IF(_xlpm.link="","",HYPERLINK(_xlpm.link,"Bluecore/Attentive")))</f>
        <v/>
      </c>
      <c r="M144" s="58" t="str">
        <f t="shared" ca="1" si="14"/>
        <v/>
      </c>
      <c r="N144" s="7"/>
      <c r="O144" s="7"/>
      <c r="P144" s="7"/>
      <c r="Q144" s="7"/>
      <c r="R144" s="7"/>
      <c r="S144" s="6"/>
      <c r="T144" s="6"/>
      <c r="U144" s="6"/>
      <c r="V144" s="6"/>
      <c r="W144" s="6"/>
      <c r="X144" s="6"/>
      <c r="Y144" s="6"/>
      <c r="Z144" s="6"/>
      <c r="AA144" s="32"/>
      <c r="AB144"/>
      <c r="AC144"/>
      <c r="AD144"/>
      <c r="AE144"/>
      <c r="AF144"/>
      <c r="AG144"/>
      <c r="AH144"/>
      <c r="AI144"/>
      <c r="AJ144"/>
      <c r="AK144"/>
      <c r="AL144"/>
    </row>
    <row r="145" spans="1:38">
      <c r="A145" s="34" t="str" cm="1">
        <f t="array" aca="1" ref="A145" ca="1">IFERROR(INDEX(_xlfn.ANCHORARRAY($AA$11),ROW()-10,1),"")</f>
        <v/>
      </c>
      <c r="B145" s="20" t="str" cm="1">
        <f t="array" aca="1" ref="B145" ca="1">IFERROR(INDEX(_xlfn.ANCHORARRAY($AA$11),ROW()-10,2),"")</f>
        <v/>
      </c>
      <c r="C145" s="4" t="str" cm="1">
        <f t="array" aca="1" ref="C145" ca="1">IFERROR(INDEX(_xlfn.ANCHORARRAY($AA$11),ROW()-10,3),"")</f>
        <v/>
      </c>
      <c r="D145" s="15" t="str" cm="1">
        <f t="array" aca="1" ref="D145" ca="1">IFERROR(INDEX(_xlfn.ANCHORARRAY($AA$11),ROW()-10,4),"")</f>
        <v/>
      </c>
      <c r="E145" s="4" t="str" cm="1">
        <f t="array" aca="1" ref="E145" ca="1">IFERROR(INDEX(_xlfn.ANCHORARRAY($AA$11),ROW()-10,5),"")</f>
        <v/>
      </c>
      <c r="F145" s="15" t="str" cm="1">
        <f t="array" aca="1" ref="F145" ca="1">IFERROR(INDEX(_xlfn.ANCHORARRAY($AA$11),ROW()-10,6),"")</f>
        <v/>
      </c>
      <c r="G145" s="4" t="str" cm="1">
        <f t="array" aca="1" ref="G145" ca="1">IFERROR(INDEX(_xlfn.ANCHORARRAY($AA$11),ROW()-10,7),"")</f>
        <v/>
      </c>
      <c r="H145" s="4" t="str" cm="1">
        <f t="array" aca="1" ref="H145" ca="1">IFERROR(INDEX(_xlfn.ANCHORARRAY($AA$11),ROW()-10,8),"")</f>
        <v/>
      </c>
      <c r="I145" s="4" t="str" cm="1">
        <f t="array" aca="1" ref="I145" ca="1">IFERROR(INDEX(_xlfn.ANCHORARRAY($AA$11),ROW()-10,9),"")</f>
        <v/>
      </c>
      <c r="J145" s="4" t="str">
        <f t="shared" ca="1" si="12"/>
        <v/>
      </c>
      <c r="K145" s="4" t="str">
        <f t="shared" ca="1" si="13"/>
        <v/>
      </c>
      <c r="L145" s="4" t="str" cm="1">
        <f t="array" aca="1" ref="L145" ca="1">_xlfn.LET(_xlpm.link,IFERROR(INDEX(_xlfn.ANCHORARRAY($AA$11),ROW()-10,12),""),IF(_xlpm.link="","",HYPERLINK(_xlpm.link,"Bluecore/Attentive")))</f>
        <v/>
      </c>
      <c r="M145" s="57" t="str">
        <f t="shared" ca="1" si="14"/>
        <v/>
      </c>
      <c r="N145" s="7"/>
      <c r="O145" s="7"/>
      <c r="P145" s="7"/>
      <c r="Q145" s="7"/>
      <c r="R145" s="7"/>
      <c r="S145" s="6"/>
      <c r="T145" s="6"/>
      <c r="U145" s="6"/>
      <c r="V145" s="6"/>
      <c r="W145" s="6"/>
      <c r="X145" s="6"/>
      <c r="Y145" s="6"/>
      <c r="Z145" s="6"/>
      <c r="AA145" s="32"/>
      <c r="AB145"/>
      <c r="AC145"/>
      <c r="AD145"/>
      <c r="AE145"/>
      <c r="AF145"/>
      <c r="AG145"/>
      <c r="AH145"/>
      <c r="AI145"/>
      <c r="AJ145"/>
      <c r="AK145"/>
      <c r="AL145"/>
    </row>
    <row r="146" spans="1:38">
      <c r="A146" s="34" t="str" cm="1">
        <f t="array" aca="1" ref="A146" ca="1">IFERROR(INDEX(_xlfn.ANCHORARRAY($AA$11),ROW()-10,1),"")</f>
        <v/>
      </c>
      <c r="B146" s="20" t="str" cm="1">
        <f t="array" aca="1" ref="B146" ca="1">IFERROR(INDEX(_xlfn.ANCHORARRAY($AA$11),ROW()-10,2),"")</f>
        <v/>
      </c>
      <c r="C146" s="4" t="str" cm="1">
        <f t="array" aca="1" ref="C146" ca="1">IFERROR(INDEX(_xlfn.ANCHORARRAY($AA$11),ROW()-10,3),"")</f>
        <v/>
      </c>
      <c r="D146" s="15" t="str" cm="1">
        <f t="array" aca="1" ref="D146" ca="1">IFERROR(INDEX(_xlfn.ANCHORARRAY($AA$11),ROW()-10,4),"")</f>
        <v/>
      </c>
      <c r="E146" s="4" t="str" cm="1">
        <f t="array" aca="1" ref="E146" ca="1">IFERROR(INDEX(_xlfn.ANCHORARRAY($AA$11),ROW()-10,5),"")</f>
        <v/>
      </c>
      <c r="F146" s="15" t="str" cm="1">
        <f t="array" aca="1" ref="F146" ca="1">IFERROR(INDEX(_xlfn.ANCHORARRAY($AA$11),ROW()-10,6),"")</f>
        <v/>
      </c>
      <c r="G146" s="4" t="str" cm="1">
        <f t="array" aca="1" ref="G146" ca="1">IFERROR(INDEX(_xlfn.ANCHORARRAY($AA$11),ROW()-10,7),"")</f>
        <v/>
      </c>
      <c r="H146" s="4" t="str" cm="1">
        <f t="array" aca="1" ref="H146" ca="1">IFERROR(INDEX(_xlfn.ANCHORARRAY($AA$11),ROW()-10,8),"")</f>
        <v/>
      </c>
      <c r="I146" s="4" t="str" cm="1">
        <f t="array" aca="1" ref="I146" ca="1">IFERROR(INDEX(_xlfn.ANCHORARRAY($AA$11),ROW()-10,9),"")</f>
        <v/>
      </c>
      <c r="J146" s="4" t="str">
        <f t="shared" ca="1" si="12"/>
        <v/>
      </c>
      <c r="K146" s="4" t="str">
        <f t="shared" ca="1" si="13"/>
        <v/>
      </c>
      <c r="L146" s="4" t="str" cm="1">
        <f t="array" aca="1" ref="L146" ca="1">_xlfn.LET(_xlpm.link,IFERROR(INDEX(_xlfn.ANCHORARRAY($AA$11),ROW()-10,12),""),IF(_xlpm.link="","",HYPERLINK(_xlpm.link,"Bluecore/Attentive")))</f>
        <v/>
      </c>
      <c r="M146" s="58" t="str">
        <f t="shared" ca="1" si="14"/>
        <v/>
      </c>
      <c r="N146" s="7"/>
      <c r="O146" s="7"/>
      <c r="P146" s="7"/>
      <c r="Q146" s="7"/>
      <c r="R146" s="7"/>
      <c r="S146" s="6"/>
      <c r="T146" s="6"/>
      <c r="U146" s="6"/>
      <c r="V146" s="6"/>
      <c r="W146" s="6"/>
      <c r="X146" s="6"/>
      <c r="Y146" s="6"/>
      <c r="Z146" s="6"/>
      <c r="AA146" s="32"/>
      <c r="AB146"/>
      <c r="AC146"/>
      <c r="AD146"/>
      <c r="AE146"/>
      <c r="AF146"/>
      <c r="AG146"/>
      <c r="AH146"/>
      <c r="AI146"/>
      <c r="AJ146"/>
      <c r="AK146"/>
      <c r="AL146"/>
    </row>
    <row r="147" spans="1:38">
      <c r="A147" s="34" t="str" cm="1">
        <f t="array" aca="1" ref="A147" ca="1">IFERROR(INDEX(_xlfn.ANCHORARRAY($AA$11),ROW()-10,1),"")</f>
        <v/>
      </c>
      <c r="B147" s="20" t="str" cm="1">
        <f t="array" aca="1" ref="B147" ca="1">IFERROR(INDEX(_xlfn.ANCHORARRAY($AA$11),ROW()-10,2),"")</f>
        <v/>
      </c>
      <c r="C147" s="4" t="str" cm="1">
        <f t="array" aca="1" ref="C147" ca="1">IFERROR(INDEX(_xlfn.ANCHORARRAY($AA$11),ROW()-10,3),"")</f>
        <v/>
      </c>
      <c r="D147" s="15" t="str" cm="1">
        <f t="array" aca="1" ref="D147" ca="1">IFERROR(INDEX(_xlfn.ANCHORARRAY($AA$11),ROW()-10,4),"")</f>
        <v/>
      </c>
      <c r="E147" s="4" t="str" cm="1">
        <f t="array" aca="1" ref="E147" ca="1">IFERROR(INDEX(_xlfn.ANCHORARRAY($AA$11),ROW()-10,5),"")</f>
        <v/>
      </c>
      <c r="F147" s="15" t="str" cm="1">
        <f t="array" aca="1" ref="F147" ca="1">IFERROR(INDEX(_xlfn.ANCHORARRAY($AA$11),ROW()-10,6),"")</f>
        <v/>
      </c>
      <c r="G147" s="4" t="str" cm="1">
        <f t="array" aca="1" ref="G147" ca="1">IFERROR(INDEX(_xlfn.ANCHORARRAY($AA$11),ROW()-10,7),"")</f>
        <v/>
      </c>
      <c r="H147" s="4" t="str" cm="1">
        <f t="array" aca="1" ref="H147" ca="1">IFERROR(INDEX(_xlfn.ANCHORARRAY($AA$11),ROW()-10,8),"")</f>
        <v/>
      </c>
      <c r="I147" s="4" t="str" cm="1">
        <f t="array" aca="1" ref="I147" ca="1">IFERROR(INDEX(_xlfn.ANCHORARRAY($AA$11),ROW()-10,9),"")</f>
        <v/>
      </c>
      <c r="J147" s="4" t="str">
        <f t="shared" ca="1" si="12"/>
        <v/>
      </c>
      <c r="K147" s="4" t="str">
        <f t="shared" ca="1" si="13"/>
        <v/>
      </c>
      <c r="L147" s="4" t="str" cm="1">
        <f t="array" aca="1" ref="L147" ca="1">_xlfn.LET(_xlpm.link,IFERROR(INDEX(_xlfn.ANCHORARRAY($AA$11),ROW()-10,12),""),IF(_xlpm.link="","",HYPERLINK(_xlpm.link,"Bluecore/Attentive")))</f>
        <v/>
      </c>
      <c r="M147" s="57" t="str">
        <f t="shared" ca="1" si="14"/>
        <v/>
      </c>
      <c r="N147" s="7"/>
      <c r="O147" s="7"/>
      <c r="P147" s="7"/>
      <c r="Q147" s="7"/>
      <c r="R147" s="7"/>
      <c r="S147" s="6"/>
      <c r="T147" s="6"/>
      <c r="U147" s="6"/>
      <c r="V147" s="6"/>
      <c r="W147" s="6"/>
      <c r="X147" s="6"/>
      <c r="Y147" s="6"/>
      <c r="Z147" s="6"/>
      <c r="AA147" s="32"/>
      <c r="AB147"/>
      <c r="AC147"/>
      <c r="AD147"/>
      <c r="AE147"/>
      <c r="AF147"/>
      <c r="AG147"/>
      <c r="AH147"/>
      <c r="AI147"/>
      <c r="AJ147"/>
      <c r="AK147"/>
      <c r="AL147"/>
    </row>
    <row r="148" spans="1:38">
      <c r="A148" s="34" t="str" cm="1">
        <f t="array" aca="1" ref="A148" ca="1">IFERROR(INDEX(_xlfn.ANCHORARRAY($AA$11),ROW()-10,1),"")</f>
        <v/>
      </c>
      <c r="B148" s="20" t="str" cm="1">
        <f t="array" aca="1" ref="B148" ca="1">IFERROR(INDEX(_xlfn.ANCHORARRAY($AA$11),ROW()-10,2),"")</f>
        <v/>
      </c>
      <c r="C148" s="4" t="str" cm="1">
        <f t="array" aca="1" ref="C148" ca="1">IFERROR(INDEX(_xlfn.ANCHORARRAY($AA$11),ROW()-10,3),"")</f>
        <v/>
      </c>
      <c r="D148" s="15" t="str" cm="1">
        <f t="array" aca="1" ref="D148" ca="1">IFERROR(INDEX(_xlfn.ANCHORARRAY($AA$11),ROW()-10,4),"")</f>
        <v/>
      </c>
      <c r="E148" s="4" t="str" cm="1">
        <f t="array" aca="1" ref="E148" ca="1">IFERROR(INDEX(_xlfn.ANCHORARRAY($AA$11),ROW()-10,5),"")</f>
        <v/>
      </c>
      <c r="F148" s="15" t="str" cm="1">
        <f t="array" aca="1" ref="F148" ca="1">IFERROR(INDEX(_xlfn.ANCHORARRAY($AA$11),ROW()-10,6),"")</f>
        <v/>
      </c>
      <c r="G148" s="4" t="str" cm="1">
        <f t="array" aca="1" ref="G148" ca="1">IFERROR(INDEX(_xlfn.ANCHORARRAY($AA$11),ROW()-10,7),"")</f>
        <v/>
      </c>
      <c r="H148" s="4" t="str" cm="1">
        <f t="array" aca="1" ref="H148" ca="1">IFERROR(INDEX(_xlfn.ANCHORARRAY($AA$11),ROW()-10,8),"")</f>
        <v/>
      </c>
      <c r="I148" s="4" t="str" cm="1">
        <f t="array" aca="1" ref="I148" ca="1">IFERROR(INDEX(_xlfn.ANCHORARRAY($AA$11),ROW()-10,9),"")</f>
        <v/>
      </c>
      <c r="J148" s="4" t="str">
        <f t="shared" ca="1" si="12"/>
        <v/>
      </c>
      <c r="K148" s="4" t="str">
        <f t="shared" ca="1" si="13"/>
        <v/>
      </c>
      <c r="L148" s="4" t="str" cm="1">
        <f t="array" aca="1" ref="L148" ca="1">_xlfn.LET(_xlpm.link,IFERROR(INDEX(_xlfn.ANCHORARRAY($AA$11),ROW()-10,12),""),IF(_xlpm.link="","",HYPERLINK(_xlpm.link,"Bluecore/Attentive")))</f>
        <v/>
      </c>
      <c r="M148" s="58" t="str">
        <f t="shared" ca="1" si="14"/>
        <v/>
      </c>
      <c r="N148" s="7"/>
      <c r="O148" s="7"/>
      <c r="P148" s="7"/>
      <c r="Q148" s="7"/>
      <c r="R148" s="7"/>
      <c r="S148" s="6"/>
      <c r="T148" s="6"/>
      <c r="U148" s="6"/>
      <c r="V148" s="6"/>
      <c r="W148" s="6"/>
      <c r="X148" s="6"/>
      <c r="Y148" s="6"/>
      <c r="Z148" s="6"/>
      <c r="AA148" s="32"/>
      <c r="AB148"/>
      <c r="AC148"/>
      <c r="AD148"/>
      <c r="AE148"/>
      <c r="AF148"/>
      <c r="AG148"/>
      <c r="AH148"/>
      <c r="AI148"/>
      <c r="AJ148"/>
      <c r="AK148"/>
      <c r="AL148"/>
    </row>
    <row r="149" spans="1:38">
      <c r="A149" s="34" t="str" cm="1">
        <f t="array" aca="1" ref="A149" ca="1">IFERROR(INDEX(_xlfn.ANCHORARRAY($AA$11),ROW()-10,1),"")</f>
        <v/>
      </c>
      <c r="B149" s="20" t="str" cm="1">
        <f t="array" aca="1" ref="B149" ca="1">IFERROR(INDEX(_xlfn.ANCHORARRAY($AA$11),ROW()-10,2),"")</f>
        <v/>
      </c>
      <c r="C149" s="4" t="str" cm="1">
        <f t="array" aca="1" ref="C149" ca="1">IFERROR(INDEX(_xlfn.ANCHORARRAY($AA$11),ROW()-10,3),"")</f>
        <v/>
      </c>
      <c r="D149" s="15" t="str" cm="1">
        <f t="array" aca="1" ref="D149" ca="1">IFERROR(INDEX(_xlfn.ANCHORARRAY($AA$11),ROW()-10,4),"")</f>
        <v/>
      </c>
      <c r="E149" s="4" t="str" cm="1">
        <f t="array" aca="1" ref="E149" ca="1">IFERROR(INDEX(_xlfn.ANCHORARRAY($AA$11),ROW()-10,5),"")</f>
        <v/>
      </c>
      <c r="F149" s="15" t="str" cm="1">
        <f t="array" aca="1" ref="F149" ca="1">IFERROR(INDEX(_xlfn.ANCHORARRAY($AA$11),ROW()-10,6),"")</f>
        <v/>
      </c>
      <c r="G149" s="4" t="str" cm="1">
        <f t="array" aca="1" ref="G149" ca="1">IFERROR(INDEX(_xlfn.ANCHORARRAY($AA$11),ROW()-10,7),"")</f>
        <v/>
      </c>
      <c r="H149" s="4" t="str" cm="1">
        <f t="array" aca="1" ref="H149" ca="1">IFERROR(INDEX(_xlfn.ANCHORARRAY($AA$11),ROW()-10,8),"")</f>
        <v/>
      </c>
      <c r="I149" s="4" t="str" cm="1">
        <f t="array" aca="1" ref="I149" ca="1">IFERROR(INDEX(_xlfn.ANCHORARRAY($AA$11),ROW()-10,9),"")</f>
        <v/>
      </c>
      <c r="J149" s="4" t="str">
        <f t="shared" ca="1" si="12"/>
        <v/>
      </c>
      <c r="K149" s="4" t="str">
        <f t="shared" ca="1" si="13"/>
        <v/>
      </c>
      <c r="L149" s="4" t="str" cm="1">
        <f t="array" aca="1" ref="L149" ca="1">_xlfn.LET(_xlpm.link,IFERROR(INDEX(_xlfn.ANCHORARRAY($AA$11),ROW()-10,12),""),IF(_xlpm.link="","",HYPERLINK(_xlpm.link,"Bluecore/Attentive")))</f>
        <v/>
      </c>
      <c r="M149" s="57" t="str">
        <f t="shared" ca="1" si="14"/>
        <v/>
      </c>
      <c r="N149" s="7"/>
      <c r="O149" s="7"/>
      <c r="P149" s="7"/>
      <c r="Q149" s="7"/>
      <c r="R149" s="7"/>
      <c r="S149" s="6"/>
      <c r="T149" s="6"/>
      <c r="U149" s="6"/>
      <c r="V149" s="6"/>
      <c r="W149" s="6"/>
      <c r="X149" s="6"/>
      <c r="Y149" s="6"/>
      <c r="Z149" s="6"/>
      <c r="AA149" s="32"/>
      <c r="AB149"/>
      <c r="AC149"/>
      <c r="AD149"/>
      <c r="AE149"/>
      <c r="AF149"/>
      <c r="AG149"/>
      <c r="AH149"/>
      <c r="AI149"/>
      <c r="AJ149"/>
      <c r="AK149"/>
      <c r="AL149"/>
    </row>
    <row r="150" spans="1:38">
      <c r="A150" s="34" t="str" cm="1">
        <f t="array" aca="1" ref="A150" ca="1">IFERROR(INDEX(_xlfn.ANCHORARRAY($AA$11),ROW()-10,1),"")</f>
        <v/>
      </c>
      <c r="B150" s="20" t="str" cm="1">
        <f t="array" aca="1" ref="B150" ca="1">IFERROR(INDEX(_xlfn.ANCHORARRAY($AA$11),ROW()-10,2),"")</f>
        <v/>
      </c>
      <c r="C150" s="4" t="str" cm="1">
        <f t="array" aca="1" ref="C150" ca="1">IFERROR(INDEX(_xlfn.ANCHORARRAY($AA$11),ROW()-10,3),"")</f>
        <v/>
      </c>
      <c r="D150" s="15" t="str" cm="1">
        <f t="array" aca="1" ref="D150" ca="1">IFERROR(INDEX(_xlfn.ANCHORARRAY($AA$11),ROW()-10,4),"")</f>
        <v/>
      </c>
      <c r="E150" s="4" t="str" cm="1">
        <f t="array" aca="1" ref="E150" ca="1">IFERROR(INDEX(_xlfn.ANCHORARRAY($AA$11),ROW()-10,5),"")</f>
        <v/>
      </c>
      <c r="F150" s="15" t="str" cm="1">
        <f t="array" aca="1" ref="F150" ca="1">IFERROR(INDEX(_xlfn.ANCHORARRAY($AA$11),ROW()-10,6),"")</f>
        <v/>
      </c>
      <c r="G150" s="4" t="str" cm="1">
        <f t="array" aca="1" ref="G150" ca="1">IFERROR(INDEX(_xlfn.ANCHORARRAY($AA$11),ROW()-10,7),"")</f>
        <v/>
      </c>
      <c r="H150" s="4" t="str" cm="1">
        <f t="array" aca="1" ref="H150" ca="1">IFERROR(INDEX(_xlfn.ANCHORARRAY($AA$11),ROW()-10,8),"")</f>
        <v/>
      </c>
      <c r="I150" s="4" t="str" cm="1">
        <f t="array" aca="1" ref="I150" ca="1">IFERROR(INDEX(_xlfn.ANCHORARRAY($AA$11),ROW()-10,9),"")</f>
        <v/>
      </c>
      <c r="J150" s="4" t="str">
        <f t="shared" ca="1" si="12"/>
        <v/>
      </c>
      <c r="K150" s="4" t="str">
        <f t="shared" ca="1" si="13"/>
        <v/>
      </c>
      <c r="L150" s="4" t="str" cm="1">
        <f t="array" aca="1" ref="L150" ca="1">_xlfn.LET(_xlpm.link,IFERROR(INDEX(_xlfn.ANCHORARRAY($AA$11),ROW()-10,12),""),IF(_xlpm.link="","",HYPERLINK(_xlpm.link,"Bluecore/Attentive")))</f>
        <v/>
      </c>
      <c r="M150" s="58" t="str">
        <f t="shared" ca="1" si="14"/>
        <v/>
      </c>
      <c r="N150" s="7"/>
      <c r="O150" s="7"/>
      <c r="P150" s="7"/>
      <c r="Q150" s="7"/>
      <c r="R150" s="7"/>
      <c r="S150" s="6"/>
      <c r="T150" s="6"/>
      <c r="U150" s="6"/>
      <c r="V150" s="6"/>
      <c r="W150" s="6"/>
      <c r="X150" s="6"/>
      <c r="Y150" s="6"/>
      <c r="Z150" s="6"/>
      <c r="AA150" s="32"/>
      <c r="AB150"/>
      <c r="AC150"/>
      <c r="AD150"/>
      <c r="AE150"/>
      <c r="AF150"/>
      <c r="AG150"/>
      <c r="AH150"/>
      <c r="AI150"/>
      <c r="AJ150"/>
      <c r="AK150"/>
      <c r="AL150"/>
    </row>
    <row r="151" spans="1:38">
      <c r="A151" s="34" t="str" cm="1">
        <f t="array" aca="1" ref="A151" ca="1">IFERROR(INDEX(_xlfn.ANCHORARRAY($AA$11),ROW()-10,1),"")</f>
        <v/>
      </c>
      <c r="B151" s="20" t="str" cm="1">
        <f t="array" aca="1" ref="B151" ca="1">IFERROR(INDEX(_xlfn.ANCHORARRAY($AA$11),ROW()-10,2),"")</f>
        <v/>
      </c>
      <c r="C151" s="4" t="str" cm="1">
        <f t="array" aca="1" ref="C151" ca="1">IFERROR(INDEX(_xlfn.ANCHORARRAY($AA$11),ROW()-10,3),"")</f>
        <v/>
      </c>
      <c r="D151" s="15" t="str" cm="1">
        <f t="array" aca="1" ref="D151" ca="1">IFERROR(INDEX(_xlfn.ANCHORARRAY($AA$11),ROW()-10,4),"")</f>
        <v/>
      </c>
      <c r="E151" s="4" t="str" cm="1">
        <f t="array" aca="1" ref="E151" ca="1">IFERROR(INDEX(_xlfn.ANCHORARRAY($AA$11),ROW()-10,5),"")</f>
        <v/>
      </c>
      <c r="F151" s="15" t="str" cm="1">
        <f t="array" aca="1" ref="F151" ca="1">IFERROR(INDEX(_xlfn.ANCHORARRAY($AA$11),ROW()-10,6),"")</f>
        <v/>
      </c>
      <c r="G151" s="4" t="str" cm="1">
        <f t="array" aca="1" ref="G151" ca="1">IFERROR(INDEX(_xlfn.ANCHORARRAY($AA$11),ROW()-10,7),"")</f>
        <v/>
      </c>
      <c r="H151" s="4" t="str" cm="1">
        <f t="array" aca="1" ref="H151" ca="1">IFERROR(INDEX(_xlfn.ANCHORARRAY($AA$11),ROW()-10,8),"")</f>
        <v/>
      </c>
      <c r="I151" s="4" t="str" cm="1">
        <f t="array" aca="1" ref="I151" ca="1">IFERROR(INDEX(_xlfn.ANCHORARRAY($AA$11),ROW()-10,9),"")</f>
        <v/>
      </c>
      <c r="J151" s="4" t="str">
        <f t="shared" ca="1" si="12"/>
        <v/>
      </c>
      <c r="K151" s="4" t="str">
        <f t="shared" ca="1" si="13"/>
        <v/>
      </c>
      <c r="L151" s="4" t="str" cm="1">
        <f t="array" aca="1" ref="L151" ca="1">_xlfn.LET(_xlpm.link,IFERROR(INDEX(_xlfn.ANCHORARRAY($AA$11),ROW()-10,12),""),IF(_xlpm.link="","",HYPERLINK(_xlpm.link,"Bluecore/Attentive")))</f>
        <v/>
      </c>
      <c r="M151" s="57" t="str">
        <f t="shared" ca="1" si="14"/>
        <v/>
      </c>
      <c r="N151" s="7"/>
      <c r="O151" s="7"/>
      <c r="P151" s="7"/>
      <c r="Q151" s="7"/>
      <c r="R151" s="7"/>
      <c r="S151" s="6"/>
      <c r="T151" s="6"/>
      <c r="U151" s="6"/>
      <c r="V151" s="6"/>
      <c r="W151" s="6"/>
      <c r="X151" s="6"/>
      <c r="Y151" s="6"/>
      <c r="Z151" s="6"/>
      <c r="AA151" s="32"/>
      <c r="AB151"/>
      <c r="AC151"/>
      <c r="AD151"/>
      <c r="AE151"/>
      <c r="AF151"/>
      <c r="AG151"/>
      <c r="AH151"/>
      <c r="AI151"/>
      <c r="AJ151"/>
      <c r="AK151"/>
      <c r="AL151"/>
    </row>
    <row r="152" spans="1:38">
      <c r="A152" s="34" t="str" cm="1">
        <f t="array" aca="1" ref="A152" ca="1">IFERROR(INDEX(_xlfn.ANCHORARRAY($AA$11),ROW()-10,1),"")</f>
        <v/>
      </c>
      <c r="B152" s="20" t="str" cm="1">
        <f t="array" aca="1" ref="B152" ca="1">IFERROR(INDEX(_xlfn.ANCHORARRAY($AA$11),ROW()-10,2),"")</f>
        <v/>
      </c>
      <c r="C152" s="4" t="str" cm="1">
        <f t="array" aca="1" ref="C152" ca="1">IFERROR(INDEX(_xlfn.ANCHORARRAY($AA$11),ROW()-10,3),"")</f>
        <v/>
      </c>
      <c r="D152" s="15" t="str" cm="1">
        <f t="array" aca="1" ref="D152" ca="1">IFERROR(INDEX(_xlfn.ANCHORARRAY($AA$11),ROW()-10,4),"")</f>
        <v/>
      </c>
      <c r="E152" s="4" t="str" cm="1">
        <f t="array" aca="1" ref="E152" ca="1">IFERROR(INDEX(_xlfn.ANCHORARRAY($AA$11),ROW()-10,5),"")</f>
        <v/>
      </c>
      <c r="F152" s="15" t="str" cm="1">
        <f t="array" aca="1" ref="F152" ca="1">IFERROR(INDEX(_xlfn.ANCHORARRAY($AA$11),ROW()-10,6),"")</f>
        <v/>
      </c>
      <c r="G152" s="4" t="str" cm="1">
        <f t="array" aca="1" ref="G152" ca="1">IFERROR(INDEX(_xlfn.ANCHORARRAY($AA$11),ROW()-10,7),"")</f>
        <v/>
      </c>
      <c r="H152" s="4" t="str" cm="1">
        <f t="array" aca="1" ref="H152" ca="1">IFERROR(INDEX(_xlfn.ANCHORARRAY($AA$11),ROW()-10,8),"")</f>
        <v/>
      </c>
      <c r="I152" s="4" t="str" cm="1">
        <f t="array" aca="1" ref="I152" ca="1">IFERROR(INDEX(_xlfn.ANCHORARRAY($AA$11),ROW()-10,9),"")</f>
        <v/>
      </c>
      <c r="J152" s="4" t="str">
        <f t="shared" ca="1" si="12"/>
        <v/>
      </c>
      <c r="K152" s="4" t="str">
        <f t="shared" ca="1" si="13"/>
        <v/>
      </c>
      <c r="L152" s="4" t="str" cm="1">
        <f t="array" aca="1" ref="L152" ca="1">_xlfn.LET(_xlpm.link,IFERROR(INDEX(_xlfn.ANCHORARRAY($AA$11),ROW()-10,12),""),IF(_xlpm.link="","",HYPERLINK(_xlpm.link,"Bluecore/Attentive")))</f>
        <v/>
      </c>
      <c r="M152" s="58" t="str">
        <f t="shared" ca="1" si="14"/>
        <v/>
      </c>
      <c r="N152" s="7"/>
      <c r="O152" s="7"/>
      <c r="P152" s="7"/>
      <c r="Q152" s="7"/>
      <c r="R152" s="7"/>
      <c r="S152" s="6"/>
      <c r="T152" s="6"/>
      <c r="U152" s="6"/>
      <c r="V152" s="6"/>
      <c r="W152" s="6"/>
      <c r="X152" s="6"/>
      <c r="Y152" s="6"/>
      <c r="Z152" s="6"/>
      <c r="AA152" s="32"/>
      <c r="AB152"/>
      <c r="AC152"/>
      <c r="AD152"/>
      <c r="AE152"/>
      <c r="AF152"/>
      <c r="AG152"/>
      <c r="AH152"/>
      <c r="AI152"/>
      <c r="AJ152"/>
      <c r="AK152"/>
      <c r="AL152"/>
    </row>
    <row r="153" spans="1:38">
      <c r="A153" s="34" t="str" cm="1">
        <f t="array" aca="1" ref="A153" ca="1">IFERROR(INDEX(_xlfn.ANCHORARRAY($AA$11),ROW()-10,1),"")</f>
        <v/>
      </c>
      <c r="B153" s="20" t="str" cm="1">
        <f t="array" aca="1" ref="B153" ca="1">IFERROR(INDEX(_xlfn.ANCHORARRAY($AA$11),ROW()-10,2),"")</f>
        <v/>
      </c>
      <c r="C153" s="4" t="str" cm="1">
        <f t="array" aca="1" ref="C153" ca="1">IFERROR(INDEX(_xlfn.ANCHORARRAY($AA$11),ROW()-10,3),"")</f>
        <v/>
      </c>
      <c r="D153" s="15" t="str" cm="1">
        <f t="array" aca="1" ref="D153" ca="1">IFERROR(INDEX(_xlfn.ANCHORARRAY($AA$11),ROW()-10,4),"")</f>
        <v/>
      </c>
      <c r="E153" s="4" t="str" cm="1">
        <f t="array" aca="1" ref="E153" ca="1">IFERROR(INDEX(_xlfn.ANCHORARRAY($AA$11),ROW()-10,5),"")</f>
        <v/>
      </c>
      <c r="F153" s="15" t="str" cm="1">
        <f t="array" aca="1" ref="F153" ca="1">IFERROR(INDEX(_xlfn.ANCHORARRAY($AA$11),ROW()-10,6),"")</f>
        <v/>
      </c>
      <c r="G153" s="4" t="str" cm="1">
        <f t="array" aca="1" ref="G153" ca="1">IFERROR(INDEX(_xlfn.ANCHORARRAY($AA$11),ROW()-10,7),"")</f>
        <v/>
      </c>
      <c r="H153" s="4" t="str" cm="1">
        <f t="array" aca="1" ref="H153" ca="1">IFERROR(INDEX(_xlfn.ANCHORARRAY($AA$11),ROW()-10,8),"")</f>
        <v/>
      </c>
      <c r="I153" s="4" t="str" cm="1">
        <f t="array" aca="1" ref="I153" ca="1">IFERROR(INDEX(_xlfn.ANCHORARRAY($AA$11),ROW()-10,9),"")</f>
        <v/>
      </c>
      <c r="J153" s="4" t="str">
        <f t="shared" ca="1" si="12"/>
        <v/>
      </c>
      <c r="K153" s="4" t="str">
        <f t="shared" ca="1" si="13"/>
        <v/>
      </c>
      <c r="L153" s="4" t="str" cm="1">
        <f t="array" aca="1" ref="L153" ca="1">_xlfn.LET(_xlpm.link,IFERROR(INDEX(_xlfn.ANCHORARRAY($AA$11),ROW()-10,12),""),IF(_xlpm.link="","",HYPERLINK(_xlpm.link,"Bluecore/Attentive")))</f>
        <v/>
      </c>
      <c r="M153" s="57" t="str">
        <f t="shared" ca="1" si="14"/>
        <v/>
      </c>
      <c r="N153" s="7"/>
      <c r="O153" s="7"/>
      <c r="P153" s="7"/>
      <c r="Q153" s="7"/>
      <c r="R153" s="7"/>
      <c r="S153" s="6"/>
      <c r="T153" s="6"/>
      <c r="U153" s="6"/>
      <c r="V153" s="6"/>
      <c r="W153" s="6"/>
      <c r="X153" s="6"/>
      <c r="Y153" s="6"/>
      <c r="Z153" s="6"/>
      <c r="AA153" s="32"/>
      <c r="AB153"/>
      <c r="AC153"/>
      <c r="AD153"/>
      <c r="AE153"/>
      <c r="AF153"/>
      <c r="AG153"/>
      <c r="AH153"/>
      <c r="AI153"/>
      <c r="AJ153"/>
      <c r="AK153"/>
      <c r="AL153"/>
    </row>
    <row r="154" spans="1:38">
      <c r="A154" s="34" t="str" cm="1">
        <f t="array" aca="1" ref="A154" ca="1">IFERROR(INDEX(_xlfn.ANCHORARRAY($AA$11),ROW()-10,1),"")</f>
        <v/>
      </c>
      <c r="B154" s="20" t="str" cm="1">
        <f t="array" aca="1" ref="B154" ca="1">IFERROR(INDEX(_xlfn.ANCHORARRAY($AA$11),ROW()-10,2),"")</f>
        <v/>
      </c>
      <c r="C154" s="4" t="str" cm="1">
        <f t="array" aca="1" ref="C154" ca="1">IFERROR(INDEX(_xlfn.ANCHORARRAY($AA$11),ROW()-10,3),"")</f>
        <v/>
      </c>
      <c r="D154" s="15" t="str" cm="1">
        <f t="array" aca="1" ref="D154" ca="1">IFERROR(INDEX(_xlfn.ANCHORARRAY($AA$11),ROW()-10,4),"")</f>
        <v/>
      </c>
      <c r="E154" s="4" t="str" cm="1">
        <f t="array" aca="1" ref="E154" ca="1">IFERROR(INDEX(_xlfn.ANCHORARRAY($AA$11),ROW()-10,5),"")</f>
        <v/>
      </c>
      <c r="F154" s="15" t="str" cm="1">
        <f t="array" aca="1" ref="F154" ca="1">IFERROR(INDEX(_xlfn.ANCHORARRAY($AA$11),ROW()-10,6),"")</f>
        <v/>
      </c>
      <c r="G154" s="4" t="str" cm="1">
        <f t="array" aca="1" ref="G154" ca="1">IFERROR(INDEX(_xlfn.ANCHORARRAY($AA$11),ROW()-10,7),"")</f>
        <v/>
      </c>
      <c r="H154" s="4" t="str" cm="1">
        <f t="array" aca="1" ref="H154" ca="1">IFERROR(INDEX(_xlfn.ANCHORARRAY($AA$11),ROW()-10,8),"")</f>
        <v/>
      </c>
      <c r="I154" s="4" t="str" cm="1">
        <f t="array" aca="1" ref="I154" ca="1">IFERROR(INDEX(_xlfn.ANCHORARRAY($AA$11),ROW()-10,9),"")</f>
        <v/>
      </c>
      <c r="J154" s="4" t="str">
        <f t="shared" ca="1" si="12"/>
        <v/>
      </c>
      <c r="K154" s="4" t="str">
        <f t="shared" ca="1" si="13"/>
        <v/>
      </c>
      <c r="L154" s="4" t="str" cm="1">
        <f t="array" aca="1" ref="L154" ca="1">_xlfn.LET(_xlpm.link,IFERROR(INDEX(_xlfn.ANCHORARRAY($AA$11),ROW()-10,12),""),IF(_xlpm.link="","",HYPERLINK(_xlpm.link,"Bluecore/Attentive")))</f>
        <v/>
      </c>
      <c r="M154" s="58" t="str">
        <f t="shared" ca="1" si="14"/>
        <v/>
      </c>
      <c r="N154" s="7"/>
      <c r="O154" s="7"/>
      <c r="P154" s="7"/>
      <c r="Q154" s="7"/>
      <c r="R154" s="7"/>
      <c r="S154" s="6"/>
      <c r="T154" s="6"/>
      <c r="U154" s="6"/>
      <c r="V154" s="6"/>
      <c r="W154" s="6"/>
      <c r="X154" s="6"/>
      <c r="Y154" s="6"/>
      <c r="Z154" s="6"/>
      <c r="AA154" s="32"/>
      <c r="AB154"/>
      <c r="AC154"/>
      <c r="AD154"/>
      <c r="AE154"/>
      <c r="AF154"/>
      <c r="AG154"/>
      <c r="AH154"/>
      <c r="AI154"/>
      <c r="AJ154"/>
      <c r="AK154"/>
      <c r="AL154"/>
    </row>
    <row r="155" spans="1:38">
      <c r="A155" s="34" t="str" cm="1">
        <f t="array" aca="1" ref="A155" ca="1">IFERROR(INDEX(_xlfn.ANCHORARRAY($AA$11),ROW()-10,1),"")</f>
        <v/>
      </c>
      <c r="B155" s="20" t="str" cm="1">
        <f t="array" aca="1" ref="B155" ca="1">IFERROR(INDEX(_xlfn.ANCHORARRAY($AA$11),ROW()-10,2),"")</f>
        <v/>
      </c>
      <c r="C155" s="4" t="str" cm="1">
        <f t="array" aca="1" ref="C155" ca="1">IFERROR(INDEX(_xlfn.ANCHORARRAY($AA$11),ROW()-10,3),"")</f>
        <v/>
      </c>
      <c r="D155" s="15" t="str" cm="1">
        <f t="array" aca="1" ref="D155" ca="1">IFERROR(INDEX(_xlfn.ANCHORARRAY($AA$11),ROW()-10,4),"")</f>
        <v/>
      </c>
      <c r="E155" s="4" t="str" cm="1">
        <f t="array" aca="1" ref="E155" ca="1">IFERROR(INDEX(_xlfn.ANCHORARRAY($AA$11),ROW()-10,5),"")</f>
        <v/>
      </c>
      <c r="F155" s="15" t="str" cm="1">
        <f t="array" aca="1" ref="F155" ca="1">IFERROR(INDEX(_xlfn.ANCHORARRAY($AA$11),ROW()-10,6),"")</f>
        <v/>
      </c>
      <c r="G155" s="4" t="str" cm="1">
        <f t="array" aca="1" ref="G155" ca="1">IFERROR(INDEX(_xlfn.ANCHORARRAY($AA$11),ROW()-10,7),"")</f>
        <v/>
      </c>
      <c r="H155" s="4" t="str" cm="1">
        <f t="array" aca="1" ref="H155" ca="1">IFERROR(INDEX(_xlfn.ANCHORARRAY($AA$11),ROW()-10,8),"")</f>
        <v/>
      </c>
      <c r="I155" s="4" t="str" cm="1">
        <f t="array" aca="1" ref="I155" ca="1">IFERROR(INDEX(_xlfn.ANCHORARRAY($AA$11),ROW()-10,9),"")</f>
        <v/>
      </c>
      <c r="J155" s="4" t="str">
        <f t="shared" ca="1" si="12"/>
        <v/>
      </c>
      <c r="K155" s="4" t="str">
        <f t="shared" ca="1" si="13"/>
        <v/>
      </c>
      <c r="L155" s="4" t="str" cm="1">
        <f t="array" aca="1" ref="L155" ca="1">_xlfn.LET(_xlpm.link,IFERROR(INDEX(_xlfn.ANCHORARRAY($AA$11),ROW()-10,12),""),IF(_xlpm.link="","",HYPERLINK(_xlpm.link,"Bluecore/Attentive")))</f>
        <v/>
      </c>
      <c r="M155" s="57" t="str">
        <f t="shared" ca="1" si="14"/>
        <v/>
      </c>
      <c r="N155" s="7"/>
      <c r="O155" s="7"/>
      <c r="P155" s="7"/>
      <c r="Q155" s="7"/>
      <c r="R155" s="7"/>
      <c r="S155" s="6"/>
      <c r="T155" s="6"/>
      <c r="U155" s="6"/>
      <c r="V155" s="6"/>
      <c r="W155" s="6"/>
      <c r="X155" s="6"/>
      <c r="Y155" s="6"/>
      <c r="Z155" s="6"/>
      <c r="AA155" s="32"/>
      <c r="AB155"/>
      <c r="AC155"/>
      <c r="AD155"/>
      <c r="AE155"/>
      <c r="AF155"/>
      <c r="AG155"/>
      <c r="AH155"/>
      <c r="AI155"/>
      <c r="AJ155"/>
      <c r="AK155"/>
      <c r="AL155"/>
    </row>
    <row r="156" spans="1:38">
      <c r="A156" s="34" t="str" cm="1">
        <f t="array" aca="1" ref="A156" ca="1">IFERROR(INDEX(_xlfn.ANCHORARRAY($AA$11),ROW()-10,1),"")</f>
        <v/>
      </c>
      <c r="B156" s="20" t="str" cm="1">
        <f t="array" aca="1" ref="B156" ca="1">IFERROR(INDEX(_xlfn.ANCHORARRAY($AA$11),ROW()-10,2),"")</f>
        <v/>
      </c>
      <c r="C156" s="4" t="str" cm="1">
        <f t="array" aca="1" ref="C156" ca="1">IFERROR(INDEX(_xlfn.ANCHORARRAY($AA$11),ROW()-10,3),"")</f>
        <v/>
      </c>
      <c r="D156" s="15" t="str" cm="1">
        <f t="array" aca="1" ref="D156" ca="1">IFERROR(INDEX(_xlfn.ANCHORARRAY($AA$11),ROW()-10,4),"")</f>
        <v/>
      </c>
      <c r="E156" s="4" t="str" cm="1">
        <f t="array" aca="1" ref="E156" ca="1">IFERROR(INDEX(_xlfn.ANCHORARRAY($AA$11),ROW()-10,5),"")</f>
        <v/>
      </c>
      <c r="F156" s="15" t="str" cm="1">
        <f t="array" aca="1" ref="F156" ca="1">IFERROR(INDEX(_xlfn.ANCHORARRAY($AA$11),ROW()-10,6),"")</f>
        <v/>
      </c>
      <c r="G156" s="4" t="str" cm="1">
        <f t="array" aca="1" ref="G156" ca="1">IFERROR(INDEX(_xlfn.ANCHORARRAY($AA$11),ROW()-10,7),"")</f>
        <v/>
      </c>
      <c r="H156" s="4" t="str" cm="1">
        <f t="array" aca="1" ref="H156" ca="1">IFERROR(INDEX(_xlfn.ANCHORARRAY($AA$11),ROW()-10,8),"")</f>
        <v/>
      </c>
      <c r="I156" s="4" t="str" cm="1">
        <f t="array" aca="1" ref="I156" ca="1">IFERROR(INDEX(_xlfn.ANCHORARRAY($AA$11),ROW()-10,9),"")</f>
        <v/>
      </c>
      <c r="J156" s="4" t="str">
        <f t="shared" ca="1" si="12"/>
        <v/>
      </c>
      <c r="K156" s="4" t="str">
        <f t="shared" ca="1" si="13"/>
        <v/>
      </c>
      <c r="L156" s="4" t="str" cm="1">
        <f t="array" aca="1" ref="L156" ca="1">_xlfn.LET(_xlpm.link,IFERROR(INDEX(_xlfn.ANCHORARRAY($AA$11),ROW()-10,12),""),IF(_xlpm.link="","",HYPERLINK(_xlpm.link,"Bluecore/Attentive")))</f>
        <v/>
      </c>
      <c r="M156" s="58" t="str">
        <f t="shared" ca="1" si="14"/>
        <v/>
      </c>
      <c r="N156" s="7"/>
      <c r="O156" s="7"/>
      <c r="P156" s="7"/>
      <c r="Q156" s="7"/>
      <c r="R156" s="7"/>
      <c r="S156" s="6"/>
      <c r="T156" s="6"/>
      <c r="U156" s="6"/>
      <c r="V156" s="6"/>
      <c r="W156" s="6"/>
      <c r="X156" s="6"/>
      <c r="Y156" s="6"/>
      <c r="Z156" s="6"/>
      <c r="AA156" s="32"/>
      <c r="AB156"/>
      <c r="AC156"/>
      <c r="AD156"/>
      <c r="AE156"/>
      <c r="AF156"/>
      <c r="AG156"/>
      <c r="AH156"/>
      <c r="AI156"/>
      <c r="AJ156"/>
      <c r="AK156"/>
      <c r="AL156"/>
    </row>
    <row r="157" spans="1:38">
      <c r="A157" s="34" t="str" cm="1">
        <f t="array" aca="1" ref="A157" ca="1">IFERROR(INDEX(_xlfn.ANCHORARRAY($AA$11),ROW()-10,1),"")</f>
        <v/>
      </c>
      <c r="B157" s="20" t="str" cm="1">
        <f t="array" aca="1" ref="B157" ca="1">IFERROR(INDEX(_xlfn.ANCHORARRAY($AA$11),ROW()-10,2),"")</f>
        <v/>
      </c>
      <c r="C157" s="4" t="str" cm="1">
        <f t="array" aca="1" ref="C157" ca="1">IFERROR(INDEX(_xlfn.ANCHORARRAY($AA$11),ROW()-10,3),"")</f>
        <v/>
      </c>
      <c r="D157" s="15" t="str" cm="1">
        <f t="array" aca="1" ref="D157" ca="1">IFERROR(INDEX(_xlfn.ANCHORARRAY($AA$11),ROW()-10,4),"")</f>
        <v/>
      </c>
      <c r="E157" s="4" t="str" cm="1">
        <f t="array" aca="1" ref="E157" ca="1">IFERROR(INDEX(_xlfn.ANCHORARRAY($AA$11),ROW()-10,5),"")</f>
        <v/>
      </c>
      <c r="F157" s="15" t="str" cm="1">
        <f t="array" aca="1" ref="F157" ca="1">IFERROR(INDEX(_xlfn.ANCHORARRAY($AA$11),ROW()-10,6),"")</f>
        <v/>
      </c>
      <c r="G157" s="4" t="str" cm="1">
        <f t="array" aca="1" ref="G157" ca="1">IFERROR(INDEX(_xlfn.ANCHORARRAY($AA$11),ROW()-10,7),"")</f>
        <v/>
      </c>
      <c r="H157" s="4" t="str" cm="1">
        <f t="array" aca="1" ref="H157" ca="1">IFERROR(INDEX(_xlfn.ANCHORARRAY($AA$11),ROW()-10,8),"")</f>
        <v/>
      </c>
      <c r="I157" s="4" t="str" cm="1">
        <f t="array" aca="1" ref="I157" ca="1">IFERROR(INDEX(_xlfn.ANCHORARRAY($AA$11),ROW()-10,9),"")</f>
        <v/>
      </c>
      <c r="J157" s="4" t="str">
        <f t="shared" ca="1" si="12"/>
        <v/>
      </c>
      <c r="K157" s="4" t="str">
        <f t="shared" ca="1" si="13"/>
        <v/>
      </c>
      <c r="L157" s="4" t="str" cm="1">
        <f t="array" aca="1" ref="L157" ca="1">_xlfn.LET(_xlpm.link,IFERROR(INDEX(_xlfn.ANCHORARRAY($AA$11),ROW()-10,12),""),IF(_xlpm.link="","",HYPERLINK(_xlpm.link,"Bluecore/Attentive")))</f>
        <v/>
      </c>
      <c r="M157" s="57" t="str">
        <f t="shared" ca="1" si="14"/>
        <v/>
      </c>
      <c r="N157" s="7"/>
      <c r="O157" s="7"/>
      <c r="P157" s="7"/>
      <c r="Q157" s="7"/>
      <c r="R157" s="7"/>
      <c r="S157" s="6"/>
      <c r="T157" s="6"/>
      <c r="U157" s="6"/>
      <c r="V157" s="6"/>
      <c r="W157" s="6"/>
      <c r="X157" s="6"/>
      <c r="Y157" s="6"/>
      <c r="Z157" s="6"/>
      <c r="AA157" s="32"/>
      <c r="AB157"/>
      <c r="AC157"/>
      <c r="AD157"/>
      <c r="AE157"/>
      <c r="AF157"/>
      <c r="AG157"/>
      <c r="AH157"/>
      <c r="AI157"/>
      <c r="AJ157"/>
      <c r="AK157"/>
      <c r="AL157"/>
    </row>
    <row r="158" spans="1:38">
      <c r="A158" s="34" t="str" cm="1">
        <f t="array" aca="1" ref="A158" ca="1">IFERROR(INDEX(_xlfn.ANCHORARRAY($AA$11),ROW()-10,1),"")</f>
        <v/>
      </c>
      <c r="B158" s="20" t="str" cm="1">
        <f t="array" aca="1" ref="B158" ca="1">IFERROR(INDEX(_xlfn.ANCHORARRAY($AA$11),ROW()-10,2),"")</f>
        <v/>
      </c>
      <c r="C158" s="4" t="str" cm="1">
        <f t="array" aca="1" ref="C158" ca="1">IFERROR(INDEX(_xlfn.ANCHORARRAY($AA$11),ROW()-10,3),"")</f>
        <v/>
      </c>
      <c r="D158" s="15" t="str" cm="1">
        <f t="array" aca="1" ref="D158" ca="1">IFERROR(INDEX(_xlfn.ANCHORARRAY($AA$11),ROW()-10,4),"")</f>
        <v/>
      </c>
      <c r="E158" s="4" t="str" cm="1">
        <f t="array" aca="1" ref="E158" ca="1">IFERROR(INDEX(_xlfn.ANCHORARRAY($AA$11),ROW()-10,5),"")</f>
        <v/>
      </c>
      <c r="F158" s="15" t="str" cm="1">
        <f t="array" aca="1" ref="F158" ca="1">IFERROR(INDEX(_xlfn.ANCHORARRAY($AA$11),ROW()-10,6),"")</f>
        <v/>
      </c>
      <c r="G158" s="4" t="str" cm="1">
        <f t="array" aca="1" ref="G158" ca="1">IFERROR(INDEX(_xlfn.ANCHORARRAY($AA$11),ROW()-10,7),"")</f>
        <v/>
      </c>
      <c r="H158" s="4" t="str" cm="1">
        <f t="array" aca="1" ref="H158" ca="1">IFERROR(INDEX(_xlfn.ANCHORARRAY($AA$11),ROW()-10,8),"")</f>
        <v/>
      </c>
      <c r="I158" s="4" t="str" cm="1">
        <f t="array" aca="1" ref="I158" ca="1">IFERROR(INDEX(_xlfn.ANCHORARRAY($AA$11),ROW()-10,9),"")</f>
        <v/>
      </c>
      <c r="J158" s="4" t="str">
        <f t="shared" ca="1" si="12"/>
        <v/>
      </c>
      <c r="K158" s="4" t="str">
        <f t="shared" ca="1" si="13"/>
        <v/>
      </c>
      <c r="L158" s="4" t="str" cm="1">
        <f t="array" aca="1" ref="L158" ca="1">_xlfn.LET(_xlpm.link,IFERROR(INDEX(_xlfn.ANCHORARRAY($AA$11),ROW()-10,12),""),IF(_xlpm.link="","",HYPERLINK(_xlpm.link,"Bluecore/Attentive")))</f>
        <v/>
      </c>
      <c r="M158" s="58" t="str">
        <f t="shared" ca="1" si="14"/>
        <v/>
      </c>
      <c r="N158" s="7"/>
      <c r="O158" s="7"/>
      <c r="P158" s="7"/>
      <c r="Q158" s="7"/>
      <c r="R158" s="7"/>
      <c r="S158" s="6"/>
      <c r="T158" s="6"/>
      <c r="U158" s="6"/>
      <c r="V158" s="6"/>
      <c r="W158" s="6"/>
      <c r="X158" s="6"/>
      <c r="Y158" s="6"/>
      <c r="Z158" s="6"/>
      <c r="AA158" s="32"/>
      <c r="AB158"/>
      <c r="AC158"/>
      <c r="AD158"/>
      <c r="AE158"/>
      <c r="AF158"/>
      <c r="AG158"/>
      <c r="AH158"/>
      <c r="AI158"/>
      <c r="AJ158"/>
      <c r="AK158"/>
      <c r="AL158"/>
    </row>
    <row r="159" spans="1:38">
      <c r="A159" s="34" t="str" cm="1">
        <f t="array" aca="1" ref="A159" ca="1">IFERROR(INDEX(_xlfn.ANCHORARRAY($AA$11),ROW()-10,1),"")</f>
        <v/>
      </c>
      <c r="B159" s="20" t="str" cm="1">
        <f t="array" aca="1" ref="B159" ca="1">IFERROR(INDEX(_xlfn.ANCHORARRAY($AA$11),ROW()-10,2),"")</f>
        <v/>
      </c>
      <c r="C159" s="4" t="str" cm="1">
        <f t="array" aca="1" ref="C159" ca="1">IFERROR(INDEX(_xlfn.ANCHORARRAY($AA$11),ROW()-10,3),"")</f>
        <v/>
      </c>
      <c r="D159" s="15" t="str" cm="1">
        <f t="array" aca="1" ref="D159" ca="1">IFERROR(INDEX(_xlfn.ANCHORARRAY($AA$11),ROW()-10,4),"")</f>
        <v/>
      </c>
      <c r="E159" s="4" t="str" cm="1">
        <f t="array" aca="1" ref="E159" ca="1">IFERROR(INDEX(_xlfn.ANCHORARRAY($AA$11),ROW()-10,5),"")</f>
        <v/>
      </c>
      <c r="F159" s="15" t="str" cm="1">
        <f t="array" aca="1" ref="F159" ca="1">IFERROR(INDEX(_xlfn.ANCHORARRAY($AA$11),ROW()-10,6),"")</f>
        <v/>
      </c>
      <c r="G159" s="4" t="str" cm="1">
        <f t="array" aca="1" ref="G159" ca="1">IFERROR(INDEX(_xlfn.ANCHORARRAY($AA$11),ROW()-10,7),"")</f>
        <v/>
      </c>
      <c r="H159" s="4" t="str" cm="1">
        <f t="array" aca="1" ref="H159" ca="1">IFERROR(INDEX(_xlfn.ANCHORARRAY($AA$11),ROW()-10,8),"")</f>
        <v/>
      </c>
      <c r="I159" s="4" t="str" cm="1">
        <f t="array" aca="1" ref="I159" ca="1">IFERROR(INDEX(_xlfn.ANCHORARRAY($AA$11),ROW()-10,9),"")</f>
        <v/>
      </c>
      <c r="J159" s="4" t="str">
        <f t="shared" ca="1" si="12"/>
        <v/>
      </c>
      <c r="K159" s="4" t="str">
        <f t="shared" ca="1" si="13"/>
        <v/>
      </c>
      <c r="L159" s="4" t="str" cm="1">
        <f t="array" aca="1" ref="L159" ca="1">_xlfn.LET(_xlpm.link,IFERROR(INDEX(_xlfn.ANCHORARRAY($AA$11),ROW()-10,12),""),IF(_xlpm.link="","",HYPERLINK(_xlpm.link,"Bluecore/Attentive")))</f>
        <v/>
      </c>
      <c r="M159" s="57" t="str">
        <f t="shared" ca="1" si="14"/>
        <v/>
      </c>
      <c r="N159" s="7"/>
      <c r="O159" s="7"/>
      <c r="P159" s="7"/>
      <c r="Q159" s="7"/>
      <c r="R159" s="7"/>
      <c r="S159" s="6"/>
      <c r="T159" s="6"/>
      <c r="U159" s="6"/>
      <c r="V159" s="6"/>
      <c r="W159" s="6"/>
      <c r="X159" s="6"/>
      <c r="Y159" s="6"/>
      <c r="Z159" s="6"/>
      <c r="AA159" s="32"/>
      <c r="AB159"/>
      <c r="AC159"/>
      <c r="AD159"/>
      <c r="AE159"/>
      <c r="AF159"/>
      <c r="AG159"/>
      <c r="AH159"/>
      <c r="AI159"/>
      <c r="AJ159"/>
      <c r="AK159"/>
      <c r="AL159"/>
    </row>
    <row r="160" spans="1:38">
      <c r="A160" s="34" t="str" cm="1">
        <f t="array" aca="1" ref="A160" ca="1">IFERROR(INDEX(_xlfn.ANCHORARRAY($AA$11),ROW()-10,1),"")</f>
        <v/>
      </c>
      <c r="B160" s="20" t="str" cm="1">
        <f t="array" aca="1" ref="B160" ca="1">IFERROR(INDEX(_xlfn.ANCHORARRAY($AA$11),ROW()-10,2),"")</f>
        <v/>
      </c>
      <c r="C160" s="4" t="str" cm="1">
        <f t="array" aca="1" ref="C160" ca="1">IFERROR(INDEX(_xlfn.ANCHORARRAY($AA$11),ROW()-10,3),"")</f>
        <v/>
      </c>
      <c r="D160" s="15" t="str" cm="1">
        <f t="array" aca="1" ref="D160" ca="1">IFERROR(INDEX(_xlfn.ANCHORARRAY($AA$11),ROW()-10,4),"")</f>
        <v/>
      </c>
      <c r="E160" s="4" t="str" cm="1">
        <f t="array" aca="1" ref="E160" ca="1">IFERROR(INDEX(_xlfn.ANCHORARRAY($AA$11),ROW()-10,5),"")</f>
        <v/>
      </c>
      <c r="F160" s="15" t="str" cm="1">
        <f t="array" aca="1" ref="F160" ca="1">IFERROR(INDEX(_xlfn.ANCHORARRAY($AA$11),ROW()-10,6),"")</f>
        <v/>
      </c>
      <c r="G160" s="4" t="str" cm="1">
        <f t="array" aca="1" ref="G160" ca="1">IFERROR(INDEX(_xlfn.ANCHORARRAY($AA$11),ROW()-10,7),"")</f>
        <v/>
      </c>
      <c r="H160" s="4" t="str" cm="1">
        <f t="array" aca="1" ref="H160" ca="1">IFERROR(INDEX(_xlfn.ANCHORARRAY($AA$11),ROW()-10,8),"")</f>
        <v/>
      </c>
      <c r="I160" s="4" t="str" cm="1">
        <f t="array" aca="1" ref="I160" ca="1">IFERROR(INDEX(_xlfn.ANCHORARRAY($AA$11),ROW()-10,9),"")</f>
        <v/>
      </c>
      <c r="J160" s="4" t="str">
        <f t="shared" ca="1" si="12"/>
        <v/>
      </c>
      <c r="K160" s="4" t="str">
        <f t="shared" ca="1" si="13"/>
        <v/>
      </c>
      <c r="L160" s="4" t="str" cm="1">
        <f t="array" aca="1" ref="L160" ca="1">_xlfn.LET(_xlpm.link,IFERROR(INDEX(_xlfn.ANCHORARRAY($AA$11),ROW()-10,12),""),IF(_xlpm.link="","",HYPERLINK(_xlpm.link,"Bluecore/Attentive")))</f>
        <v/>
      </c>
      <c r="M160" s="58" t="str">
        <f t="shared" ca="1" si="14"/>
        <v/>
      </c>
      <c r="N160" s="7"/>
      <c r="O160" s="7"/>
      <c r="P160" s="7"/>
      <c r="Q160" s="7"/>
      <c r="R160" s="7"/>
      <c r="S160" s="6"/>
      <c r="T160" s="6"/>
      <c r="U160" s="6"/>
      <c r="V160" s="6"/>
      <c r="W160" s="6"/>
      <c r="X160" s="6"/>
      <c r="Y160" s="6"/>
      <c r="Z160" s="6"/>
      <c r="AA160" s="32"/>
      <c r="AB160"/>
      <c r="AC160"/>
      <c r="AD160"/>
      <c r="AE160"/>
      <c r="AF160"/>
      <c r="AG160"/>
      <c r="AH160"/>
      <c r="AI160"/>
      <c r="AJ160"/>
      <c r="AK160"/>
      <c r="AL160"/>
    </row>
    <row r="161" spans="1:38">
      <c r="A161" s="28"/>
      <c r="B161" s="20"/>
      <c r="C161" s="15"/>
      <c r="D161" s="15"/>
      <c r="E161" s="15"/>
      <c r="G161" s="15"/>
      <c r="H161" s="15"/>
      <c r="I161" s="15"/>
      <c r="J161" s="15"/>
      <c r="K161" s="15"/>
      <c r="L161" s="15"/>
      <c r="M161" s="7"/>
      <c r="N161" s="7"/>
      <c r="O161" s="7"/>
      <c r="P161" s="7"/>
      <c r="Q161" s="7"/>
      <c r="R161" s="7"/>
      <c r="S161" s="6"/>
      <c r="T161" s="6"/>
      <c r="U161" s="6"/>
      <c r="V161" s="6"/>
      <c r="W161" s="6"/>
      <c r="X161" s="6"/>
      <c r="Y161" s="6"/>
      <c r="Z161" s="6"/>
      <c r="AA161" s="32"/>
      <c r="AB161"/>
      <c r="AC161"/>
      <c r="AD161"/>
      <c r="AE161"/>
      <c r="AF161"/>
      <c r="AG161"/>
      <c r="AH161"/>
      <c r="AI161"/>
      <c r="AJ161"/>
      <c r="AK161"/>
      <c r="AL161"/>
    </row>
    <row r="162" spans="1:38">
      <c r="A162" s="29" t="s">
        <v>32</v>
      </c>
      <c r="B162" s="21" t="s">
        <v>33</v>
      </c>
      <c r="C162" s="35">
        <f ca="1">C5</f>
        <v>0</v>
      </c>
      <c r="D162" s="22" t="s">
        <v>34</v>
      </c>
      <c r="E162" s="15"/>
      <c r="G162" s="15"/>
      <c r="H162" s="15"/>
      <c r="I162" s="15"/>
      <c r="J162" s="15"/>
      <c r="K162" s="15"/>
      <c r="L162" s="15"/>
      <c r="M162" s="7"/>
      <c r="N162" s="7"/>
      <c r="O162" s="7"/>
      <c r="P162" s="7"/>
      <c r="Q162" s="7"/>
      <c r="R162" s="7"/>
      <c r="S162" s="6"/>
      <c r="T162" s="6"/>
      <c r="U162" s="6"/>
      <c r="V162" s="6"/>
      <c r="W162" s="6"/>
      <c r="X162" s="6"/>
      <c r="Y162" s="6"/>
      <c r="Z162" s="6"/>
      <c r="AA162" s="32"/>
      <c r="AB162"/>
      <c r="AC162"/>
      <c r="AD162"/>
      <c r="AE162"/>
      <c r="AF162"/>
      <c r="AG162"/>
      <c r="AH162"/>
      <c r="AI162"/>
      <c r="AJ162"/>
      <c r="AK162"/>
      <c r="AL162"/>
    </row>
    <row r="163" spans="1:38">
      <c r="A163" s="30" t="s">
        <v>8</v>
      </c>
      <c r="B163" s="23" t="s">
        <v>35</v>
      </c>
      <c r="C163" s="36">
        <f>E5</f>
        <v>1</v>
      </c>
      <c r="D163" s="24" t="s">
        <v>36</v>
      </c>
      <c r="E163" s="15"/>
      <c r="G163" s="15"/>
      <c r="H163" s="15"/>
      <c r="I163" s="15"/>
      <c r="J163" s="15"/>
      <c r="K163" s="15"/>
      <c r="L163" s="15"/>
      <c r="M163" s="7"/>
      <c r="N163" s="7"/>
      <c r="O163" s="7"/>
      <c r="P163" s="7"/>
      <c r="Q163" s="7"/>
      <c r="R163" s="7"/>
      <c r="S163" s="6"/>
      <c r="T163" s="6"/>
      <c r="U163" s="6"/>
      <c r="V163" s="6"/>
      <c r="W163" s="6"/>
      <c r="X163" s="6"/>
      <c r="Y163" s="6"/>
      <c r="Z163" s="6"/>
      <c r="AA163" s="32"/>
      <c r="AB163"/>
      <c r="AC163"/>
      <c r="AD163"/>
      <c r="AE163"/>
      <c r="AF163"/>
      <c r="AG163"/>
      <c r="AH163"/>
      <c r="AI163"/>
      <c r="AJ163"/>
      <c r="AK163"/>
      <c r="AL163"/>
    </row>
    <row r="164" spans="1:38">
      <c r="A164" s="31" t="s">
        <v>9</v>
      </c>
      <c r="B164" s="25" t="s">
        <v>35</v>
      </c>
      <c r="C164" s="37">
        <f>G5</f>
        <v>1</v>
      </c>
      <c r="D164" s="26" t="s">
        <v>37</v>
      </c>
      <c r="E164" s="15"/>
      <c r="G164" s="15"/>
      <c r="H164" s="15"/>
      <c r="I164" s="15"/>
      <c r="J164" s="15"/>
      <c r="K164" s="15"/>
      <c r="L164" s="15"/>
      <c r="M164" s="7"/>
      <c r="N164" s="7"/>
      <c r="O164" s="7"/>
      <c r="P164" s="7"/>
      <c r="Q164" s="7"/>
      <c r="R164" s="7"/>
      <c r="S164" s="6"/>
      <c r="T164" s="6"/>
      <c r="U164" s="6"/>
      <c r="V164" s="6"/>
      <c r="W164" s="6"/>
      <c r="X164" s="6"/>
      <c r="Y164" s="6"/>
      <c r="Z164" s="6"/>
      <c r="AA164" s="32"/>
      <c r="AB164"/>
      <c r="AC164"/>
      <c r="AD164"/>
      <c r="AE164"/>
      <c r="AF164"/>
      <c r="AG164"/>
      <c r="AH164"/>
      <c r="AI164"/>
      <c r="AJ164"/>
      <c r="AK164"/>
      <c r="AL164"/>
    </row>
    <row r="165" spans="1:38">
      <c r="A165" s="30" t="s">
        <v>10</v>
      </c>
      <c r="B165" s="23" t="s">
        <v>33</v>
      </c>
      <c r="C165" s="36">
        <f>I5</f>
        <v>2</v>
      </c>
      <c r="D165" s="24" t="s">
        <v>38</v>
      </c>
      <c r="E165" s="15"/>
      <c r="G165" s="15"/>
      <c r="H165" s="15"/>
      <c r="I165" s="15"/>
      <c r="J165" s="15"/>
      <c r="K165" s="15"/>
      <c r="L165" s="15"/>
      <c r="M165" s="7"/>
      <c r="N165" s="7"/>
      <c r="O165" s="7"/>
      <c r="P165" s="7"/>
      <c r="Q165" s="7"/>
      <c r="R165" s="7"/>
      <c r="S165" s="6"/>
      <c r="T165" s="6"/>
      <c r="U165" s="6"/>
      <c r="V165" s="6"/>
      <c r="W165" s="6"/>
      <c r="X165" s="6"/>
      <c r="Y165" s="6"/>
      <c r="Z165" s="6"/>
      <c r="AA165" s="32"/>
      <c r="AB165"/>
      <c r="AC165"/>
      <c r="AD165"/>
      <c r="AE165"/>
      <c r="AF165"/>
      <c r="AG165"/>
      <c r="AH165"/>
      <c r="AI165"/>
      <c r="AJ165"/>
      <c r="AK165"/>
      <c r="AL165"/>
    </row>
    <row r="166" spans="1:38">
      <c r="A166" s="31" t="s">
        <v>11</v>
      </c>
      <c r="B166" s="25" t="s">
        <v>39</v>
      </c>
      <c r="C166" s="37">
        <f>K5</f>
        <v>0</v>
      </c>
      <c r="D166" s="26" t="s">
        <v>40</v>
      </c>
      <c r="E166" s="15"/>
      <c r="G166" s="15"/>
      <c r="H166" s="15"/>
      <c r="I166" s="15"/>
      <c r="J166" s="15"/>
      <c r="K166" s="15"/>
      <c r="L166" s="15"/>
      <c r="M166" s="7"/>
      <c r="N166" s="7"/>
      <c r="O166" s="7"/>
      <c r="P166" s="7"/>
      <c r="Q166" s="7"/>
      <c r="R166" s="7"/>
      <c r="S166" s="6"/>
      <c r="T166" s="6"/>
      <c r="U166" s="6"/>
      <c r="V166" s="6"/>
      <c r="W166" s="6"/>
      <c r="X166" s="6"/>
      <c r="Y166" s="6"/>
      <c r="Z166" s="6"/>
      <c r="AA166" s="32"/>
      <c r="AB166"/>
      <c r="AC166"/>
      <c r="AD166"/>
      <c r="AE166"/>
      <c r="AF166"/>
      <c r="AG166"/>
      <c r="AH166"/>
      <c r="AI166"/>
      <c r="AJ166"/>
      <c r="AK166"/>
      <c r="AL166"/>
    </row>
    <row r="167" spans="1:38">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row>
    <row r="168" spans="1:38">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row>
    <row r="169" spans="1:38">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row>
    <row r="170" spans="1:38">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row>
    <row r="171" spans="1:38">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row>
    <row r="172" spans="1:38">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row>
    <row r="173" spans="1:38">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row>
    <row r="174" spans="1:38">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row>
    <row r="175" spans="1:38">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row>
    <row r="176" spans="1:38">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row>
    <row r="177" spans="1:38">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row>
    <row r="178" spans="1:38">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row>
    <row r="179" spans="1:38">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row>
    <row r="180" spans="1:38">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row>
    <row r="181" spans="1:38">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row>
    <row r="182" spans="1:38">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row>
    <row r="183" spans="1:38">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row>
    <row r="184" spans="1:38">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row>
    <row r="185" spans="1:38">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row>
    <row r="186" spans="1:38">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row>
    <row r="187" spans="1:38">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row>
    <row r="188" spans="1:38">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row>
    <row r="189" spans="1:38">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row>
    <row r="190" spans="1:38">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row>
    <row r="191" spans="1:38">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row>
    <row r="192" spans="1:38">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row>
    <row r="193" spans="1:38">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row>
    <row r="194" spans="1:38">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row>
    <row r="195" spans="1:38">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row>
    <row r="196" spans="1:38">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row>
    <row r="197" spans="1:38">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row>
    <row r="198" spans="1:38">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row>
    <row r="199" spans="1:38">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row>
    <row r="200" spans="1:38">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row>
    <row r="201" spans="1:38">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row>
    <row r="202" spans="1:38">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row>
    <row r="203" spans="1:38">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row>
    <row r="204" spans="1:38">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row>
    <row r="205" spans="1:38">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row>
    <row r="206" spans="1:38">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row>
    <row r="207" spans="1:38">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row>
    <row r="208" spans="1:38">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row>
    <row r="209" spans="1:38">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row>
    <row r="210" spans="1:38">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row>
    <row r="211" spans="1:38">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row>
    <row r="212" spans="1:38">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row>
    <row r="213" spans="1:38">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row>
    <row r="214" spans="1:38">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row>
    <row r="215" spans="1:38">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row>
    <row r="216" spans="1:38">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row>
    <row r="217" spans="1:38">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row>
    <row r="218" spans="1:38">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row>
    <row r="219" spans="1:38">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row>
    <row r="220" spans="1:38">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row>
    <row r="221" spans="1:38">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row>
    <row r="222" spans="1:38">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row>
    <row r="223" spans="1:38">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row>
    <row r="224" spans="1:38">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row>
    <row r="225" spans="1:38">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row>
    <row r="226" spans="1:38">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row>
    <row r="227" spans="1:38">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row>
    <row r="228" spans="1:38">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row>
    <row r="229" spans="1:38">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row>
    <row r="230" spans="1:38">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row>
    <row r="231" spans="1:38">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row>
    <row r="232" spans="1:38">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row>
    <row r="233" spans="1:38">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row>
    <row r="234" spans="1:38">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row>
    <row r="235" spans="1:38">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row>
    <row r="236" spans="1:38">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row>
    <row r="237" spans="1:38">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row>
    <row r="238" spans="1:38">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row>
    <row r="239" spans="1:38">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row>
    <row r="240" spans="1:38">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row>
    <row r="241" spans="1:38">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row>
    <row r="242" spans="1:38">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row>
    <row r="243" spans="1:38">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row>
    <row r="244" spans="1:38">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row>
    <row r="245" spans="1:38">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row>
    <row r="246" spans="1:38">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row>
    <row r="247" spans="1:38">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row>
    <row r="248" spans="1:38">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row>
    <row r="249" spans="1:38">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row>
    <row r="250" spans="1:38">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row>
    <row r="251" spans="1:38">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row>
    <row r="252" spans="1:38">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row>
    <row r="253" spans="1:38">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row>
    <row r="254" spans="1:38">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row>
    <row r="255" spans="1:38">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row>
    <row r="256" spans="1:38">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row>
    <row r="257" spans="1:38">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row>
    <row r="258" spans="1:38">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row>
    <row r="259" spans="1:38">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row>
    <row r="260" spans="1:38">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row>
    <row r="261" spans="1:38">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row>
    <row r="262" spans="1:38">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row>
    <row r="263" spans="1:38">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row>
    <row r="264" spans="1:38">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row>
    <row r="265" spans="1:38">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row>
    <row r="266" spans="1:38">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row>
    <row r="267" spans="1:38">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row>
    <row r="268" spans="1:38">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row>
    <row r="269" spans="1:38">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row>
    <row r="270" spans="1:38">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row>
    <row r="271" spans="1:38">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row>
    <row r="272" spans="1:38">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row>
    <row r="273" spans="1:38">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row>
    <row r="274" spans="1:38">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row>
    <row r="275" spans="1:38">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row>
    <row r="276" spans="1:38">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row>
    <row r="277" spans="1:38">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row>
    <row r="278" spans="1:38">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row>
    <row r="279" spans="1:38">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row>
    <row r="280" spans="1:38">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row>
    <row r="281" spans="1:38">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row>
    <row r="282" spans="1:38">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row>
    <row r="283" spans="1:38">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row>
    <row r="284" spans="1:38">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row>
    <row r="285" spans="1:38">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row>
    <row r="286" spans="1:38">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row>
    <row r="287" spans="1:38">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row>
    <row r="288" spans="1:38">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row>
    <row r="289" spans="1:38">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row>
    <row r="290" spans="1:38">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row>
    <row r="291" spans="1:38">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row>
    <row r="292" spans="1:38">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row>
    <row r="293" spans="1:38">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row>
    <row r="294" spans="1:38">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row>
    <row r="295" spans="1:38">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row>
    <row r="296" spans="1:38">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row>
    <row r="297" spans="1:38">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row>
    <row r="298" spans="1:38">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row>
    <row r="299" spans="1:38">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row>
    <row r="300" spans="1:38">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row>
    <row r="301" spans="1:38">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row>
    <row r="302" spans="1:38">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row>
    <row r="303" spans="1:38">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row>
    <row r="304" spans="1:38">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row>
    <row r="305" spans="1:38">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row>
    <row r="306" spans="1:38">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row>
    <row r="307" spans="1:38">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row>
    <row r="308" spans="1:38">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row>
    <row r="309" spans="1:38">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row>
    <row r="310" spans="1:38">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row>
    <row r="311" spans="1:38">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row>
    <row r="312" spans="1:38">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row>
    <row r="313" spans="1:38">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row>
    <row r="314" spans="1:38">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row>
    <row r="315" spans="1:38">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row>
    <row r="316" spans="1:38">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row>
    <row r="317" spans="1:38">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row>
    <row r="318" spans="1:38">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row>
    <row r="319" spans="1:38">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row>
    <row r="320" spans="1:38">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row>
    <row r="321" spans="1:38">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row>
    <row r="322" spans="1:38">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row>
    <row r="323" spans="1:38">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row>
    <row r="324" spans="1:38">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row>
    <row r="325" spans="1:38">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row>
    <row r="326" spans="1:38">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row>
    <row r="327" spans="1:38">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row>
    <row r="328" spans="1:38">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row>
    <row r="329" spans="1:38">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row>
    <row r="330" spans="1:38">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row>
    <row r="331" spans="1:38">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row>
    <row r="332" spans="1:38">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row>
    <row r="333" spans="1:38">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row>
    <row r="334" spans="1:38">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row>
    <row r="335" spans="1:38">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row>
    <row r="336" spans="1:38">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row>
    <row r="337" spans="1:38">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row>
    <row r="338" spans="1:38">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row>
    <row r="339" spans="1:38">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row>
    <row r="340" spans="1:38">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row>
    <row r="341" spans="1:38">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row>
    <row r="342" spans="1:38">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row>
    <row r="343" spans="1:38">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row>
    <row r="344" spans="1:38">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row>
    <row r="345" spans="1:38">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row>
    <row r="346" spans="1:38">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row>
    <row r="347" spans="1:38">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row>
    <row r="348" spans="1:38">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row>
    <row r="349" spans="1:38">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row>
    <row r="350" spans="1:38">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row>
    <row r="351" spans="1:38">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row>
    <row r="352" spans="1:38">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row>
    <row r="353" spans="1:38">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row>
    <row r="354" spans="1:38">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row>
    <row r="355" spans="1:38">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row>
    <row r="356" spans="1:38">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row>
    <row r="357" spans="1:38">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row>
    <row r="358" spans="1:38">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row>
    <row r="359" spans="1:38">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row>
    <row r="360" spans="1:38">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row>
    <row r="361" spans="1:38">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row>
    <row r="362" spans="1:38">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row>
    <row r="363" spans="1:38">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row>
    <row r="364" spans="1:38">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row>
    <row r="365" spans="1:38">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row>
    <row r="366" spans="1:38">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row>
    <row r="367" spans="1:38">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row>
    <row r="368" spans="1:38">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row>
    <row r="369" spans="1:38">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row>
    <row r="370" spans="1:38">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row>
    <row r="371" spans="1:38">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row>
    <row r="372" spans="1:38">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row>
    <row r="373" spans="1:38">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row>
    <row r="374" spans="1:38">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row>
    <row r="375" spans="1:38">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row>
    <row r="376" spans="1:38">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row>
    <row r="377" spans="1:38">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row>
    <row r="378" spans="1:38">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row>
    <row r="379" spans="1:38">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row>
    <row r="380" spans="1:38">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row>
    <row r="381" spans="1:38">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row>
    <row r="382" spans="1:38">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row>
    <row r="383" spans="1:38">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row>
    <row r="384" spans="1:38">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row>
    <row r="385" spans="1:38">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row>
    <row r="386" spans="1:38">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row>
    <row r="387" spans="1:38">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row>
    <row r="388" spans="1:38">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row>
    <row r="389" spans="1:38">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row>
    <row r="390" spans="1:38">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row>
    <row r="391" spans="1:38">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row>
    <row r="392" spans="1:38">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row>
    <row r="393" spans="1:38">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row>
    <row r="394" spans="1:38">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row>
    <row r="395" spans="1:38">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row>
    <row r="396" spans="1:38">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row>
    <row r="397" spans="1:38">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row>
    <row r="398" spans="1:38">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row>
    <row r="399" spans="1:38">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row>
    <row r="400" spans="1:38">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row>
    <row r="401" spans="1:38">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row>
    <row r="402" spans="1:38">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row>
    <row r="403" spans="1:38">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row>
    <row r="404" spans="1:38">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row>
    <row r="405" spans="1:38">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row>
    <row r="406" spans="1:38">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row>
    <row r="407" spans="1:38">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row>
    <row r="408" spans="1:38">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row>
    <row r="409" spans="1:38">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row>
    <row r="410" spans="1:38">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row>
    <row r="411" spans="1:38">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row>
    <row r="412" spans="1:38">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row>
    <row r="413" spans="1:38">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row>
    <row r="414" spans="1:38">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row>
    <row r="415" spans="1:38">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row>
    <row r="416" spans="1:38">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row>
    <row r="417" spans="1:38">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row>
    <row r="418" spans="1:38">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row>
    <row r="419" spans="1:38">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row>
    <row r="420" spans="1:38">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row>
    <row r="421" spans="1:38">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row>
    <row r="422" spans="1:38">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row>
    <row r="423" spans="1:38">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row>
    <row r="424" spans="1:38">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row>
    <row r="425" spans="1:38">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row>
    <row r="426" spans="1:38">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row>
    <row r="427" spans="1:38">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row>
    <row r="428" spans="1:38">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row>
    <row r="429" spans="1:38">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row>
    <row r="430" spans="1:38">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row>
    <row r="431" spans="1:38">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row>
    <row r="432" spans="1:38">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row>
    <row r="433" spans="1:38">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row>
    <row r="434" spans="1:38">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row>
    <row r="435" spans="1:38">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row>
    <row r="436" spans="1:38">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row>
    <row r="437" spans="1:38">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row>
    <row r="438" spans="1:38">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row>
    <row r="439" spans="1:38">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row>
    <row r="440" spans="1:38">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row>
    <row r="441" spans="1:38">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row>
    <row r="442" spans="1:38">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row>
    <row r="443" spans="1:38">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row>
    <row r="444" spans="1:38">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row>
    <row r="445" spans="1:38">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row>
    <row r="446" spans="1:38">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row>
    <row r="447" spans="1:38">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row>
    <row r="448" spans="1:38">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row>
    <row r="449" spans="1:38">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row>
    <row r="450" spans="1:38">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row>
    <row r="451" spans="1:38">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row>
    <row r="452" spans="1:38">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row>
    <row r="453" spans="1:38">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row>
    <row r="454" spans="1:38">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row>
    <row r="455" spans="1:38">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row>
    <row r="456" spans="1:38">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row>
    <row r="457" spans="1:38">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row>
    <row r="458" spans="1:38">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row>
    <row r="459" spans="1:38">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row>
    <row r="460" spans="1:38">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row>
    <row r="461" spans="1:38">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row>
    <row r="462" spans="1:38">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row>
    <row r="463" spans="1:38">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row>
    <row r="464" spans="1:38">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row>
    <row r="465" spans="1:38">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row>
    <row r="466" spans="1:38">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row>
    <row r="467" spans="1:38">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row>
    <row r="468" spans="1:38">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row>
    <row r="469" spans="1:38">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row>
    <row r="470" spans="1:38">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row>
    <row r="471" spans="1:38">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row>
    <row r="472" spans="1:38">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row>
    <row r="473" spans="1:38">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row>
    <row r="474" spans="1:38">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row>
    <row r="475" spans="1:38">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row>
    <row r="476" spans="1:38">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row>
    <row r="477" spans="1:38">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row>
    <row r="478" spans="1:38">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row>
    <row r="479" spans="1:38">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row>
    <row r="480" spans="1:38">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row>
    <row r="481" spans="1:38">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row>
    <row r="482" spans="1:38">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row>
    <row r="483" spans="1:38">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row>
    <row r="484" spans="1:38">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row>
    <row r="485" spans="1:38">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row>
    <row r="486" spans="1:38">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row>
    <row r="487" spans="1:38">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row>
    <row r="488" spans="1:38">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row>
    <row r="489" spans="1:38">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row>
    <row r="490" spans="1:38">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row>
    <row r="491" spans="1:38">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row>
    <row r="492" spans="1:38">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row>
    <row r="493" spans="1:38">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row>
    <row r="494" spans="1:38">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row>
    <row r="495" spans="1:38">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row>
    <row r="496" spans="1:38">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row>
    <row r="497" spans="1:38">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row>
    <row r="498" spans="1:38">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row>
    <row r="499" spans="1:38">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row>
    <row r="500" spans="1:38">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row>
    <row r="501" spans="1:38">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row>
    <row r="502" spans="1:38">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row>
    <row r="503" spans="1:38">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row>
    <row r="504" spans="1:38">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row>
    <row r="505" spans="1:38">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row>
    <row r="506" spans="1:38">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row>
    <row r="507" spans="1:38">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row>
    <row r="508" spans="1:38">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row>
    <row r="509" spans="1:38">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row>
    <row r="510" spans="1:38">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row>
    <row r="511" spans="1:38">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row>
    <row r="512" spans="1:38">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row>
    <row r="513" spans="1:38">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row>
    <row r="514" spans="1:38">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row>
    <row r="515" spans="1:38">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row>
    <row r="516" spans="1:38">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row>
    <row r="517" spans="1:38">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row>
    <row r="518" spans="1:38">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row>
    <row r="519" spans="1:38">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row>
    <row r="520" spans="1:38">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row>
    <row r="521" spans="1:38">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row>
    <row r="522" spans="1:38">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row>
    <row r="523" spans="1:38">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row>
    <row r="524" spans="1:38">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row>
    <row r="525" spans="1:38">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row>
    <row r="526" spans="1:38">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row>
    <row r="527" spans="1:38">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row>
    <row r="528" spans="1:38">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row>
    <row r="529" spans="1:38">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row>
    <row r="530" spans="1:38">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row>
    <row r="531" spans="1:38">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row>
    <row r="532" spans="1:38">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row>
    <row r="533" spans="1:38">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row>
    <row r="534" spans="1:38">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row>
    <row r="535" spans="1:38">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row>
    <row r="536" spans="1:38">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row>
    <row r="537" spans="1:38">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row>
    <row r="538" spans="1:38">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row>
    <row r="539" spans="1:38">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row>
    <row r="540" spans="1:38">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row>
    <row r="541" spans="1:38">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row>
    <row r="542" spans="1:38">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row>
    <row r="543" spans="1:38">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row>
    <row r="544" spans="1:38">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row>
    <row r="545" spans="1:38">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row>
    <row r="546" spans="1:38">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row>
    <row r="547" spans="1:38">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row>
    <row r="548" spans="1:38">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row>
    <row r="549" spans="1:38">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row>
    <row r="550" spans="1:38">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row>
    <row r="551" spans="1:38">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row>
    <row r="552" spans="1:38">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row>
    <row r="553" spans="1:38">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row>
    <row r="554" spans="1:38">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row>
    <row r="555" spans="1:38">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row>
    <row r="556" spans="1:38">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row>
    <row r="557" spans="1:38">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row>
    <row r="558" spans="1:38">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row>
    <row r="559" spans="1:38">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row>
    <row r="560" spans="1:38">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row>
    <row r="561" spans="1:38">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row>
    <row r="562" spans="1:38">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row>
    <row r="563" spans="1:38">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row>
    <row r="564" spans="1:38">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row>
    <row r="565" spans="1:38">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row>
    <row r="566" spans="1:38">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row>
    <row r="567" spans="1:38">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row>
    <row r="568" spans="1:38">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row>
    <row r="569" spans="1:38">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row>
    <row r="570" spans="1:38">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row>
    <row r="571" spans="1:38">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row>
    <row r="572" spans="1:38">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row>
    <row r="573" spans="1:38">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row>
    <row r="574" spans="1:38">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row>
    <row r="575" spans="1:38">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row>
    <row r="576" spans="1:38">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row>
    <row r="577" spans="1:38">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row>
    <row r="578" spans="1:38">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row>
    <row r="579" spans="1:38">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row>
    <row r="580" spans="1:38">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row>
    <row r="581" spans="1:38">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row>
    <row r="582" spans="1:38">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row>
    <row r="583" spans="1:38">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row>
    <row r="584" spans="1:38">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row>
    <row r="585" spans="1:38">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row>
    <row r="586" spans="1:38">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row>
    <row r="587" spans="1:38">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row>
    <row r="588" spans="1:38">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row>
    <row r="589" spans="1:38">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row>
    <row r="590" spans="1:38">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row>
    <row r="591" spans="1:38">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row>
    <row r="592" spans="1:38">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row>
    <row r="593" spans="1:38">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row>
    <row r="594" spans="1:38">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row>
    <row r="595" spans="1:38">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row>
    <row r="596" spans="1:38">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row>
    <row r="597" spans="1:38">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row>
    <row r="598" spans="1:38">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row>
    <row r="599" spans="1:38">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row>
    <row r="600" spans="1:38">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row>
    <row r="601" spans="1:38">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row>
    <row r="602" spans="1:38">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row>
    <row r="603" spans="1:38">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row>
    <row r="604" spans="1:38">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row>
    <row r="605" spans="1:38">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row>
    <row r="606" spans="1:38">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row>
    <row r="607" spans="1:38">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row>
    <row r="608" spans="1:38">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row>
    <row r="609" spans="1:38">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row>
    <row r="610" spans="1:38">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row>
    <row r="611" spans="1:38">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row>
    <row r="612" spans="1:38">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row>
    <row r="613" spans="1:38">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row>
    <row r="614" spans="1:38">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row>
    <row r="615" spans="1:38">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row>
    <row r="616" spans="1:38">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row>
    <row r="617" spans="1:38">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row>
    <row r="618" spans="1:38">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row>
    <row r="619" spans="1:38">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row>
    <row r="620" spans="1:38">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row>
    <row r="621" spans="1:38">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row>
    <row r="622" spans="1:38">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row>
    <row r="623" spans="1:38">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row>
    <row r="624" spans="1:38">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row>
    <row r="625" spans="1:38">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row>
    <row r="626" spans="1:38">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row>
    <row r="627" spans="1:38">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row>
    <row r="628" spans="1:38">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row>
    <row r="629" spans="1:38">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row>
    <row r="630" spans="1:38">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row>
    <row r="631" spans="1:38">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row>
    <row r="632" spans="1:38">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row>
    <row r="633" spans="1:38">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row>
    <row r="634" spans="1:38">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row>
    <row r="635" spans="1:38">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row>
    <row r="636" spans="1:38">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row>
    <row r="637" spans="1:38">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row>
    <row r="638" spans="1:38">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row>
    <row r="639" spans="1:38">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row>
    <row r="640" spans="1:38">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row>
    <row r="641" spans="1:38">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row>
    <row r="642" spans="1:38">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row>
    <row r="643" spans="1:38">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row>
    <row r="644" spans="1:38">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row>
    <row r="645" spans="1:38">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row>
    <row r="646" spans="1:38">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row>
    <row r="647" spans="1:38">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row>
    <row r="648" spans="1:38">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row>
    <row r="649" spans="1:38">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row>
    <row r="650" spans="1:38">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row>
    <row r="651" spans="1:38">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row>
    <row r="652" spans="1:38">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row>
    <row r="653" spans="1:38">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row>
    <row r="654" spans="1:38">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row>
    <row r="655" spans="1:38">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row>
    <row r="656" spans="1:38">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row>
    <row r="657" spans="1:38">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row>
    <row r="658" spans="1:38">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row>
    <row r="659" spans="1:38">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row>
    <row r="660" spans="1:38">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row>
    <row r="661" spans="1:38">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row>
    <row r="662" spans="1:38">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row>
    <row r="663" spans="1:38">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row>
    <row r="664" spans="1:38">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row>
    <row r="665" spans="1:38">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row>
    <row r="666" spans="1:38">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row>
    <row r="667" spans="1:38">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row>
    <row r="668" spans="1:38">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row>
    <row r="669" spans="1:38">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row>
    <row r="670" spans="1:38">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row>
    <row r="671" spans="1:38">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row>
    <row r="672" spans="1:38">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row>
    <row r="673" spans="1:38">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row>
    <row r="674" spans="1:38">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row>
    <row r="675" spans="1:38">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row>
    <row r="676" spans="1:38">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row>
    <row r="677" spans="1:38">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row>
    <row r="678" spans="1:38">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row>
    <row r="679" spans="1:38">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row>
    <row r="680" spans="1:38">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row>
    <row r="681" spans="1:38">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row>
    <row r="682" spans="1:38">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row>
    <row r="683" spans="1:38">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row>
    <row r="684" spans="1:38">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row>
    <row r="685" spans="1:38">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row>
    <row r="686" spans="1:38">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row>
    <row r="687" spans="1:38">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row>
    <row r="688" spans="1:38">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row>
    <row r="689" spans="1:38">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row>
    <row r="690" spans="1:38">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row>
    <row r="691" spans="1:38">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row>
    <row r="692" spans="1:38">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row>
    <row r="693" spans="1:38">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row>
    <row r="694" spans="1:38">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row>
    <row r="695" spans="1:38">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row>
    <row r="696" spans="1:38">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row>
    <row r="697" spans="1:38">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row>
    <row r="698" spans="1:38">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row>
    <row r="699" spans="1:38">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row>
    <row r="700" spans="1:38">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row>
    <row r="701" spans="1:38">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row>
    <row r="702" spans="1:38">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row>
    <row r="703" spans="1:38">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row>
    <row r="704" spans="1:38">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row>
    <row r="705" spans="1:38">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row>
    <row r="706" spans="1:38">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row>
    <row r="707" spans="1:38">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row>
    <row r="708" spans="1:38">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row>
    <row r="709" spans="1:38">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row>
    <row r="710" spans="1:38">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row>
    <row r="711" spans="1:38">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row>
    <row r="712" spans="1:38">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row>
    <row r="713" spans="1:38">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row>
    <row r="714" spans="1:38">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row>
    <row r="715" spans="1:38">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row>
    <row r="716" spans="1:38">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row>
    <row r="717" spans="1:38">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row>
    <row r="718" spans="1:38">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row>
    <row r="719" spans="1:38">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row>
    <row r="720" spans="1:38">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row>
    <row r="721" spans="1:38">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row>
    <row r="722" spans="1:38">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row>
    <row r="723" spans="1:38">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row>
    <row r="724" spans="1:38">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row>
    <row r="725" spans="1:38">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row>
    <row r="726" spans="1:38">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row>
    <row r="727" spans="1:38">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row>
    <row r="728" spans="1:38">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row>
    <row r="729" spans="1:38">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row>
    <row r="730" spans="1:38">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row>
    <row r="731" spans="1:38">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row>
    <row r="732" spans="1:38">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row>
    <row r="733" spans="1:38">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row>
    <row r="734" spans="1:38">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row>
    <row r="735" spans="1:38">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row>
    <row r="736" spans="1:38">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row>
    <row r="737" spans="1:38">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row>
    <row r="738" spans="1:38">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row>
    <row r="739" spans="1:38">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row>
    <row r="740" spans="1:38">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row>
    <row r="741" spans="1:38">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row>
    <row r="742" spans="1:38">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row>
    <row r="743" spans="1:38">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row>
    <row r="744" spans="1:38">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row>
    <row r="745" spans="1:38">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row>
    <row r="746" spans="1:38">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row>
    <row r="747" spans="1:38">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row>
    <row r="748" spans="1:38">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row>
    <row r="749" spans="1:38">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row>
    <row r="750" spans="1:38">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row>
    <row r="751" spans="1:38">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row>
    <row r="752" spans="1:38">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row>
    <row r="753" spans="1:38">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row>
    <row r="754" spans="1:38">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row>
    <row r="755" spans="1:38">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row>
    <row r="756" spans="1:38">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row>
    <row r="757" spans="1:38">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row>
    <row r="758" spans="1:38">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row>
    <row r="759" spans="1:38">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row>
    <row r="760" spans="1:38">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row>
    <row r="761" spans="1:38">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row>
    <row r="762" spans="1:38">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row>
    <row r="763" spans="1:38">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row>
    <row r="764" spans="1:38">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row>
    <row r="765" spans="1:38">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row>
    <row r="766" spans="1:38">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row>
    <row r="767" spans="1:38">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row>
    <row r="768" spans="1:38">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row>
    <row r="769" spans="1:38">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row>
    <row r="770" spans="1:38">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row>
    <row r="771" spans="1:38">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row>
    <row r="772" spans="1:38">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row>
    <row r="773" spans="1:38">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row>
    <row r="774" spans="1:38">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row>
    <row r="775" spans="1:38">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row>
    <row r="776" spans="1:38">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row>
    <row r="777" spans="1:38">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row>
    <row r="778" spans="1:38">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row>
    <row r="779" spans="1:38">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row>
    <row r="780" spans="1:38">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row>
    <row r="781" spans="1:38">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row>
    <row r="782" spans="1:38">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row>
    <row r="783" spans="1:38">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row>
    <row r="784" spans="1:38">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row>
    <row r="785" spans="1:38">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row>
    <row r="786" spans="1:38">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row>
    <row r="787" spans="1:38">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row>
    <row r="788" spans="1:38">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row>
    <row r="789" spans="1:38">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row>
    <row r="790" spans="1:38">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row>
    <row r="791" spans="1:38">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row>
    <row r="792" spans="1:38">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row>
    <row r="793" spans="1:38">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row>
    <row r="794" spans="1:38">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row>
    <row r="795" spans="1:38">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row>
    <row r="796" spans="1:38">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row>
    <row r="797" spans="1:38">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row>
    <row r="798" spans="1:38">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row>
    <row r="799" spans="1:38">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row>
    <row r="800" spans="1:38">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row>
    <row r="801" spans="1:38">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row>
    <row r="802" spans="1:38">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row>
    <row r="803" spans="1:38">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row>
    <row r="804" spans="1:38">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row>
    <row r="805" spans="1:38">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row>
    <row r="806" spans="1:38">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row>
    <row r="807" spans="1:38">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row>
    <row r="808" spans="1:38">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row>
    <row r="809" spans="1:38">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row>
    <row r="810" spans="1:38">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row>
    <row r="811" spans="1:38">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row>
    <row r="812" spans="1:38">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row>
    <row r="813" spans="1:38">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row>
    <row r="814" spans="1:38">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row>
    <row r="815" spans="1:38">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row>
    <row r="816" spans="1:38">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row>
    <row r="817" spans="1:38">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row>
    <row r="818" spans="1:38">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row>
    <row r="819" spans="1:38">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row>
    <row r="820" spans="1:38">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row>
    <row r="821" spans="1:38">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row>
    <row r="822" spans="1:38">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row>
    <row r="823" spans="1:38">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row>
    <row r="824" spans="1:38">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row>
    <row r="825" spans="1:38">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row>
    <row r="826" spans="1:38">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row>
    <row r="827" spans="1:38">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row>
    <row r="828" spans="1:38">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row>
    <row r="829" spans="1:38">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row>
    <row r="830" spans="1:38">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row>
    <row r="831" spans="1:38">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row>
    <row r="832" spans="1:38">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row>
    <row r="833" spans="1:38">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row>
    <row r="834" spans="1:38">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row>
    <row r="835" spans="1:38">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row>
    <row r="836" spans="1:38">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row>
    <row r="837" spans="1:38">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row>
    <row r="838" spans="1:38">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row>
    <row r="839" spans="1:38">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row>
    <row r="840" spans="1:38">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row>
    <row r="841" spans="1:38">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row>
    <row r="842" spans="1:38">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row>
    <row r="843" spans="1:38">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row>
    <row r="844" spans="1:38">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row>
    <row r="845" spans="1:38">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row>
    <row r="846" spans="1:38">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row>
    <row r="847" spans="1:38">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row>
    <row r="848" spans="1:38">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row>
    <row r="849" spans="1:38">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row>
    <row r="850" spans="1:38">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row>
    <row r="851" spans="1:38">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row>
    <row r="852" spans="1:38">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row>
    <row r="853" spans="1:38">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row>
    <row r="854" spans="1:38">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row>
    <row r="855" spans="1:38">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row>
    <row r="856" spans="1:38">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row>
    <row r="857" spans="1:38">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row>
    <row r="858" spans="1:38">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row>
    <row r="859" spans="1:38">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row>
    <row r="860" spans="1:38">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row>
    <row r="861" spans="1:38">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row>
    <row r="862" spans="1:38">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row>
    <row r="863" spans="1:38">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row>
    <row r="864" spans="1:38">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row>
    <row r="865" spans="1:38">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row>
    <row r="866" spans="1:38">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row>
    <row r="867" spans="1:38">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row>
    <row r="868" spans="1:38">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row>
    <row r="869" spans="1:38">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row>
    <row r="870" spans="1:38">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row>
    <row r="871" spans="1:38">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row>
    <row r="872" spans="1:38">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row>
    <row r="873" spans="1:38">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row>
    <row r="874" spans="1:38">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row>
    <row r="875" spans="1:38">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row>
    <row r="876" spans="1:38">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row>
    <row r="877" spans="1:38">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row>
    <row r="878" spans="1:38">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row>
    <row r="879" spans="1:38">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row>
    <row r="880" spans="1:38">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row>
    <row r="881" spans="1:38">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row>
    <row r="882" spans="1:38">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row>
    <row r="883" spans="1:38">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row>
    <row r="884" spans="1:38">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row>
    <row r="885" spans="1:38">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row>
    <row r="886" spans="1:38">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row>
    <row r="887" spans="1:38">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row>
    <row r="888" spans="1:38">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row>
    <row r="889" spans="1:38">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row>
    <row r="890" spans="1:38">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row>
    <row r="891" spans="1:38">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row>
    <row r="892" spans="1:38">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row>
    <row r="893" spans="1:38">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row>
    <row r="894" spans="1:38">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row>
    <row r="895" spans="1:38">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row>
    <row r="896" spans="1:38">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row>
    <row r="897" spans="1:38">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row>
    <row r="898" spans="1:38">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row>
    <row r="899" spans="1:38">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row>
    <row r="900" spans="1:38">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row>
    <row r="901" spans="1:38">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row>
    <row r="902" spans="1:38">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row>
    <row r="903" spans="1:38">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row>
    <row r="904" spans="1:38">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row>
    <row r="905" spans="1:38">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row>
    <row r="906" spans="1:38">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row>
    <row r="907" spans="1:38">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row>
    <row r="908" spans="1:38">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row>
    <row r="909" spans="1:38">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row>
    <row r="910" spans="1:38">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row>
    <row r="911" spans="1:38">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row>
    <row r="912" spans="1:38">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row>
    <row r="913" spans="1:38">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row>
    <row r="914" spans="1:38">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row>
    <row r="915" spans="1:38">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row>
    <row r="916" spans="1:38">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row>
    <row r="917" spans="1:38">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row>
    <row r="918" spans="1:38">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row>
    <row r="919" spans="1:38">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row>
    <row r="920" spans="1:38">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row>
    <row r="921" spans="1:38">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row>
    <row r="922" spans="1:38">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row>
    <row r="923" spans="1:38">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row>
    <row r="924" spans="1:38">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row>
    <row r="925" spans="1:38">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row>
    <row r="926" spans="1:38">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row>
    <row r="927" spans="1:38">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row>
    <row r="928" spans="1:38">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row>
    <row r="929" spans="1:38">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row>
    <row r="930" spans="1:38">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row>
    <row r="931" spans="1:38">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row>
    <row r="932" spans="1:38">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row>
    <row r="933" spans="1:38">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row>
    <row r="934" spans="1:38">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row>
    <row r="935" spans="1:38">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row>
    <row r="936" spans="1:38">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row>
    <row r="937" spans="1:38">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row>
    <row r="938" spans="1:38">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row>
    <row r="939" spans="1:38">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row>
    <row r="940" spans="1:38">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row>
    <row r="941" spans="1:38">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row>
    <row r="942" spans="1:38">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row>
    <row r="943" spans="1:38">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row>
    <row r="944" spans="1:38">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row>
    <row r="945" spans="1:38">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row>
    <row r="946" spans="1:38">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row>
    <row r="947" spans="1:38">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row>
    <row r="948" spans="1:38">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row>
    <row r="949" spans="1:38">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row>
    <row r="950" spans="1:38">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row>
    <row r="951" spans="1:38">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row>
    <row r="952" spans="1:38">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row>
    <row r="953" spans="1:38">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row>
    <row r="954" spans="1:38">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row>
    <row r="955" spans="1:38">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row>
    <row r="956" spans="1:38">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row>
    <row r="957" spans="1:38">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row>
    <row r="958" spans="1:38">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row>
    <row r="959" spans="1:38">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row>
    <row r="960" spans="1:38">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row>
    <row r="961" spans="1:38">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row>
    <row r="962" spans="1:38">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row>
    <row r="963" spans="1:38">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row>
    <row r="964" spans="1:38">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row>
    <row r="965" spans="1:38">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row>
    <row r="966" spans="1:38">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row>
    <row r="967" spans="1:38">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row>
    <row r="968" spans="1:38">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row>
    <row r="969" spans="1:38">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row>
    <row r="970" spans="1:38">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row>
    <row r="971" spans="1:38">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row>
    <row r="972" spans="1:38">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row>
    <row r="973" spans="1:38">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row>
    <row r="974" spans="1:38">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row>
    <row r="975" spans="1:38">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row>
    <row r="976" spans="1:38">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row>
    <row r="977" spans="1:38">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row>
    <row r="978" spans="1:38">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row>
    <row r="979" spans="1:38">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row>
    <row r="980" spans="1:38">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row>
    <row r="981" spans="1:38">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row>
    <row r="982" spans="1:38">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row>
    <row r="983" spans="1:38">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row>
    <row r="984" spans="1:38">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row>
    <row r="985" spans="1:38">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row>
    <row r="986" spans="1:38">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row>
    <row r="987" spans="1:38">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row>
    <row r="988" spans="1:38">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row>
    <row r="989" spans="1:38">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row>
    <row r="990" spans="1:38">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row>
    <row r="991" spans="1:38">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row>
    <row r="992" spans="1:38">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row>
    <row r="993" spans="1:38">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row>
    <row r="994" spans="1:38">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row>
    <row r="995" spans="1:38">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row>
    <row r="996" spans="1:38">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row>
    <row r="997" spans="1:38">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row>
    <row r="998" spans="1:38">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row>
    <row r="999" spans="1:38">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row>
    <row r="1000" spans="1:38">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row>
  </sheetData>
  <sheetProtection sheet="1" objects="1" scenarios="1"/>
  <mergeCells count="25">
    <mergeCell ref="A1:N1"/>
    <mergeCell ref="A2:N2"/>
    <mergeCell ref="A8:N8"/>
    <mergeCell ref="A9:N9"/>
    <mergeCell ref="M4:N4"/>
    <mergeCell ref="M5:N5"/>
    <mergeCell ref="M6:N6"/>
    <mergeCell ref="A4:B4"/>
    <mergeCell ref="A5:B5"/>
    <mergeCell ref="A6:B6"/>
    <mergeCell ref="C4:D4"/>
    <mergeCell ref="C5:D5"/>
    <mergeCell ref="C6:D6"/>
    <mergeCell ref="E4:F4"/>
    <mergeCell ref="E5:F5"/>
    <mergeCell ref="E6:F6"/>
    <mergeCell ref="K4:L4"/>
    <mergeCell ref="K5:L5"/>
    <mergeCell ref="K6:L6"/>
    <mergeCell ref="G4:H4"/>
    <mergeCell ref="G5:H5"/>
    <mergeCell ref="G6:H6"/>
    <mergeCell ref="I4:J4"/>
    <mergeCell ref="I5:J5"/>
    <mergeCell ref="I6:J6"/>
  </mergeCells>
  <conditionalFormatting sqref="B6">
    <cfRule type="cellIs" dxfId="104" priority="3" operator="greaterThan">
      <formula>0</formula>
    </cfRule>
  </conditionalFormatting>
  <conditionalFormatting sqref="F11:F160">
    <cfRule type="expression" dxfId="103" priority="12">
      <formula>F11="Scheduled"</formula>
    </cfRule>
    <cfRule type="expression" dxfId="102" priority="13">
      <formula>F11="Sent"</formula>
    </cfRule>
    <cfRule type="expression" dxfId="101" priority="14">
      <formula>F11="Blocked"</formula>
    </cfRule>
  </conditionalFormatting>
  <conditionalFormatting sqref="F11:F160">
    <cfRule type="expression" dxfId="100" priority="6">
      <formula>F11="Critical"</formula>
    </cfRule>
    <cfRule type="expression" dxfId="99" priority="7">
      <formula>F11="High Risk"</formula>
    </cfRule>
    <cfRule type="expression" dxfId="98" priority="8">
      <formula>F11="At Risk"</formula>
    </cfRule>
    <cfRule type="expression" dxfId="97" priority="9">
      <formula>F11="Blocked"</formula>
    </cfRule>
    <cfRule type="expression" dxfId="96" priority="10">
      <formula>F11="Ready"</formula>
    </cfRule>
    <cfRule type="expression" dxfId="95" priority="11">
      <formula>OR(F11="Complete",F11="Completed")</formula>
    </cfRule>
  </conditionalFormatting>
  <conditionalFormatting sqref="H11:H160">
    <cfRule type="cellIs" dxfId="94" priority="131" stopIfTrue="1" operator="equal">
      <formula>"Done"</formula>
    </cfRule>
  </conditionalFormatting>
  <conditionalFormatting sqref="H11:H160">
    <cfRule type="cellIs" dxfId="93" priority="132" stopIfTrue="1" operator="equal">
      <formula>"Not Yet"</formula>
    </cfRule>
  </conditionalFormatting>
  <conditionalFormatting sqref="I11:I160">
    <cfRule type="cellIs" dxfId="92" priority="133" stopIfTrue="1" operator="equal">
      <formula>"Provided"</formula>
    </cfRule>
  </conditionalFormatting>
  <conditionalFormatting sqref="I11:I160">
    <cfRule type="cellIs" dxfId="91" priority="134" stopIfTrue="1" operator="equal">
      <formula>"Pending"</formula>
    </cfRule>
  </conditionalFormatting>
  <conditionalFormatting sqref="A11:L160">
    <cfRule type="expression" dxfId="90" priority="135">
      <formula>LEFT($D11,9)="CANCELLED"</formula>
    </cfRule>
    <cfRule type="expression" dxfId="89" priority="137">
      <formula>AND($C11="Email",IFERROR(INT($A11),0)&gt;=TODAY()+1,IFERROR(INT($A11),0)&lt;=TODAY()+IF(WEEKDAY(TODAY(),1)=6,3,1),$F11&lt;&gt;"Scheduled",$F11&lt;&gt;"Sent",LEFT($D11,9)&lt;&gt;"CANCELLED")</formula>
    </cfRule>
    <cfRule type="expression" dxfId="88" priority="138">
      <formula>AND($C11="SMS",IFERROR(INT($A11),0)&gt;=TODAY()+1,IFERROR(INT($A11),0)&lt;=TODAY()+IF(WEEKDAY(TODAY(),1)=6,3,1),$F11&lt;&gt;"Scheduled",$F11&lt;&gt;"Sent",LEFT($D11,9)&lt;&gt;"CANCELLED")</formula>
    </cfRule>
  </conditionalFormatting>
  <conditionalFormatting sqref="A11:L45">
    <cfRule type="expression" dxfId="87" priority="136">
      <formula>LEFT($D11,9)="CANCELLED"</formula>
    </cfRule>
  </conditionalFormatting>
  <conditionalFormatting sqref="M11:M160">
    <cfRule type="expression" dxfId="86" priority="1">
      <formula>LEFT($D11,9)="CANCELLED"</formula>
    </cfRule>
  </conditionalFormatting>
  <conditionalFormatting sqref="M11:M45">
    <cfRule type="expression" dxfId="85" priority="2">
      <formula>LEFT($D11,9)="CANCELLED"</formula>
    </cfRule>
  </conditionalFormatting>
  <hyperlinks>
    <hyperlink ref="J11" r:id="rId1" display="Jira" xr:uid="{F83A3714-650F-4332-9F68-7C21D8E9D7B7}"/>
    <hyperlink ref="K11" r:id="rId2" display="ClickUp" xr:uid="{1D044777-1E14-42F1-92D7-CB462C3879B3}"/>
    <hyperlink ref="L11" r:id="rId3" display="Bluecore/Attentive" xr:uid="{51568F17-B959-4148-8016-D6154636969B}"/>
    <hyperlink ref="J12" r:id="rId4" display="Jira" xr:uid="{42B0421F-EE34-44F6-B4B2-6F9B62A14AFE}"/>
    <hyperlink ref="J13" r:id="rId5" display="Jira" xr:uid="{3C0985DF-9355-4F74-875C-C3A752568514}"/>
    <hyperlink ref="J14" r:id="rId6" display="Jira" xr:uid="{D5F9C78E-9B53-4C3E-88DB-CC14C792A43C}"/>
    <hyperlink ref="K14" r:id="rId7" display="ClickUp" xr:uid="{674FB737-4038-478D-8BD3-6C9C3CE19347}"/>
    <hyperlink ref="L14" r:id="rId8" display="Bluecore/Attentive" xr:uid="{1A3FC285-D9EE-4140-91F7-897925C6DDAA}"/>
    <hyperlink ref="J15" r:id="rId9" display="Jira" xr:uid="{C4C08422-AA1B-420D-8DEC-1EFBD78B6975}"/>
    <hyperlink ref="J16" r:id="rId10" display="Jira" xr:uid="{11213E2A-AE4E-42CF-981E-971C5A197C5E}"/>
    <hyperlink ref="K16" r:id="rId11" display="ClickUp" xr:uid="{953ADC16-EE0A-495D-BD7C-0640F0463A63}"/>
    <hyperlink ref="L16" r:id="rId12" display="Bluecore/Attentive" xr:uid="{BB04DB75-0102-4802-9045-D7FBAA7F0A67}"/>
  </hyperlinks>
  <pageMargins left="0.7" right="0.7" top="0.75" bottom="0.75" header="0.3" footer="0.3"/>
  <tableParts count="1">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70C0"/>
  </sheetPr>
  <dimension ref="A1:X798"/>
  <sheetViews>
    <sheetView showGridLines="0" zoomScale="85" zoomScaleNormal="85" workbookViewId="0">
      <selection activeCell="W18" sqref="W18"/>
    </sheetView>
  </sheetViews>
  <sheetFormatPr defaultRowHeight="15"/>
  <cols>
    <col min="1" max="1" width="28.625" style="73" customWidth="1"/>
    <col min="2" max="2" width="20.625" style="73" customWidth="1"/>
    <col min="3" max="3" width="34.625" style="73" customWidth="1"/>
    <col min="4" max="4" width="16.625" style="72" customWidth="1"/>
    <col min="5" max="5" width="42.625" style="3" hidden="1" customWidth="1"/>
    <col min="6" max="6" width="16.625" style="72" customWidth="1"/>
    <col min="7" max="7" width="22.625" style="72" customWidth="1"/>
    <col min="8" max="8" width="20.625" style="72" customWidth="1"/>
    <col min="9" max="9" width="12.625" style="72" customWidth="1"/>
    <col min="10" max="11" width="13.625" style="72" customWidth="1"/>
    <col min="12" max="12" width="12.625" style="72" customWidth="1"/>
    <col min="13" max="15" width="13.625" style="72" customWidth="1"/>
    <col min="16" max="19" width="14.625" style="72" customWidth="1"/>
    <col min="20" max="20" width="12.625" style="72" customWidth="1"/>
    <col min="21" max="21" width="20.625" style="72" hidden="1" customWidth="1"/>
    <col min="22" max="22" width="18.625" style="72" hidden="1" customWidth="1"/>
    <col min="23" max="23" width="50.625" style="73" customWidth="1"/>
    <col min="24" max="24" width="19" style="1" customWidth="1"/>
    <col min="25" max="16384" width="9" style="1"/>
  </cols>
  <sheetData>
    <row r="1" spans="1:24" s="2" customFormat="1" ht="45">
      <c r="A1" s="74" t="s">
        <v>20</v>
      </c>
      <c r="B1" s="74" t="s">
        <v>41</v>
      </c>
      <c r="C1" s="74" t="s">
        <v>42</v>
      </c>
      <c r="D1" s="61" t="s">
        <v>43</v>
      </c>
      <c r="E1" s="11" t="s">
        <v>44</v>
      </c>
      <c r="F1" s="61" t="s">
        <v>26</v>
      </c>
      <c r="G1" s="61" t="s">
        <v>45</v>
      </c>
      <c r="H1" s="61" t="s">
        <v>46</v>
      </c>
      <c r="I1" s="61" t="s">
        <v>47</v>
      </c>
      <c r="J1" s="61" t="s">
        <v>48</v>
      </c>
      <c r="K1" s="61" t="s">
        <v>49</v>
      </c>
      <c r="L1" s="61" t="s">
        <v>50</v>
      </c>
      <c r="M1" s="61" t="s">
        <v>27</v>
      </c>
      <c r="N1" s="61" t="s">
        <v>28</v>
      </c>
      <c r="O1" s="61" t="s">
        <v>106</v>
      </c>
      <c r="P1" s="61" t="s">
        <v>51</v>
      </c>
      <c r="Q1" s="61" t="s">
        <v>52</v>
      </c>
      <c r="R1" s="61" t="s">
        <v>53</v>
      </c>
      <c r="S1" s="61" t="s">
        <v>54</v>
      </c>
      <c r="T1" s="61" t="s">
        <v>55</v>
      </c>
      <c r="U1" s="61" t="s">
        <v>56</v>
      </c>
      <c r="V1" s="61" t="s">
        <v>57</v>
      </c>
      <c r="W1" s="61" t="s">
        <v>58</v>
      </c>
    </row>
    <row r="2" spans="1:24" s="5" customFormat="1" ht="15.75">
      <c r="A2" s="75">
        <v>46174</v>
      </c>
      <c r="B2" s="76">
        <v>0.33333333333333331</v>
      </c>
      <c r="C2" s="77" t="s">
        <v>140</v>
      </c>
      <c r="D2" s="78" t="s">
        <v>138</v>
      </c>
      <c r="E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No checklist items checked</v>
      </c>
      <c r="F2" s="62" t="s">
        <v>139</v>
      </c>
      <c r="G2" s="63" t="b">
        <v>0</v>
      </c>
      <c r="H2" s="63" t="b">
        <v>0</v>
      </c>
      <c r="I2" s="63" t="b">
        <v>0</v>
      </c>
      <c r="J2" s="63" t="b">
        <v>0</v>
      </c>
      <c r="K2" s="63" t="b">
        <v>0</v>
      </c>
      <c r="L2" s="63" t="b">
        <v>0</v>
      </c>
      <c r="M2" s="63" t="b">
        <v>0</v>
      </c>
      <c r="N2" s="63" t="b">
        <v>0</v>
      </c>
      <c r="O2" s="63" t="b">
        <v>0</v>
      </c>
      <c r="P2" s="64"/>
      <c r="Q2" s="64"/>
      <c r="R2" s="64"/>
      <c r="S2" s="65"/>
      <c r="T2" s="65"/>
      <c r="U2" s="66">
        <v>46188.991643518515</v>
      </c>
      <c r="V2" s="62" t="s">
        <v>113</v>
      </c>
      <c r="W2" s="67" t="s">
        <v>112</v>
      </c>
    </row>
    <row r="3" spans="1:24" s="5" customFormat="1" ht="15.75">
      <c r="A3" s="75">
        <v>46175</v>
      </c>
      <c r="B3" s="76" t="s">
        <v>141</v>
      </c>
      <c r="C3" s="77" t="s">
        <v>140</v>
      </c>
      <c r="D3" s="78" t="s">
        <v>131</v>
      </c>
      <c r="E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No checklist items checked</v>
      </c>
      <c r="F3" s="62" t="s">
        <v>139</v>
      </c>
      <c r="G3" s="63" t="b">
        <v>0</v>
      </c>
      <c r="H3" s="63" t="b">
        <v>0</v>
      </c>
      <c r="I3" s="63" t="b">
        <v>0</v>
      </c>
      <c r="J3" s="63" t="b">
        <v>0</v>
      </c>
      <c r="K3" s="63" t="b">
        <v>0</v>
      </c>
      <c r="L3" s="63" t="b">
        <v>0</v>
      </c>
      <c r="M3" s="63" t="b">
        <v>0</v>
      </c>
      <c r="N3" s="63" t="b">
        <v>0</v>
      </c>
      <c r="O3" s="63" t="b">
        <v>0</v>
      </c>
      <c r="P3" s="68"/>
      <c r="Q3" s="68"/>
      <c r="R3" s="68"/>
      <c r="S3" s="65"/>
      <c r="T3" s="65"/>
      <c r="U3" s="66">
        <v>46188.991226851853</v>
      </c>
      <c r="V3" s="62" t="s">
        <v>113</v>
      </c>
      <c r="W3" s="67" t="s">
        <v>61</v>
      </c>
      <c r="X3"/>
    </row>
    <row r="4" spans="1:24" s="5" customFormat="1">
      <c r="A4" s="71"/>
      <c r="B4" s="71"/>
      <c r="C4" s="71"/>
      <c r="D4" s="69"/>
      <c r="E4"/>
      <c r="F4" s="69"/>
      <c r="G4" s="69"/>
      <c r="H4" s="69"/>
      <c r="I4" s="69"/>
      <c r="J4" s="69"/>
      <c r="K4" s="69"/>
      <c r="L4" s="69"/>
      <c r="M4" s="69"/>
      <c r="N4" s="69"/>
      <c r="O4" s="69"/>
      <c r="P4" s="69"/>
      <c r="Q4" s="69"/>
      <c r="R4" s="69"/>
      <c r="S4" s="69"/>
      <c r="T4" s="69"/>
      <c r="U4" s="70"/>
      <c r="V4" s="70"/>
      <c r="W4" s="71"/>
      <c r="X4"/>
    </row>
    <row r="5" spans="1:24" s="5" customFormat="1">
      <c r="A5" s="71"/>
      <c r="B5" s="71"/>
      <c r="C5" s="71"/>
      <c r="D5" s="69"/>
      <c r="E5"/>
      <c r="F5" s="69"/>
      <c r="G5" s="69"/>
      <c r="H5" s="69"/>
      <c r="I5" s="69"/>
      <c r="J5" s="69"/>
      <c r="K5" s="69"/>
      <c r="L5" s="69"/>
      <c r="M5" s="69"/>
      <c r="N5" s="69"/>
      <c r="O5" s="69"/>
      <c r="P5" s="69"/>
      <c r="Q5" s="69"/>
      <c r="R5" s="69"/>
      <c r="S5" s="69"/>
      <c r="T5" s="69"/>
      <c r="U5" s="70"/>
      <c r="V5" s="70"/>
      <c r="W5" s="71"/>
      <c r="X5"/>
    </row>
    <row r="6" spans="1:24" s="5" customFormat="1">
      <c r="A6" s="71"/>
      <c r="B6" s="71"/>
      <c r="C6" s="71"/>
      <c r="D6" s="69"/>
      <c r="E6"/>
      <c r="F6" s="69"/>
      <c r="G6" s="69"/>
      <c r="H6" s="69"/>
      <c r="I6" s="69"/>
      <c r="J6" s="69"/>
      <c r="K6" s="69"/>
      <c r="L6" s="69"/>
      <c r="M6" s="69"/>
      <c r="N6" s="69"/>
      <c r="O6" s="69"/>
      <c r="P6" s="69"/>
      <c r="Q6" s="69"/>
      <c r="R6" s="69"/>
      <c r="S6" s="69"/>
      <c r="T6" s="69"/>
      <c r="U6" s="70"/>
      <c r="V6" s="70"/>
      <c r="W6" s="71"/>
      <c r="X6"/>
    </row>
    <row r="7" spans="1:24" s="5" customFormat="1">
      <c r="A7" s="71"/>
      <c r="B7" s="71"/>
      <c r="C7" s="71"/>
      <c r="D7" s="69"/>
      <c r="E7"/>
      <c r="F7" s="69"/>
      <c r="G7" s="69"/>
      <c r="H7" s="69"/>
      <c r="I7" s="69"/>
      <c r="J7" s="69"/>
      <c r="K7" s="69"/>
      <c r="L7" s="69"/>
      <c r="M7" s="69"/>
      <c r="N7" s="69"/>
      <c r="O7" s="69"/>
      <c r="P7" s="69"/>
      <c r="Q7" s="69"/>
      <c r="R7" s="69"/>
      <c r="S7" s="69"/>
      <c r="T7" s="69"/>
      <c r="U7" s="70"/>
      <c r="V7" s="70"/>
      <c r="W7" s="71"/>
      <c r="X7"/>
    </row>
    <row r="8" spans="1:24" s="5" customFormat="1">
      <c r="A8" s="71"/>
      <c r="B8" s="71"/>
      <c r="C8" s="71"/>
      <c r="D8" s="69"/>
      <c r="E8"/>
      <c r="F8" s="69"/>
      <c r="G8" s="69"/>
      <c r="H8" s="69"/>
      <c r="I8" s="69"/>
      <c r="J8" s="69"/>
      <c r="K8" s="69"/>
      <c r="L8" s="69"/>
      <c r="M8" s="69"/>
      <c r="N8" s="69"/>
      <c r="O8" s="69"/>
      <c r="P8" s="69"/>
      <c r="Q8" s="69"/>
      <c r="R8" s="69"/>
      <c r="S8" s="69"/>
      <c r="T8" s="69"/>
      <c r="U8" s="70"/>
      <c r="V8" s="70"/>
      <c r="W8" s="71"/>
      <c r="X8"/>
    </row>
    <row r="9" spans="1:24" s="5" customFormat="1">
      <c r="A9" s="71"/>
      <c r="B9" s="71"/>
      <c r="C9" s="71"/>
      <c r="D9" s="69"/>
      <c r="E9"/>
      <c r="F9" s="69"/>
      <c r="G9" s="69"/>
      <c r="H9" s="69"/>
      <c r="I9" s="69"/>
      <c r="J9" s="69"/>
      <c r="K9" s="69"/>
      <c r="L9" s="69"/>
      <c r="M9" s="69"/>
      <c r="N9" s="69"/>
      <c r="O9" s="69"/>
      <c r="P9" s="69"/>
      <c r="Q9" s="69"/>
      <c r="R9" s="69"/>
      <c r="S9" s="69"/>
      <c r="T9" s="69"/>
      <c r="U9" s="70"/>
      <c r="V9" s="70"/>
      <c r="W9" s="71"/>
      <c r="X9"/>
    </row>
    <row r="10" spans="1:24" s="5" customFormat="1">
      <c r="A10" s="71"/>
      <c r="B10" s="71"/>
      <c r="C10" s="71"/>
      <c r="D10" s="69"/>
      <c r="E10"/>
      <c r="F10" s="69"/>
      <c r="G10" s="69"/>
      <c r="H10" s="69"/>
      <c r="I10" s="69"/>
      <c r="J10" s="69"/>
      <c r="K10" s="69"/>
      <c r="L10" s="69"/>
      <c r="M10" s="69"/>
      <c r="N10" s="69"/>
      <c r="O10" s="69"/>
      <c r="P10" s="69"/>
      <c r="Q10" s="69"/>
      <c r="R10" s="69"/>
      <c r="S10" s="69"/>
      <c r="T10" s="69"/>
      <c r="U10" s="70"/>
      <c r="V10" s="70"/>
      <c r="W10" s="71"/>
      <c r="X10"/>
    </row>
    <row r="11" spans="1:24" s="5" customFormat="1">
      <c r="A11" s="71"/>
      <c r="B11" s="71"/>
      <c r="C11" s="71"/>
      <c r="D11" s="69"/>
      <c r="E11"/>
      <c r="F11" s="69"/>
      <c r="G11" s="69"/>
      <c r="H11" s="69"/>
      <c r="I11" s="69"/>
      <c r="J11" s="69"/>
      <c r="K11" s="69"/>
      <c r="L11" s="69"/>
      <c r="M11" s="69"/>
      <c r="N11" s="69"/>
      <c r="O11" s="69"/>
      <c r="P11" s="69"/>
      <c r="Q11" s="69"/>
      <c r="R11" s="69"/>
      <c r="S11" s="69"/>
      <c r="T11" s="69"/>
      <c r="U11" s="70"/>
      <c r="V11" s="70"/>
      <c r="W11" s="71"/>
      <c r="X11"/>
    </row>
    <row r="12" spans="1:24" s="5" customFormat="1">
      <c r="A12" s="71"/>
      <c r="B12" s="71"/>
      <c r="C12" s="71"/>
      <c r="D12" s="69"/>
      <c r="E12"/>
      <c r="F12" s="69"/>
      <c r="G12" s="69"/>
      <c r="H12" s="69"/>
      <c r="I12" s="69"/>
      <c r="J12" s="69"/>
      <c r="K12" s="69"/>
      <c r="L12" s="69"/>
      <c r="M12" s="69"/>
      <c r="N12" s="69"/>
      <c r="O12" s="69"/>
      <c r="P12" s="69"/>
      <c r="Q12" s="69"/>
      <c r="R12" s="69"/>
      <c r="S12" s="69"/>
      <c r="T12" s="69"/>
      <c r="U12" s="70"/>
      <c r="V12" s="70"/>
      <c r="W12" s="71"/>
      <c r="X12"/>
    </row>
    <row r="13" spans="1:24" s="5" customFormat="1">
      <c r="A13" s="71"/>
      <c r="B13" s="71"/>
      <c r="C13" s="71"/>
      <c r="D13" s="69"/>
      <c r="E13"/>
      <c r="F13" s="69"/>
      <c r="G13" s="69"/>
      <c r="H13" s="69"/>
      <c r="I13" s="69"/>
      <c r="J13" s="69"/>
      <c r="K13" s="69"/>
      <c r="L13" s="69"/>
      <c r="M13" s="69"/>
      <c r="N13" s="69"/>
      <c r="O13" s="69"/>
      <c r="P13" s="69"/>
      <c r="Q13" s="69"/>
      <c r="R13" s="69"/>
      <c r="S13" s="69"/>
      <c r="T13" s="69"/>
      <c r="U13" s="70"/>
      <c r="V13" s="70"/>
      <c r="W13" s="71"/>
      <c r="X13"/>
    </row>
    <row r="14" spans="1:24">
      <c r="A14" s="71"/>
      <c r="B14" s="71"/>
      <c r="C14" s="71"/>
      <c r="D14" s="69"/>
      <c r="E14"/>
      <c r="F14" s="69"/>
      <c r="G14" s="69"/>
      <c r="H14" s="69"/>
      <c r="I14" s="69"/>
      <c r="J14" s="69"/>
      <c r="K14" s="69"/>
      <c r="L14" s="69"/>
      <c r="M14" s="69"/>
      <c r="N14" s="69"/>
      <c r="O14" s="69"/>
      <c r="P14" s="69"/>
      <c r="Q14" s="69"/>
      <c r="R14" s="69"/>
      <c r="S14" s="69"/>
      <c r="T14" s="69"/>
      <c r="U14" s="70"/>
      <c r="V14" s="70"/>
      <c r="W14" s="71"/>
      <c r="X14"/>
    </row>
    <row r="15" spans="1:24">
      <c r="A15" s="71"/>
      <c r="B15" s="71"/>
      <c r="C15" s="71"/>
      <c r="D15" s="69"/>
      <c r="E15"/>
      <c r="F15" s="69"/>
      <c r="G15" s="69"/>
      <c r="H15" s="69"/>
      <c r="I15" s="69"/>
      <c r="J15" s="69"/>
      <c r="K15" s="69"/>
      <c r="L15" s="69"/>
      <c r="M15" s="69"/>
      <c r="N15" s="69"/>
      <c r="O15" s="69"/>
      <c r="P15" s="69"/>
      <c r="Q15" s="69"/>
      <c r="R15" s="69"/>
      <c r="S15" s="69"/>
      <c r="T15" s="69"/>
      <c r="U15" s="70"/>
      <c r="V15" s="70"/>
      <c r="W15" s="71"/>
      <c r="X15"/>
    </row>
    <row r="16" spans="1:24">
      <c r="A16" s="71"/>
      <c r="B16" s="71"/>
      <c r="C16" s="71"/>
      <c r="D16" s="69"/>
      <c r="E16"/>
      <c r="F16" s="69"/>
      <c r="G16" s="69"/>
      <c r="H16" s="69"/>
      <c r="I16" s="69"/>
      <c r="J16" s="69"/>
      <c r="K16" s="69"/>
      <c r="L16" s="69"/>
      <c r="M16" s="69"/>
      <c r="N16" s="69"/>
      <c r="O16" s="69"/>
      <c r="P16" s="69"/>
      <c r="Q16" s="69"/>
      <c r="R16" s="69"/>
      <c r="S16" s="69"/>
      <c r="T16" s="69"/>
      <c r="U16" s="70"/>
      <c r="V16" s="70"/>
      <c r="W16" s="71"/>
      <c r="X16"/>
    </row>
    <row r="17" spans="1:24">
      <c r="A17" s="71"/>
      <c r="B17" s="71"/>
      <c r="C17" s="71"/>
      <c r="D17" s="69"/>
      <c r="E17"/>
      <c r="F17" s="69"/>
      <c r="G17" s="69"/>
      <c r="H17" s="69"/>
      <c r="I17" s="69"/>
      <c r="J17" s="69"/>
      <c r="K17" s="69"/>
      <c r="L17" s="69"/>
      <c r="M17" s="69"/>
      <c r="N17" s="69"/>
      <c r="O17" s="69"/>
      <c r="P17" s="69"/>
      <c r="Q17" s="69"/>
      <c r="R17" s="69"/>
      <c r="S17" s="69"/>
      <c r="T17" s="69"/>
      <c r="U17" s="70"/>
      <c r="V17" s="70"/>
      <c r="W17" s="71"/>
      <c r="X17"/>
    </row>
    <row r="18" spans="1:24">
      <c r="A18" s="71"/>
      <c r="B18" s="71"/>
      <c r="C18" s="71"/>
      <c r="D18" s="69"/>
      <c r="E18"/>
      <c r="F18" s="69"/>
      <c r="G18" s="69"/>
      <c r="H18" s="69"/>
      <c r="I18" s="69"/>
      <c r="J18" s="69"/>
      <c r="K18" s="69"/>
      <c r="L18" s="69"/>
      <c r="M18" s="69"/>
      <c r="N18" s="69"/>
      <c r="O18" s="69"/>
      <c r="P18" s="69"/>
      <c r="Q18" s="69"/>
      <c r="R18" s="69"/>
      <c r="S18" s="69"/>
      <c r="T18" s="69"/>
      <c r="U18" s="70"/>
      <c r="V18" s="70"/>
      <c r="W18" s="71"/>
      <c r="X18"/>
    </row>
    <row r="19" spans="1:24">
      <c r="A19" s="71"/>
      <c r="B19" s="71"/>
      <c r="C19" s="71"/>
      <c r="D19" s="69"/>
      <c r="E19"/>
      <c r="F19" s="69"/>
      <c r="G19" s="69"/>
      <c r="H19" s="69"/>
      <c r="I19" s="69"/>
      <c r="J19" s="69"/>
      <c r="K19" s="69"/>
      <c r="L19" s="69"/>
      <c r="M19" s="69"/>
      <c r="N19" s="69"/>
      <c r="O19" s="69"/>
      <c r="P19" s="69"/>
      <c r="Q19" s="69"/>
      <c r="R19" s="69"/>
      <c r="S19" s="69"/>
      <c r="T19" s="69"/>
      <c r="U19" s="70"/>
      <c r="V19" s="70"/>
      <c r="W19" s="71"/>
      <c r="X19"/>
    </row>
    <row r="20" spans="1:24">
      <c r="A20" s="71"/>
      <c r="B20" s="71"/>
      <c r="C20" s="71"/>
      <c r="D20" s="69"/>
      <c r="E20"/>
      <c r="F20" s="69"/>
      <c r="G20" s="69"/>
      <c r="H20" s="69"/>
      <c r="I20" s="69"/>
      <c r="J20" s="69"/>
      <c r="K20" s="69"/>
      <c r="L20" s="69"/>
      <c r="M20" s="69"/>
      <c r="N20" s="69"/>
      <c r="O20" s="69"/>
      <c r="P20" s="69"/>
      <c r="Q20" s="69"/>
      <c r="R20" s="69"/>
      <c r="S20" s="69"/>
      <c r="T20" s="69"/>
      <c r="U20" s="70"/>
      <c r="V20" s="70"/>
      <c r="W20" s="71"/>
      <c r="X20"/>
    </row>
    <row r="21" spans="1:24">
      <c r="A21" s="71"/>
      <c r="B21" s="71"/>
      <c r="C21" s="71"/>
      <c r="D21" s="69"/>
      <c r="E21"/>
      <c r="F21" s="69"/>
      <c r="G21" s="69"/>
      <c r="H21" s="69"/>
      <c r="I21" s="69"/>
      <c r="J21" s="69"/>
      <c r="K21" s="69"/>
      <c r="L21" s="69"/>
      <c r="M21" s="69"/>
      <c r="N21" s="69"/>
      <c r="O21" s="69"/>
      <c r="P21" s="69"/>
      <c r="Q21" s="69"/>
      <c r="R21" s="69"/>
      <c r="S21" s="69"/>
      <c r="T21" s="69"/>
      <c r="U21" s="70"/>
      <c r="V21" s="70"/>
      <c r="W21" s="71"/>
      <c r="X21"/>
    </row>
    <row r="22" spans="1:24">
      <c r="A22" s="71"/>
      <c r="B22" s="71"/>
      <c r="C22" s="71"/>
      <c r="D22" s="69"/>
      <c r="E22"/>
      <c r="F22" s="69"/>
      <c r="G22" s="69"/>
      <c r="H22" s="69"/>
      <c r="I22" s="69"/>
      <c r="J22" s="69"/>
      <c r="K22" s="69"/>
      <c r="L22" s="69"/>
      <c r="M22" s="69"/>
      <c r="N22" s="69"/>
      <c r="O22" s="69"/>
      <c r="P22" s="69"/>
      <c r="Q22" s="69"/>
      <c r="R22" s="69"/>
      <c r="S22" s="69"/>
      <c r="T22" s="69"/>
      <c r="U22" s="70"/>
      <c r="V22" s="70"/>
      <c r="W22" s="71"/>
      <c r="X22"/>
    </row>
    <row r="23" spans="1:24">
      <c r="A23" s="71"/>
      <c r="B23" s="71"/>
      <c r="C23" s="71"/>
      <c r="D23" s="69"/>
      <c r="E23"/>
      <c r="F23" s="69"/>
      <c r="G23" s="69"/>
      <c r="H23" s="69"/>
      <c r="I23" s="69"/>
      <c r="J23" s="69"/>
      <c r="K23" s="69"/>
      <c r="L23" s="69"/>
      <c r="M23" s="69"/>
      <c r="N23" s="69"/>
      <c r="O23" s="69"/>
      <c r="P23" s="69"/>
      <c r="Q23" s="69"/>
      <c r="R23" s="69"/>
      <c r="S23" s="69"/>
      <c r="T23" s="69"/>
      <c r="U23" s="70"/>
      <c r="V23" s="70"/>
      <c r="W23" s="71"/>
      <c r="X23"/>
    </row>
    <row r="24" spans="1:24">
      <c r="A24" s="71"/>
      <c r="B24" s="71"/>
      <c r="C24" s="71"/>
      <c r="D24" s="69"/>
      <c r="E24"/>
      <c r="F24" s="69"/>
      <c r="G24" s="69"/>
      <c r="H24" s="69"/>
      <c r="I24" s="69"/>
      <c r="J24" s="69"/>
      <c r="K24" s="69"/>
      <c r="L24" s="69"/>
      <c r="M24" s="69"/>
      <c r="N24" s="69"/>
      <c r="O24" s="69"/>
      <c r="P24" s="69"/>
      <c r="Q24" s="69"/>
      <c r="R24" s="69"/>
      <c r="S24" s="69"/>
      <c r="T24" s="69"/>
      <c r="U24" s="70"/>
      <c r="V24" s="70"/>
      <c r="W24" s="71"/>
      <c r="X24"/>
    </row>
    <row r="25" spans="1:24">
      <c r="A25" s="71"/>
      <c r="B25" s="71"/>
      <c r="C25" s="71"/>
      <c r="D25" s="69"/>
      <c r="E25"/>
      <c r="F25" s="69"/>
      <c r="G25" s="69"/>
      <c r="H25" s="69"/>
      <c r="I25" s="69"/>
      <c r="J25" s="69"/>
      <c r="K25" s="69"/>
      <c r="L25" s="69"/>
      <c r="M25" s="69"/>
      <c r="N25" s="69"/>
      <c r="O25" s="69"/>
      <c r="P25" s="69"/>
      <c r="Q25" s="69"/>
      <c r="R25" s="69"/>
      <c r="S25" s="69"/>
      <c r="T25" s="69"/>
      <c r="U25" s="70"/>
      <c r="V25" s="70"/>
      <c r="W25" s="71"/>
      <c r="X25"/>
    </row>
    <row r="26" spans="1:24">
      <c r="A26" s="71"/>
      <c r="B26" s="71"/>
      <c r="C26" s="71"/>
      <c r="D26" s="69"/>
      <c r="E26"/>
      <c r="F26" s="69"/>
      <c r="G26" s="69"/>
      <c r="H26" s="69"/>
      <c r="I26" s="69"/>
      <c r="J26" s="69"/>
      <c r="K26" s="69"/>
      <c r="L26" s="69"/>
      <c r="M26" s="69"/>
      <c r="N26" s="69"/>
      <c r="O26" s="69"/>
      <c r="P26" s="69"/>
      <c r="Q26" s="69"/>
      <c r="R26" s="69"/>
      <c r="S26" s="69"/>
      <c r="T26" s="69"/>
      <c r="U26" s="70"/>
      <c r="V26" s="70"/>
      <c r="W26" s="71"/>
      <c r="X26"/>
    </row>
    <row r="27" spans="1:24">
      <c r="A27" s="71"/>
      <c r="B27" s="71"/>
      <c r="C27" s="71"/>
      <c r="D27" s="69"/>
      <c r="E27"/>
      <c r="F27" s="69"/>
      <c r="G27" s="69"/>
      <c r="H27" s="69"/>
      <c r="I27" s="69"/>
      <c r="J27" s="69"/>
      <c r="K27" s="69"/>
      <c r="L27" s="69"/>
      <c r="M27" s="69"/>
      <c r="N27" s="69"/>
      <c r="O27" s="69"/>
      <c r="P27" s="69"/>
      <c r="Q27" s="69"/>
      <c r="R27" s="69"/>
      <c r="S27" s="69"/>
      <c r="T27" s="69"/>
      <c r="U27" s="70"/>
      <c r="V27" s="70"/>
      <c r="W27" s="71"/>
      <c r="X27"/>
    </row>
    <row r="28" spans="1:24">
      <c r="A28" s="71"/>
      <c r="B28" s="71"/>
      <c r="C28" s="71"/>
      <c r="D28" s="69"/>
      <c r="E28"/>
      <c r="F28" s="69"/>
      <c r="G28" s="69"/>
      <c r="H28" s="69"/>
      <c r="I28" s="69"/>
      <c r="J28" s="69"/>
      <c r="K28" s="69"/>
      <c r="L28" s="69"/>
      <c r="M28" s="69"/>
      <c r="N28" s="69"/>
      <c r="O28" s="69"/>
      <c r="P28" s="69"/>
      <c r="Q28" s="69"/>
      <c r="R28" s="69"/>
      <c r="S28" s="69"/>
      <c r="T28" s="69"/>
      <c r="U28" s="70"/>
      <c r="V28" s="70"/>
      <c r="W28" s="71"/>
      <c r="X28"/>
    </row>
    <row r="29" spans="1:24">
      <c r="A29" s="71"/>
      <c r="B29" s="71"/>
      <c r="C29" s="71"/>
      <c r="D29" s="69"/>
      <c r="E29"/>
      <c r="F29" s="69"/>
      <c r="G29" s="69"/>
      <c r="H29" s="69"/>
      <c r="I29" s="69"/>
      <c r="J29" s="69"/>
      <c r="K29" s="69"/>
      <c r="L29" s="69"/>
      <c r="M29" s="69"/>
      <c r="N29" s="69"/>
      <c r="O29" s="69"/>
      <c r="P29" s="69"/>
      <c r="Q29" s="69"/>
      <c r="R29" s="69"/>
      <c r="S29" s="69"/>
      <c r="T29" s="69"/>
      <c r="U29" s="70"/>
      <c r="V29" s="70"/>
      <c r="W29" s="71"/>
      <c r="X29"/>
    </row>
    <row r="30" spans="1:24">
      <c r="A30" s="71"/>
      <c r="B30" s="71"/>
      <c r="C30" s="71"/>
      <c r="D30" s="69"/>
      <c r="E30"/>
      <c r="F30" s="69"/>
      <c r="G30" s="69"/>
      <c r="H30" s="69"/>
      <c r="I30" s="69"/>
      <c r="J30" s="69"/>
      <c r="K30" s="69"/>
      <c r="L30" s="69"/>
      <c r="M30" s="69"/>
      <c r="N30" s="69"/>
      <c r="O30" s="69"/>
      <c r="P30" s="69"/>
      <c r="Q30" s="69"/>
      <c r="R30" s="69"/>
      <c r="S30" s="69"/>
      <c r="T30" s="69"/>
      <c r="U30" s="70"/>
      <c r="V30" s="70"/>
      <c r="W30" s="71"/>
      <c r="X30"/>
    </row>
    <row r="31" spans="1:24">
      <c r="A31" s="71"/>
      <c r="B31" s="71"/>
      <c r="C31" s="71"/>
      <c r="D31" s="69"/>
      <c r="E31"/>
      <c r="F31" s="69"/>
      <c r="G31" s="69"/>
      <c r="H31" s="69"/>
      <c r="I31" s="69"/>
      <c r="J31" s="69"/>
      <c r="K31" s="69"/>
      <c r="L31" s="69"/>
      <c r="M31" s="69"/>
      <c r="N31" s="69"/>
      <c r="O31" s="69"/>
      <c r="P31" s="69"/>
      <c r="Q31" s="69"/>
      <c r="R31" s="69"/>
      <c r="S31" s="69"/>
      <c r="T31" s="69"/>
      <c r="U31" s="70"/>
      <c r="V31" s="70"/>
      <c r="W31" s="71"/>
      <c r="X31"/>
    </row>
    <row r="32" spans="1:24">
      <c r="A32" s="71"/>
      <c r="B32" s="71"/>
      <c r="C32" s="71"/>
      <c r="D32" s="69"/>
      <c r="E32"/>
      <c r="F32" s="69"/>
      <c r="G32" s="69"/>
      <c r="H32" s="69"/>
      <c r="I32" s="69"/>
      <c r="J32" s="69"/>
      <c r="K32" s="69"/>
      <c r="L32" s="69"/>
      <c r="M32" s="69"/>
      <c r="N32" s="69"/>
      <c r="O32" s="69"/>
      <c r="P32" s="69"/>
      <c r="Q32" s="69"/>
      <c r="R32" s="69"/>
      <c r="S32" s="69"/>
      <c r="T32" s="69"/>
      <c r="U32" s="70"/>
      <c r="V32" s="70"/>
      <c r="W32" s="71"/>
      <c r="X32"/>
    </row>
    <row r="33" spans="1:24">
      <c r="A33" s="71"/>
      <c r="B33" s="71"/>
      <c r="C33" s="71"/>
      <c r="D33" s="69"/>
      <c r="E33"/>
      <c r="F33" s="69"/>
      <c r="G33" s="69"/>
      <c r="H33" s="69"/>
      <c r="I33" s="69"/>
      <c r="J33" s="69"/>
      <c r="K33" s="69"/>
      <c r="L33" s="69"/>
      <c r="M33" s="69"/>
      <c r="N33" s="69"/>
      <c r="O33" s="69"/>
      <c r="P33" s="69"/>
      <c r="Q33" s="69"/>
      <c r="R33" s="69"/>
      <c r="S33" s="69"/>
      <c r="T33" s="69"/>
      <c r="U33" s="70"/>
      <c r="V33" s="70"/>
      <c r="W33" s="71"/>
      <c r="X33"/>
    </row>
    <row r="34" spans="1:24">
      <c r="A34" s="71"/>
      <c r="B34" s="71"/>
      <c r="C34" s="71"/>
      <c r="D34" s="69"/>
      <c r="E34"/>
      <c r="F34" s="69"/>
      <c r="G34" s="69"/>
      <c r="H34" s="69"/>
      <c r="I34" s="69"/>
      <c r="J34" s="69"/>
      <c r="K34" s="69"/>
      <c r="L34" s="69"/>
      <c r="M34" s="69"/>
      <c r="N34" s="69"/>
      <c r="O34" s="69"/>
      <c r="P34" s="69"/>
      <c r="Q34" s="69"/>
      <c r="R34" s="69"/>
      <c r="S34" s="69"/>
      <c r="T34" s="69"/>
      <c r="U34" s="70"/>
      <c r="V34" s="70"/>
      <c r="W34" s="71"/>
      <c r="X34"/>
    </row>
    <row r="35" spans="1:24">
      <c r="A35" s="71"/>
      <c r="B35" s="71"/>
      <c r="C35" s="71"/>
      <c r="D35" s="69"/>
      <c r="E35"/>
      <c r="F35" s="69"/>
      <c r="G35" s="69"/>
      <c r="H35" s="69"/>
      <c r="I35" s="69"/>
      <c r="J35" s="69"/>
      <c r="K35" s="69"/>
      <c r="L35" s="69"/>
      <c r="M35" s="69"/>
      <c r="N35" s="69"/>
      <c r="O35" s="69"/>
      <c r="P35" s="69"/>
      <c r="Q35" s="69"/>
      <c r="R35" s="69"/>
      <c r="S35" s="69"/>
      <c r="T35" s="69"/>
      <c r="U35" s="70"/>
      <c r="V35" s="70"/>
      <c r="W35" s="71"/>
      <c r="X35"/>
    </row>
    <row r="36" spans="1:24">
      <c r="A36" s="71"/>
      <c r="B36" s="71"/>
      <c r="C36" s="71"/>
      <c r="D36" s="69"/>
      <c r="E36"/>
      <c r="F36" s="69"/>
      <c r="G36" s="69"/>
      <c r="H36" s="69"/>
      <c r="I36" s="69"/>
      <c r="J36" s="69"/>
      <c r="K36" s="69"/>
      <c r="L36" s="69"/>
      <c r="M36" s="69"/>
      <c r="N36" s="69"/>
      <c r="O36" s="69"/>
      <c r="P36" s="69"/>
      <c r="Q36" s="69"/>
      <c r="R36" s="69"/>
      <c r="S36" s="69"/>
      <c r="T36" s="69"/>
      <c r="U36" s="70"/>
      <c r="V36" s="70"/>
      <c r="W36" s="71"/>
      <c r="X36"/>
    </row>
    <row r="37" spans="1:24">
      <c r="A37" s="71"/>
      <c r="B37" s="71"/>
      <c r="C37" s="71"/>
      <c r="D37" s="69"/>
      <c r="E37"/>
      <c r="F37" s="69"/>
      <c r="G37" s="69"/>
      <c r="H37" s="69"/>
      <c r="I37" s="69"/>
      <c r="J37" s="69"/>
      <c r="K37" s="69"/>
      <c r="L37" s="69"/>
      <c r="M37" s="69"/>
      <c r="N37" s="69"/>
      <c r="O37" s="69"/>
      <c r="P37" s="69"/>
      <c r="Q37" s="69"/>
      <c r="R37" s="69"/>
      <c r="S37" s="69"/>
      <c r="T37" s="69"/>
      <c r="U37" s="70"/>
      <c r="V37" s="70"/>
      <c r="W37" s="71"/>
      <c r="X37"/>
    </row>
    <row r="38" spans="1:24">
      <c r="A38" s="71"/>
      <c r="B38" s="71"/>
      <c r="C38" s="71"/>
      <c r="D38" s="69"/>
      <c r="E38"/>
      <c r="F38" s="69"/>
      <c r="G38" s="69"/>
      <c r="H38" s="69"/>
      <c r="I38" s="69"/>
      <c r="J38" s="69"/>
      <c r="K38" s="69"/>
      <c r="L38" s="69"/>
      <c r="M38" s="69"/>
      <c r="N38" s="69"/>
      <c r="O38" s="69"/>
      <c r="P38" s="69"/>
      <c r="Q38" s="69"/>
      <c r="R38" s="69"/>
      <c r="S38" s="69"/>
      <c r="T38" s="69"/>
      <c r="U38" s="70"/>
      <c r="V38" s="70"/>
      <c r="W38" s="71"/>
      <c r="X38"/>
    </row>
    <row r="39" spans="1:24">
      <c r="A39" s="71"/>
      <c r="B39" s="71"/>
      <c r="C39" s="71"/>
      <c r="D39" s="69"/>
      <c r="E39"/>
      <c r="F39" s="69"/>
      <c r="G39" s="69"/>
      <c r="H39" s="69"/>
      <c r="I39" s="69"/>
      <c r="J39" s="69"/>
      <c r="K39" s="69"/>
      <c r="L39" s="69"/>
      <c r="M39" s="69"/>
      <c r="N39" s="69"/>
      <c r="O39" s="69"/>
      <c r="P39" s="69"/>
      <c r="Q39" s="69"/>
      <c r="R39" s="69"/>
      <c r="S39" s="69"/>
      <c r="T39" s="69"/>
      <c r="U39" s="70"/>
      <c r="V39" s="70"/>
      <c r="W39" s="71"/>
      <c r="X39"/>
    </row>
    <row r="40" spans="1:24">
      <c r="A40" s="71"/>
      <c r="B40" s="71"/>
      <c r="C40" s="71"/>
      <c r="D40" s="69"/>
      <c r="E40"/>
      <c r="F40" s="69"/>
      <c r="G40" s="69"/>
      <c r="H40" s="69"/>
      <c r="I40" s="69"/>
      <c r="J40" s="69"/>
      <c r="K40" s="69"/>
      <c r="L40" s="69"/>
      <c r="M40" s="69"/>
      <c r="N40" s="69"/>
      <c r="O40" s="69"/>
      <c r="P40" s="69"/>
      <c r="Q40" s="69"/>
      <c r="R40" s="69"/>
      <c r="S40" s="69"/>
      <c r="T40" s="69"/>
      <c r="U40" s="70"/>
      <c r="V40" s="70"/>
      <c r="W40" s="71"/>
      <c r="X40"/>
    </row>
    <row r="41" spans="1:24">
      <c r="A41" s="71"/>
      <c r="B41" s="71"/>
      <c r="C41" s="71"/>
      <c r="D41" s="69"/>
      <c r="E41"/>
      <c r="F41" s="69"/>
      <c r="G41" s="69"/>
      <c r="H41" s="69"/>
      <c r="I41" s="69"/>
      <c r="J41" s="69"/>
      <c r="K41" s="69"/>
      <c r="L41" s="69"/>
      <c r="M41" s="69"/>
      <c r="N41" s="69"/>
      <c r="O41" s="69"/>
      <c r="P41" s="69"/>
      <c r="Q41" s="69"/>
      <c r="R41" s="69"/>
      <c r="S41" s="69"/>
      <c r="T41" s="69"/>
      <c r="U41" s="70"/>
      <c r="V41" s="70"/>
      <c r="W41" s="71"/>
      <c r="X41"/>
    </row>
    <row r="42" spans="1:24">
      <c r="A42" s="71"/>
      <c r="B42" s="71"/>
      <c r="C42" s="71"/>
      <c r="D42" s="69"/>
      <c r="E42"/>
      <c r="F42" s="69"/>
      <c r="G42" s="69"/>
      <c r="H42" s="69"/>
      <c r="I42" s="69"/>
      <c r="J42" s="69"/>
      <c r="K42" s="69"/>
      <c r="L42" s="69"/>
      <c r="M42" s="69"/>
      <c r="N42" s="69"/>
      <c r="O42" s="69"/>
      <c r="P42" s="69"/>
      <c r="Q42" s="69"/>
      <c r="R42" s="69"/>
      <c r="S42" s="69"/>
      <c r="T42" s="69"/>
      <c r="U42" s="70"/>
      <c r="V42" s="70"/>
      <c r="W42" s="71"/>
      <c r="X42"/>
    </row>
    <row r="43" spans="1:24">
      <c r="A43" s="71"/>
      <c r="B43" s="71"/>
      <c r="C43" s="71"/>
      <c r="D43" s="69"/>
      <c r="E43"/>
      <c r="F43" s="69"/>
      <c r="G43" s="69"/>
      <c r="H43" s="69"/>
      <c r="I43" s="69"/>
      <c r="J43" s="69"/>
      <c r="K43" s="69"/>
      <c r="L43" s="69"/>
      <c r="M43" s="69"/>
      <c r="N43" s="69"/>
      <c r="O43" s="69"/>
      <c r="P43" s="69"/>
      <c r="Q43" s="69"/>
      <c r="R43" s="69"/>
      <c r="S43" s="69"/>
      <c r="T43" s="69"/>
      <c r="U43" s="70"/>
      <c r="V43" s="70"/>
      <c r="W43" s="71"/>
      <c r="X43"/>
    </row>
    <row r="44" spans="1:24">
      <c r="A44" s="71"/>
      <c r="B44" s="71"/>
      <c r="C44" s="71"/>
      <c r="D44" s="69"/>
      <c r="E44"/>
      <c r="F44" s="69"/>
      <c r="G44" s="69"/>
      <c r="H44" s="69"/>
      <c r="I44" s="69"/>
      <c r="J44" s="69"/>
      <c r="K44" s="69"/>
      <c r="L44" s="69"/>
      <c r="M44" s="69"/>
      <c r="N44" s="69"/>
      <c r="O44" s="69"/>
      <c r="P44" s="69"/>
      <c r="Q44" s="69"/>
      <c r="R44" s="69"/>
      <c r="S44" s="69"/>
      <c r="T44" s="69"/>
      <c r="U44" s="70"/>
      <c r="V44" s="70"/>
      <c r="W44" s="71"/>
      <c r="X44"/>
    </row>
    <row r="45" spans="1:24">
      <c r="A45" s="71"/>
      <c r="B45" s="71"/>
      <c r="C45" s="71"/>
      <c r="D45" s="69"/>
      <c r="E45"/>
      <c r="F45" s="69"/>
      <c r="G45" s="69"/>
      <c r="H45" s="69"/>
      <c r="I45" s="69"/>
      <c r="J45" s="69"/>
      <c r="K45" s="69"/>
      <c r="L45" s="69"/>
      <c r="M45" s="69"/>
      <c r="N45" s="69"/>
      <c r="O45" s="69"/>
      <c r="P45" s="69"/>
      <c r="Q45" s="69"/>
      <c r="R45" s="69"/>
      <c r="S45" s="69"/>
      <c r="T45" s="69"/>
      <c r="U45" s="70"/>
      <c r="V45" s="70"/>
      <c r="W45" s="71"/>
      <c r="X45"/>
    </row>
    <row r="46" spans="1:24">
      <c r="A46" s="71"/>
      <c r="B46" s="71"/>
      <c r="C46" s="71"/>
      <c r="D46" s="69"/>
      <c r="E46"/>
      <c r="F46" s="69"/>
      <c r="G46" s="69"/>
      <c r="H46" s="69"/>
      <c r="I46" s="69"/>
      <c r="J46" s="69"/>
      <c r="K46" s="69"/>
      <c r="L46" s="69"/>
      <c r="M46" s="69"/>
      <c r="N46" s="69"/>
      <c r="O46" s="69"/>
      <c r="P46" s="69"/>
      <c r="Q46" s="69"/>
      <c r="R46" s="69"/>
      <c r="S46" s="69"/>
      <c r="T46" s="69"/>
      <c r="U46" s="70"/>
      <c r="V46" s="70"/>
      <c r="W46" s="71"/>
      <c r="X46"/>
    </row>
    <row r="47" spans="1:24">
      <c r="A47" s="71"/>
      <c r="B47" s="71"/>
      <c r="C47" s="71"/>
      <c r="D47" s="69"/>
      <c r="E47"/>
      <c r="F47" s="69"/>
      <c r="G47" s="69"/>
      <c r="H47" s="69"/>
      <c r="I47" s="69"/>
      <c r="J47" s="69"/>
      <c r="K47" s="69"/>
      <c r="L47" s="69"/>
      <c r="M47" s="69"/>
      <c r="N47" s="69"/>
      <c r="O47" s="69"/>
      <c r="P47" s="69"/>
      <c r="Q47" s="69"/>
      <c r="R47" s="69"/>
      <c r="S47" s="69"/>
      <c r="T47" s="69"/>
      <c r="U47" s="70"/>
      <c r="V47" s="70"/>
      <c r="W47" s="71"/>
      <c r="X47"/>
    </row>
    <row r="48" spans="1:24">
      <c r="A48" s="71"/>
      <c r="B48" s="71"/>
      <c r="C48" s="71"/>
      <c r="D48" s="69"/>
      <c r="E48"/>
      <c r="F48" s="69"/>
      <c r="G48" s="69"/>
      <c r="H48" s="69"/>
      <c r="I48" s="69"/>
      <c r="J48" s="69"/>
      <c r="K48" s="69"/>
      <c r="L48" s="69"/>
      <c r="M48" s="69"/>
      <c r="N48" s="69"/>
      <c r="O48" s="69"/>
      <c r="P48" s="69"/>
      <c r="Q48" s="69"/>
      <c r="R48" s="69"/>
      <c r="S48" s="69"/>
      <c r="T48" s="69"/>
      <c r="U48" s="70"/>
      <c r="V48" s="70"/>
      <c r="W48" s="71"/>
      <c r="X48"/>
    </row>
    <row r="49" spans="1:24">
      <c r="A49" s="71"/>
      <c r="B49" s="71"/>
      <c r="C49" s="71"/>
      <c r="D49" s="69"/>
      <c r="E49"/>
      <c r="F49" s="69"/>
      <c r="G49" s="69"/>
      <c r="H49" s="69"/>
      <c r="I49" s="69"/>
      <c r="J49" s="69"/>
      <c r="K49" s="69"/>
      <c r="L49" s="69"/>
      <c r="M49" s="69"/>
      <c r="N49" s="69"/>
      <c r="O49" s="69"/>
      <c r="P49" s="69"/>
      <c r="Q49" s="69"/>
      <c r="R49" s="69"/>
      <c r="S49" s="69"/>
      <c r="T49" s="69"/>
      <c r="U49" s="70"/>
      <c r="V49" s="70"/>
      <c r="W49" s="71"/>
      <c r="X49"/>
    </row>
    <row r="50" spans="1:24">
      <c r="A50" s="71"/>
      <c r="B50" s="71"/>
      <c r="C50" s="71"/>
      <c r="D50" s="69"/>
      <c r="E50"/>
      <c r="F50" s="69"/>
      <c r="G50" s="69"/>
      <c r="H50" s="69"/>
      <c r="I50" s="69"/>
      <c r="J50" s="69"/>
      <c r="K50" s="69"/>
      <c r="L50" s="69"/>
      <c r="M50" s="69"/>
      <c r="N50" s="69"/>
      <c r="O50" s="69"/>
      <c r="P50" s="69"/>
      <c r="Q50" s="69"/>
      <c r="R50" s="69"/>
      <c r="S50" s="69"/>
      <c r="T50" s="69"/>
      <c r="U50" s="70"/>
      <c r="V50" s="70"/>
      <c r="W50" s="71"/>
      <c r="X50"/>
    </row>
    <row r="51" spans="1:24">
      <c r="A51" s="71"/>
      <c r="B51" s="71"/>
      <c r="C51" s="71"/>
      <c r="D51" s="69"/>
      <c r="E51"/>
      <c r="F51" s="69"/>
      <c r="G51" s="69"/>
      <c r="H51" s="69"/>
      <c r="I51" s="69"/>
      <c r="J51" s="69"/>
      <c r="K51" s="69"/>
      <c r="L51" s="69"/>
      <c r="M51" s="69"/>
      <c r="N51" s="69"/>
      <c r="O51" s="69"/>
      <c r="P51" s="69"/>
      <c r="Q51" s="69"/>
      <c r="R51" s="69"/>
      <c r="S51" s="69"/>
      <c r="T51" s="69"/>
      <c r="U51" s="70"/>
      <c r="V51" s="70"/>
      <c r="W51" s="71"/>
      <c r="X51"/>
    </row>
    <row r="52" spans="1:24">
      <c r="A52" s="71"/>
      <c r="B52" s="71"/>
      <c r="C52" s="71"/>
      <c r="D52" s="69"/>
      <c r="E52"/>
      <c r="F52" s="69"/>
      <c r="G52" s="69"/>
      <c r="H52" s="69"/>
      <c r="I52" s="69"/>
      <c r="J52" s="69"/>
      <c r="K52" s="69"/>
      <c r="L52" s="69"/>
      <c r="M52" s="69"/>
      <c r="N52" s="69"/>
      <c r="O52" s="69"/>
      <c r="P52" s="69"/>
      <c r="Q52" s="69"/>
      <c r="R52" s="69"/>
      <c r="S52" s="69"/>
      <c r="T52" s="69"/>
      <c r="U52" s="70"/>
      <c r="V52" s="70"/>
      <c r="W52" s="71"/>
      <c r="X52"/>
    </row>
    <row r="53" spans="1:24">
      <c r="A53" s="71"/>
      <c r="B53" s="71"/>
      <c r="C53" s="71"/>
      <c r="D53" s="69"/>
      <c r="E53"/>
      <c r="F53" s="69"/>
      <c r="G53" s="69"/>
      <c r="H53" s="69"/>
      <c r="I53" s="69"/>
      <c r="J53" s="69"/>
      <c r="K53" s="69"/>
      <c r="L53" s="69"/>
      <c r="M53" s="69"/>
      <c r="N53" s="69"/>
      <c r="O53" s="69"/>
      <c r="P53" s="69"/>
      <c r="Q53" s="69"/>
      <c r="R53" s="69"/>
      <c r="S53" s="69"/>
      <c r="T53" s="69"/>
      <c r="U53" s="70"/>
      <c r="V53" s="70"/>
      <c r="W53" s="71"/>
      <c r="X53"/>
    </row>
    <row r="54" spans="1:24">
      <c r="A54" s="71"/>
      <c r="B54" s="71"/>
      <c r="C54" s="71"/>
      <c r="D54" s="69"/>
      <c r="E54"/>
      <c r="F54" s="69"/>
      <c r="G54" s="69"/>
      <c r="H54" s="69"/>
      <c r="I54" s="69"/>
      <c r="J54" s="69"/>
      <c r="K54" s="69"/>
      <c r="L54" s="69"/>
      <c r="M54" s="69"/>
      <c r="N54" s="69"/>
      <c r="O54" s="69"/>
      <c r="P54" s="69"/>
      <c r="Q54" s="69"/>
      <c r="R54" s="69"/>
      <c r="S54" s="69"/>
      <c r="T54" s="69"/>
      <c r="U54" s="70"/>
      <c r="V54" s="70"/>
      <c r="W54" s="71"/>
      <c r="X54"/>
    </row>
    <row r="55" spans="1:24">
      <c r="A55" s="71"/>
      <c r="B55" s="71"/>
      <c r="C55" s="71"/>
      <c r="D55" s="69"/>
      <c r="E55"/>
      <c r="F55" s="69"/>
      <c r="G55" s="69"/>
      <c r="H55" s="69"/>
      <c r="I55" s="69"/>
      <c r="J55" s="69"/>
      <c r="K55" s="69"/>
      <c r="L55" s="69"/>
      <c r="M55" s="69"/>
      <c r="N55" s="69"/>
      <c r="O55" s="69"/>
      <c r="P55" s="69"/>
      <c r="Q55" s="69"/>
      <c r="R55" s="69"/>
      <c r="S55" s="69"/>
      <c r="T55" s="69"/>
      <c r="U55" s="70"/>
      <c r="V55" s="70"/>
      <c r="W55" s="71"/>
      <c r="X55"/>
    </row>
    <row r="56" spans="1:24">
      <c r="A56" s="71"/>
      <c r="B56" s="71"/>
      <c r="C56" s="71"/>
      <c r="D56" s="69"/>
      <c r="E56"/>
      <c r="F56" s="69"/>
      <c r="G56" s="69"/>
      <c r="H56" s="69"/>
      <c r="I56" s="69"/>
      <c r="J56" s="69"/>
      <c r="K56" s="69"/>
      <c r="L56" s="69"/>
      <c r="M56" s="69"/>
      <c r="N56" s="69"/>
      <c r="O56" s="69"/>
      <c r="P56" s="69"/>
      <c r="Q56" s="69"/>
      <c r="R56" s="69"/>
      <c r="S56" s="69"/>
      <c r="T56" s="69"/>
      <c r="U56" s="70"/>
      <c r="V56" s="70"/>
      <c r="W56" s="71"/>
      <c r="X56"/>
    </row>
    <row r="57" spans="1:24">
      <c r="A57" s="71"/>
      <c r="B57" s="71"/>
      <c r="C57" s="71"/>
      <c r="D57" s="69"/>
      <c r="E57"/>
      <c r="F57" s="69"/>
      <c r="G57" s="69"/>
      <c r="H57" s="69"/>
      <c r="I57" s="69"/>
      <c r="J57" s="69"/>
      <c r="K57" s="69"/>
      <c r="L57" s="69"/>
      <c r="M57" s="69"/>
      <c r="N57" s="69"/>
      <c r="O57" s="69"/>
      <c r="P57" s="69"/>
      <c r="Q57" s="69"/>
      <c r="R57" s="69"/>
      <c r="S57" s="69"/>
      <c r="T57" s="69"/>
      <c r="U57" s="70"/>
      <c r="V57" s="70"/>
      <c r="W57" s="71"/>
      <c r="X57"/>
    </row>
    <row r="58" spans="1:24">
      <c r="A58" s="71"/>
      <c r="B58" s="71"/>
      <c r="C58" s="71"/>
      <c r="D58" s="69"/>
      <c r="E58"/>
      <c r="F58" s="69"/>
      <c r="G58" s="69"/>
      <c r="H58" s="69"/>
      <c r="I58" s="69"/>
      <c r="J58" s="69"/>
      <c r="K58" s="69"/>
      <c r="L58" s="69"/>
      <c r="M58" s="69"/>
      <c r="N58" s="69"/>
      <c r="O58" s="69"/>
      <c r="P58" s="69"/>
      <c r="Q58" s="69"/>
      <c r="R58" s="69"/>
      <c r="S58" s="69"/>
      <c r="T58" s="69"/>
      <c r="U58" s="70"/>
      <c r="V58" s="70"/>
      <c r="W58" s="71"/>
      <c r="X58"/>
    </row>
    <row r="59" spans="1:24">
      <c r="A59" s="71"/>
      <c r="B59" s="71"/>
      <c r="C59" s="71"/>
      <c r="D59" s="69"/>
      <c r="E59"/>
      <c r="F59" s="69"/>
      <c r="G59" s="69"/>
      <c r="H59" s="69"/>
      <c r="I59" s="69"/>
      <c r="J59" s="69"/>
      <c r="K59" s="69"/>
      <c r="L59" s="69"/>
      <c r="M59" s="69"/>
      <c r="N59" s="69"/>
      <c r="O59" s="69"/>
      <c r="P59" s="69"/>
      <c r="Q59" s="69"/>
      <c r="R59" s="69"/>
      <c r="S59" s="69"/>
      <c r="T59" s="69"/>
      <c r="U59" s="70"/>
      <c r="V59" s="70"/>
      <c r="W59" s="71"/>
      <c r="X59"/>
    </row>
    <row r="60" spans="1:24">
      <c r="A60" s="71"/>
      <c r="B60" s="71"/>
      <c r="C60" s="71"/>
      <c r="D60" s="69"/>
      <c r="E60"/>
      <c r="F60" s="69"/>
      <c r="G60" s="69"/>
      <c r="H60" s="69"/>
      <c r="I60" s="69"/>
      <c r="J60" s="69"/>
      <c r="K60" s="69"/>
      <c r="L60" s="69"/>
      <c r="M60" s="69"/>
      <c r="N60" s="69"/>
      <c r="O60" s="69"/>
      <c r="P60" s="69"/>
      <c r="Q60" s="69"/>
      <c r="R60" s="69"/>
      <c r="S60" s="69"/>
      <c r="T60" s="69"/>
      <c r="U60" s="70"/>
      <c r="V60" s="70"/>
      <c r="W60" s="71"/>
      <c r="X60"/>
    </row>
    <row r="61" spans="1:24">
      <c r="A61" s="71"/>
      <c r="B61" s="71"/>
      <c r="C61" s="71"/>
      <c r="D61" s="69"/>
      <c r="E61"/>
      <c r="F61" s="69"/>
      <c r="G61" s="69"/>
      <c r="H61" s="69"/>
      <c r="I61" s="69"/>
      <c r="J61" s="69"/>
      <c r="K61" s="69"/>
      <c r="L61" s="69"/>
      <c r="M61" s="69"/>
      <c r="N61" s="69"/>
      <c r="O61" s="69"/>
      <c r="P61" s="69"/>
      <c r="Q61" s="69"/>
      <c r="R61" s="69"/>
      <c r="S61" s="69"/>
      <c r="T61" s="69"/>
      <c r="U61" s="70"/>
      <c r="V61" s="70"/>
      <c r="W61" s="71"/>
      <c r="X61"/>
    </row>
    <row r="62" spans="1:24">
      <c r="A62" s="71"/>
      <c r="B62" s="71"/>
      <c r="C62" s="71"/>
      <c r="D62" s="69"/>
      <c r="E62"/>
      <c r="F62" s="69"/>
      <c r="G62" s="69"/>
      <c r="H62" s="69"/>
      <c r="I62" s="69"/>
      <c r="J62" s="69"/>
      <c r="K62" s="69"/>
      <c r="L62" s="69"/>
      <c r="M62" s="69"/>
      <c r="N62" s="69"/>
      <c r="O62" s="69"/>
      <c r="P62" s="69"/>
      <c r="Q62" s="69"/>
      <c r="R62" s="69"/>
      <c r="S62" s="69"/>
      <c r="T62" s="69"/>
      <c r="U62" s="70"/>
      <c r="V62" s="70"/>
      <c r="W62" s="71"/>
      <c r="X62"/>
    </row>
    <row r="63" spans="1:24">
      <c r="A63" s="71"/>
      <c r="B63" s="71"/>
      <c r="C63" s="71"/>
      <c r="D63" s="69"/>
      <c r="E63"/>
      <c r="F63" s="69"/>
      <c r="G63" s="69"/>
      <c r="H63" s="69"/>
      <c r="I63" s="69"/>
      <c r="J63" s="69"/>
      <c r="K63" s="69"/>
      <c r="L63" s="69"/>
      <c r="M63" s="69"/>
      <c r="N63" s="69"/>
      <c r="O63" s="69"/>
      <c r="P63" s="69"/>
      <c r="Q63" s="69"/>
      <c r="R63" s="69"/>
      <c r="S63" s="69"/>
      <c r="T63" s="69"/>
      <c r="U63" s="70"/>
      <c r="V63" s="70"/>
      <c r="W63" s="71"/>
      <c r="X63"/>
    </row>
    <row r="64" spans="1:24">
      <c r="A64" s="71"/>
      <c r="B64" s="71"/>
      <c r="C64" s="71"/>
      <c r="D64" s="69"/>
      <c r="E64"/>
      <c r="F64" s="69"/>
      <c r="G64" s="69"/>
      <c r="H64" s="69"/>
      <c r="I64" s="69"/>
      <c r="J64" s="69"/>
      <c r="K64" s="69"/>
      <c r="L64" s="69"/>
      <c r="M64" s="69"/>
      <c r="N64" s="69"/>
      <c r="O64" s="69"/>
      <c r="P64" s="69"/>
      <c r="Q64" s="69"/>
      <c r="R64" s="69"/>
      <c r="S64" s="69"/>
      <c r="T64" s="69"/>
      <c r="U64" s="70"/>
      <c r="V64" s="70"/>
      <c r="W64" s="71"/>
      <c r="X64"/>
    </row>
    <row r="65" spans="1:24">
      <c r="A65" s="71"/>
      <c r="B65" s="71"/>
      <c r="C65" s="71"/>
      <c r="D65" s="69"/>
      <c r="E65"/>
      <c r="F65" s="69"/>
      <c r="G65" s="69"/>
      <c r="H65" s="69"/>
      <c r="I65" s="69"/>
      <c r="J65" s="69"/>
      <c r="K65" s="69"/>
      <c r="L65" s="69"/>
      <c r="M65" s="69"/>
      <c r="N65" s="69"/>
      <c r="O65" s="69"/>
      <c r="P65" s="69"/>
      <c r="Q65" s="69"/>
      <c r="R65" s="69"/>
      <c r="S65" s="69"/>
      <c r="T65" s="69"/>
      <c r="U65" s="70"/>
      <c r="V65" s="70"/>
      <c r="W65" s="71"/>
      <c r="X65"/>
    </row>
    <row r="66" spans="1:24">
      <c r="A66" s="71"/>
      <c r="B66" s="71"/>
      <c r="C66" s="71"/>
      <c r="D66" s="69"/>
      <c r="E66"/>
      <c r="F66" s="69"/>
      <c r="G66" s="69"/>
      <c r="H66" s="69"/>
      <c r="I66" s="69"/>
      <c r="J66" s="69"/>
      <c r="K66" s="69"/>
      <c r="L66" s="69"/>
      <c r="M66" s="69"/>
      <c r="N66" s="69"/>
      <c r="O66" s="69"/>
      <c r="P66" s="69"/>
      <c r="Q66" s="69"/>
      <c r="R66" s="69"/>
      <c r="S66" s="69"/>
      <c r="T66" s="69"/>
      <c r="U66" s="70"/>
      <c r="V66" s="70"/>
      <c r="W66" s="71"/>
      <c r="X66"/>
    </row>
    <row r="67" spans="1:24">
      <c r="A67" s="71"/>
      <c r="B67" s="71"/>
      <c r="C67" s="71"/>
      <c r="D67" s="69"/>
      <c r="E67"/>
      <c r="F67" s="69"/>
      <c r="G67" s="69"/>
      <c r="H67" s="69"/>
      <c r="I67" s="69"/>
      <c r="J67" s="69"/>
      <c r="K67" s="69"/>
      <c r="L67" s="69"/>
      <c r="M67" s="69"/>
      <c r="N67" s="69"/>
      <c r="O67" s="69"/>
      <c r="P67" s="69"/>
      <c r="Q67" s="69"/>
      <c r="R67" s="69"/>
      <c r="S67" s="69"/>
      <c r="T67" s="69"/>
      <c r="U67" s="70"/>
      <c r="V67" s="70"/>
      <c r="W67" s="71"/>
      <c r="X67"/>
    </row>
    <row r="68" spans="1:24">
      <c r="A68" s="71"/>
      <c r="B68" s="71"/>
      <c r="C68" s="71"/>
      <c r="D68" s="69"/>
      <c r="E68"/>
      <c r="F68" s="69"/>
      <c r="G68" s="69"/>
      <c r="H68" s="69"/>
      <c r="I68" s="69"/>
      <c r="J68" s="69"/>
      <c r="K68" s="69"/>
      <c r="L68" s="69"/>
      <c r="M68" s="69"/>
      <c r="N68" s="69"/>
      <c r="O68" s="69"/>
      <c r="P68" s="69"/>
      <c r="Q68" s="69"/>
      <c r="R68" s="69"/>
      <c r="S68" s="69"/>
      <c r="T68" s="69"/>
      <c r="U68" s="70"/>
      <c r="V68" s="70"/>
      <c r="W68" s="71"/>
      <c r="X68"/>
    </row>
    <row r="69" spans="1:24">
      <c r="A69" s="71"/>
      <c r="B69" s="71"/>
      <c r="C69" s="71"/>
      <c r="D69" s="69"/>
      <c r="E69"/>
      <c r="F69" s="69"/>
      <c r="G69" s="69"/>
      <c r="H69" s="69"/>
      <c r="I69" s="69"/>
      <c r="J69" s="69"/>
      <c r="K69" s="69"/>
      <c r="L69" s="69"/>
      <c r="M69" s="69"/>
      <c r="N69" s="69"/>
      <c r="O69" s="69"/>
      <c r="P69" s="69"/>
      <c r="Q69" s="69"/>
      <c r="R69" s="69"/>
      <c r="S69" s="69"/>
      <c r="T69" s="69"/>
      <c r="U69" s="70"/>
      <c r="V69" s="70"/>
      <c r="W69" s="71"/>
      <c r="X69"/>
    </row>
    <row r="70" spans="1:24">
      <c r="A70" s="71"/>
      <c r="B70" s="71"/>
      <c r="C70" s="71"/>
      <c r="D70" s="69"/>
      <c r="E70"/>
      <c r="F70" s="69"/>
      <c r="G70" s="69"/>
      <c r="H70" s="69"/>
      <c r="I70" s="69"/>
      <c r="J70" s="69"/>
      <c r="K70" s="69"/>
      <c r="L70" s="69"/>
      <c r="M70" s="69"/>
      <c r="N70" s="69"/>
      <c r="O70" s="69"/>
      <c r="P70" s="69"/>
      <c r="Q70" s="69"/>
      <c r="R70" s="69"/>
      <c r="S70" s="69"/>
      <c r="T70" s="69"/>
      <c r="U70" s="70"/>
      <c r="V70" s="70"/>
      <c r="W70" s="71"/>
      <c r="X70"/>
    </row>
    <row r="71" spans="1:24">
      <c r="A71" s="71"/>
      <c r="B71" s="71"/>
      <c r="C71" s="71"/>
      <c r="D71" s="69"/>
      <c r="E71"/>
      <c r="F71" s="69"/>
      <c r="G71" s="69"/>
      <c r="H71" s="69"/>
      <c r="I71" s="69"/>
      <c r="J71" s="69"/>
      <c r="K71" s="69"/>
      <c r="L71" s="69"/>
      <c r="M71" s="69"/>
      <c r="N71" s="69"/>
      <c r="O71" s="69"/>
      <c r="P71" s="69"/>
      <c r="Q71" s="69"/>
      <c r="R71" s="69"/>
      <c r="S71" s="69"/>
      <c r="T71" s="69"/>
      <c r="U71" s="70"/>
      <c r="V71" s="70"/>
      <c r="W71" s="71"/>
      <c r="X71"/>
    </row>
    <row r="72" spans="1:24">
      <c r="A72" s="71"/>
      <c r="B72" s="71"/>
      <c r="C72" s="71"/>
      <c r="D72" s="69"/>
      <c r="E72"/>
      <c r="F72" s="69"/>
      <c r="G72" s="69"/>
      <c r="H72" s="69"/>
      <c r="I72" s="69"/>
      <c r="J72" s="69"/>
      <c r="K72" s="69"/>
      <c r="L72" s="69"/>
      <c r="M72" s="69"/>
      <c r="N72" s="69"/>
      <c r="O72" s="69"/>
      <c r="P72" s="69"/>
      <c r="Q72" s="69"/>
      <c r="R72" s="69"/>
      <c r="S72" s="69"/>
      <c r="T72" s="69"/>
      <c r="U72" s="70"/>
      <c r="V72" s="70"/>
      <c r="W72" s="71"/>
      <c r="X72"/>
    </row>
    <row r="73" spans="1:24">
      <c r="A73" s="71"/>
      <c r="B73" s="71"/>
      <c r="C73" s="71"/>
      <c r="D73" s="69"/>
      <c r="E73"/>
      <c r="F73" s="69"/>
      <c r="G73" s="69"/>
      <c r="H73" s="69"/>
      <c r="I73" s="69"/>
      <c r="J73" s="69"/>
      <c r="K73" s="69"/>
      <c r="L73" s="69"/>
      <c r="M73" s="69"/>
      <c r="N73" s="69"/>
      <c r="O73" s="69"/>
      <c r="P73" s="69"/>
      <c r="Q73" s="69"/>
      <c r="R73" s="69"/>
      <c r="S73" s="69"/>
      <c r="T73" s="69"/>
      <c r="U73" s="70"/>
      <c r="V73" s="70"/>
      <c r="W73" s="71"/>
      <c r="X73"/>
    </row>
    <row r="74" spans="1:24">
      <c r="A74" s="71"/>
      <c r="B74" s="71"/>
      <c r="C74" s="71"/>
      <c r="D74" s="69"/>
      <c r="E74"/>
      <c r="F74" s="69"/>
      <c r="G74" s="69"/>
      <c r="H74" s="69"/>
      <c r="I74" s="69"/>
      <c r="J74" s="69"/>
      <c r="K74" s="69"/>
      <c r="L74" s="69"/>
      <c r="M74" s="69"/>
      <c r="N74" s="69"/>
      <c r="O74" s="69"/>
      <c r="P74" s="69"/>
      <c r="Q74" s="69"/>
      <c r="R74" s="69"/>
      <c r="S74" s="69"/>
      <c r="T74" s="69"/>
      <c r="U74" s="70"/>
      <c r="V74" s="70"/>
      <c r="W74" s="71"/>
      <c r="X74"/>
    </row>
    <row r="75" spans="1:24">
      <c r="A75" s="71"/>
      <c r="B75" s="71"/>
      <c r="C75" s="71"/>
      <c r="D75" s="69"/>
      <c r="E75"/>
      <c r="F75" s="69"/>
      <c r="G75" s="69"/>
      <c r="H75" s="69"/>
      <c r="I75" s="69"/>
      <c r="J75" s="69"/>
      <c r="K75" s="69"/>
      <c r="L75" s="69"/>
      <c r="M75" s="69"/>
      <c r="N75" s="69"/>
      <c r="O75" s="69"/>
      <c r="P75" s="69"/>
      <c r="Q75" s="69"/>
      <c r="R75" s="69"/>
      <c r="S75" s="69"/>
      <c r="T75" s="69"/>
      <c r="U75" s="70"/>
      <c r="V75" s="70"/>
      <c r="W75" s="71"/>
      <c r="X75"/>
    </row>
    <row r="76" spans="1:24">
      <c r="A76" s="71"/>
      <c r="B76" s="71"/>
      <c r="C76" s="71"/>
      <c r="D76" s="69"/>
      <c r="E76"/>
      <c r="F76" s="69"/>
      <c r="G76" s="69"/>
      <c r="H76" s="69"/>
      <c r="I76" s="69"/>
      <c r="J76" s="69"/>
      <c r="K76" s="69"/>
      <c r="L76" s="69"/>
      <c r="M76" s="69"/>
      <c r="N76" s="69"/>
      <c r="O76" s="69"/>
      <c r="P76" s="69"/>
      <c r="Q76" s="69"/>
      <c r="R76" s="69"/>
      <c r="S76" s="69"/>
      <c r="T76" s="69"/>
      <c r="U76" s="70"/>
      <c r="V76" s="70"/>
      <c r="W76" s="71"/>
      <c r="X76"/>
    </row>
    <row r="77" spans="1:24">
      <c r="A77" s="71"/>
      <c r="B77" s="71"/>
      <c r="C77" s="71"/>
      <c r="D77" s="69"/>
      <c r="E77"/>
      <c r="F77" s="69"/>
      <c r="G77" s="69"/>
      <c r="H77" s="69"/>
      <c r="I77" s="69"/>
      <c r="J77" s="69"/>
      <c r="K77" s="69"/>
      <c r="L77" s="69"/>
      <c r="M77" s="69"/>
      <c r="N77" s="69"/>
      <c r="O77" s="69"/>
      <c r="P77" s="69"/>
      <c r="Q77" s="69"/>
      <c r="R77" s="69"/>
      <c r="S77" s="69"/>
      <c r="T77" s="69"/>
      <c r="U77" s="70"/>
      <c r="V77" s="70"/>
      <c r="W77" s="71"/>
      <c r="X77"/>
    </row>
    <row r="78" spans="1:24">
      <c r="A78" s="71"/>
      <c r="B78" s="71"/>
      <c r="C78" s="71"/>
      <c r="D78" s="69"/>
      <c r="E78"/>
      <c r="F78" s="69"/>
      <c r="G78" s="69"/>
      <c r="H78" s="69"/>
      <c r="I78" s="69"/>
      <c r="J78" s="69"/>
      <c r="K78" s="69"/>
      <c r="L78" s="69"/>
      <c r="M78" s="69"/>
      <c r="N78" s="69"/>
      <c r="O78" s="69"/>
      <c r="P78" s="69"/>
      <c r="Q78" s="69"/>
      <c r="R78" s="69"/>
      <c r="S78" s="69"/>
      <c r="T78" s="69"/>
      <c r="U78" s="70"/>
      <c r="V78" s="70"/>
      <c r="W78" s="71"/>
      <c r="X78"/>
    </row>
    <row r="79" spans="1:24">
      <c r="A79" s="71"/>
      <c r="B79" s="71"/>
      <c r="C79" s="71"/>
      <c r="D79" s="69"/>
      <c r="E79"/>
      <c r="F79" s="69"/>
      <c r="G79" s="69"/>
      <c r="H79" s="69"/>
      <c r="I79" s="69"/>
      <c r="J79" s="69"/>
      <c r="K79" s="69"/>
      <c r="L79" s="69"/>
      <c r="M79" s="69"/>
      <c r="N79" s="69"/>
      <c r="O79" s="69"/>
      <c r="P79" s="69"/>
      <c r="Q79" s="69"/>
      <c r="R79" s="69"/>
      <c r="S79" s="69"/>
      <c r="T79" s="69"/>
      <c r="U79" s="70"/>
      <c r="V79" s="70"/>
      <c r="W79" s="71"/>
      <c r="X79"/>
    </row>
    <row r="80" spans="1:24">
      <c r="A80" s="71"/>
      <c r="B80" s="71"/>
      <c r="C80" s="71"/>
      <c r="D80" s="69"/>
      <c r="E80"/>
      <c r="F80" s="69"/>
      <c r="G80" s="69"/>
      <c r="H80" s="69"/>
      <c r="I80" s="69"/>
      <c r="J80" s="69"/>
      <c r="K80" s="69"/>
      <c r="L80" s="69"/>
      <c r="M80" s="69"/>
      <c r="N80" s="69"/>
      <c r="O80" s="69"/>
      <c r="P80" s="69"/>
      <c r="Q80" s="69"/>
      <c r="R80" s="69"/>
      <c r="S80" s="69"/>
      <c r="T80" s="69"/>
      <c r="U80" s="70"/>
      <c r="V80" s="70"/>
      <c r="W80" s="71"/>
      <c r="X80"/>
    </row>
    <row r="81" spans="1:24">
      <c r="A81" s="71"/>
      <c r="B81" s="71"/>
      <c r="C81" s="71"/>
      <c r="D81" s="69"/>
      <c r="E81"/>
      <c r="F81" s="69"/>
      <c r="G81" s="69"/>
      <c r="H81" s="69"/>
      <c r="I81" s="69"/>
      <c r="J81" s="69"/>
      <c r="K81" s="69"/>
      <c r="L81" s="69"/>
      <c r="M81" s="69"/>
      <c r="N81" s="69"/>
      <c r="O81" s="69"/>
      <c r="P81" s="69"/>
      <c r="Q81" s="69"/>
      <c r="R81" s="69"/>
      <c r="S81" s="69"/>
      <c r="T81" s="69"/>
      <c r="U81" s="70"/>
      <c r="V81" s="70"/>
      <c r="W81" s="71"/>
      <c r="X81"/>
    </row>
    <row r="82" spans="1:24">
      <c r="A82" s="71"/>
      <c r="B82" s="71"/>
      <c r="C82" s="71"/>
      <c r="D82" s="69"/>
      <c r="E82"/>
      <c r="F82" s="69"/>
      <c r="G82" s="69"/>
      <c r="H82" s="69"/>
      <c r="I82" s="69"/>
      <c r="J82" s="69"/>
      <c r="K82" s="69"/>
      <c r="L82" s="69"/>
      <c r="M82" s="69"/>
      <c r="N82" s="69"/>
      <c r="O82" s="69"/>
      <c r="P82" s="69"/>
      <c r="Q82" s="69"/>
      <c r="R82" s="69"/>
      <c r="S82" s="69"/>
      <c r="T82" s="69"/>
      <c r="U82" s="70"/>
      <c r="V82" s="70"/>
      <c r="W82" s="71"/>
      <c r="X82"/>
    </row>
    <row r="83" spans="1:24">
      <c r="A83" s="71"/>
      <c r="B83" s="71"/>
      <c r="C83" s="71"/>
      <c r="D83" s="69"/>
      <c r="E83"/>
      <c r="F83" s="69"/>
      <c r="G83" s="69"/>
      <c r="H83" s="69"/>
      <c r="I83" s="69"/>
      <c r="J83" s="69"/>
      <c r="K83" s="69"/>
      <c r="L83" s="69"/>
      <c r="M83" s="69"/>
      <c r="N83" s="69"/>
      <c r="O83" s="69"/>
      <c r="P83" s="69"/>
      <c r="Q83" s="69"/>
      <c r="R83" s="69"/>
      <c r="S83" s="69"/>
      <c r="T83" s="69"/>
      <c r="U83" s="70"/>
      <c r="V83" s="70"/>
      <c r="W83" s="71"/>
      <c r="X83"/>
    </row>
    <row r="84" spans="1:24">
      <c r="A84" s="71"/>
      <c r="B84" s="71"/>
      <c r="C84" s="71"/>
      <c r="D84" s="69"/>
      <c r="E84"/>
      <c r="F84" s="69"/>
      <c r="G84" s="69"/>
      <c r="H84" s="69"/>
      <c r="I84" s="69"/>
      <c r="J84" s="69"/>
      <c r="K84" s="69"/>
      <c r="L84" s="69"/>
      <c r="M84" s="69"/>
      <c r="N84" s="69"/>
      <c r="O84" s="69"/>
      <c r="P84" s="69"/>
      <c r="Q84" s="69"/>
      <c r="R84" s="69"/>
      <c r="S84" s="69"/>
      <c r="T84" s="69"/>
      <c r="U84" s="70"/>
      <c r="V84" s="70"/>
      <c r="W84" s="71"/>
      <c r="X84"/>
    </row>
    <row r="85" spans="1:24">
      <c r="A85" s="71"/>
      <c r="B85" s="71"/>
      <c r="C85" s="71"/>
      <c r="D85" s="69"/>
      <c r="E85"/>
      <c r="F85" s="69"/>
      <c r="G85" s="69"/>
      <c r="H85" s="69"/>
      <c r="I85" s="69"/>
      <c r="J85" s="69"/>
      <c r="K85" s="69"/>
      <c r="L85" s="69"/>
      <c r="M85" s="69"/>
      <c r="N85" s="69"/>
      <c r="O85" s="69"/>
      <c r="P85" s="69"/>
      <c r="Q85" s="69"/>
      <c r="R85" s="69"/>
      <c r="S85" s="69"/>
      <c r="T85" s="69"/>
      <c r="U85" s="70"/>
      <c r="V85" s="70"/>
      <c r="W85" s="71"/>
      <c r="X85"/>
    </row>
    <row r="86" spans="1:24">
      <c r="A86" s="71"/>
      <c r="B86" s="71"/>
      <c r="C86" s="71"/>
      <c r="D86" s="69"/>
      <c r="E86"/>
      <c r="F86" s="69"/>
      <c r="G86" s="69"/>
      <c r="H86" s="69"/>
      <c r="I86" s="69"/>
      <c r="J86" s="69"/>
      <c r="K86" s="69"/>
      <c r="L86" s="69"/>
      <c r="M86" s="69"/>
      <c r="N86" s="69"/>
      <c r="O86" s="69"/>
      <c r="P86" s="69"/>
      <c r="Q86" s="69"/>
      <c r="R86" s="69"/>
      <c r="S86" s="69"/>
      <c r="T86" s="69"/>
      <c r="U86" s="70"/>
      <c r="V86" s="70"/>
      <c r="W86" s="71"/>
      <c r="X86"/>
    </row>
    <row r="87" spans="1:24">
      <c r="A87" s="71"/>
      <c r="B87" s="71"/>
      <c r="C87" s="71"/>
      <c r="D87" s="69"/>
      <c r="E87"/>
      <c r="F87" s="69"/>
      <c r="G87" s="69"/>
      <c r="H87" s="69"/>
      <c r="I87" s="69"/>
      <c r="J87" s="69"/>
      <c r="K87" s="69"/>
      <c r="L87" s="69"/>
      <c r="M87" s="69"/>
      <c r="N87" s="69"/>
      <c r="O87" s="69"/>
      <c r="P87" s="69"/>
      <c r="Q87" s="69"/>
      <c r="R87" s="69"/>
      <c r="S87" s="69"/>
      <c r="T87" s="69"/>
      <c r="U87" s="70"/>
      <c r="V87" s="70"/>
      <c r="W87" s="71"/>
      <c r="X87"/>
    </row>
    <row r="88" spans="1:24">
      <c r="A88" s="71"/>
      <c r="B88" s="71"/>
      <c r="C88" s="71"/>
      <c r="D88" s="69"/>
      <c r="E88"/>
      <c r="F88" s="69"/>
      <c r="G88" s="69"/>
      <c r="H88" s="69"/>
      <c r="I88" s="69"/>
      <c r="J88" s="69"/>
      <c r="K88" s="69"/>
      <c r="L88" s="69"/>
      <c r="M88" s="69"/>
      <c r="N88" s="69"/>
      <c r="O88" s="69"/>
      <c r="P88" s="69"/>
      <c r="Q88" s="69"/>
      <c r="R88" s="69"/>
      <c r="S88" s="69"/>
      <c r="T88" s="69"/>
      <c r="U88" s="70"/>
      <c r="V88" s="70"/>
      <c r="W88" s="71"/>
      <c r="X88"/>
    </row>
    <row r="89" spans="1:24">
      <c r="A89" s="71"/>
      <c r="B89" s="71"/>
      <c r="C89" s="71"/>
      <c r="D89" s="69"/>
      <c r="E89"/>
      <c r="F89" s="69"/>
      <c r="G89" s="69"/>
      <c r="H89" s="69"/>
      <c r="I89" s="69"/>
      <c r="J89" s="69"/>
      <c r="K89" s="69"/>
      <c r="L89" s="69"/>
      <c r="M89" s="69"/>
      <c r="N89" s="69"/>
      <c r="O89" s="69"/>
      <c r="P89" s="69"/>
      <c r="Q89" s="69"/>
      <c r="R89" s="69"/>
      <c r="S89" s="69"/>
      <c r="T89" s="69"/>
      <c r="U89" s="70"/>
      <c r="V89" s="70"/>
      <c r="W89" s="71"/>
      <c r="X89"/>
    </row>
    <row r="90" spans="1:24">
      <c r="A90" s="71"/>
      <c r="B90" s="71"/>
      <c r="C90" s="71"/>
      <c r="D90" s="69"/>
      <c r="E90"/>
      <c r="F90" s="69"/>
      <c r="G90" s="69"/>
      <c r="H90" s="69"/>
      <c r="I90" s="69"/>
      <c r="J90" s="69"/>
      <c r="K90" s="69"/>
      <c r="L90" s="69"/>
      <c r="M90" s="69"/>
      <c r="N90" s="69"/>
      <c r="O90" s="69"/>
      <c r="P90" s="69"/>
      <c r="Q90" s="69"/>
      <c r="R90" s="69"/>
      <c r="S90" s="69"/>
      <c r="T90" s="69"/>
      <c r="U90" s="70"/>
      <c r="V90" s="70"/>
      <c r="W90" s="71"/>
      <c r="X90"/>
    </row>
    <row r="91" spans="1:24">
      <c r="A91" s="71"/>
      <c r="B91" s="71"/>
      <c r="C91" s="71"/>
      <c r="D91" s="69"/>
      <c r="E91"/>
      <c r="F91" s="69"/>
      <c r="G91" s="69"/>
      <c r="H91" s="69"/>
      <c r="I91" s="69"/>
      <c r="J91" s="69"/>
      <c r="K91" s="69"/>
      <c r="L91" s="69"/>
      <c r="M91" s="69"/>
      <c r="N91" s="69"/>
      <c r="O91" s="69"/>
      <c r="P91" s="69"/>
      <c r="Q91" s="69"/>
      <c r="R91" s="69"/>
      <c r="S91" s="69"/>
      <c r="T91" s="69"/>
      <c r="U91" s="70"/>
      <c r="V91" s="70"/>
      <c r="W91" s="71"/>
      <c r="X91"/>
    </row>
    <row r="92" spans="1:24">
      <c r="A92" s="71"/>
      <c r="B92" s="71"/>
      <c r="C92" s="71"/>
      <c r="D92" s="69"/>
      <c r="E92"/>
      <c r="F92" s="69"/>
      <c r="G92" s="69"/>
      <c r="H92" s="69"/>
      <c r="I92" s="69"/>
      <c r="J92" s="69"/>
      <c r="K92" s="69"/>
      <c r="L92" s="69"/>
      <c r="M92" s="69"/>
      <c r="N92" s="69"/>
      <c r="O92" s="69"/>
      <c r="P92" s="69"/>
      <c r="Q92" s="69"/>
      <c r="R92" s="69"/>
      <c r="S92" s="69"/>
      <c r="T92" s="69"/>
      <c r="U92" s="70"/>
      <c r="V92" s="70"/>
      <c r="W92" s="71"/>
      <c r="X92"/>
    </row>
    <row r="93" spans="1:24">
      <c r="A93" s="71"/>
      <c r="B93" s="71"/>
      <c r="C93" s="71"/>
      <c r="D93" s="69"/>
      <c r="E93"/>
      <c r="F93" s="69"/>
      <c r="G93" s="69"/>
      <c r="H93" s="69"/>
      <c r="I93" s="69"/>
      <c r="J93" s="69"/>
      <c r="K93" s="69"/>
      <c r="L93" s="69"/>
      <c r="M93" s="69"/>
      <c r="N93" s="69"/>
      <c r="O93" s="69"/>
      <c r="P93" s="69"/>
      <c r="Q93" s="69"/>
      <c r="R93" s="69"/>
      <c r="S93" s="69"/>
      <c r="T93" s="69"/>
      <c r="U93" s="70"/>
      <c r="V93" s="70"/>
      <c r="W93" s="71"/>
      <c r="X93"/>
    </row>
    <row r="94" spans="1:24">
      <c r="A94" s="71"/>
      <c r="B94" s="71"/>
      <c r="C94" s="71"/>
      <c r="D94" s="69"/>
      <c r="E94"/>
      <c r="F94" s="69"/>
      <c r="G94" s="69"/>
      <c r="H94" s="69"/>
      <c r="I94" s="69"/>
      <c r="J94" s="69"/>
      <c r="K94" s="69"/>
      <c r="L94" s="69"/>
      <c r="M94" s="69"/>
      <c r="N94" s="69"/>
      <c r="O94" s="69"/>
      <c r="P94" s="69"/>
      <c r="Q94" s="69"/>
      <c r="R94" s="69"/>
      <c r="S94" s="69"/>
      <c r="T94" s="69"/>
      <c r="U94" s="70"/>
      <c r="V94" s="70"/>
      <c r="W94" s="71"/>
      <c r="X94"/>
    </row>
    <row r="95" spans="1:24">
      <c r="A95" s="71"/>
      <c r="B95" s="71"/>
      <c r="C95" s="71"/>
      <c r="D95" s="69"/>
      <c r="E95"/>
      <c r="F95" s="69"/>
      <c r="G95" s="69"/>
      <c r="H95" s="69"/>
      <c r="I95" s="69"/>
      <c r="J95" s="69"/>
      <c r="K95" s="69"/>
      <c r="L95" s="69"/>
      <c r="M95" s="69"/>
      <c r="N95" s="69"/>
      <c r="O95" s="69"/>
      <c r="P95" s="69"/>
      <c r="Q95" s="69"/>
      <c r="R95" s="69"/>
      <c r="S95" s="69"/>
      <c r="T95" s="69"/>
      <c r="U95" s="70"/>
      <c r="V95" s="70"/>
      <c r="W95" s="71"/>
      <c r="X95"/>
    </row>
    <row r="96" spans="1:24">
      <c r="A96" s="71"/>
      <c r="B96" s="71"/>
      <c r="C96" s="71"/>
      <c r="D96" s="69"/>
      <c r="E96"/>
      <c r="F96" s="69"/>
      <c r="G96" s="69"/>
      <c r="H96" s="69"/>
      <c r="I96" s="69"/>
      <c r="J96" s="69"/>
      <c r="K96" s="69"/>
      <c r="L96" s="69"/>
      <c r="M96" s="69"/>
      <c r="N96" s="69"/>
      <c r="O96" s="69"/>
      <c r="P96" s="69"/>
      <c r="Q96" s="69"/>
      <c r="R96" s="69"/>
      <c r="S96" s="69"/>
      <c r="T96" s="69"/>
      <c r="U96" s="70"/>
      <c r="V96" s="70"/>
      <c r="W96" s="71"/>
      <c r="X96"/>
    </row>
    <row r="97" spans="1:24">
      <c r="A97" s="71"/>
      <c r="B97" s="71"/>
      <c r="C97" s="71"/>
      <c r="D97" s="69"/>
      <c r="E97"/>
      <c r="F97" s="69"/>
      <c r="G97" s="69"/>
      <c r="H97" s="69"/>
      <c r="I97" s="69"/>
      <c r="J97" s="69"/>
      <c r="K97" s="69"/>
      <c r="L97" s="69"/>
      <c r="M97" s="69"/>
      <c r="N97" s="69"/>
      <c r="O97" s="69"/>
      <c r="P97" s="69"/>
      <c r="Q97" s="69"/>
      <c r="R97" s="69"/>
      <c r="S97" s="69"/>
      <c r="T97" s="69"/>
      <c r="U97" s="70"/>
      <c r="V97" s="70"/>
      <c r="W97" s="71"/>
      <c r="X97"/>
    </row>
    <row r="98" spans="1:24">
      <c r="A98" s="71"/>
      <c r="B98" s="71"/>
      <c r="C98" s="71"/>
      <c r="D98" s="69"/>
      <c r="E98"/>
      <c r="F98" s="69"/>
      <c r="G98" s="69"/>
      <c r="H98" s="69"/>
      <c r="I98" s="69"/>
      <c r="J98" s="69"/>
      <c r="K98" s="69"/>
      <c r="L98" s="69"/>
      <c r="M98" s="69"/>
      <c r="N98" s="69"/>
      <c r="O98" s="69"/>
      <c r="P98" s="69"/>
      <c r="Q98" s="69"/>
      <c r="R98" s="69"/>
      <c r="S98" s="69"/>
      <c r="T98" s="69"/>
      <c r="U98" s="70"/>
      <c r="V98" s="70"/>
      <c r="W98" s="71"/>
      <c r="X98"/>
    </row>
    <row r="99" spans="1:24">
      <c r="A99" s="71"/>
      <c r="B99" s="71"/>
      <c r="C99" s="71"/>
      <c r="D99" s="69"/>
      <c r="E99"/>
      <c r="F99" s="69"/>
      <c r="G99" s="69"/>
      <c r="H99" s="69"/>
      <c r="I99" s="69"/>
      <c r="J99" s="69"/>
      <c r="K99" s="69"/>
      <c r="L99" s="69"/>
      <c r="M99" s="69"/>
      <c r="N99" s="69"/>
      <c r="O99" s="69"/>
      <c r="P99" s="69"/>
      <c r="Q99" s="69"/>
      <c r="R99" s="69"/>
      <c r="S99" s="69"/>
      <c r="T99" s="69"/>
      <c r="U99" s="70"/>
      <c r="V99" s="70"/>
      <c r="W99" s="71"/>
      <c r="X99"/>
    </row>
    <row r="100" spans="1:24">
      <c r="A100" s="71"/>
      <c r="B100" s="71"/>
      <c r="C100" s="71"/>
      <c r="D100" s="69"/>
      <c r="E100"/>
      <c r="F100" s="69"/>
      <c r="G100" s="69"/>
      <c r="H100" s="69"/>
      <c r="I100" s="69"/>
      <c r="J100" s="69"/>
      <c r="K100" s="69"/>
      <c r="L100" s="69"/>
      <c r="M100" s="69"/>
      <c r="N100" s="69"/>
      <c r="O100" s="69"/>
      <c r="P100" s="69"/>
      <c r="Q100" s="69"/>
      <c r="R100" s="69"/>
      <c r="S100" s="69"/>
      <c r="T100" s="69"/>
      <c r="U100" s="70"/>
      <c r="V100" s="70"/>
      <c r="W100" s="71"/>
      <c r="X100"/>
    </row>
    <row r="101" spans="1:24">
      <c r="A101" s="71"/>
      <c r="B101" s="71"/>
      <c r="C101" s="71"/>
      <c r="D101" s="69"/>
      <c r="E101"/>
      <c r="F101" s="69"/>
      <c r="G101" s="69"/>
      <c r="H101" s="69"/>
      <c r="I101" s="69"/>
      <c r="J101" s="69"/>
      <c r="K101" s="69"/>
      <c r="L101" s="69"/>
      <c r="M101" s="69"/>
      <c r="N101" s="69"/>
      <c r="O101" s="69"/>
      <c r="P101" s="69"/>
      <c r="Q101" s="69"/>
      <c r="R101" s="69"/>
      <c r="S101" s="69"/>
      <c r="T101" s="69"/>
      <c r="U101" s="70"/>
      <c r="V101" s="70"/>
      <c r="W101" s="71"/>
      <c r="X101"/>
    </row>
    <row r="102" spans="1:24">
      <c r="A102" s="71"/>
      <c r="B102" s="71"/>
      <c r="C102" s="71"/>
      <c r="D102" s="69"/>
      <c r="E102"/>
      <c r="F102" s="69"/>
      <c r="G102" s="69"/>
      <c r="H102" s="69"/>
      <c r="I102" s="69"/>
      <c r="J102" s="69"/>
      <c r="K102" s="69"/>
      <c r="L102" s="69"/>
      <c r="M102" s="69"/>
      <c r="N102" s="69"/>
      <c r="O102" s="69"/>
      <c r="P102" s="69"/>
      <c r="Q102" s="69"/>
      <c r="R102" s="69"/>
      <c r="S102" s="69"/>
      <c r="T102" s="69"/>
      <c r="U102" s="70"/>
      <c r="V102" s="70"/>
      <c r="W102" s="71"/>
      <c r="X102"/>
    </row>
    <row r="103" spans="1:24">
      <c r="A103" s="71"/>
      <c r="B103" s="71"/>
      <c r="C103" s="71"/>
      <c r="D103" s="69"/>
      <c r="E103"/>
      <c r="F103" s="69"/>
      <c r="G103" s="69"/>
      <c r="H103" s="69"/>
      <c r="I103" s="69"/>
      <c r="J103" s="69"/>
      <c r="K103" s="69"/>
      <c r="L103" s="69"/>
      <c r="M103" s="69"/>
      <c r="N103" s="69"/>
      <c r="O103" s="69"/>
      <c r="P103" s="69"/>
      <c r="Q103" s="69"/>
      <c r="R103" s="69"/>
      <c r="S103" s="69"/>
      <c r="T103" s="69"/>
      <c r="U103" s="70"/>
      <c r="V103" s="70"/>
      <c r="W103" s="71"/>
      <c r="X103"/>
    </row>
    <row r="104" spans="1:24">
      <c r="A104" s="71"/>
      <c r="B104" s="71"/>
      <c r="C104" s="71"/>
      <c r="D104" s="69"/>
      <c r="E104"/>
      <c r="F104" s="69"/>
      <c r="G104" s="69"/>
      <c r="H104" s="69"/>
      <c r="I104" s="69"/>
      <c r="J104" s="69"/>
      <c r="K104" s="69"/>
      <c r="L104" s="69"/>
      <c r="M104" s="69"/>
      <c r="N104" s="69"/>
      <c r="O104" s="69"/>
      <c r="P104" s="69"/>
      <c r="Q104" s="69"/>
      <c r="R104" s="69"/>
      <c r="S104" s="69"/>
      <c r="T104" s="69"/>
      <c r="U104" s="70"/>
      <c r="V104" s="70"/>
      <c r="W104" s="71"/>
      <c r="X104"/>
    </row>
    <row r="105" spans="1:24">
      <c r="A105" s="71"/>
      <c r="B105" s="71"/>
      <c r="C105" s="71"/>
      <c r="D105" s="69"/>
      <c r="E105"/>
      <c r="F105" s="69"/>
      <c r="G105" s="69"/>
      <c r="H105" s="69"/>
      <c r="I105" s="69"/>
      <c r="J105" s="69"/>
      <c r="K105" s="69"/>
      <c r="L105" s="69"/>
      <c r="M105" s="69"/>
      <c r="N105" s="69"/>
      <c r="O105" s="69"/>
      <c r="P105" s="69"/>
      <c r="Q105" s="69"/>
      <c r="R105" s="69"/>
      <c r="S105" s="69"/>
      <c r="T105" s="69"/>
      <c r="U105" s="70"/>
      <c r="V105" s="70"/>
      <c r="W105" s="71"/>
      <c r="X105"/>
    </row>
    <row r="106" spans="1:24">
      <c r="A106" s="71"/>
      <c r="B106" s="71"/>
      <c r="C106" s="71"/>
      <c r="D106" s="69"/>
      <c r="E106"/>
      <c r="F106" s="69"/>
      <c r="G106" s="69"/>
      <c r="H106" s="69"/>
      <c r="I106" s="69"/>
      <c r="J106" s="69"/>
      <c r="K106" s="69"/>
      <c r="L106" s="69"/>
      <c r="M106" s="69"/>
      <c r="N106" s="69"/>
      <c r="O106" s="69"/>
      <c r="P106" s="69"/>
      <c r="Q106" s="69"/>
      <c r="R106" s="69"/>
      <c r="S106" s="69"/>
      <c r="T106" s="69"/>
      <c r="U106" s="70"/>
      <c r="V106" s="70"/>
      <c r="W106" s="71"/>
      <c r="X106"/>
    </row>
    <row r="107" spans="1:24">
      <c r="A107" s="71"/>
      <c r="B107" s="71"/>
      <c r="C107" s="71"/>
      <c r="D107" s="69"/>
      <c r="E107"/>
      <c r="F107" s="69"/>
      <c r="G107" s="69"/>
      <c r="H107" s="69"/>
      <c r="I107" s="69"/>
      <c r="J107" s="69"/>
      <c r="K107" s="69"/>
      <c r="L107" s="69"/>
      <c r="M107" s="69"/>
      <c r="N107" s="69"/>
      <c r="O107" s="69"/>
      <c r="P107" s="69"/>
      <c r="Q107" s="69"/>
      <c r="R107" s="69"/>
      <c r="S107" s="69"/>
      <c r="T107" s="69"/>
      <c r="U107" s="70"/>
      <c r="V107" s="70"/>
      <c r="W107" s="71"/>
      <c r="X107"/>
    </row>
    <row r="108" spans="1:24">
      <c r="A108" s="71"/>
      <c r="B108" s="71"/>
      <c r="C108" s="71"/>
      <c r="D108" s="69"/>
      <c r="E108"/>
      <c r="F108" s="69"/>
      <c r="G108" s="69"/>
      <c r="H108" s="69"/>
      <c r="I108" s="69"/>
      <c r="J108" s="69"/>
      <c r="K108" s="69"/>
      <c r="L108" s="69"/>
      <c r="M108" s="69"/>
      <c r="N108" s="69"/>
      <c r="O108" s="69"/>
      <c r="P108" s="69"/>
      <c r="Q108" s="69"/>
      <c r="R108" s="69"/>
      <c r="S108" s="69"/>
      <c r="T108" s="69"/>
      <c r="U108" s="70"/>
      <c r="V108" s="70"/>
      <c r="W108" s="71"/>
      <c r="X108"/>
    </row>
    <row r="109" spans="1:24">
      <c r="A109" s="71"/>
      <c r="B109" s="71"/>
      <c r="C109" s="71"/>
      <c r="D109" s="69"/>
      <c r="E109"/>
      <c r="F109" s="69"/>
      <c r="G109" s="69"/>
      <c r="H109" s="69"/>
      <c r="I109" s="69"/>
      <c r="J109" s="69"/>
      <c r="K109" s="69"/>
      <c r="L109" s="69"/>
      <c r="M109" s="69"/>
      <c r="N109" s="69"/>
      <c r="O109" s="69"/>
      <c r="P109" s="69"/>
      <c r="Q109" s="69"/>
      <c r="R109" s="69"/>
      <c r="S109" s="69"/>
      <c r="T109" s="69"/>
      <c r="U109" s="70"/>
      <c r="V109" s="70"/>
      <c r="W109" s="71"/>
      <c r="X109"/>
    </row>
    <row r="110" spans="1:24">
      <c r="A110" s="71"/>
      <c r="B110" s="71"/>
      <c r="C110" s="71"/>
      <c r="D110" s="69"/>
      <c r="E110"/>
      <c r="F110" s="69"/>
      <c r="G110" s="69"/>
      <c r="H110" s="69"/>
      <c r="I110" s="69"/>
      <c r="J110" s="69"/>
      <c r="K110" s="69"/>
      <c r="L110" s="69"/>
      <c r="M110" s="69"/>
      <c r="N110" s="69"/>
      <c r="O110" s="69"/>
      <c r="P110" s="69"/>
      <c r="Q110" s="69"/>
      <c r="R110" s="69"/>
      <c r="S110" s="69"/>
      <c r="T110" s="69"/>
      <c r="U110" s="70"/>
      <c r="V110" s="70"/>
      <c r="W110" s="71"/>
      <c r="X110"/>
    </row>
    <row r="111" spans="1:24">
      <c r="A111" s="71"/>
      <c r="B111" s="71"/>
      <c r="C111" s="71"/>
      <c r="D111" s="69"/>
      <c r="E111"/>
      <c r="F111" s="69"/>
      <c r="G111" s="69"/>
      <c r="H111" s="69"/>
      <c r="I111" s="69"/>
      <c r="J111" s="69"/>
      <c r="K111" s="69"/>
      <c r="L111" s="69"/>
      <c r="M111" s="69"/>
      <c r="N111" s="69"/>
      <c r="O111" s="69"/>
      <c r="P111" s="69"/>
      <c r="Q111" s="69"/>
      <c r="R111" s="69"/>
      <c r="S111" s="69"/>
      <c r="T111" s="69"/>
      <c r="U111" s="70"/>
      <c r="V111" s="70"/>
      <c r="W111" s="71"/>
      <c r="X111"/>
    </row>
    <row r="112" spans="1:24">
      <c r="A112" s="71"/>
      <c r="B112" s="71"/>
      <c r="C112" s="71"/>
      <c r="D112" s="69"/>
      <c r="E112"/>
      <c r="F112" s="69"/>
      <c r="G112" s="69"/>
      <c r="H112" s="69"/>
      <c r="I112" s="69"/>
      <c r="J112" s="69"/>
      <c r="K112" s="69"/>
      <c r="L112" s="69"/>
      <c r="M112" s="69"/>
      <c r="N112" s="69"/>
      <c r="O112" s="69"/>
      <c r="P112" s="69"/>
      <c r="Q112" s="69"/>
      <c r="R112" s="69"/>
      <c r="S112" s="69"/>
      <c r="T112" s="69"/>
      <c r="U112" s="70"/>
      <c r="V112" s="70"/>
      <c r="W112" s="71"/>
      <c r="X112"/>
    </row>
    <row r="113" spans="1:24">
      <c r="A113" s="71"/>
      <c r="B113" s="71"/>
      <c r="C113" s="71"/>
      <c r="D113" s="69"/>
      <c r="E113"/>
      <c r="F113" s="69"/>
      <c r="G113" s="69"/>
      <c r="H113" s="69"/>
      <c r="I113" s="69"/>
      <c r="J113" s="69"/>
      <c r="K113" s="69"/>
      <c r="L113" s="69"/>
      <c r="M113" s="69"/>
      <c r="N113" s="69"/>
      <c r="O113" s="69"/>
      <c r="P113" s="69"/>
      <c r="Q113" s="69"/>
      <c r="R113" s="69"/>
      <c r="S113" s="69"/>
      <c r="T113" s="69"/>
      <c r="U113" s="70"/>
      <c r="V113" s="70"/>
      <c r="W113" s="71"/>
      <c r="X113"/>
    </row>
    <row r="114" spans="1:24">
      <c r="A114" s="71"/>
      <c r="B114" s="71"/>
      <c r="C114" s="71"/>
      <c r="D114" s="69"/>
      <c r="E114"/>
      <c r="F114" s="69"/>
      <c r="G114" s="69"/>
      <c r="H114" s="69"/>
      <c r="I114" s="69"/>
      <c r="J114" s="69"/>
      <c r="K114" s="69"/>
      <c r="L114" s="69"/>
      <c r="M114" s="69"/>
      <c r="N114" s="69"/>
      <c r="O114" s="69"/>
      <c r="P114" s="69"/>
      <c r="Q114" s="69"/>
      <c r="R114" s="69"/>
      <c r="S114" s="69"/>
      <c r="T114" s="69"/>
      <c r="U114" s="70"/>
      <c r="V114" s="70"/>
      <c r="W114" s="71"/>
      <c r="X114"/>
    </row>
    <row r="115" spans="1:24">
      <c r="A115" s="71"/>
      <c r="B115" s="71"/>
      <c r="C115" s="71"/>
      <c r="D115" s="69"/>
      <c r="E115"/>
      <c r="F115" s="69"/>
      <c r="G115" s="69"/>
      <c r="H115" s="69"/>
      <c r="I115" s="69"/>
      <c r="J115" s="69"/>
      <c r="K115" s="69"/>
      <c r="L115" s="69"/>
      <c r="M115" s="69"/>
      <c r="N115" s="69"/>
      <c r="O115" s="69"/>
      <c r="P115" s="69"/>
      <c r="Q115" s="69"/>
      <c r="R115" s="69"/>
      <c r="S115" s="69"/>
      <c r="T115" s="69"/>
      <c r="U115" s="70"/>
      <c r="V115" s="70"/>
      <c r="W115" s="71"/>
      <c r="X115"/>
    </row>
    <row r="116" spans="1:24">
      <c r="A116" s="71"/>
      <c r="B116" s="71"/>
      <c r="C116" s="71"/>
      <c r="D116" s="69"/>
      <c r="E116"/>
      <c r="F116" s="69"/>
      <c r="G116" s="69"/>
      <c r="H116" s="69"/>
      <c r="I116" s="69"/>
      <c r="J116" s="69"/>
      <c r="K116" s="69"/>
      <c r="L116" s="69"/>
      <c r="M116" s="69"/>
      <c r="N116" s="69"/>
      <c r="O116" s="69"/>
      <c r="P116" s="69"/>
      <c r="Q116" s="69"/>
      <c r="R116" s="69"/>
      <c r="S116" s="69"/>
      <c r="T116" s="69"/>
      <c r="U116" s="70"/>
      <c r="V116" s="70"/>
      <c r="W116" s="71"/>
      <c r="X116"/>
    </row>
    <row r="117" spans="1:24">
      <c r="A117" s="71"/>
      <c r="B117" s="71"/>
      <c r="C117" s="71"/>
      <c r="D117" s="69"/>
      <c r="E117"/>
      <c r="F117" s="69"/>
      <c r="G117" s="69"/>
      <c r="H117" s="69"/>
      <c r="I117" s="69"/>
      <c r="J117" s="69"/>
      <c r="K117" s="69"/>
      <c r="L117" s="69"/>
      <c r="M117" s="69"/>
      <c r="N117" s="69"/>
      <c r="O117" s="69"/>
      <c r="P117" s="69"/>
      <c r="Q117" s="69"/>
      <c r="R117" s="69"/>
      <c r="S117" s="69"/>
      <c r="T117" s="69"/>
      <c r="U117" s="70"/>
      <c r="V117" s="70"/>
      <c r="W117" s="71"/>
      <c r="X117"/>
    </row>
    <row r="118" spans="1:24">
      <c r="A118" s="71"/>
      <c r="B118" s="71"/>
      <c r="C118" s="71"/>
      <c r="D118" s="69"/>
      <c r="E118"/>
      <c r="F118" s="69"/>
      <c r="G118" s="69"/>
      <c r="H118" s="69"/>
      <c r="I118" s="69"/>
      <c r="J118" s="69"/>
      <c r="K118" s="69"/>
      <c r="L118" s="69"/>
      <c r="M118" s="69"/>
      <c r="N118" s="69"/>
      <c r="O118" s="69"/>
      <c r="P118" s="69"/>
      <c r="Q118" s="69"/>
      <c r="R118" s="69"/>
      <c r="S118" s="69"/>
      <c r="T118" s="69"/>
      <c r="U118" s="70"/>
      <c r="V118" s="70"/>
      <c r="W118" s="71"/>
      <c r="X118"/>
    </row>
    <row r="119" spans="1:24">
      <c r="A119" s="71"/>
      <c r="B119" s="71"/>
      <c r="C119" s="71"/>
      <c r="D119" s="69"/>
      <c r="E119"/>
      <c r="F119" s="69"/>
      <c r="G119" s="69"/>
      <c r="H119" s="69"/>
      <c r="I119" s="69"/>
      <c r="J119" s="69"/>
      <c r="K119" s="69"/>
      <c r="L119" s="69"/>
      <c r="M119" s="69"/>
      <c r="N119" s="69"/>
      <c r="O119" s="69"/>
      <c r="P119" s="69"/>
      <c r="Q119" s="69"/>
      <c r="R119" s="69"/>
      <c r="S119" s="69"/>
      <c r="T119" s="69"/>
      <c r="U119" s="70"/>
      <c r="V119" s="70"/>
      <c r="W119" s="71"/>
      <c r="X119"/>
    </row>
    <row r="120" spans="1:24">
      <c r="A120" s="71"/>
      <c r="B120" s="71"/>
      <c r="C120" s="71"/>
      <c r="D120" s="69"/>
      <c r="E120"/>
      <c r="F120" s="69"/>
      <c r="G120" s="69"/>
      <c r="H120" s="69"/>
      <c r="I120" s="69"/>
      <c r="J120" s="69"/>
      <c r="K120" s="69"/>
      <c r="L120" s="69"/>
      <c r="M120" s="69"/>
      <c r="N120" s="69"/>
      <c r="O120" s="69"/>
      <c r="P120" s="69"/>
      <c r="Q120" s="69"/>
      <c r="R120" s="69"/>
      <c r="S120" s="69"/>
      <c r="T120" s="69"/>
      <c r="U120" s="70"/>
      <c r="V120" s="70"/>
      <c r="W120" s="71"/>
      <c r="X120"/>
    </row>
    <row r="121" spans="1:24">
      <c r="A121" s="71"/>
      <c r="B121" s="71"/>
      <c r="C121" s="71"/>
      <c r="D121" s="69"/>
      <c r="E121"/>
      <c r="F121" s="69"/>
      <c r="G121" s="69"/>
      <c r="H121" s="69"/>
      <c r="I121" s="69"/>
      <c r="J121" s="69"/>
      <c r="K121" s="69"/>
      <c r="L121" s="69"/>
      <c r="M121" s="69"/>
      <c r="N121" s="69"/>
      <c r="O121" s="69"/>
      <c r="P121" s="69"/>
      <c r="Q121" s="69"/>
      <c r="R121" s="69"/>
      <c r="S121" s="69"/>
      <c r="T121" s="69"/>
      <c r="U121" s="70"/>
      <c r="V121" s="70"/>
      <c r="W121" s="71"/>
      <c r="X121"/>
    </row>
    <row r="122" spans="1:24">
      <c r="A122" s="71"/>
      <c r="B122" s="71"/>
      <c r="C122" s="71"/>
      <c r="D122" s="69"/>
      <c r="E122"/>
      <c r="F122" s="69"/>
      <c r="G122" s="69"/>
      <c r="H122" s="69"/>
      <c r="I122" s="69"/>
      <c r="J122" s="69"/>
      <c r="K122" s="69"/>
      <c r="L122" s="69"/>
      <c r="M122" s="69"/>
      <c r="N122" s="69"/>
      <c r="O122" s="69"/>
      <c r="P122" s="69"/>
      <c r="Q122" s="69"/>
      <c r="R122" s="69"/>
      <c r="S122" s="69"/>
      <c r="T122" s="69"/>
      <c r="U122" s="70"/>
      <c r="V122" s="70"/>
      <c r="W122" s="71"/>
      <c r="X122"/>
    </row>
    <row r="123" spans="1:24">
      <c r="A123" s="71"/>
      <c r="B123" s="71"/>
      <c r="C123" s="71"/>
      <c r="D123" s="69"/>
      <c r="E123"/>
      <c r="F123" s="69"/>
      <c r="G123" s="69"/>
      <c r="H123" s="69"/>
      <c r="I123" s="69"/>
      <c r="J123" s="69"/>
      <c r="K123" s="69"/>
      <c r="L123" s="69"/>
      <c r="M123" s="69"/>
      <c r="N123" s="69"/>
      <c r="O123" s="69"/>
      <c r="P123" s="69"/>
      <c r="Q123" s="69"/>
      <c r="R123" s="69"/>
      <c r="S123" s="69"/>
      <c r="T123" s="69"/>
      <c r="U123" s="70"/>
      <c r="V123" s="70"/>
      <c r="W123" s="71"/>
      <c r="X123"/>
    </row>
    <row r="124" spans="1:24">
      <c r="A124" s="71"/>
      <c r="B124" s="71"/>
      <c r="C124" s="71"/>
      <c r="D124" s="69"/>
      <c r="E124"/>
      <c r="F124" s="69"/>
      <c r="G124" s="69"/>
      <c r="H124" s="69"/>
      <c r="I124" s="69"/>
      <c r="J124" s="69"/>
      <c r="K124" s="69"/>
      <c r="L124" s="69"/>
      <c r="M124" s="69"/>
      <c r="N124" s="69"/>
      <c r="O124" s="69"/>
      <c r="P124" s="69"/>
      <c r="Q124" s="69"/>
      <c r="R124" s="69"/>
      <c r="S124" s="69"/>
      <c r="T124" s="69"/>
      <c r="U124" s="70"/>
      <c r="V124" s="70"/>
      <c r="W124" s="71"/>
      <c r="X124"/>
    </row>
    <row r="125" spans="1:24">
      <c r="A125" s="71"/>
      <c r="B125" s="71"/>
      <c r="C125" s="71"/>
      <c r="D125" s="69"/>
      <c r="E125"/>
      <c r="F125" s="69"/>
      <c r="G125" s="69"/>
      <c r="H125" s="69"/>
      <c r="I125" s="69"/>
      <c r="J125" s="69"/>
      <c r="K125" s="69"/>
      <c r="L125" s="69"/>
      <c r="M125" s="69"/>
      <c r="N125" s="69"/>
      <c r="O125" s="69"/>
      <c r="P125" s="69"/>
      <c r="Q125" s="69"/>
      <c r="R125" s="69"/>
      <c r="S125" s="69"/>
      <c r="T125" s="69"/>
      <c r="U125" s="70"/>
      <c r="V125" s="70"/>
      <c r="W125" s="71"/>
      <c r="X125"/>
    </row>
    <row r="126" spans="1:24">
      <c r="A126" s="71"/>
      <c r="B126" s="71"/>
      <c r="C126" s="71"/>
      <c r="D126" s="69"/>
      <c r="E126"/>
      <c r="F126" s="69"/>
      <c r="G126" s="69"/>
      <c r="H126" s="69"/>
      <c r="I126" s="69"/>
      <c r="J126" s="69"/>
      <c r="K126" s="69"/>
      <c r="L126" s="69"/>
      <c r="M126" s="69"/>
      <c r="N126" s="69"/>
      <c r="O126" s="69"/>
      <c r="P126" s="69"/>
      <c r="Q126" s="69"/>
      <c r="R126" s="69"/>
      <c r="S126" s="69"/>
      <c r="T126" s="69"/>
      <c r="U126" s="70"/>
      <c r="V126" s="70"/>
      <c r="W126" s="71"/>
      <c r="X126"/>
    </row>
    <row r="127" spans="1:24">
      <c r="A127" s="71"/>
      <c r="B127" s="71"/>
      <c r="C127" s="71"/>
      <c r="D127" s="69"/>
      <c r="E127"/>
      <c r="F127" s="69"/>
      <c r="G127" s="69"/>
      <c r="H127" s="69"/>
      <c r="I127" s="69"/>
      <c r="J127" s="69"/>
      <c r="K127" s="69"/>
      <c r="L127" s="69"/>
      <c r="M127" s="69"/>
      <c r="N127" s="69"/>
      <c r="O127" s="69"/>
      <c r="P127" s="69"/>
      <c r="Q127" s="69"/>
      <c r="R127" s="69"/>
      <c r="S127" s="69"/>
      <c r="T127" s="69"/>
      <c r="U127" s="70"/>
      <c r="V127" s="70"/>
      <c r="W127" s="71"/>
      <c r="X127"/>
    </row>
    <row r="128" spans="1:24">
      <c r="A128" s="71"/>
      <c r="B128" s="71"/>
      <c r="C128" s="71"/>
      <c r="D128" s="69"/>
      <c r="E128"/>
      <c r="F128" s="69"/>
      <c r="G128" s="69"/>
      <c r="H128" s="69"/>
      <c r="I128" s="69"/>
      <c r="J128" s="69"/>
      <c r="K128" s="69"/>
      <c r="L128" s="69"/>
      <c r="M128" s="69"/>
      <c r="N128" s="69"/>
      <c r="O128" s="69"/>
      <c r="P128" s="69"/>
      <c r="Q128" s="69"/>
      <c r="R128" s="69"/>
      <c r="S128" s="69"/>
      <c r="T128" s="69"/>
      <c r="U128" s="70"/>
      <c r="V128" s="70"/>
      <c r="W128" s="71"/>
      <c r="X128"/>
    </row>
    <row r="129" spans="1:24">
      <c r="A129" s="71"/>
      <c r="B129" s="71"/>
      <c r="C129" s="71"/>
      <c r="D129" s="69"/>
      <c r="E129"/>
      <c r="F129" s="69"/>
      <c r="G129" s="69"/>
      <c r="H129" s="69"/>
      <c r="I129" s="69"/>
      <c r="J129" s="69"/>
      <c r="K129" s="69"/>
      <c r="L129" s="69"/>
      <c r="M129" s="69"/>
      <c r="N129" s="69"/>
      <c r="O129" s="69"/>
      <c r="P129" s="69"/>
      <c r="Q129" s="69"/>
      <c r="R129" s="69"/>
      <c r="S129" s="69"/>
      <c r="T129" s="69"/>
      <c r="U129" s="70"/>
      <c r="V129" s="70"/>
      <c r="W129" s="71"/>
      <c r="X129"/>
    </row>
    <row r="130" spans="1:24">
      <c r="A130" s="71"/>
      <c r="B130" s="71"/>
      <c r="C130" s="71"/>
      <c r="D130" s="69"/>
      <c r="E130"/>
      <c r="F130" s="69"/>
      <c r="G130" s="69"/>
      <c r="H130" s="69"/>
      <c r="I130" s="69"/>
      <c r="J130" s="69"/>
      <c r="K130" s="69"/>
      <c r="L130" s="69"/>
      <c r="M130" s="69"/>
      <c r="N130" s="69"/>
      <c r="O130" s="69"/>
      <c r="P130" s="69"/>
      <c r="Q130" s="69"/>
      <c r="R130" s="69"/>
      <c r="S130" s="69"/>
      <c r="T130" s="69"/>
      <c r="U130" s="70"/>
      <c r="V130" s="70"/>
      <c r="W130" s="71"/>
      <c r="X130"/>
    </row>
    <row r="131" spans="1:24">
      <c r="A131" s="71"/>
      <c r="B131" s="71"/>
      <c r="C131" s="71"/>
      <c r="D131" s="69"/>
      <c r="E131"/>
      <c r="F131" s="69"/>
      <c r="G131" s="69"/>
      <c r="H131" s="69"/>
      <c r="I131" s="69"/>
      <c r="J131" s="69"/>
      <c r="K131" s="69"/>
      <c r="L131" s="69"/>
      <c r="M131" s="69"/>
      <c r="N131" s="69"/>
      <c r="O131" s="69"/>
      <c r="P131" s="69"/>
      <c r="Q131" s="69"/>
      <c r="R131" s="69"/>
      <c r="S131" s="69"/>
      <c r="T131" s="69"/>
      <c r="U131" s="70"/>
      <c r="V131" s="70"/>
      <c r="W131" s="71"/>
      <c r="X131"/>
    </row>
    <row r="132" spans="1:24">
      <c r="A132" s="71"/>
      <c r="B132" s="71"/>
      <c r="C132" s="71"/>
      <c r="D132" s="69"/>
      <c r="E132"/>
      <c r="F132" s="69"/>
      <c r="G132" s="69"/>
      <c r="H132" s="69"/>
      <c r="I132" s="69"/>
      <c r="J132" s="69"/>
      <c r="K132" s="69"/>
      <c r="L132" s="69"/>
      <c r="M132" s="69"/>
      <c r="N132" s="69"/>
      <c r="O132" s="69"/>
      <c r="P132" s="69"/>
      <c r="Q132" s="69"/>
      <c r="R132" s="69"/>
      <c r="S132" s="69"/>
      <c r="T132" s="69"/>
      <c r="U132" s="70"/>
      <c r="V132" s="70"/>
      <c r="W132" s="71"/>
      <c r="X132"/>
    </row>
    <row r="133" spans="1:24">
      <c r="A133" s="71"/>
      <c r="B133" s="71"/>
      <c r="C133" s="71"/>
      <c r="D133" s="69"/>
      <c r="E133"/>
      <c r="F133" s="69"/>
      <c r="G133" s="69"/>
      <c r="H133" s="69"/>
      <c r="I133" s="69"/>
      <c r="J133" s="69"/>
      <c r="K133" s="69"/>
      <c r="L133" s="69"/>
      <c r="M133" s="69"/>
      <c r="N133" s="69"/>
      <c r="O133" s="69"/>
      <c r="P133" s="69"/>
      <c r="Q133" s="69"/>
      <c r="R133" s="69"/>
      <c r="S133" s="69"/>
      <c r="T133" s="69"/>
      <c r="U133" s="70"/>
      <c r="V133" s="70"/>
      <c r="W133" s="71"/>
      <c r="X133"/>
    </row>
    <row r="134" spans="1:24">
      <c r="A134" s="71"/>
      <c r="B134" s="71"/>
      <c r="C134" s="71"/>
      <c r="D134" s="69"/>
      <c r="E134"/>
      <c r="F134" s="69"/>
      <c r="G134" s="69"/>
      <c r="H134" s="69"/>
      <c r="I134" s="69"/>
      <c r="J134" s="69"/>
      <c r="K134" s="69"/>
      <c r="L134" s="69"/>
      <c r="M134" s="69"/>
      <c r="N134" s="69"/>
      <c r="O134" s="69"/>
      <c r="P134" s="69"/>
      <c r="Q134" s="69"/>
      <c r="R134" s="69"/>
      <c r="S134" s="69"/>
      <c r="T134" s="69"/>
      <c r="U134" s="70"/>
      <c r="V134" s="70"/>
      <c r="W134" s="71"/>
      <c r="X134"/>
    </row>
    <row r="135" spans="1:24">
      <c r="A135" s="71"/>
      <c r="B135" s="71"/>
      <c r="C135" s="71"/>
      <c r="D135" s="69"/>
      <c r="E135"/>
      <c r="F135" s="69"/>
      <c r="G135" s="69"/>
      <c r="H135" s="69"/>
      <c r="I135" s="69"/>
      <c r="J135" s="69"/>
      <c r="K135" s="69"/>
      <c r="L135" s="69"/>
      <c r="M135" s="69"/>
      <c r="N135" s="69"/>
      <c r="O135" s="69"/>
      <c r="P135" s="69"/>
      <c r="Q135" s="69"/>
      <c r="R135" s="69"/>
      <c r="S135" s="69"/>
      <c r="T135" s="69"/>
      <c r="U135" s="70"/>
      <c r="V135" s="70"/>
      <c r="W135" s="71"/>
      <c r="X135"/>
    </row>
    <row r="136" spans="1:24">
      <c r="A136" s="71"/>
      <c r="B136" s="71"/>
      <c r="C136" s="71"/>
      <c r="D136" s="69"/>
      <c r="E136"/>
      <c r="F136" s="69"/>
      <c r="G136" s="69"/>
      <c r="H136" s="69"/>
      <c r="I136" s="69"/>
      <c r="J136" s="69"/>
      <c r="K136" s="69"/>
      <c r="L136" s="69"/>
      <c r="M136" s="69"/>
      <c r="N136" s="69"/>
      <c r="O136" s="69"/>
      <c r="P136" s="69"/>
      <c r="Q136" s="69"/>
      <c r="R136" s="69"/>
      <c r="S136" s="69"/>
      <c r="T136" s="69"/>
      <c r="U136" s="70"/>
      <c r="V136" s="70"/>
      <c r="W136" s="71"/>
      <c r="X136"/>
    </row>
    <row r="137" spans="1:24">
      <c r="A137" s="71"/>
      <c r="B137" s="71"/>
      <c r="C137" s="71"/>
      <c r="D137" s="69"/>
      <c r="E137"/>
      <c r="F137" s="69"/>
      <c r="G137" s="69"/>
      <c r="H137" s="69"/>
      <c r="I137" s="69"/>
      <c r="J137" s="69"/>
      <c r="K137" s="69"/>
      <c r="L137" s="69"/>
      <c r="M137" s="69"/>
      <c r="N137" s="69"/>
      <c r="O137" s="69"/>
      <c r="P137" s="69"/>
      <c r="Q137" s="69"/>
      <c r="R137" s="69"/>
      <c r="S137" s="69"/>
      <c r="T137" s="69"/>
      <c r="U137" s="70"/>
      <c r="V137" s="70"/>
      <c r="W137" s="71"/>
      <c r="X137"/>
    </row>
    <row r="138" spans="1:24">
      <c r="A138" s="71"/>
      <c r="B138" s="71"/>
      <c r="C138" s="71"/>
      <c r="D138" s="69"/>
      <c r="E138"/>
      <c r="F138" s="69"/>
      <c r="G138" s="69"/>
      <c r="H138" s="69"/>
      <c r="I138" s="69"/>
      <c r="J138" s="69"/>
      <c r="K138" s="69"/>
      <c r="L138" s="69"/>
      <c r="M138" s="69"/>
      <c r="N138" s="69"/>
      <c r="O138" s="69"/>
      <c r="P138" s="69"/>
      <c r="Q138" s="69"/>
      <c r="R138" s="69"/>
      <c r="S138" s="69"/>
      <c r="T138" s="69"/>
      <c r="U138" s="70"/>
      <c r="V138" s="70"/>
      <c r="W138" s="71"/>
      <c r="X138"/>
    </row>
    <row r="139" spans="1:24">
      <c r="A139" s="71"/>
      <c r="B139" s="71"/>
      <c r="C139" s="71"/>
      <c r="D139" s="69"/>
      <c r="E139"/>
      <c r="F139" s="69"/>
      <c r="G139" s="69"/>
      <c r="H139" s="69"/>
      <c r="I139" s="69"/>
      <c r="J139" s="69"/>
      <c r="K139" s="69"/>
      <c r="L139" s="69"/>
      <c r="M139" s="69"/>
      <c r="N139" s="69"/>
      <c r="O139" s="69"/>
      <c r="P139" s="69"/>
      <c r="Q139" s="69"/>
      <c r="R139" s="69"/>
      <c r="S139" s="69"/>
      <c r="T139" s="69"/>
      <c r="U139" s="70"/>
      <c r="V139" s="70"/>
      <c r="W139" s="71"/>
      <c r="X139"/>
    </row>
    <row r="140" spans="1:24">
      <c r="A140" s="71"/>
      <c r="B140" s="71"/>
      <c r="C140" s="71"/>
      <c r="D140" s="69"/>
      <c r="E140"/>
      <c r="F140" s="69"/>
      <c r="G140" s="69"/>
      <c r="H140" s="69"/>
      <c r="I140" s="69"/>
      <c r="J140" s="69"/>
      <c r="K140" s="69"/>
      <c r="L140" s="69"/>
      <c r="M140" s="69"/>
      <c r="N140" s="69"/>
      <c r="O140" s="69"/>
      <c r="P140" s="69"/>
      <c r="Q140" s="69"/>
      <c r="R140" s="69"/>
      <c r="S140" s="69"/>
      <c r="T140" s="69"/>
      <c r="U140" s="70"/>
      <c r="V140" s="70"/>
      <c r="W140" s="71"/>
      <c r="X140"/>
    </row>
    <row r="141" spans="1:24">
      <c r="A141" s="71"/>
      <c r="B141" s="71"/>
      <c r="C141" s="71"/>
      <c r="D141" s="69"/>
      <c r="E141"/>
      <c r="F141" s="69"/>
      <c r="G141" s="69"/>
      <c r="H141" s="69"/>
      <c r="I141" s="69"/>
      <c r="J141" s="69"/>
      <c r="K141" s="69"/>
      <c r="L141" s="69"/>
      <c r="M141" s="69"/>
      <c r="N141" s="69"/>
      <c r="O141" s="69"/>
      <c r="P141" s="69"/>
      <c r="Q141" s="69"/>
      <c r="R141" s="69"/>
      <c r="S141" s="69"/>
      <c r="T141" s="69"/>
      <c r="U141" s="70"/>
      <c r="V141" s="70"/>
      <c r="W141" s="71"/>
      <c r="X141"/>
    </row>
    <row r="142" spans="1:24">
      <c r="A142" s="71"/>
      <c r="B142" s="71"/>
      <c r="C142" s="71"/>
      <c r="D142" s="69"/>
      <c r="E142"/>
      <c r="F142" s="69"/>
      <c r="G142" s="69"/>
      <c r="H142" s="69"/>
      <c r="I142" s="69"/>
      <c r="J142" s="69"/>
      <c r="K142" s="69"/>
      <c r="L142" s="69"/>
      <c r="M142" s="69"/>
      <c r="N142" s="69"/>
      <c r="O142" s="69"/>
      <c r="P142" s="69"/>
      <c r="Q142" s="69"/>
      <c r="R142" s="69"/>
      <c r="S142" s="69"/>
      <c r="T142" s="69"/>
      <c r="U142" s="70"/>
      <c r="V142" s="70"/>
      <c r="W142" s="71"/>
      <c r="X142"/>
    </row>
    <row r="143" spans="1:24">
      <c r="A143" s="71"/>
      <c r="B143" s="71"/>
      <c r="C143" s="71"/>
      <c r="D143" s="69"/>
      <c r="E143"/>
      <c r="F143" s="69"/>
      <c r="G143" s="69"/>
      <c r="H143" s="69"/>
      <c r="I143" s="69"/>
      <c r="J143" s="69"/>
      <c r="K143" s="69"/>
      <c r="L143" s="69"/>
      <c r="M143" s="69"/>
      <c r="N143" s="69"/>
      <c r="O143" s="69"/>
      <c r="P143" s="69"/>
      <c r="Q143" s="69"/>
      <c r="R143" s="69"/>
      <c r="S143" s="69"/>
      <c r="T143" s="69"/>
      <c r="U143" s="70"/>
      <c r="V143" s="70"/>
      <c r="W143" s="71"/>
      <c r="X143"/>
    </row>
    <row r="144" spans="1:24">
      <c r="A144" s="71"/>
      <c r="B144" s="71"/>
      <c r="C144" s="71"/>
      <c r="D144" s="69"/>
      <c r="E144"/>
      <c r="F144" s="69"/>
      <c r="G144" s="69"/>
      <c r="H144" s="69"/>
      <c r="I144" s="69"/>
      <c r="J144" s="69"/>
      <c r="K144" s="69"/>
      <c r="L144" s="69"/>
      <c r="M144" s="69"/>
      <c r="N144" s="69"/>
      <c r="O144" s="69"/>
      <c r="P144" s="69"/>
      <c r="Q144" s="69"/>
      <c r="R144" s="69"/>
      <c r="S144" s="69"/>
      <c r="T144" s="69"/>
      <c r="U144" s="70"/>
      <c r="V144" s="70"/>
      <c r="W144" s="71"/>
      <c r="X144"/>
    </row>
    <row r="145" spans="1:24">
      <c r="A145" s="71"/>
      <c r="B145" s="71"/>
      <c r="C145" s="71"/>
      <c r="D145" s="69"/>
      <c r="E145"/>
      <c r="F145" s="69"/>
      <c r="G145" s="69"/>
      <c r="H145" s="69"/>
      <c r="I145" s="69"/>
      <c r="J145" s="69"/>
      <c r="K145" s="69"/>
      <c r="L145" s="69"/>
      <c r="M145" s="69"/>
      <c r="N145" s="69"/>
      <c r="O145" s="69"/>
      <c r="P145" s="69"/>
      <c r="Q145" s="69"/>
      <c r="R145" s="69"/>
      <c r="S145" s="69"/>
      <c r="T145" s="69"/>
      <c r="U145" s="70"/>
      <c r="V145" s="70"/>
      <c r="W145" s="71"/>
      <c r="X145"/>
    </row>
    <row r="146" spans="1:24">
      <c r="A146" s="71"/>
      <c r="B146" s="71"/>
      <c r="C146" s="71"/>
      <c r="D146" s="69"/>
      <c r="E146"/>
      <c r="F146" s="69"/>
      <c r="G146" s="69"/>
      <c r="H146" s="69"/>
      <c r="I146" s="69"/>
      <c r="J146" s="69"/>
      <c r="K146" s="69"/>
      <c r="L146" s="69"/>
      <c r="M146" s="69"/>
      <c r="N146" s="69"/>
      <c r="O146" s="69"/>
      <c r="P146" s="69"/>
      <c r="Q146" s="69"/>
      <c r="R146" s="69"/>
      <c r="S146" s="69"/>
      <c r="T146" s="69"/>
      <c r="U146" s="70"/>
      <c r="V146" s="70"/>
      <c r="W146" s="71"/>
      <c r="X146"/>
    </row>
    <row r="147" spans="1:24">
      <c r="A147" s="71"/>
      <c r="B147" s="71"/>
      <c r="C147" s="71"/>
      <c r="D147" s="69"/>
      <c r="E147"/>
      <c r="F147" s="69"/>
      <c r="G147" s="69"/>
      <c r="H147" s="69"/>
      <c r="I147" s="69"/>
      <c r="J147" s="69"/>
      <c r="K147" s="69"/>
      <c r="L147" s="69"/>
      <c r="M147" s="69"/>
      <c r="N147" s="69"/>
      <c r="O147" s="69"/>
      <c r="P147" s="69"/>
      <c r="Q147" s="69"/>
      <c r="R147" s="69"/>
      <c r="S147" s="69"/>
      <c r="T147" s="69"/>
      <c r="U147" s="70"/>
      <c r="V147" s="70"/>
      <c r="W147" s="71"/>
      <c r="X147"/>
    </row>
    <row r="148" spans="1:24">
      <c r="A148" s="71"/>
      <c r="B148" s="71"/>
      <c r="C148" s="71"/>
      <c r="D148" s="69"/>
      <c r="E148"/>
      <c r="F148" s="69"/>
      <c r="G148" s="69"/>
      <c r="H148" s="69"/>
      <c r="I148" s="69"/>
      <c r="J148" s="69"/>
      <c r="K148" s="69"/>
      <c r="L148" s="69"/>
      <c r="M148" s="69"/>
      <c r="N148" s="69"/>
      <c r="O148" s="69"/>
      <c r="P148" s="69"/>
      <c r="Q148" s="69"/>
      <c r="R148" s="69"/>
      <c r="S148" s="69"/>
      <c r="T148" s="69"/>
      <c r="U148" s="70"/>
      <c r="V148" s="70"/>
      <c r="W148" s="71"/>
      <c r="X148"/>
    </row>
    <row r="149" spans="1:24">
      <c r="A149" s="71"/>
      <c r="B149" s="71"/>
      <c r="C149" s="71"/>
      <c r="D149" s="69"/>
      <c r="E149"/>
      <c r="F149" s="69"/>
      <c r="G149" s="69"/>
      <c r="H149" s="69"/>
      <c r="I149" s="69"/>
      <c r="J149" s="69"/>
      <c r="K149" s="69"/>
      <c r="L149" s="69"/>
      <c r="M149" s="69"/>
      <c r="N149" s="69"/>
      <c r="O149" s="69"/>
      <c r="P149" s="69"/>
      <c r="Q149" s="69"/>
      <c r="R149" s="69"/>
      <c r="S149" s="69"/>
      <c r="T149" s="69"/>
      <c r="U149" s="70"/>
      <c r="V149" s="70"/>
      <c r="W149" s="71"/>
      <c r="X149"/>
    </row>
    <row r="150" spans="1:24">
      <c r="A150" s="71"/>
      <c r="B150" s="71"/>
      <c r="C150" s="71"/>
      <c r="D150" s="69"/>
      <c r="E150"/>
      <c r="F150" s="69"/>
      <c r="G150" s="69"/>
      <c r="H150" s="69"/>
      <c r="I150" s="69"/>
      <c r="J150" s="69"/>
      <c r="K150" s="69"/>
      <c r="L150" s="69"/>
      <c r="M150" s="69"/>
      <c r="N150" s="69"/>
      <c r="O150" s="69"/>
      <c r="P150" s="69"/>
      <c r="Q150" s="69"/>
      <c r="R150" s="69"/>
      <c r="S150" s="69"/>
      <c r="T150" s="69"/>
      <c r="U150" s="70"/>
      <c r="V150" s="70"/>
      <c r="W150" s="71"/>
      <c r="X150"/>
    </row>
    <row r="151" spans="1:24">
      <c r="A151" s="71"/>
      <c r="B151" s="71"/>
      <c r="C151" s="71"/>
      <c r="D151" s="69"/>
      <c r="E151"/>
      <c r="F151" s="69"/>
      <c r="G151" s="69"/>
      <c r="H151" s="69"/>
      <c r="I151" s="69"/>
      <c r="J151" s="69"/>
      <c r="K151" s="69"/>
      <c r="L151" s="69"/>
      <c r="M151" s="69"/>
      <c r="N151" s="69"/>
      <c r="O151" s="69"/>
      <c r="P151" s="69"/>
      <c r="Q151" s="69"/>
      <c r="R151" s="69"/>
      <c r="S151" s="69"/>
      <c r="T151" s="69"/>
      <c r="U151" s="70"/>
      <c r="V151" s="70"/>
      <c r="W151" s="71"/>
      <c r="X151"/>
    </row>
    <row r="152" spans="1:24">
      <c r="A152" s="71"/>
      <c r="B152" s="71"/>
      <c r="C152" s="71"/>
      <c r="D152" s="69"/>
      <c r="E152"/>
      <c r="F152" s="69"/>
      <c r="G152" s="69"/>
      <c r="H152" s="69"/>
      <c r="I152" s="69"/>
      <c r="J152" s="69"/>
      <c r="K152" s="69"/>
      <c r="L152" s="69"/>
      <c r="M152" s="69"/>
      <c r="N152" s="69"/>
      <c r="O152" s="69"/>
      <c r="P152" s="69"/>
      <c r="Q152" s="69"/>
      <c r="R152" s="69"/>
      <c r="S152" s="69"/>
      <c r="T152" s="69"/>
      <c r="U152" s="70"/>
      <c r="V152" s="70"/>
      <c r="W152" s="71"/>
      <c r="X152"/>
    </row>
    <row r="153" spans="1:24">
      <c r="A153" s="71"/>
      <c r="B153" s="71"/>
      <c r="C153" s="71"/>
      <c r="D153" s="69"/>
      <c r="E153"/>
      <c r="F153" s="69"/>
      <c r="G153" s="69"/>
      <c r="H153" s="69"/>
      <c r="I153" s="69"/>
      <c r="J153" s="69"/>
      <c r="K153" s="69"/>
      <c r="L153" s="69"/>
      <c r="M153" s="69"/>
      <c r="N153" s="69"/>
      <c r="O153" s="69"/>
      <c r="P153" s="69"/>
      <c r="Q153" s="69"/>
      <c r="R153" s="69"/>
      <c r="S153" s="69"/>
      <c r="T153" s="69"/>
      <c r="U153" s="70"/>
      <c r="V153" s="70"/>
      <c r="W153" s="71"/>
      <c r="X153"/>
    </row>
    <row r="154" spans="1:24">
      <c r="A154" s="71"/>
      <c r="B154" s="71"/>
      <c r="C154" s="71"/>
      <c r="D154" s="69"/>
      <c r="E154"/>
      <c r="F154" s="69"/>
      <c r="G154" s="69"/>
      <c r="H154" s="69"/>
      <c r="I154" s="69"/>
      <c r="J154" s="69"/>
      <c r="K154" s="69"/>
      <c r="L154" s="69"/>
      <c r="M154" s="69"/>
      <c r="N154" s="69"/>
      <c r="O154" s="69"/>
      <c r="P154" s="69"/>
      <c r="Q154" s="69"/>
      <c r="R154" s="69"/>
      <c r="S154" s="69"/>
      <c r="T154" s="69"/>
      <c r="U154" s="70"/>
      <c r="V154" s="70"/>
      <c r="W154" s="71"/>
      <c r="X154"/>
    </row>
    <row r="155" spans="1:24">
      <c r="A155" s="71"/>
      <c r="B155" s="71"/>
      <c r="C155" s="71"/>
      <c r="D155" s="69"/>
      <c r="E155"/>
      <c r="F155" s="69"/>
      <c r="G155" s="69"/>
      <c r="H155" s="69"/>
      <c r="I155" s="69"/>
      <c r="J155" s="69"/>
      <c r="K155" s="69"/>
      <c r="L155" s="69"/>
      <c r="M155" s="69"/>
      <c r="N155" s="69"/>
      <c r="O155" s="69"/>
      <c r="P155" s="69"/>
      <c r="Q155" s="69"/>
      <c r="R155" s="69"/>
      <c r="S155" s="69"/>
      <c r="T155" s="69"/>
      <c r="U155" s="70"/>
      <c r="V155" s="70"/>
      <c r="W155" s="71"/>
      <c r="X155"/>
    </row>
    <row r="156" spans="1:24">
      <c r="A156" s="71"/>
      <c r="B156" s="71"/>
      <c r="C156" s="71"/>
      <c r="D156" s="69"/>
      <c r="E156"/>
      <c r="F156" s="69"/>
      <c r="G156" s="69"/>
      <c r="H156" s="69"/>
      <c r="I156" s="69"/>
      <c r="J156" s="69"/>
      <c r="K156" s="69"/>
      <c r="L156" s="69"/>
      <c r="M156" s="69"/>
      <c r="N156" s="69"/>
      <c r="O156" s="69"/>
      <c r="P156" s="69"/>
      <c r="Q156" s="69"/>
      <c r="R156" s="69"/>
      <c r="S156" s="69"/>
      <c r="T156" s="69"/>
      <c r="U156" s="70"/>
      <c r="V156" s="70"/>
      <c r="W156" s="71"/>
      <c r="X156"/>
    </row>
    <row r="157" spans="1:24">
      <c r="A157" s="71"/>
      <c r="B157" s="71"/>
      <c r="C157" s="71"/>
      <c r="D157" s="69"/>
      <c r="E157"/>
      <c r="F157" s="69"/>
      <c r="G157" s="69"/>
      <c r="H157" s="69"/>
      <c r="I157" s="69"/>
      <c r="J157" s="69"/>
      <c r="K157" s="69"/>
      <c r="L157" s="69"/>
      <c r="M157" s="69"/>
      <c r="N157" s="69"/>
      <c r="O157" s="69"/>
      <c r="P157" s="69"/>
      <c r="Q157" s="69"/>
      <c r="R157" s="69"/>
      <c r="S157" s="69"/>
      <c r="T157" s="69"/>
      <c r="U157" s="70"/>
      <c r="V157" s="70"/>
      <c r="W157" s="71"/>
      <c r="X157"/>
    </row>
    <row r="158" spans="1:24">
      <c r="A158" s="71"/>
      <c r="B158" s="71"/>
      <c r="C158" s="71"/>
      <c r="D158" s="69"/>
      <c r="E158"/>
      <c r="F158" s="69"/>
      <c r="G158" s="69"/>
      <c r="H158" s="69"/>
      <c r="I158" s="69"/>
      <c r="J158" s="69"/>
      <c r="K158" s="69"/>
      <c r="L158" s="69"/>
      <c r="M158" s="69"/>
      <c r="N158" s="69"/>
      <c r="O158" s="69"/>
      <c r="P158" s="69"/>
      <c r="Q158" s="69"/>
      <c r="R158" s="69"/>
      <c r="S158" s="69"/>
      <c r="T158" s="69"/>
      <c r="U158" s="70"/>
      <c r="V158" s="70"/>
      <c r="W158" s="71"/>
      <c r="X158"/>
    </row>
    <row r="159" spans="1:24">
      <c r="A159" s="71"/>
      <c r="B159" s="71"/>
      <c r="C159" s="71"/>
      <c r="D159" s="69"/>
      <c r="E159"/>
      <c r="F159" s="69"/>
      <c r="G159" s="69"/>
      <c r="H159" s="69"/>
      <c r="I159" s="69"/>
      <c r="J159" s="69"/>
      <c r="K159" s="69"/>
      <c r="L159" s="69"/>
      <c r="M159" s="69"/>
      <c r="N159" s="69"/>
      <c r="O159" s="69"/>
      <c r="P159" s="69"/>
      <c r="Q159" s="69"/>
      <c r="R159" s="69"/>
      <c r="S159" s="69"/>
      <c r="T159" s="69"/>
      <c r="U159" s="70"/>
      <c r="V159" s="70"/>
      <c r="W159" s="71"/>
      <c r="X159"/>
    </row>
    <row r="160" spans="1:24">
      <c r="A160" s="71"/>
      <c r="B160" s="71"/>
      <c r="C160" s="71"/>
      <c r="D160" s="69"/>
      <c r="E160"/>
      <c r="F160" s="69"/>
      <c r="G160" s="69"/>
      <c r="H160" s="69"/>
      <c r="I160" s="69"/>
      <c r="J160" s="69"/>
      <c r="K160" s="69"/>
      <c r="L160" s="69"/>
      <c r="M160" s="69"/>
      <c r="N160" s="69"/>
      <c r="O160" s="69"/>
      <c r="P160" s="69"/>
      <c r="Q160" s="69"/>
      <c r="R160" s="69"/>
      <c r="S160" s="69"/>
      <c r="T160" s="69"/>
      <c r="U160" s="70"/>
      <c r="V160" s="70"/>
      <c r="W160" s="71"/>
      <c r="X160"/>
    </row>
    <row r="161" spans="1:24">
      <c r="A161" s="71"/>
      <c r="B161" s="71"/>
      <c r="C161" s="71"/>
      <c r="D161" s="69"/>
      <c r="E161"/>
      <c r="F161" s="69"/>
      <c r="G161" s="69"/>
      <c r="H161" s="69"/>
      <c r="I161" s="69"/>
      <c r="J161" s="69"/>
      <c r="K161" s="69"/>
      <c r="L161" s="69"/>
      <c r="M161" s="69"/>
      <c r="N161" s="69"/>
      <c r="O161" s="69"/>
      <c r="P161" s="69"/>
      <c r="Q161" s="69"/>
      <c r="R161" s="69"/>
      <c r="S161" s="69"/>
      <c r="T161" s="69"/>
      <c r="U161" s="70"/>
      <c r="V161" s="70"/>
      <c r="W161" s="71"/>
      <c r="X161"/>
    </row>
    <row r="162" spans="1:24">
      <c r="A162" s="71"/>
      <c r="B162" s="71"/>
      <c r="C162" s="71"/>
      <c r="D162" s="69"/>
      <c r="E162"/>
      <c r="F162" s="69"/>
      <c r="G162" s="69"/>
      <c r="H162" s="69"/>
      <c r="I162" s="69"/>
      <c r="J162" s="69"/>
      <c r="K162" s="69"/>
      <c r="L162" s="69"/>
      <c r="M162" s="69"/>
      <c r="N162" s="69"/>
      <c r="O162" s="69"/>
      <c r="P162" s="69"/>
      <c r="Q162" s="69"/>
      <c r="R162" s="69"/>
      <c r="S162" s="69"/>
      <c r="T162" s="69"/>
      <c r="U162" s="70"/>
      <c r="V162" s="70"/>
      <c r="W162" s="71"/>
      <c r="X162"/>
    </row>
    <row r="163" spans="1:24">
      <c r="A163" s="71"/>
      <c r="B163" s="71"/>
      <c r="C163" s="71"/>
      <c r="D163" s="69"/>
      <c r="E163"/>
      <c r="F163" s="69"/>
      <c r="G163" s="69"/>
      <c r="H163" s="69"/>
      <c r="I163" s="69"/>
      <c r="J163" s="69"/>
      <c r="K163" s="69"/>
      <c r="L163" s="69"/>
      <c r="M163" s="69"/>
      <c r="N163" s="69"/>
      <c r="O163" s="69"/>
      <c r="P163" s="69"/>
      <c r="Q163" s="69"/>
      <c r="R163" s="69"/>
      <c r="S163" s="69"/>
      <c r="T163" s="69"/>
      <c r="U163" s="70"/>
      <c r="V163" s="70"/>
      <c r="W163" s="71"/>
      <c r="X163"/>
    </row>
    <row r="164" spans="1:24">
      <c r="A164" s="71"/>
      <c r="B164" s="71"/>
      <c r="C164" s="71"/>
      <c r="D164" s="69"/>
      <c r="E164"/>
      <c r="F164" s="69"/>
      <c r="G164" s="69"/>
      <c r="H164" s="69"/>
      <c r="I164" s="69"/>
      <c r="J164" s="69"/>
      <c r="K164" s="69"/>
      <c r="L164" s="69"/>
      <c r="M164" s="69"/>
      <c r="N164" s="69"/>
      <c r="O164" s="69"/>
      <c r="P164" s="69"/>
      <c r="Q164" s="69"/>
      <c r="R164" s="69"/>
      <c r="S164" s="69"/>
      <c r="T164" s="69"/>
      <c r="U164" s="70"/>
      <c r="V164" s="70"/>
      <c r="W164" s="71"/>
      <c r="X164"/>
    </row>
    <row r="165" spans="1:24">
      <c r="A165" s="71"/>
      <c r="B165" s="71"/>
      <c r="C165" s="71"/>
      <c r="D165" s="69"/>
      <c r="E165"/>
      <c r="F165" s="69"/>
      <c r="G165" s="69"/>
      <c r="H165" s="69"/>
      <c r="I165" s="69"/>
      <c r="J165" s="69"/>
      <c r="K165" s="69"/>
      <c r="L165" s="69"/>
      <c r="M165" s="69"/>
      <c r="N165" s="69"/>
      <c r="O165" s="69"/>
      <c r="P165" s="69"/>
      <c r="Q165" s="69"/>
      <c r="R165" s="69"/>
      <c r="S165" s="69"/>
      <c r="T165" s="69"/>
      <c r="U165" s="70"/>
      <c r="V165" s="70"/>
      <c r="W165" s="71"/>
      <c r="X165"/>
    </row>
    <row r="166" spans="1:24">
      <c r="A166" s="71"/>
      <c r="B166" s="71"/>
      <c r="C166" s="71"/>
      <c r="D166" s="69"/>
      <c r="E166"/>
      <c r="F166" s="69"/>
      <c r="G166" s="69"/>
      <c r="H166" s="69"/>
      <c r="I166" s="69"/>
      <c r="J166" s="69"/>
      <c r="K166" s="69"/>
      <c r="L166" s="69"/>
      <c r="M166" s="69"/>
      <c r="N166" s="69"/>
      <c r="O166" s="69"/>
      <c r="P166" s="69"/>
      <c r="Q166" s="69"/>
      <c r="R166" s="69"/>
      <c r="S166" s="69"/>
      <c r="T166" s="69"/>
      <c r="U166" s="70"/>
      <c r="V166" s="70"/>
      <c r="W166" s="71"/>
      <c r="X166"/>
    </row>
    <row r="167" spans="1:24">
      <c r="A167" s="71"/>
      <c r="B167" s="71"/>
      <c r="C167" s="71"/>
      <c r="D167" s="69"/>
      <c r="E167"/>
      <c r="F167" s="69"/>
      <c r="G167" s="69"/>
      <c r="H167" s="69"/>
      <c r="I167" s="69"/>
      <c r="J167" s="69"/>
      <c r="K167" s="69"/>
      <c r="L167" s="69"/>
      <c r="M167" s="69"/>
      <c r="N167" s="69"/>
      <c r="O167" s="69"/>
      <c r="P167" s="69"/>
      <c r="Q167" s="69"/>
      <c r="R167" s="69"/>
      <c r="S167" s="69"/>
      <c r="T167" s="69"/>
      <c r="U167" s="70"/>
      <c r="V167" s="70"/>
      <c r="W167" s="71"/>
      <c r="X167"/>
    </row>
    <row r="168" spans="1:24">
      <c r="A168" s="71"/>
      <c r="B168" s="71"/>
      <c r="C168" s="71"/>
      <c r="D168" s="69"/>
      <c r="E168"/>
      <c r="F168" s="69"/>
      <c r="G168" s="69"/>
      <c r="H168" s="69"/>
      <c r="I168" s="69"/>
      <c r="J168" s="69"/>
      <c r="K168" s="69"/>
      <c r="L168" s="69"/>
      <c r="M168" s="69"/>
      <c r="N168" s="69"/>
      <c r="O168" s="69"/>
      <c r="P168" s="69"/>
      <c r="Q168" s="69"/>
      <c r="R168" s="69"/>
      <c r="S168" s="69"/>
      <c r="T168" s="69"/>
      <c r="U168" s="70"/>
      <c r="V168" s="70"/>
      <c r="W168" s="71"/>
      <c r="X168"/>
    </row>
    <row r="169" spans="1:24">
      <c r="A169" s="71"/>
      <c r="B169" s="71"/>
      <c r="C169" s="71"/>
      <c r="D169" s="69"/>
      <c r="E169"/>
      <c r="F169" s="69"/>
      <c r="G169" s="69"/>
      <c r="H169" s="69"/>
      <c r="I169" s="69"/>
      <c r="J169" s="69"/>
      <c r="K169" s="69"/>
      <c r="L169" s="69"/>
      <c r="M169" s="69"/>
      <c r="N169" s="69"/>
      <c r="O169" s="69"/>
      <c r="P169" s="69"/>
      <c r="Q169" s="69"/>
      <c r="R169" s="69"/>
      <c r="S169" s="69"/>
      <c r="T169" s="69"/>
      <c r="U169" s="70"/>
      <c r="V169" s="70"/>
      <c r="W169" s="71"/>
      <c r="X169"/>
    </row>
    <row r="170" spans="1:24">
      <c r="A170" s="71"/>
      <c r="B170" s="71"/>
      <c r="C170" s="71"/>
      <c r="D170" s="69"/>
      <c r="E170"/>
      <c r="F170" s="69"/>
      <c r="G170" s="69"/>
      <c r="H170" s="69"/>
      <c r="I170" s="69"/>
      <c r="J170" s="69"/>
      <c r="K170" s="69"/>
      <c r="L170" s="69"/>
      <c r="M170" s="69"/>
      <c r="N170" s="69"/>
      <c r="O170" s="69"/>
      <c r="P170" s="69"/>
      <c r="Q170" s="69"/>
      <c r="R170" s="69"/>
      <c r="S170" s="69"/>
      <c r="T170" s="69"/>
      <c r="U170" s="70"/>
      <c r="V170" s="70"/>
      <c r="W170" s="71"/>
      <c r="X170"/>
    </row>
    <row r="171" spans="1:24">
      <c r="A171" s="71"/>
      <c r="B171" s="71"/>
      <c r="C171" s="71"/>
      <c r="D171" s="69"/>
      <c r="E171"/>
      <c r="F171" s="69"/>
      <c r="G171" s="69"/>
      <c r="H171" s="69"/>
      <c r="I171" s="69"/>
      <c r="J171" s="69"/>
      <c r="K171" s="69"/>
      <c r="L171" s="69"/>
      <c r="M171" s="69"/>
      <c r="N171" s="69"/>
      <c r="O171" s="69"/>
      <c r="P171" s="69"/>
      <c r="Q171" s="69"/>
      <c r="R171" s="69"/>
      <c r="S171" s="69"/>
      <c r="T171" s="69"/>
      <c r="U171" s="70"/>
      <c r="V171" s="70"/>
      <c r="W171" s="71"/>
      <c r="X171"/>
    </row>
    <row r="172" spans="1:24">
      <c r="A172" s="71"/>
      <c r="B172" s="71"/>
      <c r="C172" s="71"/>
      <c r="D172" s="69"/>
      <c r="E172"/>
      <c r="F172" s="69"/>
      <c r="G172" s="69"/>
      <c r="H172" s="69"/>
      <c r="I172" s="69"/>
      <c r="J172" s="69"/>
      <c r="K172" s="69"/>
      <c r="L172" s="69"/>
      <c r="M172" s="69"/>
      <c r="N172" s="69"/>
      <c r="O172" s="69"/>
      <c r="P172" s="69"/>
      <c r="Q172" s="69"/>
      <c r="R172" s="69"/>
      <c r="S172" s="69"/>
      <c r="T172" s="69"/>
      <c r="U172" s="70"/>
      <c r="V172" s="70"/>
      <c r="W172" s="71"/>
      <c r="X172"/>
    </row>
    <row r="173" spans="1:24">
      <c r="A173" s="71"/>
      <c r="B173" s="71"/>
      <c r="C173" s="71"/>
      <c r="D173" s="69"/>
      <c r="E173"/>
      <c r="F173" s="69"/>
      <c r="G173" s="69"/>
      <c r="H173" s="69"/>
      <c r="I173" s="69"/>
      <c r="J173" s="69"/>
      <c r="K173" s="69"/>
      <c r="L173" s="69"/>
      <c r="M173" s="69"/>
      <c r="N173" s="69"/>
      <c r="O173" s="69"/>
      <c r="P173" s="69"/>
      <c r="Q173" s="69"/>
      <c r="R173" s="69"/>
      <c r="S173" s="69"/>
      <c r="T173" s="69"/>
      <c r="U173" s="70"/>
      <c r="V173" s="70"/>
      <c r="W173" s="71"/>
      <c r="X173"/>
    </row>
    <row r="174" spans="1:24">
      <c r="A174" s="71"/>
      <c r="B174" s="71"/>
      <c r="C174" s="71"/>
      <c r="D174" s="69"/>
      <c r="E174"/>
      <c r="F174" s="69"/>
      <c r="G174" s="69"/>
      <c r="H174" s="69"/>
      <c r="I174" s="69"/>
      <c r="J174" s="69"/>
      <c r="K174" s="69"/>
      <c r="L174" s="69"/>
      <c r="M174" s="69"/>
      <c r="N174" s="69"/>
      <c r="O174" s="69"/>
      <c r="P174" s="69"/>
      <c r="Q174" s="69"/>
      <c r="R174" s="69"/>
      <c r="S174" s="69"/>
      <c r="T174" s="69"/>
      <c r="U174" s="70"/>
      <c r="V174" s="70"/>
      <c r="W174" s="71"/>
      <c r="X174"/>
    </row>
    <row r="175" spans="1:24">
      <c r="A175" s="71"/>
      <c r="B175" s="71"/>
      <c r="C175" s="71"/>
      <c r="D175" s="69"/>
      <c r="E175"/>
      <c r="F175" s="69"/>
      <c r="G175" s="69"/>
      <c r="H175" s="69"/>
      <c r="I175" s="69"/>
      <c r="J175" s="69"/>
      <c r="K175" s="69"/>
      <c r="L175" s="69"/>
      <c r="M175" s="69"/>
      <c r="N175" s="69"/>
      <c r="O175" s="69"/>
      <c r="P175" s="69"/>
      <c r="Q175" s="69"/>
      <c r="R175" s="69"/>
      <c r="S175" s="69"/>
      <c r="T175" s="69"/>
      <c r="U175" s="70"/>
      <c r="V175" s="70"/>
      <c r="W175" s="71"/>
      <c r="X175"/>
    </row>
    <row r="176" spans="1:24">
      <c r="A176" s="71"/>
      <c r="B176" s="71"/>
      <c r="C176" s="71"/>
      <c r="D176" s="69"/>
      <c r="E176"/>
      <c r="F176" s="69"/>
      <c r="G176" s="69"/>
      <c r="H176" s="69"/>
      <c r="I176" s="69"/>
      <c r="J176" s="69"/>
      <c r="K176" s="69"/>
      <c r="L176" s="69"/>
      <c r="M176" s="69"/>
      <c r="N176" s="69"/>
      <c r="O176" s="69"/>
      <c r="P176" s="69"/>
      <c r="Q176" s="69"/>
      <c r="R176" s="69"/>
      <c r="S176" s="69"/>
      <c r="T176" s="69"/>
      <c r="U176" s="70"/>
      <c r="V176" s="70"/>
      <c r="W176" s="71"/>
      <c r="X176"/>
    </row>
    <row r="177" spans="1:24">
      <c r="A177" s="71"/>
      <c r="B177" s="71"/>
      <c r="C177" s="71"/>
      <c r="D177" s="69"/>
      <c r="E177"/>
      <c r="F177" s="69"/>
      <c r="G177" s="69"/>
      <c r="H177" s="69"/>
      <c r="I177" s="69"/>
      <c r="J177" s="69"/>
      <c r="K177" s="69"/>
      <c r="L177" s="69"/>
      <c r="M177" s="69"/>
      <c r="N177" s="69"/>
      <c r="O177" s="69"/>
      <c r="P177" s="69"/>
      <c r="Q177" s="69"/>
      <c r="R177" s="69"/>
      <c r="S177" s="69"/>
      <c r="T177" s="69"/>
      <c r="U177" s="70"/>
      <c r="V177" s="70"/>
      <c r="W177" s="71"/>
      <c r="X177"/>
    </row>
    <row r="178" spans="1:24">
      <c r="A178" s="71"/>
      <c r="B178" s="71"/>
      <c r="C178" s="71"/>
      <c r="D178" s="69"/>
      <c r="E178"/>
      <c r="F178" s="69"/>
      <c r="G178" s="69"/>
      <c r="H178" s="69"/>
      <c r="I178" s="69"/>
      <c r="J178" s="69"/>
      <c r="K178" s="69"/>
      <c r="L178" s="69"/>
      <c r="M178" s="69"/>
      <c r="N178" s="69"/>
      <c r="O178" s="69"/>
      <c r="P178" s="69"/>
      <c r="Q178" s="69"/>
      <c r="R178" s="69"/>
      <c r="S178" s="69"/>
      <c r="T178" s="69"/>
      <c r="U178" s="70"/>
      <c r="V178" s="70"/>
      <c r="W178" s="71"/>
      <c r="X178"/>
    </row>
    <row r="179" spans="1:24">
      <c r="A179" s="71"/>
      <c r="B179" s="71"/>
      <c r="C179" s="71"/>
      <c r="D179" s="69"/>
      <c r="E179"/>
      <c r="F179" s="69"/>
      <c r="G179" s="69"/>
      <c r="H179" s="69"/>
      <c r="I179" s="69"/>
      <c r="J179" s="69"/>
      <c r="K179" s="69"/>
      <c r="L179" s="69"/>
      <c r="M179" s="69"/>
      <c r="N179" s="69"/>
      <c r="O179" s="69"/>
      <c r="P179" s="69"/>
      <c r="Q179" s="69"/>
      <c r="R179" s="69"/>
      <c r="S179" s="69"/>
      <c r="T179" s="69"/>
      <c r="U179" s="70"/>
      <c r="V179" s="70"/>
      <c r="W179" s="71"/>
      <c r="X179"/>
    </row>
    <row r="180" spans="1:24">
      <c r="A180" s="71"/>
      <c r="B180" s="71"/>
      <c r="C180" s="71"/>
      <c r="D180" s="69"/>
      <c r="E180"/>
      <c r="F180" s="69"/>
      <c r="G180" s="69"/>
      <c r="H180" s="69"/>
      <c r="I180" s="69"/>
      <c r="J180" s="69"/>
      <c r="K180" s="69"/>
      <c r="L180" s="69"/>
      <c r="M180" s="69"/>
      <c r="N180" s="69"/>
      <c r="O180" s="69"/>
      <c r="P180" s="69"/>
      <c r="Q180" s="69"/>
      <c r="R180" s="69"/>
      <c r="S180" s="69"/>
      <c r="T180" s="69"/>
      <c r="U180" s="70"/>
      <c r="V180" s="70"/>
      <c r="W180" s="71"/>
      <c r="X180"/>
    </row>
    <row r="181" spans="1:24">
      <c r="A181" s="71"/>
      <c r="B181" s="71"/>
      <c r="C181" s="71"/>
      <c r="D181" s="69"/>
      <c r="E181"/>
      <c r="F181" s="69"/>
      <c r="G181" s="69"/>
      <c r="H181" s="69"/>
      <c r="I181" s="69"/>
      <c r="J181" s="69"/>
      <c r="K181" s="69"/>
      <c r="L181" s="69"/>
      <c r="M181" s="69"/>
      <c r="N181" s="69"/>
      <c r="O181" s="69"/>
      <c r="P181" s="69"/>
      <c r="Q181" s="69"/>
      <c r="R181" s="69"/>
      <c r="S181" s="69"/>
      <c r="T181" s="69"/>
      <c r="U181" s="70"/>
      <c r="V181" s="70"/>
      <c r="W181" s="71"/>
      <c r="X181"/>
    </row>
    <row r="182" spans="1:24">
      <c r="A182" s="71"/>
      <c r="B182" s="71"/>
      <c r="C182" s="71"/>
      <c r="D182" s="69"/>
      <c r="E182"/>
      <c r="F182" s="69"/>
      <c r="G182" s="69"/>
      <c r="H182" s="69"/>
      <c r="I182" s="69"/>
      <c r="J182" s="69"/>
      <c r="K182" s="69"/>
      <c r="L182" s="69"/>
      <c r="M182" s="69"/>
      <c r="N182" s="69"/>
      <c r="O182" s="69"/>
      <c r="P182" s="69"/>
      <c r="Q182" s="69"/>
      <c r="R182" s="69"/>
      <c r="S182" s="69"/>
      <c r="T182" s="69"/>
      <c r="U182" s="70"/>
      <c r="V182" s="70"/>
      <c r="W182" s="71"/>
      <c r="X182"/>
    </row>
    <row r="183" spans="1:24">
      <c r="A183" s="71"/>
      <c r="B183" s="71"/>
      <c r="C183" s="71"/>
      <c r="D183" s="69"/>
      <c r="E183"/>
      <c r="F183" s="69"/>
      <c r="G183" s="69"/>
      <c r="H183" s="69"/>
      <c r="I183" s="69"/>
      <c r="J183" s="69"/>
      <c r="K183" s="69"/>
      <c r="L183" s="69"/>
      <c r="M183" s="69"/>
      <c r="N183" s="69"/>
      <c r="O183" s="69"/>
      <c r="P183" s="69"/>
      <c r="Q183" s="69"/>
      <c r="R183" s="69"/>
      <c r="S183" s="69"/>
      <c r="T183" s="69"/>
      <c r="U183" s="70"/>
      <c r="V183" s="70"/>
      <c r="W183" s="71"/>
      <c r="X183"/>
    </row>
    <row r="184" spans="1:24">
      <c r="A184" s="71"/>
      <c r="B184" s="71"/>
      <c r="C184" s="71"/>
      <c r="D184" s="69"/>
      <c r="E184"/>
      <c r="F184" s="69"/>
      <c r="G184" s="69"/>
      <c r="H184" s="69"/>
      <c r="I184" s="69"/>
      <c r="J184" s="69"/>
      <c r="K184" s="69"/>
      <c r="L184" s="69"/>
      <c r="M184" s="69"/>
      <c r="N184" s="69"/>
      <c r="O184" s="69"/>
      <c r="P184" s="69"/>
      <c r="Q184" s="69"/>
      <c r="R184" s="69"/>
      <c r="S184" s="69"/>
      <c r="T184" s="69"/>
      <c r="U184" s="70"/>
      <c r="V184" s="70"/>
      <c r="W184" s="71"/>
      <c r="X184"/>
    </row>
    <row r="185" spans="1:24">
      <c r="A185" s="71"/>
      <c r="B185" s="71"/>
      <c r="C185" s="71"/>
      <c r="D185" s="69"/>
      <c r="E185"/>
      <c r="F185" s="69"/>
      <c r="G185" s="69"/>
      <c r="H185" s="69"/>
      <c r="I185" s="69"/>
      <c r="J185" s="69"/>
      <c r="K185" s="69"/>
      <c r="L185" s="69"/>
      <c r="M185" s="69"/>
      <c r="N185" s="69"/>
      <c r="O185" s="69"/>
      <c r="P185" s="69"/>
      <c r="Q185" s="69"/>
      <c r="R185" s="69"/>
      <c r="S185" s="69"/>
      <c r="T185" s="69"/>
      <c r="U185" s="70"/>
      <c r="V185" s="70"/>
      <c r="W185" s="71"/>
      <c r="X185"/>
    </row>
    <row r="186" spans="1:24">
      <c r="A186" s="71"/>
      <c r="B186" s="71"/>
      <c r="C186" s="71"/>
      <c r="D186" s="69"/>
      <c r="E186"/>
      <c r="F186" s="69"/>
      <c r="G186" s="69"/>
      <c r="H186" s="69"/>
      <c r="I186" s="69"/>
      <c r="J186" s="69"/>
      <c r="K186" s="69"/>
      <c r="L186" s="69"/>
      <c r="M186" s="69"/>
      <c r="N186" s="69"/>
      <c r="O186" s="69"/>
      <c r="P186" s="69"/>
      <c r="Q186" s="69"/>
      <c r="R186" s="69"/>
      <c r="S186" s="69"/>
      <c r="T186" s="69"/>
      <c r="U186" s="70"/>
      <c r="V186" s="70"/>
      <c r="W186" s="71"/>
      <c r="X186"/>
    </row>
    <row r="187" spans="1:24">
      <c r="A187" s="71"/>
      <c r="B187" s="71"/>
      <c r="C187" s="71"/>
      <c r="D187" s="69"/>
      <c r="E187"/>
      <c r="F187" s="69"/>
      <c r="G187" s="69"/>
      <c r="H187" s="69"/>
      <c r="I187" s="69"/>
      <c r="J187" s="69"/>
      <c r="K187" s="69"/>
      <c r="L187" s="69"/>
      <c r="M187" s="69"/>
      <c r="N187" s="69"/>
      <c r="O187" s="69"/>
      <c r="P187" s="69"/>
      <c r="Q187" s="69"/>
      <c r="R187" s="69"/>
      <c r="S187" s="69"/>
      <c r="T187" s="69"/>
      <c r="U187" s="70"/>
      <c r="V187" s="70"/>
      <c r="W187" s="71"/>
      <c r="X187"/>
    </row>
    <row r="188" spans="1:24">
      <c r="A188" s="71"/>
      <c r="B188" s="71"/>
      <c r="C188" s="71"/>
      <c r="D188" s="69"/>
      <c r="E188"/>
      <c r="F188" s="69"/>
      <c r="G188" s="69"/>
      <c r="H188" s="69"/>
      <c r="I188" s="69"/>
      <c r="J188" s="69"/>
      <c r="K188" s="69"/>
      <c r="L188" s="69"/>
      <c r="M188" s="69"/>
      <c r="N188" s="69"/>
      <c r="O188" s="69"/>
      <c r="P188" s="69"/>
      <c r="Q188" s="69"/>
      <c r="R188" s="69"/>
      <c r="S188" s="69"/>
      <c r="T188" s="69"/>
      <c r="U188" s="70"/>
      <c r="V188" s="70"/>
      <c r="W188" s="71"/>
      <c r="X188"/>
    </row>
    <row r="189" spans="1:24">
      <c r="A189" s="71"/>
      <c r="B189" s="71"/>
      <c r="C189" s="71"/>
      <c r="D189" s="69"/>
      <c r="E189"/>
      <c r="F189" s="69"/>
      <c r="G189" s="69"/>
      <c r="H189" s="69"/>
      <c r="I189" s="69"/>
      <c r="J189" s="69"/>
      <c r="K189" s="69"/>
      <c r="L189" s="69"/>
      <c r="M189" s="69"/>
      <c r="N189" s="69"/>
      <c r="O189" s="69"/>
      <c r="P189" s="69"/>
      <c r="Q189" s="69"/>
      <c r="R189" s="69"/>
      <c r="S189" s="69"/>
      <c r="T189" s="69"/>
      <c r="U189" s="70"/>
      <c r="V189" s="70"/>
      <c r="W189" s="71"/>
      <c r="X189"/>
    </row>
    <row r="190" spans="1:24">
      <c r="A190" s="71"/>
      <c r="B190" s="71"/>
      <c r="C190" s="71"/>
      <c r="D190" s="69"/>
      <c r="E190"/>
      <c r="F190" s="69"/>
      <c r="G190" s="69"/>
      <c r="H190" s="69"/>
      <c r="I190" s="69"/>
      <c r="J190" s="69"/>
      <c r="K190" s="69"/>
      <c r="L190" s="69"/>
      <c r="M190" s="69"/>
      <c r="N190" s="69"/>
      <c r="O190" s="69"/>
      <c r="P190" s="69"/>
      <c r="Q190" s="69"/>
      <c r="R190" s="69"/>
      <c r="S190" s="69"/>
      <c r="T190" s="69"/>
      <c r="U190" s="70"/>
      <c r="V190" s="70"/>
      <c r="W190" s="71"/>
      <c r="X190"/>
    </row>
    <row r="191" spans="1:24">
      <c r="A191" s="71"/>
      <c r="B191" s="71"/>
      <c r="C191" s="71"/>
      <c r="D191" s="69"/>
      <c r="E191"/>
      <c r="F191" s="69"/>
      <c r="G191" s="69"/>
      <c r="H191" s="69"/>
      <c r="I191" s="69"/>
      <c r="J191" s="69"/>
      <c r="K191" s="69"/>
      <c r="L191" s="69"/>
      <c r="M191" s="69"/>
      <c r="N191" s="69"/>
      <c r="O191" s="69"/>
      <c r="P191" s="69"/>
      <c r="Q191" s="69"/>
      <c r="R191" s="69"/>
      <c r="S191" s="69"/>
      <c r="T191" s="69"/>
      <c r="U191" s="70"/>
      <c r="V191" s="70"/>
      <c r="W191" s="71"/>
      <c r="X191"/>
    </row>
    <row r="192" spans="1:24">
      <c r="A192" s="71"/>
      <c r="B192" s="71"/>
      <c r="C192" s="71"/>
      <c r="D192" s="69"/>
      <c r="E192"/>
      <c r="F192" s="69"/>
      <c r="G192" s="69"/>
      <c r="H192" s="69"/>
      <c r="I192" s="69"/>
      <c r="J192" s="69"/>
      <c r="K192" s="69"/>
      <c r="L192" s="69"/>
      <c r="M192" s="69"/>
      <c r="N192" s="69"/>
      <c r="O192" s="69"/>
      <c r="P192" s="69"/>
      <c r="Q192" s="69"/>
      <c r="R192" s="69"/>
      <c r="S192" s="69"/>
      <c r="T192" s="69"/>
      <c r="U192" s="70"/>
      <c r="V192" s="70"/>
      <c r="W192" s="71"/>
      <c r="X192"/>
    </row>
    <row r="193" spans="1:24">
      <c r="A193" s="71"/>
      <c r="B193" s="71"/>
      <c r="C193" s="71"/>
      <c r="D193" s="69"/>
      <c r="E193"/>
      <c r="F193" s="69"/>
      <c r="G193" s="69"/>
      <c r="H193" s="69"/>
      <c r="I193" s="69"/>
      <c r="J193" s="69"/>
      <c r="K193" s="69"/>
      <c r="L193" s="69"/>
      <c r="M193" s="69"/>
      <c r="N193" s="69"/>
      <c r="O193" s="69"/>
      <c r="P193" s="69"/>
      <c r="Q193" s="69"/>
      <c r="R193" s="69"/>
      <c r="S193" s="69"/>
      <c r="T193" s="69"/>
      <c r="U193" s="70"/>
      <c r="V193" s="70"/>
      <c r="W193" s="71"/>
      <c r="X193"/>
    </row>
    <row r="194" spans="1:24">
      <c r="A194" s="71"/>
      <c r="B194" s="71"/>
      <c r="C194" s="71"/>
      <c r="D194" s="69"/>
      <c r="E194"/>
      <c r="F194" s="69"/>
      <c r="G194" s="69"/>
      <c r="H194" s="69"/>
      <c r="I194" s="69"/>
      <c r="J194" s="69"/>
      <c r="K194" s="69"/>
      <c r="L194" s="69"/>
      <c r="M194" s="69"/>
      <c r="N194" s="69"/>
      <c r="O194" s="69"/>
      <c r="P194" s="69"/>
      <c r="Q194" s="69"/>
      <c r="R194" s="69"/>
      <c r="S194" s="69"/>
      <c r="T194" s="69"/>
      <c r="U194" s="70"/>
      <c r="V194" s="70"/>
      <c r="W194" s="71"/>
      <c r="X194"/>
    </row>
    <row r="195" spans="1:24">
      <c r="A195" s="71"/>
      <c r="B195" s="71"/>
      <c r="C195" s="71"/>
      <c r="D195" s="69"/>
      <c r="E195"/>
      <c r="F195" s="69"/>
      <c r="G195" s="69"/>
      <c r="H195" s="69"/>
      <c r="I195" s="69"/>
      <c r="J195" s="69"/>
      <c r="K195" s="69"/>
      <c r="L195" s="69"/>
      <c r="M195" s="69"/>
      <c r="N195" s="69"/>
      <c r="O195" s="69"/>
      <c r="P195" s="69"/>
      <c r="Q195" s="69"/>
      <c r="R195" s="69"/>
      <c r="S195" s="69"/>
      <c r="T195" s="69"/>
      <c r="U195" s="70"/>
      <c r="V195" s="70"/>
      <c r="W195" s="71"/>
      <c r="X195"/>
    </row>
    <row r="196" spans="1:24">
      <c r="A196" s="71"/>
      <c r="B196" s="71"/>
      <c r="C196" s="71"/>
      <c r="D196" s="69"/>
      <c r="E196"/>
      <c r="F196" s="69"/>
      <c r="G196" s="69"/>
      <c r="H196" s="69"/>
      <c r="I196" s="69"/>
      <c r="J196" s="69"/>
      <c r="K196" s="69"/>
      <c r="L196" s="69"/>
      <c r="M196" s="69"/>
      <c r="N196" s="69"/>
      <c r="O196" s="69"/>
      <c r="P196" s="69"/>
      <c r="Q196" s="69"/>
      <c r="R196" s="69"/>
      <c r="S196" s="69"/>
      <c r="T196" s="69"/>
      <c r="U196" s="70"/>
      <c r="V196" s="70"/>
      <c r="W196" s="71"/>
      <c r="X196"/>
    </row>
    <row r="197" spans="1:24">
      <c r="A197" s="71"/>
      <c r="B197" s="71"/>
      <c r="C197" s="71"/>
      <c r="D197" s="69"/>
      <c r="E197"/>
      <c r="F197" s="69"/>
      <c r="G197" s="69"/>
      <c r="H197" s="69"/>
      <c r="I197" s="69"/>
      <c r="J197" s="69"/>
      <c r="K197" s="69"/>
      <c r="L197" s="69"/>
      <c r="M197" s="69"/>
      <c r="N197" s="69"/>
      <c r="O197" s="69"/>
      <c r="P197" s="69"/>
      <c r="Q197" s="69"/>
      <c r="R197" s="69"/>
      <c r="S197" s="69"/>
      <c r="T197" s="69"/>
      <c r="U197" s="70"/>
      <c r="V197" s="70"/>
      <c r="W197" s="71"/>
      <c r="X197"/>
    </row>
    <row r="198" spans="1:24">
      <c r="A198" s="71"/>
      <c r="B198" s="71"/>
      <c r="C198" s="71"/>
      <c r="D198" s="69"/>
      <c r="E198"/>
      <c r="F198" s="69"/>
      <c r="G198" s="69"/>
      <c r="H198" s="69"/>
      <c r="I198" s="69"/>
      <c r="J198" s="69"/>
      <c r="K198" s="69"/>
      <c r="L198" s="69"/>
      <c r="M198" s="69"/>
      <c r="N198" s="69"/>
      <c r="O198" s="69"/>
      <c r="P198" s="69"/>
      <c r="Q198" s="69"/>
      <c r="R198" s="69"/>
      <c r="S198" s="69"/>
      <c r="T198" s="69"/>
      <c r="U198" s="70"/>
      <c r="V198" s="70"/>
      <c r="W198" s="71"/>
      <c r="X198"/>
    </row>
    <row r="199" spans="1:24">
      <c r="A199" s="71"/>
      <c r="B199" s="71"/>
      <c r="C199" s="71"/>
      <c r="D199" s="69"/>
      <c r="E199"/>
      <c r="F199" s="69"/>
      <c r="G199" s="69"/>
      <c r="H199" s="69"/>
      <c r="I199" s="69"/>
      <c r="J199" s="69"/>
      <c r="K199" s="69"/>
      <c r="L199" s="69"/>
      <c r="M199" s="69"/>
      <c r="N199" s="69"/>
      <c r="O199" s="69"/>
      <c r="P199" s="69"/>
      <c r="Q199" s="69"/>
      <c r="R199" s="69"/>
      <c r="S199" s="69"/>
      <c r="T199" s="69"/>
      <c r="U199" s="70"/>
      <c r="V199" s="70"/>
      <c r="W199" s="71"/>
      <c r="X199"/>
    </row>
    <row r="200" spans="1:24">
      <c r="A200" s="71"/>
      <c r="B200" s="71"/>
      <c r="C200" s="71"/>
      <c r="D200" s="69"/>
      <c r="E200"/>
      <c r="F200" s="69"/>
      <c r="G200" s="69"/>
      <c r="H200" s="69"/>
      <c r="I200" s="69"/>
      <c r="J200" s="69"/>
      <c r="K200" s="69"/>
      <c r="L200" s="69"/>
      <c r="M200" s="69"/>
      <c r="N200" s="69"/>
      <c r="O200" s="69"/>
      <c r="P200" s="69"/>
      <c r="Q200" s="69"/>
      <c r="R200" s="69"/>
      <c r="S200" s="69"/>
      <c r="T200" s="69"/>
      <c r="U200" s="70"/>
      <c r="V200" s="70"/>
      <c r="W200" s="71"/>
      <c r="X200"/>
    </row>
    <row r="201" spans="1:24">
      <c r="A201" s="71"/>
      <c r="B201" s="71"/>
      <c r="C201" s="71"/>
      <c r="D201" s="69"/>
      <c r="E201"/>
      <c r="F201" s="69"/>
      <c r="G201" s="69"/>
      <c r="H201" s="69"/>
      <c r="I201" s="69"/>
      <c r="J201" s="69"/>
      <c r="K201" s="69"/>
      <c r="L201" s="69"/>
      <c r="M201" s="69"/>
      <c r="N201" s="69"/>
      <c r="O201" s="69"/>
      <c r="P201" s="69"/>
      <c r="Q201" s="69"/>
      <c r="R201" s="69"/>
      <c r="S201" s="69"/>
      <c r="T201" s="69"/>
      <c r="U201" s="70"/>
      <c r="V201" s="70"/>
      <c r="W201" s="71"/>
      <c r="X201"/>
    </row>
    <row r="202" spans="1:24">
      <c r="A202" s="71"/>
      <c r="B202" s="71"/>
      <c r="C202" s="71"/>
      <c r="D202" s="69"/>
      <c r="E202"/>
      <c r="F202" s="69"/>
      <c r="G202" s="69"/>
      <c r="H202" s="69"/>
      <c r="I202" s="69"/>
      <c r="J202" s="69"/>
      <c r="K202" s="69"/>
      <c r="L202" s="69"/>
      <c r="M202" s="69"/>
      <c r="N202" s="69"/>
      <c r="O202" s="69"/>
      <c r="P202" s="69"/>
      <c r="Q202" s="69"/>
      <c r="R202" s="69"/>
      <c r="S202" s="69"/>
      <c r="T202" s="69"/>
      <c r="U202" s="70"/>
      <c r="V202" s="70"/>
      <c r="W202" s="71"/>
      <c r="X202"/>
    </row>
    <row r="203" spans="1:24">
      <c r="A203" s="71"/>
      <c r="B203" s="71"/>
      <c r="C203" s="71"/>
      <c r="D203" s="69"/>
      <c r="E203"/>
      <c r="F203" s="69"/>
      <c r="G203" s="69"/>
      <c r="H203" s="69"/>
      <c r="I203" s="69"/>
      <c r="J203" s="69"/>
      <c r="K203" s="69"/>
      <c r="L203" s="69"/>
      <c r="M203" s="69"/>
      <c r="N203" s="69"/>
      <c r="O203" s="69"/>
      <c r="P203" s="69"/>
      <c r="Q203" s="69"/>
      <c r="R203" s="69"/>
      <c r="S203" s="69"/>
      <c r="T203" s="69"/>
      <c r="U203" s="70"/>
      <c r="V203" s="70"/>
      <c r="W203" s="71"/>
      <c r="X203"/>
    </row>
    <row r="204" spans="1:24">
      <c r="A204" s="71"/>
      <c r="B204" s="71"/>
      <c r="C204" s="71"/>
      <c r="D204" s="69"/>
      <c r="E204"/>
      <c r="F204" s="69"/>
      <c r="G204" s="69"/>
      <c r="H204" s="69"/>
      <c r="I204" s="69"/>
      <c r="J204" s="69"/>
      <c r="K204" s="69"/>
      <c r="L204" s="69"/>
      <c r="M204" s="69"/>
      <c r="N204" s="69"/>
      <c r="O204" s="69"/>
      <c r="P204" s="69"/>
      <c r="Q204" s="69"/>
      <c r="R204" s="69"/>
      <c r="S204" s="69"/>
      <c r="T204" s="69"/>
      <c r="U204" s="70"/>
      <c r="V204" s="70"/>
      <c r="W204" s="71"/>
      <c r="X204"/>
    </row>
    <row r="205" spans="1:24">
      <c r="A205" s="71"/>
      <c r="B205" s="71"/>
      <c r="C205" s="71"/>
      <c r="D205" s="69"/>
      <c r="E205"/>
      <c r="F205" s="69"/>
      <c r="G205" s="69"/>
      <c r="H205" s="69"/>
      <c r="I205" s="69"/>
      <c r="J205" s="69"/>
      <c r="K205" s="69"/>
      <c r="L205" s="69"/>
      <c r="M205" s="69"/>
      <c r="N205" s="69"/>
      <c r="O205" s="69"/>
      <c r="P205" s="69"/>
      <c r="Q205" s="69"/>
      <c r="R205" s="69"/>
      <c r="S205" s="69"/>
      <c r="T205" s="69"/>
      <c r="U205" s="70"/>
      <c r="V205" s="70"/>
      <c r="W205" s="71"/>
      <c r="X205"/>
    </row>
    <row r="206" spans="1:24">
      <c r="A206" s="71"/>
      <c r="B206" s="71"/>
      <c r="C206" s="71"/>
      <c r="D206" s="69"/>
      <c r="E206"/>
      <c r="F206" s="69"/>
      <c r="G206" s="69"/>
      <c r="H206" s="69"/>
      <c r="I206" s="69"/>
      <c r="J206" s="69"/>
      <c r="K206" s="69"/>
      <c r="L206" s="69"/>
      <c r="M206" s="69"/>
      <c r="N206" s="69"/>
      <c r="O206" s="69"/>
      <c r="P206" s="69"/>
      <c r="Q206" s="69"/>
      <c r="R206" s="69"/>
      <c r="S206" s="69"/>
      <c r="T206" s="69"/>
      <c r="U206" s="70"/>
      <c r="V206" s="70"/>
      <c r="W206" s="71"/>
      <c r="X206"/>
    </row>
    <row r="207" spans="1:24">
      <c r="A207" s="71"/>
      <c r="B207" s="71"/>
      <c r="C207" s="71"/>
      <c r="D207" s="69"/>
      <c r="E207"/>
      <c r="F207" s="69"/>
      <c r="G207" s="69"/>
      <c r="H207" s="69"/>
      <c r="I207" s="69"/>
      <c r="J207" s="69"/>
      <c r="K207" s="69"/>
      <c r="L207" s="69"/>
      <c r="M207" s="69"/>
      <c r="N207" s="69"/>
      <c r="O207" s="69"/>
      <c r="P207" s="69"/>
      <c r="Q207" s="69"/>
      <c r="R207" s="69"/>
      <c r="S207" s="69"/>
      <c r="T207" s="69"/>
      <c r="U207" s="70"/>
      <c r="V207" s="70"/>
      <c r="W207" s="71"/>
      <c r="X207"/>
    </row>
    <row r="208" spans="1:24">
      <c r="A208" s="71"/>
      <c r="B208" s="71"/>
      <c r="C208" s="71"/>
      <c r="D208" s="69"/>
      <c r="E208"/>
      <c r="F208" s="69"/>
      <c r="G208" s="69"/>
      <c r="H208" s="69"/>
      <c r="I208" s="69"/>
      <c r="J208" s="69"/>
      <c r="K208" s="69"/>
      <c r="L208" s="69"/>
      <c r="M208" s="69"/>
      <c r="N208" s="69"/>
      <c r="O208" s="69"/>
      <c r="P208" s="69"/>
      <c r="Q208" s="69"/>
      <c r="R208" s="69"/>
      <c r="S208" s="69"/>
      <c r="T208" s="69"/>
      <c r="U208" s="70"/>
      <c r="V208" s="70"/>
      <c r="W208" s="71"/>
      <c r="X208"/>
    </row>
    <row r="209" spans="1:24">
      <c r="A209" s="71"/>
      <c r="B209" s="71"/>
      <c r="C209" s="71"/>
      <c r="D209" s="69"/>
      <c r="E209"/>
      <c r="F209" s="69"/>
      <c r="G209" s="69"/>
      <c r="H209" s="69"/>
      <c r="I209" s="69"/>
      <c r="J209" s="69"/>
      <c r="K209" s="69"/>
      <c r="L209" s="69"/>
      <c r="M209" s="69"/>
      <c r="N209" s="69"/>
      <c r="O209" s="69"/>
      <c r="P209" s="69"/>
      <c r="Q209" s="69"/>
      <c r="R209" s="69"/>
      <c r="S209" s="69"/>
      <c r="T209" s="69"/>
      <c r="U209" s="70"/>
      <c r="V209" s="70"/>
      <c r="W209" s="71"/>
      <c r="X209"/>
    </row>
    <row r="210" spans="1:24">
      <c r="A210" s="71"/>
      <c r="B210" s="71"/>
      <c r="C210" s="71"/>
      <c r="D210" s="69"/>
      <c r="E210"/>
      <c r="F210" s="69"/>
      <c r="G210" s="69"/>
      <c r="H210" s="69"/>
      <c r="I210" s="69"/>
      <c r="J210" s="69"/>
      <c r="K210" s="69"/>
      <c r="L210" s="69"/>
      <c r="M210" s="69"/>
      <c r="N210" s="69"/>
      <c r="O210" s="69"/>
      <c r="P210" s="69"/>
      <c r="Q210" s="69"/>
      <c r="R210" s="69"/>
      <c r="S210" s="69"/>
      <c r="T210" s="69"/>
      <c r="U210" s="70"/>
      <c r="V210" s="70"/>
      <c r="W210" s="71"/>
      <c r="X210"/>
    </row>
    <row r="211" spans="1:24">
      <c r="A211" s="71"/>
      <c r="B211" s="71"/>
      <c r="C211" s="71"/>
      <c r="D211" s="69"/>
      <c r="E211"/>
      <c r="F211" s="69"/>
      <c r="G211" s="69"/>
      <c r="H211" s="69"/>
      <c r="I211" s="69"/>
      <c r="J211" s="69"/>
      <c r="K211" s="69"/>
      <c r="L211" s="69"/>
      <c r="M211" s="69"/>
      <c r="N211" s="69"/>
      <c r="O211" s="69"/>
      <c r="P211" s="69"/>
      <c r="Q211" s="69"/>
      <c r="R211" s="69"/>
      <c r="S211" s="69"/>
      <c r="T211" s="69"/>
      <c r="U211" s="70"/>
      <c r="V211" s="70"/>
      <c r="W211" s="71"/>
      <c r="X211"/>
    </row>
    <row r="212" spans="1:24">
      <c r="A212" s="71"/>
      <c r="B212" s="71"/>
      <c r="C212" s="71"/>
      <c r="D212" s="69"/>
      <c r="E212"/>
      <c r="F212" s="69"/>
      <c r="G212" s="69"/>
      <c r="H212" s="69"/>
      <c r="I212" s="69"/>
      <c r="J212" s="69"/>
      <c r="K212" s="69"/>
      <c r="L212" s="69"/>
      <c r="M212" s="69"/>
      <c r="N212" s="69"/>
      <c r="O212" s="69"/>
      <c r="P212" s="69"/>
      <c r="Q212" s="69"/>
      <c r="R212" s="69"/>
      <c r="S212" s="69"/>
      <c r="T212" s="69"/>
      <c r="U212" s="70"/>
      <c r="V212" s="70"/>
      <c r="W212" s="71"/>
      <c r="X212"/>
    </row>
    <row r="213" spans="1:24">
      <c r="A213" s="71"/>
      <c r="B213" s="71"/>
      <c r="C213" s="71"/>
      <c r="D213" s="69"/>
      <c r="E213"/>
      <c r="F213" s="69"/>
      <c r="G213" s="69"/>
      <c r="H213" s="69"/>
      <c r="I213" s="69"/>
      <c r="J213" s="69"/>
      <c r="K213" s="69"/>
      <c r="L213" s="69"/>
      <c r="M213" s="69"/>
      <c r="N213" s="69"/>
      <c r="O213" s="69"/>
      <c r="P213" s="69"/>
      <c r="Q213" s="69"/>
      <c r="R213" s="69"/>
      <c r="S213" s="69"/>
      <c r="T213" s="69"/>
      <c r="U213" s="70"/>
      <c r="V213" s="70"/>
      <c r="W213" s="71"/>
      <c r="X213"/>
    </row>
    <row r="214" spans="1:24">
      <c r="A214" s="71"/>
      <c r="B214" s="71"/>
      <c r="C214" s="71"/>
      <c r="D214" s="69"/>
      <c r="E214"/>
      <c r="F214" s="69"/>
      <c r="G214" s="69"/>
      <c r="H214" s="69"/>
      <c r="I214" s="69"/>
      <c r="J214" s="69"/>
      <c r="K214" s="69"/>
      <c r="L214" s="69"/>
      <c r="M214" s="69"/>
      <c r="N214" s="69"/>
      <c r="O214" s="69"/>
      <c r="P214" s="69"/>
      <c r="Q214" s="69"/>
      <c r="R214" s="69"/>
      <c r="S214" s="69"/>
      <c r="T214" s="69"/>
      <c r="U214" s="70"/>
      <c r="V214" s="70"/>
      <c r="W214" s="71"/>
      <c r="X214"/>
    </row>
    <row r="215" spans="1:24">
      <c r="A215" s="71"/>
      <c r="B215" s="71"/>
      <c r="C215" s="71"/>
      <c r="D215" s="69"/>
      <c r="E215"/>
      <c r="F215" s="69"/>
      <c r="G215" s="69"/>
      <c r="H215" s="69"/>
      <c r="I215" s="69"/>
      <c r="J215" s="69"/>
      <c r="K215" s="69"/>
      <c r="L215" s="69"/>
      <c r="M215" s="69"/>
      <c r="N215" s="69"/>
      <c r="O215" s="69"/>
      <c r="P215" s="69"/>
      <c r="Q215" s="69"/>
      <c r="R215" s="69"/>
      <c r="S215" s="69"/>
      <c r="T215" s="69"/>
      <c r="U215" s="70"/>
      <c r="V215" s="70"/>
      <c r="W215" s="71"/>
      <c r="X215"/>
    </row>
    <row r="216" spans="1:24">
      <c r="A216" s="71"/>
      <c r="B216" s="71"/>
      <c r="C216" s="71"/>
      <c r="D216" s="69"/>
      <c r="E216"/>
      <c r="F216" s="69"/>
      <c r="G216" s="69"/>
      <c r="H216" s="69"/>
      <c r="I216" s="69"/>
      <c r="J216" s="69"/>
      <c r="K216" s="69"/>
      <c r="L216" s="69"/>
      <c r="M216" s="69"/>
      <c r="N216" s="69"/>
      <c r="O216" s="69"/>
      <c r="P216" s="69"/>
      <c r="Q216" s="69"/>
      <c r="R216" s="69"/>
      <c r="S216" s="69"/>
      <c r="T216" s="69"/>
      <c r="U216" s="70"/>
      <c r="V216" s="70"/>
      <c r="W216" s="71"/>
      <c r="X216"/>
    </row>
    <row r="217" spans="1:24">
      <c r="A217" s="71"/>
      <c r="B217" s="71"/>
      <c r="C217" s="71"/>
      <c r="D217" s="69"/>
      <c r="E217"/>
      <c r="F217" s="69"/>
      <c r="G217" s="69"/>
      <c r="H217" s="69"/>
      <c r="I217" s="69"/>
      <c r="J217" s="69"/>
      <c r="K217" s="69"/>
      <c r="L217" s="69"/>
      <c r="M217" s="69"/>
      <c r="N217" s="69"/>
      <c r="O217" s="69"/>
      <c r="P217" s="69"/>
      <c r="Q217" s="69"/>
      <c r="R217" s="69"/>
      <c r="S217" s="69"/>
      <c r="T217" s="69"/>
      <c r="U217" s="70"/>
      <c r="V217" s="70"/>
      <c r="W217" s="71"/>
      <c r="X217"/>
    </row>
    <row r="218" spans="1:24">
      <c r="A218" s="71"/>
      <c r="B218" s="71"/>
      <c r="C218" s="71"/>
      <c r="D218" s="69"/>
      <c r="E218"/>
      <c r="F218" s="69"/>
      <c r="G218" s="69"/>
      <c r="H218" s="69"/>
      <c r="I218" s="69"/>
      <c r="J218" s="69"/>
      <c r="K218" s="69"/>
      <c r="L218" s="69"/>
      <c r="M218" s="69"/>
      <c r="N218" s="69"/>
      <c r="O218" s="69"/>
      <c r="P218" s="69"/>
      <c r="Q218" s="69"/>
      <c r="R218" s="69"/>
      <c r="S218" s="69"/>
      <c r="T218" s="69"/>
      <c r="U218" s="70"/>
      <c r="V218" s="70"/>
      <c r="W218" s="71"/>
      <c r="X218"/>
    </row>
    <row r="219" spans="1:24">
      <c r="A219" s="71"/>
      <c r="B219" s="71"/>
      <c r="C219" s="71"/>
      <c r="D219" s="69"/>
      <c r="E219"/>
      <c r="F219" s="69"/>
      <c r="G219" s="69"/>
      <c r="H219" s="69"/>
      <c r="I219" s="69"/>
      <c r="J219" s="69"/>
      <c r="K219" s="69"/>
      <c r="L219" s="69"/>
      <c r="M219" s="69"/>
      <c r="N219" s="69"/>
      <c r="O219" s="69"/>
      <c r="P219" s="69"/>
      <c r="Q219" s="69"/>
      <c r="R219" s="69"/>
      <c r="S219" s="69"/>
      <c r="T219" s="69"/>
      <c r="U219" s="70"/>
      <c r="V219" s="70"/>
      <c r="W219" s="71"/>
      <c r="X219"/>
    </row>
    <row r="220" spans="1:24">
      <c r="A220" s="71"/>
      <c r="B220" s="71"/>
      <c r="C220" s="71"/>
      <c r="D220" s="69"/>
      <c r="E220"/>
      <c r="F220" s="69"/>
      <c r="G220" s="69"/>
      <c r="H220" s="69"/>
      <c r="I220" s="69"/>
      <c r="J220" s="69"/>
      <c r="K220" s="69"/>
      <c r="L220" s="69"/>
      <c r="M220" s="69"/>
      <c r="N220" s="69"/>
      <c r="O220" s="69"/>
      <c r="P220" s="69"/>
      <c r="Q220" s="69"/>
      <c r="R220" s="69"/>
      <c r="S220" s="69"/>
      <c r="T220" s="69"/>
      <c r="U220" s="70"/>
      <c r="V220" s="70"/>
      <c r="W220" s="71"/>
      <c r="X220"/>
    </row>
    <row r="221" spans="1:24">
      <c r="A221" s="71"/>
      <c r="B221" s="71"/>
      <c r="C221" s="71"/>
      <c r="D221" s="69"/>
      <c r="E221"/>
      <c r="F221" s="69"/>
      <c r="G221" s="69"/>
      <c r="H221" s="69"/>
      <c r="I221" s="69"/>
      <c r="J221" s="69"/>
      <c r="K221" s="69"/>
      <c r="L221" s="69"/>
      <c r="M221" s="69"/>
      <c r="N221" s="69"/>
      <c r="O221" s="69"/>
      <c r="P221" s="69"/>
      <c r="Q221" s="69"/>
      <c r="R221" s="69"/>
      <c r="S221" s="69"/>
      <c r="T221" s="69"/>
      <c r="U221" s="70"/>
      <c r="V221" s="70"/>
      <c r="W221" s="71"/>
      <c r="X221"/>
    </row>
    <row r="222" spans="1:24">
      <c r="A222" s="71"/>
      <c r="B222" s="71"/>
      <c r="C222" s="71"/>
      <c r="D222" s="69"/>
      <c r="E222"/>
      <c r="F222" s="69"/>
      <c r="G222" s="69"/>
      <c r="H222" s="69"/>
      <c r="I222" s="69"/>
      <c r="J222" s="69"/>
      <c r="K222" s="69"/>
      <c r="L222" s="69"/>
      <c r="M222" s="69"/>
      <c r="N222" s="69"/>
      <c r="O222" s="69"/>
      <c r="P222" s="69"/>
      <c r="Q222" s="69"/>
      <c r="R222" s="69"/>
      <c r="S222" s="69"/>
      <c r="T222" s="69"/>
      <c r="U222" s="70"/>
      <c r="V222" s="70"/>
      <c r="W222" s="71"/>
      <c r="X222"/>
    </row>
    <row r="223" spans="1:24">
      <c r="A223" s="71"/>
      <c r="B223" s="71"/>
      <c r="C223" s="71"/>
      <c r="D223" s="69"/>
      <c r="E223"/>
      <c r="F223" s="69"/>
      <c r="G223" s="69"/>
      <c r="H223" s="69"/>
      <c r="I223" s="69"/>
      <c r="J223" s="69"/>
      <c r="K223" s="69"/>
      <c r="L223" s="69"/>
      <c r="M223" s="69"/>
      <c r="N223" s="69"/>
      <c r="O223" s="69"/>
      <c r="P223" s="69"/>
      <c r="Q223" s="69"/>
      <c r="R223" s="69"/>
      <c r="S223" s="69"/>
      <c r="T223" s="69"/>
      <c r="U223" s="70"/>
      <c r="V223" s="70"/>
      <c r="W223" s="71"/>
      <c r="X223"/>
    </row>
    <row r="224" spans="1:24">
      <c r="A224" s="71"/>
      <c r="B224" s="71"/>
      <c r="C224" s="71"/>
      <c r="D224" s="69"/>
      <c r="E224"/>
      <c r="F224" s="69"/>
      <c r="G224" s="69"/>
      <c r="H224" s="69"/>
      <c r="I224" s="69"/>
      <c r="J224" s="69"/>
      <c r="K224" s="69"/>
      <c r="L224" s="69"/>
      <c r="M224" s="69"/>
      <c r="N224" s="69"/>
      <c r="O224" s="69"/>
      <c r="P224" s="69"/>
      <c r="Q224" s="69"/>
      <c r="R224" s="69"/>
      <c r="S224" s="69"/>
      <c r="T224" s="69"/>
      <c r="U224" s="70"/>
      <c r="V224" s="70"/>
      <c r="W224" s="71"/>
      <c r="X224"/>
    </row>
    <row r="225" spans="1:24">
      <c r="A225" s="71"/>
      <c r="B225" s="71"/>
      <c r="C225" s="71"/>
      <c r="D225" s="69"/>
      <c r="E225"/>
      <c r="F225" s="69"/>
      <c r="G225" s="69"/>
      <c r="H225" s="69"/>
      <c r="I225" s="69"/>
      <c r="J225" s="69"/>
      <c r="K225" s="69"/>
      <c r="L225" s="69"/>
      <c r="M225" s="69"/>
      <c r="N225" s="69"/>
      <c r="O225" s="69"/>
      <c r="P225" s="69"/>
      <c r="Q225" s="69"/>
      <c r="R225" s="69"/>
      <c r="S225" s="69"/>
      <c r="T225" s="69"/>
      <c r="U225" s="70"/>
      <c r="V225" s="70"/>
      <c r="W225" s="71"/>
      <c r="X225"/>
    </row>
    <row r="226" spans="1:24">
      <c r="A226" s="71"/>
      <c r="B226" s="71"/>
      <c r="C226" s="71"/>
      <c r="D226" s="69"/>
      <c r="E226"/>
      <c r="F226" s="69"/>
      <c r="G226" s="69"/>
      <c r="H226" s="69"/>
      <c r="I226" s="69"/>
      <c r="J226" s="69"/>
      <c r="K226" s="69"/>
      <c r="L226" s="69"/>
      <c r="M226" s="69"/>
      <c r="N226" s="69"/>
      <c r="O226" s="69"/>
      <c r="P226" s="69"/>
      <c r="Q226" s="69"/>
      <c r="R226" s="69"/>
      <c r="S226" s="69"/>
      <c r="T226" s="69"/>
      <c r="U226" s="70"/>
      <c r="V226" s="70"/>
      <c r="W226" s="71"/>
      <c r="X226"/>
    </row>
    <row r="227" spans="1:24">
      <c r="A227" s="71"/>
      <c r="B227" s="71"/>
      <c r="C227" s="71"/>
      <c r="D227" s="69"/>
      <c r="E227"/>
      <c r="F227" s="69"/>
      <c r="G227" s="69"/>
      <c r="H227" s="69"/>
      <c r="I227" s="69"/>
      <c r="J227" s="69"/>
      <c r="K227" s="69"/>
      <c r="L227" s="69"/>
      <c r="M227" s="69"/>
      <c r="N227" s="69"/>
      <c r="O227" s="69"/>
      <c r="P227" s="69"/>
      <c r="Q227" s="69"/>
      <c r="R227" s="69"/>
      <c r="S227" s="69"/>
      <c r="T227" s="69"/>
      <c r="U227" s="70"/>
      <c r="V227" s="70"/>
      <c r="W227" s="71"/>
      <c r="X227"/>
    </row>
    <row r="228" spans="1:24">
      <c r="A228" s="71"/>
      <c r="B228" s="71"/>
      <c r="C228" s="71"/>
      <c r="D228" s="69"/>
      <c r="E228"/>
      <c r="F228" s="69"/>
      <c r="G228" s="69"/>
      <c r="H228" s="69"/>
      <c r="I228" s="69"/>
      <c r="J228" s="69"/>
      <c r="K228" s="69"/>
      <c r="L228" s="69"/>
      <c r="M228" s="69"/>
      <c r="N228" s="69"/>
      <c r="O228" s="69"/>
      <c r="P228" s="69"/>
      <c r="Q228" s="69"/>
      <c r="R228" s="69"/>
      <c r="S228" s="69"/>
      <c r="T228" s="69"/>
      <c r="U228" s="70"/>
      <c r="V228" s="70"/>
      <c r="W228" s="71"/>
      <c r="X228"/>
    </row>
    <row r="229" spans="1:24">
      <c r="A229" s="71"/>
      <c r="B229" s="71"/>
      <c r="C229" s="71"/>
      <c r="D229" s="69"/>
      <c r="E229"/>
      <c r="F229" s="69"/>
      <c r="G229" s="69"/>
      <c r="H229" s="69"/>
      <c r="I229" s="69"/>
      <c r="J229" s="69"/>
      <c r="K229" s="69"/>
      <c r="L229" s="69"/>
      <c r="M229" s="69"/>
      <c r="N229" s="69"/>
      <c r="O229" s="69"/>
      <c r="P229" s="69"/>
      <c r="Q229" s="69"/>
      <c r="R229" s="69"/>
      <c r="S229" s="69"/>
      <c r="T229" s="69"/>
      <c r="U229" s="70"/>
      <c r="V229" s="70"/>
      <c r="W229" s="71"/>
      <c r="X229"/>
    </row>
    <row r="230" spans="1:24">
      <c r="A230" s="71"/>
      <c r="B230" s="71"/>
      <c r="C230" s="71"/>
      <c r="D230" s="69"/>
      <c r="E230"/>
      <c r="F230" s="69"/>
      <c r="G230" s="69"/>
      <c r="H230" s="69"/>
      <c r="I230" s="69"/>
      <c r="J230" s="69"/>
      <c r="K230" s="69"/>
      <c r="L230" s="69"/>
      <c r="M230" s="69"/>
      <c r="N230" s="69"/>
      <c r="O230" s="69"/>
      <c r="P230" s="69"/>
      <c r="Q230" s="69"/>
      <c r="R230" s="69"/>
      <c r="S230" s="69"/>
      <c r="T230" s="69"/>
      <c r="U230" s="70"/>
      <c r="V230" s="70"/>
      <c r="W230" s="71"/>
      <c r="X230"/>
    </row>
    <row r="231" spans="1:24">
      <c r="A231" s="71"/>
      <c r="B231" s="71"/>
      <c r="C231" s="71"/>
      <c r="D231" s="69"/>
      <c r="E231"/>
      <c r="F231" s="69"/>
      <c r="G231" s="69"/>
      <c r="H231" s="69"/>
      <c r="I231" s="69"/>
      <c r="J231" s="69"/>
      <c r="K231" s="69"/>
      <c r="L231" s="69"/>
      <c r="M231" s="69"/>
      <c r="N231" s="69"/>
      <c r="O231" s="69"/>
      <c r="P231" s="69"/>
      <c r="Q231" s="69"/>
      <c r="R231" s="69"/>
      <c r="S231" s="69"/>
      <c r="T231" s="69"/>
      <c r="U231" s="70"/>
      <c r="V231" s="70"/>
      <c r="W231" s="71"/>
      <c r="X231"/>
    </row>
    <row r="232" spans="1:24">
      <c r="A232" s="71"/>
      <c r="B232" s="71"/>
      <c r="C232" s="71"/>
      <c r="D232" s="69"/>
      <c r="E232"/>
      <c r="F232" s="69"/>
      <c r="G232" s="69"/>
      <c r="H232" s="69"/>
      <c r="I232" s="69"/>
      <c r="J232" s="69"/>
      <c r="K232" s="69"/>
      <c r="L232" s="69"/>
      <c r="M232" s="69"/>
      <c r="N232" s="69"/>
      <c r="O232" s="69"/>
      <c r="P232" s="69"/>
      <c r="Q232" s="69"/>
      <c r="R232" s="69"/>
      <c r="S232" s="69"/>
      <c r="T232" s="69"/>
      <c r="U232" s="70"/>
      <c r="V232" s="70"/>
      <c r="W232" s="71"/>
      <c r="X232"/>
    </row>
    <row r="233" spans="1:24">
      <c r="A233" s="71"/>
      <c r="B233" s="71"/>
      <c r="C233" s="71"/>
      <c r="D233" s="69"/>
      <c r="E233"/>
      <c r="F233" s="69"/>
      <c r="G233" s="69"/>
      <c r="H233" s="69"/>
      <c r="I233" s="69"/>
      <c r="J233" s="69"/>
      <c r="K233" s="69"/>
      <c r="L233" s="69"/>
      <c r="M233" s="69"/>
      <c r="N233" s="69"/>
      <c r="O233" s="69"/>
      <c r="P233" s="69"/>
      <c r="Q233" s="69"/>
      <c r="R233" s="69"/>
      <c r="S233" s="69"/>
      <c r="T233" s="69"/>
      <c r="U233" s="70"/>
      <c r="V233" s="70"/>
      <c r="W233" s="71"/>
      <c r="X233"/>
    </row>
    <row r="234" spans="1:24">
      <c r="A234" s="71"/>
      <c r="B234" s="71"/>
      <c r="C234" s="71"/>
      <c r="D234" s="69"/>
      <c r="E234"/>
      <c r="F234" s="69"/>
      <c r="G234" s="69"/>
      <c r="H234" s="69"/>
      <c r="I234" s="69"/>
      <c r="J234" s="69"/>
      <c r="K234" s="69"/>
      <c r="L234" s="69"/>
      <c r="M234" s="69"/>
      <c r="N234" s="69"/>
      <c r="O234" s="69"/>
      <c r="P234" s="69"/>
      <c r="Q234" s="69"/>
      <c r="R234" s="69"/>
      <c r="S234" s="69"/>
      <c r="T234" s="69"/>
      <c r="U234" s="70"/>
      <c r="V234" s="70"/>
      <c r="W234" s="71"/>
      <c r="X234"/>
    </row>
    <row r="235" spans="1:24">
      <c r="A235" s="71"/>
      <c r="B235" s="71"/>
      <c r="C235" s="71"/>
      <c r="D235" s="69"/>
      <c r="E235"/>
      <c r="F235" s="69"/>
      <c r="G235" s="69"/>
      <c r="H235" s="69"/>
      <c r="I235" s="69"/>
      <c r="J235" s="69"/>
      <c r="K235" s="69"/>
      <c r="L235" s="69"/>
      <c r="M235" s="69"/>
      <c r="N235" s="69"/>
      <c r="O235" s="69"/>
      <c r="P235" s="69"/>
      <c r="Q235" s="69"/>
      <c r="R235" s="69"/>
      <c r="S235" s="69"/>
      <c r="T235" s="69"/>
      <c r="U235" s="70"/>
      <c r="V235" s="70"/>
      <c r="W235" s="71"/>
      <c r="X235"/>
    </row>
    <row r="236" spans="1:24">
      <c r="A236" s="71"/>
      <c r="B236" s="71"/>
      <c r="C236" s="71"/>
      <c r="D236" s="69"/>
      <c r="E236"/>
      <c r="F236" s="69"/>
      <c r="G236" s="69"/>
      <c r="H236" s="69"/>
      <c r="I236" s="69"/>
      <c r="J236" s="69"/>
      <c r="K236" s="69"/>
      <c r="L236" s="69"/>
      <c r="M236" s="69"/>
      <c r="N236" s="69"/>
      <c r="O236" s="69"/>
      <c r="P236" s="69"/>
      <c r="Q236" s="69"/>
      <c r="R236" s="69"/>
      <c r="S236" s="69"/>
      <c r="T236" s="69"/>
      <c r="U236" s="70"/>
      <c r="V236" s="70"/>
      <c r="W236" s="71"/>
      <c r="X236"/>
    </row>
    <row r="237" spans="1:24">
      <c r="A237" s="71"/>
      <c r="B237" s="71"/>
      <c r="C237" s="71"/>
      <c r="D237" s="69"/>
      <c r="E237"/>
      <c r="F237" s="69"/>
      <c r="G237" s="69"/>
      <c r="H237" s="69"/>
      <c r="I237" s="69"/>
      <c r="J237" s="69"/>
      <c r="K237" s="69"/>
      <c r="L237" s="69"/>
      <c r="M237" s="69"/>
      <c r="N237" s="69"/>
      <c r="O237" s="69"/>
      <c r="P237" s="69"/>
      <c r="Q237" s="69"/>
      <c r="R237" s="69"/>
      <c r="S237" s="69"/>
      <c r="T237" s="69"/>
      <c r="U237" s="70"/>
      <c r="V237" s="70"/>
      <c r="W237" s="71"/>
      <c r="X237"/>
    </row>
    <row r="238" spans="1:24">
      <c r="A238" s="71"/>
      <c r="B238" s="71"/>
      <c r="C238" s="71"/>
      <c r="D238" s="69"/>
      <c r="E238"/>
      <c r="F238" s="69"/>
      <c r="G238" s="69"/>
      <c r="H238" s="69"/>
      <c r="I238" s="69"/>
      <c r="J238" s="69"/>
      <c r="K238" s="69"/>
      <c r="L238" s="69"/>
      <c r="M238" s="69"/>
      <c r="N238" s="69"/>
      <c r="O238" s="69"/>
      <c r="P238" s="69"/>
      <c r="Q238" s="69"/>
      <c r="R238" s="69"/>
      <c r="S238" s="69"/>
      <c r="T238" s="69"/>
      <c r="U238" s="70"/>
      <c r="V238" s="70"/>
      <c r="W238" s="71"/>
      <c r="X238"/>
    </row>
    <row r="239" spans="1:24">
      <c r="A239" s="71"/>
      <c r="B239" s="71"/>
      <c r="C239" s="71"/>
      <c r="D239" s="69"/>
      <c r="E239"/>
      <c r="F239" s="69"/>
      <c r="G239" s="69"/>
      <c r="H239" s="69"/>
      <c r="I239" s="69"/>
      <c r="J239" s="69"/>
      <c r="K239" s="69"/>
      <c r="L239" s="69"/>
      <c r="M239" s="69"/>
      <c r="N239" s="69"/>
      <c r="O239" s="69"/>
      <c r="P239" s="69"/>
      <c r="Q239" s="69"/>
      <c r="R239" s="69"/>
      <c r="S239" s="69"/>
      <c r="T239" s="69"/>
      <c r="U239" s="70"/>
      <c r="V239" s="70"/>
      <c r="W239" s="71"/>
      <c r="X239"/>
    </row>
    <row r="240" spans="1:24">
      <c r="A240" s="71"/>
      <c r="B240" s="71"/>
      <c r="C240" s="71"/>
      <c r="D240" s="69"/>
      <c r="E240"/>
      <c r="F240" s="69"/>
      <c r="G240" s="69"/>
      <c r="H240" s="69"/>
      <c r="I240" s="69"/>
      <c r="J240" s="69"/>
      <c r="K240" s="69"/>
      <c r="L240" s="69"/>
      <c r="M240" s="69"/>
      <c r="N240" s="69"/>
      <c r="O240" s="69"/>
      <c r="P240" s="69"/>
      <c r="Q240" s="69"/>
      <c r="R240" s="69"/>
      <c r="S240" s="69"/>
      <c r="T240" s="69"/>
      <c r="U240" s="70"/>
      <c r="V240" s="70"/>
      <c r="W240" s="71"/>
      <c r="X240"/>
    </row>
    <row r="241" spans="1:24">
      <c r="A241" s="71"/>
      <c r="B241" s="71"/>
      <c r="C241" s="71"/>
      <c r="D241" s="69"/>
      <c r="E241"/>
      <c r="F241" s="69"/>
      <c r="G241" s="69"/>
      <c r="H241" s="69"/>
      <c r="I241" s="69"/>
      <c r="J241" s="69"/>
      <c r="K241" s="69"/>
      <c r="L241" s="69"/>
      <c r="M241" s="69"/>
      <c r="N241" s="69"/>
      <c r="O241" s="69"/>
      <c r="P241" s="69"/>
      <c r="Q241" s="69"/>
      <c r="R241" s="69"/>
      <c r="S241" s="69"/>
      <c r="T241" s="69"/>
      <c r="U241" s="70"/>
      <c r="V241" s="70"/>
      <c r="W241" s="71"/>
      <c r="X241"/>
    </row>
    <row r="242" spans="1:24">
      <c r="A242" s="71"/>
      <c r="B242" s="71"/>
      <c r="C242" s="71"/>
      <c r="D242" s="69"/>
      <c r="E242"/>
      <c r="F242" s="69"/>
      <c r="G242" s="69"/>
      <c r="H242" s="69"/>
      <c r="I242" s="69"/>
      <c r="J242" s="69"/>
      <c r="K242" s="69"/>
      <c r="L242" s="69"/>
      <c r="M242" s="69"/>
      <c r="N242" s="69"/>
      <c r="O242" s="69"/>
      <c r="P242" s="69"/>
      <c r="Q242" s="69"/>
      <c r="R242" s="69"/>
      <c r="S242" s="69"/>
      <c r="T242" s="69"/>
      <c r="U242" s="70"/>
      <c r="V242" s="70"/>
      <c r="W242" s="71"/>
      <c r="X242"/>
    </row>
    <row r="243" spans="1:24">
      <c r="A243" s="71"/>
      <c r="B243" s="71"/>
      <c r="C243" s="71"/>
      <c r="D243" s="69"/>
      <c r="E243"/>
      <c r="F243" s="69"/>
      <c r="G243" s="69"/>
      <c r="H243" s="69"/>
      <c r="I243" s="69"/>
      <c r="J243" s="69"/>
      <c r="K243" s="69"/>
      <c r="L243" s="69"/>
      <c r="M243" s="69"/>
      <c r="N243" s="69"/>
      <c r="O243" s="69"/>
      <c r="P243" s="69"/>
      <c r="Q243" s="69"/>
      <c r="R243" s="69"/>
      <c r="S243" s="69"/>
      <c r="T243" s="69"/>
      <c r="U243" s="70"/>
      <c r="V243" s="70"/>
      <c r="W243" s="71"/>
      <c r="X243"/>
    </row>
    <row r="244" spans="1:24">
      <c r="A244" s="71"/>
      <c r="B244" s="71"/>
      <c r="C244" s="71"/>
      <c r="D244" s="69"/>
      <c r="E244"/>
      <c r="F244" s="69"/>
      <c r="G244" s="69"/>
      <c r="H244" s="69"/>
      <c r="I244" s="69"/>
      <c r="J244" s="69"/>
      <c r="K244" s="69"/>
      <c r="L244" s="69"/>
      <c r="M244" s="69"/>
      <c r="N244" s="69"/>
      <c r="O244" s="69"/>
      <c r="P244" s="69"/>
      <c r="Q244" s="69"/>
      <c r="R244" s="69"/>
      <c r="S244" s="69"/>
      <c r="T244" s="69"/>
      <c r="U244" s="70"/>
      <c r="V244" s="70"/>
      <c r="W244" s="71"/>
      <c r="X244"/>
    </row>
    <row r="245" spans="1:24">
      <c r="A245" s="71"/>
      <c r="B245" s="71"/>
      <c r="C245" s="71"/>
      <c r="D245" s="69"/>
      <c r="E245"/>
      <c r="F245" s="69"/>
      <c r="G245" s="69"/>
      <c r="H245" s="69"/>
      <c r="I245" s="69"/>
      <c r="J245" s="69"/>
      <c r="K245" s="69"/>
      <c r="L245" s="69"/>
      <c r="M245" s="69"/>
      <c r="N245" s="69"/>
      <c r="O245" s="69"/>
      <c r="P245" s="69"/>
      <c r="Q245" s="69"/>
      <c r="R245" s="69"/>
      <c r="S245" s="69"/>
      <c r="T245" s="69"/>
      <c r="U245" s="70"/>
      <c r="V245" s="70"/>
      <c r="W245" s="71"/>
      <c r="X245"/>
    </row>
    <row r="246" spans="1:24">
      <c r="A246" s="71"/>
      <c r="B246" s="71"/>
      <c r="C246" s="71"/>
      <c r="D246" s="69"/>
      <c r="E246"/>
      <c r="F246" s="69"/>
      <c r="G246" s="69"/>
      <c r="H246" s="69"/>
      <c r="I246" s="69"/>
      <c r="J246" s="69"/>
      <c r="K246" s="69"/>
      <c r="L246" s="69"/>
      <c r="M246" s="69"/>
      <c r="N246" s="69"/>
      <c r="O246" s="69"/>
      <c r="P246" s="69"/>
      <c r="Q246" s="69"/>
      <c r="R246" s="69"/>
      <c r="S246" s="69"/>
      <c r="T246" s="69"/>
      <c r="U246" s="70"/>
      <c r="V246" s="70"/>
      <c r="W246" s="71"/>
      <c r="X246"/>
    </row>
    <row r="247" spans="1:24">
      <c r="A247" s="71"/>
      <c r="B247" s="71"/>
      <c r="C247" s="71"/>
      <c r="D247" s="69"/>
      <c r="E247"/>
      <c r="F247" s="69"/>
      <c r="G247" s="69"/>
      <c r="H247" s="69"/>
      <c r="I247" s="69"/>
      <c r="J247" s="69"/>
      <c r="K247" s="69"/>
      <c r="L247" s="69"/>
      <c r="M247" s="69"/>
      <c r="N247" s="69"/>
      <c r="O247" s="69"/>
      <c r="P247" s="69"/>
      <c r="Q247" s="69"/>
      <c r="R247" s="69"/>
      <c r="S247" s="69"/>
      <c r="T247" s="69"/>
      <c r="U247" s="70"/>
      <c r="V247" s="70"/>
      <c r="W247" s="71"/>
      <c r="X247"/>
    </row>
    <row r="248" spans="1:24">
      <c r="A248" s="71"/>
      <c r="B248" s="71"/>
      <c r="C248" s="71"/>
      <c r="D248" s="69"/>
      <c r="E248"/>
      <c r="F248" s="69"/>
      <c r="G248" s="69"/>
      <c r="H248" s="69"/>
      <c r="I248" s="69"/>
      <c r="J248" s="69"/>
      <c r="K248" s="69"/>
      <c r="L248" s="69"/>
      <c r="M248" s="69"/>
      <c r="N248" s="69"/>
      <c r="O248" s="69"/>
      <c r="P248" s="69"/>
      <c r="Q248" s="69"/>
      <c r="R248" s="69"/>
      <c r="S248" s="69"/>
      <c r="T248" s="69"/>
      <c r="U248" s="70"/>
      <c r="V248" s="70"/>
      <c r="W248" s="71"/>
      <c r="X248"/>
    </row>
    <row r="249" spans="1:24">
      <c r="A249" s="71"/>
      <c r="B249" s="71"/>
      <c r="C249" s="71"/>
      <c r="D249" s="69"/>
      <c r="E249"/>
      <c r="F249" s="69"/>
      <c r="G249" s="69"/>
      <c r="H249" s="69"/>
      <c r="I249" s="69"/>
      <c r="J249" s="69"/>
      <c r="K249" s="69"/>
      <c r="L249" s="69"/>
      <c r="M249" s="69"/>
      <c r="N249" s="69"/>
      <c r="O249" s="69"/>
      <c r="P249" s="69"/>
      <c r="Q249" s="69"/>
      <c r="R249" s="69"/>
      <c r="S249" s="69"/>
      <c r="T249" s="69"/>
      <c r="U249" s="70"/>
      <c r="V249" s="70"/>
      <c r="W249" s="71"/>
      <c r="X249"/>
    </row>
    <row r="250" spans="1:24">
      <c r="A250" s="71"/>
      <c r="B250" s="71"/>
      <c r="C250" s="71"/>
      <c r="D250" s="69"/>
      <c r="E250"/>
      <c r="F250" s="69"/>
      <c r="G250" s="69"/>
      <c r="H250" s="69"/>
      <c r="I250" s="69"/>
      <c r="J250" s="69"/>
      <c r="K250" s="69"/>
      <c r="L250" s="69"/>
      <c r="M250" s="69"/>
      <c r="N250" s="69"/>
      <c r="O250" s="69"/>
      <c r="P250" s="69"/>
      <c r="Q250" s="69"/>
      <c r="R250" s="69"/>
      <c r="S250" s="69"/>
      <c r="T250" s="69"/>
      <c r="U250" s="70"/>
      <c r="V250" s="70"/>
      <c r="W250" s="71"/>
      <c r="X250"/>
    </row>
    <row r="251" spans="1:24">
      <c r="A251" s="71"/>
      <c r="B251" s="71"/>
      <c r="C251" s="71"/>
      <c r="D251" s="69"/>
      <c r="E251"/>
      <c r="F251" s="69"/>
      <c r="G251" s="69"/>
      <c r="H251" s="69"/>
      <c r="I251" s="69"/>
      <c r="J251" s="69"/>
      <c r="K251" s="69"/>
      <c r="L251" s="69"/>
      <c r="M251" s="69"/>
      <c r="N251" s="69"/>
      <c r="O251" s="69"/>
      <c r="P251" s="69"/>
      <c r="Q251" s="69"/>
      <c r="R251" s="69"/>
      <c r="S251" s="69"/>
      <c r="T251" s="69"/>
      <c r="U251" s="70"/>
      <c r="V251" s="70"/>
      <c r="W251" s="71"/>
      <c r="X251"/>
    </row>
    <row r="252" spans="1:24">
      <c r="A252" s="71"/>
      <c r="B252" s="71"/>
      <c r="C252" s="71"/>
      <c r="D252" s="69"/>
      <c r="E252"/>
      <c r="F252" s="69"/>
      <c r="G252" s="69"/>
      <c r="H252" s="69"/>
      <c r="I252" s="69"/>
      <c r="J252" s="69"/>
      <c r="K252" s="69"/>
      <c r="L252" s="69"/>
      <c r="M252" s="69"/>
      <c r="N252" s="69"/>
      <c r="O252" s="69"/>
      <c r="P252" s="69"/>
      <c r="Q252" s="69"/>
      <c r="R252" s="69"/>
      <c r="S252" s="69"/>
      <c r="T252" s="69"/>
      <c r="U252" s="70"/>
      <c r="V252" s="70"/>
      <c r="W252" s="71"/>
      <c r="X252"/>
    </row>
    <row r="253" spans="1:24">
      <c r="A253" s="71"/>
      <c r="B253" s="71"/>
      <c r="C253" s="71"/>
      <c r="D253" s="69"/>
      <c r="E253"/>
      <c r="F253" s="69"/>
      <c r="G253" s="69"/>
      <c r="H253" s="69"/>
      <c r="I253" s="69"/>
      <c r="J253" s="69"/>
      <c r="K253" s="69"/>
      <c r="L253" s="69"/>
      <c r="M253" s="69"/>
      <c r="N253" s="69"/>
      <c r="O253" s="69"/>
      <c r="P253" s="69"/>
      <c r="Q253" s="69"/>
      <c r="R253" s="69"/>
      <c r="S253" s="69"/>
      <c r="T253" s="69"/>
      <c r="U253" s="70"/>
      <c r="V253" s="70"/>
      <c r="W253" s="71"/>
      <c r="X253"/>
    </row>
    <row r="254" spans="1:24">
      <c r="A254" s="71"/>
      <c r="B254" s="71"/>
      <c r="C254" s="71"/>
      <c r="D254" s="69"/>
      <c r="E254"/>
      <c r="F254" s="69"/>
      <c r="G254" s="69"/>
      <c r="H254" s="69"/>
      <c r="I254" s="69"/>
      <c r="J254" s="69"/>
      <c r="K254" s="69"/>
      <c r="L254" s="69"/>
      <c r="M254" s="69"/>
      <c r="N254" s="69"/>
      <c r="O254" s="69"/>
      <c r="P254" s="69"/>
      <c r="Q254" s="69"/>
      <c r="R254" s="69"/>
      <c r="S254" s="69"/>
      <c r="T254" s="69"/>
      <c r="U254" s="70"/>
      <c r="V254" s="70"/>
      <c r="W254" s="71"/>
      <c r="X254"/>
    </row>
    <row r="255" spans="1:24">
      <c r="A255" s="71"/>
      <c r="B255" s="71"/>
      <c r="C255" s="71"/>
      <c r="D255" s="69"/>
      <c r="E255"/>
      <c r="F255" s="69"/>
      <c r="G255" s="69"/>
      <c r="H255" s="69"/>
      <c r="I255" s="69"/>
      <c r="J255" s="69"/>
      <c r="K255" s="69"/>
      <c r="L255" s="69"/>
      <c r="M255" s="69"/>
      <c r="N255" s="69"/>
      <c r="O255" s="69"/>
      <c r="P255" s="69"/>
      <c r="Q255" s="69"/>
      <c r="R255" s="69"/>
      <c r="S255" s="69"/>
      <c r="T255" s="69"/>
      <c r="U255" s="70"/>
      <c r="V255" s="70"/>
      <c r="W255" s="71"/>
      <c r="X255"/>
    </row>
    <row r="256" spans="1:24">
      <c r="A256" s="71"/>
      <c r="B256" s="71"/>
      <c r="C256" s="71"/>
      <c r="D256" s="69"/>
      <c r="E256"/>
      <c r="F256" s="69"/>
      <c r="G256" s="69"/>
      <c r="H256" s="69"/>
      <c r="I256" s="69"/>
      <c r="J256" s="69"/>
      <c r="K256" s="69"/>
      <c r="L256" s="69"/>
      <c r="M256" s="69"/>
      <c r="N256" s="69"/>
      <c r="O256" s="69"/>
      <c r="P256" s="69"/>
      <c r="Q256" s="69"/>
      <c r="R256" s="69"/>
      <c r="S256" s="69"/>
      <c r="T256" s="69"/>
      <c r="U256" s="70"/>
      <c r="V256" s="70"/>
      <c r="W256" s="71"/>
      <c r="X256"/>
    </row>
    <row r="257" spans="1:24">
      <c r="A257" s="71"/>
      <c r="B257" s="71"/>
      <c r="C257" s="71"/>
      <c r="D257" s="69"/>
      <c r="E257"/>
      <c r="F257" s="69"/>
      <c r="G257" s="69"/>
      <c r="H257" s="69"/>
      <c r="I257" s="69"/>
      <c r="J257" s="69"/>
      <c r="K257" s="69"/>
      <c r="L257" s="69"/>
      <c r="M257" s="69"/>
      <c r="N257" s="69"/>
      <c r="O257" s="69"/>
      <c r="P257" s="69"/>
      <c r="Q257" s="69"/>
      <c r="R257" s="69"/>
      <c r="S257" s="69"/>
      <c r="T257" s="69"/>
      <c r="U257" s="70"/>
      <c r="V257" s="70"/>
      <c r="W257" s="71"/>
      <c r="X257"/>
    </row>
    <row r="258" spans="1:24">
      <c r="A258" s="71"/>
      <c r="B258" s="71"/>
      <c r="C258" s="71"/>
      <c r="D258" s="69"/>
      <c r="E258"/>
      <c r="F258" s="69"/>
      <c r="G258" s="69"/>
      <c r="H258" s="69"/>
      <c r="I258" s="69"/>
      <c r="J258" s="69"/>
      <c r="K258" s="69"/>
      <c r="L258" s="69"/>
      <c r="M258" s="69"/>
      <c r="N258" s="69"/>
      <c r="O258" s="69"/>
      <c r="P258" s="69"/>
      <c r="Q258" s="69"/>
      <c r="R258" s="69"/>
      <c r="S258" s="69"/>
      <c r="T258" s="69"/>
      <c r="U258" s="70"/>
      <c r="V258" s="70"/>
      <c r="W258" s="71"/>
      <c r="X258"/>
    </row>
    <row r="259" spans="1:24">
      <c r="A259" s="71"/>
      <c r="B259" s="71"/>
      <c r="C259" s="71"/>
      <c r="D259" s="69"/>
      <c r="E259"/>
      <c r="F259" s="69"/>
      <c r="G259" s="69"/>
      <c r="H259" s="69"/>
      <c r="I259" s="69"/>
      <c r="J259" s="69"/>
      <c r="K259" s="69"/>
      <c r="L259" s="69"/>
      <c r="M259" s="69"/>
      <c r="N259" s="69"/>
      <c r="O259" s="69"/>
      <c r="P259" s="69"/>
      <c r="Q259" s="69"/>
      <c r="R259" s="69"/>
      <c r="S259" s="69"/>
      <c r="T259" s="69"/>
      <c r="U259" s="70"/>
      <c r="V259" s="70"/>
      <c r="W259" s="71"/>
      <c r="X259"/>
    </row>
    <row r="260" spans="1:24">
      <c r="A260" s="71"/>
      <c r="B260" s="71"/>
      <c r="C260" s="71"/>
      <c r="D260" s="69"/>
      <c r="E260"/>
      <c r="F260" s="69"/>
      <c r="G260" s="69"/>
      <c r="H260" s="69"/>
      <c r="I260" s="69"/>
      <c r="J260" s="69"/>
      <c r="K260" s="69"/>
      <c r="L260" s="69"/>
      <c r="M260" s="69"/>
      <c r="N260" s="69"/>
      <c r="O260" s="69"/>
      <c r="P260" s="69"/>
      <c r="Q260" s="69"/>
      <c r="R260" s="69"/>
      <c r="S260" s="69"/>
      <c r="T260" s="69"/>
      <c r="U260" s="70"/>
      <c r="V260" s="70"/>
      <c r="W260" s="71"/>
      <c r="X260"/>
    </row>
    <row r="261" spans="1:24">
      <c r="A261" s="71"/>
      <c r="B261" s="71"/>
      <c r="C261" s="71"/>
      <c r="D261" s="69"/>
      <c r="E261"/>
      <c r="F261" s="69"/>
      <c r="G261" s="69"/>
      <c r="H261" s="69"/>
      <c r="I261" s="69"/>
      <c r="J261" s="69"/>
      <c r="K261" s="69"/>
      <c r="L261" s="69"/>
      <c r="M261" s="69"/>
      <c r="N261" s="69"/>
      <c r="O261" s="69"/>
      <c r="P261" s="69"/>
      <c r="Q261" s="69"/>
      <c r="R261" s="69"/>
      <c r="S261" s="69"/>
      <c r="T261" s="69"/>
      <c r="U261" s="70"/>
      <c r="V261" s="70"/>
      <c r="W261" s="71"/>
      <c r="X261"/>
    </row>
    <row r="262" spans="1:24">
      <c r="A262" s="71"/>
      <c r="B262" s="71"/>
      <c r="C262" s="71"/>
      <c r="D262" s="69"/>
      <c r="E262"/>
      <c r="F262" s="69"/>
      <c r="G262" s="69"/>
      <c r="H262" s="69"/>
      <c r="I262" s="69"/>
      <c r="J262" s="69"/>
      <c r="K262" s="69"/>
      <c r="L262" s="69"/>
      <c r="M262" s="69"/>
      <c r="N262" s="69"/>
      <c r="O262" s="69"/>
      <c r="P262" s="69"/>
      <c r="Q262" s="69"/>
      <c r="R262" s="69"/>
      <c r="S262" s="69"/>
      <c r="T262" s="69"/>
      <c r="U262" s="70"/>
      <c r="V262" s="70"/>
      <c r="W262" s="71"/>
      <c r="X262"/>
    </row>
    <row r="263" spans="1:24">
      <c r="A263" s="71"/>
      <c r="B263" s="71"/>
      <c r="C263" s="71"/>
      <c r="D263" s="69"/>
      <c r="E263"/>
      <c r="F263" s="69"/>
      <c r="G263" s="69"/>
      <c r="H263" s="69"/>
      <c r="I263" s="69"/>
      <c r="J263" s="69"/>
      <c r="K263" s="69"/>
      <c r="L263" s="69"/>
      <c r="M263" s="69"/>
      <c r="N263" s="69"/>
      <c r="O263" s="69"/>
      <c r="P263" s="69"/>
      <c r="Q263" s="69"/>
      <c r="R263" s="69"/>
      <c r="S263" s="69"/>
      <c r="T263" s="69"/>
      <c r="U263" s="70"/>
      <c r="V263" s="70"/>
      <c r="W263" s="71"/>
      <c r="X263"/>
    </row>
    <row r="264" spans="1:24">
      <c r="A264" s="71"/>
      <c r="B264" s="71"/>
      <c r="C264" s="71"/>
      <c r="D264" s="69"/>
      <c r="E264"/>
      <c r="F264" s="69"/>
      <c r="G264" s="69"/>
      <c r="H264" s="69"/>
      <c r="I264" s="69"/>
      <c r="J264" s="69"/>
      <c r="K264" s="69"/>
      <c r="L264" s="69"/>
      <c r="M264" s="69"/>
      <c r="N264" s="69"/>
      <c r="O264" s="69"/>
      <c r="P264" s="69"/>
      <c r="Q264" s="69"/>
      <c r="R264" s="69"/>
      <c r="S264" s="69"/>
      <c r="T264" s="69"/>
      <c r="U264" s="70"/>
      <c r="V264" s="70"/>
      <c r="W264" s="71"/>
      <c r="X264"/>
    </row>
    <row r="265" spans="1:24">
      <c r="A265" s="71"/>
      <c r="B265" s="71"/>
      <c r="C265" s="71"/>
      <c r="D265" s="69"/>
      <c r="E265"/>
      <c r="F265" s="69"/>
      <c r="G265" s="69"/>
      <c r="H265" s="69"/>
      <c r="I265" s="69"/>
      <c r="J265" s="69"/>
      <c r="K265" s="69"/>
      <c r="L265" s="69"/>
      <c r="M265" s="69"/>
      <c r="N265" s="69"/>
      <c r="O265" s="69"/>
      <c r="P265" s="69"/>
      <c r="Q265" s="69"/>
      <c r="R265" s="69"/>
      <c r="S265" s="69"/>
      <c r="T265" s="69"/>
      <c r="U265" s="70"/>
      <c r="V265" s="70"/>
      <c r="W265" s="71"/>
      <c r="X265"/>
    </row>
    <row r="266" spans="1:24">
      <c r="A266" s="71"/>
      <c r="B266" s="71"/>
      <c r="C266" s="71"/>
      <c r="D266" s="69"/>
      <c r="E266"/>
      <c r="F266" s="69"/>
      <c r="G266" s="69"/>
      <c r="H266" s="69"/>
      <c r="I266" s="69"/>
      <c r="J266" s="69"/>
      <c r="K266" s="69"/>
      <c r="L266" s="69"/>
      <c r="M266" s="69"/>
      <c r="N266" s="69"/>
      <c r="O266" s="69"/>
      <c r="P266" s="69"/>
      <c r="Q266" s="69"/>
      <c r="R266" s="69"/>
      <c r="S266" s="69"/>
      <c r="T266" s="69"/>
      <c r="U266" s="70"/>
      <c r="V266" s="70"/>
      <c r="W266" s="71"/>
      <c r="X266"/>
    </row>
    <row r="267" spans="1:24">
      <c r="A267" s="71"/>
      <c r="B267" s="71"/>
      <c r="C267" s="71"/>
      <c r="D267" s="69"/>
      <c r="E267"/>
      <c r="F267" s="69"/>
      <c r="G267" s="69"/>
      <c r="H267" s="69"/>
      <c r="I267" s="69"/>
      <c r="J267" s="69"/>
      <c r="K267" s="69"/>
      <c r="L267" s="69"/>
      <c r="M267" s="69"/>
      <c r="N267" s="69"/>
      <c r="O267" s="69"/>
      <c r="P267" s="69"/>
      <c r="Q267" s="69"/>
      <c r="R267" s="69"/>
      <c r="S267" s="69"/>
      <c r="T267" s="69"/>
      <c r="U267" s="70"/>
      <c r="V267" s="70"/>
      <c r="W267" s="71"/>
      <c r="X267"/>
    </row>
    <row r="268" spans="1:24">
      <c r="A268" s="71"/>
      <c r="B268" s="71"/>
      <c r="C268" s="71"/>
      <c r="D268" s="69"/>
      <c r="E268"/>
      <c r="F268" s="69"/>
      <c r="G268" s="69"/>
      <c r="H268" s="69"/>
      <c r="I268" s="69"/>
      <c r="J268" s="69"/>
      <c r="K268" s="69"/>
      <c r="L268" s="69"/>
      <c r="M268" s="69"/>
      <c r="N268" s="69"/>
      <c r="O268" s="69"/>
      <c r="P268" s="69"/>
      <c r="Q268" s="69"/>
      <c r="R268" s="69"/>
      <c r="S268" s="69"/>
      <c r="T268" s="69"/>
      <c r="U268" s="70"/>
      <c r="V268" s="70"/>
      <c r="W268" s="71"/>
      <c r="X268"/>
    </row>
    <row r="269" spans="1:24">
      <c r="A269" s="71"/>
      <c r="B269" s="71"/>
      <c r="C269" s="71"/>
      <c r="D269" s="69"/>
      <c r="E269"/>
      <c r="F269" s="69"/>
      <c r="G269" s="69"/>
      <c r="H269" s="69"/>
      <c r="I269" s="69"/>
      <c r="J269" s="69"/>
      <c r="K269" s="69"/>
      <c r="L269" s="69"/>
      <c r="M269" s="69"/>
      <c r="N269" s="69"/>
      <c r="O269" s="69"/>
      <c r="P269" s="69"/>
      <c r="Q269" s="69"/>
      <c r="R269" s="69"/>
      <c r="S269" s="69"/>
      <c r="T269" s="69"/>
      <c r="U269" s="70"/>
      <c r="V269" s="70"/>
      <c r="W269" s="71"/>
      <c r="X269"/>
    </row>
    <row r="270" spans="1:24">
      <c r="A270" s="71"/>
      <c r="B270" s="71"/>
      <c r="C270" s="71"/>
      <c r="D270" s="69"/>
      <c r="E270"/>
      <c r="F270" s="69"/>
      <c r="G270" s="69"/>
      <c r="H270" s="69"/>
      <c r="I270" s="69"/>
      <c r="J270" s="69"/>
      <c r="K270" s="69"/>
      <c r="L270" s="69"/>
      <c r="M270" s="69"/>
      <c r="N270" s="69"/>
      <c r="O270" s="69"/>
      <c r="P270" s="69"/>
      <c r="Q270" s="69"/>
      <c r="R270" s="69"/>
      <c r="S270" s="69"/>
      <c r="T270" s="69"/>
      <c r="U270" s="70"/>
      <c r="V270" s="70"/>
      <c r="W270" s="71"/>
      <c r="X270"/>
    </row>
    <row r="271" spans="1:24">
      <c r="A271" s="71"/>
      <c r="B271" s="71"/>
      <c r="C271" s="71"/>
      <c r="D271" s="69"/>
      <c r="E271"/>
      <c r="F271" s="69"/>
      <c r="G271" s="69"/>
      <c r="H271" s="69"/>
      <c r="I271" s="69"/>
      <c r="J271" s="69"/>
      <c r="K271" s="69"/>
      <c r="L271" s="69"/>
      <c r="M271" s="69"/>
      <c r="N271" s="69"/>
      <c r="O271" s="69"/>
      <c r="P271" s="69"/>
      <c r="Q271" s="69"/>
      <c r="R271" s="69"/>
      <c r="S271" s="69"/>
      <c r="T271" s="69"/>
      <c r="U271" s="70"/>
      <c r="V271" s="70"/>
      <c r="W271" s="71"/>
      <c r="X271"/>
    </row>
    <row r="272" spans="1:24">
      <c r="A272" s="71"/>
      <c r="B272" s="71"/>
      <c r="C272" s="71"/>
      <c r="D272" s="69"/>
      <c r="E272"/>
      <c r="F272" s="69"/>
      <c r="G272" s="69"/>
      <c r="H272" s="69"/>
      <c r="I272" s="69"/>
      <c r="J272" s="69"/>
      <c r="K272" s="69"/>
      <c r="L272" s="69"/>
      <c r="M272" s="69"/>
      <c r="N272" s="69"/>
      <c r="O272" s="69"/>
      <c r="P272" s="69"/>
      <c r="Q272" s="69"/>
      <c r="R272" s="69"/>
      <c r="S272" s="69"/>
      <c r="T272" s="69"/>
      <c r="U272" s="70"/>
      <c r="V272" s="70"/>
      <c r="W272" s="71"/>
      <c r="X272"/>
    </row>
    <row r="273" spans="1:24">
      <c r="A273" s="71"/>
      <c r="B273" s="71"/>
      <c r="C273" s="71"/>
      <c r="D273" s="69"/>
      <c r="E273"/>
      <c r="F273" s="69"/>
      <c r="G273" s="69"/>
      <c r="H273" s="69"/>
      <c r="I273" s="69"/>
      <c r="J273" s="69"/>
      <c r="K273" s="69"/>
      <c r="L273" s="69"/>
      <c r="M273" s="69"/>
      <c r="N273" s="69"/>
      <c r="O273" s="69"/>
      <c r="P273" s="69"/>
      <c r="Q273" s="69"/>
      <c r="R273" s="69"/>
      <c r="S273" s="69"/>
      <c r="T273" s="69"/>
      <c r="U273" s="70"/>
      <c r="V273" s="70"/>
      <c r="W273" s="71"/>
      <c r="X273"/>
    </row>
    <row r="274" spans="1:24">
      <c r="A274" s="71"/>
      <c r="B274" s="71"/>
      <c r="C274" s="71"/>
      <c r="D274" s="69"/>
      <c r="E274"/>
      <c r="F274" s="69"/>
      <c r="G274" s="69"/>
      <c r="H274" s="69"/>
      <c r="I274" s="69"/>
      <c r="J274" s="69"/>
      <c r="K274" s="69"/>
      <c r="L274" s="69"/>
      <c r="M274" s="69"/>
      <c r="N274" s="69"/>
      <c r="O274" s="69"/>
      <c r="P274" s="69"/>
      <c r="Q274" s="69"/>
      <c r="R274" s="69"/>
      <c r="S274" s="69"/>
      <c r="T274" s="69"/>
      <c r="U274" s="70"/>
      <c r="V274" s="70"/>
      <c r="W274" s="71"/>
      <c r="X274"/>
    </row>
    <row r="275" spans="1:24">
      <c r="A275" s="71"/>
      <c r="B275" s="71"/>
      <c r="C275" s="71"/>
      <c r="D275" s="69"/>
      <c r="E275"/>
      <c r="F275" s="69"/>
      <c r="G275" s="69"/>
      <c r="H275" s="69"/>
      <c r="I275" s="69"/>
      <c r="J275" s="69"/>
      <c r="K275" s="69"/>
      <c r="L275" s="69"/>
      <c r="M275" s="69"/>
      <c r="N275" s="69"/>
      <c r="O275" s="69"/>
      <c r="P275" s="69"/>
      <c r="Q275" s="69"/>
      <c r="R275" s="69"/>
      <c r="S275" s="69"/>
      <c r="T275" s="69"/>
      <c r="U275" s="70"/>
      <c r="V275" s="70"/>
      <c r="W275" s="71"/>
      <c r="X275"/>
    </row>
    <row r="276" spans="1:24">
      <c r="A276" s="71"/>
      <c r="B276" s="71"/>
      <c r="C276" s="71"/>
      <c r="D276" s="69"/>
      <c r="E276"/>
      <c r="F276" s="69"/>
      <c r="G276" s="69"/>
      <c r="H276" s="69"/>
      <c r="I276" s="69"/>
      <c r="J276" s="69"/>
      <c r="K276" s="69"/>
      <c r="L276" s="69"/>
      <c r="M276" s="69"/>
      <c r="N276" s="69"/>
      <c r="O276" s="69"/>
      <c r="P276" s="69"/>
      <c r="Q276" s="69"/>
      <c r="R276" s="69"/>
      <c r="S276" s="69"/>
      <c r="T276" s="69"/>
      <c r="U276" s="70"/>
      <c r="V276" s="70"/>
      <c r="W276" s="71"/>
      <c r="X276"/>
    </row>
    <row r="277" spans="1:24">
      <c r="A277" s="71"/>
      <c r="B277" s="71"/>
      <c r="C277" s="71"/>
      <c r="D277" s="69"/>
      <c r="E277"/>
      <c r="F277" s="69"/>
      <c r="G277" s="69"/>
      <c r="H277" s="69"/>
      <c r="I277" s="69"/>
      <c r="J277" s="69"/>
      <c r="K277" s="69"/>
      <c r="L277" s="69"/>
      <c r="M277" s="69"/>
      <c r="N277" s="69"/>
      <c r="O277" s="69"/>
      <c r="P277" s="69"/>
      <c r="Q277" s="69"/>
      <c r="R277" s="69"/>
      <c r="S277" s="69"/>
      <c r="T277" s="69"/>
      <c r="U277" s="70"/>
      <c r="V277" s="70"/>
      <c r="W277" s="71"/>
      <c r="X277"/>
    </row>
    <row r="278" spans="1:24">
      <c r="A278" s="71"/>
      <c r="B278" s="71"/>
      <c r="C278" s="71"/>
      <c r="D278" s="69"/>
      <c r="E278"/>
      <c r="F278" s="69"/>
      <c r="G278" s="69"/>
      <c r="H278" s="69"/>
      <c r="I278" s="69"/>
      <c r="J278" s="69"/>
      <c r="K278" s="69"/>
      <c r="L278" s="69"/>
      <c r="M278" s="69"/>
      <c r="N278" s="69"/>
      <c r="O278" s="69"/>
      <c r="P278" s="69"/>
      <c r="Q278" s="69"/>
      <c r="R278" s="69"/>
      <c r="S278" s="69"/>
      <c r="T278" s="69"/>
      <c r="U278" s="70"/>
      <c r="V278" s="70"/>
      <c r="W278" s="71"/>
      <c r="X278"/>
    </row>
    <row r="279" spans="1:24">
      <c r="A279" s="71"/>
      <c r="B279" s="71"/>
      <c r="C279" s="71"/>
      <c r="D279" s="69"/>
      <c r="E279"/>
      <c r="F279" s="69"/>
      <c r="G279" s="69"/>
      <c r="H279" s="69"/>
      <c r="I279" s="69"/>
      <c r="J279" s="69"/>
      <c r="K279" s="69"/>
      <c r="L279" s="69"/>
      <c r="M279" s="69"/>
      <c r="N279" s="69"/>
      <c r="O279" s="69"/>
      <c r="P279" s="69"/>
      <c r="Q279" s="69"/>
      <c r="R279" s="69"/>
      <c r="S279" s="69"/>
      <c r="T279" s="69"/>
      <c r="U279" s="70"/>
      <c r="V279" s="70"/>
      <c r="W279" s="71"/>
      <c r="X279"/>
    </row>
    <row r="280" spans="1:24">
      <c r="A280" s="71"/>
      <c r="B280" s="71"/>
      <c r="C280" s="71"/>
      <c r="D280" s="69"/>
      <c r="E280"/>
      <c r="F280" s="69"/>
      <c r="G280" s="69"/>
      <c r="H280" s="69"/>
      <c r="I280" s="69"/>
      <c r="J280" s="69"/>
      <c r="K280" s="69"/>
      <c r="L280" s="69"/>
      <c r="M280" s="69"/>
      <c r="N280" s="69"/>
      <c r="O280" s="69"/>
      <c r="P280" s="69"/>
      <c r="Q280" s="69"/>
      <c r="R280" s="69"/>
      <c r="S280" s="69"/>
      <c r="T280" s="69"/>
      <c r="U280" s="70"/>
      <c r="V280" s="70"/>
      <c r="W280" s="71"/>
      <c r="X280"/>
    </row>
    <row r="281" spans="1:24">
      <c r="A281" s="71"/>
      <c r="B281" s="71"/>
      <c r="C281" s="71"/>
      <c r="D281" s="69"/>
      <c r="E281"/>
      <c r="F281" s="69"/>
      <c r="G281" s="69"/>
      <c r="H281" s="69"/>
      <c r="I281" s="69"/>
      <c r="J281" s="69"/>
      <c r="K281" s="69"/>
      <c r="L281" s="69"/>
      <c r="M281" s="69"/>
      <c r="N281" s="69"/>
      <c r="O281" s="69"/>
      <c r="P281" s="69"/>
      <c r="Q281" s="69"/>
      <c r="R281" s="69"/>
      <c r="S281" s="69"/>
      <c r="T281" s="69"/>
      <c r="U281" s="70"/>
      <c r="V281" s="70"/>
      <c r="W281" s="71"/>
      <c r="X281"/>
    </row>
    <row r="282" spans="1:24">
      <c r="A282" s="71"/>
      <c r="B282" s="71"/>
      <c r="C282" s="71"/>
      <c r="D282" s="69"/>
      <c r="E282"/>
      <c r="F282" s="69"/>
      <c r="G282" s="69"/>
      <c r="H282" s="69"/>
      <c r="I282" s="69"/>
      <c r="J282" s="69"/>
      <c r="K282" s="69"/>
      <c r="L282" s="69"/>
      <c r="M282" s="69"/>
      <c r="N282" s="69"/>
      <c r="O282" s="69"/>
      <c r="P282" s="69"/>
      <c r="Q282" s="69"/>
      <c r="R282" s="69"/>
      <c r="S282" s="69"/>
      <c r="T282" s="69"/>
      <c r="U282" s="70"/>
      <c r="V282" s="70"/>
      <c r="W282" s="71"/>
      <c r="X282"/>
    </row>
    <row r="283" spans="1:24">
      <c r="A283" s="71"/>
      <c r="B283" s="71"/>
      <c r="C283" s="71"/>
      <c r="D283" s="69"/>
      <c r="E283"/>
      <c r="F283" s="69"/>
      <c r="G283" s="69"/>
      <c r="H283" s="69"/>
      <c r="I283" s="69"/>
      <c r="J283" s="69"/>
      <c r="K283" s="69"/>
      <c r="L283" s="69"/>
      <c r="M283" s="69"/>
      <c r="N283" s="69"/>
      <c r="O283" s="69"/>
      <c r="P283" s="69"/>
      <c r="Q283" s="69"/>
      <c r="R283" s="69"/>
      <c r="S283" s="69"/>
      <c r="T283" s="69"/>
      <c r="U283" s="70"/>
      <c r="V283" s="70"/>
      <c r="W283" s="71"/>
      <c r="X283"/>
    </row>
    <row r="284" spans="1:24">
      <c r="A284" s="71"/>
      <c r="B284" s="71"/>
      <c r="C284" s="71"/>
      <c r="D284" s="69"/>
      <c r="E284"/>
      <c r="F284" s="69"/>
      <c r="G284" s="69"/>
      <c r="H284" s="69"/>
      <c r="I284" s="69"/>
      <c r="J284" s="69"/>
      <c r="K284" s="69"/>
      <c r="L284" s="69"/>
      <c r="M284" s="69"/>
      <c r="N284" s="69"/>
      <c r="O284" s="69"/>
      <c r="P284" s="69"/>
      <c r="Q284" s="69"/>
      <c r="R284" s="69"/>
      <c r="S284" s="69"/>
      <c r="T284" s="69"/>
      <c r="U284" s="70"/>
      <c r="V284" s="70"/>
      <c r="W284" s="71"/>
      <c r="X284"/>
    </row>
    <row r="285" spans="1:24">
      <c r="A285" s="71"/>
      <c r="B285" s="71"/>
      <c r="C285" s="71"/>
      <c r="D285" s="69"/>
      <c r="E285"/>
      <c r="F285" s="69"/>
      <c r="G285" s="69"/>
      <c r="H285" s="69"/>
      <c r="I285" s="69"/>
      <c r="J285" s="69"/>
      <c r="K285" s="69"/>
      <c r="L285" s="69"/>
      <c r="M285" s="69"/>
      <c r="N285" s="69"/>
      <c r="O285" s="69"/>
      <c r="P285" s="69"/>
      <c r="Q285" s="69"/>
      <c r="R285" s="69"/>
      <c r="S285" s="69"/>
      <c r="T285" s="69"/>
      <c r="U285" s="70"/>
      <c r="V285" s="70"/>
      <c r="W285" s="71"/>
      <c r="X285"/>
    </row>
    <row r="286" spans="1:24">
      <c r="A286" s="71"/>
      <c r="B286" s="71"/>
      <c r="C286" s="71"/>
      <c r="D286" s="69"/>
      <c r="E286"/>
      <c r="F286" s="69"/>
      <c r="G286" s="69"/>
      <c r="H286" s="69"/>
      <c r="I286" s="69"/>
      <c r="J286" s="69"/>
      <c r="K286" s="69"/>
      <c r="L286" s="69"/>
      <c r="M286" s="69"/>
      <c r="N286" s="69"/>
      <c r="O286" s="69"/>
      <c r="P286" s="69"/>
      <c r="Q286" s="69"/>
      <c r="R286" s="69"/>
      <c r="S286" s="69"/>
      <c r="T286" s="69"/>
      <c r="U286" s="70"/>
      <c r="V286" s="70"/>
      <c r="W286" s="71"/>
      <c r="X286"/>
    </row>
    <row r="287" spans="1:24">
      <c r="A287" s="71"/>
      <c r="B287" s="71"/>
      <c r="C287" s="71"/>
      <c r="D287" s="69"/>
      <c r="E287"/>
      <c r="F287" s="69"/>
      <c r="G287" s="69"/>
      <c r="H287" s="69"/>
      <c r="I287" s="69"/>
      <c r="J287" s="69"/>
      <c r="K287" s="69"/>
      <c r="L287" s="69"/>
      <c r="M287" s="69"/>
      <c r="N287" s="69"/>
      <c r="O287" s="69"/>
      <c r="P287" s="69"/>
      <c r="Q287" s="69"/>
      <c r="R287" s="69"/>
      <c r="S287" s="69"/>
      <c r="T287" s="69"/>
      <c r="U287" s="70"/>
      <c r="V287" s="70"/>
      <c r="W287" s="71"/>
      <c r="X287"/>
    </row>
    <row r="288" spans="1:24">
      <c r="A288" s="71"/>
      <c r="B288" s="71"/>
      <c r="C288" s="71"/>
      <c r="D288" s="69"/>
      <c r="E288"/>
      <c r="F288" s="69"/>
      <c r="G288" s="69"/>
      <c r="H288" s="69"/>
      <c r="I288" s="69"/>
      <c r="J288" s="69"/>
      <c r="K288" s="69"/>
      <c r="L288" s="69"/>
      <c r="M288" s="69"/>
      <c r="N288" s="69"/>
      <c r="O288" s="69"/>
      <c r="P288" s="69"/>
      <c r="Q288" s="69"/>
      <c r="R288" s="69"/>
      <c r="S288" s="69"/>
      <c r="T288" s="69"/>
      <c r="U288" s="70"/>
      <c r="V288" s="70"/>
      <c r="W288" s="71"/>
      <c r="X288"/>
    </row>
    <row r="289" spans="1:24">
      <c r="A289" s="71"/>
      <c r="B289" s="71"/>
      <c r="C289" s="71"/>
      <c r="D289" s="69"/>
      <c r="E289"/>
      <c r="F289" s="69"/>
      <c r="G289" s="69"/>
      <c r="H289" s="69"/>
      <c r="I289" s="69"/>
      <c r="J289" s="69"/>
      <c r="K289" s="69"/>
      <c r="L289" s="69"/>
      <c r="M289" s="69"/>
      <c r="N289" s="69"/>
      <c r="O289" s="69"/>
      <c r="P289" s="69"/>
      <c r="Q289" s="69"/>
      <c r="R289" s="69"/>
      <c r="S289" s="69"/>
      <c r="T289" s="69"/>
      <c r="U289" s="70"/>
      <c r="V289" s="70"/>
      <c r="W289" s="71"/>
      <c r="X289"/>
    </row>
    <row r="290" spans="1:24">
      <c r="A290" s="71"/>
      <c r="B290" s="71"/>
      <c r="C290" s="71"/>
      <c r="D290" s="69"/>
      <c r="E290"/>
      <c r="F290" s="69"/>
      <c r="G290" s="69"/>
      <c r="H290" s="69"/>
      <c r="I290" s="69"/>
      <c r="J290" s="69"/>
      <c r="K290" s="69"/>
      <c r="L290" s="69"/>
      <c r="M290" s="69"/>
      <c r="N290" s="69"/>
      <c r="O290" s="69"/>
      <c r="P290" s="69"/>
      <c r="Q290" s="69"/>
      <c r="R290" s="69"/>
      <c r="S290" s="69"/>
      <c r="T290" s="69"/>
      <c r="U290" s="70"/>
      <c r="V290" s="70"/>
      <c r="W290" s="71"/>
      <c r="X290"/>
    </row>
    <row r="291" spans="1:24">
      <c r="A291" s="71"/>
      <c r="B291" s="71"/>
      <c r="C291" s="71"/>
      <c r="D291" s="69"/>
      <c r="E291"/>
      <c r="F291" s="69"/>
      <c r="G291" s="69"/>
      <c r="H291" s="69"/>
      <c r="I291" s="69"/>
      <c r="J291" s="69"/>
      <c r="K291" s="69"/>
      <c r="L291" s="69"/>
      <c r="M291" s="69"/>
      <c r="N291" s="69"/>
      <c r="O291" s="69"/>
      <c r="P291" s="69"/>
      <c r="Q291" s="69"/>
      <c r="R291" s="69"/>
      <c r="S291" s="69"/>
      <c r="T291" s="69"/>
      <c r="U291" s="70"/>
      <c r="V291" s="70"/>
      <c r="W291" s="71"/>
      <c r="X291"/>
    </row>
    <row r="292" spans="1:24">
      <c r="A292" s="71"/>
      <c r="B292" s="71"/>
      <c r="C292" s="71"/>
      <c r="D292" s="69"/>
      <c r="E292"/>
      <c r="F292" s="69"/>
      <c r="G292" s="69"/>
      <c r="H292" s="69"/>
      <c r="I292" s="69"/>
      <c r="J292" s="69"/>
      <c r="K292" s="69"/>
      <c r="L292" s="69"/>
      <c r="M292" s="69"/>
      <c r="N292" s="69"/>
      <c r="O292" s="69"/>
      <c r="P292" s="69"/>
      <c r="Q292" s="69"/>
      <c r="R292" s="69"/>
      <c r="S292" s="69"/>
      <c r="T292" s="69"/>
      <c r="U292" s="70"/>
      <c r="V292" s="70"/>
      <c r="W292" s="71"/>
      <c r="X292"/>
    </row>
    <row r="293" spans="1:24">
      <c r="A293" s="71"/>
      <c r="B293" s="71"/>
      <c r="C293" s="71"/>
      <c r="D293" s="69"/>
      <c r="E293"/>
      <c r="F293" s="69"/>
      <c r="G293" s="69"/>
      <c r="H293" s="69"/>
      <c r="I293" s="69"/>
      <c r="J293" s="69"/>
      <c r="K293" s="69"/>
      <c r="L293" s="69"/>
      <c r="M293" s="69"/>
      <c r="N293" s="69"/>
      <c r="O293" s="69"/>
      <c r="P293" s="69"/>
      <c r="Q293" s="69"/>
      <c r="R293" s="69"/>
      <c r="S293" s="69"/>
      <c r="T293" s="69"/>
      <c r="U293" s="70"/>
      <c r="V293" s="70"/>
      <c r="W293" s="71"/>
      <c r="X293"/>
    </row>
    <row r="294" spans="1:24">
      <c r="A294" s="71"/>
      <c r="B294" s="71"/>
      <c r="C294" s="71"/>
      <c r="D294" s="69"/>
      <c r="E294"/>
      <c r="F294" s="69"/>
      <c r="G294" s="69"/>
      <c r="H294" s="69"/>
      <c r="I294" s="69"/>
      <c r="J294" s="69"/>
      <c r="K294" s="69"/>
      <c r="L294" s="69"/>
      <c r="M294" s="69"/>
      <c r="N294" s="69"/>
      <c r="O294" s="69"/>
      <c r="P294" s="69"/>
      <c r="Q294" s="69"/>
      <c r="R294" s="69"/>
      <c r="S294" s="69"/>
      <c r="T294" s="69"/>
      <c r="U294" s="70"/>
      <c r="V294" s="70"/>
      <c r="W294" s="71"/>
      <c r="X294"/>
    </row>
    <row r="295" spans="1:24">
      <c r="A295" s="71"/>
      <c r="B295" s="71"/>
      <c r="C295" s="71"/>
      <c r="D295" s="69"/>
      <c r="E295"/>
      <c r="F295" s="69"/>
      <c r="G295" s="69"/>
      <c r="H295" s="69"/>
      <c r="I295" s="69"/>
      <c r="J295" s="69"/>
      <c r="K295" s="69"/>
      <c r="L295" s="69"/>
      <c r="M295" s="69"/>
      <c r="N295" s="69"/>
      <c r="O295" s="69"/>
      <c r="P295" s="69"/>
      <c r="Q295" s="69"/>
      <c r="R295" s="69"/>
      <c r="S295" s="69"/>
      <c r="T295" s="69"/>
      <c r="U295" s="70"/>
      <c r="V295" s="70"/>
      <c r="W295" s="71"/>
      <c r="X295"/>
    </row>
    <row r="296" spans="1:24">
      <c r="A296" s="71"/>
      <c r="B296" s="71"/>
      <c r="C296" s="71"/>
      <c r="D296" s="69"/>
      <c r="E296"/>
      <c r="F296" s="69"/>
      <c r="G296" s="69"/>
      <c r="H296" s="69"/>
      <c r="I296" s="69"/>
      <c r="J296" s="69"/>
      <c r="K296" s="69"/>
      <c r="L296" s="69"/>
      <c r="M296" s="69"/>
      <c r="N296" s="69"/>
      <c r="O296" s="69"/>
      <c r="P296" s="69"/>
      <c r="Q296" s="69"/>
      <c r="R296" s="69"/>
      <c r="S296" s="69"/>
      <c r="T296" s="69"/>
      <c r="U296" s="70"/>
      <c r="V296" s="70"/>
      <c r="W296" s="71"/>
      <c r="X296"/>
    </row>
    <row r="297" spans="1:24">
      <c r="A297" s="71"/>
      <c r="B297" s="71"/>
      <c r="C297" s="71"/>
      <c r="D297" s="69"/>
      <c r="E297"/>
      <c r="F297" s="69"/>
      <c r="G297" s="69"/>
      <c r="H297" s="69"/>
      <c r="I297" s="69"/>
      <c r="J297" s="69"/>
      <c r="K297" s="69"/>
      <c r="L297" s="69"/>
      <c r="M297" s="69"/>
      <c r="N297" s="69"/>
      <c r="O297" s="69"/>
      <c r="P297" s="69"/>
      <c r="Q297" s="69"/>
      <c r="R297" s="69"/>
      <c r="S297" s="69"/>
      <c r="T297" s="69"/>
      <c r="U297" s="70"/>
      <c r="V297" s="70"/>
      <c r="W297" s="71"/>
      <c r="X297"/>
    </row>
    <row r="298" spans="1:24">
      <c r="A298" s="71"/>
      <c r="B298" s="71"/>
      <c r="C298" s="71"/>
      <c r="D298" s="69"/>
      <c r="E298"/>
      <c r="F298" s="69"/>
      <c r="G298" s="69"/>
      <c r="H298" s="69"/>
      <c r="I298" s="69"/>
      <c r="J298" s="69"/>
      <c r="K298" s="69"/>
      <c r="L298" s="69"/>
      <c r="M298" s="69"/>
      <c r="N298" s="69"/>
      <c r="O298" s="69"/>
      <c r="P298" s="69"/>
      <c r="Q298" s="69"/>
      <c r="R298" s="69"/>
      <c r="S298" s="69"/>
      <c r="T298" s="69"/>
      <c r="U298" s="70"/>
      <c r="V298" s="70"/>
      <c r="W298" s="71"/>
      <c r="X298"/>
    </row>
    <row r="299" spans="1:24">
      <c r="A299" s="71"/>
      <c r="B299" s="71"/>
      <c r="C299" s="71"/>
      <c r="D299" s="69"/>
      <c r="E299"/>
      <c r="F299" s="69"/>
      <c r="G299" s="69"/>
      <c r="H299" s="69"/>
      <c r="I299" s="69"/>
      <c r="J299" s="69"/>
      <c r="K299" s="69"/>
      <c r="L299" s="69"/>
      <c r="M299" s="69"/>
      <c r="N299" s="69"/>
      <c r="O299" s="69"/>
      <c r="P299" s="69"/>
      <c r="Q299" s="69"/>
      <c r="R299" s="69"/>
      <c r="S299" s="69"/>
      <c r="T299" s="69"/>
      <c r="U299" s="70"/>
      <c r="V299" s="70"/>
      <c r="W299" s="71"/>
      <c r="X299"/>
    </row>
    <row r="300" spans="1:24">
      <c r="A300" s="71"/>
      <c r="B300" s="71"/>
      <c r="C300" s="71"/>
      <c r="D300" s="69"/>
      <c r="E300"/>
      <c r="F300" s="69"/>
      <c r="G300" s="69"/>
      <c r="H300" s="69"/>
      <c r="I300" s="69"/>
      <c r="J300" s="69"/>
      <c r="K300" s="69"/>
      <c r="L300" s="69"/>
      <c r="M300" s="69"/>
      <c r="N300" s="69"/>
      <c r="O300" s="69"/>
      <c r="P300" s="69"/>
      <c r="Q300" s="69"/>
      <c r="R300" s="69"/>
      <c r="S300" s="69"/>
      <c r="T300" s="69"/>
      <c r="U300" s="70"/>
      <c r="V300" s="70"/>
      <c r="W300" s="71"/>
      <c r="X300"/>
    </row>
    <row r="301" spans="1:24">
      <c r="A301" s="71"/>
      <c r="B301" s="71"/>
      <c r="C301" s="71"/>
      <c r="D301" s="69"/>
      <c r="E301"/>
      <c r="F301" s="69"/>
      <c r="G301" s="69"/>
      <c r="H301" s="69"/>
      <c r="I301" s="69"/>
      <c r="J301" s="69"/>
      <c r="K301" s="69"/>
      <c r="L301" s="69"/>
      <c r="M301" s="69"/>
      <c r="N301" s="69"/>
      <c r="O301" s="69"/>
      <c r="P301" s="69"/>
      <c r="Q301" s="69"/>
      <c r="R301" s="69"/>
      <c r="S301" s="69"/>
      <c r="T301" s="69"/>
      <c r="U301" s="70"/>
      <c r="V301" s="70"/>
      <c r="W301" s="71"/>
      <c r="X301"/>
    </row>
    <row r="302" spans="1:24">
      <c r="A302" s="71"/>
      <c r="B302" s="71"/>
      <c r="C302" s="71"/>
      <c r="D302" s="69"/>
      <c r="E302"/>
      <c r="F302" s="69"/>
      <c r="G302" s="69"/>
      <c r="H302" s="69"/>
      <c r="I302" s="69"/>
      <c r="J302" s="69"/>
      <c r="K302" s="69"/>
      <c r="L302" s="69"/>
      <c r="M302" s="69"/>
      <c r="N302" s="69"/>
      <c r="O302" s="69"/>
      <c r="P302" s="69"/>
      <c r="Q302" s="69"/>
      <c r="R302" s="69"/>
      <c r="S302" s="69"/>
      <c r="T302" s="69"/>
      <c r="U302" s="70"/>
      <c r="V302" s="70"/>
      <c r="W302" s="71"/>
      <c r="X302"/>
    </row>
    <row r="303" spans="1:24">
      <c r="A303" s="71"/>
      <c r="B303" s="71"/>
      <c r="C303" s="71"/>
      <c r="D303" s="69"/>
      <c r="E303"/>
      <c r="F303" s="69"/>
      <c r="G303" s="69"/>
      <c r="H303" s="69"/>
      <c r="I303" s="69"/>
      <c r="J303" s="69"/>
      <c r="K303" s="69"/>
      <c r="L303" s="69"/>
      <c r="M303" s="69"/>
      <c r="N303" s="69"/>
      <c r="O303" s="69"/>
      <c r="P303" s="69"/>
      <c r="Q303" s="69"/>
      <c r="R303" s="69"/>
      <c r="S303" s="69"/>
      <c r="T303" s="69"/>
      <c r="U303" s="70"/>
      <c r="V303" s="70"/>
      <c r="W303" s="71"/>
      <c r="X303"/>
    </row>
    <row r="304" spans="1:24">
      <c r="A304" s="71"/>
      <c r="B304" s="71"/>
      <c r="C304" s="71"/>
      <c r="D304" s="69"/>
      <c r="E304"/>
      <c r="F304" s="69"/>
      <c r="G304" s="69"/>
      <c r="H304" s="69"/>
      <c r="I304" s="69"/>
      <c r="J304" s="69"/>
      <c r="K304" s="69"/>
      <c r="L304" s="69"/>
      <c r="M304" s="69"/>
      <c r="N304" s="69"/>
      <c r="O304" s="69"/>
      <c r="P304" s="69"/>
      <c r="Q304" s="69"/>
      <c r="R304" s="69"/>
      <c r="S304" s="69"/>
      <c r="T304" s="69"/>
      <c r="U304" s="70"/>
      <c r="V304" s="70"/>
      <c r="W304" s="71"/>
      <c r="X304"/>
    </row>
    <row r="305" spans="1:24">
      <c r="A305" s="71"/>
      <c r="B305" s="71"/>
      <c r="C305" s="71"/>
      <c r="D305" s="69"/>
      <c r="E305"/>
      <c r="F305" s="69"/>
      <c r="G305" s="69"/>
      <c r="H305" s="69"/>
      <c r="I305" s="69"/>
      <c r="J305" s="69"/>
      <c r="K305" s="69"/>
      <c r="L305" s="69"/>
      <c r="M305" s="69"/>
      <c r="N305" s="69"/>
      <c r="O305" s="69"/>
      <c r="P305" s="69"/>
      <c r="Q305" s="69"/>
      <c r="R305" s="69"/>
      <c r="S305" s="69"/>
      <c r="T305" s="69"/>
      <c r="U305" s="70"/>
      <c r="V305" s="70"/>
      <c r="W305" s="71"/>
      <c r="X305"/>
    </row>
    <row r="306" spans="1:24">
      <c r="A306" s="71"/>
      <c r="B306" s="71"/>
      <c r="C306" s="71"/>
      <c r="D306" s="69"/>
      <c r="E306"/>
      <c r="F306" s="69"/>
      <c r="G306" s="69"/>
      <c r="H306" s="69"/>
      <c r="I306" s="69"/>
      <c r="J306" s="69"/>
      <c r="K306" s="69"/>
      <c r="L306" s="69"/>
      <c r="M306" s="69"/>
      <c r="N306" s="69"/>
      <c r="O306" s="69"/>
      <c r="P306" s="69"/>
      <c r="Q306" s="69"/>
      <c r="R306" s="69"/>
      <c r="S306" s="69"/>
      <c r="T306" s="69"/>
      <c r="U306" s="70"/>
      <c r="V306" s="70"/>
      <c r="W306" s="71"/>
      <c r="X306"/>
    </row>
    <row r="307" spans="1:24">
      <c r="A307" s="71"/>
      <c r="B307" s="71"/>
      <c r="C307" s="71"/>
      <c r="D307" s="69"/>
      <c r="E307"/>
      <c r="F307" s="69"/>
      <c r="G307" s="69"/>
      <c r="H307" s="69"/>
      <c r="I307" s="69"/>
      <c r="J307" s="69"/>
      <c r="K307" s="69"/>
      <c r="L307" s="69"/>
      <c r="M307" s="69"/>
      <c r="N307" s="69"/>
      <c r="O307" s="69"/>
      <c r="P307" s="69"/>
      <c r="Q307" s="69"/>
      <c r="R307" s="69"/>
      <c r="S307" s="69"/>
      <c r="T307" s="69"/>
      <c r="U307" s="70"/>
      <c r="V307" s="70"/>
      <c r="W307" s="71"/>
      <c r="X307"/>
    </row>
    <row r="308" spans="1:24">
      <c r="A308" s="71"/>
      <c r="B308" s="71"/>
      <c r="C308" s="71"/>
      <c r="D308" s="69"/>
      <c r="E308"/>
      <c r="F308" s="69"/>
      <c r="G308" s="69"/>
      <c r="H308" s="69"/>
      <c r="I308" s="69"/>
      <c r="J308" s="69"/>
      <c r="K308" s="69"/>
      <c r="L308" s="69"/>
      <c r="M308" s="69"/>
      <c r="N308" s="69"/>
      <c r="O308" s="69"/>
      <c r="P308" s="69"/>
      <c r="Q308" s="69"/>
      <c r="R308" s="69"/>
      <c r="S308" s="69"/>
      <c r="T308" s="69"/>
      <c r="U308" s="70"/>
      <c r="V308" s="70"/>
      <c r="W308" s="71"/>
      <c r="X308"/>
    </row>
    <row r="309" spans="1:24">
      <c r="A309" s="71"/>
      <c r="B309" s="71"/>
      <c r="C309" s="71"/>
      <c r="D309" s="69"/>
      <c r="E309"/>
      <c r="F309" s="69"/>
      <c r="G309" s="69"/>
      <c r="H309" s="69"/>
      <c r="I309" s="69"/>
      <c r="J309" s="69"/>
      <c r="K309" s="69"/>
      <c r="L309" s="69"/>
      <c r="M309" s="69"/>
      <c r="N309" s="69"/>
      <c r="O309" s="69"/>
      <c r="P309" s="69"/>
      <c r="Q309" s="69"/>
      <c r="R309" s="69"/>
      <c r="S309" s="69"/>
      <c r="T309" s="69"/>
      <c r="U309" s="70"/>
      <c r="V309" s="70"/>
      <c r="W309" s="71"/>
      <c r="X309"/>
    </row>
    <row r="310" spans="1:24">
      <c r="A310" s="71"/>
      <c r="B310" s="71"/>
      <c r="C310" s="71"/>
      <c r="D310" s="69"/>
      <c r="E310"/>
      <c r="F310" s="69"/>
      <c r="G310" s="69"/>
      <c r="H310" s="69"/>
      <c r="I310" s="69"/>
      <c r="J310" s="69"/>
      <c r="K310" s="69"/>
      <c r="L310" s="69"/>
      <c r="M310" s="69"/>
      <c r="N310" s="69"/>
      <c r="O310" s="69"/>
      <c r="P310" s="69"/>
      <c r="Q310" s="69"/>
      <c r="R310" s="69"/>
      <c r="S310" s="69"/>
      <c r="T310" s="69"/>
      <c r="U310" s="70"/>
      <c r="V310" s="70"/>
      <c r="W310" s="71"/>
      <c r="X310"/>
    </row>
    <row r="311" spans="1:24">
      <c r="A311" s="71"/>
      <c r="B311" s="71"/>
      <c r="C311" s="71"/>
      <c r="D311" s="69"/>
      <c r="E311"/>
      <c r="F311" s="69"/>
      <c r="G311" s="69"/>
      <c r="H311" s="69"/>
      <c r="I311" s="69"/>
      <c r="J311" s="69"/>
      <c r="K311" s="69"/>
      <c r="L311" s="69"/>
      <c r="M311" s="69"/>
      <c r="N311" s="69"/>
      <c r="O311" s="69"/>
      <c r="P311" s="69"/>
      <c r="Q311" s="69"/>
      <c r="R311" s="69"/>
      <c r="S311" s="69"/>
      <c r="T311" s="69"/>
      <c r="U311" s="70"/>
      <c r="V311" s="70"/>
      <c r="W311" s="71"/>
      <c r="X311"/>
    </row>
    <row r="312" spans="1:24">
      <c r="A312" s="71"/>
      <c r="B312" s="71"/>
      <c r="C312" s="71"/>
      <c r="D312" s="69"/>
      <c r="E312"/>
      <c r="F312" s="69"/>
      <c r="G312" s="69"/>
      <c r="H312" s="69"/>
      <c r="I312" s="69"/>
      <c r="J312" s="69"/>
      <c r="K312" s="69"/>
      <c r="L312" s="69"/>
      <c r="M312" s="69"/>
      <c r="N312" s="69"/>
      <c r="O312" s="69"/>
      <c r="P312" s="69"/>
      <c r="Q312" s="69"/>
      <c r="R312" s="69"/>
      <c r="S312" s="69"/>
      <c r="T312" s="69"/>
      <c r="U312" s="70"/>
      <c r="V312" s="70"/>
      <c r="W312" s="71"/>
      <c r="X312"/>
    </row>
    <row r="313" spans="1:24">
      <c r="A313" s="71"/>
      <c r="B313" s="71"/>
      <c r="C313" s="71"/>
      <c r="D313" s="69"/>
      <c r="E313"/>
      <c r="F313" s="69"/>
      <c r="G313" s="69"/>
      <c r="H313" s="69"/>
      <c r="I313" s="69"/>
      <c r="J313" s="69"/>
      <c r="K313" s="69"/>
      <c r="L313" s="69"/>
      <c r="M313" s="69"/>
      <c r="N313" s="69"/>
      <c r="O313" s="69"/>
      <c r="P313" s="69"/>
      <c r="Q313" s="69"/>
      <c r="R313" s="69"/>
      <c r="S313" s="69"/>
      <c r="T313" s="69"/>
      <c r="U313" s="70"/>
      <c r="V313" s="70"/>
      <c r="W313" s="71"/>
      <c r="X313"/>
    </row>
    <row r="314" spans="1:24">
      <c r="A314" s="71"/>
      <c r="B314" s="71"/>
      <c r="C314" s="71"/>
      <c r="D314" s="69"/>
      <c r="E314"/>
      <c r="F314" s="69"/>
      <c r="G314" s="69"/>
      <c r="H314" s="69"/>
      <c r="I314" s="69"/>
      <c r="J314" s="69"/>
      <c r="K314" s="69"/>
      <c r="L314" s="69"/>
      <c r="M314" s="69"/>
      <c r="N314" s="69"/>
      <c r="O314" s="69"/>
      <c r="P314" s="69"/>
      <c r="Q314" s="69"/>
      <c r="R314" s="69"/>
      <c r="S314" s="69"/>
      <c r="T314" s="69"/>
      <c r="U314" s="70"/>
      <c r="V314" s="70"/>
      <c r="W314" s="71"/>
      <c r="X314"/>
    </row>
    <row r="315" spans="1:24">
      <c r="A315" s="71"/>
      <c r="B315" s="71"/>
      <c r="C315" s="71"/>
      <c r="D315" s="69"/>
      <c r="E315"/>
      <c r="F315" s="69"/>
      <c r="G315" s="69"/>
      <c r="H315" s="69"/>
      <c r="I315" s="69"/>
      <c r="J315" s="69"/>
      <c r="K315" s="69"/>
      <c r="L315" s="69"/>
      <c r="M315" s="69"/>
      <c r="N315" s="69"/>
      <c r="O315" s="69"/>
      <c r="P315" s="69"/>
      <c r="Q315" s="69"/>
      <c r="R315" s="69"/>
      <c r="S315" s="69"/>
      <c r="T315" s="69"/>
      <c r="U315" s="70"/>
      <c r="V315" s="70"/>
      <c r="W315" s="71"/>
      <c r="X315"/>
    </row>
    <row r="316" spans="1:24">
      <c r="A316" s="71"/>
      <c r="B316" s="71"/>
      <c r="C316" s="71"/>
      <c r="D316" s="69"/>
      <c r="E316"/>
      <c r="F316" s="69"/>
      <c r="G316" s="69"/>
      <c r="H316" s="69"/>
      <c r="I316" s="69"/>
      <c r="J316" s="69"/>
      <c r="K316" s="69"/>
      <c r="L316" s="69"/>
      <c r="M316" s="69"/>
      <c r="N316" s="69"/>
      <c r="O316" s="69"/>
      <c r="P316" s="69"/>
      <c r="Q316" s="69"/>
      <c r="R316" s="69"/>
      <c r="S316" s="69"/>
      <c r="T316" s="69"/>
      <c r="U316" s="70"/>
      <c r="V316" s="70"/>
      <c r="W316" s="71"/>
      <c r="X316"/>
    </row>
    <row r="317" spans="1:24">
      <c r="A317" s="71"/>
      <c r="B317" s="71"/>
      <c r="C317" s="71"/>
      <c r="D317" s="69"/>
      <c r="E317"/>
      <c r="F317" s="69"/>
      <c r="G317" s="69"/>
      <c r="H317" s="69"/>
      <c r="I317" s="69"/>
      <c r="J317" s="69"/>
      <c r="K317" s="69"/>
      <c r="L317" s="69"/>
      <c r="M317" s="69"/>
      <c r="N317" s="69"/>
      <c r="O317" s="69"/>
      <c r="P317" s="69"/>
      <c r="Q317" s="69"/>
      <c r="R317" s="69"/>
      <c r="S317" s="69"/>
      <c r="T317" s="69"/>
      <c r="U317" s="70"/>
      <c r="V317" s="70"/>
      <c r="W317" s="71"/>
      <c r="X317"/>
    </row>
    <row r="318" spans="1:24">
      <c r="A318" s="71"/>
      <c r="B318" s="71"/>
      <c r="C318" s="71"/>
      <c r="D318" s="69"/>
      <c r="E318"/>
      <c r="F318" s="69"/>
      <c r="G318" s="69"/>
      <c r="H318" s="69"/>
      <c r="I318" s="69"/>
      <c r="J318" s="69"/>
      <c r="K318" s="69"/>
      <c r="L318" s="69"/>
      <c r="M318" s="69"/>
      <c r="N318" s="69"/>
      <c r="O318" s="69"/>
      <c r="P318" s="69"/>
      <c r="Q318" s="69"/>
      <c r="R318" s="69"/>
      <c r="S318" s="69"/>
      <c r="T318" s="69"/>
      <c r="U318" s="70"/>
      <c r="V318" s="70"/>
      <c r="W318" s="71"/>
      <c r="X318"/>
    </row>
    <row r="319" spans="1:24">
      <c r="A319" s="71"/>
      <c r="B319" s="71"/>
      <c r="C319" s="71"/>
      <c r="D319" s="69"/>
      <c r="E319"/>
      <c r="F319" s="69"/>
      <c r="G319" s="69"/>
      <c r="H319" s="69"/>
      <c r="I319" s="69"/>
      <c r="J319" s="69"/>
      <c r="K319" s="69"/>
      <c r="L319" s="69"/>
      <c r="M319" s="69"/>
      <c r="N319" s="69"/>
      <c r="O319" s="69"/>
      <c r="P319" s="69"/>
      <c r="Q319" s="69"/>
      <c r="R319" s="69"/>
      <c r="S319" s="69"/>
      <c r="T319" s="69"/>
      <c r="U319" s="70"/>
      <c r="V319" s="70"/>
      <c r="W319" s="71"/>
      <c r="X319"/>
    </row>
    <row r="320" spans="1:24">
      <c r="A320" s="71"/>
      <c r="B320" s="71"/>
      <c r="C320" s="71"/>
      <c r="D320" s="69"/>
      <c r="E320"/>
      <c r="F320" s="69"/>
      <c r="G320" s="69"/>
      <c r="H320" s="69"/>
      <c r="I320" s="69"/>
      <c r="J320" s="69"/>
      <c r="K320" s="69"/>
      <c r="L320" s="69"/>
      <c r="M320" s="69"/>
      <c r="N320" s="69"/>
      <c r="O320" s="69"/>
      <c r="P320" s="69"/>
      <c r="Q320" s="69"/>
      <c r="R320" s="69"/>
      <c r="S320" s="69"/>
      <c r="T320" s="69"/>
      <c r="U320" s="70"/>
      <c r="V320" s="70"/>
      <c r="W320" s="71"/>
      <c r="X320"/>
    </row>
    <row r="321" spans="1:24">
      <c r="A321" s="71"/>
      <c r="B321" s="71"/>
      <c r="C321" s="71"/>
      <c r="D321" s="69"/>
      <c r="E321"/>
      <c r="F321" s="69"/>
      <c r="G321" s="69"/>
      <c r="H321" s="69"/>
      <c r="I321" s="69"/>
      <c r="J321" s="69"/>
      <c r="K321" s="69"/>
      <c r="L321" s="69"/>
      <c r="M321" s="69"/>
      <c r="N321" s="69"/>
      <c r="O321" s="69"/>
      <c r="P321" s="69"/>
      <c r="Q321" s="69"/>
      <c r="R321" s="69"/>
      <c r="S321" s="69"/>
      <c r="T321" s="69"/>
      <c r="U321" s="70"/>
      <c r="V321" s="70"/>
      <c r="W321" s="71"/>
      <c r="X321"/>
    </row>
    <row r="322" spans="1:24">
      <c r="A322" s="71"/>
      <c r="B322" s="71"/>
      <c r="C322" s="71"/>
      <c r="D322" s="69"/>
      <c r="E322"/>
      <c r="F322" s="69"/>
      <c r="G322" s="69"/>
      <c r="H322" s="69"/>
      <c r="I322" s="69"/>
      <c r="J322" s="69"/>
      <c r="K322" s="69"/>
      <c r="L322" s="69"/>
      <c r="M322" s="69"/>
      <c r="N322" s="69"/>
      <c r="O322" s="69"/>
      <c r="P322" s="69"/>
      <c r="Q322" s="69"/>
      <c r="R322" s="69"/>
      <c r="S322" s="69"/>
      <c r="T322" s="69"/>
      <c r="U322" s="70"/>
      <c r="V322" s="70"/>
      <c r="W322" s="71"/>
      <c r="X322"/>
    </row>
    <row r="323" spans="1:24">
      <c r="A323" s="71"/>
      <c r="B323" s="71"/>
      <c r="C323" s="71"/>
      <c r="D323" s="69"/>
      <c r="E323"/>
      <c r="F323" s="69"/>
      <c r="G323" s="69"/>
      <c r="H323" s="69"/>
      <c r="I323" s="69"/>
      <c r="J323" s="69"/>
      <c r="K323" s="69"/>
      <c r="L323" s="69"/>
      <c r="M323" s="69"/>
      <c r="N323" s="69"/>
      <c r="O323" s="69"/>
      <c r="P323" s="69"/>
      <c r="Q323" s="69"/>
      <c r="R323" s="69"/>
      <c r="S323" s="69"/>
      <c r="T323" s="69"/>
      <c r="U323" s="70"/>
      <c r="V323" s="70"/>
      <c r="W323" s="71"/>
      <c r="X323"/>
    </row>
    <row r="324" spans="1:24">
      <c r="A324" s="71"/>
      <c r="B324" s="71"/>
      <c r="C324" s="71"/>
      <c r="D324" s="69"/>
      <c r="E324"/>
      <c r="F324" s="69"/>
      <c r="G324" s="69"/>
      <c r="H324" s="69"/>
      <c r="I324" s="69"/>
      <c r="J324" s="69"/>
      <c r="K324" s="69"/>
      <c r="L324" s="69"/>
      <c r="M324" s="69"/>
      <c r="N324" s="69"/>
      <c r="O324" s="69"/>
      <c r="P324" s="69"/>
      <c r="Q324" s="69"/>
      <c r="R324" s="69"/>
      <c r="S324" s="69"/>
      <c r="T324" s="69"/>
      <c r="U324" s="70"/>
      <c r="V324" s="70"/>
      <c r="W324" s="71"/>
      <c r="X324"/>
    </row>
    <row r="325" spans="1:24">
      <c r="A325" s="71"/>
      <c r="B325" s="71"/>
      <c r="C325" s="71"/>
      <c r="D325" s="69"/>
      <c r="E325"/>
      <c r="F325" s="69"/>
      <c r="G325" s="69"/>
      <c r="H325" s="69"/>
      <c r="I325" s="69"/>
      <c r="J325" s="69"/>
      <c r="K325" s="69"/>
      <c r="L325" s="69"/>
      <c r="M325" s="69"/>
      <c r="N325" s="69"/>
      <c r="O325" s="69"/>
      <c r="P325" s="69"/>
      <c r="Q325" s="69"/>
      <c r="R325" s="69"/>
      <c r="S325" s="69"/>
      <c r="T325" s="69"/>
      <c r="U325" s="70"/>
      <c r="V325" s="70"/>
      <c r="W325" s="71"/>
      <c r="X325"/>
    </row>
    <row r="326" spans="1:24">
      <c r="A326" s="71"/>
      <c r="B326" s="71"/>
      <c r="C326" s="71"/>
      <c r="D326" s="69"/>
      <c r="E326"/>
      <c r="F326" s="69"/>
      <c r="G326" s="69"/>
      <c r="H326" s="69"/>
      <c r="I326" s="69"/>
      <c r="J326" s="69"/>
      <c r="K326" s="69"/>
      <c r="L326" s="69"/>
      <c r="M326" s="69"/>
      <c r="N326" s="69"/>
      <c r="O326" s="69"/>
      <c r="P326" s="69"/>
      <c r="Q326" s="69"/>
      <c r="R326" s="69"/>
      <c r="S326" s="69"/>
      <c r="T326" s="69"/>
      <c r="U326" s="70"/>
      <c r="V326" s="70"/>
      <c r="W326" s="71"/>
      <c r="X326"/>
    </row>
    <row r="327" spans="1:24">
      <c r="A327" s="71"/>
      <c r="B327" s="71"/>
      <c r="C327" s="71"/>
      <c r="D327" s="69"/>
      <c r="E327"/>
      <c r="F327" s="69"/>
      <c r="G327" s="69"/>
      <c r="H327" s="69"/>
      <c r="I327" s="69"/>
      <c r="J327" s="69"/>
      <c r="K327" s="69"/>
      <c r="L327" s="69"/>
      <c r="M327" s="69"/>
      <c r="N327" s="69"/>
      <c r="O327" s="69"/>
      <c r="P327" s="69"/>
      <c r="Q327" s="69"/>
      <c r="R327" s="69"/>
      <c r="S327" s="69"/>
      <c r="T327" s="69"/>
      <c r="U327" s="70"/>
      <c r="V327" s="70"/>
      <c r="W327" s="71"/>
      <c r="X327"/>
    </row>
    <row r="328" spans="1:24">
      <c r="A328" s="71"/>
      <c r="B328" s="71"/>
      <c r="C328" s="71"/>
      <c r="D328" s="69"/>
      <c r="E328"/>
      <c r="F328" s="69"/>
      <c r="G328" s="69"/>
      <c r="H328" s="69"/>
      <c r="I328" s="69"/>
      <c r="J328" s="69"/>
      <c r="K328" s="69"/>
      <c r="L328" s="69"/>
      <c r="M328" s="69"/>
      <c r="N328" s="69"/>
      <c r="O328" s="69"/>
      <c r="P328" s="69"/>
      <c r="Q328" s="69"/>
      <c r="R328" s="69"/>
      <c r="S328" s="69"/>
      <c r="T328" s="69"/>
      <c r="U328" s="70"/>
      <c r="V328" s="70"/>
      <c r="W328" s="71"/>
      <c r="X328"/>
    </row>
    <row r="329" spans="1:24">
      <c r="A329" s="71"/>
      <c r="B329" s="71"/>
      <c r="C329" s="71"/>
      <c r="D329" s="69"/>
      <c r="E329"/>
      <c r="F329" s="69"/>
      <c r="G329" s="69"/>
      <c r="H329" s="69"/>
      <c r="I329" s="69"/>
      <c r="J329" s="69"/>
      <c r="K329" s="69"/>
      <c r="L329" s="69"/>
      <c r="M329" s="69"/>
      <c r="N329" s="69"/>
      <c r="O329" s="69"/>
      <c r="P329" s="69"/>
      <c r="Q329" s="69"/>
      <c r="R329" s="69"/>
      <c r="S329" s="69"/>
      <c r="T329" s="69"/>
      <c r="U329" s="70"/>
      <c r="V329" s="70"/>
      <c r="W329" s="71"/>
      <c r="X329"/>
    </row>
    <row r="330" spans="1:24">
      <c r="A330" s="71"/>
      <c r="B330" s="71"/>
      <c r="C330" s="71"/>
      <c r="D330" s="69"/>
      <c r="E330"/>
      <c r="F330" s="69"/>
      <c r="G330" s="69"/>
      <c r="H330" s="69"/>
      <c r="I330" s="69"/>
      <c r="J330" s="69"/>
      <c r="K330" s="69"/>
      <c r="L330" s="69"/>
      <c r="M330" s="69"/>
      <c r="N330" s="69"/>
      <c r="O330" s="69"/>
      <c r="P330" s="69"/>
      <c r="Q330" s="69"/>
      <c r="R330" s="69"/>
      <c r="S330" s="69"/>
      <c r="T330" s="69"/>
      <c r="U330" s="70"/>
      <c r="V330" s="70"/>
      <c r="W330" s="71"/>
      <c r="X330"/>
    </row>
    <row r="331" spans="1:24">
      <c r="A331" s="71"/>
      <c r="B331" s="71"/>
      <c r="C331" s="71"/>
      <c r="D331" s="69"/>
      <c r="E331"/>
      <c r="F331" s="69"/>
      <c r="G331" s="69"/>
      <c r="H331" s="69"/>
      <c r="I331" s="69"/>
      <c r="J331" s="69"/>
      <c r="K331" s="69"/>
      <c r="L331" s="69"/>
      <c r="M331" s="69"/>
      <c r="N331" s="69"/>
      <c r="O331" s="69"/>
      <c r="P331" s="69"/>
      <c r="Q331" s="69"/>
      <c r="R331" s="69"/>
      <c r="S331" s="69"/>
      <c r="T331" s="69"/>
      <c r="U331" s="70"/>
      <c r="V331" s="70"/>
      <c r="W331" s="71"/>
      <c r="X331"/>
    </row>
    <row r="332" spans="1:24">
      <c r="A332" s="71"/>
      <c r="B332" s="71"/>
      <c r="C332" s="71"/>
      <c r="D332" s="69"/>
      <c r="E332"/>
      <c r="F332" s="69"/>
      <c r="G332" s="69"/>
      <c r="H332" s="69"/>
      <c r="I332" s="69"/>
      <c r="J332" s="69"/>
      <c r="K332" s="69"/>
      <c r="L332" s="69"/>
      <c r="M332" s="69"/>
      <c r="N332" s="69"/>
      <c r="O332" s="69"/>
      <c r="P332" s="69"/>
      <c r="Q332" s="69"/>
      <c r="R332" s="69"/>
      <c r="S332" s="69"/>
      <c r="T332" s="69"/>
      <c r="U332" s="70"/>
      <c r="V332" s="70"/>
      <c r="W332" s="71"/>
      <c r="X332"/>
    </row>
    <row r="333" spans="1:24">
      <c r="A333" s="71"/>
      <c r="B333" s="71"/>
      <c r="C333" s="71"/>
      <c r="D333" s="69"/>
      <c r="E333"/>
      <c r="F333" s="69"/>
      <c r="G333" s="69"/>
      <c r="H333" s="69"/>
      <c r="I333" s="69"/>
      <c r="J333" s="69"/>
      <c r="K333" s="69"/>
      <c r="L333" s="69"/>
      <c r="M333" s="69"/>
      <c r="N333" s="69"/>
      <c r="O333" s="69"/>
      <c r="P333" s="69"/>
      <c r="Q333" s="69"/>
      <c r="R333" s="69"/>
      <c r="S333" s="69"/>
      <c r="T333" s="69"/>
      <c r="U333" s="70"/>
      <c r="V333" s="70"/>
      <c r="W333" s="71"/>
      <c r="X333"/>
    </row>
    <row r="334" spans="1:24">
      <c r="A334" s="71"/>
      <c r="B334" s="71"/>
      <c r="C334" s="71"/>
      <c r="D334" s="69"/>
      <c r="E334"/>
      <c r="F334" s="69"/>
      <c r="G334" s="69"/>
      <c r="H334" s="69"/>
      <c r="I334" s="69"/>
      <c r="J334" s="69"/>
      <c r="K334" s="69"/>
      <c r="L334" s="69"/>
      <c r="M334" s="69"/>
      <c r="N334" s="69"/>
      <c r="O334" s="69"/>
      <c r="P334" s="69"/>
      <c r="Q334" s="69"/>
      <c r="R334" s="69"/>
      <c r="S334" s="69"/>
      <c r="T334" s="69"/>
      <c r="U334" s="70"/>
      <c r="V334" s="70"/>
      <c r="W334" s="71"/>
      <c r="X334"/>
    </row>
    <row r="335" spans="1:24">
      <c r="A335" s="71"/>
      <c r="B335" s="71"/>
      <c r="C335" s="71"/>
      <c r="D335" s="69"/>
      <c r="E335"/>
      <c r="F335" s="69"/>
      <c r="G335" s="69"/>
      <c r="H335" s="69"/>
      <c r="I335" s="69"/>
      <c r="J335" s="69"/>
      <c r="K335" s="69"/>
      <c r="L335" s="69"/>
      <c r="M335" s="69"/>
      <c r="N335" s="69"/>
      <c r="O335" s="69"/>
      <c r="P335" s="69"/>
      <c r="Q335" s="69"/>
      <c r="R335" s="69"/>
      <c r="S335" s="69"/>
      <c r="T335" s="69"/>
      <c r="U335" s="70"/>
      <c r="V335" s="70"/>
      <c r="W335" s="71"/>
      <c r="X335"/>
    </row>
    <row r="336" spans="1:24">
      <c r="A336" s="71"/>
      <c r="B336" s="71"/>
      <c r="C336" s="71"/>
      <c r="D336" s="69"/>
      <c r="E336"/>
      <c r="F336" s="69"/>
      <c r="G336" s="69"/>
      <c r="H336" s="69"/>
      <c r="I336" s="69"/>
      <c r="J336" s="69"/>
      <c r="K336" s="69"/>
      <c r="L336" s="69"/>
      <c r="M336" s="69"/>
      <c r="N336" s="69"/>
      <c r="O336" s="69"/>
      <c r="P336" s="69"/>
      <c r="Q336" s="69"/>
      <c r="R336" s="69"/>
      <c r="S336" s="69"/>
      <c r="T336" s="69"/>
      <c r="U336" s="70"/>
      <c r="V336" s="70"/>
      <c r="W336" s="71"/>
      <c r="X336"/>
    </row>
    <row r="337" spans="1:24">
      <c r="A337" s="71"/>
      <c r="B337" s="71"/>
      <c r="C337" s="71"/>
      <c r="D337" s="69"/>
      <c r="E337"/>
      <c r="F337" s="69"/>
      <c r="G337" s="69"/>
      <c r="H337" s="69"/>
      <c r="I337" s="69"/>
      <c r="J337" s="69"/>
      <c r="K337" s="69"/>
      <c r="L337" s="69"/>
      <c r="M337" s="69"/>
      <c r="N337" s="69"/>
      <c r="O337" s="69"/>
      <c r="P337" s="69"/>
      <c r="Q337" s="69"/>
      <c r="R337" s="69"/>
      <c r="S337" s="69"/>
      <c r="T337" s="69"/>
      <c r="U337" s="70"/>
      <c r="V337" s="70"/>
      <c r="W337" s="71"/>
      <c r="X337"/>
    </row>
    <row r="338" spans="1:24">
      <c r="A338" s="71"/>
      <c r="B338" s="71"/>
      <c r="C338" s="71"/>
      <c r="D338" s="69"/>
      <c r="E338"/>
      <c r="F338" s="69"/>
      <c r="G338" s="69"/>
      <c r="H338" s="69"/>
      <c r="I338" s="69"/>
      <c r="J338" s="69"/>
      <c r="K338" s="69"/>
      <c r="L338" s="69"/>
      <c r="M338" s="69"/>
      <c r="N338" s="69"/>
      <c r="O338" s="69"/>
      <c r="P338" s="69"/>
      <c r="Q338" s="69"/>
      <c r="R338" s="69"/>
      <c r="S338" s="69"/>
      <c r="T338" s="69"/>
      <c r="U338" s="70"/>
      <c r="V338" s="70"/>
      <c r="W338" s="71"/>
      <c r="X338"/>
    </row>
    <row r="339" spans="1:24">
      <c r="A339" s="71"/>
      <c r="B339" s="71"/>
      <c r="C339" s="71"/>
      <c r="D339" s="69"/>
      <c r="E339"/>
      <c r="F339" s="69"/>
      <c r="G339" s="69"/>
      <c r="H339" s="69"/>
      <c r="I339" s="69"/>
      <c r="J339" s="69"/>
      <c r="K339" s="69"/>
      <c r="L339" s="69"/>
      <c r="M339" s="69"/>
      <c r="N339" s="69"/>
      <c r="O339" s="69"/>
      <c r="P339" s="69"/>
      <c r="Q339" s="69"/>
      <c r="R339" s="69"/>
      <c r="S339" s="69"/>
      <c r="T339" s="69"/>
      <c r="U339" s="70"/>
      <c r="V339" s="70"/>
      <c r="W339" s="71"/>
      <c r="X339"/>
    </row>
    <row r="340" spans="1:24">
      <c r="A340" s="71"/>
      <c r="B340" s="71"/>
      <c r="C340" s="71"/>
      <c r="D340" s="69"/>
      <c r="E340"/>
      <c r="F340" s="69"/>
      <c r="G340" s="69"/>
      <c r="H340" s="69"/>
      <c r="I340" s="69"/>
      <c r="J340" s="69"/>
      <c r="K340" s="69"/>
      <c r="L340" s="69"/>
      <c r="M340" s="69"/>
      <c r="N340" s="69"/>
      <c r="O340" s="69"/>
      <c r="P340" s="69"/>
      <c r="Q340" s="69"/>
      <c r="R340" s="69"/>
      <c r="S340" s="69"/>
      <c r="T340" s="69"/>
      <c r="U340" s="70"/>
      <c r="V340" s="70"/>
      <c r="W340" s="71"/>
      <c r="X340"/>
    </row>
    <row r="341" spans="1:24">
      <c r="A341" s="71"/>
      <c r="B341" s="71"/>
      <c r="C341" s="71"/>
      <c r="D341" s="69"/>
      <c r="E341"/>
      <c r="F341" s="69"/>
      <c r="G341" s="69"/>
      <c r="H341" s="69"/>
      <c r="I341" s="69"/>
      <c r="J341" s="69"/>
      <c r="K341" s="69"/>
      <c r="L341" s="69"/>
      <c r="M341" s="69"/>
      <c r="N341" s="69"/>
      <c r="O341" s="69"/>
      <c r="P341" s="69"/>
      <c r="Q341" s="69"/>
      <c r="R341" s="69"/>
      <c r="S341" s="69"/>
      <c r="T341" s="69"/>
      <c r="U341" s="70"/>
      <c r="V341" s="70"/>
      <c r="W341" s="71"/>
      <c r="X341"/>
    </row>
    <row r="342" spans="1:24">
      <c r="A342" s="71"/>
      <c r="B342" s="71"/>
      <c r="C342" s="71"/>
      <c r="D342" s="69"/>
      <c r="E342"/>
      <c r="F342" s="69"/>
      <c r="G342" s="69"/>
      <c r="H342" s="69"/>
      <c r="I342" s="69"/>
      <c r="J342" s="69"/>
      <c r="K342" s="69"/>
      <c r="L342" s="69"/>
      <c r="M342" s="69"/>
      <c r="N342" s="69"/>
      <c r="O342" s="69"/>
      <c r="P342" s="69"/>
      <c r="Q342" s="69"/>
      <c r="R342" s="69"/>
      <c r="S342" s="69"/>
      <c r="T342" s="69"/>
      <c r="U342" s="70"/>
      <c r="V342" s="70"/>
      <c r="W342" s="71"/>
      <c r="X342"/>
    </row>
    <row r="343" spans="1:24">
      <c r="A343" s="71"/>
      <c r="B343" s="71"/>
      <c r="C343" s="71"/>
      <c r="D343" s="69"/>
      <c r="E343"/>
      <c r="F343" s="69"/>
      <c r="G343" s="69"/>
      <c r="H343" s="69"/>
      <c r="I343" s="69"/>
      <c r="J343" s="69"/>
      <c r="K343" s="69"/>
      <c r="L343" s="69"/>
      <c r="M343" s="69"/>
      <c r="N343" s="69"/>
      <c r="O343" s="69"/>
      <c r="P343" s="69"/>
      <c r="Q343" s="69"/>
      <c r="R343" s="69"/>
      <c r="S343" s="69"/>
      <c r="T343" s="69"/>
      <c r="U343" s="70"/>
      <c r="V343" s="70"/>
      <c r="W343" s="71"/>
      <c r="X343"/>
    </row>
    <row r="344" spans="1:24">
      <c r="A344" s="71"/>
      <c r="B344" s="71"/>
      <c r="C344" s="71"/>
      <c r="D344" s="69"/>
      <c r="E344"/>
      <c r="F344" s="69"/>
      <c r="G344" s="69"/>
      <c r="H344" s="69"/>
      <c r="I344" s="69"/>
      <c r="J344" s="69"/>
      <c r="K344" s="69"/>
      <c r="L344" s="69"/>
      <c r="M344" s="69"/>
      <c r="N344" s="69"/>
      <c r="O344" s="69"/>
      <c r="P344" s="69"/>
      <c r="Q344" s="69"/>
      <c r="R344" s="69"/>
      <c r="S344" s="69"/>
      <c r="T344" s="69"/>
      <c r="U344" s="70"/>
      <c r="V344" s="70"/>
      <c r="W344" s="71"/>
      <c r="X344"/>
    </row>
    <row r="345" spans="1:24">
      <c r="A345" s="71"/>
      <c r="B345" s="71"/>
      <c r="C345" s="71"/>
      <c r="D345" s="69"/>
      <c r="E345"/>
      <c r="F345" s="69"/>
      <c r="G345" s="69"/>
      <c r="H345" s="69"/>
      <c r="I345" s="69"/>
      <c r="J345" s="69"/>
      <c r="K345" s="69"/>
      <c r="L345" s="69"/>
      <c r="M345" s="69"/>
      <c r="N345" s="69"/>
      <c r="O345" s="69"/>
      <c r="P345" s="69"/>
      <c r="Q345" s="69"/>
      <c r="R345" s="69"/>
      <c r="S345" s="69"/>
      <c r="T345" s="69"/>
      <c r="U345" s="70"/>
      <c r="V345" s="70"/>
      <c r="W345" s="71"/>
      <c r="X345"/>
    </row>
    <row r="346" spans="1:24">
      <c r="A346" s="71"/>
      <c r="B346" s="71"/>
      <c r="C346" s="71"/>
      <c r="D346" s="69"/>
      <c r="E346"/>
      <c r="F346" s="69"/>
      <c r="G346" s="69"/>
      <c r="H346" s="69"/>
      <c r="I346" s="69"/>
      <c r="J346" s="69"/>
      <c r="K346" s="69"/>
      <c r="L346" s="69"/>
      <c r="M346" s="69"/>
      <c r="N346" s="69"/>
      <c r="O346" s="69"/>
      <c r="P346" s="69"/>
      <c r="Q346" s="69"/>
      <c r="R346" s="69"/>
      <c r="S346" s="69"/>
      <c r="T346" s="69"/>
      <c r="U346" s="70"/>
      <c r="V346" s="70"/>
      <c r="W346" s="71"/>
      <c r="X346"/>
    </row>
    <row r="347" spans="1:24">
      <c r="A347" s="71"/>
      <c r="B347" s="71"/>
      <c r="C347" s="71"/>
      <c r="D347" s="69"/>
      <c r="E347"/>
      <c r="F347" s="69"/>
      <c r="G347" s="69"/>
      <c r="H347" s="69"/>
      <c r="I347" s="69"/>
      <c r="J347" s="69"/>
      <c r="K347" s="69"/>
      <c r="L347" s="69"/>
      <c r="M347" s="69"/>
      <c r="N347" s="69"/>
      <c r="O347" s="69"/>
      <c r="P347" s="69"/>
      <c r="Q347" s="69"/>
      <c r="R347" s="69"/>
      <c r="S347" s="69"/>
      <c r="T347" s="69"/>
      <c r="U347" s="70"/>
      <c r="V347" s="70"/>
      <c r="W347" s="71"/>
      <c r="X347"/>
    </row>
    <row r="348" spans="1:24">
      <c r="A348" s="71"/>
      <c r="B348" s="71"/>
      <c r="C348" s="71"/>
      <c r="D348" s="69"/>
      <c r="E348"/>
      <c r="F348" s="69"/>
      <c r="G348" s="69"/>
      <c r="H348" s="69"/>
      <c r="I348" s="69"/>
      <c r="J348" s="69"/>
      <c r="K348" s="69"/>
      <c r="L348" s="69"/>
      <c r="M348" s="69"/>
      <c r="N348" s="69"/>
      <c r="O348" s="69"/>
      <c r="P348" s="69"/>
      <c r="Q348" s="69"/>
      <c r="R348" s="69"/>
      <c r="S348" s="69"/>
      <c r="T348" s="69"/>
      <c r="U348" s="70"/>
      <c r="V348" s="70"/>
      <c r="W348" s="71"/>
      <c r="X348"/>
    </row>
    <row r="349" spans="1:24">
      <c r="A349" s="71"/>
      <c r="B349" s="71"/>
      <c r="C349" s="71"/>
      <c r="D349" s="69"/>
      <c r="E349"/>
      <c r="F349" s="69"/>
      <c r="G349" s="69"/>
      <c r="H349" s="69"/>
      <c r="I349" s="69"/>
      <c r="J349" s="69"/>
      <c r="K349" s="69"/>
      <c r="L349" s="69"/>
      <c r="M349" s="69"/>
      <c r="N349" s="69"/>
      <c r="O349" s="69"/>
      <c r="P349" s="69"/>
      <c r="Q349" s="69"/>
      <c r="R349" s="69"/>
      <c r="S349" s="69"/>
      <c r="T349" s="69"/>
      <c r="U349" s="70"/>
      <c r="V349" s="70"/>
      <c r="W349" s="71"/>
      <c r="X349"/>
    </row>
    <row r="350" spans="1:24">
      <c r="A350" s="71"/>
      <c r="B350" s="71"/>
      <c r="C350" s="71"/>
      <c r="D350" s="69"/>
      <c r="E350"/>
      <c r="F350" s="69"/>
      <c r="G350" s="69"/>
      <c r="H350" s="69"/>
      <c r="I350" s="69"/>
      <c r="J350" s="69"/>
      <c r="K350" s="69"/>
      <c r="L350" s="69"/>
      <c r="M350" s="69"/>
      <c r="N350" s="69"/>
      <c r="O350" s="69"/>
      <c r="P350" s="69"/>
      <c r="Q350" s="69"/>
      <c r="R350" s="69"/>
      <c r="S350" s="69"/>
      <c r="T350" s="69"/>
      <c r="U350" s="70"/>
      <c r="V350" s="70"/>
      <c r="W350" s="71"/>
      <c r="X350"/>
    </row>
    <row r="351" spans="1:24">
      <c r="A351" s="71"/>
      <c r="B351" s="71"/>
      <c r="C351" s="71"/>
      <c r="D351" s="69"/>
      <c r="E351"/>
      <c r="F351" s="69"/>
      <c r="G351" s="69"/>
      <c r="H351" s="69"/>
      <c r="I351" s="69"/>
      <c r="J351" s="69"/>
      <c r="K351" s="69"/>
      <c r="L351" s="69"/>
      <c r="M351" s="69"/>
      <c r="N351" s="69"/>
      <c r="O351" s="69"/>
      <c r="P351" s="69"/>
      <c r="Q351" s="69"/>
      <c r="R351" s="69"/>
      <c r="S351" s="69"/>
      <c r="T351" s="69"/>
      <c r="U351" s="70"/>
      <c r="V351" s="70"/>
      <c r="W351" s="71"/>
      <c r="X351"/>
    </row>
    <row r="352" spans="1:24">
      <c r="A352" s="71"/>
      <c r="B352" s="71"/>
      <c r="C352" s="71"/>
      <c r="D352" s="69"/>
      <c r="E352"/>
      <c r="F352" s="69"/>
      <c r="G352" s="69"/>
      <c r="H352" s="69"/>
      <c r="I352" s="69"/>
      <c r="J352" s="69"/>
      <c r="K352" s="69"/>
      <c r="L352" s="69"/>
      <c r="M352" s="69"/>
      <c r="N352" s="69"/>
      <c r="O352" s="69"/>
      <c r="P352" s="69"/>
      <c r="Q352" s="69"/>
      <c r="R352" s="69"/>
      <c r="S352" s="69"/>
      <c r="T352" s="69"/>
      <c r="U352" s="70"/>
      <c r="V352" s="70"/>
      <c r="W352" s="71"/>
      <c r="X352"/>
    </row>
    <row r="353" spans="1:24">
      <c r="A353" s="71"/>
      <c r="B353" s="71"/>
      <c r="C353" s="71"/>
      <c r="D353" s="69"/>
      <c r="E353"/>
      <c r="F353" s="69"/>
      <c r="G353" s="69"/>
      <c r="H353" s="69"/>
      <c r="I353" s="69"/>
      <c r="J353" s="69"/>
      <c r="K353" s="69"/>
      <c r="L353" s="69"/>
      <c r="M353" s="69"/>
      <c r="N353" s="69"/>
      <c r="O353" s="69"/>
      <c r="P353" s="69"/>
      <c r="Q353" s="69"/>
      <c r="R353" s="69"/>
      <c r="S353" s="69"/>
      <c r="T353" s="69"/>
      <c r="U353" s="70"/>
      <c r="V353" s="70"/>
      <c r="W353" s="71"/>
      <c r="X353"/>
    </row>
    <row r="354" spans="1:24">
      <c r="A354" s="71"/>
      <c r="B354" s="71"/>
      <c r="C354" s="71"/>
      <c r="D354" s="69"/>
      <c r="E354"/>
      <c r="F354" s="69"/>
      <c r="G354" s="69"/>
      <c r="H354" s="69"/>
      <c r="I354" s="69"/>
      <c r="J354" s="69"/>
      <c r="K354" s="69"/>
      <c r="L354" s="69"/>
      <c r="M354" s="69"/>
      <c r="N354" s="69"/>
      <c r="O354" s="69"/>
      <c r="P354" s="69"/>
      <c r="Q354" s="69"/>
      <c r="R354" s="69"/>
      <c r="S354" s="69"/>
      <c r="T354" s="69"/>
      <c r="U354" s="70"/>
      <c r="V354" s="70"/>
      <c r="W354" s="71"/>
      <c r="X354"/>
    </row>
    <row r="355" spans="1:24">
      <c r="A355" s="71"/>
      <c r="B355" s="71"/>
      <c r="C355" s="71"/>
      <c r="D355" s="69"/>
      <c r="E355"/>
      <c r="F355" s="69"/>
      <c r="G355" s="69"/>
      <c r="H355" s="69"/>
      <c r="I355" s="69"/>
      <c r="J355" s="69"/>
      <c r="K355" s="69"/>
      <c r="L355" s="69"/>
      <c r="M355" s="69"/>
      <c r="N355" s="69"/>
      <c r="O355" s="69"/>
      <c r="P355" s="69"/>
      <c r="Q355" s="69"/>
      <c r="R355" s="69"/>
      <c r="S355" s="69"/>
      <c r="T355" s="69"/>
      <c r="U355" s="70"/>
      <c r="V355" s="70"/>
      <c r="W355" s="71"/>
      <c r="X355"/>
    </row>
    <row r="356" spans="1:24">
      <c r="A356" s="71"/>
      <c r="B356" s="71"/>
      <c r="C356" s="71"/>
      <c r="D356" s="69"/>
      <c r="E356"/>
      <c r="F356" s="69"/>
      <c r="G356" s="69"/>
      <c r="H356" s="69"/>
      <c r="I356" s="69"/>
      <c r="J356" s="69"/>
      <c r="K356" s="69"/>
      <c r="L356" s="69"/>
      <c r="M356" s="69"/>
      <c r="N356" s="69"/>
      <c r="O356" s="69"/>
      <c r="P356" s="69"/>
      <c r="Q356" s="69"/>
      <c r="R356" s="69"/>
      <c r="S356" s="69"/>
      <c r="T356" s="69"/>
      <c r="U356" s="70"/>
      <c r="V356" s="70"/>
      <c r="W356" s="71"/>
      <c r="X356"/>
    </row>
    <row r="357" spans="1:24">
      <c r="A357" s="71"/>
      <c r="B357" s="71"/>
      <c r="C357" s="71"/>
      <c r="D357" s="69"/>
      <c r="E357"/>
      <c r="F357" s="69"/>
      <c r="G357" s="69"/>
      <c r="H357" s="69"/>
      <c r="I357" s="69"/>
      <c r="J357" s="69"/>
      <c r="K357" s="69"/>
      <c r="L357" s="69"/>
      <c r="M357" s="69"/>
      <c r="N357" s="69"/>
      <c r="O357" s="69"/>
      <c r="P357" s="69"/>
      <c r="Q357" s="69"/>
      <c r="R357" s="69"/>
      <c r="S357" s="69"/>
      <c r="T357" s="69"/>
      <c r="U357" s="70"/>
      <c r="V357" s="70"/>
      <c r="W357" s="71"/>
      <c r="X357"/>
    </row>
    <row r="358" spans="1:24">
      <c r="A358" s="71"/>
      <c r="B358" s="71"/>
      <c r="C358" s="71"/>
      <c r="D358" s="69"/>
      <c r="E358"/>
      <c r="F358" s="69"/>
      <c r="G358" s="69"/>
      <c r="H358" s="69"/>
      <c r="I358" s="69"/>
      <c r="J358" s="69"/>
      <c r="K358" s="69"/>
      <c r="L358" s="69"/>
      <c r="M358" s="69"/>
      <c r="N358" s="69"/>
      <c r="O358" s="69"/>
      <c r="P358" s="69"/>
      <c r="Q358" s="69"/>
      <c r="R358" s="69"/>
      <c r="S358" s="69"/>
      <c r="T358" s="69"/>
      <c r="U358" s="70"/>
      <c r="V358" s="70"/>
      <c r="W358" s="71"/>
      <c r="X358"/>
    </row>
    <row r="359" spans="1:24">
      <c r="A359" s="71"/>
      <c r="B359" s="71"/>
      <c r="C359" s="71"/>
      <c r="D359" s="69"/>
      <c r="E359"/>
      <c r="F359" s="69"/>
      <c r="G359" s="69"/>
      <c r="H359" s="69"/>
      <c r="I359" s="69"/>
      <c r="J359" s="69"/>
      <c r="K359" s="69"/>
      <c r="L359" s="69"/>
      <c r="M359" s="69"/>
      <c r="N359" s="69"/>
      <c r="O359" s="69"/>
      <c r="P359" s="69"/>
      <c r="Q359" s="69"/>
      <c r="R359" s="69"/>
      <c r="S359" s="69"/>
      <c r="T359" s="69"/>
      <c r="U359" s="70"/>
      <c r="V359" s="70"/>
      <c r="W359" s="71"/>
      <c r="X359"/>
    </row>
    <row r="360" spans="1:24">
      <c r="A360" s="71"/>
      <c r="B360" s="71"/>
      <c r="C360" s="71"/>
      <c r="D360" s="69"/>
      <c r="E360"/>
      <c r="F360" s="69"/>
      <c r="G360" s="69"/>
      <c r="H360" s="69"/>
      <c r="I360" s="69"/>
      <c r="J360" s="69"/>
      <c r="K360" s="69"/>
      <c r="L360" s="69"/>
      <c r="M360" s="69"/>
      <c r="N360" s="69"/>
      <c r="O360" s="69"/>
      <c r="P360" s="69"/>
      <c r="Q360" s="69"/>
      <c r="R360" s="69"/>
      <c r="S360" s="69"/>
      <c r="T360" s="69"/>
      <c r="U360" s="70"/>
      <c r="V360" s="70"/>
      <c r="W360" s="71"/>
      <c r="X360"/>
    </row>
    <row r="361" spans="1:24">
      <c r="A361" s="71"/>
      <c r="B361" s="71"/>
      <c r="C361" s="71"/>
      <c r="D361" s="69"/>
      <c r="E361"/>
      <c r="F361" s="69"/>
      <c r="G361" s="69"/>
      <c r="H361" s="69"/>
      <c r="I361" s="69"/>
      <c r="J361" s="69"/>
      <c r="K361" s="69"/>
      <c r="L361" s="69"/>
      <c r="M361" s="69"/>
      <c r="N361" s="69"/>
      <c r="O361" s="69"/>
      <c r="P361" s="69"/>
      <c r="Q361" s="69"/>
      <c r="R361" s="69"/>
      <c r="S361" s="69"/>
      <c r="T361" s="69"/>
      <c r="U361" s="70"/>
      <c r="V361" s="70"/>
      <c r="W361" s="71"/>
      <c r="X361"/>
    </row>
    <row r="362" spans="1:24">
      <c r="A362" s="71"/>
      <c r="B362" s="71"/>
      <c r="C362" s="71"/>
      <c r="D362" s="69"/>
      <c r="E362"/>
      <c r="F362" s="69"/>
      <c r="G362" s="69"/>
      <c r="H362" s="69"/>
      <c r="I362" s="69"/>
      <c r="J362" s="69"/>
      <c r="K362" s="69"/>
      <c r="L362" s="69"/>
      <c r="M362" s="69"/>
      <c r="N362" s="69"/>
      <c r="O362" s="69"/>
      <c r="P362" s="69"/>
      <c r="Q362" s="69"/>
      <c r="R362" s="69"/>
      <c r="S362" s="69"/>
      <c r="T362" s="69"/>
      <c r="U362" s="70"/>
      <c r="V362" s="70"/>
      <c r="W362" s="71"/>
      <c r="X362"/>
    </row>
    <row r="363" spans="1:24">
      <c r="A363" s="71"/>
      <c r="B363" s="71"/>
      <c r="C363" s="71"/>
      <c r="D363" s="69"/>
      <c r="E363"/>
      <c r="F363" s="69"/>
      <c r="G363" s="69"/>
      <c r="H363" s="69"/>
      <c r="I363" s="69"/>
      <c r="J363" s="69"/>
      <c r="K363" s="69"/>
      <c r="L363" s="69"/>
      <c r="M363" s="69"/>
      <c r="N363" s="69"/>
      <c r="O363" s="69"/>
      <c r="P363" s="69"/>
      <c r="Q363" s="69"/>
      <c r="R363" s="69"/>
      <c r="S363" s="69"/>
      <c r="T363" s="69"/>
      <c r="U363" s="70"/>
      <c r="V363" s="70"/>
      <c r="W363" s="71"/>
      <c r="X363"/>
    </row>
    <row r="364" spans="1:24">
      <c r="A364" s="71"/>
      <c r="B364" s="71"/>
      <c r="C364" s="71"/>
      <c r="D364" s="69"/>
      <c r="E364"/>
      <c r="F364" s="69"/>
      <c r="G364" s="69"/>
      <c r="H364" s="69"/>
      <c r="I364" s="69"/>
      <c r="J364" s="69"/>
      <c r="K364" s="69"/>
      <c r="L364" s="69"/>
      <c r="M364" s="69"/>
      <c r="N364" s="69"/>
      <c r="O364" s="69"/>
      <c r="P364" s="69"/>
      <c r="Q364" s="69"/>
      <c r="R364" s="69"/>
      <c r="S364" s="69"/>
      <c r="T364" s="69"/>
      <c r="U364" s="70"/>
      <c r="V364" s="70"/>
      <c r="W364" s="71"/>
      <c r="X364"/>
    </row>
    <row r="365" spans="1:24">
      <c r="A365" s="71"/>
      <c r="B365" s="71"/>
      <c r="C365" s="71"/>
      <c r="D365" s="69"/>
      <c r="E365"/>
      <c r="F365" s="69"/>
      <c r="G365" s="69"/>
      <c r="H365" s="69"/>
      <c r="I365" s="69"/>
      <c r="J365" s="69"/>
      <c r="K365" s="69"/>
      <c r="L365" s="69"/>
      <c r="M365" s="69"/>
      <c r="N365" s="69"/>
      <c r="O365" s="69"/>
      <c r="P365" s="69"/>
      <c r="Q365" s="69"/>
      <c r="R365" s="69"/>
      <c r="S365" s="69"/>
      <c r="T365" s="69"/>
      <c r="U365" s="70"/>
      <c r="V365" s="70"/>
      <c r="W365" s="71"/>
      <c r="X365"/>
    </row>
    <row r="366" spans="1:24">
      <c r="A366" s="71"/>
      <c r="B366" s="71"/>
      <c r="C366" s="71"/>
      <c r="D366" s="69"/>
      <c r="E366"/>
      <c r="F366" s="69"/>
      <c r="G366" s="69"/>
      <c r="H366" s="69"/>
      <c r="I366" s="69"/>
      <c r="J366" s="69"/>
      <c r="K366" s="69"/>
      <c r="L366" s="69"/>
      <c r="M366" s="69"/>
      <c r="N366" s="69"/>
      <c r="O366" s="69"/>
      <c r="P366" s="69"/>
      <c r="Q366" s="69"/>
      <c r="R366" s="69"/>
      <c r="S366" s="69"/>
      <c r="T366" s="69"/>
      <c r="U366" s="70"/>
      <c r="V366" s="70"/>
      <c r="W366" s="71"/>
      <c r="X366"/>
    </row>
    <row r="367" spans="1:24">
      <c r="A367" s="71"/>
      <c r="B367" s="71"/>
      <c r="C367" s="71"/>
      <c r="D367" s="69"/>
      <c r="E367"/>
      <c r="F367" s="69"/>
      <c r="G367" s="69"/>
      <c r="H367" s="69"/>
      <c r="I367" s="69"/>
      <c r="J367" s="69"/>
      <c r="K367" s="69"/>
      <c r="L367" s="69"/>
      <c r="M367" s="69"/>
      <c r="N367" s="69"/>
      <c r="O367" s="69"/>
      <c r="P367" s="69"/>
      <c r="Q367" s="69"/>
      <c r="R367" s="69"/>
      <c r="S367" s="69"/>
      <c r="T367" s="69"/>
      <c r="U367" s="70"/>
      <c r="V367" s="70"/>
      <c r="W367" s="71"/>
      <c r="X367"/>
    </row>
    <row r="368" spans="1:24">
      <c r="A368" s="71"/>
      <c r="B368" s="71"/>
      <c r="C368" s="71"/>
      <c r="D368" s="69"/>
      <c r="E368"/>
      <c r="F368" s="69"/>
      <c r="G368" s="69"/>
      <c r="H368" s="69"/>
      <c r="I368" s="69"/>
      <c r="J368" s="69"/>
      <c r="K368" s="69"/>
      <c r="L368" s="69"/>
      <c r="M368" s="69"/>
      <c r="N368" s="69"/>
      <c r="O368" s="69"/>
      <c r="P368" s="69"/>
      <c r="Q368" s="69"/>
      <c r="R368" s="69"/>
      <c r="S368" s="69"/>
      <c r="T368" s="69"/>
      <c r="U368" s="70"/>
      <c r="V368" s="70"/>
      <c r="W368" s="71"/>
      <c r="X368"/>
    </row>
    <row r="369" spans="1:24">
      <c r="A369" s="71"/>
      <c r="B369" s="71"/>
      <c r="C369" s="71"/>
      <c r="D369" s="69"/>
      <c r="E369"/>
      <c r="F369" s="69"/>
      <c r="G369" s="69"/>
      <c r="H369" s="69"/>
      <c r="I369" s="69"/>
      <c r="J369" s="69"/>
      <c r="K369" s="69"/>
      <c r="L369" s="69"/>
      <c r="M369" s="69"/>
      <c r="N369" s="69"/>
      <c r="O369" s="69"/>
      <c r="P369" s="69"/>
      <c r="Q369" s="69"/>
      <c r="R369" s="69"/>
      <c r="S369" s="69"/>
      <c r="T369" s="69"/>
      <c r="U369" s="70"/>
      <c r="V369" s="70"/>
      <c r="W369" s="71"/>
      <c r="X369"/>
    </row>
    <row r="370" spans="1:24">
      <c r="A370" s="71"/>
      <c r="B370" s="71"/>
      <c r="C370" s="71"/>
      <c r="D370" s="69"/>
      <c r="E370"/>
      <c r="F370" s="69"/>
      <c r="G370" s="69"/>
      <c r="H370" s="69"/>
      <c r="I370" s="69"/>
      <c r="J370" s="69"/>
      <c r="K370" s="69"/>
      <c r="L370" s="69"/>
      <c r="M370" s="69"/>
      <c r="N370" s="69"/>
      <c r="O370" s="69"/>
      <c r="P370" s="69"/>
      <c r="Q370" s="69"/>
      <c r="R370" s="69"/>
      <c r="S370" s="69"/>
      <c r="T370" s="69"/>
      <c r="U370" s="70"/>
      <c r="V370" s="70"/>
      <c r="W370" s="71"/>
      <c r="X370"/>
    </row>
    <row r="371" spans="1:24">
      <c r="A371" s="71"/>
      <c r="B371" s="71"/>
      <c r="C371" s="71"/>
      <c r="D371" s="69"/>
      <c r="E371"/>
      <c r="F371" s="69"/>
      <c r="G371" s="69"/>
      <c r="H371" s="69"/>
      <c r="I371" s="69"/>
      <c r="J371" s="69"/>
      <c r="K371" s="69"/>
      <c r="L371" s="69"/>
      <c r="M371" s="69"/>
      <c r="N371" s="69"/>
      <c r="O371" s="69"/>
      <c r="P371" s="69"/>
      <c r="Q371" s="69"/>
      <c r="R371" s="69"/>
      <c r="S371" s="69"/>
      <c r="T371" s="69"/>
      <c r="U371" s="70"/>
      <c r="V371" s="70"/>
      <c r="W371" s="71"/>
      <c r="X371"/>
    </row>
    <row r="372" spans="1:24">
      <c r="A372" s="71"/>
      <c r="B372" s="71"/>
      <c r="C372" s="71"/>
      <c r="D372" s="69"/>
      <c r="E372"/>
      <c r="F372" s="69"/>
      <c r="G372" s="69"/>
      <c r="H372" s="69"/>
      <c r="I372" s="69"/>
      <c r="J372" s="69"/>
      <c r="K372" s="69"/>
      <c r="L372" s="69"/>
      <c r="M372" s="69"/>
      <c r="N372" s="69"/>
      <c r="O372" s="69"/>
      <c r="P372" s="69"/>
      <c r="Q372" s="69"/>
      <c r="R372" s="69"/>
      <c r="S372" s="69"/>
      <c r="T372" s="69"/>
      <c r="U372" s="70"/>
      <c r="V372" s="70"/>
      <c r="W372" s="71"/>
      <c r="X372"/>
    </row>
    <row r="373" spans="1:24">
      <c r="A373" s="71"/>
      <c r="B373" s="71"/>
      <c r="C373" s="71"/>
      <c r="D373" s="69"/>
      <c r="E373"/>
      <c r="F373" s="69"/>
      <c r="G373" s="69"/>
      <c r="H373" s="69"/>
      <c r="I373" s="69"/>
      <c r="J373" s="69"/>
      <c r="K373" s="69"/>
      <c r="L373" s="69"/>
      <c r="M373" s="69"/>
      <c r="N373" s="69"/>
      <c r="O373" s="69"/>
      <c r="P373" s="69"/>
      <c r="Q373" s="69"/>
      <c r="R373" s="69"/>
      <c r="S373" s="69"/>
      <c r="T373" s="69"/>
      <c r="U373" s="70"/>
      <c r="V373" s="70"/>
      <c r="W373" s="71"/>
      <c r="X373"/>
    </row>
    <row r="374" spans="1:24">
      <c r="A374" s="71"/>
      <c r="B374" s="71"/>
      <c r="C374" s="71"/>
      <c r="D374" s="69"/>
      <c r="E374"/>
      <c r="F374" s="69"/>
      <c r="G374" s="69"/>
      <c r="H374" s="69"/>
      <c r="I374" s="69"/>
      <c r="J374" s="69"/>
      <c r="K374" s="69"/>
      <c r="L374" s="69"/>
      <c r="M374" s="69"/>
      <c r="N374" s="69"/>
      <c r="O374" s="69"/>
      <c r="P374" s="69"/>
      <c r="Q374" s="69"/>
      <c r="R374" s="69"/>
      <c r="S374" s="69"/>
      <c r="T374" s="69"/>
      <c r="U374" s="70"/>
      <c r="V374" s="70"/>
      <c r="W374" s="71"/>
      <c r="X374"/>
    </row>
    <row r="375" spans="1:24">
      <c r="A375" s="71"/>
      <c r="B375" s="71"/>
      <c r="C375" s="71"/>
      <c r="D375" s="69"/>
      <c r="E375"/>
      <c r="F375" s="69"/>
      <c r="G375" s="69"/>
      <c r="H375" s="69"/>
      <c r="I375" s="69"/>
      <c r="J375" s="69"/>
      <c r="K375" s="69"/>
      <c r="L375" s="69"/>
      <c r="M375" s="69"/>
      <c r="N375" s="69"/>
      <c r="O375" s="69"/>
      <c r="P375" s="69"/>
      <c r="Q375" s="69"/>
      <c r="R375" s="69"/>
      <c r="S375" s="69"/>
      <c r="T375" s="69"/>
      <c r="U375" s="70"/>
      <c r="V375" s="70"/>
      <c r="W375" s="71"/>
      <c r="X375"/>
    </row>
    <row r="376" spans="1:24">
      <c r="A376" s="71"/>
      <c r="B376" s="71"/>
      <c r="C376" s="71"/>
      <c r="D376" s="69"/>
      <c r="E376"/>
      <c r="F376" s="69"/>
      <c r="G376" s="69"/>
      <c r="H376" s="69"/>
      <c r="I376" s="69"/>
      <c r="J376" s="69"/>
      <c r="K376" s="69"/>
      <c r="L376" s="69"/>
      <c r="M376" s="69"/>
      <c r="N376" s="69"/>
      <c r="O376" s="69"/>
      <c r="P376" s="69"/>
      <c r="Q376" s="69"/>
      <c r="R376" s="69"/>
      <c r="S376" s="69"/>
      <c r="T376" s="69"/>
      <c r="U376" s="70"/>
      <c r="V376" s="70"/>
      <c r="W376" s="71"/>
      <c r="X376"/>
    </row>
    <row r="377" spans="1:24">
      <c r="A377" s="71"/>
      <c r="B377" s="71"/>
      <c r="C377" s="71"/>
      <c r="D377" s="69"/>
      <c r="E377"/>
      <c r="F377" s="69"/>
      <c r="G377" s="69"/>
      <c r="H377" s="69"/>
      <c r="I377" s="69"/>
      <c r="J377" s="69"/>
      <c r="K377" s="69"/>
      <c r="L377" s="69"/>
      <c r="M377" s="69"/>
      <c r="N377" s="69"/>
      <c r="O377" s="69"/>
      <c r="P377" s="69"/>
      <c r="Q377" s="69"/>
      <c r="R377" s="69"/>
      <c r="S377" s="69"/>
      <c r="T377" s="69"/>
      <c r="U377" s="70"/>
      <c r="V377" s="70"/>
      <c r="W377" s="71"/>
      <c r="X377"/>
    </row>
    <row r="378" spans="1:24">
      <c r="A378" s="71"/>
      <c r="B378" s="71"/>
      <c r="C378" s="71"/>
      <c r="D378" s="69"/>
      <c r="E378"/>
      <c r="F378" s="69"/>
      <c r="G378" s="69"/>
      <c r="H378" s="69"/>
      <c r="I378" s="69"/>
      <c r="J378" s="69"/>
      <c r="K378" s="69"/>
      <c r="L378" s="69"/>
      <c r="M378" s="69"/>
      <c r="N378" s="69"/>
      <c r="O378" s="69"/>
      <c r="P378" s="69"/>
      <c r="Q378" s="69"/>
      <c r="R378" s="69"/>
      <c r="S378" s="69"/>
      <c r="T378" s="69"/>
      <c r="U378" s="70"/>
      <c r="V378" s="70"/>
      <c r="W378" s="71"/>
      <c r="X378"/>
    </row>
    <row r="379" spans="1:24">
      <c r="A379" s="71"/>
      <c r="B379" s="71"/>
      <c r="C379" s="71"/>
      <c r="D379" s="69"/>
      <c r="E379"/>
      <c r="F379" s="69"/>
      <c r="G379" s="69"/>
      <c r="H379" s="69"/>
      <c r="I379" s="69"/>
      <c r="J379" s="69"/>
      <c r="K379" s="69"/>
      <c r="L379" s="69"/>
      <c r="M379" s="69"/>
      <c r="N379" s="69"/>
      <c r="O379" s="69"/>
      <c r="P379" s="69"/>
      <c r="Q379" s="69"/>
      <c r="R379" s="69"/>
      <c r="S379" s="69"/>
      <c r="T379" s="69"/>
      <c r="U379" s="70"/>
      <c r="V379" s="70"/>
      <c r="W379" s="71"/>
      <c r="X379"/>
    </row>
    <row r="380" spans="1:24">
      <c r="A380" s="71"/>
      <c r="B380" s="71"/>
      <c r="C380" s="71"/>
      <c r="D380" s="69"/>
      <c r="E380"/>
      <c r="F380" s="69"/>
      <c r="G380" s="69"/>
      <c r="H380" s="69"/>
      <c r="I380" s="69"/>
      <c r="J380" s="69"/>
      <c r="K380" s="69"/>
      <c r="L380" s="69"/>
      <c r="M380" s="69"/>
      <c r="N380" s="69"/>
      <c r="O380" s="69"/>
      <c r="P380" s="69"/>
      <c r="Q380" s="69"/>
      <c r="R380" s="69"/>
      <c r="S380" s="69"/>
      <c r="T380" s="69"/>
      <c r="U380" s="70"/>
      <c r="V380" s="70"/>
      <c r="W380" s="71"/>
      <c r="X380"/>
    </row>
    <row r="381" spans="1:24">
      <c r="A381" s="71"/>
      <c r="B381" s="71"/>
      <c r="C381" s="71"/>
      <c r="D381" s="69"/>
      <c r="E381"/>
      <c r="F381" s="69"/>
      <c r="G381" s="69"/>
      <c r="H381" s="69"/>
      <c r="I381" s="69"/>
      <c r="J381" s="69"/>
      <c r="K381" s="69"/>
      <c r="L381" s="69"/>
      <c r="M381" s="69"/>
      <c r="N381" s="69"/>
      <c r="O381" s="69"/>
      <c r="P381" s="69"/>
      <c r="Q381" s="69"/>
      <c r="R381" s="69"/>
      <c r="S381" s="69"/>
      <c r="T381" s="69"/>
      <c r="U381" s="70"/>
      <c r="V381" s="70"/>
      <c r="W381" s="71"/>
      <c r="X381"/>
    </row>
    <row r="382" spans="1:24">
      <c r="A382" s="71"/>
      <c r="B382" s="71"/>
      <c r="C382" s="71"/>
      <c r="D382" s="69"/>
      <c r="E382"/>
      <c r="F382" s="69"/>
      <c r="G382" s="69"/>
      <c r="H382" s="69"/>
      <c r="I382" s="69"/>
      <c r="J382" s="69"/>
      <c r="K382" s="69"/>
      <c r="L382" s="69"/>
      <c r="M382" s="69"/>
      <c r="N382" s="69"/>
      <c r="O382" s="69"/>
      <c r="P382" s="69"/>
      <c r="Q382" s="69"/>
      <c r="R382" s="69"/>
      <c r="S382" s="69"/>
      <c r="T382" s="69"/>
      <c r="U382" s="70"/>
      <c r="V382" s="70"/>
      <c r="W382" s="71"/>
      <c r="X382"/>
    </row>
    <row r="383" spans="1:24">
      <c r="A383" s="71"/>
      <c r="B383" s="71"/>
      <c r="C383" s="71"/>
      <c r="D383" s="69"/>
      <c r="E383"/>
      <c r="F383" s="69"/>
      <c r="G383" s="69"/>
      <c r="H383" s="69"/>
      <c r="I383" s="69"/>
      <c r="J383" s="69"/>
      <c r="K383" s="69"/>
      <c r="L383" s="69"/>
      <c r="M383" s="69"/>
      <c r="N383" s="69"/>
      <c r="O383" s="69"/>
      <c r="P383" s="69"/>
      <c r="Q383" s="69"/>
      <c r="R383" s="69"/>
      <c r="S383" s="69"/>
      <c r="T383" s="69"/>
      <c r="U383" s="70"/>
      <c r="V383" s="70"/>
      <c r="W383" s="71"/>
      <c r="X383"/>
    </row>
    <row r="384" spans="1:24">
      <c r="A384" s="71"/>
      <c r="B384" s="71"/>
      <c r="C384" s="71"/>
      <c r="D384" s="69"/>
      <c r="E384"/>
      <c r="F384" s="69"/>
      <c r="G384" s="69"/>
      <c r="H384" s="69"/>
      <c r="I384" s="69"/>
      <c r="J384" s="69"/>
      <c r="K384" s="69"/>
      <c r="L384" s="69"/>
      <c r="M384" s="69"/>
      <c r="N384" s="69"/>
      <c r="O384" s="69"/>
      <c r="P384" s="69"/>
      <c r="Q384" s="69"/>
      <c r="R384" s="69"/>
      <c r="S384" s="69"/>
      <c r="T384" s="69"/>
      <c r="U384" s="70"/>
      <c r="V384" s="70"/>
      <c r="W384" s="71"/>
      <c r="X384"/>
    </row>
    <row r="385" spans="1:24">
      <c r="A385" s="71"/>
      <c r="B385" s="71"/>
      <c r="C385" s="71"/>
      <c r="D385" s="69"/>
      <c r="E385"/>
      <c r="F385" s="69"/>
      <c r="G385" s="69"/>
      <c r="H385" s="69"/>
      <c r="I385" s="69"/>
      <c r="J385" s="69"/>
      <c r="K385" s="69"/>
      <c r="L385" s="69"/>
      <c r="M385" s="69"/>
      <c r="N385" s="69"/>
      <c r="O385" s="69"/>
      <c r="P385" s="69"/>
      <c r="Q385" s="69"/>
      <c r="R385" s="69"/>
      <c r="S385" s="69"/>
      <c r="T385" s="69"/>
      <c r="U385" s="70"/>
      <c r="V385" s="70"/>
      <c r="W385" s="71"/>
      <c r="X385"/>
    </row>
    <row r="386" spans="1:24">
      <c r="A386" s="71"/>
      <c r="B386" s="71"/>
      <c r="C386" s="71"/>
      <c r="D386" s="69"/>
      <c r="E386"/>
      <c r="F386" s="69"/>
      <c r="G386" s="69"/>
      <c r="H386" s="69"/>
      <c r="I386" s="69"/>
      <c r="J386" s="69"/>
      <c r="K386" s="69"/>
      <c r="L386" s="69"/>
      <c r="M386" s="69"/>
      <c r="N386" s="69"/>
      <c r="O386" s="69"/>
      <c r="P386" s="69"/>
      <c r="Q386" s="69"/>
      <c r="R386" s="69"/>
      <c r="S386" s="69"/>
      <c r="T386" s="69"/>
      <c r="U386" s="70"/>
      <c r="V386" s="70"/>
      <c r="W386" s="71"/>
      <c r="X386"/>
    </row>
    <row r="387" spans="1:24">
      <c r="A387" s="71"/>
      <c r="B387" s="71"/>
      <c r="C387" s="71"/>
      <c r="D387" s="69"/>
      <c r="E387"/>
      <c r="F387" s="69"/>
      <c r="G387" s="69"/>
      <c r="H387" s="69"/>
      <c r="I387" s="69"/>
      <c r="J387" s="69"/>
      <c r="K387" s="69"/>
      <c r="L387" s="69"/>
      <c r="M387" s="69"/>
      <c r="N387" s="69"/>
      <c r="O387" s="69"/>
      <c r="P387" s="69"/>
      <c r="Q387" s="69"/>
      <c r="R387" s="69"/>
      <c r="S387" s="69"/>
      <c r="T387" s="69"/>
      <c r="U387" s="70"/>
      <c r="V387" s="70"/>
      <c r="W387" s="71"/>
      <c r="X387"/>
    </row>
    <row r="388" spans="1:24">
      <c r="A388" s="71"/>
      <c r="B388" s="71"/>
      <c r="C388" s="71"/>
      <c r="D388" s="69"/>
      <c r="E388"/>
      <c r="F388" s="69"/>
      <c r="G388" s="69"/>
      <c r="H388" s="69"/>
      <c r="I388" s="69"/>
      <c r="J388" s="69"/>
      <c r="K388" s="69"/>
      <c r="L388" s="69"/>
      <c r="M388" s="69"/>
      <c r="N388" s="69"/>
      <c r="O388" s="69"/>
      <c r="P388" s="69"/>
      <c r="Q388" s="69"/>
      <c r="R388" s="69"/>
      <c r="S388" s="69"/>
      <c r="T388" s="69"/>
      <c r="U388" s="70"/>
      <c r="V388" s="70"/>
      <c r="W388" s="71"/>
      <c r="X388"/>
    </row>
    <row r="389" spans="1:24">
      <c r="A389" s="71"/>
      <c r="B389" s="71"/>
      <c r="C389" s="71"/>
      <c r="D389" s="69"/>
      <c r="E389"/>
      <c r="F389" s="69"/>
      <c r="G389" s="69"/>
      <c r="H389" s="69"/>
      <c r="I389" s="69"/>
      <c r="J389" s="69"/>
      <c r="K389" s="69"/>
      <c r="L389" s="69"/>
      <c r="M389" s="69"/>
      <c r="N389" s="69"/>
      <c r="O389" s="69"/>
      <c r="P389" s="69"/>
      <c r="Q389" s="69"/>
      <c r="R389" s="69"/>
      <c r="S389" s="69"/>
      <c r="T389" s="69"/>
      <c r="U389" s="70"/>
      <c r="V389" s="70"/>
      <c r="W389" s="71"/>
      <c r="X389"/>
    </row>
    <row r="390" spans="1:24">
      <c r="A390" s="71"/>
      <c r="B390" s="71"/>
      <c r="C390" s="71"/>
      <c r="D390" s="69"/>
      <c r="E390"/>
      <c r="F390" s="69"/>
      <c r="G390" s="69"/>
      <c r="H390" s="69"/>
      <c r="I390" s="69"/>
      <c r="J390" s="69"/>
      <c r="K390" s="69"/>
      <c r="L390" s="69"/>
      <c r="M390" s="69"/>
      <c r="N390" s="69"/>
      <c r="O390" s="69"/>
      <c r="P390" s="69"/>
      <c r="Q390" s="69"/>
      <c r="R390" s="69"/>
      <c r="S390" s="69"/>
      <c r="T390" s="69"/>
      <c r="U390" s="70"/>
      <c r="V390" s="70"/>
      <c r="W390" s="71"/>
      <c r="X390"/>
    </row>
    <row r="391" spans="1:24">
      <c r="A391" s="71"/>
      <c r="B391" s="71"/>
      <c r="C391" s="71"/>
      <c r="D391" s="69"/>
      <c r="E391"/>
      <c r="F391" s="69"/>
      <c r="G391" s="69"/>
      <c r="H391" s="69"/>
      <c r="I391" s="69"/>
      <c r="J391" s="69"/>
      <c r="K391" s="69"/>
      <c r="L391" s="69"/>
      <c r="M391" s="69"/>
      <c r="N391" s="69"/>
      <c r="O391" s="69"/>
      <c r="P391" s="69"/>
      <c r="Q391" s="69"/>
      <c r="R391" s="69"/>
      <c r="S391" s="69"/>
      <c r="T391" s="69"/>
      <c r="U391" s="70"/>
      <c r="V391" s="70"/>
      <c r="W391" s="71"/>
      <c r="X391"/>
    </row>
    <row r="392" spans="1:24">
      <c r="A392" s="71"/>
      <c r="B392" s="71"/>
      <c r="C392" s="71"/>
      <c r="D392" s="69"/>
      <c r="E392"/>
      <c r="F392" s="69"/>
      <c r="G392" s="69"/>
      <c r="H392" s="69"/>
      <c r="I392" s="69"/>
      <c r="J392" s="69"/>
      <c r="K392" s="69"/>
      <c r="L392" s="69"/>
      <c r="M392" s="69"/>
      <c r="N392" s="69"/>
      <c r="O392" s="69"/>
      <c r="P392" s="69"/>
      <c r="Q392" s="69"/>
      <c r="R392" s="69"/>
      <c r="S392" s="69"/>
      <c r="T392" s="69"/>
      <c r="U392" s="70"/>
      <c r="V392" s="70"/>
      <c r="W392" s="71"/>
      <c r="X392"/>
    </row>
    <row r="393" spans="1:24">
      <c r="A393" s="71"/>
      <c r="B393" s="71"/>
      <c r="C393" s="71"/>
      <c r="D393" s="69"/>
      <c r="E393"/>
      <c r="F393" s="69"/>
      <c r="G393" s="69"/>
      <c r="H393" s="69"/>
      <c r="I393" s="69"/>
      <c r="J393" s="69"/>
      <c r="K393" s="69"/>
      <c r="L393" s="69"/>
      <c r="M393" s="69"/>
      <c r="N393" s="69"/>
      <c r="O393" s="69"/>
      <c r="P393" s="69"/>
      <c r="Q393" s="69"/>
      <c r="R393" s="69"/>
      <c r="S393" s="69"/>
      <c r="T393" s="69"/>
      <c r="U393" s="70"/>
      <c r="V393" s="70"/>
      <c r="W393" s="71"/>
      <c r="X393"/>
    </row>
    <row r="394" spans="1:24">
      <c r="A394" s="71"/>
      <c r="B394" s="71"/>
      <c r="C394" s="71"/>
      <c r="D394" s="69"/>
      <c r="E394"/>
      <c r="F394" s="69"/>
      <c r="G394" s="69"/>
      <c r="H394" s="69"/>
      <c r="I394" s="69"/>
      <c r="J394" s="69"/>
      <c r="K394" s="69"/>
      <c r="L394" s="69"/>
      <c r="M394" s="69"/>
      <c r="N394" s="69"/>
      <c r="O394" s="69"/>
      <c r="P394" s="69"/>
      <c r="Q394" s="69"/>
      <c r="R394" s="69"/>
      <c r="S394" s="69"/>
      <c r="T394" s="69"/>
      <c r="U394" s="70"/>
      <c r="V394" s="70"/>
      <c r="W394" s="71"/>
      <c r="X394"/>
    </row>
    <row r="395" spans="1:24">
      <c r="A395" s="71"/>
      <c r="B395" s="71"/>
      <c r="C395" s="71"/>
      <c r="D395" s="69"/>
      <c r="E395"/>
      <c r="F395" s="69"/>
      <c r="G395" s="69"/>
      <c r="H395" s="69"/>
      <c r="I395" s="69"/>
      <c r="J395" s="69"/>
      <c r="K395" s="69"/>
      <c r="L395" s="69"/>
      <c r="M395" s="69"/>
      <c r="N395" s="69"/>
      <c r="O395" s="69"/>
      <c r="P395" s="69"/>
      <c r="Q395" s="69"/>
      <c r="R395" s="69"/>
      <c r="S395" s="69"/>
      <c r="T395" s="69"/>
      <c r="U395" s="70"/>
      <c r="V395" s="70"/>
      <c r="W395" s="71"/>
      <c r="X395"/>
    </row>
    <row r="396" spans="1:24">
      <c r="A396" s="71"/>
      <c r="B396" s="71"/>
      <c r="C396" s="71"/>
      <c r="D396" s="69"/>
      <c r="E396"/>
      <c r="F396" s="69"/>
      <c r="G396" s="69"/>
      <c r="H396" s="69"/>
      <c r="I396" s="69"/>
      <c r="J396" s="69"/>
      <c r="K396" s="69"/>
      <c r="L396" s="69"/>
      <c r="M396" s="69"/>
      <c r="N396" s="69"/>
      <c r="O396" s="69"/>
      <c r="P396" s="69"/>
      <c r="Q396" s="69"/>
      <c r="R396" s="69"/>
      <c r="S396" s="69"/>
      <c r="T396" s="69"/>
      <c r="U396" s="70"/>
      <c r="V396" s="70"/>
      <c r="W396" s="71"/>
      <c r="X396"/>
    </row>
    <row r="397" spans="1:24">
      <c r="A397" s="71"/>
      <c r="B397" s="71"/>
      <c r="C397" s="71"/>
      <c r="D397" s="69"/>
      <c r="E397"/>
      <c r="F397" s="69"/>
      <c r="G397" s="69"/>
      <c r="H397" s="69"/>
      <c r="I397" s="69"/>
      <c r="J397" s="69"/>
      <c r="K397" s="69"/>
      <c r="L397" s="69"/>
      <c r="M397" s="69"/>
      <c r="N397" s="69"/>
      <c r="O397" s="69"/>
      <c r="P397" s="69"/>
      <c r="Q397" s="69"/>
      <c r="R397" s="69"/>
      <c r="S397" s="69"/>
      <c r="T397" s="69"/>
      <c r="U397" s="70"/>
      <c r="V397" s="70"/>
      <c r="W397" s="71"/>
      <c r="X397"/>
    </row>
    <row r="398" spans="1:24">
      <c r="A398" s="71"/>
      <c r="B398" s="71"/>
      <c r="C398" s="71"/>
      <c r="D398" s="69"/>
      <c r="E398"/>
      <c r="F398" s="69"/>
      <c r="G398" s="69"/>
      <c r="H398" s="69"/>
      <c r="I398" s="69"/>
      <c r="J398" s="69"/>
      <c r="K398" s="69"/>
      <c r="L398" s="69"/>
      <c r="M398" s="69"/>
      <c r="N398" s="69"/>
      <c r="O398" s="69"/>
      <c r="P398" s="69"/>
      <c r="Q398" s="69"/>
      <c r="R398" s="69"/>
      <c r="S398" s="69"/>
      <c r="T398" s="69"/>
      <c r="U398" s="70"/>
      <c r="V398" s="70"/>
      <c r="W398" s="71"/>
      <c r="X398"/>
    </row>
    <row r="399" spans="1:24">
      <c r="A399" s="71"/>
      <c r="B399" s="71"/>
      <c r="C399" s="71"/>
      <c r="D399" s="69"/>
      <c r="E399"/>
      <c r="F399" s="69"/>
      <c r="G399" s="69"/>
      <c r="H399" s="69"/>
      <c r="I399" s="69"/>
      <c r="J399" s="69"/>
      <c r="K399" s="69"/>
      <c r="L399" s="69"/>
      <c r="M399" s="69"/>
      <c r="N399" s="69"/>
      <c r="O399" s="69"/>
      <c r="P399" s="69"/>
      <c r="Q399" s="69"/>
      <c r="R399" s="69"/>
      <c r="S399" s="69"/>
      <c r="T399" s="69"/>
      <c r="U399" s="70"/>
      <c r="V399" s="70"/>
      <c r="W399" s="71"/>
      <c r="X399"/>
    </row>
    <row r="400" spans="1:24">
      <c r="A400" s="71"/>
      <c r="B400" s="71"/>
      <c r="C400" s="71"/>
      <c r="D400" s="69"/>
      <c r="E400"/>
      <c r="F400" s="69"/>
      <c r="G400" s="69"/>
      <c r="H400" s="69"/>
      <c r="I400" s="69"/>
      <c r="J400" s="69"/>
      <c r="K400" s="69"/>
      <c r="L400" s="69"/>
      <c r="M400" s="69"/>
      <c r="N400" s="69"/>
      <c r="O400" s="69"/>
      <c r="P400" s="69"/>
      <c r="Q400" s="69"/>
      <c r="R400" s="69"/>
      <c r="S400" s="69"/>
      <c r="T400" s="69"/>
      <c r="U400" s="70"/>
      <c r="V400" s="70"/>
      <c r="W400" s="71"/>
      <c r="X400"/>
    </row>
    <row r="401" spans="1:24">
      <c r="A401" s="71"/>
      <c r="B401" s="71"/>
      <c r="C401" s="71"/>
      <c r="D401" s="69"/>
      <c r="E401"/>
      <c r="F401" s="69"/>
      <c r="G401" s="69"/>
      <c r="H401" s="69"/>
      <c r="I401" s="69"/>
      <c r="J401" s="69"/>
      <c r="K401" s="69"/>
      <c r="L401" s="69"/>
      <c r="M401" s="69"/>
      <c r="N401" s="69"/>
      <c r="O401" s="69"/>
      <c r="P401" s="69"/>
      <c r="Q401" s="69"/>
      <c r="R401" s="69"/>
      <c r="S401" s="69"/>
      <c r="T401" s="69"/>
      <c r="U401" s="70"/>
      <c r="V401" s="70"/>
      <c r="W401" s="71"/>
      <c r="X401"/>
    </row>
    <row r="402" spans="1:24">
      <c r="A402" s="71"/>
      <c r="B402" s="71"/>
      <c r="C402" s="71"/>
      <c r="D402" s="69"/>
      <c r="E402"/>
      <c r="F402" s="69"/>
      <c r="G402" s="69"/>
      <c r="H402" s="69"/>
      <c r="I402" s="69"/>
      <c r="J402" s="69"/>
      <c r="K402" s="69"/>
      <c r="L402" s="69"/>
      <c r="M402" s="69"/>
      <c r="N402" s="69"/>
      <c r="O402" s="69"/>
      <c r="P402" s="69"/>
      <c r="Q402" s="69"/>
      <c r="R402" s="69"/>
      <c r="S402" s="69"/>
      <c r="T402" s="69"/>
      <c r="U402" s="70"/>
      <c r="V402" s="70"/>
      <c r="W402" s="71"/>
      <c r="X402"/>
    </row>
    <row r="403" spans="1:24">
      <c r="A403" s="71"/>
      <c r="B403" s="71"/>
      <c r="C403" s="71"/>
      <c r="D403" s="69"/>
      <c r="E403"/>
      <c r="F403" s="69"/>
      <c r="G403" s="69"/>
      <c r="H403" s="69"/>
      <c r="I403" s="69"/>
      <c r="J403" s="69"/>
      <c r="K403" s="69"/>
      <c r="L403" s="69"/>
      <c r="M403" s="69"/>
      <c r="N403" s="69"/>
      <c r="O403" s="69"/>
      <c r="P403" s="69"/>
      <c r="Q403" s="69"/>
      <c r="R403" s="69"/>
      <c r="S403" s="69"/>
      <c r="T403" s="69"/>
      <c r="U403" s="70"/>
      <c r="V403" s="70"/>
      <c r="W403" s="71"/>
      <c r="X403"/>
    </row>
    <row r="404" spans="1:24">
      <c r="A404" s="71"/>
      <c r="B404" s="71"/>
      <c r="C404" s="71"/>
      <c r="D404" s="69"/>
      <c r="E404"/>
      <c r="F404" s="69"/>
      <c r="G404" s="69"/>
      <c r="H404" s="69"/>
      <c r="I404" s="69"/>
      <c r="J404" s="69"/>
      <c r="K404" s="69"/>
      <c r="L404" s="69"/>
      <c r="M404" s="69"/>
      <c r="N404" s="69"/>
      <c r="O404" s="69"/>
      <c r="P404" s="69"/>
      <c r="Q404" s="69"/>
      <c r="R404" s="69"/>
      <c r="S404" s="69"/>
      <c r="T404" s="69"/>
      <c r="U404" s="70"/>
      <c r="V404" s="70"/>
      <c r="W404" s="71"/>
      <c r="X404"/>
    </row>
    <row r="405" spans="1:24">
      <c r="A405" s="71"/>
      <c r="B405" s="71"/>
      <c r="C405" s="71"/>
      <c r="D405" s="69"/>
      <c r="E405"/>
      <c r="F405" s="69"/>
      <c r="G405" s="69"/>
      <c r="H405" s="69"/>
      <c r="I405" s="69"/>
      <c r="J405" s="69"/>
      <c r="K405" s="69"/>
      <c r="L405" s="69"/>
      <c r="M405" s="69"/>
      <c r="N405" s="69"/>
      <c r="O405" s="69"/>
      <c r="P405" s="69"/>
      <c r="Q405" s="69"/>
      <c r="R405" s="69"/>
      <c r="S405" s="69"/>
      <c r="T405" s="69"/>
      <c r="U405" s="70"/>
      <c r="V405" s="70"/>
      <c r="W405" s="71"/>
      <c r="X405"/>
    </row>
    <row r="406" spans="1:24">
      <c r="A406" s="71"/>
      <c r="B406" s="71"/>
      <c r="C406" s="71"/>
      <c r="D406" s="69"/>
      <c r="E406"/>
      <c r="F406" s="69"/>
      <c r="G406" s="69"/>
      <c r="H406" s="69"/>
      <c r="I406" s="69"/>
      <c r="J406" s="69"/>
      <c r="K406" s="69"/>
      <c r="L406" s="69"/>
      <c r="M406" s="69"/>
      <c r="N406" s="69"/>
      <c r="O406" s="69"/>
      <c r="P406" s="69"/>
      <c r="Q406" s="69"/>
      <c r="R406" s="69"/>
      <c r="S406" s="69"/>
      <c r="T406" s="69"/>
      <c r="U406" s="70"/>
      <c r="V406" s="70"/>
      <c r="W406" s="71"/>
      <c r="X406"/>
    </row>
    <row r="407" spans="1:24">
      <c r="A407" s="71"/>
      <c r="B407" s="71"/>
      <c r="C407" s="71"/>
      <c r="D407" s="69"/>
      <c r="E407"/>
      <c r="F407" s="69"/>
      <c r="G407" s="69"/>
      <c r="H407" s="69"/>
      <c r="I407" s="69"/>
      <c r="J407" s="69"/>
      <c r="K407" s="69"/>
      <c r="L407" s="69"/>
      <c r="M407" s="69"/>
      <c r="N407" s="69"/>
      <c r="O407" s="69"/>
      <c r="P407" s="69"/>
      <c r="Q407" s="69"/>
      <c r="R407" s="69"/>
      <c r="S407" s="69"/>
      <c r="T407" s="69"/>
      <c r="U407" s="70"/>
      <c r="V407" s="70"/>
      <c r="W407" s="71"/>
      <c r="X407"/>
    </row>
    <row r="408" spans="1:24">
      <c r="A408" s="71"/>
      <c r="B408" s="71"/>
      <c r="C408" s="71"/>
      <c r="D408" s="69"/>
      <c r="E408"/>
      <c r="F408" s="69"/>
      <c r="G408" s="69"/>
      <c r="H408" s="69"/>
      <c r="I408" s="69"/>
      <c r="J408" s="69"/>
      <c r="K408" s="69"/>
      <c r="L408" s="69"/>
      <c r="M408" s="69"/>
      <c r="N408" s="69"/>
      <c r="O408" s="69"/>
      <c r="P408" s="69"/>
      <c r="Q408" s="69"/>
      <c r="R408" s="69"/>
      <c r="S408" s="69"/>
      <c r="T408" s="69"/>
      <c r="U408" s="70"/>
      <c r="V408" s="70"/>
      <c r="W408" s="71"/>
      <c r="X408"/>
    </row>
    <row r="409" spans="1:24">
      <c r="A409" s="71"/>
      <c r="B409" s="71"/>
      <c r="C409" s="71"/>
      <c r="D409" s="69"/>
      <c r="E409"/>
      <c r="F409" s="69"/>
      <c r="G409" s="69"/>
      <c r="H409" s="69"/>
      <c r="I409" s="69"/>
      <c r="J409" s="69"/>
      <c r="K409" s="69"/>
      <c r="L409" s="69"/>
      <c r="M409" s="69"/>
      <c r="N409" s="69"/>
      <c r="O409" s="69"/>
      <c r="P409" s="69"/>
      <c r="Q409" s="69"/>
      <c r="R409" s="69"/>
      <c r="S409" s="69"/>
      <c r="T409" s="69"/>
      <c r="U409" s="70"/>
      <c r="V409" s="70"/>
      <c r="W409" s="71"/>
      <c r="X409"/>
    </row>
    <row r="410" spans="1:24">
      <c r="A410" s="71"/>
      <c r="B410" s="71"/>
      <c r="C410" s="71"/>
      <c r="D410" s="69"/>
      <c r="E410"/>
      <c r="F410" s="69"/>
      <c r="G410" s="69"/>
      <c r="H410" s="69"/>
      <c r="I410" s="69"/>
      <c r="J410" s="69"/>
      <c r="K410" s="69"/>
      <c r="L410" s="69"/>
      <c r="M410" s="69"/>
      <c r="N410" s="69"/>
      <c r="O410" s="69"/>
      <c r="P410" s="69"/>
      <c r="Q410" s="69"/>
      <c r="R410" s="69"/>
      <c r="S410" s="69"/>
      <c r="T410" s="69"/>
      <c r="U410" s="70"/>
      <c r="V410" s="70"/>
      <c r="W410" s="71"/>
      <c r="X410"/>
    </row>
    <row r="411" spans="1:24">
      <c r="A411" s="71"/>
      <c r="B411" s="71"/>
      <c r="C411" s="71"/>
      <c r="D411" s="69"/>
      <c r="E411"/>
      <c r="F411" s="69"/>
      <c r="G411" s="69"/>
      <c r="H411" s="69"/>
      <c r="I411" s="69"/>
      <c r="J411" s="69"/>
      <c r="K411" s="69"/>
      <c r="L411" s="69"/>
      <c r="M411" s="69"/>
      <c r="N411" s="69"/>
      <c r="O411" s="69"/>
      <c r="P411" s="69"/>
      <c r="Q411" s="69"/>
      <c r="R411" s="69"/>
      <c r="S411" s="69"/>
      <c r="T411" s="69"/>
      <c r="U411" s="70"/>
      <c r="V411" s="70"/>
      <c r="W411" s="71"/>
      <c r="X411"/>
    </row>
    <row r="412" spans="1:24">
      <c r="A412" s="71"/>
      <c r="B412" s="71"/>
      <c r="C412" s="71"/>
      <c r="D412" s="69"/>
      <c r="E412"/>
      <c r="F412" s="69"/>
      <c r="G412" s="69"/>
      <c r="H412" s="69"/>
      <c r="I412" s="69"/>
      <c r="J412" s="69"/>
      <c r="K412" s="69"/>
      <c r="L412" s="69"/>
      <c r="M412" s="69"/>
      <c r="N412" s="69"/>
      <c r="O412" s="69"/>
      <c r="P412" s="69"/>
      <c r="Q412" s="69"/>
      <c r="R412" s="69"/>
      <c r="S412" s="69"/>
      <c r="T412" s="69"/>
      <c r="U412" s="70"/>
      <c r="V412" s="70"/>
      <c r="W412" s="71"/>
      <c r="X412"/>
    </row>
    <row r="413" spans="1:24">
      <c r="A413" s="71"/>
      <c r="B413" s="71"/>
      <c r="C413" s="71"/>
      <c r="D413" s="69"/>
      <c r="E413"/>
      <c r="F413" s="69"/>
      <c r="G413" s="69"/>
      <c r="H413" s="69"/>
      <c r="I413" s="69"/>
      <c r="J413" s="69"/>
      <c r="K413" s="69"/>
      <c r="L413" s="69"/>
      <c r="M413" s="69"/>
      <c r="N413" s="69"/>
      <c r="O413" s="69"/>
      <c r="P413" s="69"/>
      <c r="Q413" s="69"/>
      <c r="R413" s="69"/>
      <c r="S413" s="69"/>
      <c r="T413" s="69"/>
      <c r="U413" s="70"/>
      <c r="V413" s="70"/>
      <c r="W413" s="71"/>
      <c r="X413"/>
    </row>
    <row r="414" spans="1:24">
      <c r="A414" s="71"/>
      <c r="B414" s="71"/>
      <c r="C414" s="71"/>
      <c r="D414" s="69"/>
      <c r="E414"/>
      <c r="F414" s="69"/>
      <c r="G414" s="69"/>
      <c r="H414" s="69"/>
      <c r="I414" s="69"/>
      <c r="J414" s="69"/>
      <c r="K414" s="69"/>
      <c r="L414" s="69"/>
      <c r="M414" s="69"/>
      <c r="N414" s="69"/>
      <c r="O414" s="69"/>
      <c r="P414" s="69"/>
      <c r="Q414" s="69"/>
      <c r="R414" s="69"/>
      <c r="S414" s="69"/>
      <c r="T414" s="69"/>
      <c r="U414" s="70"/>
      <c r="V414" s="70"/>
      <c r="W414" s="71"/>
      <c r="X414"/>
    </row>
    <row r="415" spans="1:24">
      <c r="A415" s="71"/>
      <c r="B415" s="71"/>
      <c r="C415" s="71"/>
      <c r="D415" s="69"/>
      <c r="E415"/>
      <c r="F415" s="69"/>
      <c r="G415" s="69"/>
      <c r="H415" s="69"/>
      <c r="I415" s="69"/>
      <c r="J415" s="69"/>
      <c r="K415" s="69"/>
      <c r="L415" s="69"/>
      <c r="M415" s="69"/>
      <c r="N415" s="69"/>
      <c r="O415" s="69"/>
      <c r="P415" s="69"/>
      <c r="Q415" s="69"/>
      <c r="R415" s="69"/>
      <c r="S415" s="69"/>
      <c r="T415" s="69"/>
      <c r="U415" s="70"/>
      <c r="V415" s="70"/>
      <c r="W415" s="71"/>
      <c r="X415"/>
    </row>
    <row r="416" spans="1:24">
      <c r="A416" s="71"/>
      <c r="B416" s="71"/>
      <c r="C416" s="71"/>
      <c r="D416" s="69"/>
      <c r="E416"/>
      <c r="F416" s="69"/>
      <c r="G416" s="69"/>
      <c r="H416" s="69"/>
      <c r="I416" s="69"/>
      <c r="J416" s="69"/>
      <c r="K416" s="69"/>
      <c r="L416" s="69"/>
      <c r="M416" s="69"/>
      <c r="N416" s="69"/>
      <c r="O416" s="69"/>
      <c r="P416" s="69"/>
      <c r="Q416" s="69"/>
      <c r="R416" s="69"/>
      <c r="S416" s="69"/>
      <c r="T416" s="69"/>
      <c r="U416" s="70"/>
      <c r="V416" s="70"/>
      <c r="W416" s="71"/>
      <c r="X416"/>
    </row>
    <row r="417" spans="1:24">
      <c r="A417" s="71"/>
      <c r="B417" s="71"/>
      <c r="C417" s="71"/>
      <c r="D417" s="69"/>
      <c r="E417"/>
      <c r="F417" s="69"/>
      <c r="G417" s="69"/>
      <c r="H417" s="69"/>
      <c r="I417" s="69"/>
      <c r="J417" s="69"/>
      <c r="K417" s="69"/>
      <c r="L417" s="69"/>
      <c r="M417" s="69"/>
      <c r="N417" s="69"/>
      <c r="O417" s="69"/>
      <c r="P417" s="69"/>
      <c r="Q417" s="69"/>
      <c r="R417" s="69"/>
      <c r="S417" s="69"/>
      <c r="T417" s="69"/>
      <c r="U417" s="70"/>
      <c r="V417" s="70"/>
      <c r="W417" s="71"/>
      <c r="X417"/>
    </row>
    <row r="418" spans="1:24">
      <c r="A418" s="71"/>
      <c r="B418" s="71"/>
      <c r="C418" s="71"/>
      <c r="D418" s="69"/>
      <c r="E418"/>
      <c r="F418" s="69"/>
      <c r="G418" s="69"/>
      <c r="H418" s="69"/>
      <c r="I418" s="69"/>
      <c r="J418" s="69"/>
      <c r="K418" s="69"/>
      <c r="L418" s="69"/>
      <c r="M418" s="69"/>
      <c r="N418" s="69"/>
      <c r="O418" s="69"/>
      <c r="P418" s="69"/>
      <c r="Q418" s="69"/>
      <c r="R418" s="69"/>
      <c r="S418" s="69"/>
      <c r="T418" s="69"/>
      <c r="U418" s="70"/>
      <c r="V418" s="70"/>
      <c r="W418" s="71"/>
      <c r="X418"/>
    </row>
    <row r="419" spans="1:24">
      <c r="A419" s="71"/>
      <c r="B419" s="71"/>
      <c r="C419" s="71"/>
      <c r="D419" s="69"/>
      <c r="E419"/>
      <c r="F419" s="69"/>
      <c r="G419" s="69"/>
      <c r="H419" s="69"/>
      <c r="I419" s="69"/>
      <c r="J419" s="69"/>
      <c r="K419" s="69"/>
      <c r="L419" s="69"/>
      <c r="M419" s="69"/>
      <c r="N419" s="69"/>
      <c r="O419" s="69"/>
      <c r="P419" s="69"/>
      <c r="Q419" s="69"/>
      <c r="R419" s="69"/>
      <c r="S419" s="69"/>
      <c r="T419" s="69"/>
      <c r="U419" s="70"/>
      <c r="V419" s="70"/>
      <c r="W419" s="71"/>
      <c r="X419"/>
    </row>
    <row r="420" spans="1:24">
      <c r="A420" s="71"/>
      <c r="B420" s="71"/>
      <c r="C420" s="71"/>
      <c r="D420" s="69"/>
      <c r="E420"/>
      <c r="F420" s="69"/>
      <c r="G420" s="69"/>
      <c r="H420" s="69"/>
      <c r="I420" s="69"/>
      <c r="J420" s="69"/>
      <c r="K420" s="69"/>
      <c r="L420" s="69"/>
      <c r="M420" s="69"/>
      <c r="N420" s="69"/>
      <c r="O420" s="69"/>
      <c r="P420" s="69"/>
      <c r="Q420" s="69"/>
      <c r="R420" s="69"/>
      <c r="S420" s="69"/>
      <c r="T420" s="69"/>
      <c r="U420" s="70"/>
      <c r="V420" s="70"/>
      <c r="W420" s="71"/>
      <c r="X420"/>
    </row>
    <row r="421" spans="1:24">
      <c r="A421" s="71"/>
      <c r="B421" s="71"/>
      <c r="C421" s="71"/>
      <c r="D421" s="69"/>
      <c r="E421"/>
      <c r="F421" s="69"/>
      <c r="G421" s="69"/>
      <c r="H421" s="69"/>
      <c r="I421" s="69"/>
      <c r="J421" s="69"/>
      <c r="K421" s="69"/>
      <c r="L421" s="69"/>
      <c r="M421" s="69"/>
      <c r="N421" s="69"/>
      <c r="O421" s="69"/>
      <c r="P421" s="69"/>
      <c r="Q421" s="69"/>
      <c r="R421" s="69"/>
      <c r="S421" s="69"/>
      <c r="T421" s="69"/>
      <c r="U421" s="70"/>
      <c r="V421" s="70"/>
      <c r="W421" s="71"/>
      <c r="X421"/>
    </row>
    <row r="422" spans="1:24">
      <c r="A422" s="71"/>
      <c r="B422" s="71"/>
      <c r="C422" s="71"/>
      <c r="D422" s="69"/>
      <c r="E422"/>
      <c r="F422" s="69"/>
      <c r="G422" s="69"/>
      <c r="H422" s="69"/>
      <c r="I422" s="69"/>
      <c r="J422" s="69"/>
      <c r="K422" s="69"/>
      <c r="L422" s="69"/>
      <c r="M422" s="69"/>
      <c r="N422" s="69"/>
      <c r="O422" s="69"/>
      <c r="P422" s="69"/>
      <c r="Q422" s="69"/>
      <c r="R422" s="69"/>
      <c r="S422" s="69"/>
      <c r="T422" s="69"/>
      <c r="U422" s="70"/>
      <c r="V422" s="70"/>
      <c r="W422" s="71"/>
      <c r="X422"/>
    </row>
    <row r="423" spans="1:24">
      <c r="A423" s="71"/>
      <c r="B423" s="71"/>
      <c r="C423" s="71"/>
      <c r="D423" s="69"/>
      <c r="E423"/>
      <c r="F423" s="69"/>
      <c r="G423" s="69"/>
      <c r="H423" s="69"/>
      <c r="I423" s="69"/>
      <c r="J423" s="69"/>
      <c r="K423" s="69"/>
      <c r="L423" s="69"/>
      <c r="M423" s="69"/>
      <c r="N423" s="69"/>
      <c r="O423" s="69"/>
      <c r="P423" s="69"/>
      <c r="Q423" s="69"/>
      <c r="R423" s="69"/>
      <c r="S423" s="69"/>
      <c r="T423" s="69"/>
      <c r="U423" s="70"/>
      <c r="V423" s="70"/>
      <c r="W423" s="71"/>
      <c r="X423"/>
    </row>
    <row r="424" spans="1:24">
      <c r="A424" s="71"/>
      <c r="B424" s="71"/>
      <c r="C424" s="71"/>
      <c r="D424" s="69"/>
      <c r="E424"/>
      <c r="F424" s="69"/>
      <c r="G424" s="69"/>
      <c r="H424" s="69"/>
      <c r="I424" s="69"/>
      <c r="J424" s="69"/>
      <c r="K424" s="69"/>
      <c r="L424" s="69"/>
      <c r="M424" s="69"/>
      <c r="N424" s="69"/>
      <c r="O424" s="69"/>
      <c r="P424" s="69"/>
      <c r="Q424" s="69"/>
      <c r="R424" s="69"/>
      <c r="S424" s="69"/>
      <c r="T424" s="69"/>
      <c r="U424" s="70"/>
      <c r="V424" s="70"/>
      <c r="W424" s="71"/>
      <c r="X424"/>
    </row>
    <row r="425" spans="1:24">
      <c r="A425" s="71"/>
      <c r="B425" s="71"/>
      <c r="C425" s="71"/>
      <c r="D425" s="69"/>
      <c r="E425"/>
      <c r="F425" s="69"/>
      <c r="G425" s="69"/>
      <c r="H425" s="69"/>
      <c r="I425" s="69"/>
      <c r="J425" s="69"/>
      <c r="K425" s="69"/>
      <c r="L425" s="69"/>
      <c r="M425" s="69"/>
      <c r="N425" s="69"/>
      <c r="O425" s="69"/>
      <c r="P425" s="69"/>
      <c r="Q425" s="69"/>
      <c r="R425" s="69"/>
      <c r="S425" s="69"/>
      <c r="T425" s="69"/>
      <c r="U425" s="70"/>
      <c r="V425" s="70"/>
      <c r="W425" s="71"/>
      <c r="X425"/>
    </row>
    <row r="426" spans="1:24">
      <c r="A426" s="71"/>
      <c r="B426" s="71"/>
      <c r="C426" s="71"/>
      <c r="D426" s="69"/>
      <c r="E426"/>
      <c r="F426" s="69"/>
      <c r="G426" s="69"/>
      <c r="H426" s="69"/>
      <c r="I426" s="69"/>
      <c r="J426" s="69"/>
      <c r="K426" s="69"/>
      <c r="L426" s="69"/>
      <c r="M426" s="69"/>
      <c r="N426" s="69"/>
      <c r="O426" s="69"/>
      <c r="P426" s="69"/>
      <c r="Q426" s="69"/>
      <c r="R426" s="69"/>
      <c r="S426" s="69"/>
      <c r="T426" s="69"/>
      <c r="U426" s="70"/>
      <c r="V426" s="70"/>
      <c r="W426" s="71"/>
      <c r="X426"/>
    </row>
    <row r="427" spans="1:24">
      <c r="A427" s="71"/>
      <c r="B427" s="71"/>
      <c r="C427" s="71"/>
      <c r="D427" s="69"/>
      <c r="E427"/>
      <c r="F427" s="69"/>
      <c r="G427" s="69"/>
      <c r="H427" s="69"/>
      <c r="I427" s="69"/>
      <c r="J427" s="69"/>
      <c r="K427" s="69"/>
      <c r="L427" s="69"/>
      <c r="M427" s="69"/>
      <c r="N427" s="69"/>
      <c r="O427" s="69"/>
      <c r="P427" s="69"/>
      <c r="Q427" s="69"/>
      <c r="R427" s="69"/>
      <c r="S427" s="69"/>
      <c r="T427" s="69"/>
      <c r="U427" s="70"/>
      <c r="V427" s="70"/>
      <c r="W427" s="71"/>
      <c r="X427"/>
    </row>
    <row r="428" spans="1:24">
      <c r="A428" s="71"/>
      <c r="B428" s="71"/>
      <c r="C428" s="71"/>
      <c r="D428" s="69"/>
      <c r="E428"/>
      <c r="F428" s="69"/>
      <c r="G428" s="69"/>
      <c r="H428" s="69"/>
      <c r="I428" s="69"/>
      <c r="J428" s="69"/>
      <c r="K428" s="69"/>
      <c r="L428" s="69"/>
      <c r="M428" s="69"/>
      <c r="N428" s="69"/>
      <c r="O428" s="69"/>
      <c r="P428" s="69"/>
      <c r="Q428" s="69"/>
      <c r="R428" s="69"/>
      <c r="S428" s="69"/>
      <c r="T428" s="69"/>
      <c r="U428" s="70"/>
      <c r="V428" s="70"/>
      <c r="W428" s="71"/>
      <c r="X428"/>
    </row>
    <row r="429" spans="1:24">
      <c r="A429" s="71"/>
      <c r="B429" s="71"/>
      <c r="C429" s="71"/>
      <c r="D429" s="69"/>
      <c r="E429"/>
      <c r="F429" s="69"/>
      <c r="G429" s="69"/>
      <c r="H429" s="69"/>
      <c r="I429" s="69"/>
      <c r="J429" s="69"/>
      <c r="K429" s="69"/>
      <c r="L429" s="69"/>
      <c r="M429" s="69"/>
      <c r="N429" s="69"/>
      <c r="O429" s="69"/>
      <c r="P429" s="69"/>
      <c r="Q429" s="69"/>
      <c r="R429" s="69"/>
      <c r="S429" s="69"/>
      <c r="T429" s="69"/>
      <c r="U429" s="70"/>
      <c r="V429" s="70"/>
      <c r="W429" s="71"/>
      <c r="X429"/>
    </row>
    <row r="430" spans="1:24">
      <c r="A430" s="71"/>
      <c r="B430" s="71"/>
      <c r="C430" s="71"/>
      <c r="D430" s="69"/>
      <c r="E430"/>
      <c r="F430" s="69"/>
      <c r="G430" s="69"/>
      <c r="H430" s="69"/>
      <c r="I430" s="69"/>
      <c r="J430" s="69"/>
      <c r="K430" s="69"/>
      <c r="L430" s="69"/>
      <c r="M430" s="69"/>
      <c r="N430" s="69"/>
      <c r="O430" s="69"/>
      <c r="P430" s="69"/>
      <c r="Q430" s="69"/>
      <c r="R430" s="69"/>
      <c r="S430" s="69"/>
      <c r="T430" s="69"/>
      <c r="U430" s="70"/>
      <c r="V430" s="70"/>
      <c r="W430" s="71"/>
      <c r="X430"/>
    </row>
    <row r="431" spans="1:24">
      <c r="A431" s="71"/>
      <c r="B431" s="71"/>
      <c r="C431" s="71"/>
      <c r="D431" s="69"/>
      <c r="E431"/>
      <c r="F431" s="69"/>
      <c r="G431" s="69"/>
      <c r="H431" s="69"/>
      <c r="I431" s="69"/>
      <c r="J431" s="69"/>
      <c r="K431" s="69"/>
      <c r="L431" s="69"/>
      <c r="M431" s="69"/>
      <c r="N431" s="69"/>
      <c r="O431" s="69"/>
      <c r="P431" s="69"/>
      <c r="Q431" s="69"/>
      <c r="R431" s="69"/>
      <c r="S431" s="69"/>
      <c r="T431" s="69"/>
      <c r="U431" s="70"/>
      <c r="V431" s="70"/>
      <c r="W431" s="71"/>
      <c r="X431"/>
    </row>
    <row r="432" spans="1:24">
      <c r="A432" s="71"/>
      <c r="B432" s="71"/>
      <c r="C432" s="71"/>
      <c r="D432" s="69"/>
      <c r="E432"/>
      <c r="F432" s="69"/>
      <c r="G432" s="69"/>
      <c r="H432" s="69"/>
      <c r="I432" s="69"/>
      <c r="J432" s="69"/>
      <c r="K432" s="69"/>
      <c r="L432" s="69"/>
      <c r="M432" s="69"/>
      <c r="N432" s="69"/>
      <c r="O432" s="69"/>
      <c r="P432" s="69"/>
      <c r="Q432" s="69"/>
      <c r="R432" s="69"/>
      <c r="S432" s="69"/>
      <c r="T432" s="69"/>
      <c r="U432" s="70"/>
      <c r="V432" s="70"/>
      <c r="W432" s="71"/>
      <c r="X432"/>
    </row>
    <row r="433" spans="1:24">
      <c r="A433" s="71"/>
      <c r="B433" s="71"/>
      <c r="C433" s="71"/>
      <c r="D433" s="69"/>
      <c r="E433"/>
      <c r="F433" s="69"/>
      <c r="G433" s="69"/>
      <c r="H433" s="69"/>
      <c r="I433" s="69"/>
      <c r="J433" s="69"/>
      <c r="K433" s="69"/>
      <c r="L433" s="69"/>
      <c r="M433" s="69"/>
      <c r="N433" s="69"/>
      <c r="O433" s="69"/>
      <c r="P433" s="69"/>
      <c r="Q433" s="69"/>
      <c r="R433" s="69"/>
      <c r="S433" s="69"/>
      <c r="T433" s="69"/>
      <c r="U433" s="70"/>
      <c r="V433" s="70"/>
      <c r="W433" s="71"/>
      <c r="X433"/>
    </row>
    <row r="434" spans="1:24">
      <c r="A434" s="71"/>
      <c r="B434" s="71"/>
      <c r="C434" s="71"/>
      <c r="D434" s="69"/>
      <c r="E434"/>
      <c r="F434" s="69"/>
      <c r="G434" s="69"/>
      <c r="H434" s="69"/>
      <c r="I434" s="69"/>
      <c r="J434" s="69"/>
      <c r="K434" s="69"/>
      <c r="L434" s="69"/>
      <c r="M434" s="69"/>
      <c r="N434" s="69"/>
      <c r="O434" s="69"/>
      <c r="P434" s="69"/>
      <c r="Q434" s="69"/>
      <c r="R434" s="69"/>
      <c r="S434" s="69"/>
      <c r="T434" s="69"/>
      <c r="U434" s="70"/>
      <c r="V434" s="70"/>
      <c r="W434" s="71"/>
      <c r="X434"/>
    </row>
    <row r="435" spans="1:24">
      <c r="A435" s="71"/>
      <c r="B435" s="71"/>
      <c r="C435" s="71"/>
      <c r="D435" s="69"/>
      <c r="E435"/>
      <c r="F435" s="69"/>
      <c r="G435" s="69"/>
      <c r="H435" s="69"/>
      <c r="I435" s="69"/>
      <c r="J435" s="69"/>
      <c r="K435" s="69"/>
      <c r="L435" s="69"/>
      <c r="M435" s="69"/>
      <c r="N435" s="69"/>
      <c r="O435" s="69"/>
      <c r="P435" s="69"/>
      <c r="Q435" s="69"/>
      <c r="R435" s="69"/>
      <c r="S435" s="69"/>
      <c r="T435" s="69"/>
      <c r="U435" s="70"/>
      <c r="V435" s="70"/>
      <c r="W435" s="71"/>
      <c r="X435"/>
    </row>
    <row r="436" spans="1:24">
      <c r="A436" s="71"/>
      <c r="B436" s="71"/>
      <c r="C436" s="71"/>
      <c r="D436" s="69"/>
      <c r="E436"/>
      <c r="F436" s="69"/>
      <c r="G436" s="69"/>
      <c r="H436" s="69"/>
      <c r="I436" s="69"/>
      <c r="J436" s="69"/>
      <c r="K436" s="69"/>
      <c r="L436" s="69"/>
      <c r="M436" s="69"/>
      <c r="N436" s="69"/>
      <c r="O436" s="69"/>
      <c r="P436" s="69"/>
      <c r="Q436" s="69"/>
      <c r="R436" s="69"/>
      <c r="S436" s="69"/>
      <c r="T436" s="69"/>
      <c r="U436" s="70"/>
      <c r="V436" s="70"/>
      <c r="W436" s="71"/>
      <c r="X436"/>
    </row>
    <row r="437" spans="1:24">
      <c r="A437" s="71"/>
      <c r="B437" s="71"/>
      <c r="C437" s="71"/>
      <c r="D437" s="69"/>
      <c r="E437"/>
      <c r="F437" s="69"/>
      <c r="G437" s="69"/>
      <c r="H437" s="69"/>
      <c r="I437" s="69"/>
      <c r="J437" s="69"/>
      <c r="K437" s="69"/>
      <c r="L437" s="69"/>
      <c r="M437" s="69"/>
      <c r="N437" s="69"/>
      <c r="O437" s="69"/>
      <c r="P437" s="69"/>
      <c r="Q437" s="69"/>
      <c r="R437" s="69"/>
      <c r="S437" s="69"/>
      <c r="T437" s="69"/>
      <c r="U437" s="70"/>
      <c r="V437" s="70"/>
      <c r="W437" s="71"/>
      <c r="X437"/>
    </row>
    <row r="438" spans="1:24">
      <c r="A438" s="71"/>
      <c r="B438" s="71"/>
      <c r="C438" s="71"/>
      <c r="D438" s="69"/>
      <c r="E438"/>
      <c r="F438" s="69"/>
      <c r="G438" s="69"/>
      <c r="H438" s="69"/>
      <c r="I438" s="69"/>
      <c r="J438" s="69"/>
      <c r="K438" s="69"/>
      <c r="L438" s="69"/>
      <c r="M438" s="69"/>
      <c r="N438" s="69"/>
      <c r="O438" s="69"/>
      <c r="P438" s="69"/>
      <c r="Q438" s="69"/>
      <c r="R438" s="69"/>
      <c r="S438" s="69"/>
      <c r="T438" s="69"/>
      <c r="U438" s="70"/>
      <c r="V438" s="70"/>
      <c r="W438" s="71"/>
      <c r="X438"/>
    </row>
    <row r="439" spans="1:24">
      <c r="A439" s="71"/>
      <c r="B439" s="71"/>
      <c r="C439" s="71"/>
      <c r="D439" s="69"/>
      <c r="E439"/>
      <c r="F439" s="69"/>
      <c r="G439" s="69"/>
      <c r="H439" s="69"/>
      <c r="I439" s="69"/>
      <c r="J439" s="69"/>
      <c r="K439" s="69"/>
      <c r="L439" s="69"/>
      <c r="M439" s="69"/>
      <c r="N439" s="69"/>
      <c r="O439" s="69"/>
      <c r="P439" s="69"/>
      <c r="Q439" s="69"/>
      <c r="R439" s="69"/>
      <c r="S439" s="69"/>
      <c r="T439" s="69"/>
      <c r="U439" s="70"/>
      <c r="V439" s="70"/>
      <c r="W439" s="71"/>
      <c r="X439"/>
    </row>
    <row r="440" spans="1:24">
      <c r="A440" s="71"/>
      <c r="B440" s="71"/>
      <c r="C440" s="71"/>
      <c r="D440" s="69"/>
      <c r="E440"/>
      <c r="F440" s="69"/>
      <c r="G440" s="69"/>
      <c r="H440" s="69"/>
      <c r="I440" s="69"/>
      <c r="J440" s="69"/>
      <c r="K440" s="69"/>
      <c r="L440" s="69"/>
      <c r="M440" s="69"/>
      <c r="N440" s="69"/>
      <c r="O440" s="69"/>
      <c r="P440" s="69"/>
      <c r="Q440" s="69"/>
      <c r="R440" s="69"/>
      <c r="S440" s="69"/>
      <c r="T440" s="69"/>
      <c r="U440" s="70"/>
      <c r="V440" s="70"/>
      <c r="W440" s="71"/>
      <c r="X440"/>
    </row>
    <row r="441" spans="1:24">
      <c r="A441" s="71"/>
      <c r="B441" s="71"/>
      <c r="C441" s="71"/>
      <c r="D441" s="69"/>
      <c r="E441"/>
      <c r="F441" s="69"/>
      <c r="G441" s="69"/>
      <c r="H441" s="69"/>
      <c r="I441" s="69"/>
      <c r="J441" s="69"/>
      <c r="K441" s="69"/>
      <c r="L441" s="69"/>
      <c r="M441" s="69"/>
      <c r="N441" s="69"/>
      <c r="O441" s="69"/>
      <c r="P441" s="69"/>
      <c r="Q441" s="69"/>
      <c r="R441" s="69"/>
      <c r="S441" s="69"/>
      <c r="T441" s="69"/>
      <c r="U441" s="70"/>
      <c r="V441" s="70"/>
      <c r="W441" s="71"/>
      <c r="X441"/>
    </row>
    <row r="442" spans="1:24">
      <c r="A442" s="71"/>
      <c r="B442" s="71"/>
      <c r="C442" s="71"/>
      <c r="D442" s="69"/>
      <c r="E442"/>
      <c r="F442" s="69"/>
      <c r="G442" s="69"/>
      <c r="H442" s="69"/>
      <c r="I442" s="69"/>
      <c r="J442" s="69"/>
      <c r="K442" s="69"/>
      <c r="L442" s="69"/>
      <c r="M442" s="69"/>
      <c r="N442" s="69"/>
      <c r="O442" s="69"/>
      <c r="P442" s="69"/>
      <c r="Q442" s="69"/>
      <c r="R442" s="69"/>
      <c r="S442" s="69"/>
      <c r="T442" s="69"/>
      <c r="U442" s="70"/>
      <c r="V442" s="70"/>
      <c r="W442" s="71"/>
      <c r="X442"/>
    </row>
    <row r="443" spans="1:24">
      <c r="A443" s="71"/>
      <c r="B443" s="71"/>
      <c r="C443" s="71"/>
      <c r="D443" s="69"/>
      <c r="E443"/>
      <c r="F443" s="69"/>
      <c r="G443" s="69"/>
      <c r="H443" s="69"/>
      <c r="I443" s="69"/>
      <c r="J443" s="69"/>
      <c r="K443" s="69"/>
      <c r="L443" s="69"/>
      <c r="M443" s="69"/>
      <c r="N443" s="69"/>
      <c r="O443" s="69"/>
      <c r="P443" s="69"/>
      <c r="Q443" s="69"/>
      <c r="R443" s="69"/>
      <c r="S443" s="69"/>
      <c r="T443" s="69"/>
      <c r="U443" s="70"/>
      <c r="V443" s="70"/>
      <c r="W443" s="71"/>
      <c r="X443"/>
    </row>
    <row r="444" spans="1:24">
      <c r="A444" s="71"/>
      <c r="B444" s="71"/>
      <c r="C444" s="71"/>
      <c r="D444" s="69"/>
      <c r="E444"/>
      <c r="F444" s="69"/>
      <c r="G444" s="69"/>
      <c r="H444" s="69"/>
      <c r="I444" s="69"/>
      <c r="J444" s="69"/>
      <c r="K444" s="69"/>
      <c r="L444" s="69"/>
      <c r="M444" s="69"/>
      <c r="N444" s="69"/>
      <c r="O444" s="69"/>
      <c r="P444" s="69"/>
      <c r="Q444" s="69"/>
      <c r="R444" s="69"/>
      <c r="S444" s="69"/>
      <c r="T444" s="69"/>
      <c r="U444" s="70"/>
      <c r="V444" s="70"/>
      <c r="W444" s="71"/>
      <c r="X444"/>
    </row>
    <row r="445" spans="1:24">
      <c r="A445" s="71"/>
      <c r="B445" s="71"/>
      <c r="C445" s="71"/>
      <c r="D445" s="69"/>
      <c r="E445"/>
      <c r="F445" s="69"/>
      <c r="G445" s="69"/>
      <c r="H445" s="69"/>
      <c r="I445" s="69"/>
      <c r="J445" s="69"/>
      <c r="K445" s="69"/>
      <c r="L445" s="69"/>
      <c r="M445" s="69"/>
      <c r="N445" s="69"/>
      <c r="O445" s="69"/>
      <c r="P445" s="69"/>
      <c r="Q445" s="69"/>
      <c r="R445" s="69"/>
      <c r="S445" s="69"/>
      <c r="T445" s="69"/>
      <c r="U445" s="70"/>
      <c r="V445" s="70"/>
      <c r="W445" s="71"/>
      <c r="X445"/>
    </row>
    <row r="446" spans="1:24">
      <c r="A446" s="71"/>
      <c r="B446" s="71"/>
      <c r="C446" s="71"/>
      <c r="D446" s="69"/>
      <c r="E446"/>
      <c r="F446" s="69"/>
      <c r="G446" s="69"/>
      <c r="H446" s="69"/>
      <c r="I446" s="69"/>
      <c r="J446" s="69"/>
      <c r="K446" s="69"/>
      <c r="L446" s="69"/>
      <c r="M446" s="69"/>
      <c r="N446" s="69"/>
      <c r="O446" s="69"/>
      <c r="P446" s="69"/>
      <c r="Q446" s="69"/>
      <c r="R446" s="69"/>
      <c r="S446" s="69"/>
      <c r="T446" s="69"/>
      <c r="U446" s="70"/>
      <c r="V446" s="70"/>
      <c r="W446" s="71"/>
      <c r="X446"/>
    </row>
    <row r="447" spans="1:24">
      <c r="A447" s="71"/>
      <c r="B447" s="71"/>
      <c r="C447" s="71"/>
      <c r="D447" s="69"/>
      <c r="E447"/>
      <c r="F447" s="69"/>
      <c r="G447" s="69"/>
      <c r="H447" s="69"/>
      <c r="I447" s="69"/>
      <c r="J447" s="69"/>
      <c r="K447" s="69"/>
      <c r="L447" s="69"/>
      <c r="M447" s="69"/>
      <c r="N447" s="69"/>
      <c r="O447" s="69"/>
      <c r="P447" s="69"/>
      <c r="Q447" s="69"/>
      <c r="R447" s="69"/>
      <c r="S447" s="69"/>
      <c r="T447" s="69"/>
      <c r="U447" s="70"/>
      <c r="V447" s="70"/>
      <c r="W447" s="71"/>
      <c r="X447"/>
    </row>
    <row r="448" spans="1:24">
      <c r="A448" s="71"/>
      <c r="B448" s="71"/>
      <c r="C448" s="71"/>
      <c r="D448" s="69"/>
      <c r="E448"/>
      <c r="F448" s="69"/>
      <c r="G448" s="69"/>
      <c r="H448" s="69"/>
      <c r="I448" s="69"/>
      <c r="J448" s="69"/>
      <c r="K448" s="69"/>
      <c r="L448" s="69"/>
      <c r="M448" s="69"/>
      <c r="N448" s="69"/>
      <c r="O448" s="69"/>
      <c r="P448" s="69"/>
      <c r="Q448" s="69"/>
      <c r="R448" s="69"/>
      <c r="S448" s="69"/>
      <c r="T448" s="69"/>
      <c r="U448" s="70"/>
      <c r="V448" s="70"/>
      <c r="W448" s="71"/>
      <c r="X448"/>
    </row>
    <row r="449" spans="1:24">
      <c r="A449" s="71"/>
      <c r="B449" s="71"/>
      <c r="C449" s="71"/>
      <c r="D449" s="69"/>
      <c r="E449"/>
      <c r="F449" s="69"/>
      <c r="G449" s="69"/>
      <c r="H449" s="69"/>
      <c r="I449" s="69"/>
      <c r="J449" s="69"/>
      <c r="K449" s="69"/>
      <c r="L449" s="69"/>
      <c r="M449" s="69"/>
      <c r="N449" s="69"/>
      <c r="O449" s="69"/>
      <c r="P449" s="69"/>
      <c r="Q449" s="69"/>
      <c r="R449" s="69"/>
      <c r="S449" s="69"/>
      <c r="T449" s="69"/>
      <c r="U449" s="70"/>
      <c r="V449" s="70"/>
      <c r="W449" s="71"/>
      <c r="X449"/>
    </row>
    <row r="450" spans="1:24">
      <c r="A450" s="71"/>
      <c r="B450" s="71"/>
      <c r="C450" s="71"/>
      <c r="D450" s="69"/>
      <c r="E450"/>
      <c r="F450" s="69"/>
      <c r="G450" s="69"/>
      <c r="H450" s="69"/>
      <c r="I450" s="69"/>
      <c r="J450" s="69"/>
      <c r="K450" s="69"/>
      <c r="L450" s="69"/>
      <c r="M450" s="69"/>
      <c r="N450" s="69"/>
      <c r="O450" s="69"/>
      <c r="P450" s="69"/>
      <c r="Q450" s="69"/>
      <c r="R450" s="69"/>
      <c r="S450" s="69"/>
      <c r="T450" s="69"/>
      <c r="U450" s="70"/>
      <c r="V450" s="70"/>
      <c r="W450" s="71"/>
      <c r="X450"/>
    </row>
    <row r="451" spans="1:24">
      <c r="A451" s="71"/>
      <c r="B451" s="71"/>
      <c r="C451" s="71"/>
      <c r="D451" s="69"/>
      <c r="E451"/>
      <c r="F451" s="69"/>
      <c r="G451" s="69"/>
      <c r="H451" s="69"/>
      <c r="I451" s="69"/>
      <c r="J451" s="69"/>
      <c r="K451" s="69"/>
      <c r="L451" s="69"/>
      <c r="M451" s="69"/>
      <c r="N451" s="69"/>
      <c r="O451" s="69"/>
      <c r="P451" s="69"/>
      <c r="Q451" s="69"/>
      <c r="R451" s="69"/>
      <c r="S451" s="69"/>
      <c r="T451" s="69"/>
      <c r="U451" s="70"/>
      <c r="V451" s="70"/>
      <c r="W451" s="71"/>
      <c r="X451"/>
    </row>
    <row r="452" spans="1:24">
      <c r="A452" s="71"/>
      <c r="B452" s="71"/>
      <c r="C452" s="71"/>
      <c r="D452" s="69"/>
      <c r="E452"/>
      <c r="F452" s="69"/>
      <c r="G452" s="69"/>
      <c r="H452" s="69"/>
      <c r="I452" s="69"/>
      <c r="J452" s="69"/>
      <c r="K452" s="69"/>
      <c r="L452" s="69"/>
      <c r="M452" s="69"/>
      <c r="N452" s="69"/>
      <c r="O452" s="69"/>
      <c r="P452" s="69"/>
      <c r="Q452" s="69"/>
      <c r="R452" s="69"/>
      <c r="S452" s="69"/>
      <c r="T452" s="69"/>
      <c r="U452" s="70"/>
      <c r="V452" s="70"/>
      <c r="W452" s="71"/>
      <c r="X452"/>
    </row>
    <row r="453" spans="1:24">
      <c r="A453" s="71"/>
      <c r="B453" s="71"/>
      <c r="C453" s="71"/>
      <c r="D453" s="69"/>
      <c r="E453"/>
      <c r="F453" s="69"/>
      <c r="G453" s="69"/>
      <c r="H453" s="69"/>
      <c r="I453" s="69"/>
      <c r="J453" s="69"/>
      <c r="K453" s="69"/>
      <c r="L453" s="69"/>
      <c r="M453" s="69"/>
      <c r="N453" s="69"/>
      <c r="O453" s="69"/>
      <c r="P453" s="69"/>
      <c r="Q453" s="69"/>
      <c r="R453" s="69"/>
      <c r="S453" s="69"/>
      <c r="T453" s="69"/>
      <c r="U453" s="70"/>
      <c r="V453" s="70"/>
      <c r="W453" s="71"/>
      <c r="X453"/>
    </row>
    <row r="454" spans="1:24">
      <c r="A454" s="71"/>
      <c r="B454" s="71"/>
      <c r="C454" s="71"/>
      <c r="D454" s="69"/>
      <c r="E454"/>
      <c r="F454" s="69"/>
      <c r="G454" s="69"/>
      <c r="H454" s="69"/>
      <c r="I454" s="69"/>
      <c r="J454" s="69"/>
      <c r="K454" s="69"/>
      <c r="L454" s="69"/>
      <c r="M454" s="69"/>
      <c r="N454" s="69"/>
      <c r="O454" s="69"/>
      <c r="P454" s="69"/>
      <c r="Q454" s="69"/>
      <c r="R454" s="69"/>
      <c r="S454" s="69"/>
      <c r="T454" s="69"/>
      <c r="U454" s="70"/>
      <c r="V454" s="70"/>
      <c r="W454" s="71"/>
      <c r="X454"/>
    </row>
    <row r="455" spans="1:24">
      <c r="A455" s="71"/>
      <c r="B455" s="71"/>
      <c r="C455" s="71"/>
      <c r="D455" s="69"/>
      <c r="E455"/>
      <c r="F455" s="69"/>
      <c r="G455" s="69"/>
      <c r="H455" s="69"/>
      <c r="I455" s="69"/>
      <c r="J455" s="69"/>
      <c r="K455" s="69"/>
      <c r="L455" s="69"/>
      <c r="M455" s="69"/>
      <c r="N455" s="69"/>
      <c r="O455" s="69"/>
      <c r="P455" s="69"/>
      <c r="Q455" s="69"/>
      <c r="R455" s="69"/>
      <c r="S455" s="69"/>
      <c r="T455" s="69"/>
      <c r="U455" s="70"/>
      <c r="V455" s="70"/>
      <c r="W455" s="71"/>
      <c r="X455"/>
    </row>
    <row r="456" spans="1:24">
      <c r="A456" s="71"/>
      <c r="B456" s="71"/>
      <c r="C456" s="71"/>
      <c r="D456" s="69"/>
      <c r="E456"/>
      <c r="F456" s="69"/>
      <c r="G456" s="69"/>
      <c r="H456" s="69"/>
      <c r="I456" s="69"/>
      <c r="J456" s="69"/>
      <c r="K456" s="69"/>
      <c r="L456" s="69"/>
      <c r="M456" s="69"/>
      <c r="N456" s="69"/>
      <c r="O456" s="69"/>
      <c r="P456" s="69"/>
      <c r="Q456" s="69"/>
      <c r="R456" s="69"/>
      <c r="S456" s="69"/>
      <c r="T456" s="69"/>
      <c r="U456" s="70"/>
      <c r="V456" s="70"/>
      <c r="W456" s="71"/>
      <c r="X456"/>
    </row>
    <row r="457" spans="1:24">
      <c r="A457" s="71"/>
      <c r="B457" s="71"/>
      <c r="C457" s="71"/>
      <c r="D457" s="69"/>
      <c r="E457"/>
      <c r="F457" s="69"/>
      <c r="G457" s="69"/>
      <c r="H457" s="69"/>
      <c r="I457" s="69"/>
      <c r="J457" s="69"/>
      <c r="K457" s="69"/>
      <c r="L457" s="69"/>
      <c r="M457" s="69"/>
      <c r="N457" s="69"/>
      <c r="O457" s="69"/>
      <c r="P457" s="69"/>
      <c r="Q457" s="69"/>
      <c r="R457" s="69"/>
      <c r="S457" s="69"/>
      <c r="T457" s="69"/>
      <c r="U457" s="70"/>
      <c r="V457" s="70"/>
      <c r="W457" s="71"/>
      <c r="X457"/>
    </row>
    <row r="458" spans="1:24">
      <c r="A458" s="71"/>
      <c r="B458" s="71"/>
      <c r="C458" s="71"/>
      <c r="D458" s="69"/>
      <c r="E458"/>
      <c r="F458" s="69"/>
      <c r="G458" s="69"/>
      <c r="H458" s="69"/>
      <c r="I458" s="69"/>
      <c r="J458" s="69"/>
      <c r="K458" s="69"/>
      <c r="L458" s="69"/>
      <c r="M458" s="69"/>
      <c r="N458" s="69"/>
      <c r="O458" s="69"/>
      <c r="P458" s="69"/>
      <c r="Q458" s="69"/>
      <c r="R458" s="69"/>
      <c r="S458" s="69"/>
      <c r="T458" s="69"/>
      <c r="U458" s="70"/>
      <c r="V458" s="70"/>
      <c r="W458" s="71"/>
      <c r="X458"/>
    </row>
    <row r="459" spans="1:24">
      <c r="A459" s="71"/>
      <c r="B459" s="71"/>
      <c r="C459" s="71"/>
      <c r="D459" s="69"/>
      <c r="E459"/>
      <c r="F459" s="69"/>
      <c r="G459" s="69"/>
      <c r="H459" s="69"/>
      <c r="I459" s="69"/>
      <c r="J459" s="69"/>
      <c r="K459" s="69"/>
      <c r="L459" s="69"/>
      <c r="M459" s="69"/>
      <c r="N459" s="69"/>
      <c r="O459" s="69"/>
      <c r="P459" s="69"/>
      <c r="Q459" s="69"/>
      <c r="R459" s="69"/>
      <c r="S459" s="69"/>
      <c r="T459" s="69"/>
      <c r="U459" s="70"/>
      <c r="V459" s="70"/>
      <c r="W459" s="71"/>
      <c r="X459"/>
    </row>
    <row r="460" spans="1:24">
      <c r="A460" s="71"/>
      <c r="B460" s="71"/>
      <c r="C460" s="71"/>
      <c r="D460" s="69"/>
      <c r="E460"/>
      <c r="F460" s="69"/>
      <c r="G460" s="69"/>
      <c r="H460" s="69"/>
      <c r="I460" s="69"/>
      <c r="J460" s="69"/>
      <c r="K460" s="69"/>
      <c r="L460" s="69"/>
      <c r="M460" s="69"/>
      <c r="N460" s="69"/>
      <c r="O460" s="69"/>
      <c r="P460" s="69"/>
      <c r="Q460" s="69"/>
      <c r="R460" s="69"/>
      <c r="S460" s="69"/>
      <c r="T460" s="69"/>
      <c r="U460" s="70"/>
      <c r="V460" s="70"/>
      <c r="W460" s="71"/>
      <c r="X460"/>
    </row>
    <row r="461" spans="1:24">
      <c r="A461" s="71"/>
      <c r="B461" s="71"/>
      <c r="C461" s="71"/>
      <c r="D461" s="69"/>
      <c r="E461"/>
      <c r="F461" s="69"/>
      <c r="G461" s="69"/>
      <c r="H461" s="69"/>
      <c r="I461" s="69"/>
      <c r="J461" s="69"/>
      <c r="K461" s="69"/>
      <c r="L461" s="69"/>
      <c r="M461" s="69"/>
      <c r="N461" s="69"/>
      <c r="O461" s="69"/>
      <c r="P461" s="69"/>
      <c r="Q461" s="69"/>
      <c r="R461" s="69"/>
      <c r="S461" s="69"/>
      <c r="T461" s="69"/>
      <c r="U461" s="70"/>
      <c r="V461" s="70"/>
      <c r="W461" s="71"/>
      <c r="X461"/>
    </row>
    <row r="462" spans="1:24">
      <c r="A462" s="71"/>
      <c r="B462" s="71"/>
      <c r="C462" s="71"/>
      <c r="D462" s="69"/>
      <c r="E462"/>
      <c r="F462" s="69"/>
      <c r="G462" s="69"/>
      <c r="H462" s="69"/>
      <c r="I462" s="69"/>
      <c r="J462" s="69"/>
      <c r="K462" s="69"/>
      <c r="L462" s="69"/>
      <c r="M462" s="69"/>
      <c r="N462" s="69"/>
      <c r="O462" s="69"/>
      <c r="P462" s="69"/>
      <c r="Q462" s="69"/>
      <c r="R462" s="69"/>
      <c r="S462" s="69"/>
      <c r="T462" s="69"/>
      <c r="U462" s="70"/>
      <c r="V462" s="70"/>
      <c r="W462" s="71"/>
      <c r="X462"/>
    </row>
    <row r="463" spans="1:24">
      <c r="A463" s="71"/>
      <c r="B463" s="71"/>
      <c r="C463" s="71"/>
      <c r="D463" s="69"/>
      <c r="E463"/>
      <c r="F463" s="69"/>
      <c r="G463" s="69"/>
      <c r="H463" s="69"/>
      <c r="I463" s="69"/>
      <c r="J463" s="69"/>
      <c r="K463" s="69"/>
      <c r="L463" s="69"/>
      <c r="M463" s="69"/>
      <c r="N463" s="69"/>
      <c r="O463" s="69"/>
      <c r="P463" s="69"/>
      <c r="Q463" s="69"/>
      <c r="R463" s="69"/>
      <c r="S463" s="69"/>
      <c r="T463" s="69"/>
      <c r="U463" s="70"/>
      <c r="V463" s="70"/>
      <c r="W463" s="71"/>
      <c r="X463"/>
    </row>
    <row r="464" spans="1:24">
      <c r="A464" s="71"/>
      <c r="B464" s="71"/>
      <c r="C464" s="71"/>
      <c r="D464" s="69"/>
      <c r="E464"/>
      <c r="F464" s="69"/>
      <c r="G464" s="69"/>
      <c r="H464" s="69"/>
      <c r="I464" s="69"/>
      <c r="J464" s="69"/>
      <c r="K464" s="69"/>
      <c r="L464" s="69"/>
      <c r="M464" s="69"/>
      <c r="N464" s="69"/>
      <c r="O464" s="69"/>
      <c r="P464" s="69"/>
      <c r="Q464" s="69"/>
      <c r="R464" s="69"/>
      <c r="S464" s="69"/>
      <c r="T464" s="69"/>
      <c r="U464" s="70"/>
      <c r="V464" s="70"/>
      <c r="W464" s="71"/>
      <c r="X464"/>
    </row>
    <row r="465" spans="1:24">
      <c r="A465" s="71"/>
      <c r="B465" s="71"/>
      <c r="C465" s="71"/>
      <c r="D465" s="69"/>
      <c r="E465"/>
      <c r="F465" s="69"/>
      <c r="G465" s="69"/>
      <c r="H465" s="69"/>
      <c r="I465" s="69"/>
      <c r="J465" s="69"/>
      <c r="K465" s="69"/>
      <c r="L465" s="69"/>
      <c r="M465" s="69"/>
      <c r="N465" s="69"/>
      <c r="O465" s="69"/>
      <c r="P465" s="69"/>
      <c r="Q465" s="69"/>
      <c r="R465" s="69"/>
      <c r="S465" s="69"/>
      <c r="T465" s="69"/>
      <c r="U465" s="70"/>
      <c r="V465" s="70"/>
      <c r="W465" s="71"/>
      <c r="X465"/>
    </row>
    <row r="466" spans="1:24">
      <c r="A466" s="71"/>
      <c r="B466" s="71"/>
      <c r="C466" s="71"/>
      <c r="D466" s="69"/>
      <c r="E466"/>
      <c r="F466" s="69"/>
      <c r="G466" s="69"/>
      <c r="H466" s="69"/>
      <c r="I466" s="69"/>
      <c r="J466" s="69"/>
      <c r="K466" s="69"/>
      <c r="L466" s="69"/>
      <c r="M466" s="69"/>
      <c r="N466" s="69"/>
      <c r="O466" s="69"/>
      <c r="P466" s="69"/>
      <c r="Q466" s="69"/>
      <c r="R466" s="69"/>
      <c r="S466" s="69"/>
      <c r="T466" s="69"/>
      <c r="U466" s="70"/>
      <c r="V466" s="70"/>
      <c r="W466" s="71"/>
      <c r="X466"/>
    </row>
    <row r="467" spans="1:24">
      <c r="A467" s="71"/>
      <c r="B467" s="71"/>
      <c r="C467" s="71"/>
      <c r="D467" s="69"/>
      <c r="E467"/>
      <c r="F467" s="69"/>
      <c r="G467" s="69"/>
      <c r="H467" s="69"/>
      <c r="I467" s="69"/>
      <c r="J467" s="69"/>
      <c r="K467" s="69"/>
      <c r="L467" s="69"/>
      <c r="M467" s="69"/>
      <c r="N467" s="69"/>
      <c r="O467" s="69"/>
      <c r="P467" s="69"/>
      <c r="Q467" s="69"/>
      <c r="R467" s="69"/>
      <c r="S467" s="69"/>
      <c r="T467" s="69"/>
      <c r="U467" s="70"/>
      <c r="V467" s="70"/>
      <c r="W467" s="71"/>
      <c r="X467"/>
    </row>
    <row r="468" spans="1:24">
      <c r="A468" s="71"/>
      <c r="B468" s="71"/>
      <c r="C468" s="71"/>
      <c r="D468" s="69"/>
      <c r="E468"/>
      <c r="F468" s="69"/>
      <c r="G468" s="69"/>
      <c r="H468" s="69"/>
      <c r="I468" s="69"/>
      <c r="J468" s="69"/>
      <c r="K468" s="69"/>
      <c r="L468" s="69"/>
      <c r="M468" s="69"/>
      <c r="N468" s="69"/>
      <c r="O468" s="69"/>
      <c r="P468" s="69"/>
      <c r="Q468" s="69"/>
      <c r="R468" s="69"/>
      <c r="S468" s="69"/>
      <c r="T468" s="69"/>
      <c r="U468" s="70"/>
      <c r="V468" s="70"/>
      <c r="W468" s="71"/>
      <c r="X468"/>
    </row>
    <row r="469" spans="1:24">
      <c r="A469" s="71"/>
      <c r="B469" s="71"/>
      <c r="C469" s="71"/>
      <c r="D469" s="69"/>
      <c r="E469"/>
      <c r="F469" s="69"/>
      <c r="G469" s="69"/>
      <c r="H469" s="69"/>
      <c r="I469" s="69"/>
      <c r="J469" s="69"/>
      <c r="K469" s="69"/>
      <c r="L469" s="69"/>
      <c r="M469" s="69"/>
      <c r="N469" s="69"/>
      <c r="O469" s="69"/>
      <c r="P469" s="69"/>
      <c r="Q469" s="69"/>
      <c r="R469" s="69"/>
      <c r="S469" s="69"/>
      <c r="T469" s="69"/>
      <c r="U469" s="70"/>
      <c r="V469" s="70"/>
      <c r="W469" s="71"/>
      <c r="X469"/>
    </row>
    <row r="470" spans="1:24">
      <c r="A470" s="71"/>
      <c r="B470" s="71"/>
      <c r="C470" s="71"/>
      <c r="D470" s="69"/>
      <c r="E470"/>
      <c r="F470" s="69"/>
      <c r="G470" s="69"/>
      <c r="H470" s="69"/>
      <c r="I470" s="69"/>
      <c r="J470" s="69"/>
      <c r="K470" s="69"/>
      <c r="L470" s="69"/>
      <c r="M470" s="69"/>
      <c r="N470" s="69"/>
      <c r="O470" s="69"/>
      <c r="P470" s="69"/>
      <c r="Q470" s="69"/>
      <c r="R470" s="69"/>
      <c r="S470" s="69"/>
      <c r="T470" s="69"/>
      <c r="U470" s="70"/>
      <c r="V470" s="70"/>
      <c r="W470" s="71"/>
      <c r="X470"/>
    </row>
    <row r="471" spans="1:24">
      <c r="A471" s="71"/>
      <c r="B471" s="71"/>
      <c r="C471" s="71"/>
      <c r="D471" s="69"/>
      <c r="E471"/>
      <c r="F471" s="69"/>
      <c r="G471" s="69"/>
      <c r="H471" s="69"/>
      <c r="I471" s="69"/>
      <c r="J471" s="69"/>
      <c r="K471" s="69"/>
      <c r="L471" s="69"/>
      <c r="M471" s="69"/>
      <c r="N471" s="69"/>
      <c r="O471" s="69"/>
      <c r="P471" s="69"/>
      <c r="Q471" s="69"/>
      <c r="R471" s="69"/>
      <c r="S471" s="69"/>
      <c r="T471" s="69"/>
      <c r="U471" s="70"/>
      <c r="V471" s="70"/>
      <c r="W471" s="71"/>
      <c r="X471"/>
    </row>
    <row r="472" spans="1:24">
      <c r="A472" s="71"/>
      <c r="B472" s="71"/>
      <c r="C472" s="71"/>
      <c r="D472" s="69"/>
      <c r="E472"/>
      <c r="F472" s="69"/>
      <c r="G472" s="69"/>
      <c r="H472" s="69"/>
      <c r="I472" s="69"/>
      <c r="J472" s="69"/>
      <c r="K472" s="69"/>
      <c r="L472" s="69"/>
      <c r="M472" s="69"/>
      <c r="N472" s="69"/>
      <c r="O472" s="69"/>
      <c r="P472" s="69"/>
      <c r="Q472" s="69"/>
      <c r="R472" s="69"/>
      <c r="S472" s="69"/>
      <c r="T472" s="69"/>
      <c r="U472" s="70"/>
      <c r="V472" s="70"/>
      <c r="W472" s="71"/>
      <c r="X472"/>
    </row>
    <row r="473" spans="1:24">
      <c r="A473" s="71"/>
      <c r="B473" s="71"/>
      <c r="C473" s="71"/>
      <c r="D473" s="69"/>
      <c r="E473"/>
      <c r="F473" s="69"/>
      <c r="G473" s="69"/>
      <c r="H473" s="69"/>
      <c r="I473" s="69"/>
      <c r="J473" s="69"/>
      <c r="K473" s="69"/>
      <c r="L473" s="69"/>
      <c r="M473" s="69"/>
      <c r="N473" s="69"/>
      <c r="O473" s="69"/>
      <c r="P473" s="69"/>
      <c r="Q473" s="69"/>
      <c r="R473" s="69"/>
      <c r="S473" s="69"/>
      <c r="T473" s="69"/>
      <c r="U473" s="70"/>
      <c r="V473" s="70"/>
      <c r="W473" s="71"/>
      <c r="X473"/>
    </row>
    <row r="474" spans="1:24">
      <c r="A474" s="71"/>
      <c r="B474" s="71"/>
      <c r="C474" s="71"/>
      <c r="D474" s="69"/>
      <c r="E474"/>
      <c r="F474" s="69"/>
      <c r="G474" s="69"/>
      <c r="H474" s="69"/>
      <c r="I474" s="69"/>
      <c r="J474" s="69"/>
      <c r="K474" s="69"/>
      <c r="L474" s="69"/>
      <c r="M474" s="69"/>
      <c r="N474" s="69"/>
      <c r="O474" s="69"/>
      <c r="P474" s="69"/>
      <c r="Q474" s="69"/>
      <c r="R474" s="69"/>
      <c r="S474" s="69"/>
      <c r="T474" s="69"/>
      <c r="U474" s="70"/>
      <c r="V474" s="70"/>
      <c r="W474" s="71"/>
      <c r="X474"/>
    </row>
    <row r="475" spans="1:24">
      <c r="A475" s="71"/>
      <c r="B475" s="71"/>
      <c r="C475" s="71"/>
      <c r="D475" s="69"/>
      <c r="E475"/>
      <c r="F475" s="69"/>
      <c r="G475" s="69"/>
      <c r="H475" s="69"/>
      <c r="I475" s="69"/>
      <c r="J475" s="69"/>
      <c r="K475" s="69"/>
      <c r="L475" s="69"/>
      <c r="M475" s="69"/>
      <c r="N475" s="69"/>
      <c r="O475" s="69"/>
      <c r="P475" s="69"/>
      <c r="Q475" s="69"/>
      <c r="R475" s="69"/>
      <c r="S475" s="69"/>
      <c r="T475" s="69"/>
      <c r="U475" s="70"/>
      <c r="V475" s="70"/>
      <c r="W475" s="71"/>
      <c r="X475"/>
    </row>
    <row r="476" spans="1:24">
      <c r="A476" s="71"/>
      <c r="B476" s="71"/>
      <c r="C476" s="71"/>
      <c r="D476" s="69"/>
      <c r="E476"/>
      <c r="F476" s="69"/>
      <c r="G476" s="69"/>
      <c r="H476" s="69"/>
      <c r="I476" s="69"/>
      <c r="J476" s="69"/>
      <c r="K476" s="69"/>
      <c r="L476" s="69"/>
      <c r="M476" s="69"/>
      <c r="N476" s="69"/>
      <c r="O476" s="69"/>
      <c r="P476" s="69"/>
      <c r="Q476" s="69"/>
      <c r="R476" s="69"/>
      <c r="S476" s="69"/>
      <c r="T476" s="69"/>
      <c r="U476" s="70"/>
      <c r="V476" s="70"/>
      <c r="W476" s="71"/>
      <c r="X476"/>
    </row>
    <row r="477" spans="1:24">
      <c r="A477" s="71"/>
      <c r="B477" s="71"/>
      <c r="C477" s="71"/>
      <c r="D477" s="69"/>
      <c r="E477"/>
      <c r="F477" s="69"/>
      <c r="G477" s="69"/>
      <c r="H477" s="69"/>
      <c r="I477" s="69"/>
      <c r="J477" s="69"/>
      <c r="K477" s="69"/>
      <c r="L477" s="69"/>
      <c r="M477" s="69"/>
      <c r="N477" s="69"/>
      <c r="O477" s="69"/>
      <c r="P477" s="69"/>
      <c r="Q477" s="69"/>
      <c r="R477" s="69"/>
      <c r="S477" s="69"/>
      <c r="T477" s="69"/>
      <c r="U477" s="70"/>
      <c r="V477" s="70"/>
      <c r="W477" s="71"/>
      <c r="X477"/>
    </row>
    <row r="478" spans="1:24">
      <c r="A478" s="71"/>
      <c r="B478" s="71"/>
      <c r="C478" s="71"/>
      <c r="D478" s="69"/>
      <c r="E478"/>
      <c r="F478" s="69"/>
      <c r="G478" s="69"/>
      <c r="H478" s="69"/>
      <c r="I478" s="69"/>
      <c r="J478" s="69"/>
      <c r="K478" s="69"/>
      <c r="L478" s="69"/>
      <c r="M478" s="69"/>
      <c r="N478" s="69"/>
      <c r="O478" s="69"/>
      <c r="P478" s="69"/>
      <c r="Q478" s="69"/>
      <c r="R478" s="69"/>
      <c r="S478" s="69"/>
      <c r="T478" s="69"/>
      <c r="U478" s="70"/>
      <c r="V478" s="70"/>
      <c r="W478" s="71"/>
      <c r="X478"/>
    </row>
    <row r="479" spans="1:24">
      <c r="A479" s="71"/>
      <c r="B479" s="71"/>
      <c r="C479" s="71"/>
      <c r="D479" s="69"/>
      <c r="E479"/>
      <c r="F479" s="69"/>
      <c r="G479" s="69"/>
      <c r="H479" s="69"/>
      <c r="I479" s="69"/>
      <c r="J479" s="69"/>
      <c r="K479" s="69"/>
      <c r="L479" s="69"/>
      <c r="M479" s="69"/>
      <c r="N479" s="69"/>
      <c r="O479" s="69"/>
      <c r="P479" s="69"/>
      <c r="Q479" s="69"/>
      <c r="R479" s="69"/>
      <c r="S479" s="69"/>
      <c r="T479" s="69"/>
      <c r="U479" s="70"/>
      <c r="V479" s="70"/>
      <c r="W479" s="71"/>
      <c r="X479"/>
    </row>
    <row r="480" spans="1:24">
      <c r="A480" s="71"/>
      <c r="B480" s="71"/>
      <c r="C480" s="71"/>
      <c r="D480" s="69"/>
      <c r="E480"/>
      <c r="F480" s="69"/>
      <c r="G480" s="69"/>
      <c r="H480" s="69"/>
      <c r="I480" s="69"/>
      <c r="J480" s="69"/>
      <c r="K480" s="69"/>
      <c r="L480" s="69"/>
      <c r="M480" s="69"/>
      <c r="N480" s="69"/>
      <c r="O480" s="69"/>
      <c r="P480" s="69"/>
      <c r="Q480" s="69"/>
      <c r="R480" s="69"/>
      <c r="S480" s="69"/>
      <c r="T480" s="69"/>
      <c r="U480" s="70"/>
      <c r="V480" s="70"/>
      <c r="W480" s="71"/>
      <c r="X480"/>
    </row>
    <row r="481" spans="1:24">
      <c r="A481" s="71"/>
      <c r="B481" s="71"/>
      <c r="C481" s="71"/>
      <c r="D481" s="69"/>
      <c r="E481"/>
      <c r="F481" s="69"/>
      <c r="G481" s="69"/>
      <c r="H481" s="69"/>
      <c r="I481" s="69"/>
      <c r="J481" s="69"/>
      <c r="K481" s="69"/>
      <c r="L481" s="69"/>
      <c r="M481" s="69"/>
      <c r="N481" s="69"/>
      <c r="O481" s="69"/>
      <c r="P481" s="69"/>
      <c r="Q481" s="69"/>
      <c r="R481" s="69"/>
      <c r="S481" s="69"/>
      <c r="T481" s="69"/>
      <c r="U481" s="70"/>
      <c r="V481" s="70"/>
      <c r="W481" s="71"/>
      <c r="X481"/>
    </row>
    <row r="482" spans="1:24">
      <c r="A482" s="71"/>
      <c r="B482" s="71"/>
      <c r="C482" s="71"/>
      <c r="D482" s="69"/>
      <c r="E482"/>
      <c r="F482" s="69"/>
      <c r="G482" s="69"/>
      <c r="H482" s="69"/>
      <c r="I482" s="69"/>
      <c r="J482" s="69"/>
      <c r="K482" s="69"/>
      <c r="L482" s="69"/>
      <c r="M482" s="69"/>
      <c r="N482" s="69"/>
      <c r="O482" s="69"/>
      <c r="P482" s="69"/>
      <c r="Q482" s="69"/>
      <c r="R482" s="69"/>
      <c r="S482" s="69"/>
      <c r="T482" s="69"/>
      <c r="U482" s="70"/>
      <c r="V482" s="70"/>
      <c r="W482" s="71"/>
      <c r="X482"/>
    </row>
    <row r="483" spans="1:24">
      <c r="A483" s="71"/>
      <c r="B483" s="71"/>
      <c r="C483" s="71"/>
      <c r="D483" s="69"/>
      <c r="E483"/>
      <c r="F483" s="69"/>
      <c r="G483" s="69"/>
      <c r="H483" s="69"/>
      <c r="I483" s="69"/>
      <c r="J483" s="69"/>
      <c r="K483" s="69"/>
      <c r="L483" s="69"/>
      <c r="M483" s="69"/>
      <c r="N483" s="69"/>
      <c r="O483" s="69"/>
      <c r="P483" s="69"/>
      <c r="Q483" s="69"/>
      <c r="R483" s="69"/>
      <c r="S483" s="69"/>
      <c r="T483" s="69"/>
      <c r="U483" s="70"/>
      <c r="V483" s="70"/>
      <c r="W483" s="71"/>
      <c r="X483"/>
    </row>
    <row r="484" spans="1:24">
      <c r="A484" s="71"/>
      <c r="B484" s="71"/>
      <c r="C484" s="71"/>
      <c r="D484" s="69"/>
      <c r="E484"/>
      <c r="F484" s="69"/>
      <c r="G484" s="69"/>
      <c r="H484" s="69"/>
      <c r="I484" s="69"/>
      <c r="J484" s="69"/>
      <c r="K484" s="69"/>
      <c r="L484" s="69"/>
      <c r="M484" s="69"/>
      <c r="N484" s="69"/>
      <c r="O484" s="69"/>
      <c r="P484" s="69"/>
      <c r="Q484" s="69"/>
      <c r="R484" s="69"/>
      <c r="S484" s="69"/>
      <c r="T484" s="69"/>
      <c r="U484" s="70"/>
      <c r="V484" s="70"/>
      <c r="W484" s="71"/>
      <c r="X484"/>
    </row>
    <row r="485" spans="1:24">
      <c r="A485" s="71"/>
      <c r="B485" s="71"/>
      <c r="C485" s="71"/>
      <c r="D485" s="69"/>
      <c r="E485"/>
      <c r="F485" s="69"/>
      <c r="G485" s="69"/>
      <c r="H485" s="69"/>
      <c r="I485" s="69"/>
      <c r="J485" s="69"/>
      <c r="K485" s="69"/>
      <c r="L485" s="69"/>
      <c r="M485" s="69"/>
      <c r="N485" s="69"/>
      <c r="O485" s="69"/>
      <c r="P485" s="69"/>
      <c r="Q485" s="69"/>
      <c r="R485" s="69"/>
      <c r="S485" s="69"/>
      <c r="T485" s="69"/>
      <c r="U485" s="70"/>
      <c r="V485" s="70"/>
      <c r="W485" s="71"/>
      <c r="X485"/>
    </row>
    <row r="486" spans="1:24">
      <c r="A486" s="71"/>
      <c r="B486" s="71"/>
      <c r="C486" s="71"/>
      <c r="D486" s="69"/>
      <c r="E486"/>
      <c r="F486" s="69"/>
      <c r="G486" s="69"/>
      <c r="H486" s="69"/>
      <c r="I486" s="69"/>
      <c r="J486" s="69"/>
      <c r="K486" s="69"/>
      <c r="L486" s="69"/>
      <c r="M486" s="69"/>
      <c r="N486" s="69"/>
      <c r="O486" s="69"/>
      <c r="P486" s="69"/>
      <c r="Q486" s="69"/>
      <c r="R486" s="69"/>
      <c r="S486" s="69"/>
      <c r="T486" s="69"/>
      <c r="U486" s="70"/>
      <c r="V486" s="70"/>
      <c r="W486" s="71"/>
      <c r="X486"/>
    </row>
    <row r="487" spans="1:24">
      <c r="A487" s="71"/>
      <c r="B487" s="71"/>
      <c r="C487" s="71"/>
      <c r="D487" s="69"/>
      <c r="E487"/>
      <c r="F487" s="69"/>
      <c r="G487" s="69"/>
      <c r="H487" s="69"/>
      <c r="I487" s="69"/>
      <c r="J487" s="69"/>
      <c r="K487" s="69"/>
      <c r="L487" s="69"/>
      <c r="M487" s="69"/>
      <c r="N487" s="69"/>
      <c r="O487" s="69"/>
      <c r="P487" s="69"/>
      <c r="Q487" s="69"/>
      <c r="R487" s="69"/>
      <c r="S487" s="69"/>
      <c r="T487" s="69"/>
      <c r="U487" s="70"/>
      <c r="V487" s="70"/>
      <c r="W487" s="71"/>
      <c r="X487"/>
    </row>
    <row r="488" spans="1:24">
      <c r="A488" s="71"/>
      <c r="B488" s="71"/>
      <c r="C488" s="71"/>
      <c r="D488" s="69"/>
      <c r="E488"/>
      <c r="F488" s="69"/>
      <c r="G488" s="69"/>
      <c r="H488" s="69"/>
      <c r="I488" s="69"/>
      <c r="J488" s="69"/>
      <c r="K488" s="69"/>
      <c r="L488" s="69"/>
      <c r="M488" s="69"/>
      <c r="N488" s="69"/>
      <c r="O488" s="69"/>
      <c r="P488" s="69"/>
      <c r="Q488" s="69"/>
      <c r="R488" s="69"/>
      <c r="S488" s="69"/>
      <c r="T488" s="69"/>
      <c r="U488" s="70"/>
      <c r="V488" s="70"/>
      <c r="W488" s="71"/>
      <c r="X488"/>
    </row>
    <row r="489" spans="1:24">
      <c r="A489" s="71"/>
      <c r="B489" s="71"/>
      <c r="C489" s="71"/>
      <c r="D489" s="69"/>
      <c r="E489"/>
      <c r="F489" s="69"/>
      <c r="G489" s="69"/>
      <c r="H489" s="69"/>
      <c r="I489" s="69"/>
      <c r="J489" s="69"/>
      <c r="K489" s="69"/>
      <c r="L489" s="69"/>
      <c r="M489" s="69"/>
      <c r="N489" s="69"/>
      <c r="O489" s="69"/>
      <c r="P489" s="69"/>
      <c r="Q489" s="69"/>
      <c r="R489" s="69"/>
      <c r="S489" s="69"/>
      <c r="T489" s="69"/>
      <c r="U489" s="70"/>
      <c r="V489" s="70"/>
      <c r="W489" s="71"/>
      <c r="X489"/>
    </row>
    <row r="490" spans="1:24">
      <c r="A490" s="71"/>
      <c r="B490" s="71"/>
      <c r="C490" s="71"/>
      <c r="D490" s="69"/>
      <c r="E490"/>
      <c r="F490" s="69"/>
      <c r="G490" s="69"/>
      <c r="H490" s="69"/>
      <c r="I490" s="69"/>
      <c r="J490" s="69"/>
      <c r="K490" s="69"/>
      <c r="L490" s="69"/>
      <c r="M490" s="69"/>
      <c r="N490" s="69"/>
      <c r="O490" s="69"/>
      <c r="P490" s="69"/>
      <c r="Q490" s="69"/>
      <c r="R490" s="69"/>
      <c r="S490" s="69"/>
      <c r="T490" s="69"/>
      <c r="U490" s="70"/>
      <c r="V490" s="70"/>
      <c r="W490" s="71"/>
      <c r="X490"/>
    </row>
    <row r="491" spans="1:24">
      <c r="A491" s="71"/>
      <c r="B491" s="71"/>
      <c r="C491" s="71"/>
      <c r="D491" s="69"/>
      <c r="E491"/>
      <c r="F491" s="69"/>
      <c r="G491" s="69"/>
      <c r="H491" s="69"/>
      <c r="I491" s="69"/>
      <c r="J491" s="69"/>
      <c r="K491" s="69"/>
      <c r="L491" s="69"/>
      <c r="M491" s="69"/>
      <c r="N491" s="69"/>
      <c r="O491" s="69"/>
      <c r="P491" s="69"/>
      <c r="Q491" s="69"/>
      <c r="R491" s="69"/>
      <c r="S491" s="69"/>
      <c r="T491" s="69"/>
      <c r="U491" s="70"/>
      <c r="V491" s="70"/>
      <c r="W491" s="71"/>
      <c r="X491"/>
    </row>
    <row r="492" spans="1:24">
      <c r="A492" s="71"/>
      <c r="B492" s="71"/>
      <c r="C492" s="71"/>
      <c r="D492" s="69"/>
      <c r="E492"/>
      <c r="F492" s="69"/>
      <c r="G492" s="69"/>
      <c r="H492" s="69"/>
      <c r="I492" s="69"/>
      <c r="J492" s="69"/>
      <c r="K492" s="69"/>
      <c r="L492" s="69"/>
      <c r="M492" s="69"/>
      <c r="N492" s="69"/>
      <c r="O492" s="69"/>
      <c r="P492" s="69"/>
      <c r="Q492" s="69"/>
      <c r="R492" s="69"/>
      <c r="S492" s="69"/>
      <c r="T492" s="69"/>
      <c r="U492" s="70"/>
      <c r="V492" s="70"/>
      <c r="W492" s="71"/>
      <c r="X492"/>
    </row>
    <row r="493" spans="1:24">
      <c r="A493" s="71"/>
      <c r="B493" s="71"/>
      <c r="C493" s="71"/>
      <c r="D493" s="69"/>
      <c r="E493"/>
      <c r="F493" s="69"/>
      <c r="G493" s="69"/>
      <c r="H493" s="69"/>
      <c r="I493" s="69"/>
      <c r="J493" s="69"/>
      <c r="K493" s="69"/>
      <c r="L493" s="69"/>
      <c r="M493" s="69"/>
      <c r="N493" s="69"/>
      <c r="O493" s="69"/>
      <c r="P493" s="69"/>
      <c r="Q493" s="69"/>
      <c r="R493" s="69"/>
      <c r="S493" s="69"/>
      <c r="T493" s="69"/>
      <c r="U493" s="70"/>
      <c r="V493" s="70"/>
      <c r="W493" s="71"/>
      <c r="X493"/>
    </row>
    <row r="494" spans="1:24">
      <c r="A494" s="71"/>
      <c r="B494" s="71"/>
      <c r="C494" s="71"/>
      <c r="D494" s="69"/>
      <c r="E494"/>
      <c r="F494" s="69"/>
      <c r="G494" s="69"/>
      <c r="H494" s="69"/>
      <c r="I494" s="69"/>
      <c r="J494" s="69"/>
      <c r="K494" s="69"/>
      <c r="L494" s="69"/>
      <c r="M494" s="69"/>
      <c r="N494" s="69"/>
      <c r="O494" s="69"/>
      <c r="P494" s="69"/>
      <c r="Q494" s="69"/>
      <c r="R494" s="69"/>
      <c r="S494" s="69"/>
      <c r="T494" s="69"/>
      <c r="U494" s="70"/>
      <c r="V494" s="70"/>
      <c r="W494" s="71"/>
      <c r="X494"/>
    </row>
    <row r="495" spans="1:24">
      <c r="A495" s="71"/>
      <c r="B495" s="71"/>
      <c r="C495" s="71"/>
      <c r="D495" s="69"/>
      <c r="E495"/>
      <c r="F495" s="69"/>
      <c r="G495" s="69"/>
      <c r="H495" s="69"/>
      <c r="I495" s="69"/>
      <c r="J495" s="69"/>
      <c r="K495" s="69"/>
      <c r="L495" s="69"/>
      <c r="M495" s="69"/>
      <c r="N495" s="69"/>
      <c r="O495" s="69"/>
      <c r="P495" s="69"/>
      <c r="Q495" s="69"/>
      <c r="R495" s="69"/>
      <c r="S495" s="69"/>
      <c r="T495" s="69"/>
      <c r="U495" s="70"/>
      <c r="V495" s="70"/>
      <c r="W495" s="71"/>
      <c r="X495"/>
    </row>
    <row r="496" spans="1:24">
      <c r="A496" s="71"/>
      <c r="B496" s="71"/>
      <c r="C496" s="71"/>
      <c r="D496" s="69"/>
      <c r="E496"/>
      <c r="F496" s="69"/>
      <c r="G496" s="69"/>
      <c r="H496" s="69"/>
      <c r="I496" s="69"/>
      <c r="J496" s="69"/>
      <c r="K496" s="69"/>
      <c r="L496" s="69"/>
      <c r="M496" s="69"/>
      <c r="N496" s="69"/>
      <c r="O496" s="69"/>
      <c r="P496" s="69"/>
      <c r="Q496" s="69"/>
      <c r="R496" s="69"/>
      <c r="S496" s="69"/>
      <c r="T496" s="69"/>
      <c r="U496" s="70"/>
      <c r="V496" s="70"/>
      <c r="W496" s="71"/>
      <c r="X496"/>
    </row>
    <row r="497" spans="1:24">
      <c r="A497" s="71"/>
      <c r="B497" s="71"/>
      <c r="C497" s="71"/>
      <c r="D497" s="69"/>
      <c r="E497"/>
      <c r="F497" s="69"/>
      <c r="G497" s="69"/>
      <c r="H497" s="69"/>
      <c r="I497" s="69"/>
      <c r="J497" s="69"/>
      <c r="K497" s="69"/>
      <c r="L497" s="69"/>
      <c r="M497" s="69"/>
      <c r="N497" s="69"/>
      <c r="O497" s="69"/>
      <c r="P497" s="69"/>
      <c r="Q497" s="69"/>
      <c r="R497" s="69"/>
      <c r="S497" s="69"/>
      <c r="T497" s="69"/>
      <c r="U497" s="70"/>
      <c r="V497" s="70"/>
      <c r="W497" s="71"/>
      <c r="X497"/>
    </row>
    <row r="498" spans="1:24">
      <c r="A498" s="71"/>
      <c r="B498" s="71"/>
      <c r="C498" s="71"/>
      <c r="D498" s="69"/>
      <c r="E498"/>
      <c r="F498" s="69"/>
      <c r="G498" s="69"/>
      <c r="H498" s="69"/>
      <c r="I498" s="69"/>
      <c r="J498" s="69"/>
      <c r="K498" s="69"/>
      <c r="L498" s="69"/>
      <c r="M498" s="69"/>
      <c r="N498" s="69"/>
      <c r="O498" s="69"/>
      <c r="P498" s="69"/>
      <c r="Q498" s="69"/>
      <c r="R498" s="69"/>
      <c r="S498" s="69"/>
      <c r="T498" s="69"/>
      <c r="U498" s="70"/>
      <c r="V498" s="70"/>
      <c r="W498" s="71"/>
      <c r="X498"/>
    </row>
    <row r="499" spans="1:24">
      <c r="A499" s="71"/>
      <c r="B499" s="71"/>
      <c r="C499" s="71"/>
      <c r="D499" s="69"/>
      <c r="E499"/>
      <c r="F499" s="69"/>
      <c r="G499" s="69"/>
      <c r="H499" s="69"/>
      <c r="I499" s="69"/>
      <c r="J499" s="69"/>
      <c r="K499" s="69"/>
      <c r="L499" s="69"/>
      <c r="M499" s="69"/>
      <c r="N499" s="69"/>
      <c r="O499" s="69"/>
      <c r="P499" s="69"/>
      <c r="Q499" s="69"/>
      <c r="R499" s="69"/>
      <c r="S499" s="69"/>
      <c r="T499" s="69"/>
      <c r="U499" s="70"/>
      <c r="V499" s="70"/>
      <c r="W499" s="71"/>
      <c r="X499"/>
    </row>
    <row r="500" spans="1:24">
      <c r="A500" s="71"/>
      <c r="B500" s="71"/>
      <c r="C500" s="71"/>
      <c r="D500" s="69"/>
      <c r="E500"/>
      <c r="F500" s="69"/>
      <c r="G500" s="69"/>
      <c r="H500" s="69"/>
      <c r="I500" s="69"/>
      <c r="J500" s="69"/>
      <c r="K500" s="69"/>
      <c r="L500" s="69"/>
      <c r="M500" s="69"/>
      <c r="N500" s="69"/>
      <c r="O500" s="69"/>
      <c r="P500" s="69"/>
      <c r="Q500" s="69"/>
      <c r="R500" s="69"/>
      <c r="S500" s="69"/>
      <c r="T500" s="69"/>
      <c r="U500" s="70"/>
      <c r="V500" s="70"/>
      <c r="W500" s="71"/>
      <c r="X500"/>
    </row>
    <row r="501" spans="1:24">
      <c r="A501" s="71"/>
      <c r="B501" s="71"/>
      <c r="C501" s="71"/>
      <c r="D501" s="69"/>
      <c r="E501"/>
      <c r="F501" s="69"/>
      <c r="G501" s="69"/>
      <c r="H501" s="69"/>
      <c r="I501" s="69"/>
      <c r="J501" s="69"/>
      <c r="K501" s="69"/>
      <c r="L501" s="69"/>
      <c r="M501" s="69"/>
      <c r="N501" s="69"/>
      <c r="O501" s="69"/>
      <c r="P501" s="69"/>
      <c r="Q501" s="69"/>
      <c r="R501" s="69"/>
      <c r="S501" s="69"/>
      <c r="T501" s="69"/>
      <c r="U501" s="70"/>
      <c r="V501" s="70"/>
      <c r="W501" s="71"/>
      <c r="X501"/>
    </row>
    <row r="502" spans="1:24">
      <c r="A502" s="71"/>
      <c r="B502" s="71"/>
      <c r="C502" s="71"/>
      <c r="D502" s="69"/>
      <c r="E502"/>
      <c r="F502" s="69"/>
      <c r="G502" s="69"/>
      <c r="H502" s="69"/>
      <c r="I502" s="69"/>
      <c r="J502" s="69"/>
      <c r="K502" s="69"/>
      <c r="L502" s="69"/>
      <c r="M502" s="69"/>
      <c r="N502" s="69"/>
      <c r="O502" s="69"/>
      <c r="P502" s="69"/>
      <c r="Q502" s="69"/>
      <c r="R502" s="69"/>
      <c r="S502" s="69"/>
      <c r="T502" s="69"/>
      <c r="U502" s="70"/>
      <c r="V502" s="70"/>
      <c r="W502" s="71"/>
      <c r="X502"/>
    </row>
    <row r="503" spans="1:24">
      <c r="A503" s="71"/>
      <c r="B503" s="71"/>
      <c r="C503" s="71"/>
      <c r="D503" s="69"/>
      <c r="E503"/>
      <c r="F503" s="69"/>
      <c r="G503" s="69"/>
      <c r="H503" s="69"/>
      <c r="I503" s="69"/>
      <c r="J503" s="69"/>
      <c r="K503" s="69"/>
      <c r="L503" s="69"/>
      <c r="M503" s="69"/>
      <c r="N503" s="69"/>
      <c r="O503" s="69"/>
      <c r="P503" s="69"/>
      <c r="Q503" s="69"/>
      <c r="R503" s="69"/>
      <c r="S503" s="69"/>
      <c r="T503" s="69"/>
      <c r="U503" s="70"/>
      <c r="V503" s="70"/>
      <c r="W503" s="71"/>
      <c r="X503"/>
    </row>
    <row r="504" spans="1:24">
      <c r="A504" s="71"/>
      <c r="B504" s="71"/>
      <c r="C504" s="71"/>
      <c r="D504" s="69"/>
      <c r="E504"/>
      <c r="F504" s="69"/>
      <c r="G504" s="69"/>
      <c r="H504" s="69"/>
      <c r="I504" s="69"/>
      <c r="J504" s="69"/>
      <c r="K504" s="69"/>
      <c r="L504" s="69"/>
      <c r="M504" s="69"/>
      <c r="N504" s="69"/>
      <c r="O504" s="69"/>
      <c r="P504" s="69"/>
      <c r="Q504" s="69"/>
      <c r="R504" s="69"/>
      <c r="S504" s="69"/>
      <c r="T504" s="69"/>
      <c r="U504" s="70"/>
      <c r="V504" s="70"/>
      <c r="W504" s="71"/>
      <c r="X504"/>
    </row>
    <row r="505" spans="1:24">
      <c r="A505" s="71"/>
      <c r="B505" s="71"/>
      <c r="C505" s="71"/>
      <c r="D505" s="69"/>
      <c r="E505"/>
      <c r="F505" s="69"/>
      <c r="G505" s="69"/>
      <c r="H505" s="69"/>
      <c r="I505" s="69"/>
      <c r="J505" s="69"/>
      <c r="K505" s="69"/>
      <c r="L505" s="69"/>
      <c r="M505" s="69"/>
      <c r="N505" s="69"/>
      <c r="O505" s="69"/>
      <c r="P505" s="69"/>
      <c r="Q505" s="69"/>
      <c r="R505" s="69"/>
      <c r="S505" s="69"/>
      <c r="T505" s="69"/>
      <c r="U505" s="70"/>
      <c r="V505" s="70"/>
      <c r="W505" s="71"/>
      <c r="X505"/>
    </row>
    <row r="506" spans="1:24">
      <c r="A506" s="71"/>
      <c r="B506" s="71"/>
      <c r="C506" s="71"/>
      <c r="D506" s="69"/>
      <c r="E506"/>
      <c r="F506" s="69"/>
      <c r="G506" s="69"/>
      <c r="H506" s="69"/>
      <c r="I506" s="69"/>
      <c r="J506" s="69"/>
      <c r="K506" s="69"/>
      <c r="L506" s="69"/>
      <c r="M506" s="69"/>
      <c r="N506" s="69"/>
      <c r="O506" s="69"/>
      <c r="P506" s="69"/>
      <c r="Q506" s="69"/>
      <c r="R506" s="69"/>
      <c r="S506" s="69"/>
      <c r="T506" s="69"/>
      <c r="U506" s="70"/>
      <c r="V506" s="70"/>
      <c r="W506" s="71"/>
      <c r="X506"/>
    </row>
    <row r="507" spans="1:24">
      <c r="A507" s="71"/>
      <c r="B507" s="71"/>
      <c r="C507" s="71"/>
      <c r="D507" s="69"/>
      <c r="E507"/>
      <c r="F507" s="69"/>
      <c r="G507" s="69"/>
      <c r="H507" s="69"/>
      <c r="I507" s="69"/>
      <c r="J507" s="69"/>
      <c r="K507" s="69"/>
      <c r="L507" s="69"/>
      <c r="M507" s="69"/>
      <c r="N507" s="69"/>
      <c r="O507" s="69"/>
      <c r="P507" s="69"/>
      <c r="Q507" s="69"/>
      <c r="R507" s="69"/>
      <c r="S507" s="69"/>
      <c r="T507" s="69"/>
      <c r="U507" s="70"/>
      <c r="V507" s="70"/>
      <c r="W507" s="71"/>
      <c r="X507"/>
    </row>
    <row r="508" spans="1:24">
      <c r="A508" s="71"/>
      <c r="B508" s="71"/>
      <c r="C508" s="71"/>
      <c r="D508" s="69"/>
      <c r="E508"/>
      <c r="F508" s="69"/>
      <c r="G508" s="69"/>
      <c r="H508" s="69"/>
      <c r="I508" s="69"/>
      <c r="J508" s="69"/>
      <c r="K508" s="69"/>
      <c r="L508" s="69"/>
      <c r="M508" s="69"/>
      <c r="N508" s="69"/>
      <c r="O508" s="69"/>
      <c r="P508" s="69"/>
      <c r="Q508" s="69"/>
      <c r="R508" s="69"/>
      <c r="S508" s="69"/>
      <c r="T508" s="69"/>
      <c r="U508" s="70"/>
      <c r="V508" s="70"/>
      <c r="W508" s="71"/>
      <c r="X508"/>
    </row>
    <row r="509" spans="1:24">
      <c r="A509" s="71"/>
      <c r="B509" s="71"/>
      <c r="C509" s="71"/>
      <c r="D509" s="69"/>
      <c r="E509"/>
      <c r="F509" s="69"/>
      <c r="G509" s="69"/>
      <c r="H509" s="69"/>
      <c r="I509" s="69"/>
      <c r="J509" s="69"/>
      <c r="K509" s="69"/>
      <c r="L509" s="69"/>
      <c r="M509" s="69"/>
      <c r="N509" s="69"/>
      <c r="O509" s="69"/>
      <c r="P509" s="69"/>
      <c r="Q509" s="69"/>
      <c r="R509" s="69"/>
      <c r="S509" s="69"/>
      <c r="T509" s="69"/>
      <c r="U509" s="70"/>
      <c r="V509" s="70"/>
      <c r="W509" s="71"/>
      <c r="X509"/>
    </row>
    <row r="510" spans="1:24">
      <c r="A510" s="71"/>
      <c r="B510" s="71"/>
      <c r="C510" s="71"/>
      <c r="D510" s="69"/>
      <c r="E510"/>
      <c r="F510" s="69"/>
      <c r="G510" s="69"/>
      <c r="H510" s="69"/>
      <c r="I510" s="69"/>
      <c r="J510" s="69"/>
      <c r="K510" s="69"/>
      <c r="L510" s="69"/>
      <c r="M510" s="69"/>
      <c r="N510" s="69"/>
      <c r="O510" s="69"/>
      <c r="P510" s="69"/>
      <c r="Q510" s="69"/>
      <c r="R510" s="69"/>
      <c r="S510" s="69"/>
      <c r="T510" s="69"/>
      <c r="U510" s="70"/>
      <c r="V510" s="70"/>
      <c r="W510" s="71"/>
      <c r="X510"/>
    </row>
    <row r="511" spans="1:24">
      <c r="A511" s="71"/>
      <c r="B511" s="71"/>
      <c r="C511" s="71"/>
      <c r="D511" s="69"/>
      <c r="E511"/>
      <c r="F511" s="69"/>
      <c r="G511" s="69"/>
      <c r="H511" s="69"/>
      <c r="I511" s="69"/>
      <c r="J511" s="69"/>
      <c r="K511" s="69"/>
      <c r="L511" s="69"/>
      <c r="M511" s="69"/>
      <c r="N511" s="69"/>
      <c r="O511" s="69"/>
      <c r="P511" s="69"/>
      <c r="Q511" s="69"/>
      <c r="R511" s="69"/>
      <c r="S511" s="69"/>
      <c r="T511" s="69"/>
      <c r="U511" s="70"/>
      <c r="V511" s="70"/>
      <c r="W511" s="71"/>
      <c r="X511"/>
    </row>
    <row r="512" spans="1:24">
      <c r="A512" s="71"/>
      <c r="B512" s="71"/>
      <c r="C512" s="71"/>
      <c r="D512" s="69"/>
      <c r="E512"/>
      <c r="F512" s="69"/>
      <c r="G512" s="69"/>
      <c r="H512" s="69"/>
      <c r="I512" s="69"/>
      <c r="J512" s="69"/>
      <c r="K512" s="69"/>
      <c r="L512" s="69"/>
      <c r="M512" s="69"/>
      <c r="N512" s="69"/>
      <c r="O512" s="69"/>
      <c r="P512" s="69"/>
      <c r="Q512" s="69"/>
      <c r="R512" s="69"/>
      <c r="S512" s="69"/>
      <c r="T512" s="69"/>
      <c r="U512" s="70"/>
      <c r="V512" s="70"/>
      <c r="W512" s="71"/>
      <c r="X512"/>
    </row>
    <row r="513" spans="1:24">
      <c r="A513" s="71"/>
      <c r="B513" s="71"/>
      <c r="C513" s="71"/>
      <c r="D513" s="69"/>
      <c r="E513"/>
      <c r="F513" s="69"/>
      <c r="G513" s="69"/>
      <c r="H513" s="69"/>
      <c r="I513" s="69"/>
      <c r="J513" s="69"/>
      <c r="K513" s="69"/>
      <c r="L513" s="69"/>
      <c r="M513" s="69"/>
      <c r="N513" s="69"/>
      <c r="O513" s="69"/>
      <c r="P513" s="69"/>
      <c r="Q513" s="69"/>
      <c r="R513" s="69"/>
      <c r="S513" s="69"/>
      <c r="T513" s="69"/>
      <c r="U513" s="70"/>
      <c r="V513" s="70"/>
      <c r="W513" s="71"/>
      <c r="X513"/>
    </row>
    <row r="514" spans="1:24">
      <c r="A514" s="71"/>
      <c r="B514" s="71"/>
      <c r="C514" s="71"/>
      <c r="D514" s="69"/>
      <c r="E514"/>
      <c r="F514" s="69"/>
      <c r="G514" s="69"/>
      <c r="H514" s="69"/>
      <c r="I514" s="69"/>
      <c r="J514" s="69"/>
      <c r="K514" s="69"/>
      <c r="L514" s="69"/>
      <c r="M514" s="69"/>
      <c r="N514" s="69"/>
      <c r="O514" s="69"/>
      <c r="P514" s="69"/>
      <c r="Q514" s="69"/>
      <c r="R514" s="69"/>
      <c r="S514" s="69"/>
      <c r="T514" s="69"/>
      <c r="U514" s="70"/>
      <c r="V514" s="70"/>
      <c r="W514" s="71"/>
      <c r="X514"/>
    </row>
    <row r="515" spans="1:24">
      <c r="A515" s="71"/>
      <c r="B515" s="71"/>
      <c r="C515" s="71"/>
      <c r="D515" s="69"/>
      <c r="E515"/>
      <c r="F515" s="69"/>
      <c r="G515" s="69"/>
      <c r="H515" s="69"/>
      <c r="I515" s="69"/>
      <c r="J515" s="69"/>
      <c r="K515" s="69"/>
      <c r="L515" s="69"/>
      <c r="M515" s="69"/>
      <c r="N515" s="69"/>
      <c r="O515" s="69"/>
      <c r="P515" s="69"/>
      <c r="Q515" s="69"/>
      <c r="R515" s="69"/>
      <c r="S515" s="69"/>
      <c r="T515" s="69"/>
      <c r="U515" s="70"/>
      <c r="V515" s="70"/>
      <c r="W515" s="71"/>
      <c r="X515"/>
    </row>
    <row r="516" spans="1:24">
      <c r="A516" s="71"/>
      <c r="B516" s="71"/>
      <c r="C516" s="71"/>
      <c r="D516" s="69"/>
      <c r="E516"/>
      <c r="F516" s="69"/>
      <c r="G516" s="69"/>
      <c r="H516" s="69"/>
      <c r="I516" s="69"/>
      <c r="J516" s="69"/>
      <c r="K516" s="69"/>
      <c r="L516" s="69"/>
      <c r="M516" s="69"/>
      <c r="N516" s="69"/>
      <c r="O516" s="69"/>
      <c r="P516" s="69"/>
      <c r="Q516" s="69"/>
      <c r="R516" s="69"/>
      <c r="S516" s="69"/>
      <c r="T516" s="69"/>
      <c r="U516" s="70"/>
      <c r="V516" s="70"/>
      <c r="W516" s="71"/>
      <c r="X516"/>
    </row>
    <row r="517" spans="1:24">
      <c r="A517" s="71"/>
      <c r="B517" s="71"/>
      <c r="C517" s="71"/>
      <c r="D517" s="69"/>
      <c r="E517"/>
      <c r="F517" s="69"/>
      <c r="G517" s="69"/>
      <c r="H517" s="69"/>
      <c r="I517" s="69"/>
      <c r="J517" s="69"/>
      <c r="K517" s="69"/>
      <c r="L517" s="69"/>
      <c r="M517" s="69"/>
      <c r="N517" s="69"/>
      <c r="O517" s="69"/>
      <c r="P517" s="69"/>
      <c r="Q517" s="69"/>
      <c r="R517" s="69"/>
      <c r="S517" s="69"/>
      <c r="T517" s="69"/>
      <c r="U517" s="70"/>
      <c r="V517" s="70"/>
      <c r="W517" s="71"/>
      <c r="X517"/>
    </row>
    <row r="518" spans="1:24">
      <c r="A518" s="71"/>
      <c r="B518" s="71"/>
      <c r="C518" s="71"/>
      <c r="D518" s="69"/>
      <c r="E518"/>
      <c r="F518" s="69"/>
      <c r="G518" s="69"/>
      <c r="H518" s="69"/>
      <c r="I518" s="69"/>
      <c r="J518" s="69"/>
      <c r="K518" s="69"/>
      <c r="L518" s="69"/>
      <c r="M518" s="69"/>
      <c r="N518" s="69"/>
      <c r="O518" s="69"/>
      <c r="P518" s="69"/>
      <c r="Q518" s="69"/>
      <c r="R518" s="69"/>
      <c r="S518" s="69"/>
      <c r="T518" s="69"/>
      <c r="U518" s="70"/>
      <c r="V518" s="70"/>
      <c r="W518" s="71"/>
      <c r="X518"/>
    </row>
    <row r="519" spans="1:24">
      <c r="A519" s="71"/>
      <c r="B519" s="71"/>
      <c r="C519" s="71"/>
      <c r="D519" s="69"/>
      <c r="E519"/>
      <c r="F519" s="69"/>
      <c r="G519" s="69"/>
      <c r="H519" s="69"/>
      <c r="I519" s="69"/>
      <c r="J519" s="69"/>
      <c r="K519" s="69"/>
      <c r="L519" s="69"/>
      <c r="M519" s="69"/>
      <c r="N519" s="69"/>
      <c r="O519" s="69"/>
      <c r="P519" s="69"/>
      <c r="Q519" s="69"/>
      <c r="R519" s="69"/>
      <c r="S519" s="69"/>
      <c r="T519" s="69"/>
      <c r="U519" s="70"/>
      <c r="V519" s="70"/>
      <c r="W519" s="71"/>
      <c r="X519"/>
    </row>
    <row r="520" spans="1:24">
      <c r="A520" s="71"/>
      <c r="B520" s="71"/>
      <c r="C520" s="71"/>
      <c r="D520" s="69"/>
      <c r="E520"/>
      <c r="F520" s="69"/>
      <c r="G520" s="69"/>
      <c r="H520" s="69"/>
      <c r="I520" s="69"/>
      <c r="J520" s="69"/>
      <c r="K520" s="69"/>
      <c r="L520" s="69"/>
      <c r="M520" s="69"/>
      <c r="N520" s="69"/>
      <c r="O520" s="69"/>
      <c r="P520" s="69"/>
      <c r="Q520" s="69"/>
      <c r="R520" s="69"/>
      <c r="S520" s="69"/>
      <c r="T520" s="69"/>
      <c r="U520" s="70"/>
      <c r="V520" s="70"/>
      <c r="W520" s="71"/>
      <c r="X520"/>
    </row>
    <row r="521" spans="1:24">
      <c r="A521" s="71"/>
      <c r="B521" s="71"/>
      <c r="C521" s="71"/>
      <c r="D521" s="69"/>
      <c r="E521"/>
      <c r="F521" s="69"/>
      <c r="G521" s="69"/>
      <c r="H521" s="69"/>
      <c r="I521" s="69"/>
      <c r="J521" s="69"/>
      <c r="K521" s="69"/>
      <c r="L521" s="69"/>
      <c r="M521" s="69"/>
      <c r="N521" s="69"/>
      <c r="O521" s="69"/>
      <c r="P521" s="69"/>
      <c r="Q521" s="69"/>
      <c r="R521" s="69"/>
      <c r="S521" s="69"/>
      <c r="T521" s="69"/>
      <c r="U521" s="70"/>
      <c r="V521" s="70"/>
      <c r="W521" s="71"/>
      <c r="X521"/>
    </row>
    <row r="522" spans="1:24">
      <c r="A522" s="71"/>
      <c r="B522" s="71"/>
      <c r="C522" s="71"/>
      <c r="D522" s="69"/>
      <c r="E522"/>
      <c r="F522" s="69"/>
      <c r="G522" s="69"/>
      <c r="H522" s="69"/>
      <c r="I522" s="69"/>
      <c r="J522" s="69"/>
      <c r="K522" s="69"/>
      <c r="L522" s="69"/>
      <c r="M522" s="69"/>
      <c r="N522" s="69"/>
      <c r="O522" s="69"/>
      <c r="P522" s="69"/>
      <c r="Q522" s="69"/>
      <c r="R522" s="69"/>
      <c r="S522" s="69"/>
      <c r="T522" s="69"/>
      <c r="U522" s="70"/>
      <c r="V522" s="70"/>
      <c r="W522" s="71"/>
      <c r="X522"/>
    </row>
    <row r="523" spans="1:24">
      <c r="A523" s="71"/>
      <c r="B523" s="71"/>
      <c r="C523" s="71"/>
      <c r="D523" s="69"/>
      <c r="E523"/>
      <c r="F523" s="69"/>
      <c r="G523" s="69"/>
      <c r="H523" s="69"/>
      <c r="I523" s="69"/>
      <c r="J523" s="69"/>
      <c r="K523" s="69"/>
      <c r="L523" s="69"/>
      <c r="M523" s="69"/>
      <c r="N523" s="69"/>
      <c r="O523" s="69"/>
      <c r="P523" s="69"/>
      <c r="Q523" s="69"/>
      <c r="R523" s="69"/>
      <c r="S523" s="69"/>
      <c r="T523" s="69"/>
      <c r="U523" s="70"/>
      <c r="V523" s="70"/>
      <c r="W523" s="71"/>
      <c r="X523"/>
    </row>
    <row r="524" spans="1:24">
      <c r="A524" s="71"/>
      <c r="B524" s="71"/>
      <c r="C524" s="71"/>
      <c r="D524" s="69"/>
      <c r="E524"/>
      <c r="F524" s="69"/>
      <c r="G524" s="69"/>
      <c r="H524" s="69"/>
      <c r="I524" s="69"/>
      <c r="J524" s="69"/>
      <c r="K524" s="69"/>
      <c r="L524" s="69"/>
      <c r="M524" s="69"/>
      <c r="N524" s="69"/>
      <c r="O524" s="69"/>
      <c r="P524" s="69"/>
      <c r="Q524" s="69"/>
      <c r="R524" s="69"/>
      <c r="S524" s="69"/>
      <c r="T524" s="69"/>
      <c r="U524" s="70"/>
      <c r="V524" s="70"/>
      <c r="W524" s="71"/>
      <c r="X524"/>
    </row>
    <row r="525" spans="1:24">
      <c r="A525" s="71"/>
      <c r="B525" s="71"/>
      <c r="C525" s="71"/>
      <c r="D525" s="69"/>
      <c r="E525"/>
      <c r="F525" s="69"/>
      <c r="G525" s="69"/>
      <c r="H525" s="69"/>
      <c r="I525" s="69"/>
      <c r="J525" s="69"/>
      <c r="K525" s="69"/>
      <c r="L525" s="69"/>
      <c r="M525" s="69"/>
      <c r="N525" s="69"/>
      <c r="O525" s="69"/>
      <c r="P525" s="69"/>
      <c r="Q525" s="69"/>
      <c r="R525" s="69"/>
      <c r="S525" s="69"/>
      <c r="T525" s="69"/>
      <c r="U525" s="70"/>
      <c r="V525" s="70"/>
      <c r="W525" s="71"/>
      <c r="X525"/>
    </row>
    <row r="526" spans="1:24">
      <c r="A526" s="71"/>
      <c r="B526" s="71"/>
      <c r="C526" s="71"/>
      <c r="D526" s="69"/>
      <c r="E526"/>
      <c r="F526" s="69"/>
      <c r="G526" s="69"/>
      <c r="H526" s="69"/>
      <c r="I526" s="69"/>
      <c r="J526" s="69"/>
      <c r="K526" s="69"/>
      <c r="L526" s="69"/>
      <c r="M526" s="69"/>
      <c r="N526" s="69"/>
      <c r="O526" s="69"/>
      <c r="P526" s="69"/>
      <c r="Q526" s="69"/>
      <c r="R526" s="69"/>
      <c r="S526" s="69"/>
      <c r="T526" s="69"/>
      <c r="U526" s="70"/>
      <c r="V526" s="70"/>
      <c r="W526" s="71"/>
      <c r="X526"/>
    </row>
    <row r="527" spans="1:24">
      <c r="A527" s="71"/>
      <c r="B527" s="71"/>
      <c r="C527" s="71"/>
      <c r="D527" s="69"/>
      <c r="E527"/>
      <c r="F527" s="69"/>
      <c r="G527" s="69"/>
      <c r="H527" s="69"/>
      <c r="I527" s="69"/>
      <c r="J527" s="69"/>
      <c r="K527" s="69"/>
      <c r="L527" s="69"/>
      <c r="M527" s="69"/>
      <c r="N527" s="69"/>
      <c r="O527" s="69"/>
      <c r="P527" s="69"/>
      <c r="Q527" s="69"/>
      <c r="R527" s="69"/>
      <c r="S527" s="69"/>
      <c r="T527" s="69"/>
      <c r="U527" s="70"/>
      <c r="V527" s="70"/>
      <c r="W527" s="71"/>
      <c r="X527"/>
    </row>
    <row r="528" spans="1:24">
      <c r="A528" s="71"/>
      <c r="B528" s="71"/>
      <c r="C528" s="71"/>
      <c r="D528" s="69"/>
      <c r="E528"/>
      <c r="F528" s="69"/>
      <c r="G528" s="69"/>
      <c r="H528" s="69"/>
      <c r="I528" s="69"/>
      <c r="J528" s="69"/>
      <c r="K528" s="69"/>
      <c r="L528" s="69"/>
      <c r="M528" s="69"/>
      <c r="N528" s="69"/>
      <c r="O528" s="69"/>
      <c r="P528" s="69"/>
      <c r="Q528" s="69"/>
      <c r="R528" s="69"/>
      <c r="S528" s="69"/>
      <c r="T528" s="69"/>
      <c r="U528" s="70"/>
      <c r="V528" s="70"/>
      <c r="W528" s="71"/>
      <c r="X528"/>
    </row>
    <row r="529" spans="1:24">
      <c r="A529" s="71"/>
      <c r="B529" s="71"/>
      <c r="C529" s="71"/>
      <c r="D529" s="69"/>
      <c r="E529"/>
      <c r="F529" s="69"/>
      <c r="G529" s="69"/>
      <c r="H529" s="69"/>
      <c r="I529" s="69"/>
      <c r="J529" s="69"/>
      <c r="K529" s="69"/>
      <c r="L529" s="69"/>
      <c r="M529" s="69"/>
      <c r="N529" s="69"/>
      <c r="O529" s="69"/>
      <c r="P529" s="69"/>
      <c r="Q529" s="69"/>
      <c r="R529" s="69"/>
      <c r="S529" s="69"/>
      <c r="T529" s="69"/>
      <c r="U529" s="70"/>
      <c r="V529" s="70"/>
      <c r="W529" s="71"/>
      <c r="X529"/>
    </row>
    <row r="530" spans="1:24">
      <c r="A530" s="71"/>
      <c r="B530" s="71"/>
      <c r="C530" s="71"/>
      <c r="D530" s="69"/>
      <c r="E530"/>
      <c r="F530" s="69"/>
      <c r="G530" s="69"/>
      <c r="H530" s="69"/>
      <c r="I530" s="69"/>
      <c r="J530" s="69"/>
      <c r="K530" s="69"/>
      <c r="L530" s="69"/>
      <c r="M530" s="69"/>
      <c r="N530" s="69"/>
      <c r="O530" s="69"/>
      <c r="P530" s="69"/>
      <c r="Q530" s="69"/>
      <c r="R530" s="69"/>
      <c r="S530" s="69"/>
      <c r="T530" s="69"/>
      <c r="U530" s="70"/>
      <c r="V530" s="70"/>
      <c r="W530" s="71"/>
      <c r="X530"/>
    </row>
    <row r="531" spans="1:24">
      <c r="A531" s="71"/>
      <c r="B531" s="71"/>
      <c r="C531" s="71"/>
      <c r="D531" s="69"/>
      <c r="E531"/>
      <c r="F531" s="69"/>
      <c r="G531" s="69"/>
      <c r="H531" s="69"/>
      <c r="I531" s="69"/>
      <c r="J531" s="69"/>
      <c r="K531" s="69"/>
      <c r="L531" s="69"/>
      <c r="M531" s="69"/>
      <c r="N531" s="69"/>
      <c r="O531" s="69"/>
      <c r="P531" s="69"/>
      <c r="Q531" s="69"/>
      <c r="R531" s="69"/>
      <c r="S531" s="69"/>
      <c r="T531" s="69"/>
      <c r="U531" s="70"/>
      <c r="V531" s="70"/>
      <c r="W531" s="71"/>
      <c r="X531"/>
    </row>
    <row r="532" spans="1:24">
      <c r="A532" s="71"/>
      <c r="B532" s="71"/>
      <c r="C532" s="71"/>
      <c r="D532" s="69"/>
      <c r="E532"/>
      <c r="F532" s="69"/>
      <c r="G532" s="69"/>
      <c r="H532" s="69"/>
      <c r="I532" s="69"/>
      <c r="J532" s="69"/>
      <c r="K532" s="69"/>
      <c r="L532" s="69"/>
      <c r="M532" s="69"/>
      <c r="N532" s="69"/>
      <c r="O532" s="69"/>
      <c r="P532" s="69"/>
      <c r="Q532" s="69"/>
      <c r="R532" s="69"/>
      <c r="S532" s="69"/>
      <c r="T532" s="69"/>
      <c r="U532" s="70"/>
      <c r="V532" s="70"/>
      <c r="W532" s="71"/>
      <c r="X532"/>
    </row>
    <row r="533" spans="1:24">
      <c r="A533" s="71"/>
      <c r="B533" s="71"/>
      <c r="C533" s="71"/>
      <c r="D533" s="69"/>
      <c r="E533"/>
      <c r="F533" s="69"/>
      <c r="G533" s="69"/>
      <c r="H533" s="69"/>
      <c r="I533" s="69"/>
      <c r="J533" s="69"/>
      <c r="K533" s="69"/>
      <c r="L533" s="69"/>
      <c r="M533" s="69"/>
      <c r="N533" s="69"/>
      <c r="O533" s="69"/>
      <c r="P533" s="69"/>
      <c r="Q533" s="69"/>
      <c r="R533" s="69"/>
      <c r="S533" s="69"/>
      <c r="T533" s="69"/>
      <c r="U533" s="70"/>
      <c r="V533" s="70"/>
      <c r="W533" s="71"/>
      <c r="X533"/>
    </row>
    <row r="534" spans="1:24">
      <c r="A534" s="71"/>
      <c r="B534" s="71"/>
      <c r="C534" s="71"/>
      <c r="D534" s="69"/>
      <c r="E534"/>
      <c r="F534" s="69"/>
      <c r="G534" s="69"/>
      <c r="H534" s="69"/>
      <c r="I534" s="69"/>
      <c r="J534" s="69"/>
      <c r="K534" s="69"/>
      <c r="L534" s="69"/>
      <c r="M534" s="69"/>
      <c r="N534" s="69"/>
      <c r="O534" s="69"/>
      <c r="P534" s="69"/>
      <c r="Q534" s="69"/>
      <c r="R534" s="69"/>
      <c r="S534" s="69"/>
      <c r="T534" s="69"/>
      <c r="U534" s="70"/>
      <c r="V534" s="70"/>
      <c r="W534" s="71"/>
      <c r="X534"/>
    </row>
    <row r="535" spans="1:24">
      <c r="A535" s="71"/>
      <c r="B535" s="71"/>
      <c r="C535" s="71"/>
      <c r="D535" s="69"/>
      <c r="E535"/>
      <c r="F535" s="69"/>
      <c r="G535" s="69"/>
      <c r="H535" s="69"/>
      <c r="I535" s="69"/>
      <c r="J535" s="69"/>
      <c r="K535" s="69"/>
      <c r="L535" s="69"/>
      <c r="M535" s="69"/>
      <c r="N535" s="69"/>
      <c r="O535" s="69"/>
      <c r="P535" s="69"/>
      <c r="Q535" s="69"/>
      <c r="R535" s="69"/>
      <c r="S535" s="69"/>
      <c r="T535" s="69"/>
      <c r="U535" s="70"/>
      <c r="V535" s="70"/>
      <c r="W535" s="71"/>
      <c r="X535"/>
    </row>
    <row r="536" spans="1:24">
      <c r="A536" s="71"/>
      <c r="B536" s="71"/>
      <c r="C536" s="71"/>
      <c r="D536" s="69"/>
      <c r="E536"/>
      <c r="F536" s="69"/>
      <c r="G536" s="69"/>
      <c r="H536" s="69"/>
      <c r="I536" s="69"/>
      <c r="J536" s="69"/>
      <c r="K536" s="69"/>
      <c r="L536" s="69"/>
      <c r="M536" s="69"/>
      <c r="N536" s="69"/>
      <c r="O536" s="69"/>
      <c r="P536" s="69"/>
      <c r="Q536" s="69"/>
      <c r="R536" s="69"/>
      <c r="S536" s="69"/>
      <c r="T536" s="69"/>
      <c r="U536" s="70"/>
      <c r="V536" s="70"/>
      <c r="W536" s="71"/>
      <c r="X536"/>
    </row>
    <row r="537" spans="1:24">
      <c r="A537" s="71"/>
      <c r="B537" s="71"/>
      <c r="C537" s="71"/>
      <c r="D537" s="69"/>
      <c r="E537"/>
      <c r="F537" s="69"/>
      <c r="G537" s="69"/>
      <c r="H537" s="69"/>
      <c r="I537" s="69"/>
      <c r="J537" s="69"/>
      <c r="K537" s="69"/>
      <c r="L537" s="69"/>
      <c r="M537" s="69"/>
      <c r="N537" s="69"/>
      <c r="O537" s="69"/>
      <c r="P537" s="69"/>
      <c r="Q537" s="69"/>
      <c r="R537" s="69"/>
      <c r="S537" s="69"/>
      <c r="T537" s="69"/>
      <c r="U537" s="70"/>
      <c r="V537" s="70"/>
      <c r="W537" s="71"/>
      <c r="X537"/>
    </row>
    <row r="538" spans="1:24">
      <c r="A538" s="71"/>
      <c r="B538" s="71"/>
      <c r="C538" s="71"/>
      <c r="D538" s="69"/>
      <c r="E538"/>
      <c r="F538" s="69"/>
      <c r="G538" s="69"/>
      <c r="H538" s="69"/>
      <c r="I538" s="69"/>
      <c r="J538" s="69"/>
      <c r="K538" s="69"/>
      <c r="L538" s="69"/>
      <c r="M538" s="69"/>
      <c r="N538" s="69"/>
      <c r="O538" s="69"/>
      <c r="P538" s="69"/>
      <c r="Q538" s="69"/>
      <c r="R538" s="69"/>
      <c r="S538" s="69"/>
      <c r="T538" s="69"/>
      <c r="U538" s="70"/>
      <c r="V538" s="70"/>
      <c r="W538" s="71"/>
      <c r="X538"/>
    </row>
    <row r="539" spans="1:24">
      <c r="A539" s="71"/>
      <c r="B539" s="71"/>
      <c r="C539" s="71"/>
      <c r="D539" s="69"/>
      <c r="E539"/>
      <c r="F539" s="69"/>
      <c r="G539" s="69"/>
      <c r="H539" s="69"/>
      <c r="I539" s="69"/>
      <c r="J539" s="69"/>
      <c r="K539" s="69"/>
      <c r="L539" s="69"/>
      <c r="M539" s="69"/>
      <c r="N539" s="69"/>
      <c r="O539" s="69"/>
      <c r="P539" s="69"/>
      <c r="Q539" s="69"/>
      <c r="R539" s="69"/>
      <c r="S539" s="69"/>
      <c r="T539" s="69"/>
      <c r="U539" s="70"/>
      <c r="V539" s="70"/>
      <c r="W539" s="71"/>
      <c r="X539"/>
    </row>
    <row r="540" spans="1:24">
      <c r="A540" s="71"/>
      <c r="B540" s="71"/>
      <c r="C540" s="71"/>
      <c r="D540" s="69"/>
      <c r="E540"/>
      <c r="F540" s="69"/>
      <c r="G540" s="69"/>
      <c r="H540" s="69"/>
      <c r="I540" s="69"/>
      <c r="J540" s="69"/>
      <c r="K540" s="69"/>
      <c r="L540" s="69"/>
      <c r="M540" s="69"/>
      <c r="N540" s="69"/>
      <c r="O540" s="69"/>
      <c r="P540" s="69"/>
      <c r="Q540" s="69"/>
      <c r="R540" s="69"/>
      <c r="S540" s="69"/>
      <c r="T540" s="69"/>
      <c r="U540" s="70"/>
      <c r="V540" s="70"/>
      <c r="W540" s="71"/>
      <c r="X540"/>
    </row>
    <row r="541" spans="1:24">
      <c r="A541" s="71"/>
      <c r="B541" s="71"/>
      <c r="C541" s="71"/>
      <c r="D541" s="69"/>
      <c r="E541"/>
      <c r="F541" s="69"/>
      <c r="G541" s="69"/>
      <c r="H541" s="69"/>
      <c r="I541" s="69"/>
      <c r="J541" s="69"/>
      <c r="K541" s="69"/>
      <c r="L541" s="69"/>
      <c r="M541" s="69"/>
      <c r="N541" s="69"/>
      <c r="O541" s="69"/>
      <c r="P541" s="69"/>
      <c r="Q541" s="69"/>
      <c r="R541" s="69"/>
      <c r="S541" s="69"/>
      <c r="T541" s="69"/>
      <c r="U541" s="70"/>
      <c r="V541" s="70"/>
      <c r="W541" s="71"/>
      <c r="X541"/>
    </row>
    <row r="542" spans="1:24">
      <c r="A542" s="71"/>
      <c r="B542" s="71"/>
      <c r="C542" s="71"/>
      <c r="D542" s="69"/>
      <c r="E542"/>
      <c r="F542" s="69"/>
      <c r="G542" s="69"/>
      <c r="H542" s="69"/>
      <c r="I542" s="69"/>
      <c r="J542" s="69"/>
      <c r="K542" s="69"/>
      <c r="L542" s="69"/>
      <c r="M542" s="69"/>
      <c r="N542" s="69"/>
      <c r="O542" s="69"/>
      <c r="P542" s="69"/>
      <c r="Q542" s="69"/>
      <c r="R542" s="69"/>
      <c r="S542" s="69"/>
      <c r="T542" s="69"/>
      <c r="U542" s="70"/>
      <c r="V542" s="70"/>
      <c r="W542" s="71"/>
      <c r="X542"/>
    </row>
    <row r="543" spans="1:24">
      <c r="A543" s="71"/>
      <c r="B543" s="71"/>
      <c r="C543" s="71"/>
      <c r="D543" s="69"/>
      <c r="E543"/>
      <c r="F543" s="69"/>
      <c r="G543" s="69"/>
      <c r="H543" s="69"/>
      <c r="I543" s="69"/>
      <c r="J543" s="69"/>
      <c r="K543" s="69"/>
      <c r="L543" s="69"/>
      <c r="M543" s="69"/>
      <c r="N543" s="69"/>
      <c r="O543" s="69"/>
      <c r="P543" s="69"/>
      <c r="Q543" s="69"/>
      <c r="R543" s="69"/>
      <c r="S543" s="69"/>
      <c r="T543" s="69"/>
      <c r="U543" s="70"/>
      <c r="V543" s="70"/>
      <c r="W543" s="71"/>
      <c r="X543"/>
    </row>
    <row r="544" spans="1:24">
      <c r="A544" s="71"/>
      <c r="B544" s="71"/>
      <c r="C544" s="71"/>
      <c r="D544" s="69"/>
      <c r="E544"/>
      <c r="F544" s="69"/>
      <c r="G544" s="69"/>
      <c r="H544" s="69"/>
      <c r="I544" s="69"/>
      <c r="J544" s="69"/>
      <c r="K544" s="69"/>
      <c r="L544" s="69"/>
      <c r="M544" s="69"/>
      <c r="N544" s="69"/>
      <c r="O544" s="69"/>
      <c r="P544" s="69"/>
      <c r="Q544" s="69"/>
      <c r="R544" s="69"/>
      <c r="S544" s="69"/>
      <c r="T544" s="69"/>
      <c r="U544" s="70"/>
      <c r="V544" s="70"/>
      <c r="W544" s="71"/>
      <c r="X544"/>
    </row>
    <row r="545" spans="1:24">
      <c r="A545" s="71"/>
      <c r="B545" s="71"/>
      <c r="C545" s="71"/>
      <c r="D545" s="69"/>
      <c r="E545"/>
      <c r="F545" s="69"/>
      <c r="G545" s="69"/>
      <c r="H545" s="69"/>
      <c r="I545" s="69"/>
      <c r="J545" s="69"/>
      <c r="K545" s="69"/>
      <c r="L545" s="69"/>
      <c r="M545" s="69"/>
      <c r="N545" s="69"/>
      <c r="O545" s="69"/>
      <c r="P545" s="69"/>
      <c r="Q545" s="69"/>
      <c r="R545" s="69"/>
      <c r="S545" s="69"/>
      <c r="T545" s="69"/>
      <c r="U545" s="70"/>
      <c r="V545" s="70"/>
      <c r="W545" s="71"/>
      <c r="X545"/>
    </row>
    <row r="546" spans="1:24">
      <c r="A546" s="71"/>
      <c r="B546" s="71"/>
      <c r="C546" s="71"/>
      <c r="D546" s="69"/>
      <c r="E546"/>
      <c r="F546" s="69"/>
      <c r="G546" s="69"/>
      <c r="H546" s="69"/>
      <c r="I546" s="69"/>
      <c r="J546" s="69"/>
      <c r="K546" s="69"/>
      <c r="L546" s="69"/>
      <c r="M546" s="69"/>
      <c r="N546" s="69"/>
      <c r="O546" s="69"/>
      <c r="P546" s="69"/>
      <c r="Q546" s="69"/>
      <c r="R546" s="69"/>
      <c r="S546" s="69"/>
      <c r="T546" s="69"/>
      <c r="U546" s="70"/>
      <c r="V546" s="70"/>
      <c r="W546" s="71"/>
      <c r="X546"/>
    </row>
    <row r="547" spans="1:24">
      <c r="A547" s="71"/>
      <c r="B547" s="71"/>
      <c r="C547" s="71"/>
      <c r="D547" s="69"/>
      <c r="E547"/>
      <c r="F547" s="69"/>
      <c r="G547" s="69"/>
      <c r="H547" s="69"/>
      <c r="I547" s="69"/>
      <c r="J547" s="69"/>
      <c r="K547" s="69"/>
      <c r="L547" s="69"/>
      <c r="M547" s="69"/>
      <c r="N547" s="69"/>
      <c r="O547" s="69"/>
      <c r="P547" s="69"/>
      <c r="Q547" s="69"/>
      <c r="R547" s="69"/>
      <c r="S547" s="69"/>
      <c r="T547" s="69"/>
      <c r="U547" s="70"/>
      <c r="V547" s="70"/>
      <c r="W547" s="71"/>
      <c r="X547"/>
    </row>
    <row r="548" spans="1:24">
      <c r="A548" s="71"/>
      <c r="B548" s="71"/>
      <c r="C548" s="71"/>
      <c r="D548" s="69"/>
      <c r="E548"/>
      <c r="F548" s="69"/>
      <c r="G548" s="69"/>
      <c r="H548" s="69"/>
      <c r="I548" s="69"/>
      <c r="J548" s="69"/>
      <c r="K548" s="69"/>
      <c r="L548" s="69"/>
      <c r="M548" s="69"/>
      <c r="N548" s="69"/>
      <c r="O548" s="69"/>
      <c r="P548" s="69"/>
      <c r="Q548" s="69"/>
      <c r="R548" s="69"/>
      <c r="S548" s="69"/>
      <c r="T548" s="69"/>
      <c r="U548" s="70"/>
      <c r="V548" s="70"/>
      <c r="W548" s="71"/>
      <c r="X548"/>
    </row>
    <row r="549" spans="1:24">
      <c r="A549" s="71"/>
      <c r="B549" s="71"/>
      <c r="C549" s="71"/>
      <c r="D549" s="69"/>
      <c r="E549"/>
      <c r="F549" s="69"/>
      <c r="G549" s="69"/>
      <c r="H549" s="69"/>
      <c r="I549" s="69"/>
      <c r="J549" s="69"/>
      <c r="K549" s="69"/>
      <c r="L549" s="69"/>
      <c r="M549" s="69"/>
      <c r="N549" s="69"/>
      <c r="O549" s="69"/>
      <c r="P549" s="69"/>
      <c r="Q549" s="69"/>
      <c r="R549" s="69"/>
      <c r="S549" s="69"/>
      <c r="T549" s="69"/>
      <c r="U549" s="70"/>
      <c r="V549" s="70"/>
      <c r="W549" s="71"/>
      <c r="X549"/>
    </row>
    <row r="550" spans="1:24">
      <c r="A550" s="71"/>
      <c r="B550" s="71"/>
      <c r="C550" s="71"/>
      <c r="D550" s="69"/>
      <c r="E550"/>
      <c r="F550" s="69"/>
      <c r="G550" s="69"/>
      <c r="H550" s="69"/>
      <c r="I550" s="69"/>
      <c r="J550" s="69"/>
      <c r="K550" s="69"/>
      <c r="L550" s="69"/>
      <c r="M550" s="69"/>
      <c r="N550" s="69"/>
      <c r="O550" s="69"/>
      <c r="P550" s="69"/>
      <c r="Q550" s="69"/>
      <c r="R550" s="69"/>
      <c r="S550" s="69"/>
      <c r="T550" s="69"/>
      <c r="U550" s="70"/>
      <c r="V550" s="70"/>
      <c r="W550" s="71"/>
      <c r="X550"/>
    </row>
    <row r="551" spans="1:24">
      <c r="A551" s="71"/>
      <c r="B551" s="71"/>
      <c r="C551" s="71"/>
      <c r="D551" s="69"/>
      <c r="E551"/>
      <c r="F551" s="69"/>
      <c r="G551" s="69"/>
      <c r="H551" s="69"/>
      <c r="I551" s="69"/>
      <c r="J551" s="69"/>
      <c r="K551" s="69"/>
      <c r="L551" s="69"/>
      <c r="M551" s="69"/>
      <c r="N551" s="69"/>
      <c r="O551" s="69"/>
      <c r="P551" s="69"/>
      <c r="Q551" s="69"/>
      <c r="R551" s="69"/>
      <c r="S551" s="69"/>
      <c r="T551" s="69"/>
      <c r="U551" s="70"/>
      <c r="V551" s="70"/>
      <c r="W551" s="71"/>
      <c r="X551"/>
    </row>
    <row r="552" spans="1:24">
      <c r="A552" s="71"/>
      <c r="B552" s="71"/>
      <c r="C552" s="71"/>
      <c r="D552" s="69"/>
      <c r="E552"/>
      <c r="F552" s="69"/>
      <c r="G552" s="69"/>
      <c r="H552" s="69"/>
      <c r="I552" s="69"/>
      <c r="J552" s="69"/>
      <c r="K552" s="69"/>
      <c r="L552" s="69"/>
      <c r="M552" s="69"/>
      <c r="N552" s="69"/>
      <c r="O552" s="69"/>
      <c r="P552" s="69"/>
      <c r="Q552" s="69"/>
      <c r="R552" s="69"/>
      <c r="S552" s="69"/>
      <c r="T552" s="69"/>
      <c r="U552" s="70"/>
      <c r="V552" s="70"/>
      <c r="W552" s="71"/>
      <c r="X552"/>
    </row>
    <row r="553" spans="1:24">
      <c r="A553" s="71"/>
      <c r="B553" s="71"/>
      <c r="C553" s="71"/>
      <c r="D553" s="69"/>
      <c r="E553"/>
      <c r="F553" s="69"/>
      <c r="G553" s="69"/>
      <c r="H553" s="69"/>
      <c r="I553" s="69"/>
      <c r="J553" s="69"/>
      <c r="K553" s="69"/>
      <c r="L553" s="69"/>
      <c r="M553" s="69"/>
      <c r="N553" s="69"/>
      <c r="O553" s="69"/>
      <c r="P553" s="69"/>
      <c r="Q553" s="69"/>
      <c r="R553" s="69"/>
      <c r="S553" s="69"/>
      <c r="T553" s="69"/>
      <c r="U553" s="70"/>
      <c r="V553" s="70"/>
      <c r="W553" s="71"/>
      <c r="X553"/>
    </row>
    <row r="554" spans="1:24">
      <c r="A554" s="71"/>
      <c r="B554" s="71"/>
      <c r="C554" s="71"/>
      <c r="D554" s="69"/>
      <c r="E554"/>
      <c r="F554" s="69"/>
      <c r="G554" s="69"/>
      <c r="H554" s="69"/>
      <c r="I554" s="69"/>
      <c r="J554" s="69"/>
      <c r="K554" s="69"/>
      <c r="L554" s="69"/>
      <c r="M554" s="69"/>
      <c r="N554" s="69"/>
      <c r="O554" s="69"/>
      <c r="P554" s="69"/>
      <c r="Q554" s="69"/>
      <c r="R554" s="69"/>
      <c r="S554" s="69"/>
      <c r="T554" s="69"/>
      <c r="U554" s="70"/>
      <c r="V554" s="70"/>
      <c r="W554" s="71"/>
      <c r="X554"/>
    </row>
    <row r="555" spans="1:24">
      <c r="A555" s="71"/>
      <c r="B555" s="71"/>
      <c r="C555" s="71"/>
      <c r="D555" s="69"/>
      <c r="E555"/>
      <c r="F555" s="69"/>
      <c r="G555" s="69"/>
      <c r="H555" s="69"/>
      <c r="I555" s="69"/>
      <c r="J555" s="69"/>
      <c r="K555" s="69"/>
      <c r="L555" s="69"/>
      <c r="M555" s="69"/>
      <c r="N555" s="69"/>
      <c r="O555" s="69"/>
      <c r="P555" s="69"/>
      <c r="Q555" s="69"/>
      <c r="R555" s="69"/>
      <c r="S555" s="69"/>
      <c r="T555" s="69"/>
      <c r="U555" s="70"/>
      <c r="V555" s="70"/>
      <c r="W555" s="71"/>
      <c r="X555"/>
    </row>
    <row r="556" spans="1:24">
      <c r="A556" s="71"/>
      <c r="B556" s="71"/>
      <c r="C556" s="71"/>
      <c r="D556" s="69"/>
      <c r="E556"/>
      <c r="F556" s="69"/>
      <c r="G556" s="69"/>
      <c r="H556" s="69"/>
      <c r="I556" s="69"/>
      <c r="J556" s="69"/>
      <c r="K556" s="69"/>
      <c r="L556" s="69"/>
      <c r="M556" s="69"/>
      <c r="N556" s="69"/>
      <c r="O556" s="69"/>
      <c r="P556" s="69"/>
      <c r="Q556" s="69"/>
      <c r="R556" s="69"/>
      <c r="S556" s="69"/>
      <c r="T556" s="69"/>
      <c r="U556" s="70"/>
      <c r="V556" s="70"/>
      <c r="W556" s="71"/>
      <c r="X556"/>
    </row>
    <row r="557" spans="1:24">
      <c r="A557" s="71"/>
      <c r="B557" s="71"/>
      <c r="C557" s="71"/>
      <c r="D557" s="69"/>
      <c r="E557"/>
      <c r="F557" s="69"/>
      <c r="G557" s="69"/>
      <c r="H557" s="69"/>
      <c r="I557" s="69"/>
      <c r="J557" s="69"/>
      <c r="K557" s="69"/>
      <c r="L557" s="69"/>
      <c r="M557" s="69"/>
      <c r="N557" s="69"/>
      <c r="O557" s="69"/>
      <c r="P557" s="69"/>
      <c r="Q557" s="69"/>
      <c r="R557" s="69"/>
      <c r="S557" s="69"/>
      <c r="T557" s="69"/>
      <c r="U557" s="70"/>
      <c r="V557" s="70"/>
      <c r="W557" s="71"/>
      <c r="X557"/>
    </row>
    <row r="558" spans="1:24">
      <c r="A558" s="71"/>
      <c r="B558" s="71"/>
      <c r="C558" s="71"/>
      <c r="D558" s="69"/>
      <c r="E558"/>
      <c r="F558" s="69"/>
      <c r="G558" s="69"/>
      <c r="H558" s="69"/>
      <c r="I558" s="69"/>
      <c r="J558" s="69"/>
      <c r="K558" s="69"/>
      <c r="L558" s="69"/>
      <c r="M558" s="69"/>
      <c r="N558" s="69"/>
      <c r="O558" s="69"/>
      <c r="P558" s="69"/>
      <c r="Q558" s="69"/>
      <c r="R558" s="69"/>
      <c r="S558" s="69"/>
      <c r="T558" s="69"/>
      <c r="U558" s="70"/>
      <c r="V558" s="70"/>
      <c r="W558" s="71"/>
      <c r="X558"/>
    </row>
    <row r="559" spans="1:24">
      <c r="A559" s="71"/>
      <c r="B559" s="71"/>
      <c r="C559" s="71"/>
      <c r="D559" s="69"/>
      <c r="E559"/>
      <c r="F559" s="69"/>
      <c r="G559" s="69"/>
      <c r="H559" s="69"/>
      <c r="I559" s="69"/>
      <c r="J559" s="69"/>
      <c r="K559" s="69"/>
      <c r="L559" s="69"/>
      <c r="M559" s="69"/>
      <c r="N559" s="69"/>
      <c r="O559" s="69"/>
      <c r="P559" s="69"/>
      <c r="Q559" s="69"/>
      <c r="R559" s="69"/>
      <c r="S559" s="69"/>
      <c r="T559" s="69"/>
      <c r="U559" s="70"/>
      <c r="V559" s="70"/>
      <c r="W559" s="71"/>
      <c r="X559"/>
    </row>
    <row r="560" spans="1:24">
      <c r="A560" s="71"/>
      <c r="B560" s="71"/>
      <c r="C560" s="71"/>
      <c r="D560" s="69"/>
      <c r="E560"/>
      <c r="F560" s="69"/>
      <c r="G560" s="69"/>
      <c r="H560" s="69"/>
      <c r="I560" s="69"/>
      <c r="J560" s="69"/>
      <c r="K560" s="69"/>
      <c r="L560" s="69"/>
      <c r="M560" s="69"/>
      <c r="N560" s="69"/>
      <c r="O560" s="69"/>
      <c r="P560" s="69"/>
      <c r="Q560" s="69"/>
      <c r="R560" s="69"/>
      <c r="S560" s="69"/>
      <c r="T560" s="69"/>
      <c r="U560" s="70"/>
      <c r="V560" s="70"/>
      <c r="W560" s="71"/>
      <c r="X560"/>
    </row>
    <row r="561" spans="1:24">
      <c r="A561" s="71"/>
      <c r="B561" s="71"/>
      <c r="C561" s="71"/>
      <c r="D561" s="69"/>
      <c r="E561"/>
      <c r="F561" s="69"/>
      <c r="G561" s="69"/>
      <c r="H561" s="69"/>
      <c r="I561" s="69"/>
      <c r="J561" s="69"/>
      <c r="K561" s="69"/>
      <c r="L561" s="69"/>
      <c r="M561" s="69"/>
      <c r="N561" s="69"/>
      <c r="O561" s="69"/>
      <c r="P561" s="69"/>
      <c r="Q561" s="69"/>
      <c r="R561" s="69"/>
      <c r="S561" s="69"/>
      <c r="T561" s="69"/>
      <c r="U561" s="70"/>
      <c r="V561" s="70"/>
      <c r="W561" s="71"/>
      <c r="X561"/>
    </row>
    <row r="562" spans="1:24">
      <c r="A562" s="71"/>
      <c r="B562" s="71"/>
      <c r="C562" s="71"/>
      <c r="D562" s="69"/>
      <c r="E562"/>
      <c r="F562" s="69"/>
      <c r="G562" s="69"/>
      <c r="H562" s="69"/>
      <c r="I562" s="69"/>
      <c r="J562" s="69"/>
      <c r="K562" s="69"/>
      <c r="L562" s="69"/>
      <c r="M562" s="69"/>
      <c r="N562" s="69"/>
      <c r="O562" s="69"/>
      <c r="P562" s="69"/>
      <c r="Q562" s="69"/>
      <c r="R562" s="69"/>
      <c r="S562" s="69"/>
      <c r="T562" s="69"/>
      <c r="U562" s="70"/>
      <c r="V562" s="70"/>
      <c r="W562" s="71"/>
      <c r="X562"/>
    </row>
    <row r="563" spans="1:24">
      <c r="A563" s="71"/>
      <c r="B563" s="71"/>
      <c r="C563" s="71"/>
      <c r="D563" s="69"/>
      <c r="E563"/>
      <c r="F563" s="69"/>
      <c r="G563" s="69"/>
      <c r="H563" s="69"/>
      <c r="I563" s="69"/>
      <c r="J563" s="69"/>
      <c r="K563" s="69"/>
      <c r="L563" s="69"/>
      <c r="M563" s="69"/>
      <c r="N563" s="69"/>
      <c r="O563" s="69"/>
      <c r="P563" s="69"/>
      <c r="Q563" s="69"/>
      <c r="R563" s="69"/>
      <c r="S563" s="69"/>
      <c r="T563" s="69"/>
      <c r="U563" s="70"/>
      <c r="V563" s="70"/>
      <c r="W563" s="71"/>
      <c r="X563"/>
    </row>
    <row r="564" spans="1:24">
      <c r="A564" s="71"/>
      <c r="B564" s="71"/>
      <c r="C564" s="71"/>
      <c r="D564" s="69"/>
      <c r="E564"/>
      <c r="F564" s="69"/>
      <c r="G564" s="69"/>
      <c r="H564" s="69"/>
      <c r="I564" s="69"/>
      <c r="J564" s="69"/>
      <c r="K564" s="69"/>
      <c r="L564" s="69"/>
      <c r="M564" s="69"/>
      <c r="N564" s="69"/>
      <c r="O564" s="69"/>
      <c r="P564" s="69"/>
      <c r="Q564" s="69"/>
      <c r="R564" s="69"/>
      <c r="S564" s="69"/>
      <c r="T564" s="69"/>
      <c r="U564" s="70"/>
      <c r="V564" s="70"/>
      <c r="W564" s="71"/>
      <c r="X564"/>
    </row>
    <row r="565" spans="1:24">
      <c r="A565" s="71"/>
      <c r="B565" s="71"/>
      <c r="C565" s="71"/>
      <c r="D565" s="69"/>
      <c r="E565"/>
      <c r="F565" s="69"/>
      <c r="G565" s="69"/>
      <c r="H565" s="69"/>
      <c r="I565" s="69"/>
      <c r="J565" s="69"/>
      <c r="K565" s="69"/>
      <c r="L565" s="69"/>
      <c r="M565" s="69"/>
      <c r="N565" s="69"/>
      <c r="O565" s="69"/>
      <c r="P565" s="69"/>
      <c r="Q565" s="69"/>
      <c r="R565" s="69"/>
      <c r="S565" s="69"/>
      <c r="T565" s="69"/>
      <c r="U565" s="70"/>
      <c r="V565" s="70"/>
      <c r="W565" s="71"/>
      <c r="X565"/>
    </row>
    <row r="566" spans="1:24">
      <c r="A566" s="71"/>
      <c r="B566" s="71"/>
      <c r="C566" s="71"/>
      <c r="D566" s="69"/>
      <c r="E566"/>
      <c r="F566" s="69"/>
      <c r="G566" s="69"/>
      <c r="H566" s="69"/>
      <c r="I566" s="69"/>
      <c r="J566" s="69"/>
      <c r="K566" s="69"/>
      <c r="L566" s="69"/>
      <c r="M566" s="69"/>
      <c r="N566" s="69"/>
      <c r="O566" s="69"/>
      <c r="P566" s="69"/>
      <c r="Q566" s="69"/>
      <c r="R566" s="69"/>
      <c r="S566" s="69"/>
      <c r="T566" s="69"/>
      <c r="U566" s="70"/>
      <c r="V566" s="70"/>
      <c r="W566" s="71"/>
      <c r="X566"/>
    </row>
    <row r="567" spans="1:24">
      <c r="A567" s="71"/>
      <c r="B567" s="71"/>
      <c r="C567" s="71"/>
      <c r="D567" s="69"/>
      <c r="E567"/>
      <c r="F567" s="69"/>
      <c r="G567" s="69"/>
      <c r="H567" s="69"/>
      <c r="I567" s="69"/>
      <c r="J567" s="69"/>
      <c r="K567" s="69"/>
      <c r="L567" s="69"/>
      <c r="M567" s="69"/>
      <c r="N567" s="69"/>
      <c r="O567" s="69"/>
      <c r="P567" s="69"/>
      <c r="Q567" s="69"/>
      <c r="R567" s="69"/>
      <c r="S567" s="69"/>
      <c r="T567" s="69"/>
      <c r="U567" s="70"/>
      <c r="V567" s="70"/>
      <c r="W567" s="71"/>
      <c r="X567"/>
    </row>
    <row r="568" spans="1:24">
      <c r="A568" s="71"/>
      <c r="B568" s="71"/>
      <c r="C568" s="71"/>
      <c r="D568" s="69"/>
      <c r="E568"/>
      <c r="F568" s="69"/>
      <c r="G568" s="69"/>
      <c r="H568" s="69"/>
      <c r="I568" s="69"/>
      <c r="J568" s="69"/>
      <c r="K568" s="69"/>
      <c r="L568" s="69"/>
      <c r="M568" s="69"/>
      <c r="N568" s="69"/>
      <c r="O568" s="69"/>
      <c r="P568" s="69"/>
      <c r="Q568" s="69"/>
      <c r="R568" s="69"/>
      <c r="S568" s="69"/>
      <c r="T568" s="69"/>
      <c r="U568" s="70"/>
      <c r="V568" s="70"/>
      <c r="W568" s="71"/>
      <c r="X568"/>
    </row>
    <row r="569" spans="1:24">
      <c r="A569" s="71"/>
      <c r="B569" s="71"/>
      <c r="C569" s="71"/>
      <c r="D569" s="69"/>
      <c r="E569"/>
      <c r="F569" s="69"/>
      <c r="G569" s="69"/>
      <c r="H569" s="69"/>
      <c r="I569" s="69"/>
      <c r="J569" s="69"/>
      <c r="K569" s="69"/>
      <c r="L569" s="69"/>
      <c r="M569" s="69"/>
      <c r="N569" s="69"/>
      <c r="O569" s="69"/>
      <c r="P569" s="69"/>
      <c r="Q569" s="69"/>
      <c r="R569" s="69"/>
      <c r="S569" s="69"/>
      <c r="T569" s="69"/>
      <c r="U569" s="70"/>
      <c r="V569" s="70"/>
      <c r="W569" s="71"/>
      <c r="X569"/>
    </row>
    <row r="570" spans="1:24">
      <c r="A570" s="71"/>
      <c r="B570" s="71"/>
      <c r="C570" s="71"/>
      <c r="D570" s="69"/>
      <c r="E570"/>
      <c r="F570" s="69"/>
      <c r="G570" s="69"/>
      <c r="H570" s="69"/>
      <c r="I570" s="69"/>
      <c r="J570" s="69"/>
      <c r="K570" s="69"/>
      <c r="L570" s="69"/>
      <c r="M570" s="69"/>
      <c r="N570" s="69"/>
      <c r="O570" s="69"/>
      <c r="P570" s="69"/>
      <c r="Q570" s="69"/>
      <c r="R570" s="69"/>
      <c r="S570" s="69"/>
      <c r="T570" s="69"/>
      <c r="U570" s="70"/>
      <c r="V570" s="70"/>
      <c r="W570" s="71"/>
      <c r="X570"/>
    </row>
    <row r="571" spans="1:24">
      <c r="A571" s="71"/>
      <c r="B571" s="71"/>
      <c r="C571" s="71"/>
      <c r="D571" s="69"/>
      <c r="E571"/>
      <c r="F571" s="69"/>
      <c r="G571" s="69"/>
      <c r="H571" s="69"/>
      <c r="I571" s="69"/>
      <c r="J571" s="69"/>
      <c r="K571" s="69"/>
      <c r="L571" s="69"/>
      <c r="M571" s="69"/>
      <c r="N571" s="69"/>
      <c r="O571" s="69"/>
      <c r="P571" s="69"/>
      <c r="Q571" s="69"/>
      <c r="R571" s="69"/>
      <c r="S571" s="69"/>
      <c r="T571" s="69"/>
      <c r="U571" s="70"/>
      <c r="V571" s="70"/>
      <c r="W571" s="71"/>
      <c r="X571"/>
    </row>
    <row r="572" spans="1:24">
      <c r="A572" s="71"/>
      <c r="B572" s="71"/>
      <c r="C572" s="71"/>
      <c r="D572" s="69"/>
      <c r="E572"/>
      <c r="F572" s="69"/>
      <c r="G572" s="69"/>
      <c r="H572" s="69"/>
      <c r="I572" s="69"/>
      <c r="J572" s="69"/>
      <c r="K572" s="69"/>
      <c r="L572" s="69"/>
      <c r="M572" s="69"/>
      <c r="N572" s="69"/>
      <c r="O572" s="69"/>
      <c r="P572" s="69"/>
      <c r="Q572" s="69"/>
      <c r="R572" s="69"/>
      <c r="S572" s="69"/>
      <c r="T572" s="69"/>
      <c r="U572" s="70"/>
      <c r="V572" s="70"/>
      <c r="W572" s="71"/>
      <c r="X572"/>
    </row>
    <row r="573" spans="1:24">
      <c r="A573" s="71"/>
      <c r="B573" s="71"/>
      <c r="C573" s="71"/>
      <c r="D573" s="69"/>
      <c r="E573"/>
      <c r="F573" s="69"/>
      <c r="G573" s="69"/>
      <c r="H573" s="69"/>
      <c r="I573" s="69"/>
      <c r="J573" s="69"/>
      <c r="K573" s="69"/>
      <c r="L573" s="69"/>
      <c r="M573" s="69"/>
      <c r="N573" s="69"/>
      <c r="O573" s="69"/>
      <c r="P573" s="69"/>
      <c r="Q573" s="69"/>
      <c r="R573" s="69"/>
      <c r="S573" s="69"/>
      <c r="T573" s="69"/>
      <c r="U573" s="70"/>
      <c r="V573" s="70"/>
      <c r="W573" s="71"/>
      <c r="X573"/>
    </row>
    <row r="574" spans="1:24">
      <c r="A574" s="71"/>
      <c r="B574" s="71"/>
      <c r="C574" s="71"/>
      <c r="D574" s="69"/>
      <c r="E574"/>
      <c r="F574" s="69"/>
      <c r="G574" s="69"/>
      <c r="H574" s="69"/>
      <c r="I574" s="69"/>
      <c r="J574" s="69"/>
      <c r="K574" s="69"/>
      <c r="L574" s="69"/>
      <c r="M574" s="69"/>
      <c r="N574" s="69"/>
      <c r="O574" s="69"/>
      <c r="P574" s="69"/>
      <c r="Q574" s="69"/>
      <c r="R574" s="69"/>
      <c r="S574" s="69"/>
      <c r="T574" s="69"/>
      <c r="U574" s="70"/>
      <c r="V574" s="70"/>
      <c r="W574" s="71"/>
      <c r="X574"/>
    </row>
    <row r="575" spans="1:24">
      <c r="A575" s="71"/>
      <c r="B575" s="71"/>
      <c r="C575" s="71"/>
      <c r="D575" s="69"/>
      <c r="E575"/>
      <c r="F575" s="69"/>
      <c r="G575" s="69"/>
      <c r="H575" s="69"/>
      <c r="I575" s="69"/>
      <c r="J575" s="69"/>
      <c r="K575" s="69"/>
      <c r="L575" s="69"/>
      <c r="M575" s="69"/>
      <c r="N575" s="69"/>
      <c r="O575" s="69"/>
      <c r="P575" s="69"/>
      <c r="Q575" s="69"/>
      <c r="R575" s="69"/>
      <c r="S575" s="69"/>
      <c r="T575" s="69"/>
      <c r="U575" s="70"/>
      <c r="V575" s="70"/>
      <c r="W575" s="71"/>
      <c r="X575"/>
    </row>
    <row r="576" spans="1:24">
      <c r="A576" s="71"/>
      <c r="B576" s="71"/>
      <c r="C576" s="71"/>
      <c r="D576" s="69"/>
      <c r="E576"/>
      <c r="F576" s="69"/>
      <c r="G576" s="69"/>
      <c r="H576" s="69"/>
      <c r="I576" s="69"/>
      <c r="J576" s="69"/>
      <c r="K576" s="69"/>
      <c r="L576" s="69"/>
      <c r="M576" s="69"/>
      <c r="N576" s="69"/>
      <c r="O576" s="69"/>
      <c r="P576" s="69"/>
      <c r="Q576" s="69"/>
      <c r="R576" s="69"/>
      <c r="S576" s="69"/>
      <c r="T576" s="69"/>
      <c r="U576" s="70"/>
      <c r="V576" s="70"/>
      <c r="W576" s="71"/>
      <c r="X576"/>
    </row>
    <row r="577" spans="1:24">
      <c r="A577" s="71"/>
      <c r="B577" s="71"/>
      <c r="C577" s="71"/>
      <c r="D577" s="69"/>
      <c r="E577"/>
      <c r="F577" s="69"/>
      <c r="G577" s="69"/>
      <c r="H577" s="69"/>
      <c r="I577" s="69"/>
      <c r="J577" s="69"/>
      <c r="K577" s="69"/>
      <c r="L577" s="69"/>
      <c r="M577" s="69"/>
      <c r="N577" s="69"/>
      <c r="O577" s="69"/>
      <c r="P577" s="69"/>
      <c r="Q577" s="69"/>
      <c r="R577" s="69"/>
      <c r="S577" s="69"/>
      <c r="T577" s="69"/>
      <c r="U577" s="70"/>
      <c r="V577" s="70"/>
      <c r="W577" s="71"/>
      <c r="X577"/>
    </row>
    <row r="578" spans="1:24">
      <c r="A578" s="71"/>
      <c r="B578" s="71"/>
      <c r="C578" s="71"/>
      <c r="D578" s="69"/>
      <c r="E578"/>
      <c r="F578" s="69"/>
      <c r="G578" s="69"/>
      <c r="H578" s="69"/>
      <c r="I578" s="69"/>
      <c r="J578" s="69"/>
      <c r="K578" s="69"/>
      <c r="L578" s="69"/>
      <c r="M578" s="69"/>
      <c r="N578" s="69"/>
      <c r="O578" s="69"/>
      <c r="P578" s="69"/>
      <c r="Q578" s="69"/>
      <c r="R578" s="69"/>
      <c r="S578" s="69"/>
      <c r="T578" s="69"/>
      <c r="U578" s="70"/>
      <c r="V578" s="70"/>
      <c r="W578" s="71"/>
      <c r="X578"/>
    </row>
    <row r="579" spans="1:24">
      <c r="A579" s="71"/>
      <c r="B579" s="71"/>
      <c r="C579" s="71"/>
      <c r="D579" s="69"/>
      <c r="E579"/>
      <c r="F579" s="69"/>
      <c r="G579" s="69"/>
      <c r="H579" s="69"/>
      <c r="I579" s="69"/>
      <c r="J579" s="69"/>
      <c r="K579" s="69"/>
      <c r="L579" s="69"/>
      <c r="M579" s="69"/>
      <c r="N579" s="69"/>
      <c r="O579" s="69"/>
      <c r="P579" s="69"/>
      <c r="Q579" s="69"/>
      <c r="R579" s="69"/>
      <c r="S579" s="69"/>
      <c r="T579" s="69"/>
      <c r="U579" s="70"/>
      <c r="V579" s="70"/>
      <c r="W579" s="71"/>
      <c r="X579"/>
    </row>
    <row r="580" spans="1:24">
      <c r="A580" s="71"/>
      <c r="B580" s="71"/>
      <c r="C580" s="71"/>
      <c r="D580" s="69"/>
      <c r="E580"/>
      <c r="F580" s="69"/>
      <c r="G580" s="69"/>
      <c r="H580" s="69"/>
      <c r="I580" s="69"/>
      <c r="J580" s="69"/>
      <c r="K580" s="69"/>
      <c r="L580" s="69"/>
      <c r="M580" s="69"/>
      <c r="N580" s="69"/>
      <c r="O580" s="69"/>
      <c r="P580" s="69"/>
      <c r="Q580" s="69"/>
      <c r="R580" s="69"/>
      <c r="S580" s="69"/>
      <c r="T580" s="69"/>
      <c r="U580" s="70"/>
      <c r="V580" s="70"/>
      <c r="W580" s="71"/>
      <c r="X580"/>
    </row>
    <row r="581" spans="1:24">
      <c r="A581" s="71"/>
      <c r="B581" s="71"/>
      <c r="C581" s="71"/>
      <c r="D581" s="69"/>
      <c r="E581"/>
      <c r="F581" s="69"/>
      <c r="G581" s="69"/>
      <c r="H581" s="69"/>
      <c r="I581" s="69"/>
      <c r="J581" s="69"/>
      <c r="K581" s="69"/>
      <c r="L581" s="69"/>
      <c r="M581" s="69"/>
      <c r="N581" s="69"/>
      <c r="O581" s="69"/>
      <c r="P581" s="69"/>
      <c r="Q581" s="69"/>
      <c r="R581" s="69"/>
      <c r="S581" s="69"/>
      <c r="T581" s="69"/>
      <c r="U581" s="70"/>
      <c r="V581" s="70"/>
      <c r="W581" s="71"/>
      <c r="X581"/>
    </row>
    <row r="582" spans="1:24">
      <c r="A582" s="71"/>
      <c r="B582" s="71"/>
      <c r="C582" s="71"/>
      <c r="D582" s="69"/>
      <c r="E582"/>
      <c r="F582" s="69"/>
      <c r="G582" s="69"/>
      <c r="H582" s="69"/>
      <c r="I582" s="69"/>
      <c r="J582" s="69"/>
      <c r="K582" s="69"/>
      <c r="L582" s="69"/>
      <c r="M582" s="69"/>
      <c r="N582" s="69"/>
      <c r="O582" s="69"/>
      <c r="P582" s="69"/>
      <c r="Q582" s="69"/>
      <c r="R582" s="69"/>
      <c r="S582" s="69"/>
      <c r="T582" s="69"/>
      <c r="U582" s="70"/>
      <c r="V582" s="70"/>
      <c r="W582" s="71"/>
      <c r="X582"/>
    </row>
    <row r="583" spans="1:24">
      <c r="A583" s="71"/>
      <c r="B583" s="71"/>
      <c r="C583" s="71"/>
      <c r="D583" s="69"/>
      <c r="E583"/>
      <c r="F583" s="69"/>
      <c r="G583" s="69"/>
      <c r="H583" s="69"/>
      <c r="I583" s="69"/>
      <c r="J583" s="69"/>
      <c r="K583" s="69"/>
      <c r="L583" s="69"/>
      <c r="M583" s="69"/>
      <c r="N583" s="69"/>
      <c r="O583" s="69"/>
      <c r="P583" s="69"/>
      <c r="Q583" s="69"/>
      <c r="R583" s="69"/>
      <c r="S583" s="69"/>
      <c r="T583" s="69"/>
      <c r="U583" s="70"/>
      <c r="V583" s="70"/>
      <c r="W583" s="71"/>
      <c r="X583"/>
    </row>
    <row r="584" spans="1:24">
      <c r="A584" s="71"/>
      <c r="B584" s="71"/>
      <c r="C584" s="71"/>
      <c r="D584" s="69"/>
      <c r="E584"/>
      <c r="F584" s="69"/>
      <c r="G584" s="69"/>
      <c r="H584" s="69"/>
      <c r="I584" s="69"/>
      <c r="J584" s="69"/>
      <c r="K584" s="69"/>
      <c r="L584" s="69"/>
      <c r="M584" s="69"/>
      <c r="N584" s="69"/>
      <c r="O584" s="69"/>
      <c r="P584" s="69"/>
      <c r="Q584" s="69"/>
      <c r="R584" s="69"/>
      <c r="S584" s="69"/>
      <c r="T584" s="69"/>
      <c r="U584" s="70"/>
      <c r="V584" s="70"/>
      <c r="W584" s="71"/>
      <c r="X584"/>
    </row>
    <row r="585" spans="1:24">
      <c r="A585" s="71"/>
      <c r="B585" s="71"/>
      <c r="C585" s="71"/>
      <c r="D585" s="69"/>
      <c r="E585"/>
      <c r="F585" s="69"/>
      <c r="G585" s="69"/>
      <c r="H585" s="69"/>
      <c r="I585" s="69"/>
      <c r="J585" s="69"/>
      <c r="K585" s="69"/>
      <c r="L585" s="69"/>
      <c r="M585" s="69"/>
      <c r="N585" s="69"/>
      <c r="O585" s="69"/>
      <c r="P585" s="69"/>
      <c r="Q585" s="69"/>
      <c r="R585" s="69"/>
      <c r="S585" s="69"/>
      <c r="T585" s="69"/>
      <c r="U585" s="70"/>
      <c r="V585" s="70"/>
      <c r="W585" s="71"/>
      <c r="X585"/>
    </row>
    <row r="586" spans="1:24">
      <c r="A586" s="71"/>
      <c r="B586" s="71"/>
      <c r="C586" s="71"/>
      <c r="D586" s="69"/>
      <c r="E586"/>
      <c r="F586" s="69"/>
      <c r="G586" s="69"/>
      <c r="H586" s="69"/>
      <c r="I586" s="69"/>
      <c r="J586" s="69"/>
      <c r="K586" s="69"/>
      <c r="L586" s="69"/>
      <c r="M586" s="69"/>
      <c r="N586" s="69"/>
      <c r="O586" s="69"/>
      <c r="P586" s="69"/>
      <c r="Q586" s="69"/>
      <c r="R586" s="69"/>
      <c r="S586" s="69"/>
      <c r="T586" s="69"/>
      <c r="U586" s="70"/>
      <c r="V586" s="70"/>
      <c r="W586" s="71"/>
      <c r="X586"/>
    </row>
    <row r="587" spans="1:24">
      <c r="A587" s="71"/>
      <c r="B587" s="71"/>
      <c r="C587" s="71"/>
      <c r="D587" s="69"/>
      <c r="E587"/>
      <c r="F587" s="69"/>
      <c r="G587" s="69"/>
      <c r="H587" s="69"/>
      <c r="I587" s="69"/>
      <c r="J587" s="69"/>
      <c r="K587" s="69"/>
      <c r="L587" s="69"/>
      <c r="M587" s="69"/>
      <c r="N587" s="69"/>
      <c r="O587" s="69"/>
      <c r="P587" s="69"/>
      <c r="Q587" s="69"/>
      <c r="R587" s="69"/>
      <c r="S587" s="69"/>
      <c r="T587" s="69"/>
      <c r="U587" s="70"/>
      <c r="V587" s="70"/>
      <c r="W587" s="71"/>
      <c r="X587"/>
    </row>
    <row r="588" spans="1:24">
      <c r="A588" s="71"/>
      <c r="B588" s="71"/>
      <c r="C588" s="71"/>
      <c r="D588" s="69"/>
      <c r="E588"/>
      <c r="F588" s="69"/>
      <c r="G588" s="69"/>
      <c r="H588" s="69"/>
      <c r="I588" s="69"/>
      <c r="J588" s="69"/>
      <c r="K588" s="69"/>
      <c r="L588" s="69"/>
      <c r="M588" s="69"/>
      <c r="N588" s="69"/>
      <c r="O588" s="69"/>
      <c r="P588" s="69"/>
      <c r="Q588" s="69"/>
      <c r="R588" s="69"/>
      <c r="S588" s="69"/>
      <c r="T588" s="69"/>
      <c r="U588" s="70"/>
      <c r="V588" s="70"/>
      <c r="W588" s="71"/>
      <c r="X588"/>
    </row>
    <row r="589" spans="1:24">
      <c r="A589" s="71"/>
      <c r="B589" s="71"/>
      <c r="C589" s="71"/>
      <c r="D589" s="69"/>
      <c r="E589"/>
      <c r="F589" s="69"/>
      <c r="G589" s="69"/>
      <c r="H589" s="69"/>
      <c r="I589" s="69"/>
      <c r="J589" s="69"/>
      <c r="K589" s="69"/>
      <c r="L589" s="69"/>
      <c r="M589" s="69"/>
      <c r="N589" s="69"/>
      <c r="O589" s="69"/>
      <c r="P589" s="69"/>
      <c r="Q589" s="69"/>
      <c r="R589" s="69"/>
      <c r="S589" s="69"/>
      <c r="T589" s="69"/>
      <c r="U589" s="70"/>
      <c r="V589" s="70"/>
      <c r="W589" s="71"/>
      <c r="X589"/>
    </row>
    <row r="590" spans="1:24">
      <c r="A590" s="71"/>
      <c r="B590" s="71"/>
      <c r="C590" s="71"/>
      <c r="D590" s="69"/>
      <c r="E590"/>
      <c r="F590" s="69"/>
      <c r="G590" s="69"/>
      <c r="H590" s="69"/>
      <c r="I590" s="69"/>
      <c r="J590" s="69"/>
      <c r="K590" s="69"/>
      <c r="L590" s="69"/>
      <c r="M590" s="69"/>
      <c r="N590" s="69"/>
      <c r="O590" s="69"/>
      <c r="P590" s="69"/>
      <c r="Q590" s="69"/>
      <c r="R590" s="69"/>
      <c r="S590" s="69"/>
      <c r="T590" s="69"/>
      <c r="U590" s="70"/>
      <c r="V590" s="70"/>
      <c r="W590" s="71"/>
      <c r="X590"/>
    </row>
    <row r="591" spans="1:24">
      <c r="A591" s="71"/>
      <c r="B591" s="71"/>
      <c r="C591" s="71"/>
      <c r="D591" s="69"/>
      <c r="E591"/>
      <c r="F591" s="69"/>
      <c r="G591" s="69"/>
      <c r="H591" s="69"/>
      <c r="I591" s="69"/>
      <c r="J591" s="69"/>
      <c r="K591" s="69"/>
      <c r="L591" s="69"/>
      <c r="M591" s="69"/>
      <c r="N591" s="69"/>
      <c r="O591" s="69"/>
      <c r="P591" s="69"/>
      <c r="Q591" s="69"/>
      <c r="R591" s="69"/>
      <c r="S591" s="69"/>
      <c r="T591" s="69"/>
      <c r="U591" s="70"/>
      <c r="V591" s="70"/>
      <c r="W591" s="71"/>
      <c r="X591"/>
    </row>
    <row r="592" spans="1:24">
      <c r="A592" s="71"/>
      <c r="B592" s="71"/>
      <c r="C592" s="71"/>
      <c r="D592" s="69"/>
      <c r="E592"/>
      <c r="F592" s="69"/>
      <c r="G592" s="69"/>
      <c r="H592" s="69"/>
      <c r="I592" s="69"/>
      <c r="J592" s="69"/>
      <c r="K592" s="69"/>
      <c r="L592" s="69"/>
      <c r="M592" s="69"/>
      <c r="N592" s="69"/>
      <c r="O592" s="69"/>
      <c r="P592" s="69"/>
      <c r="Q592" s="69"/>
      <c r="R592" s="69"/>
      <c r="S592" s="69"/>
      <c r="T592" s="69"/>
      <c r="U592" s="70"/>
      <c r="V592" s="70"/>
      <c r="W592" s="71"/>
      <c r="X592"/>
    </row>
    <row r="593" spans="1:24">
      <c r="A593" s="71"/>
      <c r="B593" s="71"/>
      <c r="C593" s="71"/>
      <c r="D593" s="69"/>
      <c r="E593"/>
      <c r="F593" s="69"/>
      <c r="G593" s="69"/>
      <c r="H593" s="69"/>
      <c r="I593" s="69"/>
      <c r="J593" s="69"/>
      <c r="K593" s="69"/>
      <c r="L593" s="69"/>
      <c r="M593" s="69"/>
      <c r="N593" s="69"/>
      <c r="O593" s="69"/>
      <c r="P593" s="69"/>
      <c r="Q593" s="69"/>
      <c r="R593" s="69"/>
      <c r="S593" s="69"/>
      <c r="T593" s="69"/>
      <c r="U593" s="70"/>
      <c r="V593" s="70"/>
      <c r="W593" s="71"/>
      <c r="X593"/>
    </row>
    <row r="594" spans="1:24">
      <c r="A594" s="71"/>
      <c r="B594" s="71"/>
      <c r="C594" s="71"/>
      <c r="D594" s="69"/>
      <c r="E594"/>
      <c r="F594" s="69"/>
      <c r="G594" s="69"/>
      <c r="H594" s="69"/>
      <c r="I594" s="69"/>
      <c r="J594" s="69"/>
      <c r="K594" s="69"/>
      <c r="L594" s="69"/>
      <c r="M594" s="69"/>
      <c r="N594" s="69"/>
      <c r="O594" s="69"/>
      <c r="P594" s="69"/>
      <c r="Q594" s="69"/>
      <c r="R594" s="69"/>
      <c r="S594" s="69"/>
      <c r="T594" s="69"/>
      <c r="U594" s="70"/>
      <c r="V594" s="70"/>
      <c r="W594" s="71"/>
      <c r="X594"/>
    </row>
    <row r="595" spans="1:24">
      <c r="A595" s="71"/>
      <c r="B595" s="71"/>
      <c r="C595" s="71"/>
      <c r="D595" s="69"/>
      <c r="E595"/>
      <c r="F595" s="69"/>
      <c r="G595" s="69"/>
      <c r="H595" s="69"/>
      <c r="I595" s="69"/>
      <c r="J595" s="69"/>
      <c r="K595" s="69"/>
      <c r="L595" s="69"/>
      <c r="M595" s="69"/>
      <c r="N595" s="69"/>
      <c r="O595" s="69"/>
      <c r="P595" s="69"/>
      <c r="Q595" s="69"/>
      <c r="R595" s="69"/>
      <c r="S595" s="69"/>
      <c r="T595" s="69"/>
      <c r="U595" s="70"/>
      <c r="V595" s="70"/>
      <c r="W595" s="71"/>
      <c r="X595"/>
    </row>
    <row r="596" spans="1:24">
      <c r="A596" s="71"/>
      <c r="B596" s="71"/>
      <c r="C596" s="71"/>
      <c r="D596" s="69"/>
      <c r="E596"/>
      <c r="F596" s="69"/>
      <c r="G596" s="69"/>
      <c r="H596" s="69"/>
      <c r="I596" s="69"/>
      <c r="J596" s="69"/>
      <c r="K596" s="69"/>
      <c r="L596" s="69"/>
      <c r="M596" s="69"/>
      <c r="N596" s="69"/>
      <c r="O596" s="69"/>
      <c r="P596" s="69"/>
      <c r="Q596" s="69"/>
      <c r="R596" s="69"/>
      <c r="S596" s="69"/>
      <c r="T596" s="69"/>
      <c r="U596" s="70"/>
      <c r="V596" s="70"/>
      <c r="W596" s="71"/>
      <c r="X596"/>
    </row>
    <row r="597" spans="1:24">
      <c r="A597" s="71"/>
      <c r="B597" s="71"/>
      <c r="C597" s="71"/>
      <c r="D597" s="69"/>
      <c r="E597"/>
      <c r="F597" s="69"/>
      <c r="G597" s="69"/>
      <c r="H597" s="69"/>
      <c r="I597" s="69"/>
      <c r="J597" s="69"/>
      <c r="K597" s="69"/>
      <c r="L597" s="69"/>
      <c r="M597" s="69"/>
      <c r="N597" s="69"/>
      <c r="O597" s="69"/>
      <c r="P597" s="69"/>
      <c r="Q597" s="69"/>
      <c r="R597" s="69"/>
      <c r="S597" s="69"/>
      <c r="T597" s="69"/>
      <c r="U597" s="70"/>
      <c r="V597" s="70"/>
      <c r="W597" s="71"/>
      <c r="X597"/>
    </row>
    <row r="598" spans="1:24">
      <c r="A598" s="71"/>
      <c r="B598" s="71"/>
      <c r="C598" s="71"/>
      <c r="D598" s="69"/>
      <c r="E598"/>
      <c r="F598" s="69"/>
      <c r="G598" s="69"/>
      <c r="H598" s="69"/>
      <c r="I598" s="69"/>
      <c r="J598" s="69"/>
      <c r="K598" s="69"/>
      <c r="L598" s="69"/>
      <c r="M598" s="69"/>
      <c r="N598" s="69"/>
      <c r="O598" s="69"/>
      <c r="P598" s="69"/>
      <c r="Q598" s="69"/>
      <c r="R598" s="69"/>
      <c r="S598" s="69"/>
      <c r="T598" s="69"/>
      <c r="U598" s="70"/>
      <c r="V598" s="70"/>
      <c r="W598" s="71"/>
      <c r="X598"/>
    </row>
    <row r="599" spans="1:24">
      <c r="A599" s="71"/>
      <c r="B599" s="71"/>
      <c r="C599" s="71"/>
      <c r="D599" s="69"/>
      <c r="E599"/>
      <c r="F599" s="69"/>
      <c r="G599" s="69"/>
      <c r="H599" s="69"/>
      <c r="I599" s="69"/>
      <c r="J599" s="69"/>
      <c r="K599" s="69"/>
      <c r="L599" s="69"/>
      <c r="M599" s="69"/>
      <c r="N599" s="69"/>
      <c r="O599" s="69"/>
      <c r="P599" s="69"/>
      <c r="Q599" s="69"/>
      <c r="R599" s="69"/>
      <c r="S599" s="69"/>
      <c r="T599" s="69"/>
      <c r="U599" s="70"/>
      <c r="V599" s="70"/>
      <c r="W599" s="71"/>
      <c r="X599"/>
    </row>
    <row r="600" spans="1:24">
      <c r="A600" s="71"/>
      <c r="B600" s="71"/>
      <c r="C600" s="71"/>
      <c r="D600" s="69"/>
      <c r="E600"/>
      <c r="F600" s="69"/>
      <c r="G600" s="69"/>
      <c r="H600" s="69"/>
      <c r="I600" s="69"/>
      <c r="J600" s="69"/>
      <c r="K600" s="69"/>
      <c r="L600" s="69"/>
      <c r="M600" s="69"/>
      <c r="N600" s="69"/>
      <c r="O600" s="69"/>
      <c r="P600" s="69"/>
      <c r="Q600" s="69"/>
      <c r="R600" s="69"/>
      <c r="S600" s="69"/>
      <c r="T600" s="69"/>
      <c r="U600" s="70"/>
      <c r="V600" s="70"/>
      <c r="W600" s="71"/>
      <c r="X600"/>
    </row>
    <row r="601" spans="1:24">
      <c r="A601" s="71"/>
      <c r="B601" s="71"/>
      <c r="C601" s="71"/>
      <c r="D601" s="69"/>
      <c r="E601"/>
      <c r="F601" s="69"/>
      <c r="G601" s="69"/>
      <c r="H601" s="69"/>
      <c r="I601" s="69"/>
      <c r="J601" s="69"/>
      <c r="K601" s="69"/>
      <c r="L601" s="69"/>
      <c r="M601" s="69"/>
      <c r="N601" s="69"/>
      <c r="O601" s="69"/>
      <c r="P601" s="69"/>
      <c r="Q601" s="69"/>
      <c r="R601" s="69"/>
      <c r="S601" s="69"/>
      <c r="T601" s="69"/>
      <c r="U601" s="70"/>
      <c r="V601" s="70"/>
      <c r="W601" s="71"/>
      <c r="X601"/>
    </row>
    <row r="602" spans="1:24">
      <c r="A602" s="71"/>
      <c r="B602" s="71"/>
      <c r="C602" s="71"/>
      <c r="D602" s="69"/>
      <c r="E602"/>
      <c r="F602" s="69"/>
      <c r="G602" s="69"/>
      <c r="H602" s="69"/>
      <c r="I602" s="69"/>
      <c r="J602" s="69"/>
      <c r="K602" s="69"/>
      <c r="L602" s="69"/>
      <c r="M602" s="69"/>
      <c r="N602" s="69"/>
      <c r="O602" s="69"/>
      <c r="P602" s="69"/>
      <c r="Q602" s="69"/>
      <c r="R602" s="69"/>
      <c r="S602" s="69"/>
      <c r="T602" s="69"/>
      <c r="U602" s="70"/>
      <c r="V602" s="70"/>
      <c r="W602" s="71"/>
      <c r="X602"/>
    </row>
    <row r="603" spans="1:24">
      <c r="A603" s="71"/>
      <c r="B603" s="71"/>
      <c r="C603" s="71"/>
      <c r="D603" s="69"/>
      <c r="E603"/>
      <c r="F603" s="69"/>
      <c r="G603" s="69"/>
      <c r="H603" s="69"/>
      <c r="I603" s="69"/>
      <c r="J603" s="69"/>
      <c r="K603" s="69"/>
      <c r="L603" s="69"/>
      <c r="M603" s="69"/>
      <c r="N603" s="69"/>
      <c r="O603" s="69"/>
      <c r="P603" s="69"/>
      <c r="Q603" s="69"/>
      <c r="R603" s="69"/>
      <c r="S603" s="69"/>
      <c r="T603" s="69"/>
      <c r="U603" s="70"/>
      <c r="V603" s="70"/>
      <c r="W603" s="71"/>
      <c r="X603"/>
    </row>
    <row r="604" spans="1:24">
      <c r="A604" s="71"/>
      <c r="B604" s="71"/>
      <c r="C604" s="71"/>
      <c r="D604" s="69"/>
      <c r="E604"/>
      <c r="F604" s="69"/>
      <c r="G604" s="69"/>
      <c r="H604" s="69"/>
      <c r="I604" s="69"/>
      <c r="J604" s="69"/>
      <c r="K604" s="69"/>
      <c r="L604" s="69"/>
      <c r="M604" s="69"/>
      <c r="N604" s="69"/>
      <c r="O604" s="69"/>
      <c r="P604" s="69"/>
      <c r="Q604" s="69"/>
      <c r="R604" s="69"/>
      <c r="S604" s="69"/>
      <c r="T604" s="69"/>
      <c r="U604" s="70"/>
      <c r="V604" s="70"/>
      <c r="W604" s="71"/>
      <c r="X604"/>
    </row>
    <row r="605" spans="1:24">
      <c r="A605" s="71"/>
      <c r="B605" s="71"/>
      <c r="C605" s="71"/>
      <c r="D605" s="69"/>
      <c r="E605"/>
      <c r="F605" s="69"/>
      <c r="G605" s="69"/>
      <c r="H605" s="69"/>
      <c r="I605" s="69"/>
      <c r="J605" s="69"/>
      <c r="K605" s="69"/>
      <c r="L605" s="69"/>
      <c r="M605" s="69"/>
      <c r="N605" s="69"/>
      <c r="O605" s="69"/>
      <c r="P605" s="69"/>
      <c r="Q605" s="69"/>
      <c r="R605" s="69"/>
      <c r="S605" s="69"/>
      <c r="T605" s="69"/>
      <c r="U605" s="70"/>
      <c r="V605" s="70"/>
      <c r="W605" s="71"/>
      <c r="X605"/>
    </row>
    <row r="606" spans="1:24">
      <c r="A606" s="71"/>
      <c r="B606" s="71"/>
      <c r="C606" s="71"/>
      <c r="D606" s="69"/>
      <c r="E606"/>
      <c r="F606" s="69"/>
      <c r="G606" s="69"/>
      <c r="H606" s="69"/>
      <c r="I606" s="69"/>
      <c r="J606" s="69"/>
      <c r="K606" s="69"/>
      <c r="L606" s="69"/>
      <c r="M606" s="69"/>
      <c r="N606" s="69"/>
      <c r="O606" s="69"/>
      <c r="P606" s="69"/>
      <c r="Q606" s="69"/>
      <c r="R606" s="69"/>
      <c r="S606" s="69"/>
      <c r="T606" s="69"/>
      <c r="U606" s="70"/>
      <c r="V606" s="70"/>
      <c r="W606" s="71"/>
      <c r="X606"/>
    </row>
    <row r="607" spans="1:24">
      <c r="A607" s="71"/>
      <c r="B607" s="71"/>
      <c r="C607" s="71"/>
      <c r="D607" s="69"/>
      <c r="E607"/>
      <c r="F607" s="69"/>
      <c r="G607" s="69"/>
      <c r="H607" s="69"/>
      <c r="I607" s="69"/>
      <c r="J607" s="69"/>
      <c r="K607" s="69"/>
      <c r="L607" s="69"/>
      <c r="M607" s="69"/>
      <c r="N607" s="69"/>
      <c r="O607" s="69"/>
      <c r="P607" s="69"/>
      <c r="Q607" s="69"/>
      <c r="R607" s="69"/>
      <c r="S607" s="69"/>
      <c r="T607" s="69"/>
      <c r="U607" s="70"/>
      <c r="V607" s="70"/>
      <c r="W607" s="71"/>
      <c r="X607"/>
    </row>
    <row r="608" spans="1:24">
      <c r="A608" s="71"/>
      <c r="B608" s="71"/>
      <c r="C608" s="71"/>
      <c r="D608" s="69"/>
      <c r="E608"/>
      <c r="F608" s="69"/>
      <c r="G608" s="69"/>
      <c r="H608" s="69"/>
      <c r="I608" s="69"/>
      <c r="J608" s="69"/>
      <c r="K608" s="69"/>
      <c r="L608" s="69"/>
      <c r="M608" s="69"/>
      <c r="N608" s="69"/>
      <c r="O608" s="69"/>
      <c r="P608" s="69"/>
      <c r="Q608" s="69"/>
      <c r="R608" s="69"/>
      <c r="S608" s="69"/>
      <c r="T608" s="69"/>
      <c r="U608" s="70"/>
      <c r="V608" s="70"/>
      <c r="W608" s="71"/>
      <c r="X608"/>
    </row>
    <row r="609" spans="1:24">
      <c r="A609" s="71"/>
      <c r="B609" s="71"/>
      <c r="C609" s="71"/>
      <c r="D609" s="69"/>
      <c r="E609"/>
      <c r="F609" s="69"/>
      <c r="G609" s="69"/>
      <c r="H609" s="69"/>
      <c r="I609" s="69"/>
      <c r="J609" s="69"/>
      <c r="K609" s="69"/>
      <c r="L609" s="69"/>
      <c r="M609" s="69"/>
      <c r="N609" s="69"/>
      <c r="O609" s="69"/>
      <c r="P609" s="69"/>
      <c r="Q609" s="69"/>
      <c r="R609" s="69"/>
      <c r="S609" s="69"/>
      <c r="T609" s="69"/>
      <c r="U609" s="70"/>
      <c r="V609" s="70"/>
      <c r="W609" s="71"/>
      <c r="X609"/>
    </row>
    <row r="610" spans="1:24">
      <c r="A610" s="71"/>
      <c r="B610" s="71"/>
      <c r="C610" s="71"/>
      <c r="D610" s="69"/>
      <c r="E610"/>
      <c r="F610" s="69"/>
      <c r="G610" s="69"/>
      <c r="H610" s="69"/>
      <c r="I610" s="69"/>
      <c r="J610" s="69"/>
      <c r="K610" s="69"/>
      <c r="L610" s="69"/>
      <c r="M610" s="69"/>
      <c r="N610" s="69"/>
      <c r="O610" s="69"/>
      <c r="P610" s="69"/>
      <c r="Q610" s="69"/>
      <c r="R610" s="69"/>
      <c r="S610" s="69"/>
      <c r="T610" s="69"/>
      <c r="U610" s="70"/>
      <c r="V610" s="70"/>
      <c r="W610" s="71"/>
      <c r="X610"/>
    </row>
    <row r="611" spans="1:24">
      <c r="A611" s="71"/>
      <c r="B611" s="71"/>
      <c r="C611" s="71"/>
      <c r="D611" s="69"/>
      <c r="E611"/>
      <c r="F611" s="69"/>
      <c r="G611" s="69"/>
      <c r="H611" s="69"/>
      <c r="I611" s="69"/>
      <c r="J611" s="69"/>
      <c r="K611" s="69"/>
      <c r="L611" s="69"/>
      <c r="M611" s="69"/>
      <c r="N611" s="69"/>
      <c r="O611" s="69"/>
      <c r="P611" s="69"/>
      <c r="Q611" s="69"/>
      <c r="R611" s="69"/>
      <c r="S611" s="69"/>
      <c r="T611" s="69"/>
      <c r="U611" s="70"/>
      <c r="V611" s="70"/>
      <c r="W611" s="71"/>
      <c r="X611"/>
    </row>
    <row r="612" spans="1:24">
      <c r="A612" s="71"/>
      <c r="B612" s="71"/>
      <c r="C612" s="71"/>
      <c r="D612" s="69"/>
      <c r="E612"/>
      <c r="F612" s="69"/>
      <c r="G612" s="69"/>
      <c r="H612" s="69"/>
      <c r="I612" s="69"/>
      <c r="J612" s="69"/>
      <c r="K612" s="69"/>
      <c r="L612" s="69"/>
      <c r="M612" s="69"/>
      <c r="N612" s="69"/>
      <c r="O612" s="69"/>
      <c r="P612" s="69"/>
      <c r="Q612" s="69"/>
      <c r="R612" s="69"/>
      <c r="S612" s="69"/>
      <c r="T612" s="69"/>
      <c r="U612" s="70"/>
      <c r="V612" s="70"/>
      <c r="W612" s="71"/>
      <c r="X612"/>
    </row>
    <row r="613" spans="1:24">
      <c r="A613" s="71"/>
      <c r="B613" s="71"/>
      <c r="C613" s="71"/>
      <c r="D613" s="69"/>
      <c r="E613"/>
      <c r="F613" s="69"/>
      <c r="G613" s="69"/>
      <c r="H613" s="69"/>
      <c r="I613" s="69"/>
      <c r="J613" s="69"/>
      <c r="K613" s="69"/>
      <c r="L613" s="69"/>
      <c r="M613" s="69"/>
      <c r="N613" s="69"/>
      <c r="O613" s="69"/>
      <c r="P613" s="69"/>
      <c r="Q613" s="69"/>
      <c r="R613" s="69"/>
      <c r="S613" s="69"/>
      <c r="T613" s="69"/>
      <c r="U613" s="70"/>
      <c r="V613" s="70"/>
      <c r="W613" s="71"/>
      <c r="X613"/>
    </row>
    <row r="614" spans="1:24">
      <c r="A614" s="71"/>
      <c r="B614" s="71"/>
      <c r="C614" s="71"/>
      <c r="D614" s="69"/>
      <c r="E614"/>
      <c r="F614" s="69"/>
      <c r="G614" s="69"/>
      <c r="H614" s="69"/>
      <c r="I614" s="69"/>
      <c r="J614" s="69"/>
      <c r="K614" s="69"/>
      <c r="L614" s="69"/>
      <c r="M614" s="69"/>
      <c r="N614" s="69"/>
      <c r="O614" s="69"/>
      <c r="P614" s="69"/>
      <c r="Q614" s="69"/>
      <c r="R614" s="69"/>
      <c r="S614" s="69"/>
      <c r="T614" s="69"/>
      <c r="U614" s="70"/>
      <c r="V614" s="70"/>
      <c r="W614" s="71"/>
      <c r="X614"/>
    </row>
    <row r="615" spans="1:24">
      <c r="A615" s="71"/>
      <c r="B615" s="71"/>
      <c r="C615" s="71"/>
      <c r="D615" s="69"/>
      <c r="E615"/>
      <c r="F615" s="69"/>
      <c r="G615" s="69"/>
      <c r="H615" s="69"/>
      <c r="I615" s="69"/>
      <c r="J615" s="69"/>
      <c r="K615" s="69"/>
      <c r="L615" s="69"/>
      <c r="M615" s="69"/>
      <c r="N615" s="69"/>
      <c r="O615" s="69"/>
      <c r="P615" s="69"/>
      <c r="Q615" s="69"/>
      <c r="R615" s="69"/>
      <c r="S615" s="69"/>
      <c r="T615" s="69"/>
      <c r="U615" s="70"/>
      <c r="V615" s="70"/>
      <c r="W615" s="71"/>
      <c r="X615"/>
    </row>
    <row r="616" spans="1:24">
      <c r="A616" s="71"/>
      <c r="B616" s="71"/>
      <c r="C616" s="71"/>
      <c r="D616" s="69"/>
      <c r="E616"/>
      <c r="F616" s="69"/>
      <c r="G616" s="69"/>
      <c r="H616" s="69"/>
      <c r="I616" s="69"/>
      <c r="J616" s="69"/>
      <c r="K616" s="69"/>
      <c r="L616" s="69"/>
      <c r="M616" s="69"/>
      <c r="N616" s="69"/>
      <c r="O616" s="69"/>
      <c r="P616" s="69"/>
      <c r="Q616" s="69"/>
      <c r="R616" s="69"/>
      <c r="S616" s="69"/>
      <c r="T616" s="69"/>
      <c r="U616" s="70"/>
      <c r="V616" s="70"/>
      <c r="W616" s="71"/>
      <c r="X616"/>
    </row>
    <row r="617" spans="1:24">
      <c r="A617" s="71"/>
      <c r="B617" s="71"/>
      <c r="C617" s="71"/>
      <c r="D617" s="69"/>
      <c r="E617"/>
      <c r="F617" s="69"/>
      <c r="G617" s="69"/>
      <c r="H617" s="69"/>
      <c r="I617" s="69"/>
      <c r="J617" s="69"/>
      <c r="K617" s="69"/>
      <c r="L617" s="69"/>
      <c r="M617" s="69"/>
      <c r="N617" s="69"/>
      <c r="O617" s="69"/>
      <c r="P617" s="69"/>
      <c r="Q617" s="69"/>
      <c r="R617" s="69"/>
      <c r="S617" s="69"/>
      <c r="T617" s="69"/>
      <c r="U617" s="70"/>
      <c r="V617" s="70"/>
      <c r="W617" s="71"/>
      <c r="X617"/>
    </row>
    <row r="618" spans="1:24">
      <c r="A618" s="71"/>
      <c r="B618" s="71"/>
      <c r="C618" s="71"/>
      <c r="D618" s="69"/>
      <c r="E618"/>
      <c r="F618" s="69"/>
      <c r="G618" s="69"/>
      <c r="H618" s="69"/>
      <c r="I618" s="69"/>
      <c r="J618" s="69"/>
      <c r="K618" s="69"/>
      <c r="L618" s="69"/>
      <c r="M618" s="69"/>
      <c r="N618" s="69"/>
      <c r="O618" s="69"/>
      <c r="P618" s="69"/>
      <c r="Q618" s="69"/>
      <c r="R618" s="69"/>
      <c r="S618" s="69"/>
      <c r="T618" s="69"/>
      <c r="U618" s="70"/>
      <c r="V618" s="70"/>
      <c r="W618" s="71"/>
      <c r="X618"/>
    </row>
    <row r="619" spans="1:24">
      <c r="A619" s="71"/>
      <c r="B619" s="71"/>
      <c r="C619" s="71"/>
      <c r="D619" s="69"/>
      <c r="E619"/>
      <c r="F619" s="69"/>
      <c r="G619" s="69"/>
      <c r="H619" s="69"/>
      <c r="I619" s="69"/>
      <c r="J619" s="69"/>
      <c r="K619" s="69"/>
      <c r="L619" s="69"/>
      <c r="M619" s="69"/>
      <c r="N619" s="69"/>
      <c r="O619" s="69"/>
      <c r="P619" s="69"/>
      <c r="Q619" s="69"/>
      <c r="R619" s="69"/>
      <c r="S619" s="69"/>
      <c r="T619" s="69"/>
      <c r="U619" s="70"/>
      <c r="V619" s="70"/>
      <c r="W619" s="71"/>
      <c r="X619"/>
    </row>
    <row r="620" spans="1:24">
      <c r="A620" s="71"/>
      <c r="B620" s="71"/>
      <c r="C620" s="71"/>
      <c r="D620" s="69"/>
      <c r="E620"/>
      <c r="F620" s="69"/>
      <c r="G620" s="69"/>
      <c r="H620" s="69"/>
      <c r="I620" s="69"/>
      <c r="J620" s="69"/>
      <c r="K620" s="69"/>
      <c r="L620" s="69"/>
      <c r="M620" s="69"/>
      <c r="N620" s="69"/>
      <c r="O620" s="69"/>
      <c r="P620" s="69"/>
      <c r="Q620" s="69"/>
      <c r="R620" s="69"/>
      <c r="S620" s="69"/>
      <c r="T620" s="69"/>
      <c r="U620" s="70"/>
      <c r="V620" s="70"/>
      <c r="W620" s="71"/>
      <c r="X620"/>
    </row>
    <row r="621" spans="1:24">
      <c r="A621" s="71"/>
      <c r="B621" s="71"/>
      <c r="C621" s="71"/>
      <c r="D621" s="69"/>
      <c r="E621"/>
      <c r="F621" s="69"/>
      <c r="G621" s="69"/>
      <c r="H621" s="69"/>
      <c r="I621" s="69"/>
      <c r="J621" s="69"/>
      <c r="K621" s="69"/>
      <c r="L621" s="69"/>
      <c r="M621" s="69"/>
      <c r="N621" s="69"/>
      <c r="O621" s="69"/>
      <c r="P621" s="69"/>
      <c r="Q621" s="69"/>
      <c r="R621" s="69"/>
      <c r="S621" s="69"/>
      <c r="T621" s="69"/>
      <c r="U621" s="70"/>
      <c r="V621" s="70"/>
      <c r="W621" s="71"/>
      <c r="X621"/>
    </row>
    <row r="622" spans="1:24">
      <c r="A622" s="71"/>
      <c r="B622" s="71"/>
      <c r="C622" s="71"/>
      <c r="D622" s="69"/>
      <c r="E622"/>
      <c r="F622" s="69"/>
      <c r="G622" s="69"/>
      <c r="H622" s="69"/>
      <c r="I622" s="69"/>
      <c r="J622" s="69"/>
      <c r="K622" s="69"/>
      <c r="L622" s="69"/>
      <c r="M622" s="69"/>
      <c r="N622" s="69"/>
      <c r="O622" s="69"/>
      <c r="P622" s="69"/>
      <c r="Q622" s="69"/>
      <c r="R622" s="69"/>
      <c r="S622" s="69"/>
      <c r="T622" s="69"/>
      <c r="U622" s="70"/>
      <c r="V622" s="70"/>
      <c r="W622" s="71"/>
      <c r="X622"/>
    </row>
    <row r="623" spans="1:24">
      <c r="A623" s="71"/>
      <c r="B623" s="71"/>
      <c r="C623" s="71"/>
      <c r="D623" s="69"/>
      <c r="E623"/>
      <c r="F623" s="69"/>
      <c r="G623" s="69"/>
      <c r="H623" s="69"/>
      <c r="I623" s="69"/>
      <c r="J623" s="69"/>
      <c r="K623" s="69"/>
      <c r="L623" s="69"/>
      <c r="M623" s="69"/>
      <c r="N623" s="69"/>
      <c r="O623" s="69"/>
      <c r="P623" s="69"/>
      <c r="Q623" s="69"/>
      <c r="R623" s="69"/>
      <c r="S623" s="69"/>
      <c r="T623" s="69"/>
      <c r="U623" s="70"/>
      <c r="V623" s="70"/>
      <c r="W623" s="71"/>
      <c r="X623"/>
    </row>
    <row r="624" spans="1:24">
      <c r="A624" s="71"/>
      <c r="B624" s="71"/>
      <c r="C624" s="71"/>
      <c r="D624" s="69"/>
      <c r="E624"/>
      <c r="F624" s="69"/>
      <c r="G624" s="69"/>
      <c r="H624" s="69"/>
      <c r="I624" s="69"/>
      <c r="J624" s="69"/>
      <c r="K624" s="69"/>
      <c r="L624" s="69"/>
      <c r="M624" s="69"/>
      <c r="N624" s="69"/>
      <c r="O624" s="69"/>
      <c r="P624" s="69"/>
      <c r="Q624" s="69"/>
      <c r="R624" s="69"/>
      <c r="S624" s="69"/>
      <c r="T624" s="69"/>
      <c r="U624" s="70"/>
      <c r="V624" s="70"/>
      <c r="W624" s="71"/>
      <c r="X624"/>
    </row>
    <row r="625" spans="1:24">
      <c r="A625" s="71"/>
      <c r="B625" s="71"/>
      <c r="C625" s="71"/>
      <c r="D625" s="69"/>
      <c r="E625"/>
      <c r="F625" s="69"/>
      <c r="G625" s="69"/>
      <c r="H625" s="69"/>
      <c r="I625" s="69"/>
      <c r="J625" s="69"/>
      <c r="K625" s="69"/>
      <c r="L625" s="69"/>
      <c r="M625" s="69"/>
      <c r="N625" s="69"/>
      <c r="O625" s="69"/>
      <c r="P625" s="69"/>
      <c r="Q625" s="69"/>
      <c r="R625" s="69"/>
      <c r="S625" s="69"/>
      <c r="T625" s="69"/>
      <c r="U625" s="70"/>
      <c r="V625" s="70"/>
      <c r="W625" s="71"/>
      <c r="X625"/>
    </row>
    <row r="626" spans="1:24">
      <c r="A626" s="71"/>
      <c r="B626" s="71"/>
      <c r="C626" s="71"/>
      <c r="D626" s="69"/>
      <c r="E626"/>
      <c r="F626" s="69"/>
      <c r="G626" s="69"/>
      <c r="H626" s="69"/>
      <c r="I626" s="69"/>
      <c r="J626" s="69"/>
      <c r="K626" s="69"/>
      <c r="L626" s="69"/>
      <c r="M626" s="69"/>
      <c r="N626" s="69"/>
      <c r="O626" s="69"/>
      <c r="P626" s="69"/>
      <c r="Q626" s="69"/>
      <c r="R626" s="69"/>
      <c r="S626" s="69"/>
      <c r="T626" s="69"/>
      <c r="U626" s="70"/>
      <c r="V626" s="70"/>
      <c r="W626" s="71"/>
      <c r="X626"/>
    </row>
    <row r="627" spans="1:24">
      <c r="A627" s="71"/>
      <c r="B627" s="71"/>
      <c r="C627" s="71"/>
      <c r="D627" s="69"/>
      <c r="E627"/>
      <c r="F627" s="69"/>
      <c r="G627" s="69"/>
      <c r="H627" s="69"/>
      <c r="I627" s="69"/>
      <c r="J627" s="69"/>
      <c r="K627" s="69"/>
      <c r="L627" s="69"/>
      <c r="M627" s="69"/>
      <c r="N627" s="69"/>
      <c r="O627" s="69"/>
      <c r="P627" s="69"/>
      <c r="Q627" s="69"/>
      <c r="R627" s="69"/>
      <c r="S627" s="69"/>
      <c r="T627" s="69"/>
      <c r="U627" s="70"/>
      <c r="V627" s="70"/>
      <c r="W627" s="71"/>
      <c r="X627"/>
    </row>
    <row r="628" spans="1:24">
      <c r="A628" s="71"/>
      <c r="B628" s="71"/>
      <c r="C628" s="71"/>
      <c r="D628" s="69"/>
      <c r="E628"/>
      <c r="F628" s="69"/>
      <c r="G628" s="69"/>
      <c r="H628" s="69"/>
      <c r="I628" s="69"/>
      <c r="J628" s="69"/>
      <c r="K628" s="69"/>
      <c r="L628" s="69"/>
      <c r="M628" s="69"/>
      <c r="N628" s="69"/>
      <c r="O628" s="69"/>
      <c r="P628" s="69"/>
      <c r="Q628" s="69"/>
      <c r="R628" s="69"/>
      <c r="S628" s="69"/>
      <c r="T628" s="69"/>
      <c r="U628" s="70"/>
      <c r="V628" s="70"/>
      <c r="W628" s="71"/>
      <c r="X628"/>
    </row>
    <row r="629" spans="1:24">
      <c r="A629" s="71"/>
      <c r="B629" s="71"/>
      <c r="C629" s="71"/>
      <c r="D629" s="69"/>
      <c r="E629"/>
      <c r="F629" s="69"/>
      <c r="G629" s="69"/>
      <c r="H629" s="69"/>
      <c r="I629" s="69"/>
      <c r="J629" s="69"/>
      <c r="K629" s="69"/>
      <c r="L629" s="69"/>
      <c r="M629" s="69"/>
      <c r="N629" s="69"/>
      <c r="O629" s="69"/>
      <c r="P629" s="69"/>
      <c r="Q629" s="69"/>
      <c r="R629" s="69"/>
      <c r="S629" s="69"/>
      <c r="T629" s="69"/>
      <c r="U629" s="70"/>
      <c r="V629" s="70"/>
      <c r="W629" s="71"/>
      <c r="X629"/>
    </row>
    <row r="630" spans="1:24">
      <c r="A630" s="71"/>
      <c r="B630" s="71"/>
      <c r="C630" s="71"/>
      <c r="D630" s="69"/>
      <c r="E630"/>
      <c r="F630" s="69"/>
      <c r="G630" s="69"/>
      <c r="H630" s="69"/>
      <c r="I630" s="69"/>
      <c r="J630" s="69"/>
      <c r="K630" s="69"/>
      <c r="L630" s="69"/>
      <c r="M630" s="69"/>
      <c r="N630" s="69"/>
      <c r="O630" s="69"/>
      <c r="P630" s="69"/>
      <c r="Q630" s="69"/>
      <c r="R630" s="69"/>
      <c r="S630" s="69"/>
      <c r="T630" s="69"/>
      <c r="U630" s="70"/>
      <c r="V630" s="70"/>
      <c r="W630" s="71"/>
      <c r="X630"/>
    </row>
    <row r="631" spans="1:24">
      <c r="A631" s="71"/>
      <c r="B631" s="71"/>
      <c r="C631" s="71"/>
      <c r="D631" s="69"/>
      <c r="E631"/>
      <c r="F631" s="69"/>
      <c r="G631" s="69"/>
      <c r="H631" s="69"/>
      <c r="I631" s="69"/>
      <c r="J631" s="69"/>
      <c r="K631" s="69"/>
      <c r="L631" s="69"/>
      <c r="M631" s="69"/>
      <c r="N631" s="69"/>
      <c r="O631" s="69"/>
      <c r="P631" s="69"/>
      <c r="Q631" s="69"/>
      <c r="R631" s="69"/>
      <c r="S631" s="69"/>
      <c r="T631" s="69"/>
      <c r="U631" s="70"/>
      <c r="V631" s="70"/>
      <c r="W631" s="71"/>
      <c r="X631"/>
    </row>
    <row r="632" spans="1:24">
      <c r="A632" s="71"/>
      <c r="B632" s="71"/>
      <c r="C632" s="71"/>
      <c r="D632" s="69"/>
      <c r="E632"/>
      <c r="F632" s="69"/>
      <c r="G632" s="69"/>
      <c r="H632" s="69"/>
      <c r="I632" s="69"/>
      <c r="J632" s="69"/>
      <c r="K632" s="69"/>
      <c r="L632" s="69"/>
      <c r="M632" s="69"/>
      <c r="N632" s="69"/>
      <c r="O632" s="69"/>
      <c r="P632" s="69"/>
      <c r="Q632" s="69"/>
      <c r="R632" s="69"/>
      <c r="S632" s="69"/>
      <c r="T632" s="69"/>
      <c r="U632" s="70"/>
      <c r="V632" s="70"/>
      <c r="W632" s="71"/>
      <c r="X632"/>
    </row>
    <row r="633" spans="1:24">
      <c r="A633" s="71"/>
      <c r="B633" s="71"/>
      <c r="C633" s="71"/>
      <c r="D633" s="69"/>
      <c r="E633"/>
      <c r="F633" s="69"/>
      <c r="G633" s="69"/>
      <c r="H633" s="69"/>
      <c r="I633" s="69"/>
      <c r="J633" s="69"/>
      <c r="K633" s="69"/>
      <c r="L633" s="69"/>
      <c r="M633" s="69"/>
      <c r="N633" s="69"/>
      <c r="O633" s="69"/>
      <c r="P633" s="69"/>
      <c r="Q633" s="69"/>
      <c r="R633" s="69"/>
      <c r="S633" s="69"/>
      <c r="T633" s="69"/>
      <c r="U633" s="70"/>
      <c r="V633" s="70"/>
      <c r="W633" s="71"/>
      <c r="X633"/>
    </row>
    <row r="634" spans="1:24">
      <c r="A634" s="71"/>
      <c r="B634" s="71"/>
      <c r="C634" s="71"/>
      <c r="D634" s="69"/>
      <c r="E634"/>
      <c r="F634" s="69"/>
      <c r="G634" s="69"/>
      <c r="H634" s="69"/>
      <c r="I634" s="69"/>
      <c r="J634" s="69"/>
      <c r="K634" s="69"/>
      <c r="L634" s="69"/>
      <c r="M634" s="69"/>
      <c r="N634" s="69"/>
      <c r="O634" s="69"/>
      <c r="P634" s="69"/>
      <c r="Q634" s="69"/>
      <c r="R634" s="69"/>
      <c r="S634" s="69"/>
      <c r="T634" s="69"/>
      <c r="U634" s="70"/>
      <c r="V634" s="70"/>
      <c r="W634" s="71"/>
      <c r="X634"/>
    </row>
    <row r="635" spans="1:24">
      <c r="A635" s="71"/>
      <c r="B635" s="71"/>
      <c r="C635" s="71"/>
      <c r="D635" s="69"/>
      <c r="E635"/>
      <c r="F635" s="69"/>
      <c r="G635" s="69"/>
      <c r="H635" s="69"/>
      <c r="I635" s="69"/>
      <c r="J635" s="69"/>
      <c r="K635" s="69"/>
      <c r="L635" s="69"/>
      <c r="M635" s="69"/>
      <c r="N635" s="69"/>
      <c r="O635" s="69"/>
      <c r="P635" s="69"/>
      <c r="Q635" s="69"/>
      <c r="R635" s="69"/>
      <c r="S635" s="69"/>
      <c r="T635" s="69"/>
      <c r="U635" s="70"/>
      <c r="V635" s="70"/>
      <c r="W635" s="71"/>
      <c r="X635"/>
    </row>
    <row r="636" spans="1:24">
      <c r="A636" s="71"/>
      <c r="B636" s="71"/>
      <c r="C636" s="71"/>
      <c r="D636" s="69"/>
      <c r="E636"/>
      <c r="F636" s="69"/>
      <c r="G636" s="69"/>
      <c r="H636" s="69"/>
      <c r="I636" s="69"/>
      <c r="J636" s="69"/>
      <c r="K636" s="69"/>
      <c r="L636" s="69"/>
      <c r="M636" s="69"/>
      <c r="N636" s="69"/>
      <c r="O636" s="69"/>
      <c r="P636" s="69"/>
      <c r="Q636" s="69"/>
      <c r="R636" s="69"/>
      <c r="S636" s="69"/>
      <c r="T636" s="69"/>
      <c r="U636" s="70"/>
      <c r="V636" s="70"/>
      <c r="W636" s="71"/>
      <c r="X636"/>
    </row>
    <row r="637" spans="1:24">
      <c r="A637" s="71"/>
      <c r="B637" s="71"/>
      <c r="C637" s="71"/>
      <c r="D637" s="69"/>
      <c r="E637"/>
      <c r="F637" s="69"/>
      <c r="G637" s="69"/>
      <c r="H637" s="69"/>
      <c r="I637" s="69"/>
      <c r="J637" s="69"/>
      <c r="K637" s="69"/>
      <c r="L637" s="69"/>
      <c r="M637" s="69"/>
      <c r="N637" s="69"/>
      <c r="O637" s="69"/>
      <c r="P637" s="69"/>
      <c r="Q637" s="69"/>
      <c r="R637" s="69"/>
      <c r="S637" s="69"/>
      <c r="T637" s="69"/>
      <c r="U637" s="70"/>
      <c r="V637" s="70"/>
      <c r="W637" s="71"/>
      <c r="X637"/>
    </row>
    <row r="638" spans="1:24">
      <c r="A638" s="71"/>
      <c r="B638" s="71"/>
      <c r="C638" s="71"/>
      <c r="D638" s="69"/>
      <c r="E638"/>
      <c r="F638" s="69"/>
      <c r="G638" s="69"/>
      <c r="H638" s="69"/>
      <c r="I638" s="69"/>
      <c r="J638" s="69"/>
      <c r="K638" s="69"/>
      <c r="L638" s="69"/>
      <c r="M638" s="69"/>
      <c r="N638" s="69"/>
      <c r="O638" s="69"/>
      <c r="P638" s="69"/>
      <c r="Q638" s="69"/>
      <c r="R638" s="69"/>
      <c r="S638" s="69"/>
      <c r="T638" s="69"/>
      <c r="U638" s="70"/>
      <c r="V638" s="70"/>
      <c r="W638" s="71"/>
      <c r="X638"/>
    </row>
    <row r="639" spans="1:24">
      <c r="A639" s="71"/>
      <c r="B639" s="71"/>
      <c r="C639" s="71"/>
      <c r="D639" s="69"/>
      <c r="E639"/>
      <c r="F639" s="69"/>
      <c r="G639" s="69"/>
      <c r="H639" s="69"/>
      <c r="I639" s="69"/>
      <c r="J639" s="69"/>
      <c r="K639" s="69"/>
      <c r="L639" s="69"/>
      <c r="M639" s="69"/>
      <c r="N639" s="69"/>
      <c r="O639" s="69"/>
      <c r="P639" s="69"/>
      <c r="Q639" s="69"/>
      <c r="R639" s="69"/>
      <c r="S639" s="69"/>
      <c r="T639" s="69"/>
      <c r="U639" s="70"/>
      <c r="V639" s="70"/>
      <c r="W639" s="71"/>
      <c r="X639"/>
    </row>
    <row r="640" spans="1:24">
      <c r="A640" s="71"/>
      <c r="B640" s="71"/>
      <c r="C640" s="71"/>
      <c r="D640" s="69"/>
      <c r="E640"/>
      <c r="F640" s="69"/>
      <c r="G640" s="69"/>
      <c r="H640" s="69"/>
      <c r="I640" s="69"/>
      <c r="J640" s="69"/>
      <c r="K640" s="69"/>
      <c r="L640" s="69"/>
      <c r="M640" s="69"/>
      <c r="N640" s="69"/>
      <c r="O640" s="69"/>
      <c r="P640" s="69"/>
      <c r="Q640" s="69"/>
      <c r="R640" s="69"/>
      <c r="S640" s="69"/>
      <c r="T640" s="69"/>
      <c r="U640" s="70"/>
      <c r="V640" s="70"/>
      <c r="W640" s="71"/>
      <c r="X640"/>
    </row>
    <row r="641" spans="1:24">
      <c r="A641" s="71"/>
      <c r="B641" s="71"/>
      <c r="C641" s="71"/>
      <c r="D641" s="69"/>
      <c r="E641"/>
      <c r="F641" s="69"/>
      <c r="G641" s="69"/>
      <c r="H641" s="69"/>
      <c r="I641" s="69"/>
      <c r="J641" s="69"/>
      <c r="K641" s="69"/>
      <c r="L641" s="69"/>
      <c r="M641" s="69"/>
      <c r="N641" s="69"/>
      <c r="O641" s="69"/>
      <c r="P641" s="69"/>
      <c r="Q641" s="69"/>
      <c r="R641" s="69"/>
      <c r="S641" s="69"/>
      <c r="T641" s="69"/>
      <c r="U641" s="70"/>
      <c r="V641" s="70"/>
      <c r="W641" s="71"/>
      <c r="X641"/>
    </row>
    <row r="642" spans="1:24">
      <c r="A642" s="71"/>
      <c r="B642" s="71"/>
      <c r="C642" s="71"/>
      <c r="D642" s="69"/>
      <c r="E642"/>
      <c r="F642" s="69"/>
      <c r="G642" s="69"/>
      <c r="H642" s="69"/>
      <c r="I642" s="69"/>
      <c r="J642" s="69"/>
      <c r="K642" s="69"/>
      <c r="L642" s="69"/>
      <c r="M642" s="69"/>
      <c r="N642" s="69"/>
      <c r="O642" s="69"/>
      <c r="P642" s="69"/>
      <c r="Q642" s="69"/>
      <c r="R642" s="69"/>
      <c r="S642" s="69"/>
      <c r="T642" s="69"/>
      <c r="U642" s="70"/>
      <c r="V642" s="70"/>
      <c r="W642" s="71"/>
      <c r="X642"/>
    </row>
    <row r="643" spans="1:24">
      <c r="A643" s="71"/>
      <c r="B643" s="71"/>
      <c r="C643" s="71"/>
      <c r="D643" s="69"/>
      <c r="E643"/>
      <c r="F643" s="69"/>
      <c r="G643" s="69"/>
      <c r="H643" s="69"/>
      <c r="I643" s="69"/>
      <c r="J643" s="69"/>
      <c r="K643" s="69"/>
      <c r="L643" s="69"/>
      <c r="M643" s="69"/>
      <c r="N643" s="69"/>
      <c r="O643" s="69"/>
      <c r="P643" s="69"/>
      <c r="Q643" s="69"/>
      <c r="R643" s="69"/>
      <c r="S643" s="69"/>
      <c r="T643" s="69"/>
      <c r="U643" s="70"/>
      <c r="V643" s="70"/>
      <c r="W643" s="71"/>
      <c r="X643"/>
    </row>
    <row r="644" spans="1:24">
      <c r="A644" s="71"/>
      <c r="B644" s="71"/>
      <c r="C644" s="71"/>
      <c r="D644" s="69"/>
      <c r="E644"/>
      <c r="F644" s="69"/>
      <c r="G644" s="69"/>
      <c r="H644" s="69"/>
      <c r="I644" s="69"/>
      <c r="J644" s="69"/>
      <c r="K644" s="69"/>
      <c r="L644" s="69"/>
      <c r="M644" s="69"/>
      <c r="N644" s="69"/>
      <c r="O644" s="69"/>
      <c r="P644" s="69"/>
      <c r="Q644" s="69"/>
      <c r="R644" s="69"/>
      <c r="S644" s="69"/>
      <c r="T644" s="69"/>
      <c r="U644" s="70"/>
      <c r="V644" s="70"/>
      <c r="W644" s="71"/>
      <c r="X644"/>
    </row>
    <row r="645" spans="1:24">
      <c r="A645" s="71"/>
      <c r="B645" s="71"/>
      <c r="C645" s="71"/>
      <c r="D645" s="69"/>
      <c r="E645"/>
      <c r="F645" s="69"/>
      <c r="G645" s="69"/>
      <c r="H645" s="69"/>
      <c r="I645" s="69"/>
      <c r="J645" s="69"/>
      <c r="K645" s="69"/>
      <c r="L645" s="69"/>
      <c r="M645" s="69"/>
      <c r="N645" s="69"/>
      <c r="O645" s="69"/>
      <c r="P645" s="69"/>
      <c r="Q645" s="69"/>
      <c r="R645" s="69"/>
      <c r="S645" s="69"/>
      <c r="T645" s="69"/>
      <c r="U645" s="70"/>
      <c r="V645" s="70"/>
      <c r="W645" s="71"/>
      <c r="X645"/>
    </row>
    <row r="646" spans="1:24">
      <c r="A646" s="71"/>
      <c r="B646" s="71"/>
      <c r="C646" s="71"/>
      <c r="D646" s="69"/>
      <c r="E646"/>
      <c r="F646" s="69"/>
      <c r="G646" s="69"/>
      <c r="H646" s="69"/>
      <c r="I646" s="69"/>
      <c r="J646" s="69"/>
      <c r="K646" s="69"/>
      <c r="L646" s="69"/>
      <c r="M646" s="69"/>
      <c r="N646" s="69"/>
      <c r="O646" s="69"/>
      <c r="P646" s="69"/>
      <c r="Q646" s="69"/>
      <c r="R646" s="69"/>
      <c r="S646" s="69"/>
      <c r="T646" s="69"/>
      <c r="U646" s="70"/>
      <c r="V646" s="70"/>
      <c r="W646" s="71"/>
      <c r="X646"/>
    </row>
    <row r="647" spans="1:24">
      <c r="A647" s="71"/>
      <c r="B647" s="71"/>
      <c r="C647" s="71"/>
      <c r="D647" s="69"/>
      <c r="E647"/>
      <c r="F647" s="69"/>
      <c r="G647" s="69"/>
      <c r="H647" s="69"/>
      <c r="I647" s="69"/>
      <c r="J647" s="69"/>
      <c r="K647" s="69"/>
      <c r="L647" s="69"/>
      <c r="M647" s="69"/>
      <c r="N647" s="69"/>
      <c r="O647" s="69"/>
      <c r="P647" s="69"/>
      <c r="Q647" s="69"/>
      <c r="R647" s="69"/>
      <c r="S647" s="69"/>
      <c r="T647" s="69"/>
      <c r="U647" s="70"/>
      <c r="V647" s="70"/>
      <c r="W647" s="71"/>
      <c r="X647"/>
    </row>
    <row r="648" spans="1:24">
      <c r="A648" s="71"/>
      <c r="B648" s="71"/>
      <c r="C648" s="71"/>
      <c r="D648" s="69"/>
      <c r="E648"/>
      <c r="F648" s="69"/>
      <c r="G648" s="69"/>
      <c r="H648" s="69"/>
      <c r="I648" s="69"/>
      <c r="J648" s="69"/>
      <c r="K648" s="69"/>
      <c r="L648" s="69"/>
      <c r="M648" s="69"/>
      <c r="N648" s="69"/>
      <c r="O648" s="69"/>
      <c r="P648" s="69"/>
      <c r="Q648" s="69"/>
      <c r="R648" s="69"/>
      <c r="S648" s="69"/>
      <c r="T648" s="69"/>
      <c r="U648" s="70"/>
      <c r="V648" s="70"/>
      <c r="W648" s="71"/>
      <c r="X648"/>
    </row>
    <row r="649" spans="1:24">
      <c r="A649" s="71"/>
      <c r="B649" s="71"/>
      <c r="C649" s="71"/>
      <c r="D649" s="69"/>
      <c r="E649"/>
      <c r="F649" s="69"/>
      <c r="G649" s="69"/>
      <c r="H649" s="69"/>
      <c r="I649" s="69"/>
      <c r="J649" s="69"/>
      <c r="K649" s="69"/>
      <c r="L649" s="69"/>
      <c r="M649" s="69"/>
      <c r="N649" s="69"/>
      <c r="O649" s="69"/>
      <c r="P649" s="69"/>
      <c r="Q649" s="69"/>
      <c r="R649" s="69"/>
      <c r="S649" s="69"/>
      <c r="T649" s="69"/>
      <c r="U649" s="70"/>
      <c r="V649" s="70"/>
      <c r="W649" s="71"/>
      <c r="X649"/>
    </row>
    <row r="650" spans="1:24">
      <c r="A650" s="71"/>
      <c r="B650" s="71"/>
      <c r="C650" s="71"/>
      <c r="D650" s="69"/>
      <c r="E650"/>
      <c r="F650" s="69"/>
      <c r="G650" s="69"/>
      <c r="H650" s="69"/>
      <c r="I650" s="69"/>
      <c r="J650" s="69"/>
      <c r="K650" s="69"/>
      <c r="L650" s="69"/>
      <c r="M650" s="69"/>
      <c r="N650" s="69"/>
      <c r="O650" s="69"/>
      <c r="P650" s="69"/>
      <c r="Q650" s="69"/>
      <c r="R650" s="69"/>
      <c r="S650" s="69"/>
      <c r="T650" s="69"/>
      <c r="U650" s="70"/>
      <c r="V650" s="70"/>
      <c r="W650" s="71"/>
      <c r="X650"/>
    </row>
    <row r="651" spans="1:24">
      <c r="A651" s="71"/>
      <c r="B651" s="71"/>
      <c r="C651" s="71"/>
      <c r="D651" s="69"/>
      <c r="E651"/>
      <c r="F651" s="69"/>
      <c r="G651" s="69"/>
      <c r="H651" s="69"/>
      <c r="I651" s="69"/>
      <c r="J651" s="69"/>
      <c r="K651" s="69"/>
      <c r="L651" s="69"/>
      <c r="M651" s="69"/>
      <c r="N651" s="69"/>
      <c r="O651" s="69"/>
      <c r="P651" s="69"/>
      <c r="Q651" s="69"/>
      <c r="R651" s="69"/>
      <c r="S651" s="69"/>
      <c r="T651" s="69"/>
      <c r="U651" s="70"/>
      <c r="V651" s="70"/>
      <c r="W651" s="71"/>
      <c r="X651"/>
    </row>
    <row r="652" spans="1:24">
      <c r="A652" s="71"/>
      <c r="B652" s="71"/>
      <c r="C652" s="71"/>
      <c r="D652" s="69"/>
      <c r="E652"/>
      <c r="F652" s="69"/>
      <c r="G652" s="69"/>
      <c r="H652" s="69"/>
      <c r="I652" s="69"/>
      <c r="J652" s="69"/>
      <c r="K652" s="69"/>
      <c r="L652" s="69"/>
      <c r="M652" s="69"/>
      <c r="N652" s="69"/>
      <c r="O652" s="69"/>
      <c r="P652" s="69"/>
      <c r="Q652" s="69"/>
      <c r="R652" s="69"/>
      <c r="S652" s="69"/>
      <c r="T652" s="69"/>
      <c r="U652" s="70"/>
      <c r="V652" s="70"/>
      <c r="W652" s="71"/>
      <c r="X652"/>
    </row>
    <row r="653" spans="1:24">
      <c r="A653" s="71"/>
      <c r="B653" s="71"/>
      <c r="C653" s="71"/>
      <c r="D653" s="69"/>
      <c r="E653"/>
      <c r="F653" s="69"/>
      <c r="G653" s="69"/>
      <c r="H653" s="69"/>
      <c r="I653" s="69"/>
      <c r="J653" s="69"/>
      <c r="K653" s="69"/>
      <c r="L653" s="69"/>
      <c r="M653" s="69"/>
      <c r="N653" s="69"/>
      <c r="O653" s="69"/>
      <c r="P653" s="69"/>
      <c r="Q653" s="69"/>
      <c r="R653" s="69"/>
      <c r="S653" s="69"/>
      <c r="T653" s="69"/>
      <c r="U653" s="70"/>
      <c r="V653" s="70"/>
      <c r="W653" s="71"/>
      <c r="X653"/>
    </row>
    <row r="654" spans="1:24">
      <c r="A654" s="71"/>
      <c r="B654" s="71"/>
      <c r="C654" s="71"/>
      <c r="D654" s="69"/>
      <c r="E654"/>
      <c r="F654" s="69"/>
      <c r="G654" s="69"/>
      <c r="H654" s="69"/>
      <c r="I654" s="69"/>
      <c r="J654" s="69"/>
      <c r="K654" s="69"/>
      <c r="L654" s="69"/>
      <c r="M654" s="69"/>
      <c r="N654" s="69"/>
      <c r="O654" s="69"/>
      <c r="P654" s="69"/>
      <c r="Q654" s="69"/>
      <c r="R654" s="69"/>
      <c r="S654" s="69"/>
      <c r="T654" s="69"/>
      <c r="U654" s="70"/>
      <c r="V654" s="70"/>
      <c r="W654" s="71"/>
      <c r="X654"/>
    </row>
    <row r="655" spans="1:24">
      <c r="A655" s="71"/>
      <c r="B655" s="71"/>
      <c r="C655" s="71"/>
      <c r="D655" s="69"/>
      <c r="E655"/>
      <c r="F655" s="69"/>
      <c r="G655" s="69"/>
      <c r="H655" s="69"/>
      <c r="I655" s="69"/>
      <c r="J655" s="69"/>
      <c r="K655" s="69"/>
      <c r="L655" s="69"/>
      <c r="M655" s="69"/>
      <c r="N655" s="69"/>
      <c r="O655" s="69"/>
      <c r="P655" s="69"/>
      <c r="Q655" s="69"/>
      <c r="R655" s="69"/>
      <c r="S655" s="69"/>
      <c r="T655" s="69"/>
      <c r="U655" s="70"/>
      <c r="V655" s="70"/>
      <c r="W655" s="71"/>
      <c r="X655"/>
    </row>
    <row r="656" spans="1:24">
      <c r="A656" s="71"/>
      <c r="B656" s="71"/>
      <c r="C656" s="71"/>
      <c r="D656" s="69"/>
      <c r="E656"/>
      <c r="F656" s="69"/>
      <c r="G656" s="69"/>
      <c r="H656" s="69"/>
      <c r="I656" s="69"/>
      <c r="J656" s="69"/>
      <c r="K656" s="69"/>
      <c r="L656" s="69"/>
      <c r="M656" s="69"/>
      <c r="N656" s="69"/>
      <c r="O656" s="69"/>
      <c r="P656" s="69"/>
      <c r="Q656" s="69"/>
      <c r="R656" s="69"/>
      <c r="S656" s="69"/>
      <c r="T656" s="69"/>
      <c r="U656" s="70"/>
      <c r="V656" s="70"/>
      <c r="W656" s="71"/>
      <c r="X656"/>
    </row>
    <row r="657" spans="1:24">
      <c r="A657" s="71"/>
      <c r="B657" s="71"/>
      <c r="C657" s="71"/>
      <c r="D657" s="69"/>
      <c r="E657"/>
      <c r="F657" s="69"/>
      <c r="G657" s="69"/>
      <c r="H657" s="69"/>
      <c r="I657" s="69"/>
      <c r="J657" s="69"/>
      <c r="K657" s="69"/>
      <c r="L657" s="69"/>
      <c r="M657" s="69"/>
      <c r="N657" s="69"/>
      <c r="O657" s="69"/>
      <c r="P657" s="69"/>
      <c r="Q657" s="69"/>
      <c r="R657" s="69"/>
      <c r="S657" s="69"/>
      <c r="T657" s="69"/>
      <c r="U657" s="70"/>
      <c r="V657" s="70"/>
      <c r="W657" s="71"/>
      <c r="X657"/>
    </row>
    <row r="658" spans="1:24">
      <c r="A658" s="71"/>
      <c r="B658" s="71"/>
      <c r="C658" s="71"/>
      <c r="D658" s="69"/>
      <c r="E658"/>
      <c r="F658" s="69"/>
      <c r="G658" s="69"/>
      <c r="H658" s="69"/>
      <c r="I658" s="69"/>
      <c r="J658" s="69"/>
      <c r="K658" s="69"/>
      <c r="L658" s="69"/>
      <c r="M658" s="69"/>
      <c r="N658" s="69"/>
      <c r="O658" s="69"/>
      <c r="P658" s="69"/>
      <c r="Q658" s="69"/>
      <c r="R658" s="69"/>
      <c r="S658" s="69"/>
      <c r="T658" s="69"/>
      <c r="U658" s="70"/>
      <c r="V658" s="70"/>
      <c r="W658" s="71"/>
      <c r="X658"/>
    </row>
    <row r="659" spans="1:24">
      <c r="A659" s="71"/>
      <c r="B659" s="71"/>
      <c r="C659" s="71"/>
      <c r="D659" s="69"/>
      <c r="E659"/>
      <c r="F659" s="69"/>
      <c r="G659" s="69"/>
      <c r="H659" s="69"/>
      <c r="I659" s="69"/>
      <c r="J659" s="69"/>
      <c r="K659" s="69"/>
      <c r="L659" s="69"/>
      <c r="M659" s="69"/>
      <c r="N659" s="69"/>
      <c r="O659" s="69"/>
      <c r="P659" s="69"/>
      <c r="Q659" s="69"/>
      <c r="R659" s="69"/>
      <c r="S659" s="69"/>
      <c r="T659" s="69"/>
      <c r="U659" s="70"/>
      <c r="V659" s="70"/>
      <c r="W659" s="71"/>
      <c r="X659"/>
    </row>
    <row r="660" spans="1:24">
      <c r="A660" s="71"/>
      <c r="B660" s="71"/>
      <c r="C660" s="71"/>
      <c r="D660" s="69"/>
      <c r="E660"/>
      <c r="F660" s="69"/>
      <c r="G660" s="69"/>
      <c r="H660" s="69"/>
      <c r="I660" s="69"/>
      <c r="J660" s="69"/>
      <c r="K660" s="69"/>
      <c r="L660" s="69"/>
      <c r="M660" s="69"/>
      <c r="N660" s="69"/>
      <c r="O660" s="69"/>
      <c r="P660" s="69"/>
      <c r="Q660" s="69"/>
      <c r="R660" s="69"/>
      <c r="S660" s="69"/>
      <c r="T660" s="69"/>
      <c r="U660" s="70"/>
      <c r="V660" s="70"/>
      <c r="W660" s="71"/>
      <c r="X660"/>
    </row>
    <row r="661" spans="1:24">
      <c r="A661" s="71"/>
      <c r="B661" s="71"/>
      <c r="C661" s="71"/>
      <c r="D661" s="69"/>
      <c r="E661"/>
      <c r="F661" s="69"/>
      <c r="G661" s="69"/>
      <c r="H661" s="69"/>
      <c r="I661" s="69"/>
      <c r="J661" s="69"/>
      <c r="K661" s="69"/>
      <c r="L661" s="69"/>
      <c r="M661" s="69"/>
      <c r="N661" s="69"/>
      <c r="O661" s="69"/>
      <c r="P661" s="69"/>
      <c r="Q661" s="69"/>
      <c r="R661" s="69"/>
      <c r="S661" s="69"/>
      <c r="T661" s="69"/>
      <c r="U661" s="70"/>
      <c r="V661" s="70"/>
      <c r="W661" s="71"/>
      <c r="X661"/>
    </row>
    <row r="662" spans="1:24">
      <c r="A662" s="71"/>
      <c r="B662" s="71"/>
      <c r="C662" s="71"/>
      <c r="D662" s="69"/>
      <c r="E662"/>
      <c r="F662" s="69"/>
      <c r="G662" s="69"/>
      <c r="H662" s="69"/>
      <c r="I662" s="69"/>
      <c r="J662" s="69"/>
      <c r="K662" s="69"/>
      <c r="L662" s="69"/>
      <c r="M662" s="69"/>
      <c r="N662" s="69"/>
      <c r="O662" s="69"/>
      <c r="P662" s="69"/>
      <c r="Q662" s="69"/>
      <c r="R662" s="69"/>
      <c r="S662" s="69"/>
      <c r="T662" s="69"/>
      <c r="U662" s="70"/>
      <c r="V662" s="70"/>
      <c r="W662" s="71"/>
      <c r="X662"/>
    </row>
    <row r="663" spans="1:24">
      <c r="A663" s="71"/>
      <c r="B663" s="71"/>
      <c r="C663" s="71"/>
      <c r="D663" s="69"/>
      <c r="E663"/>
      <c r="F663" s="69"/>
      <c r="G663" s="69"/>
      <c r="H663" s="69"/>
      <c r="I663" s="69"/>
      <c r="J663" s="69"/>
      <c r="K663" s="69"/>
      <c r="L663" s="69"/>
      <c r="M663" s="69"/>
      <c r="N663" s="69"/>
      <c r="O663" s="69"/>
      <c r="P663" s="69"/>
      <c r="Q663" s="69"/>
      <c r="R663" s="69"/>
      <c r="S663" s="69"/>
      <c r="T663" s="69"/>
      <c r="U663" s="70"/>
      <c r="V663" s="70"/>
      <c r="W663" s="71"/>
      <c r="X663"/>
    </row>
    <row r="664" spans="1:24">
      <c r="A664" s="71"/>
      <c r="B664" s="71"/>
      <c r="C664" s="71"/>
      <c r="D664" s="69"/>
      <c r="E664"/>
      <c r="F664" s="69"/>
      <c r="G664" s="69"/>
      <c r="H664" s="69"/>
      <c r="I664" s="69"/>
      <c r="J664" s="69"/>
      <c r="K664" s="69"/>
      <c r="L664" s="69"/>
      <c r="M664" s="69"/>
      <c r="N664" s="69"/>
      <c r="O664" s="69"/>
      <c r="P664" s="69"/>
      <c r="Q664" s="69"/>
      <c r="R664" s="69"/>
      <c r="S664" s="69"/>
      <c r="T664" s="69"/>
      <c r="U664" s="70"/>
      <c r="V664" s="70"/>
      <c r="W664" s="71"/>
      <c r="X664"/>
    </row>
    <row r="665" spans="1:24">
      <c r="A665" s="71"/>
      <c r="B665" s="71"/>
      <c r="C665" s="71"/>
      <c r="D665" s="69"/>
      <c r="E665"/>
      <c r="F665" s="69"/>
      <c r="G665" s="69"/>
      <c r="H665" s="69"/>
      <c r="I665" s="69"/>
      <c r="J665" s="69"/>
      <c r="K665" s="69"/>
      <c r="L665" s="69"/>
      <c r="M665" s="69"/>
      <c r="N665" s="69"/>
      <c r="O665" s="69"/>
      <c r="P665" s="69"/>
      <c r="Q665" s="69"/>
      <c r="R665" s="69"/>
      <c r="S665" s="69"/>
      <c r="T665" s="69"/>
      <c r="U665" s="70"/>
      <c r="V665" s="70"/>
      <c r="W665" s="71"/>
      <c r="X665"/>
    </row>
    <row r="666" spans="1:24">
      <c r="A666" s="71"/>
      <c r="B666" s="71"/>
      <c r="C666" s="71"/>
      <c r="D666" s="69"/>
      <c r="E666"/>
      <c r="F666" s="69"/>
      <c r="G666" s="69"/>
      <c r="H666" s="69"/>
      <c r="I666" s="69"/>
      <c r="J666" s="69"/>
      <c r="K666" s="69"/>
      <c r="L666" s="69"/>
      <c r="M666" s="69"/>
      <c r="N666" s="69"/>
      <c r="O666" s="69"/>
      <c r="P666" s="69"/>
      <c r="Q666" s="69"/>
      <c r="R666" s="69"/>
      <c r="S666" s="69"/>
      <c r="T666" s="69"/>
      <c r="U666" s="70"/>
      <c r="V666" s="70"/>
      <c r="W666" s="71"/>
      <c r="X666"/>
    </row>
    <row r="667" spans="1:24">
      <c r="A667" s="71"/>
      <c r="B667" s="71"/>
      <c r="C667" s="71"/>
      <c r="D667" s="69"/>
      <c r="E667"/>
      <c r="F667" s="69"/>
      <c r="G667" s="69"/>
      <c r="H667" s="69"/>
      <c r="I667" s="69"/>
      <c r="J667" s="69"/>
      <c r="K667" s="69"/>
      <c r="L667" s="69"/>
      <c r="M667" s="69"/>
      <c r="N667" s="69"/>
      <c r="O667" s="69"/>
      <c r="P667" s="69"/>
      <c r="Q667" s="69"/>
      <c r="R667" s="69"/>
      <c r="S667" s="69"/>
      <c r="T667" s="69"/>
      <c r="U667" s="70"/>
      <c r="V667" s="70"/>
      <c r="W667" s="71"/>
      <c r="X667"/>
    </row>
    <row r="668" spans="1:24">
      <c r="A668" s="71"/>
      <c r="B668" s="71"/>
      <c r="C668" s="71"/>
      <c r="D668" s="69"/>
      <c r="E668"/>
      <c r="F668" s="69"/>
      <c r="G668" s="69"/>
      <c r="H668" s="69"/>
      <c r="I668" s="69"/>
      <c r="J668" s="69"/>
      <c r="K668" s="69"/>
      <c r="L668" s="69"/>
      <c r="M668" s="69"/>
      <c r="N668" s="69"/>
      <c r="O668" s="69"/>
      <c r="P668" s="69"/>
      <c r="Q668" s="69"/>
      <c r="R668" s="69"/>
      <c r="S668" s="69"/>
      <c r="T668" s="69"/>
      <c r="U668" s="70"/>
      <c r="V668" s="70"/>
      <c r="W668" s="71"/>
      <c r="X668"/>
    </row>
    <row r="669" spans="1:24">
      <c r="A669" s="71"/>
      <c r="B669" s="71"/>
      <c r="C669" s="71"/>
      <c r="D669" s="69"/>
      <c r="E669"/>
      <c r="F669" s="69"/>
      <c r="G669" s="69"/>
      <c r="H669" s="69"/>
      <c r="I669" s="69"/>
      <c r="J669" s="69"/>
      <c r="K669" s="69"/>
      <c r="L669" s="69"/>
      <c r="M669" s="69"/>
      <c r="N669" s="69"/>
      <c r="O669" s="69"/>
      <c r="P669" s="69"/>
      <c r="Q669" s="69"/>
      <c r="R669" s="69"/>
      <c r="S669" s="69"/>
      <c r="T669" s="69"/>
      <c r="U669" s="70"/>
      <c r="V669" s="70"/>
      <c r="W669" s="71"/>
      <c r="X669"/>
    </row>
    <row r="670" spans="1:24">
      <c r="A670" s="71"/>
      <c r="B670" s="71"/>
      <c r="C670" s="71"/>
      <c r="D670" s="69"/>
      <c r="E670"/>
      <c r="F670" s="69"/>
      <c r="G670" s="69"/>
      <c r="H670" s="69"/>
      <c r="I670" s="69"/>
      <c r="J670" s="69"/>
      <c r="K670" s="69"/>
      <c r="L670" s="69"/>
      <c r="M670" s="69"/>
      <c r="N670" s="69"/>
      <c r="O670" s="69"/>
      <c r="P670" s="69"/>
      <c r="Q670" s="69"/>
      <c r="R670" s="69"/>
      <c r="S670" s="69"/>
      <c r="T670" s="69"/>
      <c r="U670" s="70"/>
      <c r="V670" s="70"/>
      <c r="W670" s="71"/>
      <c r="X670"/>
    </row>
    <row r="671" spans="1:24">
      <c r="A671" s="71"/>
      <c r="B671" s="71"/>
      <c r="C671" s="71"/>
      <c r="D671" s="69"/>
      <c r="E671"/>
      <c r="F671" s="69"/>
      <c r="G671" s="69"/>
      <c r="H671" s="69"/>
      <c r="I671" s="69"/>
      <c r="J671" s="69"/>
      <c r="K671" s="69"/>
      <c r="L671" s="69"/>
      <c r="M671" s="69"/>
      <c r="N671" s="69"/>
      <c r="O671" s="69"/>
      <c r="P671" s="69"/>
      <c r="Q671" s="69"/>
      <c r="R671" s="69"/>
      <c r="S671" s="69"/>
      <c r="T671" s="69"/>
      <c r="U671" s="70"/>
      <c r="V671" s="70"/>
      <c r="W671" s="71"/>
      <c r="X671"/>
    </row>
    <row r="672" spans="1:24">
      <c r="A672" s="71"/>
      <c r="B672" s="71"/>
      <c r="C672" s="71"/>
      <c r="D672" s="69"/>
      <c r="E672"/>
      <c r="F672" s="69"/>
      <c r="G672" s="69"/>
      <c r="H672" s="69"/>
      <c r="I672" s="69"/>
      <c r="J672" s="69"/>
      <c r="K672" s="69"/>
      <c r="L672" s="69"/>
      <c r="M672" s="69"/>
      <c r="N672" s="69"/>
      <c r="O672" s="69"/>
      <c r="P672" s="69"/>
      <c r="Q672" s="69"/>
      <c r="R672" s="69"/>
      <c r="S672" s="69"/>
      <c r="T672" s="69"/>
      <c r="U672" s="70"/>
      <c r="V672" s="70"/>
      <c r="W672" s="71"/>
      <c r="X672"/>
    </row>
    <row r="673" spans="1:24">
      <c r="A673" s="71"/>
      <c r="B673" s="71"/>
      <c r="C673" s="71"/>
      <c r="D673" s="69"/>
      <c r="E673"/>
      <c r="F673" s="69"/>
      <c r="G673" s="69"/>
      <c r="H673" s="69"/>
      <c r="I673" s="69"/>
      <c r="J673" s="69"/>
      <c r="K673" s="69"/>
      <c r="L673" s="69"/>
      <c r="M673" s="69"/>
      <c r="N673" s="69"/>
      <c r="O673" s="69"/>
      <c r="P673" s="69"/>
      <c r="Q673" s="69"/>
      <c r="R673" s="69"/>
      <c r="S673" s="69"/>
      <c r="T673" s="69"/>
      <c r="U673" s="70"/>
      <c r="V673" s="70"/>
      <c r="W673" s="71"/>
      <c r="X673"/>
    </row>
    <row r="674" spans="1:24">
      <c r="A674" s="71"/>
      <c r="B674" s="71"/>
      <c r="C674" s="71"/>
      <c r="D674" s="69"/>
      <c r="E674"/>
      <c r="F674" s="69"/>
      <c r="G674" s="69"/>
      <c r="H674" s="69"/>
      <c r="I674" s="69"/>
      <c r="J674" s="69"/>
      <c r="K674" s="69"/>
      <c r="L674" s="69"/>
      <c r="M674" s="69"/>
      <c r="N674" s="69"/>
      <c r="O674" s="69"/>
      <c r="P674" s="69"/>
      <c r="Q674" s="69"/>
      <c r="R674" s="69"/>
      <c r="S674" s="69"/>
      <c r="T674" s="69"/>
      <c r="U674" s="70"/>
      <c r="V674" s="70"/>
      <c r="W674" s="71"/>
      <c r="X674"/>
    </row>
    <row r="675" spans="1:24">
      <c r="A675" s="71"/>
      <c r="B675" s="71"/>
      <c r="C675" s="71"/>
      <c r="D675" s="69"/>
      <c r="E675"/>
      <c r="F675" s="69"/>
      <c r="G675" s="69"/>
      <c r="H675" s="69"/>
      <c r="I675" s="69"/>
      <c r="J675" s="69"/>
      <c r="K675" s="69"/>
      <c r="L675" s="69"/>
      <c r="M675" s="69"/>
      <c r="N675" s="69"/>
      <c r="O675" s="69"/>
      <c r="P675" s="69"/>
      <c r="Q675" s="69"/>
      <c r="R675" s="69"/>
      <c r="S675" s="69"/>
      <c r="T675" s="69"/>
      <c r="U675" s="70"/>
      <c r="V675" s="70"/>
      <c r="W675" s="71"/>
      <c r="X675"/>
    </row>
    <row r="676" spans="1:24">
      <c r="A676" s="71"/>
      <c r="B676" s="71"/>
      <c r="C676" s="71"/>
      <c r="D676" s="69"/>
      <c r="E676"/>
      <c r="F676" s="69"/>
      <c r="G676" s="69"/>
      <c r="H676" s="69"/>
      <c r="I676" s="69"/>
      <c r="J676" s="69"/>
      <c r="K676" s="69"/>
      <c r="L676" s="69"/>
      <c r="M676" s="69"/>
      <c r="N676" s="69"/>
      <c r="O676" s="69"/>
      <c r="P676" s="69"/>
      <c r="Q676" s="69"/>
      <c r="R676" s="69"/>
      <c r="S676" s="69"/>
      <c r="T676" s="69"/>
      <c r="U676" s="70"/>
      <c r="V676" s="70"/>
      <c r="W676" s="71"/>
      <c r="X676"/>
    </row>
    <row r="677" spans="1:24">
      <c r="A677" s="71"/>
      <c r="B677" s="71"/>
      <c r="C677" s="71"/>
      <c r="D677" s="69"/>
      <c r="E677"/>
      <c r="F677" s="69"/>
      <c r="G677" s="69"/>
      <c r="H677" s="69"/>
      <c r="I677" s="69"/>
      <c r="J677" s="69"/>
      <c r="K677" s="69"/>
      <c r="L677" s="69"/>
      <c r="M677" s="69"/>
      <c r="N677" s="69"/>
      <c r="O677" s="69"/>
      <c r="P677" s="69"/>
      <c r="Q677" s="69"/>
      <c r="R677" s="69"/>
      <c r="S677" s="69"/>
      <c r="T677" s="69"/>
      <c r="U677" s="70"/>
      <c r="V677" s="70"/>
      <c r="W677" s="71"/>
      <c r="X677"/>
    </row>
    <row r="678" spans="1:24">
      <c r="A678" s="71"/>
      <c r="B678" s="71"/>
      <c r="C678" s="71"/>
      <c r="D678" s="69"/>
      <c r="E678"/>
      <c r="F678" s="69"/>
      <c r="G678" s="69"/>
      <c r="H678" s="69"/>
      <c r="I678" s="69"/>
      <c r="J678" s="69"/>
      <c r="K678" s="69"/>
      <c r="L678" s="69"/>
      <c r="M678" s="69"/>
      <c r="N678" s="69"/>
      <c r="O678" s="69"/>
      <c r="P678" s="69"/>
      <c r="Q678" s="69"/>
      <c r="R678" s="69"/>
      <c r="S678" s="69"/>
      <c r="T678" s="69"/>
      <c r="U678" s="70"/>
      <c r="V678" s="70"/>
      <c r="W678" s="71"/>
      <c r="X678"/>
    </row>
    <row r="679" spans="1:24">
      <c r="A679" s="71"/>
      <c r="B679" s="71"/>
      <c r="C679" s="71"/>
      <c r="D679" s="69"/>
      <c r="E679"/>
      <c r="F679" s="69"/>
      <c r="G679" s="69"/>
      <c r="H679" s="69"/>
      <c r="I679" s="69"/>
      <c r="J679" s="69"/>
      <c r="K679" s="69"/>
      <c r="L679" s="69"/>
      <c r="M679" s="69"/>
      <c r="N679" s="69"/>
      <c r="O679" s="69"/>
      <c r="P679" s="69"/>
      <c r="Q679" s="69"/>
      <c r="R679" s="69"/>
      <c r="S679" s="69"/>
      <c r="T679" s="69"/>
      <c r="U679" s="70"/>
      <c r="V679" s="70"/>
      <c r="W679" s="71"/>
      <c r="X679"/>
    </row>
    <row r="680" spans="1:24">
      <c r="A680" s="71"/>
      <c r="B680" s="71"/>
      <c r="C680" s="71"/>
      <c r="D680" s="69"/>
      <c r="E680"/>
      <c r="F680" s="69"/>
      <c r="G680" s="69"/>
      <c r="H680" s="69"/>
      <c r="I680" s="69"/>
      <c r="J680" s="69"/>
      <c r="K680" s="69"/>
      <c r="L680" s="69"/>
      <c r="M680" s="69"/>
      <c r="N680" s="69"/>
      <c r="O680" s="69"/>
      <c r="P680" s="69"/>
      <c r="Q680" s="69"/>
      <c r="R680" s="69"/>
      <c r="S680" s="69"/>
      <c r="T680" s="69"/>
      <c r="U680" s="70"/>
      <c r="V680" s="70"/>
      <c r="W680" s="71"/>
      <c r="X680"/>
    </row>
    <row r="681" spans="1:24">
      <c r="A681" s="71"/>
      <c r="B681" s="71"/>
      <c r="C681" s="71"/>
      <c r="D681" s="69"/>
      <c r="E681"/>
      <c r="F681" s="69"/>
      <c r="G681" s="69"/>
      <c r="H681" s="69"/>
      <c r="I681" s="69"/>
      <c r="J681" s="69"/>
      <c r="K681" s="69"/>
      <c r="L681" s="69"/>
      <c r="M681" s="69"/>
      <c r="N681" s="69"/>
      <c r="O681" s="69"/>
      <c r="P681" s="69"/>
      <c r="Q681" s="69"/>
      <c r="R681" s="69"/>
      <c r="S681" s="69"/>
      <c r="T681" s="69"/>
      <c r="U681" s="70"/>
      <c r="V681" s="70"/>
      <c r="W681" s="71"/>
      <c r="X681"/>
    </row>
    <row r="682" spans="1:24">
      <c r="A682" s="71"/>
      <c r="B682" s="71"/>
      <c r="C682" s="71"/>
      <c r="D682" s="69"/>
      <c r="E682"/>
      <c r="F682" s="69"/>
      <c r="G682" s="69"/>
      <c r="H682" s="69"/>
      <c r="I682" s="69"/>
      <c r="J682" s="69"/>
      <c r="K682" s="69"/>
      <c r="L682" s="69"/>
      <c r="M682" s="69"/>
      <c r="N682" s="69"/>
      <c r="O682" s="69"/>
      <c r="P682" s="69"/>
      <c r="Q682" s="69"/>
      <c r="R682" s="69"/>
      <c r="S682" s="69"/>
      <c r="T682" s="69"/>
      <c r="U682" s="70"/>
      <c r="V682" s="70"/>
      <c r="W682" s="71"/>
      <c r="X682"/>
    </row>
    <row r="683" spans="1:24">
      <c r="A683" s="71"/>
      <c r="B683" s="71"/>
      <c r="C683" s="71"/>
      <c r="D683" s="69"/>
      <c r="E683"/>
      <c r="F683" s="69"/>
      <c r="G683" s="69"/>
      <c r="H683" s="69"/>
      <c r="I683" s="69"/>
      <c r="J683" s="69"/>
      <c r="K683" s="69"/>
      <c r="L683" s="69"/>
      <c r="M683" s="69"/>
      <c r="N683" s="69"/>
      <c r="O683" s="69"/>
      <c r="P683" s="69"/>
      <c r="Q683" s="69"/>
      <c r="R683" s="69"/>
      <c r="S683" s="69"/>
      <c r="T683" s="69"/>
      <c r="U683" s="70"/>
      <c r="V683" s="70"/>
      <c r="W683" s="71"/>
      <c r="X683"/>
    </row>
    <row r="684" spans="1:24">
      <c r="A684" s="71"/>
      <c r="B684" s="71"/>
      <c r="C684" s="71"/>
      <c r="D684" s="69"/>
      <c r="E684"/>
      <c r="F684" s="69"/>
      <c r="G684" s="69"/>
      <c r="H684" s="69"/>
      <c r="I684" s="69"/>
      <c r="J684" s="69"/>
      <c r="K684" s="69"/>
      <c r="L684" s="69"/>
      <c r="M684" s="69"/>
      <c r="N684" s="69"/>
      <c r="O684" s="69"/>
      <c r="P684" s="69"/>
      <c r="Q684" s="69"/>
      <c r="R684" s="69"/>
      <c r="S684" s="69"/>
      <c r="T684" s="69"/>
      <c r="U684" s="70"/>
      <c r="V684" s="70"/>
      <c r="W684" s="71"/>
      <c r="X684"/>
    </row>
    <row r="685" spans="1:24">
      <c r="A685" s="71"/>
      <c r="B685" s="71"/>
      <c r="C685" s="71"/>
      <c r="D685" s="69"/>
      <c r="E685"/>
      <c r="F685" s="69"/>
      <c r="G685" s="69"/>
      <c r="H685" s="69"/>
      <c r="I685" s="69"/>
      <c r="J685" s="69"/>
      <c r="K685" s="69"/>
      <c r="L685" s="69"/>
      <c r="M685" s="69"/>
      <c r="N685" s="69"/>
      <c r="O685" s="69"/>
      <c r="P685" s="69"/>
      <c r="Q685" s="69"/>
      <c r="R685" s="69"/>
      <c r="S685" s="69"/>
      <c r="T685" s="69"/>
      <c r="U685" s="70"/>
      <c r="V685" s="70"/>
      <c r="W685" s="71"/>
      <c r="X685"/>
    </row>
    <row r="686" spans="1:24">
      <c r="A686" s="71"/>
      <c r="B686" s="71"/>
      <c r="C686" s="71"/>
      <c r="D686" s="69"/>
      <c r="E686"/>
      <c r="F686" s="69"/>
      <c r="G686" s="69"/>
      <c r="H686" s="69"/>
      <c r="I686" s="69"/>
      <c r="J686" s="69"/>
      <c r="K686" s="69"/>
      <c r="L686" s="69"/>
      <c r="M686" s="69"/>
      <c r="N686" s="69"/>
      <c r="O686" s="69"/>
      <c r="P686" s="69"/>
      <c r="Q686" s="69"/>
      <c r="R686" s="69"/>
      <c r="S686" s="69"/>
      <c r="T686" s="69"/>
      <c r="U686" s="70"/>
      <c r="V686" s="70"/>
      <c r="W686" s="71"/>
      <c r="X686"/>
    </row>
    <row r="687" spans="1:24">
      <c r="A687" s="71"/>
      <c r="B687" s="71"/>
      <c r="C687" s="71"/>
      <c r="D687" s="69"/>
      <c r="E687"/>
      <c r="F687" s="69"/>
      <c r="G687" s="69"/>
      <c r="H687" s="69"/>
      <c r="I687" s="69"/>
      <c r="J687" s="69"/>
      <c r="K687" s="69"/>
      <c r="L687" s="69"/>
      <c r="M687" s="69"/>
      <c r="N687" s="69"/>
      <c r="O687" s="69"/>
      <c r="P687" s="69"/>
      <c r="Q687" s="69"/>
      <c r="R687" s="69"/>
      <c r="S687" s="69"/>
      <c r="T687" s="69"/>
      <c r="U687" s="70"/>
      <c r="V687" s="70"/>
      <c r="W687" s="71"/>
      <c r="X687"/>
    </row>
    <row r="688" spans="1:24">
      <c r="A688" s="71"/>
      <c r="B688" s="71"/>
      <c r="C688" s="71"/>
      <c r="D688" s="69"/>
      <c r="E688"/>
      <c r="F688" s="69"/>
      <c r="G688" s="69"/>
      <c r="H688" s="69"/>
      <c r="I688" s="69"/>
      <c r="J688" s="69"/>
      <c r="K688" s="69"/>
      <c r="L688" s="69"/>
      <c r="M688" s="69"/>
      <c r="N688" s="69"/>
      <c r="O688" s="69"/>
      <c r="P688" s="69"/>
      <c r="Q688" s="69"/>
      <c r="R688" s="69"/>
      <c r="S688" s="69"/>
      <c r="T688" s="69"/>
      <c r="U688" s="70"/>
      <c r="V688" s="70"/>
      <c r="W688" s="71"/>
      <c r="X688"/>
    </row>
    <row r="689" spans="1:24">
      <c r="A689" s="71"/>
      <c r="B689" s="71"/>
      <c r="C689" s="71"/>
      <c r="D689" s="69"/>
      <c r="E689"/>
      <c r="F689" s="69"/>
      <c r="G689" s="69"/>
      <c r="H689" s="69"/>
      <c r="I689" s="69"/>
      <c r="J689" s="69"/>
      <c r="K689" s="69"/>
      <c r="L689" s="69"/>
      <c r="M689" s="69"/>
      <c r="N689" s="69"/>
      <c r="O689" s="69"/>
      <c r="P689" s="69"/>
      <c r="Q689" s="69"/>
      <c r="R689" s="69"/>
      <c r="S689" s="69"/>
      <c r="T689" s="69"/>
      <c r="U689" s="70"/>
      <c r="V689" s="70"/>
      <c r="W689" s="71"/>
      <c r="X689"/>
    </row>
    <row r="690" spans="1:24">
      <c r="A690" s="71"/>
      <c r="B690" s="71"/>
      <c r="C690" s="71"/>
      <c r="D690" s="69"/>
      <c r="E690"/>
      <c r="F690" s="69"/>
      <c r="G690" s="69"/>
      <c r="H690" s="69"/>
      <c r="I690" s="69"/>
      <c r="J690" s="69"/>
      <c r="K690" s="69"/>
      <c r="L690" s="69"/>
      <c r="M690" s="69"/>
      <c r="N690" s="69"/>
      <c r="O690" s="69"/>
      <c r="P690" s="69"/>
      <c r="Q690" s="69"/>
      <c r="R690" s="69"/>
      <c r="S690" s="69"/>
      <c r="T690" s="69"/>
      <c r="U690" s="70"/>
      <c r="V690" s="70"/>
      <c r="W690" s="71"/>
      <c r="X690"/>
    </row>
    <row r="691" spans="1:24">
      <c r="A691" s="71"/>
      <c r="B691" s="71"/>
      <c r="C691" s="71"/>
      <c r="D691" s="69"/>
      <c r="E691"/>
      <c r="F691" s="69"/>
      <c r="G691" s="69"/>
      <c r="H691" s="69"/>
      <c r="I691" s="69"/>
      <c r="J691" s="69"/>
      <c r="K691" s="69"/>
      <c r="L691" s="69"/>
      <c r="M691" s="69"/>
      <c r="N691" s="69"/>
      <c r="O691" s="69"/>
      <c r="P691" s="69"/>
      <c r="Q691" s="69"/>
      <c r="R691" s="69"/>
      <c r="S691" s="69"/>
      <c r="T691" s="69"/>
      <c r="U691" s="70"/>
      <c r="V691" s="70"/>
      <c r="W691" s="71"/>
      <c r="X691"/>
    </row>
    <row r="692" spans="1:24">
      <c r="A692" s="71"/>
      <c r="B692" s="71"/>
      <c r="C692" s="71"/>
      <c r="D692" s="69"/>
      <c r="E692"/>
      <c r="F692" s="69"/>
      <c r="G692" s="69"/>
      <c r="H692" s="69"/>
      <c r="I692" s="69"/>
      <c r="J692" s="69"/>
      <c r="K692" s="69"/>
      <c r="L692" s="69"/>
      <c r="M692" s="69"/>
      <c r="N692" s="69"/>
      <c r="O692" s="69"/>
      <c r="P692" s="69"/>
      <c r="Q692" s="69"/>
      <c r="R692" s="69"/>
      <c r="S692" s="69"/>
      <c r="T692" s="69"/>
      <c r="U692" s="70"/>
      <c r="V692" s="70"/>
      <c r="W692" s="71"/>
      <c r="X692"/>
    </row>
    <row r="693" spans="1:24">
      <c r="A693" s="71"/>
      <c r="B693" s="71"/>
      <c r="C693" s="71"/>
      <c r="D693" s="69"/>
      <c r="E693"/>
      <c r="F693" s="69"/>
      <c r="G693" s="69"/>
      <c r="H693" s="69"/>
      <c r="I693" s="69"/>
      <c r="J693" s="69"/>
      <c r="K693" s="69"/>
      <c r="L693" s="69"/>
      <c r="M693" s="69"/>
      <c r="N693" s="69"/>
      <c r="O693" s="69"/>
      <c r="P693" s="69"/>
      <c r="Q693" s="69"/>
      <c r="R693" s="69"/>
      <c r="S693" s="69"/>
      <c r="T693" s="69"/>
      <c r="U693" s="70"/>
      <c r="V693" s="70"/>
      <c r="W693" s="71"/>
      <c r="X693"/>
    </row>
    <row r="694" spans="1:24">
      <c r="A694" s="71"/>
      <c r="B694" s="71"/>
      <c r="C694" s="71"/>
      <c r="D694" s="69"/>
      <c r="E694"/>
      <c r="F694" s="69"/>
      <c r="G694" s="69"/>
      <c r="H694" s="69"/>
      <c r="I694" s="69"/>
      <c r="J694" s="69"/>
      <c r="K694" s="69"/>
      <c r="L694" s="69"/>
      <c r="M694" s="69"/>
      <c r="N694" s="69"/>
      <c r="O694" s="69"/>
      <c r="P694" s="69"/>
      <c r="Q694" s="69"/>
      <c r="R694" s="69"/>
      <c r="S694" s="69"/>
      <c r="T694" s="69"/>
      <c r="U694" s="70"/>
      <c r="V694" s="70"/>
      <c r="W694" s="71"/>
      <c r="X694"/>
    </row>
    <row r="695" spans="1:24">
      <c r="A695" s="71"/>
      <c r="B695" s="71"/>
      <c r="C695" s="71"/>
      <c r="D695" s="69"/>
      <c r="E695"/>
      <c r="F695" s="69"/>
      <c r="G695" s="69"/>
      <c r="H695" s="69"/>
      <c r="I695" s="69"/>
      <c r="J695" s="69"/>
      <c r="K695" s="69"/>
      <c r="L695" s="69"/>
      <c r="M695" s="69"/>
      <c r="N695" s="69"/>
      <c r="O695" s="69"/>
      <c r="P695" s="69"/>
      <c r="Q695" s="69"/>
      <c r="R695" s="69"/>
      <c r="S695" s="69"/>
      <c r="T695" s="69"/>
      <c r="U695" s="70"/>
      <c r="V695" s="70"/>
      <c r="W695" s="71"/>
      <c r="X695"/>
    </row>
    <row r="696" spans="1:24">
      <c r="A696" s="71"/>
      <c r="B696" s="71"/>
      <c r="C696" s="71"/>
      <c r="D696" s="69"/>
      <c r="E696"/>
      <c r="F696" s="69"/>
      <c r="G696" s="69"/>
      <c r="H696" s="69"/>
      <c r="I696" s="69"/>
      <c r="J696" s="69"/>
      <c r="K696" s="69"/>
      <c r="L696" s="69"/>
      <c r="M696" s="69"/>
      <c r="N696" s="69"/>
      <c r="O696" s="69"/>
      <c r="P696" s="69"/>
      <c r="Q696" s="69"/>
      <c r="R696" s="69"/>
      <c r="S696" s="69"/>
      <c r="T696" s="69"/>
      <c r="U696" s="70"/>
      <c r="V696" s="70"/>
      <c r="W696" s="71"/>
      <c r="X696"/>
    </row>
    <row r="697" spans="1:24">
      <c r="A697" s="71"/>
      <c r="B697" s="71"/>
      <c r="C697" s="71"/>
      <c r="D697" s="69"/>
      <c r="E697"/>
      <c r="F697" s="69"/>
      <c r="G697" s="69"/>
      <c r="H697" s="69"/>
      <c r="I697" s="69"/>
      <c r="J697" s="69"/>
      <c r="K697" s="69"/>
      <c r="L697" s="69"/>
      <c r="M697" s="69"/>
      <c r="N697" s="69"/>
      <c r="O697" s="69"/>
      <c r="P697" s="69"/>
      <c r="Q697" s="69"/>
      <c r="R697" s="69"/>
      <c r="S697" s="69"/>
      <c r="T697" s="69"/>
      <c r="U697" s="70"/>
      <c r="V697" s="70"/>
      <c r="W697" s="71"/>
      <c r="X697"/>
    </row>
    <row r="698" spans="1:24">
      <c r="A698" s="71"/>
      <c r="B698" s="71"/>
      <c r="C698" s="71"/>
      <c r="D698" s="69"/>
      <c r="E698"/>
      <c r="F698" s="69"/>
      <c r="G698" s="69"/>
      <c r="H698" s="69"/>
      <c r="I698" s="69"/>
      <c r="J698" s="69"/>
      <c r="K698" s="69"/>
      <c r="L698" s="69"/>
      <c r="M698" s="69"/>
      <c r="N698" s="69"/>
      <c r="O698" s="69"/>
      <c r="P698" s="69"/>
      <c r="Q698" s="69"/>
      <c r="R698" s="69"/>
      <c r="S698" s="69"/>
      <c r="T698" s="69"/>
      <c r="U698" s="70"/>
      <c r="V698" s="70"/>
      <c r="W698" s="71"/>
      <c r="X698"/>
    </row>
    <row r="699" spans="1:24">
      <c r="A699" s="71"/>
      <c r="B699" s="71"/>
      <c r="C699" s="71"/>
      <c r="D699" s="69"/>
      <c r="E699"/>
      <c r="F699" s="69"/>
      <c r="G699" s="69"/>
      <c r="H699" s="69"/>
      <c r="I699" s="69"/>
      <c r="J699" s="69"/>
      <c r="K699" s="69"/>
      <c r="L699" s="69"/>
      <c r="M699" s="69"/>
      <c r="N699" s="69"/>
      <c r="O699" s="69"/>
      <c r="P699" s="69"/>
      <c r="Q699" s="69"/>
      <c r="R699" s="69"/>
      <c r="S699" s="69"/>
      <c r="T699" s="69"/>
      <c r="U699" s="70"/>
      <c r="V699" s="70"/>
      <c r="W699" s="71"/>
      <c r="X699"/>
    </row>
    <row r="700" spans="1:24">
      <c r="A700" s="71"/>
      <c r="B700" s="71"/>
      <c r="C700" s="71"/>
      <c r="D700" s="69"/>
      <c r="E700"/>
      <c r="F700" s="69"/>
      <c r="G700" s="69"/>
      <c r="H700" s="69"/>
      <c r="I700" s="69"/>
      <c r="J700" s="69"/>
      <c r="K700" s="69"/>
      <c r="L700" s="69"/>
      <c r="M700" s="69"/>
      <c r="N700" s="69"/>
      <c r="O700" s="69"/>
      <c r="P700" s="69"/>
      <c r="Q700" s="69"/>
      <c r="R700" s="69"/>
      <c r="S700" s="69"/>
      <c r="T700" s="69"/>
      <c r="U700" s="70"/>
      <c r="V700" s="70"/>
      <c r="W700" s="71"/>
      <c r="X700"/>
    </row>
    <row r="701" spans="1:24">
      <c r="A701" s="71"/>
      <c r="B701" s="71"/>
      <c r="C701" s="71"/>
      <c r="D701" s="69"/>
      <c r="E701"/>
      <c r="F701" s="69"/>
      <c r="G701" s="69"/>
      <c r="H701" s="69"/>
      <c r="I701" s="69"/>
      <c r="J701" s="69"/>
      <c r="K701" s="69"/>
      <c r="L701" s="69"/>
      <c r="M701" s="69"/>
      <c r="N701" s="69"/>
      <c r="O701" s="69"/>
      <c r="P701" s="69"/>
      <c r="Q701" s="69"/>
      <c r="R701" s="69"/>
      <c r="S701" s="69"/>
      <c r="T701" s="69"/>
      <c r="U701" s="70"/>
      <c r="V701" s="70"/>
      <c r="W701" s="71"/>
      <c r="X701"/>
    </row>
    <row r="702" spans="1:24">
      <c r="A702" s="71"/>
      <c r="B702" s="71"/>
      <c r="C702" s="71"/>
      <c r="D702" s="69"/>
      <c r="E702"/>
      <c r="F702" s="69"/>
      <c r="G702" s="69"/>
      <c r="H702" s="69"/>
      <c r="I702" s="69"/>
      <c r="J702" s="69"/>
      <c r="K702" s="69"/>
      <c r="L702" s="69"/>
      <c r="M702" s="69"/>
      <c r="N702" s="69"/>
      <c r="O702" s="69"/>
      <c r="P702" s="69"/>
      <c r="Q702" s="69"/>
      <c r="R702" s="69"/>
      <c r="S702" s="69"/>
      <c r="T702" s="69"/>
      <c r="U702" s="70"/>
      <c r="V702" s="70"/>
      <c r="W702" s="71"/>
      <c r="X702"/>
    </row>
    <row r="703" spans="1:24">
      <c r="A703" s="71"/>
      <c r="B703" s="71"/>
      <c r="C703" s="71"/>
      <c r="D703" s="69"/>
      <c r="E703"/>
      <c r="F703" s="69"/>
      <c r="G703" s="69"/>
      <c r="H703" s="69"/>
      <c r="I703" s="69"/>
      <c r="J703" s="69"/>
      <c r="K703" s="69"/>
      <c r="L703" s="69"/>
      <c r="M703" s="69"/>
      <c r="N703" s="69"/>
      <c r="O703" s="69"/>
      <c r="P703" s="69"/>
      <c r="Q703" s="69"/>
      <c r="R703" s="69"/>
      <c r="S703" s="69"/>
      <c r="T703" s="69"/>
      <c r="U703" s="70"/>
      <c r="V703" s="70"/>
      <c r="W703" s="71"/>
      <c r="X703"/>
    </row>
    <row r="704" spans="1:24">
      <c r="A704" s="71"/>
      <c r="B704" s="71"/>
      <c r="C704" s="71"/>
      <c r="D704" s="69"/>
      <c r="E704"/>
      <c r="F704" s="69"/>
      <c r="G704" s="69"/>
      <c r="H704" s="69"/>
      <c r="I704" s="69"/>
      <c r="J704" s="69"/>
      <c r="K704" s="69"/>
      <c r="L704" s="69"/>
      <c r="M704" s="69"/>
      <c r="N704" s="69"/>
      <c r="O704" s="69"/>
      <c r="P704" s="69"/>
      <c r="Q704" s="69"/>
      <c r="R704" s="69"/>
      <c r="S704" s="69"/>
      <c r="T704" s="69"/>
      <c r="U704" s="70"/>
      <c r="V704" s="70"/>
      <c r="W704" s="71"/>
      <c r="X704"/>
    </row>
    <row r="705" spans="1:24">
      <c r="A705" s="71"/>
      <c r="B705" s="71"/>
      <c r="C705" s="71"/>
      <c r="D705" s="69"/>
      <c r="E705"/>
      <c r="F705" s="69"/>
      <c r="G705" s="69"/>
      <c r="H705" s="69"/>
      <c r="I705" s="69"/>
      <c r="J705" s="69"/>
      <c r="K705" s="69"/>
      <c r="L705" s="69"/>
      <c r="M705" s="69"/>
      <c r="N705" s="69"/>
      <c r="O705" s="69"/>
      <c r="P705" s="69"/>
      <c r="Q705" s="69"/>
      <c r="R705" s="69"/>
      <c r="S705" s="69"/>
      <c r="T705" s="69"/>
      <c r="U705" s="70"/>
      <c r="V705" s="70"/>
      <c r="W705" s="71"/>
      <c r="X705"/>
    </row>
    <row r="706" spans="1:24">
      <c r="A706" s="71"/>
      <c r="B706" s="71"/>
      <c r="C706" s="71"/>
      <c r="D706" s="69"/>
      <c r="E706"/>
      <c r="F706" s="69"/>
      <c r="G706" s="69"/>
      <c r="H706" s="69"/>
      <c r="I706" s="69"/>
      <c r="J706" s="69"/>
      <c r="K706" s="69"/>
      <c r="L706" s="69"/>
      <c r="M706" s="69"/>
      <c r="N706" s="69"/>
      <c r="O706" s="69"/>
      <c r="P706" s="69"/>
      <c r="Q706" s="69"/>
      <c r="R706" s="69"/>
      <c r="S706" s="69"/>
      <c r="T706" s="69"/>
      <c r="U706" s="70"/>
      <c r="V706" s="70"/>
      <c r="W706" s="71"/>
      <c r="X706"/>
    </row>
    <row r="707" spans="1:24">
      <c r="A707" s="71"/>
      <c r="B707" s="71"/>
      <c r="C707" s="71"/>
      <c r="D707" s="69"/>
      <c r="E707"/>
      <c r="F707" s="69"/>
      <c r="G707" s="69"/>
      <c r="H707" s="69"/>
      <c r="I707" s="69"/>
      <c r="J707" s="69"/>
      <c r="K707" s="69"/>
      <c r="L707" s="69"/>
      <c r="M707" s="69"/>
      <c r="N707" s="69"/>
      <c r="O707" s="69"/>
      <c r="P707" s="69"/>
      <c r="Q707" s="69"/>
      <c r="R707" s="69"/>
      <c r="S707" s="69"/>
      <c r="T707" s="69"/>
      <c r="U707" s="70"/>
      <c r="V707" s="70"/>
      <c r="W707" s="71"/>
      <c r="X707"/>
    </row>
    <row r="708" spans="1:24">
      <c r="A708" s="71"/>
      <c r="B708" s="71"/>
      <c r="C708" s="71"/>
      <c r="D708" s="69"/>
      <c r="E708"/>
      <c r="F708" s="69"/>
      <c r="G708" s="69"/>
      <c r="H708" s="69"/>
      <c r="I708" s="69"/>
      <c r="J708" s="69"/>
      <c r="K708" s="69"/>
      <c r="L708" s="69"/>
      <c r="M708" s="69"/>
      <c r="N708" s="69"/>
      <c r="O708" s="69"/>
      <c r="P708" s="69"/>
      <c r="Q708" s="69"/>
      <c r="R708" s="69"/>
      <c r="S708" s="69"/>
      <c r="T708" s="69"/>
      <c r="U708" s="70"/>
      <c r="V708" s="70"/>
      <c r="W708" s="71"/>
      <c r="X708"/>
    </row>
    <row r="709" spans="1:24">
      <c r="A709" s="71"/>
      <c r="B709" s="71"/>
      <c r="C709" s="71"/>
      <c r="D709" s="69"/>
      <c r="E709"/>
      <c r="F709" s="69"/>
      <c r="G709" s="69"/>
      <c r="H709" s="69"/>
      <c r="I709" s="69"/>
      <c r="J709" s="69"/>
      <c r="K709" s="69"/>
      <c r="L709" s="69"/>
      <c r="M709" s="69"/>
      <c r="N709" s="69"/>
      <c r="O709" s="69"/>
      <c r="P709" s="69"/>
      <c r="Q709" s="69"/>
      <c r="R709" s="69"/>
      <c r="S709" s="69"/>
      <c r="T709" s="69"/>
      <c r="U709" s="70"/>
      <c r="V709" s="70"/>
      <c r="W709" s="71"/>
      <c r="X709"/>
    </row>
    <row r="710" spans="1:24">
      <c r="A710" s="71"/>
      <c r="B710" s="71"/>
      <c r="C710" s="71"/>
      <c r="D710" s="69"/>
      <c r="E710"/>
      <c r="F710" s="69"/>
      <c r="G710" s="69"/>
      <c r="H710" s="69"/>
      <c r="I710" s="69"/>
      <c r="J710" s="69"/>
      <c r="K710" s="69"/>
      <c r="L710" s="69"/>
      <c r="M710" s="69"/>
      <c r="N710" s="69"/>
      <c r="O710" s="69"/>
      <c r="P710" s="69"/>
      <c r="Q710" s="69"/>
      <c r="R710" s="69"/>
      <c r="S710" s="69"/>
      <c r="T710" s="69"/>
      <c r="U710" s="70"/>
      <c r="V710" s="70"/>
      <c r="W710" s="71"/>
      <c r="X710"/>
    </row>
    <row r="711" spans="1:24">
      <c r="A711" s="71"/>
      <c r="B711" s="71"/>
      <c r="C711" s="71"/>
      <c r="D711" s="69"/>
      <c r="E711"/>
      <c r="F711" s="69"/>
      <c r="G711" s="69"/>
      <c r="H711" s="69"/>
      <c r="I711" s="69"/>
      <c r="J711" s="69"/>
      <c r="K711" s="69"/>
      <c r="L711" s="69"/>
      <c r="M711" s="69"/>
      <c r="N711" s="69"/>
      <c r="O711" s="69"/>
      <c r="P711" s="69"/>
      <c r="Q711" s="69"/>
      <c r="R711" s="69"/>
      <c r="S711" s="69"/>
      <c r="T711" s="69"/>
      <c r="U711" s="70"/>
      <c r="V711" s="70"/>
      <c r="W711" s="71"/>
      <c r="X711"/>
    </row>
    <row r="712" spans="1:24">
      <c r="A712" s="71"/>
      <c r="B712" s="71"/>
      <c r="C712" s="71"/>
      <c r="D712" s="69"/>
      <c r="E712"/>
      <c r="F712" s="69"/>
      <c r="G712" s="69"/>
      <c r="H712" s="69"/>
      <c r="I712" s="69"/>
      <c r="J712" s="69"/>
      <c r="K712" s="69"/>
      <c r="L712" s="69"/>
      <c r="M712" s="69"/>
      <c r="N712" s="69"/>
      <c r="O712" s="69"/>
      <c r="P712" s="69"/>
      <c r="Q712" s="69"/>
      <c r="R712" s="69"/>
      <c r="S712" s="69"/>
      <c r="T712" s="69"/>
      <c r="U712" s="70"/>
      <c r="V712" s="70"/>
      <c r="W712" s="71"/>
      <c r="X712"/>
    </row>
    <row r="713" spans="1:24">
      <c r="A713" s="71"/>
      <c r="B713" s="71"/>
      <c r="C713" s="71"/>
      <c r="D713" s="69"/>
      <c r="E713"/>
      <c r="F713" s="69"/>
      <c r="G713" s="69"/>
      <c r="H713" s="69"/>
      <c r="I713" s="69"/>
      <c r="J713" s="69"/>
      <c r="K713" s="69"/>
      <c r="L713" s="69"/>
      <c r="M713" s="69"/>
      <c r="N713" s="69"/>
      <c r="O713" s="69"/>
      <c r="P713" s="69"/>
      <c r="Q713" s="69"/>
      <c r="R713" s="69"/>
      <c r="S713" s="69"/>
      <c r="T713" s="69"/>
      <c r="U713" s="70"/>
      <c r="V713" s="70"/>
      <c r="W713" s="71"/>
      <c r="X713"/>
    </row>
    <row r="714" spans="1:24">
      <c r="A714" s="71"/>
      <c r="B714" s="71"/>
      <c r="C714" s="71"/>
      <c r="D714" s="69"/>
      <c r="E714"/>
      <c r="F714" s="69"/>
      <c r="G714" s="69"/>
      <c r="H714" s="69"/>
      <c r="I714" s="69"/>
      <c r="J714" s="69"/>
      <c r="K714" s="69"/>
      <c r="L714" s="69"/>
      <c r="M714" s="69"/>
      <c r="N714" s="69"/>
      <c r="O714" s="69"/>
      <c r="P714" s="69"/>
      <c r="Q714" s="69"/>
      <c r="R714" s="69"/>
      <c r="S714" s="69"/>
      <c r="T714" s="69"/>
      <c r="U714" s="70"/>
      <c r="V714" s="70"/>
      <c r="W714" s="71"/>
      <c r="X714"/>
    </row>
    <row r="715" spans="1:24">
      <c r="A715" s="71"/>
      <c r="B715" s="71"/>
      <c r="C715" s="71"/>
      <c r="D715" s="69"/>
      <c r="E715"/>
      <c r="F715" s="69"/>
      <c r="G715" s="69"/>
      <c r="H715" s="69"/>
      <c r="I715" s="69"/>
      <c r="J715" s="69"/>
      <c r="K715" s="69"/>
      <c r="L715" s="69"/>
      <c r="M715" s="69"/>
      <c r="N715" s="69"/>
      <c r="O715" s="69"/>
      <c r="P715" s="69"/>
      <c r="Q715" s="69"/>
      <c r="R715" s="69"/>
      <c r="S715" s="69"/>
      <c r="T715" s="69"/>
      <c r="U715" s="70"/>
      <c r="V715" s="70"/>
      <c r="W715" s="71"/>
      <c r="X715"/>
    </row>
    <row r="716" spans="1:24">
      <c r="A716" s="71"/>
      <c r="B716" s="71"/>
      <c r="C716" s="71"/>
      <c r="D716" s="69"/>
      <c r="E716"/>
      <c r="F716" s="69"/>
      <c r="G716" s="69"/>
      <c r="H716" s="69"/>
      <c r="I716" s="69"/>
      <c r="J716" s="69"/>
      <c r="K716" s="69"/>
      <c r="L716" s="69"/>
      <c r="M716" s="69"/>
      <c r="N716" s="69"/>
      <c r="O716" s="69"/>
      <c r="P716" s="69"/>
      <c r="Q716" s="69"/>
      <c r="R716" s="69"/>
      <c r="S716" s="69"/>
      <c r="T716" s="69"/>
      <c r="U716" s="70"/>
      <c r="V716" s="70"/>
      <c r="W716" s="71"/>
      <c r="X716"/>
    </row>
    <row r="717" spans="1:24">
      <c r="A717" s="71"/>
      <c r="B717" s="71"/>
      <c r="C717" s="71"/>
      <c r="D717" s="69"/>
      <c r="E717"/>
      <c r="F717" s="69"/>
      <c r="G717" s="69"/>
      <c r="H717" s="69"/>
      <c r="I717" s="69"/>
      <c r="J717" s="69"/>
      <c r="K717" s="69"/>
      <c r="L717" s="69"/>
      <c r="M717" s="69"/>
      <c r="N717" s="69"/>
      <c r="O717" s="69"/>
      <c r="P717" s="69"/>
      <c r="Q717" s="69"/>
      <c r="R717" s="69"/>
      <c r="S717" s="69"/>
      <c r="T717" s="69"/>
      <c r="U717" s="70"/>
      <c r="V717" s="70"/>
      <c r="W717" s="71"/>
      <c r="X717"/>
    </row>
    <row r="718" spans="1:24">
      <c r="A718" s="71"/>
      <c r="B718" s="71"/>
      <c r="C718" s="71"/>
      <c r="D718" s="69"/>
      <c r="E718"/>
      <c r="F718" s="69"/>
      <c r="G718" s="69"/>
      <c r="H718" s="69"/>
      <c r="I718" s="69"/>
      <c r="J718" s="69"/>
      <c r="K718" s="69"/>
      <c r="L718" s="69"/>
      <c r="M718" s="69"/>
      <c r="N718" s="69"/>
      <c r="O718" s="69"/>
      <c r="P718" s="69"/>
      <c r="Q718" s="69"/>
      <c r="R718" s="69"/>
      <c r="S718" s="69"/>
      <c r="T718" s="69"/>
      <c r="U718" s="70"/>
      <c r="V718" s="70"/>
      <c r="W718" s="71"/>
      <c r="X718"/>
    </row>
    <row r="719" spans="1:24">
      <c r="A719" s="71"/>
      <c r="B719" s="71"/>
      <c r="C719" s="71"/>
      <c r="D719" s="69"/>
      <c r="E719"/>
      <c r="F719" s="69"/>
      <c r="G719" s="69"/>
      <c r="H719" s="69"/>
      <c r="I719" s="69"/>
      <c r="J719" s="69"/>
      <c r="K719" s="69"/>
      <c r="L719" s="69"/>
      <c r="M719" s="69"/>
      <c r="N719" s="69"/>
      <c r="O719" s="69"/>
      <c r="P719" s="69"/>
      <c r="Q719" s="69"/>
      <c r="R719" s="69"/>
      <c r="S719" s="69"/>
      <c r="T719" s="69"/>
      <c r="U719" s="70"/>
      <c r="V719" s="70"/>
      <c r="W719" s="71"/>
      <c r="X719"/>
    </row>
    <row r="720" spans="1:24">
      <c r="A720" s="71"/>
      <c r="B720" s="71"/>
      <c r="C720" s="71"/>
      <c r="D720" s="69"/>
      <c r="E720"/>
      <c r="F720" s="69"/>
      <c r="G720" s="69"/>
      <c r="H720" s="69"/>
      <c r="I720" s="69"/>
      <c r="J720" s="69"/>
      <c r="K720" s="69"/>
      <c r="L720" s="69"/>
      <c r="M720" s="69"/>
      <c r="N720" s="69"/>
      <c r="O720" s="69"/>
      <c r="P720" s="69"/>
      <c r="Q720" s="69"/>
      <c r="R720" s="69"/>
      <c r="S720" s="69"/>
      <c r="T720" s="69"/>
      <c r="U720" s="70"/>
      <c r="V720" s="70"/>
      <c r="W720" s="71"/>
      <c r="X720"/>
    </row>
    <row r="721" spans="1:24">
      <c r="A721" s="71"/>
      <c r="B721" s="71"/>
      <c r="C721" s="71"/>
      <c r="D721" s="69"/>
      <c r="E721"/>
      <c r="F721" s="69"/>
      <c r="G721" s="69"/>
      <c r="H721" s="69"/>
      <c r="I721" s="69"/>
      <c r="J721" s="69"/>
      <c r="K721" s="69"/>
      <c r="L721" s="69"/>
      <c r="M721" s="69"/>
      <c r="N721" s="69"/>
      <c r="O721" s="69"/>
      <c r="P721" s="69"/>
      <c r="Q721" s="69"/>
      <c r="R721" s="69"/>
      <c r="S721" s="69"/>
      <c r="T721" s="69"/>
      <c r="U721" s="70"/>
      <c r="V721" s="70"/>
      <c r="W721" s="71"/>
      <c r="X721"/>
    </row>
    <row r="722" spans="1:24">
      <c r="A722" s="71"/>
      <c r="B722" s="71"/>
      <c r="C722" s="71"/>
      <c r="D722" s="69"/>
      <c r="E722"/>
      <c r="F722" s="69"/>
      <c r="G722" s="69"/>
      <c r="H722" s="69"/>
      <c r="I722" s="69"/>
      <c r="J722" s="69"/>
      <c r="K722" s="69"/>
      <c r="L722" s="69"/>
      <c r="M722" s="69"/>
      <c r="N722" s="69"/>
      <c r="O722" s="69"/>
      <c r="P722" s="69"/>
      <c r="Q722" s="69"/>
      <c r="R722" s="69"/>
      <c r="S722" s="69"/>
      <c r="T722" s="69"/>
      <c r="U722" s="70"/>
      <c r="V722" s="70"/>
      <c r="W722" s="71"/>
      <c r="X722"/>
    </row>
    <row r="723" spans="1:24">
      <c r="A723" s="71"/>
      <c r="B723" s="71"/>
      <c r="C723" s="71"/>
      <c r="D723" s="69"/>
      <c r="E723"/>
      <c r="F723" s="69"/>
      <c r="G723" s="69"/>
      <c r="H723" s="69"/>
      <c r="I723" s="69"/>
      <c r="J723" s="69"/>
      <c r="K723" s="69"/>
      <c r="L723" s="69"/>
      <c r="M723" s="69"/>
      <c r="N723" s="69"/>
      <c r="O723" s="69"/>
      <c r="P723" s="69"/>
      <c r="Q723" s="69"/>
      <c r="R723" s="69"/>
      <c r="S723" s="69"/>
      <c r="T723" s="69"/>
      <c r="U723" s="70"/>
      <c r="V723" s="70"/>
      <c r="W723" s="71"/>
      <c r="X723"/>
    </row>
    <row r="724" spans="1:24">
      <c r="A724" s="71"/>
      <c r="B724" s="71"/>
      <c r="C724" s="71"/>
      <c r="D724" s="69"/>
      <c r="E724"/>
      <c r="F724" s="69"/>
      <c r="G724" s="69"/>
      <c r="H724" s="69"/>
      <c r="I724" s="69"/>
      <c r="J724" s="69"/>
      <c r="K724" s="69"/>
      <c r="L724" s="69"/>
      <c r="M724" s="69"/>
      <c r="N724" s="69"/>
      <c r="O724" s="69"/>
      <c r="P724" s="69"/>
      <c r="Q724" s="69"/>
      <c r="R724" s="69"/>
      <c r="S724" s="69"/>
      <c r="T724" s="69"/>
      <c r="U724" s="70"/>
      <c r="V724" s="70"/>
      <c r="W724" s="71"/>
      <c r="X724"/>
    </row>
    <row r="725" spans="1:24">
      <c r="A725" s="71"/>
      <c r="B725" s="71"/>
      <c r="C725" s="71"/>
      <c r="D725" s="69"/>
      <c r="E725"/>
      <c r="F725" s="69"/>
      <c r="G725" s="69"/>
      <c r="H725" s="69"/>
      <c r="I725" s="69"/>
      <c r="J725" s="69"/>
      <c r="K725" s="69"/>
      <c r="L725" s="69"/>
      <c r="M725" s="69"/>
      <c r="N725" s="69"/>
      <c r="O725" s="69"/>
      <c r="P725" s="69"/>
      <c r="Q725" s="69"/>
      <c r="R725" s="69"/>
      <c r="S725" s="69"/>
      <c r="T725" s="69"/>
      <c r="U725" s="70"/>
      <c r="V725" s="70"/>
      <c r="W725" s="71"/>
      <c r="X725"/>
    </row>
    <row r="726" spans="1:24">
      <c r="A726" s="71"/>
      <c r="B726" s="71"/>
      <c r="C726" s="71"/>
      <c r="D726" s="69"/>
      <c r="E726"/>
      <c r="F726" s="69"/>
      <c r="G726" s="69"/>
      <c r="H726" s="69"/>
      <c r="I726" s="69"/>
      <c r="J726" s="69"/>
      <c r="K726" s="69"/>
      <c r="L726" s="69"/>
      <c r="M726" s="69"/>
      <c r="N726" s="69"/>
      <c r="O726" s="69"/>
      <c r="P726" s="69"/>
      <c r="Q726" s="69"/>
      <c r="R726" s="69"/>
      <c r="S726" s="69"/>
      <c r="T726" s="69"/>
      <c r="U726" s="70"/>
      <c r="V726" s="70"/>
      <c r="W726" s="71"/>
      <c r="X726"/>
    </row>
    <row r="727" spans="1:24">
      <c r="A727" s="71"/>
      <c r="B727" s="71"/>
      <c r="C727" s="71"/>
      <c r="D727" s="69"/>
      <c r="E727"/>
      <c r="F727" s="69"/>
      <c r="G727" s="69"/>
      <c r="H727" s="69"/>
      <c r="I727" s="69"/>
      <c r="J727" s="69"/>
      <c r="K727" s="69"/>
      <c r="L727" s="69"/>
      <c r="M727" s="69"/>
      <c r="N727" s="69"/>
      <c r="O727" s="69"/>
      <c r="P727" s="69"/>
      <c r="Q727" s="69"/>
      <c r="R727" s="69"/>
      <c r="S727" s="69"/>
      <c r="T727" s="69"/>
      <c r="U727" s="70"/>
      <c r="V727" s="70"/>
      <c r="W727" s="71"/>
      <c r="X727"/>
    </row>
    <row r="728" spans="1:24">
      <c r="A728" s="71"/>
      <c r="B728" s="71"/>
      <c r="C728" s="71"/>
      <c r="D728" s="69"/>
      <c r="E728"/>
      <c r="F728" s="69"/>
      <c r="G728" s="69"/>
      <c r="H728" s="69"/>
      <c r="I728" s="69"/>
      <c r="J728" s="69"/>
      <c r="K728" s="69"/>
      <c r="L728" s="69"/>
      <c r="M728" s="69"/>
      <c r="N728" s="69"/>
      <c r="O728" s="69"/>
      <c r="P728" s="69"/>
      <c r="Q728" s="69"/>
      <c r="R728" s="69"/>
      <c r="S728" s="69"/>
      <c r="T728" s="69"/>
      <c r="U728" s="70"/>
      <c r="V728" s="70"/>
      <c r="W728" s="71"/>
      <c r="X728"/>
    </row>
    <row r="729" spans="1:24">
      <c r="A729" s="71"/>
      <c r="B729" s="71"/>
      <c r="C729" s="71"/>
      <c r="D729" s="69"/>
      <c r="E729"/>
      <c r="F729" s="69"/>
      <c r="G729" s="69"/>
      <c r="H729" s="69"/>
      <c r="I729" s="69"/>
      <c r="J729" s="69"/>
      <c r="K729" s="69"/>
      <c r="L729" s="69"/>
      <c r="M729" s="69"/>
      <c r="N729" s="69"/>
      <c r="O729" s="69"/>
      <c r="P729" s="69"/>
      <c r="Q729" s="69"/>
      <c r="R729" s="69"/>
      <c r="S729" s="69"/>
      <c r="T729" s="69"/>
      <c r="U729" s="70"/>
      <c r="V729" s="70"/>
      <c r="W729" s="71"/>
      <c r="X729"/>
    </row>
    <row r="730" spans="1:24">
      <c r="A730" s="71"/>
      <c r="B730" s="71"/>
      <c r="C730" s="71"/>
      <c r="D730" s="69"/>
      <c r="E730"/>
      <c r="F730" s="69"/>
      <c r="G730" s="69"/>
      <c r="H730" s="69"/>
      <c r="I730" s="69"/>
      <c r="J730" s="69"/>
      <c r="K730" s="69"/>
      <c r="L730" s="69"/>
      <c r="M730" s="69"/>
      <c r="N730" s="69"/>
      <c r="O730" s="69"/>
      <c r="P730" s="69"/>
      <c r="Q730" s="69"/>
      <c r="R730" s="69"/>
      <c r="S730" s="69"/>
      <c r="T730" s="69"/>
      <c r="U730" s="70"/>
      <c r="V730" s="70"/>
      <c r="W730" s="71"/>
      <c r="X730"/>
    </row>
    <row r="731" spans="1:24">
      <c r="A731" s="71"/>
      <c r="B731" s="71"/>
      <c r="C731" s="71"/>
      <c r="D731" s="69"/>
      <c r="E731"/>
      <c r="F731" s="69"/>
      <c r="G731" s="69"/>
      <c r="H731" s="69"/>
      <c r="I731" s="69"/>
      <c r="J731" s="69"/>
      <c r="K731" s="69"/>
      <c r="L731" s="69"/>
      <c r="M731" s="69"/>
      <c r="N731" s="69"/>
      <c r="O731" s="69"/>
      <c r="P731" s="69"/>
      <c r="Q731" s="69"/>
      <c r="R731" s="69"/>
      <c r="S731" s="69"/>
      <c r="T731" s="69"/>
      <c r="U731" s="70"/>
      <c r="V731" s="70"/>
      <c r="W731" s="71"/>
      <c r="X731"/>
    </row>
    <row r="732" spans="1:24">
      <c r="A732" s="71"/>
      <c r="B732" s="71"/>
      <c r="C732" s="71"/>
      <c r="D732" s="69"/>
      <c r="E732"/>
      <c r="F732" s="69"/>
      <c r="G732" s="69"/>
      <c r="H732" s="69"/>
      <c r="I732" s="69"/>
      <c r="J732" s="69"/>
      <c r="K732" s="69"/>
      <c r="L732" s="69"/>
      <c r="M732" s="69"/>
      <c r="N732" s="69"/>
      <c r="O732" s="69"/>
      <c r="P732" s="69"/>
      <c r="Q732" s="69"/>
      <c r="R732" s="69"/>
      <c r="S732" s="69"/>
      <c r="T732" s="69"/>
      <c r="U732" s="70"/>
      <c r="V732" s="70"/>
      <c r="W732" s="71"/>
      <c r="X732"/>
    </row>
    <row r="733" spans="1:24">
      <c r="A733" s="71"/>
      <c r="B733" s="71"/>
      <c r="C733" s="71"/>
      <c r="D733" s="69"/>
      <c r="E733"/>
      <c r="F733" s="69"/>
      <c r="G733" s="69"/>
      <c r="H733" s="69"/>
      <c r="I733" s="69"/>
      <c r="J733" s="69"/>
      <c r="K733" s="69"/>
      <c r="L733" s="69"/>
      <c r="M733" s="69"/>
      <c r="N733" s="69"/>
      <c r="O733" s="69"/>
      <c r="P733" s="69"/>
      <c r="Q733" s="69"/>
      <c r="R733" s="69"/>
      <c r="S733" s="69"/>
      <c r="T733" s="69"/>
      <c r="U733" s="70"/>
      <c r="V733" s="70"/>
      <c r="W733" s="71"/>
      <c r="X733"/>
    </row>
    <row r="734" spans="1:24">
      <c r="A734" s="71"/>
      <c r="B734" s="71"/>
      <c r="C734" s="71"/>
      <c r="D734" s="69"/>
      <c r="E734"/>
      <c r="F734" s="69"/>
      <c r="G734" s="69"/>
      <c r="H734" s="69"/>
      <c r="I734" s="69"/>
      <c r="J734" s="69"/>
      <c r="K734" s="69"/>
      <c r="L734" s="69"/>
      <c r="M734" s="69"/>
      <c r="N734" s="69"/>
      <c r="O734" s="69"/>
      <c r="P734" s="69"/>
      <c r="Q734" s="69"/>
      <c r="R734" s="69"/>
      <c r="S734" s="69"/>
      <c r="T734" s="69"/>
      <c r="U734" s="70"/>
      <c r="V734" s="70"/>
      <c r="W734" s="71"/>
      <c r="X734"/>
    </row>
    <row r="735" spans="1:24">
      <c r="A735" s="71"/>
      <c r="B735" s="71"/>
      <c r="C735" s="71"/>
      <c r="D735" s="69"/>
      <c r="E735"/>
      <c r="F735" s="69"/>
      <c r="G735" s="69"/>
      <c r="H735" s="69"/>
      <c r="I735" s="69"/>
      <c r="J735" s="69"/>
      <c r="K735" s="69"/>
      <c r="L735" s="69"/>
      <c r="M735" s="69"/>
      <c r="N735" s="69"/>
      <c r="O735" s="69"/>
      <c r="P735" s="69"/>
      <c r="Q735" s="69"/>
      <c r="R735" s="69"/>
      <c r="S735" s="69"/>
      <c r="T735" s="69"/>
      <c r="U735" s="70"/>
      <c r="V735" s="70"/>
      <c r="W735" s="71"/>
      <c r="X735"/>
    </row>
    <row r="736" spans="1:24">
      <c r="A736" s="71"/>
      <c r="B736" s="71"/>
      <c r="C736" s="71"/>
      <c r="D736" s="69"/>
      <c r="E736"/>
      <c r="F736" s="69"/>
      <c r="G736" s="69"/>
      <c r="H736" s="69"/>
      <c r="I736" s="69"/>
      <c r="J736" s="69"/>
      <c r="K736" s="69"/>
      <c r="L736" s="69"/>
      <c r="M736" s="69"/>
      <c r="N736" s="69"/>
      <c r="O736" s="69"/>
      <c r="P736" s="69"/>
      <c r="Q736" s="69"/>
      <c r="R736" s="69"/>
      <c r="S736" s="69"/>
      <c r="T736" s="69"/>
      <c r="U736" s="70"/>
      <c r="V736" s="70"/>
      <c r="W736" s="71"/>
      <c r="X736"/>
    </row>
    <row r="737" spans="1:24">
      <c r="A737" s="71"/>
      <c r="B737" s="71"/>
      <c r="C737" s="71"/>
      <c r="D737" s="69"/>
      <c r="E737"/>
      <c r="F737" s="69"/>
      <c r="G737" s="69"/>
      <c r="H737" s="69"/>
      <c r="I737" s="69"/>
      <c r="J737" s="69"/>
      <c r="K737" s="69"/>
      <c r="L737" s="69"/>
      <c r="M737" s="69"/>
      <c r="N737" s="69"/>
      <c r="O737" s="69"/>
      <c r="P737" s="69"/>
      <c r="Q737" s="69"/>
      <c r="R737" s="69"/>
      <c r="S737" s="69"/>
      <c r="T737" s="69"/>
      <c r="U737" s="70"/>
      <c r="V737" s="70"/>
      <c r="W737" s="71"/>
      <c r="X737"/>
    </row>
    <row r="738" spans="1:24">
      <c r="A738" s="71"/>
      <c r="B738" s="71"/>
      <c r="C738" s="71"/>
      <c r="D738" s="69"/>
      <c r="E738"/>
      <c r="F738" s="69"/>
      <c r="G738" s="69"/>
      <c r="H738" s="69"/>
      <c r="I738" s="69"/>
      <c r="J738" s="69"/>
      <c r="K738" s="69"/>
      <c r="L738" s="69"/>
      <c r="M738" s="69"/>
      <c r="N738" s="69"/>
      <c r="O738" s="69"/>
      <c r="P738" s="69"/>
      <c r="Q738" s="69"/>
      <c r="R738" s="69"/>
      <c r="S738" s="69"/>
      <c r="T738" s="69"/>
      <c r="U738" s="70"/>
      <c r="V738" s="70"/>
      <c r="W738" s="71"/>
      <c r="X738"/>
    </row>
    <row r="739" spans="1:24">
      <c r="A739" s="71"/>
      <c r="B739" s="71"/>
      <c r="C739" s="71"/>
      <c r="D739" s="69"/>
      <c r="E739"/>
      <c r="F739" s="69"/>
      <c r="G739" s="69"/>
      <c r="H739" s="69"/>
      <c r="I739" s="69"/>
      <c r="J739" s="69"/>
      <c r="K739" s="69"/>
      <c r="L739" s="69"/>
      <c r="M739" s="69"/>
      <c r="N739" s="69"/>
      <c r="O739" s="69"/>
      <c r="P739" s="69"/>
      <c r="Q739" s="69"/>
      <c r="R739" s="69"/>
      <c r="S739" s="69"/>
      <c r="T739" s="69"/>
      <c r="U739" s="70"/>
      <c r="V739" s="70"/>
      <c r="W739" s="71"/>
      <c r="X739"/>
    </row>
    <row r="740" spans="1:24">
      <c r="A740" s="71"/>
      <c r="B740" s="71"/>
      <c r="C740" s="71"/>
      <c r="D740" s="69"/>
      <c r="E740"/>
      <c r="F740" s="69"/>
      <c r="G740" s="69"/>
      <c r="H740" s="69"/>
      <c r="I740" s="69"/>
      <c r="J740" s="69"/>
      <c r="K740" s="69"/>
      <c r="L740" s="69"/>
      <c r="M740" s="69"/>
      <c r="N740" s="69"/>
      <c r="O740" s="69"/>
      <c r="P740" s="69"/>
      <c r="Q740" s="69"/>
      <c r="R740" s="69"/>
      <c r="S740" s="69"/>
      <c r="T740" s="69"/>
      <c r="U740" s="70"/>
      <c r="V740" s="70"/>
      <c r="W740" s="71"/>
      <c r="X740"/>
    </row>
    <row r="741" spans="1:24">
      <c r="A741" s="71"/>
      <c r="B741" s="71"/>
      <c r="C741" s="71"/>
      <c r="D741" s="69"/>
      <c r="E741"/>
      <c r="F741" s="69"/>
      <c r="G741" s="69"/>
      <c r="H741" s="69"/>
      <c r="I741" s="69"/>
      <c r="J741" s="69"/>
      <c r="K741" s="69"/>
      <c r="L741" s="69"/>
      <c r="M741" s="69"/>
      <c r="N741" s="69"/>
      <c r="O741" s="69"/>
      <c r="P741" s="69"/>
      <c r="Q741" s="69"/>
      <c r="R741" s="69"/>
      <c r="S741" s="69"/>
      <c r="T741" s="69"/>
      <c r="U741" s="70"/>
      <c r="V741" s="70"/>
      <c r="W741" s="71"/>
      <c r="X741"/>
    </row>
    <row r="742" spans="1:24">
      <c r="A742" s="71"/>
      <c r="B742" s="71"/>
      <c r="C742" s="71"/>
      <c r="D742" s="69"/>
      <c r="E742"/>
      <c r="F742" s="69"/>
      <c r="G742" s="69"/>
      <c r="H742" s="69"/>
      <c r="I742" s="69"/>
      <c r="J742" s="69"/>
      <c r="K742" s="69"/>
      <c r="L742" s="69"/>
      <c r="M742" s="69"/>
      <c r="N742" s="69"/>
      <c r="O742" s="69"/>
      <c r="P742" s="69"/>
      <c r="Q742" s="69"/>
      <c r="R742" s="69"/>
      <c r="S742" s="69"/>
      <c r="T742" s="69"/>
      <c r="U742" s="70"/>
      <c r="V742" s="70"/>
      <c r="W742" s="71"/>
      <c r="X742"/>
    </row>
    <row r="743" spans="1:24">
      <c r="A743" s="71"/>
      <c r="B743" s="71"/>
      <c r="C743" s="71"/>
      <c r="D743" s="69"/>
      <c r="E743"/>
      <c r="F743" s="69"/>
      <c r="G743" s="69"/>
      <c r="H743" s="69"/>
      <c r="I743" s="69"/>
      <c r="J743" s="69"/>
      <c r="K743" s="69"/>
      <c r="L743" s="69"/>
      <c r="M743" s="69"/>
      <c r="N743" s="69"/>
      <c r="O743" s="69"/>
      <c r="P743" s="69"/>
      <c r="Q743" s="69"/>
      <c r="R743" s="69"/>
      <c r="S743" s="69"/>
      <c r="T743" s="69"/>
      <c r="U743" s="70"/>
      <c r="V743" s="70"/>
      <c r="W743" s="71"/>
      <c r="X743"/>
    </row>
    <row r="744" spans="1:24">
      <c r="A744" s="71"/>
      <c r="B744" s="71"/>
      <c r="C744" s="71"/>
      <c r="D744" s="69"/>
      <c r="E744"/>
      <c r="F744" s="69"/>
      <c r="G744" s="69"/>
      <c r="H744" s="69"/>
      <c r="I744" s="69"/>
      <c r="J744" s="69"/>
      <c r="K744" s="69"/>
      <c r="L744" s="69"/>
      <c r="M744" s="69"/>
      <c r="N744" s="69"/>
      <c r="O744" s="69"/>
      <c r="P744" s="69"/>
      <c r="Q744" s="69"/>
      <c r="R744" s="69"/>
      <c r="S744" s="69"/>
      <c r="T744" s="69"/>
      <c r="U744" s="70"/>
      <c r="V744" s="70"/>
      <c r="W744" s="71"/>
      <c r="X744"/>
    </row>
    <row r="745" spans="1:24">
      <c r="A745" s="71"/>
      <c r="B745" s="71"/>
      <c r="C745" s="71"/>
      <c r="D745" s="69"/>
      <c r="E745"/>
      <c r="F745" s="69"/>
      <c r="G745" s="69"/>
      <c r="H745" s="69"/>
      <c r="I745" s="69"/>
      <c r="J745" s="69"/>
      <c r="K745" s="69"/>
      <c r="L745" s="69"/>
      <c r="M745" s="69"/>
      <c r="N745" s="69"/>
      <c r="O745" s="69"/>
      <c r="P745" s="69"/>
      <c r="Q745" s="69"/>
      <c r="R745" s="69"/>
      <c r="S745" s="69"/>
      <c r="T745" s="69"/>
      <c r="U745" s="70"/>
      <c r="V745" s="70"/>
      <c r="W745" s="71"/>
      <c r="X745"/>
    </row>
    <row r="746" spans="1:24">
      <c r="A746" s="71"/>
      <c r="B746" s="71"/>
      <c r="C746" s="71"/>
      <c r="D746" s="69"/>
      <c r="E746"/>
      <c r="F746" s="69"/>
      <c r="G746" s="69"/>
      <c r="H746" s="69"/>
      <c r="I746" s="69"/>
      <c r="J746" s="69"/>
      <c r="K746" s="69"/>
      <c r="L746" s="69"/>
      <c r="M746" s="69"/>
      <c r="N746" s="69"/>
      <c r="O746" s="69"/>
      <c r="P746" s="69"/>
      <c r="Q746" s="69"/>
      <c r="R746" s="69"/>
      <c r="S746" s="69"/>
      <c r="T746" s="69"/>
      <c r="U746" s="70"/>
      <c r="V746" s="70"/>
      <c r="W746" s="71"/>
      <c r="X746"/>
    </row>
    <row r="747" spans="1:24">
      <c r="A747" s="71"/>
      <c r="B747" s="71"/>
      <c r="C747" s="71"/>
      <c r="D747" s="69"/>
      <c r="E747"/>
      <c r="F747" s="69"/>
      <c r="G747" s="69"/>
      <c r="H747" s="69"/>
      <c r="I747" s="69"/>
      <c r="J747" s="69"/>
      <c r="K747" s="69"/>
      <c r="L747" s="69"/>
      <c r="M747" s="69"/>
      <c r="N747" s="69"/>
      <c r="O747" s="69"/>
      <c r="P747" s="69"/>
      <c r="Q747" s="69"/>
      <c r="R747" s="69"/>
      <c r="S747" s="69"/>
      <c r="T747" s="69"/>
      <c r="U747" s="70"/>
      <c r="V747" s="70"/>
      <c r="W747" s="71"/>
      <c r="X747"/>
    </row>
    <row r="748" spans="1:24">
      <c r="A748" s="71"/>
      <c r="B748" s="71"/>
      <c r="C748" s="71"/>
      <c r="D748" s="69"/>
      <c r="E748"/>
      <c r="F748" s="69"/>
      <c r="G748" s="69"/>
      <c r="H748" s="69"/>
      <c r="I748" s="69"/>
      <c r="J748" s="69"/>
      <c r="K748" s="69"/>
      <c r="L748" s="69"/>
      <c r="M748" s="69"/>
      <c r="N748" s="69"/>
      <c r="O748" s="69"/>
      <c r="P748" s="69"/>
      <c r="Q748" s="69"/>
      <c r="R748" s="69"/>
      <c r="S748" s="69"/>
      <c r="T748" s="69"/>
      <c r="U748" s="70"/>
      <c r="V748" s="70"/>
      <c r="W748" s="71"/>
      <c r="X748"/>
    </row>
    <row r="749" spans="1:24">
      <c r="A749" s="71"/>
      <c r="B749" s="71"/>
      <c r="C749" s="71"/>
      <c r="D749" s="69"/>
      <c r="E749"/>
      <c r="F749" s="69"/>
      <c r="G749" s="69"/>
      <c r="H749" s="69"/>
      <c r="I749" s="69"/>
      <c r="J749" s="69"/>
      <c r="K749" s="69"/>
      <c r="L749" s="69"/>
      <c r="M749" s="69"/>
      <c r="N749" s="69"/>
      <c r="O749" s="69"/>
      <c r="P749" s="69"/>
      <c r="Q749" s="69"/>
      <c r="R749" s="69"/>
      <c r="S749" s="69"/>
      <c r="T749" s="69"/>
      <c r="U749" s="70"/>
      <c r="V749" s="70"/>
      <c r="W749" s="71"/>
      <c r="X749"/>
    </row>
    <row r="750" spans="1:24">
      <c r="A750" s="71"/>
      <c r="B750" s="71"/>
      <c r="C750" s="71"/>
      <c r="D750" s="69"/>
      <c r="E750"/>
      <c r="F750" s="69"/>
      <c r="G750" s="69"/>
      <c r="H750" s="69"/>
      <c r="I750" s="69"/>
      <c r="J750" s="69"/>
      <c r="K750" s="69"/>
      <c r="L750" s="69"/>
      <c r="M750" s="69"/>
      <c r="N750" s="69"/>
      <c r="O750" s="69"/>
      <c r="P750" s="69"/>
      <c r="Q750" s="69"/>
      <c r="R750" s="69"/>
      <c r="S750" s="69"/>
      <c r="T750" s="69"/>
      <c r="U750" s="70"/>
      <c r="V750" s="70"/>
      <c r="W750" s="71"/>
      <c r="X750"/>
    </row>
    <row r="751" spans="1:24">
      <c r="A751" s="71"/>
      <c r="B751" s="71"/>
      <c r="C751" s="71"/>
      <c r="D751" s="69"/>
      <c r="E751"/>
      <c r="F751" s="69"/>
      <c r="G751" s="69"/>
      <c r="H751" s="69"/>
      <c r="I751" s="69"/>
      <c r="J751" s="69"/>
      <c r="K751" s="69"/>
      <c r="L751" s="69"/>
      <c r="M751" s="69"/>
      <c r="N751" s="69"/>
      <c r="O751" s="69"/>
      <c r="P751" s="69"/>
      <c r="Q751" s="69"/>
      <c r="R751" s="69"/>
      <c r="S751" s="69"/>
      <c r="T751" s="69"/>
      <c r="U751" s="70"/>
      <c r="V751" s="70"/>
      <c r="W751" s="71"/>
      <c r="X751"/>
    </row>
    <row r="752" spans="1:24">
      <c r="A752" s="71"/>
      <c r="B752" s="71"/>
      <c r="C752" s="71"/>
      <c r="D752" s="69"/>
      <c r="E752"/>
      <c r="F752" s="69"/>
      <c r="G752" s="69"/>
      <c r="H752" s="69"/>
      <c r="I752" s="69"/>
      <c r="J752" s="69"/>
      <c r="K752" s="69"/>
      <c r="L752" s="69"/>
      <c r="M752" s="69"/>
      <c r="N752" s="69"/>
      <c r="O752" s="69"/>
      <c r="P752" s="69"/>
      <c r="Q752" s="69"/>
      <c r="R752" s="69"/>
      <c r="S752" s="69"/>
      <c r="T752" s="69"/>
      <c r="U752" s="70"/>
      <c r="V752" s="70"/>
      <c r="W752" s="71"/>
      <c r="X752"/>
    </row>
    <row r="753" spans="1:24">
      <c r="A753" s="71"/>
      <c r="B753" s="71"/>
      <c r="C753" s="71"/>
      <c r="D753" s="69"/>
      <c r="E753"/>
      <c r="F753" s="69"/>
      <c r="G753" s="69"/>
      <c r="H753" s="69"/>
      <c r="I753" s="69"/>
      <c r="J753" s="69"/>
      <c r="K753" s="69"/>
      <c r="L753" s="69"/>
      <c r="M753" s="69"/>
      <c r="N753" s="69"/>
      <c r="O753" s="69"/>
      <c r="P753" s="69"/>
      <c r="Q753" s="69"/>
      <c r="R753" s="69"/>
      <c r="S753" s="69"/>
      <c r="T753" s="69"/>
      <c r="U753" s="70"/>
      <c r="V753" s="70"/>
      <c r="W753" s="71"/>
      <c r="X753"/>
    </row>
    <row r="754" spans="1:24">
      <c r="A754" s="71"/>
      <c r="B754" s="71"/>
      <c r="C754" s="71"/>
      <c r="D754" s="69"/>
      <c r="E754"/>
      <c r="F754" s="69"/>
      <c r="G754" s="69"/>
      <c r="H754" s="69"/>
      <c r="I754" s="69"/>
      <c r="J754" s="69"/>
      <c r="K754" s="69"/>
      <c r="L754" s="69"/>
      <c r="M754" s="69"/>
      <c r="N754" s="69"/>
      <c r="O754" s="69"/>
      <c r="P754" s="69"/>
      <c r="Q754" s="69"/>
      <c r="R754" s="69"/>
      <c r="S754" s="69"/>
      <c r="T754" s="69"/>
      <c r="U754" s="70"/>
      <c r="V754" s="70"/>
      <c r="W754" s="71"/>
      <c r="X754"/>
    </row>
    <row r="755" spans="1:24">
      <c r="A755" s="71"/>
      <c r="B755" s="71"/>
      <c r="C755" s="71"/>
      <c r="D755" s="69"/>
      <c r="E755"/>
      <c r="F755" s="69"/>
      <c r="G755" s="69"/>
      <c r="H755" s="69"/>
      <c r="I755" s="69"/>
      <c r="J755" s="69"/>
      <c r="K755" s="69"/>
      <c r="L755" s="69"/>
      <c r="M755" s="69"/>
      <c r="N755" s="69"/>
      <c r="O755" s="69"/>
      <c r="P755" s="69"/>
      <c r="Q755" s="69"/>
      <c r="R755" s="69"/>
      <c r="S755" s="69"/>
      <c r="T755" s="69"/>
      <c r="U755" s="70"/>
      <c r="V755" s="70"/>
      <c r="W755" s="71"/>
      <c r="X755"/>
    </row>
    <row r="756" spans="1:24">
      <c r="A756" s="71"/>
      <c r="B756" s="71"/>
      <c r="C756" s="71"/>
      <c r="D756" s="69"/>
      <c r="E756"/>
      <c r="F756" s="69"/>
      <c r="G756" s="69"/>
      <c r="H756" s="69"/>
      <c r="I756" s="69"/>
      <c r="J756" s="69"/>
      <c r="K756" s="69"/>
      <c r="L756" s="69"/>
      <c r="M756" s="69"/>
      <c r="N756" s="69"/>
      <c r="O756" s="69"/>
      <c r="P756" s="69"/>
      <c r="Q756" s="69"/>
      <c r="R756" s="69"/>
      <c r="S756" s="69"/>
      <c r="T756" s="69"/>
      <c r="U756" s="70"/>
      <c r="V756" s="70"/>
      <c r="W756" s="71"/>
      <c r="X756"/>
    </row>
    <row r="757" spans="1:24">
      <c r="A757" s="71"/>
      <c r="B757" s="71"/>
      <c r="C757" s="71"/>
      <c r="D757" s="69"/>
      <c r="E757"/>
      <c r="F757" s="69"/>
      <c r="G757" s="69"/>
      <c r="H757" s="69"/>
      <c r="I757" s="69"/>
      <c r="J757" s="69"/>
      <c r="K757" s="69"/>
      <c r="L757" s="69"/>
      <c r="M757" s="69"/>
      <c r="N757" s="69"/>
      <c r="O757" s="69"/>
      <c r="P757" s="69"/>
      <c r="Q757" s="69"/>
      <c r="R757" s="69"/>
      <c r="S757" s="69"/>
      <c r="T757" s="69"/>
      <c r="U757" s="70"/>
      <c r="V757" s="70"/>
      <c r="W757" s="71"/>
      <c r="X757"/>
    </row>
    <row r="758" spans="1:24">
      <c r="A758" s="71"/>
      <c r="B758" s="71"/>
      <c r="C758" s="71"/>
      <c r="D758" s="69"/>
      <c r="E758"/>
      <c r="F758" s="69"/>
      <c r="G758" s="69"/>
      <c r="H758" s="69"/>
      <c r="I758" s="69"/>
      <c r="J758" s="69"/>
      <c r="K758" s="69"/>
      <c r="L758" s="69"/>
      <c r="M758" s="69"/>
      <c r="N758" s="69"/>
      <c r="O758" s="69"/>
      <c r="P758" s="69"/>
      <c r="Q758" s="69"/>
      <c r="R758" s="69"/>
      <c r="S758" s="69"/>
      <c r="T758" s="69"/>
      <c r="U758" s="70"/>
      <c r="V758" s="70"/>
      <c r="W758" s="71"/>
      <c r="X758"/>
    </row>
    <row r="759" spans="1:24">
      <c r="A759" s="71"/>
      <c r="B759" s="71"/>
      <c r="C759" s="71"/>
      <c r="D759" s="69"/>
      <c r="E759"/>
      <c r="F759" s="69"/>
      <c r="G759" s="69"/>
      <c r="H759" s="69"/>
      <c r="I759" s="69"/>
      <c r="J759" s="69"/>
      <c r="K759" s="69"/>
      <c r="L759" s="69"/>
      <c r="M759" s="69"/>
      <c r="N759" s="69"/>
      <c r="O759" s="69"/>
      <c r="P759" s="69"/>
      <c r="Q759" s="69"/>
      <c r="R759" s="69"/>
      <c r="S759" s="69"/>
      <c r="T759" s="69"/>
      <c r="U759" s="70"/>
      <c r="V759" s="70"/>
      <c r="W759" s="71"/>
      <c r="X759"/>
    </row>
    <row r="760" spans="1:24">
      <c r="A760" s="71"/>
      <c r="B760" s="71"/>
      <c r="C760" s="71"/>
      <c r="D760" s="69"/>
      <c r="E760"/>
      <c r="F760" s="69"/>
      <c r="G760" s="69"/>
      <c r="H760" s="69"/>
      <c r="I760" s="69"/>
      <c r="J760" s="69"/>
      <c r="K760" s="69"/>
      <c r="L760" s="69"/>
      <c r="M760" s="69"/>
      <c r="N760" s="69"/>
      <c r="O760" s="69"/>
      <c r="P760" s="69"/>
      <c r="Q760" s="69"/>
      <c r="R760" s="69"/>
      <c r="S760" s="69"/>
      <c r="T760" s="69"/>
      <c r="U760" s="70"/>
      <c r="V760" s="70"/>
      <c r="W760" s="71"/>
      <c r="X760"/>
    </row>
    <row r="761" spans="1:24">
      <c r="A761" s="71"/>
      <c r="B761" s="71"/>
      <c r="C761" s="71"/>
      <c r="D761" s="69"/>
      <c r="E761"/>
      <c r="F761" s="69"/>
      <c r="G761" s="69"/>
      <c r="H761" s="69"/>
      <c r="I761" s="69"/>
      <c r="J761" s="69"/>
      <c r="K761" s="69"/>
      <c r="L761" s="69"/>
      <c r="M761" s="69"/>
      <c r="N761" s="69"/>
      <c r="O761" s="69"/>
      <c r="P761" s="69"/>
      <c r="Q761" s="69"/>
      <c r="R761" s="69"/>
      <c r="S761" s="69"/>
      <c r="T761" s="69"/>
      <c r="U761" s="70"/>
      <c r="V761" s="70"/>
      <c r="W761" s="71"/>
      <c r="X761"/>
    </row>
    <row r="762" spans="1:24">
      <c r="A762" s="71"/>
      <c r="B762" s="71"/>
      <c r="C762" s="71"/>
      <c r="D762" s="69"/>
      <c r="E762"/>
      <c r="F762" s="69"/>
      <c r="G762" s="69"/>
      <c r="H762" s="69"/>
      <c r="I762" s="69"/>
      <c r="J762" s="69"/>
      <c r="K762" s="69"/>
      <c r="L762" s="69"/>
      <c r="M762" s="69"/>
      <c r="N762" s="69"/>
      <c r="O762" s="69"/>
      <c r="P762" s="69"/>
      <c r="Q762" s="69"/>
      <c r="R762" s="69"/>
      <c r="S762" s="69"/>
      <c r="T762" s="69"/>
      <c r="U762" s="70"/>
      <c r="V762" s="70"/>
      <c r="W762" s="71"/>
      <c r="X762"/>
    </row>
    <row r="763" spans="1:24">
      <c r="A763" s="71"/>
      <c r="B763" s="71"/>
      <c r="C763" s="71"/>
      <c r="D763" s="69"/>
      <c r="E763"/>
      <c r="F763" s="69"/>
      <c r="G763" s="69"/>
      <c r="H763" s="69"/>
      <c r="I763" s="69"/>
      <c r="J763" s="69"/>
      <c r="K763" s="69"/>
      <c r="L763" s="69"/>
      <c r="M763" s="69"/>
      <c r="N763" s="69"/>
      <c r="O763" s="69"/>
      <c r="P763" s="69"/>
      <c r="Q763" s="69"/>
      <c r="R763" s="69"/>
      <c r="S763" s="69"/>
      <c r="T763" s="69"/>
      <c r="U763" s="70"/>
      <c r="V763" s="70"/>
      <c r="W763" s="71"/>
      <c r="X763"/>
    </row>
    <row r="764" spans="1:24">
      <c r="A764" s="71"/>
      <c r="B764" s="71"/>
      <c r="C764" s="71"/>
      <c r="D764" s="69"/>
      <c r="E764"/>
      <c r="F764" s="69"/>
      <c r="G764" s="69"/>
      <c r="H764" s="69"/>
      <c r="I764" s="69"/>
      <c r="J764" s="69"/>
      <c r="K764" s="69"/>
      <c r="L764" s="69"/>
      <c r="M764" s="69"/>
      <c r="N764" s="69"/>
      <c r="O764" s="69"/>
      <c r="P764" s="69"/>
      <c r="Q764" s="69"/>
      <c r="R764" s="69"/>
      <c r="S764" s="69"/>
      <c r="T764" s="69"/>
      <c r="U764" s="70"/>
      <c r="V764" s="70"/>
      <c r="W764" s="71"/>
      <c r="X764"/>
    </row>
    <row r="765" spans="1:24">
      <c r="A765" s="71"/>
      <c r="B765" s="71"/>
      <c r="C765" s="71"/>
      <c r="D765" s="69"/>
      <c r="E765"/>
      <c r="F765" s="69"/>
      <c r="G765" s="69"/>
      <c r="H765" s="69"/>
      <c r="I765" s="69"/>
      <c r="J765" s="69"/>
      <c r="K765" s="69"/>
      <c r="L765" s="69"/>
      <c r="M765" s="69"/>
      <c r="N765" s="69"/>
      <c r="O765" s="69"/>
      <c r="P765" s="69"/>
      <c r="Q765" s="69"/>
      <c r="R765" s="69"/>
      <c r="S765" s="69"/>
      <c r="T765" s="69"/>
      <c r="U765" s="70"/>
      <c r="V765" s="70"/>
      <c r="W765" s="71"/>
      <c r="X765"/>
    </row>
    <row r="766" spans="1:24">
      <c r="A766" s="71"/>
      <c r="B766" s="71"/>
      <c r="C766" s="71"/>
      <c r="D766" s="69"/>
      <c r="E766"/>
      <c r="F766" s="69"/>
      <c r="G766" s="69"/>
      <c r="H766" s="69"/>
      <c r="I766" s="69"/>
      <c r="J766" s="69"/>
      <c r="K766" s="69"/>
      <c r="L766" s="69"/>
      <c r="M766" s="69"/>
      <c r="N766" s="69"/>
      <c r="O766" s="69"/>
      <c r="P766" s="69"/>
      <c r="Q766" s="69"/>
      <c r="R766" s="69"/>
      <c r="S766" s="69"/>
      <c r="T766" s="69"/>
      <c r="U766" s="70"/>
      <c r="V766" s="70"/>
      <c r="W766" s="71"/>
      <c r="X766"/>
    </row>
    <row r="767" spans="1:24">
      <c r="A767" s="71"/>
      <c r="B767" s="71"/>
      <c r="C767" s="71"/>
      <c r="D767" s="69"/>
      <c r="E767"/>
      <c r="F767" s="69"/>
      <c r="G767" s="69"/>
      <c r="H767" s="69"/>
      <c r="I767" s="69"/>
      <c r="J767" s="69"/>
      <c r="K767" s="69"/>
      <c r="L767" s="69"/>
      <c r="M767" s="69"/>
      <c r="N767" s="69"/>
      <c r="O767" s="69"/>
      <c r="P767" s="69"/>
      <c r="Q767" s="69"/>
      <c r="R767" s="69"/>
      <c r="S767" s="69"/>
      <c r="T767" s="69"/>
      <c r="U767" s="70"/>
      <c r="V767" s="70"/>
      <c r="W767" s="71"/>
      <c r="X767"/>
    </row>
    <row r="768" spans="1:24">
      <c r="A768" s="71"/>
      <c r="B768" s="71"/>
      <c r="C768" s="71"/>
      <c r="D768" s="69"/>
      <c r="E768"/>
      <c r="F768" s="69"/>
      <c r="G768" s="69"/>
      <c r="H768" s="69"/>
      <c r="I768" s="69"/>
      <c r="J768" s="69"/>
      <c r="K768" s="69"/>
      <c r="L768" s="69"/>
      <c r="M768" s="69"/>
      <c r="N768" s="69"/>
      <c r="O768" s="69"/>
      <c r="P768" s="69"/>
      <c r="Q768" s="69"/>
      <c r="R768" s="69"/>
      <c r="S768" s="69"/>
      <c r="T768" s="69"/>
      <c r="U768" s="70"/>
      <c r="V768" s="70"/>
      <c r="W768" s="71"/>
      <c r="X768"/>
    </row>
    <row r="769" spans="1:24">
      <c r="A769" s="71"/>
      <c r="B769" s="71"/>
      <c r="C769" s="71"/>
      <c r="D769" s="69"/>
      <c r="E769"/>
      <c r="F769" s="69"/>
      <c r="G769" s="69"/>
      <c r="H769" s="69"/>
      <c r="I769" s="69"/>
      <c r="J769" s="69"/>
      <c r="K769" s="69"/>
      <c r="L769" s="69"/>
      <c r="M769" s="69"/>
      <c r="N769" s="69"/>
      <c r="O769" s="69"/>
      <c r="P769" s="69"/>
      <c r="Q769" s="69"/>
      <c r="R769" s="69"/>
      <c r="S769" s="69"/>
      <c r="T769" s="69"/>
      <c r="U769" s="70"/>
      <c r="V769" s="70"/>
      <c r="W769" s="71"/>
      <c r="X769"/>
    </row>
    <row r="770" spans="1:24">
      <c r="A770" s="71"/>
      <c r="B770" s="71"/>
      <c r="C770" s="71"/>
      <c r="D770" s="69"/>
      <c r="E770"/>
      <c r="F770" s="69"/>
      <c r="G770" s="69"/>
      <c r="H770" s="69"/>
      <c r="I770" s="69"/>
      <c r="J770" s="69"/>
      <c r="K770" s="69"/>
      <c r="L770" s="69"/>
      <c r="M770" s="69"/>
      <c r="N770" s="69"/>
      <c r="O770" s="69"/>
      <c r="P770" s="69"/>
      <c r="Q770" s="69"/>
      <c r="R770" s="69"/>
      <c r="S770" s="69"/>
      <c r="T770" s="69"/>
      <c r="U770" s="70"/>
      <c r="V770" s="70"/>
      <c r="W770" s="71"/>
      <c r="X770"/>
    </row>
    <row r="771" spans="1:24">
      <c r="A771" s="71"/>
      <c r="B771" s="71"/>
      <c r="C771" s="71"/>
      <c r="D771" s="69"/>
      <c r="E771"/>
      <c r="F771" s="69"/>
      <c r="G771" s="69"/>
      <c r="H771" s="69"/>
      <c r="I771" s="69"/>
      <c r="J771" s="69"/>
      <c r="K771" s="69"/>
      <c r="L771" s="69"/>
      <c r="M771" s="69"/>
      <c r="N771" s="69"/>
      <c r="O771" s="69"/>
      <c r="P771" s="69"/>
      <c r="Q771" s="69"/>
      <c r="R771" s="69"/>
      <c r="S771" s="69"/>
      <c r="T771" s="69"/>
      <c r="U771" s="70"/>
      <c r="V771" s="70"/>
      <c r="W771" s="71"/>
      <c r="X771"/>
    </row>
    <row r="772" spans="1:24">
      <c r="A772" s="71"/>
      <c r="B772" s="71"/>
      <c r="C772" s="71"/>
      <c r="D772" s="69"/>
      <c r="E772"/>
      <c r="F772" s="69"/>
      <c r="G772" s="69"/>
      <c r="H772" s="69"/>
      <c r="I772" s="69"/>
      <c r="J772" s="69"/>
      <c r="K772" s="69"/>
      <c r="L772" s="69"/>
      <c r="M772" s="69"/>
      <c r="N772" s="69"/>
      <c r="O772" s="69"/>
      <c r="P772" s="69"/>
      <c r="Q772" s="69"/>
      <c r="R772" s="69"/>
      <c r="S772" s="69"/>
      <c r="T772" s="69"/>
      <c r="U772" s="70"/>
      <c r="V772" s="70"/>
      <c r="W772" s="71"/>
      <c r="X772"/>
    </row>
    <row r="773" spans="1:24">
      <c r="A773" s="71"/>
      <c r="B773" s="71"/>
      <c r="C773" s="71"/>
      <c r="D773" s="69"/>
      <c r="E773"/>
      <c r="F773" s="69"/>
      <c r="G773" s="69"/>
      <c r="H773" s="69"/>
      <c r="I773" s="69"/>
      <c r="J773" s="69"/>
      <c r="K773" s="69"/>
      <c r="L773" s="69"/>
      <c r="M773" s="69"/>
      <c r="N773" s="69"/>
      <c r="O773" s="69"/>
      <c r="P773" s="69"/>
      <c r="Q773" s="69"/>
      <c r="R773" s="69"/>
      <c r="S773" s="69"/>
      <c r="T773" s="69"/>
      <c r="U773" s="70"/>
      <c r="V773" s="70"/>
      <c r="W773" s="71"/>
      <c r="X773"/>
    </row>
    <row r="774" spans="1:24">
      <c r="A774" s="71"/>
      <c r="B774" s="71"/>
      <c r="C774" s="71"/>
      <c r="D774" s="69"/>
      <c r="E774"/>
      <c r="F774" s="69"/>
      <c r="G774" s="69"/>
      <c r="H774" s="69"/>
      <c r="I774" s="69"/>
      <c r="J774" s="69"/>
      <c r="K774" s="69"/>
      <c r="L774" s="69"/>
      <c r="M774" s="69"/>
      <c r="N774" s="69"/>
      <c r="O774" s="69"/>
      <c r="P774" s="69"/>
      <c r="Q774" s="69"/>
      <c r="R774" s="69"/>
      <c r="S774" s="69"/>
      <c r="T774" s="69"/>
      <c r="U774" s="70"/>
      <c r="V774" s="70"/>
      <c r="W774" s="71"/>
      <c r="X774"/>
    </row>
    <row r="775" spans="1:24">
      <c r="A775" s="71"/>
      <c r="B775" s="71"/>
      <c r="C775" s="71"/>
      <c r="D775" s="69"/>
      <c r="E775"/>
      <c r="F775" s="69"/>
      <c r="G775" s="69"/>
      <c r="H775" s="69"/>
      <c r="I775" s="69"/>
      <c r="J775" s="69"/>
      <c r="K775" s="69"/>
      <c r="L775" s="69"/>
      <c r="M775" s="69"/>
      <c r="N775" s="69"/>
      <c r="O775" s="69"/>
      <c r="P775" s="69"/>
      <c r="Q775" s="69"/>
      <c r="R775" s="69"/>
      <c r="S775" s="69"/>
      <c r="T775" s="69"/>
      <c r="U775" s="70"/>
      <c r="V775" s="70"/>
      <c r="W775" s="71"/>
      <c r="X775"/>
    </row>
    <row r="776" spans="1:24">
      <c r="A776" s="71"/>
      <c r="B776" s="71"/>
      <c r="C776" s="71"/>
      <c r="D776" s="69"/>
      <c r="E776"/>
      <c r="F776" s="69"/>
      <c r="G776" s="69"/>
      <c r="H776" s="69"/>
      <c r="I776" s="69"/>
      <c r="J776" s="69"/>
      <c r="K776" s="69"/>
      <c r="L776" s="69"/>
      <c r="M776" s="69"/>
      <c r="N776" s="69"/>
      <c r="O776" s="69"/>
      <c r="P776" s="69"/>
      <c r="Q776" s="69"/>
      <c r="R776" s="69"/>
      <c r="S776" s="69"/>
      <c r="T776" s="69"/>
      <c r="U776" s="70"/>
      <c r="V776" s="70"/>
      <c r="W776" s="71"/>
      <c r="X776"/>
    </row>
    <row r="777" spans="1:24">
      <c r="A777" s="71"/>
      <c r="B777" s="71"/>
      <c r="C777" s="71"/>
      <c r="D777" s="69"/>
      <c r="E777"/>
      <c r="F777" s="69"/>
      <c r="G777" s="69"/>
      <c r="H777" s="69"/>
      <c r="I777" s="69"/>
      <c r="J777" s="69"/>
      <c r="K777" s="69"/>
      <c r="L777" s="69"/>
      <c r="M777" s="69"/>
      <c r="N777" s="69"/>
      <c r="O777" s="69"/>
      <c r="P777" s="69"/>
      <c r="Q777" s="69"/>
      <c r="R777" s="69"/>
      <c r="S777" s="69"/>
      <c r="T777" s="69"/>
      <c r="U777" s="70"/>
      <c r="V777" s="70"/>
      <c r="W777" s="71"/>
      <c r="X777"/>
    </row>
    <row r="778" spans="1:24">
      <c r="A778" s="71"/>
      <c r="B778" s="71"/>
      <c r="C778" s="71"/>
      <c r="D778" s="69"/>
      <c r="E778"/>
      <c r="F778" s="69"/>
      <c r="G778" s="69"/>
      <c r="H778" s="69"/>
      <c r="I778" s="69"/>
      <c r="J778" s="69"/>
      <c r="K778" s="69"/>
      <c r="L778" s="69"/>
      <c r="M778" s="69"/>
      <c r="N778" s="69"/>
      <c r="O778" s="69"/>
      <c r="P778" s="69"/>
      <c r="Q778" s="69"/>
      <c r="R778" s="69"/>
      <c r="S778" s="69"/>
      <c r="T778" s="69"/>
      <c r="U778" s="70"/>
      <c r="V778" s="70"/>
      <c r="W778" s="71"/>
      <c r="X778"/>
    </row>
    <row r="779" spans="1:24">
      <c r="A779" s="71"/>
      <c r="B779" s="71"/>
      <c r="C779" s="71"/>
      <c r="D779" s="69"/>
      <c r="E779"/>
      <c r="F779" s="69"/>
      <c r="G779" s="69"/>
      <c r="H779" s="69"/>
      <c r="I779" s="69"/>
      <c r="J779" s="69"/>
      <c r="K779" s="69"/>
      <c r="L779" s="69"/>
      <c r="M779" s="69"/>
      <c r="N779" s="69"/>
      <c r="O779" s="69"/>
      <c r="P779" s="69"/>
      <c r="Q779" s="69"/>
      <c r="R779" s="69"/>
      <c r="S779" s="69"/>
      <c r="T779" s="69"/>
      <c r="U779" s="70"/>
      <c r="V779" s="70"/>
      <c r="W779" s="71"/>
      <c r="X779"/>
    </row>
    <row r="780" spans="1:24">
      <c r="A780" s="71"/>
      <c r="B780" s="71"/>
      <c r="C780" s="71"/>
      <c r="D780" s="69"/>
      <c r="E780"/>
      <c r="F780" s="69"/>
      <c r="G780" s="69"/>
      <c r="H780" s="69"/>
      <c r="I780" s="69"/>
      <c r="J780" s="69"/>
      <c r="K780" s="69"/>
      <c r="L780" s="69"/>
      <c r="M780" s="69"/>
      <c r="N780" s="69"/>
      <c r="O780" s="69"/>
      <c r="P780" s="69"/>
      <c r="Q780" s="69"/>
      <c r="R780" s="69"/>
      <c r="S780" s="69"/>
      <c r="T780" s="69"/>
      <c r="U780" s="70"/>
      <c r="V780" s="70"/>
      <c r="W780" s="71"/>
      <c r="X780"/>
    </row>
    <row r="781" spans="1:24">
      <c r="A781" s="71"/>
      <c r="B781" s="71"/>
      <c r="C781" s="71"/>
      <c r="D781" s="69"/>
      <c r="E781"/>
      <c r="F781" s="69"/>
      <c r="G781" s="69"/>
      <c r="H781" s="69"/>
      <c r="I781" s="69"/>
      <c r="J781" s="69"/>
      <c r="K781" s="69"/>
      <c r="L781" s="69"/>
      <c r="M781" s="69"/>
      <c r="N781" s="69"/>
      <c r="O781" s="69"/>
      <c r="P781" s="69"/>
      <c r="Q781" s="69"/>
      <c r="R781" s="69"/>
      <c r="S781" s="69"/>
      <c r="T781" s="69"/>
      <c r="U781" s="70"/>
      <c r="V781" s="70"/>
      <c r="W781" s="71"/>
      <c r="X781"/>
    </row>
    <row r="782" spans="1:24">
      <c r="A782" s="71"/>
      <c r="B782" s="71"/>
      <c r="C782" s="71"/>
      <c r="D782" s="69"/>
      <c r="E782"/>
      <c r="F782" s="69"/>
      <c r="G782" s="69"/>
      <c r="H782" s="69"/>
      <c r="I782" s="69"/>
      <c r="J782" s="69"/>
      <c r="K782" s="69"/>
      <c r="L782" s="69"/>
      <c r="M782" s="69"/>
      <c r="N782" s="69"/>
      <c r="O782" s="69"/>
      <c r="P782" s="69"/>
      <c r="Q782" s="69"/>
      <c r="R782" s="69"/>
      <c r="S782" s="69"/>
      <c r="T782" s="69"/>
      <c r="U782" s="70"/>
      <c r="V782" s="70"/>
      <c r="W782" s="71"/>
      <c r="X782"/>
    </row>
    <row r="783" spans="1:24">
      <c r="A783" s="71"/>
      <c r="B783" s="71"/>
      <c r="C783" s="71"/>
      <c r="D783" s="69"/>
      <c r="E783"/>
      <c r="F783" s="69"/>
      <c r="G783" s="69"/>
      <c r="H783" s="69"/>
      <c r="I783" s="69"/>
      <c r="J783" s="69"/>
      <c r="K783" s="69"/>
      <c r="L783" s="69"/>
      <c r="M783" s="69"/>
      <c r="N783" s="69"/>
      <c r="O783" s="69"/>
      <c r="P783" s="69"/>
      <c r="Q783" s="69"/>
      <c r="R783" s="69"/>
      <c r="S783" s="69"/>
      <c r="T783" s="69"/>
      <c r="U783" s="70"/>
      <c r="V783" s="70"/>
      <c r="W783" s="71"/>
      <c r="X783"/>
    </row>
    <row r="784" spans="1:24">
      <c r="A784" s="71"/>
      <c r="B784" s="71"/>
      <c r="C784" s="71"/>
      <c r="D784" s="69"/>
      <c r="E784"/>
      <c r="F784" s="69"/>
      <c r="G784" s="69"/>
      <c r="H784" s="69"/>
      <c r="I784" s="69"/>
      <c r="J784" s="69"/>
      <c r="K784" s="69"/>
      <c r="L784" s="69"/>
      <c r="M784" s="69"/>
      <c r="N784" s="69"/>
      <c r="O784" s="69"/>
      <c r="P784" s="69"/>
      <c r="Q784" s="69"/>
      <c r="R784" s="69"/>
      <c r="S784" s="69"/>
      <c r="T784" s="69"/>
      <c r="U784" s="70"/>
      <c r="V784" s="70"/>
      <c r="W784" s="71"/>
      <c r="X784"/>
    </row>
    <row r="785" spans="1:24">
      <c r="A785" s="71"/>
      <c r="B785" s="71"/>
      <c r="C785" s="71"/>
      <c r="D785" s="69"/>
      <c r="E785"/>
      <c r="F785" s="69"/>
      <c r="G785" s="69"/>
      <c r="H785" s="69"/>
      <c r="I785" s="69"/>
      <c r="J785" s="69"/>
      <c r="K785" s="69"/>
      <c r="L785" s="69"/>
      <c r="M785" s="69"/>
      <c r="N785" s="69"/>
      <c r="O785" s="69"/>
      <c r="P785" s="69"/>
      <c r="Q785" s="69"/>
      <c r="R785" s="69"/>
      <c r="S785" s="69"/>
      <c r="T785" s="69"/>
      <c r="U785" s="70"/>
      <c r="V785" s="70"/>
      <c r="W785" s="71"/>
      <c r="X785"/>
    </row>
    <row r="786" spans="1:24">
      <c r="A786" s="71"/>
      <c r="B786" s="71"/>
      <c r="C786" s="71"/>
      <c r="D786" s="69"/>
      <c r="E786"/>
      <c r="F786" s="69"/>
      <c r="G786" s="69"/>
      <c r="H786" s="69"/>
      <c r="I786" s="69"/>
      <c r="J786" s="69"/>
      <c r="K786" s="69"/>
      <c r="L786" s="69"/>
      <c r="M786" s="69"/>
      <c r="N786" s="69"/>
      <c r="O786" s="69"/>
      <c r="P786" s="69"/>
      <c r="Q786" s="69"/>
      <c r="R786" s="69"/>
      <c r="S786" s="69"/>
      <c r="T786" s="69"/>
      <c r="U786" s="70"/>
      <c r="V786" s="70"/>
      <c r="W786" s="71"/>
      <c r="X786"/>
    </row>
    <row r="787" spans="1:24">
      <c r="A787" s="71"/>
      <c r="B787" s="71"/>
      <c r="C787" s="71"/>
      <c r="D787" s="69"/>
      <c r="E787"/>
      <c r="F787" s="69"/>
      <c r="G787" s="69"/>
      <c r="H787" s="69"/>
      <c r="I787" s="69"/>
      <c r="J787" s="69"/>
      <c r="K787" s="69"/>
      <c r="L787" s="69"/>
      <c r="M787" s="69"/>
      <c r="N787" s="69"/>
      <c r="O787" s="69"/>
      <c r="P787" s="69"/>
      <c r="Q787" s="69"/>
      <c r="R787" s="69"/>
      <c r="S787" s="69"/>
      <c r="T787" s="69"/>
      <c r="U787" s="70"/>
      <c r="V787" s="70"/>
      <c r="W787" s="71"/>
      <c r="X787"/>
    </row>
    <row r="788" spans="1:24">
      <c r="A788" s="71"/>
      <c r="B788" s="71"/>
      <c r="C788" s="71"/>
      <c r="D788" s="69"/>
      <c r="E788"/>
      <c r="F788" s="69"/>
      <c r="G788" s="69"/>
      <c r="H788" s="69"/>
      <c r="I788" s="69"/>
      <c r="J788" s="69"/>
      <c r="K788" s="69"/>
      <c r="L788" s="69"/>
      <c r="M788" s="69"/>
      <c r="N788" s="69"/>
      <c r="O788" s="69"/>
      <c r="P788" s="69"/>
      <c r="Q788" s="69"/>
      <c r="R788" s="69"/>
      <c r="S788" s="69"/>
      <c r="T788" s="69"/>
      <c r="U788" s="70"/>
      <c r="V788" s="70"/>
      <c r="W788" s="71"/>
      <c r="X788"/>
    </row>
    <row r="789" spans="1:24">
      <c r="A789" s="71"/>
      <c r="B789" s="71"/>
      <c r="C789" s="71"/>
      <c r="D789" s="69"/>
      <c r="E789"/>
      <c r="F789" s="69"/>
      <c r="G789" s="69"/>
      <c r="H789" s="69"/>
      <c r="I789" s="69"/>
      <c r="J789" s="69"/>
      <c r="K789" s="69"/>
      <c r="L789" s="69"/>
      <c r="M789" s="69"/>
      <c r="N789" s="69"/>
      <c r="O789" s="69"/>
      <c r="P789" s="69"/>
      <c r="Q789" s="69"/>
      <c r="R789" s="69"/>
      <c r="S789" s="69"/>
      <c r="T789" s="69"/>
      <c r="U789" s="70"/>
      <c r="V789" s="70"/>
      <c r="W789" s="71"/>
      <c r="X789"/>
    </row>
    <row r="790" spans="1:24">
      <c r="A790" s="71"/>
      <c r="B790" s="71"/>
      <c r="C790" s="71"/>
      <c r="D790" s="69"/>
      <c r="E790"/>
      <c r="F790" s="69"/>
      <c r="G790" s="69"/>
      <c r="H790" s="69"/>
      <c r="I790" s="69"/>
      <c r="J790" s="69"/>
      <c r="K790" s="69"/>
      <c r="L790" s="69"/>
      <c r="M790" s="69"/>
      <c r="N790" s="69"/>
      <c r="O790" s="69"/>
      <c r="P790" s="69"/>
      <c r="Q790" s="69"/>
      <c r="R790" s="69"/>
      <c r="S790" s="69"/>
      <c r="T790" s="69"/>
      <c r="U790" s="70"/>
      <c r="V790" s="70"/>
      <c r="W790" s="71"/>
      <c r="X790"/>
    </row>
    <row r="791" spans="1:24">
      <c r="A791" s="71"/>
      <c r="B791" s="71"/>
      <c r="C791" s="71"/>
      <c r="D791" s="69"/>
      <c r="E791"/>
      <c r="F791" s="69"/>
      <c r="G791" s="69"/>
      <c r="H791" s="69"/>
      <c r="I791" s="69"/>
      <c r="J791" s="69"/>
      <c r="K791" s="69"/>
      <c r="L791" s="69"/>
      <c r="M791" s="69"/>
      <c r="N791" s="69"/>
      <c r="O791" s="69"/>
      <c r="P791" s="69"/>
      <c r="Q791" s="69"/>
      <c r="R791" s="69"/>
      <c r="S791" s="69"/>
      <c r="T791" s="69"/>
      <c r="U791" s="70"/>
      <c r="V791" s="70"/>
      <c r="W791" s="71"/>
      <c r="X791"/>
    </row>
    <row r="792" spans="1:24">
      <c r="A792" s="71"/>
      <c r="B792" s="71"/>
      <c r="C792" s="71"/>
      <c r="D792" s="69"/>
      <c r="E792"/>
      <c r="F792" s="69"/>
      <c r="G792" s="69"/>
      <c r="H792" s="69"/>
      <c r="I792" s="69"/>
      <c r="J792" s="69"/>
      <c r="K792" s="69"/>
      <c r="L792" s="69"/>
      <c r="M792" s="69"/>
      <c r="N792" s="69"/>
      <c r="O792" s="69"/>
      <c r="P792" s="69"/>
      <c r="Q792" s="69"/>
      <c r="R792" s="69"/>
      <c r="S792" s="69"/>
      <c r="T792" s="69"/>
      <c r="U792" s="70"/>
      <c r="V792" s="70"/>
      <c r="W792" s="71"/>
      <c r="X792"/>
    </row>
    <row r="793" spans="1:24">
      <c r="A793" s="71"/>
      <c r="B793" s="71"/>
      <c r="C793" s="71"/>
      <c r="D793" s="69"/>
      <c r="E793"/>
      <c r="F793" s="69"/>
      <c r="G793" s="69"/>
      <c r="H793" s="69"/>
      <c r="I793" s="69"/>
      <c r="J793" s="69"/>
      <c r="K793" s="69"/>
      <c r="L793" s="69"/>
      <c r="M793" s="69"/>
      <c r="N793" s="69"/>
      <c r="O793" s="69"/>
      <c r="P793" s="69"/>
      <c r="Q793" s="69"/>
      <c r="R793" s="69"/>
      <c r="S793" s="69"/>
      <c r="T793" s="69"/>
      <c r="U793" s="70"/>
      <c r="V793" s="70"/>
      <c r="W793" s="71"/>
      <c r="X793"/>
    </row>
    <row r="794" spans="1:24">
      <c r="A794" s="71"/>
      <c r="B794" s="71"/>
      <c r="C794" s="71"/>
      <c r="D794" s="69"/>
      <c r="E794"/>
      <c r="F794" s="69"/>
      <c r="G794" s="69"/>
      <c r="H794" s="69"/>
      <c r="I794" s="69"/>
      <c r="J794" s="69"/>
      <c r="K794" s="69"/>
      <c r="L794" s="69"/>
      <c r="M794" s="69"/>
      <c r="N794" s="69"/>
      <c r="O794" s="69"/>
      <c r="P794" s="69"/>
      <c r="Q794" s="69"/>
      <c r="R794" s="69"/>
      <c r="S794" s="69"/>
      <c r="T794" s="69"/>
      <c r="U794" s="70"/>
      <c r="V794" s="70"/>
      <c r="W794" s="71"/>
      <c r="X794"/>
    </row>
    <row r="795" spans="1:24">
      <c r="A795" s="71"/>
      <c r="B795" s="71"/>
      <c r="C795" s="71"/>
      <c r="D795" s="69"/>
      <c r="E795"/>
      <c r="F795" s="69"/>
      <c r="G795" s="69"/>
      <c r="H795" s="69"/>
      <c r="I795" s="69"/>
      <c r="J795" s="69"/>
      <c r="K795" s="69"/>
      <c r="L795" s="69"/>
      <c r="M795" s="69"/>
      <c r="N795" s="69"/>
      <c r="O795" s="69"/>
      <c r="P795" s="69"/>
      <c r="Q795" s="69"/>
      <c r="R795" s="69"/>
      <c r="S795" s="69"/>
      <c r="T795" s="69"/>
      <c r="U795" s="70"/>
      <c r="V795" s="70"/>
      <c r="W795" s="71"/>
      <c r="X795"/>
    </row>
    <row r="796" spans="1:24">
      <c r="A796" s="71"/>
      <c r="B796" s="71"/>
      <c r="C796" s="71"/>
      <c r="D796" s="69"/>
      <c r="E796"/>
      <c r="F796" s="69"/>
      <c r="G796" s="69"/>
      <c r="H796" s="69"/>
      <c r="I796" s="69"/>
      <c r="J796" s="69"/>
      <c r="K796" s="69"/>
      <c r="L796" s="69"/>
      <c r="M796" s="69"/>
      <c r="N796" s="69"/>
      <c r="O796" s="69"/>
      <c r="P796" s="69"/>
      <c r="Q796" s="69"/>
      <c r="R796" s="69"/>
      <c r="S796" s="69"/>
      <c r="T796" s="69"/>
      <c r="U796" s="70"/>
      <c r="V796" s="70"/>
      <c r="W796" s="71"/>
      <c r="X796"/>
    </row>
    <row r="797" spans="1:24">
      <c r="A797" s="71"/>
      <c r="B797" s="71"/>
      <c r="C797" s="71"/>
      <c r="D797" s="69"/>
      <c r="E797"/>
      <c r="F797" s="69"/>
      <c r="G797" s="69"/>
      <c r="H797" s="69"/>
      <c r="I797" s="69"/>
      <c r="J797" s="69"/>
      <c r="K797" s="69"/>
      <c r="L797" s="69"/>
      <c r="M797" s="69"/>
      <c r="N797" s="69"/>
      <c r="O797" s="69"/>
      <c r="P797" s="69"/>
      <c r="Q797" s="69"/>
      <c r="R797" s="69"/>
      <c r="S797" s="69"/>
      <c r="T797" s="69"/>
      <c r="U797" s="70"/>
      <c r="V797" s="70"/>
      <c r="W797" s="71"/>
      <c r="X797"/>
    </row>
    <row r="798" spans="1:24">
      <c r="A798" s="71"/>
      <c r="B798" s="71"/>
      <c r="C798" s="71"/>
      <c r="D798" s="69"/>
      <c r="E798"/>
      <c r="F798" s="69"/>
      <c r="G798" s="69"/>
      <c r="H798" s="69"/>
      <c r="I798" s="69"/>
      <c r="J798" s="69"/>
      <c r="K798" s="69"/>
      <c r="L798" s="69"/>
      <c r="M798" s="69"/>
      <c r="N798" s="69"/>
      <c r="O798" s="69"/>
      <c r="P798" s="69"/>
      <c r="Q798" s="69"/>
      <c r="R798" s="69"/>
      <c r="S798" s="69"/>
      <c r="T798" s="69"/>
      <c r="U798" s="70"/>
      <c r="V798" s="70"/>
      <c r="W798" s="71"/>
    </row>
  </sheetData>
  <conditionalFormatting sqref="E2:E3">
    <cfRule type="containsText" dxfId="69" priority="74" stopIfTrue="1" operator="containsText" text="Checked:">
      <formula>NOT(ISERROR(SEARCH("Checked:",E2)))</formula>
    </cfRule>
    <cfRule type="cellIs" dxfId="68" priority="75" stopIfTrue="1" operator="equal">
      <formula>"No checklist items checked"</formula>
    </cfRule>
    <cfRule type="cellIs" dxfId="67" priority="76" stopIfTrue="1" operator="equal">
      <formula>"Sent"</formula>
    </cfRule>
    <cfRule type="cellIs" dxfId="66" priority="77" stopIfTrue="1" operator="equal">
      <formula>"Scheduled"</formula>
    </cfRule>
    <cfRule type="cellIs" dxfId="65" priority="78" stopIfTrue="1" operator="equal">
      <formula>"Ready to Schedule"</formula>
    </cfRule>
  </conditionalFormatting>
  <conditionalFormatting sqref="A2:W3">
    <cfRule type="expression" dxfId="64" priority="79">
      <formula>OR(LOWER(TRIM($W2))="cancelled",LOWER(TRIM($W2))="canceled")</formula>
    </cfRule>
    <cfRule type="expression" dxfId="63" priority="80">
      <formula>OR(LOWER(TRIM($W2))="cancelled",LOWER(TRIM($W2))="canceled")</formula>
    </cfRule>
  </conditionalFormatting>
  <conditionalFormatting sqref="A2:W208">
    <cfRule type="expression" dxfId="62" priority="1">
      <formula>AND($C2&lt;&gt;"",$O2&lt;&gt;TRUE,IFERROR(INT($A2),0)&gt;=TODAY()+1,IFERROR(INT($A2),0)&lt;=TODAY()+IF(WEEKDAY(TODAY(),1)=6,3,1),NOT(OR(LOWER(TRIM($W2))="cancelled",LOWER(TRIM($W2))="canceled")))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ErrorMessage="1" xr:uid="{00000000-0002-0000-0200-000000000000}">
          <x14:formula1>
            <xm:f>Dropdowns!$A$2:$A$8</xm:f>
          </x14:formula1>
          <xm:sqref>D799:D1001</xm:sqref>
        </x14:dataValidation>
        <x14:dataValidation type="list" errorStyle="information" allowBlank="1" showInputMessage="1" errorTitle="Campaign type" error="Custom values are allowed for this row, but they are not saved as dropdown options." promptTitle="Campaign type" prompt="Choose a type. If the type is not listed, choose Others, then type the custom value in this cell. Custom values are not added to the dropdown list." xr:uid="{09082D3C-2A1F-4A9A-B38E-95A487615AFB}">
          <x14:formula1>
            <xm:f>Dropdowns!$A$2:$A$8</xm:f>
          </x14:formula1>
          <xm:sqref>D799:D1001</xm:sqref>
        </x14:dataValidation>
        <x14:dataValidation type="list" errorStyle="information" allowBlank="1" showInputMessage="1" errorTitle="Campaign type" error="Custom values are allowed for this row, but they are not saved as dropdown options." promptTitle="Campaign type" prompt="Choose a type. To use a type that is not listed, choose Others and enter the custom value when prompted. Custom values apply to that row only and are not added to the list." xr:uid="{5F6BC4B6-4FEA-42FE-897D-B93DAFD193AA}">
          <x14:formula1>
            <xm:f>Dropdowns!$A$2:$A$10</xm:f>
          </x14:formula1>
          <xm:sqref>D2:D3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F80CB-63D2-4B30-827A-8099E2CD173C}">
  <sheetPr codeName="Sheet17">
    <tabColor rgb="FF7030A0"/>
  </sheetPr>
  <dimension ref="A1:S802"/>
  <sheetViews>
    <sheetView showGridLines="0" zoomScale="85" zoomScaleNormal="85" workbookViewId="0">
      <selection activeCell="C15" sqref="C15"/>
    </sheetView>
  </sheetViews>
  <sheetFormatPr defaultRowHeight="15"/>
  <cols>
    <col min="1" max="1" width="28.625" style="73" customWidth="1"/>
    <col min="2" max="2" width="20.625" style="73" customWidth="1"/>
    <col min="3" max="3" width="34.625" style="73" customWidth="1"/>
    <col min="4" max="4" width="16.625" style="72" customWidth="1"/>
    <col min="5" max="5" width="42.625" style="72" hidden="1" customWidth="1"/>
    <col min="6" max="6" width="16.625" style="72" customWidth="1"/>
    <col min="7" max="7" width="13.625" style="72" customWidth="1"/>
    <col min="8" max="8" width="12.625" style="72" customWidth="1"/>
    <col min="9" max="9" width="13.625" style="72" customWidth="1"/>
    <col min="10" max="10" width="13.75" style="72" bestFit="1" customWidth="1"/>
    <col min="11" max="11" width="13.75" style="72" customWidth="1"/>
    <col min="12" max="12" width="13.5" style="72" bestFit="1" customWidth="1"/>
    <col min="13" max="13" width="19.25" style="72" bestFit="1" customWidth="1"/>
    <col min="14" max="15" width="14.625" style="72" customWidth="1"/>
    <col min="16" max="16" width="18.25" style="72" hidden="1" customWidth="1"/>
    <col min="17" max="17" width="18.625" style="72" hidden="1" customWidth="1"/>
    <col min="18" max="18" width="50.625" style="73" customWidth="1"/>
    <col min="19" max="19" width="36.625" style="3" customWidth="1"/>
    <col min="20" max="16384" width="9" style="1"/>
  </cols>
  <sheetData>
    <row r="1" spans="1:18" s="2" customFormat="1" ht="30">
      <c r="A1" s="77" t="s">
        <v>20</v>
      </c>
      <c r="B1" s="77" t="s">
        <v>41</v>
      </c>
      <c r="C1" s="77" t="s">
        <v>42</v>
      </c>
      <c r="D1" s="78" t="s">
        <v>43</v>
      </c>
      <c r="E1" s="78" t="s">
        <v>44</v>
      </c>
      <c r="F1" s="78" t="s">
        <v>26</v>
      </c>
      <c r="G1" s="78" t="s">
        <v>64</v>
      </c>
      <c r="H1" s="78" t="s">
        <v>65</v>
      </c>
      <c r="I1" s="78" t="s">
        <v>27</v>
      </c>
      <c r="J1" s="78" t="s">
        <v>28</v>
      </c>
      <c r="K1" s="78" t="s">
        <v>106</v>
      </c>
      <c r="L1" s="78" t="s">
        <v>66</v>
      </c>
      <c r="M1" s="78" t="s">
        <v>53</v>
      </c>
      <c r="N1" s="78" t="s">
        <v>54</v>
      </c>
      <c r="O1" s="78" t="s">
        <v>55</v>
      </c>
      <c r="P1" s="78" t="s">
        <v>56</v>
      </c>
      <c r="Q1" s="78" t="s">
        <v>57</v>
      </c>
      <c r="R1" s="78" t="s">
        <v>58</v>
      </c>
    </row>
    <row r="2" spans="1:18" s="5" customFormat="1">
      <c r="A2" s="75">
        <v>46174</v>
      </c>
      <c r="B2" s="76">
        <v>0.45833333333333331</v>
      </c>
      <c r="C2" s="77" t="s">
        <v>140</v>
      </c>
      <c r="D2" s="78" t="s">
        <v>138</v>
      </c>
      <c r="E2" s="78"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No checklist items checked</v>
      </c>
      <c r="F2" s="62" t="s">
        <v>139</v>
      </c>
      <c r="G2" s="79" t="b">
        <v>0</v>
      </c>
      <c r="H2" s="79" t="b">
        <v>0</v>
      </c>
      <c r="I2" s="79" t="b">
        <v>0</v>
      </c>
      <c r="J2" s="79" t="b">
        <v>0</v>
      </c>
      <c r="K2" s="79" t="b">
        <v>0</v>
      </c>
      <c r="L2" s="64"/>
      <c r="M2" s="80"/>
      <c r="N2" s="65"/>
      <c r="O2" s="65"/>
      <c r="P2" s="81">
        <v>46188.992511574077</v>
      </c>
      <c r="Q2" s="62" t="s">
        <v>113</v>
      </c>
      <c r="R2" s="67" t="s">
        <v>61</v>
      </c>
    </row>
    <row r="3" spans="1:18" s="5" customFormat="1" ht="30">
      <c r="A3" s="75">
        <v>46175</v>
      </c>
      <c r="B3" s="76" t="s">
        <v>142</v>
      </c>
      <c r="C3" s="77" t="s">
        <v>140</v>
      </c>
      <c r="D3" s="78" t="s">
        <v>131</v>
      </c>
      <c r="E3" s="78"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No checklist items checked</v>
      </c>
      <c r="F3" s="62" t="s">
        <v>139</v>
      </c>
      <c r="G3" s="79" t="b">
        <v>0</v>
      </c>
      <c r="H3" s="79" t="b">
        <v>0</v>
      </c>
      <c r="I3" s="79" t="b">
        <v>0</v>
      </c>
      <c r="J3" s="79" t="b">
        <v>0</v>
      </c>
      <c r="K3" s="79" t="b">
        <v>0</v>
      </c>
      <c r="L3" s="82"/>
      <c r="M3" s="83"/>
      <c r="N3" s="65"/>
      <c r="O3" s="65"/>
      <c r="P3" s="81">
        <v>46188.992708333331</v>
      </c>
      <c r="Q3" s="62" t="s">
        <v>113</v>
      </c>
      <c r="R3" s="67"/>
    </row>
    <row r="4" spans="1:18" s="5" customFormat="1">
      <c r="A4" s="84"/>
      <c r="B4" s="73"/>
      <c r="C4" s="73"/>
      <c r="D4" s="72"/>
      <c r="E4" s="72"/>
      <c r="F4" s="72"/>
      <c r="G4" s="72"/>
      <c r="H4" s="72"/>
      <c r="I4" s="72"/>
      <c r="J4" s="72"/>
      <c r="K4" s="72"/>
      <c r="L4" s="72"/>
      <c r="M4" s="72"/>
      <c r="N4" s="72"/>
      <c r="O4" s="72"/>
      <c r="P4" s="72"/>
      <c r="Q4" s="72"/>
      <c r="R4" s="73"/>
    </row>
    <row r="5" spans="1:18" s="5" customFormat="1">
      <c r="A5" s="84"/>
      <c r="B5" s="73"/>
      <c r="C5" s="73"/>
      <c r="D5" s="72"/>
      <c r="E5" s="72"/>
      <c r="F5" s="72"/>
      <c r="G5" s="72"/>
      <c r="H5" s="72"/>
      <c r="I5" s="72"/>
      <c r="J5" s="72"/>
      <c r="K5" s="72"/>
      <c r="L5" s="72"/>
      <c r="M5" s="72"/>
      <c r="N5" s="72"/>
      <c r="O5" s="72"/>
      <c r="P5" s="72"/>
      <c r="Q5" s="72"/>
      <c r="R5" s="73"/>
    </row>
    <row r="6" spans="1:18" s="5" customFormat="1">
      <c r="A6" s="84"/>
      <c r="B6" s="73"/>
      <c r="C6" s="73"/>
      <c r="D6" s="72"/>
      <c r="E6" s="72"/>
      <c r="F6" s="72"/>
      <c r="G6" s="72"/>
      <c r="H6" s="72"/>
      <c r="I6" s="72"/>
      <c r="J6" s="72"/>
      <c r="K6" s="72"/>
      <c r="L6" s="72"/>
      <c r="M6" s="72"/>
      <c r="N6" s="72"/>
      <c r="O6" s="72"/>
      <c r="P6" s="72"/>
      <c r="Q6" s="72"/>
      <c r="R6" s="73"/>
    </row>
    <row r="7" spans="1:18" s="5" customFormat="1">
      <c r="A7" s="84"/>
      <c r="B7" s="73"/>
      <c r="C7" s="73"/>
      <c r="D7" s="72"/>
      <c r="E7" s="72"/>
      <c r="F7" s="72"/>
      <c r="G7" s="72"/>
      <c r="H7" s="72"/>
      <c r="I7" s="72"/>
      <c r="J7" s="72"/>
      <c r="K7" s="72"/>
      <c r="L7" s="72"/>
      <c r="M7" s="72"/>
      <c r="N7" s="72"/>
      <c r="O7" s="72"/>
      <c r="P7" s="72"/>
      <c r="Q7" s="72"/>
      <c r="R7" s="73"/>
    </row>
    <row r="8" spans="1:18" s="5" customFormat="1">
      <c r="A8" s="84"/>
      <c r="B8" s="73"/>
      <c r="C8" s="73"/>
      <c r="D8" s="72"/>
      <c r="E8" s="72"/>
      <c r="F8" s="72"/>
      <c r="G8" s="72"/>
      <c r="H8" s="72"/>
      <c r="I8" s="72"/>
      <c r="J8" s="72"/>
      <c r="K8" s="72"/>
      <c r="L8" s="72"/>
      <c r="M8" s="72"/>
      <c r="N8" s="72"/>
      <c r="O8" s="72"/>
      <c r="P8" s="72"/>
      <c r="Q8" s="72"/>
      <c r="R8" s="73"/>
    </row>
    <row r="9" spans="1:18" s="5" customFormat="1">
      <c r="A9" s="84"/>
      <c r="B9" s="73"/>
      <c r="C9" s="73"/>
      <c r="D9" s="72"/>
      <c r="E9" s="72"/>
      <c r="F9" s="72"/>
      <c r="G9" s="72"/>
      <c r="H9" s="72"/>
      <c r="I9" s="72"/>
      <c r="J9" s="72"/>
      <c r="K9" s="72"/>
      <c r="L9" s="72"/>
      <c r="M9" s="72"/>
      <c r="N9" s="72"/>
      <c r="O9" s="72"/>
      <c r="P9" s="72"/>
      <c r="Q9" s="72"/>
      <c r="R9" s="73"/>
    </row>
    <row r="10" spans="1:18" s="5" customFormat="1">
      <c r="A10" s="84"/>
      <c r="B10" s="73"/>
      <c r="C10" s="73"/>
      <c r="D10" s="72"/>
      <c r="E10" s="72"/>
      <c r="F10" s="72"/>
      <c r="G10" s="72"/>
      <c r="H10" s="72"/>
      <c r="I10" s="72"/>
      <c r="J10" s="72"/>
      <c r="K10" s="72"/>
      <c r="L10" s="72"/>
      <c r="M10" s="72"/>
      <c r="N10" s="72"/>
      <c r="O10" s="72"/>
      <c r="P10" s="72"/>
      <c r="Q10" s="72"/>
      <c r="R10" s="73"/>
    </row>
    <row r="11" spans="1:18" s="5" customFormat="1">
      <c r="A11" s="84"/>
      <c r="B11" s="73"/>
      <c r="C11" s="73"/>
      <c r="D11" s="72"/>
      <c r="E11" s="72"/>
      <c r="F11" s="72"/>
      <c r="G11" s="72"/>
      <c r="H11" s="72"/>
      <c r="I11" s="72"/>
      <c r="J11" s="72"/>
      <c r="K11" s="72"/>
      <c r="L11" s="72"/>
      <c r="M11" s="72"/>
      <c r="N11" s="72"/>
      <c r="O11" s="72"/>
      <c r="P11" s="72"/>
      <c r="Q11" s="72"/>
      <c r="R11" s="73"/>
    </row>
    <row r="12" spans="1:18" s="5" customFormat="1">
      <c r="A12" s="84"/>
      <c r="B12" s="73"/>
      <c r="C12" s="73"/>
      <c r="D12" s="72"/>
      <c r="E12" s="72"/>
      <c r="F12" s="72"/>
      <c r="G12" s="72"/>
      <c r="H12" s="72"/>
      <c r="I12" s="72"/>
      <c r="J12" s="72"/>
      <c r="K12" s="72"/>
      <c r="L12" s="72"/>
      <c r="M12" s="72"/>
      <c r="N12" s="72"/>
      <c r="O12" s="72"/>
      <c r="P12" s="72"/>
      <c r="Q12" s="72"/>
      <c r="R12" s="73"/>
    </row>
    <row r="13" spans="1:18" s="5" customFormat="1">
      <c r="A13" s="84"/>
      <c r="B13" s="73"/>
      <c r="C13" s="73"/>
      <c r="D13" s="72"/>
      <c r="E13" s="72"/>
      <c r="F13" s="72"/>
      <c r="G13" s="72"/>
      <c r="H13" s="72"/>
      <c r="I13" s="72"/>
      <c r="J13" s="72"/>
      <c r="K13" s="72"/>
      <c r="L13" s="72"/>
      <c r="M13" s="72"/>
      <c r="N13" s="72"/>
      <c r="O13" s="72"/>
      <c r="P13" s="72"/>
      <c r="Q13" s="72"/>
      <c r="R13" s="73"/>
    </row>
    <row r="14" spans="1:18" s="5" customFormat="1">
      <c r="A14" s="84"/>
      <c r="B14" s="73"/>
      <c r="C14" s="73"/>
      <c r="D14" s="72"/>
      <c r="E14" s="72"/>
      <c r="F14" s="72"/>
      <c r="G14" s="72"/>
      <c r="H14" s="72"/>
      <c r="I14" s="72"/>
      <c r="J14" s="72"/>
      <c r="K14" s="72"/>
      <c r="L14" s="72"/>
      <c r="M14" s="72"/>
      <c r="N14" s="72"/>
      <c r="O14" s="72"/>
      <c r="P14" s="72"/>
      <c r="Q14" s="72"/>
      <c r="R14" s="73"/>
    </row>
    <row r="15" spans="1:18" s="5" customFormat="1">
      <c r="A15" s="84"/>
      <c r="B15" s="73"/>
      <c r="C15" s="73"/>
      <c r="D15" s="72"/>
      <c r="E15" s="72"/>
      <c r="F15" s="72"/>
      <c r="G15" s="72"/>
      <c r="H15" s="72"/>
      <c r="I15" s="72"/>
      <c r="J15" s="72"/>
      <c r="K15" s="72"/>
      <c r="L15" s="72"/>
      <c r="M15" s="72"/>
      <c r="N15" s="72"/>
      <c r="O15" s="72"/>
      <c r="P15" s="72"/>
      <c r="Q15" s="72"/>
      <c r="R15" s="73"/>
    </row>
    <row r="16" spans="1:18" s="5" customFormat="1">
      <c r="A16" s="84"/>
      <c r="B16" s="73"/>
      <c r="C16" s="73"/>
      <c r="D16" s="72"/>
      <c r="E16" s="72"/>
      <c r="F16" s="72"/>
      <c r="G16" s="72"/>
      <c r="H16" s="72"/>
      <c r="I16" s="72"/>
      <c r="J16" s="72"/>
      <c r="K16" s="72"/>
      <c r="L16" s="72"/>
      <c r="M16" s="72"/>
      <c r="N16" s="72"/>
      <c r="O16" s="72"/>
      <c r="P16" s="72"/>
      <c r="Q16" s="72"/>
      <c r="R16" s="73"/>
    </row>
    <row r="17" spans="1:18" s="5" customFormat="1">
      <c r="A17" s="84"/>
      <c r="B17" s="73"/>
      <c r="C17" s="73"/>
      <c r="D17" s="72"/>
      <c r="E17" s="72"/>
      <c r="F17" s="72"/>
      <c r="G17" s="72"/>
      <c r="H17" s="72"/>
      <c r="I17" s="72"/>
      <c r="J17" s="72"/>
      <c r="K17" s="72"/>
      <c r="L17" s="72"/>
      <c r="M17" s="72"/>
      <c r="N17" s="72"/>
      <c r="O17" s="72"/>
      <c r="P17" s="72"/>
      <c r="Q17" s="72"/>
      <c r="R17" s="73"/>
    </row>
    <row r="18" spans="1:18" s="5" customFormat="1">
      <c r="A18" s="84"/>
      <c r="B18" s="73"/>
      <c r="C18" s="73"/>
      <c r="D18" s="72"/>
      <c r="E18" s="72"/>
      <c r="F18" s="72"/>
      <c r="G18" s="72"/>
      <c r="H18" s="72"/>
      <c r="I18" s="72"/>
      <c r="J18" s="72"/>
      <c r="K18" s="72"/>
      <c r="L18" s="72"/>
      <c r="M18" s="72"/>
      <c r="N18" s="72"/>
      <c r="O18" s="72"/>
      <c r="P18" s="72"/>
      <c r="Q18" s="72"/>
      <c r="R18" s="73"/>
    </row>
    <row r="19" spans="1:18" s="5" customFormat="1">
      <c r="A19" s="84"/>
      <c r="B19" s="73"/>
      <c r="C19" s="73"/>
      <c r="D19" s="72"/>
      <c r="E19" s="72"/>
      <c r="F19" s="72"/>
      <c r="G19" s="72"/>
      <c r="H19" s="72"/>
      <c r="I19" s="72"/>
      <c r="J19" s="72"/>
      <c r="K19" s="72"/>
      <c r="L19" s="72"/>
      <c r="M19" s="72"/>
      <c r="N19" s="72"/>
      <c r="O19" s="72"/>
      <c r="P19" s="72"/>
      <c r="Q19" s="72"/>
      <c r="R19" s="73"/>
    </row>
    <row r="20" spans="1:18" s="5" customFormat="1">
      <c r="A20" s="84"/>
      <c r="B20" s="73"/>
      <c r="C20" s="73"/>
      <c r="D20" s="72"/>
      <c r="E20" s="72"/>
      <c r="F20" s="72"/>
      <c r="G20" s="72"/>
      <c r="H20" s="72"/>
      <c r="I20" s="72"/>
      <c r="J20" s="72"/>
      <c r="K20" s="72"/>
      <c r="L20" s="72"/>
      <c r="M20" s="72"/>
      <c r="N20" s="72"/>
      <c r="O20" s="72"/>
      <c r="P20" s="72"/>
      <c r="Q20" s="72"/>
      <c r="R20" s="73"/>
    </row>
    <row r="21" spans="1:18" s="5" customFormat="1">
      <c r="A21" s="84"/>
      <c r="B21" s="73"/>
      <c r="C21" s="73"/>
      <c r="D21" s="72"/>
      <c r="E21" s="72"/>
      <c r="F21" s="72"/>
      <c r="G21" s="72"/>
      <c r="H21" s="72"/>
      <c r="I21" s="72"/>
      <c r="J21" s="72"/>
      <c r="K21" s="72"/>
      <c r="L21" s="72"/>
      <c r="M21" s="72"/>
      <c r="N21" s="72"/>
      <c r="O21" s="72"/>
      <c r="P21" s="72"/>
      <c r="Q21" s="72"/>
      <c r="R21" s="73"/>
    </row>
    <row r="22" spans="1:18" s="5" customFormat="1">
      <c r="A22" s="84"/>
      <c r="B22" s="73"/>
      <c r="C22" s="73"/>
      <c r="D22" s="72"/>
      <c r="E22" s="72"/>
      <c r="F22" s="72"/>
      <c r="G22" s="72"/>
      <c r="H22" s="72"/>
      <c r="I22" s="72"/>
      <c r="J22" s="72"/>
      <c r="K22" s="72"/>
      <c r="L22" s="72"/>
      <c r="M22" s="72"/>
      <c r="N22" s="72"/>
      <c r="O22" s="72"/>
      <c r="P22" s="72"/>
      <c r="Q22" s="72"/>
      <c r="R22" s="73"/>
    </row>
    <row r="23" spans="1:18" s="5" customFormat="1">
      <c r="A23" s="84"/>
      <c r="B23" s="73"/>
      <c r="C23" s="73"/>
      <c r="D23" s="72"/>
      <c r="E23" s="72"/>
      <c r="F23" s="72"/>
      <c r="G23" s="72"/>
      <c r="H23" s="72"/>
      <c r="I23" s="72"/>
      <c r="J23" s="72"/>
      <c r="K23" s="72"/>
      <c r="L23" s="72"/>
      <c r="M23" s="72"/>
      <c r="N23" s="72"/>
      <c r="O23" s="72"/>
      <c r="P23" s="72"/>
      <c r="Q23" s="72"/>
      <c r="R23" s="73"/>
    </row>
    <row r="24" spans="1:18" s="5" customFormat="1">
      <c r="A24" s="84"/>
      <c r="B24" s="73"/>
      <c r="C24" s="73"/>
      <c r="D24" s="72"/>
      <c r="E24" s="72"/>
      <c r="F24" s="72"/>
      <c r="G24" s="72"/>
      <c r="H24" s="72"/>
      <c r="I24" s="72"/>
      <c r="J24" s="72"/>
      <c r="K24" s="72"/>
      <c r="L24" s="72"/>
      <c r="M24" s="72"/>
      <c r="N24" s="72"/>
      <c r="O24" s="72"/>
      <c r="P24" s="72"/>
      <c r="Q24" s="72"/>
      <c r="R24" s="73"/>
    </row>
    <row r="25" spans="1:18" s="5" customFormat="1">
      <c r="A25" s="84"/>
      <c r="B25" s="73"/>
      <c r="C25" s="73"/>
      <c r="D25" s="72"/>
      <c r="E25" s="72"/>
      <c r="F25" s="72"/>
      <c r="G25" s="72"/>
      <c r="H25" s="72"/>
      <c r="I25" s="72"/>
      <c r="J25" s="72"/>
      <c r="K25" s="72"/>
      <c r="L25" s="72"/>
      <c r="M25" s="72"/>
      <c r="N25" s="72"/>
      <c r="O25" s="72"/>
      <c r="P25" s="72"/>
      <c r="Q25" s="72"/>
      <c r="R25" s="73"/>
    </row>
    <row r="26" spans="1:18" s="5" customFormat="1">
      <c r="A26" s="84"/>
      <c r="B26" s="73"/>
      <c r="C26" s="73"/>
      <c r="D26" s="72"/>
      <c r="E26" s="72"/>
      <c r="F26" s="72"/>
      <c r="G26" s="72"/>
      <c r="H26" s="72"/>
      <c r="I26" s="72"/>
      <c r="J26" s="72"/>
      <c r="K26" s="72"/>
      <c r="L26" s="72"/>
      <c r="M26" s="72"/>
      <c r="N26" s="72"/>
      <c r="O26" s="72"/>
      <c r="P26" s="72"/>
      <c r="Q26" s="72"/>
      <c r="R26" s="73"/>
    </row>
    <row r="27" spans="1:18" s="5" customFormat="1">
      <c r="A27" s="84"/>
      <c r="B27" s="73"/>
      <c r="C27" s="73"/>
      <c r="D27" s="72"/>
      <c r="E27" s="72"/>
      <c r="F27" s="72"/>
      <c r="G27" s="72"/>
      <c r="H27" s="72"/>
      <c r="I27" s="72"/>
      <c r="J27" s="72"/>
      <c r="K27" s="72"/>
      <c r="L27" s="72"/>
      <c r="M27" s="72"/>
      <c r="N27" s="72"/>
      <c r="O27" s="72"/>
      <c r="P27" s="72"/>
      <c r="Q27" s="72"/>
      <c r="R27" s="73"/>
    </row>
    <row r="28" spans="1:18" s="5" customFormat="1">
      <c r="A28" s="84"/>
      <c r="B28" s="73"/>
      <c r="C28" s="73"/>
      <c r="D28" s="72"/>
      <c r="E28" s="72"/>
      <c r="F28" s="72"/>
      <c r="G28" s="72"/>
      <c r="H28" s="72"/>
      <c r="I28" s="72"/>
      <c r="J28" s="72"/>
      <c r="K28" s="72"/>
      <c r="L28" s="72"/>
      <c r="M28" s="72"/>
      <c r="N28" s="72"/>
      <c r="O28" s="72"/>
      <c r="P28" s="72"/>
      <c r="Q28" s="72"/>
      <c r="R28" s="73"/>
    </row>
    <row r="29" spans="1:18" s="5" customFormat="1">
      <c r="A29" s="84"/>
      <c r="B29" s="73"/>
      <c r="C29" s="73"/>
      <c r="D29" s="72"/>
      <c r="E29" s="72"/>
      <c r="F29" s="72"/>
      <c r="G29" s="72"/>
      <c r="H29" s="72"/>
      <c r="I29" s="72"/>
      <c r="J29" s="72"/>
      <c r="K29" s="72"/>
      <c r="L29" s="72"/>
      <c r="M29" s="72"/>
      <c r="N29" s="72"/>
      <c r="O29" s="72"/>
      <c r="P29" s="72"/>
      <c r="Q29" s="72"/>
      <c r="R29" s="73"/>
    </row>
    <row r="30" spans="1:18" s="5" customFormat="1">
      <c r="A30" s="84"/>
      <c r="B30" s="73"/>
      <c r="C30" s="73"/>
      <c r="D30" s="72"/>
      <c r="E30" s="72"/>
      <c r="F30" s="72"/>
      <c r="G30" s="72"/>
      <c r="H30" s="72"/>
      <c r="I30" s="72"/>
      <c r="J30" s="72"/>
      <c r="K30" s="72"/>
      <c r="L30" s="72"/>
      <c r="M30" s="72"/>
      <c r="N30" s="72"/>
      <c r="O30" s="72"/>
      <c r="P30" s="72"/>
      <c r="Q30" s="72"/>
      <c r="R30" s="73"/>
    </row>
    <row r="31" spans="1:18" s="5" customFormat="1">
      <c r="A31" s="84"/>
      <c r="B31" s="73"/>
      <c r="C31" s="73"/>
      <c r="D31" s="72"/>
      <c r="E31" s="72"/>
      <c r="F31" s="72"/>
      <c r="G31" s="72"/>
      <c r="H31" s="72"/>
      <c r="I31" s="72"/>
      <c r="J31" s="72"/>
      <c r="K31" s="72"/>
      <c r="L31" s="72"/>
      <c r="M31" s="72"/>
      <c r="N31" s="72"/>
      <c r="O31" s="72"/>
      <c r="P31" s="72"/>
      <c r="Q31" s="72"/>
      <c r="R31" s="73"/>
    </row>
    <row r="32" spans="1:18" s="5" customFormat="1">
      <c r="A32" s="84"/>
      <c r="B32" s="73"/>
      <c r="C32" s="73"/>
      <c r="D32" s="72"/>
      <c r="E32" s="72"/>
      <c r="F32" s="72"/>
      <c r="G32" s="72"/>
      <c r="H32" s="72"/>
      <c r="I32" s="72"/>
      <c r="J32" s="72"/>
      <c r="K32" s="72"/>
      <c r="L32" s="72"/>
      <c r="M32" s="72"/>
      <c r="N32" s="72"/>
      <c r="O32" s="72"/>
      <c r="P32" s="72"/>
      <c r="Q32" s="72"/>
      <c r="R32" s="73"/>
    </row>
    <row r="33" spans="1:18" s="5" customFormat="1">
      <c r="A33" s="84"/>
      <c r="B33" s="73"/>
      <c r="C33" s="73"/>
      <c r="D33" s="72"/>
      <c r="E33" s="72"/>
      <c r="F33" s="72"/>
      <c r="G33" s="72"/>
      <c r="H33" s="72"/>
      <c r="I33" s="72"/>
      <c r="J33" s="72"/>
      <c r="K33" s="72"/>
      <c r="L33" s="72"/>
      <c r="M33" s="72"/>
      <c r="N33" s="72"/>
      <c r="O33" s="72"/>
      <c r="P33" s="72"/>
      <c r="Q33" s="72"/>
      <c r="R33" s="73"/>
    </row>
    <row r="34" spans="1:18" s="5" customFormat="1">
      <c r="A34" s="84"/>
      <c r="B34" s="73"/>
      <c r="C34" s="73"/>
      <c r="D34" s="72"/>
      <c r="E34" s="72"/>
      <c r="F34" s="72"/>
      <c r="G34" s="72"/>
      <c r="H34" s="72"/>
      <c r="I34" s="72"/>
      <c r="J34" s="72"/>
      <c r="K34" s="72"/>
      <c r="L34" s="72"/>
      <c r="M34" s="72"/>
      <c r="N34" s="72"/>
      <c r="O34" s="72"/>
      <c r="P34" s="72"/>
      <c r="Q34" s="72"/>
      <c r="R34" s="73"/>
    </row>
    <row r="35" spans="1:18" s="5" customFormat="1">
      <c r="A35" s="84"/>
      <c r="B35" s="73"/>
      <c r="C35" s="73"/>
      <c r="D35" s="72"/>
      <c r="E35" s="72"/>
      <c r="F35" s="72"/>
      <c r="G35" s="72"/>
      <c r="H35" s="72"/>
      <c r="I35" s="72"/>
      <c r="J35" s="72"/>
      <c r="K35" s="72"/>
      <c r="L35" s="72"/>
      <c r="M35" s="72"/>
      <c r="N35" s="72"/>
      <c r="O35" s="72"/>
      <c r="P35" s="72"/>
      <c r="Q35" s="72"/>
      <c r="R35" s="73"/>
    </row>
    <row r="36" spans="1:18" s="5" customFormat="1">
      <c r="A36" s="84"/>
      <c r="B36" s="73"/>
      <c r="C36" s="73"/>
      <c r="D36" s="72"/>
      <c r="E36" s="72"/>
      <c r="F36" s="72"/>
      <c r="G36" s="72"/>
      <c r="H36" s="72"/>
      <c r="I36" s="72"/>
      <c r="J36" s="72"/>
      <c r="K36" s="72"/>
      <c r="L36" s="72"/>
      <c r="M36" s="72"/>
      <c r="N36" s="72"/>
      <c r="O36" s="72"/>
      <c r="P36" s="72"/>
      <c r="Q36" s="72"/>
      <c r="R36" s="73"/>
    </row>
    <row r="37" spans="1:18" s="5" customFormat="1">
      <c r="A37" s="84"/>
      <c r="B37" s="73"/>
      <c r="C37" s="73"/>
      <c r="D37" s="72"/>
      <c r="E37" s="72"/>
      <c r="F37" s="72"/>
      <c r="G37" s="72"/>
      <c r="H37" s="72"/>
      <c r="I37" s="72"/>
      <c r="J37" s="72"/>
      <c r="K37" s="72"/>
      <c r="L37" s="72"/>
      <c r="M37" s="72"/>
      <c r="N37" s="72"/>
      <c r="O37" s="72"/>
      <c r="P37" s="72"/>
      <c r="Q37" s="72"/>
      <c r="R37" s="73"/>
    </row>
    <row r="38" spans="1:18" s="5" customFormat="1">
      <c r="A38" s="84"/>
      <c r="B38" s="73"/>
      <c r="C38" s="73"/>
      <c r="D38" s="72"/>
      <c r="E38" s="72"/>
      <c r="F38" s="72"/>
      <c r="G38" s="72"/>
      <c r="H38" s="72"/>
      <c r="I38" s="72"/>
      <c r="J38" s="72"/>
      <c r="K38" s="72"/>
      <c r="L38" s="72"/>
      <c r="M38" s="72"/>
      <c r="N38" s="72"/>
      <c r="O38" s="72"/>
      <c r="P38" s="72"/>
      <c r="Q38" s="72"/>
      <c r="R38" s="73"/>
    </row>
    <row r="39" spans="1:18" s="5" customFormat="1">
      <c r="A39" s="84"/>
      <c r="B39" s="73"/>
      <c r="C39" s="73"/>
      <c r="D39" s="72"/>
      <c r="E39" s="72"/>
      <c r="F39" s="72"/>
      <c r="G39" s="72"/>
      <c r="H39" s="72"/>
      <c r="I39" s="72"/>
      <c r="J39" s="72"/>
      <c r="K39" s="72"/>
      <c r="L39" s="72"/>
      <c r="M39" s="72"/>
      <c r="N39" s="72"/>
      <c r="O39" s="72"/>
      <c r="P39" s="72"/>
      <c r="Q39" s="72"/>
      <c r="R39" s="73"/>
    </row>
    <row r="40" spans="1:18" s="5" customFormat="1">
      <c r="A40" s="84"/>
      <c r="B40" s="73"/>
      <c r="C40" s="73"/>
      <c r="D40" s="72"/>
      <c r="E40" s="72"/>
      <c r="F40" s="72"/>
      <c r="G40" s="72"/>
      <c r="H40" s="72"/>
      <c r="I40" s="72"/>
      <c r="J40" s="72"/>
      <c r="K40" s="72"/>
      <c r="L40" s="72"/>
      <c r="M40" s="72"/>
      <c r="N40" s="72"/>
      <c r="O40" s="72"/>
      <c r="P40" s="72"/>
      <c r="Q40" s="72"/>
      <c r="R40" s="73"/>
    </row>
    <row r="41" spans="1:18" s="5" customFormat="1">
      <c r="A41" s="84"/>
      <c r="B41" s="73"/>
      <c r="C41" s="73"/>
      <c r="D41" s="72"/>
      <c r="E41" s="72"/>
      <c r="F41" s="72"/>
      <c r="G41" s="72"/>
      <c r="H41" s="72"/>
      <c r="I41" s="72"/>
      <c r="J41" s="72"/>
      <c r="K41" s="72"/>
      <c r="L41" s="72"/>
      <c r="M41" s="72"/>
      <c r="N41" s="72"/>
      <c r="O41" s="72"/>
      <c r="P41" s="72"/>
      <c r="Q41" s="72"/>
      <c r="R41" s="73"/>
    </row>
    <row r="42" spans="1:18" s="5" customFormat="1">
      <c r="A42" s="84"/>
      <c r="B42" s="73"/>
      <c r="C42" s="73"/>
      <c r="D42" s="72"/>
      <c r="E42" s="72"/>
      <c r="F42" s="72"/>
      <c r="G42" s="72"/>
      <c r="H42" s="72"/>
      <c r="I42" s="72"/>
      <c r="J42" s="72"/>
      <c r="K42" s="72"/>
      <c r="L42" s="72"/>
      <c r="M42" s="72"/>
      <c r="N42" s="72"/>
      <c r="O42" s="72"/>
      <c r="P42" s="72"/>
      <c r="Q42" s="72"/>
      <c r="R42" s="73"/>
    </row>
    <row r="43" spans="1:18" s="5" customFormat="1">
      <c r="A43" s="84"/>
      <c r="B43" s="73"/>
      <c r="C43" s="73"/>
      <c r="D43" s="72"/>
      <c r="E43" s="72"/>
      <c r="F43" s="72"/>
      <c r="G43" s="72"/>
      <c r="H43" s="72"/>
      <c r="I43" s="72"/>
      <c r="J43" s="72"/>
      <c r="K43" s="72"/>
      <c r="L43" s="72"/>
      <c r="M43" s="72"/>
      <c r="N43" s="72"/>
      <c r="O43" s="72"/>
      <c r="P43" s="72"/>
      <c r="Q43" s="72"/>
      <c r="R43" s="73"/>
    </row>
    <row r="44" spans="1:18" s="5" customFormat="1">
      <c r="A44" s="84"/>
      <c r="B44" s="73"/>
      <c r="C44" s="73"/>
      <c r="D44" s="72"/>
      <c r="E44" s="72"/>
      <c r="F44" s="72"/>
      <c r="G44" s="72"/>
      <c r="H44" s="72"/>
      <c r="I44" s="72"/>
      <c r="J44" s="72"/>
      <c r="K44" s="72"/>
      <c r="L44" s="72"/>
      <c r="M44" s="72"/>
      <c r="N44" s="72"/>
      <c r="O44" s="72"/>
      <c r="P44" s="72"/>
      <c r="Q44" s="72"/>
      <c r="R44" s="73"/>
    </row>
    <row r="45" spans="1:18" s="5" customFormat="1">
      <c r="A45" s="84"/>
      <c r="B45" s="73"/>
      <c r="C45" s="73"/>
      <c r="D45" s="72"/>
      <c r="E45" s="72"/>
      <c r="F45" s="72"/>
      <c r="G45" s="72"/>
      <c r="H45" s="72"/>
      <c r="I45" s="72"/>
      <c r="J45" s="72"/>
      <c r="K45" s="72"/>
      <c r="L45" s="72"/>
      <c r="M45" s="72"/>
      <c r="N45" s="72"/>
      <c r="O45" s="72"/>
      <c r="P45" s="72"/>
      <c r="Q45" s="72"/>
      <c r="R45" s="73"/>
    </row>
    <row r="46" spans="1:18" s="5" customFormat="1">
      <c r="A46" s="84"/>
      <c r="B46" s="73"/>
      <c r="C46" s="73"/>
      <c r="D46" s="72"/>
      <c r="E46" s="72"/>
      <c r="F46" s="72"/>
      <c r="G46" s="72"/>
      <c r="H46" s="72"/>
      <c r="I46" s="72"/>
      <c r="J46" s="72"/>
      <c r="K46" s="72"/>
      <c r="L46" s="72"/>
      <c r="M46" s="72"/>
      <c r="N46" s="72"/>
      <c r="O46" s="72"/>
      <c r="P46" s="72"/>
      <c r="Q46" s="72"/>
      <c r="R46" s="73"/>
    </row>
    <row r="47" spans="1:18" s="5" customFormat="1">
      <c r="A47" s="84"/>
      <c r="B47" s="73"/>
      <c r="C47" s="73"/>
      <c r="D47" s="72"/>
      <c r="E47" s="72"/>
      <c r="F47" s="72"/>
      <c r="G47" s="72"/>
      <c r="H47" s="72"/>
      <c r="I47" s="72"/>
      <c r="J47" s="72"/>
      <c r="K47" s="72"/>
      <c r="L47" s="72"/>
      <c r="M47" s="72"/>
      <c r="N47" s="72"/>
      <c r="O47" s="72"/>
      <c r="P47" s="72"/>
      <c r="Q47" s="72"/>
      <c r="R47" s="73"/>
    </row>
    <row r="48" spans="1:18" s="5" customFormat="1">
      <c r="A48" s="84"/>
      <c r="B48" s="73"/>
      <c r="C48" s="73"/>
      <c r="D48" s="72"/>
      <c r="E48" s="72"/>
      <c r="F48" s="72"/>
      <c r="G48" s="72"/>
      <c r="H48" s="72"/>
      <c r="I48" s="72"/>
      <c r="J48" s="72"/>
      <c r="K48" s="72"/>
      <c r="L48" s="72"/>
      <c r="M48" s="72"/>
      <c r="N48" s="72"/>
      <c r="O48" s="72"/>
      <c r="P48" s="72"/>
      <c r="Q48" s="72"/>
      <c r="R48" s="73"/>
    </row>
    <row r="49" spans="1:18" s="5" customFormat="1">
      <c r="A49" s="84"/>
      <c r="B49" s="73"/>
      <c r="C49" s="73"/>
      <c r="D49" s="72"/>
      <c r="E49" s="72"/>
      <c r="F49" s="72"/>
      <c r="G49" s="72"/>
      <c r="H49" s="72"/>
      <c r="I49" s="72"/>
      <c r="J49" s="72"/>
      <c r="K49" s="72"/>
      <c r="L49" s="72"/>
      <c r="M49" s="72"/>
      <c r="N49" s="72"/>
      <c r="O49" s="72"/>
      <c r="P49" s="72"/>
      <c r="Q49" s="72"/>
      <c r="R49" s="73"/>
    </row>
    <row r="50" spans="1:18" s="5" customFormat="1">
      <c r="A50" s="84"/>
      <c r="B50" s="73"/>
      <c r="C50" s="73"/>
      <c r="D50" s="72"/>
      <c r="E50" s="72"/>
      <c r="F50" s="72"/>
      <c r="G50" s="72"/>
      <c r="H50" s="72"/>
      <c r="I50" s="72"/>
      <c r="J50" s="72"/>
      <c r="K50" s="72"/>
      <c r="L50" s="72"/>
      <c r="M50" s="72"/>
      <c r="N50" s="72"/>
      <c r="O50" s="72"/>
      <c r="P50" s="72"/>
      <c r="Q50" s="72"/>
      <c r="R50" s="73"/>
    </row>
    <row r="51" spans="1:18" s="5" customFormat="1">
      <c r="A51" s="84"/>
      <c r="B51" s="73"/>
      <c r="C51" s="73"/>
      <c r="D51" s="72"/>
      <c r="E51" s="72"/>
      <c r="F51" s="72"/>
      <c r="G51" s="72"/>
      <c r="H51" s="72"/>
      <c r="I51" s="72"/>
      <c r="J51" s="72"/>
      <c r="K51" s="72"/>
      <c r="L51" s="72"/>
      <c r="M51" s="72"/>
      <c r="N51" s="72"/>
      <c r="O51" s="72"/>
      <c r="P51" s="72"/>
      <c r="Q51" s="72"/>
      <c r="R51" s="73"/>
    </row>
    <row r="52" spans="1:18" s="5" customFormat="1">
      <c r="A52" s="84"/>
      <c r="B52" s="73"/>
      <c r="C52" s="73"/>
      <c r="D52" s="72"/>
      <c r="E52" s="72"/>
      <c r="F52" s="72"/>
      <c r="G52" s="72"/>
      <c r="H52" s="72"/>
      <c r="I52" s="72"/>
      <c r="J52" s="72"/>
      <c r="K52" s="72"/>
      <c r="L52" s="72"/>
      <c r="M52" s="72"/>
      <c r="N52" s="72"/>
      <c r="O52" s="72"/>
      <c r="P52" s="72"/>
      <c r="Q52" s="72"/>
      <c r="R52" s="73"/>
    </row>
    <row r="53" spans="1:18" s="5" customFormat="1">
      <c r="A53" s="84"/>
      <c r="B53" s="73"/>
      <c r="C53" s="73"/>
      <c r="D53" s="72"/>
      <c r="E53" s="72"/>
      <c r="F53" s="72"/>
      <c r="G53" s="72"/>
      <c r="H53" s="72"/>
      <c r="I53" s="72"/>
      <c r="J53" s="72"/>
      <c r="K53" s="72"/>
      <c r="L53" s="72"/>
      <c r="M53" s="72"/>
      <c r="N53" s="72"/>
      <c r="O53" s="72"/>
      <c r="P53" s="72"/>
      <c r="Q53" s="72"/>
      <c r="R53" s="73"/>
    </row>
    <row r="54" spans="1:18" s="5" customFormat="1">
      <c r="A54" s="84"/>
      <c r="B54" s="73"/>
      <c r="C54" s="73"/>
      <c r="D54" s="72"/>
      <c r="E54" s="72"/>
      <c r="F54" s="72"/>
      <c r="G54" s="72"/>
      <c r="H54" s="72"/>
      <c r="I54" s="72"/>
      <c r="J54" s="72"/>
      <c r="K54" s="72"/>
      <c r="L54" s="72"/>
      <c r="M54" s="72"/>
      <c r="N54" s="72"/>
      <c r="O54" s="72"/>
      <c r="P54" s="72"/>
      <c r="Q54" s="72"/>
      <c r="R54" s="73"/>
    </row>
    <row r="55" spans="1:18" s="5" customFormat="1">
      <c r="A55" s="84"/>
      <c r="B55" s="73"/>
      <c r="C55" s="73"/>
      <c r="D55" s="72"/>
      <c r="E55" s="72"/>
      <c r="F55" s="72"/>
      <c r="G55" s="72"/>
      <c r="H55" s="72"/>
      <c r="I55" s="72"/>
      <c r="J55" s="72"/>
      <c r="K55" s="72"/>
      <c r="L55" s="72"/>
      <c r="M55" s="72"/>
      <c r="N55" s="72"/>
      <c r="O55" s="72"/>
      <c r="P55" s="72"/>
      <c r="Q55" s="72"/>
      <c r="R55" s="73"/>
    </row>
    <row r="56" spans="1:18" s="5" customFormat="1">
      <c r="A56" s="84"/>
      <c r="B56" s="73"/>
      <c r="C56" s="73"/>
      <c r="D56" s="72"/>
      <c r="E56" s="72"/>
      <c r="F56" s="72"/>
      <c r="G56" s="72"/>
      <c r="H56" s="72"/>
      <c r="I56" s="72"/>
      <c r="J56" s="72"/>
      <c r="K56" s="72"/>
      <c r="L56" s="72"/>
      <c r="M56" s="72"/>
      <c r="N56" s="72"/>
      <c r="O56" s="72"/>
      <c r="P56" s="72"/>
      <c r="Q56" s="72"/>
      <c r="R56" s="73"/>
    </row>
    <row r="57" spans="1:18" s="5" customFormat="1">
      <c r="A57" s="84"/>
      <c r="B57" s="73"/>
      <c r="C57" s="73"/>
      <c r="D57" s="72"/>
      <c r="E57" s="72"/>
      <c r="F57" s="72"/>
      <c r="G57" s="72"/>
      <c r="H57" s="72"/>
      <c r="I57" s="72"/>
      <c r="J57" s="72"/>
      <c r="K57" s="72"/>
      <c r="L57" s="72"/>
      <c r="M57" s="72"/>
      <c r="N57" s="72"/>
      <c r="O57" s="72"/>
      <c r="P57" s="72"/>
      <c r="Q57" s="72"/>
      <c r="R57" s="73"/>
    </row>
    <row r="58" spans="1:18" s="5" customFormat="1">
      <c r="A58" s="84"/>
      <c r="B58" s="73"/>
      <c r="C58" s="73"/>
      <c r="D58" s="72"/>
      <c r="E58" s="72"/>
      <c r="F58" s="72"/>
      <c r="G58" s="72"/>
      <c r="H58" s="72"/>
      <c r="I58" s="72"/>
      <c r="J58" s="72"/>
      <c r="K58" s="72"/>
      <c r="L58" s="72"/>
      <c r="M58" s="72"/>
      <c r="N58" s="72"/>
      <c r="O58" s="72"/>
      <c r="P58" s="72"/>
      <c r="Q58" s="72"/>
      <c r="R58" s="73"/>
    </row>
    <row r="59" spans="1:18" s="5" customFormat="1">
      <c r="A59" s="84"/>
      <c r="B59" s="73"/>
      <c r="C59" s="73"/>
      <c r="D59" s="72"/>
      <c r="E59" s="72"/>
      <c r="F59" s="72"/>
      <c r="G59" s="72"/>
      <c r="H59" s="72"/>
      <c r="I59" s="72"/>
      <c r="J59" s="72"/>
      <c r="K59" s="72"/>
      <c r="L59" s="72"/>
      <c r="M59" s="72"/>
      <c r="N59" s="72"/>
      <c r="O59" s="72"/>
      <c r="P59" s="72"/>
      <c r="Q59" s="72"/>
      <c r="R59" s="73"/>
    </row>
    <row r="60" spans="1:18" s="5" customFormat="1">
      <c r="A60" s="84"/>
      <c r="B60" s="73"/>
      <c r="C60" s="73"/>
      <c r="D60" s="72"/>
      <c r="E60" s="72"/>
      <c r="F60" s="72"/>
      <c r="G60" s="72"/>
      <c r="H60" s="72"/>
      <c r="I60" s="72"/>
      <c r="J60" s="72"/>
      <c r="K60" s="72"/>
      <c r="L60" s="72"/>
      <c r="M60" s="72"/>
      <c r="N60" s="72"/>
      <c r="O60" s="72"/>
      <c r="P60" s="72"/>
      <c r="Q60" s="72"/>
      <c r="R60" s="73"/>
    </row>
    <row r="61" spans="1:18" s="5" customFormat="1">
      <c r="A61" s="84"/>
      <c r="B61" s="73"/>
      <c r="C61" s="73"/>
      <c r="D61" s="72"/>
      <c r="E61" s="72"/>
      <c r="F61" s="72"/>
      <c r="G61" s="72"/>
      <c r="H61" s="72"/>
      <c r="I61" s="72"/>
      <c r="J61" s="72"/>
      <c r="K61" s="72"/>
      <c r="L61" s="72"/>
      <c r="M61" s="72"/>
      <c r="N61" s="72"/>
      <c r="O61" s="72"/>
      <c r="P61" s="72"/>
      <c r="Q61" s="72"/>
      <c r="R61" s="73"/>
    </row>
    <row r="62" spans="1:18" s="5" customFormat="1">
      <c r="A62" s="84"/>
      <c r="B62" s="73"/>
      <c r="C62" s="73"/>
      <c r="D62" s="72"/>
      <c r="E62" s="72"/>
      <c r="F62" s="72"/>
      <c r="G62" s="72"/>
      <c r="H62" s="72"/>
      <c r="I62" s="72"/>
      <c r="J62" s="72"/>
      <c r="K62" s="72"/>
      <c r="L62" s="72"/>
      <c r="M62" s="72"/>
      <c r="N62" s="72"/>
      <c r="O62" s="72"/>
      <c r="P62" s="72"/>
      <c r="Q62" s="72"/>
      <c r="R62" s="73"/>
    </row>
    <row r="63" spans="1:18" s="5" customFormat="1">
      <c r="A63" s="84"/>
      <c r="B63" s="73"/>
      <c r="C63" s="73"/>
      <c r="D63" s="72"/>
      <c r="E63" s="72"/>
      <c r="F63" s="72"/>
      <c r="G63" s="72"/>
      <c r="H63" s="72"/>
      <c r="I63" s="72"/>
      <c r="J63" s="72"/>
      <c r="K63" s="72"/>
      <c r="L63" s="72"/>
      <c r="M63" s="72"/>
      <c r="N63" s="72"/>
      <c r="O63" s="72"/>
      <c r="P63" s="72"/>
      <c r="Q63" s="72"/>
      <c r="R63" s="73"/>
    </row>
    <row r="64" spans="1:18" s="5" customFormat="1">
      <c r="A64" s="84"/>
      <c r="B64" s="73"/>
      <c r="C64" s="73"/>
      <c r="D64" s="72"/>
      <c r="E64" s="72"/>
      <c r="F64" s="72"/>
      <c r="G64" s="72"/>
      <c r="H64" s="72"/>
      <c r="I64" s="72"/>
      <c r="J64" s="72"/>
      <c r="K64" s="72"/>
      <c r="L64" s="72"/>
      <c r="M64" s="72"/>
      <c r="N64" s="72"/>
      <c r="O64" s="72"/>
      <c r="P64" s="72"/>
      <c r="Q64" s="72"/>
      <c r="R64" s="73"/>
    </row>
    <row r="65" spans="1:18" s="5" customFormat="1">
      <c r="A65" s="84"/>
      <c r="B65" s="73"/>
      <c r="C65" s="73"/>
      <c r="D65" s="72"/>
      <c r="E65" s="72"/>
      <c r="F65" s="72"/>
      <c r="G65" s="72"/>
      <c r="H65" s="72"/>
      <c r="I65" s="72"/>
      <c r="J65" s="72"/>
      <c r="K65" s="72"/>
      <c r="L65" s="72"/>
      <c r="M65" s="72"/>
      <c r="N65" s="72"/>
      <c r="O65" s="72"/>
      <c r="P65" s="72"/>
      <c r="Q65" s="72"/>
      <c r="R65" s="73"/>
    </row>
    <row r="66" spans="1:18" s="5" customFormat="1">
      <c r="A66" s="84"/>
      <c r="B66" s="73"/>
      <c r="C66" s="73"/>
      <c r="D66" s="72"/>
      <c r="E66" s="72"/>
      <c r="F66" s="72"/>
      <c r="G66" s="72"/>
      <c r="H66" s="72"/>
      <c r="I66" s="72"/>
      <c r="J66" s="72"/>
      <c r="K66" s="72"/>
      <c r="L66" s="72"/>
      <c r="M66" s="72"/>
      <c r="N66" s="72"/>
      <c r="O66" s="72"/>
      <c r="P66" s="72"/>
      <c r="Q66" s="72"/>
      <c r="R66" s="73"/>
    </row>
    <row r="67" spans="1:18" s="5" customFormat="1">
      <c r="A67" s="84"/>
      <c r="B67" s="73"/>
      <c r="C67" s="73"/>
      <c r="D67" s="72"/>
      <c r="E67" s="72"/>
      <c r="F67" s="72"/>
      <c r="G67" s="72"/>
      <c r="H67" s="72"/>
      <c r="I67" s="72"/>
      <c r="J67" s="72"/>
      <c r="K67" s="72"/>
      <c r="L67" s="72"/>
      <c r="M67" s="72"/>
      <c r="N67" s="72"/>
      <c r="O67" s="72"/>
      <c r="P67" s="72"/>
      <c r="Q67" s="72"/>
      <c r="R67" s="73"/>
    </row>
    <row r="68" spans="1:18" s="5" customFormat="1">
      <c r="A68" s="84"/>
      <c r="B68" s="73"/>
      <c r="C68" s="73"/>
      <c r="D68" s="72"/>
      <c r="E68" s="72"/>
      <c r="F68" s="72"/>
      <c r="G68" s="72"/>
      <c r="H68" s="72"/>
      <c r="I68" s="72"/>
      <c r="J68" s="72"/>
      <c r="K68" s="72"/>
      <c r="L68" s="72"/>
      <c r="M68" s="72"/>
      <c r="N68" s="72"/>
      <c r="O68" s="72"/>
      <c r="P68" s="72"/>
      <c r="Q68" s="72"/>
      <c r="R68" s="73"/>
    </row>
    <row r="69" spans="1:18" s="5" customFormat="1">
      <c r="A69" s="84"/>
      <c r="B69" s="73"/>
      <c r="C69" s="73"/>
      <c r="D69" s="72"/>
      <c r="E69" s="72"/>
      <c r="F69" s="72"/>
      <c r="G69" s="72"/>
      <c r="H69" s="72"/>
      <c r="I69" s="72"/>
      <c r="J69" s="72"/>
      <c r="K69" s="72"/>
      <c r="L69" s="72"/>
      <c r="M69" s="72"/>
      <c r="N69" s="72"/>
      <c r="O69" s="72"/>
      <c r="P69" s="72"/>
      <c r="Q69" s="72"/>
      <c r="R69" s="73"/>
    </row>
    <row r="70" spans="1:18" s="5" customFormat="1">
      <c r="A70" s="84"/>
      <c r="B70" s="73"/>
      <c r="C70" s="73"/>
      <c r="D70" s="72"/>
      <c r="E70" s="72"/>
      <c r="F70" s="72"/>
      <c r="G70" s="72"/>
      <c r="H70" s="72"/>
      <c r="I70" s="72"/>
      <c r="J70" s="72"/>
      <c r="K70" s="72"/>
      <c r="L70" s="72"/>
      <c r="M70" s="72"/>
      <c r="N70" s="72"/>
      <c r="O70" s="72"/>
      <c r="P70" s="72"/>
      <c r="Q70" s="72"/>
      <c r="R70" s="73"/>
    </row>
    <row r="71" spans="1:18" s="5" customFormat="1">
      <c r="A71" s="84"/>
      <c r="B71" s="73"/>
      <c r="C71" s="73"/>
      <c r="D71" s="72"/>
      <c r="E71" s="72"/>
      <c r="F71" s="72"/>
      <c r="G71" s="72"/>
      <c r="H71" s="72"/>
      <c r="I71" s="72"/>
      <c r="J71" s="72"/>
      <c r="K71" s="72"/>
      <c r="L71" s="72"/>
      <c r="M71" s="72"/>
      <c r="N71" s="72"/>
      <c r="O71" s="72"/>
      <c r="P71" s="72"/>
      <c r="Q71" s="72"/>
      <c r="R71" s="73"/>
    </row>
    <row r="72" spans="1:18" s="5" customFormat="1">
      <c r="A72" s="84"/>
      <c r="B72" s="73"/>
      <c r="C72" s="73"/>
      <c r="D72" s="72"/>
      <c r="E72" s="72"/>
      <c r="F72" s="72"/>
      <c r="G72" s="72"/>
      <c r="H72" s="72"/>
      <c r="I72" s="72"/>
      <c r="J72" s="72"/>
      <c r="K72" s="72"/>
      <c r="L72" s="72"/>
      <c r="M72" s="72"/>
      <c r="N72" s="72"/>
      <c r="O72" s="72"/>
      <c r="P72" s="72"/>
      <c r="Q72" s="72"/>
      <c r="R72" s="73"/>
    </row>
    <row r="73" spans="1:18" s="5" customFormat="1">
      <c r="A73" s="84"/>
      <c r="B73" s="73"/>
      <c r="C73" s="73"/>
      <c r="D73" s="72"/>
      <c r="E73" s="72"/>
      <c r="F73" s="72"/>
      <c r="G73" s="72"/>
      <c r="H73" s="72"/>
      <c r="I73" s="72"/>
      <c r="J73" s="72"/>
      <c r="K73" s="72"/>
      <c r="L73" s="72"/>
      <c r="M73" s="72"/>
      <c r="N73" s="72"/>
      <c r="O73" s="72"/>
      <c r="P73" s="72"/>
      <c r="Q73" s="72"/>
      <c r="R73" s="73"/>
    </row>
    <row r="74" spans="1:18" s="5" customFormat="1">
      <c r="A74" s="84"/>
      <c r="B74" s="73"/>
      <c r="C74" s="73"/>
      <c r="D74" s="72"/>
      <c r="E74" s="72"/>
      <c r="F74" s="72"/>
      <c r="G74" s="72"/>
      <c r="H74" s="72"/>
      <c r="I74" s="72"/>
      <c r="J74" s="72"/>
      <c r="K74" s="72"/>
      <c r="L74" s="72"/>
      <c r="M74" s="72"/>
      <c r="N74" s="72"/>
      <c r="O74" s="72"/>
      <c r="P74" s="72"/>
      <c r="Q74" s="72"/>
      <c r="R74" s="73"/>
    </row>
    <row r="75" spans="1:18" s="5" customFormat="1">
      <c r="A75" s="84"/>
      <c r="B75" s="73"/>
      <c r="C75" s="73"/>
      <c r="D75" s="72"/>
      <c r="E75" s="72"/>
      <c r="F75" s="72"/>
      <c r="G75" s="72"/>
      <c r="H75" s="72"/>
      <c r="I75" s="72"/>
      <c r="J75" s="72"/>
      <c r="K75" s="72"/>
      <c r="L75" s="72"/>
      <c r="M75" s="72"/>
      <c r="N75" s="72"/>
      <c r="O75" s="72"/>
      <c r="P75" s="72"/>
      <c r="Q75" s="72"/>
      <c r="R75" s="73"/>
    </row>
    <row r="76" spans="1:18" s="5" customFormat="1">
      <c r="A76" s="84"/>
      <c r="B76" s="73"/>
      <c r="C76" s="73"/>
      <c r="D76" s="72"/>
      <c r="E76" s="72"/>
      <c r="F76" s="72"/>
      <c r="G76" s="72"/>
      <c r="H76" s="72"/>
      <c r="I76" s="72"/>
      <c r="J76" s="72"/>
      <c r="K76" s="72"/>
      <c r="L76" s="72"/>
      <c r="M76" s="72"/>
      <c r="N76" s="72"/>
      <c r="O76" s="72"/>
      <c r="P76" s="72"/>
      <c r="Q76" s="72"/>
      <c r="R76" s="73"/>
    </row>
    <row r="77" spans="1:18" s="5" customFormat="1">
      <c r="A77" s="84"/>
      <c r="B77" s="73"/>
      <c r="C77" s="73"/>
      <c r="D77" s="72"/>
      <c r="E77" s="72"/>
      <c r="F77" s="72"/>
      <c r="G77" s="72"/>
      <c r="H77" s="72"/>
      <c r="I77" s="72"/>
      <c r="J77" s="72"/>
      <c r="K77" s="72"/>
      <c r="L77" s="72"/>
      <c r="M77" s="72"/>
      <c r="N77" s="72"/>
      <c r="O77" s="72"/>
      <c r="P77" s="72"/>
      <c r="Q77" s="72"/>
      <c r="R77" s="73"/>
    </row>
    <row r="78" spans="1:18" s="5" customFormat="1">
      <c r="A78" s="84"/>
      <c r="B78" s="73"/>
      <c r="C78" s="73"/>
      <c r="D78" s="72"/>
      <c r="E78" s="72"/>
      <c r="F78" s="72"/>
      <c r="G78" s="72"/>
      <c r="H78" s="72"/>
      <c r="I78" s="72"/>
      <c r="J78" s="72"/>
      <c r="K78" s="72"/>
      <c r="L78" s="72"/>
      <c r="M78" s="72"/>
      <c r="N78" s="72"/>
      <c r="O78" s="72"/>
      <c r="P78" s="72"/>
      <c r="Q78" s="72"/>
      <c r="R78" s="73"/>
    </row>
    <row r="79" spans="1:18" s="5" customFormat="1">
      <c r="A79" s="84"/>
      <c r="B79" s="73"/>
      <c r="C79" s="73"/>
      <c r="D79" s="72"/>
      <c r="E79" s="72"/>
      <c r="F79" s="72"/>
      <c r="G79" s="72"/>
      <c r="H79" s="72"/>
      <c r="I79" s="72"/>
      <c r="J79" s="72"/>
      <c r="K79" s="72"/>
      <c r="L79" s="72"/>
      <c r="M79" s="72"/>
      <c r="N79" s="72"/>
      <c r="O79" s="72"/>
      <c r="P79" s="72"/>
      <c r="Q79" s="72"/>
      <c r="R79" s="73"/>
    </row>
    <row r="80" spans="1:18" s="5" customFormat="1">
      <c r="A80" s="84"/>
      <c r="B80" s="73"/>
      <c r="C80" s="73"/>
      <c r="D80" s="72"/>
      <c r="E80" s="72"/>
      <c r="F80" s="72"/>
      <c r="G80" s="72"/>
      <c r="H80" s="72"/>
      <c r="I80" s="72"/>
      <c r="J80" s="72"/>
      <c r="K80" s="72"/>
      <c r="L80" s="72"/>
      <c r="M80" s="72"/>
      <c r="N80" s="72"/>
      <c r="O80" s="72"/>
      <c r="P80" s="72"/>
      <c r="Q80" s="72"/>
      <c r="R80" s="73"/>
    </row>
    <row r="81" spans="1:18" s="5" customFormat="1">
      <c r="A81" s="84"/>
      <c r="B81" s="73"/>
      <c r="C81" s="73"/>
      <c r="D81" s="72"/>
      <c r="E81" s="72"/>
      <c r="F81" s="72"/>
      <c r="G81" s="72"/>
      <c r="H81" s="72"/>
      <c r="I81" s="72"/>
      <c r="J81" s="72"/>
      <c r="K81" s="72"/>
      <c r="L81" s="72"/>
      <c r="M81" s="72"/>
      <c r="N81" s="72"/>
      <c r="O81" s="72"/>
      <c r="P81" s="72"/>
      <c r="Q81" s="72"/>
      <c r="R81" s="73"/>
    </row>
    <row r="82" spans="1:18" s="5" customFormat="1">
      <c r="A82" s="84"/>
      <c r="B82" s="73"/>
      <c r="C82" s="73"/>
      <c r="D82" s="72"/>
      <c r="E82" s="72"/>
      <c r="F82" s="72"/>
      <c r="G82" s="72"/>
      <c r="H82" s="72"/>
      <c r="I82" s="72"/>
      <c r="J82" s="72"/>
      <c r="K82" s="72"/>
      <c r="L82" s="72"/>
      <c r="M82" s="72"/>
      <c r="N82" s="72"/>
      <c r="O82" s="72"/>
      <c r="P82" s="72"/>
      <c r="Q82" s="72"/>
      <c r="R82" s="73"/>
    </row>
    <row r="83" spans="1:18" s="5" customFormat="1">
      <c r="A83" s="84"/>
      <c r="B83" s="73"/>
      <c r="C83" s="73"/>
      <c r="D83" s="72"/>
      <c r="E83" s="72"/>
      <c r="F83" s="72"/>
      <c r="G83" s="72"/>
      <c r="H83" s="72"/>
      <c r="I83" s="72"/>
      <c r="J83" s="72"/>
      <c r="K83" s="72"/>
      <c r="L83" s="72"/>
      <c r="M83" s="72"/>
      <c r="N83" s="72"/>
      <c r="O83" s="72"/>
      <c r="P83" s="72"/>
      <c r="Q83" s="72"/>
      <c r="R83" s="73"/>
    </row>
    <row r="84" spans="1:18" s="5" customFormat="1">
      <c r="A84" s="84"/>
      <c r="B84" s="73"/>
      <c r="C84" s="73"/>
      <c r="D84" s="72"/>
      <c r="E84" s="72"/>
      <c r="F84" s="72"/>
      <c r="G84" s="72"/>
      <c r="H84" s="72"/>
      <c r="I84" s="72"/>
      <c r="J84" s="72"/>
      <c r="K84" s="72"/>
      <c r="L84" s="72"/>
      <c r="M84" s="72"/>
      <c r="N84" s="72"/>
      <c r="O84" s="72"/>
      <c r="P84" s="72"/>
      <c r="Q84" s="72"/>
      <c r="R84" s="73"/>
    </row>
    <row r="85" spans="1:18" s="5" customFormat="1">
      <c r="A85" s="84"/>
      <c r="B85" s="73"/>
      <c r="C85" s="73"/>
      <c r="D85" s="72"/>
      <c r="E85" s="72"/>
      <c r="F85" s="72"/>
      <c r="G85" s="72"/>
      <c r="H85" s="72"/>
      <c r="I85" s="72"/>
      <c r="J85" s="72"/>
      <c r="K85" s="72"/>
      <c r="L85" s="72"/>
      <c r="M85" s="72"/>
      <c r="N85" s="72"/>
      <c r="O85" s="72"/>
      <c r="P85" s="72"/>
      <c r="Q85" s="72"/>
      <c r="R85" s="73"/>
    </row>
    <row r="86" spans="1:18" s="5" customFormat="1">
      <c r="A86" s="84"/>
      <c r="B86" s="73"/>
      <c r="C86" s="73"/>
      <c r="D86" s="72"/>
      <c r="E86" s="72"/>
      <c r="F86" s="72"/>
      <c r="G86" s="72"/>
      <c r="H86" s="72"/>
      <c r="I86" s="72"/>
      <c r="J86" s="72"/>
      <c r="K86" s="72"/>
      <c r="L86" s="72"/>
      <c r="M86" s="72"/>
      <c r="N86" s="72"/>
      <c r="O86" s="72"/>
      <c r="P86" s="72"/>
      <c r="Q86" s="72"/>
      <c r="R86" s="73"/>
    </row>
    <row r="87" spans="1:18" s="5" customFormat="1">
      <c r="A87" s="84"/>
      <c r="B87" s="73"/>
      <c r="C87" s="73"/>
      <c r="D87" s="72"/>
      <c r="E87" s="72"/>
      <c r="F87" s="72"/>
      <c r="G87" s="72"/>
      <c r="H87" s="72"/>
      <c r="I87" s="72"/>
      <c r="J87" s="72"/>
      <c r="K87" s="72"/>
      <c r="L87" s="72"/>
      <c r="M87" s="72"/>
      <c r="N87" s="72"/>
      <c r="O87" s="72"/>
      <c r="P87" s="72"/>
      <c r="Q87" s="72"/>
      <c r="R87" s="73"/>
    </row>
    <row r="88" spans="1:18" s="5" customFormat="1">
      <c r="A88" s="84"/>
      <c r="B88" s="73"/>
      <c r="C88" s="73"/>
      <c r="D88" s="72"/>
      <c r="E88" s="72"/>
      <c r="F88" s="72"/>
      <c r="G88" s="72"/>
      <c r="H88" s="72"/>
      <c r="I88" s="72"/>
      <c r="J88" s="72"/>
      <c r="K88" s="72"/>
      <c r="L88" s="72"/>
      <c r="M88" s="72"/>
      <c r="N88" s="72"/>
      <c r="O88" s="72"/>
      <c r="P88" s="72"/>
      <c r="Q88" s="72"/>
      <c r="R88" s="73"/>
    </row>
    <row r="89" spans="1:18" s="5" customFormat="1">
      <c r="A89" s="84"/>
      <c r="B89" s="73"/>
      <c r="C89" s="73"/>
      <c r="D89" s="72"/>
      <c r="E89" s="72"/>
      <c r="F89" s="72"/>
      <c r="G89" s="72"/>
      <c r="H89" s="72"/>
      <c r="I89" s="72"/>
      <c r="J89" s="72"/>
      <c r="K89" s="72"/>
      <c r="L89" s="72"/>
      <c r="M89" s="72"/>
      <c r="N89" s="72"/>
      <c r="O89" s="72"/>
      <c r="P89" s="72"/>
      <c r="Q89" s="72"/>
      <c r="R89" s="73"/>
    </row>
    <row r="90" spans="1:18" s="5" customFormat="1">
      <c r="A90" s="84"/>
      <c r="B90" s="73"/>
      <c r="C90" s="73"/>
      <c r="D90" s="72"/>
      <c r="E90" s="72"/>
      <c r="F90" s="72"/>
      <c r="G90" s="72"/>
      <c r="H90" s="72"/>
      <c r="I90" s="72"/>
      <c r="J90" s="72"/>
      <c r="K90" s="72"/>
      <c r="L90" s="72"/>
      <c r="M90" s="72"/>
      <c r="N90" s="72"/>
      <c r="O90" s="72"/>
      <c r="P90" s="72"/>
      <c r="Q90" s="72"/>
      <c r="R90" s="73"/>
    </row>
    <row r="91" spans="1:18" s="5" customFormat="1">
      <c r="A91" s="84"/>
      <c r="B91" s="73"/>
      <c r="C91" s="73"/>
      <c r="D91" s="72"/>
      <c r="E91" s="72"/>
      <c r="F91" s="72"/>
      <c r="G91" s="72"/>
      <c r="H91" s="72"/>
      <c r="I91" s="72"/>
      <c r="J91" s="72"/>
      <c r="K91" s="72"/>
      <c r="L91" s="72"/>
      <c r="M91" s="72"/>
      <c r="N91" s="72"/>
      <c r="O91" s="72"/>
      <c r="P91" s="72"/>
      <c r="Q91" s="72"/>
      <c r="R91" s="73"/>
    </row>
    <row r="92" spans="1:18" s="5" customFormat="1">
      <c r="A92" s="84"/>
      <c r="B92" s="73"/>
      <c r="C92" s="73"/>
      <c r="D92" s="72"/>
      <c r="E92" s="72"/>
      <c r="F92" s="72"/>
      <c r="G92" s="72"/>
      <c r="H92" s="72"/>
      <c r="I92" s="72"/>
      <c r="J92" s="72"/>
      <c r="K92" s="72"/>
      <c r="L92" s="72"/>
      <c r="M92" s="72"/>
      <c r="N92" s="72"/>
      <c r="O92" s="72"/>
      <c r="P92" s="72"/>
      <c r="Q92" s="72"/>
      <c r="R92" s="73"/>
    </row>
    <row r="93" spans="1:18" s="5" customFormat="1">
      <c r="A93" s="84"/>
      <c r="B93" s="73"/>
      <c r="C93" s="73"/>
      <c r="D93" s="72"/>
      <c r="E93" s="72"/>
      <c r="F93" s="72"/>
      <c r="G93" s="72"/>
      <c r="H93" s="72"/>
      <c r="I93" s="72"/>
      <c r="J93" s="72"/>
      <c r="K93" s="72"/>
      <c r="L93" s="72"/>
      <c r="M93" s="72"/>
      <c r="N93" s="72"/>
      <c r="O93" s="72"/>
      <c r="P93" s="72"/>
      <c r="Q93" s="72"/>
      <c r="R93" s="73"/>
    </row>
    <row r="94" spans="1:18" s="5" customFormat="1">
      <c r="A94" s="84"/>
      <c r="B94" s="73"/>
      <c r="C94" s="73"/>
      <c r="D94" s="72"/>
      <c r="E94" s="72"/>
      <c r="F94" s="72"/>
      <c r="G94" s="72"/>
      <c r="H94" s="72"/>
      <c r="I94" s="72"/>
      <c r="J94" s="72"/>
      <c r="K94" s="72"/>
      <c r="L94" s="72"/>
      <c r="M94" s="72"/>
      <c r="N94" s="72"/>
      <c r="O94" s="72"/>
      <c r="P94" s="72"/>
      <c r="Q94" s="72"/>
      <c r="R94" s="73"/>
    </row>
    <row r="95" spans="1:18" s="5" customFormat="1">
      <c r="A95" s="84"/>
      <c r="B95" s="73"/>
      <c r="C95" s="73"/>
      <c r="D95" s="72"/>
      <c r="E95" s="72"/>
      <c r="F95" s="72"/>
      <c r="G95" s="72"/>
      <c r="H95" s="72"/>
      <c r="I95" s="72"/>
      <c r="J95" s="72"/>
      <c r="K95" s="72"/>
      <c r="L95" s="72"/>
      <c r="M95" s="72"/>
      <c r="N95" s="72"/>
      <c r="O95" s="72"/>
      <c r="P95" s="72"/>
      <c r="Q95" s="72"/>
      <c r="R95" s="73"/>
    </row>
    <row r="96" spans="1:18" s="5" customFormat="1">
      <c r="A96" s="84"/>
      <c r="B96" s="73"/>
      <c r="C96" s="73"/>
      <c r="D96" s="72"/>
      <c r="E96" s="72"/>
      <c r="F96" s="72"/>
      <c r="G96" s="72"/>
      <c r="H96" s="72"/>
      <c r="I96" s="72"/>
      <c r="J96" s="72"/>
      <c r="K96" s="72"/>
      <c r="L96" s="72"/>
      <c r="M96" s="72"/>
      <c r="N96" s="72"/>
      <c r="O96" s="72"/>
      <c r="P96" s="72"/>
      <c r="Q96" s="72"/>
      <c r="R96" s="73"/>
    </row>
    <row r="97" spans="1:18" s="5" customFormat="1">
      <c r="A97" s="84"/>
      <c r="B97" s="73"/>
      <c r="C97" s="73"/>
      <c r="D97" s="72"/>
      <c r="E97" s="72"/>
      <c r="F97" s="72"/>
      <c r="G97" s="72"/>
      <c r="H97" s="72"/>
      <c r="I97" s="72"/>
      <c r="J97" s="72"/>
      <c r="K97" s="72"/>
      <c r="L97" s="72"/>
      <c r="M97" s="72"/>
      <c r="N97" s="72"/>
      <c r="O97" s="72"/>
      <c r="P97" s="72"/>
      <c r="Q97" s="72"/>
      <c r="R97" s="73"/>
    </row>
    <row r="98" spans="1:18" s="5" customFormat="1">
      <c r="A98" s="84"/>
      <c r="B98" s="73"/>
      <c r="C98" s="73"/>
      <c r="D98" s="72"/>
      <c r="E98" s="72"/>
      <c r="F98" s="72"/>
      <c r="G98" s="72"/>
      <c r="H98" s="72"/>
      <c r="I98" s="72"/>
      <c r="J98" s="72"/>
      <c r="K98" s="72"/>
      <c r="L98" s="72"/>
      <c r="M98" s="72"/>
      <c r="N98" s="72"/>
      <c r="O98" s="72"/>
      <c r="P98" s="72"/>
      <c r="Q98" s="72"/>
      <c r="R98" s="73"/>
    </row>
    <row r="99" spans="1:18" s="5" customFormat="1">
      <c r="A99" s="84"/>
      <c r="B99" s="73"/>
      <c r="C99" s="73"/>
      <c r="D99" s="72"/>
      <c r="E99" s="72"/>
      <c r="F99" s="72"/>
      <c r="G99" s="72"/>
      <c r="H99" s="72"/>
      <c r="I99" s="72"/>
      <c r="J99" s="72"/>
      <c r="K99" s="72"/>
      <c r="L99" s="72"/>
      <c r="M99" s="72"/>
      <c r="N99" s="72"/>
      <c r="O99" s="72"/>
      <c r="P99" s="72"/>
      <c r="Q99" s="72"/>
      <c r="R99" s="73"/>
    </row>
    <row r="100" spans="1:18" s="5" customFormat="1">
      <c r="A100" s="84"/>
      <c r="B100" s="73"/>
      <c r="C100" s="73"/>
      <c r="D100" s="72"/>
      <c r="E100" s="72"/>
      <c r="F100" s="72"/>
      <c r="G100" s="72"/>
      <c r="H100" s="72"/>
      <c r="I100" s="72"/>
      <c r="J100" s="72"/>
      <c r="K100" s="72"/>
      <c r="L100" s="72"/>
      <c r="M100" s="72"/>
      <c r="N100" s="72"/>
      <c r="O100" s="72"/>
      <c r="P100" s="72"/>
      <c r="Q100" s="72"/>
      <c r="R100" s="73"/>
    </row>
    <row r="101" spans="1:18" s="5" customFormat="1">
      <c r="A101" s="84"/>
      <c r="B101" s="73"/>
      <c r="C101" s="73"/>
      <c r="D101" s="72"/>
      <c r="E101" s="72"/>
      <c r="F101" s="72"/>
      <c r="G101" s="72"/>
      <c r="H101" s="72"/>
      <c r="I101" s="72"/>
      <c r="J101" s="72"/>
      <c r="K101" s="72"/>
      <c r="L101" s="72"/>
      <c r="M101" s="72"/>
      <c r="N101" s="72"/>
      <c r="O101" s="72"/>
      <c r="P101" s="72"/>
      <c r="Q101" s="72"/>
      <c r="R101" s="73"/>
    </row>
    <row r="102" spans="1:18" s="5" customFormat="1">
      <c r="A102" s="84"/>
      <c r="B102" s="73"/>
      <c r="C102" s="73"/>
      <c r="D102" s="72"/>
      <c r="E102" s="72"/>
      <c r="F102" s="72"/>
      <c r="G102" s="72"/>
      <c r="H102" s="72"/>
      <c r="I102" s="72"/>
      <c r="J102" s="72"/>
      <c r="K102" s="72"/>
      <c r="L102" s="72"/>
      <c r="M102" s="72"/>
      <c r="N102" s="72"/>
      <c r="O102" s="72"/>
      <c r="P102" s="72"/>
      <c r="Q102" s="72"/>
      <c r="R102" s="73"/>
    </row>
    <row r="103" spans="1:18" s="5" customFormat="1">
      <c r="A103" s="84"/>
      <c r="B103" s="73"/>
      <c r="C103" s="73"/>
      <c r="D103" s="72"/>
      <c r="E103" s="72"/>
      <c r="F103" s="72"/>
      <c r="G103" s="72"/>
      <c r="H103" s="72"/>
      <c r="I103" s="72"/>
      <c r="J103" s="72"/>
      <c r="K103" s="72"/>
      <c r="L103" s="72"/>
      <c r="M103" s="72"/>
      <c r="N103" s="72"/>
      <c r="O103" s="72"/>
      <c r="P103" s="72"/>
      <c r="Q103" s="72"/>
      <c r="R103" s="73"/>
    </row>
    <row r="104" spans="1:18" s="5" customFormat="1">
      <c r="A104" s="84"/>
      <c r="B104" s="73"/>
      <c r="C104" s="73"/>
      <c r="D104" s="72"/>
      <c r="E104" s="72"/>
      <c r="F104" s="72"/>
      <c r="G104" s="72"/>
      <c r="H104" s="72"/>
      <c r="I104" s="72"/>
      <c r="J104" s="72"/>
      <c r="K104" s="72"/>
      <c r="L104" s="72"/>
      <c r="M104" s="72"/>
      <c r="N104" s="72"/>
      <c r="O104" s="72"/>
      <c r="P104" s="72"/>
      <c r="Q104" s="72"/>
      <c r="R104" s="73"/>
    </row>
    <row r="105" spans="1:18" s="5" customFormat="1">
      <c r="A105" s="84"/>
      <c r="B105" s="73"/>
      <c r="C105" s="73"/>
      <c r="D105" s="72"/>
      <c r="E105" s="72"/>
      <c r="F105" s="72"/>
      <c r="G105" s="72"/>
      <c r="H105" s="72"/>
      <c r="I105" s="72"/>
      <c r="J105" s="72"/>
      <c r="K105" s="72"/>
      <c r="L105" s="72"/>
      <c r="M105" s="72"/>
      <c r="N105" s="72"/>
      <c r="O105" s="72"/>
      <c r="P105" s="72"/>
      <c r="Q105" s="72"/>
      <c r="R105" s="73"/>
    </row>
    <row r="106" spans="1:18" s="5" customFormat="1">
      <c r="A106" s="84"/>
      <c r="B106" s="73"/>
      <c r="C106" s="73"/>
      <c r="D106" s="72"/>
      <c r="E106" s="72"/>
      <c r="F106" s="72"/>
      <c r="G106" s="72"/>
      <c r="H106" s="72"/>
      <c r="I106" s="72"/>
      <c r="J106" s="72"/>
      <c r="K106" s="72"/>
      <c r="L106" s="72"/>
      <c r="M106" s="72"/>
      <c r="N106" s="72"/>
      <c r="O106" s="72"/>
      <c r="P106" s="72"/>
      <c r="Q106" s="72"/>
      <c r="R106" s="73"/>
    </row>
    <row r="107" spans="1:18" s="5" customFormat="1">
      <c r="A107" s="84"/>
      <c r="B107" s="73"/>
      <c r="C107" s="73"/>
      <c r="D107" s="72"/>
      <c r="E107" s="72"/>
      <c r="F107" s="72"/>
      <c r="G107" s="72"/>
      <c r="H107" s="72"/>
      <c r="I107" s="72"/>
      <c r="J107" s="72"/>
      <c r="K107" s="72"/>
      <c r="L107" s="72"/>
      <c r="M107" s="72"/>
      <c r="N107" s="72"/>
      <c r="O107" s="72"/>
      <c r="P107" s="72"/>
      <c r="Q107" s="72"/>
      <c r="R107" s="73"/>
    </row>
    <row r="108" spans="1:18" s="5" customFormat="1">
      <c r="A108" s="84"/>
      <c r="B108" s="73"/>
      <c r="C108" s="73"/>
      <c r="D108" s="72"/>
      <c r="E108" s="72"/>
      <c r="F108" s="72"/>
      <c r="G108" s="72"/>
      <c r="H108" s="72"/>
      <c r="I108" s="72"/>
      <c r="J108" s="72"/>
      <c r="K108" s="72"/>
      <c r="L108" s="72"/>
      <c r="M108" s="72"/>
      <c r="N108" s="72"/>
      <c r="O108" s="72"/>
      <c r="P108" s="72"/>
      <c r="Q108" s="72"/>
      <c r="R108" s="73"/>
    </row>
    <row r="109" spans="1:18" s="5" customFormat="1">
      <c r="A109" s="84"/>
      <c r="B109" s="73"/>
      <c r="C109" s="73"/>
      <c r="D109" s="72"/>
      <c r="E109" s="72"/>
      <c r="F109" s="72"/>
      <c r="G109" s="72"/>
      <c r="H109" s="72"/>
      <c r="I109" s="72"/>
      <c r="J109" s="72"/>
      <c r="K109" s="72"/>
      <c r="L109" s="72"/>
      <c r="M109" s="72"/>
      <c r="N109" s="72"/>
      <c r="O109" s="72"/>
      <c r="P109" s="72"/>
      <c r="Q109" s="72"/>
      <c r="R109" s="73"/>
    </row>
    <row r="110" spans="1:18" s="5" customFormat="1">
      <c r="A110" s="84"/>
      <c r="B110" s="73"/>
      <c r="C110" s="73"/>
      <c r="D110" s="72"/>
      <c r="E110" s="72"/>
      <c r="F110" s="72"/>
      <c r="G110" s="72"/>
      <c r="H110" s="72"/>
      <c r="I110" s="72"/>
      <c r="J110" s="72"/>
      <c r="K110" s="72"/>
      <c r="L110" s="72"/>
      <c r="M110" s="72"/>
      <c r="N110" s="72"/>
      <c r="O110" s="72"/>
      <c r="P110" s="72"/>
      <c r="Q110" s="72"/>
      <c r="R110" s="73"/>
    </row>
    <row r="111" spans="1:18" s="5" customFormat="1">
      <c r="A111" s="84"/>
      <c r="B111" s="73"/>
      <c r="C111" s="73"/>
      <c r="D111" s="72"/>
      <c r="E111" s="72"/>
      <c r="F111" s="72"/>
      <c r="G111" s="72"/>
      <c r="H111" s="72"/>
      <c r="I111" s="72"/>
      <c r="J111" s="72"/>
      <c r="K111" s="72"/>
      <c r="L111" s="72"/>
      <c r="M111" s="72"/>
      <c r="N111" s="72"/>
      <c r="O111" s="72"/>
      <c r="P111" s="72"/>
      <c r="Q111" s="72"/>
      <c r="R111" s="73"/>
    </row>
    <row r="112" spans="1:18" s="5" customFormat="1">
      <c r="A112" s="84"/>
      <c r="B112" s="73"/>
      <c r="C112" s="73"/>
      <c r="D112" s="72"/>
      <c r="E112" s="72"/>
      <c r="F112" s="72"/>
      <c r="G112" s="72"/>
      <c r="H112" s="72"/>
      <c r="I112" s="72"/>
      <c r="J112" s="72"/>
      <c r="K112" s="72"/>
      <c r="L112" s="72"/>
      <c r="M112" s="72"/>
      <c r="N112" s="72"/>
      <c r="O112" s="72"/>
      <c r="P112" s="72"/>
      <c r="Q112" s="72"/>
      <c r="R112" s="73"/>
    </row>
    <row r="113" spans="1:18" s="5" customFormat="1">
      <c r="A113" s="84"/>
      <c r="B113" s="73"/>
      <c r="C113" s="73"/>
      <c r="D113" s="72"/>
      <c r="E113" s="72"/>
      <c r="F113" s="72"/>
      <c r="G113" s="72"/>
      <c r="H113" s="72"/>
      <c r="I113" s="72"/>
      <c r="J113" s="72"/>
      <c r="K113" s="72"/>
      <c r="L113" s="72"/>
      <c r="M113" s="72"/>
      <c r="N113" s="72"/>
      <c r="O113" s="72"/>
      <c r="P113" s="72"/>
      <c r="Q113" s="72"/>
      <c r="R113" s="73"/>
    </row>
    <row r="114" spans="1:18" s="5" customFormat="1">
      <c r="A114" s="84"/>
      <c r="B114" s="73"/>
      <c r="C114" s="73"/>
      <c r="D114" s="72"/>
      <c r="E114" s="72"/>
      <c r="F114" s="72"/>
      <c r="G114" s="72"/>
      <c r="H114" s="72"/>
      <c r="I114" s="72"/>
      <c r="J114" s="72"/>
      <c r="K114" s="72"/>
      <c r="L114" s="72"/>
      <c r="M114" s="72"/>
      <c r="N114" s="72"/>
      <c r="O114" s="72"/>
      <c r="P114" s="72"/>
      <c r="Q114" s="72"/>
      <c r="R114" s="73"/>
    </row>
    <row r="115" spans="1:18" s="5" customFormat="1">
      <c r="A115" s="84"/>
      <c r="B115" s="73"/>
      <c r="C115" s="73"/>
      <c r="D115" s="72"/>
      <c r="E115" s="72"/>
      <c r="F115" s="72"/>
      <c r="G115" s="72"/>
      <c r="H115" s="72"/>
      <c r="I115" s="72"/>
      <c r="J115" s="72"/>
      <c r="K115" s="72"/>
      <c r="L115" s="72"/>
      <c r="M115" s="72"/>
      <c r="N115" s="72"/>
      <c r="O115" s="72"/>
      <c r="P115" s="72"/>
      <c r="Q115" s="72"/>
      <c r="R115" s="73"/>
    </row>
    <row r="116" spans="1:18" s="5" customFormat="1">
      <c r="A116" s="84"/>
      <c r="B116" s="73"/>
      <c r="C116" s="73"/>
      <c r="D116" s="72"/>
      <c r="E116" s="72"/>
      <c r="F116" s="72"/>
      <c r="G116" s="72"/>
      <c r="H116" s="72"/>
      <c r="I116" s="72"/>
      <c r="J116" s="72"/>
      <c r="K116" s="72"/>
      <c r="L116" s="72"/>
      <c r="M116" s="72"/>
      <c r="N116" s="72"/>
      <c r="O116" s="72"/>
      <c r="P116" s="72"/>
      <c r="Q116" s="72"/>
      <c r="R116" s="73"/>
    </row>
    <row r="117" spans="1:18" s="5" customFormat="1">
      <c r="A117" s="84"/>
      <c r="B117" s="73"/>
      <c r="C117" s="73"/>
      <c r="D117" s="72"/>
      <c r="E117" s="72"/>
      <c r="F117" s="72"/>
      <c r="G117" s="72"/>
      <c r="H117" s="72"/>
      <c r="I117" s="72"/>
      <c r="J117" s="72"/>
      <c r="K117" s="72"/>
      <c r="L117" s="72"/>
      <c r="M117" s="72"/>
      <c r="N117" s="72"/>
      <c r="O117" s="72"/>
      <c r="P117" s="72"/>
      <c r="Q117" s="72"/>
      <c r="R117" s="73"/>
    </row>
    <row r="118" spans="1:18" s="5" customFormat="1">
      <c r="A118" s="84"/>
      <c r="B118" s="73"/>
      <c r="C118" s="73"/>
      <c r="D118" s="72"/>
      <c r="E118" s="72"/>
      <c r="F118" s="72"/>
      <c r="G118" s="72"/>
      <c r="H118" s="72"/>
      <c r="I118" s="72"/>
      <c r="J118" s="72"/>
      <c r="K118" s="72"/>
      <c r="L118" s="72"/>
      <c r="M118" s="72"/>
      <c r="N118" s="72"/>
      <c r="O118" s="72"/>
      <c r="P118" s="72"/>
      <c r="Q118" s="72"/>
      <c r="R118" s="73"/>
    </row>
    <row r="119" spans="1:18" s="5" customFormat="1">
      <c r="A119" s="84"/>
      <c r="B119" s="73"/>
      <c r="C119" s="73"/>
      <c r="D119" s="72"/>
      <c r="E119" s="72"/>
      <c r="F119" s="72"/>
      <c r="G119" s="72"/>
      <c r="H119" s="72"/>
      <c r="I119" s="72"/>
      <c r="J119" s="72"/>
      <c r="K119" s="72"/>
      <c r="L119" s="72"/>
      <c r="M119" s="72"/>
      <c r="N119" s="72"/>
      <c r="O119" s="72"/>
      <c r="P119" s="72"/>
      <c r="Q119" s="72"/>
      <c r="R119" s="73"/>
    </row>
    <row r="120" spans="1:18" s="5" customFormat="1">
      <c r="A120" s="84"/>
      <c r="B120" s="73"/>
      <c r="C120" s="73"/>
      <c r="D120" s="72"/>
      <c r="E120" s="72"/>
      <c r="F120" s="72"/>
      <c r="G120" s="72"/>
      <c r="H120" s="72"/>
      <c r="I120" s="72"/>
      <c r="J120" s="72"/>
      <c r="K120" s="72"/>
      <c r="L120" s="72"/>
      <c r="M120" s="72"/>
      <c r="N120" s="72"/>
      <c r="O120" s="72"/>
      <c r="P120" s="72"/>
      <c r="Q120" s="72"/>
      <c r="R120" s="73"/>
    </row>
    <row r="121" spans="1:18" s="5" customFormat="1">
      <c r="A121" s="84"/>
      <c r="B121" s="73"/>
      <c r="C121" s="73"/>
      <c r="D121" s="72"/>
      <c r="E121" s="72"/>
      <c r="F121" s="72"/>
      <c r="G121" s="72"/>
      <c r="H121" s="72"/>
      <c r="I121" s="72"/>
      <c r="J121" s="72"/>
      <c r="K121" s="72"/>
      <c r="L121" s="72"/>
      <c r="M121" s="72"/>
      <c r="N121" s="72"/>
      <c r="O121" s="72"/>
      <c r="P121" s="72"/>
      <c r="Q121" s="72"/>
      <c r="R121" s="73"/>
    </row>
    <row r="122" spans="1:18" s="5" customFormat="1">
      <c r="A122" s="84"/>
      <c r="B122" s="73"/>
      <c r="C122" s="73"/>
      <c r="D122" s="72"/>
      <c r="E122" s="72"/>
      <c r="F122" s="72"/>
      <c r="G122" s="72"/>
      <c r="H122" s="72"/>
      <c r="I122" s="72"/>
      <c r="J122" s="72"/>
      <c r="K122" s="72"/>
      <c r="L122" s="72"/>
      <c r="M122" s="72"/>
      <c r="N122" s="72"/>
      <c r="O122" s="72"/>
      <c r="P122" s="72"/>
      <c r="Q122" s="72"/>
      <c r="R122" s="73"/>
    </row>
    <row r="123" spans="1:18" s="5" customFormat="1">
      <c r="A123" s="84"/>
      <c r="B123" s="73"/>
      <c r="C123" s="73"/>
      <c r="D123" s="72"/>
      <c r="E123" s="72"/>
      <c r="F123" s="72"/>
      <c r="G123" s="72"/>
      <c r="H123" s="72"/>
      <c r="I123" s="72"/>
      <c r="J123" s="72"/>
      <c r="K123" s="72"/>
      <c r="L123" s="72"/>
      <c r="M123" s="72"/>
      <c r="N123" s="72"/>
      <c r="O123" s="72"/>
      <c r="P123" s="72"/>
      <c r="Q123" s="72"/>
      <c r="R123" s="73"/>
    </row>
    <row r="124" spans="1:18" s="5" customFormat="1">
      <c r="A124" s="84"/>
      <c r="B124" s="73"/>
      <c r="C124" s="73"/>
      <c r="D124" s="72"/>
      <c r="E124" s="72"/>
      <c r="F124" s="72"/>
      <c r="G124" s="72"/>
      <c r="H124" s="72"/>
      <c r="I124" s="72"/>
      <c r="J124" s="72"/>
      <c r="K124" s="72"/>
      <c r="L124" s="72"/>
      <c r="M124" s="72"/>
      <c r="N124" s="72"/>
      <c r="O124" s="72"/>
      <c r="P124" s="72"/>
      <c r="Q124" s="72"/>
      <c r="R124" s="73"/>
    </row>
    <row r="125" spans="1:18" s="5" customFormat="1">
      <c r="A125" s="84"/>
      <c r="B125" s="73"/>
      <c r="C125" s="73"/>
      <c r="D125" s="72"/>
      <c r="E125" s="72"/>
      <c r="F125" s="72"/>
      <c r="G125" s="72"/>
      <c r="H125" s="72"/>
      <c r="I125" s="72"/>
      <c r="J125" s="72"/>
      <c r="K125" s="72"/>
      <c r="L125" s="72"/>
      <c r="M125" s="72"/>
      <c r="N125" s="72"/>
      <c r="O125" s="72"/>
      <c r="P125" s="72"/>
      <c r="Q125" s="72"/>
      <c r="R125" s="73"/>
    </row>
    <row r="126" spans="1:18" s="5" customFormat="1">
      <c r="A126" s="84"/>
      <c r="B126" s="73"/>
      <c r="C126" s="73"/>
      <c r="D126" s="72"/>
      <c r="E126" s="72"/>
      <c r="F126" s="72"/>
      <c r="G126" s="72"/>
      <c r="H126" s="72"/>
      <c r="I126" s="72"/>
      <c r="J126" s="72"/>
      <c r="K126" s="72"/>
      <c r="L126" s="72"/>
      <c r="M126" s="72"/>
      <c r="N126" s="72"/>
      <c r="O126" s="72"/>
      <c r="P126" s="72"/>
      <c r="Q126" s="72"/>
      <c r="R126" s="73"/>
    </row>
    <row r="127" spans="1:18" s="5" customFormat="1">
      <c r="A127" s="84"/>
      <c r="B127" s="73"/>
      <c r="C127" s="73"/>
      <c r="D127" s="72"/>
      <c r="E127" s="72"/>
      <c r="F127" s="72"/>
      <c r="G127" s="72"/>
      <c r="H127" s="72"/>
      <c r="I127" s="72"/>
      <c r="J127" s="72"/>
      <c r="K127" s="72"/>
      <c r="L127" s="72"/>
      <c r="M127" s="72"/>
      <c r="N127" s="72"/>
      <c r="O127" s="72"/>
      <c r="P127" s="72"/>
      <c r="Q127" s="72"/>
      <c r="R127" s="73"/>
    </row>
    <row r="128" spans="1:18" s="5" customFormat="1">
      <c r="A128" s="84"/>
      <c r="B128" s="73"/>
      <c r="C128" s="73"/>
      <c r="D128" s="72"/>
      <c r="E128" s="72"/>
      <c r="F128" s="72"/>
      <c r="G128" s="72"/>
      <c r="H128" s="72"/>
      <c r="I128" s="72"/>
      <c r="J128" s="72"/>
      <c r="K128" s="72"/>
      <c r="L128" s="72"/>
      <c r="M128" s="72"/>
      <c r="N128" s="72"/>
      <c r="O128" s="72"/>
      <c r="P128" s="72"/>
      <c r="Q128" s="72"/>
      <c r="R128" s="73"/>
    </row>
    <row r="129" spans="1:18" s="5" customFormat="1">
      <c r="A129" s="84"/>
      <c r="B129" s="73"/>
      <c r="C129" s="73"/>
      <c r="D129" s="72"/>
      <c r="E129" s="72"/>
      <c r="F129" s="72"/>
      <c r="G129" s="72"/>
      <c r="H129" s="72"/>
      <c r="I129" s="72"/>
      <c r="J129" s="72"/>
      <c r="K129" s="72"/>
      <c r="L129" s="72"/>
      <c r="M129" s="72"/>
      <c r="N129" s="72"/>
      <c r="O129" s="72"/>
      <c r="P129" s="72"/>
      <c r="Q129" s="72"/>
      <c r="R129" s="73"/>
    </row>
    <row r="130" spans="1:18" s="5" customFormat="1">
      <c r="A130" s="84"/>
      <c r="B130" s="73"/>
      <c r="C130" s="73"/>
      <c r="D130" s="72"/>
      <c r="E130" s="72"/>
      <c r="F130" s="72"/>
      <c r="G130" s="72"/>
      <c r="H130" s="72"/>
      <c r="I130" s="72"/>
      <c r="J130" s="72"/>
      <c r="K130" s="72"/>
      <c r="L130" s="72"/>
      <c r="M130" s="72"/>
      <c r="N130" s="72"/>
      <c r="O130" s="72"/>
      <c r="P130" s="72"/>
      <c r="Q130" s="72"/>
      <c r="R130" s="73"/>
    </row>
    <row r="131" spans="1:18" s="5" customFormat="1">
      <c r="A131" s="84"/>
      <c r="B131" s="73"/>
      <c r="C131" s="73"/>
      <c r="D131" s="72"/>
      <c r="E131" s="72"/>
      <c r="F131" s="72"/>
      <c r="G131" s="72"/>
      <c r="H131" s="72"/>
      <c r="I131" s="72"/>
      <c r="J131" s="72"/>
      <c r="K131" s="72"/>
      <c r="L131" s="72"/>
      <c r="M131" s="72"/>
      <c r="N131" s="72"/>
      <c r="O131" s="72"/>
      <c r="P131" s="72"/>
      <c r="Q131" s="72"/>
      <c r="R131" s="73"/>
    </row>
    <row r="132" spans="1:18" s="5" customFormat="1">
      <c r="A132" s="84"/>
      <c r="B132" s="73"/>
      <c r="C132" s="73"/>
      <c r="D132" s="72"/>
      <c r="E132" s="72"/>
      <c r="F132" s="72"/>
      <c r="G132" s="72"/>
      <c r="H132" s="72"/>
      <c r="I132" s="72"/>
      <c r="J132" s="72"/>
      <c r="K132" s="72"/>
      <c r="L132" s="72"/>
      <c r="M132" s="72"/>
      <c r="N132" s="72"/>
      <c r="O132" s="72"/>
      <c r="P132" s="72"/>
      <c r="Q132" s="72"/>
      <c r="R132" s="73"/>
    </row>
    <row r="133" spans="1:18" s="5" customFormat="1">
      <c r="A133" s="84"/>
      <c r="B133" s="73"/>
      <c r="C133" s="73"/>
      <c r="D133" s="72"/>
      <c r="E133" s="72"/>
      <c r="F133" s="72"/>
      <c r="G133" s="72"/>
      <c r="H133" s="72"/>
      <c r="I133" s="72"/>
      <c r="J133" s="72"/>
      <c r="K133" s="72"/>
      <c r="L133" s="72"/>
      <c r="M133" s="72"/>
      <c r="N133" s="72"/>
      <c r="O133" s="72"/>
      <c r="P133" s="72"/>
      <c r="Q133" s="72"/>
      <c r="R133" s="73"/>
    </row>
    <row r="134" spans="1:18" s="5" customFormat="1">
      <c r="A134" s="84"/>
      <c r="B134" s="73"/>
      <c r="C134" s="73"/>
      <c r="D134" s="72"/>
      <c r="E134" s="72"/>
      <c r="F134" s="72"/>
      <c r="G134" s="72"/>
      <c r="H134" s="72"/>
      <c r="I134" s="72"/>
      <c r="J134" s="72"/>
      <c r="K134" s="72"/>
      <c r="L134" s="72"/>
      <c r="M134" s="72"/>
      <c r="N134" s="72"/>
      <c r="O134" s="72"/>
      <c r="P134" s="72"/>
      <c r="Q134" s="72"/>
      <c r="R134" s="73"/>
    </row>
    <row r="135" spans="1:18" s="5" customFormat="1">
      <c r="A135" s="84"/>
      <c r="B135" s="73"/>
      <c r="C135" s="73"/>
      <c r="D135" s="72"/>
      <c r="E135" s="72"/>
      <c r="F135" s="72"/>
      <c r="G135" s="72"/>
      <c r="H135" s="72"/>
      <c r="I135" s="72"/>
      <c r="J135" s="72"/>
      <c r="K135" s="72"/>
      <c r="L135" s="72"/>
      <c r="M135" s="72"/>
      <c r="N135" s="72"/>
      <c r="O135" s="72"/>
      <c r="P135" s="72"/>
      <c r="Q135" s="72"/>
      <c r="R135" s="73"/>
    </row>
    <row r="136" spans="1:18" s="5" customFormat="1">
      <c r="A136" s="84"/>
      <c r="B136" s="73"/>
      <c r="C136" s="73"/>
      <c r="D136" s="72"/>
      <c r="E136" s="72"/>
      <c r="F136" s="72"/>
      <c r="G136" s="72"/>
      <c r="H136" s="72"/>
      <c r="I136" s="72"/>
      <c r="J136" s="72"/>
      <c r="K136" s="72"/>
      <c r="L136" s="72"/>
      <c r="M136" s="72"/>
      <c r="N136" s="72"/>
      <c r="O136" s="72"/>
      <c r="P136" s="72"/>
      <c r="Q136" s="72"/>
      <c r="R136" s="73"/>
    </row>
    <row r="137" spans="1:18" s="5" customFormat="1">
      <c r="A137" s="84"/>
      <c r="B137" s="73"/>
      <c r="C137" s="73"/>
      <c r="D137" s="72"/>
      <c r="E137" s="72"/>
      <c r="F137" s="72"/>
      <c r="G137" s="72"/>
      <c r="H137" s="72"/>
      <c r="I137" s="72"/>
      <c r="J137" s="72"/>
      <c r="K137" s="72"/>
      <c r="L137" s="72"/>
      <c r="M137" s="72"/>
      <c r="N137" s="72"/>
      <c r="O137" s="72"/>
      <c r="P137" s="72"/>
      <c r="Q137" s="72"/>
      <c r="R137" s="73"/>
    </row>
    <row r="138" spans="1:18" s="5" customFormat="1">
      <c r="A138" s="84"/>
      <c r="B138" s="73"/>
      <c r="C138" s="73"/>
      <c r="D138" s="72"/>
      <c r="E138" s="72"/>
      <c r="F138" s="72"/>
      <c r="G138" s="72"/>
      <c r="H138" s="72"/>
      <c r="I138" s="72"/>
      <c r="J138" s="72"/>
      <c r="K138" s="72"/>
      <c r="L138" s="72"/>
      <c r="M138" s="72"/>
      <c r="N138" s="72"/>
      <c r="O138" s="72"/>
      <c r="P138" s="72"/>
      <c r="Q138" s="72"/>
      <c r="R138" s="73"/>
    </row>
    <row r="139" spans="1:18" s="5" customFormat="1">
      <c r="A139" s="84"/>
      <c r="B139" s="73"/>
      <c r="C139" s="73"/>
      <c r="D139" s="72"/>
      <c r="E139" s="72"/>
      <c r="F139" s="72"/>
      <c r="G139" s="72"/>
      <c r="H139" s="72"/>
      <c r="I139" s="72"/>
      <c r="J139" s="72"/>
      <c r="K139" s="72"/>
      <c r="L139" s="72"/>
      <c r="M139" s="72"/>
      <c r="N139" s="72"/>
      <c r="O139" s="72"/>
      <c r="P139" s="72"/>
      <c r="Q139" s="72"/>
      <c r="R139" s="73"/>
    </row>
    <row r="140" spans="1:18" s="5" customFormat="1">
      <c r="A140" s="84"/>
      <c r="B140" s="73"/>
      <c r="C140" s="73"/>
      <c r="D140" s="72"/>
      <c r="E140" s="72"/>
      <c r="F140" s="72"/>
      <c r="G140" s="72"/>
      <c r="H140" s="72"/>
      <c r="I140" s="72"/>
      <c r="J140" s="72"/>
      <c r="K140" s="72"/>
      <c r="L140" s="72"/>
      <c r="M140" s="72"/>
      <c r="N140" s="72"/>
      <c r="O140" s="72"/>
      <c r="P140" s="72"/>
      <c r="Q140" s="72"/>
      <c r="R140" s="73"/>
    </row>
    <row r="141" spans="1:18" s="5" customFormat="1">
      <c r="A141" s="84"/>
      <c r="B141" s="73"/>
      <c r="C141" s="73"/>
      <c r="D141" s="72"/>
      <c r="E141" s="72"/>
      <c r="F141" s="72"/>
      <c r="G141" s="72"/>
      <c r="H141" s="72"/>
      <c r="I141" s="72"/>
      <c r="J141" s="72"/>
      <c r="K141" s="72"/>
      <c r="L141" s="72"/>
      <c r="M141" s="72"/>
      <c r="N141" s="72"/>
      <c r="O141" s="72"/>
      <c r="P141" s="72"/>
      <c r="Q141" s="72"/>
      <c r="R141" s="73"/>
    </row>
    <row r="142" spans="1:18" s="5" customFormat="1">
      <c r="A142" s="84"/>
      <c r="B142" s="73"/>
      <c r="C142" s="73"/>
      <c r="D142" s="72"/>
      <c r="E142" s="72"/>
      <c r="F142" s="72"/>
      <c r="G142" s="72"/>
      <c r="H142" s="72"/>
      <c r="I142" s="72"/>
      <c r="J142" s="72"/>
      <c r="K142" s="72"/>
      <c r="L142" s="72"/>
      <c r="M142" s="72"/>
      <c r="N142" s="72"/>
      <c r="O142" s="72"/>
      <c r="P142" s="72"/>
      <c r="Q142" s="72"/>
      <c r="R142" s="73"/>
    </row>
    <row r="143" spans="1:18" s="5" customFormat="1">
      <c r="A143" s="84"/>
      <c r="B143" s="73"/>
      <c r="C143" s="73"/>
      <c r="D143" s="72"/>
      <c r="E143" s="72"/>
      <c r="F143" s="72"/>
      <c r="G143" s="72"/>
      <c r="H143" s="72"/>
      <c r="I143" s="72"/>
      <c r="J143" s="72"/>
      <c r="K143" s="72"/>
      <c r="L143" s="72"/>
      <c r="M143" s="72"/>
      <c r="N143" s="72"/>
      <c r="O143" s="72"/>
      <c r="P143" s="72"/>
      <c r="Q143" s="72"/>
      <c r="R143" s="73"/>
    </row>
    <row r="144" spans="1:18" s="5" customFormat="1">
      <c r="A144" s="84"/>
      <c r="B144" s="73"/>
      <c r="C144" s="73"/>
      <c r="D144" s="72"/>
      <c r="E144" s="72"/>
      <c r="F144" s="72"/>
      <c r="G144" s="72"/>
      <c r="H144" s="72"/>
      <c r="I144" s="72"/>
      <c r="J144" s="72"/>
      <c r="K144" s="72"/>
      <c r="L144" s="72"/>
      <c r="M144" s="72"/>
      <c r="N144" s="72"/>
      <c r="O144" s="72"/>
      <c r="P144" s="72"/>
      <c r="Q144" s="72"/>
      <c r="R144" s="73"/>
    </row>
    <row r="145" spans="1:18" s="5" customFormat="1">
      <c r="A145" s="84"/>
      <c r="B145" s="73"/>
      <c r="C145" s="73"/>
      <c r="D145" s="72"/>
      <c r="E145" s="72"/>
      <c r="F145" s="72"/>
      <c r="G145" s="72"/>
      <c r="H145" s="72"/>
      <c r="I145" s="72"/>
      <c r="J145" s="72"/>
      <c r="K145" s="72"/>
      <c r="L145" s="72"/>
      <c r="M145" s="72"/>
      <c r="N145" s="72"/>
      <c r="O145" s="72"/>
      <c r="P145" s="72"/>
      <c r="Q145" s="72"/>
      <c r="R145" s="73"/>
    </row>
    <row r="146" spans="1:18" s="5" customFormat="1">
      <c r="A146" s="84"/>
      <c r="B146" s="73"/>
      <c r="C146" s="73"/>
      <c r="D146" s="72"/>
      <c r="E146" s="72"/>
      <c r="F146" s="72"/>
      <c r="G146" s="72"/>
      <c r="H146" s="72"/>
      <c r="I146" s="72"/>
      <c r="J146" s="72"/>
      <c r="K146" s="72"/>
      <c r="L146" s="72"/>
      <c r="M146" s="72"/>
      <c r="N146" s="72"/>
      <c r="O146" s="72"/>
      <c r="P146" s="72"/>
      <c r="Q146" s="72"/>
      <c r="R146" s="73"/>
    </row>
    <row r="147" spans="1:18" s="5" customFormat="1">
      <c r="A147" s="84"/>
      <c r="B147" s="73"/>
      <c r="C147" s="73"/>
      <c r="D147" s="72"/>
      <c r="E147" s="72"/>
      <c r="F147" s="72"/>
      <c r="G147" s="72"/>
      <c r="H147" s="72"/>
      <c r="I147" s="72"/>
      <c r="J147" s="72"/>
      <c r="K147" s="72"/>
      <c r="L147" s="72"/>
      <c r="M147" s="72"/>
      <c r="N147" s="72"/>
      <c r="O147" s="72"/>
      <c r="P147" s="72"/>
      <c r="Q147" s="72"/>
      <c r="R147" s="73"/>
    </row>
    <row r="148" spans="1:18" s="5" customFormat="1">
      <c r="A148" s="84"/>
      <c r="B148" s="73"/>
      <c r="C148" s="73"/>
      <c r="D148" s="72"/>
      <c r="E148" s="72"/>
      <c r="F148" s="72"/>
      <c r="G148" s="72"/>
      <c r="H148" s="72"/>
      <c r="I148" s="72"/>
      <c r="J148" s="72"/>
      <c r="K148" s="72"/>
      <c r="L148" s="72"/>
      <c r="M148" s="72"/>
      <c r="N148" s="72"/>
      <c r="O148" s="72"/>
      <c r="P148" s="72"/>
      <c r="Q148" s="72"/>
      <c r="R148" s="73"/>
    </row>
    <row r="149" spans="1:18" s="5" customFormat="1">
      <c r="A149" s="84"/>
      <c r="B149" s="73"/>
      <c r="C149" s="73"/>
      <c r="D149" s="72"/>
      <c r="E149" s="72"/>
      <c r="F149" s="72"/>
      <c r="G149" s="72"/>
      <c r="H149" s="72"/>
      <c r="I149" s="72"/>
      <c r="J149" s="72"/>
      <c r="K149" s="72"/>
      <c r="L149" s="72"/>
      <c r="M149" s="72"/>
      <c r="N149" s="72"/>
      <c r="O149" s="72"/>
      <c r="P149" s="72"/>
      <c r="Q149" s="72"/>
      <c r="R149" s="73"/>
    </row>
    <row r="150" spans="1:18" s="5" customFormat="1">
      <c r="A150" s="84"/>
      <c r="B150" s="73"/>
      <c r="C150" s="73"/>
      <c r="D150" s="72"/>
      <c r="E150" s="72"/>
      <c r="F150" s="72"/>
      <c r="G150" s="72"/>
      <c r="H150" s="72"/>
      <c r="I150" s="72"/>
      <c r="J150" s="72"/>
      <c r="K150" s="72"/>
      <c r="L150" s="72"/>
      <c r="M150" s="72"/>
      <c r="N150" s="72"/>
      <c r="O150" s="72"/>
      <c r="P150" s="72"/>
      <c r="Q150" s="72"/>
      <c r="R150" s="73"/>
    </row>
    <row r="151" spans="1:18" s="5" customFormat="1">
      <c r="A151" s="84"/>
      <c r="B151" s="73"/>
      <c r="C151" s="73"/>
      <c r="D151" s="72"/>
      <c r="E151" s="72"/>
      <c r="F151" s="72"/>
      <c r="G151" s="72"/>
      <c r="H151" s="72"/>
      <c r="I151" s="72"/>
      <c r="J151" s="72"/>
      <c r="K151" s="72"/>
      <c r="L151" s="72"/>
      <c r="M151" s="72"/>
      <c r="N151" s="72"/>
      <c r="O151" s="72"/>
      <c r="P151" s="72"/>
      <c r="Q151" s="72"/>
      <c r="R151" s="73"/>
    </row>
    <row r="152" spans="1:18" s="5" customFormat="1">
      <c r="A152" s="84"/>
      <c r="B152" s="73"/>
      <c r="C152" s="73"/>
      <c r="D152" s="72"/>
      <c r="E152" s="72"/>
      <c r="F152" s="72"/>
      <c r="G152" s="72"/>
      <c r="H152" s="72"/>
      <c r="I152" s="72"/>
      <c r="J152" s="72"/>
      <c r="K152" s="72"/>
      <c r="L152" s="72"/>
      <c r="M152" s="72"/>
      <c r="N152" s="72"/>
      <c r="O152" s="72"/>
      <c r="P152" s="72"/>
      <c r="Q152" s="72"/>
      <c r="R152" s="73"/>
    </row>
    <row r="153" spans="1:18" s="5" customFormat="1">
      <c r="A153" s="84"/>
      <c r="B153" s="73"/>
      <c r="C153" s="73"/>
      <c r="D153" s="72"/>
      <c r="E153" s="72"/>
      <c r="F153" s="72"/>
      <c r="G153" s="72"/>
      <c r="H153" s="72"/>
      <c r="I153" s="72"/>
      <c r="J153" s="72"/>
      <c r="K153" s="72"/>
      <c r="L153" s="72"/>
      <c r="M153" s="72"/>
      <c r="N153" s="72"/>
      <c r="O153" s="72"/>
      <c r="P153" s="72"/>
      <c r="Q153" s="72"/>
      <c r="R153" s="73"/>
    </row>
    <row r="154" spans="1:18" s="5" customFormat="1">
      <c r="A154" s="84"/>
      <c r="B154" s="73"/>
      <c r="C154" s="73"/>
      <c r="D154" s="72"/>
      <c r="E154" s="72"/>
      <c r="F154" s="72"/>
      <c r="G154" s="72"/>
      <c r="H154" s="72"/>
      <c r="I154" s="72"/>
      <c r="J154" s="72"/>
      <c r="K154" s="72"/>
      <c r="L154" s="72"/>
      <c r="M154" s="72"/>
      <c r="N154" s="72"/>
      <c r="O154" s="72"/>
      <c r="P154" s="72"/>
      <c r="Q154" s="72"/>
      <c r="R154" s="73"/>
    </row>
    <row r="155" spans="1:18" s="5" customFormat="1">
      <c r="A155" s="84"/>
      <c r="B155" s="73"/>
      <c r="C155" s="73"/>
      <c r="D155" s="72"/>
      <c r="E155" s="72"/>
      <c r="F155" s="72"/>
      <c r="G155" s="72"/>
      <c r="H155" s="72"/>
      <c r="I155" s="72"/>
      <c r="J155" s="72"/>
      <c r="K155" s="72"/>
      <c r="L155" s="72"/>
      <c r="M155" s="72"/>
      <c r="N155" s="72"/>
      <c r="O155" s="72"/>
      <c r="P155" s="72"/>
      <c r="Q155" s="72"/>
      <c r="R155" s="73"/>
    </row>
    <row r="156" spans="1:18" s="5" customFormat="1">
      <c r="A156" s="84"/>
      <c r="B156" s="73"/>
      <c r="C156" s="73"/>
      <c r="D156" s="72"/>
      <c r="E156" s="72"/>
      <c r="F156" s="72"/>
      <c r="G156" s="72"/>
      <c r="H156" s="72"/>
      <c r="I156" s="72"/>
      <c r="J156" s="72"/>
      <c r="K156" s="72"/>
      <c r="L156" s="72"/>
      <c r="M156" s="72"/>
      <c r="N156" s="72"/>
      <c r="O156" s="72"/>
      <c r="P156" s="72"/>
      <c r="Q156" s="72"/>
      <c r="R156" s="73"/>
    </row>
    <row r="157" spans="1:18" s="5" customFormat="1">
      <c r="A157" s="84"/>
      <c r="B157" s="73"/>
      <c r="C157" s="73"/>
      <c r="D157" s="72"/>
      <c r="E157" s="72"/>
      <c r="F157" s="72"/>
      <c r="G157" s="72"/>
      <c r="H157" s="72"/>
      <c r="I157" s="72"/>
      <c r="J157" s="72"/>
      <c r="K157" s="72"/>
      <c r="L157" s="72"/>
      <c r="M157" s="72"/>
      <c r="N157" s="72"/>
      <c r="O157" s="72"/>
      <c r="P157" s="72"/>
      <c r="Q157" s="72"/>
      <c r="R157" s="73"/>
    </row>
    <row r="158" spans="1:18" s="5" customFormat="1">
      <c r="A158" s="84"/>
      <c r="B158" s="73"/>
      <c r="C158" s="73"/>
      <c r="D158" s="72"/>
      <c r="E158" s="72"/>
      <c r="F158" s="72"/>
      <c r="G158" s="72"/>
      <c r="H158" s="72"/>
      <c r="I158" s="72"/>
      <c r="J158" s="72"/>
      <c r="K158" s="72"/>
      <c r="L158" s="72"/>
      <c r="M158" s="72"/>
      <c r="N158" s="72"/>
      <c r="O158" s="72"/>
      <c r="P158" s="72"/>
      <c r="Q158" s="72"/>
      <c r="R158" s="73"/>
    </row>
    <row r="159" spans="1:18" s="5" customFormat="1">
      <c r="A159" s="84"/>
      <c r="B159" s="73"/>
      <c r="C159" s="73"/>
      <c r="D159" s="72"/>
      <c r="E159" s="72"/>
      <c r="F159" s="72"/>
      <c r="G159" s="72"/>
      <c r="H159" s="72"/>
      <c r="I159" s="72"/>
      <c r="J159" s="72"/>
      <c r="K159" s="72"/>
      <c r="L159" s="72"/>
      <c r="M159" s="72"/>
      <c r="N159" s="72"/>
      <c r="O159" s="72"/>
      <c r="P159" s="72"/>
      <c r="Q159" s="72"/>
      <c r="R159" s="73"/>
    </row>
    <row r="160" spans="1:18" s="5" customFormat="1">
      <c r="A160" s="84"/>
      <c r="B160" s="73"/>
      <c r="C160" s="73"/>
      <c r="D160" s="72"/>
      <c r="E160" s="72"/>
      <c r="F160" s="72"/>
      <c r="G160" s="72"/>
      <c r="H160" s="72"/>
      <c r="I160" s="72"/>
      <c r="J160" s="72"/>
      <c r="K160" s="72"/>
      <c r="L160" s="72"/>
      <c r="M160" s="72"/>
      <c r="N160" s="72"/>
      <c r="O160" s="72"/>
      <c r="P160" s="72"/>
      <c r="Q160" s="72"/>
      <c r="R160" s="73"/>
    </row>
    <row r="161" spans="1:18" s="5" customFormat="1">
      <c r="A161" s="84"/>
      <c r="B161" s="73"/>
      <c r="C161" s="73"/>
      <c r="D161" s="72"/>
      <c r="E161" s="72"/>
      <c r="F161" s="72"/>
      <c r="G161" s="72"/>
      <c r="H161" s="72"/>
      <c r="I161" s="72"/>
      <c r="J161" s="72"/>
      <c r="K161" s="72"/>
      <c r="L161" s="72"/>
      <c r="M161" s="72"/>
      <c r="N161" s="72"/>
      <c r="O161" s="72"/>
      <c r="P161" s="72"/>
      <c r="Q161" s="72"/>
      <c r="R161" s="73"/>
    </row>
    <row r="162" spans="1:18" s="5" customFormat="1">
      <c r="A162" s="84"/>
      <c r="B162" s="73"/>
      <c r="C162" s="73"/>
      <c r="D162" s="72"/>
      <c r="E162" s="72"/>
      <c r="F162" s="72"/>
      <c r="G162" s="72"/>
      <c r="H162" s="72"/>
      <c r="I162" s="72"/>
      <c r="J162" s="72"/>
      <c r="K162" s="72"/>
      <c r="L162" s="72"/>
      <c r="M162" s="72"/>
      <c r="N162" s="72"/>
      <c r="O162" s="72"/>
      <c r="P162" s="72"/>
      <c r="Q162" s="72"/>
      <c r="R162" s="73"/>
    </row>
    <row r="163" spans="1:18" s="5" customFormat="1">
      <c r="A163" s="84"/>
      <c r="B163" s="73"/>
      <c r="C163" s="73"/>
      <c r="D163" s="72"/>
      <c r="E163" s="72"/>
      <c r="F163" s="72"/>
      <c r="G163" s="72"/>
      <c r="H163" s="72"/>
      <c r="I163" s="72"/>
      <c r="J163" s="72"/>
      <c r="K163" s="72"/>
      <c r="L163" s="72"/>
      <c r="M163" s="72"/>
      <c r="N163" s="72"/>
      <c r="O163" s="72"/>
      <c r="P163" s="72"/>
      <c r="Q163" s="72"/>
      <c r="R163" s="73"/>
    </row>
    <row r="164" spans="1:18" s="5" customFormat="1">
      <c r="A164" s="84"/>
      <c r="B164" s="73"/>
      <c r="C164" s="73"/>
      <c r="D164" s="72"/>
      <c r="E164" s="72"/>
      <c r="F164" s="72"/>
      <c r="G164" s="72"/>
      <c r="H164" s="72"/>
      <c r="I164" s="72"/>
      <c r="J164" s="72"/>
      <c r="K164" s="72"/>
      <c r="L164" s="72"/>
      <c r="M164" s="72"/>
      <c r="N164" s="72"/>
      <c r="O164" s="72"/>
      <c r="P164" s="72"/>
      <c r="Q164" s="72"/>
      <c r="R164" s="73"/>
    </row>
    <row r="165" spans="1:18" s="5" customFormat="1">
      <c r="A165" s="84"/>
      <c r="B165" s="73"/>
      <c r="C165" s="73"/>
      <c r="D165" s="72"/>
      <c r="E165" s="72"/>
      <c r="F165" s="72"/>
      <c r="G165" s="72"/>
      <c r="H165" s="72"/>
      <c r="I165" s="72"/>
      <c r="J165" s="72"/>
      <c r="K165" s="72"/>
      <c r="L165" s="72"/>
      <c r="M165" s="72"/>
      <c r="N165" s="72"/>
      <c r="O165" s="72"/>
      <c r="P165" s="72"/>
      <c r="Q165" s="72"/>
      <c r="R165" s="73"/>
    </row>
    <row r="166" spans="1:18" s="5" customFormat="1">
      <c r="A166" s="84"/>
      <c r="B166" s="73"/>
      <c r="C166" s="73"/>
      <c r="D166" s="72"/>
      <c r="E166" s="72"/>
      <c r="F166" s="72"/>
      <c r="G166" s="72"/>
      <c r="H166" s="72"/>
      <c r="I166" s="72"/>
      <c r="J166" s="72"/>
      <c r="K166" s="72"/>
      <c r="L166" s="72"/>
      <c r="M166" s="72"/>
      <c r="N166" s="72"/>
      <c r="O166" s="72"/>
      <c r="P166" s="72"/>
      <c r="Q166" s="72"/>
      <c r="R166" s="73"/>
    </row>
    <row r="167" spans="1:18" s="5" customFormat="1">
      <c r="A167" s="84"/>
      <c r="B167" s="73"/>
      <c r="C167" s="73"/>
      <c r="D167" s="72"/>
      <c r="E167" s="72"/>
      <c r="F167" s="72"/>
      <c r="G167" s="72"/>
      <c r="H167" s="72"/>
      <c r="I167" s="72"/>
      <c r="J167" s="72"/>
      <c r="K167" s="72"/>
      <c r="L167" s="72"/>
      <c r="M167" s="72"/>
      <c r="N167" s="72"/>
      <c r="O167" s="72"/>
      <c r="P167" s="72"/>
      <c r="Q167" s="72"/>
      <c r="R167" s="73"/>
    </row>
    <row r="168" spans="1:18" s="5" customFormat="1">
      <c r="A168" s="84"/>
      <c r="B168" s="73"/>
      <c r="C168" s="73"/>
      <c r="D168" s="72"/>
      <c r="E168" s="72"/>
      <c r="F168" s="72"/>
      <c r="G168" s="72"/>
      <c r="H168" s="72"/>
      <c r="I168" s="72"/>
      <c r="J168" s="72"/>
      <c r="K168" s="72"/>
      <c r="L168" s="72"/>
      <c r="M168" s="72"/>
      <c r="N168" s="72"/>
      <c r="O168" s="72"/>
      <c r="P168" s="72"/>
      <c r="Q168" s="72"/>
      <c r="R168" s="73"/>
    </row>
    <row r="169" spans="1:18" s="5" customFormat="1">
      <c r="A169" s="84"/>
      <c r="B169" s="73"/>
      <c r="C169" s="73"/>
      <c r="D169" s="72"/>
      <c r="E169" s="72"/>
      <c r="F169" s="72"/>
      <c r="G169" s="72"/>
      <c r="H169" s="72"/>
      <c r="I169" s="72"/>
      <c r="J169" s="72"/>
      <c r="K169" s="72"/>
      <c r="L169" s="72"/>
      <c r="M169" s="72"/>
      <c r="N169" s="72"/>
      <c r="O169" s="72"/>
      <c r="P169" s="72"/>
      <c r="Q169" s="72"/>
      <c r="R169" s="73"/>
    </row>
    <row r="170" spans="1:18" s="5" customFormat="1">
      <c r="A170" s="84"/>
      <c r="B170" s="73"/>
      <c r="C170" s="73"/>
      <c r="D170" s="72"/>
      <c r="E170" s="72"/>
      <c r="F170" s="72"/>
      <c r="G170" s="72"/>
      <c r="H170" s="72"/>
      <c r="I170" s="72"/>
      <c r="J170" s="72"/>
      <c r="K170" s="72"/>
      <c r="L170" s="72"/>
      <c r="M170" s="72"/>
      <c r="N170" s="72"/>
      <c r="O170" s="72"/>
      <c r="P170" s="72"/>
      <c r="Q170" s="72"/>
      <c r="R170" s="73"/>
    </row>
    <row r="171" spans="1:18" s="5" customFormat="1">
      <c r="A171" s="84"/>
      <c r="B171" s="73"/>
      <c r="C171" s="73"/>
      <c r="D171" s="72"/>
      <c r="E171" s="72"/>
      <c r="F171" s="72"/>
      <c r="G171" s="72"/>
      <c r="H171" s="72"/>
      <c r="I171" s="72"/>
      <c r="J171" s="72"/>
      <c r="K171" s="72"/>
      <c r="L171" s="72"/>
      <c r="M171" s="72"/>
      <c r="N171" s="72"/>
      <c r="O171" s="72"/>
      <c r="P171" s="72"/>
      <c r="Q171" s="72"/>
      <c r="R171" s="73"/>
    </row>
    <row r="172" spans="1:18" s="5" customFormat="1">
      <c r="A172" s="84"/>
      <c r="B172" s="73"/>
      <c r="C172" s="73"/>
      <c r="D172" s="72"/>
      <c r="E172" s="72"/>
      <c r="F172" s="72"/>
      <c r="G172" s="72"/>
      <c r="H172" s="72"/>
      <c r="I172" s="72"/>
      <c r="J172" s="72"/>
      <c r="K172" s="72"/>
      <c r="L172" s="72"/>
      <c r="M172" s="72"/>
      <c r="N172" s="72"/>
      <c r="O172" s="72"/>
      <c r="P172" s="72"/>
      <c r="Q172" s="72"/>
      <c r="R172" s="73"/>
    </row>
    <row r="173" spans="1:18" s="5" customFormat="1">
      <c r="A173" s="84"/>
      <c r="B173" s="73"/>
      <c r="C173" s="73"/>
      <c r="D173" s="72"/>
      <c r="E173" s="72"/>
      <c r="F173" s="72"/>
      <c r="G173" s="72"/>
      <c r="H173" s="72"/>
      <c r="I173" s="72"/>
      <c r="J173" s="72"/>
      <c r="K173" s="72"/>
      <c r="L173" s="72"/>
      <c r="M173" s="72"/>
      <c r="N173" s="72"/>
      <c r="O173" s="72"/>
      <c r="P173" s="72"/>
      <c r="Q173" s="72"/>
      <c r="R173" s="73"/>
    </row>
    <row r="174" spans="1:18" s="5" customFormat="1">
      <c r="A174" s="84"/>
      <c r="B174" s="73"/>
      <c r="C174" s="73"/>
      <c r="D174" s="72"/>
      <c r="E174" s="72"/>
      <c r="F174" s="72"/>
      <c r="G174" s="72"/>
      <c r="H174" s="72"/>
      <c r="I174" s="72"/>
      <c r="J174" s="72"/>
      <c r="K174" s="72"/>
      <c r="L174" s="72"/>
      <c r="M174" s="72"/>
      <c r="N174" s="72"/>
      <c r="O174" s="72"/>
      <c r="P174" s="72"/>
      <c r="Q174" s="72"/>
      <c r="R174" s="73"/>
    </row>
    <row r="175" spans="1:18" s="5" customFormat="1">
      <c r="A175" s="84"/>
      <c r="B175" s="73"/>
      <c r="C175" s="73"/>
      <c r="D175" s="72"/>
      <c r="E175" s="72"/>
      <c r="F175" s="72"/>
      <c r="G175" s="72"/>
      <c r="H175" s="72"/>
      <c r="I175" s="72"/>
      <c r="J175" s="72"/>
      <c r="K175" s="72"/>
      <c r="L175" s="72"/>
      <c r="M175" s="72"/>
      <c r="N175" s="72"/>
      <c r="O175" s="72"/>
      <c r="P175" s="72"/>
      <c r="Q175" s="72"/>
      <c r="R175" s="73"/>
    </row>
    <row r="176" spans="1:18" s="5" customFormat="1">
      <c r="A176" s="84"/>
      <c r="B176" s="73"/>
      <c r="C176" s="73"/>
      <c r="D176" s="72"/>
      <c r="E176" s="72"/>
      <c r="F176" s="72"/>
      <c r="G176" s="72"/>
      <c r="H176" s="72"/>
      <c r="I176" s="72"/>
      <c r="J176" s="72"/>
      <c r="K176" s="72"/>
      <c r="L176" s="72"/>
      <c r="M176" s="72"/>
      <c r="N176" s="72"/>
      <c r="O176" s="72"/>
      <c r="P176" s="72"/>
      <c r="Q176" s="72"/>
      <c r="R176" s="73"/>
    </row>
    <row r="177" spans="1:18" s="5" customFormat="1">
      <c r="A177" s="84"/>
      <c r="B177" s="73"/>
      <c r="C177" s="73"/>
      <c r="D177" s="72"/>
      <c r="E177" s="72"/>
      <c r="F177" s="72"/>
      <c r="G177" s="72"/>
      <c r="H177" s="72"/>
      <c r="I177" s="72"/>
      <c r="J177" s="72"/>
      <c r="K177" s="72"/>
      <c r="L177" s="72"/>
      <c r="M177" s="72"/>
      <c r="N177" s="72"/>
      <c r="O177" s="72"/>
      <c r="P177" s="72"/>
      <c r="Q177" s="72"/>
      <c r="R177" s="73"/>
    </row>
    <row r="178" spans="1:18" s="5" customFormat="1">
      <c r="A178" s="84"/>
      <c r="B178" s="73"/>
      <c r="C178" s="73"/>
      <c r="D178" s="72"/>
      <c r="E178" s="72"/>
      <c r="F178" s="72"/>
      <c r="G178" s="72"/>
      <c r="H178" s="72"/>
      <c r="I178" s="72"/>
      <c r="J178" s="72"/>
      <c r="K178" s="72"/>
      <c r="L178" s="72"/>
      <c r="M178" s="72"/>
      <c r="N178" s="72"/>
      <c r="O178" s="72"/>
      <c r="P178" s="72"/>
      <c r="Q178" s="72"/>
      <c r="R178" s="73"/>
    </row>
    <row r="179" spans="1:18" s="5" customFormat="1">
      <c r="A179" s="84"/>
      <c r="B179" s="73"/>
      <c r="C179" s="73"/>
      <c r="D179" s="72"/>
      <c r="E179" s="72"/>
      <c r="F179" s="72"/>
      <c r="G179" s="72"/>
      <c r="H179" s="72"/>
      <c r="I179" s="72"/>
      <c r="J179" s="72"/>
      <c r="K179" s="72"/>
      <c r="L179" s="72"/>
      <c r="M179" s="72"/>
      <c r="N179" s="72"/>
      <c r="O179" s="72"/>
      <c r="P179" s="72"/>
      <c r="Q179" s="72"/>
      <c r="R179" s="73"/>
    </row>
    <row r="180" spans="1:18" s="5" customFormat="1">
      <c r="A180" s="84"/>
      <c r="B180" s="73"/>
      <c r="C180" s="73"/>
      <c r="D180" s="72"/>
      <c r="E180" s="72"/>
      <c r="F180" s="72"/>
      <c r="G180" s="72"/>
      <c r="H180" s="72"/>
      <c r="I180" s="72"/>
      <c r="J180" s="72"/>
      <c r="K180" s="72"/>
      <c r="L180" s="72"/>
      <c r="M180" s="72"/>
      <c r="N180" s="72"/>
      <c r="O180" s="72"/>
      <c r="P180" s="72"/>
      <c r="Q180" s="72"/>
      <c r="R180" s="73"/>
    </row>
    <row r="181" spans="1:18" s="5" customFormat="1">
      <c r="A181" s="84"/>
      <c r="B181" s="73"/>
      <c r="C181" s="73"/>
      <c r="D181" s="72"/>
      <c r="E181" s="72"/>
      <c r="F181" s="72"/>
      <c r="G181" s="72"/>
      <c r="H181" s="72"/>
      <c r="I181" s="72"/>
      <c r="J181" s="72"/>
      <c r="K181" s="72"/>
      <c r="L181" s="72"/>
      <c r="M181" s="72"/>
      <c r="N181" s="72"/>
      <c r="O181" s="72"/>
      <c r="P181" s="72"/>
      <c r="Q181" s="72"/>
      <c r="R181" s="73"/>
    </row>
    <row r="182" spans="1:18" s="5" customFormat="1">
      <c r="A182" s="84"/>
      <c r="B182" s="73"/>
      <c r="C182" s="73"/>
      <c r="D182" s="72"/>
      <c r="E182" s="72"/>
      <c r="F182" s="72"/>
      <c r="G182" s="72"/>
      <c r="H182" s="72"/>
      <c r="I182" s="72"/>
      <c r="J182" s="72"/>
      <c r="K182" s="72"/>
      <c r="L182" s="72"/>
      <c r="M182" s="72"/>
      <c r="N182" s="72"/>
      <c r="O182" s="72"/>
      <c r="P182" s="72"/>
      <c r="Q182" s="72"/>
      <c r="R182" s="73"/>
    </row>
    <row r="183" spans="1:18" s="5" customFormat="1">
      <c r="A183" s="84"/>
      <c r="B183" s="73"/>
      <c r="C183" s="73"/>
      <c r="D183" s="72"/>
      <c r="E183" s="72"/>
      <c r="F183" s="72"/>
      <c r="G183" s="72"/>
      <c r="H183" s="72"/>
      <c r="I183" s="72"/>
      <c r="J183" s="72"/>
      <c r="K183" s="72"/>
      <c r="L183" s="72"/>
      <c r="M183" s="72"/>
      <c r="N183" s="72"/>
      <c r="O183" s="72"/>
      <c r="P183" s="72"/>
      <c r="Q183" s="72"/>
      <c r="R183" s="73"/>
    </row>
    <row r="184" spans="1:18" s="5" customFormat="1">
      <c r="A184" s="84"/>
      <c r="B184" s="73"/>
      <c r="C184" s="73"/>
      <c r="D184" s="72"/>
      <c r="E184" s="72"/>
      <c r="F184" s="72"/>
      <c r="G184" s="72"/>
      <c r="H184" s="72"/>
      <c r="I184" s="72"/>
      <c r="J184" s="72"/>
      <c r="K184" s="72"/>
      <c r="L184" s="72"/>
      <c r="M184" s="72"/>
      <c r="N184" s="72"/>
      <c r="O184" s="72"/>
      <c r="P184" s="72"/>
      <c r="Q184" s="72"/>
      <c r="R184" s="73"/>
    </row>
    <row r="185" spans="1:18" s="5" customFormat="1">
      <c r="A185" s="84"/>
      <c r="B185" s="73"/>
      <c r="C185" s="73"/>
      <c r="D185" s="72"/>
      <c r="E185" s="72"/>
      <c r="F185" s="72"/>
      <c r="G185" s="72"/>
      <c r="H185" s="72"/>
      <c r="I185" s="72"/>
      <c r="J185" s="72"/>
      <c r="K185" s="72"/>
      <c r="L185" s="72"/>
      <c r="M185" s="72"/>
      <c r="N185" s="72"/>
      <c r="O185" s="72"/>
      <c r="P185" s="72"/>
      <c r="Q185" s="72"/>
      <c r="R185" s="73"/>
    </row>
    <row r="186" spans="1:18" s="5" customFormat="1">
      <c r="A186" s="84"/>
      <c r="B186" s="73"/>
      <c r="C186" s="73"/>
      <c r="D186" s="72"/>
      <c r="E186" s="72"/>
      <c r="F186" s="72"/>
      <c r="G186" s="72"/>
      <c r="H186" s="72"/>
      <c r="I186" s="72"/>
      <c r="J186" s="72"/>
      <c r="K186" s="72"/>
      <c r="L186" s="72"/>
      <c r="M186" s="72"/>
      <c r="N186" s="72"/>
      <c r="O186" s="72"/>
      <c r="P186" s="72"/>
      <c r="Q186" s="72"/>
      <c r="R186" s="73"/>
    </row>
    <row r="187" spans="1:18" s="5" customFormat="1">
      <c r="A187" s="84"/>
      <c r="B187" s="73"/>
      <c r="C187" s="73"/>
      <c r="D187" s="72"/>
      <c r="E187" s="72"/>
      <c r="F187" s="72"/>
      <c r="G187" s="72"/>
      <c r="H187" s="72"/>
      <c r="I187" s="72"/>
      <c r="J187" s="72"/>
      <c r="K187" s="72"/>
      <c r="L187" s="72"/>
      <c r="M187" s="72"/>
      <c r="N187" s="72"/>
      <c r="O187" s="72"/>
      <c r="P187" s="72"/>
      <c r="Q187" s="72"/>
      <c r="R187" s="73"/>
    </row>
    <row r="188" spans="1:18" s="5" customFormat="1">
      <c r="A188" s="84"/>
      <c r="B188" s="73"/>
      <c r="C188" s="73"/>
      <c r="D188" s="72"/>
      <c r="E188" s="72"/>
      <c r="F188" s="72"/>
      <c r="G188" s="72"/>
      <c r="H188" s="72"/>
      <c r="I188" s="72"/>
      <c r="J188" s="72"/>
      <c r="K188" s="72"/>
      <c r="L188" s="72"/>
      <c r="M188" s="72"/>
      <c r="N188" s="72"/>
      <c r="O188" s="72"/>
      <c r="P188" s="72"/>
      <c r="Q188" s="72"/>
      <c r="R188" s="73"/>
    </row>
    <row r="189" spans="1:18" s="5" customFormat="1">
      <c r="A189" s="84"/>
      <c r="B189" s="73"/>
      <c r="C189" s="73"/>
      <c r="D189" s="72"/>
      <c r="E189" s="72"/>
      <c r="F189" s="72"/>
      <c r="G189" s="72"/>
      <c r="H189" s="72"/>
      <c r="I189" s="72"/>
      <c r="J189" s="72"/>
      <c r="K189" s="72"/>
      <c r="L189" s="72"/>
      <c r="M189" s="72"/>
      <c r="N189" s="72"/>
      <c r="O189" s="72"/>
      <c r="P189" s="72"/>
      <c r="Q189" s="72"/>
      <c r="R189" s="73"/>
    </row>
    <row r="190" spans="1:18" s="5" customFormat="1">
      <c r="A190" s="84"/>
      <c r="B190" s="73"/>
      <c r="C190" s="73"/>
      <c r="D190" s="72"/>
      <c r="E190" s="72"/>
      <c r="F190" s="72"/>
      <c r="G190" s="72"/>
      <c r="H190" s="72"/>
      <c r="I190" s="72"/>
      <c r="J190" s="72"/>
      <c r="K190" s="72"/>
      <c r="L190" s="72"/>
      <c r="M190" s="72"/>
      <c r="N190" s="72"/>
      <c r="O190" s="72"/>
      <c r="P190" s="72"/>
      <c r="Q190" s="72"/>
      <c r="R190" s="73"/>
    </row>
    <row r="191" spans="1:18" s="5" customFormat="1">
      <c r="A191" s="84"/>
      <c r="B191" s="73"/>
      <c r="C191" s="73"/>
      <c r="D191" s="72"/>
      <c r="E191" s="72"/>
      <c r="F191" s="72"/>
      <c r="G191" s="72"/>
      <c r="H191" s="72"/>
      <c r="I191" s="72"/>
      <c r="J191" s="72"/>
      <c r="K191" s="72"/>
      <c r="L191" s="72"/>
      <c r="M191" s="72"/>
      <c r="N191" s="72"/>
      <c r="O191" s="72"/>
      <c r="P191" s="72"/>
      <c r="Q191" s="72"/>
      <c r="R191" s="73"/>
    </row>
    <row r="192" spans="1:18" s="5" customFormat="1">
      <c r="A192" s="84"/>
      <c r="B192" s="73"/>
      <c r="C192" s="73"/>
      <c r="D192" s="72"/>
      <c r="E192" s="72"/>
      <c r="F192" s="72"/>
      <c r="G192" s="72"/>
      <c r="H192" s="72"/>
      <c r="I192" s="72"/>
      <c r="J192" s="72"/>
      <c r="K192" s="72"/>
      <c r="L192" s="72"/>
      <c r="M192" s="72"/>
      <c r="N192" s="72"/>
      <c r="O192" s="72"/>
      <c r="P192" s="72"/>
      <c r="Q192" s="72"/>
      <c r="R192" s="73"/>
    </row>
    <row r="193" spans="1:18" s="5" customFormat="1">
      <c r="A193" s="84"/>
      <c r="B193" s="73"/>
      <c r="C193" s="73"/>
      <c r="D193" s="72"/>
      <c r="E193" s="72"/>
      <c r="F193" s="72"/>
      <c r="G193" s="72"/>
      <c r="H193" s="72"/>
      <c r="I193" s="72"/>
      <c r="J193" s="72"/>
      <c r="K193" s="72"/>
      <c r="L193" s="72"/>
      <c r="M193" s="72"/>
      <c r="N193" s="72"/>
      <c r="O193" s="72"/>
      <c r="P193" s="72"/>
      <c r="Q193" s="72"/>
      <c r="R193" s="73"/>
    </row>
    <row r="194" spans="1:18" s="5" customFormat="1">
      <c r="A194" s="84"/>
      <c r="B194" s="73"/>
      <c r="C194" s="73"/>
      <c r="D194" s="72"/>
      <c r="E194" s="72"/>
      <c r="F194" s="72"/>
      <c r="G194" s="72"/>
      <c r="H194" s="72"/>
      <c r="I194" s="72"/>
      <c r="J194" s="72"/>
      <c r="K194" s="72"/>
      <c r="L194" s="72"/>
      <c r="M194" s="72"/>
      <c r="N194" s="72"/>
      <c r="O194" s="72"/>
      <c r="P194" s="72"/>
      <c r="Q194" s="72"/>
      <c r="R194" s="73"/>
    </row>
    <row r="195" spans="1:18" s="5" customFormat="1">
      <c r="A195" s="84"/>
      <c r="B195" s="73"/>
      <c r="C195" s="73"/>
      <c r="D195" s="72"/>
      <c r="E195" s="72"/>
      <c r="F195" s="72"/>
      <c r="G195" s="72"/>
      <c r="H195" s="72"/>
      <c r="I195" s="72"/>
      <c r="J195" s="72"/>
      <c r="K195" s="72"/>
      <c r="L195" s="72"/>
      <c r="M195" s="72"/>
      <c r="N195" s="72"/>
      <c r="O195" s="72"/>
      <c r="P195" s="72"/>
      <c r="Q195" s="72"/>
      <c r="R195" s="73"/>
    </row>
    <row r="196" spans="1:18" s="5" customFormat="1">
      <c r="A196" s="84"/>
      <c r="B196" s="73"/>
      <c r="C196" s="73"/>
      <c r="D196" s="72"/>
      <c r="E196" s="72"/>
      <c r="F196" s="72"/>
      <c r="G196" s="72"/>
      <c r="H196" s="72"/>
      <c r="I196" s="72"/>
      <c r="J196" s="72"/>
      <c r="K196" s="72"/>
      <c r="L196" s="72"/>
      <c r="M196" s="72"/>
      <c r="N196" s="72"/>
      <c r="O196" s="72"/>
      <c r="P196" s="72"/>
      <c r="Q196" s="72"/>
      <c r="R196" s="73"/>
    </row>
    <row r="197" spans="1:18" s="5" customFormat="1">
      <c r="A197" s="84"/>
      <c r="B197" s="73"/>
      <c r="C197" s="73"/>
      <c r="D197" s="72"/>
      <c r="E197" s="72"/>
      <c r="F197" s="72"/>
      <c r="G197" s="72"/>
      <c r="H197" s="72"/>
      <c r="I197" s="72"/>
      <c r="J197" s="72"/>
      <c r="K197" s="72"/>
      <c r="L197" s="72"/>
      <c r="M197" s="72"/>
      <c r="N197" s="72"/>
      <c r="O197" s="72"/>
      <c r="P197" s="72"/>
      <c r="Q197" s="72"/>
      <c r="R197" s="73"/>
    </row>
    <row r="198" spans="1:18" s="5" customFormat="1">
      <c r="A198" s="84"/>
      <c r="B198" s="73"/>
      <c r="C198" s="73"/>
      <c r="D198" s="72"/>
      <c r="E198" s="72"/>
      <c r="F198" s="72"/>
      <c r="G198" s="72"/>
      <c r="H198" s="72"/>
      <c r="I198" s="72"/>
      <c r="J198" s="72"/>
      <c r="K198" s="72"/>
      <c r="L198" s="72"/>
      <c r="M198" s="72"/>
      <c r="N198" s="72"/>
      <c r="O198" s="72"/>
      <c r="P198" s="72"/>
      <c r="Q198" s="72"/>
      <c r="R198" s="73"/>
    </row>
    <row r="199" spans="1:18" s="5" customFormat="1">
      <c r="A199" s="84"/>
      <c r="B199" s="73"/>
      <c r="C199" s="73"/>
      <c r="D199" s="72"/>
      <c r="E199" s="72"/>
      <c r="F199" s="72"/>
      <c r="G199" s="72"/>
      <c r="H199" s="72"/>
      <c r="I199" s="72"/>
      <c r="J199" s="72"/>
      <c r="K199" s="72"/>
      <c r="L199" s="72"/>
      <c r="M199" s="72"/>
      <c r="N199" s="72"/>
      <c r="O199" s="72"/>
      <c r="P199" s="72"/>
      <c r="Q199" s="72"/>
      <c r="R199" s="73"/>
    </row>
    <row r="200" spans="1:18" s="5" customFormat="1">
      <c r="A200" s="84"/>
      <c r="B200" s="73"/>
      <c r="C200" s="73"/>
      <c r="D200" s="72"/>
      <c r="E200" s="72"/>
      <c r="F200" s="72"/>
      <c r="G200" s="72"/>
      <c r="H200" s="72"/>
      <c r="I200" s="72"/>
      <c r="J200" s="72"/>
      <c r="K200" s="72"/>
      <c r="L200" s="72"/>
      <c r="M200" s="72"/>
      <c r="N200" s="72"/>
      <c r="O200" s="72"/>
      <c r="P200" s="72"/>
      <c r="Q200" s="72"/>
      <c r="R200" s="73"/>
    </row>
    <row r="201" spans="1:18" s="5" customFormat="1">
      <c r="A201" s="84"/>
      <c r="B201" s="73"/>
      <c r="C201" s="73"/>
      <c r="D201" s="72"/>
      <c r="E201" s="72"/>
      <c r="F201" s="72"/>
      <c r="G201" s="72"/>
      <c r="H201" s="72"/>
      <c r="I201" s="72"/>
      <c r="J201" s="72"/>
      <c r="K201" s="72"/>
      <c r="L201" s="72"/>
      <c r="M201" s="72"/>
      <c r="N201" s="72"/>
      <c r="O201" s="72"/>
      <c r="P201" s="72"/>
      <c r="Q201" s="72"/>
      <c r="R201" s="73"/>
    </row>
    <row r="202" spans="1:18">
      <c r="A202" s="84"/>
    </row>
    <row r="203" spans="1:18">
      <c r="A203" s="84"/>
    </row>
    <row r="204" spans="1:18">
      <c r="A204" s="84"/>
    </row>
    <row r="205" spans="1:18">
      <c r="A205" s="84"/>
    </row>
    <row r="206" spans="1:18">
      <c r="A206" s="84"/>
    </row>
    <row r="207" spans="1:18">
      <c r="A207" s="84"/>
    </row>
    <row r="208" spans="1:18">
      <c r="A208" s="84"/>
    </row>
    <row r="209" spans="1:1">
      <c r="A209" s="84"/>
    </row>
    <row r="210" spans="1:1">
      <c r="A210" s="84"/>
    </row>
    <row r="211" spans="1:1">
      <c r="A211" s="84"/>
    </row>
    <row r="212" spans="1:1">
      <c r="A212" s="84"/>
    </row>
    <row r="213" spans="1:1">
      <c r="A213" s="84"/>
    </row>
    <row r="214" spans="1:1">
      <c r="A214" s="84"/>
    </row>
    <row r="215" spans="1:1">
      <c r="A215" s="84"/>
    </row>
    <row r="216" spans="1:1">
      <c r="A216" s="84"/>
    </row>
    <row r="217" spans="1:1">
      <c r="A217" s="84"/>
    </row>
    <row r="218" spans="1:1">
      <c r="A218" s="84"/>
    </row>
    <row r="219" spans="1:1">
      <c r="A219" s="84"/>
    </row>
    <row r="220" spans="1:1">
      <c r="A220" s="84"/>
    </row>
    <row r="221" spans="1:1">
      <c r="A221" s="84"/>
    </row>
    <row r="222" spans="1:1">
      <c r="A222" s="84"/>
    </row>
    <row r="223" spans="1:1">
      <c r="A223" s="84"/>
    </row>
    <row r="224" spans="1:1">
      <c r="A224" s="84"/>
    </row>
    <row r="225" spans="1:1">
      <c r="A225" s="84"/>
    </row>
    <row r="226" spans="1:1">
      <c r="A226" s="84"/>
    </row>
    <row r="227" spans="1:1">
      <c r="A227" s="84"/>
    </row>
    <row r="228" spans="1:1">
      <c r="A228" s="84"/>
    </row>
    <row r="229" spans="1:1">
      <c r="A229" s="84"/>
    </row>
    <row r="230" spans="1:1">
      <c r="A230" s="84"/>
    </row>
    <row r="231" spans="1:1">
      <c r="A231" s="84"/>
    </row>
    <row r="232" spans="1:1">
      <c r="A232" s="84"/>
    </row>
    <row r="233" spans="1:1">
      <c r="A233" s="84"/>
    </row>
    <row r="234" spans="1:1">
      <c r="A234" s="84"/>
    </row>
    <row r="235" spans="1:1">
      <c r="A235" s="84"/>
    </row>
    <row r="236" spans="1:1">
      <c r="A236" s="84"/>
    </row>
    <row r="237" spans="1:1">
      <c r="A237" s="84"/>
    </row>
    <row r="238" spans="1:1">
      <c r="A238" s="84"/>
    </row>
    <row r="239" spans="1:1">
      <c r="A239" s="84"/>
    </row>
    <row r="240" spans="1:1">
      <c r="A240" s="84"/>
    </row>
    <row r="241" spans="1:1">
      <c r="A241" s="84"/>
    </row>
    <row r="242" spans="1:1">
      <c r="A242" s="84"/>
    </row>
    <row r="243" spans="1:1">
      <c r="A243" s="84"/>
    </row>
    <row r="244" spans="1:1">
      <c r="A244" s="84"/>
    </row>
    <row r="245" spans="1:1">
      <c r="A245" s="84"/>
    </row>
    <row r="246" spans="1:1">
      <c r="A246" s="84"/>
    </row>
    <row r="247" spans="1:1">
      <c r="A247" s="84"/>
    </row>
    <row r="248" spans="1:1">
      <c r="A248" s="84"/>
    </row>
    <row r="249" spans="1:1">
      <c r="A249" s="84"/>
    </row>
    <row r="250" spans="1:1">
      <c r="A250" s="84"/>
    </row>
    <row r="251" spans="1:1">
      <c r="A251" s="84"/>
    </row>
    <row r="252" spans="1:1">
      <c r="A252" s="84"/>
    </row>
    <row r="253" spans="1:1">
      <c r="A253" s="84"/>
    </row>
    <row r="254" spans="1:1">
      <c r="A254" s="84"/>
    </row>
    <row r="255" spans="1:1">
      <c r="A255" s="84"/>
    </row>
    <row r="256" spans="1:1">
      <c r="A256" s="84"/>
    </row>
    <row r="257" spans="1:1">
      <c r="A257" s="84"/>
    </row>
    <row r="258" spans="1:1">
      <c r="A258" s="84"/>
    </row>
    <row r="259" spans="1:1">
      <c r="A259" s="84"/>
    </row>
    <row r="260" spans="1:1">
      <c r="A260" s="84"/>
    </row>
    <row r="261" spans="1:1">
      <c r="A261" s="84"/>
    </row>
    <row r="262" spans="1:1">
      <c r="A262" s="84"/>
    </row>
    <row r="263" spans="1:1">
      <c r="A263" s="84"/>
    </row>
    <row r="264" spans="1:1">
      <c r="A264" s="84"/>
    </row>
    <row r="265" spans="1:1">
      <c r="A265" s="84"/>
    </row>
    <row r="266" spans="1:1">
      <c r="A266" s="84"/>
    </row>
    <row r="267" spans="1:1">
      <c r="A267" s="84"/>
    </row>
    <row r="268" spans="1:1">
      <c r="A268" s="84"/>
    </row>
    <row r="269" spans="1:1">
      <c r="A269" s="84"/>
    </row>
    <row r="270" spans="1:1">
      <c r="A270" s="84"/>
    </row>
    <row r="271" spans="1:1">
      <c r="A271" s="84"/>
    </row>
    <row r="272" spans="1:1">
      <c r="A272" s="84"/>
    </row>
    <row r="273" spans="1:1">
      <c r="A273" s="84"/>
    </row>
    <row r="274" spans="1:1">
      <c r="A274" s="84"/>
    </row>
    <row r="275" spans="1:1">
      <c r="A275" s="84"/>
    </row>
    <row r="276" spans="1:1">
      <c r="A276" s="84"/>
    </row>
    <row r="277" spans="1:1">
      <c r="A277" s="84"/>
    </row>
    <row r="278" spans="1:1">
      <c r="A278" s="84"/>
    </row>
    <row r="279" spans="1:1">
      <c r="A279" s="84"/>
    </row>
    <row r="280" spans="1:1">
      <c r="A280" s="84"/>
    </row>
    <row r="281" spans="1:1">
      <c r="A281" s="84"/>
    </row>
    <row r="282" spans="1:1">
      <c r="A282" s="84"/>
    </row>
    <row r="283" spans="1:1">
      <c r="A283" s="84"/>
    </row>
    <row r="284" spans="1:1">
      <c r="A284" s="84"/>
    </row>
    <row r="285" spans="1:1">
      <c r="A285" s="84"/>
    </row>
    <row r="286" spans="1:1">
      <c r="A286" s="84"/>
    </row>
    <row r="287" spans="1:1">
      <c r="A287" s="84"/>
    </row>
    <row r="288" spans="1:1">
      <c r="A288" s="84"/>
    </row>
    <row r="289" spans="1:1">
      <c r="A289" s="84"/>
    </row>
    <row r="290" spans="1:1">
      <c r="A290" s="84"/>
    </row>
    <row r="291" spans="1:1">
      <c r="A291" s="84"/>
    </row>
    <row r="292" spans="1:1">
      <c r="A292" s="84"/>
    </row>
    <row r="293" spans="1:1">
      <c r="A293" s="84"/>
    </row>
    <row r="294" spans="1:1">
      <c r="A294" s="84"/>
    </row>
    <row r="295" spans="1:1">
      <c r="A295" s="84"/>
    </row>
    <row r="296" spans="1:1">
      <c r="A296" s="84"/>
    </row>
    <row r="297" spans="1:1">
      <c r="A297" s="84"/>
    </row>
    <row r="298" spans="1:1">
      <c r="A298" s="84"/>
    </row>
    <row r="299" spans="1:1">
      <c r="A299" s="84"/>
    </row>
    <row r="300" spans="1:1">
      <c r="A300" s="84"/>
    </row>
    <row r="301" spans="1:1">
      <c r="A301" s="84"/>
    </row>
    <row r="302" spans="1:1">
      <c r="A302" s="84"/>
    </row>
    <row r="303" spans="1:1">
      <c r="A303" s="84"/>
    </row>
    <row r="304" spans="1:1">
      <c r="A304" s="84"/>
    </row>
    <row r="305" spans="1:1">
      <c r="A305" s="84"/>
    </row>
    <row r="306" spans="1:1">
      <c r="A306" s="84"/>
    </row>
    <row r="307" spans="1:1">
      <c r="A307" s="84"/>
    </row>
    <row r="308" spans="1:1">
      <c r="A308" s="84"/>
    </row>
    <row r="309" spans="1:1">
      <c r="A309" s="84"/>
    </row>
    <row r="310" spans="1:1">
      <c r="A310" s="84"/>
    </row>
    <row r="311" spans="1:1">
      <c r="A311" s="84"/>
    </row>
    <row r="312" spans="1:1">
      <c r="A312" s="84"/>
    </row>
    <row r="313" spans="1:1">
      <c r="A313" s="84"/>
    </row>
    <row r="314" spans="1:1">
      <c r="A314" s="84"/>
    </row>
    <row r="315" spans="1:1">
      <c r="A315" s="84"/>
    </row>
    <row r="316" spans="1:1">
      <c r="A316" s="84"/>
    </row>
    <row r="317" spans="1:1">
      <c r="A317" s="84"/>
    </row>
    <row r="318" spans="1:1">
      <c r="A318" s="84"/>
    </row>
    <row r="319" spans="1:1">
      <c r="A319" s="84"/>
    </row>
    <row r="320" spans="1:1">
      <c r="A320" s="84"/>
    </row>
    <row r="321" spans="1:1">
      <c r="A321" s="84"/>
    </row>
    <row r="322" spans="1:1">
      <c r="A322" s="84"/>
    </row>
    <row r="323" spans="1:1">
      <c r="A323" s="84"/>
    </row>
    <row r="324" spans="1:1">
      <c r="A324" s="84"/>
    </row>
    <row r="325" spans="1:1">
      <c r="A325" s="84"/>
    </row>
    <row r="326" spans="1:1">
      <c r="A326" s="84"/>
    </row>
    <row r="327" spans="1:1">
      <c r="A327" s="84"/>
    </row>
    <row r="328" spans="1:1">
      <c r="A328" s="84"/>
    </row>
    <row r="329" spans="1:1">
      <c r="A329" s="84"/>
    </row>
    <row r="330" spans="1:1">
      <c r="A330" s="84"/>
    </row>
    <row r="331" spans="1:1">
      <c r="A331" s="84"/>
    </row>
    <row r="332" spans="1:1">
      <c r="A332" s="84"/>
    </row>
    <row r="333" spans="1:1">
      <c r="A333" s="84"/>
    </row>
    <row r="334" spans="1:1">
      <c r="A334" s="84"/>
    </row>
    <row r="335" spans="1:1">
      <c r="A335" s="84"/>
    </row>
    <row r="336" spans="1:1">
      <c r="A336" s="84"/>
    </row>
    <row r="337" spans="1:1">
      <c r="A337" s="84"/>
    </row>
    <row r="338" spans="1:1">
      <c r="A338" s="84"/>
    </row>
    <row r="339" spans="1:1">
      <c r="A339" s="84"/>
    </row>
    <row r="340" spans="1:1">
      <c r="A340" s="84"/>
    </row>
    <row r="341" spans="1:1">
      <c r="A341" s="84"/>
    </row>
    <row r="342" spans="1:1">
      <c r="A342" s="84"/>
    </row>
    <row r="343" spans="1:1">
      <c r="A343" s="84"/>
    </row>
    <row r="344" spans="1:1">
      <c r="A344" s="84"/>
    </row>
    <row r="345" spans="1:1">
      <c r="A345" s="84"/>
    </row>
    <row r="346" spans="1:1">
      <c r="A346" s="84"/>
    </row>
    <row r="347" spans="1:1">
      <c r="A347" s="84"/>
    </row>
    <row r="348" spans="1:1">
      <c r="A348" s="84"/>
    </row>
    <row r="349" spans="1:1">
      <c r="A349" s="84"/>
    </row>
    <row r="350" spans="1:1">
      <c r="A350" s="84"/>
    </row>
    <row r="351" spans="1:1">
      <c r="A351" s="84"/>
    </row>
    <row r="352" spans="1:1">
      <c r="A352" s="84"/>
    </row>
    <row r="353" spans="1:1">
      <c r="A353" s="84"/>
    </row>
    <row r="354" spans="1:1">
      <c r="A354" s="84"/>
    </row>
    <row r="355" spans="1:1">
      <c r="A355" s="84"/>
    </row>
    <row r="356" spans="1:1">
      <c r="A356" s="84"/>
    </row>
    <row r="357" spans="1:1">
      <c r="A357" s="84"/>
    </row>
    <row r="358" spans="1:1">
      <c r="A358" s="84"/>
    </row>
    <row r="359" spans="1:1">
      <c r="A359" s="84"/>
    </row>
    <row r="360" spans="1:1">
      <c r="A360" s="84"/>
    </row>
    <row r="361" spans="1:1">
      <c r="A361" s="84"/>
    </row>
    <row r="362" spans="1:1">
      <c r="A362" s="84"/>
    </row>
    <row r="363" spans="1:1">
      <c r="A363" s="84"/>
    </row>
    <row r="364" spans="1:1">
      <c r="A364" s="84"/>
    </row>
    <row r="365" spans="1:1">
      <c r="A365" s="84"/>
    </row>
    <row r="366" spans="1:1">
      <c r="A366" s="84"/>
    </row>
    <row r="367" spans="1:1">
      <c r="A367" s="84"/>
    </row>
    <row r="368" spans="1:1">
      <c r="A368" s="84"/>
    </row>
    <row r="369" spans="1:1">
      <c r="A369" s="84"/>
    </row>
    <row r="370" spans="1:1">
      <c r="A370" s="84"/>
    </row>
    <row r="371" spans="1:1">
      <c r="A371" s="84"/>
    </row>
    <row r="372" spans="1:1">
      <c r="A372" s="84"/>
    </row>
    <row r="373" spans="1:1">
      <c r="A373" s="84"/>
    </row>
    <row r="374" spans="1:1">
      <c r="A374" s="84"/>
    </row>
    <row r="375" spans="1:1">
      <c r="A375" s="84"/>
    </row>
    <row r="376" spans="1:1">
      <c r="A376" s="84"/>
    </row>
    <row r="377" spans="1:1">
      <c r="A377" s="84"/>
    </row>
    <row r="378" spans="1:1">
      <c r="A378" s="84"/>
    </row>
    <row r="379" spans="1:1">
      <c r="A379" s="84"/>
    </row>
    <row r="380" spans="1:1">
      <c r="A380" s="84"/>
    </row>
    <row r="381" spans="1:1">
      <c r="A381" s="84"/>
    </row>
    <row r="382" spans="1:1">
      <c r="A382" s="84"/>
    </row>
    <row r="383" spans="1:1">
      <c r="A383" s="84"/>
    </row>
    <row r="384" spans="1:1">
      <c r="A384" s="84"/>
    </row>
    <row r="385" spans="1:1">
      <c r="A385" s="84"/>
    </row>
    <row r="386" spans="1:1">
      <c r="A386" s="84"/>
    </row>
    <row r="387" spans="1:1">
      <c r="A387" s="84"/>
    </row>
    <row r="388" spans="1:1">
      <c r="A388" s="84"/>
    </row>
    <row r="389" spans="1:1">
      <c r="A389" s="84"/>
    </row>
    <row r="390" spans="1:1">
      <c r="A390" s="84"/>
    </row>
    <row r="391" spans="1:1">
      <c r="A391" s="84"/>
    </row>
    <row r="392" spans="1:1">
      <c r="A392" s="84"/>
    </row>
    <row r="393" spans="1:1">
      <c r="A393" s="84"/>
    </row>
    <row r="394" spans="1:1">
      <c r="A394" s="84"/>
    </row>
    <row r="395" spans="1:1">
      <c r="A395" s="84"/>
    </row>
    <row r="396" spans="1:1">
      <c r="A396" s="84"/>
    </row>
    <row r="397" spans="1:1">
      <c r="A397" s="84"/>
    </row>
    <row r="398" spans="1:1">
      <c r="A398" s="84"/>
    </row>
    <row r="399" spans="1:1">
      <c r="A399" s="84"/>
    </row>
    <row r="400" spans="1:1">
      <c r="A400" s="84"/>
    </row>
    <row r="401" spans="1:1">
      <c r="A401" s="84"/>
    </row>
    <row r="402" spans="1:1">
      <c r="A402" s="84"/>
    </row>
    <row r="403" spans="1:1">
      <c r="A403" s="84"/>
    </row>
    <row r="404" spans="1:1">
      <c r="A404" s="84"/>
    </row>
    <row r="405" spans="1:1">
      <c r="A405" s="84"/>
    </row>
    <row r="406" spans="1:1">
      <c r="A406" s="84"/>
    </row>
    <row r="407" spans="1:1">
      <c r="A407" s="84"/>
    </row>
    <row r="408" spans="1:1">
      <c r="A408" s="84"/>
    </row>
    <row r="409" spans="1:1">
      <c r="A409" s="84"/>
    </row>
    <row r="410" spans="1:1">
      <c r="A410" s="84"/>
    </row>
    <row r="411" spans="1:1">
      <c r="A411" s="84"/>
    </row>
    <row r="412" spans="1:1">
      <c r="A412" s="84"/>
    </row>
    <row r="413" spans="1:1">
      <c r="A413" s="84"/>
    </row>
    <row r="414" spans="1:1">
      <c r="A414" s="84"/>
    </row>
    <row r="415" spans="1:1">
      <c r="A415" s="84"/>
    </row>
    <row r="416" spans="1:1">
      <c r="A416" s="84"/>
    </row>
    <row r="417" spans="1:1">
      <c r="A417" s="84"/>
    </row>
    <row r="418" spans="1:1">
      <c r="A418" s="84"/>
    </row>
    <row r="419" spans="1:1">
      <c r="A419" s="84"/>
    </row>
    <row r="420" spans="1:1">
      <c r="A420" s="84"/>
    </row>
    <row r="421" spans="1:1">
      <c r="A421" s="84"/>
    </row>
    <row r="422" spans="1:1">
      <c r="A422" s="84"/>
    </row>
    <row r="423" spans="1:1">
      <c r="A423" s="84"/>
    </row>
    <row r="424" spans="1:1">
      <c r="A424" s="84"/>
    </row>
    <row r="425" spans="1:1">
      <c r="A425" s="84"/>
    </row>
    <row r="426" spans="1:1">
      <c r="A426" s="84"/>
    </row>
    <row r="427" spans="1:1">
      <c r="A427" s="84"/>
    </row>
    <row r="428" spans="1:1">
      <c r="A428" s="84"/>
    </row>
    <row r="429" spans="1:1">
      <c r="A429" s="84"/>
    </row>
    <row r="430" spans="1:1">
      <c r="A430" s="84"/>
    </row>
    <row r="431" spans="1:1">
      <c r="A431" s="84"/>
    </row>
    <row r="432" spans="1:1">
      <c r="A432" s="84"/>
    </row>
    <row r="433" spans="1:1">
      <c r="A433" s="84"/>
    </row>
    <row r="434" spans="1:1">
      <c r="A434" s="84"/>
    </row>
    <row r="435" spans="1:1">
      <c r="A435" s="84"/>
    </row>
    <row r="436" spans="1:1">
      <c r="A436" s="84"/>
    </row>
    <row r="437" spans="1:1">
      <c r="A437" s="84"/>
    </row>
    <row r="438" spans="1:1">
      <c r="A438" s="84"/>
    </row>
    <row r="439" spans="1:1">
      <c r="A439" s="84"/>
    </row>
    <row r="440" spans="1:1">
      <c r="A440" s="84"/>
    </row>
    <row r="441" spans="1:1">
      <c r="A441" s="84"/>
    </row>
    <row r="442" spans="1:1">
      <c r="A442" s="84"/>
    </row>
    <row r="443" spans="1:1">
      <c r="A443" s="84"/>
    </row>
    <row r="444" spans="1:1">
      <c r="A444" s="84"/>
    </row>
    <row r="445" spans="1:1">
      <c r="A445" s="84"/>
    </row>
    <row r="446" spans="1:1">
      <c r="A446" s="84"/>
    </row>
    <row r="447" spans="1:1">
      <c r="A447" s="84"/>
    </row>
    <row r="448" spans="1:1">
      <c r="A448" s="84"/>
    </row>
    <row r="449" spans="1:1">
      <c r="A449" s="84"/>
    </row>
    <row r="450" spans="1:1">
      <c r="A450" s="84"/>
    </row>
    <row r="451" spans="1:1">
      <c r="A451" s="84"/>
    </row>
    <row r="452" spans="1:1">
      <c r="A452" s="84"/>
    </row>
    <row r="453" spans="1:1">
      <c r="A453" s="84"/>
    </row>
    <row r="454" spans="1:1">
      <c r="A454" s="84"/>
    </row>
    <row r="455" spans="1:1">
      <c r="A455" s="84"/>
    </row>
    <row r="456" spans="1:1">
      <c r="A456" s="84"/>
    </row>
    <row r="457" spans="1:1">
      <c r="A457" s="84"/>
    </row>
    <row r="458" spans="1:1">
      <c r="A458" s="84"/>
    </row>
    <row r="459" spans="1:1">
      <c r="A459" s="84"/>
    </row>
    <row r="460" spans="1:1">
      <c r="A460" s="84"/>
    </row>
    <row r="461" spans="1:1">
      <c r="A461" s="84"/>
    </row>
    <row r="462" spans="1:1">
      <c r="A462" s="84"/>
    </row>
    <row r="463" spans="1:1">
      <c r="A463" s="84"/>
    </row>
    <row r="464" spans="1:1">
      <c r="A464" s="84"/>
    </row>
    <row r="465" spans="1:1">
      <c r="A465" s="84"/>
    </row>
    <row r="466" spans="1:1">
      <c r="A466" s="84"/>
    </row>
    <row r="467" spans="1:1">
      <c r="A467" s="84"/>
    </row>
    <row r="468" spans="1:1">
      <c r="A468" s="84"/>
    </row>
    <row r="469" spans="1:1">
      <c r="A469" s="84"/>
    </row>
    <row r="470" spans="1:1">
      <c r="A470" s="84"/>
    </row>
    <row r="471" spans="1:1">
      <c r="A471" s="84"/>
    </row>
    <row r="472" spans="1:1">
      <c r="A472" s="84"/>
    </row>
    <row r="473" spans="1:1">
      <c r="A473" s="84"/>
    </row>
    <row r="474" spans="1:1">
      <c r="A474" s="84"/>
    </row>
    <row r="475" spans="1:1">
      <c r="A475" s="84"/>
    </row>
    <row r="476" spans="1:1">
      <c r="A476" s="84"/>
    </row>
    <row r="477" spans="1:1">
      <c r="A477" s="84"/>
    </row>
    <row r="478" spans="1:1">
      <c r="A478" s="84"/>
    </row>
    <row r="479" spans="1:1">
      <c r="A479" s="84"/>
    </row>
    <row r="480" spans="1:1">
      <c r="A480" s="84"/>
    </row>
    <row r="481" spans="1:1">
      <c r="A481" s="84"/>
    </row>
    <row r="482" spans="1:1">
      <c r="A482" s="84"/>
    </row>
    <row r="483" spans="1:1">
      <c r="A483" s="84"/>
    </row>
    <row r="484" spans="1:1">
      <c r="A484" s="84"/>
    </row>
    <row r="485" spans="1:1">
      <c r="A485" s="84"/>
    </row>
    <row r="486" spans="1:1">
      <c r="A486" s="84"/>
    </row>
    <row r="487" spans="1:1">
      <c r="A487" s="84"/>
    </row>
    <row r="488" spans="1:1">
      <c r="A488" s="84"/>
    </row>
    <row r="489" spans="1:1">
      <c r="A489" s="84"/>
    </row>
    <row r="490" spans="1:1">
      <c r="A490" s="84"/>
    </row>
    <row r="491" spans="1:1">
      <c r="A491" s="84"/>
    </row>
    <row r="492" spans="1:1">
      <c r="A492" s="84"/>
    </row>
    <row r="493" spans="1:1">
      <c r="A493" s="84"/>
    </row>
    <row r="494" spans="1:1">
      <c r="A494" s="84"/>
    </row>
    <row r="495" spans="1:1">
      <c r="A495" s="84"/>
    </row>
    <row r="496" spans="1:1">
      <c r="A496" s="84"/>
    </row>
    <row r="497" spans="1:1">
      <c r="A497" s="84"/>
    </row>
    <row r="498" spans="1:1">
      <c r="A498" s="84"/>
    </row>
    <row r="499" spans="1:1">
      <c r="A499" s="84"/>
    </row>
    <row r="500" spans="1:1">
      <c r="A500" s="84"/>
    </row>
    <row r="501" spans="1:1">
      <c r="A501" s="84"/>
    </row>
    <row r="502" spans="1:1">
      <c r="A502" s="84"/>
    </row>
    <row r="503" spans="1:1">
      <c r="A503" s="84"/>
    </row>
    <row r="504" spans="1:1">
      <c r="A504" s="84"/>
    </row>
    <row r="505" spans="1:1">
      <c r="A505" s="84"/>
    </row>
    <row r="506" spans="1:1">
      <c r="A506" s="84"/>
    </row>
    <row r="507" spans="1:1">
      <c r="A507" s="84"/>
    </row>
    <row r="508" spans="1:1">
      <c r="A508" s="84"/>
    </row>
    <row r="509" spans="1:1">
      <c r="A509" s="84"/>
    </row>
    <row r="510" spans="1:1">
      <c r="A510" s="84"/>
    </row>
    <row r="511" spans="1:1">
      <c r="A511" s="84"/>
    </row>
    <row r="512" spans="1:1">
      <c r="A512" s="84"/>
    </row>
    <row r="513" spans="1:1">
      <c r="A513" s="84"/>
    </row>
    <row r="514" spans="1:1">
      <c r="A514" s="84"/>
    </row>
    <row r="515" spans="1:1">
      <c r="A515" s="84"/>
    </row>
    <row r="516" spans="1:1">
      <c r="A516" s="84"/>
    </row>
    <row r="517" spans="1:1">
      <c r="A517" s="84"/>
    </row>
    <row r="518" spans="1:1">
      <c r="A518" s="84"/>
    </row>
    <row r="519" spans="1:1">
      <c r="A519" s="84"/>
    </row>
    <row r="520" spans="1:1">
      <c r="A520" s="84"/>
    </row>
    <row r="521" spans="1:1">
      <c r="A521" s="84"/>
    </row>
    <row r="522" spans="1:1">
      <c r="A522" s="84"/>
    </row>
    <row r="523" spans="1:1">
      <c r="A523" s="84"/>
    </row>
    <row r="524" spans="1:1">
      <c r="A524" s="84"/>
    </row>
    <row r="525" spans="1:1">
      <c r="A525" s="84"/>
    </row>
    <row r="526" spans="1:1">
      <c r="A526" s="84"/>
    </row>
    <row r="527" spans="1:1">
      <c r="A527" s="84"/>
    </row>
    <row r="528" spans="1:1">
      <c r="A528" s="84"/>
    </row>
    <row r="529" spans="1:1">
      <c r="A529" s="84"/>
    </row>
    <row r="530" spans="1:1">
      <c r="A530" s="84"/>
    </row>
    <row r="531" spans="1:1">
      <c r="A531" s="84"/>
    </row>
    <row r="532" spans="1:1">
      <c r="A532" s="84"/>
    </row>
    <row r="533" spans="1:1">
      <c r="A533" s="84"/>
    </row>
    <row r="534" spans="1:1">
      <c r="A534" s="84"/>
    </row>
    <row r="535" spans="1:1">
      <c r="A535" s="84"/>
    </row>
    <row r="536" spans="1:1">
      <c r="A536" s="84"/>
    </row>
    <row r="537" spans="1:1">
      <c r="A537" s="84"/>
    </row>
    <row r="538" spans="1:1">
      <c r="A538" s="84"/>
    </row>
    <row r="539" spans="1:1">
      <c r="A539" s="84"/>
    </row>
    <row r="540" spans="1:1">
      <c r="A540" s="84"/>
    </row>
    <row r="541" spans="1:1">
      <c r="A541" s="84"/>
    </row>
    <row r="542" spans="1:1">
      <c r="A542" s="84"/>
    </row>
    <row r="543" spans="1:1">
      <c r="A543" s="84"/>
    </row>
    <row r="544" spans="1:1">
      <c r="A544" s="84"/>
    </row>
    <row r="545" spans="1:1">
      <c r="A545" s="84"/>
    </row>
    <row r="546" spans="1:1">
      <c r="A546" s="84"/>
    </row>
    <row r="547" spans="1:1">
      <c r="A547" s="84"/>
    </row>
    <row r="548" spans="1:1">
      <c r="A548" s="84"/>
    </row>
    <row r="549" spans="1:1">
      <c r="A549" s="84"/>
    </row>
    <row r="550" spans="1:1">
      <c r="A550" s="84"/>
    </row>
    <row r="551" spans="1:1">
      <c r="A551" s="84"/>
    </row>
    <row r="552" spans="1:1">
      <c r="A552" s="84"/>
    </row>
    <row r="553" spans="1:1">
      <c r="A553" s="84"/>
    </row>
    <row r="554" spans="1:1">
      <c r="A554" s="84"/>
    </row>
    <row r="555" spans="1:1">
      <c r="A555" s="84"/>
    </row>
    <row r="556" spans="1:1">
      <c r="A556" s="84"/>
    </row>
    <row r="557" spans="1:1">
      <c r="A557" s="84"/>
    </row>
    <row r="558" spans="1:1">
      <c r="A558" s="84"/>
    </row>
    <row r="559" spans="1:1">
      <c r="A559" s="84"/>
    </row>
    <row r="560" spans="1:1">
      <c r="A560" s="84"/>
    </row>
    <row r="561" spans="1:1">
      <c r="A561" s="84"/>
    </row>
    <row r="562" spans="1:1">
      <c r="A562" s="84"/>
    </row>
    <row r="563" spans="1:1">
      <c r="A563" s="84"/>
    </row>
    <row r="564" spans="1:1">
      <c r="A564" s="84"/>
    </row>
    <row r="565" spans="1:1">
      <c r="A565" s="84"/>
    </row>
    <row r="566" spans="1:1">
      <c r="A566" s="84"/>
    </row>
    <row r="567" spans="1:1">
      <c r="A567" s="84"/>
    </row>
    <row r="568" spans="1:1">
      <c r="A568" s="84"/>
    </row>
    <row r="569" spans="1:1">
      <c r="A569" s="84"/>
    </row>
    <row r="570" spans="1:1">
      <c r="A570" s="84"/>
    </row>
    <row r="571" spans="1:1">
      <c r="A571" s="84"/>
    </row>
    <row r="572" spans="1:1">
      <c r="A572" s="84"/>
    </row>
    <row r="573" spans="1:1">
      <c r="A573" s="84"/>
    </row>
    <row r="574" spans="1:1">
      <c r="A574" s="84"/>
    </row>
    <row r="575" spans="1:1">
      <c r="A575" s="84"/>
    </row>
    <row r="576" spans="1:1">
      <c r="A576" s="84"/>
    </row>
    <row r="577" spans="1:1">
      <c r="A577" s="84"/>
    </row>
    <row r="578" spans="1:1">
      <c r="A578" s="84"/>
    </row>
    <row r="579" spans="1:1">
      <c r="A579" s="84"/>
    </row>
    <row r="580" spans="1:1">
      <c r="A580" s="84"/>
    </row>
    <row r="581" spans="1:1">
      <c r="A581" s="84"/>
    </row>
    <row r="582" spans="1:1">
      <c r="A582" s="84"/>
    </row>
    <row r="583" spans="1:1">
      <c r="A583" s="84"/>
    </row>
    <row r="584" spans="1:1">
      <c r="A584" s="84"/>
    </row>
    <row r="585" spans="1:1">
      <c r="A585" s="84"/>
    </row>
    <row r="586" spans="1:1">
      <c r="A586" s="84"/>
    </row>
    <row r="587" spans="1:1">
      <c r="A587" s="84"/>
    </row>
    <row r="588" spans="1:1">
      <c r="A588" s="84"/>
    </row>
    <row r="589" spans="1:1">
      <c r="A589" s="84"/>
    </row>
    <row r="590" spans="1:1">
      <c r="A590" s="84"/>
    </row>
    <row r="591" spans="1:1">
      <c r="A591" s="84"/>
    </row>
    <row r="592" spans="1:1">
      <c r="A592" s="84"/>
    </row>
    <row r="593" spans="1:1">
      <c r="A593" s="84"/>
    </row>
    <row r="594" spans="1:1">
      <c r="A594" s="84"/>
    </row>
    <row r="595" spans="1:1">
      <c r="A595" s="84"/>
    </row>
    <row r="596" spans="1:1">
      <c r="A596" s="84"/>
    </row>
    <row r="597" spans="1:1">
      <c r="A597" s="84"/>
    </row>
    <row r="598" spans="1:1">
      <c r="A598" s="84"/>
    </row>
    <row r="599" spans="1:1">
      <c r="A599" s="84"/>
    </row>
    <row r="600" spans="1:1">
      <c r="A600" s="84"/>
    </row>
    <row r="601" spans="1:1">
      <c r="A601" s="84"/>
    </row>
    <row r="602" spans="1:1">
      <c r="A602" s="84"/>
    </row>
    <row r="603" spans="1:1">
      <c r="A603" s="84"/>
    </row>
    <row r="604" spans="1:1">
      <c r="A604" s="84"/>
    </row>
    <row r="605" spans="1:1">
      <c r="A605" s="84"/>
    </row>
    <row r="606" spans="1:1">
      <c r="A606" s="84"/>
    </row>
    <row r="607" spans="1:1">
      <c r="A607" s="84"/>
    </row>
    <row r="608" spans="1:1">
      <c r="A608" s="84"/>
    </row>
    <row r="609" spans="1:1">
      <c r="A609" s="84"/>
    </row>
    <row r="610" spans="1:1">
      <c r="A610" s="84"/>
    </row>
    <row r="611" spans="1:1">
      <c r="A611" s="84"/>
    </row>
    <row r="612" spans="1:1">
      <c r="A612" s="84"/>
    </row>
    <row r="613" spans="1:1">
      <c r="A613" s="84"/>
    </row>
    <row r="614" spans="1:1">
      <c r="A614" s="84"/>
    </row>
    <row r="615" spans="1:1">
      <c r="A615" s="84"/>
    </row>
    <row r="616" spans="1:1">
      <c r="A616" s="84"/>
    </row>
    <row r="617" spans="1:1">
      <c r="A617" s="84"/>
    </row>
    <row r="618" spans="1:1">
      <c r="A618" s="84"/>
    </row>
    <row r="619" spans="1:1">
      <c r="A619" s="84"/>
    </row>
    <row r="620" spans="1:1">
      <c r="A620" s="84"/>
    </row>
    <row r="621" spans="1:1">
      <c r="A621" s="84"/>
    </row>
    <row r="622" spans="1:1">
      <c r="A622" s="84"/>
    </row>
    <row r="623" spans="1:1">
      <c r="A623" s="84"/>
    </row>
    <row r="624" spans="1:1">
      <c r="A624" s="84"/>
    </row>
    <row r="625" spans="1:1">
      <c r="A625" s="84"/>
    </row>
    <row r="626" spans="1:1">
      <c r="A626" s="84"/>
    </row>
    <row r="627" spans="1:1">
      <c r="A627" s="84"/>
    </row>
    <row r="628" spans="1:1">
      <c r="A628" s="84"/>
    </row>
    <row r="629" spans="1:1">
      <c r="A629" s="84"/>
    </row>
    <row r="630" spans="1:1">
      <c r="A630" s="84"/>
    </row>
    <row r="631" spans="1:1">
      <c r="A631" s="84"/>
    </row>
    <row r="632" spans="1:1">
      <c r="A632" s="84"/>
    </row>
    <row r="633" spans="1:1">
      <c r="A633" s="84"/>
    </row>
    <row r="634" spans="1:1">
      <c r="A634" s="84"/>
    </row>
    <row r="635" spans="1:1">
      <c r="A635" s="84"/>
    </row>
    <row r="636" spans="1:1">
      <c r="A636" s="84"/>
    </row>
    <row r="637" spans="1:1">
      <c r="A637" s="84"/>
    </row>
    <row r="638" spans="1:1">
      <c r="A638" s="84"/>
    </row>
    <row r="639" spans="1:1">
      <c r="A639" s="84"/>
    </row>
    <row r="640" spans="1:1">
      <c r="A640" s="84"/>
    </row>
    <row r="641" spans="1:1">
      <c r="A641" s="84"/>
    </row>
    <row r="642" spans="1:1">
      <c r="A642" s="84"/>
    </row>
    <row r="643" spans="1:1">
      <c r="A643" s="84"/>
    </row>
    <row r="644" spans="1:1">
      <c r="A644" s="84"/>
    </row>
    <row r="645" spans="1:1">
      <c r="A645" s="84"/>
    </row>
    <row r="646" spans="1:1">
      <c r="A646" s="84"/>
    </row>
    <row r="647" spans="1:1">
      <c r="A647" s="84"/>
    </row>
    <row r="648" spans="1:1">
      <c r="A648" s="84"/>
    </row>
    <row r="649" spans="1:1">
      <c r="A649" s="84"/>
    </row>
    <row r="650" spans="1:1">
      <c r="A650" s="84"/>
    </row>
    <row r="651" spans="1:1">
      <c r="A651" s="84"/>
    </row>
    <row r="652" spans="1:1">
      <c r="A652" s="84"/>
    </row>
    <row r="653" spans="1:1">
      <c r="A653" s="84"/>
    </row>
    <row r="654" spans="1:1">
      <c r="A654" s="84"/>
    </row>
    <row r="655" spans="1:1">
      <c r="A655" s="84"/>
    </row>
    <row r="656" spans="1:1">
      <c r="A656" s="84"/>
    </row>
    <row r="657" spans="1:1">
      <c r="A657" s="84"/>
    </row>
    <row r="658" spans="1:1">
      <c r="A658" s="84"/>
    </row>
    <row r="659" spans="1:1">
      <c r="A659" s="84"/>
    </row>
    <row r="660" spans="1:1">
      <c r="A660" s="84"/>
    </row>
    <row r="661" spans="1:1">
      <c r="A661" s="84"/>
    </row>
    <row r="662" spans="1:1">
      <c r="A662" s="84"/>
    </row>
    <row r="663" spans="1:1">
      <c r="A663" s="84"/>
    </row>
    <row r="664" spans="1:1">
      <c r="A664" s="84"/>
    </row>
    <row r="665" spans="1:1">
      <c r="A665" s="84"/>
    </row>
    <row r="666" spans="1:1">
      <c r="A666" s="84"/>
    </row>
    <row r="667" spans="1:1">
      <c r="A667" s="84"/>
    </row>
    <row r="668" spans="1:1">
      <c r="A668" s="84"/>
    </row>
    <row r="669" spans="1:1">
      <c r="A669" s="84"/>
    </row>
    <row r="670" spans="1:1">
      <c r="A670" s="84"/>
    </row>
    <row r="671" spans="1:1">
      <c r="A671" s="84"/>
    </row>
    <row r="672" spans="1:1">
      <c r="A672" s="84"/>
    </row>
    <row r="673" spans="1:1">
      <c r="A673" s="84"/>
    </row>
    <row r="674" spans="1:1">
      <c r="A674" s="84"/>
    </row>
    <row r="675" spans="1:1">
      <c r="A675" s="84"/>
    </row>
    <row r="676" spans="1:1">
      <c r="A676" s="84"/>
    </row>
    <row r="677" spans="1:1">
      <c r="A677" s="84"/>
    </row>
    <row r="678" spans="1:1">
      <c r="A678" s="84"/>
    </row>
    <row r="679" spans="1:1">
      <c r="A679" s="84"/>
    </row>
    <row r="680" spans="1:1">
      <c r="A680" s="84"/>
    </row>
    <row r="681" spans="1:1">
      <c r="A681" s="84"/>
    </row>
    <row r="682" spans="1:1">
      <c r="A682" s="84"/>
    </row>
    <row r="683" spans="1:1">
      <c r="A683" s="84"/>
    </row>
    <row r="684" spans="1:1">
      <c r="A684" s="84"/>
    </row>
    <row r="685" spans="1:1">
      <c r="A685" s="84"/>
    </row>
    <row r="686" spans="1:1">
      <c r="A686" s="84"/>
    </row>
    <row r="687" spans="1:1">
      <c r="A687" s="84"/>
    </row>
    <row r="688" spans="1:1">
      <c r="A688" s="84"/>
    </row>
    <row r="689" spans="1:1">
      <c r="A689" s="84"/>
    </row>
    <row r="690" spans="1:1">
      <c r="A690" s="84"/>
    </row>
    <row r="691" spans="1:1">
      <c r="A691" s="84"/>
    </row>
    <row r="692" spans="1:1">
      <c r="A692" s="84"/>
    </row>
    <row r="693" spans="1:1">
      <c r="A693" s="84"/>
    </row>
    <row r="694" spans="1:1">
      <c r="A694" s="84"/>
    </row>
    <row r="695" spans="1:1">
      <c r="A695" s="84"/>
    </row>
    <row r="696" spans="1:1">
      <c r="A696" s="84"/>
    </row>
    <row r="697" spans="1:1">
      <c r="A697" s="84"/>
    </row>
    <row r="698" spans="1:1">
      <c r="A698" s="84"/>
    </row>
    <row r="699" spans="1:1">
      <c r="A699" s="84"/>
    </row>
    <row r="700" spans="1:1">
      <c r="A700" s="84"/>
    </row>
    <row r="701" spans="1:1">
      <c r="A701" s="84"/>
    </row>
    <row r="702" spans="1:1">
      <c r="A702" s="84"/>
    </row>
    <row r="703" spans="1:1">
      <c r="A703" s="84"/>
    </row>
    <row r="704" spans="1:1">
      <c r="A704" s="84"/>
    </row>
    <row r="705" spans="1:1">
      <c r="A705" s="84"/>
    </row>
    <row r="706" spans="1:1">
      <c r="A706" s="84"/>
    </row>
    <row r="707" spans="1:1">
      <c r="A707" s="84"/>
    </row>
    <row r="708" spans="1:1">
      <c r="A708" s="84"/>
    </row>
    <row r="709" spans="1:1">
      <c r="A709" s="84"/>
    </row>
    <row r="710" spans="1:1">
      <c r="A710" s="84"/>
    </row>
    <row r="711" spans="1:1">
      <c r="A711" s="84"/>
    </row>
    <row r="712" spans="1:1">
      <c r="A712" s="84"/>
    </row>
    <row r="713" spans="1:1">
      <c r="A713" s="84"/>
    </row>
    <row r="714" spans="1:1">
      <c r="A714" s="84"/>
    </row>
    <row r="715" spans="1:1">
      <c r="A715" s="84"/>
    </row>
    <row r="716" spans="1:1">
      <c r="A716" s="84"/>
    </row>
    <row r="717" spans="1:1">
      <c r="A717" s="84"/>
    </row>
    <row r="718" spans="1:1">
      <c r="A718" s="84"/>
    </row>
    <row r="719" spans="1:1">
      <c r="A719" s="84"/>
    </row>
    <row r="720" spans="1:1">
      <c r="A720" s="84"/>
    </row>
    <row r="721" spans="1:1">
      <c r="A721" s="84"/>
    </row>
    <row r="722" spans="1:1">
      <c r="A722" s="84"/>
    </row>
    <row r="723" spans="1:1">
      <c r="A723" s="84"/>
    </row>
    <row r="724" spans="1:1">
      <c r="A724" s="84"/>
    </row>
    <row r="725" spans="1:1">
      <c r="A725" s="84"/>
    </row>
    <row r="726" spans="1:1">
      <c r="A726" s="84"/>
    </row>
    <row r="727" spans="1:1">
      <c r="A727" s="84"/>
    </row>
    <row r="728" spans="1:1">
      <c r="A728" s="84"/>
    </row>
    <row r="729" spans="1:1">
      <c r="A729" s="84"/>
    </row>
    <row r="730" spans="1:1">
      <c r="A730" s="84"/>
    </row>
    <row r="731" spans="1:1">
      <c r="A731" s="84"/>
    </row>
    <row r="732" spans="1:1">
      <c r="A732" s="84"/>
    </row>
    <row r="733" spans="1:1">
      <c r="A733" s="84"/>
    </row>
    <row r="734" spans="1:1">
      <c r="A734" s="84"/>
    </row>
    <row r="735" spans="1:1">
      <c r="A735" s="84"/>
    </row>
    <row r="736" spans="1:1">
      <c r="A736" s="84"/>
    </row>
    <row r="737" spans="1:1">
      <c r="A737" s="84"/>
    </row>
    <row r="738" spans="1:1">
      <c r="A738" s="84"/>
    </row>
    <row r="739" spans="1:1">
      <c r="A739" s="84"/>
    </row>
    <row r="740" spans="1:1">
      <c r="A740" s="84"/>
    </row>
    <row r="741" spans="1:1">
      <c r="A741" s="84"/>
    </row>
    <row r="742" spans="1:1">
      <c r="A742" s="84"/>
    </row>
    <row r="743" spans="1:1">
      <c r="A743" s="84"/>
    </row>
    <row r="744" spans="1:1">
      <c r="A744" s="84"/>
    </row>
    <row r="745" spans="1:1">
      <c r="A745" s="84"/>
    </row>
    <row r="746" spans="1:1">
      <c r="A746" s="84"/>
    </row>
    <row r="747" spans="1:1">
      <c r="A747" s="84"/>
    </row>
    <row r="748" spans="1:1">
      <c r="A748" s="84"/>
    </row>
    <row r="749" spans="1:1">
      <c r="A749" s="84"/>
    </row>
    <row r="750" spans="1:1">
      <c r="A750" s="84"/>
    </row>
    <row r="751" spans="1:1">
      <c r="A751" s="84"/>
    </row>
    <row r="752" spans="1:1">
      <c r="A752" s="84"/>
    </row>
    <row r="753" spans="1:1">
      <c r="A753" s="84"/>
    </row>
    <row r="754" spans="1:1">
      <c r="A754" s="84"/>
    </row>
    <row r="755" spans="1:1">
      <c r="A755" s="84"/>
    </row>
    <row r="756" spans="1:1">
      <c r="A756" s="84"/>
    </row>
    <row r="757" spans="1:1">
      <c r="A757" s="84"/>
    </row>
    <row r="758" spans="1:1">
      <c r="A758" s="84"/>
    </row>
    <row r="759" spans="1:1">
      <c r="A759" s="84"/>
    </row>
    <row r="760" spans="1:1">
      <c r="A760" s="84"/>
    </row>
    <row r="761" spans="1:1">
      <c r="A761" s="84"/>
    </row>
    <row r="762" spans="1:1">
      <c r="A762" s="84"/>
    </row>
    <row r="763" spans="1:1">
      <c r="A763" s="84"/>
    </row>
    <row r="764" spans="1:1">
      <c r="A764" s="84"/>
    </row>
    <row r="765" spans="1:1">
      <c r="A765" s="84"/>
    </row>
    <row r="766" spans="1:1">
      <c r="A766" s="84"/>
    </row>
    <row r="767" spans="1:1">
      <c r="A767" s="84"/>
    </row>
    <row r="768" spans="1:1">
      <c r="A768" s="84"/>
    </row>
    <row r="769" spans="1:1">
      <c r="A769" s="84"/>
    </row>
    <row r="770" spans="1:1">
      <c r="A770" s="84"/>
    </row>
    <row r="771" spans="1:1">
      <c r="A771" s="84"/>
    </row>
    <row r="772" spans="1:1">
      <c r="A772" s="84"/>
    </row>
    <row r="773" spans="1:1">
      <c r="A773" s="84"/>
    </row>
    <row r="774" spans="1:1">
      <c r="A774" s="84"/>
    </row>
    <row r="775" spans="1:1">
      <c r="A775" s="84"/>
    </row>
    <row r="776" spans="1:1">
      <c r="A776" s="84"/>
    </row>
    <row r="777" spans="1:1">
      <c r="A777" s="84"/>
    </row>
    <row r="778" spans="1:1">
      <c r="A778" s="84"/>
    </row>
    <row r="779" spans="1:1">
      <c r="A779" s="84"/>
    </row>
    <row r="780" spans="1:1">
      <c r="A780" s="84"/>
    </row>
    <row r="781" spans="1:1">
      <c r="A781" s="84"/>
    </row>
    <row r="782" spans="1:1">
      <c r="A782" s="84"/>
    </row>
    <row r="783" spans="1:1">
      <c r="A783" s="84"/>
    </row>
    <row r="784" spans="1:1">
      <c r="A784" s="84"/>
    </row>
    <row r="785" spans="1:1">
      <c r="A785" s="84"/>
    </row>
    <row r="786" spans="1:1">
      <c r="A786" s="84"/>
    </row>
    <row r="787" spans="1:1">
      <c r="A787" s="84"/>
    </row>
    <row r="788" spans="1:1">
      <c r="A788" s="84"/>
    </row>
    <row r="789" spans="1:1">
      <c r="A789" s="84"/>
    </row>
    <row r="790" spans="1:1">
      <c r="A790" s="84"/>
    </row>
    <row r="791" spans="1:1">
      <c r="A791" s="84"/>
    </row>
    <row r="792" spans="1:1">
      <c r="A792" s="84"/>
    </row>
    <row r="793" spans="1:1">
      <c r="A793" s="84"/>
    </row>
    <row r="794" spans="1:1">
      <c r="A794" s="84"/>
    </row>
    <row r="795" spans="1:1">
      <c r="A795" s="84"/>
    </row>
    <row r="796" spans="1:1">
      <c r="A796" s="84"/>
    </row>
    <row r="797" spans="1:1">
      <c r="A797" s="84"/>
    </row>
    <row r="798" spans="1:1">
      <c r="A798" s="84"/>
    </row>
    <row r="799" spans="1:1">
      <c r="A799" s="84"/>
    </row>
    <row r="800" spans="1:1">
      <c r="A800" s="84"/>
    </row>
    <row r="801" spans="1:1">
      <c r="A801" s="84"/>
    </row>
    <row r="802" spans="1:1">
      <c r="A802" s="84"/>
    </row>
  </sheetData>
  <conditionalFormatting sqref="E2:E3">
    <cfRule type="containsText" dxfId="34" priority="20" stopIfTrue="1" operator="containsText" text="Checked:">
      <formula>NOT(ISERROR(SEARCH("Checked:",E2)))</formula>
    </cfRule>
    <cfRule type="cellIs" dxfId="33" priority="21" stopIfTrue="1" operator="equal">
      <formula>"No checklist items checked"</formula>
    </cfRule>
    <cfRule type="cellIs" dxfId="32" priority="22" stopIfTrue="1" operator="equal">
      <formula>"Sent"</formula>
    </cfRule>
    <cfRule type="cellIs" dxfId="31" priority="23" stopIfTrue="1" operator="equal">
      <formula>"Scheduled"</formula>
    </cfRule>
    <cfRule type="cellIs" dxfId="30" priority="24" stopIfTrue="1" operator="equal">
      <formula>"Ready to Schedule"</formula>
    </cfRule>
  </conditionalFormatting>
  <conditionalFormatting sqref="A2:R3">
    <cfRule type="expression" dxfId="29" priority="25">
      <formula>OR(LOWER(TRIM($R2))="cancelled",LOWER(TRIM($R2))="canceled")</formula>
    </cfRule>
    <cfRule type="expression" dxfId="28" priority="26">
      <formula>OR(LOWER(TRIM($R2))="cancelled",LOWER(TRIM($R2))="canceled")</formula>
    </cfRule>
  </conditionalFormatting>
  <conditionalFormatting sqref="A2:R202">
    <cfRule type="expression" dxfId="27" priority="1">
      <formula>AND($C2&lt;&gt;"",$K2&lt;&gt;TRUE,IFERROR(INT($A2),0)&gt;=TODAY()+1,IFERROR(INT($A2),0)&lt;=TODAY()+IF(WEEKDAY(TODAY(),1)=6,3,1),NOT(OR(LOWER(TRIM($R2))="cancelled",LOWER(TRIM($R2))="canceled")))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ErrorMessage="1" xr:uid="{00000000-0002-0000-0300-000000000000}">
          <x14:formula1>
            <xm:f>Dropdowns!$A$2:$A$8</xm:f>
          </x14:formula1>
          <xm:sqref>D4:D1001</xm:sqref>
        </x14:dataValidation>
        <x14:dataValidation type="list" errorStyle="information" allowBlank="1" showInputMessage="1" errorTitle="Campaign type" error="Custom values are allowed for this row, but they are not saved as dropdown options." promptTitle="Campaign type" prompt="Choose a type. If the type is not listed, choose Others, then type the custom value in this cell. Custom values are not added to the dropdown list." xr:uid="{0362B5C3-5BDB-4426-B9D9-2B2A1BB34D2D}">
          <x14:formula1>
            <xm:f>Dropdowns!$A$2:$A$8</xm:f>
          </x14:formula1>
          <xm:sqref>D4:D1001</xm:sqref>
        </x14:dataValidation>
        <x14:dataValidation type="list" errorStyle="information" allowBlank="1" showInputMessage="1" errorTitle="Campaign type" error="Custom values are allowed for this row, but they are not saved as dropdown options." promptTitle="Campaign type" prompt="Choose a type. To use a type that is not listed, choose Others and enter the custom value when prompted. Custom values apply to that row only and are not added to the list." xr:uid="{2581E21B-1F2E-40E4-8388-E422049DF608}">
          <x14:formula1>
            <xm:f>Dropdowns!$A$2:$A$10</xm:f>
          </x14:formula1>
          <xm:sqref>D2:D3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67EB3-DD8D-4F47-A356-37A4EB6DFCD8}">
  <sheetPr codeName="Sheet3">
    <tabColor rgb="FF002060"/>
  </sheetPr>
  <dimension ref="A1:E23"/>
  <sheetViews>
    <sheetView tabSelected="1" topLeftCell="A19" workbookViewId="0">
      <selection activeCell="C23" sqref="C23"/>
    </sheetView>
  </sheetViews>
  <sheetFormatPr defaultRowHeight="15"/>
  <cols>
    <col min="1" max="1" width="22.625" style="6" customWidth="1"/>
    <col min="2" max="2" width="25.625" style="6" customWidth="1"/>
    <col min="3" max="3" width="48.625" style="6" customWidth="1"/>
    <col min="4" max="4" width="45.625" style="6" customWidth="1"/>
    <col min="5" max="5" width="42.625" style="6" customWidth="1"/>
  </cols>
  <sheetData>
    <row r="1" spans="1:5" ht="14.25">
      <c r="A1" s="85" t="s">
        <v>0</v>
      </c>
      <c r="B1" s="85"/>
      <c r="C1" s="85"/>
      <c r="D1" s="85"/>
      <c r="E1" s="85"/>
    </row>
    <row r="2" spans="1:5" ht="14.25">
      <c r="A2" s="85"/>
      <c r="B2" s="85"/>
      <c r="C2" s="85"/>
      <c r="D2" s="85"/>
      <c r="E2" s="85"/>
    </row>
    <row r="3" spans="1:5">
      <c r="A3" s="6" t="s">
        <v>143</v>
      </c>
      <c r="B3" s="6" t="s">
        <v>144</v>
      </c>
      <c r="C3" s="6" t="s">
        <v>145</v>
      </c>
      <c r="D3" s="6" t="s">
        <v>146</v>
      </c>
      <c r="E3" s="6" t="s">
        <v>147</v>
      </c>
    </row>
    <row r="4" spans="1:5" ht="60">
      <c r="A4" s="6" t="s">
        <v>114</v>
      </c>
      <c r="B4" s="6" t="s">
        <v>148</v>
      </c>
      <c r="C4" s="6" t="s">
        <v>149</v>
      </c>
      <c r="D4" s="6" t="s">
        <v>150</v>
      </c>
      <c r="E4" s="6" t="s">
        <v>151</v>
      </c>
    </row>
    <row r="5" spans="1:5" ht="60">
      <c r="A5" s="6" t="s">
        <v>114</v>
      </c>
      <c r="B5" s="6" t="s">
        <v>152</v>
      </c>
      <c r="C5" s="6" t="s">
        <v>153</v>
      </c>
      <c r="D5" s="6" t="s">
        <v>154</v>
      </c>
      <c r="E5" s="6" t="s">
        <v>155</v>
      </c>
    </row>
    <row r="6" spans="1:5" ht="45">
      <c r="A6" s="6" t="s">
        <v>115</v>
      </c>
      <c r="B6" s="6" t="s">
        <v>156</v>
      </c>
      <c r="C6" s="6" t="s">
        <v>157</v>
      </c>
      <c r="D6" s="6" t="s">
        <v>158</v>
      </c>
      <c r="E6" s="6" t="s">
        <v>159</v>
      </c>
    </row>
    <row r="7" spans="1:5" ht="90">
      <c r="A7" s="6" t="s">
        <v>43</v>
      </c>
      <c r="B7" s="6" t="s">
        <v>160</v>
      </c>
      <c r="C7" s="6" t="s">
        <v>161</v>
      </c>
      <c r="D7" s="6" t="s">
        <v>162</v>
      </c>
      <c r="E7" s="6" t="s">
        <v>163</v>
      </c>
    </row>
    <row r="8" spans="1:5" ht="45">
      <c r="A8" s="6" t="s">
        <v>116</v>
      </c>
      <c r="B8" s="6" t="s">
        <v>164</v>
      </c>
      <c r="C8" s="6" t="s">
        <v>165</v>
      </c>
      <c r="D8" s="6" t="s">
        <v>166</v>
      </c>
      <c r="E8" s="6" t="s">
        <v>151</v>
      </c>
    </row>
    <row r="9" spans="1:5" ht="60">
      <c r="A9" s="6" t="s">
        <v>67</v>
      </c>
      <c r="B9" s="6" t="s">
        <v>167</v>
      </c>
      <c r="C9" s="6" t="s">
        <v>168</v>
      </c>
      <c r="D9" s="6" t="s">
        <v>169</v>
      </c>
      <c r="E9" s="6" t="s">
        <v>170</v>
      </c>
    </row>
    <row r="10" spans="1:5" ht="60">
      <c r="A10" s="6" t="s">
        <v>67</v>
      </c>
      <c r="B10" s="6" t="s">
        <v>171</v>
      </c>
      <c r="C10" s="6" t="s">
        <v>172</v>
      </c>
      <c r="D10" s="6" t="s">
        <v>173</v>
      </c>
      <c r="E10" s="6" t="s">
        <v>174</v>
      </c>
    </row>
    <row r="11" spans="1:5" ht="90">
      <c r="A11" s="6" t="s">
        <v>137</v>
      </c>
      <c r="B11" s="6" t="s">
        <v>175</v>
      </c>
      <c r="C11" s="6" t="s">
        <v>176</v>
      </c>
      <c r="D11" s="6" t="s">
        <v>177</v>
      </c>
      <c r="E11" s="6" t="s">
        <v>178</v>
      </c>
    </row>
    <row r="12" spans="1:5" ht="60">
      <c r="A12" s="6" t="s">
        <v>117</v>
      </c>
      <c r="B12" s="6" t="s">
        <v>179</v>
      </c>
      <c r="C12" s="6" t="s">
        <v>180</v>
      </c>
      <c r="D12" s="6" t="s">
        <v>181</v>
      </c>
      <c r="E12" s="6" t="s">
        <v>182</v>
      </c>
    </row>
    <row r="13" spans="1:5" ht="45">
      <c r="A13" s="6" t="s">
        <v>118</v>
      </c>
      <c r="B13" s="6" t="s">
        <v>183</v>
      </c>
      <c r="C13" s="6" t="s">
        <v>184</v>
      </c>
      <c r="D13" s="6" t="s">
        <v>185</v>
      </c>
      <c r="E13" s="6" t="s">
        <v>186</v>
      </c>
    </row>
    <row r="14" spans="1:5" ht="45">
      <c r="A14" s="6" t="s">
        <v>119</v>
      </c>
      <c r="B14" s="6" t="s">
        <v>187</v>
      </c>
      <c r="C14" s="6" t="s">
        <v>188</v>
      </c>
      <c r="D14" s="6" t="s">
        <v>189</v>
      </c>
      <c r="E14" s="6" t="s">
        <v>190</v>
      </c>
    </row>
    <row r="15" spans="1:5" ht="45">
      <c r="A15" s="6" t="s">
        <v>20</v>
      </c>
      <c r="B15" s="6" t="s">
        <v>191</v>
      </c>
      <c r="C15" s="6" t="s">
        <v>192</v>
      </c>
      <c r="D15" s="6" t="s">
        <v>193</v>
      </c>
      <c r="E15" s="6" t="s">
        <v>194</v>
      </c>
    </row>
    <row r="16" spans="1:5" ht="45">
      <c r="A16" s="6" t="s">
        <v>41</v>
      </c>
      <c r="B16" s="6" t="s">
        <v>195</v>
      </c>
      <c r="C16" s="6" t="s">
        <v>196</v>
      </c>
      <c r="D16" s="6" t="s">
        <v>197</v>
      </c>
      <c r="E16" s="6" t="s">
        <v>198</v>
      </c>
    </row>
    <row r="17" spans="1:5" ht="45">
      <c r="A17" s="6" t="s">
        <v>123</v>
      </c>
      <c r="B17" s="6" t="s">
        <v>199</v>
      </c>
      <c r="C17" s="6" t="s">
        <v>200</v>
      </c>
      <c r="D17" s="6" t="s">
        <v>201</v>
      </c>
      <c r="E17" s="6" t="s">
        <v>202</v>
      </c>
    </row>
    <row r="18" spans="1:5" ht="75">
      <c r="A18" s="6" t="s">
        <v>124</v>
      </c>
      <c r="B18" s="6" t="s">
        <v>203</v>
      </c>
      <c r="C18" s="6" t="s">
        <v>204</v>
      </c>
      <c r="D18" s="6" t="s">
        <v>205</v>
      </c>
      <c r="E18" s="6" t="s">
        <v>206</v>
      </c>
    </row>
    <row r="19" spans="1:5" ht="60">
      <c r="A19" s="6" t="s">
        <v>120</v>
      </c>
      <c r="B19" s="6" t="s">
        <v>207</v>
      </c>
      <c r="C19" s="6" t="s">
        <v>208</v>
      </c>
      <c r="D19" s="6" t="s">
        <v>209</v>
      </c>
      <c r="E19" s="6" t="s">
        <v>210</v>
      </c>
    </row>
    <row r="20" spans="1:5" ht="45">
      <c r="A20" s="6" t="s">
        <v>121</v>
      </c>
      <c r="B20" s="6" t="s">
        <v>211</v>
      </c>
      <c r="C20" s="6" t="s">
        <v>212</v>
      </c>
      <c r="D20" s="6" t="s">
        <v>213</v>
      </c>
      <c r="E20" s="6" t="s">
        <v>214</v>
      </c>
    </row>
    <row r="21" spans="1:5" ht="45">
      <c r="A21" s="6" t="s">
        <v>122</v>
      </c>
      <c r="B21" s="6" t="s">
        <v>215</v>
      </c>
      <c r="C21" s="6" t="s">
        <v>216</v>
      </c>
      <c r="D21" s="6" t="s">
        <v>217</v>
      </c>
      <c r="E21" s="6" t="s">
        <v>218</v>
      </c>
    </row>
    <row r="22" spans="1:5" ht="75">
      <c r="A22" s="6" t="s">
        <v>127</v>
      </c>
      <c r="B22" s="6" t="s">
        <v>219</v>
      </c>
      <c r="C22" s="6" t="s">
        <v>220</v>
      </c>
      <c r="D22" s="6" t="s">
        <v>221</v>
      </c>
      <c r="E22" s="6" t="s">
        <v>222</v>
      </c>
    </row>
    <row r="23" spans="1:5" ht="90">
      <c r="A23" s="6" t="s">
        <v>128</v>
      </c>
      <c r="B23" s="6" t="s">
        <v>223</v>
      </c>
      <c r="C23" s="6" t="s">
        <v>224</v>
      </c>
      <c r="D23" s="6" t="s">
        <v>225</v>
      </c>
      <c r="E23" s="6" t="s">
        <v>226</v>
      </c>
    </row>
  </sheetData>
  <sheetProtection algorithmName="SHA-512" hashValue="6HLNjya2ovBEv3PWTi8BpOV69+tRLeTZ30J/jf941hv5iLYCy43EXKpA7noQOJTDGLojXiH58E25amBXJBqftw==" saltValue="LmFAiQCPEMh9yC0UAVvddQ==" spinCount="100000" sheet="1" objects="1" scenarios="1"/>
  <mergeCells count="1">
    <mergeCell ref="A1:E2"/>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3FE8D-359A-4099-B19A-34ADD107F9AF}">
  <sheetPr codeName="Sheet7">
    <tabColor rgb="FF92D050"/>
  </sheetPr>
  <dimension ref="A1:N29"/>
  <sheetViews>
    <sheetView workbookViewId="0">
      <selection activeCell="G5" sqref="G5"/>
    </sheetView>
  </sheetViews>
  <sheetFormatPr defaultRowHeight="15"/>
  <cols>
    <col min="1" max="8" width="26.875" style="46" customWidth="1"/>
    <col min="9" max="16384" width="9" style="38"/>
  </cols>
  <sheetData>
    <row r="1" spans="1:14" ht="26.25">
      <c r="A1" s="111" t="s">
        <v>133</v>
      </c>
      <c r="B1" s="111"/>
      <c r="C1" s="111"/>
      <c r="D1" s="111"/>
      <c r="E1" s="111"/>
      <c r="F1" s="111"/>
      <c r="G1" s="111"/>
      <c r="H1" s="111"/>
      <c r="I1" s="112" t="s">
        <v>134</v>
      </c>
      <c r="J1" s="112"/>
      <c r="K1" s="112"/>
      <c r="L1" s="112" t="s">
        <v>135</v>
      </c>
      <c r="M1" s="112"/>
      <c r="N1" s="112"/>
    </row>
    <row r="2" spans="1:14" ht="21">
      <c r="A2" s="39"/>
      <c r="B2" s="39" t="str">
        <f>'[1]2026 June Email Calendar'!$B$15 &amp; ""</f>
        <v>Events</v>
      </c>
      <c r="C2" s="39" t="str">
        <f>'[1]2026 June Email Calendar'!$C$15 &amp; ""</f>
        <v>Promo</v>
      </c>
      <c r="D2" s="39" t="str">
        <f>'[1]2026 June Email Calendar'!$D$15 &amp; ""</f>
        <v/>
      </c>
      <c r="E2" s="39" t="str">
        <f>'[1]2026 June Email Calendar'!$E$15 &amp; ""</f>
        <v>Services</v>
      </c>
      <c r="F2" s="39" t="str">
        <f>'[1]2026 June Email Calendar'!$F$15 &amp; ""</f>
        <v>PLCC &amp; Loyalty</v>
      </c>
      <c r="G2" s="39" t="str">
        <f>'[1]2026 June Email Calendar'!$G$15 &amp; ""</f>
        <v>Promo</v>
      </c>
      <c r="H2" s="39" t="str">
        <f>'[1]2026 June Email Calendar'!$H$15 &amp; ""</f>
        <v>Newsletters</v>
      </c>
    </row>
    <row r="3" spans="1:14" ht="21">
      <c r="A3" s="40"/>
      <c r="B3" s="40" t="str">
        <f>'[1]2026 June Email Calendar'!$B$2 &amp; ""</f>
        <v>Sunday</v>
      </c>
      <c r="C3" s="40" t="str">
        <f>'[1]2026 June Email Calendar'!$C$2 &amp; ""</f>
        <v>Monday</v>
      </c>
      <c r="D3" s="40" t="str">
        <f>'[1]2026 June Email Calendar'!$D$2 &amp; ""</f>
        <v>Tuesday</v>
      </c>
      <c r="E3" s="40" t="str">
        <f>'[1]2026 June Email Calendar'!$E$2 &amp; ""</f>
        <v>Wednesday</v>
      </c>
      <c r="F3" s="40" t="str">
        <f>'[1]2026 June Email Calendar'!$F$2 &amp; ""</f>
        <v>Thursday</v>
      </c>
      <c r="G3" s="40" t="str">
        <f>'[1]2026 June Email Calendar'!$G$2 &amp; ""</f>
        <v>Friday</v>
      </c>
      <c r="H3" s="40" t="str">
        <f>'[1]2026 June Email Calendar'!$H$2 &amp; ""</f>
        <v>Saturday</v>
      </c>
    </row>
    <row r="4" spans="1:14">
      <c r="A4" s="41" t="str">
        <f>'[1]2026 June Email Calendar'!$A$3</f>
        <v>Wk. 23: May 31 – June 06</v>
      </c>
      <c r="B4" s="41">
        <f>'[1]2026 June Email Calendar'!$B$3</f>
        <v>46173</v>
      </c>
      <c r="C4" s="41">
        <f>'[1]2026 June Email Calendar'!$C$3</f>
        <v>46174</v>
      </c>
      <c r="D4" s="41">
        <f>'[1]2026 June Email Calendar'!$D$3</f>
        <v>46175</v>
      </c>
      <c r="E4" s="41">
        <f>'[1]2026 June Email Calendar'!$E$3</f>
        <v>46176</v>
      </c>
      <c r="F4" s="41">
        <f>'[1]2026 June Email Calendar'!$F$3</f>
        <v>46177</v>
      </c>
      <c r="G4" s="42">
        <f>'[1]2026 June Email Calendar'!$G$3</f>
        <v>46178</v>
      </c>
      <c r="H4" s="42">
        <f>'[1]2026 June Email Calendar'!$H$3</f>
        <v>46179</v>
      </c>
    </row>
    <row r="5" spans="1:14" ht="210">
      <c r="A5" s="41"/>
      <c r="B5" s="43"/>
      <c r="C5" s="44" t="str">
        <f>'[1]2026 June Email Calendar'!$C$4 &amp; ""</f>
        <v>Promo: 
Bundle &amp; Save
STO</v>
      </c>
      <c r="D5" s="44" t="str">
        <f>'[1]2026 June Email Calendar'!$D$4 &amp; ""</f>
        <v>Loyalty: 
VIP Summary (Adorama - existing VIPs)
V1: VIP Rewards
V2: VIP Perks
V3: VIP PRO
STO</v>
      </c>
      <c r="E5" s="44" t="str">
        <f>'[1]2026 June Email Calendar'!$E$4 &amp; ""</f>
        <v xml:space="preserve">Services: 
Open Box
STO
</v>
      </c>
      <c r="F5" s="44" t="str">
        <f>'[1]2026 June Email Calendar'!$F$4 &amp; ""</f>
        <v>PLCC:
Open To Buy (targeted)
STO</v>
      </c>
      <c r="G5" s="45" t="str">
        <f>'[1]2026 June Email Calendar'!$G$4 &amp; ""</f>
        <v>Promo: 
EM1: Gaming with Products
8AM
EM2: Weekend Deals with Products (video)
9AM
EM3: Weekend Deals with Products (photo + other categories)
10AM
NO EMAILS AFTER 8:00PM</v>
      </c>
      <c r="H5" s="41" t="str">
        <f>'[1]2026 June Email Calendar'!$H$4 &amp; ""</f>
        <v>Newsletters:
Creators Huddle 
10PM
NO EMAILS BEFORE 9:40PM</v>
      </c>
    </row>
    <row r="6" spans="1:14">
      <c r="A6" s="41" t="str">
        <f>'[1]2026 June Email Calendar'!$A$5</f>
        <v>Wk. 24: June 07 - June 13</v>
      </c>
      <c r="B6" s="42">
        <f>'[1]2026 June Email Calendar'!$B$5</f>
        <v>45815</v>
      </c>
      <c r="C6" s="42">
        <f>'[1]2026 June Email Calendar'!$C$5</f>
        <v>45816</v>
      </c>
      <c r="D6" s="42">
        <f>'[1]2026 June Email Calendar'!$D$5</f>
        <v>45817</v>
      </c>
      <c r="E6" s="42">
        <f>'[1]2026 June Email Calendar'!$E$5</f>
        <v>45818</v>
      </c>
      <c r="F6" s="42">
        <f>'[1]2026 June Email Calendar'!$F$5</f>
        <v>45819</v>
      </c>
      <c r="G6" s="42">
        <f>'[1]2026 June Email Calendar'!$G$5</f>
        <v>45820</v>
      </c>
      <c r="H6" s="42">
        <f>'[1]2026 June Email Calendar'!$H$5</f>
        <v>45821</v>
      </c>
    </row>
    <row r="7" spans="1:14" ht="180">
      <c r="A7" s="41"/>
      <c r="B7" s="41" t="str">
        <f>'[1]2026 June Email Calendar'!$B$6 &amp; ""</f>
        <v>Event: 
JK x ADORAMA NYC WORKSHOP
Targeted to New York metropolitan area (tri-state area)
STO
In-Stock:
Sony ISOA7R6
STO</v>
      </c>
      <c r="C7" s="41" t="str">
        <f>'[1]2026 June Email Calendar'!$C$6 &amp; ""</f>
        <v>Promo: 
Photo Rebates with Products
STO</v>
      </c>
      <c r="D7" s="46" t="str">
        <f>'[1]2026 June Email Calendar'!$D$6 &amp; ""</f>
        <v>Newsletter:
Store (include Sunday's event)
STO
NPA:
Insta360 Luna Ultra Gimbal Camera</v>
      </c>
      <c r="E7" s="41" t="str">
        <f>'[1]2026 June Email Calendar'!$E$6 &amp; ""</f>
        <v xml:space="preserve">Services:
Private Brands (include Sunday's event)
STO
</v>
      </c>
      <c r="F7" s="41" t="str">
        <f>'[1]2026 June Email Calendar'!$F$6 &amp; ""</f>
        <v>Loyalty: 
EM1: Non Member Acquisition
STO
EM2: 1,000 Points Card Member Reminder
STO</v>
      </c>
      <c r="G7" s="41" t="str">
        <f>'[1]2026 June Email Calendar'!$G$6 &amp; ""</f>
        <v>Promo: 
EM1: Father's Day
8AM
EM2: Photo Rebates Resend
(targeting: people who received 6/8/26 Photo Rebates, opened them, but did not buy)
3PM
NO EMAILS AFTER 8:05PM</v>
      </c>
      <c r="H7" s="41" t="str">
        <f>'[1]2026 June Email Calendar'!$H$6 &amp; ""</f>
        <v>Newsletter: 
Photo (supporting FIFA World Cup 2026)
10PM
NO EMAILS BEFORE 9:45PM</v>
      </c>
    </row>
    <row r="8" spans="1:14">
      <c r="A8" s="46" t="str">
        <f>'[1]2026 June Email Calendar'!$A$7</f>
        <v>Wk. 25: June 14 - June 20</v>
      </c>
      <c r="B8" s="42">
        <f>'[1]2026 June Email Calendar'!$B$7</f>
        <v>45822</v>
      </c>
      <c r="C8" s="42">
        <f>'[1]2026 June Email Calendar'!$C$7</f>
        <v>45823</v>
      </c>
      <c r="D8" s="42">
        <f>'[1]2026 June Email Calendar'!$D$7</f>
        <v>45824</v>
      </c>
      <c r="E8" s="42">
        <f>'[1]2026 June Email Calendar'!$E$7</f>
        <v>45825</v>
      </c>
      <c r="F8" s="42">
        <f>'[1]2026 June Email Calendar'!$F$7</f>
        <v>45826</v>
      </c>
      <c r="G8" s="42">
        <f>'[1]2026 June Email Calendar'!$G$7</f>
        <v>45827</v>
      </c>
      <c r="H8" s="42">
        <f>'[1]2026 June Email Calendar'!$H$7</f>
        <v>45828</v>
      </c>
    </row>
    <row r="9" spans="1:14" ht="90">
      <c r="A9" s="38"/>
      <c r="B9" s="41" t="str">
        <f>'[1]2026 June Email Calendar'!$B$8 &amp; ""</f>
        <v>Event:
EM1: FIFA World Cup 2026
9AM
EM2: ABS Giveaway
10AM</v>
      </c>
      <c r="C9" s="41" t="str">
        <f>'[1]2026 June Email Calendar'!$C$8 &amp; ""</f>
        <v>EM1: NPA:
Leica 
9AM
EM1: 24-Hour Sale
7AM</v>
      </c>
      <c r="D9" s="47" t="str">
        <f>'[1]2026 June Email Calendar'!$D$8 &amp; ""</f>
        <v/>
      </c>
      <c r="E9" s="41" t="str">
        <f>'[1]2026 June Email Calendar'!$E$8 &amp; ""</f>
        <v>Services:
Trade
STO</v>
      </c>
      <c r="F9" s="41" t="str">
        <f>'[1]2026 June Email Calendar'!$F$8 &amp; ""</f>
        <v>PLCC: 
Adorama Brands (Coupon email for cardmembers - targeted)
STO</v>
      </c>
      <c r="G9" s="41" t="str">
        <f>'[1]2026 June Email Calendar'!$G$8 &amp; ""</f>
        <v>Promo: 
Warehouse Sale
8AM
NO EMAILS AFTER 8:07PM</v>
      </c>
      <c r="H9" s="41" t="str">
        <f>'[1]2026 June Email Calendar'!$H$8 &amp; ""</f>
        <v>Newsletter:
Video
10PM
NO EMAILS BEFORE 9:50PM</v>
      </c>
    </row>
    <row r="10" spans="1:14">
      <c r="A10" s="46" t="str">
        <f>'[1]2026 June Email Calendar'!$A$9</f>
        <v>Wk. 26: June 21 - June 27</v>
      </c>
      <c r="B10" s="48">
        <f>'[1]2026 June Email Calendar'!$B$9</f>
        <v>45829</v>
      </c>
      <c r="C10" s="48">
        <f>'[1]2026 June Email Calendar'!$C$9</f>
        <v>45830</v>
      </c>
      <c r="D10" s="48">
        <f>'[1]2026 June Email Calendar'!$D$9</f>
        <v>45831</v>
      </c>
      <c r="E10" s="48">
        <f>'[1]2026 June Email Calendar'!$E$9</f>
        <v>45832</v>
      </c>
      <c r="F10" s="48">
        <f>'[1]2026 June Email Calendar'!$F$9</f>
        <v>45833</v>
      </c>
      <c r="G10" s="48">
        <f>'[1]2026 June Email Calendar'!$G$9</f>
        <v>45834</v>
      </c>
      <c r="H10" s="48">
        <f>'[1]2026 June Email Calendar'!$H$9</f>
        <v>45835</v>
      </c>
    </row>
    <row r="11" spans="1:14" ht="150">
      <c r="A11" s="38"/>
      <c r="B11" s="41" t="str">
        <f>'[1]2026 June Email Calendar'!$B$10 &amp; ""</f>
        <v>Events: 
Lighting for Narrative Cinematography
Date: Wednesday, June 24th · 5pm - 6pm ET
OnSet with Daniel Norton: Portraits with a Point and Shoot
Date: Thursday, June 25th · 5 - 6pm ET</v>
      </c>
      <c r="C11" s="46" t="str">
        <f>'[1]2026 June Email Calendar'!$C$10 &amp; ""</f>
        <v>Promo: 
EM1. Top Deals (Photo) with Products
EM2. Top Deals (cross category) with Products
EM3: Top Deals (Lighting &amp; Studio) with Products</v>
      </c>
      <c r="D11" s="46" t="str">
        <f>'[1]2026 June Email Calendar'!$D$10 &amp; ""</f>
        <v>Promo: 
Summer Cyber Sale
STO</v>
      </c>
      <c r="E11" s="46" t="str">
        <f>'[1]2026 June Email Calendar'!$E$10 &amp; ""</f>
        <v xml:space="preserve">Services: 
EM1: EDU with products (8AM)
EM2: Used with products (9AM)
</v>
      </c>
      <c r="F11" s="46" t="str">
        <f>'[1]2026 June Email Calendar'!$F$10 &amp; ""</f>
        <v>EM1: PLCC: 
1,000 points new cardmember reminder - 30 15 days out (targeted)
STO
EM2: Summer Save w/ Products (Lighting &amp; Studio)</v>
      </c>
      <c r="G11" s="46" t="str">
        <f>'[1]2026 June Email Calendar'!$G$10 &amp; ""</f>
        <v>Promo: 
Weekend Deals (cross category)
Summer Cyber Sale LC
9AM
NO EMAILS AFTER 8:10PM</v>
      </c>
      <c r="H11" s="46" t="str">
        <f>'[1]2026 June Email Calendar'!$H$10 &amp; ""</f>
        <v>Newsletter: 
Creators Huddle
10PM
NO EMAILS BEFORE 9:50PM</v>
      </c>
    </row>
    <row r="12" spans="1:14">
      <c r="A12" s="41" t="str">
        <f>'[1]2026 June Email Calendar'!$A$11</f>
        <v>Wk. 27: June 28 - July 04</v>
      </c>
      <c r="B12" s="42">
        <f>'[1]2026 June Email Calendar'!$B$11</f>
        <v>45836</v>
      </c>
      <c r="C12" s="42">
        <f>'[1]2026 June Email Calendar'!$C$11</f>
        <v>45837</v>
      </c>
      <c r="D12" s="42">
        <f>'[1]2026 June Email Calendar'!$D$11</f>
        <v>45838</v>
      </c>
      <c r="E12" s="42">
        <f>'[1]2026 June Email Calendar'!$E$11</f>
        <v>45839</v>
      </c>
      <c r="F12" s="42">
        <f>'[1]2026 June Email Calendar'!$F$11</f>
        <v>45840</v>
      </c>
      <c r="G12" s="42">
        <f>'[1]2026 June Email Calendar'!$G$11</f>
        <v>45841</v>
      </c>
      <c r="H12" s="42">
        <f>'[1]2026 June Email Calendar'!$H$11</f>
        <v>45842</v>
      </c>
    </row>
    <row r="13" spans="1:14" ht="195">
      <c r="A13" s="41"/>
      <c r="B13" s="41" t="str">
        <f>'[1]2026 June Email Calendar'!$B$12 &amp; ""</f>
        <v xml:space="preserve">Events:
Agreeable Strangers: From Passion Project to Published Book with Charles Chessler
Date: Wednesday, July 1st · 5pm - 6pm ET
Agreeable Strangers: From Passion Project to Published Book with Charles Chessler
Date: Wednesday, July 1st · 5pm - 6pm ET
</v>
      </c>
      <c r="C13" s="41" t="str">
        <f>'[1]2026 June Email Calendar'!$C$12 &amp; ""</f>
        <v>July 4th Sale Launch (products + Categories)
STO</v>
      </c>
      <c r="D13" s="41" t="str">
        <f>'[1]2026 June Email Calendar'!$D$12 &amp; ""</f>
        <v/>
      </c>
      <c r="E13" s="49" t="str">
        <f>'[1]2026 June Email Calendar'!$E$12 &amp; ""</f>
        <v>EM1: July 4th Sale Going on Now (Brands and categories)
STO
EM2: 4th of July w/ Products - lightning &amp; studio</v>
      </c>
      <c r="F13" s="49" t="str">
        <f>'[1]2026 June Email Calendar'!$F$12 &amp; ""</f>
        <v/>
      </c>
      <c r="G13" s="49" t="str">
        <f>'[1]2026 June Email Calendar'!$G$12 &amp; ""</f>
        <v>July 4th Sale Ends Tomorrow (with Products and categories + countdown timer)
8AM
NO EMAILS AFTER 8:10PM</v>
      </c>
      <c r="H13" s="49" t="str">
        <f>'[1]2026 June Email Calendar'!$H$12 &amp; ""</f>
        <v>July 4th Sale (Products and Brands)
10PM
NO EMAILS BEFORE 9:50PM</v>
      </c>
    </row>
    <row r="14" spans="1:14">
      <c r="A14" s="41"/>
      <c r="B14" s="42"/>
      <c r="C14" s="41"/>
      <c r="D14" s="41"/>
      <c r="E14" s="41"/>
      <c r="F14" s="41"/>
      <c r="G14" s="41"/>
      <c r="H14" s="41"/>
    </row>
    <row r="15" spans="1:14">
      <c r="A15" s="41"/>
      <c r="B15" s="41"/>
      <c r="C15" s="49"/>
      <c r="D15" s="49"/>
      <c r="E15" s="49"/>
      <c r="F15" s="49"/>
      <c r="G15" s="49"/>
      <c r="H15" s="49"/>
    </row>
    <row r="16" spans="1:14">
      <c r="A16" s="41"/>
      <c r="B16" s="41"/>
      <c r="C16" s="41"/>
      <c r="D16" s="41"/>
      <c r="E16" s="41"/>
      <c r="F16" s="41"/>
      <c r="G16" s="41"/>
      <c r="H16" s="41"/>
    </row>
    <row r="17" spans="1:8" ht="26.25">
      <c r="A17" s="113" t="s">
        <v>136</v>
      </c>
      <c r="B17" s="113"/>
      <c r="C17" s="113"/>
      <c r="D17" s="113"/>
      <c r="E17" s="113"/>
      <c r="F17" s="113"/>
      <c r="G17" s="113"/>
      <c r="H17" s="113"/>
    </row>
    <row r="18" spans="1:8" ht="21">
      <c r="A18" s="39"/>
      <c r="B18" s="39" t="str">
        <f>'[2]2026 June SMS Calendar'!$B$15 &amp; ""</f>
        <v>Events</v>
      </c>
      <c r="C18" s="39" t="str">
        <f>'[2]2026 June SMS Calendar'!$C$15 &amp; ""</f>
        <v>Promo</v>
      </c>
      <c r="D18" s="39" t="str">
        <f>'[2]2026 June SMS Calendar'!$D$15 &amp; ""</f>
        <v/>
      </c>
      <c r="E18" s="39" t="str">
        <f>'[2]2026 June SMS Calendar'!$E$15 &amp; ""</f>
        <v>Services</v>
      </c>
      <c r="F18" s="39" t="str">
        <f>'[2]2026 June SMS Calendar'!$F$15 &amp; ""</f>
        <v>PLCC &amp; Loyalty</v>
      </c>
      <c r="G18" s="39" t="str">
        <f>'[2]2026 June SMS Calendar'!$G$15 &amp; ""</f>
        <v>Promo</v>
      </c>
      <c r="H18" s="39" t="str">
        <f>'[2]2026 June SMS Calendar'!$H$15 &amp; ""</f>
        <v>Newsletters</v>
      </c>
    </row>
    <row r="19" spans="1:8" ht="21">
      <c r="A19" s="40"/>
      <c r="B19" s="40" t="str">
        <f>'[2]2026 June SMS Calendar'!$B$2 &amp; ""</f>
        <v>Sunday</v>
      </c>
      <c r="C19" s="40" t="str">
        <f>'[2]2026 June SMS Calendar'!$C$2 &amp; ""</f>
        <v>Monday</v>
      </c>
      <c r="D19" s="40" t="str">
        <f>'[2]2026 June SMS Calendar'!$D$2 &amp; ""</f>
        <v>Tuesday</v>
      </c>
      <c r="E19" s="40" t="str">
        <f>'[2]2026 June SMS Calendar'!$E$2 &amp; ""</f>
        <v>Wednesday</v>
      </c>
      <c r="F19" s="40" t="str">
        <f>'[2]2026 June SMS Calendar'!$F$2 &amp; ""</f>
        <v>Thursday</v>
      </c>
      <c r="G19" s="40" t="str">
        <f>'[2]2026 June SMS Calendar'!$G$2 &amp; ""</f>
        <v>Friday</v>
      </c>
      <c r="H19" s="40" t="str">
        <f>'[2]2026 June SMS Calendar'!$H$2 &amp; ""</f>
        <v>Saturday</v>
      </c>
    </row>
    <row r="20" spans="1:8">
      <c r="A20" s="46" t="str">
        <f>'[2]2026 June SMS Calendar'!$A$3</f>
        <v>Wk. 23: May 31 – June 06</v>
      </c>
      <c r="B20" s="41">
        <f>'[2]2026 June SMS Calendar'!$B$3</f>
        <v>46173</v>
      </c>
      <c r="C20" s="42">
        <f>'[2]2026 June SMS Calendar'!$C$3</f>
        <v>46174</v>
      </c>
      <c r="D20" s="42">
        <f>'[2]2026 June SMS Calendar'!$D$3</f>
        <v>46175</v>
      </c>
      <c r="E20" s="42">
        <f>'[2]2026 June SMS Calendar'!$E$3</f>
        <v>46176</v>
      </c>
      <c r="F20" s="42">
        <f>'[2]2026 June SMS Calendar'!$F$3</f>
        <v>46177</v>
      </c>
      <c r="G20" s="42">
        <f>'[2]2026 June SMS Calendar'!$G$3</f>
        <v>46178</v>
      </c>
      <c r="H20" s="42">
        <f>'[2]2026 June SMS Calendar'!$H$3</f>
        <v>46179</v>
      </c>
    </row>
    <row r="21" spans="1:8" ht="120">
      <c r="A21" s="38"/>
      <c r="B21" s="50" t="str">
        <f>'[2]2026 June SMS Calendar'!$B$4 &amp; ""</f>
        <v xml:space="preserve">Event: 
JK x ADORAMA NYC WORKSHOP
Targeted to New York metropolitan area (tri-state area)
11AM Local
</v>
      </c>
      <c r="C21" s="46" t="str">
        <f>'[2]2026 June SMS Calendar'!$C$4 &amp; ""</f>
        <v>Services: 
Open Box
11AM Local</v>
      </c>
      <c r="D21" s="47" t="str">
        <f>'[2]2026 June SMS Calendar'!$D$4 &amp; ""</f>
        <v/>
      </c>
      <c r="E21" s="46" t="str">
        <f>'[2]2026 June SMS Calendar'!$E$4 &amp; ""</f>
        <v/>
      </c>
      <c r="F21" s="47" t="str">
        <f>'[2]2026 June SMS Calendar'!$F$4 &amp; ""</f>
        <v/>
      </c>
      <c r="G21" s="41" t="str">
        <f>'[2]2026 June SMS Calendar'!$G$4 &amp; ""</f>
        <v>SMS1: Top Deals
11AM Local
SMS : In-Stock: Sony ISOA746
3:45PM Local
NO EMAILS AFTER 8:00PM</v>
      </c>
      <c r="H21" s="47" t="str">
        <f>'[2]2026 June SMS Calendar'!$H$4 &amp; ""</f>
        <v xml:space="preserve">
NO EMAILS BEFORE 9:40PM</v>
      </c>
    </row>
    <row r="22" spans="1:8">
      <c r="A22" s="46" t="str">
        <f>'[2]2026 June SMS Calendar'!$A$5</f>
        <v>Wk. 24: June 07 - June 13</v>
      </c>
      <c r="B22" s="42">
        <f>'[2]2026 June SMS Calendar'!$B$5</f>
        <v>45815</v>
      </c>
      <c r="C22" s="42">
        <f>'[2]2026 June SMS Calendar'!$C$5</f>
        <v>45816</v>
      </c>
      <c r="D22" s="42">
        <f>'[2]2026 June SMS Calendar'!$D$5</f>
        <v>45817</v>
      </c>
      <c r="E22" s="42">
        <f>'[2]2026 June SMS Calendar'!$E$5</f>
        <v>45818</v>
      </c>
      <c r="F22" s="42">
        <f>'[2]2026 June SMS Calendar'!$F$5</f>
        <v>45819</v>
      </c>
      <c r="G22" s="42">
        <f>'[2]2026 June SMS Calendar'!$G$5</f>
        <v>45820</v>
      </c>
      <c r="H22" s="42">
        <f>'[2]2026 June SMS Calendar'!$H$5</f>
        <v>45821</v>
      </c>
    </row>
    <row r="23" spans="1:8" ht="150">
      <c r="A23" s="38"/>
      <c r="B23" s="41" t="str">
        <f>'[2]2026 June SMS Calendar'!$B$6 &amp; ""</f>
        <v>Event: 
JK x ADORAMA NYC WORKSHOP
Targeted to New York metropolitan area (tri-state area)
11AM Local
In-Stock:
Sony ISOA746
11:30AM Local</v>
      </c>
      <c r="C23" s="46" t="str">
        <f>'[2]2026 June SMS Calendar'!$C$6 &amp; ""</f>
        <v>Promo: 
Photo Rebates with Products
11AM Local</v>
      </c>
      <c r="D23" s="47" t="str">
        <f>'[2]2026 June SMS Calendar'!$D$6 &amp; ""</f>
        <v/>
      </c>
      <c r="E23" s="46" t="str">
        <f>'[2]2026 June SMS Calendar'!$E$6 &amp; ""</f>
        <v>NPA:
Skyrover Drone with smart remotes
In Stock
11AM</v>
      </c>
      <c r="F23" s="46" t="str">
        <f>'[2]2026 June SMS Calendar'!$F$6 &amp; ""</f>
        <v/>
      </c>
      <c r="G23" s="46" t="str">
        <f>'[2]2026 June SMS Calendar'!$G$6 &amp; ""</f>
        <v>Promo: 
Father's Day
11AM Local
NO EMAILS AFTER 8:05PM</v>
      </c>
      <c r="H23" s="47" t="str">
        <f>'[2]2026 June SMS Calendar'!$H$6 &amp; ""</f>
        <v>NO EMAILS BEFORE 9:45PM</v>
      </c>
    </row>
    <row r="24" spans="1:8">
      <c r="A24" s="46" t="str">
        <f>'[2]2026 June SMS Calendar'!$A$7</f>
        <v>Wk. 25: June 14 - June 20</v>
      </c>
      <c r="B24" s="42">
        <f>'[2]2026 June SMS Calendar'!$B$7</f>
        <v>45822</v>
      </c>
      <c r="C24" s="42">
        <f>'[2]2026 June SMS Calendar'!$C$7</f>
        <v>45823</v>
      </c>
      <c r="D24" s="42">
        <f>'[2]2026 June SMS Calendar'!$D$7</f>
        <v>45824</v>
      </c>
      <c r="E24" s="42">
        <f>'[2]2026 June SMS Calendar'!$E$7</f>
        <v>45825</v>
      </c>
      <c r="F24" s="42">
        <f>'[2]2026 June SMS Calendar'!$F$7</f>
        <v>45826</v>
      </c>
      <c r="G24" s="42">
        <f>'[2]2026 June SMS Calendar'!$G$7</f>
        <v>45827</v>
      </c>
      <c r="H24" s="42">
        <f>'[2]2026 June SMS Calendar'!$H$7</f>
        <v>45828</v>
      </c>
    </row>
    <row r="25" spans="1:8" ht="75">
      <c r="A25" s="38"/>
      <c r="B25" s="51" t="str">
        <f>'[2]2026 June SMS Calendar'!$B$8 &amp; ""</f>
        <v/>
      </c>
      <c r="C25" s="46" t="str">
        <f>'[2]2026 June SMS Calendar'!$C$8 &amp; ""</f>
        <v xml:space="preserve">EM1: NPA:
Leica 
9AM
</v>
      </c>
      <c r="D25" s="47" t="str">
        <f>'[2]2026 June SMS Calendar'!$D$8 &amp; ""</f>
        <v/>
      </c>
      <c r="E25" s="46" t="str">
        <f>'[2]2026 June SMS Calendar'!$E$8 &amp; ""</f>
        <v>Services:
Trade
STO</v>
      </c>
      <c r="F25" s="47" t="str">
        <f>'[2]2026 June SMS Calendar'!$F$8 &amp; ""</f>
        <v/>
      </c>
      <c r="G25" s="46" t="str">
        <f>'[2]2026 June SMS Calendar'!$G$8 &amp; ""</f>
        <v>Promo: 
Warehouse Sale
11AM Local
NO EMAILS AFTER 8:07PM</v>
      </c>
      <c r="H25" s="47" t="str">
        <f>'[2]2026 June SMS Calendar'!$H$8 &amp; ""</f>
        <v xml:space="preserve">
NO EMAILS BEFORE 9:50PM</v>
      </c>
    </row>
    <row r="26" spans="1:8">
      <c r="A26" s="46" t="str">
        <f>'[2]2026 June SMS Calendar'!$A$9</f>
        <v>Wk. 26: June 21 - June 27</v>
      </c>
      <c r="B26" s="42">
        <f>'[2]2026 June SMS Calendar'!$B$9</f>
        <v>45829</v>
      </c>
      <c r="C26" s="42">
        <f>'[2]2026 June SMS Calendar'!$C$9</f>
        <v>45830</v>
      </c>
      <c r="D26" s="42">
        <f>'[2]2026 June SMS Calendar'!$D$9</f>
        <v>45831</v>
      </c>
      <c r="E26" s="42">
        <f>'[2]2026 June SMS Calendar'!$E$9</f>
        <v>45832</v>
      </c>
      <c r="F26" s="42">
        <f>'[2]2026 June SMS Calendar'!$F$9</f>
        <v>45833</v>
      </c>
      <c r="G26" s="42">
        <f>'[2]2026 June SMS Calendar'!$G$9</f>
        <v>45834</v>
      </c>
      <c r="H26" s="42">
        <f>'[2]2026 June SMS Calendar'!$H$9</f>
        <v>45835</v>
      </c>
    </row>
    <row r="27" spans="1:8" ht="180">
      <c r="A27" s="38"/>
      <c r="B27" s="41" t="str">
        <f>'[2]2026 June SMS Calendar'!$B$10 &amp; ""</f>
        <v>Events: 
Lighting for Narrative Cinematography
Date: Wednesday, June 24th · 5pm - 6pm ET
OnSet with Daniel Norton: Portraits with a Point and Shoot
Date: Thursday, June 25th · 5 - 6pm ET
11AM Local</v>
      </c>
      <c r="C27" s="46" t="str">
        <f>'[2]2026 June SMS Calendar'!$C$10 &amp; ""</f>
        <v xml:space="preserve">Promo: 
Photo Top Deals with Products
11AM Local
</v>
      </c>
      <c r="D27" s="47" t="str">
        <f>'[2]2026 June SMS Calendar'!$D$10 &amp; ""</f>
        <v/>
      </c>
      <c r="E27" s="46" t="str">
        <f>'[2]2026 June SMS Calendar'!$E$10 &amp; ""</f>
        <v xml:space="preserve">Services: 
Used with products
11AM Local
</v>
      </c>
      <c r="F27" s="47" t="str">
        <f>'[2]2026 June SMS Calendar'!$F$10 &amp; ""</f>
        <v/>
      </c>
      <c r="G27" s="46" t="str">
        <f>'[2]2026 June SMS Calendar'!$G$10 &amp; ""</f>
        <v>Promo: 
Weekend Deals (cross category)
11AM Local
NO EMAILS AFTER 8:10PM</v>
      </c>
      <c r="H27" s="47" t="str">
        <f>'[2]2026 June SMS Calendar'!$H$10 &amp; ""</f>
        <v>NO EMAILS BEFORE 9:50PM</v>
      </c>
    </row>
    <row r="28" spans="1:8">
      <c r="A28" s="46" t="str">
        <f>'[2]2026 June SMS Calendar'!$A$11</f>
        <v>Wk. 27: June 28 - July 04</v>
      </c>
      <c r="B28" s="42">
        <f>'[2]2026 June SMS Calendar'!$B$11</f>
        <v>11</v>
      </c>
      <c r="C28" s="42">
        <f>'[2]2026 June SMS Calendar'!$C$11</f>
        <v>45837</v>
      </c>
      <c r="D28" s="42">
        <f>'[2]2026 June SMS Calendar'!$D$11</f>
        <v>45838</v>
      </c>
      <c r="E28" s="42">
        <f>'[2]2026 June SMS Calendar'!$E$11</f>
        <v>45839</v>
      </c>
      <c r="F28" s="42">
        <f>'[2]2026 June SMS Calendar'!$F$11</f>
        <v>45840</v>
      </c>
      <c r="G28" s="42">
        <f>'[2]2026 June SMS Calendar'!$G$11</f>
        <v>45841</v>
      </c>
      <c r="H28" s="42">
        <f>'[2]2026 June SMS Calendar'!$H$11</f>
        <v>45842</v>
      </c>
    </row>
    <row r="29" spans="1:8" ht="210">
      <c r="A29" s="38"/>
      <c r="B29" s="41" t="str">
        <f>'[2]2026 June SMS Calendar'!$B$12 &amp; ""</f>
        <v>Events:
Agreeable Strangers: From Passion Project to Published Book with Charles Chessler
Date: Wednesday, July 1st · 5pm - 6pm ET
Agreeable Strangers: From Passion Project to Published Book with Charles Chessler
Date: Wednesday, July 1st · 5pm - 6pm ET
11AM Local</v>
      </c>
      <c r="C29" s="46" t="str">
        <f>'[2]2026 June SMS Calendar'!$C$12 &amp; ""</f>
        <v>July 4th Sale Launch (products + Categories)
11AM Local</v>
      </c>
      <c r="D29" s="47" t="str">
        <f>'[2]2026 June SMS Calendar'!$D$12 &amp; ""</f>
        <v/>
      </c>
      <c r="E29" s="50" t="str">
        <f>'[2]2026 June SMS Calendar'!$E$12 &amp; ""</f>
        <v/>
      </c>
      <c r="F29" s="50" t="str">
        <f>'[2]2026 June SMS Calendar'!$F$12 &amp; ""</f>
        <v/>
      </c>
      <c r="G29" s="50" t="str">
        <f>'[2]2026 June SMS Calendar'!$G$12 &amp; ""</f>
        <v>July 4th Sale 
11AM Local
NO EMAILS AFTER 8:10PM</v>
      </c>
      <c r="H29" s="50" t="str">
        <f>'[2]2026 June SMS Calendar'!$H$12 &amp; ""</f>
        <v>NO EMAILS BEFORE 9:50PM</v>
      </c>
    </row>
  </sheetData>
  <sheetProtection sheet="1" objects="1" scenarios="1"/>
  <mergeCells count="4">
    <mergeCell ref="A1:H1"/>
    <mergeCell ref="I1:K1"/>
    <mergeCell ref="L1:N1"/>
    <mergeCell ref="A17:H17"/>
  </mergeCells>
  <hyperlinks>
    <hyperlink ref="I1:K1" r:id="rId1" display="June Email Framework" xr:uid="{7CD8C448-A48C-4EE7-B80D-06455DA15D6E}"/>
    <hyperlink ref="L1:N1" r:id="rId2" display="June SMS Framework" xr:uid="{AE3B436F-4D51-4BC5-887F-336D32B70D8C}"/>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6E37C-6C16-4C39-9F81-3AA76F332BE8}">
  <sheetPr codeName="Sheet8">
    <tabColor rgb="FF92D050"/>
  </sheetPr>
  <dimension ref="A1:N32"/>
  <sheetViews>
    <sheetView workbookViewId="0">
      <selection activeCell="B30" sqref="B30"/>
    </sheetView>
  </sheetViews>
  <sheetFormatPr defaultRowHeight="15"/>
  <cols>
    <col min="1" max="8" width="26.875" style="46" customWidth="1"/>
    <col min="9" max="16384" width="9" style="38"/>
  </cols>
  <sheetData>
    <row r="1" spans="1:14" ht="26.25">
      <c r="A1" s="111" t="s">
        <v>133</v>
      </c>
      <c r="B1" s="111"/>
      <c r="C1" s="111"/>
      <c r="D1" s="111"/>
      <c r="E1" s="111"/>
      <c r="F1" s="111"/>
      <c r="G1" s="111"/>
      <c r="H1" s="111"/>
      <c r="I1" s="114"/>
      <c r="J1" s="114"/>
      <c r="K1" s="114"/>
      <c r="L1" s="115"/>
      <c r="M1" s="115"/>
      <c r="N1" s="115"/>
    </row>
    <row r="2" spans="1:14" ht="21">
      <c r="A2" s="39"/>
      <c r="B2" s="39" t="str" cm="1">
        <f t="array" ref="B2:H2">'[3]2026 May Email Calendar'!$B$16:$H$16 &amp; ""</f>
        <v>Events</v>
      </c>
      <c r="C2" s="39" t="str">
        <v>Promo</v>
      </c>
      <c r="D2" s="39" t="str">
        <v/>
      </c>
      <c r="E2" s="39" t="str">
        <v>Services</v>
      </c>
      <c r="F2" s="39" t="str">
        <v>PLCC &amp; Loyalty</v>
      </c>
      <c r="G2" s="39" t="str">
        <v>Promo</v>
      </c>
      <c r="H2" s="39" t="str">
        <v>Newsletters</v>
      </c>
    </row>
    <row r="3" spans="1:14" ht="21">
      <c r="A3" s="40"/>
      <c r="B3" s="40" t="str">
        <f>'[3]2026 May Email Calendar'!$B$2 &amp; ""</f>
        <v>Sunday</v>
      </c>
      <c r="C3" s="40" t="str">
        <f>'[3]2026 May Email Calendar'!$C$2 &amp; ""</f>
        <v>Monday</v>
      </c>
      <c r="D3" s="40" t="str">
        <f>'[3]2026 May Email Calendar'!$D$2 &amp; ""</f>
        <v>Tuesday</v>
      </c>
      <c r="E3" s="40" t="str">
        <f>'[3]2026 May Email Calendar'!$E$2 &amp; ""</f>
        <v>Wednesday</v>
      </c>
      <c r="F3" s="40" t="str">
        <f>'[3]2026 May Email Calendar'!$F$2 &amp; ""</f>
        <v>Thursday</v>
      </c>
      <c r="G3" s="40" t="str">
        <f>'[3]2026 May Email Calendar'!$G$2 &amp; ""</f>
        <v>Friday</v>
      </c>
      <c r="H3" s="40" t="str">
        <f>'[3]2026 May Email Calendar'!$H$2 &amp; ""</f>
        <v>Saturday</v>
      </c>
    </row>
    <row r="4" spans="1:14">
      <c r="A4" s="41" t="str">
        <f>'[3]2026 May Email Calendar'!$A$3</f>
        <v>Wk. 18: April 26 – May 02</v>
      </c>
      <c r="G4" s="42" cm="1">
        <f t="array" ref="G4:H4">'[3]2026 May Email Calendar'!$G$3:$H$3</f>
        <v>46143</v>
      </c>
      <c r="H4" s="42">
        <v>46144</v>
      </c>
    </row>
    <row r="5" spans="1:14">
      <c r="A5" s="41"/>
      <c r="B5" s="44"/>
      <c r="C5" s="44"/>
      <c r="D5" s="44"/>
      <c r="E5" s="44"/>
      <c r="F5" s="44"/>
      <c r="G5" s="52"/>
      <c r="H5" s="41"/>
    </row>
    <row r="6" spans="1:14">
      <c r="A6" s="41" t="str" cm="1">
        <f t="array" ref="A6:H6">'[3]2026 May Email Calendar'!$A$5:$H$5</f>
        <v>Wk. 19: May 03 – May 09</v>
      </c>
      <c r="B6" s="42">
        <v>46145</v>
      </c>
      <c r="C6" s="42">
        <v>46146</v>
      </c>
      <c r="D6" s="42">
        <v>46147</v>
      </c>
      <c r="E6" s="42">
        <v>46148</v>
      </c>
      <c r="F6" s="42">
        <v>46149</v>
      </c>
      <c r="G6" s="42">
        <v>46150</v>
      </c>
      <c r="H6" s="42">
        <v>46151</v>
      </c>
    </row>
    <row r="7" spans="1:14">
      <c r="A7" s="41"/>
      <c r="B7" s="41"/>
      <c r="C7" s="41"/>
      <c r="E7" s="41"/>
      <c r="F7" s="41"/>
      <c r="G7" s="41"/>
      <c r="H7" s="41"/>
    </row>
    <row r="8" spans="1:14">
      <c r="A8" s="46" t="str" cm="1">
        <f t="array" ref="A8:H8">'[3]2026 May Email Calendar'!$A$7:$H$7</f>
        <v>Wk. 20: May 10 – May 16</v>
      </c>
      <c r="B8" s="42">
        <v>46152</v>
      </c>
      <c r="C8" s="42">
        <v>46153</v>
      </c>
      <c r="D8" s="42">
        <v>46154</v>
      </c>
      <c r="E8" s="42">
        <v>46155</v>
      </c>
      <c r="F8" s="42">
        <v>46156</v>
      </c>
      <c r="G8" s="42">
        <v>46157</v>
      </c>
      <c r="H8" s="42">
        <v>46158</v>
      </c>
    </row>
    <row r="9" spans="1:14">
      <c r="B9" s="41"/>
      <c r="C9" s="41"/>
      <c r="E9" s="41"/>
      <c r="F9" s="41"/>
      <c r="G9" s="41"/>
      <c r="H9" s="41"/>
    </row>
    <row r="10" spans="1:14">
      <c r="A10" s="46" t="str" cm="1">
        <f t="array" ref="A10:H10">'[3]2026 May Email Calendar'!$A$9:$H$9</f>
        <v>Wk. 21: May 17 – May 23</v>
      </c>
      <c r="B10" s="48">
        <v>46159</v>
      </c>
      <c r="C10" s="48">
        <v>46160</v>
      </c>
      <c r="D10" s="48">
        <v>46161</v>
      </c>
      <c r="E10" s="48">
        <v>46162</v>
      </c>
      <c r="F10" s="48">
        <v>46163</v>
      </c>
      <c r="G10" s="48">
        <v>46164</v>
      </c>
      <c r="H10" s="48">
        <v>46165</v>
      </c>
    </row>
    <row r="11" spans="1:14">
      <c r="B11" s="41"/>
    </row>
    <row r="12" spans="1:14">
      <c r="A12" s="41" t="str" cm="1">
        <f t="array" ref="A12:H12">'[3]2026 May Email Calendar'!$A$11:$H$11</f>
        <v>Wk. 22: May 24 – May 30</v>
      </c>
      <c r="B12" s="42">
        <v>46166</v>
      </c>
      <c r="C12" s="42">
        <v>46167</v>
      </c>
      <c r="D12" s="42">
        <v>46168</v>
      </c>
      <c r="E12" s="42">
        <v>46169</v>
      </c>
      <c r="F12" s="42">
        <v>46170</v>
      </c>
      <c r="G12" s="42">
        <v>46171</v>
      </c>
      <c r="H12" s="42">
        <v>46172</v>
      </c>
    </row>
    <row r="13" spans="1:14">
      <c r="A13" s="41"/>
      <c r="B13" s="41"/>
      <c r="C13" s="41"/>
      <c r="D13" s="41"/>
      <c r="E13" s="41"/>
      <c r="F13" s="41"/>
      <c r="G13" s="41"/>
      <c r="H13" s="41"/>
    </row>
    <row r="14" spans="1:14">
      <c r="A14" s="41" t="str" cm="1">
        <f t="array" ref="A14:B14">'[3]2026 May Email Calendar'!$A$13:$B$13</f>
        <v>Wk. 23: May 31 – June 06</v>
      </c>
      <c r="B14" s="42">
        <v>46173</v>
      </c>
      <c r="C14" s="41"/>
      <c r="D14" s="41"/>
      <c r="E14" s="41"/>
      <c r="F14" s="41"/>
      <c r="G14" s="41"/>
      <c r="H14" s="41"/>
    </row>
    <row r="15" spans="1:14">
      <c r="A15" s="41"/>
      <c r="B15" s="41"/>
      <c r="C15" s="41"/>
      <c r="D15" s="41"/>
      <c r="E15" s="41"/>
      <c r="F15" s="41"/>
      <c r="G15" s="41"/>
      <c r="H15" s="41"/>
    </row>
    <row r="16" spans="1:14">
      <c r="A16" s="41"/>
      <c r="B16" s="41"/>
      <c r="C16" s="41"/>
      <c r="D16" s="41"/>
      <c r="E16" s="41"/>
      <c r="F16" s="41"/>
      <c r="G16" s="41"/>
      <c r="H16" s="41"/>
    </row>
    <row r="17" spans="1:8" ht="26.25">
      <c r="A17" s="113" t="s">
        <v>136</v>
      </c>
      <c r="B17" s="113"/>
      <c r="C17" s="113"/>
      <c r="D17" s="113"/>
      <c r="E17" s="113"/>
      <c r="F17" s="113"/>
      <c r="G17" s="113"/>
      <c r="H17" s="113"/>
    </row>
    <row r="18" spans="1:8" ht="21">
      <c r="A18" s="39"/>
      <c r="B18" s="39" t="str" cm="1">
        <f t="array" ref="B18:H18">'[3]2026 May Email Calendar'!$B$16:$H$16 &amp; ""</f>
        <v>Events</v>
      </c>
      <c r="C18" s="39" t="str">
        <v>Promo</v>
      </c>
      <c r="D18" s="39" t="str">
        <v/>
      </c>
      <c r="E18" s="39" t="str">
        <v>Services</v>
      </c>
      <c r="F18" s="39" t="str">
        <v>PLCC &amp; Loyalty</v>
      </c>
      <c r="G18" s="39" t="str">
        <v>Promo</v>
      </c>
      <c r="H18" s="39" t="str">
        <v>Newsletters</v>
      </c>
    </row>
    <row r="19" spans="1:8" ht="21">
      <c r="A19" s="40"/>
      <c r="B19" s="40" t="str" cm="1">
        <f t="array" ref="B19:H19">'[4]2026 May SMS Calendar'!$B$2:$H$2 &amp; ""</f>
        <v>Sunday</v>
      </c>
      <c r="C19" s="40" t="str">
        <v>Monday</v>
      </c>
      <c r="D19" s="40" t="str">
        <v>Tuesday</v>
      </c>
      <c r="E19" s="40" t="str">
        <v>Wednesday</v>
      </c>
      <c r="F19" s="40" t="str">
        <v>Thursday</v>
      </c>
      <c r="G19" s="40" t="str">
        <v>Friday</v>
      </c>
      <c r="H19" s="40" t="str">
        <v>Saturday</v>
      </c>
    </row>
    <row r="20" spans="1:8">
      <c r="A20" s="46" t="str">
        <f>'[4]2026 May SMS Calendar'!$A$3</f>
        <v>Wk. 18: April 26 – May 02</v>
      </c>
      <c r="B20" s="41"/>
      <c r="C20" s="41"/>
      <c r="D20" s="41"/>
      <c r="E20" s="41"/>
      <c r="F20" s="41"/>
      <c r="G20" s="42" cm="1">
        <f t="array" ref="G20:H20">'[4]2026 May SMS Calendar'!$G$3:$H$3</f>
        <v>46143</v>
      </c>
      <c r="H20" s="42">
        <v>46144</v>
      </c>
    </row>
    <row r="21" spans="1:8">
      <c r="G21" s="41"/>
    </row>
    <row r="22" spans="1:8">
      <c r="A22" s="46" t="str" cm="1">
        <f t="array" ref="A22:H22">'[4]2026 May SMS Calendar'!$A$5:$H$5</f>
        <v>Wk. 19: May 03 – May 09</v>
      </c>
      <c r="B22" s="42">
        <v>46145</v>
      </c>
      <c r="C22" s="42">
        <v>46146</v>
      </c>
      <c r="D22" s="42">
        <v>46147</v>
      </c>
      <c r="E22" s="42">
        <v>46148</v>
      </c>
      <c r="F22" s="42">
        <v>46149</v>
      </c>
      <c r="G22" s="42">
        <v>46150</v>
      </c>
      <c r="H22" s="42">
        <v>46151</v>
      </c>
    </row>
    <row r="23" spans="1:8">
      <c r="B23" s="41"/>
    </row>
    <row r="24" spans="1:8">
      <c r="A24" s="46" t="str" cm="1">
        <f t="array" ref="A24:H24">'[4]2026 May SMS Calendar'!$A$7:$H$7</f>
        <v>Wk. 20: May 10 – May 16</v>
      </c>
      <c r="B24" s="42">
        <v>46152</v>
      </c>
      <c r="C24" s="42">
        <v>46153</v>
      </c>
      <c r="D24" s="42">
        <v>46154</v>
      </c>
      <c r="E24" s="42">
        <v>46155</v>
      </c>
      <c r="F24" s="42">
        <v>46156</v>
      </c>
      <c r="G24" s="42">
        <v>46157</v>
      </c>
      <c r="H24" s="42">
        <v>46158</v>
      </c>
    </row>
    <row r="25" spans="1:8">
      <c r="B25" s="41"/>
    </row>
    <row r="26" spans="1:8">
      <c r="A26" s="46" t="str" cm="1">
        <f t="array" ref="A26:H26">'[4]2026 May SMS Calendar'!$A$9:$H$9</f>
        <v>Wk. 21: May 17 – May 23</v>
      </c>
      <c r="B26" s="42">
        <v>46159</v>
      </c>
      <c r="C26" s="42">
        <v>46160</v>
      </c>
      <c r="D26" s="42">
        <v>46161</v>
      </c>
      <c r="E26" s="42">
        <v>46162</v>
      </c>
      <c r="F26" s="42">
        <v>46163</v>
      </c>
      <c r="G26" s="42">
        <v>46164</v>
      </c>
      <c r="H26" s="42">
        <v>46165</v>
      </c>
    </row>
    <row r="27" spans="1:8">
      <c r="B27" s="41"/>
    </row>
    <row r="28" spans="1:8">
      <c r="A28" s="46" t="str" cm="1">
        <f t="array" ref="A28:H28">'[4]2026 May SMS Calendar'!$A$11:$H$11</f>
        <v>Wk. 22: May 24 – May 30</v>
      </c>
      <c r="B28" s="42">
        <v>46166</v>
      </c>
      <c r="C28" s="42">
        <v>46167</v>
      </c>
      <c r="D28" s="42">
        <v>46168</v>
      </c>
      <c r="E28" s="42">
        <v>46169</v>
      </c>
      <c r="F28" s="42">
        <v>46170</v>
      </c>
      <c r="G28" s="42">
        <v>46171</v>
      </c>
      <c r="H28" s="42">
        <v>46172</v>
      </c>
    </row>
    <row r="29" spans="1:8">
      <c r="B29" s="41"/>
    </row>
    <row r="30" spans="1:8">
      <c r="A30" s="46" t="str" cm="1">
        <f t="array" ref="A30:B30">'[4]2026 May SMS Calendar'!$A$13:$B$13</f>
        <v>Wk. 23: May 31 – June 06</v>
      </c>
      <c r="B30" s="42">
        <v>46173</v>
      </c>
    </row>
    <row r="31" spans="1:8">
      <c r="B31" s="41" t="str">
        <f>'[4]2026 May SMS Calendar'!$B$14 &amp; ""</f>
        <v/>
      </c>
    </row>
    <row r="32" spans="1:8">
      <c r="B32" s="41"/>
    </row>
  </sheetData>
  <sheetProtection sheet="1" objects="1" scenarios="1"/>
  <mergeCells count="4">
    <mergeCell ref="A1:H1"/>
    <mergeCell ref="I1:K1"/>
    <mergeCell ref="L1:N1"/>
    <mergeCell ref="A17:H1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17"/>
  <sheetViews>
    <sheetView workbookViewId="0">
      <selection activeCell="B5" sqref="B5"/>
    </sheetView>
  </sheetViews>
  <sheetFormatPr defaultRowHeight="14.25"/>
  <cols>
    <col min="1" max="5" width="20" customWidth="1"/>
  </cols>
  <sheetData>
    <row r="1" spans="1:5" ht="15">
      <c r="A1" s="10" t="s">
        <v>43</v>
      </c>
      <c r="B1" s="10" t="s">
        <v>44</v>
      </c>
      <c r="C1" s="10" t="s">
        <v>68</v>
      </c>
      <c r="D1" s="10" t="s">
        <v>69</v>
      </c>
      <c r="E1" s="10" t="s">
        <v>70</v>
      </c>
    </row>
    <row r="2" spans="1:5">
      <c r="A2" s="8" t="s">
        <v>59</v>
      </c>
      <c r="B2" s="8" t="s">
        <v>71</v>
      </c>
      <c r="C2" s="8" t="s">
        <v>1</v>
      </c>
      <c r="D2" s="8" t="s">
        <v>72</v>
      </c>
      <c r="E2" s="8" t="s">
        <v>73</v>
      </c>
    </row>
    <row r="3" spans="1:5">
      <c r="A3" s="8" t="s">
        <v>60</v>
      </c>
      <c r="B3" s="8" t="s">
        <v>74</v>
      </c>
      <c r="C3" s="8" t="s">
        <v>71</v>
      </c>
      <c r="D3" s="8" t="s">
        <v>75</v>
      </c>
      <c r="E3" s="8" t="s">
        <v>76</v>
      </c>
    </row>
    <row r="4" spans="1:5">
      <c r="A4" s="8" t="s">
        <v>131</v>
      </c>
      <c r="B4" s="8" t="s">
        <v>77</v>
      </c>
      <c r="C4" s="8" t="s">
        <v>78</v>
      </c>
      <c r="D4" s="8" t="s">
        <v>79</v>
      </c>
      <c r="E4" s="8" t="s">
        <v>80</v>
      </c>
    </row>
    <row r="5" spans="1:5">
      <c r="A5" s="8" t="s">
        <v>132</v>
      </c>
      <c r="B5" s="8" t="s">
        <v>81</v>
      </c>
      <c r="C5" s="8" t="s">
        <v>82</v>
      </c>
      <c r="D5" s="8" t="s">
        <v>83</v>
      </c>
      <c r="E5" s="8" t="s">
        <v>84</v>
      </c>
    </row>
    <row r="6" spans="1:5">
      <c r="A6" s="8" t="s">
        <v>62</v>
      </c>
      <c r="B6" s="8" t="s">
        <v>85</v>
      </c>
      <c r="C6" s="8" t="s">
        <v>86</v>
      </c>
      <c r="D6" s="8" t="s">
        <v>87</v>
      </c>
      <c r="E6" s="8" t="s">
        <v>88</v>
      </c>
    </row>
    <row r="7" spans="1:5">
      <c r="A7" s="8" t="s">
        <v>63</v>
      </c>
      <c r="B7" s="8" t="s">
        <v>90</v>
      </c>
      <c r="C7" s="8" t="s">
        <v>91</v>
      </c>
      <c r="D7" s="8" t="s">
        <v>92</v>
      </c>
      <c r="E7" s="8" t="s">
        <v>93</v>
      </c>
    </row>
    <row r="8" spans="1:5">
      <c r="A8" s="8" t="s">
        <v>89</v>
      </c>
      <c r="B8" s="8" t="s">
        <v>95</v>
      </c>
      <c r="C8" s="8" t="s">
        <v>96</v>
      </c>
      <c r="D8" s="8" t="s">
        <v>97</v>
      </c>
      <c r="E8" s="8" t="s">
        <v>98</v>
      </c>
    </row>
    <row r="9" spans="1:5">
      <c r="A9" s="8" t="s">
        <v>94</v>
      </c>
      <c r="B9" s="8" t="s">
        <v>99</v>
      </c>
      <c r="C9" s="8" t="s">
        <v>92</v>
      </c>
      <c r="D9" s="8"/>
      <c r="E9" s="8"/>
    </row>
    <row r="10" spans="1:5">
      <c r="A10" s="8"/>
      <c r="B10" s="8" t="s">
        <v>100</v>
      </c>
      <c r="C10" s="8" t="s">
        <v>101</v>
      </c>
      <c r="D10" s="8"/>
      <c r="E10" s="8"/>
    </row>
    <row r="11" spans="1:5">
      <c r="A11" s="8"/>
      <c r="B11" s="8" t="s">
        <v>102</v>
      </c>
      <c r="C11" s="8" t="s">
        <v>103</v>
      </c>
      <c r="D11" s="8"/>
      <c r="E11" s="8"/>
    </row>
    <row r="12" spans="1:5">
      <c r="A12" s="8"/>
      <c r="B12" s="8" t="s">
        <v>104</v>
      </c>
      <c r="C12" s="8" t="s">
        <v>105</v>
      </c>
      <c r="D12" s="8"/>
      <c r="E12" s="8"/>
    </row>
    <row r="13" spans="1:5">
      <c r="A13" s="8"/>
      <c r="B13" s="8" t="s">
        <v>106</v>
      </c>
      <c r="C13" s="8" t="s">
        <v>107</v>
      </c>
      <c r="D13" s="8"/>
      <c r="E13" s="8"/>
    </row>
    <row r="14" spans="1:5">
      <c r="A14" s="8"/>
      <c r="B14" s="8" t="s">
        <v>11</v>
      </c>
      <c r="C14" s="8" t="s">
        <v>11</v>
      </c>
      <c r="D14" s="8"/>
      <c r="E14" s="8"/>
    </row>
    <row r="15" spans="1:5">
      <c r="A15" s="8"/>
      <c r="B15" s="8" t="s">
        <v>87</v>
      </c>
      <c r="C15" s="8" t="s">
        <v>106</v>
      </c>
      <c r="D15" s="8"/>
      <c r="E15" s="8"/>
    </row>
    <row r="16" spans="1:5">
      <c r="A16" s="8"/>
      <c r="B16" s="8" t="s">
        <v>61</v>
      </c>
      <c r="C16" s="8" t="s">
        <v>87</v>
      </c>
      <c r="D16" s="8"/>
      <c r="E16" s="8"/>
    </row>
    <row r="17" spans="1:5">
      <c r="A17" s="8"/>
      <c r="B17" s="8"/>
      <c r="C17" s="8" t="s">
        <v>61</v>
      </c>
      <c r="D17" s="8"/>
      <c r="E17" s="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7"/>
  <sheetViews>
    <sheetView workbookViewId="0"/>
  </sheetViews>
  <sheetFormatPr defaultRowHeight="14.25"/>
  <cols>
    <col min="1" max="4" width="28" customWidth="1"/>
  </cols>
  <sheetData>
    <row r="1" spans="1:4" ht="15">
      <c r="A1" s="10" t="s">
        <v>108</v>
      </c>
      <c r="B1" s="10" t="s">
        <v>109</v>
      </c>
      <c r="C1" s="10" t="s">
        <v>110</v>
      </c>
      <c r="D1" s="10" t="s">
        <v>111</v>
      </c>
    </row>
    <row r="2" spans="1:4">
      <c r="A2" s="9"/>
      <c r="B2" s="8"/>
      <c r="C2" s="8"/>
      <c r="D2" s="8"/>
    </row>
    <row r="3" spans="1:4" ht="42.75">
      <c r="A3" s="9">
        <v>46187.980231481481</v>
      </c>
      <c r="B3" s="8" t="s">
        <v>113</v>
      </c>
      <c r="C3" s="8" t="s">
        <v>129</v>
      </c>
      <c r="D3" s="8" t="s">
        <v>130</v>
      </c>
    </row>
    <row r="4" spans="1:4" ht="42.75">
      <c r="A4" s="9">
        <v>46188.613449074073</v>
      </c>
      <c r="B4" s="8" t="s">
        <v>113</v>
      </c>
      <c r="C4" s="8" t="s">
        <v>129</v>
      </c>
      <c r="D4" s="8" t="s">
        <v>130</v>
      </c>
    </row>
    <row r="5" spans="1:4" ht="42.75">
      <c r="A5" s="9">
        <v>46188.97855324074</v>
      </c>
      <c r="B5" s="8" t="s">
        <v>113</v>
      </c>
      <c r="C5" s="8" t="s">
        <v>129</v>
      </c>
      <c r="D5" s="8" t="s">
        <v>130</v>
      </c>
    </row>
    <row r="6" spans="1:4" ht="42.75">
      <c r="A6" s="9">
        <v>46188.981585648151</v>
      </c>
      <c r="B6" s="8" t="s">
        <v>113</v>
      </c>
      <c r="C6" s="8" t="s">
        <v>129</v>
      </c>
      <c r="D6" s="8" t="s">
        <v>130</v>
      </c>
    </row>
    <row r="7" spans="1:4" ht="42.75">
      <c r="A7" s="9">
        <v>46189.018275462964</v>
      </c>
      <c r="B7" s="8" t="s">
        <v>113</v>
      </c>
      <c r="C7" s="8" t="s">
        <v>129</v>
      </c>
      <c r="D7" s="8" t="s">
        <v>130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BE365B77DBF794C958AF93F15F0978A" ma:contentTypeVersion="12" ma:contentTypeDescription="Create a new document." ma:contentTypeScope="" ma:versionID="a63b6b2a6314f29c4f9a8c6fc62bfc44">
  <xsd:schema xmlns:xsd="http://www.w3.org/2001/XMLSchema" xmlns:xs="http://www.w3.org/2001/XMLSchema" xmlns:p="http://schemas.microsoft.com/office/2006/metadata/properties" xmlns:ns2="890c2d56-a23b-4548-b896-15650a1462e1" xmlns:ns3="6cf38257-c025-46c4-af32-aecd95abb877" targetNamespace="http://schemas.microsoft.com/office/2006/metadata/properties" ma:root="true" ma:fieldsID="b299f382b8674c7ef26d986c11d99ade" ns2:_="" ns3:_="">
    <xsd:import namespace="890c2d56-a23b-4548-b896-15650a1462e1"/>
    <xsd:import namespace="6cf38257-c025-46c4-af32-aecd95abb87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0c2d56-a23b-4548-b896-15650a1462e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9aa0afa7-5024-417c-8ef9-c5e81e45e365"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cf38257-c025-46c4-af32-aecd95abb877"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a7f9accf-3836-4d12-8505-3295b7cc4680}" ma:internalName="TaxCatchAll" ma:showField="CatchAllData" ma:web="6cf38257-c025-46c4-af32-aecd95abb87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90c2d56-a23b-4548-b896-15650a1462e1">
      <Terms xmlns="http://schemas.microsoft.com/office/infopath/2007/PartnerControls"/>
    </lcf76f155ced4ddcb4097134ff3c332f>
    <TaxCatchAll xmlns="6cf38257-c025-46c4-af32-aecd95abb877" xsi:nil="true"/>
  </documentManagement>
</p:properties>
</file>

<file path=customXml/itemProps1.xml><?xml version="1.0" encoding="utf-8"?>
<ds:datastoreItem xmlns:ds="http://schemas.openxmlformats.org/officeDocument/2006/customXml" ds:itemID="{7B01A7DB-D63E-4017-ACCB-251B6A7A08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0c2d56-a23b-4548-b896-15650a1462e1"/>
    <ds:schemaRef ds:uri="6cf38257-c025-46c4-af32-aecd95abb8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F51FB77-09BA-4B3A-93FB-7A56A2EFBED1}">
  <ds:schemaRefs>
    <ds:schemaRef ds:uri="http://schemas.microsoft.com/sharepoint/v3/contenttype/forms"/>
  </ds:schemaRefs>
</ds:datastoreItem>
</file>

<file path=customXml/itemProps3.xml><?xml version="1.0" encoding="utf-8"?>
<ds:datastoreItem xmlns:ds="http://schemas.openxmlformats.org/officeDocument/2006/customXml" ds:itemID="{268B3C8A-1165-4E37-9741-191B79B043A4}">
  <ds:schemaRefs>
    <ds:schemaRef ds:uri="http://schemas.microsoft.com/office/2006/metadata/properties"/>
    <ds:schemaRef ds:uri="http://schemas.microsoft.com/office/infopath/2007/PartnerControls"/>
    <ds:schemaRef ds:uri="890c2d56-a23b-4548-b896-15650a1462e1"/>
    <ds:schemaRef ds:uri="6cf38257-c025-46c4-af32-aecd95abb87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Email Campaigns</vt:lpstr>
      <vt:lpstr>SMS Campaigns</vt:lpstr>
      <vt:lpstr>Notes - Instructions</vt:lpstr>
      <vt:lpstr>June 2026 Calendar</vt:lpstr>
      <vt:lpstr>Template for Duplicate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Kim Chim</dc:creator>
  <cp:keywords/>
  <dc:description/>
  <cp:lastModifiedBy>Archim Paul Pameroyan</cp:lastModifiedBy>
  <cp:revision/>
  <dcterms:created xsi:type="dcterms:W3CDTF">2026-06-06T02:42:19Z</dcterms:created>
  <dcterms:modified xsi:type="dcterms:W3CDTF">2026-06-16T07:49:11Z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0x010100FBE365B77DBF794C958AF93F15F0978A</vt:lpwstr>
  </property>
</Properties>
</file>