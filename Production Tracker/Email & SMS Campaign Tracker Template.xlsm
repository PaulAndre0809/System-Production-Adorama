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0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85678871-8744-44E6-BC45-56C2794FF7F5}" xr6:coauthVersionLast="47" xr6:coauthVersionMax="47" xr10:uidLastSave="{00000000-0000-0000-0000-000000000000}"/>
  <bookViews>
    <workbookView xWindow="-120" yWindow="-120" windowWidth="29040" windowHeight="15990" activeTab="5" xr2:uid="{00000000-000D-0000-FFFF-FFFF00000000}"/>
  </bookViews>
  <sheets>
    <sheet name="Dashboard" sheetId="2" r:id="rId1"/>
    <sheet name="Email Campaigns" sheetId="1" r:id="rId2"/>
    <sheet name="SMS Campaigns" sheetId="19" r:id="rId3"/>
    <sheet name="Notes - Instructions" sheetId="21" r:id="rId4"/>
    <sheet name="June 2026 Calendar" sheetId="22" r:id="rId5"/>
    <sheet name="Template for Duplicate" sheetId="23" r:id="rId6"/>
    <sheet name="Dropdowns" sheetId="4" state="veryHidden" r:id="rId7"/>
    <sheet name="Automation Log" sheetId="5" state="veryHidden" r:id="rId8"/>
  </sheets>
  <functionGroups builtInGroupCount="19"/>
  <externalReferences>
    <externalReference r:id="rId9"/>
    <externalReference r:id="rId10"/>
    <externalReference r:id="rId11"/>
    <externalReference r:id="rId12"/>
  </externalReferences>
  <definedNames>
    <definedName name="_xlpm.allDone" hidden="1" xlm="1">#NAME?</definedName>
    <definedName name="_xlpm.audience" hidden="1" xlm="1">#NAME?</definedName>
    <definedName name="_xlpm.camp" hidden="1" xlm="1">#NAME?</definedName>
    <definedName name="_xlpm.ch" hidden="1" xlm="1">#NAME?</definedName>
    <definedName name="_xlpm.checked" hidden="1" xlm="1">#NAME?</definedName>
    <definedName name="_xlpm.clean" hidden="1" xlm="1">#NAME?</definedName>
    <definedName name="_xlpm.code" hidden="1" xlm="1">#NAME?</definedName>
    <definedName name="_xlpm.d" hidden="1" xlm="1">#NAME?</definedName>
    <definedName name="_xlpm.data" hidden="1" xlm="1">#NAME?</definedName>
    <definedName name="_xlpm.delivered" hidden="1" xlm="1">#NAME?</definedName>
    <definedName name="_xlpm.e_cancel" hidden="1" xlm="1">#NAME?</definedName>
    <definedName name="_xlpm.e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parsed" hidden="1" xlm="1">#NAME?</definedName>
    <definedName name="_xlpm.s_cancel" hidden="1" xlm="1">#NAME?</definedName>
    <definedName name="_xlpm.sCancel" hidden="1" xlm="1">#NAME?</definedName>
    <definedName name="_xlpm.sendDate" hidden="1" xlm="1">#NAME?</definedName>
    <definedName name="_xlpm.sMax" hidden="1" xlm="1">#NAME?</definedName>
    <definedName name="_xlpm.sms" hidden="1" xlm="1">#NAME?</definedName>
    <definedName name="_xlpm.useDate" hidden="1" xlm="1">#NAME?</definedName>
    <definedName name="_xlpm.we" hidden="1" xlm="1">#NAME?</definedName>
    <definedName name="_xlpm.ws" hidden="1" xlm="1">#NAME?</definedName>
  </definedNames>
  <calcPr calcId="191029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19" l="1"/>
  <c r="E3" i="1"/>
  <c r="B31" i="23"/>
  <c r="A30" i="23" a="1"/>
  <c r="A28" i="23" a="1"/>
  <c r="A26" i="23" a="1"/>
  <c r="A24" i="23" a="1"/>
  <c r="A22" i="23" a="1"/>
  <c r="G20" i="23" a="1"/>
  <c r="A20" i="23"/>
  <c r="B19" i="23" a="1"/>
  <c r="B18" i="23" a="1"/>
  <c r="A14" i="23" a="1"/>
  <c r="A12" i="23" a="1"/>
  <c r="A10" i="23" a="1"/>
  <c r="A8" i="23" a="1"/>
  <c r="A6" i="23" a="1"/>
  <c r="G4" i="23" a="1"/>
  <c r="A4" i="23"/>
  <c r="H3" i="23"/>
  <c r="G3" i="23"/>
  <c r="F3" i="23"/>
  <c r="E3" i="23"/>
  <c r="D3" i="23"/>
  <c r="C3" i="23"/>
  <c r="B3" i="23"/>
  <c r="B2" i="23" a="1"/>
  <c r="H29" i="22"/>
  <c r="G29" i="22"/>
  <c r="F29" i="22"/>
  <c r="E29" i="22"/>
  <c r="D29" i="22"/>
  <c r="C29" i="22"/>
  <c r="B29" i="22"/>
  <c r="H28" i="22"/>
  <c r="G28" i="22"/>
  <c r="F28" i="22"/>
  <c r="E28" i="22"/>
  <c r="D28" i="22"/>
  <c r="C28" i="22"/>
  <c r="B28" i="22"/>
  <c r="A28" i="22"/>
  <c r="H27" i="22"/>
  <c r="G27" i="22"/>
  <c r="F27" i="22"/>
  <c r="E27" i="22"/>
  <c r="D27" i="22"/>
  <c r="C27" i="22"/>
  <c r="B27" i="22"/>
  <c r="H26" i="22"/>
  <c r="G26" i="22"/>
  <c r="F26" i="22"/>
  <c r="E26" i="22"/>
  <c r="D26" i="22"/>
  <c r="C26" i="22"/>
  <c r="B26" i="22"/>
  <c r="A26" i="22"/>
  <c r="H25" i="22"/>
  <c r="G25" i="22"/>
  <c r="F25" i="22"/>
  <c r="E25" i="22"/>
  <c r="D25" i="22"/>
  <c r="C25" i="22"/>
  <c r="B25" i="22"/>
  <c r="H24" i="22"/>
  <c r="G24" i="22"/>
  <c r="F24" i="22"/>
  <c r="E24" i="22"/>
  <c r="D24" i="22"/>
  <c r="C24" i="22"/>
  <c r="B24" i="22"/>
  <c r="A24" i="22"/>
  <c r="H23" i="22"/>
  <c r="G23" i="22"/>
  <c r="F23" i="22"/>
  <c r="E23" i="22"/>
  <c r="D23" i="22"/>
  <c r="C23" i="22"/>
  <c r="B23" i="22"/>
  <c r="H22" i="22"/>
  <c r="G22" i="22"/>
  <c r="F22" i="22"/>
  <c r="E22" i="22"/>
  <c r="D22" i="22"/>
  <c r="C22" i="22"/>
  <c r="B22" i="22"/>
  <c r="A22" i="22"/>
  <c r="H21" i="22"/>
  <c r="G21" i="22"/>
  <c r="F21" i="22"/>
  <c r="E21" i="22"/>
  <c r="D21" i="22"/>
  <c r="C21" i="22"/>
  <c r="B21" i="22"/>
  <c r="H20" i="22"/>
  <c r="G20" i="22"/>
  <c r="F20" i="22"/>
  <c r="E20" i="22"/>
  <c r="D20" i="22"/>
  <c r="C20" i="22"/>
  <c r="B20" i="22"/>
  <c r="A20" i="22"/>
  <c r="H19" i="22"/>
  <c r="G19" i="22"/>
  <c r="F19" i="22"/>
  <c r="E19" i="22"/>
  <c r="D19" i="22"/>
  <c r="C19" i="22"/>
  <c r="B19" i="22"/>
  <c r="H18" i="22"/>
  <c r="G18" i="22"/>
  <c r="F18" i="22"/>
  <c r="E18" i="22"/>
  <c r="D18" i="22"/>
  <c r="C18" i="22"/>
  <c r="B18" i="22"/>
  <c r="H13" i="22"/>
  <c r="G13" i="22"/>
  <c r="F13" i="22"/>
  <c r="E13" i="22"/>
  <c r="D13" i="22"/>
  <c r="C13" i="22"/>
  <c r="B13" i="22"/>
  <c r="H12" i="22"/>
  <c r="G12" i="22"/>
  <c r="F12" i="22"/>
  <c r="E12" i="22"/>
  <c r="D12" i="22"/>
  <c r="C12" i="22"/>
  <c r="B12" i="22"/>
  <c r="A12" i="22"/>
  <c r="H11" i="22"/>
  <c r="G11" i="22"/>
  <c r="F11" i="22"/>
  <c r="E11" i="22"/>
  <c r="D11" i="22"/>
  <c r="C11" i="22"/>
  <c r="B11" i="22"/>
  <c r="H10" i="22"/>
  <c r="G10" i="22"/>
  <c r="F10" i="22"/>
  <c r="E10" i="22"/>
  <c r="D10" i="22"/>
  <c r="C10" i="22"/>
  <c r="B10" i="22"/>
  <c r="A10" i="22"/>
  <c r="H9" i="22"/>
  <c r="G9" i="22"/>
  <c r="F9" i="22"/>
  <c r="E9" i="22"/>
  <c r="D9" i="22"/>
  <c r="C9" i="22"/>
  <c r="B9" i="22"/>
  <c r="H8" i="22"/>
  <c r="G8" i="22"/>
  <c r="F8" i="22"/>
  <c r="E8" i="22"/>
  <c r="D8" i="22"/>
  <c r="C8" i="22"/>
  <c r="B8" i="22"/>
  <c r="A8" i="22"/>
  <c r="H7" i="22"/>
  <c r="G7" i="22"/>
  <c r="F7" i="22"/>
  <c r="E7" i="22"/>
  <c r="D7" i="22"/>
  <c r="C7" i="22"/>
  <c r="B7" i="22"/>
  <c r="H6" i="22"/>
  <c r="G6" i="22"/>
  <c r="F6" i="22"/>
  <c r="E6" i="22"/>
  <c r="D6" i="22"/>
  <c r="C6" i="22"/>
  <c r="B6" i="22"/>
  <c r="A6" i="22"/>
  <c r="H5" i="22"/>
  <c r="G5" i="22"/>
  <c r="F5" i="22"/>
  <c r="E5" i="22"/>
  <c r="D5" i="22"/>
  <c r="C5" i="22"/>
  <c r="H4" i="22"/>
  <c r="G4" i="22"/>
  <c r="F4" i="22"/>
  <c r="E4" i="22"/>
  <c r="D4" i="22"/>
  <c r="C4" i="22"/>
  <c r="B4" i="22"/>
  <c r="A4" i="22"/>
  <c r="H3" i="22"/>
  <c r="G3" i="22"/>
  <c r="F3" i="22"/>
  <c r="E3" i="22"/>
  <c r="D3" i="22"/>
  <c r="C3" i="22"/>
  <c r="B3" i="22"/>
  <c r="H2" i="22"/>
  <c r="G2" i="22"/>
  <c r="F2" i="22"/>
  <c r="E2" i="22"/>
  <c r="D2" i="22"/>
  <c r="C2" i="22"/>
  <c r="B2" i="22"/>
  <c r="M5" i="2"/>
  <c r="E2" i="19"/>
  <c r="G5" i="2" s="1" a="1"/>
  <c r="C164" i="2" s="1"/>
  <c r="E2" i="1"/>
  <c r="AA11" i="2" s="1" a="1"/>
  <c r="AA3" i="2"/>
  <c r="D3" i="2" s="1"/>
  <c r="B3" i="2"/>
  <c r="I5" i="2" l="1" a="1"/>
  <c r="C165" i="2" s="1"/>
  <c r="K5" i="2" a="1"/>
  <c r="C166" i="2" s="1"/>
  <c r="E5" i="2" a="1"/>
  <c r="C163" i="2" s="1"/>
  <c r="C5" i="2" a="1"/>
  <c r="C162" i="2" s="1"/>
  <c r="A5" i="2" l="1"/>
  <c r="J12" i="2"/>
  <c r="J13" i="2"/>
  <c r="J14" i="2"/>
  <c r="J15" i="2"/>
  <c r="J16" i="2"/>
  <c r="J17" i="2"/>
  <c r="J18" i="2"/>
  <c r="J19" i="2"/>
  <c r="J20" i="2"/>
  <c r="J65" i="2"/>
  <c r="J70" i="2"/>
  <c r="J80" i="2"/>
  <c r="J86" i="2"/>
  <c r="J93" i="2"/>
  <c r="J98" i="2"/>
  <c r="J105" i="2"/>
  <c r="J119" i="2"/>
  <c r="J138" i="2"/>
  <c r="J85" i="2"/>
  <c r="J112" i="2"/>
  <c r="J151" i="2"/>
  <c r="J44" i="2"/>
  <c r="J50" i="2"/>
  <c r="J75" i="2"/>
  <c r="J110" i="2"/>
  <c r="J139" i="2"/>
  <c r="J74" i="2"/>
  <c r="J111" i="2"/>
  <c r="J127" i="2"/>
  <c r="J77" i="2"/>
  <c r="J104" i="2"/>
  <c r="J140" i="2"/>
  <c r="J43" i="2"/>
  <c r="J48" i="2"/>
  <c r="J68" i="2"/>
  <c r="J103" i="2"/>
  <c r="J149" i="2"/>
  <c r="J148" i="2"/>
  <c r="J157" i="2"/>
  <c r="J21" i="2"/>
  <c r="J22" i="2"/>
  <c r="J23" i="2"/>
  <c r="J24" i="2"/>
  <c r="J25" i="2"/>
  <c r="J26" i="2"/>
  <c r="J27" i="2"/>
  <c r="J28" i="2"/>
  <c r="J29" i="2"/>
  <c r="J32" i="2"/>
  <c r="J34" i="2"/>
  <c r="J36" i="2"/>
  <c r="J38" i="2"/>
  <c r="J40" i="2"/>
  <c r="J57" i="2"/>
  <c r="J67" i="2"/>
  <c r="J90" i="2"/>
  <c r="J120" i="2"/>
  <c r="J41" i="2"/>
  <c r="J45" i="2"/>
  <c r="J59" i="2"/>
  <c r="J83" i="2"/>
  <c r="J121" i="2"/>
  <c r="J159" i="2"/>
  <c r="J30" i="2"/>
  <c r="J66" i="2"/>
  <c r="J71" i="2"/>
  <c r="J78" i="2"/>
  <c r="J84" i="2"/>
  <c r="J88" i="2"/>
  <c r="J95" i="2"/>
  <c r="J102" i="2"/>
  <c r="J109" i="2"/>
  <c r="J115" i="2"/>
  <c r="J123" i="2"/>
  <c r="J132" i="2"/>
  <c r="J142" i="2"/>
  <c r="J152" i="2"/>
  <c r="J31" i="2"/>
  <c r="J33" i="2"/>
  <c r="J35" i="2"/>
  <c r="J37" i="2"/>
  <c r="J39" i="2"/>
  <c r="J49" i="2"/>
  <c r="J60" i="2"/>
  <c r="J72" i="2"/>
  <c r="J97" i="2"/>
  <c r="J131" i="2"/>
  <c r="J42" i="2"/>
  <c r="J46" i="2"/>
  <c r="J62" i="2"/>
  <c r="J89" i="2"/>
  <c r="J128" i="2"/>
  <c r="J51" i="2"/>
  <c r="J47" i="2"/>
  <c r="J96" i="2"/>
  <c r="J11" i="2"/>
  <c r="J52" i="2"/>
  <c r="J53" i="2"/>
  <c r="J54" i="2"/>
  <c r="J55" i="2"/>
  <c r="J56" i="2"/>
  <c r="J58" i="2"/>
  <c r="J63" i="2"/>
  <c r="J69" i="2"/>
  <c r="J76" i="2"/>
  <c r="J82" i="2"/>
  <c r="J92" i="2"/>
  <c r="J99" i="2"/>
  <c r="J106" i="2"/>
  <c r="J113" i="2"/>
  <c r="J122" i="2"/>
  <c r="J129" i="2"/>
  <c r="J136" i="2"/>
  <c r="J145" i="2"/>
  <c r="J154" i="2"/>
  <c r="J61" i="2"/>
  <c r="J64" i="2"/>
  <c r="J100" i="2"/>
  <c r="J117" i="2"/>
  <c r="J133" i="2"/>
  <c r="J150" i="2"/>
  <c r="J79" i="2"/>
  <c r="J158" i="2"/>
  <c r="J91" i="2"/>
  <c r="J118" i="2"/>
  <c r="J156" i="2"/>
  <c r="J143" i="2"/>
  <c r="J73" i="2"/>
  <c r="J81" i="2"/>
  <c r="J87" i="2"/>
  <c r="J94" i="2"/>
  <c r="J108" i="2"/>
  <c r="J124" i="2"/>
  <c r="J141" i="2"/>
  <c r="J160" i="2"/>
  <c r="J130" i="2"/>
  <c r="J147" i="2"/>
  <c r="J114" i="2"/>
  <c r="J107" i="2"/>
  <c r="J126" i="2"/>
  <c r="J116" i="2"/>
  <c r="J134" i="2"/>
  <c r="J144" i="2"/>
  <c r="J153" i="2"/>
  <c r="J101" i="2"/>
  <c r="J125" i="2"/>
  <c r="J135" i="2"/>
  <c r="J146" i="2"/>
  <c r="J155" i="2"/>
  <c r="J137" i="2"/>
  <c r="K11" i="2"/>
  <c r="K12" i="2"/>
  <c r="K13" i="2"/>
  <c r="K14" i="2"/>
  <c r="K15" i="2"/>
  <c r="K16" i="2"/>
  <c r="K22" i="2"/>
  <c r="K25" i="2"/>
  <c r="K24" i="2"/>
  <c r="K28" i="2"/>
  <c r="K30" i="2"/>
  <c r="K26" i="2"/>
  <c r="K27" i="2"/>
  <c r="K31" i="2"/>
  <c r="K32" i="2"/>
  <c r="K34" i="2"/>
  <c r="K35" i="2"/>
  <c r="K18" i="2"/>
  <c r="K20" i="2"/>
  <c r="K29" i="2"/>
  <c r="K33" i="2"/>
  <c r="K17" i="2"/>
  <c r="K19" i="2"/>
  <c r="K21" i="2"/>
  <c r="K23" i="2"/>
  <c r="K36" i="2"/>
  <c r="K37" i="2"/>
  <c r="K38" i="2"/>
  <c r="K39" i="2"/>
  <c r="K40" i="2"/>
  <c r="K41" i="2"/>
  <c r="K42" i="2"/>
  <c r="K45" i="2"/>
  <c r="K43" i="2"/>
  <c r="K44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M77" i="2" l="1"/>
  <c r="M23" i="2"/>
  <c r="M22" i="2"/>
  <c r="M21" i="2"/>
  <c r="M49" i="2"/>
  <c r="M34" i="2"/>
  <c r="M24" i="2"/>
  <c r="M28" i="2"/>
  <c r="M32" i="2"/>
  <c r="M38" i="2"/>
  <c r="M26" i="2"/>
  <c r="M30" i="2"/>
  <c r="M36" i="2"/>
  <c r="M40" i="2"/>
  <c r="M120" i="2"/>
  <c r="M125" i="2"/>
  <c r="M83" i="2"/>
  <c r="M89" i="2"/>
  <c r="M80" i="2"/>
  <c r="M85" i="2"/>
  <c r="M41" i="2"/>
  <c r="M17" i="2"/>
  <c r="M18" i="2"/>
  <c r="M19" i="2"/>
  <c r="M20" i="2"/>
  <c r="M94" i="2"/>
  <c r="M99" i="2"/>
  <c r="M74" i="2"/>
  <c r="M90" i="2"/>
  <c r="M95" i="2"/>
  <c r="M76" i="2"/>
  <c r="M79" i="2"/>
  <c r="M84" i="2"/>
  <c r="M88" i="2"/>
  <c r="M93" i="2"/>
  <c r="M98" i="2"/>
  <c r="M103" i="2"/>
  <c r="M109" i="2"/>
  <c r="M115" i="2"/>
  <c r="M144" i="2"/>
  <c r="M104" i="2"/>
  <c r="M108" i="2"/>
  <c r="M100" i="2"/>
  <c r="M71" i="2"/>
  <c r="M106" i="2"/>
  <c r="M37" i="2"/>
  <c r="M39" i="2"/>
  <c r="M13" i="2"/>
  <c r="M14" i="2"/>
  <c r="M15" i="2"/>
  <c r="M16" i="2"/>
  <c r="M114" i="2"/>
  <c r="M111" i="2"/>
  <c r="M12" i="2"/>
  <c r="M116" i="2"/>
  <c r="M121" i="2"/>
  <c r="M73" i="2"/>
  <c r="M119" i="2"/>
  <c r="M140" i="2"/>
  <c r="M154" i="2"/>
  <c r="M139" i="2"/>
  <c r="M156" i="2"/>
  <c r="M55" i="2"/>
  <c r="M135" i="2"/>
  <c r="M149" i="2"/>
  <c r="M134" i="2"/>
  <c r="M152" i="2"/>
  <c r="M124" i="2"/>
  <c r="M128" i="2"/>
  <c r="M147" i="2"/>
  <c r="M145" i="2"/>
  <c r="M160" i="2"/>
  <c r="M130" i="2"/>
  <c r="M142" i="2"/>
  <c r="M58" i="2"/>
  <c r="M82" i="2"/>
  <c r="M87" i="2"/>
  <c r="M44" i="2"/>
  <c r="M47" i="2"/>
  <c r="M48" i="2"/>
  <c r="M51" i="2"/>
  <c r="M126" i="2"/>
  <c r="M132" i="2"/>
  <c r="M150" i="2"/>
  <c r="M136" i="2"/>
  <c r="M42" i="2"/>
  <c r="M45" i="2"/>
  <c r="M50" i="2"/>
  <c r="M70" i="2"/>
  <c r="M43" i="2"/>
  <c r="M46" i="2"/>
  <c r="M52" i="2"/>
  <c r="M72" i="2"/>
  <c r="M75" i="2"/>
  <c r="M78" i="2"/>
  <c r="M81" i="2"/>
  <c r="M86" i="2"/>
  <c r="M91" i="2"/>
  <c r="M96" i="2"/>
  <c r="M101" i="2"/>
  <c r="M105" i="2"/>
  <c r="M110" i="2"/>
  <c r="M113" i="2"/>
  <c r="M118" i="2"/>
  <c r="M123" i="2"/>
  <c r="M141" i="2"/>
  <c r="M146" i="2"/>
  <c r="M157" i="2"/>
  <c r="M68" i="2"/>
  <c r="M129" i="2"/>
  <c r="M131" i="2"/>
  <c r="M137" i="2"/>
  <c r="M151" i="2"/>
  <c r="M92" i="2"/>
  <c r="M97" i="2"/>
  <c r="M102" i="2"/>
  <c r="M107" i="2"/>
  <c r="M112" i="2"/>
  <c r="M117" i="2"/>
  <c r="M155" i="2"/>
  <c r="M69" i="2"/>
  <c r="M122" i="2"/>
  <c r="M127" i="2"/>
  <c r="M133" i="2"/>
  <c r="M138" i="2"/>
  <c r="M143" i="2"/>
  <c r="M148" i="2"/>
  <c r="M153" i="2"/>
  <c r="M158" i="2"/>
  <c r="M54" i="2"/>
  <c r="M57" i="2"/>
  <c r="M61" i="2"/>
  <c r="M63" i="2"/>
  <c r="M159" i="2"/>
  <c r="M25" i="2"/>
  <c r="M27" i="2"/>
  <c r="M29" i="2"/>
  <c r="M31" i="2"/>
  <c r="M33" i="2"/>
  <c r="M35" i="2"/>
  <c r="M53" i="2"/>
  <c r="M56" i="2"/>
  <c r="M59" i="2"/>
  <c r="M62" i="2"/>
  <c r="M65" i="2"/>
  <c r="M67" i="2"/>
  <c r="M60" i="2"/>
  <c r="M64" i="2"/>
  <c r="M66" i="2"/>
  <c r="A11" i="2" a="1"/>
  <c r="M11" i="2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<sst xmlns="http://schemas.openxmlformats.org/spreadsheetml/2006/main" count="308" uniqueCount="226">
  <si>
    <t>Detailed Notes and Instructions</t>
  </si>
  <si>
    <t>Component</t>
  </si>
  <si>
    <t>N/A</t>
  </si>
  <si>
    <t>Email &amp; SMS Campaign Summary</t>
  </si>
  <si>
    <t>Current week through next week Email and SMS campaigns.</t>
  </si>
  <si>
    <t>Last Refresh</t>
  </si>
  <si>
    <t>Last Edited By</t>
  </si>
  <si>
    <t>Active Work</t>
  </si>
  <si>
    <t>Sending Today</t>
  </si>
  <si>
    <t>Email Active</t>
  </si>
  <si>
    <t>SMS Active</t>
  </si>
  <si>
    <t>Approval Pending</t>
  </si>
  <si>
    <t>Sent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</si>
  <si>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</si>
  <si>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</si>
  <si>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</si>
  <si>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</si>
  <si>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</si>
  <si>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</si>
  <si>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</si>
  <si>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</si>
  <si>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</si>
  <si>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</si>
  <si>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</si>
  <si>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</si>
  <si>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</si>
  <si>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</si>
  <si>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</si>
  <si>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</si>
  <si>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</si>
  <si>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</si>
  <si>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</si>
  <si>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</si>
  <si>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</si>
  <si>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</si>
  <si>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</si>
  <si>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</si>
  <si>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</si>
  <si>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</si>
  <si>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</si>
  <si>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</si>
  <si>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</si>
  <si>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</si>
  <si>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</si>
  <si>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</si>
  <si>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</si>
  <si>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</si>
  <si>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</si>
  <si>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</si>
  <si>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</si>
  <si>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</si>
  <si>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</si>
  <si>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</si>
  <si>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</si>
  <si>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</si>
  <si>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</si>
  <si>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</si>
  <si>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</si>
  <si>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</si>
  <si>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</si>
  <si>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Promo</t>
  </si>
  <si>
    <t>Services</t>
  </si>
  <si>
    <t>Cancelled</t>
  </si>
  <si>
    <t>Newsletters</t>
  </si>
  <si>
    <t>Events</t>
  </si>
  <si>
    <t>Send SMS Options</t>
  </si>
  <si>
    <t>Send Test</t>
  </si>
  <si>
    <t>Proof of Schedule</t>
  </si>
  <si>
    <t>Dashboard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</si>
  <si>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</si>
  <si>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</si>
  <si>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</si>
  <si>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</si>
  <si>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</si>
  <si>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</si>
  <si>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</si>
  <si>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</si>
  <si>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</si>
  <si>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</si>
  <si>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</si>
  <si>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</si>
  <si>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</si>
  <si>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</si>
  <si>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</si>
  <si>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</si>
  <si>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</si>
  <si>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</si>
  <si>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</si>
  <si>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</si>
  <si>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</si>
  <si>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NPA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</si>
  <si>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</si>
  <si>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</si>
  <si>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</si>
  <si>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</si>
  <si>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</si>
  <si>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</si>
  <si>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</si>
  <si>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</si>
  <si>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</si>
  <si>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</si>
  <si>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</si>
  <si>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</si>
  <si>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</si>
  <si>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</si>
  <si>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</si>
  <si>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</si>
  <si>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</si>
  <si>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</si>
  <si>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</si>
  <si>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</si>
  <si>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</si>
  <si>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</si>
  <si>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/>
  </si>
  <si>
    <t>Kim Chim</t>
  </si>
  <si>
    <t>How It Works</t>
  </si>
  <si>
    <t>Required / Avoid</t>
  </si>
  <si>
    <t>Compatibility Notes</t>
  </si>
  <si>
    <t>Email Campaigns</t>
  </si>
  <si>
    <t>Add or edit a campaign</t>
  </si>
  <si>
    <t>Enter one campaign per table row. Send Date drives the Dashboard's current-week through next-week view.</t>
  </si>
  <si>
    <t>Complete Campaign Name and Send Date. Do not rename table headers or delete calculated/audit columns.</t>
  </si>
  <si>
    <t>Filters, formulas, and dropdowns work in desktop Excel and Excel for the web.</t>
  </si>
  <si>
    <t>Track workflow</t>
  </si>
  <si>
    <t>Click workflow cells to toggle checkboxes. Current Stage lists every checked item and shows Completed when all required steps are done.</t>
  </si>
  <si>
    <t>Use the checkbox columns as provided. Do not replace them with dropdowns or typed status text.</t>
  </si>
  <si>
    <t>Desktop Excel provides click-to-toggle behavior; web users can enter TRUE or FALSE in checkbox-backed cells.</t>
  </si>
  <si>
    <t>SMS Campaigns</t>
  </si>
  <si>
    <t>Use the same row-based process as Email Campaigns. SMS workflow uses Send SMS Options, Send Test, Approval, and Segments.</t>
  </si>
  <si>
    <t>Complete Campaign Name and Send Date. Keep the SMS table name and headers unchanged.</t>
  </si>
  <si>
    <t>The Dashboard combines qualifying Email and SMS rows automatically.</t>
  </si>
  <si>
    <t>Choose or enter a type</t>
  </si>
  <si>
    <t>The dropdown source is maintained on the hidden Dropdowns sheet. Do not change its range or delete the sheet.</t>
  </si>
  <si>
    <t>Filters</t>
  </si>
  <si>
    <t>Hide completed or older work</t>
  </si>
  <si>
    <t>Use the table filter arrows on Send Date and Delivered to focus on active campaigns or the current month.</t>
  </si>
  <si>
    <t>Clear filters before assuming a campaign row is missing.</t>
  </si>
  <si>
    <t>Native Excel table filters are SharePoint and web compatible.</t>
  </si>
  <si>
    <t>Review upcoming work</t>
  </si>
  <si>
    <t>The main table displays Email and SMS campaigns scheduled from the current Sunday through the following Saturday.</t>
  </si>
  <si>
    <t>Update source rows rather than typing into Dashboard output cells. Approval shows Done/Not Yet and Segments shows Provided/Pending.</t>
  </si>
  <si>
    <t>Native formulas support web viewing; desktop macros provide the full refresh and formatting path.</t>
  </si>
  <si>
    <t>Refresh outputs</t>
  </si>
  <si>
    <t>Last Refresh is formula-driven. Desktop users can run RefreshDashboard after source-table changes.</t>
  </si>
  <si>
    <t>Keep helper columns AA:AL hidden and intact because they support native Dashboard output.</t>
  </si>
  <si>
    <t>Excel for the web does not run VBA, but saved formulas and table data remain available.</t>
  </si>
  <si>
    <t>Audit Fields</t>
  </si>
  <si>
    <t>Last Updated / Last Updated By</t>
  </si>
  <si>
    <t>Desktop edits stamp the row timestamp and editor when macros are enabled. Web edits should use SharePoint version history as the authoritative editor record.</t>
  </si>
  <si>
    <t>Do not overwrite audit formulas or automation code. Last Updated By remains manually editable for web collaboration.</t>
  </si>
  <si>
    <t>Excel for the web cannot execute VBA events or reliably expose the signed-in editor to workbook formulas.</t>
  </si>
  <si>
    <t>SharePoint</t>
  </si>
  <si>
    <t>Collaborate safely</t>
  </si>
  <si>
    <t>Store and open the XLSM directly from SharePoint. Avoid simultaneous structural edits to tables or VBA.</t>
  </si>
  <si>
    <t>Do not convert the file to XLSX. No external Python, PowerShell, or BAS file is required.</t>
  </si>
  <si>
    <t>Macros run in desktop Excel only; formulas, tables, filters, and saved results are available in the browser.</t>
  </si>
  <si>
    <t>Maintenance</t>
  </si>
  <si>
    <t>Refresh the Dashboard</t>
  </si>
  <si>
    <t>RefreshDashboard recalculates the native current-week through next-week output without rebuilding source tables.</t>
  </si>
  <si>
    <t>Create a SharePoint version or backup before intentional table/header redesigns.</t>
  </si>
  <si>
    <t>Enter a campaign date</t>
  </si>
  <si>
    <t>Enter a real Excel date. It displays as Wednesday, June 10, 2026 while remaining sortable and usable by Dashboard formulas.</t>
  </si>
  <si>
    <t>Use a recognized date value. Avoid typing the weekday and month as a plain text sentence.</t>
  </si>
  <si>
    <t>The custom dddd, mmmm d, yyyy format is saved in the workbook and works in desktop Excel and Excel for the web.</t>
  </si>
  <si>
    <t>Enter a time or scheduling label</t>
  </si>
  <si>
    <t>Real times display in 12-hour format such as 10:00 AM or 10:00 PM. Text such as STO or Local Timezone is also accepted.</t>
  </si>
  <si>
    <t>Do not add blocking validation to this column. Use an Excel time or the required scheduling text.</t>
  </si>
  <si>
    <t>Text remains text; numeric Excel times receive the h:mm AM/PM display automatically.</t>
  </si>
  <si>
    <t>Troubleshooting</t>
  </si>
  <si>
    <t>VBA compile and edit errors</t>
  </si>
  <si>
    <t>The embedded VBA project is compiled during QA. Line-continuation characters must be followed immediately by the next VBA line.</t>
  </si>
  <si>
    <t>Do not insert blank lines after an underscore continuation character. Keep macros enabled in desktop Excel for event automation.</t>
  </si>
  <si>
    <t>Excel for the web does not compile or run VBA; saved formulas and formats continue to work there.</t>
  </si>
  <si>
    <t>Performance</t>
  </si>
  <si>
    <t>Keep calculations responsive</t>
  </si>
  <si>
    <t>Dashboard KPIs and the current-week feed use expanding table references. Desktop edits recalculate once per edit batch.</t>
  </si>
  <si>
    <t>Do not replace table formulas with entire-column worksheet references or rename tables and headers.</t>
  </si>
  <si>
    <t>RefreshDashboard repairs KPI formulas and recalculates only the Dashboard output ranges.</t>
  </si>
  <si>
    <t>Sheet Protection</t>
  </si>
  <si>
    <t>Maintain the instruction sheet</t>
  </si>
  <si>
    <t>Notes - Instructions is protected to prevent accidental structural edits.</t>
  </si>
  <si>
    <t>Worksheet protection is an editing safeguard, not encryption or access control.</t>
  </si>
  <si>
    <t>Cancelled Campaigns</t>
  </si>
  <si>
    <t>Exclude from Dashboard</t>
  </si>
  <si>
    <t>Rows are excluded when Current Stage or Notes is exactly Cancelled or Canceled, ignoring capitalization and surrounding spaces.</t>
  </si>
  <si>
    <t>Use the exact cancellation status. Do not expect partial phrases such as Cancelled by team to be treated as the status.</t>
  </si>
  <si>
    <t>The Dashboard campaign list and summary KPIs use the same cancellation rule.</t>
  </si>
  <si>
    <t>Timed Link Labels</t>
  </si>
  <si>
    <t>Convert URLs after seven days</t>
  </si>
  <si>
    <t>JIRA, ClickUp, Bluecore/Attentive, and Proof of Schedule links display the full URL until seven days after Send Date and Send Time, then display the platform name.</t>
  </si>
  <si>
    <t>Use a real Send Date and numeric Excel time for an exact timestamp. STO, Local Timezone, or blank time uses midnight on Send Date.</t>
  </si>
  <si>
    <t>Native HYPERLINK and NOW formulas work in desktop Excel and Excel for the web. Desktop Excel also schedules the next due refresh while open.</t>
  </si>
  <si>
    <t>Administrative password: "Adorama@042026_". Reprotect the sheet after intentional maintenance.</t>
  </si>
  <si>
    <t>Week Number</t>
  </si>
  <si>
    <t>Current + next week (Sun-Sat)</t>
  </si>
  <si>
    <t>Schedule-Gap Highlighting</t>
  </si>
  <si>
    <t>Spot unscheduled near-term sends</t>
  </si>
  <si>
    <t>Email Campaigns rows turn orange and SMS Campaigns rows turn yellow when a campaign's Send Date is the next day and its Scheduled box is still unchecked. On Fridays the window extends through Saturday, Sunday, and Monday. Cancelled rows are never highlighted.</t>
  </si>
  <si>
    <t>Check the Scheduled box once a deployment is set and the highlight clears automatically. Do not delete these conditional-formatting rules or rename the Scheduled, Send Date, Campaign Name, or Notes columns.</t>
  </si>
  <si>
    <t>Native conditional formatting recalculates with the system date and works in desktop Excel and Excel for the web.</t>
  </si>
  <si>
    <t>Dashboard Week Number</t>
  </si>
  <si>
    <t>Read the current two-week window</t>
  </si>
  <si>
    <t>Updates automatically with the system date in desktop Excel and Excel for the web.</t>
  </si>
  <si>
    <t>The Week Number tile beside the summary KPIs shows the current week through next week as a span, e.g. 25-26, using WEEKNUM(TODAY(),1) for a Sunday-start week. The campaign list also has a Week Number column (right of Bluecore/Attentive) that shows a Week N label per row, read from the leading MMDDYY code in the Campaign name (e.g. 061726-... = Week 25) or the row's Send Date when there is no code.</t>
  </si>
  <si>
    <t>Display only. Do not overwrite the formula in the Week Number tile (cell M5) or the Week Number column (M11:M160).</t>
  </si>
  <si>
    <t>ApplyCampaignEntryFormats</t>
  </si>
  <si>
    <t>Error 1004: Unable to set the NumberFormat property of the Range class</t>
  </si>
  <si>
    <t>Loyalty</t>
  </si>
  <si>
    <t>PLCC</t>
  </si>
  <si>
    <t>Use Promo, Services, Loyalty, PLCC, Newsletters, Events, NPA, Others, or blank. Loyalty and PLCC are separate options. Choose Others to enter a custom type in a pop-up (desktop Excel); it fills that row only.</t>
  </si>
  <si>
    <t>Custom entries fill that row only and are not added permanently to the dropdown list.</t>
  </si>
  <si>
    <t>Email Calendar</t>
  </si>
  <si>
    <t>June Email Framework</t>
  </si>
  <si>
    <t>June SMS Framework</t>
  </si>
  <si>
    <t>SMS Calendar</t>
  </si>
  <si>
    <t>Monthly Calendars</t>
  </si>
  <si>
    <t>View SharePoint planning calendars</t>
  </si>
  <si>
    <t>June 2026 Calendar (visible) and May 2026 Calendar (hidden) mirror the team's SharePoint Email and SMS planning files through external-link formulas; no manual data entry is needed. Template for Duplicate is a pre-formatted month used to create new calendars.</t>
  </si>
  <si>
    <t>To add a month: (1) right-click Template for Duplicate and Move or Copy to a new sheet; (2) rename it as the month plus 2026 Calendar; (3) Data &gt; Edit Links &gt; Change Source to that month's SharePoint Email and SMS planning files; (4) update. Keep the calendar layout and formatting unchanged.</t>
  </si>
  <si>
    <t>Links refresh in desktop Excel when you have access to the SharePoint files; choose Update Values when prompted. Last Week vs Current Week comparison tables remain retired.</t>
  </si>
  <si>
    <t>Last Week vs Current Week comparison tables remain retired after configuration refreshes.</t>
  </si>
  <si>
    <t>Placeholder</t>
  </si>
  <si>
    <t>Archim</t>
  </si>
  <si>
    <t>Test</t>
  </si>
  <si>
    <t>STO</t>
  </si>
  <si>
    <t>11:00:00 am Local Timezone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</si>
</sst>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yy\ h:mm\ AM/PM"/>
    <numFmt numFmtId="165" formatCode="dddd\,\ mm/dd/yyyy"/>
    <numFmt numFmtId="166" formatCode="dddd\,\ mmmm\ d\,\ yyyy"/>
    <numFmt numFmtId="167" formatCode="m/d/yy;@"/>
  </numFmts>
  <fonts count="25">
    <font>
      <sz val="11"/>
      <name val="Carlito"/>
    </font>
    <font>
      <sz val="11"/>
      <color theme="1"/>
      <name val="Calibri"/>
      <family val="2"/>
      <scheme val="minor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1"/>
      <name val="Aptos"/>
      <family val="2"/>
    </font>
    <font>
      <b/>
      <sz val="22"/>
      <color rgb="FFFFFFFF"/>
      <name val="Aptos"/>
      <family val="2"/>
    </font>
    <font>
      <sz val="11"/>
      <color theme="1"/>
      <name val="Aptos"/>
      <family val="2"/>
    </font>
    <font>
      <b/>
      <sz val="20"/>
      <color theme="1"/>
      <name val="Calibri"/>
      <family val="2"/>
      <scheme val="minor"/>
    </font>
    <font>
      <b/>
      <u/>
      <sz val="11"/>
      <color theme="10"/>
      <name val="Carlito"/>
    </font>
    <font>
      <b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4"/>
      <color theme="1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4646"/>
        <bgColor indexed="64"/>
      </patternFill>
    </fill>
    <fill>
      <patternFill patternType="solid">
        <fgColor theme="4"/>
        <bgColor indexed="64"/>
      </patternFill>
    </fill>
  </fills>
  <borders count="7">
    <border>
      <left/>
      <right/>
      <top/>
      <bottom/>
      <diagonal/>
    </border>
    <border>
      <left/>
      <right/>
      <top/>
      <bottom/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1" fillId="0" borderId="1"/>
    <xf numFmtId="0" fontId="3" fillId="0" borderId="1" applyNumberFormat="0" applyFill="0" applyBorder="0" applyAlignment="0" applyProtection="0"/>
    <xf numFmtId="0" fontId="23" fillId="0" borderId="1" applyNumberFormat="0" applyFill="0" applyBorder="0" applyAlignment="0" applyProtection="0"/>
  </cellStyleXfs>
  <cellXfs count="120">
    <xf numFmtId="0" fontId="0" fillId="0" borderId="0" xfId="0"/>
    <xf numFmtId="0" fontId="5" fillId="0" borderId="0" xfId="0" applyFont="1"/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0" fillId="0" borderId="0" xfId="0" applyAlignment="1">
      <alignment vertical="top" wrapText="1"/>
    </xf>
    <xf numFmtId="164" fontId="0" fillId="0" borderId="0" xfId="0" applyNumberFormat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0" fontId="4" fillId="2" borderId="0" xfId="0" applyFont="1" applyFill="1" applyAlignment="1">
      <alignment horizontal="center" vertical="center" wrapText="1"/>
    </xf>
    <xf numFmtId="0" fontId="7" fillId="3" borderId="0" xfId="0" applyFont="1" applyFill="1" applyAlignment="1">
      <alignment horizontal="left" vertical="center" wrapText="1"/>
    </xf>
    <xf numFmtId="0" fontId="16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4" fillId="2" borderId="1" xfId="0" applyFont="1" applyFill="1" applyBorder="1" applyAlignment="1">
      <alignment horizontal="left" vertical="center" wrapText="1"/>
    </xf>
    <xf numFmtId="1" fontId="4" fillId="2" borderId="1" xfId="0" applyNumberFormat="1" applyFont="1" applyFill="1" applyBorder="1" applyAlignment="1">
      <alignment horizontal="left" vertical="center" wrapText="1"/>
    </xf>
    <xf numFmtId="18" fontId="5" fillId="0" borderId="1" xfId="0" applyNumberFormat="1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18" fontId="5" fillId="0" borderId="0" xfId="0" applyNumberFormat="1" applyFont="1" applyAlignment="1">
      <alignment horizontal="left" vertical="center" wrapText="1"/>
    </xf>
    <xf numFmtId="18" fontId="5" fillId="12" borderId="2" xfId="0" applyNumberFormat="1" applyFont="1" applyFill="1" applyBorder="1" applyAlignment="1">
      <alignment horizontal="left" vertical="center" wrapText="1"/>
    </xf>
    <xf numFmtId="0" fontId="5" fillId="12" borderId="2" xfId="0" applyFont="1" applyFill="1" applyBorder="1" applyAlignment="1">
      <alignment horizontal="left" vertical="center" wrapText="1"/>
    </xf>
    <xf numFmtId="18" fontId="5" fillId="0" borderId="2" xfId="0" applyNumberFormat="1" applyFont="1" applyBorder="1" applyAlignment="1">
      <alignment horizontal="left" vertical="center" wrapText="1"/>
    </xf>
    <xf numFmtId="0" fontId="5" fillId="0" borderId="2" xfId="0" applyFont="1" applyBorder="1" applyAlignment="1">
      <alignment horizontal="left" vertical="center" wrapText="1"/>
    </xf>
    <xf numFmtId="18" fontId="5" fillId="13" borderId="2" xfId="0" applyNumberFormat="1" applyFont="1" applyFill="1" applyBorder="1" applyAlignment="1">
      <alignment horizontal="left" vertical="center" wrapText="1"/>
    </xf>
    <xf numFmtId="0" fontId="5" fillId="13" borderId="2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165" fontId="5" fillId="0" borderId="0" xfId="0" applyNumberFormat="1" applyFont="1" applyAlignment="1">
      <alignment horizontal="left" vertical="center" wrapText="1"/>
    </xf>
    <xf numFmtId="165" fontId="5" fillId="12" borderId="2" xfId="0" applyNumberFormat="1" applyFont="1" applyFill="1" applyBorder="1" applyAlignment="1">
      <alignment horizontal="left" vertical="center" wrapText="1"/>
    </xf>
    <xf numFmtId="165" fontId="5" fillId="0" borderId="2" xfId="0" applyNumberFormat="1" applyFont="1" applyBorder="1" applyAlignment="1">
      <alignment horizontal="left" vertical="center" wrapText="1"/>
    </xf>
    <xf numFmtId="165" fontId="5" fillId="13" borderId="2" xfId="0" applyNumberFormat="1" applyFont="1" applyFill="1" applyBorder="1" applyAlignment="1">
      <alignment horizontal="left" vertical="center" wrapText="1"/>
    </xf>
    <xf numFmtId="165" fontId="0" fillId="0" borderId="0" xfId="0" applyNumberFormat="1"/>
    <xf numFmtId="166" fontId="5" fillId="0" borderId="1" xfId="0" applyNumberFormat="1" applyFont="1" applyBorder="1" applyAlignment="1">
      <alignment horizontal="left" vertical="center" wrapText="1"/>
    </xf>
    <xf numFmtId="166" fontId="5" fillId="0" borderId="0" xfId="0" applyNumberFormat="1" applyFont="1" applyAlignment="1">
      <alignment horizontal="left" vertical="center" wrapText="1"/>
    </xf>
    <xf numFmtId="1" fontId="5" fillId="12" borderId="2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13" borderId="2" xfId="0" applyNumberFormat="1" applyFont="1" applyFill="1" applyBorder="1" applyAlignment="1">
      <alignment horizontal="left" vertical="center" wrapText="1"/>
    </xf>
    <xf numFmtId="0" fontId="1" fillId="0" borderId="1" xfId="2"/>
    <xf numFmtId="0" fontId="21" fillId="18" borderId="1" xfId="2" applyFont="1" applyFill="1" applyAlignment="1">
      <alignment horizontal="center" vertical="center" wrapText="1"/>
    </xf>
    <xf numFmtId="0" fontId="21" fillId="19" borderId="1" xfId="2" applyFont="1" applyFill="1" applyAlignment="1">
      <alignment horizontal="center" vertical="center" wrapText="1"/>
    </xf>
    <xf numFmtId="16" fontId="1" fillId="0" borderId="1" xfId="2" applyNumberFormat="1" applyAlignment="1">
      <alignment horizontal="center" vertical="center" wrapText="1"/>
    </xf>
    <xf numFmtId="16" fontId="1" fillId="20" borderId="1" xfId="2" applyNumberFormat="1" applyFill="1" applyAlignment="1">
      <alignment horizontal="center" vertical="center" wrapText="1"/>
    </xf>
    <xf numFmtId="0" fontId="22" fillId="21" borderId="1" xfId="2" applyFont="1" applyFill="1" applyAlignment="1">
      <alignment horizontal="center" vertical="center" wrapText="1"/>
    </xf>
    <xf numFmtId="0" fontId="22" fillId="0" borderId="1" xfId="2" applyFont="1" applyAlignment="1">
      <alignment horizontal="center" vertical="center" wrapText="1"/>
    </xf>
    <xf numFmtId="16" fontId="22" fillId="0" borderId="1" xfId="4" applyNumberFormat="1" applyFont="1" applyAlignment="1">
      <alignment horizontal="center" vertical="center" wrapText="1"/>
    </xf>
    <xf numFmtId="0" fontId="1" fillId="0" borderId="1" xfId="2" applyAlignment="1">
      <alignment horizontal="center" vertical="center" wrapText="1"/>
    </xf>
    <xf numFmtId="0" fontId="1" fillId="22" borderId="1" xfId="2" applyFill="1" applyAlignment="1">
      <alignment horizontal="center" vertical="center" wrapText="1"/>
    </xf>
    <xf numFmtId="167" fontId="1" fillId="20" borderId="1" xfId="2" applyNumberFormat="1" applyFill="1" applyAlignment="1">
      <alignment horizontal="center" vertical="center" wrapText="1"/>
    </xf>
    <xf numFmtId="16" fontId="1" fillId="21" borderId="1" xfId="2" applyNumberFormat="1" applyFill="1" applyAlignment="1">
      <alignment horizontal="center" vertical="center" wrapText="1"/>
    </xf>
    <xf numFmtId="0" fontId="1" fillId="21" borderId="1" xfId="2" applyFill="1" applyAlignment="1">
      <alignment horizontal="center" vertical="center" wrapText="1"/>
    </xf>
    <xf numFmtId="16" fontId="1" fillId="22" borderId="1" xfId="2" applyNumberFormat="1" applyFill="1" applyAlignment="1">
      <alignment horizontal="center" vertical="center" wrapText="1"/>
    </xf>
    <xf numFmtId="16" fontId="23" fillId="0" borderId="1" xfId="4" applyNumberFormat="1" applyAlignment="1">
      <alignment horizontal="center" vertical="center" wrapText="1"/>
    </xf>
    <xf numFmtId="0" fontId="19" fillId="16" borderId="1" xfId="2" applyFont="1" applyFill="1" applyAlignment="1">
      <alignment horizontal="center" vertical="center" wrapText="1"/>
    </xf>
    <xf numFmtId="0" fontId="24" fillId="17" borderId="5" xfId="4" applyFont="1" applyFill="1" applyBorder="1" applyAlignment="1">
      <alignment horizontal="center" vertical="center" wrapText="1"/>
    </xf>
    <xf numFmtId="0" fontId="1" fillId="17" borderId="5" xfId="2" applyFill="1" applyBorder="1" applyAlignment="1">
      <alignment horizontal="center" vertical="center" wrapText="1"/>
    </xf>
    <xf numFmtId="0" fontId="19" fillId="23" borderId="1" xfId="2" applyFont="1" applyFill="1" applyAlignment="1">
      <alignment horizontal="center" vertical="center" wrapText="1"/>
    </xf>
    <xf numFmtId="0" fontId="14" fillId="11" borderId="0" xfId="0" applyFont="1" applyFill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7" fillId="8" borderId="2" xfId="0" applyFont="1" applyFill="1" applyBorder="1" applyAlignment="1">
      <alignment horizontal="left" vertical="center" wrapText="1"/>
    </xf>
    <xf numFmtId="1" fontId="15" fillId="8" borderId="2" xfId="0" applyNumberFormat="1" applyFont="1" applyFill="1" applyBorder="1" applyAlignment="1">
      <alignment horizontal="left" vertical="center" wrapText="1"/>
    </xf>
    <xf numFmtId="0" fontId="15" fillId="8" borderId="2" xfId="0" applyFont="1" applyFill="1" applyBorder="1" applyAlignment="1">
      <alignment horizontal="left" vertical="center" wrapText="1"/>
    </xf>
    <xf numFmtId="0" fontId="8" fillId="8" borderId="2" xfId="0" applyFont="1" applyFill="1" applyBorder="1" applyAlignment="1">
      <alignment horizontal="left" vertical="center" wrapText="1"/>
    </xf>
    <xf numFmtId="0" fontId="7" fillId="4" borderId="2" xfId="0" applyFont="1" applyFill="1" applyBorder="1" applyAlignment="1">
      <alignment horizontal="left" vertical="center" wrapText="1"/>
    </xf>
    <xf numFmtId="1" fontId="7" fillId="4" borderId="2" xfId="0" applyNumberFormat="1" applyFont="1" applyFill="1" applyBorder="1" applyAlignment="1">
      <alignment horizontal="left" vertical="center" wrapText="1"/>
    </xf>
    <xf numFmtId="1" fontId="15" fillId="4" borderId="2" xfId="0" applyNumberFormat="1" applyFont="1" applyFill="1" applyBorder="1" applyAlignment="1">
      <alignment horizontal="left" vertical="center" wrapText="1"/>
    </xf>
    <xf numFmtId="0" fontId="8" fillId="4" borderId="2" xfId="0" applyFont="1" applyFill="1" applyBorder="1" applyAlignment="1">
      <alignment horizontal="left" vertical="center" wrapText="1"/>
    </xf>
    <xf numFmtId="0" fontId="7" fillId="5" borderId="2" xfId="0" applyFont="1" applyFill="1" applyBorder="1" applyAlignment="1">
      <alignment horizontal="left" vertical="center" wrapText="1"/>
    </xf>
    <xf numFmtId="1" fontId="15" fillId="5" borderId="2" xfId="0" applyNumberFormat="1" applyFont="1" applyFill="1" applyBorder="1" applyAlignment="1">
      <alignment horizontal="left" vertical="center" wrapText="1"/>
    </xf>
    <xf numFmtId="0" fontId="15" fillId="5" borderId="2" xfId="0" applyFont="1" applyFill="1" applyBorder="1" applyAlignment="1">
      <alignment horizontal="left" vertical="center" wrapText="1"/>
    </xf>
    <xf numFmtId="0" fontId="8" fillId="5" borderId="2" xfId="0" applyFont="1" applyFill="1" applyBorder="1" applyAlignment="1">
      <alignment horizontal="left" vertical="center" wrapText="1"/>
    </xf>
    <xf numFmtId="0" fontId="7" fillId="6" borderId="2" xfId="0" applyFont="1" applyFill="1" applyBorder="1" applyAlignment="1">
      <alignment horizontal="left" vertical="center" wrapText="1"/>
    </xf>
    <xf numFmtId="1" fontId="15" fillId="6" borderId="2" xfId="0" applyNumberFormat="1" applyFont="1" applyFill="1" applyBorder="1" applyAlignment="1">
      <alignment horizontal="left" vertical="center" wrapText="1"/>
    </xf>
    <xf numFmtId="0" fontId="15" fillId="6" borderId="2" xfId="0" applyFont="1" applyFill="1" applyBorder="1" applyAlignment="1">
      <alignment horizontal="left" vertical="center" wrapText="1"/>
    </xf>
    <xf numFmtId="0" fontId="8" fillId="6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 wrapText="1"/>
    </xf>
    <xf numFmtId="1" fontId="15" fillId="7" borderId="2" xfId="0" applyNumberFormat="1" applyFont="1" applyFill="1" applyBorder="1" applyAlignment="1">
      <alignment horizontal="left" vertical="center" wrapText="1"/>
    </xf>
    <xf numFmtId="0" fontId="15" fillId="7" borderId="2" xfId="0" applyFont="1" applyFill="1" applyBorder="1" applyAlignment="1">
      <alignment horizontal="left" vertical="center" wrapText="1"/>
    </xf>
    <xf numFmtId="0" fontId="8" fillId="7" borderId="2" xfId="0" applyFont="1" applyFill="1" applyBorder="1" applyAlignment="1">
      <alignment horizontal="left" vertical="center" wrapText="1"/>
    </xf>
    <xf numFmtId="0" fontId="15" fillId="4" borderId="2" xfId="0" applyFont="1" applyFill="1" applyBorder="1" applyAlignment="1">
      <alignment horizontal="left" vertical="center" wrapText="1"/>
    </xf>
    <xf numFmtId="0" fontId="17" fillId="14" borderId="0" xfId="0" applyFont="1" applyFill="1" applyAlignment="1">
      <alignment horizontal="center" vertical="top" wrapText="1"/>
    </xf>
    <xf numFmtId="0" fontId="20" fillId="17" borderId="5" xfId="3" applyFont="1" applyFill="1" applyBorder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11" fillId="0" borderId="1" xfId="1" applyFont="1" applyBorder="1" applyAlignment="1">
      <alignment horizontal="center" vertical="center" wrapText="1"/>
    </xf>
    <xf numFmtId="0" fontId="18" fillId="15" borderId="3" xfId="0" applyFont="1" applyFill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1" fillId="0" borderId="0" xfId="1" applyFont="1" applyAlignment="1">
      <alignment horizontal="center" vertical="center" wrapText="1"/>
    </xf>
    <xf numFmtId="0" fontId="5" fillId="0" borderId="0" xfId="0" applyNumberFormat="1" applyFont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49" fontId="5" fillId="0" borderId="6" xfId="0" applyNumberFormat="1" applyFont="1" applyBorder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6" xfId="1" applyBorder="1" applyAlignment="1">
      <alignment horizontal="center" vertical="center" wrapText="1"/>
    </xf>
    <xf numFmtId="3" fontId="5" fillId="0" borderId="6" xfId="0" applyNumberFormat="1" applyFont="1" applyBorder="1" applyAlignment="1">
      <alignment horizontal="center" vertical="center" wrapText="1"/>
    </xf>
    <xf numFmtId="164" fontId="5" fillId="0" borderId="6" xfId="0" applyNumberFormat="1" applyFont="1" applyBorder="1" applyAlignment="1">
      <alignment horizontal="left" vertical="center" wrapText="1"/>
    </xf>
    <xf numFmtId="49" fontId="5" fillId="0" borderId="6" xfId="0" applyNumberFormat="1" applyFont="1" applyBorder="1" applyAlignment="1">
      <alignment horizontal="left" vertical="center" wrapText="1"/>
    </xf>
    <xf numFmtId="0" fontId="13" fillId="0" borderId="6" xfId="0" applyNumberFormat="1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6" xfId="1" applyFon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6" xfId="0" applyBorder="1"/>
    <xf numFmtId="0" fontId="0" fillId="0" borderId="6" xfId="0" applyBorder="1" applyAlignment="1">
      <alignment horizontal="left"/>
    </xf>
    <xf numFmtId="0" fontId="5" fillId="0" borderId="6" xfId="0" applyFont="1" applyBorder="1" applyAlignment="1">
      <alignment horizontal="center" vertical="center"/>
    </xf>
    <xf numFmtId="0" fontId="5" fillId="0" borderId="6" xfId="0" applyFont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 wrapText="1"/>
    </xf>
    <xf numFmtId="166" fontId="5" fillId="0" borderId="6" xfId="0" applyNumberFormat="1" applyFont="1" applyBorder="1" applyAlignment="1">
      <alignment horizontal="left" vertical="center" wrapText="1"/>
    </xf>
    <xf numFmtId="18" fontId="5" fillId="0" borderId="6" xfId="0" applyNumberFormat="1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6" xfId="1" applyFill="1" applyBorder="1" applyAlignment="1">
      <alignment horizontal="center" vertical="center" wrapText="1"/>
    </xf>
    <xf numFmtId="164" fontId="5" fillId="0" borderId="6" xfId="0" applyNumberFormat="1" applyFont="1" applyBorder="1" applyAlignment="1">
      <alignment horizontal="center" vertical="center" wrapText="1"/>
    </xf>
    <xf numFmtId="0" fontId="5" fillId="0" borderId="6" xfId="0" applyNumberFormat="1" applyFont="1" applyBorder="1" applyAlignment="1">
      <alignment horizontal="center" vertical="center" wrapText="1"/>
    </xf>
    <xf numFmtId="0" fontId="5" fillId="0" borderId="6" xfId="0" applyNumberFormat="1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5" fillId="0" borderId="6" xfId="1" applyFont="1" applyBorder="1" applyAlignment="1">
      <alignment horizontal="center" vertical="center" wrapText="1"/>
    </xf>
    <xf numFmtId="0" fontId="5" fillId="0" borderId="6" xfId="1" applyFont="1" applyFill="1" applyBorder="1" applyAlignment="1">
      <alignment horizontal="center" vertical="center" wrapText="1"/>
    </xf>
    <xf numFmtId="165" fontId="5" fillId="0" borderId="6" xfId="0" applyNumberFormat="1" applyFont="1" applyBorder="1" applyAlignment="1">
      <alignment horizontal="left" vertical="center"/>
    </xf>
  </cellXfs>
  <cellStyles count="5">
    <cellStyle name="Hyperlink" xfId="1" builtinId="8"/>
    <cellStyle name="Hyperlink 2" xfId="3" xr:uid="{7F593E7C-B0B4-4DD7-B4D1-D63F35187178}"/>
    <cellStyle name="Hyperlink 2 2" xfId="4" xr:uid="{429306B0-9608-4175-9D5A-0C14443AA9E0}"/>
    <cellStyle name="Normal" xfId="0" builtinId="0"/>
    <cellStyle name="Normal 2" xfId="2" xr:uid="{1CC83829-2A09-4A79-97F3-51D6BADC2BEB}"/>
  </cellStyles>
  <dxfs count="112"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4" formatCode="mm/dd/yyyy\ h:mm\ AM/PM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23" formatCode="h:mm\ am/pm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mm\ d\,\ yyyy"/>
      <alignment horizontal="left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23" formatCode="h:mm\ am/pm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mm\ d\,\ yyyy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\ h:mm\ AM/PM"/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0000"/>
      </font>
      <fill>
        <patternFill>
          <bgColor rgb="FFFFFF00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000000"/>
      </font>
      <fill>
        <patternFill>
          <bgColor rgb="FFFFFF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FFF2CC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8" formatCode="h:mm\ AM/PM"/>
      <alignment horizontal="left" vertical="center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4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mm\ d\,\ yyyy"/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dorama.sharepoint.com/sites/EmailMarketingTeam/Shared%20Documents/EMAIL%20PLANNING/2026/05-May/ADORAMA/2026%20Adorama%20May%20Email%20Calendar.xlsx" TargetMode="External"/><Relationship Id="rId1" Type="http://schemas.openxmlformats.org/officeDocument/2006/relationships/externalLinkPath" Target="https://adorama.sharepoint.com/sites/EmailMarketingTeam/Shared%20Documents/EMAIL%20PLANNING/2026/05-May/ADORAMA/2026%20Adorama%20May%20Email%20Calendar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dorama.sharepoint.com/sites/EmailMarketingTeam/Shared%20Documents/SMS%20Planning/2026/05-May/ADORAMA/2026%20Adorama%20May%20SMS%20Calendar.xlsx" TargetMode="External"/><Relationship Id="rId1" Type="http://schemas.openxmlformats.org/officeDocument/2006/relationships/externalLinkPath" Target="https://adorama.sharepoint.com/sites/EmailMarketingTeam/Shared%20Documents/SMS%20Planning/2026/05-May/ADORAMA/2026%20Adorama%20May%20SMS%20Calendar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dorama.sharepoint.com/sites/EmailMarketingTeam/Shared%20Documents/EMAIL%20PLANNING/2026/06-June/ADORAMA/2026%20Adorama%20June%20Email%20Calendar.xlsx" TargetMode="External"/><Relationship Id="rId1" Type="http://schemas.openxmlformats.org/officeDocument/2006/relationships/externalLinkPath" Target="https://adorama.sharepoint.com/sites/EmailMarketingTeam/Shared%20Documents/EMAIL%20PLANNING/2026/06-June/ADORAMA/2026%20Adorama%20June%20Email%20Calendar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dorama.sharepoint.com/sites/EmailMarketingTeam/Shared%20Documents/SMS%20Planning/2026/06-June/ADORAMA/2026%20Adorama%20June%20SMS%20Calendar.xlsx" TargetMode="External"/><Relationship Id="rId1" Type="http://schemas.openxmlformats.org/officeDocument/2006/relationships/externalLinkPath" Target="https://adorama.sharepoint.com/sites/EmailMarketingTeam/Shared%20Documents/SMS%20Planning/2026/06-June/ADORAMA/2026%20Adorama%20June%20SMS%20Calend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SMhbEN3-7kOxi7GsI7HjlVeC82wlwMRGrzKuzZWruHdWLQyJO6JIRbiWFWUKFGLh" itemId="01PTSFPL7GG52BUKHCW5AIVR54D3S25E65">
      <xxl21:absoluteUrl r:id="rId2"/>
    </xxl21:alternateUrls>
    <sheetNames>
      <sheetName val="2026 May Email Calendar"/>
      <sheetName val="2026 March Banner Placements"/>
      <sheetName val="2025 May Email Calendar "/>
      <sheetName val="2025 May Performance (AW)"/>
      <sheetName val="2025 May Email Revenue_Looker "/>
      <sheetName val="2024 May Email Revenue_Looker"/>
      <sheetName val="Notes"/>
      <sheetName val="2026 Adorama May Email Calendar"/>
    </sheetNames>
    <sheetDataSet>
      <sheetData sheetId="0">
        <row r="2">
          <cell r="B2" t="str">
            <v>Sunday</v>
          </cell>
          <cell r="C2" t="str">
            <v>Monday</v>
          </cell>
          <cell r="D2" t="str">
            <v>Tuesday</v>
          </cell>
          <cell r="E2" t="str">
            <v>Wednesday</v>
          </cell>
          <cell r="F2" t="str">
            <v>Thursday</v>
          </cell>
          <cell r="G2" t="str">
            <v>Friday</v>
          </cell>
          <cell r="H2" t="str">
            <v>Saturday</v>
          </cell>
        </row>
        <row r="3">
          <cell r="A3" t="str">
            <v>Wk. 18: April 26 – May 02</v>
          </cell>
          <cell r="G3">
            <v>46143</v>
          </cell>
          <cell r="H3">
            <v>46144</v>
          </cell>
        </row>
        <row r="5">
          <cell r="A5" t="str">
            <v>Wk. 19: May 03 – May 09</v>
          </cell>
          <cell r="B5">
            <v>46145</v>
          </cell>
          <cell r="C5">
            <v>46146</v>
          </cell>
          <cell r="D5">
            <v>46147</v>
          </cell>
          <cell r="E5">
            <v>46148</v>
          </cell>
          <cell r="F5">
            <v>46149</v>
          </cell>
          <cell r="G5">
            <v>46150</v>
          </cell>
          <cell r="H5">
            <v>46151</v>
          </cell>
        </row>
        <row r="7">
          <cell r="A7" t="str">
            <v>Wk. 20: May 10 – May 16</v>
          </cell>
          <cell r="B7">
            <v>46152</v>
          </cell>
          <cell r="C7">
            <v>46153</v>
          </cell>
          <cell r="D7">
            <v>46154</v>
          </cell>
          <cell r="E7">
            <v>46155</v>
          </cell>
          <cell r="F7">
            <v>46156</v>
          </cell>
          <cell r="G7">
            <v>46157</v>
          </cell>
          <cell r="H7">
            <v>46158</v>
          </cell>
        </row>
        <row r="9">
          <cell r="A9" t="str">
            <v>Wk. 21: May 17 – May 23</v>
          </cell>
          <cell r="B9">
            <v>46159</v>
          </cell>
          <cell r="C9">
            <v>46160</v>
          </cell>
          <cell r="D9">
            <v>46161</v>
          </cell>
          <cell r="E9">
            <v>46162</v>
          </cell>
          <cell r="F9">
            <v>46163</v>
          </cell>
          <cell r="G9">
            <v>46164</v>
          </cell>
          <cell r="H9">
            <v>46165</v>
          </cell>
        </row>
        <row r="11">
          <cell r="A11" t="str">
            <v>Wk. 22: May 24 – May 30</v>
          </cell>
          <cell r="B11">
            <v>46166</v>
          </cell>
          <cell r="C11">
            <v>46167</v>
          </cell>
          <cell r="D11">
            <v>46168</v>
          </cell>
          <cell r="E11">
            <v>46169</v>
          </cell>
          <cell r="F11">
            <v>46170</v>
          </cell>
          <cell r="G11">
            <v>46171</v>
          </cell>
          <cell r="H11">
            <v>46172</v>
          </cell>
        </row>
        <row r="13">
          <cell r="A13" t="str">
            <v>Wk. 23: May 31 – June 06</v>
          </cell>
          <cell r="B13">
            <v>46173</v>
          </cell>
        </row>
        <row r="16">
          <cell r="B16" t="str">
            <v>Events</v>
          </cell>
          <cell r="C16" t="str">
            <v>Promo</v>
          </cell>
          <cell r="D16"/>
          <cell r="E16" t="str">
            <v>Services</v>
          </cell>
          <cell r="F16" t="str">
            <v>PLCC &amp; Loyalty</v>
          </cell>
          <cell r="G16" t="str">
            <v>Promo</v>
          </cell>
          <cell r="H16" t="str">
            <v>Newsletters</v>
          </cell>
        </row>
      </sheetData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SMhbEN3-7kOxi7GsI7HjlVeC82wlwMRGrzKuzZWruHdWLQyJO6JIRbiWFWUKFGLh" itemId="01PTSFPL3NOWVBDUTAYNAKUFOK2KDVRQY4">
      <xxl21:absoluteUrl r:id="rId2"/>
    </xxl21:alternateUrls>
    <sheetNames>
      <sheetName val="2024 October Revenue (Looker)"/>
      <sheetName val="2026 May SMS Calendar"/>
      <sheetName val="2025 May SMS Calendar"/>
      <sheetName val="Looker Monthly Data"/>
      <sheetName val="Attentive_Campaign_Performance"/>
      <sheetName val="2025 SMS Performance"/>
      <sheetName val="2025 May SMS Financials(Looker)"/>
      <sheetName val="October 23 vs. 24 - Raw Data"/>
      <sheetName val="Notes"/>
      <sheetName val="SMS Performance"/>
      <sheetName val="2026 Adorama May SMS Calendar"/>
    </sheetNames>
    <sheetDataSet>
      <sheetData sheetId="0"/>
      <sheetData sheetId="1">
        <row r="2">
          <cell r="B2" t="str">
            <v>Sunday</v>
          </cell>
          <cell r="C2" t="str">
            <v>Monday</v>
          </cell>
          <cell r="D2" t="str">
            <v>Tuesday</v>
          </cell>
          <cell r="E2" t="str">
            <v>Wednesday</v>
          </cell>
          <cell r="F2" t="str">
            <v>Thursday</v>
          </cell>
          <cell r="G2" t="str">
            <v>Friday</v>
          </cell>
          <cell r="H2" t="str">
            <v>Saturday</v>
          </cell>
        </row>
        <row r="3">
          <cell r="A3" t="str">
            <v>Wk. 18: April 26 – May 02</v>
          </cell>
          <cell r="G3">
            <v>46143</v>
          </cell>
          <cell r="H3">
            <v>46144</v>
          </cell>
        </row>
        <row r="5">
          <cell r="A5" t="str">
            <v>Wk. 19: May 03 – May 09</v>
          </cell>
          <cell r="B5">
            <v>46145</v>
          </cell>
          <cell r="C5">
            <v>46146</v>
          </cell>
          <cell r="D5">
            <v>46147</v>
          </cell>
          <cell r="E5">
            <v>46148</v>
          </cell>
          <cell r="F5">
            <v>46149</v>
          </cell>
          <cell r="G5">
            <v>46150</v>
          </cell>
          <cell r="H5">
            <v>46151</v>
          </cell>
        </row>
        <row r="7">
          <cell r="A7" t="str">
            <v>Wk. 20: May 10 – May 16</v>
          </cell>
          <cell r="B7">
            <v>46152</v>
          </cell>
          <cell r="C7">
            <v>46153</v>
          </cell>
          <cell r="D7">
            <v>46154</v>
          </cell>
          <cell r="E7">
            <v>46155</v>
          </cell>
          <cell r="F7">
            <v>46156</v>
          </cell>
          <cell r="G7">
            <v>46157</v>
          </cell>
          <cell r="H7">
            <v>46158</v>
          </cell>
        </row>
        <row r="9">
          <cell r="A9" t="str">
            <v>Wk. 21: May 17 – May 23</v>
          </cell>
          <cell r="B9">
            <v>46159</v>
          </cell>
          <cell r="C9">
            <v>46160</v>
          </cell>
          <cell r="D9">
            <v>46161</v>
          </cell>
          <cell r="E9">
            <v>46162</v>
          </cell>
          <cell r="F9">
            <v>46163</v>
          </cell>
          <cell r="G9">
            <v>46164</v>
          </cell>
          <cell r="H9">
            <v>46165</v>
          </cell>
        </row>
        <row r="11">
          <cell r="A11" t="str">
            <v>Wk. 22: May 24 – May 30</v>
          </cell>
          <cell r="B11">
            <v>46166</v>
          </cell>
          <cell r="C11">
            <v>46167</v>
          </cell>
          <cell r="D11">
            <v>46168</v>
          </cell>
          <cell r="E11">
            <v>46169</v>
          </cell>
          <cell r="F11">
            <v>46170</v>
          </cell>
          <cell r="G11">
            <v>46171</v>
          </cell>
          <cell r="H11">
            <v>46172</v>
          </cell>
        </row>
        <row r="13">
          <cell r="A13" t="str">
            <v>Wk. 23: May 31 – June 06</v>
          </cell>
          <cell r="B13">
            <v>46173</v>
          </cell>
        </row>
        <row r="14">
          <cell r="B14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SMhbEN3-7kOxi7GsI7HjlVeC82wlwMRGrzKuzZWruHdWLQyJO6JIRbiWFWUKFGLh" itemId="01PTSFPL4SY7E25YZDINE2ZUXA3HXXNYOI">
      <xxl21:absoluteUrl r:id="rId2"/>
    </xxl21:alternateUrls>
    <sheetNames>
      <sheetName val="2026 June Email Calendar"/>
      <sheetName val="2026 March Banner Placements"/>
      <sheetName val="2025 June Email Calendar "/>
      <sheetName val="2025 June Performance (AW)"/>
      <sheetName val="2025 June Email Revenue_Looker "/>
      <sheetName val="Notes"/>
    </sheetNames>
    <sheetDataSet>
      <sheetData sheetId="0">
        <row r="2">
          <cell r="B2" t="str">
            <v>Sunday</v>
          </cell>
          <cell r="C2" t="str">
            <v>Monday</v>
          </cell>
          <cell r="D2" t="str">
            <v>Tuesday</v>
          </cell>
          <cell r="E2" t="str">
            <v>Wednesday</v>
          </cell>
          <cell r="F2" t="str">
            <v>Thursday</v>
          </cell>
          <cell r="G2" t="str">
            <v>Friday</v>
          </cell>
          <cell r="H2" t="str">
            <v>Saturday</v>
          </cell>
        </row>
        <row r="3">
          <cell r="A3" t="str">
            <v>Wk. 23: May 31 – June 06</v>
          </cell>
          <cell r="B3">
            <v>46173</v>
          </cell>
          <cell r="C3">
            <v>46174</v>
          </cell>
          <cell r="D3">
            <v>46175</v>
          </cell>
          <cell r="E3">
            <v>46176</v>
          </cell>
          <cell r="F3">
            <v>46177</v>
          </cell>
          <cell r="G3">
            <v>46178</v>
          </cell>
          <cell r="H3">
            <v>46179</v>
          </cell>
        </row>
        <row r="4">
          <cell r="C4" t="str">
            <v>Promo: 
Bundle &amp; Save
STO</v>
          </cell>
          <cell r="D4" t="str">
            <v>Loyalty: 
VIP Summary (Adorama - existing VIPs)
V1: VIP Rewards
V2: VIP Perks
V3: VIP PRO
STO</v>
          </cell>
          <cell r="E4" t="str">
            <v xml:space="preserve">Services: 
Open Box
STO
</v>
          </cell>
          <cell r="F4" t="str">
            <v>PLCC:
Open To Buy (targeted)
STO</v>
          </cell>
          <cell r="G4" t="str">
            <v>Promo: 
EM1: Gaming with Products
8AM
EM2: Weekend Deals with Products (video)
9AM
EM3: Weekend Deals with Products (photo + other categories)
10AM
NO EMAILS AFTER 8:00PM</v>
          </cell>
          <cell r="H4" t="str">
            <v>Newsletters:
Creators Huddle 
10PM
NO EMAILS BEFORE 9:40PM</v>
          </cell>
        </row>
        <row r="5">
          <cell r="A5" t="str">
            <v>Wk. 24: June 07 - June 13</v>
          </cell>
          <cell r="B5">
            <v>45815</v>
          </cell>
          <cell r="C5">
            <v>45816</v>
          </cell>
          <cell r="D5">
            <v>45817</v>
          </cell>
          <cell r="E5">
            <v>45818</v>
          </cell>
          <cell r="F5">
            <v>45819</v>
          </cell>
          <cell r="G5">
            <v>45820</v>
          </cell>
          <cell r="H5">
            <v>45821</v>
          </cell>
        </row>
        <row r="6">
          <cell r="B6" t="str">
            <v>Event: 
JK x ADORAMA NYC WORKSHOP
Targeted to New York metropolitan area (tri-state area)
STO
In-Stock:
Sony ISOA7R6
STO</v>
          </cell>
          <cell r="C6" t="str">
            <v>Promo: 
Photo Rebates with Products
STO</v>
          </cell>
          <cell r="D6" t="str">
            <v>Newsletter:
Store (include Sunday's event)
STO
NPA:
Insta360 Luna Ultra Gimbal Camera</v>
          </cell>
          <cell r="E6" t="str">
            <v xml:space="preserve">Services:
Private Brands (include Sunday's event)
STO
</v>
          </cell>
          <cell r="F6" t="str">
            <v>Loyalty: 
EM1: Non Member Acquisition
STO
EM2: 1,000 Points Card Member Reminder
STO</v>
          </cell>
          <cell r="G6" t="str">
            <v>Promo: 
EM1: Father's Day
8AM
EM2: Photo Rebates Resend
(targeting: people who received 6/8/26 Photo Rebates, opened them, but did not buy)
3PM
NO EMAILS AFTER 8:05PM</v>
          </cell>
          <cell r="H6" t="str">
            <v>Newsletter: 
Photo (supporting FIFA World Cup 2026)
10PM
NO EMAILS BEFORE 9:45PM</v>
          </cell>
        </row>
        <row r="7">
          <cell r="A7" t="str">
            <v>Wk. 25: June 14 - June 20</v>
          </cell>
          <cell r="B7">
            <v>45822</v>
          </cell>
          <cell r="C7">
            <v>45823</v>
          </cell>
          <cell r="D7">
            <v>45824</v>
          </cell>
          <cell r="E7">
            <v>45825</v>
          </cell>
          <cell r="F7">
            <v>45826</v>
          </cell>
          <cell r="G7">
            <v>45827</v>
          </cell>
          <cell r="H7">
            <v>45828</v>
          </cell>
        </row>
        <row r="8">
          <cell r="B8" t="str">
            <v>Event:
EM1: FIFA World Cup 2026
9AM
EM2: ABS Giveaway
10AM</v>
          </cell>
          <cell r="C8" t="str">
            <v>EM1: NPA:
Leica 
9AM
EM1: 24-Hour Sale
7AM</v>
          </cell>
          <cell r="D8"/>
          <cell r="E8" t="str">
            <v>Services:
Trade
STO</v>
          </cell>
          <cell r="F8" t="str">
            <v>PLCC: 
Adorama Brands (Coupon email for cardmembers - targeted)
STO</v>
          </cell>
          <cell r="G8" t="str">
            <v>Promo: 
Warehouse Sale
8AM
NO EMAILS AFTER 8:07PM</v>
          </cell>
          <cell r="H8" t="str">
            <v>Newsletter:
Video
10PM
NO EMAILS BEFORE 9:50PM</v>
          </cell>
        </row>
        <row r="9">
          <cell r="A9" t="str">
            <v>Wk. 26: June 21 - June 27</v>
          </cell>
          <cell r="B9">
            <v>45829</v>
          </cell>
          <cell r="C9">
            <v>45830</v>
          </cell>
          <cell r="D9">
            <v>45831</v>
          </cell>
          <cell r="E9">
            <v>45832</v>
          </cell>
          <cell r="F9">
            <v>45833</v>
          </cell>
          <cell r="G9">
            <v>45834</v>
          </cell>
          <cell r="H9">
            <v>45835</v>
          </cell>
        </row>
        <row r="10">
          <cell r="B10" t="str">
            <v>Events: 
Lighting for Narrative Cinematography
Date: Wednesday, June 24th · 5pm - 6pm ET
OnSet with Daniel Norton: Portraits with a Point and Shoot
Date: Thursday, June 25th · 5 - 6pm ET</v>
          </cell>
          <cell r="C10" t="str">
            <v>Promo: 
EM1. Top Deals (Photo) with Products
EM2. Top Deals (cross category) with Products
EM3: Top Deals (Lighting &amp; Studio) with Products</v>
          </cell>
          <cell r="D10" t="str">
            <v>Promo: 
Summer Cyber Sale
STO</v>
          </cell>
          <cell r="E10" t="str">
            <v xml:space="preserve">Services: 
EM1: EDU with products (8AM)
EM2: Used with products (9AM)
</v>
          </cell>
          <cell r="F10" t="str">
            <v>EM1: PLCC: 
1,000 points new cardmember reminder - 30 15 days out (targeted)
STO
EM2: Summer Save w/ Products (Lighting &amp; Studio)</v>
          </cell>
          <cell r="G10" t="str">
            <v>Promo: 
Weekend Deals (cross category)
Summer Cyber Sale LC
9AM
NO EMAILS AFTER 8:10PM</v>
          </cell>
          <cell r="H10" t="str">
            <v>Newsletter: 
Creators Huddle
10PM
NO EMAILS BEFORE 9:50PM</v>
          </cell>
        </row>
        <row r="11">
          <cell r="A11" t="str">
            <v>Wk. 27: June 28 - July 04</v>
          </cell>
          <cell r="B11">
            <v>45836</v>
          </cell>
          <cell r="C11">
            <v>45837</v>
          </cell>
          <cell r="D11">
            <v>45838</v>
          </cell>
          <cell r="E11">
            <v>45839</v>
          </cell>
          <cell r="F11">
            <v>45840</v>
          </cell>
          <cell r="G11">
            <v>45841</v>
          </cell>
          <cell r="H11">
            <v>45842</v>
          </cell>
        </row>
        <row r="12">
          <cell r="B12" t="str">
            <v xml:space="preserve">Events:
Agreeable Strangers: From Passion Project to Published Book with Charles Chessler
Date: Wednesday, July 1st · 5pm - 6pm ET
Agreeable Strangers: From Passion Project to Published Book with Charles Chessler
Date: Wednesday, July 1st · 5pm - 6pm ET
</v>
          </cell>
          <cell r="C12" t="str">
            <v>July 4th Sale Launch (products + Categories)
STO</v>
          </cell>
          <cell r="D12"/>
          <cell r="E12" t="str">
            <v>EM1: July 4th Sale Going on Now (Brands and categories)
STO
EM2: 4th of July w/ Products - lightning &amp; studio</v>
          </cell>
          <cell r="F12"/>
          <cell r="G12" t="str">
            <v>July 4th Sale Ends Tomorrow (with Products and categories + countdown timer)
8AM
NO EMAILS AFTER 8:10PM</v>
          </cell>
          <cell r="H12" t="str">
            <v>July 4th Sale (Products and Brands)
10PM
NO EMAILS BEFORE 9:50PM</v>
          </cell>
        </row>
        <row r="15">
          <cell r="B15" t="str">
            <v>Events</v>
          </cell>
          <cell r="C15" t="str">
            <v>Promo</v>
          </cell>
          <cell r="D15"/>
          <cell r="E15" t="str">
            <v>Services</v>
          </cell>
          <cell r="F15" t="str">
            <v>PLCC &amp; Loyalty</v>
          </cell>
          <cell r="G15" t="str">
            <v>Promo</v>
          </cell>
          <cell r="H15" t="str">
            <v>Newsletters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SMhbEN3-7kOxi7GsI7HjlVeC82wlwMRGrzKuzZWruHdWLQyJO6JIRbiWFWUKFGLh" itemId="01PTSFPL6KGPRAQZEIHVAKJDVP25LDMW4T">
      <xxl21:absoluteUrl r:id="rId2"/>
    </xxl21:alternateUrls>
    <sheetNames>
      <sheetName val="2024 October Revenue (Looker)"/>
      <sheetName val="2026 June SMS Calendar"/>
      <sheetName val="2025 June SMS Calendar"/>
      <sheetName val="Looker Monthly Data"/>
      <sheetName val="Attentive_Campaign_Performance"/>
      <sheetName val="2025 SMS Performance"/>
      <sheetName val="2025 JuneSMS Financials(Looker)"/>
      <sheetName val="October 23 vs. 24 - Raw Data"/>
      <sheetName val="Notes"/>
    </sheetNames>
    <sheetDataSet>
      <sheetData sheetId="0"/>
      <sheetData sheetId="1">
        <row r="2">
          <cell r="B2" t="str">
            <v>Sunday</v>
          </cell>
          <cell r="C2" t="str">
            <v>Monday</v>
          </cell>
          <cell r="D2" t="str">
            <v>Tuesday</v>
          </cell>
          <cell r="E2" t="str">
            <v>Wednesday</v>
          </cell>
          <cell r="F2" t="str">
            <v>Thursday</v>
          </cell>
          <cell r="G2" t="str">
            <v>Friday</v>
          </cell>
          <cell r="H2" t="str">
            <v>Saturday</v>
          </cell>
        </row>
        <row r="3">
          <cell r="A3" t="str">
            <v>Wk. 23: May 31 – June 06</v>
          </cell>
          <cell r="B3">
            <v>46173</v>
          </cell>
          <cell r="C3">
            <v>46174</v>
          </cell>
          <cell r="D3">
            <v>46175</v>
          </cell>
          <cell r="E3">
            <v>46176</v>
          </cell>
          <cell r="F3">
            <v>46177</v>
          </cell>
          <cell r="G3">
            <v>46178</v>
          </cell>
          <cell r="H3">
            <v>46179</v>
          </cell>
        </row>
        <row r="4">
          <cell r="B4" t="str">
            <v xml:space="preserve">Event: 
JK x ADORAMA NYC WORKSHOP
Targeted to New York metropolitan area (tri-state area)
11AM Local
</v>
          </cell>
          <cell r="C4" t="str">
            <v>Services: 
Open Box
11AM Local</v>
          </cell>
          <cell r="D4"/>
          <cell r="E4"/>
          <cell r="F4"/>
          <cell r="G4" t="str">
            <v>SMS1: Top Deals
11AM Local
SMS : In-Stock: Sony ISOA746
3:45PM Local
NO EMAILS AFTER 8:00PM</v>
          </cell>
          <cell r="H4" t="str">
            <v xml:space="preserve">
NO EMAILS BEFORE 9:40PM</v>
          </cell>
        </row>
        <row r="5">
          <cell r="A5" t="str">
            <v>Wk. 24: June 07 - June 13</v>
          </cell>
          <cell r="B5">
            <v>45815</v>
          </cell>
          <cell r="C5">
            <v>45816</v>
          </cell>
          <cell r="D5">
            <v>45817</v>
          </cell>
          <cell r="E5">
            <v>45818</v>
          </cell>
          <cell r="F5">
            <v>45819</v>
          </cell>
          <cell r="G5">
            <v>45820</v>
          </cell>
          <cell r="H5">
            <v>45821</v>
          </cell>
        </row>
        <row r="6">
          <cell r="B6" t="str">
            <v>Event: 
JK x ADORAMA NYC WORKSHOP
Targeted to New York metropolitan area (tri-state area)
11AM Local
In-Stock:
Sony ISOA746
11:30AM Local</v>
          </cell>
          <cell r="C6" t="str">
            <v>Promo: 
Photo Rebates with Products
11AM Local</v>
          </cell>
          <cell r="D6"/>
          <cell r="E6" t="str">
            <v>NPA:
Skyrover Drone with smart remotes
In Stock
11AM</v>
          </cell>
          <cell r="F6"/>
          <cell r="G6" t="str">
            <v>Promo: 
Father's Day
11AM Local
NO EMAILS AFTER 8:05PM</v>
          </cell>
          <cell r="H6" t="str">
            <v>NO EMAILS BEFORE 9:45PM</v>
          </cell>
        </row>
        <row r="7">
          <cell r="A7" t="str">
            <v>Wk. 25: June 14 - June 20</v>
          </cell>
          <cell r="B7">
            <v>45822</v>
          </cell>
          <cell r="C7">
            <v>45823</v>
          </cell>
          <cell r="D7">
            <v>45824</v>
          </cell>
          <cell r="E7">
            <v>45825</v>
          </cell>
          <cell r="F7">
            <v>45826</v>
          </cell>
          <cell r="G7">
            <v>45827</v>
          </cell>
          <cell r="H7">
            <v>45828</v>
          </cell>
        </row>
        <row r="8">
          <cell r="B8"/>
          <cell r="C8" t="str">
            <v xml:space="preserve">EM1: NPA:
Leica 
9AM
</v>
          </cell>
          <cell r="D8"/>
          <cell r="E8" t="str">
            <v>Services:
Trade
STO</v>
          </cell>
          <cell r="F8"/>
          <cell r="G8" t="str">
            <v>Promo: 
Warehouse Sale
11AM Local
NO EMAILS AFTER 8:07PM</v>
          </cell>
          <cell r="H8" t="str">
            <v xml:space="preserve">
NO EMAILS BEFORE 9:50PM</v>
          </cell>
        </row>
        <row r="9">
          <cell r="A9" t="str">
            <v>Wk. 26: June 21 - June 27</v>
          </cell>
          <cell r="B9">
            <v>45829</v>
          </cell>
          <cell r="C9">
            <v>45830</v>
          </cell>
          <cell r="D9">
            <v>45831</v>
          </cell>
          <cell r="E9">
            <v>45832</v>
          </cell>
          <cell r="F9">
            <v>45833</v>
          </cell>
          <cell r="G9">
            <v>45834</v>
          </cell>
          <cell r="H9">
            <v>45835</v>
          </cell>
        </row>
        <row r="10">
          <cell r="B10" t="str">
            <v>Events: 
Lighting for Narrative Cinematography
Date: Wednesday, June 24th · 5pm - 6pm ET
OnSet with Daniel Norton: Portraits with a Point and Shoot
Date: Thursday, June 25th · 5 - 6pm ET
11AM Local</v>
          </cell>
          <cell r="C10" t="str">
            <v xml:space="preserve">Promo: 
Photo Top Deals with Products
11AM Local
</v>
          </cell>
          <cell r="D10"/>
          <cell r="E10" t="str">
            <v xml:space="preserve">Services: 
Used with products
11AM Local
</v>
          </cell>
          <cell r="F10"/>
          <cell r="G10" t="str">
            <v>Promo: 
Weekend Deals (cross category)
11AM Local
NO EMAILS AFTER 8:10PM</v>
          </cell>
          <cell r="H10" t="str">
            <v>NO EMAILS BEFORE 9:50PM</v>
          </cell>
        </row>
        <row r="11">
          <cell r="A11" t="str">
            <v>Wk. 27: June 28 - July 04</v>
          </cell>
          <cell r="B11">
            <v>11</v>
          </cell>
          <cell r="C11">
            <v>45837</v>
          </cell>
          <cell r="D11">
            <v>45838</v>
          </cell>
          <cell r="E11">
            <v>45839</v>
          </cell>
          <cell r="F11">
            <v>45840</v>
          </cell>
          <cell r="G11">
            <v>45841</v>
          </cell>
          <cell r="H11">
            <v>45842</v>
          </cell>
        </row>
        <row r="12">
          <cell r="B12" t="str">
            <v>Events:
Agreeable Strangers: From Passion Project to Published Book with Charles Chessler
Date: Wednesday, July 1st · 5pm - 6pm ET
Agreeable Strangers: From Passion Project to Published Book with Charles Chessler
Date: Wednesday, July 1st · 5pm - 6pm ET
11AM Local</v>
          </cell>
          <cell r="C12" t="str">
            <v>July 4th Sale Launch (products + Categories)
11AM Local</v>
          </cell>
          <cell r="D12"/>
          <cell r="E12"/>
          <cell r="F12"/>
          <cell r="G12" t="str">
            <v>July 4th Sale 
11AM Local
NO EMAILS AFTER 8:10PM</v>
          </cell>
          <cell r="H12" t="str">
            <v>NO EMAILS BEFORE 9:50PM</v>
          </cell>
        </row>
        <row r="15">
          <cell r="B15" t="str">
            <v>Events</v>
          </cell>
          <cell r="C15" t="str">
            <v>Promo</v>
          </cell>
          <cell r="D15"/>
          <cell r="E15" t="str">
            <v>Services</v>
          </cell>
          <cell r="F15" t="str">
            <v>PLCC &amp; Loyalty</v>
          </cell>
          <cell r="G15" t="str">
            <v>Promo</v>
          </cell>
          <cell r="H15" t="str">
            <v>Newsletters</v>
          </cell>
        </row>
      </sheetData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11" dataDxfId="110" totalsRowDxfId="109">
  <tableColumns count="12">
    <tableColumn id="1" xr3:uid="{00000000-0010-0000-0100-000001000000}" name="Send Date" dataDxfId="108">
      <calculatedColumnFormula array="1">IFERROR(INDEX(_xlfn.ANCHORARRAY($AA$11),ROW()-10,1),"")</calculatedColumnFormula>
    </tableColumn>
    <tableColumn id="2" xr3:uid="{00000000-0010-0000-0100-000002000000}" name="Time" dataDxfId="90">
      <calculatedColumnFormula array="1">IFERROR(INDEX(_xlfn.ANCHORARRAY($AA$11),ROW()-10,2),"")</calculatedColumnFormula>
    </tableColumn>
    <tableColumn id="3" xr3:uid="{00000000-0010-0000-0100-000003000000}" name="Channel" dataDxfId="89">
      <calculatedColumnFormula array="1">IFERROR(INDEX(_xlfn.ANCHORARRAY($AA$11),ROW()-10,3),"")</calculatedColumnFormula>
    </tableColumn>
    <tableColumn id="4" xr3:uid="{00000000-0010-0000-0100-000004000000}" name="Campaign" dataDxfId="88">
      <calculatedColumnFormula array="1">IFERROR(INDEX(_xlfn.ANCHORARRAY($AA$11),ROW()-10,4),"")</calculatedColumnFormula>
    </tableColumn>
    <tableColumn id="5" xr3:uid="{00000000-0010-0000-0100-000005000000}" name="Type" dataDxfId="82">
      <calculatedColumnFormula array="1">IFERROR(INDEX(_xlfn.ANCHORARRAY($AA$11),ROW()-10,5),"")</calculatedColumnFormula>
    </tableColumn>
    <tableColumn id="6" xr3:uid="{00000000-0010-0000-0100-000006000000}" name="Stage" dataDxfId="80">
      <calculatedColumnFormula array="1">IFERROR(INDEX(_xlfn.ANCHORARRAY($AA$11),ROW()-10,6),"")</calculatedColumnFormula>
    </tableColumn>
    <tableColumn id="7" xr3:uid="{00000000-0010-0000-0100-000007000000}" name="Owner" dataDxfId="81">
      <calculatedColumnFormula array="1">IFERROR(INDEX(_xlfn.ANCHORARRAY($AA$11),ROW()-10,7),"")</calculatedColumnFormula>
    </tableColumn>
    <tableColumn id="8" xr3:uid="{00000000-0010-0000-0100-000008000000}" name="Approval" dataDxfId="87">
      <calculatedColumnFormula array="1">IFERROR(INDEX(_xlfn.ANCHORARRAY($AA$11),ROW()-10,8),"")</calculatedColumnFormula>
    </tableColumn>
    <tableColumn id="9" xr3:uid="{00000000-0010-0000-0100-000009000000}" name="Segments" dataDxfId="86">
      <calculatedColumnFormula array="1">IFERROR(INDEX(_xlfn.ANCHORARRAY($AA$11),ROW()-10,9),"")</calculatedColumnFormula>
    </tableColumn>
    <tableColumn id="10" xr3:uid="{00000000-0010-0000-0100-00000A000000}" name="Jira" dataDxfId="85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84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83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W3" headerRowDxfId="107" dataDxfId="78" totalsRowDxfId="106">
  <autoFilter ref="A1:W3" xr:uid="{00000000-000C-0000-FFFF-FFFF00000000}"/>
  <tableColumns count="23">
    <tableColumn id="2" xr3:uid="{00000000-0010-0000-0000-000002000000}" name="Send Date" dataDxfId="24"/>
    <tableColumn id="3" xr3:uid="{00000000-0010-0000-0000-000003000000}" name="Send Time" dataDxfId="23"/>
    <tableColumn id="4" xr3:uid="{00000000-0010-0000-0000-000004000000}" name="Campaign Name" dataDxfId="22"/>
    <tableColumn id="5" xr3:uid="{00000000-0010-0000-0000-000005000000}" name="Campaign Type" dataDxfId="21"/>
    <tableColumn id="6" xr3:uid="{00000000-0010-0000-0000-000006000000}" name="Current Stage" dataDxfId="79">
      <calculatedColumnFormula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calculatedColumnFormula>
    </tableColumn>
    <tableColumn id="7" xr3:uid="{00000000-0010-0000-0000-000007000000}" name="Owner" dataDxfId="40"/>
    <tableColumn id="1" xr3:uid="{B2077B23-1D1A-459D-9583-F63147D6D936}" name="Campaign Name and UTM Parameter (Source Code)" dataDxfId="39"/>
    <tableColumn id="8" xr3:uid="{63A16BD6-6B10-4AD5-B57D-B92EA2935F36}" name="Creative Brief, SL &amp; PH" dataDxfId="38"/>
    <tableColumn id="9" xr3:uid="{23EAD37F-5B0E-461E-85FF-0AAFD24BAA68}" name="SKUs" dataDxfId="37"/>
    <tableColumn id="10" xr3:uid="{9640EB9F-78BB-44D9-B70D-05FDE06036E4}" name="In-Design" dataDxfId="36"/>
    <tableColumn id="11" xr3:uid="{ADDF4395-0E99-41A9-BED7-3DBCF6006F91}" name="Build, QA" dataDxfId="35"/>
    <tableColumn id="12" xr3:uid="{6DF2B722-97C3-4902-87DE-A2A9727C8024}" name="Route" dataDxfId="34"/>
    <tableColumn id="14" xr3:uid="{2C5B824E-A4DE-4EA9-87E9-7663BB92F9D4}" name="Approval" dataDxfId="33"/>
    <tableColumn id="15" xr3:uid="{4CE14FFB-3FFB-4445-B89C-5D3C3D24D6C0}" name="Segments" dataDxfId="32"/>
    <tableColumn id="22" xr3:uid="{A8BEA7EB-5815-4C39-93F0-EE8E15E2EF00}" name="Scheduled" dataDxfId="31"/>
    <tableColumn id="17" xr3:uid="{00000000-0010-0000-0000-000011000000}" name="Jira Link" dataDxfId="30"/>
    <tableColumn id="18" xr3:uid="{00000000-0010-0000-0000-000012000000}" name="ClickUp Link" dataDxfId="29"/>
    <tableColumn id="19" xr3:uid="{00000000-0010-0000-0000-000013000000}" name="Bluecore/Attentive Link" dataDxfId="28"/>
    <tableColumn id="20" xr3:uid="{00000000-0010-0000-0000-000014000000}" name="Est. Audience" dataDxfId="20"/>
    <tableColumn id="21" xr3:uid="{00000000-0010-0000-0000-000015000000}" name="Delivered" dataDxfId="19"/>
    <tableColumn id="23" xr3:uid="{00000000-0010-0000-0000-000017000000}" name="Last Updated" dataDxfId="27"/>
    <tableColumn id="13" xr3:uid="{6717C158-5D55-49BD-B0A1-8EF5E6BE7E59}" name="Last Updated By" dataDxfId="26"/>
    <tableColumn id="16" xr3:uid="{45C4D116-AEA5-4484-9652-2029E5D3A263}" name="Notes" dataDxfId="25" totalsRowDxfId="10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3" totalsRowShown="0" headerRowDxfId="0" dataDxfId="77">
  <autoFilter ref="A1:R3" xr:uid="{5BA5B085-3B5F-4682-B501-752F9044F617}"/>
  <tableColumns count="18">
    <tableColumn id="1" xr3:uid="{A00F9C46-9585-47C9-83D4-D97802A976D5}" name="Send Date" dataDxfId="18"/>
    <tableColumn id="2" xr3:uid="{FA54A5FD-1AB7-4749-AF9C-A820CCD54864}" name="Send Time" dataDxfId="17"/>
    <tableColumn id="3" xr3:uid="{D8232C60-1B45-4E39-B4FB-F7D15854588A}" name="Campaign Name" dataDxfId="16"/>
    <tableColumn id="4" xr3:uid="{488CC129-7AB9-4CDE-A0F4-708CCF476FDC}" name="Campaign Type" dataDxfId="15"/>
    <tableColumn id="5" xr3:uid="{60402621-821D-4B42-BBBF-04ECD600240D}" name="Current Stage" dataDxfId="14">
      <calculatedColumnFormula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calculatedColumnFormula>
    </tableColumn>
    <tableColumn id="6" xr3:uid="{BCB79FBA-6E48-4196-9FCA-87C1D34838D7}" name="Owner" dataDxfId="13"/>
    <tableColumn id="7" xr3:uid="{C602E6A7-154A-4913-82F7-B1297F8FB4AA}" name="Send SMS Options" dataDxfId="12"/>
    <tableColumn id="8" xr3:uid="{050AA88E-4FCE-418E-B3E4-7BADF355F594}" name="Send Test" dataDxfId="11"/>
    <tableColumn id="9" xr3:uid="{CD7DB146-3A9F-407E-8AE2-FB08A35D3255}" name="Approval" dataDxfId="10"/>
    <tableColumn id="10" xr3:uid="{85A3C652-A90B-4131-9C59-60C896B66276}" name="Segments" dataDxfId="9"/>
    <tableColumn id="12" xr3:uid="{B909552C-CA83-4199-92AA-EFB388041D01}" name="Scheduled" dataDxfId="8"/>
    <tableColumn id="11" xr3:uid="{E3A201AA-BB4D-46BF-87B3-3EC3AB5D84A8}" name="Proof of Schedule" dataDxfId="7"/>
    <tableColumn id="13" xr3:uid="{F3B86E58-9B1C-4BE7-ACD4-4A17ABF9CF1F}" name="Bluecore/Attentive Link" dataDxfId="6"/>
    <tableColumn id="14" xr3:uid="{AB05A972-8E88-4F0F-A2C0-E592CA11CF69}" name="Est. Audience" dataDxfId="5"/>
    <tableColumn id="15" xr3:uid="{031FC6D8-9EA2-4822-8ABB-1D691F532C78}" name="Delivered" dataDxfId="4"/>
    <tableColumn id="16" xr3:uid="{677491C6-5902-44D9-B11E-9456715084CA}" name="Last Updated" dataDxfId="3"/>
    <tableColumn id="17" xr3:uid="{D2166D60-5145-4BCB-A4C1-8E83A65F8013}" name="Last Updated By" dataDxfId="2"/>
    <tableColumn id="18" xr3:uid="{98F5A958-53CF-45DE-B03D-F670270697A7}" name="Notes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74C8796-6395-4023-80D8-CB223332D199}" name="NotesTable" displayName="NotesTable" ref="A3:E23" totalsRowShown="0" headerRowDxfId="104" dataDxfId="103">
  <autoFilter ref="A3:E23" xr:uid="{674C8796-6395-4023-80D8-CB223332D199}"/>
  <tableColumns count="5">
    <tableColumn id="1" xr3:uid="{ACC447B7-B4CB-4310-9526-2FE0A57B8153}" name="Component" dataDxfId="102"/>
    <tableColumn id="2" xr3:uid="{2C10868E-263C-4082-B69F-1C3B3CEC92F1}" name="Action" dataDxfId="101"/>
    <tableColumn id="3" xr3:uid="{06ED23B8-5E15-4D44-898E-A555387CA8E4}" name="How It Works" dataDxfId="100"/>
    <tableColumn id="4" xr3:uid="{A358AA79-C726-4147-B64A-4413618152C4}" name="Required / Avoid" dataDxfId="99"/>
    <tableColumn id="5" xr3:uid="{3BEA5CCB-AC18-4969-B704-9A5AD38E2B1B}" name="Compatibility Notes" dataDxfId="98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6" headerRowDxfId="97" dataDxfId="96" totalsRowDxfId="95">
  <tableColumns count="4">
    <tableColumn id="1" xr3:uid="{00000000-0010-0000-0300-000001000000}" name="Timestamp" dataDxfId="94"/>
    <tableColumn id="2" xr3:uid="{00000000-0010-0000-0300-000002000000}" name="User" dataDxfId="93"/>
    <tableColumn id="3" xr3:uid="{00000000-0010-0000-0300-000003000000}" name="Action" dataDxfId="92"/>
    <tableColumn id="4" xr3:uid="{00000000-0010-0000-0300-000004000000}" name="Details" dataDxfId="9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table" Target="../tables/table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adorama.sharepoint.com/:x:/r/sites/EmailMarketingTeam/_layouts/15/Doc.aspx?sourcedoc=%7B08E233CA-8864-403D-A48E-AFD756365B93%7D&amp;file=2026%20Adorama%20June%20SMS%20Calendar.xlsx&amp;action=default&amp;mobileredirect=true" TargetMode="External"/><Relationship Id="rId1" Type="http://schemas.openxmlformats.org/officeDocument/2006/relationships/hyperlink" Target="https://adorama.sharepoint.com/:x:/r/sites/EmailMarketingTeam/_layouts/15/Doc.aspx?sourcedoc=%7BAEC9C792-23E3-4943-ACD2-E0D9EF76E1C8%7D&amp;file=2026%20Adorama%20June%20Email%20Calendar.xlsx&amp;action=default&amp;mobileredirect=tru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zoomScale="90" zoomScaleNormal="90" workbookViewId="0">
      <selection activeCell="E24" sqref="E24"/>
    </sheetView>
  </sheetViews>
  <sheetFormatPr defaultRowHeight="15"/>
  <cols>
    <col min="1" max="1" width="28.625" style="27" customWidth="1"/>
    <col min="2" max="2" width="24.625" style="27" customWidth="1"/>
    <col min="3" max="3" width="15.625" style="27" customWidth="1"/>
    <col min="4" max="4" width="32.625" style="27" customWidth="1"/>
    <col min="5" max="5" width="14.625" style="27" customWidth="1"/>
    <col min="6" max="6" width="42.625" style="15" customWidth="1"/>
    <col min="7" max="7" width="16.625" style="27" customWidth="1"/>
    <col min="8" max="9" width="12.625" style="27" customWidth="1"/>
    <col min="10" max="12" width="11.625" style="27" customWidth="1"/>
    <col min="13" max="13" width="9" style="3"/>
    <col min="14" max="14" width="11.875" style="3" bestFit="1" customWidth="1"/>
    <col min="15" max="15" width="11.625" style="3" bestFit="1" customWidth="1"/>
    <col min="16" max="16" width="10.625" style="3" bestFit="1" customWidth="1"/>
    <col min="17" max="17" width="17.25" style="3" bestFit="1" customWidth="1"/>
    <col min="18" max="18" width="9.625" style="3" customWidth="1"/>
    <col min="19" max="26" width="9" style="1"/>
    <col min="27" max="38" width="0" style="1" hidden="1" customWidth="1"/>
    <col min="39" max="16384" width="9" style="1"/>
  </cols>
  <sheetData>
    <row r="1" spans="1:38" ht="26.25" customHeight="1">
      <c r="A1" s="57" t="s">
        <v>3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7"/>
      <c r="P1" s="7"/>
      <c r="Q1" s="7"/>
      <c r="R1" s="7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5" customHeight="1">
      <c r="A2" s="58" t="s">
        <v>4</v>
      </c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/>
      <c r="P2"/>
      <c r="Q2"/>
      <c r="R2"/>
      <c r="S2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</row>
    <row r="3" spans="1:38">
      <c r="A3" s="12" t="s">
        <v>5</v>
      </c>
      <c r="B3" s="12" t="str">
        <f ca="1">TEXT(NOW(),"m/d/yyyy h:mm AM/PM")</f>
        <v>6/16/2026 12:03 am</v>
      </c>
      <c r="C3" s="13" t="s">
        <v>6</v>
      </c>
      <c r="D3" s="14" t="str">
        <f>$AA$3</f>
        <v>Kim Chim</v>
      </c>
      <c r="E3" s="15"/>
      <c r="G3" s="15"/>
      <c r="H3" s="15"/>
      <c r="I3" s="15"/>
      <c r="J3" s="15"/>
      <c r="K3" s="15"/>
      <c r="L3" s="15"/>
      <c r="M3" s="7"/>
      <c r="N3"/>
      <c r="O3"/>
      <c r="P3"/>
      <c r="Q3"/>
      <c r="R3"/>
      <c r="S3"/>
      <c r="T3" s="6"/>
      <c r="U3" s="6"/>
      <c r="V3" s="6"/>
      <c r="W3" s="6"/>
      <c r="X3" s="6"/>
      <c r="Y3" s="6"/>
      <c r="Z3" s="6"/>
      <c r="AA3" s="6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1:38">
      <c r="A4" s="65" t="s">
        <v>7</v>
      </c>
      <c r="B4" s="66"/>
      <c r="C4" s="69" t="s">
        <v>8</v>
      </c>
      <c r="D4" s="69"/>
      <c r="E4" s="73" t="s">
        <v>9</v>
      </c>
      <c r="F4" s="73"/>
      <c r="G4" s="77" t="s">
        <v>10</v>
      </c>
      <c r="H4" s="77"/>
      <c r="I4" s="65" t="s">
        <v>11</v>
      </c>
      <c r="J4" s="65"/>
      <c r="K4" s="61" t="s">
        <v>12</v>
      </c>
      <c r="L4" s="61"/>
      <c r="M4" s="61" t="s">
        <v>193</v>
      </c>
      <c r="N4" s="61"/>
      <c r="O4"/>
      <c r="P4"/>
      <c r="Q4"/>
      <c r="R4"/>
      <c r="S4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</row>
    <row r="5" spans="1:38" ht="21">
      <c r="A5" s="67">
        <f>E5+G5</f>
        <v>2</v>
      </c>
      <c r="B5" s="67"/>
      <c r="C5" s="70" cm="1">
        <f t="array" aca="1" ref="C5" ca="1">SUMPRODUCT(--(IFERROR(INT(EmailCampaignsTable[Send Date]),0)=TODAY()),--(EmailCampaignsTable[Campaign Name]&lt;&gt;""),--(LOWER(TRIM(EmailCampaignsTable[Current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Stage]))&lt;&gt;"canceled"),--(LOWER(TRIM(EmailCampaignsTable[Notes]))&lt;&gt;"cancelled"),--(LOWER(TRIM(EmailCampaignsTable[Notes]))&lt;&gt;"canceled"))+SUMPRODUCT(--(IFERROR(INT(SMSCampaignsTable[Send Date]),0)=TODAY()),--(SMSCampaignsTable[Campaign Name]&lt;&gt;""),--(LOWER(TRIM(SMSCampaignsTable[Current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D5" s="71"/>
      <c r="E5" s="74" cm="1">
        <f t="array" ref="E5">SUMPRODUCT(--(EmailCampaignsTable[Campaign Name]&lt;&gt;""),--(IFERROR(--EmailCampaignsTable[Delivered],0)&lt;=0),--(LOWER(TRIM(EmailCampaignsTable[Current Stage]))&lt;&gt;"cancelled"),--(LOWER(TRIM(EmailCampaignsTable[Current Stage]))&lt;&gt;"canceled"),--(LOWER(TRIM(EmailCampaignsTable[Notes]))&lt;&gt;"cancelled"),--(LOWER(TRIM(EmailCampaignsTable[Notes]))&lt;&gt;"canceled"))</f>
        <v>1</v>
      </c>
      <c r="F5" s="75"/>
      <c r="G5" s="78" cm="1">
        <f t="array" ref="G5">SUMPRODUCT(--(SMSCampaignsTable[Campaign Name]&lt;&gt;""),--(IFERROR(--SMSCampaignsTable[Delivered],0)&lt;=0),--(LOWER(TRIM(SMSCampaignsTable[Current Stage]))&lt;&gt;"cancelled"),--(LOWER(TRIM(SMSCampaignsTable[Current Stage]))&lt;&gt;"canceled"),--(LOWER(TRIM(SMSCampaignsTable[Notes]))&lt;&gt;"cancelled"),--(LOWER(TRIM(SMSCampaignsTable[Notes]))&lt;&gt;"canceled"))</f>
        <v>1</v>
      </c>
      <c r="H5" s="79"/>
      <c r="I5" s="67" cm="1">
        <f t="array" ref="I5">SUMPRODUCT(--(EmailCampaignsTable[Campaign Name]&lt;&gt;""),--(EmailCampaignsTable[Approval]=FALSE),--(LOWER(TRIM(EmailCampaignsTable[Current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Name]&lt;&gt;""),--(SMSCampaignsTable[Approval]=FALSE),--(LOWER(TRIM(SMSCampaignsTable[Current Stage]))&lt;&gt;"cancelled"),--(LOWER(TRIM(SMSCampaignsTable[Current Stage]))&lt;&gt;"canceled"),--(LOWER(TRIM(SMSCampaignsTable[Notes]))&lt;&gt;"cancelled"),--(LOWER(TRIM(SMSCampaignsTable[Notes]))&lt;&gt;"canceled"))</f>
        <v>2</v>
      </c>
      <c r="J5" s="81"/>
      <c r="K5" s="62" cm="1">
        <f t="array" ref="K5">SUMPRODUCT(--(EmailCampaignsTable[Campaign Name]&lt;&gt;""),--(IFERROR(--EmailCampaignsTable[Delivered],0)&gt;0),--(LOWER(TRIM(EmailCampaignsTable[Current Stage]))&lt;&gt;"cancelled"),--(LOWER(TRIM(EmailCampaignsTable[Current Stage]))&lt;&gt;"canceled"),--(LOWER(TRIM(EmailCampaignsTable[Notes]))&lt;&gt;"cancelled"),--(LOWER(TRIM(EmailCampaignsTable[Notes]))&lt;&gt;"canceled"))+SUMPRODUCT(--(SMSCampaignsTable[Campaign Name]&lt;&gt;""),--(IFERROR(--SMSCampaignsTable[Delivered],0)&gt;0),--(LOWER(TRIM(SMSCampaignsTable[Current Stage]))&lt;&gt;"cancelled"),--(LOWER(TRIM(SMSCampaignsTable[Current Stage]))&lt;&gt;"canceled"),--(LOWER(TRIM(SMSCampaignsTable[Notes]))&lt;&gt;"cancelled"),--(LOWER(TRIM(SMSCampaignsTable[Notes]))&lt;&gt;"canceled"))</f>
        <v>0</v>
      </c>
      <c r="L5" s="63"/>
      <c r="M5" s="62" t="str">
        <f ca="1">WEEKNUM(TODAY(),1)&amp;"-"&amp;WEEKNUM(TODAY()+7,1)</f>
        <v>25-26</v>
      </c>
      <c r="N5" s="63"/>
      <c r="O5"/>
      <c r="P5"/>
      <c r="Q5"/>
      <c r="R5"/>
      <c r="S5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</row>
    <row r="6" spans="1:38">
      <c r="A6" s="68" t="s">
        <v>13</v>
      </c>
      <c r="B6" s="66"/>
      <c r="C6" s="72" t="s">
        <v>14</v>
      </c>
      <c r="D6" s="69"/>
      <c r="E6" s="76" t="s">
        <v>15</v>
      </c>
      <c r="F6" s="73"/>
      <c r="G6" s="80" t="s">
        <v>16</v>
      </c>
      <c r="H6" s="77"/>
      <c r="I6" s="68" t="s">
        <v>17</v>
      </c>
      <c r="J6" s="65"/>
      <c r="K6" s="64" t="s">
        <v>18</v>
      </c>
      <c r="L6" s="61"/>
      <c r="M6" s="64" t="s">
        <v>194</v>
      </c>
      <c r="N6" s="61"/>
      <c r="O6"/>
      <c r="P6"/>
      <c r="Q6"/>
      <c r="R6"/>
      <c r="S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</row>
    <row r="7" spans="1:38">
      <c r="A7"/>
      <c r="B7"/>
      <c r="C7"/>
      <c r="D7"/>
      <c r="E7"/>
      <c r="F7"/>
      <c r="G7"/>
      <c r="H7"/>
      <c r="I7"/>
      <c r="J7"/>
      <c r="K7"/>
      <c r="L7"/>
      <c r="M7" s="7"/>
      <c r="N7"/>
      <c r="O7"/>
      <c r="P7"/>
      <c r="Q7"/>
      <c r="R7"/>
      <c r="S7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7.25" customHeight="1">
      <c r="A8" s="59" t="s">
        <v>19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/>
      <c r="P8"/>
      <c r="Q8"/>
      <c r="R8"/>
      <c r="S8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</row>
    <row r="9" spans="1:38" ht="15" customHeight="1">
      <c r="A9" s="60" t="s">
        <v>20</v>
      </c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/>
      <c r="P9"/>
      <c r="Q9"/>
      <c r="R9"/>
      <c r="S9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30">
      <c r="A10" s="16" t="s">
        <v>21</v>
      </c>
      <c r="B10" s="17" t="s">
        <v>22</v>
      </c>
      <c r="C10" s="84" t="s">
        <v>23</v>
      </c>
      <c r="D10" s="16" t="s">
        <v>24</v>
      </c>
      <c r="E10" s="84" t="s">
        <v>25</v>
      </c>
      <c r="F10" s="84" t="s">
        <v>26</v>
      </c>
      <c r="G10" s="84" t="s">
        <v>27</v>
      </c>
      <c r="H10" s="84" t="s">
        <v>28</v>
      </c>
      <c r="I10" s="84" t="s">
        <v>29</v>
      </c>
      <c r="J10" s="84" t="s">
        <v>30</v>
      </c>
      <c r="K10" s="84" t="s">
        <v>31</v>
      </c>
      <c r="L10" s="84" t="s">
        <v>32</v>
      </c>
      <c r="M10" s="86" t="s">
        <v>193</v>
      </c>
      <c r="N10"/>
      <c r="O10"/>
      <c r="P10"/>
      <c r="Q10"/>
      <c r="R10"/>
      <c r="S10"/>
      <c r="T10" s="6"/>
      <c r="U10" s="6"/>
      <c r="V10" s="6"/>
      <c r="W10" s="6"/>
      <c r="X10" s="6"/>
      <c r="Y10" s="6"/>
      <c r="Z10" s="6"/>
      <c r="AA10" t="s">
        <v>21</v>
      </c>
      <c r="AB10" t="s">
        <v>22</v>
      </c>
      <c r="AC10" t="s">
        <v>23</v>
      </c>
      <c r="AD10" t="s">
        <v>24</v>
      </c>
      <c r="AE10" t="s">
        <v>25</v>
      </c>
      <c r="AF10" t="s">
        <v>26</v>
      </c>
      <c r="AG10" t="s">
        <v>27</v>
      </c>
      <c r="AH10" t="s">
        <v>28</v>
      </c>
      <c r="AI10" t="s">
        <v>29</v>
      </c>
      <c r="AJ10" t="s">
        <v>30</v>
      </c>
      <c r="AK10" t="s">
        <v>31</v>
      </c>
      <c r="AL10" t="s">
        <v>32</v>
      </c>
    </row>
    <row r="11" spans="1:38">
      <c r="A11" s="33" t="str" cm="1">
        <f t="array" aca="1" ref="A11" ca="1">IFERROR(INDEX(_xlfn.ANCHORARRAY($AA$11),ROW()-10,1),"")</f>
        <v/>
      </c>
      <c r="B11" s="18" t="str" cm="1">
        <f t="array" aca="1" ref="B11" ca="1">IFERROR(INDEX(_xlfn.ANCHORARRAY($AA$11),ROW()-10,2),"")</f>
        <v/>
      </c>
      <c r="C11" s="85" t="str" cm="1">
        <f t="array" aca="1" ref="C11" ca="1">IFERROR(INDEX(_xlfn.ANCHORARRAY($AA$11),ROW()-10,3),"")</f>
        <v/>
      </c>
      <c r="D11" s="19" t="str" cm="1">
        <f t="array" aca="1" ref="D11" ca="1">IFERROR(INDEX(_xlfn.ANCHORARRAY($AA$11),ROW()-10,4),"")</f>
        <v/>
      </c>
      <c r="E11" s="85" t="str" cm="1">
        <f t="array" aca="1" ref="E11" ca="1">IFERROR(INDEX(_xlfn.ANCHORARRAY($AA$11),ROW()-10,5),"")</f>
        <v/>
      </c>
      <c r="F11" s="19" t="str" cm="1">
        <f t="array" aca="1" ref="F11" ca="1">IFERROR(INDEX(_xlfn.ANCHORARRAY($AA$11),ROW()-10,6),"")</f>
        <v/>
      </c>
      <c r="G11" s="85" t="str" cm="1">
        <f t="array" aca="1" ref="G11" ca="1">IFERROR(INDEX(_xlfn.ANCHORARRAY($AA$11),ROW()-10,7),"")</f>
        <v/>
      </c>
      <c r="H11" s="85" t="str" cm="1">
        <f t="array" aca="1" ref="H11" ca="1">IFERROR(INDEX(_xlfn.ANCHORARRAY($AA$11),ROW()-10,8),"")</f>
        <v/>
      </c>
      <c r="I11" s="85" t="str" cm="1">
        <f t="array" aca="1" ref="I11" ca="1">IFERROR(INDEX(_xlfn.ANCHORARRAY($AA$11),ROW()-10,9),"")</f>
        <v/>
      </c>
      <c r="J11" s="87" t="str">
        <f t="shared" ref="J11:J42" ca="1" si="0">_xlfn.LET(_xlpm.ch,IFERROR(INDEX(_xlfn.ANCHORARRAY($AA$11),ROW()-10,3),""),_xlpm.link,IFERROR(INDEX(_xlfn.ANCHORARRAY($AA$11),ROW()-10,10),""),IF(OR(_xlpm.link="",_xlpm.ch="SMS"),"",HYPERLINK(_xlpm.link,"JIRA")))</f>
        <v/>
      </c>
      <c r="K11" s="87" t="str">
        <f t="shared" ref="K11:K42" ca="1" si="1">_xlfn.LET(_xlpm.ch,IFERROR(INDEX(_xlfn.ANCHORARRAY($AA$11),ROW()-10,3),""),_xlpm.link,IFERROR(INDEX(_xlfn.ANCHORARRAY($AA$11),ROW()-10,11),""),IF(OR(_xlpm.link="",_xlpm.ch="SMS"),"",HYPERLINK(_xlpm.link,"ClickUp")))</f>
        <v/>
      </c>
      <c r="L11" s="87" t="str" cm="1">
        <f t="array" aca="1" ref="L11" ca="1">_xlfn.LET(_xlpm.link,IFERROR(INDEX(_xlfn.ANCHORARRAY($AA$11),ROW()-10,12),""),IF(_xlpm.link="","",HYPERLINK(_xlpm.link,"Bluecore/Attentive")))</f>
        <v/>
      </c>
      <c r="M11" s="88" t="str">
        <f t="shared" ref="M11:M42" ca="1" si="2">_xlfn.LET(_xlpm.sendDate,$A11,_xlpm.camp,$D11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1"/>
      <c r="O11"/>
      <c r="P11"/>
      <c r="Q11"/>
      <c r="R11"/>
      <c r="S11"/>
      <c r="T11" s="6"/>
      <c r="U11" s="6"/>
      <c r="V11" s="6"/>
      <c r="W11" s="6"/>
      <c r="X11" s="6"/>
      <c r="Y11" s="6"/>
      <c r="Z11" s="6"/>
      <c r="AA11" s="32" t="str" cm="1">
        <f t="array" aca="1" ref="AA11" ca="1">_xlfn.LET(_xlpm.ws,TODAY()-WEEKDAY(TODAY(),1)+1,_xlpm.we,_xlpm.ws+13,_xlpm.empty,_xlfn.HSTACK("","","","","","","","","","","",""),_xlpm.email,_xlfn._xlws.FILTER(_xlfn.HSTACK(EmailCampaignsTable[Send Date],EmailCampaignsTable[Send Time],IF(EmailCampaignsTable[Campaign Name]&lt;&gt;"","Email",""),EmailCampaignsTable[Campaign Name],EmailCampaignsTable[Campaign Type],EmailCampaignsTable[Current Stage],EmailCampaignsTable[Owner],IF(EmailCampaignsTable[Approval],"Done","Not Yet"),IF(EmailCampaignsTable[Segments],"Provided","Pending"),EmailCampaignsTable[Jira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Date]),0)&lt;=_xlpm.we)*(((LOWER(TRIM(EmailCampaignsTable[Current Stage]))="cancelled")+(LOWER(TRIM(EmailCampaignsTable[Current Stage]))="canceled")+(LOWER(TRIM(EmailCampaignsTable[Notes]))="cancelled")+(LOWER(TRIM(EmailCampaignsTable[Notes]))="canceled"))=0),_xlpm.empty),_xlpm.sms,_xlfn._xlws.FILTER(_xlfn.HSTACK(SMSCampaignsTable[Send Date],SMSCampaignsTable[Send Time],IF(SMSCampaignsTable[Campaign Name]&lt;&gt;"","SMS",""),SMSCampaignsTable[Campaign Name],SMSCampaignsTable[Campaign Type],SMSCampaignsTable[Current Stage],SMSCampaignsTable[Owner],IF(SMSCampaignsTable[Approval],"Done","Not Yet"),IF(SMSCampaignsTable[Segments],"Provided","Pending"),SMSCampaignsTable[Proof of Schedule],"",SMSCampaignsTable[Bluecore/Attentive Link]),(SMSCampaignsTable[Campaign Name]&lt;&gt;"")*(IFERROR(INT(SMSCampaignsTable[Send Date]),0)&gt;=_xlpm.ws)*(IFERROR(INT(SMSCampaignsTable[Send Date]),0)&lt;=_xlpm.we)*(((LOWER(TRIM(SMSCampaignsTable[Current Stage]))="cancelled")+(LOWER(TRIM(SMSCampaignsTable[Current Stage]))="canceled")+(LOWER(TRIM(SMSCampaignsTable[Notes]))="cancelled")+(LOWER(TRIM(SMSCampaignsTable[Notes]))="canceled"))=0)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/>
      </c>
      <c r="AB11"/>
      <c r="AC11"/>
      <c r="AD11"/>
      <c r="AE11"/>
      <c r="AF11"/>
      <c r="AG11"/>
      <c r="AH11"/>
      <c r="AI11"/>
      <c r="AJ11"/>
      <c r="AK11"/>
      <c r="AL11"/>
    </row>
    <row r="12" spans="1:38">
      <c r="A12" s="33" t="str" cm="1">
        <f t="array" aca="1" ref="A12" ca="1">IFERROR(INDEX(_xlfn.ANCHORARRAY($AA$11),ROW()-10,1),"")</f>
        <v/>
      </c>
      <c r="B12" s="18" t="str" cm="1">
        <f t="array" aca="1" ref="B12" ca="1">IFERROR(INDEX(_xlfn.ANCHORARRAY($AA$11),ROW()-10,2),"")</f>
        <v/>
      </c>
      <c r="C12" s="4" t="str" cm="1">
        <f t="array" aca="1" ref="C12" ca="1">IFERROR(INDEX(_xlfn.ANCHORARRAY($AA$11),ROW()-10,3),"")</f>
        <v/>
      </c>
      <c r="D12" s="15" t="str" cm="1">
        <f t="array" aca="1" ref="D12" ca="1">IFERROR(INDEX(_xlfn.ANCHORARRAY($AA$11),ROW()-10,4),"")</f>
        <v/>
      </c>
      <c r="E12" s="4" t="str" cm="1">
        <f t="array" aca="1" ref="E12" ca="1">IFERROR(INDEX(_xlfn.ANCHORARRAY($AA$11),ROW()-10,5),"")</f>
        <v/>
      </c>
      <c r="F12" s="15" t="str" cm="1">
        <f t="array" aca="1" ref="F12" ca="1">IFERROR(INDEX(_xlfn.ANCHORARRAY($AA$11),ROW()-10,6),"")</f>
        <v/>
      </c>
      <c r="G12" s="4" t="str" cm="1">
        <f t="array" aca="1" ref="G12" ca="1">IFERROR(INDEX(_xlfn.ANCHORARRAY($AA$11),ROW()-10,7),"")</f>
        <v/>
      </c>
      <c r="H12" s="4" t="str" cm="1">
        <f t="array" aca="1" ref="H12" ca="1">IFERROR(INDEX(_xlfn.ANCHORARRAY($AA$11),ROW()-10,8),"")</f>
        <v/>
      </c>
      <c r="I12" s="4" t="str" cm="1">
        <f t="array" aca="1" ref="I12" ca="1">IFERROR(INDEX(_xlfn.ANCHORARRAY($AA$11),ROW()-10,9),"")</f>
        <v/>
      </c>
      <c r="J12" s="87" t="str">
        <f t="shared" ca="1" si="0"/>
        <v/>
      </c>
      <c r="K12" s="85" t="str">
        <f t="shared" ca="1" si="1"/>
        <v/>
      </c>
      <c r="L12" s="85" t="str" cm="1">
        <f t="array" aca="1" ref="L12" ca="1">_xlfn.LET(_xlpm.link,IFERROR(INDEX(_xlfn.ANCHORARRAY($AA$11),ROW()-10,12),""),IF(_xlpm.link="","",HYPERLINK(_xlpm.link,"Bluecore/Attentive")))</f>
        <v/>
      </c>
      <c r="M12" s="89" t="str">
        <f t="shared" ca="1" si="2"/>
        <v/>
      </c>
      <c r="N12"/>
      <c r="O12"/>
      <c r="P12"/>
      <c r="Q12"/>
      <c r="R12"/>
      <c r="S12"/>
      <c r="T12" s="6"/>
      <c r="U12" s="6"/>
      <c r="V12" s="6"/>
      <c r="W12" s="6"/>
      <c r="X12" s="6"/>
      <c r="Y12" s="6"/>
      <c r="Z12" s="6"/>
      <c r="AA12" s="32"/>
      <c r="AB12"/>
      <c r="AC12"/>
      <c r="AD12"/>
      <c r="AE12"/>
      <c r="AF12"/>
      <c r="AG12"/>
      <c r="AH12"/>
      <c r="AI12"/>
      <c r="AJ12"/>
      <c r="AK12"/>
      <c r="AL12"/>
    </row>
    <row r="13" spans="1:38">
      <c r="A13" s="33" t="str" cm="1">
        <f t="array" aca="1" ref="A13" ca="1">IFERROR(INDEX(_xlfn.ANCHORARRAY($AA$11),ROW()-10,1),"")</f>
        <v/>
      </c>
      <c r="B13" s="18" t="str" cm="1">
        <f t="array" aca="1" ref="B13" ca="1">IFERROR(INDEX(_xlfn.ANCHORARRAY($AA$11),ROW()-10,2),"")</f>
        <v/>
      </c>
      <c r="C13" s="4" t="str" cm="1">
        <f t="array" aca="1" ref="C13" ca="1">IFERROR(INDEX(_xlfn.ANCHORARRAY($AA$11),ROW()-10,3),"")</f>
        <v/>
      </c>
      <c r="D13" s="15" t="str" cm="1">
        <f t="array" aca="1" ref="D13" ca="1">IFERROR(INDEX(_xlfn.ANCHORARRAY($AA$11),ROW()-10,4),"")</f>
        <v/>
      </c>
      <c r="E13" s="4" t="str" cm="1">
        <f t="array" aca="1" ref="E13" ca="1">IFERROR(INDEX(_xlfn.ANCHORARRAY($AA$11),ROW()-10,5),"")</f>
        <v/>
      </c>
      <c r="F13" s="15" t="str" cm="1">
        <f t="array" aca="1" ref="F13" ca="1">IFERROR(INDEX(_xlfn.ANCHORARRAY($AA$11),ROW()-10,6),"")</f>
        <v/>
      </c>
      <c r="G13" s="4" t="str" cm="1">
        <f t="array" aca="1" ref="G13" ca="1">IFERROR(INDEX(_xlfn.ANCHORARRAY($AA$11),ROW()-10,7),"")</f>
        <v/>
      </c>
      <c r="H13" s="4" t="str" cm="1">
        <f t="array" aca="1" ref="H13" ca="1">IFERROR(INDEX(_xlfn.ANCHORARRAY($AA$11),ROW()-10,8),"")</f>
        <v/>
      </c>
      <c r="I13" s="4" t="str" cm="1">
        <f t="array" aca="1" ref="I13" ca="1">IFERROR(INDEX(_xlfn.ANCHORARRAY($AA$11),ROW()-10,9),"")</f>
        <v/>
      </c>
      <c r="J13" s="87" t="str">
        <f t="shared" ca="1" si="0"/>
        <v/>
      </c>
      <c r="K13" s="90" t="str">
        <f t="shared" ca="1" si="1"/>
        <v/>
      </c>
      <c r="L13" s="90" t="str" cm="1">
        <f t="array" aca="1" ref="L13" ca="1">_xlfn.LET(_xlpm.link,IFERROR(INDEX(_xlfn.ANCHORARRAY($AA$11),ROW()-10,12),""),IF(_xlpm.link="","",HYPERLINK(_xlpm.link,"Bluecore/Attentive")))</f>
        <v/>
      </c>
      <c r="M13" s="88" t="str">
        <f t="shared" ca="1" si="2"/>
        <v/>
      </c>
      <c r="N13"/>
      <c r="O13"/>
      <c r="P13"/>
      <c r="Q13"/>
      <c r="R13"/>
      <c r="S13"/>
      <c r="T13" s="6"/>
      <c r="U13" s="6"/>
      <c r="V13" s="6"/>
      <c r="W13" s="6"/>
      <c r="X13" s="6"/>
      <c r="Y13" s="6"/>
      <c r="Z13" s="6"/>
      <c r="AA13" s="32"/>
      <c r="AB13"/>
      <c r="AC13"/>
      <c r="AD13"/>
      <c r="AE13"/>
      <c r="AF13"/>
      <c r="AG13"/>
      <c r="AH13"/>
      <c r="AI13"/>
      <c r="AJ13"/>
      <c r="AK13"/>
      <c r="AL13"/>
    </row>
    <row r="14" spans="1:38">
      <c r="A14" s="33" t="str" cm="1">
        <f t="array" aca="1" ref="A14" ca="1">IFERROR(INDEX(_xlfn.ANCHORARRAY($AA$11),ROW()-10,1),"")</f>
        <v/>
      </c>
      <c r="B14" s="18" t="str" cm="1">
        <f t="array" aca="1" ref="B14" ca="1">IFERROR(INDEX(_xlfn.ANCHORARRAY($AA$11),ROW()-10,2),"")</f>
        <v/>
      </c>
      <c r="C14" s="4" t="str" cm="1">
        <f t="array" aca="1" ref="C14" ca="1">IFERROR(INDEX(_xlfn.ANCHORARRAY($AA$11),ROW()-10,3),"")</f>
        <v/>
      </c>
      <c r="D14" s="15" t="str" cm="1">
        <f t="array" aca="1" ref="D14" ca="1">IFERROR(INDEX(_xlfn.ANCHORARRAY($AA$11),ROW()-10,4),"")</f>
        <v/>
      </c>
      <c r="E14" s="4" t="str" cm="1">
        <f t="array" aca="1" ref="E14" ca="1">IFERROR(INDEX(_xlfn.ANCHORARRAY($AA$11),ROW()-10,5),"")</f>
        <v/>
      </c>
      <c r="F14" s="15" t="str" cm="1">
        <f t="array" aca="1" ref="F14" ca="1">IFERROR(INDEX(_xlfn.ANCHORARRAY($AA$11),ROW()-10,6),"")</f>
        <v/>
      </c>
      <c r="G14" s="4" t="str" cm="1">
        <f t="array" aca="1" ref="G14" ca="1">IFERROR(INDEX(_xlfn.ANCHORARRAY($AA$11),ROW()-10,7),"")</f>
        <v/>
      </c>
      <c r="H14" s="4" t="str" cm="1">
        <f t="array" aca="1" ref="H14" ca="1">IFERROR(INDEX(_xlfn.ANCHORARRAY($AA$11),ROW()-10,8),"")</f>
        <v/>
      </c>
      <c r="I14" s="4" t="str" cm="1">
        <f t="array" aca="1" ref="I14" ca="1">IFERROR(INDEX(_xlfn.ANCHORARRAY($AA$11),ROW()-10,9),"")</f>
        <v/>
      </c>
      <c r="J14" s="87" t="str">
        <f t="shared" ca="1" si="0"/>
        <v/>
      </c>
      <c r="K14" s="91" t="str">
        <f t="shared" ca="1" si="1"/>
        <v/>
      </c>
      <c r="L14" s="91" t="str" cm="1">
        <f t="array" aca="1" ref="L14" ca="1">_xlfn.LET(_xlpm.link,IFERROR(INDEX(_xlfn.ANCHORARRAY($AA$11),ROW()-10,12),""),IF(_xlpm.link="","",HYPERLINK(_xlpm.link,"Bluecore/Attentive")))</f>
        <v/>
      </c>
      <c r="M14" s="89" t="str">
        <f t="shared" ca="1" si="2"/>
        <v/>
      </c>
      <c r="N14"/>
      <c r="O14"/>
      <c r="P14"/>
      <c r="Q14"/>
      <c r="R14"/>
      <c r="S14"/>
      <c r="T14" s="6"/>
      <c r="U14" s="6"/>
      <c r="V14" s="6"/>
      <c r="W14" s="6"/>
      <c r="X14" s="6"/>
      <c r="Y14" s="6"/>
      <c r="Z14" s="6"/>
      <c r="AA14" s="32"/>
      <c r="AB14"/>
      <c r="AC14"/>
      <c r="AD14"/>
      <c r="AE14"/>
      <c r="AF14"/>
      <c r="AG14"/>
      <c r="AH14"/>
      <c r="AI14"/>
      <c r="AJ14"/>
      <c r="AK14"/>
      <c r="AL14"/>
    </row>
    <row r="15" spans="1:38">
      <c r="A15" s="33" t="str" cm="1">
        <f t="array" aca="1" ref="A15" ca="1">IFERROR(INDEX(_xlfn.ANCHORARRAY($AA$11),ROW()-10,1),"")</f>
        <v/>
      </c>
      <c r="B15" s="18" t="str" cm="1">
        <f t="array" aca="1" ref="B15" ca="1">IFERROR(INDEX(_xlfn.ANCHORARRAY($AA$11),ROW()-10,2),"")</f>
        <v/>
      </c>
      <c r="C15" s="4" t="str" cm="1">
        <f t="array" aca="1" ref="C15" ca="1">IFERROR(INDEX(_xlfn.ANCHORARRAY($AA$11),ROW()-10,3),"")</f>
        <v/>
      </c>
      <c r="D15" s="15" t="str" cm="1">
        <f t="array" aca="1" ref="D15" ca="1">IFERROR(INDEX(_xlfn.ANCHORARRAY($AA$11),ROW()-10,4),"")</f>
        <v/>
      </c>
      <c r="E15" s="4" t="str" cm="1">
        <f t="array" aca="1" ref="E15" ca="1">IFERROR(INDEX(_xlfn.ANCHORARRAY($AA$11),ROW()-10,5),"")</f>
        <v/>
      </c>
      <c r="F15" s="15" t="str" cm="1">
        <f t="array" aca="1" ref="F15" ca="1">IFERROR(INDEX(_xlfn.ANCHORARRAY($AA$11),ROW()-10,6),"")</f>
        <v/>
      </c>
      <c r="G15" s="4" t="str" cm="1">
        <f t="array" aca="1" ref="G15" ca="1">IFERROR(INDEX(_xlfn.ANCHORARRAY($AA$11),ROW()-10,7),"")</f>
        <v/>
      </c>
      <c r="H15" s="4" t="str" cm="1">
        <f t="array" aca="1" ref="H15" ca="1">IFERROR(INDEX(_xlfn.ANCHORARRAY($AA$11),ROW()-10,8),"")</f>
        <v/>
      </c>
      <c r="I15" s="4" t="str" cm="1">
        <f t="array" aca="1" ref="I15" ca="1">IFERROR(INDEX(_xlfn.ANCHORARRAY($AA$11),ROW()-10,9),"")</f>
        <v/>
      </c>
      <c r="J15" s="87" t="str">
        <f t="shared" ca="1" si="0"/>
        <v/>
      </c>
      <c r="K15" s="85" t="str">
        <f t="shared" ca="1" si="1"/>
        <v/>
      </c>
      <c r="L15" s="85" t="str" cm="1">
        <f t="array" aca="1" ref="L15" ca="1">_xlfn.LET(_xlpm.link,IFERROR(INDEX(_xlfn.ANCHORARRAY($AA$11),ROW()-10,12),""),IF(_xlpm.link="","",HYPERLINK(_xlpm.link,"Bluecore/Attentive")))</f>
        <v/>
      </c>
      <c r="M15" s="88" t="str">
        <f t="shared" ca="1" si="2"/>
        <v/>
      </c>
      <c r="N15"/>
      <c r="O15"/>
      <c r="P15"/>
      <c r="Q15"/>
      <c r="R15"/>
      <c r="S15"/>
      <c r="T15" s="6"/>
      <c r="U15" s="6"/>
      <c r="V15" s="6"/>
      <c r="W15" s="6"/>
      <c r="X15" s="6"/>
      <c r="Y15" s="6"/>
      <c r="Z15" s="6"/>
      <c r="AA15" s="32"/>
      <c r="AB15"/>
      <c r="AC15"/>
      <c r="AD15"/>
      <c r="AE15"/>
      <c r="AF15"/>
      <c r="AG15"/>
      <c r="AH15"/>
      <c r="AI15"/>
      <c r="AJ15"/>
      <c r="AK15"/>
      <c r="AL15"/>
    </row>
    <row r="16" spans="1:38">
      <c r="A16" s="34" t="str" cm="1">
        <f t="array" aca="1" ref="A16" ca="1">IFERROR(INDEX(_xlfn.ANCHORARRAY($AA$11),ROW()-10,1),"")</f>
        <v/>
      </c>
      <c r="B16" s="20" t="str" cm="1">
        <f t="array" aca="1" ref="B16" ca="1">IFERROR(INDEX(_xlfn.ANCHORARRAY($AA$11),ROW()-10,2),"")</f>
        <v/>
      </c>
      <c r="C16" s="4" t="str" cm="1">
        <f t="array" aca="1" ref="C16" ca="1">IFERROR(INDEX(_xlfn.ANCHORARRAY($AA$11),ROW()-10,3),"")</f>
        <v/>
      </c>
      <c r="D16" s="15" t="str" cm="1">
        <f t="array" aca="1" ref="D16" ca="1">IFERROR(INDEX(_xlfn.ANCHORARRAY($AA$11),ROW()-10,4),"")</f>
        <v/>
      </c>
      <c r="E16" s="4" t="str" cm="1">
        <f t="array" aca="1" ref="E16" ca="1">IFERROR(INDEX(_xlfn.ANCHORARRAY($AA$11),ROW()-10,5),"")</f>
        <v/>
      </c>
      <c r="F16" s="15" t="str" cm="1">
        <f t="array" aca="1" ref="F16" ca="1">IFERROR(INDEX(_xlfn.ANCHORARRAY($AA$11),ROW()-10,6),"")</f>
        <v/>
      </c>
      <c r="G16" s="4" t="str" cm="1">
        <f t="array" aca="1" ref="G16" ca="1">IFERROR(INDEX(_xlfn.ANCHORARRAY($AA$11),ROW()-10,7),"")</f>
        <v/>
      </c>
      <c r="H16" s="4" t="str" cm="1">
        <f t="array" aca="1" ref="H16" ca="1">IFERROR(INDEX(_xlfn.ANCHORARRAY($AA$11),ROW()-10,8),"")</f>
        <v/>
      </c>
      <c r="I16" s="4" t="str" cm="1">
        <f t="array" aca="1" ref="I16" ca="1">IFERROR(INDEX(_xlfn.ANCHORARRAY($AA$11),ROW()-10,9),"")</f>
        <v/>
      </c>
      <c r="J16" s="87" t="str">
        <f t="shared" ca="1" si="0"/>
        <v/>
      </c>
      <c r="K16" s="91" t="str">
        <f t="shared" ca="1" si="1"/>
        <v/>
      </c>
      <c r="L16" s="91" t="str" cm="1">
        <f t="array" aca="1" ref="L16" ca="1">_xlfn.LET(_xlpm.link,IFERROR(INDEX(_xlfn.ANCHORARRAY($AA$11),ROW()-10,12),""),IF(_xlpm.link="","",HYPERLINK(_xlpm.link,"Bluecore/Attentive")))</f>
        <v/>
      </c>
      <c r="M16" s="89" t="str">
        <f t="shared" ca="1" si="2"/>
        <v/>
      </c>
      <c r="N16"/>
      <c r="O16"/>
      <c r="P16"/>
      <c r="Q16"/>
      <c r="R16"/>
      <c r="S16"/>
      <c r="T16" s="6"/>
      <c r="U16" s="6"/>
      <c r="V16" s="6"/>
      <c r="W16" s="6"/>
      <c r="X16" s="6"/>
      <c r="Y16" s="6"/>
      <c r="Z16" s="6"/>
      <c r="AA16" s="32"/>
      <c r="AB16"/>
      <c r="AC16"/>
      <c r="AD16"/>
      <c r="AE16"/>
      <c r="AF16"/>
      <c r="AG16"/>
      <c r="AH16"/>
      <c r="AI16"/>
      <c r="AJ16"/>
      <c r="AK16"/>
      <c r="AL16"/>
    </row>
    <row r="17" spans="1:38">
      <c r="A17" s="34" t="str" cm="1">
        <f t="array" aca="1" ref="A17" ca="1">IFERROR(INDEX(_xlfn.ANCHORARRAY($AA$11),ROW()-10,1),"")</f>
        <v/>
      </c>
      <c r="B17" s="20" t="str" cm="1">
        <f t="array" aca="1" ref="B17" ca="1">IFERROR(INDEX(_xlfn.ANCHORARRAY($AA$11),ROW()-10,2),"")</f>
        <v/>
      </c>
      <c r="C17" s="4" t="str" cm="1">
        <f t="array" aca="1" ref="C17" ca="1">IFERROR(INDEX(_xlfn.ANCHORARRAY($AA$11),ROW()-10,3),"")</f>
        <v/>
      </c>
      <c r="D17" s="15" t="str" cm="1">
        <f t="array" aca="1" ref="D17" ca="1">IFERROR(INDEX(_xlfn.ANCHORARRAY($AA$11),ROW()-10,4),"")</f>
        <v/>
      </c>
      <c r="E17" s="4" t="str" cm="1">
        <f t="array" aca="1" ref="E17" ca="1">IFERROR(INDEX(_xlfn.ANCHORARRAY($AA$11),ROW()-10,5),"")</f>
        <v/>
      </c>
      <c r="F17" s="15" t="str" cm="1">
        <f t="array" aca="1" ref="F17" ca="1">IFERROR(INDEX(_xlfn.ANCHORARRAY($AA$11),ROW()-10,6),"")</f>
        <v/>
      </c>
      <c r="G17" s="4" t="str" cm="1">
        <f t="array" aca="1" ref="G17" ca="1">IFERROR(INDEX(_xlfn.ANCHORARRAY($AA$11),ROW()-10,7),"")</f>
        <v/>
      </c>
      <c r="H17" s="4" t="str" cm="1">
        <f t="array" aca="1" ref="H17" ca="1">IFERROR(INDEX(_xlfn.ANCHORARRAY($AA$11),ROW()-10,8),"")</f>
        <v/>
      </c>
      <c r="I17" s="4" t="str" cm="1">
        <f t="array" aca="1" ref="I17" ca="1">IFERROR(INDEX(_xlfn.ANCHORARRAY($AA$11),ROW()-10,9),"")</f>
        <v/>
      </c>
      <c r="J17" s="4" t="str">
        <f t="shared" ca="1" si="0"/>
        <v/>
      </c>
      <c r="K17" s="4" t="str">
        <f t="shared" ca="1" si="1"/>
        <v/>
      </c>
      <c r="L17" s="4" t="str" cm="1">
        <f t="array" aca="1" ref="L17" ca="1">_xlfn.LET(_xlpm.link,IFERROR(INDEX(_xlfn.ANCHORARRAY($AA$11),ROW()-10,12),""),IF(_xlpm.link="","",HYPERLINK(_xlpm.link,"Bluecore/Attentive")))</f>
        <v/>
      </c>
      <c r="M17" s="88" t="str">
        <f t="shared" ca="1" si="2"/>
        <v/>
      </c>
      <c r="N17"/>
      <c r="O17"/>
      <c r="P17"/>
      <c r="Q17"/>
      <c r="R17"/>
      <c r="S17"/>
      <c r="T17" s="6"/>
      <c r="U17" s="6"/>
      <c r="V17" s="6"/>
      <c r="W17" s="6"/>
      <c r="X17" s="6"/>
      <c r="Y17" s="6"/>
      <c r="Z17" s="6"/>
      <c r="AA17" s="32"/>
      <c r="AB17"/>
      <c r="AC17"/>
      <c r="AD17"/>
      <c r="AE17"/>
      <c r="AF17"/>
      <c r="AG17"/>
      <c r="AH17"/>
      <c r="AI17"/>
      <c r="AJ17"/>
      <c r="AK17"/>
      <c r="AL17"/>
    </row>
    <row r="18" spans="1:38">
      <c r="A18" s="34" t="str" cm="1">
        <f t="array" aca="1" ref="A18" ca="1">IFERROR(INDEX(_xlfn.ANCHORARRAY($AA$11),ROW()-10,1),"")</f>
        <v/>
      </c>
      <c r="B18" s="20" t="str" cm="1">
        <f t="array" aca="1" ref="B18" ca="1">IFERROR(INDEX(_xlfn.ANCHORARRAY($AA$11),ROW()-10,2),"")</f>
        <v/>
      </c>
      <c r="C18" s="4" t="str" cm="1">
        <f t="array" aca="1" ref="C18" ca="1">IFERROR(INDEX(_xlfn.ANCHORARRAY($AA$11),ROW()-10,3),"")</f>
        <v/>
      </c>
      <c r="D18" s="15" t="str" cm="1">
        <f t="array" aca="1" ref="D18" ca="1">IFERROR(INDEX(_xlfn.ANCHORARRAY($AA$11),ROW()-10,4),"")</f>
        <v/>
      </c>
      <c r="E18" s="4" t="str" cm="1">
        <f t="array" aca="1" ref="E18" ca="1">IFERROR(INDEX(_xlfn.ANCHORARRAY($AA$11),ROW()-10,5),"")</f>
        <v/>
      </c>
      <c r="F18" s="15" t="str" cm="1">
        <f t="array" aca="1" ref="F18" ca="1">IFERROR(INDEX(_xlfn.ANCHORARRAY($AA$11),ROW()-10,6),"")</f>
        <v/>
      </c>
      <c r="G18" s="4" t="str" cm="1">
        <f t="array" aca="1" ref="G18" ca="1">IFERROR(INDEX(_xlfn.ANCHORARRAY($AA$11),ROW()-10,7),"")</f>
        <v/>
      </c>
      <c r="H18" s="4" t="str" cm="1">
        <f t="array" aca="1" ref="H18" ca="1">IFERROR(INDEX(_xlfn.ANCHORARRAY($AA$11),ROW()-10,8),"")</f>
        <v/>
      </c>
      <c r="I18" s="4" t="str" cm="1">
        <f t="array" aca="1" ref="I18" ca="1">IFERROR(INDEX(_xlfn.ANCHORARRAY($AA$11),ROW()-10,9),"")</f>
        <v/>
      </c>
      <c r="J18" s="4" t="str">
        <f t="shared" ca="1" si="0"/>
        <v/>
      </c>
      <c r="K18" s="4" t="str">
        <f t="shared" ca="1" si="1"/>
        <v/>
      </c>
      <c r="L18" s="4" t="str" cm="1">
        <f t="array" aca="1" ref="L18" ca="1">_xlfn.LET(_xlpm.link,IFERROR(INDEX(_xlfn.ANCHORARRAY($AA$11),ROW()-10,12),""),IF(_xlpm.link="","",HYPERLINK(_xlpm.link,"Bluecore/Attentive")))</f>
        <v/>
      </c>
      <c r="M18" s="89" t="str">
        <f t="shared" ca="1" si="2"/>
        <v/>
      </c>
      <c r="N18"/>
      <c r="O18"/>
      <c r="P18"/>
      <c r="Q18"/>
      <c r="R18"/>
      <c r="S18"/>
      <c r="T18" s="6"/>
      <c r="U18" s="6"/>
      <c r="V18" s="6"/>
      <c r="W18" s="6"/>
      <c r="X18" s="6"/>
      <c r="Y18" s="6"/>
      <c r="Z18" s="6"/>
      <c r="AA18" s="32"/>
      <c r="AB18"/>
      <c r="AC18"/>
      <c r="AD18"/>
      <c r="AE18"/>
      <c r="AF18"/>
      <c r="AG18"/>
      <c r="AH18"/>
      <c r="AI18"/>
      <c r="AJ18"/>
      <c r="AK18"/>
      <c r="AL18"/>
    </row>
    <row r="19" spans="1:38">
      <c r="A19" s="34" t="str" cm="1">
        <f t="array" aca="1" ref="A19" ca="1">IFERROR(INDEX(_xlfn.ANCHORARRAY($AA$11),ROW()-10,1),"")</f>
        <v/>
      </c>
      <c r="B19" s="20" t="str" cm="1">
        <f t="array" aca="1" ref="B19" ca="1">IFERROR(INDEX(_xlfn.ANCHORARRAY($AA$11),ROW()-10,2),"")</f>
        <v/>
      </c>
      <c r="C19" s="4" t="str" cm="1">
        <f t="array" aca="1" ref="C19" ca="1">IFERROR(INDEX(_xlfn.ANCHORARRAY($AA$11),ROW()-10,3),"")</f>
        <v/>
      </c>
      <c r="D19" s="15" t="str" cm="1">
        <f t="array" aca="1" ref="D19" ca="1">IFERROR(INDEX(_xlfn.ANCHORARRAY($AA$11),ROW()-10,4),"")</f>
        <v/>
      </c>
      <c r="E19" s="4" t="str" cm="1">
        <f t="array" aca="1" ref="E19" ca="1">IFERROR(INDEX(_xlfn.ANCHORARRAY($AA$11),ROW()-10,5),"")</f>
        <v/>
      </c>
      <c r="F19" s="15" t="str" cm="1">
        <f t="array" aca="1" ref="F19" ca="1">IFERROR(INDEX(_xlfn.ANCHORARRAY($AA$11),ROW()-10,6),"")</f>
        <v/>
      </c>
      <c r="G19" s="4" t="str" cm="1">
        <f t="array" aca="1" ref="G19" ca="1">IFERROR(INDEX(_xlfn.ANCHORARRAY($AA$11),ROW()-10,7),"")</f>
        <v/>
      </c>
      <c r="H19" s="4" t="str" cm="1">
        <f t="array" aca="1" ref="H19" ca="1">IFERROR(INDEX(_xlfn.ANCHORARRAY($AA$11),ROW()-10,8),"")</f>
        <v/>
      </c>
      <c r="I19" s="4" t="str" cm="1">
        <f t="array" aca="1" ref="I19" ca="1">IFERROR(INDEX(_xlfn.ANCHORARRAY($AA$11),ROW()-10,9),"")</f>
        <v/>
      </c>
      <c r="J19" s="4" t="str">
        <f t="shared" ca="1" si="0"/>
        <v/>
      </c>
      <c r="K19" s="4" t="str">
        <f t="shared" ca="1" si="1"/>
        <v/>
      </c>
      <c r="L19" s="4" t="str" cm="1">
        <f t="array" aca="1" ref="L19" ca="1">_xlfn.LET(_xlpm.link,IFERROR(INDEX(_xlfn.ANCHORARRAY($AA$11),ROW()-10,12),""),IF(_xlpm.link="","",HYPERLINK(_xlpm.link,"Bluecore/Attentive")))</f>
        <v/>
      </c>
      <c r="M19" s="88" t="str">
        <f t="shared" ca="1" si="2"/>
        <v/>
      </c>
      <c r="N19"/>
      <c r="O19"/>
      <c r="P19"/>
      <c r="Q19"/>
      <c r="R19"/>
      <c r="S19"/>
      <c r="T19" s="6"/>
      <c r="U19" s="6"/>
      <c r="V19" s="6"/>
      <c r="W19" s="6"/>
      <c r="X19" s="6"/>
      <c r="Y19" s="6"/>
      <c r="Z19" s="6"/>
      <c r="AA19" s="32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34" t="str" cm="1">
        <f t="array" aca="1" ref="A20" ca="1">IFERROR(INDEX(_xlfn.ANCHORARRAY($AA$11),ROW()-10,1),"")</f>
        <v/>
      </c>
      <c r="B20" s="20" t="str" cm="1">
        <f t="array" aca="1" ref="B20" ca="1">IFERROR(INDEX(_xlfn.ANCHORARRAY($AA$11),ROW()-10,2),"")</f>
        <v/>
      </c>
      <c r="C20" s="4" t="str" cm="1">
        <f t="array" aca="1" ref="C20" ca="1">IFERROR(INDEX(_xlfn.ANCHORARRAY($AA$11),ROW()-10,3),"")</f>
        <v/>
      </c>
      <c r="D20" s="15" t="str" cm="1">
        <f t="array" aca="1" ref="D20" ca="1">IFERROR(INDEX(_xlfn.ANCHORARRAY($AA$11),ROW()-10,4),"")</f>
        <v/>
      </c>
      <c r="E20" s="4" t="str" cm="1">
        <f t="array" aca="1" ref="E20" ca="1">IFERROR(INDEX(_xlfn.ANCHORARRAY($AA$11),ROW()-10,5),"")</f>
        <v/>
      </c>
      <c r="F20" s="15" t="str" cm="1">
        <f t="array" aca="1" ref="F20" ca="1">IFERROR(INDEX(_xlfn.ANCHORARRAY($AA$11),ROW()-10,6),"")</f>
        <v/>
      </c>
      <c r="G20" s="4" t="str" cm="1">
        <f t="array" aca="1" ref="G20" ca="1">IFERROR(INDEX(_xlfn.ANCHORARRAY($AA$11),ROW()-10,7),"")</f>
        <v/>
      </c>
      <c r="H20" s="4" t="str" cm="1">
        <f t="array" aca="1" ref="H20" ca="1">IFERROR(INDEX(_xlfn.ANCHORARRAY($AA$11),ROW()-10,8),"")</f>
        <v/>
      </c>
      <c r="I20" s="4" t="str" cm="1">
        <f t="array" aca="1" ref="I20" ca="1">IFERROR(INDEX(_xlfn.ANCHORARRAY($AA$11),ROW()-10,9),"")</f>
        <v/>
      </c>
      <c r="J20" s="4" t="str">
        <f t="shared" ca="1" si="0"/>
        <v/>
      </c>
      <c r="K20" s="4" t="str">
        <f t="shared" ca="1" si="1"/>
        <v/>
      </c>
      <c r="L20" s="4" t="str" cm="1">
        <f t="array" aca="1" ref="L20" ca="1">_xlfn.LET(_xlpm.link,IFERROR(INDEX(_xlfn.ANCHORARRAY($AA$11),ROW()-10,12),""),IF(_xlpm.link="","",HYPERLINK(_xlpm.link,"Bluecore/Attentive")))</f>
        <v/>
      </c>
      <c r="M20" s="89" t="str">
        <f t="shared" ca="1" si="2"/>
        <v/>
      </c>
      <c r="N20"/>
      <c r="O20"/>
      <c r="P20"/>
      <c r="Q20"/>
      <c r="R20"/>
      <c r="S20"/>
      <c r="T20" s="6"/>
      <c r="U20" s="6"/>
      <c r="V20" s="6"/>
      <c r="W20" s="6"/>
      <c r="X20" s="6"/>
      <c r="Y20" s="6"/>
      <c r="Z20" s="6"/>
      <c r="AA20" s="32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34" t="str" cm="1">
        <f t="array" aca="1" ref="A21" ca="1">IFERROR(INDEX(_xlfn.ANCHORARRAY($AA$11),ROW()-10,1),"")</f>
        <v/>
      </c>
      <c r="B21" s="20" t="str" cm="1">
        <f t="array" aca="1" ref="B21" ca="1">IFERROR(INDEX(_xlfn.ANCHORARRAY($AA$11),ROW()-10,2),"")</f>
        <v/>
      </c>
      <c r="C21" s="4" t="str" cm="1">
        <f t="array" aca="1" ref="C21" ca="1">IFERROR(INDEX(_xlfn.ANCHORARRAY($AA$11),ROW()-10,3),"")</f>
        <v/>
      </c>
      <c r="D21" s="15" t="str" cm="1">
        <f t="array" aca="1" ref="D21" ca="1">IFERROR(INDEX(_xlfn.ANCHORARRAY($AA$11),ROW()-10,4),"")</f>
        <v/>
      </c>
      <c r="E21" s="4" t="str" cm="1">
        <f t="array" aca="1" ref="E21" ca="1">IFERROR(INDEX(_xlfn.ANCHORARRAY($AA$11),ROW()-10,5),"")</f>
        <v/>
      </c>
      <c r="F21" s="15" t="str" cm="1">
        <f t="array" aca="1" ref="F21" ca="1">IFERROR(INDEX(_xlfn.ANCHORARRAY($AA$11),ROW()-10,6),"")</f>
        <v/>
      </c>
      <c r="G21" s="4" t="str" cm="1">
        <f t="array" aca="1" ref="G21" ca="1">IFERROR(INDEX(_xlfn.ANCHORARRAY($AA$11),ROW()-10,7),"")</f>
        <v/>
      </c>
      <c r="H21" s="4" t="str" cm="1">
        <f t="array" aca="1" ref="H21" ca="1">IFERROR(INDEX(_xlfn.ANCHORARRAY($AA$11),ROW()-10,8),"")</f>
        <v/>
      </c>
      <c r="I21" s="4" t="str" cm="1">
        <f t="array" aca="1" ref="I21" ca="1">IFERROR(INDEX(_xlfn.ANCHORARRAY($AA$11),ROW()-10,9),"")</f>
        <v/>
      </c>
      <c r="J21" s="4" t="str">
        <f t="shared" ca="1" si="0"/>
        <v/>
      </c>
      <c r="K21" s="4" t="str">
        <f t="shared" ca="1" si="1"/>
        <v/>
      </c>
      <c r="L21" s="4" t="str" cm="1">
        <f t="array" aca="1" ref="L21" ca="1">_xlfn.LET(_xlpm.link,IFERROR(INDEX(_xlfn.ANCHORARRAY($AA$11),ROW()-10,12),""),IF(_xlpm.link="","",HYPERLINK(_xlpm.link,"Bluecore/Attentive")))</f>
        <v/>
      </c>
      <c r="M21" s="88" t="str">
        <f t="shared" ca="1" si="2"/>
        <v/>
      </c>
      <c r="N21"/>
      <c r="O21"/>
      <c r="P21"/>
      <c r="Q21"/>
      <c r="R21"/>
      <c r="S21"/>
      <c r="T21" s="6"/>
      <c r="U21" s="6"/>
      <c r="V21" s="6"/>
      <c r="W21" s="6"/>
      <c r="X21" s="6"/>
      <c r="Y21" s="6"/>
      <c r="Z21" s="6"/>
      <c r="AA21" s="32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34" t="str" cm="1">
        <f t="array" aca="1" ref="A22" ca="1">IFERROR(INDEX(_xlfn.ANCHORARRAY($AA$11),ROW()-10,1),"")</f>
        <v/>
      </c>
      <c r="B22" s="20" t="str" cm="1">
        <f t="array" aca="1" ref="B22" ca="1">IFERROR(INDEX(_xlfn.ANCHORARRAY($AA$11),ROW()-10,2),"")</f>
        <v/>
      </c>
      <c r="C22" s="4" t="str" cm="1">
        <f t="array" aca="1" ref="C22" ca="1">IFERROR(INDEX(_xlfn.ANCHORARRAY($AA$11),ROW()-10,3),"")</f>
        <v/>
      </c>
      <c r="D22" s="15" t="str" cm="1">
        <f t="array" aca="1" ref="D22" ca="1">IFERROR(INDEX(_xlfn.ANCHORARRAY($AA$11),ROW()-10,4),"")</f>
        <v/>
      </c>
      <c r="E22" s="4" t="str" cm="1">
        <f t="array" aca="1" ref="E22" ca="1">IFERROR(INDEX(_xlfn.ANCHORARRAY($AA$11),ROW()-10,5),"")</f>
        <v/>
      </c>
      <c r="F22" s="15" t="str" cm="1">
        <f t="array" aca="1" ref="F22" ca="1">IFERROR(INDEX(_xlfn.ANCHORARRAY($AA$11),ROW()-10,6),"")</f>
        <v/>
      </c>
      <c r="G22" s="4" t="str" cm="1">
        <f t="array" aca="1" ref="G22" ca="1">IFERROR(INDEX(_xlfn.ANCHORARRAY($AA$11),ROW()-10,7),"")</f>
        <v/>
      </c>
      <c r="H22" s="4" t="str" cm="1">
        <f t="array" aca="1" ref="H22" ca="1">IFERROR(INDEX(_xlfn.ANCHORARRAY($AA$11),ROW()-10,8),"")</f>
        <v/>
      </c>
      <c r="I22" s="4" t="str" cm="1">
        <f t="array" aca="1" ref="I22" ca="1">IFERROR(INDEX(_xlfn.ANCHORARRAY($AA$11),ROW()-10,9),"")</f>
        <v/>
      </c>
      <c r="J22" s="4" t="str">
        <f t="shared" ca="1" si="0"/>
        <v/>
      </c>
      <c r="K22" s="4" t="str">
        <f t="shared" ca="1" si="1"/>
        <v/>
      </c>
      <c r="L22" s="4" t="str" cm="1">
        <f t="array" aca="1" ref="L22" ca="1">_xlfn.LET(_xlpm.link,IFERROR(INDEX(_xlfn.ANCHORARRAY($AA$11),ROW()-10,12),""),IF(_xlpm.link="","",HYPERLINK(_xlpm.link,"Bluecore/Attentive")))</f>
        <v/>
      </c>
      <c r="M22" s="89" t="str">
        <f t="shared" ca="1" si="2"/>
        <v/>
      </c>
      <c r="N22"/>
      <c r="O22"/>
      <c r="P22"/>
      <c r="Q22"/>
      <c r="R22"/>
      <c r="S22"/>
      <c r="T22" s="6"/>
      <c r="U22" s="6"/>
      <c r="V22" s="6"/>
      <c r="W22" s="6"/>
      <c r="X22" s="6"/>
      <c r="Y22" s="6"/>
      <c r="Z22" s="6"/>
      <c r="AA22" s="3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34" t="str" cm="1">
        <f t="array" aca="1" ref="A23" ca="1">IFERROR(INDEX(_xlfn.ANCHORARRAY($AA$11),ROW()-10,1),"")</f>
        <v/>
      </c>
      <c r="B23" s="20" t="str" cm="1">
        <f t="array" aca="1" ref="B23" ca="1">IFERROR(INDEX(_xlfn.ANCHORARRAY($AA$11),ROW()-10,2),"")</f>
        <v/>
      </c>
      <c r="C23" s="4" t="str" cm="1">
        <f t="array" aca="1" ref="C23" ca="1">IFERROR(INDEX(_xlfn.ANCHORARRAY($AA$11),ROW()-10,3),"")</f>
        <v/>
      </c>
      <c r="D23" s="15" t="str" cm="1">
        <f t="array" aca="1" ref="D23" ca="1">IFERROR(INDEX(_xlfn.ANCHORARRAY($AA$11),ROW()-10,4),"")</f>
        <v/>
      </c>
      <c r="E23" s="4" t="str" cm="1">
        <f t="array" aca="1" ref="E23" ca="1">IFERROR(INDEX(_xlfn.ANCHORARRAY($AA$11),ROW()-10,5),"")</f>
        <v/>
      </c>
      <c r="F23" s="15" t="str" cm="1">
        <f t="array" aca="1" ref="F23" ca="1">IFERROR(INDEX(_xlfn.ANCHORARRAY($AA$11),ROW()-10,6),"")</f>
        <v/>
      </c>
      <c r="G23" s="4" t="str" cm="1">
        <f t="array" aca="1" ref="G23" ca="1">IFERROR(INDEX(_xlfn.ANCHORARRAY($AA$11),ROW()-10,7),"")</f>
        <v/>
      </c>
      <c r="H23" s="4" t="str" cm="1">
        <f t="array" aca="1" ref="H23" ca="1">IFERROR(INDEX(_xlfn.ANCHORARRAY($AA$11),ROW()-10,8),"")</f>
        <v/>
      </c>
      <c r="I23" s="4" t="str" cm="1">
        <f t="array" aca="1" ref="I23" ca="1">IFERROR(INDEX(_xlfn.ANCHORARRAY($AA$11),ROW()-10,9),"")</f>
        <v/>
      </c>
      <c r="J23" s="4" t="str">
        <f t="shared" ca="1" si="0"/>
        <v/>
      </c>
      <c r="K23" s="4" t="str">
        <f t="shared" ca="1" si="1"/>
        <v/>
      </c>
      <c r="L23" s="4" t="str" cm="1">
        <f t="array" aca="1" ref="L23" ca="1">_xlfn.LET(_xlpm.link,IFERROR(INDEX(_xlfn.ANCHORARRAY($AA$11),ROW()-10,12),""),IF(_xlpm.link="","",HYPERLINK(_xlpm.link,"Bluecore/Attentive")))</f>
        <v/>
      </c>
      <c r="M23" s="88" t="str">
        <f t="shared" ca="1" si="2"/>
        <v/>
      </c>
      <c r="N23"/>
      <c r="O23"/>
      <c r="P23"/>
      <c r="Q23"/>
      <c r="R23"/>
      <c r="S23"/>
      <c r="T23" s="6"/>
      <c r="U23" s="6"/>
      <c r="V23" s="6"/>
      <c r="W23" s="6"/>
      <c r="X23" s="6"/>
      <c r="Y23" s="6"/>
      <c r="Z23" s="6"/>
      <c r="AA23" s="32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>
      <c r="A24" s="34" t="str" cm="1">
        <f t="array" aca="1" ref="A24" ca="1">IFERROR(INDEX(_xlfn.ANCHORARRAY($AA$11),ROW()-10,1),"")</f>
        <v/>
      </c>
      <c r="B24" s="20" t="str" cm="1">
        <f t="array" aca="1" ref="B24" ca="1">IFERROR(INDEX(_xlfn.ANCHORARRAY($AA$11),ROW()-10,2),"")</f>
        <v/>
      </c>
      <c r="C24" s="4" t="str" cm="1">
        <f t="array" aca="1" ref="C24" ca="1">IFERROR(INDEX(_xlfn.ANCHORARRAY($AA$11),ROW()-10,3),"")</f>
        <v/>
      </c>
      <c r="D24" s="15" t="str" cm="1">
        <f t="array" aca="1" ref="D24" ca="1">IFERROR(INDEX(_xlfn.ANCHORARRAY($AA$11),ROW()-10,4),"")</f>
        <v/>
      </c>
      <c r="E24" s="4" t="str" cm="1">
        <f t="array" aca="1" ref="E24" ca="1">IFERROR(INDEX(_xlfn.ANCHORARRAY($AA$11),ROW()-10,5),"")</f>
        <v/>
      </c>
      <c r="F24" s="15" t="str" cm="1">
        <f t="array" aca="1" ref="F24" ca="1">IFERROR(INDEX(_xlfn.ANCHORARRAY($AA$11),ROW()-10,6),"")</f>
        <v/>
      </c>
      <c r="G24" s="4" t="str" cm="1">
        <f t="array" aca="1" ref="G24" ca="1">IFERROR(INDEX(_xlfn.ANCHORARRAY($AA$11),ROW()-10,7),"")</f>
        <v/>
      </c>
      <c r="H24" s="4" t="str" cm="1">
        <f t="array" aca="1" ref="H24" ca="1">IFERROR(INDEX(_xlfn.ANCHORARRAY($AA$11),ROW()-10,8),"")</f>
        <v/>
      </c>
      <c r="I24" s="4" t="str" cm="1">
        <f t="array" aca="1" ref="I24" ca="1">IFERROR(INDEX(_xlfn.ANCHORARRAY($AA$11),ROW()-10,9),"")</f>
        <v/>
      </c>
      <c r="J24" s="4" t="str">
        <f t="shared" ca="1" si="0"/>
        <v/>
      </c>
      <c r="K24" s="4" t="str">
        <f t="shared" ca="1" si="1"/>
        <v/>
      </c>
      <c r="L24" s="4" t="str" cm="1">
        <f t="array" aca="1" ref="L24" ca="1">_xlfn.LET(_xlpm.link,IFERROR(INDEX(_xlfn.ANCHORARRAY($AA$11),ROW()-10,12),""),IF(_xlpm.link="","",HYPERLINK(_xlpm.link,"Bluecore/Attentive")))</f>
        <v/>
      </c>
      <c r="M24" s="89" t="str">
        <f t="shared" ca="1" si="2"/>
        <v/>
      </c>
      <c r="N24"/>
      <c r="O24"/>
      <c r="P24"/>
      <c r="Q24"/>
      <c r="R24"/>
      <c r="S24"/>
      <c r="T24" s="6"/>
      <c r="U24" s="6"/>
      <c r="V24" s="6"/>
      <c r="W24" s="6"/>
      <c r="X24" s="6"/>
      <c r="Y24" s="6"/>
      <c r="Z24" s="6"/>
      <c r="AA24" s="32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34" t="str" cm="1">
        <f t="array" aca="1" ref="A25" ca="1">IFERROR(INDEX(_xlfn.ANCHORARRAY($AA$11),ROW()-10,1),"")</f>
        <v/>
      </c>
      <c r="B25" s="20" t="str" cm="1">
        <f t="array" aca="1" ref="B25" ca="1">IFERROR(INDEX(_xlfn.ANCHORARRAY($AA$11),ROW()-10,2),"")</f>
        <v/>
      </c>
      <c r="C25" s="4" t="str" cm="1">
        <f t="array" aca="1" ref="C25" ca="1">IFERROR(INDEX(_xlfn.ANCHORARRAY($AA$11),ROW()-10,3),"")</f>
        <v/>
      </c>
      <c r="D25" s="15" t="str" cm="1">
        <f t="array" aca="1" ref="D25" ca="1">IFERROR(INDEX(_xlfn.ANCHORARRAY($AA$11),ROW()-10,4),"")</f>
        <v/>
      </c>
      <c r="E25" s="4" t="str" cm="1">
        <f t="array" aca="1" ref="E25" ca="1">IFERROR(INDEX(_xlfn.ANCHORARRAY($AA$11),ROW()-10,5),"")</f>
        <v/>
      </c>
      <c r="F25" s="15" t="str" cm="1">
        <f t="array" aca="1" ref="F25" ca="1">IFERROR(INDEX(_xlfn.ANCHORARRAY($AA$11),ROW()-10,6),"")</f>
        <v/>
      </c>
      <c r="G25" s="4" t="str" cm="1">
        <f t="array" aca="1" ref="G25" ca="1">IFERROR(INDEX(_xlfn.ANCHORARRAY($AA$11),ROW()-10,7),"")</f>
        <v/>
      </c>
      <c r="H25" s="4" t="str" cm="1">
        <f t="array" aca="1" ref="H25" ca="1">IFERROR(INDEX(_xlfn.ANCHORARRAY($AA$11),ROW()-10,8),"")</f>
        <v/>
      </c>
      <c r="I25" s="4" t="str" cm="1">
        <f t="array" aca="1" ref="I25" ca="1">IFERROR(INDEX(_xlfn.ANCHORARRAY($AA$11),ROW()-10,9),"")</f>
        <v/>
      </c>
      <c r="J25" s="4" t="str">
        <f t="shared" ca="1" si="0"/>
        <v/>
      </c>
      <c r="K25" s="4" t="str">
        <f t="shared" ca="1" si="1"/>
        <v/>
      </c>
      <c r="L25" s="4" t="str" cm="1">
        <f t="array" aca="1" ref="L25" ca="1">_xlfn.LET(_xlpm.link,IFERROR(INDEX(_xlfn.ANCHORARRAY($AA$11),ROW()-10,12),""),IF(_xlpm.link="","",HYPERLINK(_xlpm.link,"Bluecore/Attentive")))</f>
        <v/>
      </c>
      <c r="M25" s="88" t="str">
        <f t="shared" ca="1" si="2"/>
        <v/>
      </c>
      <c r="N25"/>
      <c r="O25"/>
      <c r="P25"/>
      <c r="Q25"/>
      <c r="R25"/>
      <c r="S25"/>
      <c r="T25" s="6"/>
      <c r="U25" s="6"/>
      <c r="V25" s="6"/>
      <c r="W25" s="6"/>
      <c r="X25" s="6"/>
      <c r="Y25" s="6"/>
      <c r="Z25" s="6"/>
      <c r="AA25" s="32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34" t="str" cm="1">
        <f t="array" aca="1" ref="A26" ca="1">IFERROR(INDEX(_xlfn.ANCHORARRAY($AA$11),ROW()-10,1),"")</f>
        <v/>
      </c>
      <c r="B26" s="20" t="str" cm="1">
        <f t="array" aca="1" ref="B26" ca="1">IFERROR(INDEX(_xlfn.ANCHORARRAY($AA$11),ROW()-10,2),"")</f>
        <v/>
      </c>
      <c r="C26" s="4" t="str" cm="1">
        <f t="array" aca="1" ref="C26" ca="1">IFERROR(INDEX(_xlfn.ANCHORARRAY($AA$11),ROW()-10,3),"")</f>
        <v/>
      </c>
      <c r="D26" s="15" t="str" cm="1">
        <f t="array" aca="1" ref="D26" ca="1">IFERROR(INDEX(_xlfn.ANCHORARRAY($AA$11),ROW()-10,4),"")</f>
        <v/>
      </c>
      <c r="E26" s="4" t="str" cm="1">
        <f t="array" aca="1" ref="E26" ca="1">IFERROR(INDEX(_xlfn.ANCHORARRAY($AA$11),ROW()-10,5),"")</f>
        <v/>
      </c>
      <c r="F26" s="15" t="str" cm="1">
        <f t="array" aca="1" ref="F26" ca="1">IFERROR(INDEX(_xlfn.ANCHORARRAY($AA$11),ROW()-10,6),"")</f>
        <v/>
      </c>
      <c r="G26" s="4" t="str" cm="1">
        <f t="array" aca="1" ref="G26" ca="1">IFERROR(INDEX(_xlfn.ANCHORARRAY($AA$11),ROW()-10,7),"")</f>
        <v/>
      </c>
      <c r="H26" s="4" t="str" cm="1">
        <f t="array" aca="1" ref="H26" ca="1">IFERROR(INDEX(_xlfn.ANCHORARRAY($AA$11),ROW()-10,8),"")</f>
        <v/>
      </c>
      <c r="I26" s="4" t="str" cm="1">
        <f t="array" aca="1" ref="I26" ca="1">IFERROR(INDEX(_xlfn.ANCHORARRAY($AA$11),ROW()-10,9),"")</f>
        <v/>
      </c>
      <c r="J26" s="4" t="str">
        <f t="shared" ca="1" si="0"/>
        <v/>
      </c>
      <c r="K26" s="4" t="str">
        <f t="shared" ca="1" si="1"/>
        <v/>
      </c>
      <c r="L26" s="4" t="str" cm="1">
        <f t="array" aca="1" ref="L26" ca="1">_xlfn.LET(_xlpm.link,IFERROR(INDEX(_xlfn.ANCHORARRAY($AA$11),ROW()-10,12),""),IF(_xlpm.link="","",HYPERLINK(_xlpm.link,"Bluecore/Attentive")))</f>
        <v/>
      </c>
      <c r="M26" s="89" t="str">
        <f t="shared" ca="1" si="2"/>
        <v/>
      </c>
      <c r="N26"/>
      <c r="O26"/>
      <c r="P26"/>
      <c r="Q26"/>
      <c r="R26"/>
      <c r="S26"/>
      <c r="T26" s="6"/>
      <c r="U26" s="6"/>
      <c r="V26" s="6"/>
      <c r="W26" s="6"/>
      <c r="X26" s="6"/>
      <c r="Y26" s="6"/>
      <c r="Z26" s="6"/>
      <c r="AA26" s="32"/>
      <c r="AB26"/>
      <c r="AC26"/>
      <c r="AD26"/>
      <c r="AE26"/>
      <c r="AF26"/>
      <c r="AG26"/>
      <c r="AH26"/>
      <c r="AI26"/>
      <c r="AJ26"/>
      <c r="AK26"/>
      <c r="AL26"/>
    </row>
    <row r="27" spans="1:38">
      <c r="A27" s="34" t="str" cm="1">
        <f t="array" aca="1" ref="A27" ca="1">IFERROR(INDEX(_xlfn.ANCHORARRAY($AA$11),ROW()-10,1),"")</f>
        <v/>
      </c>
      <c r="B27" s="20" t="str" cm="1">
        <f t="array" aca="1" ref="B27" ca="1">IFERROR(INDEX(_xlfn.ANCHORARRAY($AA$11),ROW()-10,2),"")</f>
        <v/>
      </c>
      <c r="C27" s="4" t="str" cm="1">
        <f t="array" aca="1" ref="C27" ca="1">IFERROR(INDEX(_xlfn.ANCHORARRAY($AA$11),ROW()-10,3),"")</f>
        <v/>
      </c>
      <c r="D27" s="15" t="str" cm="1">
        <f t="array" aca="1" ref="D27" ca="1">IFERROR(INDEX(_xlfn.ANCHORARRAY($AA$11),ROW()-10,4),"")</f>
        <v/>
      </c>
      <c r="E27" s="4" t="str" cm="1">
        <f t="array" aca="1" ref="E27" ca="1">IFERROR(INDEX(_xlfn.ANCHORARRAY($AA$11),ROW()-10,5),"")</f>
        <v/>
      </c>
      <c r="F27" s="15" t="str" cm="1">
        <f t="array" aca="1" ref="F27" ca="1">IFERROR(INDEX(_xlfn.ANCHORARRAY($AA$11),ROW()-10,6),"")</f>
        <v/>
      </c>
      <c r="G27" s="4" t="str" cm="1">
        <f t="array" aca="1" ref="G27" ca="1">IFERROR(INDEX(_xlfn.ANCHORARRAY($AA$11),ROW()-10,7),"")</f>
        <v/>
      </c>
      <c r="H27" s="4" t="str" cm="1">
        <f t="array" aca="1" ref="H27" ca="1">IFERROR(INDEX(_xlfn.ANCHORARRAY($AA$11),ROW()-10,8),"")</f>
        <v/>
      </c>
      <c r="I27" s="4" t="str" cm="1">
        <f t="array" aca="1" ref="I27" ca="1">IFERROR(INDEX(_xlfn.ANCHORARRAY($AA$11),ROW()-10,9),"")</f>
        <v/>
      </c>
      <c r="J27" s="4" t="str">
        <f t="shared" ca="1" si="0"/>
        <v/>
      </c>
      <c r="K27" s="4" t="str">
        <f t="shared" ca="1" si="1"/>
        <v/>
      </c>
      <c r="L27" s="4" t="str" cm="1">
        <f t="array" aca="1" ref="L27" ca="1">_xlfn.LET(_xlpm.link,IFERROR(INDEX(_xlfn.ANCHORARRAY($AA$11),ROW()-10,12),""),IF(_xlpm.link="","",HYPERLINK(_xlpm.link,"Bluecore/Attentive")))</f>
        <v/>
      </c>
      <c r="M27" s="88" t="str">
        <f t="shared" ca="1" si="2"/>
        <v/>
      </c>
      <c r="N27"/>
      <c r="O27"/>
      <c r="P27"/>
      <c r="Q27"/>
      <c r="R27"/>
      <c r="S27"/>
      <c r="T27" s="6"/>
      <c r="U27" s="6"/>
      <c r="V27" s="6"/>
      <c r="W27" s="6"/>
      <c r="X27" s="6"/>
      <c r="Y27" s="6"/>
      <c r="Z27" s="6"/>
      <c r="AA27" s="32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34" t="str" cm="1">
        <f t="array" aca="1" ref="A28" ca="1">IFERROR(INDEX(_xlfn.ANCHORARRAY($AA$11),ROW()-10,1),"")</f>
        <v/>
      </c>
      <c r="B28" s="20" t="str" cm="1">
        <f t="array" aca="1" ref="B28" ca="1">IFERROR(INDEX(_xlfn.ANCHORARRAY($AA$11),ROW()-10,2),"")</f>
        <v/>
      </c>
      <c r="C28" s="4" t="str" cm="1">
        <f t="array" aca="1" ref="C28" ca="1">IFERROR(INDEX(_xlfn.ANCHORARRAY($AA$11),ROW()-10,3),"")</f>
        <v/>
      </c>
      <c r="D28" s="15" t="str" cm="1">
        <f t="array" aca="1" ref="D28" ca="1">IFERROR(INDEX(_xlfn.ANCHORARRAY($AA$11),ROW()-10,4),"")</f>
        <v/>
      </c>
      <c r="E28" s="4" t="str" cm="1">
        <f t="array" aca="1" ref="E28" ca="1">IFERROR(INDEX(_xlfn.ANCHORARRAY($AA$11),ROW()-10,5),"")</f>
        <v/>
      </c>
      <c r="F28" s="15" t="str" cm="1">
        <f t="array" aca="1" ref="F28" ca="1">IFERROR(INDEX(_xlfn.ANCHORARRAY($AA$11),ROW()-10,6),"")</f>
        <v/>
      </c>
      <c r="G28" s="4" t="str" cm="1">
        <f t="array" aca="1" ref="G28" ca="1">IFERROR(INDEX(_xlfn.ANCHORARRAY($AA$11),ROW()-10,7),"")</f>
        <v/>
      </c>
      <c r="H28" s="4" t="str" cm="1">
        <f t="array" aca="1" ref="H28" ca="1">IFERROR(INDEX(_xlfn.ANCHORARRAY($AA$11),ROW()-10,8),"")</f>
        <v/>
      </c>
      <c r="I28" s="4" t="str" cm="1">
        <f t="array" aca="1" ref="I28" ca="1">IFERROR(INDEX(_xlfn.ANCHORARRAY($AA$11),ROW()-10,9),"")</f>
        <v/>
      </c>
      <c r="J28" s="4" t="str">
        <f t="shared" ca="1" si="0"/>
        <v/>
      </c>
      <c r="K28" s="4" t="str">
        <f t="shared" ca="1" si="1"/>
        <v/>
      </c>
      <c r="L28" s="4" t="str" cm="1">
        <f t="array" aca="1" ref="L28" ca="1">_xlfn.LET(_xlpm.link,IFERROR(INDEX(_xlfn.ANCHORARRAY($AA$11),ROW()-10,12),""),IF(_xlpm.link="","",HYPERLINK(_xlpm.link,"Bluecore/Attentive")))</f>
        <v/>
      </c>
      <c r="M28" s="89" t="str">
        <f t="shared" ca="1" si="2"/>
        <v/>
      </c>
      <c r="N28"/>
      <c r="O28"/>
      <c r="P28"/>
      <c r="Q28"/>
      <c r="R28"/>
      <c r="S28"/>
      <c r="T28" s="6"/>
      <c r="U28" s="6"/>
      <c r="V28" s="6"/>
      <c r="W28" s="6"/>
      <c r="X28" s="6"/>
      <c r="Y28" s="6"/>
      <c r="Z28" s="6"/>
      <c r="AA28" s="32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34" t="str" cm="1">
        <f t="array" aca="1" ref="A29" ca="1">IFERROR(INDEX(_xlfn.ANCHORARRAY($AA$11),ROW()-10,1),"")</f>
        <v/>
      </c>
      <c r="B29" s="20" t="str" cm="1">
        <f t="array" aca="1" ref="B29" ca="1">IFERROR(INDEX(_xlfn.ANCHORARRAY($AA$11),ROW()-10,2),"")</f>
        <v/>
      </c>
      <c r="C29" s="4" t="str" cm="1">
        <f t="array" aca="1" ref="C29" ca="1">IFERROR(INDEX(_xlfn.ANCHORARRAY($AA$11),ROW()-10,3),"")</f>
        <v/>
      </c>
      <c r="D29" s="15" t="str" cm="1">
        <f t="array" aca="1" ref="D29" ca="1">IFERROR(INDEX(_xlfn.ANCHORARRAY($AA$11),ROW()-10,4),"")</f>
        <v/>
      </c>
      <c r="E29" s="4" t="str" cm="1">
        <f t="array" aca="1" ref="E29" ca="1">IFERROR(INDEX(_xlfn.ANCHORARRAY($AA$11),ROW()-10,5),"")</f>
        <v/>
      </c>
      <c r="F29" s="15" t="str" cm="1">
        <f t="array" aca="1" ref="F29" ca="1">IFERROR(INDEX(_xlfn.ANCHORARRAY($AA$11),ROW()-10,6),"")</f>
        <v/>
      </c>
      <c r="G29" s="4" t="str" cm="1">
        <f t="array" aca="1" ref="G29" ca="1">IFERROR(INDEX(_xlfn.ANCHORARRAY($AA$11),ROW()-10,7),"")</f>
        <v/>
      </c>
      <c r="H29" s="4" t="str" cm="1">
        <f t="array" aca="1" ref="H29" ca="1">IFERROR(INDEX(_xlfn.ANCHORARRAY($AA$11),ROW()-10,8),"")</f>
        <v/>
      </c>
      <c r="I29" s="4" t="str" cm="1">
        <f t="array" aca="1" ref="I29" ca="1">IFERROR(INDEX(_xlfn.ANCHORARRAY($AA$11),ROW()-10,9),"")</f>
        <v/>
      </c>
      <c r="J29" s="4" t="str">
        <f t="shared" ca="1" si="0"/>
        <v/>
      </c>
      <c r="K29" s="4" t="str">
        <f t="shared" ca="1" si="1"/>
        <v/>
      </c>
      <c r="L29" s="4" t="str" cm="1">
        <f t="array" aca="1" ref="L29" ca="1">_xlfn.LET(_xlpm.link,IFERROR(INDEX(_xlfn.ANCHORARRAY($AA$11),ROW()-10,12),""),IF(_xlpm.link="","",HYPERLINK(_xlpm.link,"Bluecore/Attentive")))</f>
        <v/>
      </c>
      <c r="M29" s="88" t="str">
        <f t="shared" ca="1" si="2"/>
        <v/>
      </c>
      <c r="N29"/>
      <c r="O29"/>
      <c r="P29"/>
      <c r="Q29"/>
      <c r="R29"/>
      <c r="S29"/>
      <c r="T29" s="6"/>
      <c r="U29" s="6"/>
      <c r="V29" s="6"/>
      <c r="W29" s="6"/>
      <c r="X29" s="6"/>
      <c r="Y29" s="6"/>
      <c r="Z29" s="6"/>
      <c r="AA29" s="32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34" t="str" cm="1">
        <f t="array" aca="1" ref="A30" ca="1">IFERROR(INDEX(_xlfn.ANCHORARRAY($AA$11),ROW()-10,1),"")</f>
        <v/>
      </c>
      <c r="B30" s="20" t="str" cm="1">
        <f t="array" aca="1" ref="B30" ca="1">IFERROR(INDEX(_xlfn.ANCHORARRAY($AA$11),ROW()-10,2),"")</f>
        <v/>
      </c>
      <c r="C30" s="4" t="str" cm="1">
        <f t="array" aca="1" ref="C30" ca="1">IFERROR(INDEX(_xlfn.ANCHORARRAY($AA$11),ROW()-10,3),"")</f>
        <v/>
      </c>
      <c r="D30" s="15" t="str" cm="1">
        <f t="array" aca="1" ref="D30" ca="1">IFERROR(INDEX(_xlfn.ANCHORARRAY($AA$11),ROW()-10,4),"")</f>
        <v/>
      </c>
      <c r="E30" s="4" t="str" cm="1">
        <f t="array" aca="1" ref="E30" ca="1">IFERROR(INDEX(_xlfn.ANCHORARRAY($AA$11),ROW()-10,5),"")</f>
        <v/>
      </c>
      <c r="F30" s="15" t="str" cm="1">
        <f t="array" aca="1" ref="F30" ca="1">IFERROR(INDEX(_xlfn.ANCHORARRAY($AA$11),ROW()-10,6),"")</f>
        <v/>
      </c>
      <c r="G30" s="4" t="str" cm="1">
        <f t="array" aca="1" ref="G30" ca="1">IFERROR(INDEX(_xlfn.ANCHORARRAY($AA$11),ROW()-10,7),"")</f>
        <v/>
      </c>
      <c r="H30" s="4" t="str" cm="1">
        <f t="array" aca="1" ref="H30" ca="1">IFERROR(INDEX(_xlfn.ANCHORARRAY($AA$11),ROW()-10,8),"")</f>
        <v/>
      </c>
      <c r="I30" s="4" t="str" cm="1">
        <f t="array" aca="1" ref="I30" ca="1">IFERROR(INDEX(_xlfn.ANCHORARRAY($AA$11),ROW()-10,9),"")</f>
        <v/>
      </c>
      <c r="J30" s="4" t="str">
        <f t="shared" ca="1" si="0"/>
        <v/>
      </c>
      <c r="K30" s="4" t="str">
        <f t="shared" ca="1" si="1"/>
        <v/>
      </c>
      <c r="L30" s="4" t="str" cm="1">
        <f t="array" aca="1" ref="L30" ca="1">_xlfn.LET(_xlpm.link,IFERROR(INDEX(_xlfn.ANCHORARRAY($AA$11),ROW()-10,12),""),IF(_xlpm.link="","",HYPERLINK(_xlpm.link,"Bluecore/Attentive")))</f>
        <v/>
      </c>
      <c r="M30" s="89" t="str">
        <f t="shared" ca="1" si="2"/>
        <v/>
      </c>
      <c r="N30"/>
      <c r="O30"/>
      <c r="P30"/>
      <c r="Q30"/>
      <c r="R30"/>
      <c r="S30"/>
      <c r="T30" s="6"/>
      <c r="U30" s="6"/>
      <c r="V30" s="6"/>
      <c r="W30" s="6"/>
      <c r="X30" s="6"/>
      <c r="Y30" s="6"/>
      <c r="Z30" s="6"/>
      <c r="AA30" s="32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34" t="str" cm="1">
        <f t="array" aca="1" ref="A31" ca="1">IFERROR(INDEX(_xlfn.ANCHORARRAY($AA$11),ROW()-10,1),"")</f>
        <v/>
      </c>
      <c r="B31" s="20" t="str" cm="1">
        <f t="array" aca="1" ref="B31" ca="1">IFERROR(INDEX(_xlfn.ANCHORARRAY($AA$11),ROW()-10,2),"")</f>
        <v/>
      </c>
      <c r="C31" s="4" t="str" cm="1">
        <f t="array" aca="1" ref="C31" ca="1">IFERROR(INDEX(_xlfn.ANCHORARRAY($AA$11),ROW()-10,3),"")</f>
        <v/>
      </c>
      <c r="D31" s="15" t="str" cm="1">
        <f t="array" aca="1" ref="D31" ca="1">IFERROR(INDEX(_xlfn.ANCHORARRAY($AA$11),ROW()-10,4),"")</f>
        <v/>
      </c>
      <c r="E31" s="4" t="str" cm="1">
        <f t="array" aca="1" ref="E31" ca="1">IFERROR(INDEX(_xlfn.ANCHORARRAY($AA$11),ROW()-10,5),"")</f>
        <v/>
      </c>
      <c r="F31" s="15" t="str" cm="1">
        <f t="array" aca="1" ref="F31" ca="1">IFERROR(INDEX(_xlfn.ANCHORARRAY($AA$11),ROW()-10,6),"")</f>
        <v/>
      </c>
      <c r="G31" s="4" t="str" cm="1">
        <f t="array" aca="1" ref="G31" ca="1">IFERROR(INDEX(_xlfn.ANCHORARRAY($AA$11),ROW()-10,7),"")</f>
        <v/>
      </c>
      <c r="H31" s="4" t="str" cm="1">
        <f t="array" aca="1" ref="H31" ca="1">IFERROR(INDEX(_xlfn.ANCHORARRAY($AA$11),ROW()-10,8),"")</f>
        <v/>
      </c>
      <c r="I31" s="4" t="str" cm="1">
        <f t="array" aca="1" ref="I31" ca="1">IFERROR(INDEX(_xlfn.ANCHORARRAY($AA$11),ROW()-10,9),"")</f>
        <v/>
      </c>
      <c r="J31" s="4" t="str">
        <f t="shared" ca="1" si="0"/>
        <v/>
      </c>
      <c r="K31" s="4" t="str">
        <f t="shared" ca="1" si="1"/>
        <v/>
      </c>
      <c r="L31" s="4" t="str" cm="1">
        <f t="array" aca="1" ref="L31" ca="1">_xlfn.LET(_xlpm.link,IFERROR(INDEX(_xlfn.ANCHORARRAY($AA$11),ROW()-10,12),""),IF(_xlpm.link="","",HYPERLINK(_xlpm.link,"Bluecore/Attentive")))</f>
        <v/>
      </c>
      <c r="M31" s="88" t="str">
        <f t="shared" ca="1" si="2"/>
        <v/>
      </c>
      <c r="N31"/>
      <c r="O31"/>
      <c r="P31"/>
      <c r="Q31"/>
      <c r="R31"/>
      <c r="S31"/>
      <c r="T31" s="6"/>
      <c r="U31" s="6"/>
      <c r="V31" s="6"/>
      <c r="W31" s="6"/>
      <c r="X31" s="6"/>
      <c r="Y31" s="6"/>
      <c r="Z31" s="6"/>
      <c r="AA31" s="32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34" t="str" cm="1">
        <f t="array" aca="1" ref="A32" ca="1">IFERROR(INDEX(_xlfn.ANCHORARRAY($AA$11),ROW()-10,1),"")</f>
        <v/>
      </c>
      <c r="B32" s="20" t="str" cm="1">
        <f t="array" aca="1" ref="B32" ca="1">IFERROR(INDEX(_xlfn.ANCHORARRAY($AA$11),ROW()-10,2),"")</f>
        <v/>
      </c>
      <c r="C32" s="4" t="str" cm="1">
        <f t="array" aca="1" ref="C32" ca="1">IFERROR(INDEX(_xlfn.ANCHORARRAY($AA$11),ROW()-10,3),"")</f>
        <v/>
      </c>
      <c r="D32" s="15" t="str" cm="1">
        <f t="array" aca="1" ref="D32" ca="1">IFERROR(INDEX(_xlfn.ANCHORARRAY($AA$11),ROW()-10,4),"")</f>
        <v/>
      </c>
      <c r="E32" s="4" t="str" cm="1">
        <f t="array" aca="1" ref="E32" ca="1">IFERROR(INDEX(_xlfn.ANCHORARRAY($AA$11),ROW()-10,5),"")</f>
        <v/>
      </c>
      <c r="F32" s="15" t="str" cm="1">
        <f t="array" aca="1" ref="F32" ca="1">IFERROR(INDEX(_xlfn.ANCHORARRAY($AA$11),ROW()-10,6),"")</f>
        <v/>
      </c>
      <c r="G32" s="4" t="str" cm="1">
        <f t="array" aca="1" ref="G32" ca="1">IFERROR(INDEX(_xlfn.ANCHORARRAY($AA$11),ROW()-10,7),"")</f>
        <v/>
      </c>
      <c r="H32" s="4" t="str" cm="1">
        <f t="array" aca="1" ref="H32" ca="1">IFERROR(INDEX(_xlfn.ANCHORARRAY($AA$11),ROW()-10,8),"")</f>
        <v/>
      </c>
      <c r="I32" s="4" t="str" cm="1">
        <f t="array" aca="1" ref="I32" ca="1">IFERROR(INDEX(_xlfn.ANCHORARRAY($AA$11),ROW()-10,9),"")</f>
        <v/>
      </c>
      <c r="J32" s="4" t="str">
        <f t="shared" ca="1" si="0"/>
        <v/>
      </c>
      <c r="K32" s="4" t="str">
        <f t="shared" ca="1" si="1"/>
        <v/>
      </c>
      <c r="L32" s="4" t="str" cm="1">
        <f t="array" aca="1" ref="L32" ca="1">_xlfn.LET(_xlpm.link,IFERROR(INDEX(_xlfn.ANCHORARRAY($AA$11),ROW()-10,12),""),IF(_xlpm.link="","",HYPERLINK(_xlpm.link,"Bluecore/Attentive")))</f>
        <v/>
      </c>
      <c r="M32" s="89" t="str">
        <f t="shared" ca="1" si="2"/>
        <v/>
      </c>
      <c r="N32"/>
      <c r="O32"/>
      <c r="P32"/>
      <c r="Q32"/>
      <c r="R32"/>
      <c r="S32"/>
      <c r="T32" s="6"/>
      <c r="U32" s="6"/>
      <c r="V32" s="6"/>
      <c r="W32" s="6"/>
      <c r="X32" s="6"/>
      <c r="Y32" s="6"/>
      <c r="Z32" s="6"/>
      <c r="AA32" s="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34" t="str" cm="1">
        <f t="array" aca="1" ref="A33" ca="1">IFERROR(INDEX(_xlfn.ANCHORARRAY($AA$11),ROW()-10,1),"")</f>
        <v/>
      </c>
      <c r="B33" s="20" t="str" cm="1">
        <f t="array" aca="1" ref="B33" ca="1">IFERROR(INDEX(_xlfn.ANCHORARRAY($AA$11),ROW()-10,2),"")</f>
        <v/>
      </c>
      <c r="C33" s="4" t="str" cm="1">
        <f t="array" aca="1" ref="C33" ca="1">IFERROR(INDEX(_xlfn.ANCHORARRAY($AA$11),ROW()-10,3),"")</f>
        <v/>
      </c>
      <c r="D33" s="15" t="str" cm="1">
        <f t="array" aca="1" ref="D33" ca="1">IFERROR(INDEX(_xlfn.ANCHORARRAY($AA$11),ROW()-10,4),"")</f>
        <v/>
      </c>
      <c r="E33" s="4" t="str" cm="1">
        <f t="array" aca="1" ref="E33" ca="1">IFERROR(INDEX(_xlfn.ANCHORARRAY($AA$11),ROW()-10,5),"")</f>
        <v/>
      </c>
      <c r="F33" s="15" t="str" cm="1">
        <f t="array" aca="1" ref="F33" ca="1">IFERROR(INDEX(_xlfn.ANCHORARRAY($AA$11),ROW()-10,6),"")</f>
        <v/>
      </c>
      <c r="G33" s="4" t="str" cm="1">
        <f t="array" aca="1" ref="G33" ca="1">IFERROR(INDEX(_xlfn.ANCHORARRAY($AA$11),ROW()-10,7),"")</f>
        <v/>
      </c>
      <c r="H33" s="4" t="str" cm="1">
        <f t="array" aca="1" ref="H33" ca="1">IFERROR(INDEX(_xlfn.ANCHORARRAY($AA$11),ROW()-10,8),"")</f>
        <v/>
      </c>
      <c r="I33" s="4" t="str" cm="1">
        <f t="array" aca="1" ref="I33" ca="1">IFERROR(INDEX(_xlfn.ANCHORARRAY($AA$11),ROW()-10,9),"")</f>
        <v/>
      </c>
      <c r="J33" s="4" t="str">
        <f t="shared" ca="1" si="0"/>
        <v/>
      </c>
      <c r="K33" s="4" t="str">
        <f t="shared" ca="1" si="1"/>
        <v/>
      </c>
      <c r="L33" s="4" t="str" cm="1">
        <f t="array" aca="1" ref="L33" ca="1">_xlfn.LET(_xlpm.link,IFERROR(INDEX(_xlfn.ANCHORARRAY($AA$11),ROW()-10,12),""),IF(_xlpm.link="","",HYPERLINK(_xlpm.link,"Bluecore/Attentive")))</f>
        <v/>
      </c>
      <c r="M33" s="88" t="str">
        <f t="shared" ca="1" si="2"/>
        <v/>
      </c>
      <c r="N33"/>
      <c r="O33"/>
      <c r="P33"/>
      <c r="Q33"/>
      <c r="R33"/>
      <c r="S33"/>
      <c r="T33" s="6"/>
      <c r="U33" s="6"/>
      <c r="V33" s="6"/>
      <c r="W33" s="6"/>
      <c r="X33" s="6"/>
      <c r="Y33" s="6"/>
      <c r="Z33" s="6"/>
      <c r="AA33" s="32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34" t="str" cm="1">
        <f t="array" aca="1" ref="A34" ca="1">IFERROR(INDEX(_xlfn.ANCHORARRAY($AA$11),ROW()-10,1),"")</f>
        <v/>
      </c>
      <c r="B34" s="20" t="str" cm="1">
        <f t="array" aca="1" ref="B34" ca="1">IFERROR(INDEX(_xlfn.ANCHORARRAY($AA$11),ROW()-10,2),"")</f>
        <v/>
      </c>
      <c r="C34" s="4" t="str" cm="1">
        <f t="array" aca="1" ref="C34" ca="1">IFERROR(INDEX(_xlfn.ANCHORARRAY($AA$11),ROW()-10,3),"")</f>
        <v/>
      </c>
      <c r="D34" s="15" t="str" cm="1">
        <f t="array" aca="1" ref="D34" ca="1">IFERROR(INDEX(_xlfn.ANCHORARRAY($AA$11),ROW()-10,4),"")</f>
        <v/>
      </c>
      <c r="E34" s="4" t="str" cm="1">
        <f t="array" aca="1" ref="E34" ca="1">IFERROR(INDEX(_xlfn.ANCHORARRAY($AA$11),ROW()-10,5),"")</f>
        <v/>
      </c>
      <c r="F34" s="15" t="str" cm="1">
        <f t="array" aca="1" ref="F34" ca="1">IFERROR(INDEX(_xlfn.ANCHORARRAY($AA$11),ROW()-10,6),"")</f>
        <v/>
      </c>
      <c r="G34" s="4" t="str" cm="1">
        <f t="array" aca="1" ref="G34" ca="1">IFERROR(INDEX(_xlfn.ANCHORARRAY($AA$11),ROW()-10,7),"")</f>
        <v/>
      </c>
      <c r="H34" s="4" t="str" cm="1">
        <f t="array" aca="1" ref="H34" ca="1">IFERROR(INDEX(_xlfn.ANCHORARRAY($AA$11),ROW()-10,8),"")</f>
        <v/>
      </c>
      <c r="I34" s="4" t="str" cm="1">
        <f t="array" aca="1" ref="I34" ca="1">IFERROR(INDEX(_xlfn.ANCHORARRAY($AA$11),ROW()-10,9),"")</f>
        <v/>
      </c>
      <c r="J34" s="4" t="str">
        <f t="shared" ca="1" si="0"/>
        <v/>
      </c>
      <c r="K34" s="4" t="str">
        <f t="shared" ca="1" si="1"/>
        <v/>
      </c>
      <c r="L34" s="4" t="str" cm="1">
        <f t="array" aca="1" ref="L34" ca="1">_xlfn.LET(_xlpm.link,IFERROR(INDEX(_xlfn.ANCHORARRAY($AA$11),ROW()-10,12),""),IF(_xlpm.link="","",HYPERLINK(_xlpm.link,"Bluecore/Attentive")))</f>
        <v/>
      </c>
      <c r="M34" s="89" t="str">
        <f t="shared" ca="1" si="2"/>
        <v/>
      </c>
      <c r="N34"/>
      <c r="O34"/>
      <c r="P34"/>
      <c r="Q34"/>
      <c r="R34"/>
      <c r="S34"/>
      <c r="T34" s="6"/>
      <c r="U34" s="6"/>
      <c r="V34" s="6"/>
      <c r="W34" s="6"/>
      <c r="X34" s="6"/>
      <c r="Y34" s="6"/>
      <c r="Z34" s="6"/>
      <c r="AA34" s="32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34" t="str" cm="1">
        <f t="array" aca="1" ref="A35" ca="1">IFERROR(INDEX(_xlfn.ANCHORARRAY($AA$11),ROW()-10,1),"")</f>
        <v/>
      </c>
      <c r="B35" s="20" t="str" cm="1">
        <f t="array" aca="1" ref="B35" ca="1">IFERROR(INDEX(_xlfn.ANCHORARRAY($AA$11),ROW()-10,2),"")</f>
        <v/>
      </c>
      <c r="C35" s="4" t="str" cm="1">
        <f t="array" aca="1" ref="C35" ca="1">IFERROR(INDEX(_xlfn.ANCHORARRAY($AA$11),ROW()-10,3),"")</f>
        <v/>
      </c>
      <c r="D35" s="15" t="str" cm="1">
        <f t="array" aca="1" ref="D35" ca="1">IFERROR(INDEX(_xlfn.ANCHORARRAY($AA$11),ROW()-10,4),"")</f>
        <v/>
      </c>
      <c r="E35" s="4" t="str" cm="1">
        <f t="array" aca="1" ref="E35" ca="1">IFERROR(INDEX(_xlfn.ANCHORARRAY($AA$11),ROW()-10,5),"")</f>
        <v/>
      </c>
      <c r="F35" s="15" t="str" cm="1">
        <f t="array" aca="1" ref="F35" ca="1">IFERROR(INDEX(_xlfn.ANCHORARRAY($AA$11),ROW()-10,6),"")</f>
        <v/>
      </c>
      <c r="G35" s="4" t="str" cm="1">
        <f t="array" aca="1" ref="G35" ca="1">IFERROR(INDEX(_xlfn.ANCHORARRAY($AA$11),ROW()-10,7),"")</f>
        <v/>
      </c>
      <c r="H35" s="4" t="str" cm="1">
        <f t="array" aca="1" ref="H35" ca="1">IFERROR(INDEX(_xlfn.ANCHORARRAY($AA$11),ROW()-10,8),"")</f>
        <v/>
      </c>
      <c r="I35" s="4" t="str" cm="1">
        <f t="array" aca="1" ref="I35" ca="1">IFERROR(INDEX(_xlfn.ANCHORARRAY($AA$11),ROW()-10,9),"")</f>
        <v/>
      </c>
      <c r="J35" s="4" t="str">
        <f t="shared" ca="1" si="0"/>
        <v/>
      </c>
      <c r="K35" s="4" t="str">
        <f t="shared" ca="1" si="1"/>
        <v/>
      </c>
      <c r="L35" s="4" t="str" cm="1">
        <f t="array" aca="1" ref="L35" ca="1">_xlfn.LET(_xlpm.link,IFERROR(INDEX(_xlfn.ANCHORARRAY($AA$11),ROW()-10,12),""),IF(_xlpm.link="","",HYPERLINK(_xlpm.link,"Bluecore/Attentive")))</f>
        <v/>
      </c>
      <c r="M35" s="88" t="str">
        <f t="shared" ca="1" si="2"/>
        <v/>
      </c>
      <c r="N35"/>
      <c r="O35"/>
      <c r="P35"/>
      <c r="Q35"/>
      <c r="R35"/>
      <c r="S35"/>
      <c r="T35" s="6"/>
      <c r="U35" s="6"/>
      <c r="V35" s="6"/>
      <c r="W35" s="6"/>
      <c r="X35" s="6"/>
      <c r="Y35" s="6"/>
      <c r="Z35" s="6"/>
      <c r="AA35" s="32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34" t="str" cm="1">
        <f t="array" aca="1" ref="A36" ca="1">IFERROR(INDEX(_xlfn.ANCHORARRAY($AA$11),ROW()-10,1),"")</f>
        <v/>
      </c>
      <c r="B36" s="20" t="str" cm="1">
        <f t="array" aca="1" ref="B36" ca="1">IFERROR(INDEX(_xlfn.ANCHORARRAY($AA$11),ROW()-10,2),"")</f>
        <v/>
      </c>
      <c r="C36" s="4" t="str" cm="1">
        <f t="array" aca="1" ref="C36" ca="1">IFERROR(INDEX(_xlfn.ANCHORARRAY($AA$11),ROW()-10,3),"")</f>
        <v/>
      </c>
      <c r="D36" s="15" t="str" cm="1">
        <f t="array" aca="1" ref="D36" ca="1">IFERROR(INDEX(_xlfn.ANCHORARRAY($AA$11),ROW()-10,4),"")</f>
        <v/>
      </c>
      <c r="E36" s="4" t="str" cm="1">
        <f t="array" aca="1" ref="E36" ca="1">IFERROR(INDEX(_xlfn.ANCHORARRAY($AA$11),ROW()-10,5),"")</f>
        <v/>
      </c>
      <c r="F36" s="15" t="str" cm="1">
        <f t="array" aca="1" ref="F36" ca="1">IFERROR(INDEX(_xlfn.ANCHORARRAY($AA$11),ROW()-10,6),"")</f>
        <v/>
      </c>
      <c r="G36" s="4" t="str" cm="1">
        <f t="array" aca="1" ref="G36" ca="1">IFERROR(INDEX(_xlfn.ANCHORARRAY($AA$11),ROW()-10,7),"")</f>
        <v/>
      </c>
      <c r="H36" s="4" t="str" cm="1">
        <f t="array" aca="1" ref="H36" ca="1">IFERROR(INDEX(_xlfn.ANCHORARRAY($AA$11),ROW()-10,8),"")</f>
        <v/>
      </c>
      <c r="I36" s="4" t="str" cm="1">
        <f t="array" aca="1" ref="I36" ca="1">IFERROR(INDEX(_xlfn.ANCHORARRAY($AA$11),ROW()-10,9),"")</f>
        <v/>
      </c>
      <c r="J36" s="4" t="str">
        <f t="shared" ca="1" si="0"/>
        <v/>
      </c>
      <c r="K36" s="4" t="str">
        <f t="shared" ca="1" si="1"/>
        <v/>
      </c>
      <c r="L36" s="4" t="str" cm="1">
        <f t="array" aca="1" ref="L36" ca="1">_xlfn.LET(_xlpm.link,IFERROR(INDEX(_xlfn.ANCHORARRAY($AA$11),ROW()-10,12),""),IF(_xlpm.link="","",HYPERLINK(_xlpm.link,"Bluecore/Attentive")))</f>
        <v/>
      </c>
      <c r="M36" s="89" t="str">
        <f t="shared" ca="1" si="2"/>
        <v/>
      </c>
      <c r="N36"/>
      <c r="O36"/>
      <c r="P36"/>
      <c r="Q36"/>
      <c r="R36"/>
      <c r="S36"/>
      <c r="T36" s="6"/>
      <c r="U36" s="6"/>
      <c r="V36" s="6"/>
      <c r="W36" s="6"/>
      <c r="X36" s="6"/>
      <c r="Y36" s="6"/>
      <c r="Z36" s="6"/>
      <c r="AA36" s="32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34" t="str" cm="1">
        <f t="array" aca="1" ref="A37" ca="1">IFERROR(INDEX(_xlfn.ANCHORARRAY($AA$11),ROW()-10,1),"")</f>
        <v/>
      </c>
      <c r="B37" s="20" t="str" cm="1">
        <f t="array" aca="1" ref="B37" ca="1">IFERROR(INDEX(_xlfn.ANCHORARRAY($AA$11),ROW()-10,2),"")</f>
        <v/>
      </c>
      <c r="C37" s="4" t="str" cm="1">
        <f t="array" aca="1" ref="C37" ca="1">IFERROR(INDEX(_xlfn.ANCHORARRAY($AA$11),ROW()-10,3),"")</f>
        <v/>
      </c>
      <c r="D37" s="15" t="str" cm="1">
        <f t="array" aca="1" ref="D37" ca="1">IFERROR(INDEX(_xlfn.ANCHORARRAY($AA$11),ROW()-10,4),"")</f>
        <v/>
      </c>
      <c r="E37" s="4" t="str" cm="1">
        <f t="array" aca="1" ref="E37" ca="1">IFERROR(INDEX(_xlfn.ANCHORARRAY($AA$11),ROW()-10,5),"")</f>
        <v/>
      </c>
      <c r="F37" s="15" t="str" cm="1">
        <f t="array" aca="1" ref="F37" ca="1">IFERROR(INDEX(_xlfn.ANCHORARRAY($AA$11),ROW()-10,6),"")</f>
        <v/>
      </c>
      <c r="G37" s="4" t="str" cm="1">
        <f t="array" aca="1" ref="G37" ca="1">IFERROR(INDEX(_xlfn.ANCHORARRAY($AA$11),ROW()-10,7),"")</f>
        <v/>
      </c>
      <c r="H37" s="4" t="str" cm="1">
        <f t="array" aca="1" ref="H37" ca="1">IFERROR(INDEX(_xlfn.ANCHORARRAY($AA$11),ROW()-10,8),"")</f>
        <v/>
      </c>
      <c r="I37" s="4" t="str" cm="1">
        <f t="array" aca="1" ref="I37" ca="1">IFERROR(INDEX(_xlfn.ANCHORARRAY($AA$11),ROW()-10,9),"")</f>
        <v/>
      </c>
      <c r="J37" s="4" t="str">
        <f t="shared" ca="1" si="0"/>
        <v/>
      </c>
      <c r="K37" s="4" t="str">
        <f t="shared" ca="1" si="1"/>
        <v/>
      </c>
      <c r="L37" s="4" t="str" cm="1">
        <f t="array" aca="1" ref="L37" ca="1">_xlfn.LET(_xlpm.link,IFERROR(INDEX(_xlfn.ANCHORARRAY($AA$11),ROW()-10,12),""),IF(_xlpm.link="","",HYPERLINK(_xlpm.link,"Bluecore/Attentive")))</f>
        <v/>
      </c>
      <c r="M37" s="88" t="str">
        <f t="shared" ca="1" si="2"/>
        <v/>
      </c>
      <c r="N37"/>
      <c r="O37"/>
      <c r="P37"/>
      <c r="Q37"/>
      <c r="R37"/>
      <c r="S37"/>
      <c r="T37" s="6"/>
      <c r="U37" s="6"/>
      <c r="V37" s="6"/>
      <c r="W37" s="6"/>
      <c r="X37" s="6"/>
      <c r="Y37" s="6"/>
      <c r="Z37" s="6"/>
      <c r="AA37" s="32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34" t="str" cm="1">
        <f t="array" aca="1" ref="A38" ca="1">IFERROR(INDEX(_xlfn.ANCHORARRAY($AA$11),ROW()-10,1),"")</f>
        <v/>
      </c>
      <c r="B38" s="20" t="str" cm="1">
        <f t="array" aca="1" ref="B38" ca="1">IFERROR(INDEX(_xlfn.ANCHORARRAY($AA$11),ROW()-10,2),"")</f>
        <v/>
      </c>
      <c r="C38" s="4" t="str" cm="1">
        <f t="array" aca="1" ref="C38" ca="1">IFERROR(INDEX(_xlfn.ANCHORARRAY($AA$11),ROW()-10,3),"")</f>
        <v/>
      </c>
      <c r="D38" s="15" t="str" cm="1">
        <f t="array" aca="1" ref="D38" ca="1">IFERROR(INDEX(_xlfn.ANCHORARRAY($AA$11),ROW()-10,4),"")</f>
        <v/>
      </c>
      <c r="E38" s="4" t="str" cm="1">
        <f t="array" aca="1" ref="E38" ca="1">IFERROR(INDEX(_xlfn.ANCHORARRAY($AA$11),ROW()-10,5),"")</f>
        <v/>
      </c>
      <c r="F38" s="15" t="str" cm="1">
        <f t="array" aca="1" ref="F38" ca="1">IFERROR(INDEX(_xlfn.ANCHORARRAY($AA$11),ROW()-10,6),"")</f>
        <v/>
      </c>
      <c r="G38" s="4" t="str" cm="1">
        <f t="array" aca="1" ref="G38" ca="1">IFERROR(INDEX(_xlfn.ANCHORARRAY($AA$11),ROW()-10,7),"")</f>
        <v/>
      </c>
      <c r="H38" s="4" t="str" cm="1">
        <f t="array" aca="1" ref="H38" ca="1">IFERROR(INDEX(_xlfn.ANCHORARRAY($AA$11),ROW()-10,8),"")</f>
        <v/>
      </c>
      <c r="I38" s="4" t="str" cm="1">
        <f t="array" aca="1" ref="I38" ca="1">IFERROR(INDEX(_xlfn.ANCHORARRAY($AA$11),ROW()-10,9),"")</f>
        <v/>
      </c>
      <c r="J38" s="4" t="str">
        <f t="shared" ca="1" si="0"/>
        <v/>
      </c>
      <c r="K38" s="4" t="str">
        <f t="shared" ca="1" si="1"/>
        <v/>
      </c>
      <c r="L38" s="4" t="str" cm="1">
        <f t="array" aca="1" ref="L38" ca="1">_xlfn.LET(_xlpm.link,IFERROR(INDEX(_xlfn.ANCHORARRAY($AA$11),ROW()-10,12),""),IF(_xlpm.link="","",HYPERLINK(_xlpm.link,"Bluecore/Attentive")))</f>
        <v/>
      </c>
      <c r="M38" s="89" t="str">
        <f t="shared" ca="1" si="2"/>
        <v/>
      </c>
      <c r="N38"/>
      <c r="O38"/>
      <c r="P38"/>
      <c r="Q38"/>
      <c r="R38"/>
      <c r="S38"/>
      <c r="T38" s="6"/>
      <c r="U38" s="6"/>
      <c r="V38" s="6"/>
      <c r="W38" s="6"/>
      <c r="X38" s="6"/>
      <c r="Y38" s="6"/>
      <c r="Z38" s="6"/>
      <c r="AA38" s="32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34" t="str" cm="1">
        <f t="array" aca="1" ref="A39" ca="1">IFERROR(INDEX(_xlfn.ANCHORARRAY($AA$11),ROW()-10,1),"")</f>
        <v/>
      </c>
      <c r="B39" s="20" t="str" cm="1">
        <f t="array" aca="1" ref="B39" ca="1">IFERROR(INDEX(_xlfn.ANCHORARRAY($AA$11),ROW()-10,2),"")</f>
        <v/>
      </c>
      <c r="C39" s="4" t="str" cm="1">
        <f t="array" aca="1" ref="C39" ca="1">IFERROR(INDEX(_xlfn.ANCHORARRAY($AA$11),ROW()-10,3),"")</f>
        <v/>
      </c>
      <c r="D39" s="15" t="str" cm="1">
        <f t="array" aca="1" ref="D39" ca="1">IFERROR(INDEX(_xlfn.ANCHORARRAY($AA$11),ROW()-10,4),"")</f>
        <v/>
      </c>
      <c r="E39" s="4" t="str" cm="1">
        <f t="array" aca="1" ref="E39" ca="1">IFERROR(INDEX(_xlfn.ANCHORARRAY($AA$11),ROW()-10,5),"")</f>
        <v/>
      </c>
      <c r="F39" s="15" t="str" cm="1">
        <f t="array" aca="1" ref="F39" ca="1">IFERROR(INDEX(_xlfn.ANCHORARRAY($AA$11),ROW()-10,6),"")</f>
        <v/>
      </c>
      <c r="G39" s="4" t="str" cm="1">
        <f t="array" aca="1" ref="G39" ca="1">IFERROR(INDEX(_xlfn.ANCHORARRAY($AA$11),ROW()-10,7),"")</f>
        <v/>
      </c>
      <c r="H39" s="4" t="str" cm="1">
        <f t="array" aca="1" ref="H39" ca="1">IFERROR(INDEX(_xlfn.ANCHORARRAY($AA$11),ROW()-10,8),"")</f>
        <v/>
      </c>
      <c r="I39" s="4" t="str" cm="1">
        <f t="array" aca="1" ref="I39" ca="1">IFERROR(INDEX(_xlfn.ANCHORARRAY($AA$11),ROW()-10,9),"")</f>
        <v/>
      </c>
      <c r="J39" s="4" t="str">
        <f t="shared" ca="1" si="0"/>
        <v/>
      </c>
      <c r="K39" s="4" t="str">
        <f t="shared" ca="1" si="1"/>
        <v/>
      </c>
      <c r="L39" s="4" t="str" cm="1">
        <f t="array" aca="1" ref="L39" ca="1">_xlfn.LET(_xlpm.link,IFERROR(INDEX(_xlfn.ANCHORARRAY($AA$11),ROW()-10,12),""),IF(_xlpm.link="","",HYPERLINK(_xlpm.link,"Bluecore/Attentive")))</f>
        <v/>
      </c>
      <c r="M39" s="88" t="str">
        <f t="shared" ca="1" si="2"/>
        <v/>
      </c>
      <c r="N39"/>
      <c r="O39"/>
      <c r="P39"/>
      <c r="Q39"/>
      <c r="R39"/>
      <c r="S39"/>
      <c r="T39" s="6"/>
      <c r="U39" s="6"/>
      <c r="V39" s="6"/>
      <c r="W39" s="6"/>
      <c r="X39" s="6"/>
      <c r="Y39" s="6"/>
      <c r="Z39" s="6"/>
      <c r="AA39" s="32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34" t="str" cm="1">
        <f t="array" aca="1" ref="A40" ca="1">IFERROR(INDEX(_xlfn.ANCHORARRAY($AA$11),ROW()-10,1),"")</f>
        <v/>
      </c>
      <c r="B40" s="20" t="str" cm="1">
        <f t="array" aca="1" ref="B40" ca="1">IFERROR(INDEX(_xlfn.ANCHORARRAY($AA$11),ROW()-10,2),"")</f>
        <v/>
      </c>
      <c r="C40" s="4" t="str" cm="1">
        <f t="array" aca="1" ref="C40" ca="1">IFERROR(INDEX(_xlfn.ANCHORARRAY($AA$11),ROW()-10,3),"")</f>
        <v/>
      </c>
      <c r="D40" s="15" t="str" cm="1">
        <f t="array" aca="1" ref="D40" ca="1">IFERROR(INDEX(_xlfn.ANCHORARRAY($AA$11),ROW()-10,4),"")</f>
        <v/>
      </c>
      <c r="E40" s="4" t="str" cm="1">
        <f t="array" aca="1" ref="E40" ca="1">IFERROR(INDEX(_xlfn.ANCHORARRAY($AA$11),ROW()-10,5),"")</f>
        <v/>
      </c>
      <c r="F40" s="15" t="str" cm="1">
        <f t="array" aca="1" ref="F40" ca="1">IFERROR(INDEX(_xlfn.ANCHORARRAY($AA$11),ROW()-10,6),"")</f>
        <v/>
      </c>
      <c r="G40" s="4" t="str" cm="1">
        <f t="array" aca="1" ref="G40" ca="1">IFERROR(INDEX(_xlfn.ANCHORARRAY($AA$11),ROW()-10,7),"")</f>
        <v/>
      </c>
      <c r="H40" s="4" t="str" cm="1">
        <f t="array" aca="1" ref="H40" ca="1">IFERROR(INDEX(_xlfn.ANCHORARRAY($AA$11),ROW()-10,8),"")</f>
        <v/>
      </c>
      <c r="I40" s="4" t="str" cm="1">
        <f t="array" aca="1" ref="I40" ca="1">IFERROR(INDEX(_xlfn.ANCHORARRAY($AA$11),ROW()-10,9),"")</f>
        <v/>
      </c>
      <c r="J40" s="4" t="str">
        <f t="shared" ca="1" si="0"/>
        <v/>
      </c>
      <c r="K40" s="4" t="str">
        <f t="shared" ca="1" si="1"/>
        <v/>
      </c>
      <c r="L40" s="4" t="str" cm="1">
        <f t="array" aca="1" ref="L40" ca="1">_xlfn.LET(_xlpm.link,IFERROR(INDEX(_xlfn.ANCHORARRAY($AA$11),ROW()-10,12),""),IF(_xlpm.link="","",HYPERLINK(_xlpm.link,"Bluecore/Attentive")))</f>
        <v/>
      </c>
      <c r="M40" s="89" t="str">
        <f t="shared" ca="1" si="2"/>
        <v/>
      </c>
      <c r="N40"/>
      <c r="O40"/>
      <c r="P40"/>
      <c r="Q40"/>
      <c r="R40"/>
      <c r="S40"/>
      <c r="T40" s="6"/>
      <c r="U40" s="6"/>
      <c r="V40" s="6"/>
      <c r="W40" s="6"/>
      <c r="X40" s="6"/>
      <c r="Y40" s="6"/>
      <c r="Z40" s="6"/>
      <c r="AA40" s="32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34" t="str" cm="1">
        <f t="array" aca="1" ref="A41" ca="1">IFERROR(INDEX(_xlfn.ANCHORARRAY($AA$11),ROW()-10,1),"")</f>
        <v/>
      </c>
      <c r="B41" s="20" t="str" cm="1">
        <f t="array" aca="1" ref="B41" ca="1">IFERROR(INDEX(_xlfn.ANCHORARRAY($AA$11),ROW()-10,2),"")</f>
        <v/>
      </c>
      <c r="C41" s="4" t="str" cm="1">
        <f t="array" aca="1" ref="C41" ca="1">IFERROR(INDEX(_xlfn.ANCHORARRAY($AA$11),ROW()-10,3),"")</f>
        <v/>
      </c>
      <c r="D41" s="15" t="str" cm="1">
        <f t="array" aca="1" ref="D41" ca="1">IFERROR(INDEX(_xlfn.ANCHORARRAY($AA$11),ROW()-10,4),"")</f>
        <v/>
      </c>
      <c r="E41" s="4" t="str" cm="1">
        <f t="array" aca="1" ref="E41" ca="1">IFERROR(INDEX(_xlfn.ANCHORARRAY($AA$11),ROW()-10,5),"")</f>
        <v/>
      </c>
      <c r="F41" s="15" t="str" cm="1">
        <f t="array" aca="1" ref="F41" ca="1">IFERROR(INDEX(_xlfn.ANCHORARRAY($AA$11),ROW()-10,6),"")</f>
        <v/>
      </c>
      <c r="G41" s="4" t="str" cm="1">
        <f t="array" aca="1" ref="G41" ca="1">IFERROR(INDEX(_xlfn.ANCHORARRAY($AA$11),ROW()-10,7),"")</f>
        <v/>
      </c>
      <c r="H41" s="4" t="str" cm="1">
        <f t="array" aca="1" ref="H41" ca="1">IFERROR(INDEX(_xlfn.ANCHORARRAY($AA$11),ROW()-10,8),"")</f>
        <v/>
      </c>
      <c r="I41" s="4" t="str" cm="1">
        <f t="array" aca="1" ref="I41" ca="1">IFERROR(INDEX(_xlfn.ANCHORARRAY($AA$11),ROW()-10,9),"")</f>
        <v/>
      </c>
      <c r="J41" s="4" t="str">
        <f t="shared" ca="1" si="0"/>
        <v/>
      </c>
      <c r="K41" s="4" t="str">
        <f t="shared" ca="1" si="1"/>
        <v/>
      </c>
      <c r="L41" s="4" t="str" cm="1">
        <f t="array" aca="1" ref="L41" ca="1">_xlfn.LET(_xlpm.link,IFERROR(INDEX(_xlfn.ANCHORARRAY($AA$11),ROW()-10,12),""),IF(_xlpm.link="","",HYPERLINK(_xlpm.link,"Bluecore/Attentive")))</f>
        <v/>
      </c>
      <c r="M41" s="88" t="str">
        <f t="shared" ca="1" si="2"/>
        <v/>
      </c>
      <c r="N41"/>
      <c r="O41"/>
      <c r="P41"/>
      <c r="Q41"/>
      <c r="R41"/>
      <c r="S41"/>
      <c r="T41" s="6"/>
      <c r="U41" s="6"/>
      <c r="V41" s="6"/>
      <c r="W41" s="6"/>
      <c r="X41" s="6"/>
      <c r="Y41" s="6"/>
      <c r="Z41" s="6"/>
      <c r="AA41" s="32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34" t="str" cm="1">
        <f t="array" aca="1" ref="A42" ca="1">IFERROR(INDEX(_xlfn.ANCHORARRAY($AA$11),ROW()-10,1),"")</f>
        <v/>
      </c>
      <c r="B42" s="20" t="str" cm="1">
        <f t="array" aca="1" ref="B42" ca="1">IFERROR(INDEX(_xlfn.ANCHORARRAY($AA$11),ROW()-10,2),"")</f>
        <v/>
      </c>
      <c r="C42" s="4" t="str" cm="1">
        <f t="array" aca="1" ref="C42" ca="1">IFERROR(INDEX(_xlfn.ANCHORARRAY($AA$11),ROW()-10,3),"")</f>
        <v/>
      </c>
      <c r="D42" s="15" t="str" cm="1">
        <f t="array" aca="1" ref="D42" ca="1">IFERROR(INDEX(_xlfn.ANCHORARRAY($AA$11),ROW()-10,4),"")</f>
        <v/>
      </c>
      <c r="E42" s="4" t="str" cm="1">
        <f t="array" aca="1" ref="E42" ca="1">IFERROR(INDEX(_xlfn.ANCHORARRAY($AA$11),ROW()-10,5),"")</f>
        <v/>
      </c>
      <c r="F42" s="15" t="str" cm="1">
        <f t="array" aca="1" ref="F42" ca="1">IFERROR(INDEX(_xlfn.ANCHORARRAY($AA$11),ROW()-10,6),"")</f>
        <v/>
      </c>
      <c r="G42" s="4" t="str" cm="1">
        <f t="array" aca="1" ref="G42" ca="1">IFERROR(INDEX(_xlfn.ANCHORARRAY($AA$11),ROW()-10,7),"")</f>
        <v/>
      </c>
      <c r="H42" s="4" t="str" cm="1">
        <f t="array" aca="1" ref="H42" ca="1">IFERROR(INDEX(_xlfn.ANCHORARRAY($AA$11),ROW()-10,8),"")</f>
        <v/>
      </c>
      <c r="I42" s="4" t="str" cm="1">
        <f t="array" aca="1" ref="I42" ca="1">IFERROR(INDEX(_xlfn.ANCHORARRAY($AA$11),ROW()-10,9),"")</f>
        <v/>
      </c>
      <c r="J42" s="4" t="str">
        <f t="shared" ca="1" si="0"/>
        <v/>
      </c>
      <c r="K42" s="4" t="str">
        <f t="shared" ca="1" si="1"/>
        <v/>
      </c>
      <c r="L42" s="4" t="str" cm="1">
        <f t="array" aca="1" ref="L42" ca="1">_xlfn.LET(_xlpm.link,IFERROR(INDEX(_xlfn.ANCHORARRAY($AA$11),ROW()-10,12),""),IF(_xlpm.link="","",HYPERLINK(_xlpm.link,"Bluecore/Attentive")))</f>
        <v/>
      </c>
      <c r="M42" s="89" t="str">
        <f t="shared" ca="1" si="2"/>
        <v/>
      </c>
      <c r="N42"/>
      <c r="O42"/>
      <c r="P42"/>
      <c r="Q42"/>
      <c r="R42"/>
      <c r="S42"/>
      <c r="T42" s="6"/>
      <c r="U42" s="6"/>
      <c r="V42" s="6"/>
      <c r="W42" s="6"/>
      <c r="X42" s="6"/>
      <c r="Y42" s="6"/>
      <c r="Z42" s="6"/>
      <c r="AA42" s="3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34" t="str" cm="1">
        <f t="array" aca="1" ref="A43" ca="1">IFERROR(INDEX(_xlfn.ANCHORARRAY($AA$11),ROW()-10,1),"")</f>
        <v/>
      </c>
      <c r="B43" s="20" t="str" cm="1">
        <f t="array" aca="1" ref="B43" ca="1">IFERROR(INDEX(_xlfn.ANCHORARRAY($AA$11),ROW()-10,2),"")</f>
        <v/>
      </c>
      <c r="C43" s="4" t="str" cm="1">
        <f t="array" aca="1" ref="C43" ca="1">IFERROR(INDEX(_xlfn.ANCHORARRAY($AA$11),ROW()-10,3),"")</f>
        <v/>
      </c>
      <c r="D43" s="15" t="str" cm="1">
        <f t="array" aca="1" ref="D43" ca="1">IFERROR(INDEX(_xlfn.ANCHORARRAY($AA$11),ROW()-10,4),"")</f>
        <v/>
      </c>
      <c r="E43" s="4" t="str" cm="1">
        <f t="array" aca="1" ref="E43" ca="1">IFERROR(INDEX(_xlfn.ANCHORARRAY($AA$11),ROW()-10,5),"")</f>
        <v/>
      </c>
      <c r="F43" s="15" t="str" cm="1">
        <f t="array" aca="1" ref="F43" ca="1">IFERROR(INDEX(_xlfn.ANCHORARRAY($AA$11),ROW()-10,6),"")</f>
        <v/>
      </c>
      <c r="G43" s="4" t="str" cm="1">
        <f t="array" aca="1" ref="G43" ca="1">IFERROR(INDEX(_xlfn.ANCHORARRAY($AA$11),ROW()-10,7),"")</f>
        <v/>
      </c>
      <c r="H43" s="4" t="str" cm="1">
        <f t="array" aca="1" ref="H43" ca="1">IFERROR(INDEX(_xlfn.ANCHORARRAY($AA$11),ROW()-10,8),"")</f>
        <v/>
      </c>
      <c r="I43" s="4" t="str" cm="1">
        <f t="array" aca="1" ref="I43" ca="1">IFERROR(INDEX(_xlfn.ANCHORARRAY($AA$11),ROW()-10,9),"")</f>
        <v/>
      </c>
      <c r="J43" s="4" t="str">
        <f t="shared" ref="J43:J74" ca="1" si="3">_xlfn.LET(_xlpm.ch,IFERROR(INDEX(_xlfn.ANCHORARRAY($AA$11),ROW()-10,3),""),_xlpm.link,IFERROR(INDEX(_xlfn.ANCHORARRAY($AA$11),ROW()-10,10),""),IF(OR(_xlpm.link="",_xlpm.ch="SMS"),"",HYPERLINK(_xlpm.link,"JIRA")))</f>
        <v/>
      </c>
      <c r="K43" s="4" t="str">
        <f t="shared" ref="K43:K74" ca="1" si="4">_xlfn.LET(_xlpm.ch,IFERROR(INDEX(_xlfn.ANCHORARRAY($AA$11),ROW()-10,3),""),_xlpm.link,IFERROR(INDEX(_xlfn.ANCHORARRAY($AA$11),ROW()-10,11),""),IF(OR(_xlpm.link="",_xlpm.ch="SMS"),"",HYPERLINK(_xlpm.link,"ClickUp")))</f>
        <v/>
      </c>
      <c r="L43" s="4" t="str" cm="1">
        <f t="array" aca="1" ref="L43" ca="1">_xlfn.LET(_xlpm.link,IFERROR(INDEX(_xlfn.ANCHORARRAY($AA$11),ROW()-10,12),""),IF(_xlpm.link="","",HYPERLINK(_xlpm.link,"Bluecore/Attentive")))</f>
        <v/>
      </c>
      <c r="M43" s="88" t="str">
        <f t="shared" ref="M43:M74" ca="1" si="5">_xlfn.LET(_xlpm.sendDate,$A43,_xlpm.camp,$D43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43"/>
      <c r="O43"/>
      <c r="P43"/>
      <c r="Q43"/>
      <c r="R43"/>
      <c r="S43"/>
      <c r="T43" s="6"/>
      <c r="U43" s="6"/>
      <c r="V43" s="6"/>
      <c r="W43" s="6"/>
      <c r="X43" s="6"/>
      <c r="Y43" s="6"/>
      <c r="Z43" s="6"/>
      <c r="AA43" s="32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34" t="str" cm="1">
        <f t="array" aca="1" ref="A44" ca="1">IFERROR(INDEX(_xlfn.ANCHORARRAY($AA$11),ROW()-10,1),"")</f>
        <v/>
      </c>
      <c r="B44" s="20" t="str" cm="1">
        <f t="array" aca="1" ref="B44" ca="1">IFERROR(INDEX(_xlfn.ANCHORARRAY($AA$11),ROW()-10,2),"")</f>
        <v/>
      </c>
      <c r="C44" s="4" t="str" cm="1">
        <f t="array" aca="1" ref="C44" ca="1">IFERROR(INDEX(_xlfn.ANCHORARRAY($AA$11),ROW()-10,3),"")</f>
        <v/>
      </c>
      <c r="D44" s="15" t="str" cm="1">
        <f t="array" aca="1" ref="D44" ca="1">IFERROR(INDEX(_xlfn.ANCHORARRAY($AA$11),ROW()-10,4),"")</f>
        <v/>
      </c>
      <c r="E44" s="4" t="str" cm="1">
        <f t="array" aca="1" ref="E44" ca="1">IFERROR(INDEX(_xlfn.ANCHORARRAY($AA$11),ROW()-10,5),"")</f>
        <v/>
      </c>
      <c r="F44" s="15" t="str" cm="1">
        <f t="array" aca="1" ref="F44" ca="1">IFERROR(INDEX(_xlfn.ANCHORARRAY($AA$11),ROW()-10,6),"")</f>
        <v/>
      </c>
      <c r="G44" s="4" t="str" cm="1">
        <f t="array" aca="1" ref="G44" ca="1">IFERROR(INDEX(_xlfn.ANCHORARRAY($AA$11),ROW()-10,7),"")</f>
        <v/>
      </c>
      <c r="H44" s="4" t="str" cm="1">
        <f t="array" aca="1" ref="H44" ca="1">IFERROR(INDEX(_xlfn.ANCHORARRAY($AA$11),ROW()-10,8),"")</f>
        <v/>
      </c>
      <c r="I44" s="4" t="str" cm="1">
        <f t="array" aca="1" ref="I44" ca="1">IFERROR(INDEX(_xlfn.ANCHORARRAY($AA$11),ROW()-10,9),"")</f>
        <v/>
      </c>
      <c r="J44" s="4" t="str">
        <f t="shared" ca="1" si="3"/>
        <v/>
      </c>
      <c r="K44" s="4" t="str">
        <f t="shared" ca="1" si="4"/>
        <v/>
      </c>
      <c r="L44" s="4" t="str" cm="1">
        <f t="array" aca="1" ref="L44" ca="1">_xlfn.LET(_xlpm.link,IFERROR(INDEX(_xlfn.ANCHORARRAY($AA$11),ROW()-10,12),""),IF(_xlpm.link="","",HYPERLINK(_xlpm.link,"Bluecore/Attentive")))</f>
        <v/>
      </c>
      <c r="M44" s="89" t="str">
        <f t="shared" ca="1" si="5"/>
        <v/>
      </c>
      <c r="N44"/>
      <c r="O44"/>
      <c r="P44"/>
      <c r="Q44"/>
      <c r="R44"/>
      <c r="S44"/>
      <c r="T44" s="6"/>
      <c r="U44" s="6"/>
      <c r="V44" s="6"/>
      <c r="W44" s="6"/>
      <c r="X44" s="6"/>
      <c r="Y44" s="6"/>
      <c r="Z44" s="6"/>
      <c r="AA44" s="32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34" t="str" cm="1">
        <f t="array" aca="1" ref="A45" ca="1">IFERROR(INDEX(_xlfn.ANCHORARRAY($AA$11),ROW()-10,1),"")</f>
        <v/>
      </c>
      <c r="B45" s="20" t="str" cm="1">
        <f t="array" aca="1" ref="B45" ca="1">IFERROR(INDEX(_xlfn.ANCHORARRAY($AA$11),ROW()-10,2),"")</f>
        <v/>
      </c>
      <c r="C45" s="4" t="str" cm="1">
        <f t="array" aca="1" ref="C45" ca="1">IFERROR(INDEX(_xlfn.ANCHORARRAY($AA$11),ROW()-10,3),"")</f>
        <v/>
      </c>
      <c r="D45" s="15" t="str" cm="1">
        <f t="array" aca="1" ref="D45" ca="1">IFERROR(INDEX(_xlfn.ANCHORARRAY($AA$11),ROW()-10,4),"")</f>
        <v/>
      </c>
      <c r="E45" s="4" t="str" cm="1">
        <f t="array" aca="1" ref="E45" ca="1">IFERROR(INDEX(_xlfn.ANCHORARRAY($AA$11),ROW()-10,5),"")</f>
        <v/>
      </c>
      <c r="F45" s="15" t="str" cm="1">
        <f t="array" aca="1" ref="F45" ca="1">IFERROR(INDEX(_xlfn.ANCHORARRAY($AA$11),ROW()-10,6),"")</f>
        <v/>
      </c>
      <c r="G45" s="4" t="str" cm="1">
        <f t="array" aca="1" ref="G45" ca="1">IFERROR(INDEX(_xlfn.ANCHORARRAY($AA$11),ROW()-10,7),"")</f>
        <v/>
      </c>
      <c r="H45" s="4" t="str" cm="1">
        <f t="array" aca="1" ref="H45" ca="1">IFERROR(INDEX(_xlfn.ANCHORARRAY($AA$11),ROW()-10,8),"")</f>
        <v/>
      </c>
      <c r="I45" s="4" t="str" cm="1">
        <f t="array" aca="1" ref="I45" ca="1">IFERROR(INDEX(_xlfn.ANCHORARRAY($AA$11),ROW()-10,9),"")</f>
        <v/>
      </c>
      <c r="J45" s="4" t="str">
        <f t="shared" ca="1" si="3"/>
        <v/>
      </c>
      <c r="K45" s="4" t="str">
        <f t="shared" ca="1" si="4"/>
        <v/>
      </c>
      <c r="L45" s="4" t="str" cm="1">
        <f t="array" aca="1" ref="L45" ca="1">_xlfn.LET(_xlpm.link,IFERROR(INDEX(_xlfn.ANCHORARRAY($AA$11),ROW()-10,12),""),IF(_xlpm.link="","",HYPERLINK(_xlpm.link,"Bluecore/Attentive")))</f>
        <v/>
      </c>
      <c r="M45" s="88" t="str">
        <f t="shared" ca="1" si="5"/>
        <v/>
      </c>
      <c r="N45" s="7"/>
      <c r="O45" s="7"/>
      <c r="P45" s="7"/>
      <c r="Q45" s="7"/>
      <c r="R45" s="7"/>
      <c r="S45" s="6"/>
      <c r="T45" s="6"/>
      <c r="U45" s="6"/>
      <c r="V45" s="6"/>
      <c r="W45" s="6"/>
      <c r="X45" s="6"/>
      <c r="Y45" s="6"/>
      <c r="Z45" s="6"/>
      <c r="AA45" s="32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34" t="str" cm="1">
        <f t="array" aca="1" ref="A46" ca="1">IFERROR(INDEX(_xlfn.ANCHORARRAY($AA$11),ROW()-10,1),"")</f>
        <v/>
      </c>
      <c r="B46" s="20" t="str" cm="1">
        <f t="array" aca="1" ref="B46" ca="1">IFERROR(INDEX(_xlfn.ANCHORARRAY($AA$11),ROW()-10,2),"")</f>
        <v/>
      </c>
      <c r="C46" s="4" t="str" cm="1">
        <f t="array" aca="1" ref="C46" ca="1">IFERROR(INDEX(_xlfn.ANCHORARRAY($AA$11),ROW()-10,3),"")</f>
        <v/>
      </c>
      <c r="D46" s="15" t="str" cm="1">
        <f t="array" aca="1" ref="D46" ca="1">IFERROR(INDEX(_xlfn.ANCHORARRAY($AA$11),ROW()-10,4),"")</f>
        <v/>
      </c>
      <c r="E46" s="4" t="str" cm="1">
        <f t="array" aca="1" ref="E46" ca="1">IFERROR(INDEX(_xlfn.ANCHORARRAY($AA$11),ROW()-10,5),"")</f>
        <v/>
      </c>
      <c r="F46" s="15" t="str" cm="1">
        <f t="array" aca="1" ref="F46" ca="1">IFERROR(INDEX(_xlfn.ANCHORARRAY($AA$11),ROW()-10,6),"")</f>
        <v/>
      </c>
      <c r="G46" s="4" t="str" cm="1">
        <f t="array" aca="1" ref="G46" ca="1">IFERROR(INDEX(_xlfn.ANCHORARRAY($AA$11),ROW()-10,7),"")</f>
        <v/>
      </c>
      <c r="H46" s="4" t="str" cm="1">
        <f t="array" aca="1" ref="H46" ca="1">IFERROR(INDEX(_xlfn.ANCHORARRAY($AA$11),ROW()-10,8),"")</f>
        <v/>
      </c>
      <c r="I46" s="4" t="str" cm="1">
        <f t="array" aca="1" ref="I46" ca="1">IFERROR(INDEX(_xlfn.ANCHORARRAY($AA$11),ROW()-10,9),"")</f>
        <v/>
      </c>
      <c r="J46" s="4" t="str">
        <f t="shared" ca="1" si="3"/>
        <v/>
      </c>
      <c r="K46" s="4" t="str">
        <f t="shared" ca="1" si="4"/>
        <v/>
      </c>
      <c r="L46" s="4" t="str" cm="1">
        <f t="array" aca="1" ref="L46" ca="1">_xlfn.LET(_xlpm.link,IFERROR(INDEX(_xlfn.ANCHORARRAY($AA$11),ROW()-10,12),""),IF(_xlpm.link="","",HYPERLINK(_xlpm.link,"Bluecore/Attentive")))</f>
        <v/>
      </c>
      <c r="M46" s="89" t="str">
        <f t="shared" ca="1" si="5"/>
        <v/>
      </c>
      <c r="N46" s="7"/>
      <c r="O46" s="7"/>
      <c r="P46" s="7"/>
      <c r="Q46" s="7"/>
      <c r="R46" s="7"/>
      <c r="S46" s="6"/>
      <c r="T46" s="6"/>
      <c r="U46" s="6"/>
      <c r="V46" s="6"/>
      <c r="W46" s="6"/>
      <c r="X46" s="6"/>
      <c r="Y46" s="6"/>
      <c r="Z46" s="6"/>
      <c r="AA46" s="32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34" t="str" cm="1">
        <f t="array" aca="1" ref="A47" ca="1">IFERROR(INDEX(_xlfn.ANCHORARRAY($AA$11),ROW()-10,1),"")</f>
        <v/>
      </c>
      <c r="B47" s="20" t="str" cm="1">
        <f t="array" aca="1" ref="B47" ca="1">IFERROR(INDEX(_xlfn.ANCHORARRAY($AA$11),ROW()-10,2),"")</f>
        <v/>
      </c>
      <c r="C47" s="4" t="str" cm="1">
        <f t="array" aca="1" ref="C47" ca="1">IFERROR(INDEX(_xlfn.ANCHORARRAY($AA$11),ROW()-10,3),"")</f>
        <v/>
      </c>
      <c r="D47" s="15" t="str" cm="1">
        <f t="array" aca="1" ref="D47" ca="1">IFERROR(INDEX(_xlfn.ANCHORARRAY($AA$11),ROW()-10,4),"")</f>
        <v/>
      </c>
      <c r="E47" s="4" t="str" cm="1">
        <f t="array" aca="1" ref="E47" ca="1">IFERROR(INDEX(_xlfn.ANCHORARRAY($AA$11),ROW()-10,5),"")</f>
        <v/>
      </c>
      <c r="F47" s="15" t="str" cm="1">
        <f t="array" aca="1" ref="F47" ca="1">IFERROR(INDEX(_xlfn.ANCHORARRAY($AA$11),ROW()-10,6),"")</f>
        <v/>
      </c>
      <c r="G47" s="4" t="str" cm="1">
        <f t="array" aca="1" ref="G47" ca="1">IFERROR(INDEX(_xlfn.ANCHORARRAY($AA$11),ROW()-10,7),"")</f>
        <v/>
      </c>
      <c r="H47" s="4" t="str" cm="1">
        <f t="array" aca="1" ref="H47" ca="1">IFERROR(INDEX(_xlfn.ANCHORARRAY($AA$11),ROW()-10,8),"")</f>
        <v/>
      </c>
      <c r="I47" s="4" t="str" cm="1">
        <f t="array" aca="1" ref="I47" ca="1">IFERROR(INDEX(_xlfn.ANCHORARRAY($AA$11),ROW()-10,9),"")</f>
        <v/>
      </c>
      <c r="J47" s="4" t="str">
        <f t="shared" ca="1" si="3"/>
        <v/>
      </c>
      <c r="K47" s="4" t="str">
        <f t="shared" ca="1" si="4"/>
        <v/>
      </c>
      <c r="L47" s="4" t="str" cm="1">
        <f t="array" aca="1" ref="L47" ca="1">_xlfn.LET(_xlpm.link,IFERROR(INDEX(_xlfn.ANCHORARRAY($AA$11),ROW()-10,12),""),IF(_xlpm.link="","",HYPERLINK(_xlpm.link,"Bluecore/Attentive")))</f>
        <v/>
      </c>
      <c r="M47" s="88" t="str">
        <f t="shared" ca="1" si="5"/>
        <v/>
      </c>
      <c r="N47" s="7"/>
      <c r="O47" s="7"/>
      <c r="P47" s="7"/>
      <c r="Q47" s="7"/>
      <c r="R47" s="7"/>
      <c r="S47" s="6"/>
      <c r="T47" s="6"/>
      <c r="U47" s="6"/>
      <c r="V47" s="6"/>
      <c r="W47" s="6"/>
      <c r="X47" s="6"/>
      <c r="Y47" s="6"/>
      <c r="Z47" s="6"/>
      <c r="AA47" s="32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34" t="str" cm="1">
        <f t="array" aca="1" ref="A48" ca="1">IFERROR(INDEX(_xlfn.ANCHORARRAY($AA$11),ROW()-10,1),"")</f>
        <v/>
      </c>
      <c r="B48" s="20" t="str" cm="1">
        <f t="array" aca="1" ref="B48" ca="1">IFERROR(INDEX(_xlfn.ANCHORARRAY($AA$11),ROW()-10,2),"")</f>
        <v/>
      </c>
      <c r="C48" s="4" t="str" cm="1">
        <f t="array" aca="1" ref="C48" ca="1">IFERROR(INDEX(_xlfn.ANCHORARRAY($AA$11),ROW()-10,3),"")</f>
        <v/>
      </c>
      <c r="D48" s="15" t="str" cm="1">
        <f t="array" aca="1" ref="D48" ca="1">IFERROR(INDEX(_xlfn.ANCHORARRAY($AA$11),ROW()-10,4),"")</f>
        <v/>
      </c>
      <c r="E48" s="4" t="str" cm="1">
        <f t="array" aca="1" ref="E48" ca="1">IFERROR(INDEX(_xlfn.ANCHORARRAY($AA$11),ROW()-10,5),"")</f>
        <v/>
      </c>
      <c r="F48" s="15" t="str" cm="1">
        <f t="array" aca="1" ref="F48" ca="1">IFERROR(INDEX(_xlfn.ANCHORARRAY($AA$11),ROW()-10,6),"")</f>
        <v/>
      </c>
      <c r="G48" s="4" t="str" cm="1">
        <f t="array" aca="1" ref="G48" ca="1">IFERROR(INDEX(_xlfn.ANCHORARRAY($AA$11),ROW()-10,7),"")</f>
        <v/>
      </c>
      <c r="H48" s="4" t="str" cm="1">
        <f t="array" aca="1" ref="H48" ca="1">IFERROR(INDEX(_xlfn.ANCHORARRAY($AA$11),ROW()-10,8),"")</f>
        <v/>
      </c>
      <c r="I48" s="4" t="str" cm="1">
        <f t="array" aca="1" ref="I48" ca="1">IFERROR(INDEX(_xlfn.ANCHORARRAY($AA$11),ROW()-10,9),"")</f>
        <v/>
      </c>
      <c r="J48" s="4" t="str">
        <f t="shared" ca="1" si="3"/>
        <v/>
      </c>
      <c r="K48" s="4" t="str">
        <f t="shared" ca="1" si="4"/>
        <v/>
      </c>
      <c r="L48" s="4" t="str" cm="1">
        <f t="array" aca="1" ref="L48" ca="1">_xlfn.LET(_xlpm.link,IFERROR(INDEX(_xlfn.ANCHORARRAY($AA$11),ROW()-10,12),""),IF(_xlpm.link="","",HYPERLINK(_xlpm.link,"Bluecore/Attentive")))</f>
        <v/>
      </c>
      <c r="M48" s="89" t="str">
        <f t="shared" ca="1" si="5"/>
        <v/>
      </c>
      <c r="N48" s="7"/>
      <c r="O48" s="7"/>
      <c r="P48" s="7"/>
      <c r="Q48" s="7"/>
      <c r="R48" s="7"/>
      <c r="S48" s="6"/>
      <c r="T48" s="6"/>
      <c r="U48" s="6"/>
      <c r="V48" s="6"/>
      <c r="W48" s="6"/>
      <c r="X48" s="6"/>
      <c r="Y48" s="6"/>
      <c r="Z48" s="6"/>
      <c r="AA48" s="32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34" t="str" cm="1">
        <f t="array" aca="1" ref="A49" ca="1">IFERROR(INDEX(_xlfn.ANCHORARRAY($AA$11),ROW()-10,1),"")</f>
        <v/>
      </c>
      <c r="B49" s="20" t="str" cm="1">
        <f t="array" aca="1" ref="B49" ca="1">IFERROR(INDEX(_xlfn.ANCHORARRAY($AA$11),ROW()-10,2),"")</f>
        <v/>
      </c>
      <c r="C49" s="4" t="str" cm="1">
        <f t="array" aca="1" ref="C49" ca="1">IFERROR(INDEX(_xlfn.ANCHORARRAY($AA$11),ROW()-10,3),"")</f>
        <v/>
      </c>
      <c r="D49" s="15" t="str" cm="1">
        <f t="array" aca="1" ref="D49" ca="1">IFERROR(INDEX(_xlfn.ANCHORARRAY($AA$11),ROW()-10,4),"")</f>
        <v/>
      </c>
      <c r="E49" s="4" t="str" cm="1">
        <f t="array" aca="1" ref="E49" ca="1">IFERROR(INDEX(_xlfn.ANCHORARRAY($AA$11),ROW()-10,5),"")</f>
        <v/>
      </c>
      <c r="F49" s="15" t="str" cm="1">
        <f t="array" aca="1" ref="F49" ca="1">IFERROR(INDEX(_xlfn.ANCHORARRAY($AA$11),ROW()-10,6),"")</f>
        <v/>
      </c>
      <c r="G49" s="4" t="str" cm="1">
        <f t="array" aca="1" ref="G49" ca="1">IFERROR(INDEX(_xlfn.ANCHORARRAY($AA$11),ROW()-10,7),"")</f>
        <v/>
      </c>
      <c r="H49" s="4" t="str" cm="1">
        <f t="array" aca="1" ref="H49" ca="1">IFERROR(INDEX(_xlfn.ANCHORARRAY($AA$11),ROW()-10,8),"")</f>
        <v/>
      </c>
      <c r="I49" s="4" t="str" cm="1">
        <f t="array" aca="1" ref="I49" ca="1">IFERROR(INDEX(_xlfn.ANCHORARRAY($AA$11),ROW()-10,9),"")</f>
        <v/>
      </c>
      <c r="J49" s="4" t="str">
        <f t="shared" ca="1" si="3"/>
        <v/>
      </c>
      <c r="K49" s="4" t="str">
        <f t="shared" ca="1" si="4"/>
        <v/>
      </c>
      <c r="L49" s="4" t="str" cm="1">
        <f t="array" aca="1" ref="L49" ca="1">_xlfn.LET(_xlpm.link,IFERROR(INDEX(_xlfn.ANCHORARRAY($AA$11),ROW()-10,12),""),IF(_xlpm.link="","",HYPERLINK(_xlpm.link,"Bluecore/Attentive")))</f>
        <v/>
      </c>
      <c r="M49" s="88" t="str">
        <f t="shared" ca="1" si="5"/>
        <v/>
      </c>
      <c r="N49" s="7"/>
      <c r="O49" s="7"/>
      <c r="P49" s="7"/>
      <c r="Q49" s="7"/>
      <c r="R49" s="7"/>
      <c r="S49" s="6"/>
      <c r="T49" s="6"/>
      <c r="U49" s="6"/>
      <c r="V49" s="6"/>
      <c r="W49" s="6"/>
      <c r="X49" s="6"/>
      <c r="Y49" s="6"/>
      <c r="Z49" s="6"/>
      <c r="AA49" s="32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34" t="str" cm="1">
        <f t="array" aca="1" ref="A50" ca="1">IFERROR(INDEX(_xlfn.ANCHORARRAY($AA$11),ROW()-10,1),"")</f>
        <v/>
      </c>
      <c r="B50" s="20" t="str" cm="1">
        <f t="array" aca="1" ref="B50" ca="1">IFERROR(INDEX(_xlfn.ANCHORARRAY($AA$11),ROW()-10,2),"")</f>
        <v/>
      </c>
      <c r="C50" s="4" t="str" cm="1">
        <f t="array" aca="1" ref="C50" ca="1">IFERROR(INDEX(_xlfn.ANCHORARRAY($AA$11),ROW()-10,3),"")</f>
        <v/>
      </c>
      <c r="D50" s="15" t="str" cm="1">
        <f t="array" aca="1" ref="D50" ca="1">IFERROR(INDEX(_xlfn.ANCHORARRAY($AA$11),ROW()-10,4),"")</f>
        <v/>
      </c>
      <c r="E50" s="4" t="str" cm="1">
        <f t="array" aca="1" ref="E50" ca="1">IFERROR(INDEX(_xlfn.ANCHORARRAY($AA$11),ROW()-10,5),"")</f>
        <v/>
      </c>
      <c r="F50" s="15" t="str" cm="1">
        <f t="array" aca="1" ref="F50" ca="1">IFERROR(INDEX(_xlfn.ANCHORARRAY($AA$11),ROW()-10,6),"")</f>
        <v/>
      </c>
      <c r="G50" s="4" t="str" cm="1">
        <f t="array" aca="1" ref="G50" ca="1">IFERROR(INDEX(_xlfn.ANCHORARRAY($AA$11),ROW()-10,7),"")</f>
        <v/>
      </c>
      <c r="H50" s="4" t="str" cm="1">
        <f t="array" aca="1" ref="H50" ca="1">IFERROR(INDEX(_xlfn.ANCHORARRAY($AA$11),ROW()-10,8),"")</f>
        <v/>
      </c>
      <c r="I50" s="4" t="str" cm="1">
        <f t="array" aca="1" ref="I50" ca="1">IFERROR(INDEX(_xlfn.ANCHORARRAY($AA$11),ROW()-10,9),"")</f>
        <v/>
      </c>
      <c r="J50" s="4" t="str">
        <f t="shared" ca="1" si="3"/>
        <v/>
      </c>
      <c r="K50" s="4" t="str">
        <f t="shared" ca="1" si="4"/>
        <v/>
      </c>
      <c r="L50" s="4" t="str" cm="1">
        <f t="array" aca="1" ref="L50" ca="1">_xlfn.LET(_xlpm.link,IFERROR(INDEX(_xlfn.ANCHORARRAY($AA$11),ROW()-10,12),""),IF(_xlpm.link="","",HYPERLINK(_xlpm.link,"Bluecore/Attentive")))</f>
        <v/>
      </c>
      <c r="M50" s="89" t="str">
        <f t="shared" ca="1" si="5"/>
        <v/>
      </c>
      <c r="N50" s="7"/>
      <c r="O50" s="7"/>
      <c r="P50" s="7"/>
      <c r="Q50" s="7"/>
      <c r="R50" s="7"/>
      <c r="S50" s="6"/>
      <c r="T50" s="6"/>
      <c r="U50" s="6"/>
      <c r="V50" s="6"/>
      <c r="W50" s="6"/>
      <c r="X50" s="6"/>
      <c r="Y50" s="6"/>
      <c r="Z50" s="6"/>
      <c r="AA50" s="32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34" t="str" cm="1">
        <f t="array" aca="1" ref="A51" ca="1">IFERROR(INDEX(_xlfn.ANCHORARRAY($AA$11),ROW()-10,1),"")</f>
        <v/>
      </c>
      <c r="B51" s="20" t="str" cm="1">
        <f t="array" aca="1" ref="B51" ca="1">IFERROR(INDEX(_xlfn.ANCHORARRAY($AA$11),ROW()-10,2),"")</f>
        <v/>
      </c>
      <c r="C51" s="4" t="str" cm="1">
        <f t="array" aca="1" ref="C51" ca="1">IFERROR(INDEX(_xlfn.ANCHORARRAY($AA$11),ROW()-10,3),"")</f>
        <v/>
      </c>
      <c r="D51" s="15" t="str" cm="1">
        <f t="array" aca="1" ref="D51" ca="1">IFERROR(INDEX(_xlfn.ANCHORARRAY($AA$11),ROW()-10,4),"")</f>
        <v/>
      </c>
      <c r="E51" s="4" t="str" cm="1">
        <f t="array" aca="1" ref="E51" ca="1">IFERROR(INDEX(_xlfn.ANCHORARRAY($AA$11),ROW()-10,5),"")</f>
        <v/>
      </c>
      <c r="F51" s="15" t="str" cm="1">
        <f t="array" aca="1" ref="F51" ca="1">IFERROR(INDEX(_xlfn.ANCHORARRAY($AA$11),ROW()-10,6),"")</f>
        <v/>
      </c>
      <c r="G51" s="4" t="str" cm="1">
        <f t="array" aca="1" ref="G51" ca="1">IFERROR(INDEX(_xlfn.ANCHORARRAY($AA$11),ROW()-10,7),"")</f>
        <v/>
      </c>
      <c r="H51" s="4" t="str" cm="1">
        <f t="array" aca="1" ref="H51" ca="1">IFERROR(INDEX(_xlfn.ANCHORARRAY($AA$11),ROW()-10,8),"")</f>
        <v/>
      </c>
      <c r="I51" s="4" t="str" cm="1">
        <f t="array" aca="1" ref="I51" ca="1">IFERROR(INDEX(_xlfn.ANCHORARRAY($AA$11),ROW()-10,9),"")</f>
        <v/>
      </c>
      <c r="J51" s="4" t="str">
        <f t="shared" ca="1" si="3"/>
        <v/>
      </c>
      <c r="K51" s="4" t="str">
        <f t="shared" ca="1" si="4"/>
        <v/>
      </c>
      <c r="L51" s="4" t="str" cm="1">
        <f t="array" aca="1" ref="L51" ca="1">_xlfn.LET(_xlpm.link,IFERROR(INDEX(_xlfn.ANCHORARRAY($AA$11),ROW()-10,12),""),IF(_xlpm.link="","",HYPERLINK(_xlpm.link,"Bluecore/Attentive")))</f>
        <v/>
      </c>
      <c r="M51" s="88" t="str">
        <f t="shared" ca="1" si="5"/>
        <v/>
      </c>
      <c r="N51" s="7"/>
      <c r="O51" s="7"/>
      <c r="P51" s="7"/>
      <c r="Q51" s="7"/>
      <c r="R51" s="7"/>
      <c r="S51" s="6"/>
      <c r="T51" s="6"/>
      <c r="U51" s="6"/>
      <c r="V51" s="6"/>
      <c r="W51" s="6"/>
      <c r="X51" s="6"/>
      <c r="Y51" s="6"/>
      <c r="Z51" s="6"/>
      <c r="AA51" s="32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34" t="str" cm="1">
        <f t="array" aca="1" ref="A52" ca="1">IFERROR(INDEX(_xlfn.ANCHORARRAY($AA$11),ROW()-10,1),"")</f>
        <v/>
      </c>
      <c r="B52" s="20" t="str" cm="1">
        <f t="array" aca="1" ref="B52" ca="1">IFERROR(INDEX(_xlfn.ANCHORARRAY($AA$11),ROW()-10,2),"")</f>
        <v/>
      </c>
      <c r="C52" s="4" t="str" cm="1">
        <f t="array" aca="1" ref="C52" ca="1">IFERROR(INDEX(_xlfn.ANCHORARRAY($AA$11),ROW()-10,3),"")</f>
        <v/>
      </c>
      <c r="D52" s="15" t="str" cm="1">
        <f t="array" aca="1" ref="D52" ca="1">IFERROR(INDEX(_xlfn.ANCHORARRAY($AA$11),ROW()-10,4),"")</f>
        <v/>
      </c>
      <c r="E52" s="4" t="str" cm="1">
        <f t="array" aca="1" ref="E52" ca="1">IFERROR(INDEX(_xlfn.ANCHORARRAY($AA$11),ROW()-10,5),"")</f>
        <v/>
      </c>
      <c r="F52" s="15" t="str" cm="1">
        <f t="array" aca="1" ref="F52" ca="1">IFERROR(INDEX(_xlfn.ANCHORARRAY($AA$11),ROW()-10,6),"")</f>
        <v/>
      </c>
      <c r="G52" s="4" t="str" cm="1">
        <f t="array" aca="1" ref="G52" ca="1">IFERROR(INDEX(_xlfn.ANCHORARRAY($AA$11),ROW()-10,7),"")</f>
        <v/>
      </c>
      <c r="H52" s="4" t="str" cm="1">
        <f t="array" aca="1" ref="H52" ca="1">IFERROR(INDEX(_xlfn.ANCHORARRAY($AA$11),ROW()-10,8),"")</f>
        <v/>
      </c>
      <c r="I52" s="4" t="str" cm="1">
        <f t="array" aca="1" ref="I52" ca="1">IFERROR(INDEX(_xlfn.ANCHORARRAY($AA$11),ROW()-10,9),"")</f>
        <v/>
      </c>
      <c r="J52" s="4" t="str">
        <f t="shared" ca="1" si="3"/>
        <v/>
      </c>
      <c r="K52" s="4" t="str">
        <f t="shared" ca="1" si="4"/>
        <v/>
      </c>
      <c r="L52" s="4" t="str" cm="1">
        <f t="array" aca="1" ref="L52" ca="1">_xlfn.LET(_xlpm.link,IFERROR(INDEX(_xlfn.ANCHORARRAY($AA$11),ROW()-10,12),""),IF(_xlpm.link="","",HYPERLINK(_xlpm.link,"Bluecore/Attentive")))</f>
        <v/>
      </c>
      <c r="M52" s="89" t="str">
        <f t="shared" ca="1" si="5"/>
        <v/>
      </c>
      <c r="N52" s="7"/>
      <c r="O52" s="7"/>
      <c r="P52" s="7"/>
      <c r="Q52" s="7"/>
      <c r="R52" s="7"/>
      <c r="S52" s="6"/>
      <c r="T52" s="6"/>
      <c r="U52" s="6"/>
      <c r="V52" s="6"/>
      <c r="W52" s="6"/>
      <c r="X52" s="6"/>
      <c r="Y52" s="6"/>
      <c r="Z52" s="6"/>
      <c r="AA52" s="3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34" t="str" cm="1">
        <f t="array" aca="1" ref="A53" ca="1">IFERROR(INDEX(_xlfn.ANCHORARRAY($AA$11),ROW()-10,1),"")</f>
        <v/>
      </c>
      <c r="B53" s="20" t="str" cm="1">
        <f t="array" aca="1" ref="B53" ca="1">IFERROR(INDEX(_xlfn.ANCHORARRAY($AA$11),ROW()-10,2),"")</f>
        <v/>
      </c>
      <c r="C53" s="4" t="str" cm="1">
        <f t="array" aca="1" ref="C53" ca="1">IFERROR(INDEX(_xlfn.ANCHORARRAY($AA$11),ROW()-10,3),"")</f>
        <v/>
      </c>
      <c r="D53" s="15" t="str" cm="1">
        <f t="array" aca="1" ref="D53" ca="1">IFERROR(INDEX(_xlfn.ANCHORARRAY($AA$11),ROW()-10,4),"")</f>
        <v/>
      </c>
      <c r="E53" s="4" t="str" cm="1">
        <f t="array" aca="1" ref="E53" ca="1">IFERROR(INDEX(_xlfn.ANCHORARRAY($AA$11),ROW()-10,5),"")</f>
        <v/>
      </c>
      <c r="F53" s="15" t="str" cm="1">
        <f t="array" aca="1" ref="F53" ca="1">IFERROR(INDEX(_xlfn.ANCHORARRAY($AA$11),ROW()-10,6),"")</f>
        <v/>
      </c>
      <c r="G53" s="4" t="str" cm="1">
        <f t="array" aca="1" ref="G53" ca="1">IFERROR(INDEX(_xlfn.ANCHORARRAY($AA$11),ROW()-10,7),"")</f>
        <v/>
      </c>
      <c r="H53" s="4" t="str" cm="1">
        <f t="array" aca="1" ref="H53" ca="1">IFERROR(INDEX(_xlfn.ANCHORARRAY($AA$11),ROW()-10,8),"")</f>
        <v/>
      </c>
      <c r="I53" s="4" t="str" cm="1">
        <f t="array" aca="1" ref="I53" ca="1">IFERROR(INDEX(_xlfn.ANCHORARRAY($AA$11),ROW()-10,9),"")</f>
        <v/>
      </c>
      <c r="J53" s="4" t="str">
        <f t="shared" ca="1" si="3"/>
        <v/>
      </c>
      <c r="K53" s="4" t="str">
        <f t="shared" ca="1" si="4"/>
        <v/>
      </c>
      <c r="L53" s="4" t="str" cm="1">
        <f t="array" aca="1" ref="L53" ca="1">_xlfn.LET(_xlpm.link,IFERROR(INDEX(_xlfn.ANCHORARRAY($AA$11),ROW()-10,12),""),IF(_xlpm.link="","",HYPERLINK(_xlpm.link,"Bluecore/Attentive")))</f>
        <v/>
      </c>
      <c r="M53" s="88" t="str">
        <f t="shared" ca="1" si="5"/>
        <v/>
      </c>
      <c r="N53" s="7"/>
      <c r="O53" s="7"/>
      <c r="P53" s="7"/>
      <c r="Q53" s="7"/>
      <c r="R53" s="7"/>
      <c r="S53" s="6"/>
      <c r="T53" s="6"/>
      <c r="U53" s="6"/>
      <c r="V53" s="6"/>
      <c r="W53" s="6"/>
      <c r="X53" s="6"/>
      <c r="Y53" s="6"/>
      <c r="Z53" s="6"/>
      <c r="AA53" s="32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34" t="str" cm="1">
        <f t="array" aca="1" ref="A54" ca="1">IFERROR(INDEX(_xlfn.ANCHORARRAY($AA$11),ROW()-10,1),"")</f>
        <v/>
      </c>
      <c r="B54" s="20" t="str" cm="1">
        <f t="array" aca="1" ref="B54" ca="1">IFERROR(INDEX(_xlfn.ANCHORARRAY($AA$11),ROW()-10,2),"")</f>
        <v/>
      </c>
      <c r="C54" s="4" t="str" cm="1">
        <f t="array" aca="1" ref="C54" ca="1">IFERROR(INDEX(_xlfn.ANCHORARRAY($AA$11),ROW()-10,3),"")</f>
        <v/>
      </c>
      <c r="D54" s="15" t="str" cm="1">
        <f t="array" aca="1" ref="D54" ca="1">IFERROR(INDEX(_xlfn.ANCHORARRAY($AA$11),ROW()-10,4),"")</f>
        <v/>
      </c>
      <c r="E54" s="4" t="str" cm="1">
        <f t="array" aca="1" ref="E54" ca="1">IFERROR(INDEX(_xlfn.ANCHORARRAY($AA$11),ROW()-10,5),"")</f>
        <v/>
      </c>
      <c r="F54" s="15" t="str" cm="1">
        <f t="array" aca="1" ref="F54" ca="1">IFERROR(INDEX(_xlfn.ANCHORARRAY($AA$11),ROW()-10,6),"")</f>
        <v/>
      </c>
      <c r="G54" s="4" t="str" cm="1">
        <f t="array" aca="1" ref="G54" ca="1">IFERROR(INDEX(_xlfn.ANCHORARRAY($AA$11),ROW()-10,7),"")</f>
        <v/>
      </c>
      <c r="H54" s="4" t="str" cm="1">
        <f t="array" aca="1" ref="H54" ca="1">IFERROR(INDEX(_xlfn.ANCHORARRAY($AA$11),ROW()-10,8),"")</f>
        <v/>
      </c>
      <c r="I54" s="4" t="str" cm="1">
        <f t="array" aca="1" ref="I54" ca="1">IFERROR(INDEX(_xlfn.ANCHORARRAY($AA$11),ROW()-10,9),"")</f>
        <v/>
      </c>
      <c r="J54" s="4" t="str">
        <f t="shared" ca="1" si="3"/>
        <v/>
      </c>
      <c r="K54" s="4" t="str">
        <f t="shared" ca="1" si="4"/>
        <v/>
      </c>
      <c r="L54" s="4" t="str" cm="1">
        <f t="array" aca="1" ref="L54" ca="1">_xlfn.LET(_xlpm.link,IFERROR(INDEX(_xlfn.ANCHORARRAY($AA$11),ROW()-10,12),""),IF(_xlpm.link="","",HYPERLINK(_xlpm.link,"Bluecore/Attentive")))</f>
        <v/>
      </c>
      <c r="M54" s="89" t="str">
        <f t="shared" ca="1" si="5"/>
        <v/>
      </c>
      <c r="N54" s="7"/>
      <c r="O54" s="7"/>
      <c r="P54" s="7"/>
      <c r="Q54" s="7"/>
      <c r="R54" s="7"/>
      <c r="S54" s="6"/>
      <c r="T54" s="6"/>
      <c r="U54" s="6"/>
      <c r="V54" s="6"/>
      <c r="W54" s="6"/>
      <c r="X54" s="6"/>
      <c r="Y54" s="6"/>
      <c r="Z54" s="6"/>
      <c r="AA54" s="32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34" t="str" cm="1">
        <f t="array" aca="1" ref="A55" ca="1">IFERROR(INDEX(_xlfn.ANCHORARRAY($AA$11),ROW()-10,1),"")</f>
        <v/>
      </c>
      <c r="B55" s="20" t="str" cm="1">
        <f t="array" aca="1" ref="B55" ca="1">IFERROR(INDEX(_xlfn.ANCHORARRAY($AA$11),ROW()-10,2),"")</f>
        <v/>
      </c>
      <c r="C55" s="4" t="str" cm="1">
        <f t="array" aca="1" ref="C55" ca="1">IFERROR(INDEX(_xlfn.ANCHORARRAY($AA$11),ROW()-10,3),"")</f>
        <v/>
      </c>
      <c r="D55" s="15" t="str" cm="1">
        <f t="array" aca="1" ref="D55" ca="1">IFERROR(INDEX(_xlfn.ANCHORARRAY($AA$11),ROW()-10,4),"")</f>
        <v/>
      </c>
      <c r="E55" s="4" t="str" cm="1">
        <f t="array" aca="1" ref="E55" ca="1">IFERROR(INDEX(_xlfn.ANCHORARRAY($AA$11),ROW()-10,5),"")</f>
        <v/>
      </c>
      <c r="F55" s="15" t="str" cm="1">
        <f t="array" aca="1" ref="F55" ca="1">IFERROR(INDEX(_xlfn.ANCHORARRAY($AA$11),ROW()-10,6),"")</f>
        <v/>
      </c>
      <c r="G55" s="4" t="str" cm="1">
        <f t="array" aca="1" ref="G55" ca="1">IFERROR(INDEX(_xlfn.ANCHORARRAY($AA$11),ROW()-10,7),"")</f>
        <v/>
      </c>
      <c r="H55" s="4" t="str" cm="1">
        <f t="array" aca="1" ref="H55" ca="1">IFERROR(INDEX(_xlfn.ANCHORARRAY($AA$11),ROW()-10,8),"")</f>
        <v/>
      </c>
      <c r="I55" s="4" t="str" cm="1">
        <f t="array" aca="1" ref="I55" ca="1">IFERROR(INDEX(_xlfn.ANCHORARRAY($AA$11),ROW()-10,9),"")</f>
        <v/>
      </c>
      <c r="J55" s="4" t="str">
        <f t="shared" ca="1" si="3"/>
        <v/>
      </c>
      <c r="K55" s="4" t="str">
        <f t="shared" ca="1" si="4"/>
        <v/>
      </c>
      <c r="L55" s="4" t="str" cm="1">
        <f t="array" aca="1" ref="L55" ca="1">_xlfn.LET(_xlpm.link,IFERROR(INDEX(_xlfn.ANCHORARRAY($AA$11),ROW()-10,12),""),IF(_xlpm.link="","",HYPERLINK(_xlpm.link,"Bluecore/Attentive")))</f>
        <v/>
      </c>
      <c r="M55" s="88" t="str">
        <f t="shared" ca="1" si="5"/>
        <v/>
      </c>
      <c r="N55" s="7"/>
      <c r="O55" s="7"/>
      <c r="P55" s="7"/>
      <c r="Q55" s="7"/>
      <c r="R55" s="7"/>
      <c r="S55" s="6"/>
      <c r="T55" s="6"/>
      <c r="U55" s="6"/>
      <c r="V55" s="6"/>
      <c r="W55" s="6"/>
      <c r="X55" s="6"/>
      <c r="Y55" s="6"/>
      <c r="Z55" s="6"/>
      <c r="AA55" s="32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34" t="str" cm="1">
        <f t="array" aca="1" ref="A56" ca="1">IFERROR(INDEX(_xlfn.ANCHORARRAY($AA$11),ROW()-10,1),"")</f>
        <v/>
      </c>
      <c r="B56" s="20" t="str" cm="1">
        <f t="array" aca="1" ref="B56" ca="1">IFERROR(INDEX(_xlfn.ANCHORARRAY($AA$11),ROW()-10,2),"")</f>
        <v/>
      </c>
      <c r="C56" s="4" t="str" cm="1">
        <f t="array" aca="1" ref="C56" ca="1">IFERROR(INDEX(_xlfn.ANCHORARRAY($AA$11),ROW()-10,3),"")</f>
        <v/>
      </c>
      <c r="D56" s="15" t="str" cm="1">
        <f t="array" aca="1" ref="D56" ca="1">IFERROR(INDEX(_xlfn.ANCHORARRAY($AA$11),ROW()-10,4),"")</f>
        <v/>
      </c>
      <c r="E56" s="4" t="str" cm="1">
        <f t="array" aca="1" ref="E56" ca="1">IFERROR(INDEX(_xlfn.ANCHORARRAY($AA$11),ROW()-10,5),"")</f>
        <v/>
      </c>
      <c r="F56" s="15" t="str" cm="1">
        <f t="array" aca="1" ref="F56" ca="1">IFERROR(INDEX(_xlfn.ANCHORARRAY($AA$11),ROW()-10,6),"")</f>
        <v/>
      </c>
      <c r="G56" s="4" t="str" cm="1">
        <f t="array" aca="1" ref="G56" ca="1">IFERROR(INDEX(_xlfn.ANCHORARRAY($AA$11),ROW()-10,7),"")</f>
        <v/>
      </c>
      <c r="H56" s="4" t="str" cm="1">
        <f t="array" aca="1" ref="H56" ca="1">IFERROR(INDEX(_xlfn.ANCHORARRAY($AA$11),ROW()-10,8),"")</f>
        <v/>
      </c>
      <c r="I56" s="4" t="str" cm="1">
        <f t="array" aca="1" ref="I56" ca="1">IFERROR(INDEX(_xlfn.ANCHORARRAY($AA$11),ROW()-10,9),"")</f>
        <v/>
      </c>
      <c r="J56" s="4" t="str">
        <f t="shared" ca="1" si="3"/>
        <v/>
      </c>
      <c r="K56" s="4" t="str">
        <f t="shared" ca="1" si="4"/>
        <v/>
      </c>
      <c r="L56" s="4" t="str" cm="1">
        <f t="array" aca="1" ref="L56" ca="1">_xlfn.LET(_xlpm.link,IFERROR(INDEX(_xlfn.ANCHORARRAY($AA$11),ROW()-10,12),""),IF(_xlpm.link="","",HYPERLINK(_xlpm.link,"Bluecore/Attentive")))</f>
        <v/>
      </c>
      <c r="M56" s="89" t="str">
        <f t="shared" ca="1" si="5"/>
        <v/>
      </c>
      <c r="N56" s="7"/>
      <c r="O56" s="7"/>
      <c r="P56" s="7"/>
      <c r="Q56" s="7"/>
      <c r="R56" s="7"/>
      <c r="S56" s="6"/>
      <c r="T56" s="6"/>
      <c r="U56" s="6"/>
      <c r="V56" s="6"/>
      <c r="W56" s="6"/>
      <c r="X56" s="6"/>
      <c r="Y56" s="6"/>
      <c r="Z56" s="6"/>
      <c r="AA56" s="32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34" t="str" cm="1">
        <f t="array" aca="1" ref="A57" ca="1">IFERROR(INDEX(_xlfn.ANCHORARRAY($AA$11),ROW()-10,1),"")</f>
        <v/>
      </c>
      <c r="B57" s="20" t="str" cm="1">
        <f t="array" aca="1" ref="B57" ca="1">IFERROR(INDEX(_xlfn.ANCHORARRAY($AA$11),ROW()-10,2),"")</f>
        <v/>
      </c>
      <c r="C57" s="4" t="str" cm="1">
        <f t="array" aca="1" ref="C57" ca="1">IFERROR(INDEX(_xlfn.ANCHORARRAY($AA$11),ROW()-10,3),"")</f>
        <v/>
      </c>
      <c r="D57" s="15" t="str" cm="1">
        <f t="array" aca="1" ref="D57" ca="1">IFERROR(INDEX(_xlfn.ANCHORARRAY($AA$11),ROW()-10,4),"")</f>
        <v/>
      </c>
      <c r="E57" s="4" t="str" cm="1">
        <f t="array" aca="1" ref="E57" ca="1">IFERROR(INDEX(_xlfn.ANCHORARRAY($AA$11),ROW()-10,5),"")</f>
        <v/>
      </c>
      <c r="F57" s="15" t="str" cm="1">
        <f t="array" aca="1" ref="F57" ca="1">IFERROR(INDEX(_xlfn.ANCHORARRAY($AA$11),ROW()-10,6),"")</f>
        <v/>
      </c>
      <c r="G57" s="4" t="str" cm="1">
        <f t="array" aca="1" ref="G57" ca="1">IFERROR(INDEX(_xlfn.ANCHORARRAY($AA$11),ROW()-10,7),"")</f>
        <v/>
      </c>
      <c r="H57" s="4" t="str" cm="1">
        <f t="array" aca="1" ref="H57" ca="1">IFERROR(INDEX(_xlfn.ANCHORARRAY($AA$11),ROW()-10,8),"")</f>
        <v/>
      </c>
      <c r="I57" s="4" t="str" cm="1">
        <f t="array" aca="1" ref="I57" ca="1">IFERROR(INDEX(_xlfn.ANCHORARRAY($AA$11),ROW()-10,9),"")</f>
        <v/>
      </c>
      <c r="J57" s="4" t="str">
        <f t="shared" ca="1" si="3"/>
        <v/>
      </c>
      <c r="K57" s="4" t="str">
        <f t="shared" ca="1" si="4"/>
        <v/>
      </c>
      <c r="L57" s="4" t="str" cm="1">
        <f t="array" aca="1" ref="L57" ca="1">_xlfn.LET(_xlpm.link,IFERROR(INDEX(_xlfn.ANCHORARRAY($AA$11),ROW()-10,12),""),IF(_xlpm.link="","",HYPERLINK(_xlpm.link,"Bluecore/Attentive")))</f>
        <v/>
      </c>
      <c r="M57" s="88" t="str">
        <f t="shared" ca="1" si="5"/>
        <v/>
      </c>
      <c r="N57" s="7"/>
      <c r="O57" s="7"/>
      <c r="P57" s="7"/>
      <c r="Q57" s="7"/>
      <c r="R57" s="7"/>
      <c r="S57" s="6"/>
      <c r="T57" s="6"/>
      <c r="U57" s="6"/>
      <c r="V57" s="6"/>
      <c r="W57" s="6"/>
      <c r="X57" s="6"/>
      <c r="Y57" s="6"/>
      <c r="Z57" s="6"/>
      <c r="AA57" s="32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34" t="str" cm="1">
        <f t="array" aca="1" ref="A58" ca="1">IFERROR(INDEX(_xlfn.ANCHORARRAY($AA$11),ROW()-10,1),"")</f>
        <v/>
      </c>
      <c r="B58" s="20" t="str" cm="1">
        <f t="array" aca="1" ref="B58" ca="1">IFERROR(INDEX(_xlfn.ANCHORARRAY($AA$11),ROW()-10,2),"")</f>
        <v/>
      </c>
      <c r="C58" s="4" t="str" cm="1">
        <f t="array" aca="1" ref="C58" ca="1">IFERROR(INDEX(_xlfn.ANCHORARRAY($AA$11),ROW()-10,3),"")</f>
        <v/>
      </c>
      <c r="D58" s="15" t="str" cm="1">
        <f t="array" aca="1" ref="D58" ca="1">IFERROR(INDEX(_xlfn.ANCHORARRAY($AA$11),ROW()-10,4),"")</f>
        <v/>
      </c>
      <c r="E58" s="4" t="str" cm="1">
        <f t="array" aca="1" ref="E58" ca="1">IFERROR(INDEX(_xlfn.ANCHORARRAY($AA$11),ROW()-10,5),"")</f>
        <v/>
      </c>
      <c r="F58" s="15" t="str" cm="1">
        <f t="array" aca="1" ref="F58" ca="1">IFERROR(INDEX(_xlfn.ANCHORARRAY($AA$11),ROW()-10,6),"")</f>
        <v/>
      </c>
      <c r="G58" s="4" t="str" cm="1">
        <f t="array" aca="1" ref="G58" ca="1">IFERROR(INDEX(_xlfn.ANCHORARRAY($AA$11),ROW()-10,7),"")</f>
        <v/>
      </c>
      <c r="H58" s="4" t="str" cm="1">
        <f t="array" aca="1" ref="H58" ca="1">IFERROR(INDEX(_xlfn.ANCHORARRAY($AA$11),ROW()-10,8),"")</f>
        <v/>
      </c>
      <c r="I58" s="4" t="str" cm="1">
        <f t="array" aca="1" ref="I58" ca="1">IFERROR(INDEX(_xlfn.ANCHORARRAY($AA$11),ROW()-10,9),"")</f>
        <v/>
      </c>
      <c r="J58" s="4" t="str">
        <f t="shared" ca="1" si="3"/>
        <v/>
      </c>
      <c r="K58" s="4" t="str">
        <f t="shared" ca="1" si="4"/>
        <v/>
      </c>
      <c r="L58" s="4" t="str" cm="1">
        <f t="array" aca="1" ref="L58" ca="1">_xlfn.LET(_xlpm.link,IFERROR(INDEX(_xlfn.ANCHORARRAY($AA$11),ROW()-10,12),""),IF(_xlpm.link="","",HYPERLINK(_xlpm.link,"Bluecore/Attentive")))</f>
        <v/>
      </c>
      <c r="M58" s="89" t="str">
        <f t="shared" ca="1" si="5"/>
        <v/>
      </c>
      <c r="N58" s="7"/>
      <c r="O58" s="7"/>
      <c r="P58" s="7"/>
      <c r="Q58" s="7"/>
      <c r="R58" s="7"/>
      <c r="S58" s="6"/>
      <c r="T58" s="6"/>
      <c r="U58" s="6"/>
      <c r="V58" s="6"/>
      <c r="W58" s="6"/>
      <c r="X58" s="6"/>
      <c r="Y58" s="6"/>
      <c r="Z58" s="6"/>
      <c r="AA58" s="32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34" t="str" cm="1">
        <f t="array" aca="1" ref="A59" ca="1">IFERROR(INDEX(_xlfn.ANCHORARRAY($AA$11),ROW()-10,1),"")</f>
        <v/>
      </c>
      <c r="B59" s="20" t="str" cm="1">
        <f t="array" aca="1" ref="B59" ca="1">IFERROR(INDEX(_xlfn.ANCHORARRAY($AA$11),ROW()-10,2),"")</f>
        <v/>
      </c>
      <c r="C59" s="4" t="str" cm="1">
        <f t="array" aca="1" ref="C59" ca="1">IFERROR(INDEX(_xlfn.ANCHORARRAY($AA$11),ROW()-10,3),"")</f>
        <v/>
      </c>
      <c r="D59" s="15" t="str" cm="1">
        <f t="array" aca="1" ref="D59" ca="1">IFERROR(INDEX(_xlfn.ANCHORARRAY($AA$11),ROW()-10,4),"")</f>
        <v/>
      </c>
      <c r="E59" s="4" t="str" cm="1">
        <f t="array" aca="1" ref="E59" ca="1">IFERROR(INDEX(_xlfn.ANCHORARRAY($AA$11),ROW()-10,5),"")</f>
        <v/>
      </c>
      <c r="F59" s="15" t="str" cm="1">
        <f t="array" aca="1" ref="F59" ca="1">IFERROR(INDEX(_xlfn.ANCHORARRAY($AA$11),ROW()-10,6),"")</f>
        <v/>
      </c>
      <c r="G59" s="4" t="str" cm="1">
        <f t="array" aca="1" ref="G59" ca="1">IFERROR(INDEX(_xlfn.ANCHORARRAY($AA$11),ROW()-10,7),"")</f>
        <v/>
      </c>
      <c r="H59" s="4" t="str" cm="1">
        <f t="array" aca="1" ref="H59" ca="1">IFERROR(INDEX(_xlfn.ANCHORARRAY($AA$11),ROW()-10,8),"")</f>
        <v/>
      </c>
      <c r="I59" s="4" t="str" cm="1">
        <f t="array" aca="1" ref="I59" ca="1">IFERROR(INDEX(_xlfn.ANCHORARRAY($AA$11),ROW()-10,9),"")</f>
        <v/>
      </c>
      <c r="J59" s="4" t="str">
        <f t="shared" ca="1" si="3"/>
        <v/>
      </c>
      <c r="K59" s="4" t="str">
        <f t="shared" ca="1" si="4"/>
        <v/>
      </c>
      <c r="L59" s="4" t="str" cm="1">
        <f t="array" aca="1" ref="L59" ca="1">_xlfn.LET(_xlpm.link,IFERROR(INDEX(_xlfn.ANCHORARRAY($AA$11),ROW()-10,12),""),IF(_xlpm.link="","",HYPERLINK(_xlpm.link,"Bluecore/Attentive")))</f>
        <v/>
      </c>
      <c r="M59" s="88" t="str">
        <f t="shared" ca="1" si="5"/>
        <v/>
      </c>
      <c r="N59" s="7"/>
      <c r="O59" s="7"/>
      <c r="P59" s="7"/>
      <c r="Q59" s="7"/>
      <c r="R59" s="7"/>
      <c r="S59" s="6"/>
      <c r="T59" s="6"/>
      <c r="U59" s="6"/>
      <c r="V59" s="6"/>
      <c r="W59" s="6"/>
      <c r="X59" s="6"/>
      <c r="Y59" s="6"/>
      <c r="Z59" s="6"/>
      <c r="AA59" s="32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34" t="str" cm="1">
        <f t="array" aca="1" ref="A60" ca="1">IFERROR(INDEX(_xlfn.ANCHORARRAY($AA$11),ROW()-10,1),"")</f>
        <v/>
      </c>
      <c r="B60" s="20" t="str" cm="1">
        <f t="array" aca="1" ref="B60" ca="1">IFERROR(INDEX(_xlfn.ANCHORARRAY($AA$11),ROW()-10,2),"")</f>
        <v/>
      </c>
      <c r="C60" s="4" t="str" cm="1">
        <f t="array" aca="1" ref="C60" ca="1">IFERROR(INDEX(_xlfn.ANCHORARRAY($AA$11),ROW()-10,3),"")</f>
        <v/>
      </c>
      <c r="D60" s="15" t="str" cm="1">
        <f t="array" aca="1" ref="D60" ca="1">IFERROR(INDEX(_xlfn.ANCHORARRAY($AA$11),ROW()-10,4),"")</f>
        <v/>
      </c>
      <c r="E60" s="4" t="str" cm="1">
        <f t="array" aca="1" ref="E60" ca="1">IFERROR(INDEX(_xlfn.ANCHORARRAY($AA$11),ROW()-10,5),"")</f>
        <v/>
      </c>
      <c r="F60" s="15" t="str" cm="1">
        <f t="array" aca="1" ref="F60" ca="1">IFERROR(INDEX(_xlfn.ANCHORARRAY($AA$11),ROW()-10,6),"")</f>
        <v/>
      </c>
      <c r="G60" s="4" t="str" cm="1">
        <f t="array" aca="1" ref="G60" ca="1">IFERROR(INDEX(_xlfn.ANCHORARRAY($AA$11),ROW()-10,7),"")</f>
        <v/>
      </c>
      <c r="H60" s="4" t="str" cm="1">
        <f t="array" aca="1" ref="H60" ca="1">IFERROR(INDEX(_xlfn.ANCHORARRAY($AA$11),ROW()-10,8),"")</f>
        <v/>
      </c>
      <c r="I60" s="4" t="str" cm="1">
        <f t="array" aca="1" ref="I60" ca="1">IFERROR(INDEX(_xlfn.ANCHORARRAY($AA$11),ROW()-10,9),"")</f>
        <v/>
      </c>
      <c r="J60" s="4" t="str">
        <f t="shared" ca="1" si="3"/>
        <v/>
      </c>
      <c r="K60" s="4" t="str">
        <f t="shared" ca="1" si="4"/>
        <v/>
      </c>
      <c r="L60" s="4" t="str" cm="1">
        <f t="array" aca="1" ref="L60" ca="1">_xlfn.LET(_xlpm.link,IFERROR(INDEX(_xlfn.ANCHORARRAY($AA$11),ROW()-10,12),""),IF(_xlpm.link="","",HYPERLINK(_xlpm.link,"Bluecore/Attentive")))</f>
        <v/>
      </c>
      <c r="M60" s="89" t="str">
        <f t="shared" ca="1" si="5"/>
        <v/>
      </c>
      <c r="N60" s="7"/>
      <c r="O60" s="7"/>
      <c r="P60" s="7"/>
      <c r="Q60" s="7"/>
      <c r="R60" s="7"/>
      <c r="S60" s="6"/>
      <c r="T60" s="6"/>
      <c r="U60" s="6"/>
      <c r="V60" s="6"/>
      <c r="W60" s="6"/>
      <c r="X60" s="6"/>
      <c r="Y60" s="6"/>
      <c r="Z60" s="6"/>
      <c r="AA60" s="32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34" t="str" cm="1">
        <f t="array" aca="1" ref="A61" ca="1">IFERROR(INDEX(_xlfn.ANCHORARRAY($AA$11),ROW()-10,1),"")</f>
        <v/>
      </c>
      <c r="B61" s="20" t="str" cm="1">
        <f t="array" aca="1" ref="B61" ca="1">IFERROR(INDEX(_xlfn.ANCHORARRAY($AA$11),ROW()-10,2),"")</f>
        <v/>
      </c>
      <c r="C61" s="4" t="str" cm="1">
        <f t="array" aca="1" ref="C61" ca="1">IFERROR(INDEX(_xlfn.ANCHORARRAY($AA$11),ROW()-10,3),"")</f>
        <v/>
      </c>
      <c r="D61" s="15" t="str" cm="1">
        <f t="array" aca="1" ref="D61" ca="1">IFERROR(INDEX(_xlfn.ANCHORARRAY($AA$11),ROW()-10,4),"")</f>
        <v/>
      </c>
      <c r="E61" s="4" t="str" cm="1">
        <f t="array" aca="1" ref="E61" ca="1">IFERROR(INDEX(_xlfn.ANCHORARRAY($AA$11),ROW()-10,5),"")</f>
        <v/>
      </c>
      <c r="F61" s="15" t="str" cm="1">
        <f t="array" aca="1" ref="F61" ca="1">IFERROR(INDEX(_xlfn.ANCHORARRAY($AA$11),ROW()-10,6),"")</f>
        <v/>
      </c>
      <c r="G61" s="4" t="str" cm="1">
        <f t="array" aca="1" ref="G61" ca="1">IFERROR(INDEX(_xlfn.ANCHORARRAY($AA$11),ROW()-10,7),"")</f>
        <v/>
      </c>
      <c r="H61" s="4" t="str" cm="1">
        <f t="array" aca="1" ref="H61" ca="1">IFERROR(INDEX(_xlfn.ANCHORARRAY($AA$11),ROW()-10,8),"")</f>
        <v/>
      </c>
      <c r="I61" s="4" t="str" cm="1">
        <f t="array" aca="1" ref="I61" ca="1">IFERROR(INDEX(_xlfn.ANCHORARRAY($AA$11),ROW()-10,9),"")</f>
        <v/>
      </c>
      <c r="J61" s="4" t="str">
        <f t="shared" ca="1" si="3"/>
        <v/>
      </c>
      <c r="K61" s="4" t="str">
        <f t="shared" ca="1" si="4"/>
        <v/>
      </c>
      <c r="L61" s="4" t="str" cm="1">
        <f t="array" aca="1" ref="L61" ca="1">_xlfn.LET(_xlpm.link,IFERROR(INDEX(_xlfn.ANCHORARRAY($AA$11),ROW()-10,12),""),IF(_xlpm.link="","",HYPERLINK(_xlpm.link,"Bluecore/Attentive")))</f>
        <v/>
      </c>
      <c r="M61" s="88" t="str">
        <f t="shared" ca="1" si="5"/>
        <v/>
      </c>
      <c r="N61" s="7"/>
      <c r="O61" s="7"/>
      <c r="P61" s="7"/>
      <c r="Q61" s="7"/>
      <c r="R61" s="7"/>
      <c r="S61" s="6"/>
      <c r="T61" s="6"/>
      <c r="U61" s="6"/>
      <c r="V61" s="6"/>
      <c r="W61" s="6"/>
      <c r="X61" s="6"/>
      <c r="Y61" s="6"/>
      <c r="Z61" s="6"/>
      <c r="AA61" s="32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34" t="str" cm="1">
        <f t="array" aca="1" ref="A62" ca="1">IFERROR(INDEX(_xlfn.ANCHORARRAY($AA$11),ROW()-10,1),"")</f>
        <v/>
      </c>
      <c r="B62" s="20" t="str" cm="1">
        <f t="array" aca="1" ref="B62" ca="1">IFERROR(INDEX(_xlfn.ANCHORARRAY($AA$11),ROW()-10,2),"")</f>
        <v/>
      </c>
      <c r="C62" s="4" t="str" cm="1">
        <f t="array" aca="1" ref="C62" ca="1">IFERROR(INDEX(_xlfn.ANCHORARRAY($AA$11),ROW()-10,3),"")</f>
        <v/>
      </c>
      <c r="D62" s="15" t="str" cm="1">
        <f t="array" aca="1" ref="D62" ca="1">IFERROR(INDEX(_xlfn.ANCHORARRAY($AA$11),ROW()-10,4),"")</f>
        <v/>
      </c>
      <c r="E62" s="4" t="str" cm="1">
        <f t="array" aca="1" ref="E62" ca="1">IFERROR(INDEX(_xlfn.ANCHORARRAY($AA$11),ROW()-10,5),"")</f>
        <v/>
      </c>
      <c r="F62" s="15" t="str" cm="1">
        <f t="array" aca="1" ref="F62" ca="1">IFERROR(INDEX(_xlfn.ANCHORARRAY($AA$11),ROW()-10,6),"")</f>
        <v/>
      </c>
      <c r="G62" s="4" t="str" cm="1">
        <f t="array" aca="1" ref="G62" ca="1">IFERROR(INDEX(_xlfn.ANCHORARRAY($AA$11),ROW()-10,7),"")</f>
        <v/>
      </c>
      <c r="H62" s="4" t="str" cm="1">
        <f t="array" aca="1" ref="H62" ca="1">IFERROR(INDEX(_xlfn.ANCHORARRAY($AA$11),ROW()-10,8),"")</f>
        <v/>
      </c>
      <c r="I62" s="4" t="str" cm="1">
        <f t="array" aca="1" ref="I62" ca="1">IFERROR(INDEX(_xlfn.ANCHORARRAY($AA$11),ROW()-10,9),"")</f>
        <v/>
      </c>
      <c r="J62" s="4" t="str">
        <f t="shared" ca="1" si="3"/>
        <v/>
      </c>
      <c r="K62" s="4" t="str">
        <f t="shared" ca="1" si="4"/>
        <v/>
      </c>
      <c r="L62" s="4" t="str" cm="1">
        <f t="array" aca="1" ref="L62" ca="1">_xlfn.LET(_xlpm.link,IFERROR(INDEX(_xlfn.ANCHORARRAY($AA$11),ROW()-10,12),""),IF(_xlpm.link="","",HYPERLINK(_xlpm.link,"Bluecore/Attentive")))</f>
        <v/>
      </c>
      <c r="M62" s="89" t="str">
        <f t="shared" ca="1" si="5"/>
        <v/>
      </c>
      <c r="N62" s="7"/>
      <c r="O62" s="7"/>
      <c r="P62" s="7"/>
      <c r="Q62" s="7"/>
      <c r="R62" s="7"/>
      <c r="S62" s="6"/>
      <c r="T62" s="6"/>
      <c r="U62" s="6"/>
      <c r="V62" s="6"/>
      <c r="W62" s="6"/>
      <c r="X62" s="6"/>
      <c r="Y62" s="6"/>
      <c r="Z62" s="6"/>
      <c r="AA62" s="3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34" t="str" cm="1">
        <f t="array" aca="1" ref="A63" ca="1">IFERROR(INDEX(_xlfn.ANCHORARRAY($AA$11),ROW()-10,1),"")</f>
        <v/>
      </c>
      <c r="B63" s="20" t="str" cm="1">
        <f t="array" aca="1" ref="B63" ca="1">IFERROR(INDEX(_xlfn.ANCHORARRAY($AA$11),ROW()-10,2),"")</f>
        <v/>
      </c>
      <c r="C63" s="4" t="str" cm="1">
        <f t="array" aca="1" ref="C63" ca="1">IFERROR(INDEX(_xlfn.ANCHORARRAY($AA$11),ROW()-10,3),"")</f>
        <v/>
      </c>
      <c r="D63" s="15" t="str" cm="1">
        <f t="array" aca="1" ref="D63" ca="1">IFERROR(INDEX(_xlfn.ANCHORARRAY($AA$11),ROW()-10,4),"")</f>
        <v/>
      </c>
      <c r="E63" s="4" t="str" cm="1">
        <f t="array" aca="1" ref="E63" ca="1">IFERROR(INDEX(_xlfn.ANCHORARRAY($AA$11),ROW()-10,5),"")</f>
        <v/>
      </c>
      <c r="F63" s="15" t="str" cm="1">
        <f t="array" aca="1" ref="F63" ca="1">IFERROR(INDEX(_xlfn.ANCHORARRAY($AA$11),ROW()-10,6),"")</f>
        <v/>
      </c>
      <c r="G63" s="4" t="str" cm="1">
        <f t="array" aca="1" ref="G63" ca="1">IFERROR(INDEX(_xlfn.ANCHORARRAY($AA$11),ROW()-10,7),"")</f>
        <v/>
      </c>
      <c r="H63" s="4" t="str" cm="1">
        <f t="array" aca="1" ref="H63" ca="1">IFERROR(INDEX(_xlfn.ANCHORARRAY($AA$11),ROW()-10,8),"")</f>
        <v/>
      </c>
      <c r="I63" s="4" t="str" cm="1">
        <f t="array" aca="1" ref="I63" ca="1">IFERROR(INDEX(_xlfn.ANCHORARRAY($AA$11),ROW()-10,9),"")</f>
        <v/>
      </c>
      <c r="J63" s="4" t="str">
        <f t="shared" ca="1" si="3"/>
        <v/>
      </c>
      <c r="K63" s="4" t="str">
        <f t="shared" ca="1" si="4"/>
        <v/>
      </c>
      <c r="L63" s="4" t="str" cm="1">
        <f t="array" aca="1" ref="L63" ca="1">_xlfn.LET(_xlpm.link,IFERROR(INDEX(_xlfn.ANCHORARRAY($AA$11),ROW()-10,12),""),IF(_xlpm.link="","",HYPERLINK(_xlpm.link,"Bluecore/Attentive")))</f>
        <v/>
      </c>
      <c r="M63" s="88" t="str">
        <f t="shared" ca="1" si="5"/>
        <v/>
      </c>
      <c r="N63" s="7"/>
      <c r="O63" s="7"/>
      <c r="P63" s="7"/>
      <c r="Q63" s="7"/>
      <c r="R63" s="7"/>
      <c r="S63" s="6"/>
      <c r="T63" s="6"/>
      <c r="U63" s="6"/>
      <c r="V63" s="6"/>
      <c r="W63" s="6"/>
      <c r="X63" s="6"/>
      <c r="Y63" s="6"/>
      <c r="Z63" s="6"/>
      <c r="AA63" s="32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34" t="str" cm="1">
        <f t="array" aca="1" ref="A64" ca="1">IFERROR(INDEX(_xlfn.ANCHORARRAY($AA$11),ROW()-10,1),"")</f>
        <v/>
      </c>
      <c r="B64" s="20" t="str" cm="1">
        <f t="array" aca="1" ref="B64" ca="1">IFERROR(INDEX(_xlfn.ANCHORARRAY($AA$11),ROW()-10,2),"")</f>
        <v/>
      </c>
      <c r="C64" s="4" t="str" cm="1">
        <f t="array" aca="1" ref="C64" ca="1">IFERROR(INDEX(_xlfn.ANCHORARRAY($AA$11),ROW()-10,3),"")</f>
        <v/>
      </c>
      <c r="D64" s="15" t="str" cm="1">
        <f t="array" aca="1" ref="D64" ca="1">IFERROR(INDEX(_xlfn.ANCHORARRAY($AA$11),ROW()-10,4),"")</f>
        <v/>
      </c>
      <c r="E64" s="4" t="str" cm="1">
        <f t="array" aca="1" ref="E64" ca="1">IFERROR(INDEX(_xlfn.ANCHORARRAY($AA$11),ROW()-10,5),"")</f>
        <v/>
      </c>
      <c r="F64" s="15" t="str" cm="1">
        <f t="array" aca="1" ref="F64" ca="1">IFERROR(INDEX(_xlfn.ANCHORARRAY($AA$11),ROW()-10,6),"")</f>
        <v/>
      </c>
      <c r="G64" s="4" t="str" cm="1">
        <f t="array" aca="1" ref="G64" ca="1">IFERROR(INDEX(_xlfn.ANCHORARRAY($AA$11),ROW()-10,7),"")</f>
        <v/>
      </c>
      <c r="H64" s="4" t="str" cm="1">
        <f t="array" aca="1" ref="H64" ca="1">IFERROR(INDEX(_xlfn.ANCHORARRAY($AA$11),ROW()-10,8),"")</f>
        <v/>
      </c>
      <c r="I64" s="4" t="str" cm="1">
        <f t="array" aca="1" ref="I64" ca="1">IFERROR(INDEX(_xlfn.ANCHORARRAY($AA$11),ROW()-10,9),"")</f>
        <v/>
      </c>
      <c r="J64" s="4" t="str">
        <f t="shared" ca="1" si="3"/>
        <v/>
      </c>
      <c r="K64" s="4" t="str">
        <f t="shared" ca="1" si="4"/>
        <v/>
      </c>
      <c r="L64" s="4" t="str" cm="1">
        <f t="array" aca="1" ref="L64" ca="1">_xlfn.LET(_xlpm.link,IFERROR(INDEX(_xlfn.ANCHORARRAY($AA$11),ROW()-10,12),""),IF(_xlpm.link="","",HYPERLINK(_xlpm.link,"Bluecore/Attentive")))</f>
        <v/>
      </c>
      <c r="M64" s="89" t="str">
        <f t="shared" ca="1" si="5"/>
        <v/>
      </c>
      <c r="N64" s="7"/>
      <c r="O64" s="7"/>
      <c r="P64" s="7"/>
      <c r="Q64" s="7"/>
      <c r="R64" s="7"/>
      <c r="S64" s="6"/>
      <c r="T64" s="6"/>
      <c r="U64" s="6"/>
      <c r="V64" s="6"/>
      <c r="W64" s="6"/>
      <c r="X64" s="6"/>
      <c r="Y64" s="6"/>
      <c r="Z64" s="6"/>
      <c r="AA64" s="32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34" t="str" cm="1">
        <f t="array" aca="1" ref="A65" ca="1">IFERROR(INDEX(_xlfn.ANCHORARRAY($AA$11),ROW()-10,1),"")</f>
        <v/>
      </c>
      <c r="B65" s="20" t="str" cm="1">
        <f t="array" aca="1" ref="B65" ca="1">IFERROR(INDEX(_xlfn.ANCHORARRAY($AA$11),ROW()-10,2),"")</f>
        <v/>
      </c>
      <c r="C65" s="4" t="str" cm="1">
        <f t="array" aca="1" ref="C65" ca="1">IFERROR(INDEX(_xlfn.ANCHORARRAY($AA$11),ROW()-10,3),"")</f>
        <v/>
      </c>
      <c r="D65" s="15" t="str" cm="1">
        <f t="array" aca="1" ref="D65" ca="1">IFERROR(INDEX(_xlfn.ANCHORARRAY($AA$11),ROW()-10,4),"")</f>
        <v/>
      </c>
      <c r="E65" s="4" t="str" cm="1">
        <f t="array" aca="1" ref="E65" ca="1">IFERROR(INDEX(_xlfn.ANCHORARRAY($AA$11),ROW()-10,5),"")</f>
        <v/>
      </c>
      <c r="F65" s="15" t="str" cm="1">
        <f t="array" aca="1" ref="F65" ca="1">IFERROR(INDEX(_xlfn.ANCHORARRAY($AA$11),ROW()-10,6),"")</f>
        <v/>
      </c>
      <c r="G65" s="4" t="str" cm="1">
        <f t="array" aca="1" ref="G65" ca="1">IFERROR(INDEX(_xlfn.ANCHORARRAY($AA$11),ROW()-10,7),"")</f>
        <v/>
      </c>
      <c r="H65" s="4" t="str" cm="1">
        <f t="array" aca="1" ref="H65" ca="1">IFERROR(INDEX(_xlfn.ANCHORARRAY($AA$11),ROW()-10,8),"")</f>
        <v/>
      </c>
      <c r="I65" s="4" t="str" cm="1">
        <f t="array" aca="1" ref="I65" ca="1">IFERROR(INDEX(_xlfn.ANCHORARRAY($AA$11),ROW()-10,9),"")</f>
        <v/>
      </c>
      <c r="J65" s="4" t="str">
        <f t="shared" ca="1" si="3"/>
        <v/>
      </c>
      <c r="K65" s="4" t="str">
        <f t="shared" ca="1" si="4"/>
        <v/>
      </c>
      <c r="L65" s="4" t="str" cm="1">
        <f t="array" aca="1" ref="L65" ca="1">_xlfn.LET(_xlpm.link,IFERROR(INDEX(_xlfn.ANCHORARRAY($AA$11),ROW()-10,12),""),IF(_xlpm.link="","",HYPERLINK(_xlpm.link,"Bluecore/Attentive")))</f>
        <v/>
      </c>
      <c r="M65" s="88" t="str">
        <f t="shared" ca="1" si="5"/>
        <v/>
      </c>
      <c r="N65" s="7"/>
      <c r="O65" s="7"/>
      <c r="P65" s="7"/>
      <c r="Q65" s="7"/>
      <c r="R65" s="7"/>
      <c r="S65" s="6"/>
      <c r="T65" s="6"/>
      <c r="U65" s="6"/>
      <c r="V65" s="6"/>
      <c r="W65" s="6"/>
      <c r="X65" s="6"/>
      <c r="Y65" s="6"/>
      <c r="Z65" s="6"/>
      <c r="AA65" s="32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34" t="str" cm="1">
        <f t="array" aca="1" ref="A66" ca="1">IFERROR(INDEX(_xlfn.ANCHORARRAY($AA$11),ROW()-10,1),"")</f>
        <v/>
      </c>
      <c r="B66" s="20" t="str" cm="1">
        <f t="array" aca="1" ref="B66" ca="1">IFERROR(INDEX(_xlfn.ANCHORARRAY($AA$11),ROW()-10,2),"")</f>
        <v/>
      </c>
      <c r="C66" s="4" t="str" cm="1">
        <f t="array" aca="1" ref="C66" ca="1">IFERROR(INDEX(_xlfn.ANCHORARRAY($AA$11),ROW()-10,3),"")</f>
        <v/>
      </c>
      <c r="D66" s="15" t="str" cm="1">
        <f t="array" aca="1" ref="D66" ca="1">IFERROR(INDEX(_xlfn.ANCHORARRAY($AA$11),ROW()-10,4),"")</f>
        <v/>
      </c>
      <c r="E66" s="4" t="str" cm="1">
        <f t="array" aca="1" ref="E66" ca="1">IFERROR(INDEX(_xlfn.ANCHORARRAY($AA$11),ROW()-10,5),"")</f>
        <v/>
      </c>
      <c r="F66" s="15" t="str" cm="1">
        <f t="array" aca="1" ref="F66" ca="1">IFERROR(INDEX(_xlfn.ANCHORARRAY($AA$11),ROW()-10,6),"")</f>
        <v/>
      </c>
      <c r="G66" s="4" t="str" cm="1">
        <f t="array" aca="1" ref="G66" ca="1">IFERROR(INDEX(_xlfn.ANCHORARRAY($AA$11),ROW()-10,7),"")</f>
        <v/>
      </c>
      <c r="H66" s="4" t="str" cm="1">
        <f t="array" aca="1" ref="H66" ca="1">IFERROR(INDEX(_xlfn.ANCHORARRAY($AA$11),ROW()-10,8),"")</f>
        <v/>
      </c>
      <c r="I66" s="4" t="str" cm="1">
        <f t="array" aca="1" ref="I66" ca="1">IFERROR(INDEX(_xlfn.ANCHORARRAY($AA$11),ROW()-10,9),"")</f>
        <v/>
      </c>
      <c r="J66" s="4" t="str">
        <f t="shared" ca="1" si="3"/>
        <v/>
      </c>
      <c r="K66" s="4" t="str">
        <f t="shared" ca="1" si="4"/>
        <v/>
      </c>
      <c r="L66" s="4" t="str" cm="1">
        <f t="array" aca="1" ref="L66" ca="1">_xlfn.LET(_xlpm.link,IFERROR(INDEX(_xlfn.ANCHORARRAY($AA$11),ROW()-10,12),""),IF(_xlpm.link="","",HYPERLINK(_xlpm.link,"Bluecore/Attentive")))</f>
        <v/>
      </c>
      <c r="M66" s="89" t="str">
        <f t="shared" ca="1" si="5"/>
        <v/>
      </c>
      <c r="N66" s="7"/>
      <c r="O66" s="7"/>
      <c r="P66" s="7"/>
      <c r="Q66" s="7"/>
      <c r="R66" s="7"/>
      <c r="S66" s="6"/>
      <c r="T66" s="6"/>
      <c r="U66" s="6"/>
      <c r="V66" s="6"/>
      <c r="W66" s="6"/>
      <c r="X66" s="6"/>
      <c r="Y66" s="6"/>
      <c r="Z66" s="6"/>
      <c r="AA66" s="32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34" t="str" cm="1">
        <f t="array" aca="1" ref="A67" ca="1">IFERROR(INDEX(_xlfn.ANCHORARRAY($AA$11),ROW()-10,1),"")</f>
        <v/>
      </c>
      <c r="B67" s="20" t="str" cm="1">
        <f t="array" aca="1" ref="B67" ca="1">IFERROR(INDEX(_xlfn.ANCHORARRAY($AA$11),ROW()-10,2),"")</f>
        <v/>
      </c>
      <c r="C67" s="4" t="str" cm="1">
        <f t="array" aca="1" ref="C67" ca="1">IFERROR(INDEX(_xlfn.ANCHORARRAY($AA$11),ROW()-10,3),"")</f>
        <v/>
      </c>
      <c r="D67" s="15" t="str" cm="1">
        <f t="array" aca="1" ref="D67" ca="1">IFERROR(INDEX(_xlfn.ANCHORARRAY($AA$11),ROW()-10,4),"")</f>
        <v/>
      </c>
      <c r="E67" s="4" t="str" cm="1">
        <f t="array" aca="1" ref="E67" ca="1">IFERROR(INDEX(_xlfn.ANCHORARRAY($AA$11),ROW()-10,5),"")</f>
        <v/>
      </c>
      <c r="F67" s="15" t="str" cm="1">
        <f t="array" aca="1" ref="F67" ca="1">IFERROR(INDEX(_xlfn.ANCHORARRAY($AA$11),ROW()-10,6),"")</f>
        <v/>
      </c>
      <c r="G67" s="4" t="str" cm="1">
        <f t="array" aca="1" ref="G67" ca="1">IFERROR(INDEX(_xlfn.ANCHORARRAY($AA$11),ROW()-10,7),"")</f>
        <v/>
      </c>
      <c r="H67" s="4" t="str" cm="1">
        <f t="array" aca="1" ref="H67" ca="1">IFERROR(INDEX(_xlfn.ANCHORARRAY($AA$11),ROW()-10,8),"")</f>
        <v/>
      </c>
      <c r="I67" s="4" t="str" cm="1">
        <f t="array" aca="1" ref="I67" ca="1">IFERROR(INDEX(_xlfn.ANCHORARRAY($AA$11),ROW()-10,9),"")</f>
        <v/>
      </c>
      <c r="J67" s="4" t="str">
        <f t="shared" ca="1" si="3"/>
        <v/>
      </c>
      <c r="K67" s="4" t="str">
        <f t="shared" ca="1" si="4"/>
        <v/>
      </c>
      <c r="L67" s="4" t="str" cm="1">
        <f t="array" aca="1" ref="L67" ca="1">_xlfn.LET(_xlpm.link,IFERROR(INDEX(_xlfn.ANCHORARRAY($AA$11),ROW()-10,12),""),IF(_xlpm.link="","",HYPERLINK(_xlpm.link,"Bluecore/Attentive")))</f>
        <v/>
      </c>
      <c r="M67" s="88" t="str">
        <f t="shared" ca="1" si="5"/>
        <v/>
      </c>
      <c r="N67" s="7"/>
      <c r="O67" s="7"/>
      <c r="P67" s="7"/>
      <c r="Q67" s="7"/>
      <c r="R67" s="7"/>
      <c r="S67" s="6"/>
      <c r="T67" s="6"/>
      <c r="U67" s="6"/>
      <c r="V67" s="6"/>
      <c r="W67" s="6"/>
      <c r="X67" s="6"/>
      <c r="Y67" s="6"/>
      <c r="Z67" s="6"/>
      <c r="AA67" s="32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34" t="str" cm="1">
        <f t="array" aca="1" ref="A68" ca="1">IFERROR(INDEX(_xlfn.ANCHORARRAY($AA$11),ROW()-10,1),"")</f>
        <v/>
      </c>
      <c r="B68" s="20" t="str" cm="1">
        <f t="array" aca="1" ref="B68" ca="1">IFERROR(INDEX(_xlfn.ANCHORARRAY($AA$11),ROW()-10,2),"")</f>
        <v/>
      </c>
      <c r="C68" s="4" t="str" cm="1">
        <f t="array" aca="1" ref="C68" ca="1">IFERROR(INDEX(_xlfn.ANCHORARRAY($AA$11),ROW()-10,3),"")</f>
        <v/>
      </c>
      <c r="D68" s="15" t="str" cm="1">
        <f t="array" aca="1" ref="D68" ca="1">IFERROR(INDEX(_xlfn.ANCHORARRAY($AA$11),ROW()-10,4),"")</f>
        <v/>
      </c>
      <c r="E68" s="4" t="str" cm="1">
        <f t="array" aca="1" ref="E68" ca="1">IFERROR(INDEX(_xlfn.ANCHORARRAY($AA$11),ROW()-10,5),"")</f>
        <v/>
      </c>
      <c r="F68" s="15" t="str" cm="1">
        <f t="array" aca="1" ref="F68" ca="1">IFERROR(INDEX(_xlfn.ANCHORARRAY($AA$11),ROW()-10,6),"")</f>
        <v/>
      </c>
      <c r="G68" s="4" t="str" cm="1">
        <f t="array" aca="1" ref="G68" ca="1">IFERROR(INDEX(_xlfn.ANCHORARRAY($AA$11),ROW()-10,7),"")</f>
        <v/>
      </c>
      <c r="H68" s="4" t="str" cm="1">
        <f t="array" aca="1" ref="H68" ca="1">IFERROR(INDEX(_xlfn.ANCHORARRAY($AA$11),ROW()-10,8),"")</f>
        <v/>
      </c>
      <c r="I68" s="4" t="str" cm="1">
        <f t="array" aca="1" ref="I68" ca="1">IFERROR(INDEX(_xlfn.ANCHORARRAY($AA$11),ROW()-10,9),"")</f>
        <v/>
      </c>
      <c r="J68" s="4" t="str">
        <f t="shared" ca="1" si="3"/>
        <v/>
      </c>
      <c r="K68" s="4" t="str">
        <f t="shared" ca="1" si="4"/>
        <v/>
      </c>
      <c r="L68" s="4" t="str" cm="1">
        <f t="array" aca="1" ref="L68" ca="1">_xlfn.LET(_xlpm.link,IFERROR(INDEX(_xlfn.ANCHORARRAY($AA$11),ROW()-10,12),""),IF(_xlpm.link="","",HYPERLINK(_xlpm.link,"Bluecore/Attentive")))</f>
        <v/>
      </c>
      <c r="M68" s="89" t="str">
        <f t="shared" ca="1" si="5"/>
        <v/>
      </c>
      <c r="N68" s="7"/>
      <c r="O68" s="7"/>
      <c r="P68" s="7"/>
      <c r="Q68" s="7"/>
      <c r="R68" s="7"/>
      <c r="S68" s="6"/>
      <c r="T68" s="6"/>
      <c r="U68" s="6"/>
      <c r="V68" s="6"/>
      <c r="W68" s="6"/>
      <c r="X68" s="6"/>
      <c r="Y68" s="6"/>
      <c r="Z68" s="6"/>
      <c r="AA68" s="32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34" t="str" cm="1">
        <f t="array" aca="1" ref="A69" ca="1">IFERROR(INDEX(_xlfn.ANCHORARRAY($AA$11),ROW()-10,1),"")</f>
        <v/>
      </c>
      <c r="B69" s="20" t="str" cm="1">
        <f t="array" aca="1" ref="B69" ca="1">IFERROR(INDEX(_xlfn.ANCHORARRAY($AA$11),ROW()-10,2),"")</f>
        <v/>
      </c>
      <c r="C69" s="4" t="str" cm="1">
        <f t="array" aca="1" ref="C69" ca="1">IFERROR(INDEX(_xlfn.ANCHORARRAY($AA$11),ROW()-10,3),"")</f>
        <v/>
      </c>
      <c r="D69" s="15" t="str" cm="1">
        <f t="array" aca="1" ref="D69" ca="1">IFERROR(INDEX(_xlfn.ANCHORARRAY($AA$11),ROW()-10,4),"")</f>
        <v/>
      </c>
      <c r="E69" s="4" t="str" cm="1">
        <f t="array" aca="1" ref="E69" ca="1">IFERROR(INDEX(_xlfn.ANCHORARRAY($AA$11),ROW()-10,5),"")</f>
        <v/>
      </c>
      <c r="F69" s="15" t="str" cm="1">
        <f t="array" aca="1" ref="F69" ca="1">IFERROR(INDEX(_xlfn.ANCHORARRAY($AA$11),ROW()-10,6),"")</f>
        <v/>
      </c>
      <c r="G69" s="4" t="str" cm="1">
        <f t="array" aca="1" ref="G69" ca="1">IFERROR(INDEX(_xlfn.ANCHORARRAY($AA$11),ROW()-10,7),"")</f>
        <v/>
      </c>
      <c r="H69" s="4" t="str" cm="1">
        <f t="array" aca="1" ref="H69" ca="1">IFERROR(INDEX(_xlfn.ANCHORARRAY($AA$11),ROW()-10,8),"")</f>
        <v/>
      </c>
      <c r="I69" s="4" t="str" cm="1">
        <f t="array" aca="1" ref="I69" ca="1">IFERROR(INDEX(_xlfn.ANCHORARRAY($AA$11),ROW()-10,9),"")</f>
        <v/>
      </c>
      <c r="J69" s="4" t="str">
        <f t="shared" ca="1" si="3"/>
        <v/>
      </c>
      <c r="K69" s="4" t="str">
        <f t="shared" ca="1" si="4"/>
        <v/>
      </c>
      <c r="L69" s="4" t="str" cm="1">
        <f t="array" aca="1" ref="L69" ca="1">_xlfn.LET(_xlpm.link,IFERROR(INDEX(_xlfn.ANCHORARRAY($AA$11),ROW()-10,12),""),IF(_xlpm.link="","",HYPERLINK(_xlpm.link,"Bluecore/Attentive")))</f>
        <v/>
      </c>
      <c r="M69" s="88" t="str">
        <f t="shared" ca="1" si="5"/>
        <v/>
      </c>
      <c r="N69" s="7"/>
      <c r="O69" s="7"/>
      <c r="P69" s="7"/>
      <c r="Q69" s="7"/>
      <c r="R69" s="7"/>
      <c r="S69" s="6"/>
      <c r="T69" s="6"/>
      <c r="U69" s="6"/>
      <c r="V69" s="6"/>
      <c r="W69" s="6"/>
      <c r="X69" s="6"/>
      <c r="Y69" s="6"/>
      <c r="Z69" s="6"/>
      <c r="AA69" s="32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34" t="str" cm="1">
        <f t="array" aca="1" ref="A70" ca="1">IFERROR(INDEX(_xlfn.ANCHORARRAY($AA$11),ROW()-10,1),"")</f>
        <v/>
      </c>
      <c r="B70" s="20" t="str" cm="1">
        <f t="array" aca="1" ref="B70" ca="1">IFERROR(INDEX(_xlfn.ANCHORARRAY($AA$11),ROW()-10,2),"")</f>
        <v/>
      </c>
      <c r="C70" s="4" t="str" cm="1">
        <f t="array" aca="1" ref="C70" ca="1">IFERROR(INDEX(_xlfn.ANCHORARRAY($AA$11),ROW()-10,3),"")</f>
        <v/>
      </c>
      <c r="D70" s="15" t="str" cm="1">
        <f t="array" aca="1" ref="D70" ca="1">IFERROR(INDEX(_xlfn.ANCHORARRAY($AA$11),ROW()-10,4),"")</f>
        <v/>
      </c>
      <c r="E70" s="4" t="str" cm="1">
        <f t="array" aca="1" ref="E70" ca="1">IFERROR(INDEX(_xlfn.ANCHORARRAY($AA$11),ROW()-10,5),"")</f>
        <v/>
      </c>
      <c r="F70" s="15" t="str" cm="1">
        <f t="array" aca="1" ref="F70" ca="1">IFERROR(INDEX(_xlfn.ANCHORARRAY($AA$11),ROW()-10,6),"")</f>
        <v/>
      </c>
      <c r="G70" s="4" t="str" cm="1">
        <f t="array" aca="1" ref="G70" ca="1">IFERROR(INDEX(_xlfn.ANCHORARRAY($AA$11),ROW()-10,7),"")</f>
        <v/>
      </c>
      <c r="H70" s="4" t="str" cm="1">
        <f t="array" aca="1" ref="H70" ca="1">IFERROR(INDEX(_xlfn.ANCHORARRAY($AA$11),ROW()-10,8),"")</f>
        <v/>
      </c>
      <c r="I70" s="4" t="str" cm="1">
        <f t="array" aca="1" ref="I70" ca="1">IFERROR(INDEX(_xlfn.ANCHORARRAY($AA$11),ROW()-10,9),"")</f>
        <v/>
      </c>
      <c r="J70" s="4" t="str">
        <f t="shared" ca="1" si="3"/>
        <v/>
      </c>
      <c r="K70" s="4" t="str">
        <f t="shared" ca="1" si="4"/>
        <v/>
      </c>
      <c r="L70" s="4" t="str" cm="1">
        <f t="array" aca="1" ref="L70" ca="1">_xlfn.LET(_xlpm.link,IFERROR(INDEX(_xlfn.ANCHORARRAY($AA$11),ROW()-10,12),""),IF(_xlpm.link="","",HYPERLINK(_xlpm.link,"Bluecore/Attentive")))</f>
        <v/>
      </c>
      <c r="M70" s="89" t="str">
        <f t="shared" ca="1" si="5"/>
        <v/>
      </c>
      <c r="N70" s="7"/>
      <c r="O70" s="7"/>
      <c r="P70" s="7"/>
      <c r="Q70" s="7"/>
      <c r="R70" s="7"/>
      <c r="S70" s="6"/>
      <c r="T70" s="6"/>
      <c r="U70" s="6"/>
      <c r="V70" s="6"/>
      <c r="W70" s="6"/>
      <c r="X70" s="6"/>
      <c r="Y70" s="6"/>
      <c r="Z70" s="6"/>
      <c r="AA70" s="32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34" t="str" cm="1">
        <f t="array" aca="1" ref="A71" ca="1">IFERROR(INDEX(_xlfn.ANCHORARRAY($AA$11),ROW()-10,1),"")</f>
        <v/>
      </c>
      <c r="B71" s="20" t="str" cm="1">
        <f t="array" aca="1" ref="B71" ca="1">IFERROR(INDEX(_xlfn.ANCHORARRAY($AA$11),ROW()-10,2),"")</f>
        <v/>
      </c>
      <c r="C71" s="4" t="str" cm="1">
        <f t="array" aca="1" ref="C71" ca="1">IFERROR(INDEX(_xlfn.ANCHORARRAY($AA$11),ROW()-10,3),"")</f>
        <v/>
      </c>
      <c r="D71" s="15" t="str" cm="1">
        <f t="array" aca="1" ref="D71" ca="1">IFERROR(INDEX(_xlfn.ANCHORARRAY($AA$11),ROW()-10,4),"")</f>
        <v/>
      </c>
      <c r="E71" s="4" t="str" cm="1">
        <f t="array" aca="1" ref="E71" ca="1">IFERROR(INDEX(_xlfn.ANCHORARRAY($AA$11),ROW()-10,5),"")</f>
        <v/>
      </c>
      <c r="F71" s="15" t="str" cm="1">
        <f t="array" aca="1" ref="F71" ca="1">IFERROR(INDEX(_xlfn.ANCHORARRAY($AA$11),ROW()-10,6),"")</f>
        <v/>
      </c>
      <c r="G71" s="4" t="str" cm="1">
        <f t="array" aca="1" ref="G71" ca="1">IFERROR(INDEX(_xlfn.ANCHORARRAY($AA$11),ROW()-10,7),"")</f>
        <v/>
      </c>
      <c r="H71" s="4" t="str" cm="1">
        <f t="array" aca="1" ref="H71" ca="1">IFERROR(INDEX(_xlfn.ANCHORARRAY($AA$11),ROW()-10,8),"")</f>
        <v/>
      </c>
      <c r="I71" s="4" t="str" cm="1">
        <f t="array" aca="1" ref="I71" ca="1">IFERROR(INDEX(_xlfn.ANCHORARRAY($AA$11),ROW()-10,9),"")</f>
        <v/>
      </c>
      <c r="J71" s="4" t="str">
        <f t="shared" ca="1" si="3"/>
        <v/>
      </c>
      <c r="K71" s="4" t="str">
        <f t="shared" ca="1" si="4"/>
        <v/>
      </c>
      <c r="L71" s="4" t="str" cm="1">
        <f t="array" aca="1" ref="L71" ca="1">_xlfn.LET(_xlpm.link,IFERROR(INDEX(_xlfn.ANCHORARRAY($AA$11),ROW()-10,12),""),IF(_xlpm.link="","",HYPERLINK(_xlpm.link,"Bluecore/Attentive")))</f>
        <v/>
      </c>
      <c r="M71" s="88" t="str">
        <f t="shared" ca="1" si="5"/>
        <v/>
      </c>
      <c r="N71" s="7"/>
      <c r="O71" s="7"/>
      <c r="P71" s="7"/>
      <c r="Q71" s="7"/>
      <c r="R71" s="7"/>
      <c r="S71" s="6"/>
      <c r="T71" s="6"/>
      <c r="U71" s="6"/>
      <c r="V71" s="6"/>
      <c r="W71" s="6"/>
      <c r="X71" s="6"/>
      <c r="Y71" s="6"/>
      <c r="Z71" s="6"/>
      <c r="AA71" s="32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34" t="str" cm="1">
        <f t="array" aca="1" ref="A72" ca="1">IFERROR(INDEX(_xlfn.ANCHORARRAY($AA$11),ROW()-10,1),"")</f>
        <v/>
      </c>
      <c r="B72" s="20" t="str" cm="1">
        <f t="array" aca="1" ref="B72" ca="1">IFERROR(INDEX(_xlfn.ANCHORARRAY($AA$11),ROW()-10,2),"")</f>
        <v/>
      </c>
      <c r="C72" s="4" t="str" cm="1">
        <f t="array" aca="1" ref="C72" ca="1">IFERROR(INDEX(_xlfn.ANCHORARRAY($AA$11),ROW()-10,3),"")</f>
        <v/>
      </c>
      <c r="D72" s="15" t="str" cm="1">
        <f t="array" aca="1" ref="D72" ca="1">IFERROR(INDEX(_xlfn.ANCHORARRAY($AA$11),ROW()-10,4),"")</f>
        <v/>
      </c>
      <c r="E72" s="4" t="str" cm="1">
        <f t="array" aca="1" ref="E72" ca="1">IFERROR(INDEX(_xlfn.ANCHORARRAY($AA$11),ROW()-10,5),"")</f>
        <v/>
      </c>
      <c r="F72" s="15" t="str" cm="1">
        <f t="array" aca="1" ref="F72" ca="1">IFERROR(INDEX(_xlfn.ANCHORARRAY($AA$11),ROW()-10,6),"")</f>
        <v/>
      </c>
      <c r="G72" s="4" t="str" cm="1">
        <f t="array" aca="1" ref="G72" ca="1">IFERROR(INDEX(_xlfn.ANCHORARRAY($AA$11),ROW()-10,7),"")</f>
        <v/>
      </c>
      <c r="H72" s="4" t="str" cm="1">
        <f t="array" aca="1" ref="H72" ca="1">IFERROR(INDEX(_xlfn.ANCHORARRAY($AA$11),ROW()-10,8),"")</f>
        <v/>
      </c>
      <c r="I72" s="4" t="str" cm="1">
        <f t="array" aca="1" ref="I72" ca="1">IFERROR(INDEX(_xlfn.ANCHORARRAY($AA$11),ROW()-10,9),"")</f>
        <v/>
      </c>
      <c r="J72" s="4" t="str">
        <f t="shared" ca="1" si="3"/>
        <v/>
      </c>
      <c r="K72" s="4" t="str">
        <f t="shared" ca="1" si="4"/>
        <v/>
      </c>
      <c r="L72" s="4" t="str" cm="1">
        <f t="array" aca="1" ref="L72" ca="1">_xlfn.LET(_xlpm.link,IFERROR(INDEX(_xlfn.ANCHORARRAY($AA$11),ROW()-10,12),""),IF(_xlpm.link="","",HYPERLINK(_xlpm.link,"Bluecore/Attentive")))</f>
        <v/>
      </c>
      <c r="M72" s="89" t="str">
        <f t="shared" ca="1" si="5"/>
        <v/>
      </c>
      <c r="N72" s="7"/>
      <c r="O72" s="7"/>
      <c r="P72" s="7"/>
      <c r="Q72" s="7"/>
      <c r="R72" s="7"/>
      <c r="S72" s="6"/>
      <c r="T72" s="6"/>
      <c r="U72" s="6"/>
      <c r="V72" s="6"/>
      <c r="W72" s="6"/>
      <c r="X72" s="6"/>
      <c r="Y72" s="6"/>
      <c r="Z72" s="6"/>
      <c r="AA72" s="3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34" t="str" cm="1">
        <f t="array" aca="1" ref="A73" ca="1">IFERROR(INDEX(_xlfn.ANCHORARRAY($AA$11),ROW()-10,1),"")</f>
        <v/>
      </c>
      <c r="B73" s="20" t="str" cm="1">
        <f t="array" aca="1" ref="B73" ca="1">IFERROR(INDEX(_xlfn.ANCHORARRAY($AA$11),ROW()-10,2),"")</f>
        <v/>
      </c>
      <c r="C73" s="4" t="str" cm="1">
        <f t="array" aca="1" ref="C73" ca="1">IFERROR(INDEX(_xlfn.ANCHORARRAY($AA$11),ROW()-10,3),"")</f>
        <v/>
      </c>
      <c r="D73" s="15" t="str" cm="1">
        <f t="array" aca="1" ref="D73" ca="1">IFERROR(INDEX(_xlfn.ANCHORARRAY($AA$11),ROW()-10,4),"")</f>
        <v/>
      </c>
      <c r="E73" s="4" t="str" cm="1">
        <f t="array" aca="1" ref="E73" ca="1">IFERROR(INDEX(_xlfn.ANCHORARRAY($AA$11),ROW()-10,5),"")</f>
        <v/>
      </c>
      <c r="F73" s="15" t="str" cm="1">
        <f t="array" aca="1" ref="F73" ca="1">IFERROR(INDEX(_xlfn.ANCHORARRAY($AA$11),ROW()-10,6),"")</f>
        <v/>
      </c>
      <c r="G73" s="4" t="str" cm="1">
        <f t="array" aca="1" ref="G73" ca="1">IFERROR(INDEX(_xlfn.ANCHORARRAY($AA$11),ROW()-10,7),"")</f>
        <v/>
      </c>
      <c r="H73" s="4" t="str" cm="1">
        <f t="array" aca="1" ref="H73" ca="1">IFERROR(INDEX(_xlfn.ANCHORARRAY($AA$11),ROW()-10,8),"")</f>
        <v/>
      </c>
      <c r="I73" s="4" t="str" cm="1">
        <f t="array" aca="1" ref="I73" ca="1">IFERROR(INDEX(_xlfn.ANCHORARRAY($AA$11),ROW()-10,9),"")</f>
        <v/>
      </c>
      <c r="J73" s="4" t="str">
        <f t="shared" ca="1" si="3"/>
        <v/>
      </c>
      <c r="K73" s="4" t="str">
        <f t="shared" ca="1" si="4"/>
        <v/>
      </c>
      <c r="L73" s="4" t="str" cm="1">
        <f t="array" aca="1" ref="L73" ca="1">_xlfn.LET(_xlpm.link,IFERROR(INDEX(_xlfn.ANCHORARRAY($AA$11),ROW()-10,12),""),IF(_xlpm.link="","",HYPERLINK(_xlpm.link,"Bluecore/Attentive")))</f>
        <v/>
      </c>
      <c r="M73" s="88" t="str">
        <f t="shared" ca="1" si="5"/>
        <v/>
      </c>
      <c r="N73" s="7"/>
      <c r="O73" s="7"/>
      <c r="P73" s="7"/>
      <c r="Q73" s="7"/>
      <c r="R73" s="7"/>
      <c r="S73" s="6"/>
      <c r="T73" s="6"/>
      <c r="U73" s="6"/>
      <c r="V73" s="6"/>
      <c r="W73" s="6"/>
      <c r="X73" s="6"/>
      <c r="Y73" s="6"/>
      <c r="Z73" s="6"/>
      <c r="AA73" s="32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34" t="str" cm="1">
        <f t="array" aca="1" ref="A74" ca="1">IFERROR(INDEX(_xlfn.ANCHORARRAY($AA$11),ROW()-10,1),"")</f>
        <v/>
      </c>
      <c r="B74" s="20" t="str" cm="1">
        <f t="array" aca="1" ref="B74" ca="1">IFERROR(INDEX(_xlfn.ANCHORARRAY($AA$11),ROW()-10,2),"")</f>
        <v/>
      </c>
      <c r="C74" s="4" t="str" cm="1">
        <f t="array" aca="1" ref="C74" ca="1">IFERROR(INDEX(_xlfn.ANCHORARRAY($AA$11),ROW()-10,3),"")</f>
        <v/>
      </c>
      <c r="D74" s="15" t="str" cm="1">
        <f t="array" aca="1" ref="D74" ca="1">IFERROR(INDEX(_xlfn.ANCHORARRAY($AA$11),ROW()-10,4),"")</f>
        <v/>
      </c>
      <c r="E74" s="4" t="str" cm="1">
        <f t="array" aca="1" ref="E74" ca="1">IFERROR(INDEX(_xlfn.ANCHORARRAY($AA$11),ROW()-10,5),"")</f>
        <v/>
      </c>
      <c r="F74" s="15" t="str" cm="1">
        <f t="array" aca="1" ref="F74" ca="1">IFERROR(INDEX(_xlfn.ANCHORARRAY($AA$11),ROW()-10,6),"")</f>
        <v/>
      </c>
      <c r="G74" s="4" t="str" cm="1">
        <f t="array" aca="1" ref="G74" ca="1">IFERROR(INDEX(_xlfn.ANCHORARRAY($AA$11),ROW()-10,7),"")</f>
        <v/>
      </c>
      <c r="H74" s="4" t="str" cm="1">
        <f t="array" aca="1" ref="H74" ca="1">IFERROR(INDEX(_xlfn.ANCHORARRAY($AA$11),ROW()-10,8),"")</f>
        <v/>
      </c>
      <c r="I74" s="4" t="str" cm="1">
        <f t="array" aca="1" ref="I74" ca="1">IFERROR(INDEX(_xlfn.ANCHORARRAY($AA$11),ROW()-10,9),"")</f>
        <v/>
      </c>
      <c r="J74" s="4" t="str">
        <f t="shared" ca="1" si="3"/>
        <v/>
      </c>
      <c r="K74" s="4" t="str">
        <f t="shared" ca="1" si="4"/>
        <v/>
      </c>
      <c r="L74" s="4" t="str" cm="1">
        <f t="array" aca="1" ref="L74" ca="1">_xlfn.LET(_xlpm.link,IFERROR(INDEX(_xlfn.ANCHORARRAY($AA$11),ROW()-10,12),""),IF(_xlpm.link="","",HYPERLINK(_xlpm.link,"Bluecore/Attentive")))</f>
        <v/>
      </c>
      <c r="M74" s="89" t="str">
        <f t="shared" ca="1" si="5"/>
        <v/>
      </c>
      <c r="N74" s="7"/>
      <c r="O74" s="7"/>
      <c r="P74" s="7"/>
      <c r="Q74" s="7"/>
      <c r="R74" s="7"/>
      <c r="S74" s="6"/>
      <c r="T74" s="6"/>
      <c r="U74" s="6"/>
      <c r="V74" s="6"/>
      <c r="W74" s="6"/>
      <c r="X74" s="6"/>
      <c r="Y74" s="6"/>
      <c r="Z74" s="6"/>
      <c r="AA74" s="32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34" t="str" cm="1">
        <f t="array" aca="1" ref="A75" ca="1">IFERROR(INDEX(_xlfn.ANCHORARRAY($AA$11),ROW()-10,1),"")</f>
        <v/>
      </c>
      <c r="B75" s="20" t="str" cm="1">
        <f t="array" aca="1" ref="B75" ca="1">IFERROR(INDEX(_xlfn.ANCHORARRAY($AA$11),ROW()-10,2),"")</f>
        <v/>
      </c>
      <c r="C75" s="4" t="str" cm="1">
        <f t="array" aca="1" ref="C75" ca="1">IFERROR(INDEX(_xlfn.ANCHORARRAY($AA$11),ROW()-10,3),"")</f>
        <v/>
      </c>
      <c r="D75" s="15" t="str" cm="1">
        <f t="array" aca="1" ref="D75" ca="1">IFERROR(INDEX(_xlfn.ANCHORARRAY($AA$11),ROW()-10,4),"")</f>
        <v/>
      </c>
      <c r="E75" s="4" t="str" cm="1">
        <f t="array" aca="1" ref="E75" ca="1">IFERROR(INDEX(_xlfn.ANCHORARRAY($AA$11),ROW()-10,5),"")</f>
        <v/>
      </c>
      <c r="F75" s="15" t="str" cm="1">
        <f t="array" aca="1" ref="F75" ca="1">IFERROR(INDEX(_xlfn.ANCHORARRAY($AA$11),ROW()-10,6),"")</f>
        <v/>
      </c>
      <c r="G75" s="4" t="str" cm="1">
        <f t="array" aca="1" ref="G75" ca="1">IFERROR(INDEX(_xlfn.ANCHORARRAY($AA$11),ROW()-10,7),"")</f>
        <v/>
      </c>
      <c r="H75" s="4" t="str" cm="1">
        <f t="array" aca="1" ref="H75" ca="1">IFERROR(INDEX(_xlfn.ANCHORARRAY($AA$11),ROW()-10,8),"")</f>
        <v/>
      </c>
      <c r="I75" s="4" t="str" cm="1">
        <f t="array" aca="1" ref="I75" ca="1">IFERROR(INDEX(_xlfn.ANCHORARRAY($AA$11),ROW()-10,9),"")</f>
        <v/>
      </c>
      <c r="J75" s="4" t="str">
        <f t="shared" ref="J75:J106" ca="1" si="6">_xlfn.LET(_xlpm.ch,IFERROR(INDEX(_xlfn.ANCHORARRAY($AA$11),ROW()-10,3),""),_xlpm.link,IFERROR(INDEX(_xlfn.ANCHORARRAY($AA$11),ROW()-10,10),""),IF(OR(_xlpm.link="",_xlpm.ch="SMS"),"",HYPERLINK(_xlpm.link,"JIRA")))</f>
        <v/>
      </c>
      <c r="K75" s="4" t="str">
        <f t="shared" ref="K75:K106" ca="1" si="7">_xlfn.LET(_xlpm.ch,IFERROR(INDEX(_xlfn.ANCHORARRAY($AA$11),ROW()-10,3),""),_xlpm.link,IFERROR(INDEX(_xlfn.ANCHORARRAY($AA$11),ROW()-10,11),""),IF(OR(_xlpm.link="",_xlpm.ch="SMS"),"",HYPERLINK(_xlpm.link,"ClickUp")))</f>
        <v/>
      </c>
      <c r="L75" s="4" t="str" cm="1">
        <f t="array" aca="1" ref="L75" ca="1">_xlfn.LET(_xlpm.link,IFERROR(INDEX(_xlfn.ANCHORARRAY($AA$11),ROW()-10,12),""),IF(_xlpm.link="","",HYPERLINK(_xlpm.link,"Bluecore/Attentive")))</f>
        <v/>
      </c>
      <c r="M75" s="88" t="str">
        <f t="shared" ref="M75:M106" ca="1" si="8">_xlfn.LET(_xlpm.sendDate,$A75,_xlpm.camp,$D75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75" s="7"/>
      <c r="O75" s="7"/>
      <c r="P75" s="7"/>
      <c r="Q75" s="7"/>
      <c r="R75" s="7"/>
      <c r="S75" s="6"/>
      <c r="T75" s="6"/>
      <c r="U75" s="6"/>
      <c r="V75" s="6"/>
      <c r="W75" s="6"/>
      <c r="X75" s="6"/>
      <c r="Y75" s="6"/>
      <c r="Z75" s="6"/>
      <c r="AA75" s="32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34" t="str" cm="1">
        <f t="array" aca="1" ref="A76" ca="1">IFERROR(INDEX(_xlfn.ANCHORARRAY($AA$11),ROW()-10,1),"")</f>
        <v/>
      </c>
      <c r="B76" s="20" t="str" cm="1">
        <f t="array" aca="1" ref="B76" ca="1">IFERROR(INDEX(_xlfn.ANCHORARRAY($AA$11),ROW()-10,2),"")</f>
        <v/>
      </c>
      <c r="C76" s="4" t="str" cm="1">
        <f t="array" aca="1" ref="C76" ca="1">IFERROR(INDEX(_xlfn.ANCHORARRAY($AA$11),ROW()-10,3),"")</f>
        <v/>
      </c>
      <c r="D76" s="15" t="str" cm="1">
        <f t="array" aca="1" ref="D76" ca="1">IFERROR(INDEX(_xlfn.ANCHORARRAY($AA$11),ROW()-10,4),"")</f>
        <v/>
      </c>
      <c r="E76" s="4" t="str" cm="1">
        <f t="array" aca="1" ref="E76" ca="1">IFERROR(INDEX(_xlfn.ANCHORARRAY($AA$11),ROW()-10,5),"")</f>
        <v/>
      </c>
      <c r="F76" s="15" t="str" cm="1">
        <f t="array" aca="1" ref="F76" ca="1">IFERROR(INDEX(_xlfn.ANCHORARRAY($AA$11),ROW()-10,6),"")</f>
        <v/>
      </c>
      <c r="G76" s="4" t="str" cm="1">
        <f t="array" aca="1" ref="G76" ca="1">IFERROR(INDEX(_xlfn.ANCHORARRAY($AA$11),ROW()-10,7),"")</f>
        <v/>
      </c>
      <c r="H76" s="4" t="str" cm="1">
        <f t="array" aca="1" ref="H76" ca="1">IFERROR(INDEX(_xlfn.ANCHORARRAY($AA$11),ROW()-10,8),"")</f>
        <v/>
      </c>
      <c r="I76" s="4" t="str" cm="1">
        <f t="array" aca="1" ref="I76" ca="1">IFERROR(INDEX(_xlfn.ANCHORARRAY($AA$11),ROW()-10,9),"")</f>
        <v/>
      </c>
      <c r="J76" s="4" t="str">
        <f t="shared" ca="1" si="6"/>
        <v/>
      </c>
      <c r="K76" s="4" t="str">
        <f t="shared" ca="1" si="7"/>
        <v/>
      </c>
      <c r="L76" s="4" t="str" cm="1">
        <f t="array" aca="1" ref="L76" ca="1">_xlfn.LET(_xlpm.link,IFERROR(INDEX(_xlfn.ANCHORARRAY($AA$11),ROW()-10,12),""),IF(_xlpm.link="","",HYPERLINK(_xlpm.link,"Bluecore/Attentive")))</f>
        <v/>
      </c>
      <c r="M76" s="89" t="str">
        <f t="shared" ca="1" si="8"/>
        <v/>
      </c>
      <c r="N76" s="7"/>
      <c r="O76" s="7"/>
      <c r="P76" s="7"/>
      <c r="Q76" s="7"/>
      <c r="R76" s="7"/>
      <c r="S76" s="6"/>
      <c r="T76" s="6"/>
      <c r="U76" s="6"/>
      <c r="V76" s="6"/>
      <c r="W76" s="6"/>
      <c r="X76" s="6"/>
      <c r="Y76" s="6"/>
      <c r="Z76" s="6"/>
      <c r="AA76" s="32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34" t="str" cm="1">
        <f t="array" aca="1" ref="A77" ca="1">IFERROR(INDEX(_xlfn.ANCHORARRAY($AA$11),ROW()-10,1),"")</f>
        <v/>
      </c>
      <c r="B77" s="20" t="str" cm="1">
        <f t="array" aca="1" ref="B77" ca="1">IFERROR(INDEX(_xlfn.ANCHORARRAY($AA$11),ROW()-10,2),"")</f>
        <v/>
      </c>
      <c r="C77" s="4" t="str" cm="1">
        <f t="array" aca="1" ref="C77" ca="1">IFERROR(INDEX(_xlfn.ANCHORARRAY($AA$11),ROW()-10,3),"")</f>
        <v/>
      </c>
      <c r="D77" s="15" t="str" cm="1">
        <f t="array" aca="1" ref="D77" ca="1">IFERROR(INDEX(_xlfn.ANCHORARRAY($AA$11),ROW()-10,4),"")</f>
        <v/>
      </c>
      <c r="E77" s="4" t="str" cm="1">
        <f t="array" aca="1" ref="E77" ca="1">IFERROR(INDEX(_xlfn.ANCHORARRAY($AA$11),ROW()-10,5),"")</f>
        <v/>
      </c>
      <c r="F77" s="15" t="str" cm="1">
        <f t="array" aca="1" ref="F77" ca="1">IFERROR(INDEX(_xlfn.ANCHORARRAY($AA$11),ROW()-10,6),"")</f>
        <v/>
      </c>
      <c r="G77" s="4" t="str" cm="1">
        <f t="array" aca="1" ref="G77" ca="1">IFERROR(INDEX(_xlfn.ANCHORARRAY($AA$11),ROW()-10,7),"")</f>
        <v/>
      </c>
      <c r="H77" s="4" t="str" cm="1">
        <f t="array" aca="1" ref="H77" ca="1">IFERROR(INDEX(_xlfn.ANCHORARRAY($AA$11),ROW()-10,8),"")</f>
        <v/>
      </c>
      <c r="I77" s="4" t="str" cm="1">
        <f t="array" aca="1" ref="I77" ca="1">IFERROR(INDEX(_xlfn.ANCHORARRAY($AA$11),ROW()-10,9),"")</f>
        <v/>
      </c>
      <c r="J77" s="4" t="str">
        <f t="shared" ca="1" si="6"/>
        <v/>
      </c>
      <c r="K77" s="4" t="str">
        <f t="shared" ca="1" si="7"/>
        <v/>
      </c>
      <c r="L77" s="4" t="str" cm="1">
        <f t="array" aca="1" ref="L77" ca="1">_xlfn.LET(_xlpm.link,IFERROR(INDEX(_xlfn.ANCHORARRAY($AA$11),ROW()-10,12),""),IF(_xlpm.link="","",HYPERLINK(_xlpm.link,"Bluecore/Attentive")))</f>
        <v/>
      </c>
      <c r="M77" s="88" t="str">
        <f t="shared" ca="1" si="8"/>
        <v/>
      </c>
      <c r="N77" s="7"/>
      <c r="O77" s="7"/>
      <c r="P77" s="7"/>
      <c r="Q77" s="7"/>
      <c r="R77" s="7"/>
      <c r="S77" s="6"/>
      <c r="T77" s="6"/>
      <c r="U77" s="6"/>
      <c r="V77" s="6"/>
      <c r="W77" s="6"/>
      <c r="X77" s="6"/>
      <c r="Y77" s="6"/>
      <c r="Z77" s="6"/>
      <c r="AA77" s="32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34" t="str" cm="1">
        <f t="array" aca="1" ref="A78" ca="1">IFERROR(INDEX(_xlfn.ANCHORARRAY($AA$11),ROW()-10,1),"")</f>
        <v/>
      </c>
      <c r="B78" s="20" t="str" cm="1">
        <f t="array" aca="1" ref="B78" ca="1">IFERROR(INDEX(_xlfn.ANCHORARRAY($AA$11),ROW()-10,2),"")</f>
        <v/>
      </c>
      <c r="C78" s="4" t="str" cm="1">
        <f t="array" aca="1" ref="C78" ca="1">IFERROR(INDEX(_xlfn.ANCHORARRAY($AA$11),ROW()-10,3),"")</f>
        <v/>
      </c>
      <c r="D78" s="15" t="str" cm="1">
        <f t="array" aca="1" ref="D78" ca="1">IFERROR(INDEX(_xlfn.ANCHORARRAY($AA$11),ROW()-10,4),"")</f>
        <v/>
      </c>
      <c r="E78" s="4" t="str" cm="1">
        <f t="array" aca="1" ref="E78" ca="1">IFERROR(INDEX(_xlfn.ANCHORARRAY($AA$11),ROW()-10,5),"")</f>
        <v/>
      </c>
      <c r="F78" s="15" t="str" cm="1">
        <f t="array" aca="1" ref="F78" ca="1">IFERROR(INDEX(_xlfn.ANCHORARRAY($AA$11),ROW()-10,6),"")</f>
        <v/>
      </c>
      <c r="G78" s="4" t="str" cm="1">
        <f t="array" aca="1" ref="G78" ca="1">IFERROR(INDEX(_xlfn.ANCHORARRAY($AA$11),ROW()-10,7),"")</f>
        <v/>
      </c>
      <c r="H78" s="4" t="str" cm="1">
        <f t="array" aca="1" ref="H78" ca="1">IFERROR(INDEX(_xlfn.ANCHORARRAY($AA$11),ROW()-10,8),"")</f>
        <v/>
      </c>
      <c r="I78" s="4" t="str" cm="1">
        <f t="array" aca="1" ref="I78" ca="1">IFERROR(INDEX(_xlfn.ANCHORARRAY($AA$11),ROW()-10,9),"")</f>
        <v/>
      </c>
      <c r="J78" s="4" t="str">
        <f t="shared" ca="1" si="6"/>
        <v/>
      </c>
      <c r="K78" s="4" t="str">
        <f t="shared" ca="1" si="7"/>
        <v/>
      </c>
      <c r="L78" s="4" t="str" cm="1">
        <f t="array" aca="1" ref="L78" ca="1">_xlfn.LET(_xlpm.link,IFERROR(INDEX(_xlfn.ANCHORARRAY($AA$11),ROW()-10,12),""),IF(_xlpm.link="","",HYPERLINK(_xlpm.link,"Bluecore/Attentive")))</f>
        <v/>
      </c>
      <c r="M78" s="89" t="str">
        <f t="shared" ca="1" si="8"/>
        <v/>
      </c>
      <c r="N78" s="7"/>
      <c r="O78" s="7"/>
      <c r="P78" s="7"/>
      <c r="Q78" s="7"/>
      <c r="R78" s="7"/>
      <c r="S78" s="6"/>
      <c r="T78" s="6"/>
      <c r="U78" s="6"/>
      <c r="V78" s="6"/>
      <c r="W78" s="6"/>
      <c r="X78" s="6"/>
      <c r="Y78" s="6"/>
      <c r="Z78" s="6"/>
      <c r="AA78" s="32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34" t="str" cm="1">
        <f t="array" aca="1" ref="A79" ca="1">IFERROR(INDEX(_xlfn.ANCHORARRAY($AA$11),ROW()-10,1),"")</f>
        <v/>
      </c>
      <c r="B79" s="20" t="str" cm="1">
        <f t="array" aca="1" ref="B79" ca="1">IFERROR(INDEX(_xlfn.ANCHORARRAY($AA$11),ROW()-10,2),"")</f>
        <v/>
      </c>
      <c r="C79" s="4" t="str" cm="1">
        <f t="array" aca="1" ref="C79" ca="1">IFERROR(INDEX(_xlfn.ANCHORARRAY($AA$11),ROW()-10,3),"")</f>
        <v/>
      </c>
      <c r="D79" s="15" t="str" cm="1">
        <f t="array" aca="1" ref="D79" ca="1">IFERROR(INDEX(_xlfn.ANCHORARRAY($AA$11),ROW()-10,4),"")</f>
        <v/>
      </c>
      <c r="E79" s="4" t="str" cm="1">
        <f t="array" aca="1" ref="E79" ca="1">IFERROR(INDEX(_xlfn.ANCHORARRAY($AA$11),ROW()-10,5),"")</f>
        <v/>
      </c>
      <c r="F79" s="15" t="str" cm="1">
        <f t="array" aca="1" ref="F79" ca="1">IFERROR(INDEX(_xlfn.ANCHORARRAY($AA$11),ROW()-10,6),"")</f>
        <v/>
      </c>
      <c r="G79" s="4" t="str" cm="1">
        <f t="array" aca="1" ref="G79" ca="1">IFERROR(INDEX(_xlfn.ANCHORARRAY($AA$11),ROW()-10,7),"")</f>
        <v/>
      </c>
      <c r="H79" s="4" t="str" cm="1">
        <f t="array" aca="1" ref="H79" ca="1">IFERROR(INDEX(_xlfn.ANCHORARRAY($AA$11),ROW()-10,8),"")</f>
        <v/>
      </c>
      <c r="I79" s="4" t="str" cm="1">
        <f t="array" aca="1" ref="I79" ca="1">IFERROR(INDEX(_xlfn.ANCHORARRAY($AA$11),ROW()-10,9),"")</f>
        <v/>
      </c>
      <c r="J79" s="4" t="str">
        <f t="shared" ca="1" si="6"/>
        <v/>
      </c>
      <c r="K79" s="4" t="str">
        <f t="shared" ca="1" si="7"/>
        <v/>
      </c>
      <c r="L79" s="4" t="str" cm="1">
        <f t="array" aca="1" ref="L79" ca="1">_xlfn.LET(_xlpm.link,IFERROR(INDEX(_xlfn.ANCHORARRAY($AA$11),ROW()-10,12),""),IF(_xlpm.link="","",HYPERLINK(_xlpm.link,"Bluecore/Attentive")))</f>
        <v/>
      </c>
      <c r="M79" s="88" t="str">
        <f t="shared" ca="1" si="8"/>
        <v/>
      </c>
      <c r="N79" s="7"/>
      <c r="O79" s="7"/>
      <c r="P79" s="7"/>
      <c r="Q79" s="7"/>
      <c r="R79" s="7"/>
      <c r="S79" s="6"/>
      <c r="T79" s="6"/>
      <c r="U79" s="6"/>
      <c r="V79" s="6"/>
      <c r="W79" s="6"/>
      <c r="X79" s="6"/>
      <c r="Y79" s="6"/>
      <c r="Z79" s="6"/>
      <c r="AA79" s="32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34" t="str" cm="1">
        <f t="array" aca="1" ref="A80" ca="1">IFERROR(INDEX(_xlfn.ANCHORARRAY($AA$11),ROW()-10,1),"")</f>
        <v/>
      </c>
      <c r="B80" s="20" t="str" cm="1">
        <f t="array" aca="1" ref="B80" ca="1">IFERROR(INDEX(_xlfn.ANCHORARRAY($AA$11),ROW()-10,2),"")</f>
        <v/>
      </c>
      <c r="C80" s="4" t="str" cm="1">
        <f t="array" aca="1" ref="C80" ca="1">IFERROR(INDEX(_xlfn.ANCHORARRAY($AA$11),ROW()-10,3),"")</f>
        <v/>
      </c>
      <c r="D80" s="15" t="str" cm="1">
        <f t="array" aca="1" ref="D80" ca="1">IFERROR(INDEX(_xlfn.ANCHORARRAY($AA$11),ROW()-10,4),"")</f>
        <v/>
      </c>
      <c r="E80" s="4" t="str" cm="1">
        <f t="array" aca="1" ref="E80" ca="1">IFERROR(INDEX(_xlfn.ANCHORARRAY($AA$11),ROW()-10,5),"")</f>
        <v/>
      </c>
      <c r="F80" s="15" t="str" cm="1">
        <f t="array" aca="1" ref="F80" ca="1">IFERROR(INDEX(_xlfn.ANCHORARRAY($AA$11),ROW()-10,6),"")</f>
        <v/>
      </c>
      <c r="G80" s="4" t="str" cm="1">
        <f t="array" aca="1" ref="G80" ca="1">IFERROR(INDEX(_xlfn.ANCHORARRAY($AA$11),ROW()-10,7),"")</f>
        <v/>
      </c>
      <c r="H80" s="4" t="str" cm="1">
        <f t="array" aca="1" ref="H80" ca="1">IFERROR(INDEX(_xlfn.ANCHORARRAY($AA$11),ROW()-10,8),"")</f>
        <v/>
      </c>
      <c r="I80" s="4" t="str" cm="1">
        <f t="array" aca="1" ref="I80" ca="1">IFERROR(INDEX(_xlfn.ANCHORARRAY($AA$11),ROW()-10,9),"")</f>
        <v/>
      </c>
      <c r="J80" s="4" t="str">
        <f t="shared" ca="1" si="6"/>
        <v/>
      </c>
      <c r="K80" s="4" t="str">
        <f t="shared" ca="1" si="7"/>
        <v/>
      </c>
      <c r="L80" s="4" t="str" cm="1">
        <f t="array" aca="1" ref="L80" ca="1">_xlfn.LET(_xlpm.link,IFERROR(INDEX(_xlfn.ANCHORARRAY($AA$11),ROW()-10,12),""),IF(_xlpm.link="","",HYPERLINK(_xlpm.link,"Bluecore/Attentive")))</f>
        <v/>
      </c>
      <c r="M80" s="89" t="str">
        <f t="shared" ca="1" si="8"/>
        <v/>
      </c>
      <c r="N80" s="7"/>
      <c r="O80" s="7"/>
      <c r="P80" s="7"/>
      <c r="Q80" s="7"/>
      <c r="R80" s="7"/>
      <c r="S80" s="6"/>
      <c r="T80" s="6"/>
      <c r="U80" s="6"/>
      <c r="V80" s="6"/>
      <c r="W80" s="6"/>
      <c r="X80" s="6"/>
      <c r="Y80" s="6"/>
      <c r="Z80" s="6"/>
      <c r="AA80" s="32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34" t="str" cm="1">
        <f t="array" aca="1" ref="A81" ca="1">IFERROR(INDEX(_xlfn.ANCHORARRAY($AA$11),ROW()-10,1),"")</f>
        <v/>
      </c>
      <c r="B81" s="20" t="str" cm="1">
        <f t="array" aca="1" ref="B81" ca="1">IFERROR(INDEX(_xlfn.ANCHORARRAY($AA$11),ROW()-10,2),"")</f>
        <v/>
      </c>
      <c r="C81" s="4" t="str" cm="1">
        <f t="array" aca="1" ref="C81" ca="1">IFERROR(INDEX(_xlfn.ANCHORARRAY($AA$11),ROW()-10,3),"")</f>
        <v/>
      </c>
      <c r="D81" s="15" t="str" cm="1">
        <f t="array" aca="1" ref="D81" ca="1">IFERROR(INDEX(_xlfn.ANCHORARRAY($AA$11),ROW()-10,4),"")</f>
        <v/>
      </c>
      <c r="E81" s="4" t="str" cm="1">
        <f t="array" aca="1" ref="E81" ca="1">IFERROR(INDEX(_xlfn.ANCHORARRAY($AA$11),ROW()-10,5),"")</f>
        <v/>
      </c>
      <c r="F81" s="15" t="str" cm="1">
        <f t="array" aca="1" ref="F81" ca="1">IFERROR(INDEX(_xlfn.ANCHORARRAY($AA$11),ROW()-10,6),"")</f>
        <v/>
      </c>
      <c r="G81" s="4" t="str" cm="1">
        <f t="array" aca="1" ref="G81" ca="1">IFERROR(INDEX(_xlfn.ANCHORARRAY($AA$11),ROW()-10,7),"")</f>
        <v/>
      </c>
      <c r="H81" s="4" t="str" cm="1">
        <f t="array" aca="1" ref="H81" ca="1">IFERROR(INDEX(_xlfn.ANCHORARRAY($AA$11),ROW()-10,8),"")</f>
        <v/>
      </c>
      <c r="I81" s="4" t="str" cm="1">
        <f t="array" aca="1" ref="I81" ca="1">IFERROR(INDEX(_xlfn.ANCHORARRAY($AA$11),ROW()-10,9),"")</f>
        <v/>
      </c>
      <c r="J81" s="4" t="str">
        <f t="shared" ca="1" si="6"/>
        <v/>
      </c>
      <c r="K81" s="4" t="str">
        <f t="shared" ca="1" si="7"/>
        <v/>
      </c>
      <c r="L81" s="4" t="str" cm="1">
        <f t="array" aca="1" ref="L81" ca="1">_xlfn.LET(_xlpm.link,IFERROR(INDEX(_xlfn.ANCHORARRAY($AA$11),ROW()-10,12),""),IF(_xlpm.link="","",HYPERLINK(_xlpm.link,"Bluecore/Attentive")))</f>
        <v/>
      </c>
      <c r="M81" s="88" t="str">
        <f t="shared" ca="1" si="8"/>
        <v/>
      </c>
      <c r="N81" s="7"/>
      <c r="O81" s="7"/>
      <c r="P81" s="7"/>
      <c r="Q81" s="7"/>
      <c r="R81" s="7"/>
      <c r="S81" s="6"/>
      <c r="T81" s="6"/>
      <c r="U81" s="6"/>
      <c r="V81" s="6"/>
      <c r="W81" s="6"/>
      <c r="X81" s="6"/>
      <c r="Y81" s="6"/>
      <c r="Z81" s="6"/>
      <c r="AA81" s="32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34" t="str" cm="1">
        <f t="array" aca="1" ref="A82" ca="1">IFERROR(INDEX(_xlfn.ANCHORARRAY($AA$11),ROW()-10,1),"")</f>
        <v/>
      </c>
      <c r="B82" s="20" t="str" cm="1">
        <f t="array" aca="1" ref="B82" ca="1">IFERROR(INDEX(_xlfn.ANCHORARRAY($AA$11),ROW()-10,2),"")</f>
        <v/>
      </c>
      <c r="C82" s="4" t="str" cm="1">
        <f t="array" aca="1" ref="C82" ca="1">IFERROR(INDEX(_xlfn.ANCHORARRAY($AA$11),ROW()-10,3),"")</f>
        <v/>
      </c>
      <c r="D82" s="15" t="str" cm="1">
        <f t="array" aca="1" ref="D82" ca="1">IFERROR(INDEX(_xlfn.ANCHORARRAY($AA$11),ROW()-10,4),"")</f>
        <v/>
      </c>
      <c r="E82" s="4" t="str" cm="1">
        <f t="array" aca="1" ref="E82" ca="1">IFERROR(INDEX(_xlfn.ANCHORARRAY($AA$11),ROW()-10,5),"")</f>
        <v/>
      </c>
      <c r="F82" s="15" t="str" cm="1">
        <f t="array" aca="1" ref="F82" ca="1">IFERROR(INDEX(_xlfn.ANCHORARRAY($AA$11),ROW()-10,6),"")</f>
        <v/>
      </c>
      <c r="G82" s="4" t="str" cm="1">
        <f t="array" aca="1" ref="G82" ca="1">IFERROR(INDEX(_xlfn.ANCHORARRAY($AA$11),ROW()-10,7),"")</f>
        <v/>
      </c>
      <c r="H82" s="4" t="str" cm="1">
        <f t="array" aca="1" ref="H82" ca="1">IFERROR(INDEX(_xlfn.ANCHORARRAY($AA$11),ROW()-10,8),"")</f>
        <v/>
      </c>
      <c r="I82" s="4" t="str" cm="1">
        <f t="array" aca="1" ref="I82" ca="1">IFERROR(INDEX(_xlfn.ANCHORARRAY($AA$11),ROW()-10,9),"")</f>
        <v/>
      </c>
      <c r="J82" s="4" t="str">
        <f t="shared" ca="1" si="6"/>
        <v/>
      </c>
      <c r="K82" s="4" t="str">
        <f t="shared" ca="1" si="7"/>
        <v/>
      </c>
      <c r="L82" s="4" t="str" cm="1">
        <f t="array" aca="1" ref="L82" ca="1">_xlfn.LET(_xlpm.link,IFERROR(INDEX(_xlfn.ANCHORARRAY($AA$11),ROW()-10,12),""),IF(_xlpm.link="","",HYPERLINK(_xlpm.link,"Bluecore/Attentive")))</f>
        <v/>
      </c>
      <c r="M82" s="89" t="str">
        <f t="shared" ca="1" si="8"/>
        <v/>
      </c>
      <c r="N82" s="7"/>
      <c r="O82" s="7"/>
      <c r="P82" s="7"/>
      <c r="Q82" s="7"/>
      <c r="R82" s="7"/>
      <c r="S82" s="6"/>
      <c r="T82" s="6"/>
      <c r="U82" s="6"/>
      <c r="V82" s="6"/>
      <c r="W82" s="6"/>
      <c r="X82" s="6"/>
      <c r="Y82" s="6"/>
      <c r="Z82" s="6"/>
      <c r="AA82" s="3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34" t="str" cm="1">
        <f t="array" aca="1" ref="A83" ca="1">IFERROR(INDEX(_xlfn.ANCHORARRAY($AA$11),ROW()-10,1),"")</f>
        <v/>
      </c>
      <c r="B83" s="20" t="str" cm="1">
        <f t="array" aca="1" ref="B83" ca="1">IFERROR(INDEX(_xlfn.ANCHORARRAY($AA$11),ROW()-10,2),"")</f>
        <v/>
      </c>
      <c r="C83" s="4" t="str" cm="1">
        <f t="array" aca="1" ref="C83" ca="1">IFERROR(INDEX(_xlfn.ANCHORARRAY($AA$11),ROW()-10,3),"")</f>
        <v/>
      </c>
      <c r="D83" s="15" t="str" cm="1">
        <f t="array" aca="1" ref="D83" ca="1">IFERROR(INDEX(_xlfn.ANCHORARRAY($AA$11),ROW()-10,4),"")</f>
        <v/>
      </c>
      <c r="E83" s="4" t="str" cm="1">
        <f t="array" aca="1" ref="E83" ca="1">IFERROR(INDEX(_xlfn.ANCHORARRAY($AA$11),ROW()-10,5),"")</f>
        <v/>
      </c>
      <c r="F83" s="15" t="str" cm="1">
        <f t="array" aca="1" ref="F83" ca="1">IFERROR(INDEX(_xlfn.ANCHORARRAY($AA$11),ROW()-10,6),"")</f>
        <v/>
      </c>
      <c r="G83" s="4" t="str" cm="1">
        <f t="array" aca="1" ref="G83" ca="1">IFERROR(INDEX(_xlfn.ANCHORARRAY($AA$11),ROW()-10,7),"")</f>
        <v/>
      </c>
      <c r="H83" s="4" t="str" cm="1">
        <f t="array" aca="1" ref="H83" ca="1">IFERROR(INDEX(_xlfn.ANCHORARRAY($AA$11),ROW()-10,8),"")</f>
        <v/>
      </c>
      <c r="I83" s="4" t="str" cm="1">
        <f t="array" aca="1" ref="I83" ca="1">IFERROR(INDEX(_xlfn.ANCHORARRAY($AA$11),ROW()-10,9),"")</f>
        <v/>
      </c>
      <c r="J83" s="4" t="str">
        <f t="shared" ca="1" si="6"/>
        <v/>
      </c>
      <c r="K83" s="4" t="str">
        <f t="shared" ca="1" si="7"/>
        <v/>
      </c>
      <c r="L83" s="4" t="str" cm="1">
        <f t="array" aca="1" ref="L83" ca="1">_xlfn.LET(_xlpm.link,IFERROR(INDEX(_xlfn.ANCHORARRAY($AA$11),ROW()-10,12),""),IF(_xlpm.link="","",HYPERLINK(_xlpm.link,"Bluecore/Attentive")))</f>
        <v/>
      </c>
      <c r="M83" s="88" t="str">
        <f t="shared" ca="1" si="8"/>
        <v/>
      </c>
      <c r="N83" s="7"/>
      <c r="O83" s="7"/>
      <c r="P83" s="7"/>
      <c r="Q83" s="7"/>
      <c r="R83" s="7"/>
      <c r="S83" s="6"/>
      <c r="T83" s="6"/>
      <c r="U83" s="6"/>
      <c r="V83" s="6"/>
      <c r="W83" s="6"/>
      <c r="X83" s="6"/>
      <c r="Y83" s="6"/>
      <c r="Z83" s="6"/>
      <c r="AA83" s="32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34" t="str" cm="1">
        <f t="array" aca="1" ref="A84" ca="1">IFERROR(INDEX(_xlfn.ANCHORARRAY($AA$11),ROW()-10,1),"")</f>
        <v/>
      </c>
      <c r="B84" s="20" t="str" cm="1">
        <f t="array" aca="1" ref="B84" ca="1">IFERROR(INDEX(_xlfn.ANCHORARRAY($AA$11),ROW()-10,2),"")</f>
        <v/>
      </c>
      <c r="C84" s="4" t="str" cm="1">
        <f t="array" aca="1" ref="C84" ca="1">IFERROR(INDEX(_xlfn.ANCHORARRAY($AA$11),ROW()-10,3),"")</f>
        <v/>
      </c>
      <c r="D84" s="15" t="str" cm="1">
        <f t="array" aca="1" ref="D84" ca="1">IFERROR(INDEX(_xlfn.ANCHORARRAY($AA$11),ROW()-10,4),"")</f>
        <v/>
      </c>
      <c r="E84" s="4" t="str" cm="1">
        <f t="array" aca="1" ref="E84" ca="1">IFERROR(INDEX(_xlfn.ANCHORARRAY($AA$11),ROW()-10,5),"")</f>
        <v/>
      </c>
      <c r="F84" s="15" t="str" cm="1">
        <f t="array" aca="1" ref="F84" ca="1">IFERROR(INDEX(_xlfn.ANCHORARRAY($AA$11),ROW()-10,6),"")</f>
        <v/>
      </c>
      <c r="G84" s="4" t="str" cm="1">
        <f t="array" aca="1" ref="G84" ca="1">IFERROR(INDEX(_xlfn.ANCHORARRAY($AA$11),ROW()-10,7),"")</f>
        <v/>
      </c>
      <c r="H84" s="4" t="str" cm="1">
        <f t="array" aca="1" ref="H84" ca="1">IFERROR(INDEX(_xlfn.ANCHORARRAY($AA$11),ROW()-10,8),"")</f>
        <v/>
      </c>
      <c r="I84" s="4" t="str" cm="1">
        <f t="array" aca="1" ref="I84" ca="1">IFERROR(INDEX(_xlfn.ANCHORARRAY($AA$11),ROW()-10,9),"")</f>
        <v/>
      </c>
      <c r="J84" s="4" t="str">
        <f t="shared" ca="1" si="6"/>
        <v/>
      </c>
      <c r="K84" s="4" t="str">
        <f t="shared" ca="1" si="7"/>
        <v/>
      </c>
      <c r="L84" s="4" t="str" cm="1">
        <f t="array" aca="1" ref="L84" ca="1">_xlfn.LET(_xlpm.link,IFERROR(INDEX(_xlfn.ANCHORARRAY($AA$11),ROW()-10,12),""),IF(_xlpm.link="","",HYPERLINK(_xlpm.link,"Bluecore/Attentive")))</f>
        <v/>
      </c>
      <c r="M84" s="89" t="str">
        <f t="shared" ca="1" si="8"/>
        <v/>
      </c>
      <c r="N84" s="7"/>
      <c r="O84" s="7"/>
      <c r="P84" s="7"/>
      <c r="Q84" s="7"/>
      <c r="R84" s="7"/>
      <c r="S84" s="6"/>
      <c r="T84" s="6"/>
      <c r="U84" s="6"/>
      <c r="V84" s="6"/>
      <c r="W84" s="6"/>
      <c r="X84" s="6"/>
      <c r="Y84" s="6"/>
      <c r="Z84" s="6"/>
      <c r="AA84" s="32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34" t="str" cm="1">
        <f t="array" aca="1" ref="A85" ca="1">IFERROR(INDEX(_xlfn.ANCHORARRAY($AA$11),ROW()-10,1),"")</f>
        <v/>
      </c>
      <c r="B85" s="20" t="str" cm="1">
        <f t="array" aca="1" ref="B85" ca="1">IFERROR(INDEX(_xlfn.ANCHORARRAY($AA$11),ROW()-10,2),"")</f>
        <v/>
      </c>
      <c r="C85" s="4" t="str" cm="1">
        <f t="array" aca="1" ref="C85" ca="1">IFERROR(INDEX(_xlfn.ANCHORARRAY($AA$11),ROW()-10,3),"")</f>
        <v/>
      </c>
      <c r="D85" s="15" t="str" cm="1">
        <f t="array" aca="1" ref="D85" ca="1">IFERROR(INDEX(_xlfn.ANCHORARRAY($AA$11),ROW()-10,4),"")</f>
        <v/>
      </c>
      <c r="E85" s="4" t="str" cm="1">
        <f t="array" aca="1" ref="E85" ca="1">IFERROR(INDEX(_xlfn.ANCHORARRAY($AA$11),ROW()-10,5),"")</f>
        <v/>
      </c>
      <c r="F85" s="15" t="str" cm="1">
        <f t="array" aca="1" ref="F85" ca="1">IFERROR(INDEX(_xlfn.ANCHORARRAY($AA$11),ROW()-10,6),"")</f>
        <v/>
      </c>
      <c r="G85" s="4" t="str" cm="1">
        <f t="array" aca="1" ref="G85" ca="1">IFERROR(INDEX(_xlfn.ANCHORARRAY($AA$11),ROW()-10,7),"")</f>
        <v/>
      </c>
      <c r="H85" s="4" t="str" cm="1">
        <f t="array" aca="1" ref="H85" ca="1">IFERROR(INDEX(_xlfn.ANCHORARRAY($AA$11),ROW()-10,8),"")</f>
        <v/>
      </c>
      <c r="I85" s="4" t="str" cm="1">
        <f t="array" aca="1" ref="I85" ca="1">IFERROR(INDEX(_xlfn.ANCHORARRAY($AA$11),ROW()-10,9),"")</f>
        <v/>
      </c>
      <c r="J85" s="4" t="str">
        <f t="shared" ca="1" si="6"/>
        <v/>
      </c>
      <c r="K85" s="4" t="str">
        <f t="shared" ca="1" si="7"/>
        <v/>
      </c>
      <c r="L85" s="4" t="str" cm="1">
        <f t="array" aca="1" ref="L85" ca="1">_xlfn.LET(_xlpm.link,IFERROR(INDEX(_xlfn.ANCHORARRAY($AA$11),ROW()-10,12),""),IF(_xlpm.link="","",HYPERLINK(_xlpm.link,"Bluecore/Attentive")))</f>
        <v/>
      </c>
      <c r="M85" s="88" t="str">
        <f t="shared" ca="1" si="8"/>
        <v/>
      </c>
      <c r="N85" s="7"/>
      <c r="O85" s="7"/>
      <c r="P85" s="7"/>
      <c r="Q85" s="7"/>
      <c r="R85" s="7"/>
      <c r="S85" s="6"/>
      <c r="T85" s="6"/>
      <c r="U85" s="6"/>
      <c r="V85" s="6"/>
      <c r="W85" s="6"/>
      <c r="X85" s="6"/>
      <c r="Y85" s="6"/>
      <c r="Z85" s="6"/>
      <c r="AA85" s="32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34" t="str" cm="1">
        <f t="array" aca="1" ref="A86" ca="1">IFERROR(INDEX(_xlfn.ANCHORARRAY($AA$11),ROW()-10,1),"")</f>
        <v/>
      </c>
      <c r="B86" s="20" t="str" cm="1">
        <f t="array" aca="1" ref="B86" ca="1">IFERROR(INDEX(_xlfn.ANCHORARRAY($AA$11),ROW()-10,2),"")</f>
        <v/>
      </c>
      <c r="C86" s="4" t="str" cm="1">
        <f t="array" aca="1" ref="C86" ca="1">IFERROR(INDEX(_xlfn.ANCHORARRAY($AA$11),ROW()-10,3),"")</f>
        <v/>
      </c>
      <c r="D86" s="15" t="str" cm="1">
        <f t="array" aca="1" ref="D86" ca="1">IFERROR(INDEX(_xlfn.ANCHORARRAY($AA$11),ROW()-10,4),"")</f>
        <v/>
      </c>
      <c r="E86" s="4" t="str" cm="1">
        <f t="array" aca="1" ref="E86" ca="1">IFERROR(INDEX(_xlfn.ANCHORARRAY($AA$11),ROW()-10,5),"")</f>
        <v/>
      </c>
      <c r="F86" s="15" t="str" cm="1">
        <f t="array" aca="1" ref="F86" ca="1">IFERROR(INDEX(_xlfn.ANCHORARRAY($AA$11),ROW()-10,6),"")</f>
        <v/>
      </c>
      <c r="G86" s="4" t="str" cm="1">
        <f t="array" aca="1" ref="G86" ca="1">IFERROR(INDEX(_xlfn.ANCHORARRAY($AA$11),ROW()-10,7),"")</f>
        <v/>
      </c>
      <c r="H86" s="4" t="str" cm="1">
        <f t="array" aca="1" ref="H86" ca="1">IFERROR(INDEX(_xlfn.ANCHORARRAY($AA$11),ROW()-10,8),"")</f>
        <v/>
      </c>
      <c r="I86" s="4" t="str" cm="1">
        <f t="array" aca="1" ref="I86" ca="1">IFERROR(INDEX(_xlfn.ANCHORARRAY($AA$11),ROW()-10,9),"")</f>
        <v/>
      </c>
      <c r="J86" s="4" t="str">
        <f t="shared" ca="1" si="6"/>
        <v/>
      </c>
      <c r="K86" s="4" t="str">
        <f t="shared" ca="1" si="7"/>
        <v/>
      </c>
      <c r="L86" s="4" t="str" cm="1">
        <f t="array" aca="1" ref="L86" ca="1">_xlfn.LET(_xlpm.link,IFERROR(INDEX(_xlfn.ANCHORARRAY($AA$11),ROW()-10,12),""),IF(_xlpm.link="","",HYPERLINK(_xlpm.link,"Bluecore/Attentive")))</f>
        <v/>
      </c>
      <c r="M86" s="89" t="str">
        <f t="shared" ca="1" si="8"/>
        <v/>
      </c>
      <c r="N86" s="7"/>
      <c r="O86" s="7"/>
      <c r="P86" s="7"/>
      <c r="Q86" s="7"/>
      <c r="R86" s="7"/>
      <c r="S86" s="6"/>
      <c r="T86" s="6"/>
      <c r="U86" s="6"/>
      <c r="V86" s="6"/>
      <c r="W86" s="6"/>
      <c r="X86" s="6"/>
      <c r="Y86" s="6"/>
      <c r="Z86" s="6"/>
      <c r="AA86" s="32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34" t="str" cm="1">
        <f t="array" aca="1" ref="A87" ca="1">IFERROR(INDEX(_xlfn.ANCHORARRAY($AA$11),ROW()-10,1),"")</f>
        <v/>
      </c>
      <c r="B87" s="20" t="str" cm="1">
        <f t="array" aca="1" ref="B87" ca="1">IFERROR(INDEX(_xlfn.ANCHORARRAY($AA$11),ROW()-10,2),"")</f>
        <v/>
      </c>
      <c r="C87" s="4" t="str" cm="1">
        <f t="array" aca="1" ref="C87" ca="1">IFERROR(INDEX(_xlfn.ANCHORARRAY($AA$11),ROW()-10,3),"")</f>
        <v/>
      </c>
      <c r="D87" s="15" t="str" cm="1">
        <f t="array" aca="1" ref="D87" ca="1">IFERROR(INDEX(_xlfn.ANCHORARRAY($AA$11),ROW()-10,4),"")</f>
        <v/>
      </c>
      <c r="E87" s="4" t="str" cm="1">
        <f t="array" aca="1" ref="E87" ca="1">IFERROR(INDEX(_xlfn.ANCHORARRAY($AA$11),ROW()-10,5),"")</f>
        <v/>
      </c>
      <c r="F87" s="15" t="str" cm="1">
        <f t="array" aca="1" ref="F87" ca="1">IFERROR(INDEX(_xlfn.ANCHORARRAY($AA$11),ROW()-10,6),"")</f>
        <v/>
      </c>
      <c r="G87" s="4" t="str" cm="1">
        <f t="array" aca="1" ref="G87" ca="1">IFERROR(INDEX(_xlfn.ANCHORARRAY($AA$11),ROW()-10,7),"")</f>
        <v/>
      </c>
      <c r="H87" s="4" t="str" cm="1">
        <f t="array" aca="1" ref="H87" ca="1">IFERROR(INDEX(_xlfn.ANCHORARRAY($AA$11),ROW()-10,8),"")</f>
        <v/>
      </c>
      <c r="I87" s="4" t="str" cm="1">
        <f t="array" aca="1" ref="I87" ca="1">IFERROR(INDEX(_xlfn.ANCHORARRAY($AA$11),ROW()-10,9),"")</f>
        <v/>
      </c>
      <c r="J87" s="4" t="str">
        <f t="shared" ca="1" si="6"/>
        <v/>
      </c>
      <c r="K87" s="4" t="str">
        <f t="shared" ca="1" si="7"/>
        <v/>
      </c>
      <c r="L87" s="4" t="str" cm="1">
        <f t="array" aca="1" ref="L87" ca="1">_xlfn.LET(_xlpm.link,IFERROR(INDEX(_xlfn.ANCHORARRAY($AA$11),ROW()-10,12),""),IF(_xlpm.link="","",HYPERLINK(_xlpm.link,"Bluecore/Attentive")))</f>
        <v/>
      </c>
      <c r="M87" s="88" t="str">
        <f t="shared" ca="1" si="8"/>
        <v/>
      </c>
      <c r="N87" s="7"/>
      <c r="O87" s="7"/>
      <c r="P87" s="7"/>
      <c r="Q87" s="7"/>
      <c r="R87" s="7"/>
      <c r="S87" s="6"/>
      <c r="T87" s="6"/>
      <c r="U87" s="6"/>
      <c r="V87" s="6"/>
      <c r="W87" s="6"/>
      <c r="X87" s="6"/>
      <c r="Y87" s="6"/>
      <c r="Z87" s="6"/>
      <c r="AA87" s="32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34" t="str" cm="1">
        <f t="array" aca="1" ref="A88" ca="1">IFERROR(INDEX(_xlfn.ANCHORARRAY($AA$11),ROW()-10,1),"")</f>
        <v/>
      </c>
      <c r="B88" s="20" t="str" cm="1">
        <f t="array" aca="1" ref="B88" ca="1">IFERROR(INDEX(_xlfn.ANCHORARRAY($AA$11),ROW()-10,2),"")</f>
        <v/>
      </c>
      <c r="C88" s="4" t="str" cm="1">
        <f t="array" aca="1" ref="C88" ca="1">IFERROR(INDEX(_xlfn.ANCHORARRAY($AA$11),ROW()-10,3),"")</f>
        <v/>
      </c>
      <c r="D88" s="15" t="str" cm="1">
        <f t="array" aca="1" ref="D88" ca="1">IFERROR(INDEX(_xlfn.ANCHORARRAY($AA$11),ROW()-10,4),"")</f>
        <v/>
      </c>
      <c r="E88" s="4" t="str" cm="1">
        <f t="array" aca="1" ref="E88" ca="1">IFERROR(INDEX(_xlfn.ANCHORARRAY($AA$11),ROW()-10,5),"")</f>
        <v/>
      </c>
      <c r="F88" s="15" t="str" cm="1">
        <f t="array" aca="1" ref="F88" ca="1">IFERROR(INDEX(_xlfn.ANCHORARRAY($AA$11),ROW()-10,6),"")</f>
        <v/>
      </c>
      <c r="G88" s="4" t="str" cm="1">
        <f t="array" aca="1" ref="G88" ca="1">IFERROR(INDEX(_xlfn.ANCHORARRAY($AA$11),ROW()-10,7),"")</f>
        <v/>
      </c>
      <c r="H88" s="4" t="str" cm="1">
        <f t="array" aca="1" ref="H88" ca="1">IFERROR(INDEX(_xlfn.ANCHORARRAY($AA$11),ROW()-10,8),"")</f>
        <v/>
      </c>
      <c r="I88" s="4" t="str" cm="1">
        <f t="array" aca="1" ref="I88" ca="1">IFERROR(INDEX(_xlfn.ANCHORARRAY($AA$11),ROW()-10,9),"")</f>
        <v/>
      </c>
      <c r="J88" s="4" t="str">
        <f t="shared" ca="1" si="6"/>
        <v/>
      </c>
      <c r="K88" s="4" t="str">
        <f t="shared" ca="1" si="7"/>
        <v/>
      </c>
      <c r="L88" s="4" t="str" cm="1">
        <f t="array" aca="1" ref="L88" ca="1">_xlfn.LET(_xlpm.link,IFERROR(INDEX(_xlfn.ANCHORARRAY($AA$11),ROW()-10,12),""),IF(_xlpm.link="","",HYPERLINK(_xlpm.link,"Bluecore/Attentive")))</f>
        <v/>
      </c>
      <c r="M88" s="89" t="str">
        <f t="shared" ca="1" si="8"/>
        <v/>
      </c>
      <c r="N88" s="7"/>
      <c r="O88" s="7"/>
      <c r="P88" s="7"/>
      <c r="Q88" s="7"/>
      <c r="R88" s="7"/>
      <c r="S88" s="6"/>
      <c r="T88" s="6"/>
      <c r="U88" s="6"/>
      <c r="V88" s="6"/>
      <c r="W88" s="6"/>
      <c r="X88" s="6"/>
      <c r="Y88" s="6"/>
      <c r="Z88" s="6"/>
      <c r="AA88" s="32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34" t="str" cm="1">
        <f t="array" aca="1" ref="A89" ca="1">IFERROR(INDEX(_xlfn.ANCHORARRAY($AA$11),ROW()-10,1),"")</f>
        <v/>
      </c>
      <c r="B89" s="20" t="str" cm="1">
        <f t="array" aca="1" ref="B89" ca="1">IFERROR(INDEX(_xlfn.ANCHORARRAY($AA$11),ROW()-10,2),"")</f>
        <v/>
      </c>
      <c r="C89" s="4" t="str" cm="1">
        <f t="array" aca="1" ref="C89" ca="1">IFERROR(INDEX(_xlfn.ANCHORARRAY($AA$11),ROW()-10,3),"")</f>
        <v/>
      </c>
      <c r="D89" s="15" t="str" cm="1">
        <f t="array" aca="1" ref="D89" ca="1">IFERROR(INDEX(_xlfn.ANCHORARRAY($AA$11),ROW()-10,4),"")</f>
        <v/>
      </c>
      <c r="E89" s="4" t="str" cm="1">
        <f t="array" aca="1" ref="E89" ca="1">IFERROR(INDEX(_xlfn.ANCHORARRAY($AA$11),ROW()-10,5),"")</f>
        <v/>
      </c>
      <c r="F89" s="15" t="str" cm="1">
        <f t="array" aca="1" ref="F89" ca="1">IFERROR(INDEX(_xlfn.ANCHORARRAY($AA$11),ROW()-10,6),"")</f>
        <v/>
      </c>
      <c r="G89" s="4" t="str" cm="1">
        <f t="array" aca="1" ref="G89" ca="1">IFERROR(INDEX(_xlfn.ANCHORARRAY($AA$11),ROW()-10,7),"")</f>
        <v/>
      </c>
      <c r="H89" s="4" t="str" cm="1">
        <f t="array" aca="1" ref="H89" ca="1">IFERROR(INDEX(_xlfn.ANCHORARRAY($AA$11),ROW()-10,8),"")</f>
        <v/>
      </c>
      <c r="I89" s="4" t="str" cm="1">
        <f t="array" aca="1" ref="I89" ca="1">IFERROR(INDEX(_xlfn.ANCHORARRAY($AA$11),ROW()-10,9),"")</f>
        <v/>
      </c>
      <c r="J89" s="4" t="str">
        <f t="shared" ca="1" si="6"/>
        <v/>
      </c>
      <c r="K89" s="4" t="str">
        <f t="shared" ca="1" si="7"/>
        <v/>
      </c>
      <c r="L89" s="4" t="str" cm="1">
        <f t="array" aca="1" ref="L89" ca="1">_xlfn.LET(_xlpm.link,IFERROR(INDEX(_xlfn.ANCHORARRAY($AA$11),ROW()-10,12),""),IF(_xlpm.link="","",HYPERLINK(_xlpm.link,"Bluecore/Attentive")))</f>
        <v/>
      </c>
      <c r="M89" s="88" t="str">
        <f t="shared" ca="1" si="8"/>
        <v/>
      </c>
      <c r="N89" s="7"/>
      <c r="O89" s="7"/>
      <c r="P89" s="7"/>
      <c r="Q89" s="7"/>
      <c r="R89" s="7"/>
      <c r="S89" s="6"/>
      <c r="T89" s="6"/>
      <c r="U89" s="6"/>
      <c r="V89" s="6"/>
      <c r="W89" s="6"/>
      <c r="X89" s="6"/>
      <c r="Y89" s="6"/>
      <c r="Z89" s="6"/>
      <c r="AA89" s="32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34" t="str" cm="1">
        <f t="array" aca="1" ref="A90" ca="1">IFERROR(INDEX(_xlfn.ANCHORARRAY($AA$11),ROW()-10,1),"")</f>
        <v/>
      </c>
      <c r="B90" s="20" t="str" cm="1">
        <f t="array" aca="1" ref="B90" ca="1">IFERROR(INDEX(_xlfn.ANCHORARRAY($AA$11),ROW()-10,2),"")</f>
        <v/>
      </c>
      <c r="C90" s="4" t="str" cm="1">
        <f t="array" aca="1" ref="C90" ca="1">IFERROR(INDEX(_xlfn.ANCHORARRAY($AA$11),ROW()-10,3),"")</f>
        <v/>
      </c>
      <c r="D90" s="15" t="str" cm="1">
        <f t="array" aca="1" ref="D90" ca="1">IFERROR(INDEX(_xlfn.ANCHORARRAY($AA$11),ROW()-10,4),"")</f>
        <v/>
      </c>
      <c r="E90" s="4" t="str" cm="1">
        <f t="array" aca="1" ref="E90" ca="1">IFERROR(INDEX(_xlfn.ANCHORARRAY($AA$11),ROW()-10,5),"")</f>
        <v/>
      </c>
      <c r="F90" s="15" t="str" cm="1">
        <f t="array" aca="1" ref="F90" ca="1">IFERROR(INDEX(_xlfn.ANCHORARRAY($AA$11),ROW()-10,6),"")</f>
        <v/>
      </c>
      <c r="G90" s="4" t="str" cm="1">
        <f t="array" aca="1" ref="G90" ca="1">IFERROR(INDEX(_xlfn.ANCHORARRAY($AA$11),ROW()-10,7),"")</f>
        <v/>
      </c>
      <c r="H90" s="4" t="str" cm="1">
        <f t="array" aca="1" ref="H90" ca="1">IFERROR(INDEX(_xlfn.ANCHORARRAY($AA$11),ROW()-10,8),"")</f>
        <v/>
      </c>
      <c r="I90" s="4" t="str" cm="1">
        <f t="array" aca="1" ref="I90" ca="1">IFERROR(INDEX(_xlfn.ANCHORARRAY($AA$11),ROW()-10,9),"")</f>
        <v/>
      </c>
      <c r="J90" s="4" t="str">
        <f t="shared" ca="1" si="6"/>
        <v/>
      </c>
      <c r="K90" s="4" t="str">
        <f t="shared" ca="1" si="7"/>
        <v/>
      </c>
      <c r="L90" s="4" t="str" cm="1">
        <f t="array" aca="1" ref="L90" ca="1">_xlfn.LET(_xlpm.link,IFERROR(INDEX(_xlfn.ANCHORARRAY($AA$11),ROW()-10,12),""),IF(_xlpm.link="","",HYPERLINK(_xlpm.link,"Bluecore/Attentive")))</f>
        <v/>
      </c>
      <c r="M90" s="89" t="str">
        <f t="shared" ca="1" si="8"/>
        <v/>
      </c>
      <c r="N90" s="7"/>
      <c r="O90" s="7"/>
      <c r="P90" s="7"/>
      <c r="Q90" s="7"/>
      <c r="R90" s="7"/>
      <c r="S90" s="6"/>
      <c r="T90" s="6"/>
      <c r="U90" s="6"/>
      <c r="V90" s="6"/>
      <c r="W90" s="6"/>
      <c r="X90" s="6"/>
      <c r="Y90" s="6"/>
      <c r="Z90" s="6"/>
      <c r="AA90" s="32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34" t="str" cm="1">
        <f t="array" aca="1" ref="A91" ca="1">IFERROR(INDEX(_xlfn.ANCHORARRAY($AA$11),ROW()-10,1),"")</f>
        <v/>
      </c>
      <c r="B91" s="20" t="str" cm="1">
        <f t="array" aca="1" ref="B91" ca="1">IFERROR(INDEX(_xlfn.ANCHORARRAY($AA$11),ROW()-10,2),"")</f>
        <v/>
      </c>
      <c r="C91" s="4" t="str" cm="1">
        <f t="array" aca="1" ref="C91" ca="1">IFERROR(INDEX(_xlfn.ANCHORARRAY($AA$11),ROW()-10,3),"")</f>
        <v/>
      </c>
      <c r="D91" s="15" t="str" cm="1">
        <f t="array" aca="1" ref="D91" ca="1">IFERROR(INDEX(_xlfn.ANCHORARRAY($AA$11),ROW()-10,4),"")</f>
        <v/>
      </c>
      <c r="E91" s="4" t="str" cm="1">
        <f t="array" aca="1" ref="E91" ca="1">IFERROR(INDEX(_xlfn.ANCHORARRAY($AA$11),ROW()-10,5),"")</f>
        <v/>
      </c>
      <c r="F91" s="15" t="str" cm="1">
        <f t="array" aca="1" ref="F91" ca="1">IFERROR(INDEX(_xlfn.ANCHORARRAY($AA$11),ROW()-10,6),"")</f>
        <v/>
      </c>
      <c r="G91" s="4" t="str" cm="1">
        <f t="array" aca="1" ref="G91" ca="1">IFERROR(INDEX(_xlfn.ANCHORARRAY($AA$11),ROW()-10,7),"")</f>
        <v/>
      </c>
      <c r="H91" s="4" t="str" cm="1">
        <f t="array" aca="1" ref="H91" ca="1">IFERROR(INDEX(_xlfn.ANCHORARRAY($AA$11),ROW()-10,8),"")</f>
        <v/>
      </c>
      <c r="I91" s="4" t="str" cm="1">
        <f t="array" aca="1" ref="I91" ca="1">IFERROR(INDEX(_xlfn.ANCHORARRAY($AA$11),ROW()-10,9),"")</f>
        <v/>
      </c>
      <c r="J91" s="4" t="str">
        <f t="shared" ca="1" si="6"/>
        <v/>
      </c>
      <c r="K91" s="4" t="str">
        <f t="shared" ca="1" si="7"/>
        <v/>
      </c>
      <c r="L91" s="4" t="str" cm="1">
        <f t="array" aca="1" ref="L91" ca="1">_xlfn.LET(_xlpm.link,IFERROR(INDEX(_xlfn.ANCHORARRAY($AA$11),ROW()-10,12),""),IF(_xlpm.link="","",HYPERLINK(_xlpm.link,"Bluecore/Attentive")))</f>
        <v/>
      </c>
      <c r="M91" s="88" t="str">
        <f t="shared" ca="1" si="8"/>
        <v/>
      </c>
      <c r="N91" s="7"/>
      <c r="O91" s="7"/>
      <c r="P91" s="7"/>
      <c r="Q91" s="7"/>
      <c r="R91" s="7"/>
      <c r="S91" s="6"/>
      <c r="T91" s="6"/>
      <c r="U91" s="6"/>
      <c r="V91" s="6"/>
      <c r="W91" s="6"/>
      <c r="X91" s="6"/>
      <c r="Y91" s="6"/>
      <c r="Z91" s="6"/>
      <c r="AA91" s="32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34" t="str" cm="1">
        <f t="array" aca="1" ref="A92" ca="1">IFERROR(INDEX(_xlfn.ANCHORARRAY($AA$11),ROW()-10,1),"")</f>
        <v/>
      </c>
      <c r="B92" s="20" t="str" cm="1">
        <f t="array" aca="1" ref="B92" ca="1">IFERROR(INDEX(_xlfn.ANCHORARRAY($AA$11),ROW()-10,2),"")</f>
        <v/>
      </c>
      <c r="C92" s="4" t="str" cm="1">
        <f t="array" aca="1" ref="C92" ca="1">IFERROR(INDEX(_xlfn.ANCHORARRAY($AA$11),ROW()-10,3),"")</f>
        <v/>
      </c>
      <c r="D92" s="15" t="str" cm="1">
        <f t="array" aca="1" ref="D92" ca="1">IFERROR(INDEX(_xlfn.ANCHORARRAY($AA$11),ROW()-10,4),"")</f>
        <v/>
      </c>
      <c r="E92" s="4" t="str" cm="1">
        <f t="array" aca="1" ref="E92" ca="1">IFERROR(INDEX(_xlfn.ANCHORARRAY($AA$11),ROW()-10,5),"")</f>
        <v/>
      </c>
      <c r="F92" s="15" t="str" cm="1">
        <f t="array" aca="1" ref="F92" ca="1">IFERROR(INDEX(_xlfn.ANCHORARRAY($AA$11),ROW()-10,6),"")</f>
        <v/>
      </c>
      <c r="G92" s="4" t="str" cm="1">
        <f t="array" aca="1" ref="G92" ca="1">IFERROR(INDEX(_xlfn.ANCHORARRAY($AA$11),ROW()-10,7),"")</f>
        <v/>
      </c>
      <c r="H92" s="4" t="str" cm="1">
        <f t="array" aca="1" ref="H92" ca="1">IFERROR(INDEX(_xlfn.ANCHORARRAY($AA$11),ROW()-10,8),"")</f>
        <v/>
      </c>
      <c r="I92" s="4" t="str" cm="1">
        <f t="array" aca="1" ref="I92" ca="1">IFERROR(INDEX(_xlfn.ANCHORARRAY($AA$11),ROW()-10,9),"")</f>
        <v/>
      </c>
      <c r="J92" s="4" t="str">
        <f t="shared" ca="1" si="6"/>
        <v/>
      </c>
      <c r="K92" s="4" t="str">
        <f t="shared" ca="1" si="7"/>
        <v/>
      </c>
      <c r="L92" s="4" t="str" cm="1">
        <f t="array" aca="1" ref="L92" ca="1">_xlfn.LET(_xlpm.link,IFERROR(INDEX(_xlfn.ANCHORARRAY($AA$11),ROW()-10,12),""),IF(_xlpm.link="","",HYPERLINK(_xlpm.link,"Bluecore/Attentive")))</f>
        <v/>
      </c>
      <c r="M92" s="89" t="str">
        <f t="shared" ca="1" si="8"/>
        <v/>
      </c>
      <c r="N92" s="7"/>
      <c r="O92" s="7"/>
      <c r="P92" s="7"/>
      <c r="Q92" s="7"/>
      <c r="R92" s="7"/>
      <c r="S92" s="6"/>
      <c r="T92" s="6"/>
      <c r="U92" s="6"/>
      <c r="V92" s="6"/>
      <c r="W92" s="6"/>
      <c r="X92" s="6"/>
      <c r="Y92" s="6"/>
      <c r="Z92" s="6"/>
      <c r="AA92" s="3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34" t="str" cm="1">
        <f t="array" aca="1" ref="A93" ca="1">IFERROR(INDEX(_xlfn.ANCHORARRAY($AA$11),ROW()-10,1),"")</f>
        <v/>
      </c>
      <c r="B93" s="20" t="str" cm="1">
        <f t="array" aca="1" ref="B93" ca="1">IFERROR(INDEX(_xlfn.ANCHORARRAY($AA$11),ROW()-10,2),"")</f>
        <v/>
      </c>
      <c r="C93" s="4" t="str" cm="1">
        <f t="array" aca="1" ref="C93" ca="1">IFERROR(INDEX(_xlfn.ANCHORARRAY($AA$11),ROW()-10,3),"")</f>
        <v/>
      </c>
      <c r="D93" s="15" t="str" cm="1">
        <f t="array" aca="1" ref="D93" ca="1">IFERROR(INDEX(_xlfn.ANCHORARRAY($AA$11),ROW()-10,4),"")</f>
        <v/>
      </c>
      <c r="E93" s="4" t="str" cm="1">
        <f t="array" aca="1" ref="E93" ca="1">IFERROR(INDEX(_xlfn.ANCHORARRAY($AA$11),ROW()-10,5),"")</f>
        <v/>
      </c>
      <c r="F93" s="15" t="str" cm="1">
        <f t="array" aca="1" ref="F93" ca="1">IFERROR(INDEX(_xlfn.ANCHORARRAY($AA$11),ROW()-10,6),"")</f>
        <v/>
      </c>
      <c r="G93" s="4" t="str" cm="1">
        <f t="array" aca="1" ref="G93" ca="1">IFERROR(INDEX(_xlfn.ANCHORARRAY($AA$11),ROW()-10,7),"")</f>
        <v/>
      </c>
      <c r="H93" s="4" t="str" cm="1">
        <f t="array" aca="1" ref="H93" ca="1">IFERROR(INDEX(_xlfn.ANCHORARRAY($AA$11),ROW()-10,8),"")</f>
        <v/>
      </c>
      <c r="I93" s="4" t="str" cm="1">
        <f t="array" aca="1" ref="I93" ca="1">IFERROR(INDEX(_xlfn.ANCHORARRAY($AA$11),ROW()-10,9),"")</f>
        <v/>
      </c>
      <c r="J93" s="4" t="str">
        <f t="shared" ca="1" si="6"/>
        <v/>
      </c>
      <c r="K93" s="4" t="str">
        <f t="shared" ca="1" si="7"/>
        <v/>
      </c>
      <c r="L93" s="4" t="str" cm="1">
        <f t="array" aca="1" ref="L93" ca="1">_xlfn.LET(_xlpm.link,IFERROR(INDEX(_xlfn.ANCHORARRAY($AA$11),ROW()-10,12),""),IF(_xlpm.link="","",HYPERLINK(_xlpm.link,"Bluecore/Attentive")))</f>
        <v/>
      </c>
      <c r="M93" s="88" t="str">
        <f t="shared" ca="1" si="8"/>
        <v/>
      </c>
      <c r="N93" s="7"/>
      <c r="O93" s="7"/>
      <c r="P93" s="7"/>
      <c r="Q93" s="7"/>
      <c r="R93" s="7"/>
      <c r="S93" s="6"/>
      <c r="T93" s="6"/>
      <c r="U93" s="6"/>
      <c r="V93" s="6"/>
      <c r="W93" s="6"/>
      <c r="X93" s="6"/>
      <c r="Y93" s="6"/>
      <c r="Z93" s="6"/>
      <c r="AA93" s="32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34" t="str" cm="1">
        <f t="array" aca="1" ref="A94" ca="1">IFERROR(INDEX(_xlfn.ANCHORARRAY($AA$11),ROW()-10,1),"")</f>
        <v/>
      </c>
      <c r="B94" s="20" t="str" cm="1">
        <f t="array" aca="1" ref="B94" ca="1">IFERROR(INDEX(_xlfn.ANCHORARRAY($AA$11),ROW()-10,2),"")</f>
        <v/>
      </c>
      <c r="C94" s="4" t="str" cm="1">
        <f t="array" aca="1" ref="C94" ca="1">IFERROR(INDEX(_xlfn.ANCHORARRAY($AA$11),ROW()-10,3),"")</f>
        <v/>
      </c>
      <c r="D94" s="15" t="str" cm="1">
        <f t="array" aca="1" ref="D94" ca="1">IFERROR(INDEX(_xlfn.ANCHORARRAY($AA$11),ROW()-10,4),"")</f>
        <v/>
      </c>
      <c r="E94" s="4" t="str" cm="1">
        <f t="array" aca="1" ref="E94" ca="1">IFERROR(INDEX(_xlfn.ANCHORARRAY($AA$11),ROW()-10,5),"")</f>
        <v/>
      </c>
      <c r="F94" s="15" t="str" cm="1">
        <f t="array" aca="1" ref="F94" ca="1">IFERROR(INDEX(_xlfn.ANCHORARRAY($AA$11),ROW()-10,6),"")</f>
        <v/>
      </c>
      <c r="G94" s="4" t="str" cm="1">
        <f t="array" aca="1" ref="G94" ca="1">IFERROR(INDEX(_xlfn.ANCHORARRAY($AA$11),ROW()-10,7),"")</f>
        <v/>
      </c>
      <c r="H94" s="4" t="str" cm="1">
        <f t="array" aca="1" ref="H94" ca="1">IFERROR(INDEX(_xlfn.ANCHORARRAY($AA$11),ROW()-10,8),"")</f>
        <v/>
      </c>
      <c r="I94" s="4" t="str" cm="1">
        <f t="array" aca="1" ref="I94" ca="1">IFERROR(INDEX(_xlfn.ANCHORARRAY($AA$11),ROW()-10,9),"")</f>
        <v/>
      </c>
      <c r="J94" s="4" t="str">
        <f t="shared" ca="1" si="6"/>
        <v/>
      </c>
      <c r="K94" s="4" t="str">
        <f t="shared" ca="1" si="7"/>
        <v/>
      </c>
      <c r="L94" s="4" t="str" cm="1">
        <f t="array" aca="1" ref="L94" ca="1">_xlfn.LET(_xlpm.link,IFERROR(INDEX(_xlfn.ANCHORARRAY($AA$11),ROW()-10,12),""),IF(_xlpm.link="","",HYPERLINK(_xlpm.link,"Bluecore/Attentive")))</f>
        <v/>
      </c>
      <c r="M94" s="89" t="str">
        <f t="shared" ca="1" si="8"/>
        <v/>
      </c>
      <c r="N94" s="7"/>
      <c r="O94" s="7"/>
      <c r="P94" s="7"/>
      <c r="Q94" s="7"/>
      <c r="R94" s="7"/>
      <c r="S94" s="6"/>
      <c r="T94" s="6"/>
      <c r="U94" s="6"/>
      <c r="V94" s="6"/>
      <c r="W94" s="6"/>
      <c r="X94" s="6"/>
      <c r="Y94" s="6"/>
      <c r="Z94" s="6"/>
      <c r="AA94" s="32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34" t="str" cm="1">
        <f t="array" aca="1" ref="A95" ca="1">IFERROR(INDEX(_xlfn.ANCHORARRAY($AA$11),ROW()-10,1),"")</f>
        <v/>
      </c>
      <c r="B95" s="20" t="str" cm="1">
        <f t="array" aca="1" ref="B95" ca="1">IFERROR(INDEX(_xlfn.ANCHORARRAY($AA$11),ROW()-10,2),"")</f>
        <v/>
      </c>
      <c r="C95" s="4" t="str" cm="1">
        <f t="array" aca="1" ref="C95" ca="1">IFERROR(INDEX(_xlfn.ANCHORARRAY($AA$11),ROW()-10,3),"")</f>
        <v/>
      </c>
      <c r="D95" s="15" t="str" cm="1">
        <f t="array" aca="1" ref="D95" ca="1">IFERROR(INDEX(_xlfn.ANCHORARRAY($AA$11),ROW()-10,4),"")</f>
        <v/>
      </c>
      <c r="E95" s="4" t="str" cm="1">
        <f t="array" aca="1" ref="E95" ca="1">IFERROR(INDEX(_xlfn.ANCHORARRAY($AA$11),ROW()-10,5),"")</f>
        <v/>
      </c>
      <c r="F95" s="15" t="str" cm="1">
        <f t="array" aca="1" ref="F95" ca="1">IFERROR(INDEX(_xlfn.ANCHORARRAY($AA$11),ROW()-10,6),"")</f>
        <v/>
      </c>
      <c r="G95" s="4" t="str" cm="1">
        <f t="array" aca="1" ref="G95" ca="1">IFERROR(INDEX(_xlfn.ANCHORARRAY($AA$11),ROW()-10,7),"")</f>
        <v/>
      </c>
      <c r="H95" s="4" t="str" cm="1">
        <f t="array" aca="1" ref="H95" ca="1">IFERROR(INDEX(_xlfn.ANCHORARRAY($AA$11),ROW()-10,8),"")</f>
        <v/>
      </c>
      <c r="I95" s="4" t="str" cm="1">
        <f t="array" aca="1" ref="I95" ca="1">IFERROR(INDEX(_xlfn.ANCHORARRAY($AA$11),ROW()-10,9),"")</f>
        <v/>
      </c>
      <c r="J95" s="4" t="str">
        <f t="shared" ca="1" si="6"/>
        <v/>
      </c>
      <c r="K95" s="4" t="str">
        <f t="shared" ca="1" si="7"/>
        <v/>
      </c>
      <c r="L95" s="4" t="str" cm="1">
        <f t="array" aca="1" ref="L95" ca="1">_xlfn.LET(_xlpm.link,IFERROR(INDEX(_xlfn.ANCHORARRAY($AA$11),ROW()-10,12),""),IF(_xlpm.link="","",HYPERLINK(_xlpm.link,"Bluecore/Attentive")))</f>
        <v/>
      </c>
      <c r="M95" s="88" t="str">
        <f t="shared" ca="1" si="8"/>
        <v/>
      </c>
      <c r="N95" s="7"/>
      <c r="O95" s="7"/>
      <c r="P95" s="7"/>
      <c r="Q95" s="7"/>
      <c r="R95" s="7"/>
      <c r="S95" s="6"/>
      <c r="T95" s="6"/>
      <c r="U95" s="6"/>
      <c r="V95" s="6"/>
      <c r="W95" s="6"/>
      <c r="X95" s="6"/>
      <c r="Y95" s="6"/>
      <c r="Z95" s="6"/>
      <c r="AA95" s="32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34" t="str" cm="1">
        <f t="array" aca="1" ref="A96" ca="1">IFERROR(INDEX(_xlfn.ANCHORARRAY($AA$11),ROW()-10,1),"")</f>
        <v/>
      </c>
      <c r="B96" s="20" t="str" cm="1">
        <f t="array" aca="1" ref="B96" ca="1">IFERROR(INDEX(_xlfn.ANCHORARRAY($AA$11),ROW()-10,2),"")</f>
        <v/>
      </c>
      <c r="C96" s="4" t="str" cm="1">
        <f t="array" aca="1" ref="C96" ca="1">IFERROR(INDEX(_xlfn.ANCHORARRAY($AA$11),ROW()-10,3),"")</f>
        <v/>
      </c>
      <c r="D96" s="15" t="str" cm="1">
        <f t="array" aca="1" ref="D96" ca="1">IFERROR(INDEX(_xlfn.ANCHORARRAY($AA$11),ROW()-10,4),"")</f>
        <v/>
      </c>
      <c r="E96" s="4" t="str" cm="1">
        <f t="array" aca="1" ref="E96" ca="1">IFERROR(INDEX(_xlfn.ANCHORARRAY($AA$11),ROW()-10,5),"")</f>
        <v/>
      </c>
      <c r="F96" s="15" t="str" cm="1">
        <f t="array" aca="1" ref="F96" ca="1">IFERROR(INDEX(_xlfn.ANCHORARRAY($AA$11),ROW()-10,6),"")</f>
        <v/>
      </c>
      <c r="G96" s="4" t="str" cm="1">
        <f t="array" aca="1" ref="G96" ca="1">IFERROR(INDEX(_xlfn.ANCHORARRAY($AA$11),ROW()-10,7),"")</f>
        <v/>
      </c>
      <c r="H96" s="4" t="str" cm="1">
        <f t="array" aca="1" ref="H96" ca="1">IFERROR(INDEX(_xlfn.ANCHORARRAY($AA$11),ROW()-10,8),"")</f>
        <v/>
      </c>
      <c r="I96" s="4" t="str" cm="1">
        <f t="array" aca="1" ref="I96" ca="1">IFERROR(INDEX(_xlfn.ANCHORARRAY($AA$11),ROW()-10,9),"")</f>
        <v/>
      </c>
      <c r="J96" s="4" t="str">
        <f t="shared" ca="1" si="6"/>
        <v/>
      </c>
      <c r="K96" s="4" t="str">
        <f t="shared" ca="1" si="7"/>
        <v/>
      </c>
      <c r="L96" s="4" t="str" cm="1">
        <f t="array" aca="1" ref="L96" ca="1">_xlfn.LET(_xlpm.link,IFERROR(INDEX(_xlfn.ANCHORARRAY($AA$11),ROW()-10,12),""),IF(_xlpm.link="","",HYPERLINK(_xlpm.link,"Bluecore/Attentive")))</f>
        <v/>
      </c>
      <c r="M96" s="89" t="str">
        <f t="shared" ca="1" si="8"/>
        <v/>
      </c>
      <c r="N96" s="7"/>
      <c r="O96" s="7"/>
      <c r="P96" s="7"/>
      <c r="Q96" s="7"/>
      <c r="R96" s="7"/>
      <c r="S96" s="6"/>
      <c r="T96" s="6"/>
      <c r="U96" s="6"/>
      <c r="V96" s="6"/>
      <c r="W96" s="6"/>
      <c r="X96" s="6"/>
      <c r="Y96" s="6"/>
      <c r="Z96" s="6"/>
      <c r="AA96" s="32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34" t="str" cm="1">
        <f t="array" aca="1" ref="A97" ca="1">IFERROR(INDEX(_xlfn.ANCHORARRAY($AA$11),ROW()-10,1),"")</f>
        <v/>
      </c>
      <c r="B97" s="20" t="str" cm="1">
        <f t="array" aca="1" ref="B97" ca="1">IFERROR(INDEX(_xlfn.ANCHORARRAY($AA$11),ROW()-10,2),"")</f>
        <v/>
      </c>
      <c r="C97" s="4" t="str" cm="1">
        <f t="array" aca="1" ref="C97" ca="1">IFERROR(INDEX(_xlfn.ANCHORARRAY($AA$11),ROW()-10,3),"")</f>
        <v/>
      </c>
      <c r="D97" s="15" t="str" cm="1">
        <f t="array" aca="1" ref="D97" ca="1">IFERROR(INDEX(_xlfn.ANCHORARRAY($AA$11),ROW()-10,4),"")</f>
        <v/>
      </c>
      <c r="E97" s="4" t="str" cm="1">
        <f t="array" aca="1" ref="E97" ca="1">IFERROR(INDEX(_xlfn.ANCHORARRAY($AA$11),ROW()-10,5),"")</f>
        <v/>
      </c>
      <c r="F97" s="15" t="str" cm="1">
        <f t="array" aca="1" ref="F97" ca="1">IFERROR(INDEX(_xlfn.ANCHORARRAY($AA$11),ROW()-10,6),"")</f>
        <v/>
      </c>
      <c r="G97" s="4" t="str" cm="1">
        <f t="array" aca="1" ref="G97" ca="1">IFERROR(INDEX(_xlfn.ANCHORARRAY($AA$11),ROW()-10,7),"")</f>
        <v/>
      </c>
      <c r="H97" s="4" t="str" cm="1">
        <f t="array" aca="1" ref="H97" ca="1">IFERROR(INDEX(_xlfn.ANCHORARRAY($AA$11),ROW()-10,8),"")</f>
        <v/>
      </c>
      <c r="I97" s="4" t="str" cm="1">
        <f t="array" aca="1" ref="I97" ca="1">IFERROR(INDEX(_xlfn.ANCHORARRAY($AA$11),ROW()-10,9),"")</f>
        <v/>
      </c>
      <c r="J97" s="4" t="str">
        <f t="shared" ca="1" si="6"/>
        <v/>
      </c>
      <c r="K97" s="4" t="str">
        <f t="shared" ca="1" si="7"/>
        <v/>
      </c>
      <c r="L97" s="4" t="str" cm="1">
        <f t="array" aca="1" ref="L97" ca="1">_xlfn.LET(_xlpm.link,IFERROR(INDEX(_xlfn.ANCHORARRAY($AA$11),ROW()-10,12),""),IF(_xlpm.link="","",HYPERLINK(_xlpm.link,"Bluecore/Attentive")))</f>
        <v/>
      </c>
      <c r="M97" s="88" t="str">
        <f t="shared" ca="1" si="8"/>
        <v/>
      </c>
      <c r="N97" s="7"/>
      <c r="O97" s="7"/>
      <c r="P97" s="7"/>
      <c r="Q97" s="7"/>
      <c r="R97" s="7"/>
      <c r="S97" s="6"/>
      <c r="T97" s="6"/>
      <c r="U97" s="6"/>
      <c r="V97" s="6"/>
      <c r="W97" s="6"/>
      <c r="X97" s="6"/>
      <c r="Y97" s="6"/>
      <c r="Z97" s="6"/>
      <c r="AA97" s="32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34" t="str" cm="1">
        <f t="array" aca="1" ref="A98" ca="1">IFERROR(INDEX(_xlfn.ANCHORARRAY($AA$11),ROW()-10,1),"")</f>
        <v/>
      </c>
      <c r="B98" s="20" t="str" cm="1">
        <f t="array" aca="1" ref="B98" ca="1">IFERROR(INDEX(_xlfn.ANCHORARRAY($AA$11),ROW()-10,2),"")</f>
        <v/>
      </c>
      <c r="C98" s="4" t="str" cm="1">
        <f t="array" aca="1" ref="C98" ca="1">IFERROR(INDEX(_xlfn.ANCHORARRAY($AA$11),ROW()-10,3),"")</f>
        <v/>
      </c>
      <c r="D98" s="15" t="str" cm="1">
        <f t="array" aca="1" ref="D98" ca="1">IFERROR(INDEX(_xlfn.ANCHORARRAY($AA$11),ROW()-10,4),"")</f>
        <v/>
      </c>
      <c r="E98" s="4" t="str" cm="1">
        <f t="array" aca="1" ref="E98" ca="1">IFERROR(INDEX(_xlfn.ANCHORARRAY($AA$11),ROW()-10,5),"")</f>
        <v/>
      </c>
      <c r="F98" s="15" t="str" cm="1">
        <f t="array" aca="1" ref="F98" ca="1">IFERROR(INDEX(_xlfn.ANCHORARRAY($AA$11),ROW()-10,6),"")</f>
        <v/>
      </c>
      <c r="G98" s="4" t="str" cm="1">
        <f t="array" aca="1" ref="G98" ca="1">IFERROR(INDEX(_xlfn.ANCHORARRAY($AA$11),ROW()-10,7),"")</f>
        <v/>
      </c>
      <c r="H98" s="4" t="str" cm="1">
        <f t="array" aca="1" ref="H98" ca="1">IFERROR(INDEX(_xlfn.ANCHORARRAY($AA$11),ROW()-10,8),"")</f>
        <v/>
      </c>
      <c r="I98" s="4" t="str" cm="1">
        <f t="array" aca="1" ref="I98" ca="1">IFERROR(INDEX(_xlfn.ANCHORARRAY($AA$11),ROW()-10,9),"")</f>
        <v/>
      </c>
      <c r="J98" s="4" t="str">
        <f t="shared" ca="1" si="6"/>
        <v/>
      </c>
      <c r="K98" s="4" t="str">
        <f t="shared" ca="1" si="7"/>
        <v/>
      </c>
      <c r="L98" s="4" t="str" cm="1">
        <f t="array" aca="1" ref="L98" ca="1">_xlfn.LET(_xlpm.link,IFERROR(INDEX(_xlfn.ANCHORARRAY($AA$11),ROW()-10,12),""),IF(_xlpm.link="","",HYPERLINK(_xlpm.link,"Bluecore/Attentive")))</f>
        <v/>
      </c>
      <c r="M98" s="89" t="str">
        <f t="shared" ca="1" si="8"/>
        <v/>
      </c>
      <c r="N98" s="7"/>
      <c r="O98" s="7"/>
      <c r="P98" s="7"/>
      <c r="Q98" s="7"/>
      <c r="R98" s="7"/>
      <c r="S98" s="6"/>
      <c r="T98" s="6"/>
      <c r="U98" s="6"/>
      <c r="V98" s="6"/>
      <c r="W98" s="6"/>
      <c r="X98" s="6"/>
      <c r="Y98" s="6"/>
      <c r="Z98" s="6"/>
      <c r="AA98" s="32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34" t="str" cm="1">
        <f t="array" aca="1" ref="A99" ca="1">IFERROR(INDEX(_xlfn.ANCHORARRAY($AA$11),ROW()-10,1),"")</f>
        <v/>
      </c>
      <c r="B99" s="20" t="str" cm="1">
        <f t="array" aca="1" ref="B99" ca="1">IFERROR(INDEX(_xlfn.ANCHORARRAY($AA$11),ROW()-10,2),"")</f>
        <v/>
      </c>
      <c r="C99" s="4" t="str" cm="1">
        <f t="array" aca="1" ref="C99" ca="1">IFERROR(INDEX(_xlfn.ANCHORARRAY($AA$11),ROW()-10,3),"")</f>
        <v/>
      </c>
      <c r="D99" s="15" t="str" cm="1">
        <f t="array" aca="1" ref="D99" ca="1">IFERROR(INDEX(_xlfn.ANCHORARRAY($AA$11),ROW()-10,4),"")</f>
        <v/>
      </c>
      <c r="E99" s="4" t="str" cm="1">
        <f t="array" aca="1" ref="E99" ca="1">IFERROR(INDEX(_xlfn.ANCHORARRAY($AA$11),ROW()-10,5),"")</f>
        <v/>
      </c>
      <c r="F99" s="15" t="str" cm="1">
        <f t="array" aca="1" ref="F99" ca="1">IFERROR(INDEX(_xlfn.ANCHORARRAY($AA$11),ROW()-10,6),"")</f>
        <v/>
      </c>
      <c r="G99" s="4" t="str" cm="1">
        <f t="array" aca="1" ref="G99" ca="1">IFERROR(INDEX(_xlfn.ANCHORARRAY($AA$11),ROW()-10,7),"")</f>
        <v/>
      </c>
      <c r="H99" s="4" t="str" cm="1">
        <f t="array" aca="1" ref="H99" ca="1">IFERROR(INDEX(_xlfn.ANCHORARRAY($AA$11),ROW()-10,8),"")</f>
        <v/>
      </c>
      <c r="I99" s="4" t="str" cm="1">
        <f t="array" aca="1" ref="I99" ca="1">IFERROR(INDEX(_xlfn.ANCHORARRAY($AA$11),ROW()-10,9),"")</f>
        <v/>
      </c>
      <c r="J99" s="4" t="str">
        <f t="shared" ca="1" si="6"/>
        <v/>
      </c>
      <c r="K99" s="4" t="str">
        <f t="shared" ca="1" si="7"/>
        <v/>
      </c>
      <c r="L99" s="4" t="str" cm="1">
        <f t="array" aca="1" ref="L99" ca="1">_xlfn.LET(_xlpm.link,IFERROR(INDEX(_xlfn.ANCHORARRAY($AA$11),ROW()-10,12),""),IF(_xlpm.link="","",HYPERLINK(_xlpm.link,"Bluecore/Attentive")))</f>
        <v/>
      </c>
      <c r="M99" s="88" t="str">
        <f t="shared" ca="1" si="8"/>
        <v/>
      </c>
      <c r="N99" s="7"/>
      <c r="O99" s="7"/>
      <c r="P99" s="7"/>
      <c r="Q99" s="7"/>
      <c r="R99" s="7"/>
      <c r="S99" s="6"/>
      <c r="T99" s="6"/>
      <c r="U99" s="6"/>
      <c r="V99" s="6"/>
      <c r="W99" s="6"/>
      <c r="X99" s="6"/>
      <c r="Y99" s="6"/>
      <c r="Z99" s="6"/>
      <c r="AA99" s="32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34" t="str" cm="1">
        <f t="array" aca="1" ref="A100" ca="1">IFERROR(INDEX(_xlfn.ANCHORARRAY($AA$11),ROW()-10,1),"")</f>
        <v/>
      </c>
      <c r="B100" s="20" t="str" cm="1">
        <f t="array" aca="1" ref="B100" ca="1">IFERROR(INDEX(_xlfn.ANCHORARRAY($AA$11),ROW()-10,2),"")</f>
        <v/>
      </c>
      <c r="C100" s="4" t="str" cm="1">
        <f t="array" aca="1" ref="C100" ca="1">IFERROR(INDEX(_xlfn.ANCHORARRAY($AA$11),ROW()-10,3),"")</f>
        <v/>
      </c>
      <c r="D100" s="15" t="str" cm="1">
        <f t="array" aca="1" ref="D100" ca="1">IFERROR(INDEX(_xlfn.ANCHORARRAY($AA$11),ROW()-10,4),"")</f>
        <v/>
      </c>
      <c r="E100" s="4" t="str" cm="1">
        <f t="array" aca="1" ref="E100" ca="1">IFERROR(INDEX(_xlfn.ANCHORARRAY($AA$11),ROW()-10,5),"")</f>
        <v/>
      </c>
      <c r="F100" s="15" t="str" cm="1">
        <f t="array" aca="1" ref="F100" ca="1">IFERROR(INDEX(_xlfn.ANCHORARRAY($AA$11),ROW()-10,6),"")</f>
        <v/>
      </c>
      <c r="G100" s="4" t="str" cm="1">
        <f t="array" aca="1" ref="G100" ca="1">IFERROR(INDEX(_xlfn.ANCHORARRAY($AA$11),ROW()-10,7),"")</f>
        <v/>
      </c>
      <c r="H100" s="4" t="str" cm="1">
        <f t="array" aca="1" ref="H100" ca="1">IFERROR(INDEX(_xlfn.ANCHORARRAY($AA$11),ROW()-10,8),"")</f>
        <v/>
      </c>
      <c r="I100" s="4" t="str" cm="1">
        <f t="array" aca="1" ref="I100" ca="1">IFERROR(INDEX(_xlfn.ANCHORARRAY($AA$11),ROW()-10,9),"")</f>
        <v/>
      </c>
      <c r="J100" s="4" t="str">
        <f t="shared" ca="1" si="6"/>
        <v/>
      </c>
      <c r="K100" s="4" t="str">
        <f t="shared" ca="1" si="7"/>
        <v/>
      </c>
      <c r="L100" s="4" t="str" cm="1">
        <f t="array" aca="1" ref="L100" ca="1">_xlfn.LET(_xlpm.link,IFERROR(INDEX(_xlfn.ANCHORARRAY($AA$11),ROW()-10,12),""),IF(_xlpm.link="","",HYPERLINK(_xlpm.link,"Bluecore/Attentive")))</f>
        <v/>
      </c>
      <c r="M100" s="89" t="str">
        <f t="shared" ca="1" si="8"/>
        <v/>
      </c>
      <c r="N100" s="7"/>
      <c r="O100" s="7"/>
      <c r="P100" s="7"/>
      <c r="Q100" s="7"/>
      <c r="R100" s="7"/>
      <c r="S100" s="6"/>
      <c r="T100" s="6"/>
      <c r="U100" s="6"/>
      <c r="V100" s="6"/>
      <c r="W100" s="6"/>
      <c r="X100" s="6"/>
      <c r="Y100" s="6"/>
      <c r="Z100" s="6"/>
      <c r="AA100" s="32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34" t="str" cm="1">
        <f t="array" aca="1" ref="A101" ca="1">IFERROR(INDEX(_xlfn.ANCHORARRAY($AA$11),ROW()-10,1),"")</f>
        <v/>
      </c>
      <c r="B101" s="20" t="str" cm="1">
        <f t="array" aca="1" ref="B101" ca="1">IFERROR(INDEX(_xlfn.ANCHORARRAY($AA$11),ROW()-10,2),"")</f>
        <v/>
      </c>
      <c r="C101" s="4" t="str" cm="1">
        <f t="array" aca="1" ref="C101" ca="1">IFERROR(INDEX(_xlfn.ANCHORARRAY($AA$11),ROW()-10,3),"")</f>
        <v/>
      </c>
      <c r="D101" s="15" t="str" cm="1">
        <f t="array" aca="1" ref="D101" ca="1">IFERROR(INDEX(_xlfn.ANCHORARRAY($AA$11),ROW()-10,4),"")</f>
        <v/>
      </c>
      <c r="E101" s="4" t="str" cm="1">
        <f t="array" aca="1" ref="E101" ca="1">IFERROR(INDEX(_xlfn.ANCHORARRAY($AA$11),ROW()-10,5),"")</f>
        <v/>
      </c>
      <c r="F101" s="15" t="str" cm="1">
        <f t="array" aca="1" ref="F101" ca="1">IFERROR(INDEX(_xlfn.ANCHORARRAY($AA$11),ROW()-10,6),"")</f>
        <v/>
      </c>
      <c r="G101" s="4" t="str" cm="1">
        <f t="array" aca="1" ref="G101" ca="1">IFERROR(INDEX(_xlfn.ANCHORARRAY($AA$11),ROW()-10,7),"")</f>
        <v/>
      </c>
      <c r="H101" s="4" t="str" cm="1">
        <f t="array" aca="1" ref="H101" ca="1">IFERROR(INDEX(_xlfn.ANCHORARRAY($AA$11),ROW()-10,8),"")</f>
        <v/>
      </c>
      <c r="I101" s="4" t="str" cm="1">
        <f t="array" aca="1" ref="I101" ca="1">IFERROR(INDEX(_xlfn.ANCHORARRAY($AA$11),ROW()-10,9),"")</f>
        <v/>
      </c>
      <c r="J101" s="4" t="str">
        <f t="shared" ca="1" si="6"/>
        <v/>
      </c>
      <c r="K101" s="4" t="str">
        <f t="shared" ca="1" si="7"/>
        <v/>
      </c>
      <c r="L101" s="4" t="str" cm="1">
        <f t="array" aca="1" ref="L101" ca="1">_xlfn.LET(_xlpm.link,IFERROR(INDEX(_xlfn.ANCHORARRAY($AA$11),ROW()-10,12),""),IF(_xlpm.link="","",HYPERLINK(_xlpm.link,"Bluecore/Attentive")))</f>
        <v/>
      </c>
      <c r="M101" s="88" t="str">
        <f t="shared" ca="1" si="8"/>
        <v/>
      </c>
      <c r="N101" s="7"/>
      <c r="O101" s="7"/>
      <c r="P101" s="7"/>
      <c r="Q101" s="7"/>
      <c r="R101" s="7"/>
      <c r="S101" s="6"/>
      <c r="T101" s="6"/>
      <c r="U101" s="6"/>
      <c r="V101" s="6"/>
      <c r="W101" s="6"/>
      <c r="X101" s="6"/>
      <c r="Y101" s="6"/>
      <c r="Z101" s="6"/>
      <c r="AA101" s="32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34" t="str" cm="1">
        <f t="array" aca="1" ref="A102" ca="1">IFERROR(INDEX(_xlfn.ANCHORARRAY($AA$11),ROW()-10,1),"")</f>
        <v/>
      </c>
      <c r="B102" s="20" t="str" cm="1">
        <f t="array" aca="1" ref="B102" ca="1">IFERROR(INDEX(_xlfn.ANCHORARRAY($AA$11),ROW()-10,2),"")</f>
        <v/>
      </c>
      <c r="C102" s="4" t="str" cm="1">
        <f t="array" aca="1" ref="C102" ca="1">IFERROR(INDEX(_xlfn.ANCHORARRAY($AA$11),ROW()-10,3),"")</f>
        <v/>
      </c>
      <c r="D102" s="15" t="str" cm="1">
        <f t="array" aca="1" ref="D102" ca="1">IFERROR(INDEX(_xlfn.ANCHORARRAY($AA$11),ROW()-10,4),"")</f>
        <v/>
      </c>
      <c r="E102" s="4" t="str" cm="1">
        <f t="array" aca="1" ref="E102" ca="1">IFERROR(INDEX(_xlfn.ANCHORARRAY($AA$11),ROW()-10,5),"")</f>
        <v/>
      </c>
      <c r="F102" s="15" t="str" cm="1">
        <f t="array" aca="1" ref="F102" ca="1">IFERROR(INDEX(_xlfn.ANCHORARRAY($AA$11),ROW()-10,6),"")</f>
        <v/>
      </c>
      <c r="G102" s="4" t="str" cm="1">
        <f t="array" aca="1" ref="G102" ca="1">IFERROR(INDEX(_xlfn.ANCHORARRAY($AA$11),ROW()-10,7),"")</f>
        <v/>
      </c>
      <c r="H102" s="4" t="str" cm="1">
        <f t="array" aca="1" ref="H102" ca="1">IFERROR(INDEX(_xlfn.ANCHORARRAY($AA$11),ROW()-10,8),"")</f>
        <v/>
      </c>
      <c r="I102" s="4" t="str" cm="1">
        <f t="array" aca="1" ref="I102" ca="1">IFERROR(INDEX(_xlfn.ANCHORARRAY($AA$11),ROW()-10,9),"")</f>
        <v/>
      </c>
      <c r="J102" s="4" t="str">
        <f t="shared" ca="1" si="6"/>
        <v/>
      </c>
      <c r="K102" s="4" t="str">
        <f t="shared" ca="1" si="7"/>
        <v/>
      </c>
      <c r="L102" s="4" t="str" cm="1">
        <f t="array" aca="1" ref="L102" ca="1">_xlfn.LET(_xlpm.link,IFERROR(INDEX(_xlfn.ANCHORARRAY($AA$11),ROW()-10,12),""),IF(_xlpm.link="","",HYPERLINK(_xlpm.link,"Bluecore/Attentive")))</f>
        <v/>
      </c>
      <c r="M102" s="89" t="str">
        <f t="shared" ca="1" si="8"/>
        <v/>
      </c>
      <c r="N102" s="7"/>
      <c r="O102" s="7"/>
      <c r="P102" s="7"/>
      <c r="Q102" s="7"/>
      <c r="R102" s="7"/>
      <c r="S102" s="6"/>
      <c r="T102" s="6"/>
      <c r="U102" s="6"/>
      <c r="V102" s="6"/>
      <c r="W102" s="6"/>
      <c r="X102" s="6"/>
      <c r="Y102" s="6"/>
      <c r="Z102" s="6"/>
      <c r="AA102" s="3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34" t="str" cm="1">
        <f t="array" aca="1" ref="A103" ca="1">IFERROR(INDEX(_xlfn.ANCHORARRAY($AA$11),ROW()-10,1),"")</f>
        <v/>
      </c>
      <c r="B103" s="20" t="str" cm="1">
        <f t="array" aca="1" ref="B103" ca="1">IFERROR(INDEX(_xlfn.ANCHORARRAY($AA$11),ROW()-10,2),"")</f>
        <v/>
      </c>
      <c r="C103" s="4" t="str" cm="1">
        <f t="array" aca="1" ref="C103" ca="1">IFERROR(INDEX(_xlfn.ANCHORARRAY($AA$11),ROW()-10,3),"")</f>
        <v/>
      </c>
      <c r="D103" s="15" t="str" cm="1">
        <f t="array" aca="1" ref="D103" ca="1">IFERROR(INDEX(_xlfn.ANCHORARRAY($AA$11),ROW()-10,4),"")</f>
        <v/>
      </c>
      <c r="E103" s="4" t="str" cm="1">
        <f t="array" aca="1" ref="E103" ca="1">IFERROR(INDEX(_xlfn.ANCHORARRAY($AA$11),ROW()-10,5),"")</f>
        <v/>
      </c>
      <c r="F103" s="15" t="str" cm="1">
        <f t="array" aca="1" ref="F103" ca="1">IFERROR(INDEX(_xlfn.ANCHORARRAY($AA$11),ROW()-10,6),"")</f>
        <v/>
      </c>
      <c r="G103" s="4" t="str" cm="1">
        <f t="array" aca="1" ref="G103" ca="1">IFERROR(INDEX(_xlfn.ANCHORARRAY($AA$11),ROW()-10,7),"")</f>
        <v/>
      </c>
      <c r="H103" s="4" t="str" cm="1">
        <f t="array" aca="1" ref="H103" ca="1">IFERROR(INDEX(_xlfn.ANCHORARRAY($AA$11),ROW()-10,8),"")</f>
        <v/>
      </c>
      <c r="I103" s="4" t="str" cm="1">
        <f t="array" aca="1" ref="I103" ca="1">IFERROR(INDEX(_xlfn.ANCHORARRAY($AA$11),ROW()-10,9),"")</f>
        <v/>
      </c>
      <c r="J103" s="4" t="str">
        <f t="shared" ca="1" si="6"/>
        <v/>
      </c>
      <c r="K103" s="4" t="str">
        <f t="shared" ca="1" si="7"/>
        <v/>
      </c>
      <c r="L103" s="4" t="str" cm="1">
        <f t="array" aca="1" ref="L103" ca="1">_xlfn.LET(_xlpm.link,IFERROR(INDEX(_xlfn.ANCHORARRAY($AA$11),ROW()-10,12),""),IF(_xlpm.link="","",HYPERLINK(_xlpm.link,"Bluecore/Attentive")))</f>
        <v/>
      </c>
      <c r="M103" s="88" t="str">
        <f t="shared" ca="1" si="8"/>
        <v/>
      </c>
      <c r="N103" s="7"/>
      <c r="O103" s="7"/>
      <c r="P103" s="7"/>
      <c r="Q103" s="7"/>
      <c r="R103" s="7"/>
      <c r="S103" s="6"/>
      <c r="T103" s="6"/>
      <c r="U103" s="6"/>
      <c r="V103" s="6"/>
      <c r="W103" s="6"/>
      <c r="X103" s="6"/>
      <c r="Y103" s="6"/>
      <c r="Z103" s="6"/>
      <c r="AA103" s="32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34" t="str" cm="1">
        <f t="array" aca="1" ref="A104" ca="1">IFERROR(INDEX(_xlfn.ANCHORARRAY($AA$11),ROW()-10,1),"")</f>
        <v/>
      </c>
      <c r="B104" s="20" t="str" cm="1">
        <f t="array" aca="1" ref="B104" ca="1">IFERROR(INDEX(_xlfn.ANCHORARRAY($AA$11),ROW()-10,2),"")</f>
        <v/>
      </c>
      <c r="C104" s="4" t="str" cm="1">
        <f t="array" aca="1" ref="C104" ca="1">IFERROR(INDEX(_xlfn.ANCHORARRAY($AA$11),ROW()-10,3),"")</f>
        <v/>
      </c>
      <c r="D104" s="15" t="str" cm="1">
        <f t="array" aca="1" ref="D104" ca="1">IFERROR(INDEX(_xlfn.ANCHORARRAY($AA$11),ROW()-10,4),"")</f>
        <v/>
      </c>
      <c r="E104" s="4" t="str" cm="1">
        <f t="array" aca="1" ref="E104" ca="1">IFERROR(INDEX(_xlfn.ANCHORARRAY($AA$11),ROW()-10,5),"")</f>
        <v/>
      </c>
      <c r="F104" s="15" t="str" cm="1">
        <f t="array" aca="1" ref="F104" ca="1">IFERROR(INDEX(_xlfn.ANCHORARRAY($AA$11),ROW()-10,6),"")</f>
        <v/>
      </c>
      <c r="G104" s="4" t="str" cm="1">
        <f t="array" aca="1" ref="G104" ca="1">IFERROR(INDEX(_xlfn.ANCHORARRAY($AA$11),ROW()-10,7),"")</f>
        <v/>
      </c>
      <c r="H104" s="4" t="str" cm="1">
        <f t="array" aca="1" ref="H104" ca="1">IFERROR(INDEX(_xlfn.ANCHORARRAY($AA$11),ROW()-10,8),"")</f>
        <v/>
      </c>
      <c r="I104" s="4" t="str" cm="1">
        <f t="array" aca="1" ref="I104" ca="1">IFERROR(INDEX(_xlfn.ANCHORARRAY($AA$11),ROW()-10,9),"")</f>
        <v/>
      </c>
      <c r="J104" s="4" t="str">
        <f t="shared" ca="1" si="6"/>
        <v/>
      </c>
      <c r="K104" s="4" t="str">
        <f t="shared" ca="1" si="7"/>
        <v/>
      </c>
      <c r="L104" s="4" t="str" cm="1">
        <f t="array" aca="1" ref="L104" ca="1">_xlfn.LET(_xlpm.link,IFERROR(INDEX(_xlfn.ANCHORARRAY($AA$11),ROW()-10,12),""),IF(_xlpm.link="","",HYPERLINK(_xlpm.link,"Bluecore/Attentive")))</f>
        <v/>
      </c>
      <c r="M104" s="89" t="str">
        <f t="shared" ca="1" si="8"/>
        <v/>
      </c>
      <c r="N104" s="7"/>
      <c r="O104" s="7"/>
      <c r="P104" s="7"/>
      <c r="Q104" s="7"/>
      <c r="R104" s="7"/>
      <c r="S104" s="6"/>
      <c r="T104" s="6"/>
      <c r="U104" s="6"/>
      <c r="V104" s="6"/>
      <c r="W104" s="6"/>
      <c r="X104" s="6"/>
      <c r="Y104" s="6"/>
      <c r="Z104" s="6"/>
      <c r="AA104" s="32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34" t="str" cm="1">
        <f t="array" aca="1" ref="A105" ca="1">IFERROR(INDEX(_xlfn.ANCHORARRAY($AA$11),ROW()-10,1),"")</f>
        <v/>
      </c>
      <c r="B105" s="20" t="str" cm="1">
        <f t="array" aca="1" ref="B105" ca="1">IFERROR(INDEX(_xlfn.ANCHORARRAY($AA$11),ROW()-10,2),"")</f>
        <v/>
      </c>
      <c r="C105" s="4" t="str" cm="1">
        <f t="array" aca="1" ref="C105" ca="1">IFERROR(INDEX(_xlfn.ANCHORARRAY($AA$11),ROW()-10,3),"")</f>
        <v/>
      </c>
      <c r="D105" s="15" t="str" cm="1">
        <f t="array" aca="1" ref="D105" ca="1">IFERROR(INDEX(_xlfn.ANCHORARRAY($AA$11),ROW()-10,4),"")</f>
        <v/>
      </c>
      <c r="E105" s="4" t="str" cm="1">
        <f t="array" aca="1" ref="E105" ca="1">IFERROR(INDEX(_xlfn.ANCHORARRAY($AA$11),ROW()-10,5),"")</f>
        <v/>
      </c>
      <c r="F105" s="15" t="str" cm="1">
        <f t="array" aca="1" ref="F105" ca="1">IFERROR(INDEX(_xlfn.ANCHORARRAY($AA$11),ROW()-10,6),"")</f>
        <v/>
      </c>
      <c r="G105" s="4" t="str" cm="1">
        <f t="array" aca="1" ref="G105" ca="1">IFERROR(INDEX(_xlfn.ANCHORARRAY($AA$11),ROW()-10,7),"")</f>
        <v/>
      </c>
      <c r="H105" s="4" t="str" cm="1">
        <f t="array" aca="1" ref="H105" ca="1">IFERROR(INDEX(_xlfn.ANCHORARRAY($AA$11),ROW()-10,8),"")</f>
        <v/>
      </c>
      <c r="I105" s="4" t="str" cm="1">
        <f t="array" aca="1" ref="I105" ca="1">IFERROR(INDEX(_xlfn.ANCHORARRAY($AA$11),ROW()-10,9),"")</f>
        <v/>
      </c>
      <c r="J105" s="4" t="str">
        <f t="shared" ca="1" si="6"/>
        <v/>
      </c>
      <c r="K105" s="4" t="str">
        <f t="shared" ca="1" si="7"/>
        <v/>
      </c>
      <c r="L105" s="4" t="str" cm="1">
        <f t="array" aca="1" ref="L105" ca="1">_xlfn.LET(_xlpm.link,IFERROR(INDEX(_xlfn.ANCHORARRAY($AA$11),ROW()-10,12),""),IF(_xlpm.link="","",HYPERLINK(_xlpm.link,"Bluecore/Attentive")))</f>
        <v/>
      </c>
      <c r="M105" s="88" t="str">
        <f t="shared" ca="1" si="8"/>
        <v/>
      </c>
      <c r="N105" s="7"/>
      <c r="O105" s="7"/>
      <c r="P105" s="7"/>
      <c r="Q105" s="7"/>
      <c r="R105" s="7"/>
      <c r="S105" s="6"/>
      <c r="T105" s="6"/>
      <c r="U105" s="6"/>
      <c r="V105" s="6"/>
      <c r="W105" s="6"/>
      <c r="X105" s="6"/>
      <c r="Y105" s="6"/>
      <c r="Z105" s="6"/>
      <c r="AA105" s="32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34" t="str" cm="1">
        <f t="array" aca="1" ref="A106" ca="1">IFERROR(INDEX(_xlfn.ANCHORARRAY($AA$11),ROW()-10,1),"")</f>
        <v/>
      </c>
      <c r="B106" s="20" t="str" cm="1">
        <f t="array" aca="1" ref="B106" ca="1">IFERROR(INDEX(_xlfn.ANCHORARRAY($AA$11),ROW()-10,2),"")</f>
        <v/>
      </c>
      <c r="C106" s="4" t="str" cm="1">
        <f t="array" aca="1" ref="C106" ca="1">IFERROR(INDEX(_xlfn.ANCHORARRAY($AA$11),ROW()-10,3),"")</f>
        <v/>
      </c>
      <c r="D106" s="15" t="str" cm="1">
        <f t="array" aca="1" ref="D106" ca="1">IFERROR(INDEX(_xlfn.ANCHORARRAY($AA$11),ROW()-10,4),"")</f>
        <v/>
      </c>
      <c r="E106" s="4" t="str" cm="1">
        <f t="array" aca="1" ref="E106" ca="1">IFERROR(INDEX(_xlfn.ANCHORARRAY($AA$11),ROW()-10,5),"")</f>
        <v/>
      </c>
      <c r="F106" s="15" t="str" cm="1">
        <f t="array" aca="1" ref="F106" ca="1">IFERROR(INDEX(_xlfn.ANCHORARRAY($AA$11),ROW()-10,6),"")</f>
        <v/>
      </c>
      <c r="G106" s="4" t="str" cm="1">
        <f t="array" aca="1" ref="G106" ca="1">IFERROR(INDEX(_xlfn.ANCHORARRAY($AA$11),ROW()-10,7),"")</f>
        <v/>
      </c>
      <c r="H106" s="4" t="str" cm="1">
        <f t="array" aca="1" ref="H106" ca="1">IFERROR(INDEX(_xlfn.ANCHORARRAY($AA$11),ROW()-10,8),"")</f>
        <v/>
      </c>
      <c r="I106" s="4" t="str" cm="1">
        <f t="array" aca="1" ref="I106" ca="1">IFERROR(INDEX(_xlfn.ANCHORARRAY($AA$11),ROW()-10,9),"")</f>
        <v/>
      </c>
      <c r="J106" s="4" t="str">
        <f t="shared" ca="1" si="6"/>
        <v/>
      </c>
      <c r="K106" s="4" t="str">
        <f t="shared" ca="1" si="7"/>
        <v/>
      </c>
      <c r="L106" s="4" t="str" cm="1">
        <f t="array" aca="1" ref="L106" ca="1">_xlfn.LET(_xlpm.link,IFERROR(INDEX(_xlfn.ANCHORARRAY($AA$11),ROW()-10,12),""),IF(_xlpm.link="","",HYPERLINK(_xlpm.link,"Bluecore/Attentive")))</f>
        <v/>
      </c>
      <c r="M106" s="89" t="str">
        <f t="shared" ca="1" si="8"/>
        <v/>
      </c>
      <c r="N106" s="7"/>
      <c r="O106" s="7"/>
      <c r="P106" s="7"/>
      <c r="Q106" s="7"/>
      <c r="R106" s="7"/>
      <c r="S106" s="6"/>
      <c r="T106" s="6"/>
      <c r="U106" s="6"/>
      <c r="V106" s="6"/>
      <c r="W106" s="6"/>
      <c r="X106" s="6"/>
      <c r="Y106" s="6"/>
      <c r="Z106" s="6"/>
      <c r="AA106" s="32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34" t="str" cm="1">
        <f t="array" aca="1" ref="A107" ca="1">IFERROR(INDEX(_xlfn.ANCHORARRAY($AA$11),ROW()-10,1),"")</f>
        <v/>
      </c>
      <c r="B107" s="20" t="str" cm="1">
        <f t="array" aca="1" ref="B107" ca="1">IFERROR(INDEX(_xlfn.ANCHORARRAY($AA$11),ROW()-10,2),"")</f>
        <v/>
      </c>
      <c r="C107" s="4" t="str" cm="1">
        <f t="array" aca="1" ref="C107" ca="1">IFERROR(INDEX(_xlfn.ANCHORARRAY($AA$11),ROW()-10,3),"")</f>
        <v/>
      </c>
      <c r="D107" s="15" t="str" cm="1">
        <f t="array" aca="1" ref="D107" ca="1">IFERROR(INDEX(_xlfn.ANCHORARRAY($AA$11),ROW()-10,4),"")</f>
        <v/>
      </c>
      <c r="E107" s="4" t="str" cm="1">
        <f t="array" aca="1" ref="E107" ca="1">IFERROR(INDEX(_xlfn.ANCHORARRAY($AA$11),ROW()-10,5),"")</f>
        <v/>
      </c>
      <c r="F107" s="15" t="str" cm="1">
        <f t="array" aca="1" ref="F107" ca="1">IFERROR(INDEX(_xlfn.ANCHORARRAY($AA$11),ROW()-10,6),"")</f>
        <v/>
      </c>
      <c r="G107" s="4" t="str" cm="1">
        <f t="array" aca="1" ref="G107" ca="1">IFERROR(INDEX(_xlfn.ANCHORARRAY($AA$11),ROW()-10,7),"")</f>
        <v/>
      </c>
      <c r="H107" s="4" t="str" cm="1">
        <f t="array" aca="1" ref="H107" ca="1">IFERROR(INDEX(_xlfn.ANCHORARRAY($AA$11),ROW()-10,8),"")</f>
        <v/>
      </c>
      <c r="I107" s="4" t="str" cm="1">
        <f t="array" aca="1" ref="I107" ca="1">IFERROR(INDEX(_xlfn.ANCHORARRAY($AA$11),ROW()-10,9),"")</f>
        <v/>
      </c>
      <c r="J107" s="4" t="str">
        <f t="shared" ref="J107:J138" ca="1" si="9">_xlfn.LET(_xlpm.ch,IFERROR(INDEX(_xlfn.ANCHORARRAY($AA$11),ROW()-10,3),""),_xlpm.link,IFERROR(INDEX(_xlfn.ANCHORARRAY($AA$11),ROW()-10,10),""),IF(OR(_xlpm.link="",_xlpm.ch="SMS"),"",HYPERLINK(_xlpm.link,"JIRA")))</f>
        <v/>
      </c>
      <c r="K107" s="4" t="str">
        <f t="shared" ref="K107:K138" ca="1" si="10">_xlfn.LET(_xlpm.ch,IFERROR(INDEX(_xlfn.ANCHORARRAY($AA$11),ROW()-10,3),""),_xlpm.link,IFERROR(INDEX(_xlfn.ANCHORARRAY($AA$11),ROW()-10,11),""),IF(OR(_xlpm.link="",_xlpm.ch="SMS"),"",HYPERLINK(_xlpm.link,"ClickUp")))</f>
        <v/>
      </c>
      <c r="L107" s="4" t="str" cm="1">
        <f t="array" aca="1" ref="L107" ca="1">_xlfn.LET(_xlpm.link,IFERROR(INDEX(_xlfn.ANCHORARRAY($AA$11),ROW()-10,12),""),IF(_xlpm.link="","",HYPERLINK(_xlpm.link,"Bluecore/Attentive")))</f>
        <v/>
      </c>
      <c r="M107" s="88" t="str">
        <f t="shared" ref="M107:M138" ca="1" si="11">_xlfn.LET(_xlpm.sendDate,$A107,_xlpm.camp,$D107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07" s="7"/>
      <c r="O107" s="7"/>
      <c r="P107" s="7"/>
      <c r="Q107" s="7"/>
      <c r="R107" s="7"/>
      <c r="S107" s="6"/>
      <c r="T107" s="6"/>
      <c r="U107" s="6"/>
      <c r="V107" s="6"/>
      <c r="W107" s="6"/>
      <c r="X107" s="6"/>
      <c r="Y107" s="6"/>
      <c r="Z107" s="6"/>
      <c r="AA107" s="32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34" t="str" cm="1">
        <f t="array" aca="1" ref="A108" ca="1">IFERROR(INDEX(_xlfn.ANCHORARRAY($AA$11),ROW()-10,1),"")</f>
        <v/>
      </c>
      <c r="B108" s="20" t="str" cm="1">
        <f t="array" aca="1" ref="B108" ca="1">IFERROR(INDEX(_xlfn.ANCHORARRAY($AA$11),ROW()-10,2),"")</f>
        <v/>
      </c>
      <c r="C108" s="4" t="str" cm="1">
        <f t="array" aca="1" ref="C108" ca="1">IFERROR(INDEX(_xlfn.ANCHORARRAY($AA$11),ROW()-10,3),"")</f>
        <v/>
      </c>
      <c r="D108" s="15" t="str" cm="1">
        <f t="array" aca="1" ref="D108" ca="1">IFERROR(INDEX(_xlfn.ANCHORARRAY($AA$11),ROW()-10,4),"")</f>
        <v/>
      </c>
      <c r="E108" s="4" t="str" cm="1">
        <f t="array" aca="1" ref="E108" ca="1">IFERROR(INDEX(_xlfn.ANCHORARRAY($AA$11),ROW()-10,5),"")</f>
        <v/>
      </c>
      <c r="F108" s="15" t="str" cm="1">
        <f t="array" aca="1" ref="F108" ca="1">IFERROR(INDEX(_xlfn.ANCHORARRAY($AA$11),ROW()-10,6),"")</f>
        <v/>
      </c>
      <c r="G108" s="4" t="str" cm="1">
        <f t="array" aca="1" ref="G108" ca="1">IFERROR(INDEX(_xlfn.ANCHORARRAY($AA$11),ROW()-10,7),"")</f>
        <v/>
      </c>
      <c r="H108" s="4" t="str" cm="1">
        <f t="array" aca="1" ref="H108" ca="1">IFERROR(INDEX(_xlfn.ANCHORARRAY($AA$11),ROW()-10,8),"")</f>
        <v/>
      </c>
      <c r="I108" s="4" t="str" cm="1">
        <f t="array" aca="1" ref="I108" ca="1">IFERROR(INDEX(_xlfn.ANCHORARRAY($AA$11),ROW()-10,9),"")</f>
        <v/>
      </c>
      <c r="J108" s="4" t="str">
        <f t="shared" ca="1" si="9"/>
        <v/>
      </c>
      <c r="K108" s="4" t="str">
        <f t="shared" ca="1" si="10"/>
        <v/>
      </c>
      <c r="L108" s="4" t="str" cm="1">
        <f t="array" aca="1" ref="L108" ca="1">_xlfn.LET(_xlpm.link,IFERROR(INDEX(_xlfn.ANCHORARRAY($AA$11),ROW()-10,12),""),IF(_xlpm.link="","",HYPERLINK(_xlpm.link,"Bluecore/Attentive")))</f>
        <v/>
      </c>
      <c r="M108" s="89" t="str">
        <f t="shared" ca="1" si="11"/>
        <v/>
      </c>
      <c r="N108" s="7"/>
      <c r="O108" s="7"/>
      <c r="P108" s="7"/>
      <c r="Q108" s="7"/>
      <c r="R108" s="7"/>
      <c r="S108" s="6"/>
      <c r="T108" s="6"/>
      <c r="U108" s="6"/>
      <c r="V108" s="6"/>
      <c r="W108" s="6"/>
      <c r="X108" s="6"/>
      <c r="Y108" s="6"/>
      <c r="Z108" s="6"/>
      <c r="AA108" s="32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34" t="str" cm="1">
        <f t="array" aca="1" ref="A109" ca="1">IFERROR(INDEX(_xlfn.ANCHORARRAY($AA$11),ROW()-10,1),"")</f>
        <v/>
      </c>
      <c r="B109" s="20" t="str" cm="1">
        <f t="array" aca="1" ref="B109" ca="1">IFERROR(INDEX(_xlfn.ANCHORARRAY($AA$11),ROW()-10,2),"")</f>
        <v/>
      </c>
      <c r="C109" s="4" t="str" cm="1">
        <f t="array" aca="1" ref="C109" ca="1">IFERROR(INDEX(_xlfn.ANCHORARRAY($AA$11),ROW()-10,3),"")</f>
        <v/>
      </c>
      <c r="D109" s="15" t="str" cm="1">
        <f t="array" aca="1" ref="D109" ca="1">IFERROR(INDEX(_xlfn.ANCHORARRAY($AA$11),ROW()-10,4),"")</f>
        <v/>
      </c>
      <c r="E109" s="4" t="str" cm="1">
        <f t="array" aca="1" ref="E109" ca="1">IFERROR(INDEX(_xlfn.ANCHORARRAY($AA$11),ROW()-10,5),"")</f>
        <v/>
      </c>
      <c r="F109" s="15" t="str" cm="1">
        <f t="array" aca="1" ref="F109" ca="1">IFERROR(INDEX(_xlfn.ANCHORARRAY($AA$11),ROW()-10,6),"")</f>
        <v/>
      </c>
      <c r="G109" s="4" t="str" cm="1">
        <f t="array" aca="1" ref="G109" ca="1">IFERROR(INDEX(_xlfn.ANCHORARRAY($AA$11),ROW()-10,7),"")</f>
        <v/>
      </c>
      <c r="H109" s="4" t="str" cm="1">
        <f t="array" aca="1" ref="H109" ca="1">IFERROR(INDEX(_xlfn.ANCHORARRAY($AA$11),ROW()-10,8),"")</f>
        <v/>
      </c>
      <c r="I109" s="4" t="str" cm="1">
        <f t="array" aca="1" ref="I109" ca="1">IFERROR(INDEX(_xlfn.ANCHORARRAY($AA$11),ROW()-10,9),"")</f>
        <v/>
      </c>
      <c r="J109" s="4" t="str">
        <f t="shared" ca="1" si="9"/>
        <v/>
      </c>
      <c r="K109" s="4" t="str">
        <f t="shared" ca="1" si="10"/>
        <v/>
      </c>
      <c r="L109" s="4" t="str" cm="1">
        <f t="array" aca="1" ref="L109" ca="1">_xlfn.LET(_xlpm.link,IFERROR(INDEX(_xlfn.ANCHORARRAY($AA$11),ROW()-10,12),""),IF(_xlpm.link="","",HYPERLINK(_xlpm.link,"Bluecore/Attentive")))</f>
        <v/>
      </c>
      <c r="M109" s="88" t="str">
        <f t="shared" ca="1" si="11"/>
        <v/>
      </c>
      <c r="N109" s="7"/>
      <c r="O109" s="7"/>
      <c r="P109" s="7"/>
      <c r="Q109" s="7"/>
      <c r="R109" s="7"/>
      <c r="S109" s="6"/>
      <c r="T109" s="6"/>
      <c r="U109" s="6"/>
      <c r="V109" s="6"/>
      <c r="W109" s="6"/>
      <c r="X109" s="6"/>
      <c r="Y109" s="6"/>
      <c r="Z109" s="6"/>
      <c r="AA109" s="32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34" t="str" cm="1">
        <f t="array" aca="1" ref="A110" ca="1">IFERROR(INDEX(_xlfn.ANCHORARRAY($AA$11),ROW()-10,1),"")</f>
        <v/>
      </c>
      <c r="B110" s="20" t="str" cm="1">
        <f t="array" aca="1" ref="B110" ca="1">IFERROR(INDEX(_xlfn.ANCHORARRAY($AA$11),ROW()-10,2),"")</f>
        <v/>
      </c>
      <c r="C110" s="4" t="str" cm="1">
        <f t="array" aca="1" ref="C110" ca="1">IFERROR(INDEX(_xlfn.ANCHORARRAY($AA$11),ROW()-10,3),"")</f>
        <v/>
      </c>
      <c r="D110" s="15" t="str" cm="1">
        <f t="array" aca="1" ref="D110" ca="1">IFERROR(INDEX(_xlfn.ANCHORARRAY($AA$11),ROW()-10,4),"")</f>
        <v/>
      </c>
      <c r="E110" s="4" t="str" cm="1">
        <f t="array" aca="1" ref="E110" ca="1">IFERROR(INDEX(_xlfn.ANCHORARRAY($AA$11),ROW()-10,5),"")</f>
        <v/>
      </c>
      <c r="F110" s="15" t="str" cm="1">
        <f t="array" aca="1" ref="F110" ca="1">IFERROR(INDEX(_xlfn.ANCHORARRAY($AA$11),ROW()-10,6),"")</f>
        <v/>
      </c>
      <c r="G110" s="4" t="str" cm="1">
        <f t="array" aca="1" ref="G110" ca="1">IFERROR(INDEX(_xlfn.ANCHORARRAY($AA$11),ROW()-10,7),"")</f>
        <v/>
      </c>
      <c r="H110" s="4" t="str" cm="1">
        <f t="array" aca="1" ref="H110" ca="1">IFERROR(INDEX(_xlfn.ANCHORARRAY($AA$11),ROW()-10,8),"")</f>
        <v/>
      </c>
      <c r="I110" s="4" t="str" cm="1">
        <f t="array" aca="1" ref="I110" ca="1">IFERROR(INDEX(_xlfn.ANCHORARRAY($AA$11),ROW()-10,9),"")</f>
        <v/>
      </c>
      <c r="J110" s="4" t="str">
        <f t="shared" ca="1" si="9"/>
        <v/>
      </c>
      <c r="K110" s="4" t="str">
        <f t="shared" ca="1" si="10"/>
        <v/>
      </c>
      <c r="L110" s="4" t="str" cm="1">
        <f t="array" aca="1" ref="L110" ca="1">_xlfn.LET(_xlpm.link,IFERROR(INDEX(_xlfn.ANCHORARRAY($AA$11),ROW()-10,12),""),IF(_xlpm.link="","",HYPERLINK(_xlpm.link,"Bluecore/Attentive")))</f>
        <v/>
      </c>
      <c r="M110" s="89" t="str">
        <f t="shared" ca="1" si="11"/>
        <v/>
      </c>
      <c r="N110" s="7"/>
      <c r="O110" s="7"/>
      <c r="P110" s="7"/>
      <c r="Q110" s="7"/>
      <c r="R110" s="7"/>
      <c r="S110" s="6"/>
      <c r="T110" s="6"/>
      <c r="U110" s="6"/>
      <c r="V110" s="6"/>
      <c r="W110" s="6"/>
      <c r="X110" s="6"/>
      <c r="Y110" s="6"/>
      <c r="Z110" s="6"/>
      <c r="AA110" s="32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34" t="str" cm="1">
        <f t="array" aca="1" ref="A111" ca="1">IFERROR(INDEX(_xlfn.ANCHORARRAY($AA$11),ROW()-10,1),"")</f>
        <v/>
      </c>
      <c r="B111" s="20" t="str" cm="1">
        <f t="array" aca="1" ref="B111" ca="1">IFERROR(INDEX(_xlfn.ANCHORARRAY($AA$11),ROW()-10,2),"")</f>
        <v/>
      </c>
      <c r="C111" s="4" t="str" cm="1">
        <f t="array" aca="1" ref="C111" ca="1">IFERROR(INDEX(_xlfn.ANCHORARRAY($AA$11),ROW()-10,3),"")</f>
        <v/>
      </c>
      <c r="D111" s="15" t="str" cm="1">
        <f t="array" aca="1" ref="D111" ca="1">IFERROR(INDEX(_xlfn.ANCHORARRAY($AA$11),ROW()-10,4),"")</f>
        <v/>
      </c>
      <c r="E111" s="4" t="str" cm="1">
        <f t="array" aca="1" ref="E111" ca="1">IFERROR(INDEX(_xlfn.ANCHORARRAY($AA$11),ROW()-10,5),"")</f>
        <v/>
      </c>
      <c r="F111" s="15" t="str" cm="1">
        <f t="array" aca="1" ref="F111" ca="1">IFERROR(INDEX(_xlfn.ANCHORARRAY($AA$11),ROW()-10,6),"")</f>
        <v/>
      </c>
      <c r="G111" s="4" t="str" cm="1">
        <f t="array" aca="1" ref="G111" ca="1">IFERROR(INDEX(_xlfn.ANCHORARRAY($AA$11),ROW()-10,7),"")</f>
        <v/>
      </c>
      <c r="H111" s="4" t="str" cm="1">
        <f t="array" aca="1" ref="H111" ca="1">IFERROR(INDEX(_xlfn.ANCHORARRAY($AA$11),ROW()-10,8),"")</f>
        <v/>
      </c>
      <c r="I111" s="4" t="str" cm="1">
        <f t="array" aca="1" ref="I111" ca="1">IFERROR(INDEX(_xlfn.ANCHORARRAY($AA$11),ROW()-10,9),"")</f>
        <v/>
      </c>
      <c r="J111" s="4" t="str">
        <f t="shared" ca="1" si="9"/>
        <v/>
      </c>
      <c r="K111" s="4" t="str">
        <f t="shared" ca="1" si="10"/>
        <v/>
      </c>
      <c r="L111" s="4" t="str" cm="1">
        <f t="array" aca="1" ref="L111" ca="1">_xlfn.LET(_xlpm.link,IFERROR(INDEX(_xlfn.ANCHORARRAY($AA$11),ROW()-10,12),""),IF(_xlpm.link="","",HYPERLINK(_xlpm.link,"Bluecore/Attentive")))</f>
        <v/>
      </c>
      <c r="M111" s="88" t="str">
        <f t="shared" ca="1" si="11"/>
        <v/>
      </c>
      <c r="N111" s="7"/>
      <c r="O111" s="7"/>
      <c r="P111" s="7"/>
      <c r="Q111" s="7"/>
      <c r="R111" s="7"/>
      <c r="S111" s="6"/>
      <c r="T111" s="6"/>
      <c r="U111" s="6"/>
      <c r="V111" s="6"/>
      <c r="W111" s="6"/>
      <c r="X111" s="6"/>
      <c r="Y111" s="6"/>
      <c r="Z111" s="6"/>
      <c r="AA111" s="32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34" t="str" cm="1">
        <f t="array" aca="1" ref="A112" ca="1">IFERROR(INDEX(_xlfn.ANCHORARRAY($AA$11),ROW()-10,1),"")</f>
        <v/>
      </c>
      <c r="B112" s="20" t="str" cm="1">
        <f t="array" aca="1" ref="B112" ca="1">IFERROR(INDEX(_xlfn.ANCHORARRAY($AA$11),ROW()-10,2),"")</f>
        <v/>
      </c>
      <c r="C112" s="4" t="str" cm="1">
        <f t="array" aca="1" ref="C112" ca="1">IFERROR(INDEX(_xlfn.ANCHORARRAY($AA$11),ROW()-10,3),"")</f>
        <v/>
      </c>
      <c r="D112" s="15" t="str" cm="1">
        <f t="array" aca="1" ref="D112" ca="1">IFERROR(INDEX(_xlfn.ANCHORARRAY($AA$11),ROW()-10,4),"")</f>
        <v/>
      </c>
      <c r="E112" s="4" t="str" cm="1">
        <f t="array" aca="1" ref="E112" ca="1">IFERROR(INDEX(_xlfn.ANCHORARRAY($AA$11),ROW()-10,5),"")</f>
        <v/>
      </c>
      <c r="F112" s="15" t="str" cm="1">
        <f t="array" aca="1" ref="F112" ca="1">IFERROR(INDEX(_xlfn.ANCHORARRAY($AA$11),ROW()-10,6),"")</f>
        <v/>
      </c>
      <c r="G112" s="4" t="str" cm="1">
        <f t="array" aca="1" ref="G112" ca="1">IFERROR(INDEX(_xlfn.ANCHORARRAY($AA$11),ROW()-10,7),"")</f>
        <v/>
      </c>
      <c r="H112" s="4" t="str" cm="1">
        <f t="array" aca="1" ref="H112" ca="1">IFERROR(INDEX(_xlfn.ANCHORARRAY($AA$11),ROW()-10,8),"")</f>
        <v/>
      </c>
      <c r="I112" s="4" t="str" cm="1">
        <f t="array" aca="1" ref="I112" ca="1">IFERROR(INDEX(_xlfn.ANCHORARRAY($AA$11),ROW()-10,9),"")</f>
        <v/>
      </c>
      <c r="J112" s="4" t="str">
        <f t="shared" ca="1" si="9"/>
        <v/>
      </c>
      <c r="K112" s="4" t="str">
        <f t="shared" ca="1" si="10"/>
        <v/>
      </c>
      <c r="L112" s="4" t="str" cm="1">
        <f t="array" aca="1" ref="L112" ca="1">_xlfn.LET(_xlpm.link,IFERROR(INDEX(_xlfn.ANCHORARRAY($AA$11),ROW()-10,12),""),IF(_xlpm.link="","",HYPERLINK(_xlpm.link,"Bluecore/Attentive")))</f>
        <v/>
      </c>
      <c r="M112" s="89" t="str">
        <f t="shared" ca="1" si="11"/>
        <v/>
      </c>
      <c r="N112" s="7"/>
      <c r="O112" s="7"/>
      <c r="P112" s="7"/>
      <c r="Q112" s="7"/>
      <c r="R112" s="7"/>
      <c r="S112" s="6"/>
      <c r="T112" s="6"/>
      <c r="U112" s="6"/>
      <c r="V112" s="6"/>
      <c r="W112" s="6"/>
      <c r="X112" s="6"/>
      <c r="Y112" s="6"/>
      <c r="Z112" s="6"/>
      <c r="AA112" s="3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34" t="str" cm="1">
        <f t="array" aca="1" ref="A113" ca="1">IFERROR(INDEX(_xlfn.ANCHORARRAY($AA$11),ROW()-10,1),"")</f>
        <v/>
      </c>
      <c r="B113" s="20" t="str" cm="1">
        <f t="array" aca="1" ref="B113" ca="1">IFERROR(INDEX(_xlfn.ANCHORARRAY($AA$11),ROW()-10,2),"")</f>
        <v/>
      </c>
      <c r="C113" s="4" t="str" cm="1">
        <f t="array" aca="1" ref="C113" ca="1">IFERROR(INDEX(_xlfn.ANCHORARRAY($AA$11),ROW()-10,3),"")</f>
        <v/>
      </c>
      <c r="D113" s="15" t="str" cm="1">
        <f t="array" aca="1" ref="D113" ca="1">IFERROR(INDEX(_xlfn.ANCHORARRAY($AA$11),ROW()-10,4),"")</f>
        <v/>
      </c>
      <c r="E113" s="4" t="str" cm="1">
        <f t="array" aca="1" ref="E113" ca="1">IFERROR(INDEX(_xlfn.ANCHORARRAY($AA$11),ROW()-10,5),"")</f>
        <v/>
      </c>
      <c r="F113" s="15" t="str" cm="1">
        <f t="array" aca="1" ref="F113" ca="1">IFERROR(INDEX(_xlfn.ANCHORARRAY($AA$11),ROW()-10,6),"")</f>
        <v/>
      </c>
      <c r="G113" s="4" t="str" cm="1">
        <f t="array" aca="1" ref="G113" ca="1">IFERROR(INDEX(_xlfn.ANCHORARRAY($AA$11),ROW()-10,7),"")</f>
        <v/>
      </c>
      <c r="H113" s="4" t="str" cm="1">
        <f t="array" aca="1" ref="H113" ca="1">IFERROR(INDEX(_xlfn.ANCHORARRAY($AA$11),ROW()-10,8),"")</f>
        <v/>
      </c>
      <c r="I113" s="4" t="str" cm="1">
        <f t="array" aca="1" ref="I113" ca="1">IFERROR(INDEX(_xlfn.ANCHORARRAY($AA$11),ROW()-10,9),"")</f>
        <v/>
      </c>
      <c r="J113" s="4" t="str">
        <f t="shared" ca="1" si="9"/>
        <v/>
      </c>
      <c r="K113" s="4" t="str">
        <f t="shared" ca="1" si="10"/>
        <v/>
      </c>
      <c r="L113" s="4" t="str" cm="1">
        <f t="array" aca="1" ref="L113" ca="1">_xlfn.LET(_xlpm.link,IFERROR(INDEX(_xlfn.ANCHORARRAY($AA$11),ROW()-10,12),""),IF(_xlpm.link="","",HYPERLINK(_xlpm.link,"Bluecore/Attentive")))</f>
        <v/>
      </c>
      <c r="M113" s="88" t="str">
        <f t="shared" ca="1" si="11"/>
        <v/>
      </c>
      <c r="N113" s="7"/>
      <c r="O113" s="7"/>
      <c r="P113" s="7"/>
      <c r="Q113" s="7"/>
      <c r="R113" s="7"/>
      <c r="S113" s="6"/>
      <c r="T113" s="6"/>
      <c r="U113" s="6"/>
      <c r="V113" s="6"/>
      <c r="W113" s="6"/>
      <c r="X113" s="6"/>
      <c r="Y113" s="6"/>
      <c r="Z113" s="6"/>
      <c r="AA113" s="32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34" t="str" cm="1">
        <f t="array" aca="1" ref="A114" ca="1">IFERROR(INDEX(_xlfn.ANCHORARRAY($AA$11),ROW()-10,1),"")</f>
        <v/>
      </c>
      <c r="B114" s="20" t="str" cm="1">
        <f t="array" aca="1" ref="B114" ca="1">IFERROR(INDEX(_xlfn.ANCHORARRAY($AA$11),ROW()-10,2),"")</f>
        <v/>
      </c>
      <c r="C114" s="4" t="str" cm="1">
        <f t="array" aca="1" ref="C114" ca="1">IFERROR(INDEX(_xlfn.ANCHORARRAY($AA$11),ROW()-10,3),"")</f>
        <v/>
      </c>
      <c r="D114" s="15" t="str" cm="1">
        <f t="array" aca="1" ref="D114" ca="1">IFERROR(INDEX(_xlfn.ANCHORARRAY($AA$11),ROW()-10,4),"")</f>
        <v/>
      </c>
      <c r="E114" s="4" t="str" cm="1">
        <f t="array" aca="1" ref="E114" ca="1">IFERROR(INDEX(_xlfn.ANCHORARRAY($AA$11),ROW()-10,5),"")</f>
        <v/>
      </c>
      <c r="F114" s="15" t="str" cm="1">
        <f t="array" aca="1" ref="F114" ca="1">IFERROR(INDEX(_xlfn.ANCHORARRAY($AA$11),ROW()-10,6),"")</f>
        <v/>
      </c>
      <c r="G114" s="4" t="str" cm="1">
        <f t="array" aca="1" ref="G114" ca="1">IFERROR(INDEX(_xlfn.ANCHORARRAY($AA$11),ROW()-10,7),"")</f>
        <v/>
      </c>
      <c r="H114" s="4" t="str" cm="1">
        <f t="array" aca="1" ref="H114" ca="1">IFERROR(INDEX(_xlfn.ANCHORARRAY($AA$11),ROW()-10,8),"")</f>
        <v/>
      </c>
      <c r="I114" s="4" t="str" cm="1">
        <f t="array" aca="1" ref="I114" ca="1">IFERROR(INDEX(_xlfn.ANCHORARRAY($AA$11),ROW()-10,9),"")</f>
        <v/>
      </c>
      <c r="J114" s="4" t="str">
        <f t="shared" ca="1" si="9"/>
        <v/>
      </c>
      <c r="K114" s="4" t="str">
        <f t="shared" ca="1" si="10"/>
        <v/>
      </c>
      <c r="L114" s="4" t="str" cm="1">
        <f t="array" aca="1" ref="L114" ca="1">_xlfn.LET(_xlpm.link,IFERROR(INDEX(_xlfn.ANCHORARRAY($AA$11),ROW()-10,12),""),IF(_xlpm.link="","",HYPERLINK(_xlpm.link,"Bluecore/Attentive")))</f>
        <v/>
      </c>
      <c r="M114" s="89" t="str">
        <f t="shared" ca="1" si="11"/>
        <v/>
      </c>
      <c r="N114" s="7"/>
      <c r="O114" s="7"/>
      <c r="P114" s="7"/>
      <c r="Q114" s="7"/>
      <c r="R114" s="7"/>
      <c r="S114" s="6"/>
      <c r="T114" s="6"/>
      <c r="U114" s="6"/>
      <c r="V114" s="6"/>
      <c r="W114" s="6"/>
      <c r="X114" s="6"/>
      <c r="Y114" s="6"/>
      <c r="Z114" s="6"/>
      <c r="AA114" s="32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34" t="str" cm="1">
        <f t="array" aca="1" ref="A115" ca="1">IFERROR(INDEX(_xlfn.ANCHORARRAY($AA$11),ROW()-10,1),"")</f>
        <v/>
      </c>
      <c r="B115" s="20" t="str" cm="1">
        <f t="array" aca="1" ref="B115" ca="1">IFERROR(INDEX(_xlfn.ANCHORARRAY($AA$11),ROW()-10,2),"")</f>
        <v/>
      </c>
      <c r="C115" s="4" t="str" cm="1">
        <f t="array" aca="1" ref="C115" ca="1">IFERROR(INDEX(_xlfn.ANCHORARRAY($AA$11),ROW()-10,3),"")</f>
        <v/>
      </c>
      <c r="D115" s="15" t="str" cm="1">
        <f t="array" aca="1" ref="D115" ca="1">IFERROR(INDEX(_xlfn.ANCHORARRAY($AA$11),ROW()-10,4),"")</f>
        <v/>
      </c>
      <c r="E115" s="4" t="str" cm="1">
        <f t="array" aca="1" ref="E115" ca="1">IFERROR(INDEX(_xlfn.ANCHORARRAY($AA$11),ROW()-10,5),"")</f>
        <v/>
      </c>
      <c r="F115" s="15" t="str" cm="1">
        <f t="array" aca="1" ref="F115" ca="1">IFERROR(INDEX(_xlfn.ANCHORARRAY($AA$11),ROW()-10,6),"")</f>
        <v/>
      </c>
      <c r="G115" s="4" t="str" cm="1">
        <f t="array" aca="1" ref="G115" ca="1">IFERROR(INDEX(_xlfn.ANCHORARRAY($AA$11),ROW()-10,7),"")</f>
        <v/>
      </c>
      <c r="H115" s="4" t="str" cm="1">
        <f t="array" aca="1" ref="H115" ca="1">IFERROR(INDEX(_xlfn.ANCHORARRAY($AA$11),ROW()-10,8),"")</f>
        <v/>
      </c>
      <c r="I115" s="4" t="str" cm="1">
        <f t="array" aca="1" ref="I115" ca="1">IFERROR(INDEX(_xlfn.ANCHORARRAY($AA$11),ROW()-10,9),"")</f>
        <v/>
      </c>
      <c r="J115" s="4" t="str">
        <f t="shared" ca="1" si="9"/>
        <v/>
      </c>
      <c r="K115" s="4" t="str">
        <f t="shared" ca="1" si="10"/>
        <v/>
      </c>
      <c r="L115" s="4" t="str" cm="1">
        <f t="array" aca="1" ref="L115" ca="1">_xlfn.LET(_xlpm.link,IFERROR(INDEX(_xlfn.ANCHORARRAY($AA$11),ROW()-10,12),""),IF(_xlpm.link="","",HYPERLINK(_xlpm.link,"Bluecore/Attentive")))</f>
        <v/>
      </c>
      <c r="M115" s="88" t="str">
        <f t="shared" ca="1" si="11"/>
        <v/>
      </c>
      <c r="N115" s="7"/>
      <c r="O115" s="7"/>
      <c r="P115" s="7"/>
      <c r="Q115" s="7"/>
      <c r="R115" s="7"/>
      <c r="S115" s="6"/>
      <c r="T115" s="6"/>
      <c r="U115" s="6"/>
      <c r="V115" s="6"/>
      <c r="W115" s="6"/>
      <c r="X115" s="6"/>
      <c r="Y115" s="6"/>
      <c r="Z115" s="6"/>
      <c r="AA115" s="32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34" t="str" cm="1">
        <f t="array" aca="1" ref="A116" ca="1">IFERROR(INDEX(_xlfn.ANCHORARRAY($AA$11),ROW()-10,1),"")</f>
        <v/>
      </c>
      <c r="B116" s="20" t="str" cm="1">
        <f t="array" aca="1" ref="B116" ca="1">IFERROR(INDEX(_xlfn.ANCHORARRAY($AA$11),ROW()-10,2),"")</f>
        <v/>
      </c>
      <c r="C116" s="4" t="str" cm="1">
        <f t="array" aca="1" ref="C116" ca="1">IFERROR(INDEX(_xlfn.ANCHORARRAY($AA$11),ROW()-10,3),"")</f>
        <v/>
      </c>
      <c r="D116" s="15" t="str" cm="1">
        <f t="array" aca="1" ref="D116" ca="1">IFERROR(INDEX(_xlfn.ANCHORARRAY($AA$11),ROW()-10,4),"")</f>
        <v/>
      </c>
      <c r="E116" s="4" t="str" cm="1">
        <f t="array" aca="1" ref="E116" ca="1">IFERROR(INDEX(_xlfn.ANCHORARRAY($AA$11),ROW()-10,5),"")</f>
        <v/>
      </c>
      <c r="F116" s="15" t="str" cm="1">
        <f t="array" aca="1" ref="F116" ca="1">IFERROR(INDEX(_xlfn.ANCHORARRAY($AA$11),ROW()-10,6),"")</f>
        <v/>
      </c>
      <c r="G116" s="4" t="str" cm="1">
        <f t="array" aca="1" ref="G116" ca="1">IFERROR(INDEX(_xlfn.ANCHORARRAY($AA$11),ROW()-10,7),"")</f>
        <v/>
      </c>
      <c r="H116" s="4" t="str" cm="1">
        <f t="array" aca="1" ref="H116" ca="1">IFERROR(INDEX(_xlfn.ANCHORARRAY($AA$11),ROW()-10,8),"")</f>
        <v/>
      </c>
      <c r="I116" s="4" t="str" cm="1">
        <f t="array" aca="1" ref="I116" ca="1">IFERROR(INDEX(_xlfn.ANCHORARRAY($AA$11),ROW()-10,9),"")</f>
        <v/>
      </c>
      <c r="J116" s="4" t="str">
        <f t="shared" ca="1" si="9"/>
        <v/>
      </c>
      <c r="K116" s="4" t="str">
        <f t="shared" ca="1" si="10"/>
        <v/>
      </c>
      <c r="L116" s="4" t="str" cm="1">
        <f t="array" aca="1" ref="L116" ca="1">_xlfn.LET(_xlpm.link,IFERROR(INDEX(_xlfn.ANCHORARRAY($AA$11),ROW()-10,12),""),IF(_xlpm.link="","",HYPERLINK(_xlpm.link,"Bluecore/Attentive")))</f>
        <v/>
      </c>
      <c r="M116" s="89" t="str">
        <f t="shared" ca="1" si="11"/>
        <v/>
      </c>
      <c r="N116" s="7"/>
      <c r="O116" s="7"/>
      <c r="P116" s="7"/>
      <c r="Q116" s="7"/>
      <c r="R116" s="7"/>
      <c r="S116" s="6"/>
      <c r="T116" s="6"/>
      <c r="U116" s="6"/>
      <c r="V116" s="6"/>
      <c r="W116" s="6"/>
      <c r="X116" s="6"/>
      <c r="Y116" s="6"/>
      <c r="Z116" s="6"/>
      <c r="AA116" s="32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34" t="str" cm="1">
        <f t="array" aca="1" ref="A117" ca="1">IFERROR(INDEX(_xlfn.ANCHORARRAY($AA$11),ROW()-10,1),"")</f>
        <v/>
      </c>
      <c r="B117" s="20" t="str" cm="1">
        <f t="array" aca="1" ref="B117" ca="1">IFERROR(INDEX(_xlfn.ANCHORARRAY($AA$11),ROW()-10,2),"")</f>
        <v/>
      </c>
      <c r="C117" s="4" t="str" cm="1">
        <f t="array" aca="1" ref="C117" ca="1">IFERROR(INDEX(_xlfn.ANCHORARRAY($AA$11),ROW()-10,3),"")</f>
        <v/>
      </c>
      <c r="D117" s="15" t="str" cm="1">
        <f t="array" aca="1" ref="D117" ca="1">IFERROR(INDEX(_xlfn.ANCHORARRAY($AA$11),ROW()-10,4),"")</f>
        <v/>
      </c>
      <c r="E117" s="4" t="str" cm="1">
        <f t="array" aca="1" ref="E117" ca="1">IFERROR(INDEX(_xlfn.ANCHORARRAY($AA$11),ROW()-10,5),"")</f>
        <v/>
      </c>
      <c r="F117" s="15" t="str" cm="1">
        <f t="array" aca="1" ref="F117" ca="1">IFERROR(INDEX(_xlfn.ANCHORARRAY($AA$11),ROW()-10,6),"")</f>
        <v/>
      </c>
      <c r="G117" s="4" t="str" cm="1">
        <f t="array" aca="1" ref="G117" ca="1">IFERROR(INDEX(_xlfn.ANCHORARRAY($AA$11),ROW()-10,7),"")</f>
        <v/>
      </c>
      <c r="H117" s="4" t="str" cm="1">
        <f t="array" aca="1" ref="H117" ca="1">IFERROR(INDEX(_xlfn.ANCHORARRAY($AA$11),ROW()-10,8),"")</f>
        <v/>
      </c>
      <c r="I117" s="4" t="str" cm="1">
        <f t="array" aca="1" ref="I117" ca="1">IFERROR(INDEX(_xlfn.ANCHORARRAY($AA$11),ROW()-10,9),"")</f>
        <v/>
      </c>
      <c r="J117" s="4" t="str">
        <f t="shared" ca="1" si="9"/>
        <v/>
      </c>
      <c r="K117" s="4" t="str">
        <f t="shared" ca="1" si="10"/>
        <v/>
      </c>
      <c r="L117" s="4" t="str" cm="1">
        <f t="array" aca="1" ref="L117" ca="1">_xlfn.LET(_xlpm.link,IFERROR(INDEX(_xlfn.ANCHORARRAY($AA$11),ROW()-10,12),""),IF(_xlpm.link="","",HYPERLINK(_xlpm.link,"Bluecore/Attentive")))</f>
        <v/>
      </c>
      <c r="M117" s="88" t="str">
        <f t="shared" ca="1" si="11"/>
        <v/>
      </c>
      <c r="N117" s="7"/>
      <c r="O117" s="7"/>
      <c r="P117" s="7"/>
      <c r="Q117" s="7"/>
      <c r="R117" s="7"/>
      <c r="S117" s="6"/>
      <c r="T117" s="6"/>
      <c r="U117" s="6"/>
      <c r="V117" s="6"/>
      <c r="W117" s="6"/>
      <c r="X117" s="6"/>
      <c r="Y117" s="6"/>
      <c r="Z117" s="6"/>
      <c r="AA117" s="32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34" t="str" cm="1">
        <f t="array" aca="1" ref="A118" ca="1">IFERROR(INDEX(_xlfn.ANCHORARRAY($AA$11),ROW()-10,1),"")</f>
        <v/>
      </c>
      <c r="B118" s="20" t="str" cm="1">
        <f t="array" aca="1" ref="B118" ca="1">IFERROR(INDEX(_xlfn.ANCHORARRAY($AA$11),ROW()-10,2),"")</f>
        <v/>
      </c>
      <c r="C118" s="4" t="str" cm="1">
        <f t="array" aca="1" ref="C118" ca="1">IFERROR(INDEX(_xlfn.ANCHORARRAY($AA$11),ROW()-10,3),"")</f>
        <v/>
      </c>
      <c r="D118" s="15" t="str" cm="1">
        <f t="array" aca="1" ref="D118" ca="1">IFERROR(INDEX(_xlfn.ANCHORARRAY($AA$11),ROW()-10,4),"")</f>
        <v/>
      </c>
      <c r="E118" s="4" t="str" cm="1">
        <f t="array" aca="1" ref="E118" ca="1">IFERROR(INDEX(_xlfn.ANCHORARRAY($AA$11),ROW()-10,5),"")</f>
        <v/>
      </c>
      <c r="F118" s="15" t="str" cm="1">
        <f t="array" aca="1" ref="F118" ca="1">IFERROR(INDEX(_xlfn.ANCHORARRAY($AA$11),ROW()-10,6),"")</f>
        <v/>
      </c>
      <c r="G118" s="4" t="str" cm="1">
        <f t="array" aca="1" ref="G118" ca="1">IFERROR(INDEX(_xlfn.ANCHORARRAY($AA$11),ROW()-10,7),"")</f>
        <v/>
      </c>
      <c r="H118" s="4" t="str" cm="1">
        <f t="array" aca="1" ref="H118" ca="1">IFERROR(INDEX(_xlfn.ANCHORARRAY($AA$11),ROW()-10,8),"")</f>
        <v/>
      </c>
      <c r="I118" s="4" t="str" cm="1">
        <f t="array" aca="1" ref="I118" ca="1">IFERROR(INDEX(_xlfn.ANCHORARRAY($AA$11),ROW()-10,9),"")</f>
        <v/>
      </c>
      <c r="J118" s="4" t="str">
        <f t="shared" ca="1" si="9"/>
        <v/>
      </c>
      <c r="K118" s="4" t="str">
        <f t="shared" ca="1" si="10"/>
        <v/>
      </c>
      <c r="L118" s="4" t="str" cm="1">
        <f t="array" aca="1" ref="L118" ca="1">_xlfn.LET(_xlpm.link,IFERROR(INDEX(_xlfn.ANCHORARRAY($AA$11),ROW()-10,12),""),IF(_xlpm.link="","",HYPERLINK(_xlpm.link,"Bluecore/Attentive")))</f>
        <v/>
      </c>
      <c r="M118" s="89" t="str">
        <f t="shared" ca="1" si="11"/>
        <v/>
      </c>
      <c r="N118" s="7"/>
      <c r="O118" s="7"/>
      <c r="P118" s="7"/>
      <c r="Q118" s="7"/>
      <c r="R118" s="7"/>
      <c r="S118" s="6"/>
      <c r="T118" s="6"/>
      <c r="U118" s="6"/>
      <c r="V118" s="6"/>
      <c r="W118" s="6"/>
      <c r="X118" s="6"/>
      <c r="Y118" s="6"/>
      <c r="Z118" s="6"/>
      <c r="AA118" s="32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34" t="str" cm="1">
        <f t="array" aca="1" ref="A119" ca="1">IFERROR(INDEX(_xlfn.ANCHORARRAY($AA$11),ROW()-10,1),"")</f>
        <v/>
      </c>
      <c r="B119" s="20" t="str" cm="1">
        <f t="array" aca="1" ref="B119" ca="1">IFERROR(INDEX(_xlfn.ANCHORARRAY($AA$11),ROW()-10,2),"")</f>
        <v/>
      </c>
      <c r="C119" s="4" t="str" cm="1">
        <f t="array" aca="1" ref="C119" ca="1">IFERROR(INDEX(_xlfn.ANCHORARRAY($AA$11),ROW()-10,3),"")</f>
        <v/>
      </c>
      <c r="D119" s="15" t="str" cm="1">
        <f t="array" aca="1" ref="D119" ca="1">IFERROR(INDEX(_xlfn.ANCHORARRAY($AA$11),ROW()-10,4),"")</f>
        <v/>
      </c>
      <c r="E119" s="4" t="str" cm="1">
        <f t="array" aca="1" ref="E119" ca="1">IFERROR(INDEX(_xlfn.ANCHORARRAY($AA$11),ROW()-10,5),"")</f>
        <v/>
      </c>
      <c r="F119" s="15" t="str" cm="1">
        <f t="array" aca="1" ref="F119" ca="1">IFERROR(INDEX(_xlfn.ANCHORARRAY($AA$11),ROW()-10,6),"")</f>
        <v/>
      </c>
      <c r="G119" s="4" t="str" cm="1">
        <f t="array" aca="1" ref="G119" ca="1">IFERROR(INDEX(_xlfn.ANCHORARRAY($AA$11),ROW()-10,7),"")</f>
        <v/>
      </c>
      <c r="H119" s="4" t="str" cm="1">
        <f t="array" aca="1" ref="H119" ca="1">IFERROR(INDEX(_xlfn.ANCHORARRAY($AA$11),ROW()-10,8),"")</f>
        <v/>
      </c>
      <c r="I119" s="4" t="str" cm="1">
        <f t="array" aca="1" ref="I119" ca="1">IFERROR(INDEX(_xlfn.ANCHORARRAY($AA$11),ROW()-10,9),"")</f>
        <v/>
      </c>
      <c r="J119" s="4" t="str">
        <f t="shared" ca="1" si="9"/>
        <v/>
      </c>
      <c r="K119" s="4" t="str">
        <f t="shared" ca="1" si="10"/>
        <v/>
      </c>
      <c r="L119" s="4" t="str" cm="1">
        <f t="array" aca="1" ref="L119" ca="1">_xlfn.LET(_xlpm.link,IFERROR(INDEX(_xlfn.ANCHORARRAY($AA$11),ROW()-10,12),""),IF(_xlpm.link="","",HYPERLINK(_xlpm.link,"Bluecore/Attentive")))</f>
        <v/>
      </c>
      <c r="M119" s="88" t="str">
        <f t="shared" ca="1" si="11"/>
        <v/>
      </c>
      <c r="N119" s="7"/>
      <c r="O119" s="7"/>
      <c r="P119" s="7"/>
      <c r="Q119" s="7"/>
      <c r="R119" s="7"/>
      <c r="S119" s="6"/>
      <c r="T119" s="6"/>
      <c r="U119" s="6"/>
      <c r="V119" s="6"/>
      <c r="W119" s="6"/>
      <c r="X119" s="6"/>
      <c r="Y119" s="6"/>
      <c r="Z119" s="6"/>
      <c r="AA119" s="32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34" t="str" cm="1">
        <f t="array" aca="1" ref="A120" ca="1">IFERROR(INDEX(_xlfn.ANCHORARRAY($AA$11),ROW()-10,1),"")</f>
        <v/>
      </c>
      <c r="B120" s="20" t="str" cm="1">
        <f t="array" aca="1" ref="B120" ca="1">IFERROR(INDEX(_xlfn.ANCHORARRAY($AA$11),ROW()-10,2),"")</f>
        <v/>
      </c>
      <c r="C120" s="4" t="str" cm="1">
        <f t="array" aca="1" ref="C120" ca="1">IFERROR(INDEX(_xlfn.ANCHORARRAY($AA$11),ROW()-10,3),"")</f>
        <v/>
      </c>
      <c r="D120" s="15" t="str" cm="1">
        <f t="array" aca="1" ref="D120" ca="1">IFERROR(INDEX(_xlfn.ANCHORARRAY($AA$11),ROW()-10,4),"")</f>
        <v/>
      </c>
      <c r="E120" s="4" t="str" cm="1">
        <f t="array" aca="1" ref="E120" ca="1">IFERROR(INDEX(_xlfn.ANCHORARRAY($AA$11),ROW()-10,5),"")</f>
        <v/>
      </c>
      <c r="F120" s="15" t="str" cm="1">
        <f t="array" aca="1" ref="F120" ca="1">IFERROR(INDEX(_xlfn.ANCHORARRAY($AA$11),ROW()-10,6),"")</f>
        <v/>
      </c>
      <c r="G120" s="4" t="str" cm="1">
        <f t="array" aca="1" ref="G120" ca="1">IFERROR(INDEX(_xlfn.ANCHORARRAY($AA$11),ROW()-10,7),"")</f>
        <v/>
      </c>
      <c r="H120" s="4" t="str" cm="1">
        <f t="array" aca="1" ref="H120" ca="1">IFERROR(INDEX(_xlfn.ANCHORARRAY($AA$11),ROW()-10,8),"")</f>
        <v/>
      </c>
      <c r="I120" s="4" t="str" cm="1">
        <f t="array" aca="1" ref="I120" ca="1">IFERROR(INDEX(_xlfn.ANCHORARRAY($AA$11),ROW()-10,9),"")</f>
        <v/>
      </c>
      <c r="J120" s="4" t="str">
        <f t="shared" ca="1" si="9"/>
        <v/>
      </c>
      <c r="K120" s="4" t="str">
        <f t="shared" ca="1" si="10"/>
        <v/>
      </c>
      <c r="L120" s="4" t="str" cm="1">
        <f t="array" aca="1" ref="L120" ca="1">_xlfn.LET(_xlpm.link,IFERROR(INDEX(_xlfn.ANCHORARRAY($AA$11),ROW()-10,12),""),IF(_xlpm.link="","",HYPERLINK(_xlpm.link,"Bluecore/Attentive")))</f>
        <v/>
      </c>
      <c r="M120" s="89" t="str">
        <f t="shared" ca="1" si="11"/>
        <v/>
      </c>
      <c r="N120" s="7"/>
      <c r="O120" s="7"/>
      <c r="P120" s="7"/>
      <c r="Q120" s="7"/>
      <c r="R120" s="7"/>
      <c r="S120" s="6"/>
      <c r="T120" s="6"/>
      <c r="U120" s="6"/>
      <c r="V120" s="6"/>
      <c r="W120" s="6"/>
      <c r="X120" s="6"/>
      <c r="Y120" s="6"/>
      <c r="Z120" s="6"/>
      <c r="AA120" s="32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34" t="str" cm="1">
        <f t="array" aca="1" ref="A121" ca="1">IFERROR(INDEX(_xlfn.ANCHORARRAY($AA$11),ROW()-10,1),"")</f>
        <v/>
      </c>
      <c r="B121" s="20" t="str" cm="1">
        <f t="array" aca="1" ref="B121" ca="1">IFERROR(INDEX(_xlfn.ANCHORARRAY($AA$11),ROW()-10,2),"")</f>
        <v/>
      </c>
      <c r="C121" s="4" t="str" cm="1">
        <f t="array" aca="1" ref="C121" ca="1">IFERROR(INDEX(_xlfn.ANCHORARRAY($AA$11),ROW()-10,3),"")</f>
        <v/>
      </c>
      <c r="D121" s="15" t="str" cm="1">
        <f t="array" aca="1" ref="D121" ca="1">IFERROR(INDEX(_xlfn.ANCHORARRAY($AA$11),ROW()-10,4),"")</f>
        <v/>
      </c>
      <c r="E121" s="4" t="str" cm="1">
        <f t="array" aca="1" ref="E121" ca="1">IFERROR(INDEX(_xlfn.ANCHORARRAY($AA$11),ROW()-10,5),"")</f>
        <v/>
      </c>
      <c r="F121" s="15" t="str" cm="1">
        <f t="array" aca="1" ref="F121" ca="1">IFERROR(INDEX(_xlfn.ANCHORARRAY($AA$11),ROW()-10,6),"")</f>
        <v/>
      </c>
      <c r="G121" s="4" t="str" cm="1">
        <f t="array" aca="1" ref="G121" ca="1">IFERROR(INDEX(_xlfn.ANCHORARRAY($AA$11),ROW()-10,7),"")</f>
        <v/>
      </c>
      <c r="H121" s="4" t="str" cm="1">
        <f t="array" aca="1" ref="H121" ca="1">IFERROR(INDEX(_xlfn.ANCHORARRAY($AA$11),ROW()-10,8),"")</f>
        <v/>
      </c>
      <c r="I121" s="4" t="str" cm="1">
        <f t="array" aca="1" ref="I121" ca="1">IFERROR(INDEX(_xlfn.ANCHORARRAY($AA$11),ROW()-10,9),"")</f>
        <v/>
      </c>
      <c r="J121" s="4" t="str">
        <f t="shared" ca="1" si="9"/>
        <v/>
      </c>
      <c r="K121" s="4" t="str">
        <f t="shared" ca="1" si="10"/>
        <v/>
      </c>
      <c r="L121" s="4" t="str" cm="1">
        <f t="array" aca="1" ref="L121" ca="1">_xlfn.LET(_xlpm.link,IFERROR(INDEX(_xlfn.ANCHORARRAY($AA$11),ROW()-10,12),""),IF(_xlpm.link="","",HYPERLINK(_xlpm.link,"Bluecore/Attentive")))</f>
        <v/>
      </c>
      <c r="M121" s="88" t="str">
        <f t="shared" ca="1" si="11"/>
        <v/>
      </c>
      <c r="N121" s="7"/>
      <c r="O121" s="7"/>
      <c r="P121" s="7"/>
      <c r="Q121" s="7"/>
      <c r="R121" s="7"/>
      <c r="S121" s="6"/>
      <c r="T121" s="6"/>
      <c r="U121" s="6"/>
      <c r="V121" s="6"/>
      <c r="W121" s="6"/>
      <c r="X121" s="6"/>
      <c r="Y121" s="6"/>
      <c r="Z121" s="6"/>
      <c r="AA121" s="32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34" t="str" cm="1">
        <f t="array" aca="1" ref="A122" ca="1">IFERROR(INDEX(_xlfn.ANCHORARRAY($AA$11),ROW()-10,1),"")</f>
        <v/>
      </c>
      <c r="B122" s="20" t="str" cm="1">
        <f t="array" aca="1" ref="B122" ca="1">IFERROR(INDEX(_xlfn.ANCHORARRAY($AA$11),ROW()-10,2),"")</f>
        <v/>
      </c>
      <c r="C122" s="4" t="str" cm="1">
        <f t="array" aca="1" ref="C122" ca="1">IFERROR(INDEX(_xlfn.ANCHORARRAY($AA$11),ROW()-10,3),"")</f>
        <v/>
      </c>
      <c r="D122" s="15" t="str" cm="1">
        <f t="array" aca="1" ref="D122" ca="1">IFERROR(INDEX(_xlfn.ANCHORARRAY($AA$11),ROW()-10,4),"")</f>
        <v/>
      </c>
      <c r="E122" s="4" t="str" cm="1">
        <f t="array" aca="1" ref="E122" ca="1">IFERROR(INDEX(_xlfn.ANCHORARRAY($AA$11),ROW()-10,5),"")</f>
        <v/>
      </c>
      <c r="F122" s="15" t="str" cm="1">
        <f t="array" aca="1" ref="F122" ca="1">IFERROR(INDEX(_xlfn.ANCHORARRAY($AA$11),ROW()-10,6),"")</f>
        <v/>
      </c>
      <c r="G122" s="4" t="str" cm="1">
        <f t="array" aca="1" ref="G122" ca="1">IFERROR(INDEX(_xlfn.ANCHORARRAY($AA$11),ROW()-10,7),"")</f>
        <v/>
      </c>
      <c r="H122" s="4" t="str" cm="1">
        <f t="array" aca="1" ref="H122" ca="1">IFERROR(INDEX(_xlfn.ANCHORARRAY($AA$11),ROW()-10,8),"")</f>
        <v/>
      </c>
      <c r="I122" s="4" t="str" cm="1">
        <f t="array" aca="1" ref="I122" ca="1">IFERROR(INDEX(_xlfn.ANCHORARRAY($AA$11),ROW()-10,9),"")</f>
        <v/>
      </c>
      <c r="J122" s="4" t="str">
        <f t="shared" ca="1" si="9"/>
        <v/>
      </c>
      <c r="K122" s="4" t="str">
        <f t="shared" ca="1" si="10"/>
        <v/>
      </c>
      <c r="L122" s="4" t="str" cm="1">
        <f t="array" aca="1" ref="L122" ca="1">_xlfn.LET(_xlpm.link,IFERROR(INDEX(_xlfn.ANCHORARRAY($AA$11),ROW()-10,12),""),IF(_xlpm.link="","",HYPERLINK(_xlpm.link,"Bluecore/Attentive")))</f>
        <v/>
      </c>
      <c r="M122" s="89" t="str">
        <f t="shared" ca="1" si="11"/>
        <v/>
      </c>
      <c r="N122" s="7"/>
      <c r="O122" s="7"/>
      <c r="P122" s="7"/>
      <c r="Q122" s="7"/>
      <c r="R122" s="7"/>
      <c r="S122" s="6"/>
      <c r="T122" s="6"/>
      <c r="U122" s="6"/>
      <c r="V122" s="6"/>
      <c r="W122" s="6"/>
      <c r="X122" s="6"/>
      <c r="Y122" s="6"/>
      <c r="Z122" s="6"/>
      <c r="AA122" s="3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34" t="str" cm="1">
        <f t="array" aca="1" ref="A123" ca="1">IFERROR(INDEX(_xlfn.ANCHORARRAY($AA$11),ROW()-10,1),"")</f>
        <v/>
      </c>
      <c r="B123" s="20" t="str" cm="1">
        <f t="array" aca="1" ref="B123" ca="1">IFERROR(INDEX(_xlfn.ANCHORARRAY($AA$11),ROW()-10,2),"")</f>
        <v/>
      </c>
      <c r="C123" s="4" t="str" cm="1">
        <f t="array" aca="1" ref="C123" ca="1">IFERROR(INDEX(_xlfn.ANCHORARRAY($AA$11),ROW()-10,3),"")</f>
        <v/>
      </c>
      <c r="D123" s="15" t="str" cm="1">
        <f t="array" aca="1" ref="D123" ca="1">IFERROR(INDEX(_xlfn.ANCHORARRAY($AA$11),ROW()-10,4),"")</f>
        <v/>
      </c>
      <c r="E123" s="4" t="str" cm="1">
        <f t="array" aca="1" ref="E123" ca="1">IFERROR(INDEX(_xlfn.ANCHORARRAY($AA$11),ROW()-10,5),"")</f>
        <v/>
      </c>
      <c r="F123" s="15" t="str" cm="1">
        <f t="array" aca="1" ref="F123" ca="1">IFERROR(INDEX(_xlfn.ANCHORARRAY($AA$11),ROW()-10,6),"")</f>
        <v/>
      </c>
      <c r="G123" s="4" t="str" cm="1">
        <f t="array" aca="1" ref="G123" ca="1">IFERROR(INDEX(_xlfn.ANCHORARRAY($AA$11),ROW()-10,7),"")</f>
        <v/>
      </c>
      <c r="H123" s="4" t="str" cm="1">
        <f t="array" aca="1" ref="H123" ca="1">IFERROR(INDEX(_xlfn.ANCHORARRAY($AA$11),ROW()-10,8),"")</f>
        <v/>
      </c>
      <c r="I123" s="4" t="str" cm="1">
        <f t="array" aca="1" ref="I123" ca="1">IFERROR(INDEX(_xlfn.ANCHORARRAY($AA$11),ROW()-10,9),"")</f>
        <v/>
      </c>
      <c r="J123" s="4" t="str">
        <f t="shared" ca="1" si="9"/>
        <v/>
      </c>
      <c r="K123" s="4" t="str">
        <f t="shared" ca="1" si="10"/>
        <v/>
      </c>
      <c r="L123" s="4" t="str" cm="1">
        <f t="array" aca="1" ref="L123" ca="1">_xlfn.LET(_xlpm.link,IFERROR(INDEX(_xlfn.ANCHORARRAY($AA$11),ROW()-10,12),""),IF(_xlpm.link="","",HYPERLINK(_xlpm.link,"Bluecore/Attentive")))</f>
        <v/>
      </c>
      <c r="M123" s="88" t="str">
        <f t="shared" ca="1" si="11"/>
        <v/>
      </c>
      <c r="N123" s="7"/>
      <c r="O123" s="7"/>
      <c r="P123" s="7"/>
      <c r="Q123" s="7"/>
      <c r="R123" s="7"/>
      <c r="S123" s="6"/>
      <c r="T123" s="6"/>
      <c r="U123" s="6"/>
      <c r="V123" s="6"/>
      <c r="W123" s="6"/>
      <c r="X123" s="6"/>
      <c r="Y123" s="6"/>
      <c r="Z123" s="6"/>
      <c r="AA123" s="32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34" t="str" cm="1">
        <f t="array" aca="1" ref="A124" ca="1">IFERROR(INDEX(_xlfn.ANCHORARRAY($AA$11),ROW()-10,1),"")</f>
        <v/>
      </c>
      <c r="B124" s="20" t="str" cm="1">
        <f t="array" aca="1" ref="B124" ca="1">IFERROR(INDEX(_xlfn.ANCHORARRAY($AA$11),ROW()-10,2),"")</f>
        <v/>
      </c>
      <c r="C124" s="4" t="str" cm="1">
        <f t="array" aca="1" ref="C124" ca="1">IFERROR(INDEX(_xlfn.ANCHORARRAY($AA$11),ROW()-10,3),"")</f>
        <v/>
      </c>
      <c r="D124" s="15" t="str" cm="1">
        <f t="array" aca="1" ref="D124" ca="1">IFERROR(INDEX(_xlfn.ANCHORARRAY($AA$11),ROW()-10,4),"")</f>
        <v/>
      </c>
      <c r="E124" s="4" t="str" cm="1">
        <f t="array" aca="1" ref="E124" ca="1">IFERROR(INDEX(_xlfn.ANCHORARRAY($AA$11),ROW()-10,5),"")</f>
        <v/>
      </c>
      <c r="F124" s="15" t="str" cm="1">
        <f t="array" aca="1" ref="F124" ca="1">IFERROR(INDEX(_xlfn.ANCHORARRAY($AA$11),ROW()-10,6),"")</f>
        <v/>
      </c>
      <c r="G124" s="4" t="str" cm="1">
        <f t="array" aca="1" ref="G124" ca="1">IFERROR(INDEX(_xlfn.ANCHORARRAY($AA$11),ROW()-10,7),"")</f>
        <v/>
      </c>
      <c r="H124" s="4" t="str" cm="1">
        <f t="array" aca="1" ref="H124" ca="1">IFERROR(INDEX(_xlfn.ANCHORARRAY($AA$11),ROW()-10,8),"")</f>
        <v/>
      </c>
      <c r="I124" s="4" t="str" cm="1">
        <f t="array" aca="1" ref="I124" ca="1">IFERROR(INDEX(_xlfn.ANCHORARRAY($AA$11),ROW()-10,9),"")</f>
        <v/>
      </c>
      <c r="J124" s="4" t="str">
        <f t="shared" ca="1" si="9"/>
        <v/>
      </c>
      <c r="K124" s="4" t="str">
        <f t="shared" ca="1" si="10"/>
        <v/>
      </c>
      <c r="L124" s="4" t="str" cm="1">
        <f t="array" aca="1" ref="L124" ca="1">_xlfn.LET(_xlpm.link,IFERROR(INDEX(_xlfn.ANCHORARRAY($AA$11),ROW()-10,12),""),IF(_xlpm.link="","",HYPERLINK(_xlpm.link,"Bluecore/Attentive")))</f>
        <v/>
      </c>
      <c r="M124" s="89" t="str">
        <f t="shared" ca="1" si="11"/>
        <v/>
      </c>
      <c r="N124" s="7"/>
      <c r="O124" s="7"/>
      <c r="P124" s="7"/>
      <c r="Q124" s="7"/>
      <c r="R124" s="7"/>
      <c r="S124" s="6"/>
      <c r="T124" s="6"/>
      <c r="U124" s="6"/>
      <c r="V124" s="6"/>
      <c r="W124" s="6"/>
      <c r="X124" s="6"/>
      <c r="Y124" s="6"/>
      <c r="Z124" s="6"/>
      <c r="AA124" s="32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34" t="str" cm="1">
        <f t="array" aca="1" ref="A125" ca="1">IFERROR(INDEX(_xlfn.ANCHORARRAY($AA$11),ROW()-10,1),"")</f>
        <v/>
      </c>
      <c r="B125" s="20" t="str" cm="1">
        <f t="array" aca="1" ref="B125" ca="1">IFERROR(INDEX(_xlfn.ANCHORARRAY($AA$11),ROW()-10,2),"")</f>
        <v/>
      </c>
      <c r="C125" s="4" t="str" cm="1">
        <f t="array" aca="1" ref="C125" ca="1">IFERROR(INDEX(_xlfn.ANCHORARRAY($AA$11),ROW()-10,3),"")</f>
        <v/>
      </c>
      <c r="D125" s="15" t="str" cm="1">
        <f t="array" aca="1" ref="D125" ca="1">IFERROR(INDEX(_xlfn.ANCHORARRAY($AA$11),ROW()-10,4),"")</f>
        <v/>
      </c>
      <c r="E125" s="4" t="str" cm="1">
        <f t="array" aca="1" ref="E125" ca="1">IFERROR(INDEX(_xlfn.ANCHORARRAY($AA$11),ROW()-10,5),"")</f>
        <v/>
      </c>
      <c r="F125" s="15" t="str" cm="1">
        <f t="array" aca="1" ref="F125" ca="1">IFERROR(INDEX(_xlfn.ANCHORARRAY($AA$11),ROW()-10,6),"")</f>
        <v/>
      </c>
      <c r="G125" s="4" t="str" cm="1">
        <f t="array" aca="1" ref="G125" ca="1">IFERROR(INDEX(_xlfn.ANCHORARRAY($AA$11),ROW()-10,7),"")</f>
        <v/>
      </c>
      <c r="H125" s="4" t="str" cm="1">
        <f t="array" aca="1" ref="H125" ca="1">IFERROR(INDEX(_xlfn.ANCHORARRAY($AA$11),ROW()-10,8),"")</f>
        <v/>
      </c>
      <c r="I125" s="4" t="str" cm="1">
        <f t="array" aca="1" ref="I125" ca="1">IFERROR(INDEX(_xlfn.ANCHORARRAY($AA$11),ROW()-10,9),"")</f>
        <v/>
      </c>
      <c r="J125" s="4" t="str">
        <f t="shared" ca="1" si="9"/>
        <v/>
      </c>
      <c r="K125" s="4" t="str">
        <f t="shared" ca="1" si="10"/>
        <v/>
      </c>
      <c r="L125" s="4" t="str" cm="1">
        <f t="array" aca="1" ref="L125" ca="1">_xlfn.LET(_xlpm.link,IFERROR(INDEX(_xlfn.ANCHORARRAY($AA$11),ROW()-10,12),""),IF(_xlpm.link="","",HYPERLINK(_xlpm.link,"Bluecore/Attentive")))</f>
        <v/>
      </c>
      <c r="M125" s="88" t="str">
        <f t="shared" ca="1" si="11"/>
        <v/>
      </c>
      <c r="N125" s="7"/>
      <c r="O125" s="7"/>
      <c r="P125" s="7"/>
      <c r="Q125" s="7"/>
      <c r="R125" s="7"/>
      <c r="S125" s="6"/>
      <c r="T125" s="6"/>
      <c r="U125" s="6"/>
      <c r="V125" s="6"/>
      <c r="W125" s="6"/>
      <c r="X125" s="6"/>
      <c r="Y125" s="6"/>
      <c r="Z125" s="6"/>
      <c r="AA125" s="32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34" t="str" cm="1">
        <f t="array" aca="1" ref="A126" ca="1">IFERROR(INDEX(_xlfn.ANCHORARRAY($AA$11),ROW()-10,1),"")</f>
        <v/>
      </c>
      <c r="B126" s="20" t="str" cm="1">
        <f t="array" aca="1" ref="B126" ca="1">IFERROR(INDEX(_xlfn.ANCHORARRAY($AA$11),ROW()-10,2),"")</f>
        <v/>
      </c>
      <c r="C126" s="4" t="str" cm="1">
        <f t="array" aca="1" ref="C126" ca="1">IFERROR(INDEX(_xlfn.ANCHORARRAY($AA$11),ROW()-10,3),"")</f>
        <v/>
      </c>
      <c r="D126" s="15" t="str" cm="1">
        <f t="array" aca="1" ref="D126" ca="1">IFERROR(INDEX(_xlfn.ANCHORARRAY($AA$11),ROW()-10,4),"")</f>
        <v/>
      </c>
      <c r="E126" s="4" t="str" cm="1">
        <f t="array" aca="1" ref="E126" ca="1">IFERROR(INDEX(_xlfn.ANCHORARRAY($AA$11),ROW()-10,5),"")</f>
        <v/>
      </c>
      <c r="F126" s="15" t="str" cm="1">
        <f t="array" aca="1" ref="F126" ca="1">IFERROR(INDEX(_xlfn.ANCHORARRAY($AA$11),ROW()-10,6),"")</f>
        <v/>
      </c>
      <c r="G126" s="4" t="str" cm="1">
        <f t="array" aca="1" ref="G126" ca="1">IFERROR(INDEX(_xlfn.ANCHORARRAY($AA$11),ROW()-10,7),"")</f>
        <v/>
      </c>
      <c r="H126" s="4" t="str" cm="1">
        <f t="array" aca="1" ref="H126" ca="1">IFERROR(INDEX(_xlfn.ANCHORARRAY($AA$11),ROW()-10,8),"")</f>
        <v/>
      </c>
      <c r="I126" s="4" t="str" cm="1">
        <f t="array" aca="1" ref="I126" ca="1">IFERROR(INDEX(_xlfn.ANCHORARRAY($AA$11),ROW()-10,9),"")</f>
        <v/>
      </c>
      <c r="J126" s="4" t="str">
        <f t="shared" ca="1" si="9"/>
        <v/>
      </c>
      <c r="K126" s="4" t="str">
        <f t="shared" ca="1" si="10"/>
        <v/>
      </c>
      <c r="L126" s="4" t="str" cm="1">
        <f t="array" aca="1" ref="L126" ca="1">_xlfn.LET(_xlpm.link,IFERROR(INDEX(_xlfn.ANCHORARRAY($AA$11),ROW()-10,12),""),IF(_xlpm.link="","",HYPERLINK(_xlpm.link,"Bluecore/Attentive")))</f>
        <v/>
      </c>
      <c r="M126" s="89" t="str">
        <f t="shared" ca="1" si="11"/>
        <v/>
      </c>
      <c r="N126" s="7"/>
      <c r="O126" s="7"/>
      <c r="P126" s="7"/>
      <c r="Q126" s="7"/>
      <c r="R126" s="7"/>
      <c r="S126" s="6"/>
      <c r="T126" s="6"/>
      <c r="U126" s="6"/>
      <c r="V126" s="6"/>
      <c r="W126" s="6"/>
      <c r="X126" s="6"/>
      <c r="Y126" s="6"/>
      <c r="Z126" s="6"/>
      <c r="AA126" s="32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34" t="str" cm="1">
        <f t="array" aca="1" ref="A127" ca="1">IFERROR(INDEX(_xlfn.ANCHORARRAY($AA$11),ROW()-10,1),"")</f>
        <v/>
      </c>
      <c r="B127" s="20" t="str" cm="1">
        <f t="array" aca="1" ref="B127" ca="1">IFERROR(INDEX(_xlfn.ANCHORARRAY($AA$11),ROW()-10,2),"")</f>
        <v/>
      </c>
      <c r="C127" s="4" t="str" cm="1">
        <f t="array" aca="1" ref="C127" ca="1">IFERROR(INDEX(_xlfn.ANCHORARRAY($AA$11),ROW()-10,3),"")</f>
        <v/>
      </c>
      <c r="D127" s="15" t="str" cm="1">
        <f t="array" aca="1" ref="D127" ca="1">IFERROR(INDEX(_xlfn.ANCHORARRAY($AA$11),ROW()-10,4),"")</f>
        <v/>
      </c>
      <c r="E127" s="4" t="str" cm="1">
        <f t="array" aca="1" ref="E127" ca="1">IFERROR(INDEX(_xlfn.ANCHORARRAY($AA$11),ROW()-10,5),"")</f>
        <v/>
      </c>
      <c r="F127" s="15" t="str" cm="1">
        <f t="array" aca="1" ref="F127" ca="1">IFERROR(INDEX(_xlfn.ANCHORARRAY($AA$11),ROW()-10,6),"")</f>
        <v/>
      </c>
      <c r="G127" s="4" t="str" cm="1">
        <f t="array" aca="1" ref="G127" ca="1">IFERROR(INDEX(_xlfn.ANCHORARRAY($AA$11),ROW()-10,7),"")</f>
        <v/>
      </c>
      <c r="H127" s="4" t="str" cm="1">
        <f t="array" aca="1" ref="H127" ca="1">IFERROR(INDEX(_xlfn.ANCHORARRAY($AA$11),ROW()-10,8),"")</f>
        <v/>
      </c>
      <c r="I127" s="4" t="str" cm="1">
        <f t="array" aca="1" ref="I127" ca="1">IFERROR(INDEX(_xlfn.ANCHORARRAY($AA$11),ROW()-10,9),"")</f>
        <v/>
      </c>
      <c r="J127" s="4" t="str">
        <f t="shared" ca="1" si="9"/>
        <v/>
      </c>
      <c r="K127" s="4" t="str">
        <f t="shared" ca="1" si="10"/>
        <v/>
      </c>
      <c r="L127" s="4" t="str" cm="1">
        <f t="array" aca="1" ref="L127" ca="1">_xlfn.LET(_xlpm.link,IFERROR(INDEX(_xlfn.ANCHORARRAY($AA$11),ROW()-10,12),""),IF(_xlpm.link="","",HYPERLINK(_xlpm.link,"Bluecore/Attentive")))</f>
        <v/>
      </c>
      <c r="M127" s="88" t="str">
        <f t="shared" ca="1" si="11"/>
        <v/>
      </c>
      <c r="N127" s="7"/>
      <c r="O127" s="7"/>
      <c r="P127" s="7"/>
      <c r="Q127" s="7"/>
      <c r="R127" s="7"/>
      <c r="S127" s="6"/>
      <c r="T127" s="6"/>
      <c r="U127" s="6"/>
      <c r="V127" s="6"/>
      <c r="W127" s="6"/>
      <c r="X127" s="6"/>
      <c r="Y127" s="6"/>
      <c r="Z127" s="6"/>
      <c r="AA127" s="32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34" t="str" cm="1">
        <f t="array" aca="1" ref="A128" ca="1">IFERROR(INDEX(_xlfn.ANCHORARRAY($AA$11),ROW()-10,1),"")</f>
        <v/>
      </c>
      <c r="B128" s="20" t="str" cm="1">
        <f t="array" aca="1" ref="B128" ca="1">IFERROR(INDEX(_xlfn.ANCHORARRAY($AA$11),ROW()-10,2),"")</f>
        <v/>
      </c>
      <c r="C128" s="4" t="str" cm="1">
        <f t="array" aca="1" ref="C128" ca="1">IFERROR(INDEX(_xlfn.ANCHORARRAY($AA$11),ROW()-10,3),"")</f>
        <v/>
      </c>
      <c r="D128" s="15" t="str" cm="1">
        <f t="array" aca="1" ref="D128" ca="1">IFERROR(INDEX(_xlfn.ANCHORARRAY($AA$11),ROW()-10,4),"")</f>
        <v/>
      </c>
      <c r="E128" s="4" t="str" cm="1">
        <f t="array" aca="1" ref="E128" ca="1">IFERROR(INDEX(_xlfn.ANCHORARRAY($AA$11),ROW()-10,5),"")</f>
        <v/>
      </c>
      <c r="F128" s="15" t="str" cm="1">
        <f t="array" aca="1" ref="F128" ca="1">IFERROR(INDEX(_xlfn.ANCHORARRAY($AA$11),ROW()-10,6),"")</f>
        <v/>
      </c>
      <c r="G128" s="4" t="str" cm="1">
        <f t="array" aca="1" ref="G128" ca="1">IFERROR(INDEX(_xlfn.ANCHORARRAY($AA$11),ROW()-10,7),"")</f>
        <v/>
      </c>
      <c r="H128" s="4" t="str" cm="1">
        <f t="array" aca="1" ref="H128" ca="1">IFERROR(INDEX(_xlfn.ANCHORARRAY($AA$11),ROW()-10,8),"")</f>
        <v/>
      </c>
      <c r="I128" s="4" t="str" cm="1">
        <f t="array" aca="1" ref="I128" ca="1">IFERROR(INDEX(_xlfn.ANCHORARRAY($AA$11),ROW()-10,9),"")</f>
        <v/>
      </c>
      <c r="J128" s="4" t="str">
        <f t="shared" ca="1" si="9"/>
        <v/>
      </c>
      <c r="K128" s="4" t="str">
        <f t="shared" ca="1" si="10"/>
        <v/>
      </c>
      <c r="L128" s="4" t="str" cm="1">
        <f t="array" aca="1" ref="L128" ca="1">_xlfn.LET(_xlpm.link,IFERROR(INDEX(_xlfn.ANCHORARRAY($AA$11),ROW()-10,12),""),IF(_xlpm.link="","",HYPERLINK(_xlpm.link,"Bluecore/Attentive")))</f>
        <v/>
      </c>
      <c r="M128" s="89" t="str">
        <f t="shared" ca="1" si="11"/>
        <v/>
      </c>
      <c r="N128" s="7"/>
      <c r="O128" s="7"/>
      <c r="P128" s="7"/>
      <c r="Q128" s="7"/>
      <c r="R128" s="7"/>
      <c r="S128" s="6"/>
      <c r="T128" s="6"/>
      <c r="U128" s="6"/>
      <c r="V128" s="6"/>
      <c r="W128" s="6"/>
      <c r="X128" s="6"/>
      <c r="Y128" s="6"/>
      <c r="Z128" s="6"/>
      <c r="AA128" s="32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34" t="str" cm="1">
        <f t="array" aca="1" ref="A129" ca="1">IFERROR(INDEX(_xlfn.ANCHORARRAY($AA$11),ROW()-10,1),"")</f>
        <v/>
      </c>
      <c r="B129" s="20" t="str" cm="1">
        <f t="array" aca="1" ref="B129" ca="1">IFERROR(INDEX(_xlfn.ANCHORARRAY($AA$11),ROW()-10,2),"")</f>
        <v/>
      </c>
      <c r="C129" s="4" t="str" cm="1">
        <f t="array" aca="1" ref="C129" ca="1">IFERROR(INDEX(_xlfn.ANCHORARRAY($AA$11),ROW()-10,3),"")</f>
        <v/>
      </c>
      <c r="D129" s="15" t="str" cm="1">
        <f t="array" aca="1" ref="D129" ca="1">IFERROR(INDEX(_xlfn.ANCHORARRAY($AA$11),ROW()-10,4),"")</f>
        <v/>
      </c>
      <c r="E129" s="4" t="str" cm="1">
        <f t="array" aca="1" ref="E129" ca="1">IFERROR(INDEX(_xlfn.ANCHORARRAY($AA$11),ROW()-10,5),"")</f>
        <v/>
      </c>
      <c r="F129" s="15" t="str" cm="1">
        <f t="array" aca="1" ref="F129" ca="1">IFERROR(INDEX(_xlfn.ANCHORARRAY($AA$11),ROW()-10,6),"")</f>
        <v/>
      </c>
      <c r="G129" s="4" t="str" cm="1">
        <f t="array" aca="1" ref="G129" ca="1">IFERROR(INDEX(_xlfn.ANCHORARRAY($AA$11),ROW()-10,7),"")</f>
        <v/>
      </c>
      <c r="H129" s="4" t="str" cm="1">
        <f t="array" aca="1" ref="H129" ca="1">IFERROR(INDEX(_xlfn.ANCHORARRAY($AA$11),ROW()-10,8),"")</f>
        <v/>
      </c>
      <c r="I129" s="4" t="str" cm="1">
        <f t="array" aca="1" ref="I129" ca="1">IFERROR(INDEX(_xlfn.ANCHORARRAY($AA$11),ROW()-10,9),"")</f>
        <v/>
      </c>
      <c r="J129" s="4" t="str">
        <f t="shared" ca="1" si="9"/>
        <v/>
      </c>
      <c r="K129" s="4" t="str">
        <f t="shared" ca="1" si="10"/>
        <v/>
      </c>
      <c r="L129" s="4" t="str" cm="1">
        <f t="array" aca="1" ref="L129" ca="1">_xlfn.LET(_xlpm.link,IFERROR(INDEX(_xlfn.ANCHORARRAY($AA$11),ROW()-10,12),""),IF(_xlpm.link="","",HYPERLINK(_xlpm.link,"Bluecore/Attentive")))</f>
        <v/>
      </c>
      <c r="M129" s="88" t="str">
        <f t="shared" ca="1" si="11"/>
        <v/>
      </c>
      <c r="N129" s="7"/>
      <c r="O129" s="7"/>
      <c r="P129" s="7"/>
      <c r="Q129" s="7"/>
      <c r="R129" s="7"/>
      <c r="S129" s="6"/>
      <c r="T129" s="6"/>
      <c r="U129" s="6"/>
      <c r="V129" s="6"/>
      <c r="W129" s="6"/>
      <c r="X129" s="6"/>
      <c r="Y129" s="6"/>
      <c r="Z129" s="6"/>
      <c r="AA129" s="32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34" t="str" cm="1">
        <f t="array" aca="1" ref="A130" ca="1">IFERROR(INDEX(_xlfn.ANCHORARRAY($AA$11),ROW()-10,1),"")</f>
        <v/>
      </c>
      <c r="B130" s="20" t="str" cm="1">
        <f t="array" aca="1" ref="B130" ca="1">IFERROR(INDEX(_xlfn.ANCHORARRAY($AA$11),ROW()-10,2),"")</f>
        <v/>
      </c>
      <c r="C130" s="4" t="str" cm="1">
        <f t="array" aca="1" ref="C130" ca="1">IFERROR(INDEX(_xlfn.ANCHORARRAY($AA$11),ROW()-10,3),"")</f>
        <v/>
      </c>
      <c r="D130" s="15" t="str" cm="1">
        <f t="array" aca="1" ref="D130" ca="1">IFERROR(INDEX(_xlfn.ANCHORARRAY($AA$11),ROW()-10,4),"")</f>
        <v/>
      </c>
      <c r="E130" s="4" t="str" cm="1">
        <f t="array" aca="1" ref="E130" ca="1">IFERROR(INDEX(_xlfn.ANCHORARRAY($AA$11),ROW()-10,5),"")</f>
        <v/>
      </c>
      <c r="F130" s="15" t="str" cm="1">
        <f t="array" aca="1" ref="F130" ca="1">IFERROR(INDEX(_xlfn.ANCHORARRAY($AA$11),ROW()-10,6),"")</f>
        <v/>
      </c>
      <c r="G130" s="4" t="str" cm="1">
        <f t="array" aca="1" ref="G130" ca="1">IFERROR(INDEX(_xlfn.ANCHORARRAY($AA$11),ROW()-10,7),"")</f>
        <v/>
      </c>
      <c r="H130" s="4" t="str" cm="1">
        <f t="array" aca="1" ref="H130" ca="1">IFERROR(INDEX(_xlfn.ANCHORARRAY($AA$11),ROW()-10,8),"")</f>
        <v/>
      </c>
      <c r="I130" s="4" t="str" cm="1">
        <f t="array" aca="1" ref="I130" ca="1">IFERROR(INDEX(_xlfn.ANCHORARRAY($AA$11),ROW()-10,9),"")</f>
        <v/>
      </c>
      <c r="J130" s="4" t="str">
        <f t="shared" ca="1" si="9"/>
        <v/>
      </c>
      <c r="K130" s="4" t="str">
        <f t="shared" ca="1" si="10"/>
        <v/>
      </c>
      <c r="L130" s="4" t="str" cm="1">
        <f t="array" aca="1" ref="L130" ca="1">_xlfn.LET(_xlpm.link,IFERROR(INDEX(_xlfn.ANCHORARRAY($AA$11),ROW()-10,12),""),IF(_xlpm.link="","",HYPERLINK(_xlpm.link,"Bluecore/Attentive")))</f>
        <v/>
      </c>
      <c r="M130" s="89" t="str">
        <f t="shared" ca="1" si="11"/>
        <v/>
      </c>
      <c r="N130" s="7"/>
      <c r="O130" s="7"/>
      <c r="P130" s="7"/>
      <c r="Q130" s="7"/>
      <c r="R130" s="7"/>
      <c r="S130" s="6"/>
      <c r="T130" s="6"/>
      <c r="U130" s="6"/>
      <c r="V130" s="6"/>
      <c r="W130" s="6"/>
      <c r="X130" s="6"/>
      <c r="Y130" s="6"/>
      <c r="Z130" s="6"/>
      <c r="AA130" s="32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34" t="str" cm="1">
        <f t="array" aca="1" ref="A131" ca="1">IFERROR(INDEX(_xlfn.ANCHORARRAY($AA$11),ROW()-10,1),"")</f>
        <v/>
      </c>
      <c r="B131" s="20" t="str" cm="1">
        <f t="array" aca="1" ref="B131" ca="1">IFERROR(INDEX(_xlfn.ANCHORARRAY($AA$11),ROW()-10,2),"")</f>
        <v/>
      </c>
      <c r="C131" s="4" t="str" cm="1">
        <f t="array" aca="1" ref="C131" ca="1">IFERROR(INDEX(_xlfn.ANCHORARRAY($AA$11),ROW()-10,3),"")</f>
        <v/>
      </c>
      <c r="D131" s="15" t="str" cm="1">
        <f t="array" aca="1" ref="D131" ca="1">IFERROR(INDEX(_xlfn.ANCHORARRAY($AA$11),ROW()-10,4),"")</f>
        <v/>
      </c>
      <c r="E131" s="4" t="str" cm="1">
        <f t="array" aca="1" ref="E131" ca="1">IFERROR(INDEX(_xlfn.ANCHORARRAY($AA$11),ROW()-10,5),"")</f>
        <v/>
      </c>
      <c r="F131" s="15" t="str" cm="1">
        <f t="array" aca="1" ref="F131" ca="1">IFERROR(INDEX(_xlfn.ANCHORARRAY($AA$11),ROW()-10,6),"")</f>
        <v/>
      </c>
      <c r="G131" s="4" t="str" cm="1">
        <f t="array" aca="1" ref="G131" ca="1">IFERROR(INDEX(_xlfn.ANCHORARRAY($AA$11),ROW()-10,7),"")</f>
        <v/>
      </c>
      <c r="H131" s="4" t="str" cm="1">
        <f t="array" aca="1" ref="H131" ca="1">IFERROR(INDEX(_xlfn.ANCHORARRAY($AA$11),ROW()-10,8),"")</f>
        <v/>
      </c>
      <c r="I131" s="4" t="str" cm="1">
        <f t="array" aca="1" ref="I131" ca="1">IFERROR(INDEX(_xlfn.ANCHORARRAY($AA$11),ROW()-10,9),"")</f>
        <v/>
      </c>
      <c r="J131" s="4" t="str">
        <f t="shared" ca="1" si="9"/>
        <v/>
      </c>
      <c r="K131" s="4" t="str">
        <f t="shared" ca="1" si="10"/>
        <v/>
      </c>
      <c r="L131" s="4" t="str" cm="1">
        <f t="array" aca="1" ref="L131" ca="1">_xlfn.LET(_xlpm.link,IFERROR(INDEX(_xlfn.ANCHORARRAY($AA$11),ROW()-10,12),""),IF(_xlpm.link="","",HYPERLINK(_xlpm.link,"Bluecore/Attentive")))</f>
        <v/>
      </c>
      <c r="M131" s="88" t="str">
        <f t="shared" ca="1" si="11"/>
        <v/>
      </c>
      <c r="N131" s="7"/>
      <c r="O131" s="7"/>
      <c r="P131" s="7"/>
      <c r="Q131" s="7"/>
      <c r="R131" s="7"/>
      <c r="S131" s="6"/>
      <c r="T131" s="6"/>
      <c r="U131" s="6"/>
      <c r="V131" s="6"/>
      <c r="W131" s="6"/>
      <c r="X131" s="6"/>
      <c r="Y131" s="6"/>
      <c r="Z131" s="6"/>
      <c r="AA131" s="32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34" t="str" cm="1">
        <f t="array" aca="1" ref="A132" ca="1">IFERROR(INDEX(_xlfn.ANCHORARRAY($AA$11),ROW()-10,1),"")</f>
        <v/>
      </c>
      <c r="B132" s="20" t="str" cm="1">
        <f t="array" aca="1" ref="B132" ca="1">IFERROR(INDEX(_xlfn.ANCHORARRAY($AA$11),ROW()-10,2),"")</f>
        <v/>
      </c>
      <c r="C132" s="4" t="str" cm="1">
        <f t="array" aca="1" ref="C132" ca="1">IFERROR(INDEX(_xlfn.ANCHORARRAY($AA$11),ROW()-10,3),"")</f>
        <v/>
      </c>
      <c r="D132" s="15" t="str" cm="1">
        <f t="array" aca="1" ref="D132" ca="1">IFERROR(INDEX(_xlfn.ANCHORARRAY($AA$11),ROW()-10,4),"")</f>
        <v/>
      </c>
      <c r="E132" s="4" t="str" cm="1">
        <f t="array" aca="1" ref="E132" ca="1">IFERROR(INDEX(_xlfn.ANCHORARRAY($AA$11),ROW()-10,5),"")</f>
        <v/>
      </c>
      <c r="F132" s="15" t="str" cm="1">
        <f t="array" aca="1" ref="F132" ca="1">IFERROR(INDEX(_xlfn.ANCHORARRAY($AA$11),ROW()-10,6),"")</f>
        <v/>
      </c>
      <c r="G132" s="4" t="str" cm="1">
        <f t="array" aca="1" ref="G132" ca="1">IFERROR(INDEX(_xlfn.ANCHORARRAY($AA$11),ROW()-10,7),"")</f>
        <v/>
      </c>
      <c r="H132" s="4" t="str" cm="1">
        <f t="array" aca="1" ref="H132" ca="1">IFERROR(INDEX(_xlfn.ANCHORARRAY($AA$11),ROW()-10,8),"")</f>
        <v/>
      </c>
      <c r="I132" s="4" t="str" cm="1">
        <f t="array" aca="1" ref="I132" ca="1">IFERROR(INDEX(_xlfn.ANCHORARRAY($AA$11),ROW()-10,9),"")</f>
        <v/>
      </c>
      <c r="J132" s="4" t="str">
        <f t="shared" ca="1" si="9"/>
        <v/>
      </c>
      <c r="K132" s="4" t="str">
        <f t="shared" ca="1" si="10"/>
        <v/>
      </c>
      <c r="L132" s="4" t="str" cm="1">
        <f t="array" aca="1" ref="L132" ca="1">_xlfn.LET(_xlpm.link,IFERROR(INDEX(_xlfn.ANCHORARRAY($AA$11),ROW()-10,12),""),IF(_xlpm.link="","",HYPERLINK(_xlpm.link,"Bluecore/Attentive")))</f>
        <v/>
      </c>
      <c r="M132" s="89" t="str">
        <f t="shared" ca="1" si="11"/>
        <v/>
      </c>
      <c r="N132" s="7"/>
      <c r="O132" s="7"/>
      <c r="P132" s="7"/>
      <c r="Q132" s="7"/>
      <c r="R132" s="7"/>
      <c r="S132" s="6"/>
      <c r="T132" s="6"/>
      <c r="U132" s="6"/>
      <c r="V132" s="6"/>
      <c r="W132" s="6"/>
      <c r="X132" s="6"/>
      <c r="Y132" s="6"/>
      <c r="Z132" s="6"/>
      <c r="AA132" s="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34" t="str" cm="1">
        <f t="array" aca="1" ref="A133" ca="1">IFERROR(INDEX(_xlfn.ANCHORARRAY($AA$11),ROW()-10,1),"")</f>
        <v/>
      </c>
      <c r="B133" s="20" t="str" cm="1">
        <f t="array" aca="1" ref="B133" ca="1">IFERROR(INDEX(_xlfn.ANCHORARRAY($AA$11),ROW()-10,2),"")</f>
        <v/>
      </c>
      <c r="C133" s="4" t="str" cm="1">
        <f t="array" aca="1" ref="C133" ca="1">IFERROR(INDEX(_xlfn.ANCHORARRAY($AA$11),ROW()-10,3),"")</f>
        <v/>
      </c>
      <c r="D133" s="15" t="str" cm="1">
        <f t="array" aca="1" ref="D133" ca="1">IFERROR(INDEX(_xlfn.ANCHORARRAY($AA$11),ROW()-10,4),"")</f>
        <v/>
      </c>
      <c r="E133" s="4" t="str" cm="1">
        <f t="array" aca="1" ref="E133" ca="1">IFERROR(INDEX(_xlfn.ANCHORARRAY($AA$11),ROW()-10,5),"")</f>
        <v/>
      </c>
      <c r="F133" s="15" t="str" cm="1">
        <f t="array" aca="1" ref="F133" ca="1">IFERROR(INDEX(_xlfn.ANCHORARRAY($AA$11),ROW()-10,6),"")</f>
        <v/>
      </c>
      <c r="G133" s="4" t="str" cm="1">
        <f t="array" aca="1" ref="G133" ca="1">IFERROR(INDEX(_xlfn.ANCHORARRAY($AA$11),ROW()-10,7),"")</f>
        <v/>
      </c>
      <c r="H133" s="4" t="str" cm="1">
        <f t="array" aca="1" ref="H133" ca="1">IFERROR(INDEX(_xlfn.ANCHORARRAY($AA$11),ROW()-10,8),"")</f>
        <v/>
      </c>
      <c r="I133" s="4" t="str" cm="1">
        <f t="array" aca="1" ref="I133" ca="1">IFERROR(INDEX(_xlfn.ANCHORARRAY($AA$11),ROW()-10,9),"")</f>
        <v/>
      </c>
      <c r="J133" s="4" t="str">
        <f t="shared" ca="1" si="9"/>
        <v/>
      </c>
      <c r="K133" s="4" t="str">
        <f t="shared" ca="1" si="10"/>
        <v/>
      </c>
      <c r="L133" s="4" t="str" cm="1">
        <f t="array" aca="1" ref="L133" ca="1">_xlfn.LET(_xlpm.link,IFERROR(INDEX(_xlfn.ANCHORARRAY($AA$11),ROW()-10,12),""),IF(_xlpm.link="","",HYPERLINK(_xlpm.link,"Bluecore/Attentive")))</f>
        <v/>
      </c>
      <c r="M133" s="88" t="str">
        <f t="shared" ca="1" si="11"/>
        <v/>
      </c>
      <c r="N133" s="7"/>
      <c r="O133" s="7"/>
      <c r="P133" s="7"/>
      <c r="Q133" s="7"/>
      <c r="R133" s="7"/>
      <c r="S133" s="6"/>
      <c r="T133" s="6"/>
      <c r="U133" s="6"/>
      <c r="V133" s="6"/>
      <c r="W133" s="6"/>
      <c r="X133" s="6"/>
      <c r="Y133" s="6"/>
      <c r="Z133" s="6"/>
      <c r="AA133" s="32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34" t="str" cm="1">
        <f t="array" aca="1" ref="A134" ca="1">IFERROR(INDEX(_xlfn.ANCHORARRAY($AA$11),ROW()-10,1),"")</f>
        <v/>
      </c>
      <c r="B134" s="20" t="str" cm="1">
        <f t="array" aca="1" ref="B134" ca="1">IFERROR(INDEX(_xlfn.ANCHORARRAY($AA$11),ROW()-10,2),"")</f>
        <v/>
      </c>
      <c r="C134" s="4" t="str" cm="1">
        <f t="array" aca="1" ref="C134" ca="1">IFERROR(INDEX(_xlfn.ANCHORARRAY($AA$11),ROW()-10,3),"")</f>
        <v/>
      </c>
      <c r="D134" s="15" t="str" cm="1">
        <f t="array" aca="1" ref="D134" ca="1">IFERROR(INDEX(_xlfn.ANCHORARRAY($AA$11),ROW()-10,4),"")</f>
        <v/>
      </c>
      <c r="E134" s="4" t="str" cm="1">
        <f t="array" aca="1" ref="E134" ca="1">IFERROR(INDEX(_xlfn.ANCHORARRAY($AA$11),ROW()-10,5),"")</f>
        <v/>
      </c>
      <c r="F134" s="15" t="str" cm="1">
        <f t="array" aca="1" ref="F134" ca="1">IFERROR(INDEX(_xlfn.ANCHORARRAY($AA$11),ROW()-10,6),"")</f>
        <v/>
      </c>
      <c r="G134" s="4" t="str" cm="1">
        <f t="array" aca="1" ref="G134" ca="1">IFERROR(INDEX(_xlfn.ANCHORARRAY($AA$11),ROW()-10,7),"")</f>
        <v/>
      </c>
      <c r="H134" s="4" t="str" cm="1">
        <f t="array" aca="1" ref="H134" ca="1">IFERROR(INDEX(_xlfn.ANCHORARRAY($AA$11),ROW()-10,8),"")</f>
        <v/>
      </c>
      <c r="I134" s="4" t="str" cm="1">
        <f t="array" aca="1" ref="I134" ca="1">IFERROR(INDEX(_xlfn.ANCHORARRAY($AA$11),ROW()-10,9),"")</f>
        <v/>
      </c>
      <c r="J134" s="4" t="str">
        <f t="shared" ca="1" si="9"/>
        <v/>
      </c>
      <c r="K134" s="4" t="str">
        <f t="shared" ca="1" si="10"/>
        <v/>
      </c>
      <c r="L134" s="4" t="str" cm="1">
        <f t="array" aca="1" ref="L134" ca="1">_xlfn.LET(_xlpm.link,IFERROR(INDEX(_xlfn.ANCHORARRAY($AA$11),ROW()-10,12),""),IF(_xlpm.link="","",HYPERLINK(_xlpm.link,"Bluecore/Attentive")))</f>
        <v/>
      </c>
      <c r="M134" s="89" t="str">
        <f t="shared" ca="1" si="11"/>
        <v/>
      </c>
      <c r="N134" s="7"/>
      <c r="O134" s="7"/>
      <c r="P134" s="7"/>
      <c r="Q134" s="7"/>
      <c r="R134" s="7"/>
      <c r="S134" s="6"/>
      <c r="T134" s="6"/>
      <c r="U134" s="6"/>
      <c r="V134" s="6"/>
      <c r="W134" s="6"/>
      <c r="X134" s="6"/>
      <c r="Y134" s="6"/>
      <c r="Z134" s="6"/>
      <c r="AA134" s="32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34" t="str" cm="1">
        <f t="array" aca="1" ref="A135" ca="1">IFERROR(INDEX(_xlfn.ANCHORARRAY($AA$11),ROW()-10,1),"")</f>
        <v/>
      </c>
      <c r="B135" s="20" t="str" cm="1">
        <f t="array" aca="1" ref="B135" ca="1">IFERROR(INDEX(_xlfn.ANCHORARRAY($AA$11),ROW()-10,2),"")</f>
        <v/>
      </c>
      <c r="C135" s="4" t="str" cm="1">
        <f t="array" aca="1" ref="C135" ca="1">IFERROR(INDEX(_xlfn.ANCHORARRAY($AA$11),ROW()-10,3),"")</f>
        <v/>
      </c>
      <c r="D135" s="15" t="str" cm="1">
        <f t="array" aca="1" ref="D135" ca="1">IFERROR(INDEX(_xlfn.ANCHORARRAY($AA$11),ROW()-10,4),"")</f>
        <v/>
      </c>
      <c r="E135" s="4" t="str" cm="1">
        <f t="array" aca="1" ref="E135" ca="1">IFERROR(INDEX(_xlfn.ANCHORARRAY($AA$11),ROW()-10,5),"")</f>
        <v/>
      </c>
      <c r="F135" s="15" t="str" cm="1">
        <f t="array" aca="1" ref="F135" ca="1">IFERROR(INDEX(_xlfn.ANCHORARRAY($AA$11),ROW()-10,6),"")</f>
        <v/>
      </c>
      <c r="G135" s="4" t="str" cm="1">
        <f t="array" aca="1" ref="G135" ca="1">IFERROR(INDEX(_xlfn.ANCHORARRAY($AA$11),ROW()-10,7),"")</f>
        <v/>
      </c>
      <c r="H135" s="4" t="str" cm="1">
        <f t="array" aca="1" ref="H135" ca="1">IFERROR(INDEX(_xlfn.ANCHORARRAY($AA$11),ROW()-10,8),"")</f>
        <v/>
      </c>
      <c r="I135" s="4" t="str" cm="1">
        <f t="array" aca="1" ref="I135" ca="1">IFERROR(INDEX(_xlfn.ANCHORARRAY($AA$11),ROW()-10,9),"")</f>
        <v/>
      </c>
      <c r="J135" s="4" t="str">
        <f t="shared" ca="1" si="9"/>
        <v/>
      </c>
      <c r="K135" s="4" t="str">
        <f t="shared" ca="1" si="10"/>
        <v/>
      </c>
      <c r="L135" s="4" t="str" cm="1">
        <f t="array" aca="1" ref="L135" ca="1">_xlfn.LET(_xlpm.link,IFERROR(INDEX(_xlfn.ANCHORARRAY($AA$11),ROW()-10,12),""),IF(_xlpm.link="","",HYPERLINK(_xlpm.link,"Bluecore/Attentive")))</f>
        <v/>
      </c>
      <c r="M135" s="88" t="str">
        <f t="shared" ca="1" si="11"/>
        <v/>
      </c>
      <c r="N135" s="7"/>
      <c r="O135" s="7"/>
      <c r="P135" s="7"/>
      <c r="Q135" s="7"/>
      <c r="R135" s="7"/>
      <c r="S135" s="6"/>
      <c r="T135" s="6"/>
      <c r="U135" s="6"/>
      <c r="V135" s="6"/>
      <c r="W135" s="6"/>
      <c r="X135" s="6"/>
      <c r="Y135" s="6"/>
      <c r="Z135" s="6"/>
      <c r="AA135" s="32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34" t="str" cm="1">
        <f t="array" aca="1" ref="A136" ca="1">IFERROR(INDEX(_xlfn.ANCHORARRAY($AA$11),ROW()-10,1),"")</f>
        <v/>
      </c>
      <c r="B136" s="20" t="str" cm="1">
        <f t="array" aca="1" ref="B136" ca="1">IFERROR(INDEX(_xlfn.ANCHORARRAY($AA$11),ROW()-10,2),"")</f>
        <v/>
      </c>
      <c r="C136" s="4" t="str" cm="1">
        <f t="array" aca="1" ref="C136" ca="1">IFERROR(INDEX(_xlfn.ANCHORARRAY($AA$11),ROW()-10,3),"")</f>
        <v/>
      </c>
      <c r="D136" s="15" t="str" cm="1">
        <f t="array" aca="1" ref="D136" ca="1">IFERROR(INDEX(_xlfn.ANCHORARRAY($AA$11),ROW()-10,4),"")</f>
        <v/>
      </c>
      <c r="E136" s="4" t="str" cm="1">
        <f t="array" aca="1" ref="E136" ca="1">IFERROR(INDEX(_xlfn.ANCHORARRAY($AA$11),ROW()-10,5),"")</f>
        <v/>
      </c>
      <c r="F136" s="15" t="str" cm="1">
        <f t="array" aca="1" ref="F136" ca="1">IFERROR(INDEX(_xlfn.ANCHORARRAY($AA$11),ROW()-10,6),"")</f>
        <v/>
      </c>
      <c r="G136" s="4" t="str" cm="1">
        <f t="array" aca="1" ref="G136" ca="1">IFERROR(INDEX(_xlfn.ANCHORARRAY($AA$11),ROW()-10,7),"")</f>
        <v/>
      </c>
      <c r="H136" s="4" t="str" cm="1">
        <f t="array" aca="1" ref="H136" ca="1">IFERROR(INDEX(_xlfn.ANCHORARRAY($AA$11),ROW()-10,8),"")</f>
        <v/>
      </c>
      <c r="I136" s="4" t="str" cm="1">
        <f t="array" aca="1" ref="I136" ca="1">IFERROR(INDEX(_xlfn.ANCHORARRAY($AA$11),ROW()-10,9),"")</f>
        <v/>
      </c>
      <c r="J136" s="4" t="str">
        <f t="shared" ca="1" si="9"/>
        <v/>
      </c>
      <c r="K136" s="4" t="str">
        <f t="shared" ca="1" si="10"/>
        <v/>
      </c>
      <c r="L136" s="4" t="str" cm="1">
        <f t="array" aca="1" ref="L136" ca="1">_xlfn.LET(_xlpm.link,IFERROR(INDEX(_xlfn.ANCHORARRAY($AA$11),ROW()-10,12),""),IF(_xlpm.link="","",HYPERLINK(_xlpm.link,"Bluecore/Attentive")))</f>
        <v/>
      </c>
      <c r="M136" s="89" t="str">
        <f t="shared" ca="1" si="11"/>
        <v/>
      </c>
      <c r="N136" s="7"/>
      <c r="O136" s="7"/>
      <c r="P136" s="7"/>
      <c r="Q136" s="7"/>
      <c r="R136" s="7"/>
      <c r="S136" s="6"/>
      <c r="T136" s="6"/>
      <c r="U136" s="6"/>
      <c r="V136" s="6"/>
      <c r="W136" s="6"/>
      <c r="X136" s="6"/>
      <c r="Y136" s="6"/>
      <c r="Z136" s="6"/>
      <c r="AA136" s="32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34" t="str" cm="1">
        <f t="array" aca="1" ref="A137" ca="1">IFERROR(INDEX(_xlfn.ANCHORARRAY($AA$11),ROW()-10,1),"")</f>
        <v/>
      </c>
      <c r="B137" s="20" t="str" cm="1">
        <f t="array" aca="1" ref="B137" ca="1">IFERROR(INDEX(_xlfn.ANCHORARRAY($AA$11),ROW()-10,2),"")</f>
        <v/>
      </c>
      <c r="C137" s="4" t="str" cm="1">
        <f t="array" aca="1" ref="C137" ca="1">IFERROR(INDEX(_xlfn.ANCHORARRAY($AA$11),ROW()-10,3),"")</f>
        <v/>
      </c>
      <c r="D137" s="15" t="str" cm="1">
        <f t="array" aca="1" ref="D137" ca="1">IFERROR(INDEX(_xlfn.ANCHORARRAY($AA$11),ROW()-10,4),"")</f>
        <v/>
      </c>
      <c r="E137" s="4" t="str" cm="1">
        <f t="array" aca="1" ref="E137" ca="1">IFERROR(INDEX(_xlfn.ANCHORARRAY($AA$11),ROW()-10,5),"")</f>
        <v/>
      </c>
      <c r="F137" s="15" t="str" cm="1">
        <f t="array" aca="1" ref="F137" ca="1">IFERROR(INDEX(_xlfn.ANCHORARRAY($AA$11),ROW()-10,6),"")</f>
        <v/>
      </c>
      <c r="G137" s="4" t="str" cm="1">
        <f t="array" aca="1" ref="G137" ca="1">IFERROR(INDEX(_xlfn.ANCHORARRAY($AA$11),ROW()-10,7),"")</f>
        <v/>
      </c>
      <c r="H137" s="4" t="str" cm="1">
        <f t="array" aca="1" ref="H137" ca="1">IFERROR(INDEX(_xlfn.ANCHORARRAY($AA$11),ROW()-10,8),"")</f>
        <v/>
      </c>
      <c r="I137" s="4" t="str" cm="1">
        <f t="array" aca="1" ref="I137" ca="1">IFERROR(INDEX(_xlfn.ANCHORARRAY($AA$11),ROW()-10,9),"")</f>
        <v/>
      </c>
      <c r="J137" s="4" t="str">
        <f t="shared" ca="1" si="9"/>
        <v/>
      </c>
      <c r="K137" s="4" t="str">
        <f t="shared" ca="1" si="10"/>
        <v/>
      </c>
      <c r="L137" s="4" t="str" cm="1">
        <f t="array" aca="1" ref="L137" ca="1">_xlfn.LET(_xlpm.link,IFERROR(INDEX(_xlfn.ANCHORARRAY($AA$11),ROW()-10,12),""),IF(_xlpm.link="","",HYPERLINK(_xlpm.link,"Bluecore/Attentive")))</f>
        <v/>
      </c>
      <c r="M137" s="88" t="str">
        <f t="shared" ca="1" si="11"/>
        <v/>
      </c>
      <c r="N137" s="7"/>
      <c r="O137" s="7"/>
      <c r="P137" s="7"/>
      <c r="Q137" s="7"/>
      <c r="R137" s="7"/>
      <c r="S137" s="6"/>
      <c r="T137" s="6"/>
      <c r="U137" s="6"/>
      <c r="V137" s="6"/>
      <c r="W137" s="6"/>
      <c r="X137" s="6"/>
      <c r="Y137" s="6"/>
      <c r="Z137" s="6"/>
      <c r="AA137" s="32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34" t="str" cm="1">
        <f t="array" aca="1" ref="A138" ca="1">IFERROR(INDEX(_xlfn.ANCHORARRAY($AA$11),ROW()-10,1),"")</f>
        <v/>
      </c>
      <c r="B138" s="20" t="str" cm="1">
        <f t="array" aca="1" ref="B138" ca="1">IFERROR(INDEX(_xlfn.ANCHORARRAY($AA$11),ROW()-10,2),"")</f>
        <v/>
      </c>
      <c r="C138" s="4" t="str" cm="1">
        <f t="array" aca="1" ref="C138" ca="1">IFERROR(INDEX(_xlfn.ANCHORARRAY($AA$11),ROW()-10,3),"")</f>
        <v/>
      </c>
      <c r="D138" s="15" t="str" cm="1">
        <f t="array" aca="1" ref="D138" ca="1">IFERROR(INDEX(_xlfn.ANCHORARRAY($AA$11),ROW()-10,4),"")</f>
        <v/>
      </c>
      <c r="E138" s="4" t="str" cm="1">
        <f t="array" aca="1" ref="E138" ca="1">IFERROR(INDEX(_xlfn.ANCHORARRAY($AA$11),ROW()-10,5),"")</f>
        <v/>
      </c>
      <c r="F138" s="15" t="str" cm="1">
        <f t="array" aca="1" ref="F138" ca="1">IFERROR(INDEX(_xlfn.ANCHORARRAY($AA$11),ROW()-10,6),"")</f>
        <v/>
      </c>
      <c r="G138" s="4" t="str" cm="1">
        <f t="array" aca="1" ref="G138" ca="1">IFERROR(INDEX(_xlfn.ANCHORARRAY($AA$11),ROW()-10,7),"")</f>
        <v/>
      </c>
      <c r="H138" s="4" t="str" cm="1">
        <f t="array" aca="1" ref="H138" ca="1">IFERROR(INDEX(_xlfn.ANCHORARRAY($AA$11),ROW()-10,8),"")</f>
        <v/>
      </c>
      <c r="I138" s="4" t="str" cm="1">
        <f t="array" aca="1" ref="I138" ca="1">IFERROR(INDEX(_xlfn.ANCHORARRAY($AA$11),ROW()-10,9),"")</f>
        <v/>
      </c>
      <c r="J138" s="4" t="str">
        <f t="shared" ca="1" si="9"/>
        <v/>
      </c>
      <c r="K138" s="4" t="str">
        <f t="shared" ca="1" si="10"/>
        <v/>
      </c>
      <c r="L138" s="4" t="str" cm="1">
        <f t="array" aca="1" ref="L138" ca="1">_xlfn.LET(_xlpm.link,IFERROR(INDEX(_xlfn.ANCHORARRAY($AA$11),ROW()-10,12),""),IF(_xlpm.link="","",HYPERLINK(_xlpm.link,"Bluecore/Attentive")))</f>
        <v/>
      </c>
      <c r="M138" s="89" t="str">
        <f t="shared" ca="1" si="11"/>
        <v/>
      </c>
      <c r="N138" s="7"/>
      <c r="O138" s="7"/>
      <c r="P138" s="7"/>
      <c r="Q138" s="7"/>
      <c r="R138" s="7"/>
      <c r="S138" s="6"/>
      <c r="T138" s="6"/>
      <c r="U138" s="6"/>
      <c r="V138" s="6"/>
      <c r="W138" s="6"/>
      <c r="X138" s="6"/>
      <c r="Y138" s="6"/>
      <c r="Z138" s="6"/>
      <c r="AA138" s="32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34" t="str" cm="1">
        <f t="array" aca="1" ref="A139" ca="1">IFERROR(INDEX(_xlfn.ANCHORARRAY($AA$11),ROW()-10,1),"")</f>
        <v/>
      </c>
      <c r="B139" s="20" t="str" cm="1">
        <f t="array" aca="1" ref="B139" ca="1">IFERROR(INDEX(_xlfn.ANCHORARRAY($AA$11),ROW()-10,2),"")</f>
        <v/>
      </c>
      <c r="C139" s="4" t="str" cm="1">
        <f t="array" aca="1" ref="C139" ca="1">IFERROR(INDEX(_xlfn.ANCHORARRAY($AA$11),ROW()-10,3),"")</f>
        <v/>
      </c>
      <c r="D139" s="15" t="str" cm="1">
        <f t="array" aca="1" ref="D139" ca="1">IFERROR(INDEX(_xlfn.ANCHORARRAY($AA$11),ROW()-10,4),"")</f>
        <v/>
      </c>
      <c r="E139" s="4" t="str" cm="1">
        <f t="array" aca="1" ref="E139" ca="1">IFERROR(INDEX(_xlfn.ANCHORARRAY($AA$11),ROW()-10,5),"")</f>
        <v/>
      </c>
      <c r="F139" s="15" t="str" cm="1">
        <f t="array" aca="1" ref="F139" ca="1">IFERROR(INDEX(_xlfn.ANCHORARRAY($AA$11),ROW()-10,6),"")</f>
        <v/>
      </c>
      <c r="G139" s="4" t="str" cm="1">
        <f t="array" aca="1" ref="G139" ca="1">IFERROR(INDEX(_xlfn.ANCHORARRAY($AA$11),ROW()-10,7),"")</f>
        <v/>
      </c>
      <c r="H139" s="4" t="str" cm="1">
        <f t="array" aca="1" ref="H139" ca="1">IFERROR(INDEX(_xlfn.ANCHORARRAY($AA$11),ROW()-10,8),"")</f>
        <v/>
      </c>
      <c r="I139" s="4" t="str" cm="1">
        <f t="array" aca="1" ref="I139" ca="1">IFERROR(INDEX(_xlfn.ANCHORARRAY($AA$11),ROW()-10,9),"")</f>
        <v/>
      </c>
      <c r="J139" s="4" t="str">
        <f t="shared" ref="J139:J160" ca="1" si="12">_xlfn.LET(_xlpm.ch,IFERROR(INDEX(_xlfn.ANCHORARRAY($AA$11),ROW()-10,3),""),_xlpm.link,IFERROR(INDEX(_xlfn.ANCHORARRAY($AA$11),ROW()-10,10),""),IF(OR(_xlpm.link="",_xlpm.ch="SMS"),"",HYPERLINK(_xlpm.link,"JIRA")))</f>
        <v/>
      </c>
      <c r="K139" s="4" t="str">
        <f t="shared" ref="K139:K160" ca="1" si="13">_xlfn.LET(_xlpm.ch,IFERROR(INDEX(_xlfn.ANCHORARRAY($AA$11),ROW()-10,3),""),_xlpm.link,IFERROR(INDEX(_xlfn.ANCHORARRAY($AA$11),ROW()-10,11),""),IF(OR(_xlpm.link="",_xlpm.ch="SMS"),"",HYPERLINK(_xlpm.link,"ClickUp")))</f>
        <v/>
      </c>
      <c r="L139" s="4" t="str" cm="1">
        <f t="array" aca="1" ref="L139" ca="1">_xlfn.LET(_xlpm.link,IFERROR(INDEX(_xlfn.ANCHORARRAY($AA$11),ROW()-10,12),""),IF(_xlpm.link="","",HYPERLINK(_xlpm.link,"Bluecore/Attentive")))</f>
        <v/>
      </c>
      <c r="M139" s="88" t="str">
        <f t="shared" ref="M139:M160" ca="1" si="14">_xlfn.LET(_xlpm.sendDate,$A139,_xlpm.camp,$D139&amp;"",_xlpm.code,LEFT(_xlpm.camp,6),_xlpm.parsed,IFERROR(DATE(2000+VALUE(MID(_xlpm.code,5,2)),VALUE(LEFT(_xlpm.code,2)),VALUE(MID(_xlpm.code,3,2))),""),_xlpm.useDate,IF(_xlpm.parsed="",IF(ISNUMBER(_xlpm.sendDate),INT(_xlpm.sendDate),""),_xlpm.parsed),IF(_xlpm.useDate="","","Week "&amp;WEEKNUM(_xlpm.useDate,1)))</f>
        <v/>
      </c>
      <c r="N139" s="7"/>
      <c r="O139" s="7"/>
      <c r="P139" s="7"/>
      <c r="Q139" s="7"/>
      <c r="R139" s="7"/>
      <c r="S139" s="6"/>
      <c r="T139" s="6"/>
      <c r="U139" s="6"/>
      <c r="V139" s="6"/>
      <c r="W139" s="6"/>
      <c r="X139" s="6"/>
      <c r="Y139" s="6"/>
      <c r="Z139" s="6"/>
      <c r="AA139" s="32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34" t="str" cm="1">
        <f t="array" aca="1" ref="A140" ca="1">IFERROR(INDEX(_xlfn.ANCHORARRAY($AA$11),ROW()-10,1),"")</f>
        <v/>
      </c>
      <c r="B140" s="20" t="str" cm="1">
        <f t="array" aca="1" ref="B140" ca="1">IFERROR(INDEX(_xlfn.ANCHORARRAY($AA$11),ROW()-10,2),"")</f>
        <v/>
      </c>
      <c r="C140" s="4" t="str" cm="1">
        <f t="array" aca="1" ref="C140" ca="1">IFERROR(INDEX(_xlfn.ANCHORARRAY($AA$11),ROW()-10,3),"")</f>
        <v/>
      </c>
      <c r="D140" s="15" t="str" cm="1">
        <f t="array" aca="1" ref="D140" ca="1">IFERROR(INDEX(_xlfn.ANCHORARRAY($AA$11),ROW()-10,4),"")</f>
        <v/>
      </c>
      <c r="E140" s="4" t="str" cm="1">
        <f t="array" aca="1" ref="E140" ca="1">IFERROR(INDEX(_xlfn.ANCHORARRAY($AA$11),ROW()-10,5),"")</f>
        <v/>
      </c>
      <c r="F140" s="15" t="str" cm="1">
        <f t="array" aca="1" ref="F140" ca="1">IFERROR(INDEX(_xlfn.ANCHORARRAY($AA$11),ROW()-10,6),"")</f>
        <v/>
      </c>
      <c r="G140" s="4" t="str" cm="1">
        <f t="array" aca="1" ref="G140" ca="1">IFERROR(INDEX(_xlfn.ANCHORARRAY($AA$11),ROW()-10,7),"")</f>
        <v/>
      </c>
      <c r="H140" s="4" t="str" cm="1">
        <f t="array" aca="1" ref="H140" ca="1">IFERROR(INDEX(_xlfn.ANCHORARRAY($AA$11),ROW()-10,8),"")</f>
        <v/>
      </c>
      <c r="I140" s="4" t="str" cm="1">
        <f t="array" aca="1" ref="I140" ca="1">IFERROR(INDEX(_xlfn.ANCHORARRAY($AA$11),ROW()-10,9),"")</f>
        <v/>
      </c>
      <c r="J140" s="4" t="str">
        <f t="shared" ca="1" si="12"/>
        <v/>
      </c>
      <c r="K140" s="4" t="str">
        <f t="shared" ca="1" si="13"/>
        <v/>
      </c>
      <c r="L140" s="4" t="str" cm="1">
        <f t="array" aca="1" ref="L140" ca="1">_xlfn.LET(_xlpm.link,IFERROR(INDEX(_xlfn.ANCHORARRAY($AA$11),ROW()-10,12),""),IF(_xlpm.link="","",HYPERLINK(_xlpm.link,"Bluecore/Attentive")))</f>
        <v/>
      </c>
      <c r="M140" s="89" t="str">
        <f t="shared" ca="1" si="14"/>
        <v/>
      </c>
      <c r="N140" s="7"/>
      <c r="O140" s="7"/>
      <c r="P140" s="7"/>
      <c r="Q140" s="7"/>
      <c r="R140" s="7"/>
      <c r="S140" s="6"/>
      <c r="T140" s="6"/>
      <c r="U140" s="6"/>
      <c r="V140" s="6"/>
      <c r="W140" s="6"/>
      <c r="X140" s="6"/>
      <c r="Y140" s="6"/>
      <c r="Z140" s="6"/>
      <c r="AA140" s="32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34" t="str" cm="1">
        <f t="array" aca="1" ref="A141" ca="1">IFERROR(INDEX(_xlfn.ANCHORARRAY($AA$11),ROW()-10,1),"")</f>
        <v/>
      </c>
      <c r="B141" s="20" t="str" cm="1">
        <f t="array" aca="1" ref="B141" ca="1">IFERROR(INDEX(_xlfn.ANCHORARRAY($AA$11),ROW()-10,2),"")</f>
        <v/>
      </c>
      <c r="C141" s="4" t="str" cm="1">
        <f t="array" aca="1" ref="C141" ca="1">IFERROR(INDEX(_xlfn.ANCHORARRAY($AA$11),ROW()-10,3),"")</f>
        <v/>
      </c>
      <c r="D141" s="15" t="str" cm="1">
        <f t="array" aca="1" ref="D141" ca="1">IFERROR(INDEX(_xlfn.ANCHORARRAY($AA$11),ROW()-10,4),"")</f>
        <v/>
      </c>
      <c r="E141" s="4" t="str" cm="1">
        <f t="array" aca="1" ref="E141" ca="1">IFERROR(INDEX(_xlfn.ANCHORARRAY($AA$11),ROW()-10,5),"")</f>
        <v/>
      </c>
      <c r="F141" s="15" t="str" cm="1">
        <f t="array" aca="1" ref="F141" ca="1">IFERROR(INDEX(_xlfn.ANCHORARRAY($AA$11),ROW()-10,6),"")</f>
        <v/>
      </c>
      <c r="G141" s="4" t="str" cm="1">
        <f t="array" aca="1" ref="G141" ca="1">IFERROR(INDEX(_xlfn.ANCHORARRAY($AA$11),ROW()-10,7),"")</f>
        <v/>
      </c>
      <c r="H141" s="4" t="str" cm="1">
        <f t="array" aca="1" ref="H141" ca="1">IFERROR(INDEX(_xlfn.ANCHORARRAY($AA$11),ROW()-10,8),"")</f>
        <v/>
      </c>
      <c r="I141" s="4" t="str" cm="1">
        <f t="array" aca="1" ref="I141" ca="1">IFERROR(INDEX(_xlfn.ANCHORARRAY($AA$11),ROW()-10,9),"")</f>
        <v/>
      </c>
      <c r="J141" s="4" t="str">
        <f t="shared" ca="1" si="12"/>
        <v/>
      </c>
      <c r="K141" s="4" t="str">
        <f t="shared" ca="1" si="13"/>
        <v/>
      </c>
      <c r="L141" s="4" t="str" cm="1">
        <f t="array" aca="1" ref="L141" ca="1">_xlfn.LET(_xlpm.link,IFERROR(INDEX(_xlfn.ANCHORARRAY($AA$11),ROW()-10,12),""),IF(_xlpm.link="","",HYPERLINK(_xlpm.link,"Bluecore/Attentive")))</f>
        <v/>
      </c>
      <c r="M141" s="88" t="str">
        <f t="shared" ca="1" si="14"/>
        <v/>
      </c>
      <c r="N141" s="7"/>
      <c r="O141" s="7"/>
      <c r="P141" s="7"/>
      <c r="Q141" s="7"/>
      <c r="R141" s="7"/>
      <c r="S141" s="6"/>
      <c r="T141" s="6"/>
      <c r="U141" s="6"/>
      <c r="V141" s="6"/>
      <c r="W141" s="6"/>
      <c r="X141" s="6"/>
      <c r="Y141" s="6"/>
      <c r="Z141" s="6"/>
      <c r="AA141" s="32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34" t="str" cm="1">
        <f t="array" aca="1" ref="A142" ca="1">IFERROR(INDEX(_xlfn.ANCHORARRAY($AA$11),ROW()-10,1),"")</f>
        <v/>
      </c>
      <c r="B142" s="20" t="str" cm="1">
        <f t="array" aca="1" ref="B142" ca="1">IFERROR(INDEX(_xlfn.ANCHORARRAY($AA$11),ROW()-10,2),"")</f>
        <v/>
      </c>
      <c r="C142" s="4" t="str" cm="1">
        <f t="array" aca="1" ref="C142" ca="1">IFERROR(INDEX(_xlfn.ANCHORARRAY($AA$11),ROW()-10,3),"")</f>
        <v/>
      </c>
      <c r="D142" s="15" t="str" cm="1">
        <f t="array" aca="1" ref="D142" ca="1">IFERROR(INDEX(_xlfn.ANCHORARRAY($AA$11),ROW()-10,4),"")</f>
        <v/>
      </c>
      <c r="E142" s="4" t="str" cm="1">
        <f t="array" aca="1" ref="E142" ca="1">IFERROR(INDEX(_xlfn.ANCHORARRAY($AA$11),ROW()-10,5),"")</f>
        <v/>
      </c>
      <c r="F142" s="15" t="str" cm="1">
        <f t="array" aca="1" ref="F142" ca="1">IFERROR(INDEX(_xlfn.ANCHORARRAY($AA$11),ROW()-10,6),"")</f>
        <v/>
      </c>
      <c r="G142" s="4" t="str" cm="1">
        <f t="array" aca="1" ref="G142" ca="1">IFERROR(INDEX(_xlfn.ANCHORARRAY($AA$11),ROW()-10,7),"")</f>
        <v/>
      </c>
      <c r="H142" s="4" t="str" cm="1">
        <f t="array" aca="1" ref="H142" ca="1">IFERROR(INDEX(_xlfn.ANCHORARRAY($AA$11),ROW()-10,8),"")</f>
        <v/>
      </c>
      <c r="I142" s="4" t="str" cm="1">
        <f t="array" aca="1" ref="I142" ca="1">IFERROR(INDEX(_xlfn.ANCHORARRAY($AA$11),ROW()-10,9),"")</f>
        <v/>
      </c>
      <c r="J142" s="4" t="str">
        <f t="shared" ca="1" si="12"/>
        <v/>
      </c>
      <c r="K142" s="4" t="str">
        <f t="shared" ca="1" si="13"/>
        <v/>
      </c>
      <c r="L142" s="4" t="str" cm="1">
        <f t="array" aca="1" ref="L142" ca="1">_xlfn.LET(_xlpm.link,IFERROR(INDEX(_xlfn.ANCHORARRAY($AA$11),ROW()-10,12),""),IF(_xlpm.link="","",HYPERLINK(_xlpm.link,"Bluecore/Attentive")))</f>
        <v/>
      </c>
      <c r="M142" s="89" t="str">
        <f t="shared" ca="1" si="14"/>
        <v/>
      </c>
      <c r="N142" s="7"/>
      <c r="O142" s="7"/>
      <c r="P142" s="7"/>
      <c r="Q142" s="7"/>
      <c r="R142" s="7"/>
      <c r="S142" s="6"/>
      <c r="T142" s="6"/>
      <c r="U142" s="6"/>
      <c r="V142" s="6"/>
      <c r="W142" s="6"/>
      <c r="X142" s="6"/>
      <c r="Y142" s="6"/>
      <c r="Z142" s="6"/>
      <c r="AA142" s="3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34" t="str" cm="1">
        <f t="array" aca="1" ref="A143" ca="1">IFERROR(INDEX(_xlfn.ANCHORARRAY($AA$11),ROW()-10,1),"")</f>
        <v/>
      </c>
      <c r="B143" s="20" t="str" cm="1">
        <f t="array" aca="1" ref="B143" ca="1">IFERROR(INDEX(_xlfn.ANCHORARRAY($AA$11),ROW()-10,2),"")</f>
        <v/>
      </c>
      <c r="C143" s="4" t="str" cm="1">
        <f t="array" aca="1" ref="C143" ca="1">IFERROR(INDEX(_xlfn.ANCHORARRAY($AA$11),ROW()-10,3),"")</f>
        <v/>
      </c>
      <c r="D143" s="15" t="str" cm="1">
        <f t="array" aca="1" ref="D143" ca="1">IFERROR(INDEX(_xlfn.ANCHORARRAY($AA$11),ROW()-10,4),"")</f>
        <v/>
      </c>
      <c r="E143" s="4" t="str" cm="1">
        <f t="array" aca="1" ref="E143" ca="1">IFERROR(INDEX(_xlfn.ANCHORARRAY($AA$11),ROW()-10,5),"")</f>
        <v/>
      </c>
      <c r="F143" s="15" t="str" cm="1">
        <f t="array" aca="1" ref="F143" ca="1">IFERROR(INDEX(_xlfn.ANCHORARRAY($AA$11),ROW()-10,6),"")</f>
        <v/>
      </c>
      <c r="G143" s="4" t="str" cm="1">
        <f t="array" aca="1" ref="G143" ca="1">IFERROR(INDEX(_xlfn.ANCHORARRAY($AA$11),ROW()-10,7),"")</f>
        <v/>
      </c>
      <c r="H143" s="4" t="str" cm="1">
        <f t="array" aca="1" ref="H143" ca="1">IFERROR(INDEX(_xlfn.ANCHORARRAY($AA$11),ROW()-10,8),"")</f>
        <v/>
      </c>
      <c r="I143" s="4" t="str" cm="1">
        <f t="array" aca="1" ref="I143" ca="1">IFERROR(INDEX(_xlfn.ANCHORARRAY($AA$11),ROW()-10,9),"")</f>
        <v/>
      </c>
      <c r="J143" s="4" t="str">
        <f t="shared" ca="1" si="12"/>
        <v/>
      </c>
      <c r="K143" s="4" t="str">
        <f t="shared" ca="1" si="13"/>
        <v/>
      </c>
      <c r="L143" s="4" t="str" cm="1">
        <f t="array" aca="1" ref="L143" ca="1">_xlfn.LET(_xlpm.link,IFERROR(INDEX(_xlfn.ANCHORARRAY($AA$11),ROW()-10,12),""),IF(_xlpm.link="","",HYPERLINK(_xlpm.link,"Bluecore/Attentive")))</f>
        <v/>
      </c>
      <c r="M143" s="88" t="str">
        <f t="shared" ca="1" si="14"/>
        <v/>
      </c>
      <c r="N143" s="7"/>
      <c r="O143" s="7"/>
      <c r="P143" s="7"/>
      <c r="Q143" s="7"/>
      <c r="R143" s="7"/>
      <c r="S143" s="6"/>
      <c r="T143" s="6"/>
      <c r="U143" s="6"/>
      <c r="V143" s="6"/>
      <c r="W143" s="6"/>
      <c r="X143" s="6"/>
      <c r="Y143" s="6"/>
      <c r="Z143" s="6"/>
      <c r="AA143" s="32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34" t="str" cm="1">
        <f t="array" aca="1" ref="A144" ca="1">IFERROR(INDEX(_xlfn.ANCHORARRAY($AA$11),ROW()-10,1),"")</f>
        <v/>
      </c>
      <c r="B144" s="20" t="str" cm="1">
        <f t="array" aca="1" ref="B144" ca="1">IFERROR(INDEX(_xlfn.ANCHORARRAY($AA$11),ROW()-10,2),"")</f>
        <v/>
      </c>
      <c r="C144" s="4" t="str" cm="1">
        <f t="array" aca="1" ref="C144" ca="1">IFERROR(INDEX(_xlfn.ANCHORARRAY($AA$11),ROW()-10,3),"")</f>
        <v/>
      </c>
      <c r="D144" s="15" t="str" cm="1">
        <f t="array" aca="1" ref="D144" ca="1">IFERROR(INDEX(_xlfn.ANCHORARRAY($AA$11),ROW()-10,4),"")</f>
        <v/>
      </c>
      <c r="E144" s="4" t="str" cm="1">
        <f t="array" aca="1" ref="E144" ca="1">IFERROR(INDEX(_xlfn.ANCHORARRAY($AA$11),ROW()-10,5),"")</f>
        <v/>
      </c>
      <c r="F144" s="15" t="str" cm="1">
        <f t="array" aca="1" ref="F144" ca="1">IFERROR(INDEX(_xlfn.ANCHORARRAY($AA$11),ROW()-10,6),"")</f>
        <v/>
      </c>
      <c r="G144" s="4" t="str" cm="1">
        <f t="array" aca="1" ref="G144" ca="1">IFERROR(INDEX(_xlfn.ANCHORARRAY($AA$11),ROW()-10,7),"")</f>
        <v/>
      </c>
      <c r="H144" s="4" t="str" cm="1">
        <f t="array" aca="1" ref="H144" ca="1">IFERROR(INDEX(_xlfn.ANCHORARRAY($AA$11),ROW()-10,8),"")</f>
        <v/>
      </c>
      <c r="I144" s="4" t="str" cm="1">
        <f t="array" aca="1" ref="I144" ca="1">IFERROR(INDEX(_xlfn.ANCHORARRAY($AA$11),ROW()-10,9),"")</f>
        <v/>
      </c>
      <c r="J144" s="4" t="str">
        <f t="shared" ca="1" si="12"/>
        <v/>
      </c>
      <c r="K144" s="4" t="str">
        <f t="shared" ca="1" si="13"/>
        <v/>
      </c>
      <c r="L144" s="4" t="str" cm="1">
        <f t="array" aca="1" ref="L144" ca="1">_xlfn.LET(_xlpm.link,IFERROR(INDEX(_xlfn.ANCHORARRAY($AA$11),ROW()-10,12),""),IF(_xlpm.link="","",HYPERLINK(_xlpm.link,"Bluecore/Attentive")))</f>
        <v/>
      </c>
      <c r="M144" s="89" t="str">
        <f t="shared" ca="1" si="14"/>
        <v/>
      </c>
      <c r="N144" s="7"/>
      <c r="O144" s="7"/>
      <c r="P144" s="7"/>
      <c r="Q144" s="7"/>
      <c r="R144" s="7"/>
      <c r="S144" s="6"/>
      <c r="T144" s="6"/>
      <c r="U144" s="6"/>
      <c r="V144" s="6"/>
      <c r="W144" s="6"/>
      <c r="X144" s="6"/>
      <c r="Y144" s="6"/>
      <c r="Z144" s="6"/>
      <c r="AA144" s="32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34" t="str" cm="1">
        <f t="array" aca="1" ref="A145" ca="1">IFERROR(INDEX(_xlfn.ANCHORARRAY($AA$11),ROW()-10,1),"")</f>
        <v/>
      </c>
      <c r="B145" s="20" t="str" cm="1">
        <f t="array" aca="1" ref="B145" ca="1">IFERROR(INDEX(_xlfn.ANCHORARRAY($AA$11),ROW()-10,2),"")</f>
        <v/>
      </c>
      <c r="C145" s="4" t="str" cm="1">
        <f t="array" aca="1" ref="C145" ca="1">IFERROR(INDEX(_xlfn.ANCHORARRAY($AA$11),ROW()-10,3),"")</f>
        <v/>
      </c>
      <c r="D145" s="15" t="str" cm="1">
        <f t="array" aca="1" ref="D145" ca="1">IFERROR(INDEX(_xlfn.ANCHORARRAY($AA$11),ROW()-10,4),"")</f>
        <v/>
      </c>
      <c r="E145" s="4" t="str" cm="1">
        <f t="array" aca="1" ref="E145" ca="1">IFERROR(INDEX(_xlfn.ANCHORARRAY($AA$11),ROW()-10,5),"")</f>
        <v/>
      </c>
      <c r="F145" s="15" t="str" cm="1">
        <f t="array" aca="1" ref="F145" ca="1">IFERROR(INDEX(_xlfn.ANCHORARRAY($AA$11),ROW()-10,6),"")</f>
        <v/>
      </c>
      <c r="G145" s="4" t="str" cm="1">
        <f t="array" aca="1" ref="G145" ca="1">IFERROR(INDEX(_xlfn.ANCHORARRAY($AA$11),ROW()-10,7),"")</f>
        <v/>
      </c>
      <c r="H145" s="4" t="str" cm="1">
        <f t="array" aca="1" ref="H145" ca="1">IFERROR(INDEX(_xlfn.ANCHORARRAY($AA$11),ROW()-10,8),"")</f>
        <v/>
      </c>
      <c r="I145" s="4" t="str" cm="1">
        <f t="array" aca="1" ref="I145" ca="1">IFERROR(INDEX(_xlfn.ANCHORARRAY($AA$11),ROW()-10,9),"")</f>
        <v/>
      </c>
      <c r="J145" s="4" t="str">
        <f t="shared" ca="1" si="12"/>
        <v/>
      </c>
      <c r="K145" s="4" t="str">
        <f t="shared" ca="1" si="13"/>
        <v/>
      </c>
      <c r="L145" s="4" t="str" cm="1">
        <f t="array" aca="1" ref="L145" ca="1">_xlfn.LET(_xlpm.link,IFERROR(INDEX(_xlfn.ANCHORARRAY($AA$11),ROW()-10,12),""),IF(_xlpm.link="","",HYPERLINK(_xlpm.link,"Bluecore/Attentive")))</f>
        <v/>
      </c>
      <c r="M145" s="88" t="str">
        <f t="shared" ca="1" si="14"/>
        <v/>
      </c>
      <c r="N145" s="7"/>
      <c r="O145" s="7"/>
      <c r="P145" s="7"/>
      <c r="Q145" s="7"/>
      <c r="R145" s="7"/>
      <c r="S145" s="6"/>
      <c r="T145" s="6"/>
      <c r="U145" s="6"/>
      <c r="V145" s="6"/>
      <c r="W145" s="6"/>
      <c r="X145" s="6"/>
      <c r="Y145" s="6"/>
      <c r="Z145" s="6"/>
      <c r="AA145" s="32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34" t="str" cm="1">
        <f t="array" aca="1" ref="A146" ca="1">IFERROR(INDEX(_xlfn.ANCHORARRAY($AA$11),ROW()-10,1),"")</f>
        <v/>
      </c>
      <c r="B146" s="20" t="str" cm="1">
        <f t="array" aca="1" ref="B146" ca="1">IFERROR(INDEX(_xlfn.ANCHORARRAY($AA$11),ROW()-10,2),"")</f>
        <v/>
      </c>
      <c r="C146" s="4" t="str" cm="1">
        <f t="array" aca="1" ref="C146" ca="1">IFERROR(INDEX(_xlfn.ANCHORARRAY($AA$11),ROW()-10,3),"")</f>
        <v/>
      </c>
      <c r="D146" s="15" t="str" cm="1">
        <f t="array" aca="1" ref="D146" ca="1">IFERROR(INDEX(_xlfn.ANCHORARRAY($AA$11),ROW()-10,4),"")</f>
        <v/>
      </c>
      <c r="E146" s="4" t="str" cm="1">
        <f t="array" aca="1" ref="E146" ca="1">IFERROR(INDEX(_xlfn.ANCHORARRAY($AA$11),ROW()-10,5),"")</f>
        <v/>
      </c>
      <c r="F146" s="15" t="str" cm="1">
        <f t="array" aca="1" ref="F146" ca="1">IFERROR(INDEX(_xlfn.ANCHORARRAY($AA$11),ROW()-10,6),"")</f>
        <v/>
      </c>
      <c r="G146" s="4" t="str" cm="1">
        <f t="array" aca="1" ref="G146" ca="1">IFERROR(INDEX(_xlfn.ANCHORARRAY($AA$11),ROW()-10,7),"")</f>
        <v/>
      </c>
      <c r="H146" s="4" t="str" cm="1">
        <f t="array" aca="1" ref="H146" ca="1">IFERROR(INDEX(_xlfn.ANCHORARRAY($AA$11),ROW()-10,8),"")</f>
        <v/>
      </c>
      <c r="I146" s="4" t="str" cm="1">
        <f t="array" aca="1" ref="I146" ca="1">IFERROR(INDEX(_xlfn.ANCHORARRAY($AA$11),ROW()-10,9),"")</f>
        <v/>
      </c>
      <c r="J146" s="4" t="str">
        <f t="shared" ca="1" si="12"/>
        <v/>
      </c>
      <c r="K146" s="4" t="str">
        <f t="shared" ca="1" si="13"/>
        <v/>
      </c>
      <c r="L146" s="4" t="str" cm="1">
        <f t="array" aca="1" ref="L146" ca="1">_xlfn.LET(_xlpm.link,IFERROR(INDEX(_xlfn.ANCHORARRAY($AA$11),ROW()-10,12),""),IF(_xlpm.link="","",HYPERLINK(_xlpm.link,"Bluecore/Attentive")))</f>
        <v/>
      </c>
      <c r="M146" s="89" t="str">
        <f t="shared" ca="1" si="14"/>
        <v/>
      </c>
      <c r="N146" s="7"/>
      <c r="O146" s="7"/>
      <c r="P146" s="7"/>
      <c r="Q146" s="7"/>
      <c r="R146" s="7"/>
      <c r="S146" s="6"/>
      <c r="T146" s="6"/>
      <c r="U146" s="6"/>
      <c r="V146" s="6"/>
      <c r="W146" s="6"/>
      <c r="X146" s="6"/>
      <c r="Y146" s="6"/>
      <c r="Z146" s="6"/>
      <c r="AA146" s="32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34" t="str" cm="1">
        <f t="array" aca="1" ref="A147" ca="1">IFERROR(INDEX(_xlfn.ANCHORARRAY($AA$11),ROW()-10,1),"")</f>
        <v/>
      </c>
      <c r="B147" s="20" t="str" cm="1">
        <f t="array" aca="1" ref="B147" ca="1">IFERROR(INDEX(_xlfn.ANCHORARRAY($AA$11),ROW()-10,2),"")</f>
        <v/>
      </c>
      <c r="C147" s="4" t="str" cm="1">
        <f t="array" aca="1" ref="C147" ca="1">IFERROR(INDEX(_xlfn.ANCHORARRAY($AA$11),ROW()-10,3),"")</f>
        <v/>
      </c>
      <c r="D147" s="15" t="str" cm="1">
        <f t="array" aca="1" ref="D147" ca="1">IFERROR(INDEX(_xlfn.ANCHORARRAY($AA$11),ROW()-10,4),"")</f>
        <v/>
      </c>
      <c r="E147" s="4" t="str" cm="1">
        <f t="array" aca="1" ref="E147" ca="1">IFERROR(INDEX(_xlfn.ANCHORARRAY($AA$11),ROW()-10,5),"")</f>
        <v/>
      </c>
      <c r="F147" s="15" t="str" cm="1">
        <f t="array" aca="1" ref="F147" ca="1">IFERROR(INDEX(_xlfn.ANCHORARRAY($AA$11),ROW()-10,6),"")</f>
        <v/>
      </c>
      <c r="G147" s="4" t="str" cm="1">
        <f t="array" aca="1" ref="G147" ca="1">IFERROR(INDEX(_xlfn.ANCHORARRAY($AA$11),ROW()-10,7),"")</f>
        <v/>
      </c>
      <c r="H147" s="4" t="str" cm="1">
        <f t="array" aca="1" ref="H147" ca="1">IFERROR(INDEX(_xlfn.ANCHORARRAY($AA$11),ROW()-10,8),"")</f>
        <v/>
      </c>
      <c r="I147" s="4" t="str" cm="1">
        <f t="array" aca="1" ref="I147" ca="1">IFERROR(INDEX(_xlfn.ANCHORARRAY($AA$11),ROW()-10,9),"")</f>
        <v/>
      </c>
      <c r="J147" s="4" t="str">
        <f t="shared" ca="1" si="12"/>
        <v/>
      </c>
      <c r="K147" s="4" t="str">
        <f t="shared" ca="1" si="13"/>
        <v/>
      </c>
      <c r="L147" s="4" t="str" cm="1">
        <f t="array" aca="1" ref="L147" ca="1">_xlfn.LET(_xlpm.link,IFERROR(INDEX(_xlfn.ANCHORARRAY($AA$11),ROW()-10,12),""),IF(_xlpm.link="","",HYPERLINK(_xlpm.link,"Bluecore/Attentive")))</f>
        <v/>
      </c>
      <c r="M147" s="88" t="str">
        <f t="shared" ca="1" si="14"/>
        <v/>
      </c>
      <c r="N147" s="7"/>
      <c r="O147" s="7"/>
      <c r="P147" s="7"/>
      <c r="Q147" s="7"/>
      <c r="R147" s="7"/>
      <c r="S147" s="6"/>
      <c r="T147" s="6"/>
      <c r="U147" s="6"/>
      <c r="V147" s="6"/>
      <c r="W147" s="6"/>
      <c r="X147" s="6"/>
      <c r="Y147" s="6"/>
      <c r="Z147" s="6"/>
      <c r="AA147" s="32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34" t="str" cm="1">
        <f t="array" aca="1" ref="A148" ca="1">IFERROR(INDEX(_xlfn.ANCHORARRAY($AA$11),ROW()-10,1),"")</f>
        <v/>
      </c>
      <c r="B148" s="20" t="str" cm="1">
        <f t="array" aca="1" ref="B148" ca="1">IFERROR(INDEX(_xlfn.ANCHORARRAY($AA$11),ROW()-10,2),"")</f>
        <v/>
      </c>
      <c r="C148" s="4" t="str" cm="1">
        <f t="array" aca="1" ref="C148" ca="1">IFERROR(INDEX(_xlfn.ANCHORARRAY($AA$11),ROW()-10,3),"")</f>
        <v/>
      </c>
      <c r="D148" s="15" t="str" cm="1">
        <f t="array" aca="1" ref="D148" ca="1">IFERROR(INDEX(_xlfn.ANCHORARRAY($AA$11),ROW()-10,4),"")</f>
        <v/>
      </c>
      <c r="E148" s="4" t="str" cm="1">
        <f t="array" aca="1" ref="E148" ca="1">IFERROR(INDEX(_xlfn.ANCHORARRAY($AA$11),ROW()-10,5),"")</f>
        <v/>
      </c>
      <c r="F148" s="15" t="str" cm="1">
        <f t="array" aca="1" ref="F148" ca="1">IFERROR(INDEX(_xlfn.ANCHORARRAY($AA$11),ROW()-10,6),"")</f>
        <v/>
      </c>
      <c r="G148" s="4" t="str" cm="1">
        <f t="array" aca="1" ref="G148" ca="1">IFERROR(INDEX(_xlfn.ANCHORARRAY($AA$11),ROW()-10,7),"")</f>
        <v/>
      </c>
      <c r="H148" s="4" t="str" cm="1">
        <f t="array" aca="1" ref="H148" ca="1">IFERROR(INDEX(_xlfn.ANCHORARRAY($AA$11),ROW()-10,8),"")</f>
        <v/>
      </c>
      <c r="I148" s="4" t="str" cm="1">
        <f t="array" aca="1" ref="I148" ca="1">IFERROR(INDEX(_xlfn.ANCHORARRAY($AA$11),ROW()-10,9),"")</f>
        <v/>
      </c>
      <c r="J148" s="4" t="str">
        <f t="shared" ca="1" si="12"/>
        <v/>
      </c>
      <c r="K148" s="4" t="str">
        <f t="shared" ca="1" si="13"/>
        <v/>
      </c>
      <c r="L148" s="4" t="str" cm="1">
        <f t="array" aca="1" ref="L148" ca="1">_xlfn.LET(_xlpm.link,IFERROR(INDEX(_xlfn.ANCHORARRAY($AA$11),ROW()-10,12),""),IF(_xlpm.link="","",HYPERLINK(_xlpm.link,"Bluecore/Attentive")))</f>
        <v/>
      </c>
      <c r="M148" s="89" t="str">
        <f t="shared" ca="1" si="14"/>
        <v/>
      </c>
      <c r="N148" s="7"/>
      <c r="O148" s="7"/>
      <c r="P148" s="7"/>
      <c r="Q148" s="7"/>
      <c r="R148" s="7"/>
      <c r="S148" s="6"/>
      <c r="T148" s="6"/>
      <c r="U148" s="6"/>
      <c r="V148" s="6"/>
      <c r="W148" s="6"/>
      <c r="X148" s="6"/>
      <c r="Y148" s="6"/>
      <c r="Z148" s="6"/>
      <c r="AA148" s="32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34" t="str" cm="1">
        <f t="array" aca="1" ref="A149" ca="1">IFERROR(INDEX(_xlfn.ANCHORARRAY($AA$11),ROW()-10,1),"")</f>
        <v/>
      </c>
      <c r="B149" s="20" t="str" cm="1">
        <f t="array" aca="1" ref="B149" ca="1">IFERROR(INDEX(_xlfn.ANCHORARRAY($AA$11),ROW()-10,2),"")</f>
        <v/>
      </c>
      <c r="C149" s="4" t="str" cm="1">
        <f t="array" aca="1" ref="C149" ca="1">IFERROR(INDEX(_xlfn.ANCHORARRAY($AA$11),ROW()-10,3),"")</f>
        <v/>
      </c>
      <c r="D149" s="15" t="str" cm="1">
        <f t="array" aca="1" ref="D149" ca="1">IFERROR(INDEX(_xlfn.ANCHORARRAY($AA$11),ROW()-10,4),"")</f>
        <v/>
      </c>
      <c r="E149" s="4" t="str" cm="1">
        <f t="array" aca="1" ref="E149" ca="1">IFERROR(INDEX(_xlfn.ANCHORARRAY($AA$11),ROW()-10,5),"")</f>
        <v/>
      </c>
      <c r="F149" s="15" t="str" cm="1">
        <f t="array" aca="1" ref="F149" ca="1">IFERROR(INDEX(_xlfn.ANCHORARRAY($AA$11),ROW()-10,6),"")</f>
        <v/>
      </c>
      <c r="G149" s="4" t="str" cm="1">
        <f t="array" aca="1" ref="G149" ca="1">IFERROR(INDEX(_xlfn.ANCHORARRAY($AA$11),ROW()-10,7),"")</f>
        <v/>
      </c>
      <c r="H149" s="4" t="str" cm="1">
        <f t="array" aca="1" ref="H149" ca="1">IFERROR(INDEX(_xlfn.ANCHORARRAY($AA$11),ROW()-10,8),"")</f>
        <v/>
      </c>
      <c r="I149" s="4" t="str" cm="1">
        <f t="array" aca="1" ref="I149" ca="1">IFERROR(INDEX(_xlfn.ANCHORARRAY($AA$11),ROW()-10,9),"")</f>
        <v/>
      </c>
      <c r="J149" s="4" t="str">
        <f t="shared" ca="1" si="12"/>
        <v/>
      </c>
      <c r="K149" s="4" t="str">
        <f t="shared" ca="1" si="13"/>
        <v/>
      </c>
      <c r="L149" s="4" t="str" cm="1">
        <f t="array" aca="1" ref="L149" ca="1">_xlfn.LET(_xlpm.link,IFERROR(INDEX(_xlfn.ANCHORARRAY($AA$11),ROW()-10,12),""),IF(_xlpm.link="","",HYPERLINK(_xlpm.link,"Bluecore/Attentive")))</f>
        <v/>
      </c>
      <c r="M149" s="88" t="str">
        <f t="shared" ca="1" si="14"/>
        <v/>
      </c>
      <c r="N149" s="7"/>
      <c r="O149" s="7"/>
      <c r="P149" s="7"/>
      <c r="Q149" s="7"/>
      <c r="R149" s="7"/>
      <c r="S149" s="6"/>
      <c r="T149" s="6"/>
      <c r="U149" s="6"/>
      <c r="V149" s="6"/>
      <c r="W149" s="6"/>
      <c r="X149" s="6"/>
      <c r="Y149" s="6"/>
      <c r="Z149" s="6"/>
      <c r="AA149" s="32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34" t="str" cm="1">
        <f t="array" aca="1" ref="A150" ca="1">IFERROR(INDEX(_xlfn.ANCHORARRAY($AA$11),ROW()-10,1),"")</f>
        <v/>
      </c>
      <c r="B150" s="20" t="str" cm="1">
        <f t="array" aca="1" ref="B150" ca="1">IFERROR(INDEX(_xlfn.ANCHORARRAY($AA$11),ROW()-10,2),"")</f>
        <v/>
      </c>
      <c r="C150" s="4" t="str" cm="1">
        <f t="array" aca="1" ref="C150" ca="1">IFERROR(INDEX(_xlfn.ANCHORARRAY($AA$11),ROW()-10,3),"")</f>
        <v/>
      </c>
      <c r="D150" s="15" t="str" cm="1">
        <f t="array" aca="1" ref="D150" ca="1">IFERROR(INDEX(_xlfn.ANCHORARRAY($AA$11),ROW()-10,4),"")</f>
        <v/>
      </c>
      <c r="E150" s="4" t="str" cm="1">
        <f t="array" aca="1" ref="E150" ca="1">IFERROR(INDEX(_xlfn.ANCHORARRAY($AA$11),ROW()-10,5),"")</f>
        <v/>
      </c>
      <c r="F150" s="15" t="str" cm="1">
        <f t="array" aca="1" ref="F150" ca="1">IFERROR(INDEX(_xlfn.ANCHORARRAY($AA$11),ROW()-10,6),"")</f>
        <v/>
      </c>
      <c r="G150" s="4" t="str" cm="1">
        <f t="array" aca="1" ref="G150" ca="1">IFERROR(INDEX(_xlfn.ANCHORARRAY($AA$11),ROW()-10,7),"")</f>
        <v/>
      </c>
      <c r="H150" s="4" t="str" cm="1">
        <f t="array" aca="1" ref="H150" ca="1">IFERROR(INDEX(_xlfn.ANCHORARRAY($AA$11),ROW()-10,8),"")</f>
        <v/>
      </c>
      <c r="I150" s="4" t="str" cm="1">
        <f t="array" aca="1" ref="I150" ca="1">IFERROR(INDEX(_xlfn.ANCHORARRAY($AA$11),ROW()-10,9),"")</f>
        <v/>
      </c>
      <c r="J150" s="4" t="str">
        <f t="shared" ca="1" si="12"/>
        <v/>
      </c>
      <c r="K150" s="4" t="str">
        <f t="shared" ca="1" si="13"/>
        <v/>
      </c>
      <c r="L150" s="4" t="str" cm="1">
        <f t="array" aca="1" ref="L150" ca="1">_xlfn.LET(_xlpm.link,IFERROR(INDEX(_xlfn.ANCHORARRAY($AA$11),ROW()-10,12),""),IF(_xlpm.link="","",HYPERLINK(_xlpm.link,"Bluecore/Attentive")))</f>
        <v/>
      </c>
      <c r="M150" s="89" t="str">
        <f t="shared" ca="1" si="14"/>
        <v/>
      </c>
      <c r="N150" s="7"/>
      <c r="O150" s="7"/>
      <c r="P150" s="7"/>
      <c r="Q150" s="7"/>
      <c r="R150" s="7"/>
      <c r="S150" s="6"/>
      <c r="T150" s="6"/>
      <c r="U150" s="6"/>
      <c r="V150" s="6"/>
      <c r="W150" s="6"/>
      <c r="X150" s="6"/>
      <c r="Y150" s="6"/>
      <c r="Z150" s="6"/>
      <c r="AA150" s="32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34" t="str" cm="1">
        <f t="array" aca="1" ref="A151" ca="1">IFERROR(INDEX(_xlfn.ANCHORARRAY($AA$11),ROW()-10,1),"")</f>
        <v/>
      </c>
      <c r="B151" s="20" t="str" cm="1">
        <f t="array" aca="1" ref="B151" ca="1">IFERROR(INDEX(_xlfn.ANCHORARRAY($AA$11),ROW()-10,2),"")</f>
        <v/>
      </c>
      <c r="C151" s="4" t="str" cm="1">
        <f t="array" aca="1" ref="C151" ca="1">IFERROR(INDEX(_xlfn.ANCHORARRAY($AA$11),ROW()-10,3),"")</f>
        <v/>
      </c>
      <c r="D151" s="15" t="str" cm="1">
        <f t="array" aca="1" ref="D151" ca="1">IFERROR(INDEX(_xlfn.ANCHORARRAY($AA$11),ROW()-10,4),"")</f>
        <v/>
      </c>
      <c r="E151" s="4" t="str" cm="1">
        <f t="array" aca="1" ref="E151" ca="1">IFERROR(INDEX(_xlfn.ANCHORARRAY($AA$11),ROW()-10,5),"")</f>
        <v/>
      </c>
      <c r="F151" s="15" t="str" cm="1">
        <f t="array" aca="1" ref="F151" ca="1">IFERROR(INDEX(_xlfn.ANCHORARRAY($AA$11),ROW()-10,6),"")</f>
        <v/>
      </c>
      <c r="G151" s="4" t="str" cm="1">
        <f t="array" aca="1" ref="G151" ca="1">IFERROR(INDEX(_xlfn.ANCHORARRAY($AA$11),ROW()-10,7),"")</f>
        <v/>
      </c>
      <c r="H151" s="4" t="str" cm="1">
        <f t="array" aca="1" ref="H151" ca="1">IFERROR(INDEX(_xlfn.ANCHORARRAY($AA$11),ROW()-10,8),"")</f>
        <v/>
      </c>
      <c r="I151" s="4" t="str" cm="1">
        <f t="array" aca="1" ref="I151" ca="1">IFERROR(INDEX(_xlfn.ANCHORARRAY($AA$11),ROW()-10,9),"")</f>
        <v/>
      </c>
      <c r="J151" s="4" t="str">
        <f t="shared" ca="1" si="12"/>
        <v/>
      </c>
      <c r="K151" s="4" t="str">
        <f t="shared" ca="1" si="13"/>
        <v/>
      </c>
      <c r="L151" s="4" t="str" cm="1">
        <f t="array" aca="1" ref="L151" ca="1">_xlfn.LET(_xlpm.link,IFERROR(INDEX(_xlfn.ANCHORARRAY($AA$11),ROW()-10,12),""),IF(_xlpm.link="","",HYPERLINK(_xlpm.link,"Bluecore/Attentive")))</f>
        <v/>
      </c>
      <c r="M151" s="88" t="str">
        <f t="shared" ca="1" si="14"/>
        <v/>
      </c>
      <c r="N151" s="7"/>
      <c r="O151" s="7"/>
      <c r="P151" s="7"/>
      <c r="Q151" s="7"/>
      <c r="R151" s="7"/>
      <c r="S151" s="6"/>
      <c r="T151" s="6"/>
      <c r="U151" s="6"/>
      <c r="V151" s="6"/>
      <c r="W151" s="6"/>
      <c r="X151" s="6"/>
      <c r="Y151" s="6"/>
      <c r="Z151" s="6"/>
      <c r="AA151" s="32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34" t="str" cm="1">
        <f t="array" aca="1" ref="A152" ca="1">IFERROR(INDEX(_xlfn.ANCHORARRAY($AA$11),ROW()-10,1),"")</f>
        <v/>
      </c>
      <c r="B152" s="20" t="str" cm="1">
        <f t="array" aca="1" ref="B152" ca="1">IFERROR(INDEX(_xlfn.ANCHORARRAY($AA$11),ROW()-10,2),"")</f>
        <v/>
      </c>
      <c r="C152" s="4" t="str" cm="1">
        <f t="array" aca="1" ref="C152" ca="1">IFERROR(INDEX(_xlfn.ANCHORARRAY($AA$11),ROW()-10,3),"")</f>
        <v/>
      </c>
      <c r="D152" s="15" t="str" cm="1">
        <f t="array" aca="1" ref="D152" ca="1">IFERROR(INDEX(_xlfn.ANCHORARRAY($AA$11),ROW()-10,4),"")</f>
        <v/>
      </c>
      <c r="E152" s="4" t="str" cm="1">
        <f t="array" aca="1" ref="E152" ca="1">IFERROR(INDEX(_xlfn.ANCHORARRAY($AA$11),ROW()-10,5),"")</f>
        <v/>
      </c>
      <c r="F152" s="15" t="str" cm="1">
        <f t="array" aca="1" ref="F152" ca="1">IFERROR(INDEX(_xlfn.ANCHORARRAY($AA$11),ROW()-10,6),"")</f>
        <v/>
      </c>
      <c r="G152" s="4" t="str" cm="1">
        <f t="array" aca="1" ref="G152" ca="1">IFERROR(INDEX(_xlfn.ANCHORARRAY($AA$11),ROW()-10,7),"")</f>
        <v/>
      </c>
      <c r="H152" s="4" t="str" cm="1">
        <f t="array" aca="1" ref="H152" ca="1">IFERROR(INDEX(_xlfn.ANCHORARRAY($AA$11),ROW()-10,8),"")</f>
        <v/>
      </c>
      <c r="I152" s="4" t="str" cm="1">
        <f t="array" aca="1" ref="I152" ca="1">IFERROR(INDEX(_xlfn.ANCHORARRAY($AA$11),ROW()-10,9),"")</f>
        <v/>
      </c>
      <c r="J152" s="4" t="str">
        <f t="shared" ca="1" si="12"/>
        <v/>
      </c>
      <c r="K152" s="4" t="str">
        <f t="shared" ca="1" si="13"/>
        <v/>
      </c>
      <c r="L152" s="4" t="str" cm="1">
        <f t="array" aca="1" ref="L152" ca="1">_xlfn.LET(_xlpm.link,IFERROR(INDEX(_xlfn.ANCHORARRAY($AA$11),ROW()-10,12),""),IF(_xlpm.link="","",HYPERLINK(_xlpm.link,"Bluecore/Attentive")))</f>
        <v/>
      </c>
      <c r="M152" s="89" t="str">
        <f t="shared" ca="1" si="14"/>
        <v/>
      </c>
      <c r="N152" s="7"/>
      <c r="O152" s="7"/>
      <c r="P152" s="7"/>
      <c r="Q152" s="7"/>
      <c r="R152" s="7"/>
      <c r="S152" s="6"/>
      <c r="T152" s="6"/>
      <c r="U152" s="6"/>
      <c r="V152" s="6"/>
      <c r="W152" s="6"/>
      <c r="X152" s="6"/>
      <c r="Y152" s="6"/>
      <c r="Z152" s="6"/>
      <c r="AA152" s="3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34" t="str" cm="1">
        <f t="array" aca="1" ref="A153" ca="1">IFERROR(INDEX(_xlfn.ANCHORARRAY($AA$11),ROW()-10,1),"")</f>
        <v/>
      </c>
      <c r="B153" s="20" t="str" cm="1">
        <f t="array" aca="1" ref="B153" ca="1">IFERROR(INDEX(_xlfn.ANCHORARRAY($AA$11),ROW()-10,2),"")</f>
        <v/>
      </c>
      <c r="C153" s="4" t="str" cm="1">
        <f t="array" aca="1" ref="C153" ca="1">IFERROR(INDEX(_xlfn.ANCHORARRAY($AA$11),ROW()-10,3),"")</f>
        <v/>
      </c>
      <c r="D153" s="15" t="str" cm="1">
        <f t="array" aca="1" ref="D153" ca="1">IFERROR(INDEX(_xlfn.ANCHORARRAY($AA$11),ROW()-10,4),"")</f>
        <v/>
      </c>
      <c r="E153" s="4" t="str" cm="1">
        <f t="array" aca="1" ref="E153" ca="1">IFERROR(INDEX(_xlfn.ANCHORARRAY($AA$11),ROW()-10,5),"")</f>
        <v/>
      </c>
      <c r="F153" s="15" t="str" cm="1">
        <f t="array" aca="1" ref="F153" ca="1">IFERROR(INDEX(_xlfn.ANCHORARRAY($AA$11),ROW()-10,6),"")</f>
        <v/>
      </c>
      <c r="G153" s="4" t="str" cm="1">
        <f t="array" aca="1" ref="G153" ca="1">IFERROR(INDEX(_xlfn.ANCHORARRAY($AA$11),ROW()-10,7),"")</f>
        <v/>
      </c>
      <c r="H153" s="4" t="str" cm="1">
        <f t="array" aca="1" ref="H153" ca="1">IFERROR(INDEX(_xlfn.ANCHORARRAY($AA$11),ROW()-10,8),"")</f>
        <v/>
      </c>
      <c r="I153" s="4" t="str" cm="1">
        <f t="array" aca="1" ref="I153" ca="1">IFERROR(INDEX(_xlfn.ANCHORARRAY($AA$11),ROW()-10,9),"")</f>
        <v/>
      </c>
      <c r="J153" s="4" t="str">
        <f t="shared" ca="1" si="12"/>
        <v/>
      </c>
      <c r="K153" s="4" t="str">
        <f t="shared" ca="1" si="13"/>
        <v/>
      </c>
      <c r="L153" s="4" t="str" cm="1">
        <f t="array" aca="1" ref="L153" ca="1">_xlfn.LET(_xlpm.link,IFERROR(INDEX(_xlfn.ANCHORARRAY($AA$11),ROW()-10,12),""),IF(_xlpm.link="","",HYPERLINK(_xlpm.link,"Bluecore/Attentive")))</f>
        <v/>
      </c>
      <c r="M153" s="88" t="str">
        <f t="shared" ca="1" si="14"/>
        <v/>
      </c>
      <c r="N153" s="7"/>
      <c r="O153" s="7"/>
      <c r="P153" s="7"/>
      <c r="Q153" s="7"/>
      <c r="R153" s="7"/>
      <c r="S153" s="6"/>
      <c r="T153" s="6"/>
      <c r="U153" s="6"/>
      <c r="V153" s="6"/>
      <c r="W153" s="6"/>
      <c r="X153" s="6"/>
      <c r="Y153" s="6"/>
      <c r="Z153" s="6"/>
      <c r="AA153" s="32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34" t="str" cm="1">
        <f t="array" aca="1" ref="A154" ca="1">IFERROR(INDEX(_xlfn.ANCHORARRAY($AA$11),ROW()-10,1),"")</f>
        <v/>
      </c>
      <c r="B154" s="20" t="str" cm="1">
        <f t="array" aca="1" ref="B154" ca="1">IFERROR(INDEX(_xlfn.ANCHORARRAY($AA$11),ROW()-10,2),"")</f>
        <v/>
      </c>
      <c r="C154" s="4" t="str" cm="1">
        <f t="array" aca="1" ref="C154" ca="1">IFERROR(INDEX(_xlfn.ANCHORARRAY($AA$11),ROW()-10,3),"")</f>
        <v/>
      </c>
      <c r="D154" s="15" t="str" cm="1">
        <f t="array" aca="1" ref="D154" ca="1">IFERROR(INDEX(_xlfn.ANCHORARRAY($AA$11),ROW()-10,4),"")</f>
        <v/>
      </c>
      <c r="E154" s="4" t="str" cm="1">
        <f t="array" aca="1" ref="E154" ca="1">IFERROR(INDEX(_xlfn.ANCHORARRAY($AA$11),ROW()-10,5),"")</f>
        <v/>
      </c>
      <c r="F154" s="15" t="str" cm="1">
        <f t="array" aca="1" ref="F154" ca="1">IFERROR(INDEX(_xlfn.ANCHORARRAY($AA$11),ROW()-10,6),"")</f>
        <v/>
      </c>
      <c r="G154" s="4" t="str" cm="1">
        <f t="array" aca="1" ref="G154" ca="1">IFERROR(INDEX(_xlfn.ANCHORARRAY($AA$11),ROW()-10,7),"")</f>
        <v/>
      </c>
      <c r="H154" s="4" t="str" cm="1">
        <f t="array" aca="1" ref="H154" ca="1">IFERROR(INDEX(_xlfn.ANCHORARRAY($AA$11),ROW()-10,8),"")</f>
        <v/>
      </c>
      <c r="I154" s="4" t="str" cm="1">
        <f t="array" aca="1" ref="I154" ca="1">IFERROR(INDEX(_xlfn.ANCHORARRAY($AA$11),ROW()-10,9),"")</f>
        <v/>
      </c>
      <c r="J154" s="4" t="str">
        <f t="shared" ca="1" si="12"/>
        <v/>
      </c>
      <c r="K154" s="4" t="str">
        <f t="shared" ca="1" si="13"/>
        <v/>
      </c>
      <c r="L154" s="4" t="str" cm="1">
        <f t="array" aca="1" ref="L154" ca="1">_xlfn.LET(_xlpm.link,IFERROR(INDEX(_xlfn.ANCHORARRAY($AA$11),ROW()-10,12),""),IF(_xlpm.link="","",HYPERLINK(_xlpm.link,"Bluecore/Attentive")))</f>
        <v/>
      </c>
      <c r="M154" s="89" t="str">
        <f t="shared" ca="1" si="14"/>
        <v/>
      </c>
      <c r="N154" s="7"/>
      <c r="O154" s="7"/>
      <c r="P154" s="7"/>
      <c r="Q154" s="7"/>
      <c r="R154" s="7"/>
      <c r="S154" s="6"/>
      <c r="T154" s="6"/>
      <c r="U154" s="6"/>
      <c r="V154" s="6"/>
      <c r="W154" s="6"/>
      <c r="X154" s="6"/>
      <c r="Y154" s="6"/>
      <c r="Z154" s="6"/>
      <c r="AA154" s="32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34" t="str" cm="1">
        <f t="array" aca="1" ref="A155" ca="1">IFERROR(INDEX(_xlfn.ANCHORARRAY($AA$11),ROW()-10,1),"")</f>
        <v/>
      </c>
      <c r="B155" s="20" t="str" cm="1">
        <f t="array" aca="1" ref="B155" ca="1">IFERROR(INDEX(_xlfn.ANCHORARRAY($AA$11),ROW()-10,2),"")</f>
        <v/>
      </c>
      <c r="C155" s="4" t="str" cm="1">
        <f t="array" aca="1" ref="C155" ca="1">IFERROR(INDEX(_xlfn.ANCHORARRAY($AA$11),ROW()-10,3),"")</f>
        <v/>
      </c>
      <c r="D155" s="15" t="str" cm="1">
        <f t="array" aca="1" ref="D155" ca="1">IFERROR(INDEX(_xlfn.ANCHORARRAY($AA$11),ROW()-10,4),"")</f>
        <v/>
      </c>
      <c r="E155" s="4" t="str" cm="1">
        <f t="array" aca="1" ref="E155" ca="1">IFERROR(INDEX(_xlfn.ANCHORARRAY($AA$11),ROW()-10,5),"")</f>
        <v/>
      </c>
      <c r="F155" s="15" t="str" cm="1">
        <f t="array" aca="1" ref="F155" ca="1">IFERROR(INDEX(_xlfn.ANCHORARRAY($AA$11),ROW()-10,6),"")</f>
        <v/>
      </c>
      <c r="G155" s="4" t="str" cm="1">
        <f t="array" aca="1" ref="G155" ca="1">IFERROR(INDEX(_xlfn.ANCHORARRAY($AA$11),ROW()-10,7),"")</f>
        <v/>
      </c>
      <c r="H155" s="4" t="str" cm="1">
        <f t="array" aca="1" ref="H155" ca="1">IFERROR(INDEX(_xlfn.ANCHORARRAY($AA$11),ROW()-10,8),"")</f>
        <v/>
      </c>
      <c r="I155" s="4" t="str" cm="1">
        <f t="array" aca="1" ref="I155" ca="1">IFERROR(INDEX(_xlfn.ANCHORARRAY($AA$11),ROW()-10,9),"")</f>
        <v/>
      </c>
      <c r="J155" s="4" t="str">
        <f t="shared" ca="1" si="12"/>
        <v/>
      </c>
      <c r="K155" s="4" t="str">
        <f t="shared" ca="1" si="13"/>
        <v/>
      </c>
      <c r="L155" s="4" t="str" cm="1">
        <f t="array" aca="1" ref="L155" ca="1">_xlfn.LET(_xlpm.link,IFERROR(INDEX(_xlfn.ANCHORARRAY($AA$11),ROW()-10,12),""),IF(_xlpm.link="","",HYPERLINK(_xlpm.link,"Bluecore/Attentive")))</f>
        <v/>
      </c>
      <c r="M155" s="88" t="str">
        <f t="shared" ca="1" si="14"/>
        <v/>
      </c>
      <c r="N155" s="7"/>
      <c r="O155" s="7"/>
      <c r="P155" s="7"/>
      <c r="Q155" s="7"/>
      <c r="R155" s="7"/>
      <c r="S155" s="6"/>
      <c r="T155" s="6"/>
      <c r="U155" s="6"/>
      <c r="V155" s="6"/>
      <c r="W155" s="6"/>
      <c r="X155" s="6"/>
      <c r="Y155" s="6"/>
      <c r="Z155" s="6"/>
      <c r="AA155" s="32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34" t="str" cm="1">
        <f t="array" aca="1" ref="A156" ca="1">IFERROR(INDEX(_xlfn.ANCHORARRAY($AA$11),ROW()-10,1),"")</f>
        <v/>
      </c>
      <c r="B156" s="20" t="str" cm="1">
        <f t="array" aca="1" ref="B156" ca="1">IFERROR(INDEX(_xlfn.ANCHORARRAY($AA$11),ROW()-10,2),"")</f>
        <v/>
      </c>
      <c r="C156" s="4" t="str" cm="1">
        <f t="array" aca="1" ref="C156" ca="1">IFERROR(INDEX(_xlfn.ANCHORARRAY($AA$11),ROW()-10,3),"")</f>
        <v/>
      </c>
      <c r="D156" s="15" t="str" cm="1">
        <f t="array" aca="1" ref="D156" ca="1">IFERROR(INDEX(_xlfn.ANCHORARRAY($AA$11),ROW()-10,4),"")</f>
        <v/>
      </c>
      <c r="E156" s="4" t="str" cm="1">
        <f t="array" aca="1" ref="E156" ca="1">IFERROR(INDEX(_xlfn.ANCHORARRAY($AA$11),ROW()-10,5),"")</f>
        <v/>
      </c>
      <c r="F156" s="15" t="str" cm="1">
        <f t="array" aca="1" ref="F156" ca="1">IFERROR(INDEX(_xlfn.ANCHORARRAY($AA$11),ROW()-10,6),"")</f>
        <v/>
      </c>
      <c r="G156" s="4" t="str" cm="1">
        <f t="array" aca="1" ref="G156" ca="1">IFERROR(INDEX(_xlfn.ANCHORARRAY($AA$11),ROW()-10,7),"")</f>
        <v/>
      </c>
      <c r="H156" s="4" t="str" cm="1">
        <f t="array" aca="1" ref="H156" ca="1">IFERROR(INDEX(_xlfn.ANCHORARRAY($AA$11),ROW()-10,8),"")</f>
        <v/>
      </c>
      <c r="I156" s="4" t="str" cm="1">
        <f t="array" aca="1" ref="I156" ca="1">IFERROR(INDEX(_xlfn.ANCHORARRAY($AA$11),ROW()-10,9),"")</f>
        <v/>
      </c>
      <c r="J156" s="4" t="str">
        <f t="shared" ca="1" si="12"/>
        <v/>
      </c>
      <c r="K156" s="4" t="str">
        <f t="shared" ca="1" si="13"/>
        <v/>
      </c>
      <c r="L156" s="4" t="str" cm="1">
        <f t="array" aca="1" ref="L156" ca="1">_xlfn.LET(_xlpm.link,IFERROR(INDEX(_xlfn.ANCHORARRAY($AA$11),ROW()-10,12),""),IF(_xlpm.link="","",HYPERLINK(_xlpm.link,"Bluecore/Attentive")))</f>
        <v/>
      </c>
      <c r="M156" s="89" t="str">
        <f t="shared" ca="1" si="14"/>
        <v/>
      </c>
      <c r="N156" s="7"/>
      <c r="O156" s="7"/>
      <c r="P156" s="7"/>
      <c r="Q156" s="7"/>
      <c r="R156" s="7"/>
      <c r="S156" s="6"/>
      <c r="T156" s="6"/>
      <c r="U156" s="6"/>
      <c r="V156" s="6"/>
      <c r="W156" s="6"/>
      <c r="X156" s="6"/>
      <c r="Y156" s="6"/>
      <c r="Z156" s="6"/>
      <c r="AA156" s="32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34" t="str" cm="1">
        <f t="array" aca="1" ref="A157" ca="1">IFERROR(INDEX(_xlfn.ANCHORARRAY($AA$11),ROW()-10,1),"")</f>
        <v/>
      </c>
      <c r="B157" s="20" t="str" cm="1">
        <f t="array" aca="1" ref="B157" ca="1">IFERROR(INDEX(_xlfn.ANCHORARRAY($AA$11),ROW()-10,2),"")</f>
        <v/>
      </c>
      <c r="C157" s="4" t="str" cm="1">
        <f t="array" aca="1" ref="C157" ca="1">IFERROR(INDEX(_xlfn.ANCHORARRAY($AA$11),ROW()-10,3),"")</f>
        <v/>
      </c>
      <c r="D157" s="15" t="str" cm="1">
        <f t="array" aca="1" ref="D157" ca="1">IFERROR(INDEX(_xlfn.ANCHORARRAY($AA$11),ROW()-10,4),"")</f>
        <v/>
      </c>
      <c r="E157" s="4" t="str" cm="1">
        <f t="array" aca="1" ref="E157" ca="1">IFERROR(INDEX(_xlfn.ANCHORARRAY($AA$11),ROW()-10,5),"")</f>
        <v/>
      </c>
      <c r="F157" s="15" t="str" cm="1">
        <f t="array" aca="1" ref="F157" ca="1">IFERROR(INDEX(_xlfn.ANCHORARRAY($AA$11),ROW()-10,6),"")</f>
        <v/>
      </c>
      <c r="G157" s="4" t="str" cm="1">
        <f t="array" aca="1" ref="G157" ca="1">IFERROR(INDEX(_xlfn.ANCHORARRAY($AA$11),ROW()-10,7),"")</f>
        <v/>
      </c>
      <c r="H157" s="4" t="str" cm="1">
        <f t="array" aca="1" ref="H157" ca="1">IFERROR(INDEX(_xlfn.ANCHORARRAY($AA$11),ROW()-10,8),"")</f>
        <v/>
      </c>
      <c r="I157" s="4" t="str" cm="1">
        <f t="array" aca="1" ref="I157" ca="1">IFERROR(INDEX(_xlfn.ANCHORARRAY($AA$11),ROW()-10,9),"")</f>
        <v/>
      </c>
      <c r="J157" s="4" t="str">
        <f t="shared" ca="1" si="12"/>
        <v/>
      </c>
      <c r="K157" s="4" t="str">
        <f t="shared" ca="1" si="13"/>
        <v/>
      </c>
      <c r="L157" s="4" t="str" cm="1">
        <f t="array" aca="1" ref="L157" ca="1">_xlfn.LET(_xlpm.link,IFERROR(INDEX(_xlfn.ANCHORARRAY($AA$11),ROW()-10,12),""),IF(_xlpm.link="","",HYPERLINK(_xlpm.link,"Bluecore/Attentive")))</f>
        <v/>
      </c>
      <c r="M157" s="88" t="str">
        <f t="shared" ca="1" si="14"/>
        <v/>
      </c>
      <c r="N157" s="7"/>
      <c r="O157" s="7"/>
      <c r="P157" s="7"/>
      <c r="Q157" s="7"/>
      <c r="R157" s="7"/>
      <c r="S157" s="6"/>
      <c r="T157" s="6"/>
      <c r="U157" s="6"/>
      <c r="V157" s="6"/>
      <c r="W157" s="6"/>
      <c r="X157" s="6"/>
      <c r="Y157" s="6"/>
      <c r="Z157" s="6"/>
      <c r="AA157" s="32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34" t="str" cm="1">
        <f t="array" aca="1" ref="A158" ca="1">IFERROR(INDEX(_xlfn.ANCHORARRAY($AA$11),ROW()-10,1),"")</f>
        <v/>
      </c>
      <c r="B158" s="20" t="str" cm="1">
        <f t="array" aca="1" ref="B158" ca="1">IFERROR(INDEX(_xlfn.ANCHORARRAY($AA$11),ROW()-10,2),"")</f>
        <v/>
      </c>
      <c r="C158" s="4" t="str" cm="1">
        <f t="array" aca="1" ref="C158" ca="1">IFERROR(INDEX(_xlfn.ANCHORARRAY($AA$11),ROW()-10,3),"")</f>
        <v/>
      </c>
      <c r="D158" s="15" t="str" cm="1">
        <f t="array" aca="1" ref="D158" ca="1">IFERROR(INDEX(_xlfn.ANCHORARRAY($AA$11),ROW()-10,4),"")</f>
        <v/>
      </c>
      <c r="E158" s="4" t="str" cm="1">
        <f t="array" aca="1" ref="E158" ca="1">IFERROR(INDEX(_xlfn.ANCHORARRAY($AA$11),ROW()-10,5),"")</f>
        <v/>
      </c>
      <c r="F158" s="15" t="str" cm="1">
        <f t="array" aca="1" ref="F158" ca="1">IFERROR(INDEX(_xlfn.ANCHORARRAY($AA$11),ROW()-10,6),"")</f>
        <v/>
      </c>
      <c r="G158" s="4" t="str" cm="1">
        <f t="array" aca="1" ref="G158" ca="1">IFERROR(INDEX(_xlfn.ANCHORARRAY($AA$11),ROW()-10,7),"")</f>
        <v/>
      </c>
      <c r="H158" s="4" t="str" cm="1">
        <f t="array" aca="1" ref="H158" ca="1">IFERROR(INDEX(_xlfn.ANCHORARRAY($AA$11),ROW()-10,8),"")</f>
        <v/>
      </c>
      <c r="I158" s="4" t="str" cm="1">
        <f t="array" aca="1" ref="I158" ca="1">IFERROR(INDEX(_xlfn.ANCHORARRAY($AA$11),ROW()-10,9),"")</f>
        <v/>
      </c>
      <c r="J158" s="4" t="str">
        <f t="shared" ca="1" si="12"/>
        <v/>
      </c>
      <c r="K158" s="4" t="str">
        <f t="shared" ca="1" si="13"/>
        <v/>
      </c>
      <c r="L158" s="4" t="str" cm="1">
        <f t="array" aca="1" ref="L158" ca="1">_xlfn.LET(_xlpm.link,IFERROR(INDEX(_xlfn.ANCHORARRAY($AA$11),ROW()-10,12),""),IF(_xlpm.link="","",HYPERLINK(_xlpm.link,"Bluecore/Attentive")))</f>
        <v/>
      </c>
      <c r="M158" s="89" t="str">
        <f t="shared" ca="1" si="14"/>
        <v/>
      </c>
      <c r="N158" s="7"/>
      <c r="O158" s="7"/>
      <c r="P158" s="7"/>
      <c r="Q158" s="7"/>
      <c r="R158" s="7"/>
      <c r="S158" s="6"/>
      <c r="T158" s="6"/>
      <c r="U158" s="6"/>
      <c r="V158" s="6"/>
      <c r="W158" s="6"/>
      <c r="X158" s="6"/>
      <c r="Y158" s="6"/>
      <c r="Z158" s="6"/>
      <c r="AA158" s="32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34" t="str" cm="1">
        <f t="array" aca="1" ref="A159" ca="1">IFERROR(INDEX(_xlfn.ANCHORARRAY($AA$11),ROW()-10,1),"")</f>
        <v/>
      </c>
      <c r="B159" s="20" t="str" cm="1">
        <f t="array" aca="1" ref="B159" ca="1">IFERROR(INDEX(_xlfn.ANCHORARRAY($AA$11),ROW()-10,2),"")</f>
        <v/>
      </c>
      <c r="C159" s="4" t="str" cm="1">
        <f t="array" aca="1" ref="C159" ca="1">IFERROR(INDEX(_xlfn.ANCHORARRAY($AA$11),ROW()-10,3),"")</f>
        <v/>
      </c>
      <c r="D159" s="15" t="str" cm="1">
        <f t="array" aca="1" ref="D159" ca="1">IFERROR(INDEX(_xlfn.ANCHORARRAY($AA$11),ROW()-10,4),"")</f>
        <v/>
      </c>
      <c r="E159" s="4" t="str" cm="1">
        <f t="array" aca="1" ref="E159" ca="1">IFERROR(INDEX(_xlfn.ANCHORARRAY($AA$11),ROW()-10,5),"")</f>
        <v/>
      </c>
      <c r="F159" s="15" t="str" cm="1">
        <f t="array" aca="1" ref="F159" ca="1">IFERROR(INDEX(_xlfn.ANCHORARRAY($AA$11),ROW()-10,6),"")</f>
        <v/>
      </c>
      <c r="G159" s="4" t="str" cm="1">
        <f t="array" aca="1" ref="G159" ca="1">IFERROR(INDEX(_xlfn.ANCHORARRAY($AA$11),ROW()-10,7),"")</f>
        <v/>
      </c>
      <c r="H159" s="4" t="str" cm="1">
        <f t="array" aca="1" ref="H159" ca="1">IFERROR(INDEX(_xlfn.ANCHORARRAY($AA$11),ROW()-10,8),"")</f>
        <v/>
      </c>
      <c r="I159" s="4" t="str" cm="1">
        <f t="array" aca="1" ref="I159" ca="1">IFERROR(INDEX(_xlfn.ANCHORARRAY($AA$11),ROW()-10,9),"")</f>
        <v/>
      </c>
      <c r="J159" s="4" t="str">
        <f t="shared" ca="1" si="12"/>
        <v/>
      </c>
      <c r="K159" s="4" t="str">
        <f t="shared" ca="1" si="13"/>
        <v/>
      </c>
      <c r="L159" s="4" t="str" cm="1">
        <f t="array" aca="1" ref="L159" ca="1">_xlfn.LET(_xlpm.link,IFERROR(INDEX(_xlfn.ANCHORARRAY($AA$11),ROW()-10,12),""),IF(_xlpm.link="","",HYPERLINK(_xlpm.link,"Bluecore/Attentive")))</f>
        <v/>
      </c>
      <c r="M159" s="88" t="str">
        <f t="shared" ca="1" si="14"/>
        <v/>
      </c>
      <c r="N159" s="7"/>
      <c r="O159" s="7"/>
      <c r="P159" s="7"/>
      <c r="Q159" s="7"/>
      <c r="R159" s="7"/>
      <c r="S159" s="6"/>
      <c r="T159" s="6"/>
      <c r="U159" s="6"/>
      <c r="V159" s="6"/>
      <c r="W159" s="6"/>
      <c r="X159" s="6"/>
      <c r="Y159" s="6"/>
      <c r="Z159" s="6"/>
      <c r="AA159" s="32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34" t="str" cm="1">
        <f t="array" aca="1" ref="A160" ca="1">IFERROR(INDEX(_xlfn.ANCHORARRAY($AA$11),ROW()-10,1),"")</f>
        <v/>
      </c>
      <c r="B160" s="20" t="str" cm="1">
        <f t="array" aca="1" ref="B160" ca="1">IFERROR(INDEX(_xlfn.ANCHORARRAY($AA$11),ROW()-10,2),"")</f>
        <v/>
      </c>
      <c r="C160" s="4" t="str" cm="1">
        <f t="array" aca="1" ref="C160" ca="1">IFERROR(INDEX(_xlfn.ANCHORARRAY($AA$11),ROW()-10,3),"")</f>
        <v/>
      </c>
      <c r="D160" s="15" t="str" cm="1">
        <f t="array" aca="1" ref="D160" ca="1">IFERROR(INDEX(_xlfn.ANCHORARRAY($AA$11),ROW()-10,4),"")</f>
        <v/>
      </c>
      <c r="E160" s="4" t="str" cm="1">
        <f t="array" aca="1" ref="E160" ca="1">IFERROR(INDEX(_xlfn.ANCHORARRAY($AA$11),ROW()-10,5),"")</f>
        <v/>
      </c>
      <c r="F160" s="15" t="str" cm="1">
        <f t="array" aca="1" ref="F160" ca="1">IFERROR(INDEX(_xlfn.ANCHORARRAY($AA$11),ROW()-10,6),"")</f>
        <v/>
      </c>
      <c r="G160" s="4" t="str" cm="1">
        <f t="array" aca="1" ref="G160" ca="1">IFERROR(INDEX(_xlfn.ANCHORARRAY($AA$11),ROW()-10,7),"")</f>
        <v/>
      </c>
      <c r="H160" s="4" t="str" cm="1">
        <f t="array" aca="1" ref="H160" ca="1">IFERROR(INDEX(_xlfn.ANCHORARRAY($AA$11),ROW()-10,8),"")</f>
        <v/>
      </c>
      <c r="I160" s="4" t="str" cm="1">
        <f t="array" aca="1" ref="I160" ca="1">IFERROR(INDEX(_xlfn.ANCHORARRAY($AA$11),ROW()-10,9),"")</f>
        <v/>
      </c>
      <c r="J160" s="4" t="str">
        <f t="shared" ca="1" si="12"/>
        <v/>
      </c>
      <c r="K160" s="4" t="str">
        <f t="shared" ca="1" si="13"/>
        <v/>
      </c>
      <c r="L160" s="4" t="str" cm="1">
        <f t="array" aca="1" ref="L160" ca="1">_xlfn.LET(_xlpm.link,IFERROR(INDEX(_xlfn.ANCHORARRAY($AA$11),ROW()-10,12),""),IF(_xlpm.link="","",HYPERLINK(_xlpm.link,"Bluecore/Attentive")))</f>
        <v/>
      </c>
      <c r="M160" s="89" t="str">
        <f t="shared" ca="1" si="14"/>
        <v/>
      </c>
      <c r="N160" s="7"/>
      <c r="O160" s="7"/>
      <c r="P160" s="7"/>
      <c r="Q160" s="7"/>
      <c r="R160" s="7"/>
      <c r="S160" s="6"/>
      <c r="T160" s="6"/>
      <c r="U160" s="6"/>
      <c r="V160" s="6"/>
      <c r="W160" s="6"/>
      <c r="X160" s="6"/>
      <c r="Y160" s="6"/>
      <c r="Z160" s="6"/>
      <c r="AA160" s="32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28"/>
      <c r="B161" s="20"/>
      <c r="C161" s="15"/>
      <c r="D161" s="15"/>
      <c r="E161" s="15"/>
      <c r="G161" s="15"/>
      <c r="H161" s="15"/>
      <c r="I161" s="15"/>
      <c r="J161" s="15"/>
      <c r="K161" s="15"/>
      <c r="L161" s="15"/>
      <c r="M161" s="7"/>
      <c r="N161" s="7"/>
      <c r="O161" s="7"/>
      <c r="P161" s="7"/>
      <c r="Q161" s="7"/>
      <c r="R161" s="7"/>
      <c r="S161" s="6"/>
      <c r="T161" s="6"/>
      <c r="U161" s="6"/>
      <c r="V161" s="6"/>
      <c r="W161" s="6"/>
      <c r="X161" s="6"/>
      <c r="Y161" s="6"/>
      <c r="Z161" s="6"/>
      <c r="AA161" s="32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29" t="s">
        <v>33</v>
      </c>
      <c r="B162" s="21" t="s">
        <v>34</v>
      </c>
      <c r="C162" s="35">
        <f ca="1">C5</f>
        <v>0</v>
      </c>
      <c r="D162" s="22" t="s">
        <v>35</v>
      </c>
      <c r="E162" s="15"/>
      <c r="G162" s="15"/>
      <c r="H162" s="15"/>
      <c r="I162" s="15"/>
      <c r="J162" s="15"/>
      <c r="K162" s="15"/>
      <c r="L162" s="15"/>
      <c r="M162" s="7"/>
      <c r="N162" s="7"/>
      <c r="O162" s="7"/>
      <c r="P162" s="7"/>
      <c r="Q162" s="7"/>
      <c r="R162" s="7"/>
      <c r="S162" s="6"/>
      <c r="T162" s="6"/>
      <c r="U162" s="6"/>
      <c r="V162" s="6"/>
      <c r="W162" s="6"/>
      <c r="X162" s="6"/>
      <c r="Y162" s="6"/>
      <c r="Z162" s="6"/>
      <c r="AA162" s="3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30" t="s">
        <v>9</v>
      </c>
      <c r="B163" s="23" t="s">
        <v>36</v>
      </c>
      <c r="C163" s="36">
        <f>E5</f>
        <v>1</v>
      </c>
      <c r="D163" s="24" t="s">
        <v>37</v>
      </c>
      <c r="E163" s="15"/>
      <c r="G163" s="15"/>
      <c r="H163" s="15"/>
      <c r="I163" s="15"/>
      <c r="J163" s="15"/>
      <c r="K163" s="15"/>
      <c r="L163" s="15"/>
      <c r="M163" s="7"/>
      <c r="N163" s="7"/>
      <c r="O163" s="7"/>
      <c r="P163" s="7"/>
      <c r="Q163" s="7"/>
      <c r="R163" s="7"/>
      <c r="S163" s="6"/>
      <c r="T163" s="6"/>
      <c r="U163" s="6"/>
      <c r="V163" s="6"/>
      <c r="W163" s="6"/>
      <c r="X163" s="6"/>
      <c r="Y163" s="6"/>
      <c r="Z163" s="6"/>
      <c r="AA163" s="32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31" t="s">
        <v>10</v>
      </c>
      <c r="B164" s="25" t="s">
        <v>36</v>
      </c>
      <c r="C164" s="37">
        <f>G5</f>
        <v>1</v>
      </c>
      <c r="D164" s="26" t="s">
        <v>38</v>
      </c>
      <c r="E164" s="15"/>
      <c r="G164" s="15"/>
      <c r="H164" s="15"/>
      <c r="I164" s="15"/>
      <c r="J164" s="15"/>
      <c r="K164" s="15"/>
      <c r="L164" s="15"/>
      <c r="M164" s="7"/>
      <c r="N164" s="7"/>
      <c r="O164" s="7"/>
      <c r="P164" s="7"/>
      <c r="Q164" s="7"/>
      <c r="R164" s="7"/>
      <c r="S164" s="6"/>
      <c r="T164" s="6"/>
      <c r="U164" s="6"/>
      <c r="V164" s="6"/>
      <c r="W164" s="6"/>
      <c r="X164" s="6"/>
      <c r="Y164" s="6"/>
      <c r="Z164" s="6"/>
      <c r="AA164" s="32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30" t="s">
        <v>11</v>
      </c>
      <c r="B165" s="23" t="s">
        <v>34</v>
      </c>
      <c r="C165" s="36">
        <f>I5</f>
        <v>2</v>
      </c>
      <c r="D165" s="24" t="s">
        <v>39</v>
      </c>
      <c r="E165" s="15"/>
      <c r="G165" s="15"/>
      <c r="H165" s="15"/>
      <c r="I165" s="15"/>
      <c r="J165" s="15"/>
      <c r="K165" s="15"/>
      <c r="L165" s="15"/>
      <c r="M165" s="7"/>
      <c r="N165" s="7"/>
      <c r="O165" s="7"/>
      <c r="P165" s="7"/>
      <c r="Q165" s="7"/>
      <c r="R165" s="7"/>
      <c r="S165" s="6"/>
      <c r="T165" s="6"/>
      <c r="U165" s="6"/>
      <c r="V165" s="6"/>
      <c r="W165" s="6"/>
      <c r="X165" s="6"/>
      <c r="Y165" s="6"/>
      <c r="Z165" s="6"/>
      <c r="AA165" s="32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31" t="s">
        <v>12</v>
      </c>
      <c r="B166" s="25" t="s">
        <v>40</v>
      </c>
      <c r="C166" s="37">
        <f>K5</f>
        <v>0</v>
      </c>
      <c r="D166" s="26" t="s">
        <v>41</v>
      </c>
      <c r="E166" s="15"/>
      <c r="G166" s="15"/>
      <c r="H166" s="15"/>
      <c r="I166" s="15"/>
      <c r="J166" s="15"/>
      <c r="K166" s="15"/>
      <c r="L166" s="15"/>
      <c r="M166" s="7"/>
      <c r="N166" s="7"/>
      <c r="O166" s="7"/>
      <c r="P166" s="7"/>
      <c r="Q166" s="7"/>
      <c r="R166" s="7"/>
      <c r="S166" s="6"/>
      <c r="T166" s="6"/>
      <c r="U166" s="6"/>
      <c r="V166" s="6"/>
      <c r="W166" s="6"/>
      <c r="X166" s="6"/>
      <c r="Y166" s="6"/>
      <c r="Z166" s="6"/>
      <c r="AA166" s="32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1:38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1:38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1:38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1:38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1:38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1:38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1:38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1:38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1:38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1:38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1:38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1:38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1:38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1:38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1:38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1:38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1:38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89" spans="1:38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</row>
    <row r="190" spans="1:38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</row>
    <row r="191" spans="1:38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</row>
    <row r="192" spans="1:38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  <row r="193" spans="1:38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</row>
    <row r="194" spans="1:38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</row>
    <row r="195" spans="1:38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</row>
    <row r="196" spans="1:38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</row>
    <row r="197" spans="1:38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</row>
    <row r="198" spans="1:38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</row>
    <row r="199" spans="1:38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</row>
    <row r="200" spans="1:38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</row>
    <row r="201" spans="1:38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</row>
    <row r="202" spans="1:38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</row>
    <row r="203" spans="1:38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</row>
    <row r="204" spans="1:38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</row>
    <row r="205" spans="1:38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</row>
    <row r="206" spans="1:38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</row>
    <row r="207" spans="1:38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</row>
    <row r="208" spans="1:38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</row>
    <row r="209" spans="1:38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</row>
    <row r="210" spans="1:38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</row>
    <row r="211" spans="1:38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</row>
    <row r="212" spans="1:38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</row>
    <row r="213" spans="1:38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</row>
    <row r="214" spans="1:38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</row>
    <row r="215" spans="1:38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</row>
    <row r="216" spans="1:38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</row>
    <row r="217" spans="1:38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</row>
    <row r="218" spans="1:38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</row>
    <row r="219" spans="1:38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</row>
    <row r="220" spans="1:38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</row>
    <row r="221" spans="1:38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</row>
    <row r="222" spans="1:38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</row>
    <row r="223" spans="1:38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</row>
    <row r="224" spans="1:38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</row>
    <row r="225" spans="1:38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</row>
    <row r="226" spans="1:38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</row>
    <row r="227" spans="1:38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</row>
    <row r="228" spans="1:38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</row>
    <row r="229" spans="1:38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</row>
    <row r="230" spans="1:38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</row>
    <row r="231" spans="1:38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</row>
    <row r="232" spans="1:38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</row>
    <row r="233" spans="1:38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</row>
    <row r="234" spans="1:38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</row>
    <row r="235" spans="1:38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</row>
    <row r="236" spans="1:38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</row>
    <row r="237" spans="1:38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</row>
    <row r="238" spans="1:38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</row>
    <row r="239" spans="1:38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</row>
    <row r="240" spans="1:38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</row>
    <row r="241" spans="1:38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</row>
    <row r="242" spans="1:38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</row>
    <row r="243" spans="1:38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</row>
    <row r="244" spans="1:38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</row>
    <row r="245" spans="1:38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</row>
    <row r="246" spans="1:38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</row>
    <row r="247" spans="1:38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</row>
    <row r="248" spans="1:38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</row>
    <row r="249" spans="1:38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</row>
    <row r="250" spans="1:38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</row>
    <row r="251" spans="1:38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</row>
    <row r="252" spans="1:38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</row>
    <row r="253" spans="1:38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</row>
    <row r="254" spans="1:38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</row>
    <row r="255" spans="1:38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</row>
    <row r="256" spans="1:38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</row>
    <row r="257" spans="1:38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</row>
    <row r="258" spans="1:38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</row>
    <row r="259" spans="1:38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</row>
    <row r="260" spans="1:38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</row>
    <row r="261" spans="1:38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</row>
    <row r="262" spans="1:38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</row>
    <row r="263" spans="1:38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</row>
    <row r="264" spans="1:38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</row>
    <row r="265" spans="1:38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</row>
    <row r="266" spans="1:38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</row>
    <row r="267" spans="1:38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</row>
    <row r="268" spans="1:38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</row>
    <row r="269" spans="1:38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</row>
    <row r="270" spans="1:38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</row>
    <row r="271" spans="1:38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</row>
    <row r="272" spans="1:38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</row>
    <row r="273" spans="1:38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</row>
    <row r="274" spans="1:38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</row>
    <row r="275" spans="1:38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</row>
    <row r="276" spans="1:38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</row>
    <row r="277" spans="1:38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</row>
    <row r="278" spans="1:38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</row>
    <row r="279" spans="1:38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</row>
    <row r="280" spans="1:38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</row>
    <row r="281" spans="1:38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</row>
    <row r="282" spans="1:38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</row>
    <row r="283" spans="1:38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</row>
    <row r="284" spans="1:38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</row>
    <row r="285" spans="1:38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</row>
    <row r="286" spans="1:38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</row>
    <row r="287" spans="1:38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</row>
    <row r="288" spans="1:38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</row>
    <row r="289" spans="1:38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</row>
    <row r="290" spans="1:38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</row>
    <row r="291" spans="1:38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</row>
    <row r="292" spans="1:38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</row>
    <row r="293" spans="1:38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</row>
    <row r="294" spans="1:38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</row>
    <row r="295" spans="1:38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</row>
    <row r="296" spans="1:38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</row>
    <row r="297" spans="1:38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</row>
    <row r="298" spans="1:38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</row>
    <row r="299" spans="1:38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</row>
    <row r="300" spans="1:38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</row>
    <row r="301" spans="1:38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</row>
    <row r="302" spans="1:38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</row>
    <row r="303" spans="1:38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</row>
    <row r="304" spans="1:38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</row>
    <row r="305" spans="1:38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</row>
    <row r="306" spans="1:38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</row>
    <row r="307" spans="1:38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</row>
    <row r="308" spans="1:38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</row>
    <row r="309" spans="1:38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</row>
    <row r="310" spans="1:38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</row>
    <row r="311" spans="1:38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</row>
    <row r="312" spans="1:38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</row>
    <row r="313" spans="1:38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</row>
    <row r="314" spans="1:38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</row>
    <row r="315" spans="1:38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</row>
    <row r="316" spans="1:38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</row>
    <row r="317" spans="1:38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</row>
    <row r="318" spans="1:38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</row>
    <row r="319" spans="1:38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</row>
    <row r="320" spans="1:38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</row>
    <row r="321" spans="1:38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</row>
    <row r="322" spans="1:38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</row>
    <row r="323" spans="1:38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</row>
    <row r="324" spans="1:38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</row>
    <row r="325" spans="1:38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</row>
    <row r="326" spans="1:38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</row>
    <row r="327" spans="1:38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</row>
    <row r="328" spans="1:38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</row>
    <row r="329" spans="1:38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</row>
    <row r="330" spans="1:38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</row>
    <row r="331" spans="1:38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</row>
    <row r="332" spans="1:38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</row>
    <row r="333" spans="1:38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</row>
    <row r="334" spans="1:38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</row>
    <row r="335" spans="1:38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</row>
    <row r="336" spans="1:38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</row>
    <row r="337" spans="1:38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</row>
    <row r="338" spans="1:38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</row>
    <row r="339" spans="1:38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</row>
    <row r="340" spans="1:38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</row>
    <row r="341" spans="1:38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</row>
    <row r="342" spans="1:38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</row>
    <row r="343" spans="1:38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</row>
    <row r="344" spans="1:38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</row>
    <row r="345" spans="1:38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</row>
    <row r="346" spans="1:38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</row>
    <row r="347" spans="1:38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</row>
    <row r="348" spans="1:38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</row>
    <row r="349" spans="1:38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</row>
    <row r="350" spans="1:38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</row>
    <row r="351" spans="1:38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</row>
    <row r="352" spans="1:38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</row>
    <row r="353" spans="1:38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</row>
    <row r="354" spans="1:38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</row>
    <row r="355" spans="1:38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</row>
    <row r="356" spans="1:38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</row>
    <row r="357" spans="1:38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</row>
    <row r="358" spans="1:38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</row>
    <row r="359" spans="1:38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</row>
    <row r="360" spans="1:38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</row>
    <row r="361" spans="1:38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</row>
    <row r="362" spans="1:38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</row>
    <row r="363" spans="1:38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</row>
    <row r="364" spans="1:38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</row>
    <row r="365" spans="1:38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</row>
    <row r="366" spans="1:38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</row>
    <row r="367" spans="1:38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</row>
    <row r="368" spans="1:38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</row>
    <row r="369" spans="1:38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</row>
    <row r="370" spans="1:38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</row>
    <row r="371" spans="1:38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</row>
    <row r="372" spans="1:38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</row>
    <row r="373" spans="1:38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</row>
    <row r="374" spans="1:38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</row>
    <row r="375" spans="1:38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</row>
    <row r="376" spans="1:38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</row>
    <row r="377" spans="1:38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</row>
    <row r="378" spans="1:38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</row>
    <row r="379" spans="1:38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</row>
    <row r="380" spans="1:38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</row>
    <row r="381" spans="1:38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</row>
    <row r="382" spans="1:38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</row>
    <row r="383" spans="1:38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</row>
    <row r="384" spans="1:38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</row>
    <row r="385" spans="1:38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</row>
    <row r="386" spans="1:38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</row>
    <row r="387" spans="1:38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</row>
    <row r="388" spans="1:38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</row>
    <row r="389" spans="1:38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</row>
    <row r="390" spans="1:38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</row>
    <row r="391" spans="1:38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</row>
    <row r="392" spans="1:38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</row>
    <row r="393" spans="1:38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</row>
    <row r="394" spans="1:38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</row>
    <row r="395" spans="1:38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</row>
    <row r="396" spans="1:38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</row>
    <row r="397" spans="1:38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</row>
    <row r="398" spans="1:38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</row>
    <row r="399" spans="1:38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</row>
    <row r="400" spans="1:38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</row>
    <row r="401" spans="1:38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</row>
    <row r="402" spans="1:38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</row>
    <row r="403" spans="1:38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</row>
    <row r="404" spans="1:38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</row>
    <row r="405" spans="1:38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</row>
    <row r="406" spans="1:38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</row>
    <row r="407" spans="1:38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</row>
    <row r="408" spans="1:38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</row>
    <row r="409" spans="1:38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</row>
    <row r="410" spans="1:38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</row>
    <row r="411" spans="1:38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</row>
    <row r="412" spans="1:38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</row>
    <row r="413" spans="1:38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</row>
    <row r="414" spans="1:38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</row>
    <row r="415" spans="1:38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</row>
    <row r="416" spans="1:38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</row>
    <row r="417" spans="1:38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</row>
    <row r="418" spans="1:38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</row>
    <row r="419" spans="1:38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</row>
    <row r="420" spans="1:38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</row>
    <row r="421" spans="1:38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</row>
    <row r="422" spans="1:38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</row>
    <row r="423" spans="1:38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</row>
    <row r="424" spans="1:38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</row>
    <row r="425" spans="1:38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</row>
    <row r="426" spans="1:38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</row>
    <row r="427" spans="1:38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</row>
    <row r="428" spans="1:38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</row>
    <row r="429" spans="1:38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</row>
    <row r="430" spans="1:38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</row>
    <row r="431" spans="1:38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</row>
    <row r="432" spans="1:38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</row>
    <row r="433" spans="1:38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</row>
    <row r="434" spans="1:38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</row>
    <row r="435" spans="1:38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</row>
    <row r="436" spans="1:38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</row>
    <row r="437" spans="1:38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</row>
    <row r="438" spans="1:38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</row>
    <row r="439" spans="1:38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</row>
    <row r="440" spans="1:38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</row>
    <row r="441" spans="1:38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</row>
    <row r="442" spans="1:38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</row>
    <row r="443" spans="1:38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</row>
    <row r="444" spans="1:38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</row>
    <row r="445" spans="1:38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</row>
    <row r="446" spans="1:38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</row>
    <row r="447" spans="1:38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</row>
    <row r="448" spans="1:38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</row>
    <row r="449" spans="1:38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</row>
    <row r="450" spans="1:38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</row>
    <row r="451" spans="1:38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</row>
    <row r="452" spans="1:38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</row>
    <row r="453" spans="1:38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</row>
    <row r="454" spans="1:38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</row>
    <row r="455" spans="1:38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</row>
    <row r="456" spans="1:38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</row>
    <row r="457" spans="1:38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</row>
    <row r="458" spans="1:38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</row>
    <row r="459" spans="1:38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</row>
    <row r="460" spans="1:38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</row>
    <row r="461" spans="1:38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</row>
    <row r="462" spans="1:38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</row>
    <row r="463" spans="1:38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</row>
    <row r="464" spans="1:38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</row>
    <row r="465" spans="1:38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</row>
    <row r="466" spans="1:38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</row>
    <row r="467" spans="1:38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</row>
    <row r="468" spans="1:38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</row>
    <row r="469" spans="1:38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</row>
    <row r="470" spans="1:38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</row>
    <row r="471" spans="1:38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</row>
    <row r="472" spans="1:38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</row>
    <row r="473" spans="1:38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</row>
    <row r="474" spans="1:38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</row>
    <row r="475" spans="1:38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</row>
    <row r="476" spans="1:38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</row>
    <row r="477" spans="1:38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</row>
    <row r="478" spans="1:38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</row>
    <row r="479" spans="1:38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</row>
    <row r="480" spans="1:38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</row>
    <row r="481" spans="1:38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</row>
    <row r="482" spans="1:38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</row>
    <row r="483" spans="1:38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</row>
    <row r="484" spans="1:38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</row>
    <row r="485" spans="1:38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</row>
    <row r="486" spans="1:38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</row>
    <row r="487" spans="1:38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</row>
    <row r="488" spans="1:38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</row>
    <row r="489" spans="1:38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</row>
    <row r="490" spans="1:38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</row>
    <row r="491" spans="1:38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</row>
    <row r="492" spans="1:38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</row>
    <row r="493" spans="1:38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</row>
    <row r="494" spans="1:38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</row>
    <row r="495" spans="1:38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</row>
    <row r="496" spans="1:38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</row>
    <row r="497" spans="1:38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</row>
    <row r="498" spans="1:38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</row>
    <row r="499" spans="1:38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</row>
    <row r="500" spans="1:38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</row>
    <row r="501" spans="1:38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</row>
    <row r="502" spans="1:38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</row>
    <row r="503" spans="1:38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</row>
    <row r="504" spans="1:38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</row>
    <row r="505" spans="1:38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</row>
    <row r="506" spans="1:38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</row>
    <row r="507" spans="1:38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</row>
    <row r="508" spans="1:38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</row>
    <row r="509" spans="1:38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</row>
    <row r="510" spans="1:38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</row>
    <row r="511" spans="1:38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</row>
    <row r="512" spans="1:38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</row>
    <row r="513" spans="1:38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</row>
    <row r="514" spans="1:38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</row>
    <row r="515" spans="1:38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</row>
    <row r="516" spans="1:38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</row>
    <row r="517" spans="1:38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</row>
    <row r="518" spans="1:38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</row>
    <row r="519" spans="1:38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</row>
    <row r="520" spans="1:38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</row>
    <row r="521" spans="1:38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</row>
    <row r="522" spans="1:38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</row>
    <row r="523" spans="1:38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</row>
    <row r="524" spans="1:38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</row>
    <row r="525" spans="1:38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</row>
    <row r="526" spans="1:38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</row>
    <row r="527" spans="1:38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</row>
    <row r="528" spans="1:38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</row>
    <row r="529" spans="1:38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</row>
    <row r="530" spans="1:38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</row>
    <row r="531" spans="1:38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</row>
    <row r="532" spans="1:38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</row>
    <row r="533" spans="1:38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</row>
    <row r="534" spans="1:38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</row>
    <row r="535" spans="1:38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</row>
    <row r="536" spans="1:38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</row>
    <row r="537" spans="1:38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</row>
    <row r="538" spans="1:38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</row>
    <row r="539" spans="1:38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</row>
    <row r="540" spans="1:38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</row>
    <row r="541" spans="1:38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</row>
    <row r="542" spans="1:38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</row>
    <row r="543" spans="1:38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</row>
    <row r="544" spans="1:38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</row>
    <row r="545" spans="1:38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</row>
    <row r="546" spans="1:38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</row>
    <row r="547" spans="1:38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</row>
    <row r="548" spans="1:38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</row>
    <row r="549" spans="1:38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</row>
    <row r="550" spans="1:38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</row>
    <row r="551" spans="1:38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</row>
    <row r="552" spans="1:38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</row>
    <row r="553" spans="1:38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</row>
    <row r="554" spans="1:38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</row>
    <row r="555" spans="1:38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</row>
    <row r="556" spans="1:38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</row>
    <row r="557" spans="1:38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</row>
    <row r="558" spans="1:38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</row>
    <row r="559" spans="1:38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</row>
    <row r="560" spans="1:38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</row>
    <row r="561" spans="1:38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</row>
    <row r="562" spans="1:38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</row>
    <row r="563" spans="1:38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</row>
    <row r="564" spans="1:38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</row>
    <row r="565" spans="1:38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</row>
    <row r="566" spans="1:38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</row>
    <row r="567" spans="1:38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</row>
    <row r="568" spans="1:38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</row>
    <row r="569" spans="1:38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</row>
    <row r="570" spans="1:38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</row>
    <row r="571" spans="1:38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</row>
    <row r="572" spans="1:38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</row>
    <row r="573" spans="1:38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</row>
    <row r="574" spans="1:38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</row>
    <row r="575" spans="1:38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</row>
    <row r="576" spans="1:38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</row>
    <row r="577" spans="1:38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</row>
    <row r="578" spans="1:38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</row>
    <row r="579" spans="1:38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</row>
    <row r="580" spans="1:38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</row>
    <row r="581" spans="1:38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</row>
    <row r="582" spans="1:38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</row>
    <row r="583" spans="1:38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</row>
    <row r="584" spans="1:38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</row>
    <row r="585" spans="1:38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</row>
    <row r="586" spans="1:38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</row>
    <row r="587" spans="1:38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</row>
    <row r="588" spans="1:38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</row>
    <row r="589" spans="1:38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</row>
    <row r="590" spans="1:38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</row>
    <row r="591" spans="1:38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</row>
    <row r="592" spans="1:38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</row>
    <row r="593" spans="1:38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</row>
    <row r="594" spans="1:38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</row>
    <row r="595" spans="1:38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</row>
    <row r="596" spans="1:38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</row>
    <row r="597" spans="1:38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</row>
    <row r="598" spans="1:38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</row>
    <row r="599" spans="1:38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</row>
    <row r="600" spans="1:38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</row>
    <row r="601" spans="1:38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</row>
    <row r="602" spans="1:38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</row>
    <row r="603" spans="1:38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</row>
    <row r="604" spans="1:38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</row>
    <row r="605" spans="1:38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</row>
    <row r="606" spans="1:38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</row>
    <row r="607" spans="1:38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</row>
    <row r="608" spans="1:38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</row>
    <row r="609" spans="1:38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</row>
    <row r="610" spans="1:38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</row>
    <row r="611" spans="1:38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</row>
    <row r="612" spans="1:38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</row>
    <row r="613" spans="1:38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</row>
    <row r="614" spans="1:38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</row>
    <row r="615" spans="1:38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</row>
    <row r="616" spans="1:38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</row>
    <row r="617" spans="1:38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</row>
    <row r="618" spans="1:38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</row>
    <row r="619" spans="1:38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</row>
    <row r="620" spans="1:38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</row>
    <row r="621" spans="1:38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</row>
    <row r="622" spans="1:38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</row>
    <row r="623" spans="1:38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</row>
    <row r="624" spans="1:38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</row>
    <row r="625" spans="1:38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</row>
    <row r="626" spans="1:38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</row>
    <row r="627" spans="1:38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</row>
    <row r="628" spans="1:38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</row>
    <row r="629" spans="1:38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</row>
    <row r="630" spans="1:38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</row>
    <row r="631" spans="1:38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</row>
    <row r="632" spans="1:38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</row>
    <row r="633" spans="1:38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</row>
    <row r="634" spans="1:38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</row>
    <row r="635" spans="1:38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</row>
    <row r="636" spans="1:38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</row>
    <row r="637" spans="1:38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</row>
    <row r="638" spans="1:38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</row>
    <row r="639" spans="1:38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</row>
    <row r="640" spans="1:38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</row>
    <row r="641" spans="1:38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</row>
    <row r="642" spans="1:38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</row>
    <row r="643" spans="1:38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</row>
    <row r="644" spans="1:38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</row>
    <row r="645" spans="1:38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</row>
    <row r="646" spans="1:38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</row>
    <row r="647" spans="1:38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</row>
    <row r="648" spans="1:38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</row>
    <row r="649" spans="1:38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</row>
    <row r="650" spans="1:38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</row>
    <row r="651" spans="1:38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</row>
    <row r="652" spans="1:38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</row>
    <row r="653" spans="1:38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</row>
    <row r="654" spans="1:38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</row>
    <row r="655" spans="1:38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</row>
    <row r="656" spans="1:38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</row>
    <row r="657" spans="1:38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</row>
    <row r="658" spans="1:38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</row>
    <row r="659" spans="1:38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</row>
    <row r="660" spans="1:38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</row>
    <row r="661" spans="1:38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</row>
    <row r="662" spans="1:38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</row>
    <row r="663" spans="1:38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</row>
    <row r="664" spans="1:38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</row>
    <row r="665" spans="1:38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</row>
    <row r="666" spans="1:38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</row>
    <row r="667" spans="1:38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</row>
    <row r="668" spans="1:38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</row>
    <row r="669" spans="1:38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</row>
    <row r="670" spans="1:38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</row>
    <row r="671" spans="1:38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</row>
    <row r="672" spans="1:38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</row>
    <row r="673" spans="1:38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</row>
    <row r="674" spans="1:38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</row>
    <row r="675" spans="1:38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</row>
    <row r="676" spans="1:38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</row>
    <row r="677" spans="1:38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</row>
    <row r="678" spans="1:38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</row>
    <row r="679" spans="1:38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</row>
    <row r="680" spans="1:38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</row>
    <row r="681" spans="1:38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</row>
    <row r="682" spans="1:38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</row>
    <row r="683" spans="1:38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</row>
    <row r="684" spans="1:38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</row>
    <row r="685" spans="1:38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</row>
    <row r="686" spans="1:38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</row>
    <row r="687" spans="1:38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</row>
    <row r="688" spans="1:38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</row>
    <row r="689" spans="1:38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</row>
    <row r="690" spans="1:38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</row>
    <row r="691" spans="1:38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</row>
    <row r="692" spans="1:38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</row>
    <row r="693" spans="1:38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</row>
    <row r="694" spans="1:38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</row>
    <row r="695" spans="1:38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</row>
    <row r="696" spans="1:38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</row>
    <row r="697" spans="1:38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</row>
    <row r="698" spans="1:38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</row>
    <row r="699" spans="1:38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</row>
    <row r="700" spans="1:38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</row>
    <row r="701" spans="1:38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</row>
    <row r="702" spans="1:38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</row>
    <row r="703" spans="1:38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</row>
    <row r="704" spans="1:38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</row>
    <row r="705" spans="1:38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</row>
    <row r="706" spans="1:38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</row>
    <row r="707" spans="1:38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</row>
    <row r="708" spans="1:38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</row>
    <row r="709" spans="1:38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</row>
    <row r="710" spans="1:38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</row>
    <row r="711" spans="1:38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</row>
    <row r="712" spans="1:38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</row>
    <row r="713" spans="1:38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</row>
    <row r="714" spans="1:38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</row>
    <row r="715" spans="1:38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</row>
    <row r="716" spans="1:38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</row>
    <row r="717" spans="1:38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</row>
    <row r="718" spans="1:38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</row>
    <row r="719" spans="1:38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</row>
    <row r="720" spans="1:38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</row>
    <row r="721" spans="1:38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</row>
    <row r="722" spans="1:38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</row>
    <row r="723" spans="1:38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</row>
    <row r="724" spans="1:38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</row>
    <row r="725" spans="1:38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</row>
    <row r="726" spans="1:38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</row>
    <row r="727" spans="1:38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</row>
    <row r="728" spans="1:38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</row>
    <row r="729" spans="1:38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</row>
    <row r="730" spans="1:38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</row>
    <row r="731" spans="1:38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</row>
    <row r="732" spans="1:38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</row>
    <row r="733" spans="1:38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</row>
    <row r="734" spans="1:38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</row>
    <row r="735" spans="1:38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</row>
    <row r="736" spans="1:38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</row>
    <row r="737" spans="1:38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</row>
    <row r="738" spans="1:38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</row>
    <row r="739" spans="1:38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</row>
    <row r="740" spans="1:38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</row>
    <row r="741" spans="1:38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</row>
    <row r="742" spans="1:38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</row>
    <row r="743" spans="1:38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</row>
    <row r="744" spans="1:38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</row>
    <row r="745" spans="1:38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</row>
    <row r="746" spans="1:38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</row>
    <row r="747" spans="1:38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</row>
    <row r="748" spans="1:38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</row>
    <row r="749" spans="1:38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</row>
    <row r="750" spans="1:38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</row>
    <row r="751" spans="1:38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</row>
    <row r="752" spans="1:38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</row>
    <row r="753" spans="1:38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</row>
    <row r="754" spans="1:38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</row>
    <row r="755" spans="1:38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</row>
    <row r="756" spans="1:38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</row>
    <row r="757" spans="1:38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</row>
    <row r="758" spans="1:38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</row>
    <row r="759" spans="1:38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</row>
    <row r="760" spans="1:38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</row>
    <row r="761" spans="1:38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</row>
    <row r="762" spans="1:38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</row>
    <row r="763" spans="1:38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</row>
    <row r="764" spans="1:38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</row>
    <row r="765" spans="1:38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</row>
    <row r="766" spans="1:38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</row>
    <row r="767" spans="1:38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</row>
    <row r="768" spans="1:38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</row>
    <row r="769" spans="1:38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</row>
    <row r="770" spans="1:38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</row>
    <row r="771" spans="1:38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</row>
    <row r="772" spans="1:38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</row>
    <row r="773" spans="1:38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</row>
    <row r="774" spans="1:38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</row>
    <row r="775" spans="1:38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</row>
    <row r="776" spans="1:38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</row>
    <row r="777" spans="1:38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</row>
    <row r="778" spans="1:38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</row>
    <row r="779" spans="1:38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</row>
    <row r="780" spans="1:38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</row>
    <row r="781" spans="1:38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</row>
    <row r="782" spans="1:38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</row>
    <row r="783" spans="1:38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</row>
    <row r="784" spans="1:38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</row>
    <row r="785" spans="1:38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</row>
    <row r="786" spans="1:38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</row>
    <row r="787" spans="1:38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</row>
    <row r="788" spans="1:38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</row>
    <row r="789" spans="1:38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</row>
    <row r="790" spans="1:38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</row>
    <row r="791" spans="1:38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</row>
    <row r="792" spans="1:38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</row>
    <row r="793" spans="1:38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</row>
    <row r="794" spans="1:38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</row>
    <row r="795" spans="1:38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</row>
    <row r="796" spans="1:38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</row>
    <row r="797" spans="1:38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</row>
    <row r="798" spans="1:38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</row>
    <row r="799" spans="1:38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</row>
    <row r="800" spans="1:38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</row>
    <row r="801" spans="1:38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</row>
    <row r="802" spans="1:38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</row>
    <row r="803" spans="1:38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</row>
    <row r="804" spans="1:38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</row>
    <row r="805" spans="1:38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</row>
    <row r="806" spans="1:38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</row>
    <row r="807" spans="1:38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</row>
    <row r="808" spans="1:38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</row>
    <row r="809" spans="1:38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</row>
    <row r="810" spans="1:38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</row>
    <row r="811" spans="1:38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</row>
    <row r="812" spans="1:38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</row>
    <row r="813" spans="1:38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</row>
    <row r="814" spans="1:38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</row>
    <row r="815" spans="1:38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</row>
    <row r="816" spans="1:38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</row>
    <row r="817" spans="1:38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</row>
    <row r="818" spans="1:38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</row>
    <row r="819" spans="1:38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</row>
    <row r="820" spans="1:38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</row>
    <row r="821" spans="1:38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</row>
    <row r="822" spans="1:38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</row>
    <row r="823" spans="1:38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</row>
    <row r="824" spans="1:38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</row>
    <row r="825" spans="1:38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</row>
    <row r="826" spans="1:38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</row>
    <row r="827" spans="1:38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</row>
    <row r="828" spans="1:38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</row>
    <row r="829" spans="1:38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</row>
    <row r="830" spans="1:38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</row>
    <row r="831" spans="1:38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</row>
    <row r="832" spans="1:38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</row>
    <row r="833" spans="1:38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</row>
    <row r="834" spans="1:38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</row>
    <row r="835" spans="1:38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</row>
    <row r="836" spans="1:38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</row>
    <row r="837" spans="1:38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</row>
    <row r="838" spans="1:38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</row>
    <row r="839" spans="1:38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</row>
    <row r="840" spans="1:38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</row>
    <row r="841" spans="1:38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</row>
    <row r="842" spans="1:38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</row>
    <row r="843" spans="1:38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</row>
    <row r="844" spans="1:38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</row>
    <row r="845" spans="1:38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</row>
    <row r="846" spans="1:38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</row>
    <row r="847" spans="1:38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</row>
    <row r="848" spans="1:38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</row>
    <row r="849" spans="1:38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</row>
    <row r="850" spans="1:38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</row>
    <row r="851" spans="1:38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</row>
    <row r="852" spans="1:38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</row>
    <row r="853" spans="1:38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</row>
    <row r="854" spans="1:38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</row>
    <row r="855" spans="1:38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</row>
    <row r="856" spans="1:38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</row>
    <row r="857" spans="1:38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</row>
    <row r="858" spans="1:38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</row>
    <row r="859" spans="1:38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</row>
    <row r="860" spans="1:38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</row>
    <row r="861" spans="1:38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</row>
    <row r="862" spans="1:38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</row>
    <row r="863" spans="1:38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</row>
    <row r="864" spans="1:38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</row>
    <row r="865" spans="1:38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</row>
    <row r="866" spans="1:38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</row>
    <row r="867" spans="1:38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</row>
    <row r="868" spans="1:38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</row>
    <row r="869" spans="1:38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</row>
    <row r="870" spans="1:38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</row>
    <row r="871" spans="1:38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</row>
    <row r="872" spans="1:38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</row>
    <row r="873" spans="1:38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</row>
    <row r="874" spans="1:38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</row>
    <row r="875" spans="1:38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</row>
    <row r="876" spans="1:38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</row>
    <row r="877" spans="1:38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</row>
    <row r="878" spans="1:38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</row>
    <row r="879" spans="1:38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</row>
    <row r="880" spans="1:38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</row>
    <row r="881" spans="1:38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</row>
    <row r="882" spans="1:38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</row>
    <row r="883" spans="1:38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</row>
    <row r="884" spans="1:38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</row>
    <row r="885" spans="1:38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</row>
    <row r="886" spans="1:38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</row>
    <row r="887" spans="1:38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</row>
    <row r="888" spans="1:38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</row>
    <row r="889" spans="1:38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</row>
    <row r="890" spans="1:38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</row>
    <row r="891" spans="1:38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</row>
    <row r="892" spans="1:38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</row>
    <row r="893" spans="1:38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</row>
    <row r="894" spans="1:38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</row>
    <row r="895" spans="1:38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</row>
    <row r="896" spans="1:38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</row>
    <row r="897" spans="1:38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</row>
    <row r="898" spans="1:38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</row>
    <row r="899" spans="1:38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</row>
    <row r="900" spans="1:38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</row>
    <row r="901" spans="1:38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</row>
    <row r="902" spans="1:38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</row>
    <row r="903" spans="1:38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</row>
    <row r="904" spans="1:38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</row>
    <row r="905" spans="1:38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</row>
    <row r="906" spans="1:38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</row>
    <row r="907" spans="1:38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</row>
    <row r="908" spans="1:38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</row>
    <row r="909" spans="1:38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</row>
    <row r="910" spans="1:38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</row>
    <row r="911" spans="1:38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</row>
    <row r="912" spans="1:38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</row>
    <row r="913" spans="1:38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</row>
    <row r="914" spans="1:38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</row>
    <row r="915" spans="1:38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</row>
    <row r="916" spans="1:38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</row>
    <row r="917" spans="1:38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</row>
    <row r="918" spans="1:38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</row>
    <row r="919" spans="1:38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</row>
    <row r="920" spans="1:38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</row>
    <row r="921" spans="1:38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</row>
    <row r="922" spans="1:38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</row>
    <row r="923" spans="1:38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</row>
    <row r="924" spans="1:38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</row>
    <row r="925" spans="1:38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</row>
    <row r="926" spans="1:38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</row>
    <row r="927" spans="1:38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</row>
    <row r="928" spans="1:38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</row>
    <row r="929" spans="1:38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</row>
    <row r="930" spans="1:38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</row>
    <row r="931" spans="1:38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</row>
    <row r="932" spans="1:38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</row>
    <row r="933" spans="1:38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</row>
    <row r="934" spans="1:38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</row>
    <row r="935" spans="1:38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</row>
    <row r="936" spans="1:38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</row>
    <row r="937" spans="1:38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</row>
    <row r="938" spans="1:38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</row>
    <row r="939" spans="1:38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</row>
    <row r="940" spans="1:38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</row>
    <row r="941" spans="1:38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</row>
    <row r="942" spans="1:38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</row>
    <row r="943" spans="1:38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</row>
    <row r="944" spans="1:38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</row>
    <row r="945" spans="1:38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</row>
    <row r="946" spans="1:38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</row>
    <row r="947" spans="1:38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</row>
    <row r="948" spans="1:38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</row>
    <row r="949" spans="1:38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</row>
    <row r="950" spans="1:38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</row>
    <row r="951" spans="1:38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</row>
    <row r="952" spans="1:38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</row>
    <row r="953" spans="1:38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</row>
    <row r="954" spans="1:38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</row>
    <row r="955" spans="1:38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</row>
    <row r="956" spans="1:38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</row>
    <row r="957" spans="1:38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</row>
    <row r="958" spans="1:38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</row>
    <row r="959" spans="1:38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</row>
    <row r="960" spans="1:38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</row>
    <row r="961" spans="1:38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</row>
    <row r="962" spans="1:38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</row>
    <row r="963" spans="1:38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</row>
    <row r="964" spans="1:38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</row>
    <row r="965" spans="1:38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</row>
    <row r="966" spans="1:38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</row>
    <row r="967" spans="1:38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</row>
    <row r="968" spans="1:38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</row>
    <row r="969" spans="1:38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</row>
    <row r="970" spans="1:38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</row>
    <row r="971" spans="1:38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</row>
    <row r="972" spans="1:38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</row>
    <row r="973" spans="1:38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</row>
    <row r="974" spans="1:38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</row>
    <row r="975" spans="1:38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</row>
    <row r="976" spans="1:38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</row>
    <row r="977" spans="1:38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</row>
    <row r="978" spans="1:38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</row>
    <row r="979" spans="1:38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</row>
    <row r="980" spans="1:38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</row>
    <row r="981" spans="1:38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</row>
    <row r="982" spans="1:38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</row>
    <row r="983" spans="1:38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</row>
    <row r="984" spans="1:38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</row>
    <row r="985" spans="1:38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</row>
    <row r="986" spans="1:38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</row>
    <row r="987" spans="1:38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</row>
    <row r="988" spans="1:38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</row>
    <row r="989" spans="1:38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</row>
    <row r="990" spans="1:38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</row>
    <row r="991" spans="1:38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</row>
    <row r="992" spans="1:38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</row>
    <row r="993" spans="1:38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</row>
    <row r="994" spans="1:38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</row>
    <row r="995" spans="1:38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</row>
    <row r="996" spans="1:38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</row>
    <row r="997" spans="1:38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</row>
    <row r="998" spans="1:38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</row>
    <row r="999" spans="1:38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</row>
    <row r="1000" spans="1:38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</row>
  </sheetData>
  <sheetProtection sheet="1" objects="1" scenarios="1"/>
  <mergeCells count="25">
    <mergeCell ref="K4:L4"/>
    <mergeCell ref="K5:L5"/>
    <mergeCell ref="K6:L6"/>
    <mergeCell ref="G4:H4"/>
    <mergeCell ref="G5:H5"/>
    <mergeCell ref="G6:H6"/>
    <mergeCell ref="I4:J4"/>
    <mergeCell ref="I5:J5"/>
    <mergeCell ref="I6:J6"/>
    <mergeCell ref="A1:N1"/>
    <mergeCell ref="A2:N2"/>
    <mergeCell ref="A8:N8"/>
    <mergeCell ref="A9:N9"/>
    <mergeCell ref="M4:N4"/>
    <mergeCell ref="M5:N5"/>
    <mergeCell ref="M6:N6"/>
    <mergeCell ref="A4:B4"/>
    <mergeCell ref="A5:B5"/>
    <mergeCell ref="A6:B6"/>
    <mergeCell ref="C4:D4"/>
    <mergeCell ref="C5:D5"/>
    <mergeCell ref="C6:D6"/>
    <mergeCell ref="E4:F4"/>
    <mergeCell ref="E5:F5"/>
    <mergeCell ref="E6:F6"/>
  </mergeCells>
  <conditionalFormatting sqref="B6">
    <cfRule type="cellIs" dxfId="76" priority="3" operator="greaterThan">
      <formula>0</formula>
    </cfRule>
  </conditionalFormatting>
  <conditionalFormatting sqref="F11:F160">
    <cfRule type="expression" dxfId="75" priority="12">
      <formula>F11="Scheduled"</formula>
    </cfRule>
    <cfRule type="expression" dxfId="74" priority="13">
      <formula>F11="Sent"</formula>
    </cfRule>
    <cfRule type="expression" dxfId="73" priority="14">
      <formula>F11="Blocked"</formula>
    </cfRule>
  </conditionalFormatting>
  <conditionalFormatting sqref="F11:F160">
    <cfRule type="expression" dxfId="72" priority="6">
      <formula>F11="Critical"</formula>
    </cfRule>
    <cfRule type="expression" dxfId="71" priority="7">
      <formula>F11="High Risk"</formula>
    </cfRule>
    <cfRule type="expression" dxfId="70" priority="8">
      <formula>F11="At Risk"</formula>
    </cfRule>
    <cfRule type="expression" dxfId="69" priority="9">
      <formula>F11="Blocked"</formula>
    </cfRule>
    <cfRule type="expression" dxfId="68" priority="10">
      <formula>F11="Ready"</formula>
    </cfRule>
    <cfRule type="expression" dxfId="67" priority="11">
      <formula>OR(F11="Complete",F11="Completed")</formula>
    </cfRule>
  </conditionalFormatting>
  <conditionalFormatting sqref="H11:H160">
    <cfRule type="cellIs" dxfId="66" priority="131" stopIfTrue="1" operator="equal">
      <formula>"Done"</formula>
    </cfRule>
  </conditionalFormatting>
  <conditionalFormatting sqref="H11:H160">
    <cfRule type="cellIs" dxfId="65" priority="132" stopIfTrue="1" operator="equal">
      <formula>"Not Yet"</formula>
    </cfRule>
  </conditionalFormatting>
  <conditionalFormatting sqref="I11:I160">
    <cfRule type="cellIs" dxfId="64" priority="133" stopIfTrue="1" operator="equal">
      <formula>"Provided"</formula>
    </cfRule>
  </conditionalFormatting>
  <conditionalFormatting sqref="I11:I160">
    <cfRule type="cellIs" dxfId="63" priority="134" stopIfTrue="1" operator="equal">
      <formula>"Pending"</formula>
    </cfRule>
  </conditionalFormatting>
  <conditionalFormatting sqref="A11:L160">
    <cfRule type="expression" dxfId="62" priority="135">
      <formula>LEFT($D11,9)="CANCELLED"</formula>
    </cfRule>
    <cfRule type="expression" dxfId="61" priority="137">
      <formula>AND($C11="Email",IFERROR(INT($A11),0)&gt;=TODAY()+1,IFERROR(INT($A11),0)&lt;=TODAY()+IF(WEEKDAY(TODAY(),1)=6,3,1),$F11&lt;&gt;"Scheduled",$F11&lt;&gt;"Sent",LEFT($D11,9)&lt;&gt;"CANCELLED")</formula>
    </cfRule>
    <cfRule type="expression" dxfId="60" priority="138">
      <formula>AND($C11="SMS",IFERROR(INT($A11),0)&gt;=TODAY()+1,IFERROR(INT($A11),0)&lt;=TODAY()+IF(WEEKDAY(TODAY(),1)=6,3,1),$F11&lt;&gt;"Scheduled",$F11&lt;&gt;"Sent",LEFT($D11,9)&lt;&gt;"CANCELLED")</formula>
    </cfRule>
  </conditionalFormatting>
  <conditionalFormatting sqref="A11:L45">
    <cfRule type="expression" dxfId="59" priority="136">
      <formula>LEFT($D11,9)="CANCELLED"</formula>
    </cfRule>
  </conditionalFormatting>
  <conditionalFormatting sqref="M11:M160">
    <cfRule type="expression" dxfId="58" priority="1">
      <formula>LEFT($D11,9)="CANCELLED"</formula>
    </cfRule>
  </conditionalFormatting>
  <conditionalFormatting sqref="M11:M45">
    <cfRule type="expression" dxfId="57" priority="2">
      <formula>LEFT($D11,9)="CANCELLED"</formula>
    </cfRule>
  </conditionalFormatting>
  <hyperlinks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X798"/>
  <sheetViews>
    <sheetView showGridLines="0" zoomScale="85" zoomScaleNormal="85" workbookViewId="0">
      <selection activeCell="W18" sqref="W18"/>
    </sheetView>
  </sheetViews>
  <sheetFormatPr defaultRowHeight="15"/>
  <cols>
    <col min="1" max="1" width="28.625" style="106" customWidth="1"/>
    <col min="2" max="2" width="20.625" style="106" customWidth="1"/>
    <col min="3" max="3" width="34.625" style="106" customWidth="1"/>
    <col min="4" max="4" width="16.625" style="105" customWidth="1"/>
    <col min="5" max="5" width="42.625" style="3" hidden="1" customWidth="1"/>
    <col min="6" max="6" width="16.625" style="105" customWidth="1"/>
    <col min="7" max="7" width="22.625" style="105" customWidth="1"/>
    <col min="8" max="8" width="20.625" style="105" customWidth="1"/>
    <col min="9" max="9" width="12.625" style="105" customWidth="1"/>
    <col min="10" max="11" width="13.625" style="105" customWidth="1"/>
    <col min="12" max="12" width="12.625" style="105" customWidth="1"/>
    <col min="13" max="15" width="13.625" style="105" customWidth="1"/>
    <col min="16" max="19" width="14.625" style="105" customWidth="1"/>
    <col min="20" max="20" width="12.625" style="105" customWidth="1"/>
    <col min="21" max="21" width="20.625" style="105" hidden="1" customWidth="1"/>
    <col min="22" max="22" width="18.625" style="105" hidden="1" customWidth="1"/>
    <col min="23" max="23" width="50.625" style="106" customWidth="1"/>
    <col min="24" max="24" width="19" style="1" customWidth="1"/>
    <col min="25" max="16384" width="9" style="1"/>
  </cols>
  <sheetData>
    <row r="1" spans="1:24" s="2" customFormat="1" ht="45">
      <c r="A1" s="107" t="s">
        <v>21</v>
      </c>
      <c r="B1" s="107" t="s">
        <v>42</v>
      </c>
      <c r="C1" s="107" t="s">
        <v>43</v>
      </c>
      <c r="D1" s="93" t="s">
        <v>44</v>
      </c>
      <c r="E1" s="11" t="s">
        <v>45</v>
      </c>
      <c r="F1" s="93" t="s">
        <v>27</v>
      </c>
      <c r="G1" s="93" t="s">
        <v>46</v>
      </c>
      <c r="H1" s="93" t="s">
        <v>47</v>
      </c>
      <c r="I1" s="93" t="s">
        <v>48</v>
      </c>
      <c r="J1" s="93" t="s">
        <v>49</v>
      </c>
      <c r="K1" s="93" t="s">
        <v>50</v>
      </c>
      <c r="L1" s="93" t="s">
        <v>51</v>
      </c>
      <c r="M1" s="93" t="s">
        <v>28</v>
      </c>
      <c r="N1" s="93" t="s">
        <v>29</v>
      </c>
      <c r="O1" s="93" t="s">
        <v>107</v>
      </c>
      <c r="P1" s="93" t="s">
        <v>52</v>
      </c>
      <c r="Q1" s="93" t="s">
        <v>53</v>
      </c>
      <c r="R1" s="93" t="s">
        <v>54</v>
      </c>
      <c r="S1" s="93" t="s">
        <v>55</v>
      </c>
      <c r="T1" s="93" t="s">
        <v>56</v>
      </c>
      <c r="U1" s="93" t="s">
        <v>57</v>
      </c>
      <c r="V1" s="93" t="s">
        <v>58</v>
      </c>
      <c r="W1" s="93" t="s">
        <v>59</v>
      </c>
    </row>
    <row r="2" spans="1:24" s="5" customFormat="1" ht="15.75">
      <c r="A2" s="108">
        <v>46174</v>
      </c>
      <c r="B2" s="109">
        <v>0.33333333333333331</v>
      </c>
      <c r="C2" s="110" t="s">
        <v>223</v>
      </c>
      <c r="D2" s="111" t="s">
        <v>221</v>
      </c>
      <c r="E2" s="4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No checklist items checked</v>
      </c>
      <c r="F2" s="94" t="s">
        <v>222</v>
      </c>
      <c r="G2" s="95" t="b">
        <v>0</v>
      </c>
      <c r="H2" s="95" t="b">
        <v>0</v>
      </c>
      <c r="I2" s="95" t="b">
        <v>0</v>
      </c>
      <c r="J2" s="95" t="b">
        <v>0</v>
      </c>
      <c r="K2" s="95" t="b">
        <v>0</v>
      </c>
      <c r="L2" s="95" t="b">
        <v>0</v>
      </c>
      <c r="M2" s="95" t="b">
        <v>0</v>
      </c>
      <c r="N2" s="95" t="b">
        <v>0</v>
      </c>
      <c r="O2" s="95" t="b">
        <v>0</v>
      </c>
      <c r="P2" s="96"/>
      <c r="Q2" s="96"/>
      <c r="R2" s="96"/>
      <c r="S2" s="97"/>
      <c r="T2" s="97"/>
      <c r="U2" s="98">
        <v>46188.991643518515</v>
      </c>
      <c r="V2" s="94" t="s">
        <v>114</v>
      </c>
      <c r="W2" s="99" t="s">
        <v>113</v>
      </c>
    </row>
    <row r="3" spans="1:24" s="5" customFormat="1" ht="15.75">
      <c r="A3" s="108">
        <v>46175</v>
      </c>
      <c r="B3" s="109" t="s">
        <v>224</v>
      </c>
      <c r="C3" s="110" t="s">
        <v>223</v>
      </c>
      <c r="D3" s="111" t="s">
        <v>207</v>
      </c>
      <c r="E3" s="92" t="str">
        <f>IF(EmailCampaignsTable[[#This Row],[Campaign Name]]="","",_xlfn.LET(_xlpm.checked,_xlfn.TEXTJOIN(",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Row],[Segments]],"Segments","")),IF(_xlpm.checked="","No checklist items checked","Checked: "&amp;_xlpm.checked)))</f>
        <v>No checklist items checked</v>
      </c>
      <c r="F3" s="94" t="s">
        <v>222</v>
      </c>
      <c r="G3" s="100" t="b">
        <v>0</v>
      </c>
      <c r="H3" s="100" t="b">
        <v>0</v>
      </c>
      <c r="I3" s="100" t="b">
        <v>0</v>
      </c>
      <c r="J3" s="100" t="b">
        <v>0</v>
      </c>
      <c r="K3" s="100" t="b">
        <v>0</v>
      </c>
      <c r="L3" s="100" t="b">
        <v>0</v>
      </c>
      <c r="M3" s="100" t="b">
        <v>0</v>
      </c>
      <c r="N3" s="100" t="b">
        <v>0</v>
      </c>
      <c r="O3" s="95" t="b">
        <v>0</v>
      </c>
      <c r="P3" s="101"/>
      <c r="Q3" s="101"/>
      <c r="R3" s="101"/>
      <c r="S3" s="97"/>
      <c r="T3" s="97"/>
      <c r="U3" s="98">
        <v>46188.991226851853</v>
      </c>
      <c r="V3" s="94" t="s">
        <v>114</v>
      </c>
      <c r="W3" s="99" t="s">
        <v>62</v>
      </c>
      <c r="X3"/>
    </row>
    <row r="4" spans="1:24" s="5" customFormat="1">
      <c r="A4" s="104"/>
      <c r="B4" s="104"/>
      <c r="C4" s="104"/>
      <c r="D4" s="102"/>
      <c r="E4"/>
      <c r="F4" s="102"/>
      <c r="G4" s="102"/>
      <c r="H4" s="102"/>
      <c r="I4" s="102"/>
      <c r="J4" s="102"/>
      <c r="K4" s="102"/>
      <c r="L4" s="102"/>
      <c r="M4" s="102"/>
      <c r="N4" s="102"/>
      <c r="O4" s="102"/>
      <c r="P4" s="102"/>
      <c r="Q4" s="102"/>
      <c r="R4" s="102"/>
      <c r="S4" s="102"/>
      <c r="T4" s="102"/>
      <c r="U4" s="103"/>
      <c r="V4" s="103"/>
      <c r="W4" s="104"/>
      <c r="X4"/>
    </row>
    <row r="5" spans="1:24" s="5" customFormat="1">
      <c r="A5" s="104"/>
      <c r="B5" s="104"/>
      <c r="C5" s="104"/>
      <c r="D5" s="102"/>
      <c r="E5"/>
      <c r="F5" s="102"/>
      <c r="G5" s="102"/>
      <c r="H5" s="102"/>
      <c r="I5" s="102"/>
      <c r="J5" s="102"/>
      <c r="K5" s="102"/>
      <c r="L5" s="102"/>
      <c r="M5" s="102"/>
      <c r="N5" s="102"/>
      <c r="O5" s="102"/>
      <c r="P5" s="102"/>
      <c r="Q5" s="102"/>
      <c r="R5" s="102"/>
      <c r="S5" s="102"/>
      <c r="T5" s="102"/>
      <c r="U5" s="103"/>
      <c r="V5" s="103"/>
      <c r="W5" s="104"/>
      <c r="X5"/>
    </row>
    <row r="6" spans="1:24" s="5" customFormat="1">
      <c r="A6" s="104"/>
      <c r="B6" s="104"/>
      <c r="C6" s="104"/>
      <c r="D6" s="102"/>
      <c r="E6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2"/>
      <c r="Q6" s="102"/>
      <c r="R6" s="102"/>
      <c r="S6" s="102"/>
      <c r="T6" s="102"/>
      <c r="U6" s="103"/>
      <c r="V6" s="103"/>
      <c r="W6" s="104"/>
      <c r="X6"/>
    </row>
    <row r="7" spans="1:24" s="5" customFormat="1">
      <c r="A7" s="104"/>
      <c r="B7" s="104"/>
      <c r="C7" s="104"/>
      <c r="D7" s="102"/>
      <c r="E7"/>
      <c r="F7" s="102"/>
      <c r="G7" s="102"/>
      <c r="H7" s="102"/>
      <c r="I7" s="102"/>
      <c r="J7" s="102"/>
      <c r="K7" s="102"/>
      <c r="L7" s="102"/>
      <c r="M7" s="102"/>
      <c r="N7" s="102"/>
      <c r="O7" s="102"/>
      <c r="P7" s="102"/>
      <c r="Q7" s="102"/>
      <c r="R7" s="102"/>
      <c r="S7" s="102"/>
      <c r="T7" s="102"/>
      <c r="U7" s="103"/>
      <c r="V7" s="103"/>
      <c r="W7" s="104"/>
      <c r="X7"/>
    </row>
    <row r="8" spans="1:24" s="5" customFormat="1">
      <c r="A8" s="104"/>
      <c r="B8" s="104"/>
      <c r="C8" s="104"/>
      <c r="D8" s="102"/>
      <c r="E8"/>
      <c r="F8" s="102"/>
      <c r="G8" s="102"/>
      <c r="H8" s="102"/>
      <c r="I8" s="102"/>
      <c r="J8" s="102"/>
      <c r="K8" s="102"/>
      <c r="L8" s="102"/>
      <c r="M8" s="102"/>
      <c r="N8" s="102"/>
      <c r="O8" s="102"/>
      <c r="P8" s="102"/>
      <c r="Q8" s="102"/>
      <c r="R8" s="102"/>
      <c r="S8" s="102"/>
      <c r="T8" s="102"/>
      <c r="U8" s="103"/>
      <c r="V8" s="103"/>
      <c r="W8" s="104"/>
      <c r="X8"/>
    </row>
    <row r="9" spans="1:24" s="5" customFormat="1">
      <c r="A9" s="104"/>
      <c r="B9" s="104"/>
      <c r="C9" s="104"/>
      <c r="D9" s="102"/>
      <c r="E9"/>
      <c r="F9" s="102"/>
      <c r="G9" s="102"/>
      <c r="H9" s="102"/>
      <c r="I9" s="102"/>
      <c r="J9" s="102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3"/>
      <c r="V9" s="103"/>
      <c r="W9" s="104"/>
      <c r="X9"/>
    </row>
    <row r="10" spans="1:24" s="5" customFormat="1">
      <c r="A10" s="104"/>
      <c r="B10" s="104"/>
      <c r="C10" s="104"/>
      <c r="D10" s="102"/>
      <c r="E10"/>
      <c r="F10" s="102"/>
      <c r="G10" s="102"/>
      <c r="H10" s="102"/>
      <c r="I10" s="102"/>
      <c r="J10" s="102"/>
      <c r="K10" s="102"/>
      <c r="L10" s="102"/>
      <c r="M10" s="102"/>
      <c r="N10" s="102"/>
      <c r="O10" s="102"/>
      <c r="P10" s="102"/>
      <c r="Q10" s="102"/>
      <c r="R10" s="102"/>
      <c r="S10" s="102"/>
      <c r="T10" s="102"/>
      <c r="U10" s="103"/>
      <c r="V10" s="103"/>
      <c r="W10" s="104"/>
      <c r="X10"/>
    </row>
    <row r="11" spans="1:24" s="5" customFormat="1">
      <c r="A11" s="104"/>
      <c r="B11" s="104"/>
      <c r="C11" s="104"/>
      <c r="D11" s="102"/>
      <c r="E11"/>
      <c r="F11" s="102"/>
      <c r="G11" s="102"/>
      <c r="H11" s="102"/>
      <c r="I11" s="102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3"/>
      <c r="V11" s="103"/>
      <c r="W11" s="104"/>
      <c r="X11"/>
    </row>
    <row r="12" spans="1:24" s="5" customFormat="1">
      <c r="A12" s="104"/>
      <c r="B12" s="104"/>
      <c r="C12" s="104"/>
      <c r="D12" s="102"/>
      <c r="E12"/>
      <c r="F12" s="102"/>
      <c r="G12" s="102"/>
      <c r="H12" s="102"/>
      <c r="I12" s="102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3"/>
      <c r="V12" s="103"/>
      <c r="W12" s="104"/>
      <c r="X12"/>
    </row>
    <row r="13" spans="1:24" s="5" customFormat="1">
      <c r="A13" s="104"/>
      <c r="B13" s="104"/>
      <c r="C13" s="104"/>
      <c r="D13" s="102"/>
      <c r="E13"/>
      <c r="F13" s="102"/>
      <c r="G13" s="102"/>
      <c r="H13" s="102"/>
      <c r="I13" s="102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3"/>
      <c r="V13" s="103"/>
      <c r="W13" s="104"/>
      <c r="X13"/>
    </row>
    <row r="14" spans="1:24">
      <c r="A14" s="104"/>
      <c r="B14" s="104"/>
      <c r="C14" s="104"/>
      <c r="D14" s="102"/>
      <c r="E14"/>
      <c r="F14" s="102"/>
      <c r="G14" s="102"/>
      <c r="H14" s="102"/>
      <c r="I14" s="102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3"/>
      <c r="V14" s="103"/>
      <c r="W14" s="104"/>
      <c r="X14"/>
    </row>
    <row r="15" spans="1:24">
      <c r="A15" s="104"/>
      <c r="B15" s="104"/>
      <c r="C15" s="104"/>
      <c r="D15" s="102"/>
      <c r="E15"/>
      <c r="F15" s="102"/>
      <c r="G15" s="102"/>
      <c r="H15" s="102"/>
      <c r="I15" s="102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3"/>
      <c r="V15" s="103"/>
      <c r="W15" s="104"/>
      <c r="X15"/>
    </row>
    <row r="16" spans="1:24">
      <c r="A16" s="104"/>
      <c r="B16" s="104"/>
      <c r="C16" s="104"/>
      <c r="D16" s="102"/>
      <c r="E16"/>
      <c r="F16" s="102"/>
      <c r="G16" s="102"/>
      <c r="H16" s="102"/>
      <c r="I16" s="102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3"/>
      <c r="V16" s="103"/>
      <c r="W16" s="104"/>
      <c r="X16"/>
    </row>
    <row r="17" spans="1:24">
      <c r="A17" s="104"/>
      <c r="B17" s="104"/>
      <c r="C17" s="104"/>
      <c r="D17" s="102"/>
      <c r="E17"/>
      <c r="F17" s="102"/>
      <c r="G17" s="102"/>
      <c r="H17" s="102"/>
      <c r="I17" s="102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3"/>
      <c r="V17" s="103"/>
      <c r="W17" s="104"/>
      <c r="X17"/>
    </row>
    <row r="18" spans="1:24">
      <c r="A18" s="104"/>
      <c r="B18" s="104"/>
      <c r="C18" s="104"/>
      <c r="D18" s="102"/>
      <c r="E18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3"/>
      <c r="V18" s="103"/>
      <c r="W18" s="104"/>
      <c r="X18"/>
    </row>
    <row r="19" spans="1:24">
      <c r="A19" s="104"/>
      <c r="B19" s="104"/>
      <c r="C19" s="104"/>
      <c r="D19" s="102"/>
      <c r="E19"/>
      <c r="F19" s="102"/>
      <c r="G19" s="102"/>
      <c r="H19" s="102"/>
      <c r="I19" s="102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3"/>
      <c r="V19" s="103"/>
      <c r="W19" s="104"/>
      <c r="X19"/>
    </row>
    <row r="20" spans="1:24">
      <c r="A20" s="104"/>
      <c r="B20" s="104"/>
      <c r="C20" s="104"/>
      <c r="D20" s="102"/>
      <c r="E20"/>
      <c r="F20" s="102"/>
      <c r="G20" s="102"/>
      <c r="H20" s="102"/>
      <c r="I20" s="102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3"/>
      <c r="V20" s="103"/>
      <c r="W20" s="104"/>
      <c r="X20"/>
    </row>
    <row r="21" spans="1:24">
      <c r="A21" s="104"/>
      <c r="B21" s="104"/>
      <c r="C21" s="104"/>
      <c r="D21" s="102"/>
      <c r="E21"/>
      <c r="F21" s="102"/>
      <c r="G21" s="102"/>
      <c r="H21" s="102"/>
      <c r="I21" s="102"/>
      <c r="J21" s="102"/>
      <c r="K21" s="102"/>
      <c r="L21" s="102"/>
      <c r="M21" s="102"/>
      <c r="N21" s="102"/>
      <c r="O21" s="102"/>
      <c r="P21" s="102"/>
      <c r="Q21" s="102"/>
      <c r="R21" s="102"/>
      <c r="S21" s="102"/>
      <c r="T21" s="102"/>
      <c r="U21" s="103"/>
      <c r="V21" s="103"/>
      <c r="W21" s="104"/>
      <c r="X21"/>
    </row>
    <row r="22" spans="1:24">
      <c r="A22" s="104"/>
      <c r="B22" s="104"/>
      <c r="C22" s="104"/>
      <c r="D22" s="102"/>
      <c r="E22"/>
      <c r="F22" s="102"/>
      <c r="G22" s="102"/>
      <c r="H22" s="102"/>
      <c r="I22" s="102"/>
      <c r="J22" s="102"/>
      <c r="K22" s="102"/>
      <c r="L22" s="102"/>
      <c r="M22" s="102"/>
      <c r="N22" s="102"/>
      <c r="O22" s="102"/>
      <c r="P22" s="102"/>
      <c r="Q22" s="102"/>
      <c r="R22" s="102"/>
      <c r="S22" s="102"/>
      <c r="T22" s="102"/>
      <c r="U22" s="103"/>
      <c r="V22" s="103"/>
      <c r="W22" s="104"/>
      <c r="X22"/>
    </row>
    <row r="23" spans="1:24">
      <c r="A23" s="104"/>
      <c r="B23" s="104"/>
      <c r="C23" s="104"/>
      <c r="D23" s="102"/>
      <c r="E23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3"/>
      <c r="V23" s="103"/>
      <c r="W23" s="104"/>
      <c r="X23"/>
    </row>
    <row r="24" spans="1:24">
      <c r="A24" s="104"/>
      <c r="B24" s="104"/>
      <c r="C24" s="104"/>
      <c r="D24" s="102"/>
      <c r="E24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3"/>
      <c r="V24" s="103"/>
      <c r="W24" s="104"/>
      <c r="X24"/>
    </row>
    <row r="25" spans="1:24">
      <c r="A25" s="104"/>
      <c r="B25" s="104"/>
      <c r="C25" s="104"/>
      <c r="D25" s="102"/>
      <c r="E25"/>
      <c r="F25" s="102"/>
      <c r="G25" s="102"/>
      <c r="H25" s="102"/>
      <c r="I25" s="102"/>
      <c r="J25" s="102"/>
      <c r="K25" s="102"/>
      <c r="L25" s="102"/>
      <c r="M25" s="102"/>
      <c r="N25" s="102"/>
      <c r="O25" s="102"/>
      <c r="P25" s="102"/>
      <c r="Q25" s="102"/>
      <c r="R25" s="102"/>
      <c r="S25" s="102"/>
      <c r="T25" s="102"/>
      <c r="U25" s="103"/>
      <c r="V25" s="103"/>
      <c r="W25" s="104"/>
      <c r="X25"/>
    </row>
    <row r="26" spans="1:24">
      <c r="A26" s="104"/>
      <c r="B26" s="104"/>
      <c r="C26" s="104"/>
      <c r="D26" s="102"/>
      <c r="E26"/>
      <c r="F26" s="102"/>
      <c r="G26" s="102"/>
      <c r="H26" s="102"/>
      <c r="I26" s="102"/>
      <c r="J26" s="102"/>
      <c r="K26" s="102"/>
      <c r="L26" s="102"/>
      <c r="M26" s="102"/>
      <c r="N26" s="102"/>
      <c r="O26" s="102"/>
      <c r="P26" s="102"/>
      <c r="Q26" s="102"/>
      <c r="R26" s="102"/>
      <c r="S26" s="102"/>
      <c r="T26" s="102"/>
      <c r="U26" s="103"/>
      <c r="V26" s="103"/>
      <c r="W26" s="104"/>
      <c r="X26"/>
    </row>
    <row r="27" spans="1:24">
      <c r="A27" s="104"/>
      <c r="B27" s="104"/>
      <c r="C27" s="104"/>
      <c r="D27" s="102"/>
      <c r="E27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  <c r="U27" s="103"/>
      <c r="V27" s="103"/>
      <c r="W27" s="104"/>
      <c r="X27"/>
    </row>
    <row r="28" spans="1:24">
      <c r="A28" s="104"/>
      <c r="B28" s="104"/>
      <c r="C28" s="104"/>
      <c r="D28" s="102"/>
      <c r="E28"/>
      <c r="F28" s="102"/>
      <c r="G28" s="102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102"/>
      <c r="U28" s="103"/>
      <c r="V28" s="103"/>
      <c r="W28" s="104"/>
      <c r="X28"/>
    </row>
    <row r="29" spans="1:24">
      <c r="A29" s="104"/>
      <c r="B29" s="104"/>
      <c r="C29" s="104"/>
      <c r="D29" s="102"/>
      <c r="E29"/>
      <c r="F29" s="102"/>
      <c r="G29" s="102"/>
      <c r="H29" s="102"/>
      <c r="I29" s="102"/>
      <c r="J29" s="102"/>
      <c r="K29" s="102"/>
      <c r="L29" s="102"/>
      <c r="M29" s="102"/>
      <c r="N29" s="102"/>
      <c r="O29" s="102"/>
      <c r="P29" s="102"/>
      <c r="Q29" s="102"/>
      <c r="R29" s="102"/>
      <c r="S29" s="102"/>
      <c r="T29" s="102"/>
      <c r="U29" s="103"/>
      <c r="V29" s="103"/>
      <c r="W29" s="104"/>
      <c r="X29"/>
    </row>
    <row r="30" spans="1:24">
      <c r="A30" s="104"/>
      <c r="B30" s="104"/>
      <c r="C30" s="104"/>
      <c r="D30" s="102"/>
      <c r="E30"/>
      <c r="F30" s="102"/>
      <c r="G30" s="102"/>
      <c r="H30" s="102"/>
      <c r="I30" s="102"/>
      <c r="J30" s="102"/>
      <c r="K30" s="102"/>
      <c r="L30" s="102"/>
      <c r="M30" s="102"/>
      <c r="N30" s="102"/>
      <c r="O30" s="102"/>
      <c r="P30" s="102"/>
      <c r="Q30" s="102"/>
      <c r="R30" s="102"/>
      <c r="S30" s="102"/>
      <c r="T30" s="102"/>
      <c r="U30" s="103"/>
      <c r="V30" s="103"/>
      <c r="W30" s="104"/>
      <c r="X30"/>
    </row>
    <row r="31" spans="1:24">
      <c r="A31" s="104"/>
      <c r="B31" s="104"/>
      <c r="C31" s="104"/>
      <c r="D31" s="102"/>
      <c r="E31"/>
      <c r="F31" s="102"/>
      <c r="G31" s="102"/>
      <c r="H31" s="102"/>
      <c r="I31" s="102"/>
      <c r="J31" s="102"/>
      <c r="K31" s="102"/>
      <c r="L31" s="102"/>
      <c r="M31" s="102"/>
      <c r="N31" s="102"/>
      <c r="O31" s="102"/>
      <c r="P31" s="102"/>
      <c r="Q31" s="102"/>
      <c r="R31" s="102"/>
      <c r="S31" s="102"/>
      <c r="T31" s="102"/>
      <c r="U31" s="103"/>
      <c r="V31" s="103"/>
      <c r="W31" s="104"/>
      <c r="X31"/>
    </row>
    <row r="32" spans="1:24">
      <c r="A32" s="104"/>
      <c r="B32" s="104"/>
      <c r="C32" s="104"/>
      <c r="D32" s="102"/>
      <c r="E32"/>
      <c r="F32" s="102"/>
      <c r="G32" s="102"/>
      <c r="H32" s="102"/>
      <c r="I32" s="102"/>
      <c r="J32" s="102"/>
      <c r="K32" s="102"/>
      <c r="L32" s="102"/>
      <c r="M32" s="102"/>
      <c r="N32" s="102"/>
      <c r="O32" s="102"/>
      <c r="P32" s="102"/>
      <c r="Q32" s="102"/>
      <c r="R32" s="102"/>
      <c r="S32" s="102"/>
      <c r="T32" s="102"/>
      <c r="U32" s="103"/>
      <c r="V32" s="103"/>
      <c r="W32" s="104"/>
      <c r="X32"/>
    </row>
    <row r="33" spans="1:24">
      <c r="A33" s="104"/>
      <c r="B33" s="104"/>
      <c r="C33" s="104"/>
      <c r="D33" s="102"/>
      <c r="E33"/>
      <c r="F33" s="102"/>
      <c r="G33" s="102"/>
      <c r="H33" s="102"/>
      <c r="I33" s="102"/>
      <c r="J33" s="102"/>
      <c r="K33" s="102"/>
      <c r="L33" s="102"/>
      <c r="M33" s="102"/>
      <c r="N33" s="102"/>
      <c r="O33" s="102"/>
      <c r="P33" s="102"/>
      <c r="Q33" s="102"/>
      <c r="R33" s="102"/>
      <c r="S33" s="102"/>
      <c r="T33" s="102"/>
      <c r="U33" s="103"/>
      <c r="V33" s="103"/>
      <c r="W33" s="104"/>
      <c r="X33"/>
    </row>
    <row r="34" spans="1:24">
      <c r="A34" s="104"/>
      <c r="B34" s="104"/>
      <c r="C34" s="104"/>
      <c r="D34" s="102"/>
      <c r="E34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P34" s="102"/>
      <c r="Q34" s="102"/>
      <c r="R34" s="102"/>
      <c r="S34" s="102"/>
      <c r="T34" s="102"/>
      <c r="U34" s="103"/>
      <c r="V34" s="103"/>
      <c r="W34" s="104"/>
      <c r="X34"/>
    </row>
    <row r="35" spans="1:24">
      <c r="A35" s="104"/>
      <c r="B35" s="104"/>
      <c r="C35" s="104"/>
      <c r="D35" s="102"/>
      <c r="E35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P35" s="102"/>
      <c r="Q35" s="102"/>
      <c r="R35" s="102"/>
      <c r="S35" s="102"/>
      <c r="T35" s="102"/>
      <c r="U35" s="103"/>
      <c r="V35" s="103"/>
      <c r="W35" s="104"/>
      <c r="X35"/>
    </row>
    <row r="36" spans="1:24">
      <c r="A36" s="104"/>
      <c r="B36" s="104"/>
      <c r="C36" s="104"/>
      <c r="D36" s="102"/>
      <c r="E36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3"/>
      <c r="V36" s="103"/>
      <c r="W36" s="104"/>
      <c r="X36"/>
    </row>
    <row r="37" spans="1:24">
      <c r="A37" s="104"/>
      <c r="B37" s="104"/>
      <c r="C37" s="104"/>
      <c r="D37" s="102"/>
      <c r="E37"/>
      <c r="F37" s="102"/>
      <c r="G37" s="102"/>
      <c r="H37" s="102"/>
      <c r="I37" s="102"/>
      <c r="J37" s="102"/>
      <c r="K37" s="102"/>
      <c r="L37" s="102"/>
      <c r="M37" s="102"/>
      <c r="N37" s="102"/>
      <c r="O37" s="102"/>
      <c r="P37" s="102"/>
      <c r="Q37" s="102"/>
      <c r="R37" s="102"/>
      <c r="S37" s="102"/>
      <c r="T37" s="102"/>
      <c r="U37" s="103"/>
      <c r="V37" s="103"/>
      <c r="W37" s="104"/>
      <c r="X37"/>
    </row>
    <row r="38" spans="1:24">
      <c r="A38" s="104"/>
      <c r="B38" s="104"/>
      <c r="C38" s="104"/>
      <c r="D38" s="102"/>
      <c r="E38"/>
      <c r="F38" s="102"/>
      <c r="G38" s="102"/>
      <c r="H38" s="102"/>
      <c r="I38" s="102"/>
      <c r="J38" s="102"/>
      <c r="K38" s="102"/>
      <c r="L38" s="102"/>
      <c r="M38" s="102"/>
      <c r="N38" s="102"/>
      <c r="O38" s="102"/>
      <c r="P38" s="102"/>
      <c r="Q38" s="102"/>
      <c r="R38" s="102"/>
      <c r="S38" s="102"/>
      <c r="T38" s="102"/>
      <c r="U38" s="103"/>
      <c r="V38" s="103"/>
      <c r="W38" s="104"/>
      <c r="X38"/>
    </row>
    <row r="39" spans="1:24">
      <c r="A39" s="104"/>
      <c r="B39" s="104"/>
      <c r="C39" s="104"/>
      <c r="D39" s="102"/>
      <c r="E39"/>
      <c r="F39" s="102"/>
      <c r="G39" s="102"/>
      <c r="H39" s="102"/>
      <c r="I39" s="102"/>
      <c r="J39" s="102"/>
      <c r="K39" s="102"/>
      <c r="L39" s="102"/>
      <c r="M39" s="102"/>
      <c r="N39" s="102"/>
      <c r="O39" s="102"/>
      <c r="P39" s="102"/>
      <c r="Q39" s="102"/>
      <c r="R39" s="102"/>
      <c r="S39" s="102"/>
      <c r="T39" s="102"/>
      <c r="U39" s="103"/>
      <c r="V39" s="103"/>
      <c r="W39" s="104"/>
      <c r="X39"/>
    </row>
    <row r="40" spans="1:24">
      <c r="A40" s="104"/>
      <c r="B40" s="104"/>
      <c r="C40" s="104"/>
      <c r="D40" s="102"/>
      <c r="E40"/>
      <c r="F40" s="102"/>
      <c r="G40" s="102"/>
      <c r="H40" s="102"/>
      <c r="I40" s="102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3"/>
      <c r="V40" s="103"/>
      <c r="W40" s="104"/>
      <c r="X40"/>
    </row>
    <row r="41" spans="1:24">
      <c r="A41" s="104"/>
      <c r="B41" s="104"/>
      <c r="C41" s="104"/>
      <c r="D41" s="102"/>
      <c r="E41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3"/>
      <c r="V41" s="103"/>
      <c r="W41" s="104"/>
      <c r="X41"/>
    </row>
    <row r="42" spans="1:24">
      <c r="A42" s="104"/>
      <c r="B42" s="104"/>
      <c r="C42" s="104"/>
      <c r="D42" s="102"/>
      <c r="E4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3"/>
      <c r="V42" s="103"/>
      <c r="W42" s="104"/>
      <c r="X42"/>
    </row>
    <row r="43" spans="1:24">
      <c r="A43" s="104"/>
      <c r="B43" s="104"/>
      <c r="C43" s="104"/>
      <c r="D43" s="102"/>
      <c r="E43"/>
      <c r="F43" s="102"/>
      <c r="G43" s="102"/>
      <c r="H43" s="102"/>
      <c r="I43" s="102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3"/>
      <c r="V43" s="103"/>
      <c r="W43" s="104"/>
      <c r="X43"/>
    </row>
    <row r="44" spans="1:24">
      <c r="A44" s="104"/>
      <c r="B44" s="104"/>
      <c r="C44" s="104"/>
      <c r="D44" s="102"/>
      <c r="E44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3"/>
      <c r="V44" s="103"/>
      <c r="W44" s="104"/>
      <c r="X44"/>
    </row>
    <row r="45" spans="1:24">
      <c r="A45" s="104"/>
      <c r="B45" s="104"/>
      <c r="C45" s="104"/>
      <c r="D45" s="102"/>
      <c r="E45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3"/>
      <c r="V45" s="103"/>
      <c r="W45" s="104"/>
      <c r="X45"/>
    </row>
    <row r="46" spans="1:24">
      <c r="A46" s="104"/>
      <c r="B46" s="104"/>
      <c r="C46" s="104"/>
      <c r="D46" s="102"/>
      <c r="E46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3"/>
      <c r="V46" s="103"/>
      <c r="W46" s="104"/>
      <c r="X46"/>
    </row>
    <row r="47" spans="1:24">
      <c r="A47" s="104"/>
      <c r="B47" s="104"/>
      <c r="C47" s="104"/>
      <c r="D47" s="102"/>
      <c r="E47"/>
      <c r="F47" s="102"/>
      <c r="G47" s="102"/>
      <c r="H47" s="102"/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3"/>
      <c r="V47" s="103"/>
      <c r="W47" s="104"/>
      <c r="X47"/>
    </row>
    <row r="48" spans="1:24">
      <c r="A48" s="104"/>
      <c r="B48" s="104"/>
      <c r="C48" s="104"/>
      <c r="D48" s="102"/>
      <c r="E48"/>
      <c r="F48" s="102"/>
      <c r="G48" s="102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3"/>
      <c r="V48" s="103"/>
      <c r="W48" s="104"/>
      <c r="X48"/>
    </row>
    <row r="49" spans="1:24">
      <c r="A49" s="104"/>
      <c r="B49" s="104"/>
      <c r="C49" s="104"/>
      <c r="D49" s="102"/>
      <c r="E49"/>
      <c r="F49" s="102"/>
      <c r="G49" s="102"/>
      <c r="H49" s="102"/>
      <c r="I49" s="102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3"/>
      <c r="V49" s="103"/>
      <c r="W49" s="104"/>
      <c r="X49"/>
    </row>
    <row r="50" spans="1:24">
      <c r="A50" s="104"/>
      <c r="B50" s="104"/>
      <c r="C50" s="104"/>
      <c r="D50" s="102"/>
      <c r="E50"/>
      <c r="F50" s="102"/>
      <c r="G50" s="102"/>
      <c r="H50" s="102"/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3"/>
      <c r="V50" s="103"/>
      <c r="W50" s="104"/>
      <c r="X50"/>
    </row>
    <row r="51" spans="1:24">
      <c r="A51" s="104"/>
      <c r="B51" s="104"/>
      <c r="C51" s="104"/>
      <c r="D51" s="102"/>
      <c r="E51"/>
      <c r="F51" s="102"/>
      <c r="G51" s="102"/>
      <c r="H51" s="102"/>
      <c r="I51" s="102"/>
      <c r="J51" s="102"/>
      <c r="K51" s="102"/>
      <c r="L51" s="102"/>
      <c r="M51" s="102"/>
      <c r="N51" s="102"/>
      <c r="O51" s="102"/>
      <c r="P51" s="102"/>
      <c r="Q51" s="102"/>
      <c r="R51" s="102"/>
      <c r="S51" s="102"/>
      <c r="T51" s="102"/>
      <c r="U51" s="103"/>
      <c r="V51" s="103"/>
      <c r="W51" s="104"/>
      <c r="X51"/>
    </row>
    <row r="52" spans="1:24">
      <c r="A52" s="104"/>
      <c r="B52" s="104"/>
      <c r="C52" s="104"/>
      <c r="D52" s="102"/>
      <c r="E52"/>
      <c r="F52" s="102"/>
      <c r="G52" s="102"/>
      <c r="H52" s="102"/>
      <c r="I52" s="102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102"/>
      <c r="U52" s="103"/>
      <c r="V52" s="103"/>
      <c r="W52" s="104"/>
      <c r="X52"/>
    </row>
    <row r="53" spans="1:24">
      <c r="A53" s="104"/>
      <c r="B53" s="104"/>
      <c r="C53" s="104"/>
      <c r="D53" s="102"/>
      <c r="E53"/>
      <c r="F53" s="102"/>
      <c r="G53" s="102"/>
      <c r="H53" s="102"/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3"/>
      <c r="V53" s="103"/>
      <c r="W53" s="104"/>
      <c r="X53"/>
    </row>
    <row r="54" spans="1:24">
      <c r="A54" s="104"/>
      <c r="B54" s="104"/>
      <c r="C54" s="104"/>
      <c r="D54" s="102"/>
      <c r="E54"/>
      <c r="F54" s="102"/>
      <c r="G54" s="102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3"/>
      <c r="V54" s="103"/>
      <c r="W54" s="104"/>
      <c r="X54"/>
    </row>
    <row r="55" spans="1:24">
      <c r="A55" s="104"/>
      <c r="B55" s="104"/>
      <c r="C55" s="104"/>
      <c r="D55" s="102"/>
      <c r="E55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3"/>
      <c r="V55" s="103"/>
      <c r="W55" s="104"/>
      <c r="X55"/>
    </row>
    <row r="56" spans="1:24">
      <c r="A56" s="104"/>
      <c r="B56" s="104"/>
      <c r="C56" s="104"/>
      <c r="D56" s="102"/>
      <c r="E56"/>
      <c r="F56" s="102"/>
      <c r="G56" s="102"/>
      <c r="H56" s="102"/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3"/>
      <c r="V56" s="103"/>
      <c r="W56" s="104"/>
      <c r="X56"/>
    </row>
    <row r="57" spans="1:24">
      <c r="A57" s="104"/>
      <c r="B57" s="104"/>
      <c r="C57" s="104"/>
      <c r="D57" s="102"/>
      <c r="E57"/>
      <c r="F57" s="102"/>
      <c r="G57" s="102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3"/>
      <c r="V57" s="103"/>
      <c r="W57" s="104"/>
      <c r="X57"/>
    </row>
    <row r="58" spans="1:24">
      <c r="A58" s="104"/>
      <c r="B58" s="104"/>
      <c r="C58" s="104"/>
      <c r="D58" s="102"/>
      <c r="E58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102"/>
      <c r="S58" s="102"/>
      <c r="T58" s="102"/>
      <c r="U58" s="103"/>
      <c r="V58" s="103"/>
      <c r="W58" s="104"/>
      <c r="X58"/>
    </row>
    <row r="59" spans="1:24">
      <c r="A59" s="104"/>
      <c r="B59" s="104"/>
      <c r="C59" s="104"/>
      <c r="D59" s="102"/>
      <c r="E59"/>
      <c r="F59" s="102"/>
      <c r="G59" s="102"/>
      <c r="H59" s="102"/>
      <c r="I59" s="102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2"/>
      <c r="U59" s="103"/>
      <c r="V59" s="103"/>
      <c r="W59" s="104"/>
      <c r="X59"/>
    </row>
    <row r="60" spans="1:24">
      <c r="A60" s="104"/>
      <c r="B60" s="104"/>
      <c r="C60" s="104"/>
      <c r="D60" s="102"/>
      <c r="E60"/>
      <c r="F60" s="102"/>
      <c r="G60" s="102"/>
      <c r="H60" s="102"/>
      <c r="I60" s="102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102"/>
      <c r="U60" s="103"/>
      <c r="V60" s="103"/>
      <c r="W60" s="104"/>
      <c r="X60"/>
    </row>
    <row r="61" spans="1:24">
      <c r="A61" s="104"/>
      <c r="B61" s="104"/>
      <c r="C61" s="104"/>
      <c r="D61" s="102"/>
      <c r="E61"/>
      <c r="F61" s="102"/>
      <c r="G61" s="102"/>
      <c r="H61" s="102"/>
      <c r="I61" s="102"/>
      <c r="J61" s="102"/>
      <c r="K61" s="102"/>
      <c r="L61" s="102"/>
      <c r="M61" s="102"/>
      <c r="N61" s="102"/>
      <c r="O61" s="102"/>
      <c r="P61" s="102"/>
      <c r="Q61" s="102"/>
      <c r="R61" s="102"/>
      <c r="S61" s="102"/>
      <c r="T61" s="102"/>
      <c r="U61" s="103"/>
      <c r="V61" s="103"/>
      <c r="W61" s="104"/>
      <c r="X61"/>
    </row>
    <row r="62" spans="1:24">
      <c r="A62" s="104"/>
      <c r="B62" s="104"/>
      <c r="C62" s="104"/>
      <c r="D62" s="102"/>
      <c r="E62"/>
      <c r="F62" s="102"/>
      <c r="G62" s="102"/>
      <c r="H62" s="102"/>
      <c r="I62" s="102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3"/>
      <c r="V62" s="103"/>
      <c r="W62" s="104"/>
      <c r="X62"/>
    </row>
    <row r="63" spans="1:24">
      <c r="A63" s="104"/>
      <c r="B63" s="104"/>
      <c r="C63" s="104"/>
      <c r="D63" s="102"/>
      <c r="E63"/>
      <c r="F63" s="102"/>
      <c r="G63" s="102"/>
      <c r="H63" s="102"/>
      <c r="I63" s="102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3"/>
      <c r="V63" s="103"/>
      <c r="W63" s="104"/>
      <c r="X63"/>
    </row>
    <row r="64" spans="1:24">
      <c r="A64" s="104"/>
      <c r="B64" s="104"/>
      <c r="C64" s="104"/>
      <c r="D64" s="102"/>
      <c r="E64"/>
      <c r="F64" s="102"/>
      <c r="G64" s="102"/>
      <c r="H64" s="102"/>
      <c r="I64" s="102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3"/>
      <c r="V64" s="103"/>
      <c r="W64" s="104"/>
      <c r="X64"/>
    </row>
    <row r="65" spans="1:24">
      <c r="A65" s="104"/>
      <c r="B65" s="104"/>
      <c r="C65" s="104"/>
      <c r="D65" s="102"/>
      <c r="E65"/>
      <c r="F65" s="102"/>
      <c r="G65" s="102"/>
      <c r="H65" s="102"/>
      <c r="I65" s="102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3"/>
      <c r="V65" s="103"/>
      <c r="W65" s="104"/>
      <c r="X65"/>
    </row>
    <row r="66" spans="1:24">
      <c r="A66" s="104"/>
      <c r="B66" s="104"/>
      <c r="C66" s="104"/>
      <c r="D66" s="102"/>
      <c r="E66"/>
      <c r="F66" s="102"/>
      <c r="G66" s="102"/>
      <c r="H66" s="102"/>
      <c r="I66" s="102"/>
      <c r="J66" s="102"/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3"/>
      <c r="V66" s="103"/>
      <c r="W66" s="104"/>
      <c r="X66"/>
    </row>
    <row r="67" spans="1:24">
      <c r="A67" s="104"/>
      <c r="B67" s="104"/>
      <c r="C67" s="104"/>
      <c r="D67" s="102"/>
      <c r="E67"/>
      <c r="F67" s="102"/>
      <c r="G67" s="102"/>
      <c r="H67" s="102"/>
      <c r="I67" s="102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3"/>
      <c r="V67" s="103"/>
      <c r="W67" s="104"/>
      <c r="X67"/>
    </row>
    <row r="68" spans="1:24">
      <c r="A68" s="104"/>
      <c r="B68" s="104"/>
      <c r="C68" s="104"/>
      <c r="D68" s="102"/>
      <c r="E68"/>
      <c r="F68" s="102"/>
      <c r="G68" s="102"/>
      <c r="H68" s="102"/>
      <c r="I68" s="102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3"/>
      <c r="V68" s="103"/>
      <c r="W68" s="104"/>
      <c r="X68"/>
    </row>
    <row r="69" spans="1:24">
      <c r="A69" s="104"/>
      <c r="B69" s="104"/>
      <c r="C69" s="104"/>
      <c r="D69" s="102"/>
      <c r="E69"/>
      <c r="F69" s="102"/>
      <c r="G69" s="102"/>
      <c r="H69" s="102"/>
      <c r="I69" s="102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3"/>
      <c r="V69" s="103"/>
      <c r="W69" s="104"/>
      <c r="X69"/>
    </row>
    <row r="70" spans="1:24">
      <c r="A70" s="104"/>
      <c r="B70" s="104"/>
      <c r="C70" s="104"/>
      <c r="D70" s="102"/>
      <c r="E70"/>
      <c r="F70" s="102"/>
      <c r="G70" s="102"/>
      <c r="H70" s="102"/>
      <c r="I70" s="102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3"/>
      <c r="V70" s="103"/>
      <c r="W70" s="104"/>
      <c r="X70"/>
    </row>
    <row r="71" spans="1:24">
      <c r="A71" s="104"/>
      <c r="B71" s="104"/>
      <c r="C71" s="104"/>
      <c r="D71" s="102"/>
      <c r="E71"/>
      <c r="F71" s="102"/>
      <c r="G71" s="102"/>
      <c r="H71" s="102"/>
      <c r="I71" s="102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3"/>
      <c r="V71" s="103"/>
      <c r="W71" s="104"/>
      <c r="X71"/>
    </row>
    <row r="72" spans="1:24">
      <c r="A72" s="104"/>
      <c r="B72" s="104"/>
      <c r="C72" s="104"/>
      <c r="D72" s="102"/>
      <c r="E7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3"/>
      <c r="V72" s="103"/>
      <c r="W72" s="104"/>
      <c r="X72"/>
    </row>
    <row r="73" spans="1:24">
      <c r="A73" s="104"/>
      <c r="B73" s="104"/>
      <c r="C73" s="104"/>
      <c r="D73" s="102"/>
      <c r="E73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3"/>
      <c r="V73" s="103"/>
      <c r="W73" s="104"/>
      <c r="X73"/>
    </row>
    <row r="74" spans="1:24">
      <c r="A74" s="104"/>
      <c r="B74" s="104"/>
      <c r="C74" s="104"/>
      <c r="D74" s="102"/>
      <c r="E74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3"/>
      <c r="V74" s="103"/>
      <c r="W74" s="104"/>
      <c r="X74"/>
    </row>
    <row r="75" spans="1:24">
      <c r="A75" s="104"/>
      <c r="B75" s="104"/>
      <c r="C75" s="104"/>
      <c r="D75" s="102"/>
      <c r="E75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3"/>
      <c r="V75" s="103"/>
      <c r="W75" s="104"/>
      <c r="X75"/>
    </row>
    <row r="76" spans="1:24">
      <c r="A76" s="104"/>
      <c r="B76" s="104"/>
      <c r="C76" s="104"/>
      <c r="D76" s="102"/>
      <c r="E76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3"/>
      <c r="V76" s="103"/>
      <c r="W76" s="104"/>
      <c r="X76"/>
    </row>
    <row r="77" spans="1:24">
      <c r="A77" s="104"/>
      <c r="B77" s="104"/>
      <c r="C77" s="104"/>
      <c r="D77" s="102"/>
      <c r="E77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3"/>
      <c r="V77" s="103"/>
      <c r="W77" s="104"/>
      <c r="X77"/>
    </row>
    <row r="78" spans="1:24">
      <c r="A78" s="104"/>
      <c r="B78" s="104"/>
      <c r="C78" s="104"/>
      <c r="D78" s="102"/>
      <c r="E78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3"/>
      <c r="V78" s="103"/>
      <c r="W78" s="104"/>
      <c r="X78"/>
    </row>
    <row r="79" spans="1:24">
      <c r="A79" s="104"/>
      <c r="B79" s="104"/>
      <c r="C79" s="104"/>
      <c r="D79" s="102"/>
      <c r="E79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3"/>
      <c r="V79" s="103"/>
      <c r="W79" s="104"/>
      <c r="X79"/>
    </row>
    <row r="80" spans="1:24">
      <c r="A80" s="104"/>
      <c r="B80" s="104"/>
      <c r="C80" s="104"/>
      <c r="D80" s="102"/>
      <c r="E80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3"/>
      <c r="V80" s="103"/>
      <c r="W80" s="104"/>
      <c r="X80"/>
    </row>
    <row r="81" spans="1:24">
      <c r="A81" s="104"/>
      <c r="B81" s="104"/>
      <c r="C81" s="104"/>
      <c r="D81" s="102"/>
      <c r="E81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3"/>
      <c r="V81" s="103"/>
      <c r="W81" s="104"/>
      <c r="X81"/>
    </row>
    <row r="82" spans="1:24">
      <c r="A82" s="104"/>
      <c r="B82" s="104"/>
      <c r="C82" s="104"/>
      <c r="D82" s="102"/>
      <c r="E8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3"/>
      <c r="V82" s="103"/>
      <c r="W82" s="104"/>
      <c r="X82"/>
    </row>
    <row r="83" spans="1:24">
      <c r="A83" s="104"/>
      <c r="B83" s="104"/>
      <c r="C83" s="104"/>
      <c r="D83" s="102"/>
      <c r="E83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3"/>
      <c r="V83" s="103"/>
      <c r="W83" s="104"/>
      <c r="X83"/>
    </row>
    <row r="84" spans="1:24">
      <c r="A84" s="104"/>
      <c r="B84" s="104"/>
      <c r="C84" s="104"/>
      <c r="D84" s="102"/>
      <c r="E84"/>
      <c r="F84" s="102"/>
      <c r="G84" s="102"/>
      <c r="H84" s="102"/>
      <c r="I84" s="102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3"/>
      <c r="V84" s="103"/>
      <c r="W84" s="104"/>
      <c r="X84"/>
    </row>
    <row r="85" spans="1:24">
      <c r="A85" s="104"/>
      <c r="B85" s="104"/>
      <c r="C85" s="104"/>
      <c r="D85" s="102"/>
      <c r="E85"/>
      <c r="F85" s="102"/>
      <c r="G85" s="102"/>
      <c r="H85" s="102"/>
      <c r="I85" s="102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3"/>
      <c r="V85" s="103"/>
      <c r="W85" s="104"/>
      <c r="X85"/>
    </row>
    <row r="86" spans="1:24">
      <c r="A86" s="104"/>
      <c r="B86" s="104"/>
      <c r="C86" s="104"/>
      <c r="D86" s="102"/>
      <c r="E86"/>
      <c r="F86" s="102"/>
      <c r="G86" s="102"/>
      <c r="H86" s="102"/>
      <c r="I86" s="102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3"/>
      <c r="V86" s="103"/>
      <c r="W86" s="104"/>
      <c r="X86"/>
    </row>
    <row r="87" spans="1:24">
      <c r="A87" s="104"/>
      <c r="B87" s="104"/>
      <c r="C87" s="104"/>
      <c r="D87" s="102"/>
      <c r="E87"/>
      <c r="F87" s="102"/>
      <c r="G87" s="102"/>
      <c r="H87" s="102"/>
      <c r="I87" s="102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3"/>
      <c r="V87" s="103"/>
      <c r="W87" s="104"/>
      <c r="X87"/>
    </row>
    <row r="88" spans="1:24">
      <c r="A88" s="104"/>
      <c r="B88" s="104"/>
      <c r="C88" s="104"/>
      <c r="D88" s="102"/>
      <c r="E88"/>
      <c r="F88" s="102"/>
      <c r="G88" s="102"/>
      <c r="H88" s="102"/>
      <c r="I88" s="102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3"/>
      <c r="V88" s="103"/>
      <c r="W88" s="104"/>
      <c r="X88"/>
    </row>
    <row r="89" spans="1:24">
      <c r="A89" s="104"/>
      <c r="B89" s="104"/>
      <c r="C89" s="104"/>
      <c r="D89" s="102"/>
      <c r="E89"/>
      <c r="F89" s="102"/>
      <c r="G89" s="102"/>
      <c r="H89" s="102"/>
      <c r="I89" s="102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3"/>
      <c r="V89" s="103"/>
      <c r="W89" s="104"/>
      <c r="X89"/>
    </row>
    <row r="90" spans="1:24">
      <c r="A90" s="104"/>
      <c r="B90" s="104"/>
      <c r="C90" s="104"/>
      <c r="D90" s="102"/>
      <c r="E90"/>
      <c r="F90" s="102"/>
      <c r="G90" s="102"/>
      <c r="H90" s="102"/>
      <c r="I90" s="102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3"/>
      <c r="V90" s="103"/>
      <c r="W90" s="104"/>
      <c r="X90"/>
    </row>
    <row r="91" spans="1:24">
      <c r="A91" s="104"/>
      <c r="B91" s="104"/>
      <c r="C91" s="104"/>
      <c r="D91" s="102"/>
      <c r="E91"/>
      <c r="F91" s="102"/>
      <c r="G91" s="102"/>
      <c r="H91" s="102"/>
      <c r="I91" s="102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3"/>
      <c r="V91" s="103"/>
      <c r="W91" s="104"/>
      <c r="X91"/>
    </row>
    <row r="92" spans="1:24">
      <c r="A92" s="104"/>
      <c r="B92" s="104"/>
      <c r="C92" s="104"/>
      <c r="D92" s="102"/>
      <c r="E92"/>
      <c r="F92" s="102"/>
      <c r="G92" s="102"/>
      <c r="H92" s="102"/>
      <c r="I92" s="102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3"/>
      <c r="V92" s="103"/>
      <c r="W92" s="104"/>
      <c r="X92"/>
    </row>
    <row r="93" spans="1:24">
      <c r="A93" s="104"/>
      <c r="B93" s="104"/>
      <c r="C93" s="104"/>
      <c r="D93" s="102"/>
      <c r="E93"/>
      <c r="F93" s="102"/>
      <c r="G93" s="102"/>
      <c r="H93" s="102"/>
      <c r="I93" s="102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3"/>
      <c r="V93" s="103"/>
      <c r="W93" s="104"/>
      <c r="X93"/>
    </row>
    <row r="94" spans="1:24">
      <c r="A94" s="104"/>
      <c r="B94" s="104"/>
      <c r="C94" s="104"/>
      <c r="D94" s="102"/>
      <c r="E94"/>
      <c r="F94" s="102"/>
      <c r="G94" s="102"/>
      <c r="H94" s="102"/>
      <c r="I94" s="102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02"/>
      <c r="U94" s="103"/>
      <c r="V94" s="103"/>
      <c r="W94" s="104"/>
      <c r="X94"/>
    </row>
    <row r="95" spans="1:24">
      <c r="A95" s="104"/>
      <c r="B95" s="104"/>
      <c r="C95" s="104"/>
      <c r="D95" s="102"/>
      <c r="E95"/>
      <c r="F95" s="102"/>
      <c r="G95" s="102"/>
      <c r="H95" s="102"/>
      <c r="I95" s="102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03"/>
      <c r="V95" s="103"/>
      <c r="W95" s="104"/>
      <c r="X95"/>
    </row>
    <row r="96" spans="1:24">
      <c r="A96" s="104"/>
      <c r="B96" s="104"/>
      <c r="C96" s="104"/>
      <c r="D96" s="102"/>
      <c r="E96"/>
      <c r="F96" s="102"/>
      <c r="G96" s="102"/>
      <c r="H96" s="102"/>
      <c r="I96" s="102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03"/>
      <c r="V96" s="103"/>
      <c r="W96" s="104"/>
      <c r="X96"/>
    </row>
    <row r="97" spans="1:24">
      <c r="A97" s="104"/>
      <c r="B97" s="104"/>
      <c r="C97" s="104"/>
      <c r="D97" s="102"/>
      <c r="E97"/>
      <c r="F97" s="102"/>
      <c r="G97" s="102"/>
      <c r="H97" s="102"/>
      <c r="I97" s="102"/>
      <c r="J97" s="102"/>
      <c r="K97" s="102"/>
      <c r="L97" s="102"/>
      <c r="M97" s="102"/>
      <c r="N97" s="102"/>
      <c r="O97" s="102"/>
      <c r="P97" s="102"/>
      <c r="Q97" s="102"/>
      <c r="R97" s="102"/>
      <c r="S97" s="102"/>
      <c r="T97" s="102"/>
      <c r="U97" s="103"/>
      <c r="V97" s="103"/>
      <c r="W97" s="104"/>
      <c r="X97"/>
    </row>
    <row r="98" spans="1:24">
      <c r="A98" s="104"/>
      <c r="B98" s="104"/>
      <c r="C98" s="104"/>
      <c r="D98" s="102"/>
      <c r="E98"/>
      <c r="F98" s="102"/>
      <c r="G98" s="102"/>
      <c r="H98" s="102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03"/>
      <c r="V98" s="103"/>
      <c r="W98" s="104"/>
      <c r="X98"/>
    </row>
    <row r="99" spans="1:24">
      <c r="A99" s="104"/>
      <c r="B99" s="104"/>
      <c r="C99" s="104"/>
      <c r="D99" s="102"/>
      <c r="E99"/>
      <c r="F99" s="102"/>
      <c r="G99" s="102"/>
      <c r="H99" s="102"/>
      <c r="I99" s="102"/>
      <c r="J99" s="102"/>
      <c r="K99" s="102"/>
      <c r="L99" s="102"/>
      <c r="M99" s="102"/>
      <c r="N99" s="102"/>
      <c r="O99" s="102"/>
      <c r="P99" s="102"/>
      <c r="Q99" s="102"/>
      <c r="R99" s="102"/>
      <c r="S99" s="102"/>
      <c r="T99" s="102"/>
      <c r="U99" s="103"/>
      <c r="V99" s="103"/>
      <c r="W99" s="104"/>
      <c r="X99"/>
    </row>
    <row r="100" spans="1:24">
      <c r="A100" s="104"/>
      <c r="B100" s="104"/>
      <c r="C100" s="104"/>
      <c r="D100" s="102"/>
      <c r="E100"/>
      <c r="F100" s="102"/>
      <c r="G100" s="102"/>
      <c r="H100" s="102"/>
      <c r="I100" s="102"/>
      <c r="J100" s="102"/>
      <c r="K100" s="102"/>
      <c r="L100" s="102"/>
      <c r="M100" s="102"/>
      <c r="N100" s="102"/>
      <c r="O100" s="102"/>
      <c r="P100" s="102"/>
      <c r="Q100" s="102"/>
      <c r="R100" s="102"/>
      <c r="S100" s="102"/>
      <c r="T100" s="102"/>
      <c r="U100" s="103"/>
      <c r="V100" s="103"/>
      <c r="W100" s="104"/>
      <c r="X100"/>
    </row>
    <row r="101" spans="1:24">
      <c r="A101" s="104"/>
      <c r="B101" s="104"/>
      <c r="C101" s="104"/>
      <c r="D101" s="102"/>
      <c r="E101"/>
      <c r="F101" s="102"/>
      <c r="G101" s="102"/>
      <c r="H101" s="102"/>
      <c r="I101" s="102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3"/>
      <c r="V101" s="103"/>
      <c r="W101" s="104"/>
      <c r="X101"/>
    </row>
    <row r="102" spans="1:24">
      <c r="A102" s="104"/>
      <c r="B102" s="104"/>
      <c r="C102" s="104"/>
      <c r="D102" s="102"/>
      <c r="E102"/>
      <c r="F102" s="102"/>
      <c r="G102" s="102"/>
      <c r="H102" s="102"/>
      <c r="I102" s="102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03"/>
      <c r="V102" s="103"/>
      <c r="W102" s="104"/>
      <c r="X102"/>
    </row>
    <row r="103" spans="1:24">
      <c r="A103" s="104"/>
      <c r="B103" s="104"/>
      <c r="C103" s="104"/>
      <c r="D103" s="102"/>
      <c r="E103"/>
      <c r="F103" s="102"/>
      <c r="G103" s="102"/>
      <c r="H103" s="102"/>
      <c r="I103" s="102"/>
      <c r="J103" s="102"/>
      <c r="K103" s="102"/>
      <c r="L103" s="102"/>
      <c r="M103" s="102"/>
      <c r="N103" s="102"/>
      <c r="O103" s="102"/>
      <c r="P103" s="102"/>
      <c r="Q103" s="102"/>
      <c r="R103" s="102"/>
      <c r="S103" s="102"/>
      <c r="T103" s="102"/>
      <c r="U103" s="103"/>
      <c r="V103" s="103"/>
      <c r="W103" s="104"/>
      <c r="X103"/>
    </row>
    <row r="104" spans="1:24">
      <c r="A104" s="104"/>
      <c r="B104" s="104"/>
      <c r="C104" s="104"/>
      <c r="D104" s="102"/>
      <c r="E104"/>
      <c r="F104" s="102"/>
      <c r="G104" s="102"/>
      <c r="H104" s="102"/>
      <c r="I104" s="102"/>
      <c r="J104" s="102"/>
      <c r="K104" s="102"/>
      <c r="L104" s="102"/>
      <c r="M104" s="102"/>
      <c r="N104" s="102"/>
      <c r="O104" s="102"/>
      <c r="P104" s="102"/>
      <c r="Q104" s="102"/>
      <c r="R104" s="102"/>
      <c r="S104" s="102"/>
      <c r="T104" s="102"/>
      <c r="U104" s="103"/>
      <c r="V104" s="103"/>
      <c r="W104" s="104"/>
      <c r="X104"/>
    </row>
    <row r="105" spans="1:24">
      <c r="A105" s="104"/>
      <c r="B105" s="104"/>
      <c r="C105" s="104"/>
      <c r="D105" s="102"/>
      <c r="E105"/>
      <c r="F105" s="102"/>
      <c r="G105" s="102"/>
      <c r="H105" s="102"/>
      <c r="I105" s="102"/>
      <c r="J105" s="102"/>
      <c r="K105" s="102"/>
      <c r="L105" s="102"/>
      <c r="M105" s="102"/>
      <c r="N105" s="102"/>
      <c r="O105" s="102"/>
      <c r="P105" s="102"/>
      <c r="Q105" s="102"/>
      <c r="R105" s="102"/>
      <c r="S105" s="102"/>
      <c r="T105" s="102"/>
      <c r="U105" s="103"/>
      <c r="V105" s="103"/>
      <c r="W105" s="104"/>
      <c r="X105"/>
    </row>
    <row r="106" spans="1:24">
      <c r="A106" s="104"/>
      <c r="B106" s="104"/>
      <c r="C106" s="104"/>
      <c r="D106" s="102"/>
      <c r="E106"/>
      <c r="F106" s="102"/>
      <c r="G106" s="102"/>
      <c r="H106" s="102"/>
      <c r="I106" s="102"/>
      <c r="J106" s="102"/>
      <c r="K106" s="102"/>
      <c r="L106" s="102"/>
      <c r="M106" s="102"/>
      <c r="N106" s="102"/>
      <c r="O106" s="102"/>
      <c r="P106" s="102"/>
      <c r="Q106" s="102"/>
      <c r="R106" s="102"/>
      <c r="S106" s="102"/>
      <c r="T106" s="102"/>
      <c r="U106" s="103"/>
      <c r="V106" s="103"/>
      <c r="W106" s="104"/>
      <c r="X106"/>
    </row>
    <row r="107" spans="1:24">
      <c r="A107" s="104"/>
      <c r="B107" s="104"/>
      <c r="C107" s="104"/>
      <c r="D107" s="102"/>
      <c r="E107"/>
      <c r="F107" s="102"/>
      <c r="G107" s="102"/>
      <c r="H107" s="102"/>
      <c r="I107" s="102"/>
      <c r="J107" s="102"/>
      <c r="K107" s="102"/>
      <c r="L107" s="102"/>
      <c r="M107" s="102"/>
      <c r="N107" s="102"/>
      <c r="O107" s="102"/>
      <c r="P107" s="102"/>
      <c r="Q107" s="102"/>
      <c r="R107" s="102"/>
      <c r="S107" s="102"/>
      <c r="T107" s="102"/>
      <c r="U107" s="103"/>
      <c r="V107" s="103"/>
      <c r="W107" s="104"/>
      <c r="X107"/>
    </row>
    <row r="108" spans="1:24">
      <c r="A108" s="104"/>
      <c r="B108" s="104"/>
      <c r="C108" s="104"/>
      <c r="D108" s="102"/>
      <c r="E108"/>
      <c r="F108" s="102"/>
      <c r="G108" s="102"/>
      <c r="H108" s="102"/>
      <c r="I108" s="102"/>
      <c r="J108" s="102"/>
      <c r="K108" s="102"/>
      <c r="L108" s="102"/>
      <c r="M108" s="102"/>
      <c r="N108" s="102"/>
      <c r="O108" s="102"/>
      <c r="P108" s="102"/>
      <c r="Q108" s="102"/>
      <c r="R108" s="102"/>
      <c r="S108" s="102"/>
      <c r="T108" s="102"/>
      <c r="U108" s="103"/>
      <c r="V108" s="103"/>
      <c r="W108" s="104"/>
      <c r="X108"/>
    </row>
    <row r="109" spans="1:24">
      <c r="A109" s="104"/>
      <c r="B109" s="104"/>
      <c r="C109" s="104"/>
      <c r="D109" s="102"/>
      <c r="E109"/>
      <c r="F109" s="102"/>
      <c r="G109" s="102"/>
      <c r="H109" s="102"/>
      <c r="I109" s="102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02"/>
      <c r="U109" s="103"/>
      <c r="V109" s="103"/>
      <c r="W109" s="104"/>
      <c r="X109"/>
    </row>
    <row r="110" spans="1:24">
      <c r="A110" s="104"/>
      <c r="B110" s="104"/>
      <c r="C110" s="104"/>
      <c r="D110" s="102"/>
      <c r="E110"/>
      <c r="F110" s="102"/>
      <c r="G110" s="102"/>
      <c r="H110" s="102"/>
      <c r="I110" s="102"/>
      <c r="J110" s="102"/>
      <c r="K110" s="102"/>
      <c r="L110" s="102"/>
      <c r="M110" s="102"/>
      <c r="N110" s="102"/>
      <c r="O110" s="102"/>
      <c r="P110" s="102"/>
      <c r="Q110" s="102"/>
      <c r="R110" s="102"/>
      <c r="S110" s="102"/>
      <c r="T110" s="102"/>
      <c r="U110" s="103"/>
      <c r="V110" s="103"/>
      <c r="W110" s="104"/>
      <c r="X110"/>
    </row>
    <row r="111" spans="1:24">
      <c r="A111" s="104"/>
      <c r="B111" s="104"/>
      <c r="C111" s="104"/>
      <c r="D111" s="102"/>
      <c r="E111"/>
      <c r="F111" s="102"/>
      <c r="G111" s="102"/>
      <c r="H111" s="102"/>
      <c r="I111" s="102"/>
      <c r="J111" s="102"/>
      <c r="K111" s="102"/>
      <c r="L111" s="102"/>
      <c r="M111" s="102"/>
      <c r="N111" s="102"/>
      <c r="O111" s="102"/>
      <c r="P111" s="102"/>
      <c r="Q111" s="102"/>
      <c r="R111" s="102"/>
      <c r="S111" s="102"/>
      <c r="T111" s="102"/>
      <c r="U111" s="103"/>
      <c r="V111" s="103"/>
      <c r="W111" s="104"/>
      <c r="X111"/>
    </row>
    <row r="112" spans="1:24">
      <c r="A112" s="104"/>
      <c r="B112" s="104"/>
      <c r="C112" s="104"/>
      <c r="D112" s="102"/>
      <c r="E112"/>
      <c r="F112" s="102"/>
      <c r="G112" s="102"/>
      <c r="H112" s="102"/>
      <c r="I112" s="102"/>
      <c r="J112" s="102"/>
      <c r="K112" s="102"/>
      <c r="L112" s="102"/>
      <c r="M112" s="102"/>
      <c r="N112" s="102"/>
      <c r="O112" s="102"/>
      <c r="P112" s="102"/>
      <c r="Q112" s="102"/>
      <c r="R112" s="102"/>
      <c r="S112" s="102"/>
      <c r="T112" s="102"/>
      <c r="U112" s="103"/>
      <c r="V112" s="103"/>
      <c r="W112" s="104"/>
      <c r="X112"/>
    </row>
    <row r="113" spans="1:24">
      <c r="A113" s="104"/>
      <c r="B113" s="104"/>
      <c r="C113" s="104"/>
      <c r="D113" s="102"/>
      <c r="E113"/>
      <c r="F113" s="102"/>
      <c r="G113" s="102"/>
      <c r="H113" s="102"/>
      <c r="I113" s="102"/>
      <c r="J113" s="102"/>
      <c r="K113" s="102"/>
      <c r="L113" s="102"/>
      <c r="M113" s="102"/>
      <c r="N113" s="102"/>
      <c r="O113" s="102"/>
      <c r="P113" s="102"/>
      <c r="Q113" s="102"/>
      <c r="R113" s="102"/>
      <c r="S113" s="102"/>
      <c r="T113" s="102"/>
      <c r="U113" s="103"/>
      <c r="V113" s="103"/>
      <c r="W113" s="104"/>
      <c r="X113"/>
    </row>
    <row r="114" spans="1:24">
      <c r="A114" s="104"/>
      <c r="B114" s="104"/>
      <c r="C114" s="104"/>
      <c r="D114" s="102"/>
      <c r="E114"/>
      <c r="F114" s="102"/>
      <c r="G114" s="102"/>
      <c r="H114" s="102"/>
      <c r="I114" s="102"/>
      <c r="J114" s="102"/>
      <c r="K114" s="102"/>
      <c r="L114" s="102"/>
      <c r="M114" s="102"/>
      <c r="N114" s="102"/>
      <c r="O114" s="102"/>
      <c r="P114" s="102"/>
      <c r="Q114" s="102"/>
      <c r="R114" s="102"/>
      <c r="S114" s="102"/>
      <c r="T114" s="102"/>
      <c r="U114" s="103"/>
      <c r="V114" s="103"/>
      <c r="W114" s="104"/>
      <c r="X114"/>
    </row>
    <row r="115" spans="1:24">
      <c r="A115" s="104"/>
      <c r="B115" s="104"/>
      <c r="C115" s="104"/>
      <c r="D115" s="102"/>
      <c r="E115"/>
      <c r="F115" s="102"/>
      <c r="G115" s="102"/>
      <c r="H115" s="102"/>
      <c r="I115" s="102"/>
      <c r="J115" s="102"/>
      <c r="K115" s="102"/>
      <c r="L115" s="102"/>
      <c r="M115" s="102"/>
      <c r="N115" s="102"/>
      <c r="O115" s="102"/>
      <c r="P115" s="102"/>
      <c r="Q115" s="102"/>
      <c r="R115" s="102"/>
      <c r="S115" s="102"/>
      <c r="T115" s="102"/>
      <c r="U115" s="103"/>
      <c r="V115" s="103"/>
      <c r="W115" s="104"/>
      <c r="X115"/>
    </row>
    <row r="116" spans="1:24">
      <c r="A116" s="104"/>
      <c r="B116" s="104"/>
      <c r="C116" s="104"/>
      <c r="D116" s="102"/>
      <c r="E116"/>
      <c r="F116" s="102"/>
      <c r="G116" s="102"/>
      <c r="H116" s="102"/>
      <c r="I116" s="102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3"/>
      <c r="V116" s="103"/>
      <c r="W116" s="104"/>
      <c r="X116"/>
    </row>
    <row r="117" spans="1:24">
      <c r="A117" s="104"/>
      <c r="B117" s="104"/>
      <c r="C117" s="104"/>
      <c r="D117" s="102"/>
      <c r="E117"/>
      <c r="F117" s="102"/>
      <c r="G117" s="102"/>
      <c r="H117" s="102"/>
      <c r="I117" s="102"/>
      <c r="J117" s="102"/>
      <c r="K117" s="102"/>
      <c r="L117" s="102"/>
      <c r="M117" s="102"/>
      <c r="N117" s="102"/>
      <c r="O117" s="102"/>
      <c r="P117" s="102"/>
      <c r="Q117" s="102"/>
      <c r="R117" s="102"/>
      <c r="S117" s="102"/>
      <c r="T117" s="102"/>
      <c r="U117" s="103"/>
      <c r="V117" s="103"/>
      <c r="W117" s="104"/>
      <c r="X117"/>
    </row>
    <row r="118" spans="1:24">
      <c r="A118" s="104"/>
      <c r="B118" s="104"/>
      <c r="C118" s="104"/>
      <c r="D118" s="102"/>
      <c r="E118"/>
      <c r="F118" s="102"/>
      <c r="G118" s="102"/>
      <c r="H118" s="102"/>
      <c r="I118" s="102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3"/>
      <c r="V118" s="103"/>
      <c r="W118" s="104"/>
      <c r="X118"/>
    </row>
    <row r="119" spans="1:24">
      <c r="A119" s="104"/>
      <c r="B119" s="104"/>
      <c r="C119" s="104"/>
      <c r="D119" s="102"/>
      <c r="E119"/>
      <c r="F119" s="102"/>
      <c r="G119" s="102"/>
      <c r="H119" s="102"/>
      <c r="I119" s="102"/>
      <c r="J119" s="102"/>
      <c r="K119" s="102"/>
      <c r="L119" s="102"/>
      <c r="M119" s="102"/>
      <c r="N119" s="102"/>
      <c r="O119" s="102"/>
      <c r="P119" s="102"/>
      <c r="Q119" s="102"/>
      <c r="R119" s="102"/>
      <c r="S119" s="102"/>
      <c r="T119" s="102"/>
      <c r="U119" s="103"/>
      <c r="V119" s="103"/>
      <c r="W119" s="104"/>
      <c r="X119"/>
    </row>
    <row r="120" spans="1:24">
      <c r="A120" s="104"/>
      <c r="B120" s="104"/>
      <c r="C120" s="104"/>
      <c r="D120" s="102"/>
      <c r="E120"/>
      <c r="F120" s="102"/>
      <c r="G120" s="102"/>
      <c r="H120" s="102"/>
      <c r="I120" s="102"/>
      <c r="J120" s="102"/>
      <c r="K120" s="102"/>
      <c r="L120" s="102"/>
      <c r="M120" s="102"/>
      <c r="N120" s="102"/>
      <c r="O120" s="102"/>
      <c r="P120" s="102"/>
      <c r="Q120" s="102"/>
      <c r="R120" s="102"/>
      <c r="S120" s="102"/>
      <c r="T120" s="102"/>
      <c r="U120" s="103"/>
      <c r="V120" s="103"/>
      <c r="W120" s="104"/>
      <c r="X120"/>
    </row>
    <row r="121" spans="1:24">
      <c r="A121" s="104"/>
      <c r="B121" s="104"/>
      <c r="C121" s="104"/>
      <c r="D121" s="102"/>
      <c r="E121"/>
      <c r="F121" s="102"/>
      <c r="G121" s="102"/>
      <c r="H121" s="102"/>
      <c r="I121" s="102"/>
      <c r="J121" s="102"/>
      <c r="K121" s="102"/>
      <c r="L121" s="102"/>
      <c r="M121" s="102"/>
      <c r="N121" s="102"/>
      <c r="O121" s="102"/>
      <c r="P121" s="102"/>
      <c r="Q121" s="102"/>
      <c r="R121" s="102"/>
      <c r="S121" s="102"/>
      <c r="T121" s="102"/>
      <c r="U121" s="103"/>
      <c r="V121" s="103"/>
      <c r="W121" s="104"/>
      <c r="X121"/>
    </row>
    <row r="122" spans="1:24">
      <c r="A122" s="104"/>
      <c r="B122" s="104"/>
      <c r="C122" s="104"/>
      <c r="D122" s="102"/>
      <c r="E122"/>
      <c r="F122" s="102"/>
      <c r="G122" s="102"/>
      <c r="H122" s="102"/>
      <c r="I122" s="102"/>
      <c r="J122" s="102"/>
      <c r="K122" s="102"/>
      <c r="L122" s="102"/>
      <c r="M122" s="102"/>
      <c r="N122" s="102"/>
      <c r="O122" s="102"/>
      <c r="P122" s="102"/>
      <c r="Q122" s="102"/>
      <c r="R122" s="102"/>
      <c r="S122" s="102"/>
      <c r="T122" s="102"/>
      <c r="U122" s="103"/>
      <c r="V122" s="103"/>
      <c r="W122" s="104"/>
      <c r="X122"/>
    </row>
    <row r="123" spans="1:24">
      <c r="A123" s="104"/>
      <c r="B123" s="104"/>
      <c r="C123" s="104"/>
      <c r="D123" s="102"/>
      <c r="E123"/>
      <c r="F123" s="102"/>
      <c r="G123" s="102"/>
      <c r="H123" s="102"/>
      <c r="I123" s="102"/>
      <c r="J123" s="102"/>
      <c r="K123" s="102"/>
      <c r="L123" s="102"/>
      <c r="M123" s="102"/>
      <c r="N123" s="102"/>
      <c r="O123" s="102"/>
      <c r="P123" s="102"/>
      <c r="Q123" s="102"/>
      <c r="R123" s="102"/>
      <c r="S123" s="102"/>
      <c r="T123" s="102"/>
      <c r="U123" s="103"/>
      <c r="V123" s="103"/>
      <c r="W123" s="104"/>
      <c r="X123"/>
    </row>
    <row r="124" spans="1:24">
      <c r="A124" s="104"/>
      <c r="B124" s="104"/>
      <c r="C124" s="104"/>
      <c r="D124" s="102"/>
      <c r="E124"/>
      <c r="F124" s="102"/>
      <c r="G124" s="102"/>
      <c r="H124" s="102"/>
      <c r="I124" s="102"/>
      <c r="J124" s="102"/>
      <c r="K124" s="102"/>
      <c r="L124" s="102"/>
      <c r="M124" s="102"/>
      <c r="N124" s="102"/>
      <c r="O124" s="102"/>
      <c r="P124" s="102"/>
      <c r="Q124" s="102"/>
      <c r="R124" s="102"/>
      <c r="S124" s="102"/>
      <c r="T124" s="102"/>
      <c r="U124" s="103"/>
      <c r="V124" s="103"/>
      <c r="W124" s="104"/>
      <c r="X124"/>
    </row>
    <row r="125" spans="1:24">
      <c r="A125" s="104"/>
      <c r="B125" s="104"/>
      <c r="C125" s="104"/>
      <c r="D125" s="102"/>
      <c r="E125"/>
      <c r="F125" s="102"/>
      <c r="G125" s="102"/>
      <c r="H125" s="102"/>
      <c r="I125" s="102"/>
      <c r="J125" s="102"/>
      <c r="K125" s="102"/>
      <c r="L125" s="102"/>
      <c r="M125" s="102"/>
      <c r="N125" s="102"/>
      <c r="O125" s="102"/>
      <c r="P125" s="102"/>
      <c r="Q125" s="102"/>
      <c r="R125" s="102"/>
      <c r="S125" s="102"/>
      <c r="T125" s="102"/>
      <c r="U125" s="103"/>
      <c r="V125" s="103"/>
      <c r="W125" s="104"/>
      <c r="X125"/>
    </row>
    <row r="126" spans="1:24">
      <c r="A126" s="104"/>
      <c r="B126" s="104"/>
      <c r="C126" s="104"/>
      <c r="D126" s="102"/>
      <c r="E126"/>
      <c r="F126" s="102"/>
      <c r="G126" s="102"/>
      <c r="H126" s="102"/>
      <c r="I126" s="102"/>
      <c r="J126" s="102"/>
      <c r="K126" s="102"/>
      <c r="L126" s="102"/>
      <c r="M126" s="102"/>
      <c r="N126" s="102"/>
      <c r="O126" s="102"/>
      <c r="P126" s="102"/>
      <c r="Q126" s="102"/>
      <c r="R126" s="102"/>
      <c r="S126" s="102"/>
      <c r="T126" s="102"/>
      <c r="U126" s="103"/>
      <c r="V126" s="103"/>
      <c r="W126" s="104"/>
      <c r="X126"/>
    </row>
    <row r="127" spans="1:24">
      <c r="A127" s="104"/>
      <c r="B127" s="104"/>
      <c r="C127" s="104"/>
      <c r="D127" s="102"/>
      <c r="E127"/>
      <c r="F127" s="102"/>
      <c r="G127" s="102"/>
      <c r="H127" s="102"/>
      <c r="I127" s="102"/>
      <c r="J127" s="102"/>
      <c r="K127" s="102"/>
      <c r="L127" s="102"/>
      <c r="M127" s="102"/>
      <c r="N127" s="102"/>
      <c r="O127" s="102"/>
      <c r="P127" s="102"/>
      <c r="Q127" s="102"/>
      <c r="R127" s="102"/>
      <c r="S127" s="102"/>
      <c r="T127" s="102"/>
      <c r="U127" s="103"/>
      <c r="V127" s="103"/>
      <c r="W127" s="104"/>
      <c r="X127"/>
    </row>
    <row r="128" spans="1:24">
      <c r="A128" s="104"/>
      <c r="B128" s="104"/>
      <c r="C128" s="104"/>
      <c r="D128" s="102"/>
      <c r="E128"/>
      <c r="F128" s="102"/>
      <c r="G128" s="102"/>
      <c r="H128" s="102"/>
      <c r="I128" s="102"/>
      <c r="J128" s="102"/>
      <c r="K128" s="102"/>
      <c r="L128" s="102"/>
      <c r="M128" s="102"/>
      <c r="N128" s="102"/>
      <c r="O128" s="102"/>
      <c r="P128" s="102"/>
      <c r="Q128" s="102"/>
      <c r="R128" s="102"/>
      <c r="S128" s="102"/>
      <c r="T128" s="102"/>
      <c r="U128" s="103"/>
      <c r="V128" s="103"/>
      <c r="W128" s="104"/>
      <c r="X128"/>
    </row>
    <row r="129" spans="1:24">
      <c r="A129" s="104"/>
      <c r="B129" s="104"/>
      <c r="C129" s="104"/>
      <c r="D129" s="102"/>
      <c r="E129"/>
      <c r="F129" s="102"/>
      <c r="G129" s="102"/>
      <c r="H129" s="102"/>
      <c r="I129" s="102"/>
      <c r="J129" s="102"/>
      <c r="K129" s="102"/>
      <c r="L129" s="102"/>
      <c r="M129" s="102"/>
      <c r="N129" s="102"/>
      <c r="O129" s="102"/>
      <c r="P129" s="102"/>
      <c r="Q129" s="102"/>
      <c r="R129" s="102"/>
      <c r="S129" s="102"/>
      <c r="T129" s="102"/>
      <c r="U129" s="103"/>
      <c r="V129" s="103"/>
      <c r="W129" s="104"/>
      <c r="X129"/>
    </row>
    <row r="130" spans="1:24">
      <c r="A130" s="104"/>
      <c r="B130" s="104"/>
      <c r="C130" s="104"/>
      <c r="D130" s="102"/>
      <c r="E130"/>
      <c r="F130" s="102"/>
      <c r="G130" s="102"/>
      <c r="H130" s="102"/>
      <c r="I130" s="102"/>
      <c r="J130" s="102"/>
      <c r="K130" s="102"/>
      <c r="L130" s="102"/>
      <c r="M130" s="102"/>
      <c r="N130" s="102"/>
      <c r="O130" s="102"/>
      <c r="P130" s="102"/>
      <c r="Q130" s="102"/>
      <c r="R130" s="102"/>
      <c r="S130" s="102"/>
      <c r="T130" s="102"/>
      <c r="U130" s="103"/>
      <c r="V130" s="103"/>
      <c r="W130" s="104"/>
      <c r="X130"/>
    </row>
    <row r="131" spans="1:24">
      <c r="A131" s="104"/>
      <c r="B131" s="104"/>
      <c r="C131" s="104"/>
      <c r="D131" s="102"/>
      <c r="E131"/>
      <c r="F131" s="102"/>
      <c r="G131" s="102"/>
      <c r="H131" s="102"/>
      <c r="I131" s="102"/>
      <c r="J131" s="102"/>
      <c r="K131" s="102"/>
      <c r="L131" s="102"/>
      <c r="M131" s="102"/>
      <c r="N131" s="102"/>
      <c r="O131" s="102"/>
      <c r="P131" s="102"/>
      <c r="Q131" s="102"/>
      <c r="R131" s="102"/>
      <c r="S131" s="102"/>
      <c r="T131" s="102"/>
      <c r="U131" s="103"/>
      <c r="V131" s="103"/>
      <c r="W131" s="104"/>
      <c r="X131"/>
    </row>
    <row r="132" spans="1:24">
      <c r="A132" s="104"/>
      <c r="B132" s="104"/>
      <c r="C132" s="104"/>
      <c r="D132" s="102"/>
      <c r="E132"/>
      <c r="F132" s="102"/>
      <c r="G132" s="102"/>
      <c r="H132" s="102"/>
      <c r="I132" s="102"/>
      <c r="J132" s="102"/>
      <c r="K132" s="102"/>
      <c r="L132" s="102"/>
      <c r="M132" s="102"/>
      <c r="N132" s="102"/>
      <c r="O132" s="102"/>
      <c r="P132" s="102"/>
      <c r="Q132" s="102"/>
      <c r="R132" s="102"/>
      <c r="S132" s="102"/>
      <c r="T132" s="102"/>
      <c r="U132" s="103"/>
      <c r="V132" s="103"/>
      <c r="W132" s="104"/>
      <c r="X132"/>
    </row>
    <row r="133" spans="1:24">
      <c r="A133" s="104"/>
      <c r="B133" s="104"/>
      <c r="C133" s="104"/>
      <c r="D133" s="102"/>
      <c r="E133"/>
      <c r="F133" s="102"/>
      <c r="G133" s="102"/>
      <c r="H133" s="102"/>
      <c r="I133" s="102"/>
      <c r="J133" s="102"/>
      <c r="K133" s="102"/>
      <c r="L133" s="102"/>
      <c r="M133" s="102"/>
      <c r="N133" s="102"/>
      <c r="O133" s="102"/>
      <c r="P133" s="102"/>
      <c r="Q133" s="102"/>
      <c r="R133" s="102"/>
      <c r="S133" s="102"/>
      <c r="T133" s="102"/>
      <c r="U133" s="103"/>
      <c r="V133" s="103"/>
      <c r="W133" s="104"/>
      <c r="X133"/>
    </row>
    <row r="134" spans="1:24">
      <c r="A134" s="104"/>
      <c r="B134" s="104"/>
      <c r="C134" s="104"/>
      <c r="D134" s="102"/>
      <c r="E134"/>
      <c r="F134" s="102"/>
      <c r="G134" s="102"/>
      <c r="H134" s="102"/>
      <c r="I134" s="102"/>
      <c r="J134" s="102"/>
      <c r="K134" s="102"/>
      <c r="L134" s="102"/>
      <c r="M134" s="102"/>
      <c r="N134" s="102"/>
      <c r="O134" s="102"/>
      <c r="P134" s="102"/>
      <c r="Q134" s="102"/>
      <c r="R134" s="102"/>
      <c r="S134" s="102"/>
      <c r="T134" s="102"/>
      <c r="U134" s="103"/>
      <c r="V134" s="103"/>
      <c r="W134" s="104"/>
      <c r="X134"/>
    </row>
    <row r="135" spans="1:24">
      <c r="A135" s="104"/>
      <c r="B135" s="104"/>
      <c r="C135" s="104"/>
      <c r="D135" s="102"/>
      <c r="E135"/>
      <c r="F135" s="102"/>
      <c r="G135" s="102"/>
      <c r="H135" s="102"/>
      <c r="I135" s="102"/>
      <c r="J135" s="102"/>
      <c r="K135" s="102"/>
      <c r="L135" s="102"/>
      <c r="M135" s="102"/>
      <c r="N135" s="102"/>
      <c r="O135" s="102"/>
      <c r="P135" s="102"/>
      <c r="Q135" s="102"/>
      <c r="R135" s="102"/>
      <c r="S135" s="102"/>
      <c r="T135" s="102"/>
      <c r="U135" s="103"/>
      <c r="V135" s="103"/>
      <c r="W135" s="104"/>
      <c r="X135"/>
    </row>
    <row r="136" spans="1:24">
      <c r="A136" s="104"/>
      <c r="B136" s="104"/>
      <c r="C136" s="104"/>
      <c r="D136" s="102"/>
      <c r="E136"/>
      <c r="F136" s="102"/>
      <c r="G136" s="102"/>
      <c r="H136" s="102"/>
      <c r="I136" s="102"/>
      <c r="J136" s="102"/>
      <c r="K136" s="102"/>
      <c r="L136" s="102"/>
      <c r="M136" s="102"/>
      <c r="N136" s="102"/>
      <c r="O136" s="102"/>
      <c r="P136" s="102"/>
      <c r="Q136" s="102"/>
      <c r="R136" s="102"/>
      <c r="S136" s="102"/>
      <c r="T136" s="102"/>
      <c r="U136" s="103"/>
      <c r="V136" s="103"/>
      <c r="W136" s="104"/>
      <c r="X136"/>
    </row>
    <row r="137" spans="1:24">
      <c r="A137" s="104"/>
      <c r="B137" s="104"/>
      <c r="C137" s="104"/>
      <c r="D137" s="102"/>
      <c r="E137"/>
      <c r="F137" s="102"/>
      <c r="G137" s="102"/>
      <c r="H137" s="102"/>
      <c r="I137" s="102"/>
      <c r="J137" s="102"/>
      <c r="K137" s="102"/>
      <c r="L137" s="102"/>
      <c r="M137" s="102"/>
      <c r="N137" s="102"/>
      <c r="O137" s="102"/>
      <c r="P137" s="102"/>
      <c r="Q137" s="102"/>
      <c r="R137" s="102"/>
      <c r="S137" s="102"/>
      <c r="T137" s="102"/>
      <c r="U137" s="103"/>
      <c r="V137" s="103"/>
      <c r="W137" s="104"/>
      <c r="X137"/>
    </row>
    <row r="138" spans="1:24">
      <c r="A138" s="104"/>
      <c r="B138" s="104"/>
      <c r="C138" s="104"/>
      <c r="D138" s="102"/>
      <c r="E138"/>
      <c r="F138" s="102"/>
      <c r="G138" s="102"/>
      <c r="H138" s="102"/>
      <c r="I138" s="102"/>
      <c r="J138" s="102"/>
      <c r="K138" s="102"/>
      <c r="L138" s="102"/>
      <c r="M138" s="102"/>
      <c r="N138" s="102"/>
      <c r="O138" s="102"/>
      <c r="P138" s="102"/>
      <c r="Q138" s="102"/>
      <c r="R138" s="102"/>
      <c r="S138" s="102"/>
      <c r="T138" s="102"/>
      <c r="U138" s="103"/>
      <c r="V138" s="103"/>
      <c r="W138" s="104"/>
      <c r="X138"/>
    </row>
    <row r="139" spans="1:24">
      <c r="A139" s="104"/>
      <c r="B139" s="104"/>
      <c r="C139" s="104"/>
      <c r="D139" s="102"/>
      <c r="E139"/>
      <c r="F139" s="102"/>
      <c r="G139" s="102"/>
      <c r="H139" s="102"/>
      <c r="I139" s="102"/>
      <c r="J139" s="102"/>
      <c r="K139" s="102"/>
      <c r="L139" s="102"/>
      <c r="M139" s="102"/>
      <c r="N139" s="102"/>
      <c r="O139" s="102"/>
      <c r="P139" s="102"/>
      <c r="Q139" s="102"/>
      <c r="R139" s="102"/>
      <c r="S139" s="102"/>
      <c r="T139" s="102"/>
      <c r="U139" s="103"/>
      <c r="V139" s="103"/>
      <c r="W139" s="104"/>
      <c r="X139"/>
    </row>
    <row r="140" spans="1:24">
      <c r="A140" s="104"/>
      <c r="B140" s="104"/>
      <c r="C140" s="104"/>
      <c r="D140" s="102"/>
      <c r="E140"/>
      <c r="F140" s="102"/>
      <c r="G140" s="102"/>
      <c r="H140" s="102"/>
      <c r="I140" s="102"/>
      <c r="J140" s="102"/>
      <c r="K140" s="102"/>
      <c r="L140" s="102"/>
      <c r="M140" s="102"/>
      <c r="N140" s="102"/>
      <c r="O140" s="102"/>
      <c r="P140" s="102"/>
      <c r="Q140" s="102"/>
      <c r="R140" s="102"/>
      <c r="S140" s="102"/>
      <c r="T140" s="102"/>
      <c r="U140" s="103"/>
      <c r="V140" s="103"/>
      <c r="W140" s="104"/>
      <c r="X140"/>
    </row>
    <row r="141" spans="1:24">
      <c r="A141" s="104"/>
      <c r="B141" s="104"/>
      <c r="C141" s="104"/>
      <c r="D141" s="102"/>
      <c r="E141"/>
      <c r="F141" s="102"/>
      <c r="G141" s="102"/>
      <c r="H141" s="102"/>
      <c r="I141" s="102"/>
      <c r="J141" s="102"/>
      <c r="K141" s="102"/>
      <c r="L141" s="102"/>
      <c r="M141" s="102"/>
      <c r="N141" s="102"/>
      <c r="O141" s="102"/>
      <c r="P141" s="102"/>
      <c r="Q141" s="102"/>
      <c r="R141" s="102"/>
      <c r="S141" s="102"/>
      <c r="T141" s="102"/>
      <c r="U141" s="103"/>
      <c r="V141" s="103"/>
      <c r="W141" s="104"/>
      <c r="X141"/>
    </row>
    <row r="142" spans="1:24">
      <c r="A142" s="104"/>
      <c r="B142" s="104"/>
      <c r="C142" s="104"/>
      <c r="D142" s="102"/>
      <c r="E142"/>
      <c r="F142" s="102"/>
      <c r="G142" s="102"/>
      <c r="H142" s="102"/>
      <c r="I142" s="102"/>
      <c r="J142" s="102"/>
      <c r="K142" s="102"/>
      <c r="L142" s="102"/>
      <c r="M142" s="102"/>
      <c r="N142" s="102"/>
      <c r="O142" s="102"/>
      <c r="P142" s="102"/>
      <c r="Q142" s="102"/>
      <c r="R142" s="102"/>
      <c r="S142" s="102"/>
      <c r="T142" s="102"/>
      <c r="U142" s="103"/>
      <c r="V142" s="103"/>
      <c r="W142" s="104"/>
      <c r="X142"/>
    </row>
    <row r="143" spans="1:24">
      <c r="A143" s="104"/>
      <c r="B143" s="104"/>
      <c r="C143" s="104"/>
      <c r="D143" s="102"/>
      <c r="E143"/>
      <c r="F143" s="102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3"/>
      <c r="V143" s="103"/>
      <c r="W143" s="104"/>
      <c r="X143"/>
    </row>
    <row r="144" spans="1:24">
      <c r="A144" s="104"/>
      <c r="B144" s="104"/>
      <c r="C144" s="104"/>
      <c r="D144" s="102"/>
      <c r="E144"/>
      <c r="F144" s="102"/>
      <c r="G144" s="102"/>
      <c r="H144" s="102"/>
      <c r="I144" s="102"/>
      <c r="J144" s="102"/>
      <c r="K144" s="102"/>
      <c r="L144" s="102"/>
      <c r="M144" s="102"/>
      <c r="N144" s="102"/>
      <c r="O144" s="102"/>
      <c r="P144" s="102"/>
      <c r="Q144" s="102"/>
      <c r="R144" s="102"/>
      <c r="S144" s="102"/>
      <c r="T144" s="102"/>
      <c r="U144" s="103"/>
      <c r="V144" s="103"/>
      <c r="W144" s="104"/>
      <c r="X144"/>
    </row>
    <row r="145" spans="1:24">
      <c r="A145" s="104"/>
      <c r="B145" s="104"/>
      <c r="C145" s="104"/>
      <c r="D145" s="102"/>
      <c r="E145"/>
      <c r="F145" s="102"/>
      <c r="G145" s="102"/>
      <c r="H145" s="102"/>
      <c r="I145" s="102"/>
      <c r="J145" s="102"/>
      <c r="K145" s="102"/>
      <c r="L145" s="102"/>
      <c r="M145" s="102"/>
      <c r="N145" s="102"/>
      <c r="O145" s="102"/>
      <c r="P145" s="102"/>
      <c r="Q145" s="102"/>
      <c r="R145" s="102"/>
      <c r="S145" s="102"/>
      <c r="T145" s="102"/>
      <c r="U145" s="103"/>
      <c r="V145" s="103"/>
      <c r="W145" s="104"/>
      <c r="X145"/>
    </row>
    <row r="146" spans="1:24">
      <c r="A146" s="104"/>
      <c r="B146" s="104"/>
      <c r="C146" s="104"/>
      <c r="D146" s="102"/>
      <c r="E146"/>
      <c r="F146" s="102"/>
      <c r="G146" s="102"/>
      <c r="H146" s="102"/>
      <c r="I146" s="102"/>
      <c r="J146" s="102"/>
      <c r="K146" s="102"/>
      <c r="L146" s="102"/>
      <c r="M146" s="102"/>
      <c r="N146" s="102"/>
      <c r="O146" s="102"/>
      <c r="P146" s="102"/>
      <c r="Q146" s="102"/>
      <c r="R146" s="102"/>
      <c r="S146" s="102"/>
      <c r="T146" s="102"/>
      <c r="U146" s="103"/>
      <c r="V146" s="103"/>
      <c r="W146" s="104"/>
      <c r="X146"/>
    </row>
    <row r="147" spans="1:24">
      <c r="A147" s="104"/>
      <c r="B147" s="104"/>
      <c r="C147" s="104"/>
      <c r="D147" s="102"/>
      <c r="E147"/>
      <c r="F147" s="102"/>
      <c r="G147" s="102"/>
      <c r="H147" s="102"/>
      <c r="I147" s="102"/>
      <c r="J147" s="102"/>
      <c r="K147" s="102"/>
      <c r="L147" s="102"/>
      <c r="M147" s="102"/>
      <c r="N147" s="102"/>
      <c r="O147" s="102"/>
      <c r="P147" s="102"/>
      <c r="Q147" s="102"/>
      <c r="R147" s="102"/>
      <c r="S147" s="102"/>
      <c r="T147" s="102"/>
      <c r="U147" s="103"/>
      <c r="V147" s="103"/>
      <c r="W147" s="104"/>
      <c r="X147"/>
    </row>
    <row r="148" spans="1:24">
      <c r="A148" s="104"/>
      <c r="B148" s="104"/>
      <c r="C148" s="104"/>
      <c r="D148" s="102"/>
      <c r="E148"/>
      <c r="F148" s="102"/>
      <c r="G148" s="102"/>
      <c r="H148" s="102"/>
      <c r="I148" s="102"/>
      <c r="J148" s="102"/>
      <c r="K148" s="102"/>
      <c r="L148" s="102"/>
      <c r="M148" s="102"/>
      <c r="N148" s="102"/>
      <c r="O148" s="102"/>
      <c r="P148" s="102"/>
      <c r="Q148" s="102"/>
      <c r="R148" s="102"/>
      <c r="S148" s="102"/>
      <c r="T148" s="102"/>
      <c r="U148" s="103"/>
      <c r="V148" s="103"/>
      <c r="W148" s="104"/>
      <c r="X148"/>
    </row>
    <row r="149" spans="1:24">
      <c r="A149" s="104"/>
      <c r="B149" s="104"/>
      <c r="C149" s="104"/>
      <c r="D149" s="102"/>
      <c r="E149"/>
      <c r="F149" s="102"/>
      <c r="G149" s="102"/>
      <c r="H149" s="102"/>
      <c r="I149" s="102"/>
      <c r="J149" s="102"/>
      <c r="K149" s="102"/>
      <c r="L149" s="102"/>
      <c r="M149" s="102"/>
      <c r="N149" s="102"/>
      <c r="O149" s="102"/>
      <c r="P149" s="102"/>
      <c r="Q149" s="102"/>
      <c r="R149" s="102"/>
      <c r="S149" s="102"/>
      <c r="T149" s="102"/>
      <c r="U149" s="103"/>
      <c r="V149" s="103"/>
      <c r="W149" s="104"/>
      <c r="X149"/>
    </row>
    <row r="150" spans="1:24">
      <c r="A150" s="104"/>
      <c r="B150" s="104"/>
      <c r="C150" s="104"/>
      <c r="D150" s="102"/>
      <c r="E150"/>
      <c r="F150" s="102"/>
      <c r="G150" s="102"/>
      <c r="H150" s="102"/>
      <c r="I150" s="102"/>
      <c r="J150" s="102"/>
      <c r="K150" s="102"/>
      <c r="L150" s="102"/>
      <c r="M150" s="102"/>
      <c r="N150" s="102"/>
      <c r="O150" s="102"/>
      <c r="P150" s="102"/>
      <c r="Q150" s="102"/>
      <c r="R150" s="102"/>
      <c r="S150" s="102"/>
      <c r="T150" s="102"/>
      <c r="U150" s="103"/>
      <c r="V150" s="103"/>
      <c r="W150" s="104"/>
      <c r="X150"/>
    </row>
    <row r="151" spans="1:24">
      <c r="A151" s="104"/>
      <c r="B151" s="104"/>
      <c r="C151" s="104"/>
      <c r="D151" s="102"/>
      <c r="E151"/>
      <c r="F151" s="102"/>
      <c r="G151" s="102"/>
      <c r="H151" s="102"/>
      <c r="I151" s="102"/>
      <c r="J151" s="102"/>
      <c r="K151" s="102"/>
      <c r="L151" s="102"/>
      <c r="M151" s="102"/>
      <c r="N151" s="102"/>
      <c r="O151" s="102"/>
      <c r="P151" s="102"/>
      <c r="Q151" s="102"/>
      <c r="R151" s="102"/>
      <c r="S151" s="102"/>
      <c r="T151" s="102"/>
      <c r="U151" s="103"/>
      <c r="V151" s="103"/>
      <c r="W151" s="104"/>
      <c r="X151"/>
    </row>
    <row r="152" spans="1:24">
      <c r="A152" s="104"/>
      <c r="B152" s="104"/>
      <c r="C152" s="104"/>
      <c r="D152" s="102"/>
      <c r="E152"/>
      <c r="F152" s="102"/>
      <c r="G152" s="102"/>
      <c r="H152" s="102"/>
      <c r="I152" s="102"/>
      <c r="J152" s="102"/>
      <c r="K152" s="102"/>
      <c r="L152" s="102"/>
      <c r="M152" s="102"/>
      <c r="N152" s="102"/>
      <c r="O152" s="102"/>
      <c r="P152" s="102"/>
      <c r="Q152" s="102"/>
      <c r="R152" s="102"/>
      <c r="S152" s="102"/>
      <c r="T152" s="102"/>
      <c r="U152" s="103"/>
      <c r="V152" s="103"/>
      <c r="W152" s="104"/>
      <c r="X152"/>
    </row>
    <row r="153" spans="1:24">
      <c r="A153" s="104"/>
      <c r="B153" s="104"/>
      <c r="C153" s="104"/>
      <c r="D153" s="102"/>
      <c r="E153"/>
      <c r="F153" s="102"/>
      <c r="G153" s="102"/>
      <c r="H153" s="102"/>
      <c r="I153" s="102"/>
      <c r="J153" s="102"/>
      <c r="K153" s="102"/>
      <c r="L153" s="102"/>
      <c r="M153" s="102"/>
      <c r="N153" s="102"/>
      <c r="O153" s="102"/>
      <c r="P153" s="102"/>
      <c r="Q153" s="102"/>
      <c r="R153" s="102"/>
      <c r="S153" s="102"/>
      <c r="T153" s="102"/>
      <c r="U153" s="103"/>
      <c r="V153" s="103"/>
      <c r="W153" s="104"/>
      <c r="X153"/>
    </row>
    <row r="154" spans="1:24">
      <c r="A154" s="104"/>
      <c r="B154" s="104"/>
      <c r="C154" s="104"/>
      <c r="D154" s="102"/>
      <c r="E154"/>
      <c r="F154" s="102"/>
      <c r="G154" s="102"/>
      <c r="H154" s="102"/>
      <c r="I154" s="102"/>
      <c r="J154" s="102"/>
      <c r="K154" s="102"/>
      <c r="L154" s="102"/>
      <c r="M154" s="102"/>
      <c r="N154" s="102"/>
      <c r="O154" s="102"/>
      <c r="P154" s="102"/>
      <c r="Q154" s="102"/>
      <c r="R154" s="102"/>
      <c r="S154" s="102"/>
      <c r="T154" s="102"/>
      <c r="U154" s="103"/>
      <c r="V154" s="103"/>
      <c r="W154" s="104"/>
      <c r="X154"/>
    </row>
    <row r="155" spans="1:24">
      <c r="A155" s="104"/>
      <c r="B155" s="104"/>
      <c r="C155" s="104"/>
      <c r="D155" s="102"/>
      <c r="E155"/>
      <c r="F155" s="102"/>
      <c r="G155" s="102"/>
      <c r="H155" s="102"/>
      <c r="I155" s="102"/>
      <c r="J155" s="102"/>
      <c r="K155" s="102"/>
      <c r="L155" s="102"/>
      <c r="M155" s="102"/>
      <c r="N155" s="102"/>
      <c r="O155" s="102"/>
      <c r="P155" s="102"/>
      <c r="Q155" s="102"/>
      <c r="R155" s="102"/>
      <c r="S155" s="102"/>
      <c r="T155" s="102"/>
      <c r="U155" s="103"/>
      <c r="V155" s="103"/>
      <c r="W155" s="104"/>
      <c r="X155"/>
    </row>
    <row r="156" spans="1:24">
      <c r="A156" s="104"/>
      <c r="B156" s="104"/>
      <c r="C156" s="104"/>
      <c r="D156" s="102"/>
      <c r="E156"/>
      <c r="F156" s="102"/>
      <c r="G156" s="102"/>
      <c r="H156" s="102"/>
      <c r="I156" s="102"/>
      <c r="J156" s="102"/>
      <c r="K156" s="102"/>
      <c r="L156" s="102"/>
      <c r="M156" s="102"/>
      <c r="N156" s="102"/>
      <c r="O156" s="102"/>
      <c r="P156" s="102"/>
      <c r="Q156" s="102"/>
      <c r="R156" s="102"/>
      <c r="S156" s="102"/>
      <c r="T156" s="102"/>
      <c r="U156" s="103"/>
      <c r="V156" s="103"/>
      <c r="W156" s="104"/>
      <c r="X156"/>
    </row>
    <row r="157" spans="1:24">
      <c r="A157" s="104"/>
      <c r="B157" s="104"/>
      <c r="C157" s="104"/>
      <c r="D157" s="102"/>
      <c r="E157"/>
      <c r="F157" s="102"/>
      <c r="G157" s="102"/>
      <c r="H157" s="102"/>
      <c r="I157" s="102"/>
      <c r="J157" s="102"/>
      <c r="K157" s="102"/>
      <c r="L157" s="102"/>
      <c r="M157" s="102"/>
      <c r="N157" s="102"/>
      <c r="O157" s="102"/>
      <c r="P157" s="102"/>
      <c r="Q157" s="102"/>
      <c r="R157" s="102"/>
      <c r="S157" s="102"/>
      <c r="T157" s="102"/>
      <c r="U157" s="103"/>
      <c r="V157" s="103"/>
      <c r="W157" s="104"/>
      <c r="X157"/>
    </row>
    <row r="158" spans="1:24">
      <c r="A158" s="104"/>
      <c r="B158" s="104"/>
      <c r="C158" s="104"/>
      <c r="D158" s="102"/>
      <c r="E158"/>
      <c r="F158" s="102"/>
      <c r="G158" s="102"/>
      <c r="H158" s="102"/>
      <c r="I158" s="102"/>
      <c r="J158" s="102"/>
      <c r="K158" s="102"/>
      <c r="L158" s="102"/>
      <c r="M158" s="102"/>
      <c r="N158" s="102"/>
      <c r="O158" s="102"/>
      <c r="P158" s="102"/>
      <c r="Q158" s="102"/>
      <c r="R158" s="102"/>
      <c r="S158" s="102"/>
      <c r="T158" s="102"/>
      <c r="U158" s="103"/>
      <c r="V158" s="103"/>
      <c r="W158" s="104"/>
      <c r="X158"/>
    </row>
    <row r="159" spans="1:24">
      <c r="A159" s="104"/>
      <c r="B159" s="104"/>
      <c r="C159" s="104"/>
      <c r="D159" s="102"/>
      <c r="E159"/>
      <c r="F159" s="102"/>
      <c r="G159" s="102"/>
      <c r="H159" s="102"/>
      <c r="I159" s="102"/>
      <c r="J159" s="102"/>
      <c r="K159" s="102"/>
      <c r="L159" s="102"/>
      <c r="M159" s="102"/>
      <c r="N159" s="102"/>
      <c r="O159" s="102"/>
      <c r="P159" s="102"/>
      <c r="Q159" s="102"/>
      <c r="R159" s="102"/>
      <c r="S159" s="102"/>
      <c r="T159" s="102"/>
      <c r="U159" s="103"/>
      <c r="V159" s="103"/>
      <c r="W159" s="104"/>
      <c r="X159"/>
    </row>
    <row r="160" spans="1:24">
      <c r="A160" s="104"/>
      <c r="B160" s="104"/>
      <c r="C160" s="104"/>
      <c r="D160" s="102"/>
      <c r="E160"/>
      <c r="F160" s="102"/>
      <c r="G160" s="102"/>
      <c r="H160" s="102"/>
      <c r="I160" s="102"/>
      <c r="J160" s="102"/>
      <c r="K160" s="102"/>
      <c r="L160" s="102"/>
      <c r="M160" s="102"/>
      <c r="N160" s="102"/>
      <c r="O160" s="102"/>
      <c r="P160" s="102"/>
      <c r="Q160" s="102"/>
      <c r="R160" s="102"/>
      <c r="S160" s="102"/>
      <c r="T160" s="102"/>
      <c r="U160" s="103"/>
      <c r="V160" s="103"/>
      <c r="W160" s="104"/>
      <c r="X160"/>
    </row>
    <row r="161" spans="1:24">
      <c r="A161" s="104"/>
      <c r="B161" s="104"/>
      <c r="C161" s="104"/>
      <c r="D161" s="102"/>
      <c r="E161"/>
      <c r="F161" s="102"/>
      <c r="G161" s="102"/>
      <c r="H161" s="102"/>
      <c r="I161" s="102"/>
      <c r="J161" s="102"/>
      <c r="K161" s="102"/>
      <c r="L161" s="102"/>
      <c r="M161" s="102"/>
      <c r="N161" s="102"/>
      <c r="O161" s="102"/>
      <c r="P161" s="102"/>
      <c r="Q161" s="102"/>
      <c r="R161" s="102"/>
      <c r="S161" s="102"/>
      <c r="T161" s="102"/>
      <c r="U161" s="103"/>
      <c r="V161" s="103"/>
      <c r="W161" s="104"/>
      <c r="X161"/>
    </row>
    <row r="162" spans="1:24">
      <c r="A162" s="104"/>
      <c r="B162" s="104"/>
      <c r="C162" s="104"/>
      <c r="D162" s="102"/>
      <c r="E162"/>
      <c r="F162" s="102"/>
      <c r="G162" s="102"/>
      <c r="H162" s="102"/>
      <c r="I162" s="102"/>
      <c r="J162" s="102"/>
      <c r="K162" s="102"/>
      <c r="L162" s="102"/>
      <c r="M162" s="102"/>
      <c r="N162" s="102"/>
      <c r="O162" s="102"/>
      <c r="P162" s="102"/>
      <c r="Q162" s="102"/>
      <c r="R162" s="102"/>
      <c r="S162" s="102"/>
      <c r="T162" s="102"/>
      <c r="U162" s="103"/>
      <c r="V162" s="103"/>
      <c r="W162" s="104"/>
      <c r="X162"/>
    </row>
    <row r="163" spans="1:24">
      <c r="A163" s="104"/>
      <c r="B163" s="104"/>
      <c r="C163" s="104"/>
      <c r="D163" s="102"/>
      <c r="E163"/>
      <c r="F163" s="102"/>
      <c r="G163" s="102"/>
      <c r="H163" s="102"/>
      <c r="I163" s="102"/>
      <c r="J163" s="102"/>
      <c r="K163" s="102"/>
      <c r="L163" s="102"/>
      <c r="M163" s="102"/>
      <c r="N163" s="102"/>
      <c r="O163" s="102"/>
      <c r="P163" s="102"/>
      <c r="Q163" s="102"/>
      <c r="R163" s="102"/>
      <c r="S163" s="102"/>
      <c r="T163" s="102"/>
      <c r="U163" s="103"/>
      <c r="V163" s="103"/>
      <c r="W163" s="104"/>
      <c r="X163"/>
    </row>
    <row r="164" spans="1:24">
      <c r="A164" s="104"/>
      <c r="B164" s="104"/>
      <c r="C164" s="104"/>
      <c r="D164" s="102"/>
      <c r="E164"/>
      <c r="F164" s="102"/>
      <c r="G164" s="102"/>
      <c r="H164" s="102"/>
      <c r="I164" s="102"/>
      <c r="J164" s="102"/>
      <c r="K164" s="102"/>
      <c r="L164" s="102"/>
      <c r="M164" s="102"/>
      <c r="N164" s="102"/>
      <c r="O164" s="102"/>
      <c r="P164" s="102"/>
      <c r="Q164" s="102"/>
      <c r="R164" s="102"/>
      <c r="S164" s="102"/>
      <c r="T164" s="102"/>
      <c r="U164" s="103"/>
      <c r="V164" s="103"/>
      <c r="W164" s="104"/>
      <c r="X164"/>
    </row>
    <row r="165" spans="1:24">
      <c r="A165" s="104"/>
      <c r="B165" s="104"/>
      <c r="C165" s="104"/>
      <c r="D165" s="102"/>
      <c r="E165"/>
      <c r="F165" s="102"/>
      <c r="G165" s="102"/>
      <c r="H165" s="102"/>
      <c r="I165" s="102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3"/>
      <c r="V165" s="103"/>
      <c r="W165" s="104"/>
      <c r="X165"/>
    </row>
    <row r="166" spans="1:24">
      <c r="A166" s="104"/>
      <c r="B166" s="104"/>
      <c r="C166" s="104"/>
      <c r="D166" s="102"/>
      <c r="E166"/>
      <c r="F166" s="102"/>
      <c r="G166" s="102"/>
      <c r="H166" s="102"/>
      <c r="I166" s="102"/>
      <c r="J166" s="102"/>
      <c r="K166" s="102"/>
      <c r="L166" s="102"/>
      <c r="M166" s="102"/>
      <c r="N166" s="102"/>
      <c r="O166" s="102"/>
      <c r="P166" s="102"/>
      <c r="Q166" s="102"/>
      <c r="R166" s="102"/>
      <c r="S166" s="102"/>
      <c r="T166" s="102"/>
      <c r="U166" s="103"/>
      <c r="V166" s="103"/>
      <c r="W166" s="104"/>
      <c r="X166"/>
    </row>
    <row r="167" spans="1:24">
      <c r="A167" s="104"/>
      <c r="B167" s="104"/>
      <c r="C167" s="104"/>
      <c r="D167" s="102"/>
      <c r="E167"/>
      <c r="F167" s="102"/>
      <c r="G167" s="102"/>
      <c r="H167" s="102"/>
      <c r="I167" s="102"/>
      <c r="J167" s="102"/>
      <c r="K167" s="102"/>
      <c r="L167" s="102"/>
      <c r="M167" s="102"/>
      <c r="N167" s="102"/>
      <c r="O167" s="102"/>
      <c r="P167" s="102"/>
      <c r="Q167" s="102"/>
      <c r="R167" s="102"/>
      <c r="S167" s="102"/>
      <c r="T167" s="102"/>
      <c r="U167" s="103"/>
      <c r="V167" s="103"/>
      <c r="W167" s="104"/>
      <c r="X167"/>
    </row>
    <row r="168" spans="1:24">
      <c r="A168" s="104"/>
      <c r="B168" s="104"/>
      <c r="C168" s="104"/>
      <c r="D168" s="102"/>
      <c r="E168"/>
      <c r="F168" s="102"/>
      <c r="G168" s="102"/>
      <c r="H168" s="102"/>
      <c r="I168" s="102"/>
      <c r="J168" s="102"/>
      <c r="K168" s="102"/>
      <c r="L168" s="102"/>
      <c r="M168" s="102"/>
      <c r="N168" s="102"/>
      <c r="O168" s="102"/>
      <c r="P168" s="102"/>
      <c r="Q168" s="102"/>
      <c r="R168" s="102"/>
      <c r="S168" s="102"/>
      <c r="T168" s="102"/>
      <c r="U168" s="103"/>
      <c r="V168" s="103"/>
      <c r="W168" s="104"/>
      <c r="X168"/>
    </row>
    <row r="169" spans="1:24">
      <c r="A169" s="104"/>
      <c r="B169" s="104"/>
      <c r="C169" s="104"/>
      <c r="D169" s="102"/>
      <c r="E169"/>
      <c r="F169" s="102"/>
      <c r="G169" s="102"/>
      <c r="H169" s="102"/>
      <c r="I169" s="102"/>
      <c r="J169" s="102"/>
      <c r="K169" s="102"/>
      <c r="L169" s="102"/>
      <c r="M169" s="102"/>
      <c r="N169" s="102"/>
      <c r="O169" s="102"/>
      <c r="P169" s="102"/>
      <c r="Q169" s="102"/>
      <c r="R169" s="102"/>
      <c r="S169" s="102"/>
      <c r="T169" s="102"/>
      <c r="U169" s="103"/>
      <c r="V169" s="103"/>
      <c r="W169" s="104"/>
      <c r="X169"/>
    </row>
    <row r="170" spans="1:24">
      <c r="A170" s="104"/>
      <c r="B170" s="104"/>
      <c r="C170" s="104"/>
      <c r="D170" s="102"/>
      <c r="E170"/>
      <c r="F170" s="102"/>
      <c r="G170" s="102"/>
      <c r="H170" s="102"/>
      <c r="I170" s="102"/>
      <c r="J170" s="102"/>
      <c r="K170" s="102"/>
      <c r="L170" s="102"/>
      <c r="M170" s="102"/>
      <c r="N170" s="102"/>
      <c r="O170" s="102"/>
      <c r="P170" s="102"/>
      <c r="Q170" s="102"/>
      <c r="R170" s="102"/>
      <c r="S170" s="102"/>
      <c r="T170" s="102"/>
      <c r="U170" s="103"/>
      <c r="V170" s="103"/>
      <c r="W170" s="104"/>
      <c r="X170"/>
    </row>
    <row r="171" spans="1:24">
      <c r="A171" s="104"/>
      <c r="B171" s="104"/>
      <c r="C171" s="104"/>
      <c r="D171" s="102"/>
      <c r="E171"/>
      <c r="F171" s="102"/>
      <c r="G171" s="102"/>
      <c r="H171" s="102"/>
      <c r="I171" s="102"/>
      <c r="J171" s="102"/>
      <c r="K171" s="102"/>
      <c r="L171" s="102"/>
      <c r="M171" s="102"/>
      <c r="N171" s="102"/>
      <c r="O171" s="102"/>
      <c r="P171" s="102"/>
      <c r="Q171" s="102"/>
      <c r="R171" s="102"/>
      <c r="S171" s="102"/>
      <c r="T171" s="102"/>
      <c r="U171" s="103"/>
      <c r="V171" s="103"/>
      <c r="W171" s="104"/>
      <c r="X171"/>
    </row>
    <row r="172" spans="1:24">
      <c r="A172" s="104"/>
      <c r="B172" s="104"/>
      <c r="C172" s="104"/>
      <c r="D172" s="102"/>
      <c r="E172"/>
      <c r="F172" s="102"/>
      <c r="G172" s="102"/>
      <c r="H172" s="102"/>
      <c r="I172" s="102"/>
      <c r="J172" s="102"/>
      <c r="K172" s="102"/>
      <c r="L172" s="102"/>
      <c r="M172" s="102"/>
      <c r="N172" s="102"/>
      <c r="O172" s="102"/>
      <c r="P172" s="102"/>
      <c r="Q172" s="102"/>
      <c r="R172" s="102"/>
      <c r="S172" s="102"/>
      <c r="T172" s="102"/>
      <c r="U172" s="103"/>
      <c r="V172" s="103"/>
      <c r="W172" s="104"/>
      <c r="X172"/>
    </row>
    <row r="173" spans="1:24">
      <c r="A173" s="104"/>
      <c r="B173" s="104"/>
      <c r="C173" s="104"/>
      <c r="D173" s="102"/>
      <c r="E173"/>
      <c r="F173" s="102"/>
      <c r="G173" s="102"/>
      <c r="H173" s="102"/>
      <c r="I173" s="102"/>
      <c r="J173" s="102"/>
      <c r="K173" s="102"/>
      <c r="L173" s="102"/>
      <c r="M173" s="102"/>
      <c r="N173" s="102"/>
      <c r="O173" s="102"/>
      <c r="P173" s="102"/>
      <c r="Q173" s="102"/>
      <c r="R173" s="102"/>
      <c r="S173" s="102"/>
      <c r="T173" s="102"/>
      <c r="U173" s="103"/>
      <c r="V173" s="103"/>
      <c r="W173" s="104"/>
      <c r="X173"/>
    </row>
    <row r="174" spans="1:24">
      <c r="A174" s="104"/>
      <c r="B174" s="104"/>
      <c r="C174" s="104"/>
      <c r="D174" s="102"/>
      <c r="E174"/>
      <c r="F174" s="102"/>
      <c r="G174" s="102"/>
      <c r="H174" s="102"/>
      <c r="I174" s="102"/>
      <c r="J174" s="102"/>
      <c r="K174" s="102"/>
      <c r="L174" s="102"/>
      <c r="M174" s="102"/>
      <c r="N174" s="102"/>
      <c r="O174" s="102"/>
      <c r="P174" s="102"/>
      <c r="Q174" s="102"/>
      <c r="R174" s="102"/>
      <c r="S174" s="102"/>
      <c r="T174" s="102"/>
      <c r="U174" s="103"/>
      <c r="V174" s="103"/>
      <c r="W174" s="104"/>
      <c r="X174"/>
    </row>
    <row r="175" spans="1:24">
      <c r="A175" s="104"/>
      <c r="B175" s="104"/>
      <c r="C175" s="104"/>
      <c r="D175" s="102"/>
      <c r="E175"/>
      <c r="F175" s="102"/>
      <c r="G175" s="102"/>
      <c r="H175" s="102"/>
      <c r="I175" s="102"/>
      <c r="J175" s="102"/>
      <c r="K175" s="102"/>
      <c r="L175" s="102"/>
      <c r="M175" s="102"/>
      <c r="N175" s="102"/>
      <c r="O175" s="102"/>
      <c r="P175" s="102"/>
      <c r="Q175" s="102"/>
      <c r="R175" s="102"/>
      <c r="S175" s="102"/>
      <c r="T175" s="102"/>
      <c r="U175" s="103"/>
      <c r="V175" s="103"/>
      <c r="W175" s="104"/>
      <c r="X175"/>
    </row>
    <row r="176" spans="1:24">
      <c r="A176" s="104"/>
      <c r="B176" s="104"/>
      <c r="C176" s="104"/>
      <c r="D176" s="102"/>
      <c r="E176"/>
      <c r="F176" s="102"/>
      <c r="G176" s="102"/>
      <c r="H176" s="102"/>
      <c r="I176" s="102"/>
      <c r="J176" s="102"/>
      <c r="K176" s="102"/>
      <c r="L176" s="102"/>
      <c r="M176" s="102"/>
      <c r="N176" s="102"/>
      <c r="O176" s="102"/>
      <c r="P176" s="102"/>
      <c r="Q176" s="102"/>
      <c r="R176" s="102"/>
      <c r="S176" s="102"/>
      <c r="T176" s="102"/>
      <c r="U176" s="103"/>
      <c r="V176" s="103"/>
      <c r="W176" s="104"/>
      <c r="X176"/>
    </row>
    <row r="177" spans="1:24">
      <c r="A177" s="104"/>
      <c r="B177" s="104"/>
      <c r="C177" s="104"/>
      <c r="D177" s="102"/>
      <c r="E177"/>
      <c r="F177" s="102"/>
      <c r="G177" s="102"/>
      <c r="H177" s="102"/>
      <c r="I177" s="102"/>
      <c r="J177" s="102"/>
      <c r="K177" s="102"/>
      <c r="L177" s="102"/>
      <c r="M177" s="102"/>
      <c r="N177" s="102"/>
      <c r="O177" s="102"/>
      <c r="P177" s="102"/>
      <c r="Q177" s="102"/>
      <c r="R177" s="102"/>
      <c r="S177" s="102"/>
      <c r="T177" s="102"/>
      <c r="U177" s="103"/>
      <c r="V177" s="103"/>
      <c r="W177" s="104"/>
      <c r="X177"/>
    </row>
    <row r="178" spans="1:24">
      <c r="A178" s="104"/>
      <c r="B178" s="104"/>
      <c r="C178" s="104"/>
      <c r="D178" s="102"/>
      <c r="E178"/>
      <c r="F178" s="102"/>
      <c r="G178" s="102"/>
      <c r="H178" s="102"/>
      <c r="I178" s="102"/>
      <c r="J178" s="102"/>
      <c r="K178" s="102"/>
      <c r="L178" s="102"/>
      <c r="M178" s="102"/>
      <c r="N178" s="102"/>
      <c r="O178" s="102"/>
      <c r="P178" s="102"/>
      <c r="Q178" s="102"/>
      <c r="R178" s="102"/>
      <c r="S178" s="102"/>
      <c r="T178" s="102"/>
      <c r="U178" s="103"/>
      <c r="V178" s="103"/>
      <c r="W178" s="104"/>
      <c r="X178"/>
    </row>
    <row r="179" spans="1:24">
      <c r="A179" s="104"/>
      <c r="B179" s="104"/>
      <c r="C179" s="104"/>
      <c r="D179" s="102"/>
      <c r="E179"/>
      <c r="F179" s="102"/>
      <c r="G179" s="102"/>
      <c r="H179" s="102"/>
      <c r="I179" s="102"/>
      <c r="J179" s="102"/>
      <c r="K179" s="102"/>
      <c r="L179" s="102"/>
      <c r="M179" s="102"/>
      <c r="N179" s="102"/>
      <c r="O179" s="102"/>
      <c r="P179" s="102"/>
      <c r="Q179" s="102"/>
      <c r="R179" s="102"/>
      <c r="S179" s="102"/>
      <c r="T179" s="102"/>
      <c r="U179" s="103"/>
      <c r="V179" s="103"/>
      <c r="W179" s="104"/>
      <c r="X179"/>
    </row>
    <row r="180" spans="1:24">
      <c r="A180" s="104"/>
      <c r="B180" s="104"/>
      <c r="C180" s="104"/>
      <c r="D180" s="102"/>
      <c r="E180"/>
      <c r="F180" s="102"/>
      <c r="G180" s="102"/>
      <c r="H180" s="102"/>
      <c r="I180" s="102"/>
      <c r="J180" s="102"/>
      <c r="K180" s="102"/>
      <c r="L180" s="102"/>
      <c r="M180" s="102"/>
      <c r="N180" s="102"/>
      <c r="O180" s="102"/>
      <c r="P180" s="102"/>
      <c r="Q180" s="102"/>
      <c r="R180" s="102"/>
      <c r="S180" s="102"/>
      <c r="T180" s="102"/>
      <c r="U180" s="103"/>
      <c r="V180" s="103"/>
      <c r="W180" s="104"/>
      <c r="X180"/>
    </row>
    <row r="181" spans="1:24">
      <c r="A181" s="104"/>
      <c r="B181" s="104"/>
      <c r="C181" s="104"/>
      <c r="D181" s="102"/>
      <c r="E181"/>
      <c r="F181" s="102"/>
      <c r="G181" s="102"/>
      <c r="H181" s="102"/>
      <c r="I181" s="102"/>
      <c r="J181" s="102"/>
      <c r="K181" s="102"/>
      <c r="L181" s="102"/>
      <c r="M181" s="102"/>
      <c r="N181" s="102"/>
      <c r="O181" s="102"/>
      <c r="P181" s="102"/>
      <c r="Q181" s="102"/>
      <c r="R181" s="102"/>
      <c r="S181" s="102"/>
      <c r="T181" s="102"/>
      <c r="U181" s="103"/>
      <c r="V181" s="103"/>
      <c r="W181" s="104"/>
      <c r="X181"/>
    </row>
    <row r="182" spans="1:24">
      <c r="A182" s="104"/>
      <c r="B182" s="104"/>
      <c r="C182" s="104"/>
      <c r="D182" s="102"/>
      <c r="E182"/>
      <c r="F182" s="102"/>
      <c r="G182" s="102"/>
      <c r="H182" s="102"/>
      <c r="I182" s="102"/>
      <c r="J182" s="102"/>
      <c r="K182" s="102"/>
      <c r="L182" s="102"/>
      <c r="M182" s="102"/>
      <c r="N182" s="102"/>
      <c r="O182" s="102"/>
      <c r="P182" s="102"/>
      <c r="Q182" s="102"/>
      <c r="R182" s="102"/>
      <c r="S182" s="102"/>
      <c r="T182" s="102"/>
      <c r="U182" s="103"/>
      <c r="V182" s="103"/>
      <c r="W182" s="104"/>
      <c r="X182"/>
    </row>
    <row r="183" spans="1:24">
      <c r="A183" s="104"/>
      <c r="B183" s="104"/>
      <c r="C183" s="104"/>
      <c r="D183" s="102"/>
      <c r="E183"/>
      <c r="F183" s="102"/>
      <c r="G183" s="102"/>
      <c r="H183" s="102"/>
      <c r="I183" s="102"/>
      <c r="J183" s="102"/>
      <c r="K183" s="102"/>
      <c r="L183" s="102"/>
      <c r="M183" s="102"/>
      <c r="N183" s="102"/>
      <c r="O183" s="102"/>
      <c r="P183" s="102"/>
      <c r="Q183" s="102"/>
      <c r="R183" s="102"/>
      <c r="S183" s="102"/>
      <c r="T183" s="102"/>
      <c r="U183" s="103"/>
      <c r="V183" s="103"/>
      <c r="W183" s="104"/>
      <c r="X183"/>
    </row>
    <row r="184" spans="1:24">
      <c r="A184" s="104"/>
      <c r="B184" s="104"/>
      <c r="C184" s="104"/>
      <c r="D184" s="102"/>
      <c r="E184"/>
      <c r="F184" s="102"/>
      <c r="G184" s="102"/>
      <c r="H184" s="102"/>
      <c r="I184" s="102"/>
      <c r="J184" s="102"/>
      <c r="K184" s="102"/>
      <c r="L184" s="102"/>
      <c r="M184" s="102"/>
      <c r="N184" s="102"/>
      <c r="O184" s="102"/>
      <c r="P184" s="102"/>
      <c r="Q184" s="102"/>
      <c r="R184" s="102"/>
      <c r="S184" s="102"/>
      <c r="T184" s="102"/>
      <c r="U184" s="103"/>
      <c r="V184" s="103"/>
      <c r="W184" s="104"/>
      <c r="X184"/>
    </row>
    <row r="185" spans="1:24">
      <c r="A185" s="104"/>
      <c r="B185" s="104"/>
      <c r="C185" s="104"/>
      <c r="D185" s="102"/>
      <c r="E185"/>
      <c r="F185" s="102"/>
      <c r="G185" s="102"/>
      <c r="H185" s="102"/>
      <c r="I185" s="102"/>
      <c r="J185" s="102"/>
      <c r="K185" s="102"/>
      <c r="L185" s="102"/>
      <c r="M185" s="102"/>
      <c r="N185" s="102"/>
      <c r="O185" s="102"/>
      <c r="P185" s="102"/>
      <c r="Q185" s="102"/>
      <c r="R185" s="102"/>
      <c r="S185" s="102"/>
      <c r="T185" s="102"/>
      <c r="U185" s="103"/>
      <c r="V185" s="103"/>
      <c r="W185" s="104"/>
      <c r="X185"/>
    </row>
    <row r="186" spans="1:24">
      <c r="A186" s="104"/>
      <c r="B186" s="104"/>
      <c r="C186" s="104"/>
      <c r="D186" s="102"/>
      <c r="E186"/>
      <c r="F186" s="102"/>
      <c r="G186" s="102"/>
      <c r="H186" s="102"/>
      <c r="I186" s="102"/>
      <c r="J186" s="102"/>
      <c r="K186" s="102"/>
      <c r="L186" s="102"/>
      <c r="M186" s="102"/>
      <c r="N186" s="102"/>
      <c r="O186" s="102"/>
      <c r="P186" s="102"/>
      <c r="Q186" s="102"/>
      <c r="R186" s="102"/>
      <c r="S186" s="102"/>
      <c r="T186" s="102"/>
      <c r="U186" s="103"/>
      <c r="V186" s="103"/>
      <c r="W186" s="104"/>
      <c r="X186"/>
    </row>
    <row r="187" spans="1:24">
      <c r="A187" s="104"/>
      <c r="B187" s="104"/>
      <c r="C187" s="104"/>
      <c r="D187" s="102"/>
      <c r="E187"/>
      <c r="F187" s="102"/>
      <c r="G187" s="102"/>
      <c r="H187" s="102"/>
      <c r="I187" s="102"/>
      <c r="J187" s="102"/>
      <c r="K187" s="102"/>
      <c r="L187" s="102"/>
      <c r="M187" s="102"/>
      <c r="N187" s="102"/>
      <c r="O187" s="102"/>
      <c r="P187" s="102"/>
      <c r="Q187" s="102"/>
      <c r="R187" s="102"/>
      <c r="S187" s="102"/>
      <c r="T187" s="102"/>
      <c r="U187" s="103"/>
      <c r="V187" s="103"/>
      <c r="W187" s="104"/>
      <c r="X187"/>
    </row>
    <row r="188" spans="1:24">
      <c r="A188" s="104"/>
      <c r="B188" s="104"/>
      <c r="C188" s="104"/>
      <c r="D188" s="102"/>
      <c r="E188"/>
      <c r="F188" s="102"/>
      <c r="G188" s="102"/>
      <c r="H188" s="102"/>
      <c r="I188" s="102"/>
      <c r="J188" s="102"/>
      <c r="K188" s="102"/>
      <c r="L188" s="102"/>
      <c r="M188" s="102"/>
      <c r="N188" s="102"/>
      <c r="O188" s="102"/>
      <c r="P188" s="102"/>
      <c r="Q188" s="102"/>
      <c r="R188" s="102"/>
      <c r="S188" s="102"/>
      <c r="T188" s="102"/>
      <c r="U188" s="103"/>
      <c r="V188" s="103"/>
      <c r="W188" s="104"/>
      <c r="X188"/>
    </row>
    <row r="189" spans="1:24">
      <c r="A189" s="104"/>
      <c r="B189" s="104"/>
      <c r="C189" s="104"/>
      <c r="D189" s="102"/>
      <c r="E189"/>
      <c r="F189" s="102"/>
      <c r="G189" s="102"/>
      <c r="H189" s="102"/>
      <c r="I189" s="102"/>
      <c r="J189" s="102"/>
      <c r="K189" s="102"/>
      <c r="L189" s="102"/>
      <c r="M189" s="102"/>
      <c r="N189" s="102"/>
      <c r="O189" s="102"/>
      <c r="P189" s="102"/>
      <c r="Q189" s="102"/>
      <c r="R189" s="102"/>
      <c r="S189" s="102"/>
      <c r="T189" s="102"/>
      <c r="U189" s="103"/>
      <c r="V189" s="103"/>
      <c r="W189" s="104"/>
      <c r="X189"/>
    </row>
    <row r="190" spans="1:24">
      <c r="A190" s="104"/>
      <c r="B190" s="104"/>
      <c r="C190" s="104"/>
      <c r="D190" s="102"/>
      <c r="E190"/>
      <c r="F190" s="102"/>
      <c r="G190" s="102"/>
      <c r="H190" s="102"/>
      <c r="I190" s="102"/>
      <c r="J190" s="102"/>
      <c r="K190" s="102"/>
      <c r="L190" s="102"/>
      <c r="M190" s="102"/>
      <c r="N190" s="102"/>
      <c r="O190" s="102"/>
      <c r="P190" s="102"/>
      <c r="Q190" s="102"/>
      <c r="R190" s="102"/>
      <c r="S190" s="102"/>
      <c r="T190" s="102"/>
      <c r="U190" s="103"/>
      <c r="V190" s="103"/>
      <c r="W190" s="104"/>
      <c r="X190"/>
    </row>
    <row r="191" spans="1:24">
      <c r="A191" s="104"/>
      <c r="B191" s="104"/>
      <c r="C191" s="104"/>
      <c r="D191" s="102"/>
      <c r="E191"/>
      <c r="F191" s="102"/>
      <c r="G191" s="102"/>
      <c r="H191" s="102"/>
      <c r="I191" s="102"/>
      <c r="J191" s="102"/>
      <c r="K191" s="102"/>
      <c r="L191" s="102"/>
      <c r="M191" s="102"/>
      <c r="N191" s="102"/>
      <c r="O191" s="102"/>
      <c r="P191" s="102"/>
      <c r="Q191" s="102"/>
      <c r="R191" s="102"/>
      <c r="S191" s="102"/>
      <c r="T191" s="102"/>
      <c r="U191" s="103"/>
      <c r="V191" s="103"/>
      <c r="W191" s="104"/>
      <c r="X191"/>
    </row>
    <row r="192" spans="1:24">
      <c r="A192" s="104"/>
      <c r="B192" s="104"/>
      <c r="C192" s="104"/>
      <c r="D192" s="102"/>
      <c r="E192"/>
      <c r="F192" s="102"/>
      <c r="G192" s="102"/>
      <c r="H192" s="102"/>
      <c r="I192" s="102"/>
      <c r="J192" s="102"/>
      <c r="K192" s="102"/>
      <c r="L192" s="102"/>
      <c r="M192" s="102"/>
      <c r="N192" s="102"/>
      <c r="O192" s="102"/>
      <c r="P192" s="102"/>
      <c r="Q192" s="102"/>
      <c r="R192" s="102"/>
      <c r="S192" s="102"/>
      <c r="T192" s="102"/>
      <c r="U192" s="103"/>
      <c r="V192" s="103"/>
      <c r="W192" s="104"/>
      <c r="X192"/>
    </row>
    <row r="193" spans="1:24">
      <c r="A193" s="104"/>
      <c r="B193" s="104"/>
      <c r="C193" s="104"/>
      <c r="D193" s="102"/>
      <c r="E193"/>
      <c r="F193" s="102"/>
      <c r="G193" s="102"/>
      <c r="H193" s="102"/>
      <c r="I193" s="102"/>
      <c r="J193" s="102"/>
      <c r="K193" s="102"/>
      <c r="L193" s="102"/>
      <c r="M193" s="102"/>
      <c r="N193" s="102"/>
      <c r="O193" s="102"/>
      <c r="P193" s="102"/>
      <c r="Q193" s="102"/>
      <c r="R193" s="102"/>
      <c r="S193" s="102"/>
      <c r="T193" s="102"/>
      <c r="U193" s="103"/>
      <c r="V193" s="103"/>
      <c r="W193" s="104"/>
      <c r="X193"/>
    </row>
    <row r="194" spans="1:24">
      <c r="A194" s="104"/>
      <c r="B194" s="104"/>
      <c r="C194" s="104"/>
      <c r="D194" s="102"/>
      <c r="E194"/>
      <c r="F194" s="102"/>
      <c r="G194" s="102"/>
      <c r="H194" s="102"/>
      <c r="I194" s="102"/>
      <c r="J194" s="102"/>
      <c r="K194" s="102"/>
      <c r="L194" s="102"/>
      <c r="M194" s="102"/>
      <c r="N194" s="102"/>
      <c r="O194" s="102"/>
      <c r="P194" s="102"/>
      <c r="Q194" s="102"/>
      <c r="R194" s="102"/>
      <c r="S194" s="102"/>
      <c r="T194" s="102"/>
      <c r="U194" s="103"/>
      <c r="V194" s="103"/>
      <c r="W194" s="104"/>
      <c r="X194"/>
    </row>
    <row r="195" spans="1:24">
      <c r="A195" s="104"/>
      <c r="B195" s="104"/>
      <c r="C195" s="104"/>
      <c r="D195" s="102"/>
      <c r="E195"/>
      <c r="F195" s="102"/>
      <c r="G195" s="102"/>
      <c r="H195" s="102"/>
      <c r="I195" s="102"/>
      <c r="J195" s="102"/>
      <c r="K195" s="102"/>
      <c r="L195" s="102"/>
      <c r="M195" s="102"/>
      <c r="N195" s="102"/>
      <c r="O195" s="102"/>
      <c r="P195" s="102"/>
      <c r="Q195" s="102"/>
      <c r="R195" s="102"/>
      <c r="S195" s="102"/>
      <c r="T195" s="102"/>
      <c r="U195" s="103"/>
      <c r="V195" s="103"/>
      <c r="W195" s="104"/>
      <c r="X195"/>
    </row>
    <row r="196" spans="1:24">
      <c r="A196" s="104"/>
      <c r="B196" s="104"/>
      <c r="C196" s="104"/>
      <c r="D196" s="102"/>
      <c r="E196"/>
      <c r="F196" s="102"/>
      <c r="G196" s="102"/>
      <c r="H196" s="102"/>
      <c r="I196" s="102"/>
      <c r="J196" s="102"/>
      <c r="K196" s="102"/>
      <c r="L196" s="102"/>
      <c r="M196" s="102"/>
      <c r="N196" s="102"/>
      <c r="O196" s="102"/>
      <c r="P196" s="102"/>
      <c r="Q196" s="102"/>
      <c r="R196" s="102"/>
      <c r="S196" s="102"/>
      <c r="T196" s="102"/>
      <c r="U196" s="103"/>
      <c r="V196" s="103"/>
      <c r="W196" s="104"/>
      <c r="X196"/>
    </row>
    <row r="197" spans="1:24">
      <c r="A197" s="104"/>
      <c r="B197" s="104"/>
      <c r="C197" s="104"/>
      <c r="D197" s="102"/>
      <c r="E197"/>
      <c r="F197" s="102"/>
      <c r="G197" s="102"/>
      <c r="H197" s="102"/>
      <c r="I197" s="102"/>
      <c r="J197" s="102"/>
      <c r="K197" s="102"/>
      <c r="L197" s="102"/>
      <c r="M197" s="102"/>
      <c r="N197" s="102"/>
      <c r="O197" s="102"/>
      <c r="P197" s="102"/>
      <c r="Q197" s="102"/>
      <c r="R197" s="102"/>
      <c r="S197" s="102"/>
      <c r="T197" s="102"/>
      <c r="U197" s="103"/>
      <c r="V197" s="103"/>
      <c r="W197" s="104"/>
      <c r="X197"/>
    </row>
    <row r="198" spans="1:24">
      <c r="A198" s="104"/>
      <c r="B198" s="104"/>
      <c r="C198" s="104"/>
      <c r="D198" s="102"/>
      <c r="E198"/>
      <c r="F198" s="102"/>
      <c r="G198" s="102"/>
      <c r="H198" s="102"/>
      <c r="I198" s="102"/>
      <c r="J198" s="102"/>
      <c r="K198" s="102"/>
      <c r="L198" s="102"/>
      <c r="M198" s="102"/>
      <c r="N198" s="102"/>
      <c r="O198" s="102"/>
      <c r="P198" s="102"/>
      <c r="Q198" s="102"/>
      <c r="R198" s="102"/>
      <c r="S198" s="102"/>
      <c r="T198" s="102"/>
      <c r="U198" s="103"/>
      <c r="V198" s="103"/>
      <c r="W198" s="104"/>
      <c r="X198"/>
    </row>
    <row r="199" spans="1:24">
      <c r="A199" s="104"/>
      <c r="B199" s="104"/>
      <c r="C199" s="104"/>
      <c r="D199" s="102"/>
      <c r="E199"/>
      <c r="F199" s="102"/>
      <c r="G199" s="102"/>
      <c r="H199" s="102"/>
      <c r="I199" s="102"/>
      <c r="J199" s="102"/>
      <c r="K199" s="102"/>
      <c r="L199" s="102"/>
      <c r="M199" s="102"/>
      <c r="N199" s="102"/>
      <c r="O199" s="102"/>
      <c r="P199" s="102"/>
      <c r="Q199" s="102"/>
      <c r="R199" s="102"/>
      <c r="S199" s="102"/>
      <c r="T199" s="102"/>
      <c r="U199" s="103"/>
      <c r="V199" s="103"/>
      <c r="W199" s="104"/>
      <c r="X199"/>
    </row>
    <row r="200" spans="1:24">
      <c r="A200" s="104"/>
      <c r="B200" s="104"/>
      <c r="C200" s="104"/>
      <c r="D200" s="102"/>
      <c r="E200"/>
      <c r="F200" s="102"/>
      <c r="G200" s="102"/>
      <c r="H200" s="102"/>
      <c r="I200" s="102"/>
      <c r="J200" s="102"/>
      <c r="K200" s="102"/>
      <c r="L200" s="102"/>
      <c r="M200" s="102"/>
      <c r="N200" s="102"/>
      <c r="O200" s="102"/>
      <c r="P200" s="102"/>
      <c r="Q200" s="102"/>
      <c r="R200" s="102"/>
      <c r="S200" s="102"/>
      <c r="T200" s="102"/>
      <c r="U200" s="103"/>
      <c r="V200" s="103"/>
      <c r="W200" s="104"/>
      <c r="X200"/>
    </row>
    <row r="201" spans="1:24">
      <c r="A201" s="104"/>
      <c r="B201" s="104"/>
      <c r="C201" s="104"/>
      <c r="D201" s="102"/>
      <c r="E201"/>
      <c r="F201" s="102"/>
      <c r="G201" s="102"/>
      <c r="H201" s="102"/>
      <c r="I201" s="102"/>
      <c r="J201" s="102"/>
      <c r="K201" s="102"/>
      <c r="L201" s="102"/>
      <c r="M201" s="102"/>
      <c r="N201" s="102"/>
      <c r="O201" s="102"/>
      <c r="P201" s="102"/>
      <c r="Q201" s="102"/>
      <c r="R201" s="102"/>
      <c r="S201" s="102"/>
      <c r="T201" s="102"/>
      <c r="U201" s="103"/>
      <c r="V201" s="103"/>
      <c r="W201" s="104"/>
      <c r="X201"/>
    </row>
    <row r="202" spans="1:24">
      <c r="A202" s="104"/>
      <c r="B202" s="104"/>
      <c r="C202" s="104"/>
      <c r="D202" s="102"/>
      <c r="E202"/>
      <c r="F202" s="102"/>
      <c r="G202" s="102"/>
      <c r="H202" s="102"/>
      <c r="I202" s="102"/>
      <c r="J202" s="102"/>
      <c r="K202" s="102"/>
      <c r="L202" s="102"/>
      <c r="M202" s="102"/>
      <c r="N202" s="102"/>
      <c r="O202" s="102"/>
      <c r="P202" s="102"/>
      <c r="Q202" s="102"/>
      <c r="R202" s="102"/>
      <c r="S202" s="102"/>
      <c r="T202" s="102"/>
      <c r="U202" s="103"/>
      <c r="V202" s="103"/>
      <c r="W202" s="104"/>
      <c r="X202"/>
    </row>
    <row r="203" spans="1:24">
      <c r="A203" s="104"/>
      <c r="B203" s="104"/>
      <c r="C203" s="104"/>
      <c r="D203" s="102"/>
      <c r="E203"/>
      <c r="F203" s="102"/>
      <c r="G203" s="102"/>
      <c r="H203" s="102"/>
      <c r="I203" s="102"/>
      <c r="J203" s="102"/>
      <c r="K203" s="102"/>
      <c r="L203" s="102"/>
      <c r="M203" s="102"/>
      <c r="N203" s="102"/>
      <c r="O203" s="102"/>
      <c r="P203" s="102"/>
      <c r="Q203" s="102"/>
      <c r="R203" s="102"/>
      <c r="S203" s="102"/>
      <c r="T203" s="102"/>
      <c r="U203" s="103"/>
      <c r="V203" s="103"/>
      <c r="W203" s="104"/>
      <c r="X203"/>
    </row>
    <row r="204" spans="1:24">
      <c r="A204" s="104"/>
      <c r="B204" s="104"/>
      <c r="C204" s="104"/>
      <c r="D204" s="102"/>
      <c r="E204"/>
      <c r="F204" s="102"/>
      <c r="G204" s="102"/>
      <c r="H204" s="102"/>
      <c r="I204" s="102"/>
      <c r="J204" s="102"/>
      <c r="K204" s="102"/>
      <c r="L204" s="102"/>
      <c r="M204" s="102"/>
      <c r="N204" s="102"/>
      <c r="O204" s="102"/>
      <c r="P204" s="102"/>
      <c r="Q204" s="102"/>
      <c r="R204" s="102"/>
      <c r="S204" s="102"/>
      <c r="T204" s="102"/>
      <c r="U204" s="103"/>
      <c r="V204" s="103"/>
      <c r="W204" s="104"/>
      <c r="X204"/>
    </row>
    <row r="205" spans="1:24">
      <c r="A205" s="104"/>
      <c r="B205" s="104"/>
      <c r="C205" s="104"/>
      <c r="D205" s="102"/>
      <c r="E205"/>
      <c r="F205" s="102"/>
      <c r="G205" s="102"/>
      <c r="H205" s="102"/>
      <c r="I205" s="102"/>
      <c r="J205" s="102"/>
      <c r="K205" s="102"/>
      <c r="L205" s="102"/>
      <c r="M205" s="102"/>
      <c r="N205" s="102"/>
      <c r="O205" s="102"/>
      <c r="P205" s="102"/>
      <c r="Q205" s="102"/>
      <c r="R205" s="102"/>
      <c r="S205" s="102"/>
      <c r="T205" s="102"/>
      <c r="U205" s="103"/>
      <c r="V205" s="103"/>
      <c r="W205" s="104"/>
      <c r="X205"/>
    </row>
    <row r="206" spans="1:24">
      <c r="A206" s="104"/>
      <c r="B206" s="104"/>
      <c r="C206" s="104"/>
      <c r="D206" s="102"/>
      <c r="E206"/>
      <c r="F206" s="102"/>
      <c r="G206" s="102"/>
      <c r="H206" s="102"/>
      <c r="I206" s="102"/>
      <c r="J206" s="102"/>
      <c r="K206" s="102"/>
      <c r="L206" s="102"/>
      <c r="M206" s="102"/>
      <c r="N206" s="102"/>
      <c r="O206" s="102"/>
      <c r="P206" s="102"/>
      <c r="Q206" s="102"/>
      <c r="R206" s="102"/>
      <c r="S206" s="102"/>
      <c r="T206" s="102"/>
      <c r="U206" s="103"/>
      <c r="V206" s="103"/>
      <c r="W206" s="104"/>
      <c r="X206"/>
    </row>
    <row r="207" spans="1:24">
      <c r="A207" s="104"/>
      <c r="B207" s="104"/>
      <c r="C207" s="104"/>
      <c r="D207" s="102"/>
      <c r="E207"/>
      <c r="F207" s="102"/>
      <c r="G207" s="102"/>
      <c r="H207" s="102"/>
      <c r="I207" s="102"/>
      <c r="J207" s="102"/>
      <c r="K207" s="102"/>
      <c r="L207" s="102"/>
      <c r="M207" s="102"/>
      <c r="N207" s="102"/>
      <c r="O207" s="102"/>
      <c r="P207" s="102"/>
      <c r="Q207" s="102"/>
      <c r="R207" s="102"/>
      <c r="S207" s="102"/>
      <c r="T207" s="102"/>
      <c r="U207" s="103"/>
      <c r="V207" s="103"/>
      <c r="W207" s="104"/>
      <c r="X207"/>
    </row>
    <row r="208" spans="1:24">
      <c r="A208" s="104"/>
      <c r="B208" s="104"/>
      <c r="C208" s="104"/>
      <c r="D208" s="102"/>
      <c r="E208"/>
      <c r="F208" s="102"/>
      <c r="G208" s="102"/>
      <c r="H208" s="102"/>
      <c r="I208" s="102"/>
      <c r="J208" s="102"/>
      <c r="K208" s="102"/>
      <c r="L208" s="102"/>
      <c r="M208" s="102"/>
      <c r="N208" s="102"/>
      <c r="O208" s="102"/>
      <c r="P208" s="102"/>
      <c r="Q208" s="102"/>
      <c r="R208" s="102"/>
      <c r="S208" s="102"/>
      <c r="T208" s="102"/>
      <c r="U208" s="103"/>
      <c r="V208" s="103"/>
      <c r="W208" s="104"/>
      <c r="X208"/>
    </row>
    <row r="209" spans="1:24">
      <c r="A209" s="104"/>
      <c r="B209" s="104"/>
      <c r="C209" s="104"/>
      <c r="D209" s="102"/>
      <c r="E209"/>
      <c r="F209" s="102"/>
      <c r="G209" s="102"/>
      <c r="H209" s="102"/>
      <c r="I209" s="102"/>
      <c r="J209" s="102"/>
      <c r="K209" s="102"/>
      <c r="L209" s="102"/>
      <c r="M209" s="102"/>
      <c r="N209" s="102"/>
      <c r="O209" s="102"/>
      <c r="P209" s="102"/>
      <c r="Q209" s="102"/>
      <c r="R209" s="102"/>
      <c r="S209" s="102"/>
      <c r="T209" s="102"/>
      <c r="U209" s="103"/>
      <c r="V209" s="103"/>
      <c r="W209" s="104"/>
      <c r="X209"/>
    </row>
    <row r="210" spans="1:24">
      <c r="A210" s="104"/>
      <c r="B210" s="104"/>
      <c r="C210" s="104"/>
      <c r="D210" s="102"/>
      <c r="E210"/>
      <c r="F210" s="102"/>
      <c r="G210" s="102"/>
      <c r="H210" s="102"/>
      <c r="I210" s="102"/>
      <c r="J210" s="102"/>
      <c r="K210" s="102"/>
      <c r="L210" s="102"/>
      <c r="M210" s="102"/>
      <c r="N210" s="102"/>
      <c r="O210" s="102"/>
      <c r="P210" s="102"/>
      <c r="Q210" s="102"/>
      <c r="R210" s="102"/>
      <c r="S210" s="102"/>
      <c r="T210" s="102"/>
      <c r="U210" s="103"/>
      <c r="V210" s="103"/>
      <c r="W210" s="104"/>
      <c r="X210"/>
    </row>
    <row r="211" spans="1:24">
      <c r="A211" s="104"/>
      <c r="B211" s="104"/>
      <c r="C211" s="104"/>
      <c r="D211" s="102"/>
      <c r="E211"/>
      <c r="F211" s="102"/>
      <c r="G211" s="102"/>
      <c r="H211" s="102"/>
      <c r="I211" s="102"/>
      <c r="J211" s="102"/>
      <c r="K211" s="102"/>
      <c r="L211" s="102"/>
      <c r="M211" s="102"/>
      <c r="N211" s="102"/>
      <c r="O211" s="102"/>
      <c r="P211" s="102"/>
      <c r="Q211" s="102"/>
      <c r="R211" s="102"/>
      <c r="S211" s="102"/>
      <c r="T211" s="102"/>
      <c r="U211" s="103"/>
      <c r="V211" s="103"/>
      <c r="W211" s="104"/>
      <c r="X211"/>
    </row>
    <row r="212" spans="1:24">
      <c r="A212" s="104"/>
      <c r="B212" s="104"/>
      <c r="C212" s="104"/>
      <c r="D212" s="102"/>
      <c r="E212"/>
      <c r="F212" s="102"/>
      <c r="G212" s="102"/>
      <c r="H212" s="102"/>
      <c r="I212" s="102"/>
      <c r="J212" s="102"/>
      <c r="K212" s="102"/>
      <c r="L212" s="102"/>
      <c r="M212" s="102"/>
      <c r="N212" s="102"/>
      <c r="O212" s="102"/>
      <c r="P212" s="102"/>
      <c r="Q212" s="102"/>
      <c r="R212" s="102"/>
      <c r="S212" s="102"/>
      <c r="T212" s="102"/>
      <c r="U212" s="103"/>
      <c r="V212" s="103"/>
      <c r="W212" s="104"/>
      <c r="X212"/>
    </row>
    <row r="213" spans="1:24">
      <c r="A213" s="104"/>
      <c r="B213" s="104"/>
      <c r="C213" s="104"/>
      <c r="D213" s="102"/>
      <c r="E213"/>
      <c r="F213" s="102"/>
      <c r="G213" s="102"/>
      <c r="H213" s="102"/>
      <c r="I213" s="102"/>
      <c r="J213" s="102"/>
      <c r="K213" s="102"/>
      <c r="L213" s="102"/>
      <c r="M213" s="102"/>
      <c r="N213" s="102"/>
      <c r="O213" s="102"/>
      <c r="P213" s="102"/>
      <c r="Q213" s="102"/>
      <c r="R213" s="102"/>
      <c r="S213" s="102"/>
      <c r="T213" s="102"/>
      <c r="U213" s="103"/>
      <c r="V213" s="103"/>
      <c r="W213" s="104"/>
      <c r="X213"/>
    </row>
    <row r="214" spans="1:24">
      <c r="A214" s="104"/>
      <c r="B214" s="104"/>
      <c r="C214" s="104"/>
      <c r="D214" s="102"/>
      <c r="E214"/>
      <c r="F214" s="102"/>
      <c r="G214" s="102"/>
      <c r="H214" s="102"/>
      <c r="I214" s="102"/>
      <c r="J214" s="102"/>
      <c r="K214" s="102"/>
      <c r="L214" s="102"/>
      <c r="M214" s="102"/>
      <c r="N214" s="102"/>
      <c r="O214" s="102"/>
      <c r="P214" s="102"/>
      <c r="Q214" s="102"/>
      <c r="R214" s="102"/>
      <c r="S214" s="102"/>
      <c r="T214" s="102"/>
      <c r="U214" s="103"/>
      <c r="V214" s="103"/>
      <c r="W214" s="104"/>
      <c r="X214"/>
    </row>
    <row r="215" spans="1:24">
      <c r="A215" s="104"/>
      <c r="B215" s="104"/>
      <c r="C215" s="104"/>
      <c r="D215" s="102"/>
      <c r="E215"/>
      <c r="F215" s="102"/>
      <c r="G215" s="102"/>
      <c r="H215" s="102"/>
      <c r="I215" s="102"/>
      <c r="J215" s="102"/>
      <c r="K215" s="102"/>
      <c r="L215" s="102"/>
      <c r="M215" s="102"/>
      <c r="N215" s="102"/>
      <c r="O215" s="102"/>
      <c r="P215" s="102"/>
      <c r="Q215" s="102"/>
      <c r="R215" s="102"/>
      <c r="S215" s="102"/>
      <c r="T215" s="102"/>
      <c r="U215" s="103"/>
      <c r="V215" s="103"/>
      <c r="W215" s="104"/>
      <c r="X215"/>
    </row>
    <row r="216" spans="1:24">
      <c r="A216" s="104"/>
      <c r="B216" s="104"/>
      <c r="C216" s="104"/>
      <c r="D216" s="102"/>
      <c r="E216"/>
      <c r="F216" s="102"/>
      <c r="G216" s="102"/>
      <c r="H216" s="102"/>
      <c r="I216" s="102"/>
      <c r="J216" s="102"/>
      <c r="K216" s="102"/>
      <c r="L216" s="102"/>
      <c r="M216" s="102"/>
      <c r="N216" s="102"/>
      <c r="O216" s="102"/>
      <c r="P216" s="102"/>
      <c r="Q216" s="102"/>
      <c r="R216" s="102"/>
      <c r="S216" s="102"/>
      <c r="T216" s="102"/>
      <c r="U216" s="103"/>
      <c r="V216" s="103"/>
      <c r="W216" s="104"/>
      <c r="X216"/>
    </row>
    <row r="217" spans="1:24">
      <c r="A217" s="104"/>
      <c r="B217" s="104"/>
      <c r="C217" s="104"/>
      <c r="D217" s="102"/>
      <c r="E217"/>
      <c r="F217" s="102"/>
      <c r="G217" s="102"/>
      <c r="H217" s="102"/>
      <c r="I217" s="102"/>
      <c r="J217" s="102"/>
      <c r="K217" s="102"/>
      <c r="L217" s="102"/>
      <c r="M217" s="102"/>
      <c r="N217" s="102"/>
      <c r="O217" s="102"/>
      <c r="P217" s="102"/>
      <c r="Q217" s="102"/>
      <c r="R217" s="102"/>
      <c r="S217" s="102"/>
      <c r="T217" s="102"/>
      <c r="U217" s="103"/>
      <c r="V217" s="103"/>
      <c r="W217" s="104"/>
      <c r="X217"/>
    </row>
    <row r="218" spans="1:24">
      <c r="A218" s="104"/>
      <c r="B218" s="104"/>
      <c r="C218" s="104"/>
      <c r="D218" s="102"/>
      <c r="E218"/>
      <c r="F218" s="102"/>
      <c r="G218" s="102"/>
      <c r="H218" s="102"/>
      <c r="I218" s="102"/>
      <c r="J218" s="102"/>
      <c r="K218" s="102"/>
      <c r="L218" s="102"/>
      <c r="M218" s="102"/>
      <c r="N218" s="102"/>
      <c r="O218" s="102"/>
      <c r="P218" s="102"/>
      <c r="Q218" s="102"/>
      <c r="R218" s="102"/>
      <c r="S218" s="102"/>
      <c r="T218" s="102"/>
      <c r="U218" s="103"/>
      <c r="V218" s="103"/>
      <c r="W218" s="104"/>
      <c r="X218"/>
    </row>
    <row r="219" spans="1:24">
      <c r="A219" s="104"/>
      <c r="B219" s="104"/>
      <c r="C219" s="104"/>
      <c r="D219" s="102"/>
      <c r="E219"/>
      <c r="F219" s="102"/>
      <c r="G219" s="102"/>
      <c r="H219" s="102"/>
      <c r="I219" s="102"/>
      <c r="J219" s="102"/>
      <c r="K219" s="102"/>
      <c r="L219" s="102"/>
      <c r="M219" s="102"/>
      <c r="N219" s="102"/>
      <c r="O219" s="102"/>
      <c r="P219" s="102"/>
      <c r="Q219" s="102"/>
      <c r="R219" s="102"/>
      <c r="S219" s="102"/>
      <c r="T219" s="102"/>
      <c r="U219" s="103"/>
      <c r="V219" s="103"/>
      <c r="W219" s="104"/>
      <c r="X219"/>
    </row>
    <row r="220" spans="1:24">
      <c r="A220" s="104"/>
      <c r="B220" s="104"/>
      <c r="C220" s="104"/>
      <c r="D220" s="102"/>
      <c r="E220"/>
      <c r="F220" s="102"/>
      <c r="G220" s="102"/>
      <c r="H220" s="102"/>
      <c r="I220" s="102"/>
      <c r="J220" s="102"/>
      <c r="K220" s="102"/>
      <c r="L220" s="102"/>
      <c r="M220" s="102"/>
      <c r="N220" s="102"/>
      <c r="O220" s="102"/>
      <c r="P220" s="102"/>
      <c r="Q220" s="102"/>
      <c r="R220" s="102"/>
      <c r="S220" s="102"/>
      <c r="T220" s="102"/>
      <c r="U220" s="103"/>
      <c r="V220" s="103"/>
      <c r="W220" s="104"/>
      <c r="X220"/>
    </row>
    <row r="221" spans="1:24">
      <c r="A221" s="104"/>
      <c r="B221" s="104"/>
      <c r="C221" s="104"/>
      <c r="D221" s="102"/>
      <c r="E221"/>
      <c r="F221" s="102"/>
      <c r="G221" s="102"/>
      <c r="H221" s="102"/>
      <c r="I221" s="102"/>
      <c r="J221" s="102"/>
      <c r="K221" s="102"/>
      <c r="L221" s="102"/>
      <c r="M221" s="102"/>
      <c r="N221" s="102"/>
      <c r="O221" s="102"/>
      <c r="P221" s="102"/>
      <c r="Q221" s="102"/>
      <c r="R221" s="102"/>
      <c r="S221" s="102"/>
      <c r="T221" s="102"/>
      <c r="U221" s="103"/>
      <c r="V221" s="103"/>
      <c r="W221" s="104"/>
      <c r="X221"/>
    </row>
    <row r="222" spans="1:24">
      <c r="A222" s="104"/>
      <c r="B222" s="104"/>
      <c r="C222" s="104"/>
      <c r="D222" s="102"/>
      <c r="E222"/>
      <c r="F222" s="102"/>
      <c r="G222" s="102"/>
      <c r="H222" s="102"/>
      <c r="I222" s="102"/>
      <c r="J222" s="102"/>
      <c r="K222" s="102"/>
      <c r="L222" s="102"/>
      <c r="M222" s="102"/>
      <c r="N222" s="102"/>
      <c r="O222" s="102"/>
      <c r="P222" s="102"/>
      <c r="Q222" s="102"/>
      <c r="R222" s="102"/>
      <c r="S222" s="102"/>
      <c r="T222" s="102"/>
      <c r="U222" s="103"/>
      <c r="V222" s="103"/>
      <c r="W222" s="104"/>
      <c r="X222"/>
    </row>
    <row r="223" spans="1:24">
      <c r="A223" s="104"/>
      <c r="B223" s="104"/>
      <c r="C223" s="104"/>
      <c r="D223" s="102"/>
      <c r="E223"/>
      <c r="F223" s="102"/>
      <c r="G223" s="102"/>
      <c r="H223" s="102"/>
      <c r="I223" s="102"/>
      <c r="J223" s="102"/>
      <c r="K223" s="102"/>
      <c r="L223" s="102"/>
      <c r="M223" s="102"/>
      <c r="N223" s="102"/>
      <c r="O223" s="102"/>
      <c r="P223" s="102"/>
      <c r="Q223" s="102"/>
      <c r="R223" s="102"/>
      <c r="S223" s="102"/>
      <c r="T223" s="102"/>
      <c r="U223" s="103"/>
      <c r="V223" s="103"/>
      <c r="W223" s="104"/>
      <c r="X223"/>
    </row>
    <row r="224" spans="1:24">
      <c r="A224" s="104"/>
      <c r="B224" s="104"/>
      <c r="C224" s="104"/>
      <c r="D224" s="102"/>
      <c r="E224"/>
      <c r="F224" s="102"/>
      <c r="G224" s="102"/>
      <c r="H224" s="102"/>
      <c r="I224" s="102"/>
      <c r="J224" s="102"/>
      <c r="K224" s="102"/>
      <c r="L224" s="102"/>
      <c r="M224" s="102"/>
      <c r="N224" s="102"/>
      <c r="O224" s="102"/>
      <c r="P224" s="102"/>
      <c r="Q224" s="102"/>
      <c r="R224" s="102"/>
      <c r="S224" s="102"/>
      <c r="T224" s="102"/>
      <c r="U224" s="103"/>
      <c r="V224" s="103"/>
      <c r="W224" s="104"/>
      <c r="X224"/>
    </row>
    <row r="225" spans="1:24">
      <c r="A225" s="104"/>
      <c r="B225" s="104"/>
      <c r="C225" s="104"/>
      <c r="D225" s="102"/>
      <c r="E225"/>
      <c r="F225" s="102"/>
      <c r="G225" s="102"/>
      <c r="H225" s="102"/>
      <c r="I225" s="102"/>
      <c r="J225" s="102"/>
      <c r="K225" s="102"/>
      <c r="L225" s="102"/>
      <c r="M225" s="102"/>
      <c r="N225" s="102"/>
      <c r="O225" s="102"/>
      <c r="P225" s="102"/>
      <c r="Q225" s="102"/>
      <c r="R225" s="102"/>
      <c r="S225" s="102"/>
      <c r="T225" s="102"/>
      <c r="U225" s="103"/>
      <c r="V225" s="103"/>
      <c r="W225" s="104"/>
      <c r="X225"/>
    </row>
    <row r="226" spans="1:24">
      <c r="A226" s="104"/>
      <c r="B226" s="104"/>
      <c r="C226" s="104"/>
      <c r="D226" s="102"/>
      <c r="E226"/>
      <c r="F226" s="102"/>
      <c r="G226" s="102"/>
      <c r="H226" s="102"/>
      <c r="I226" s="102"/>
      <c r="J226" s="102"/>
      <c r="K226" s="102"/>
      <c r="L226" s="102"/>
      <c r="M226" s="102"/>
      <c r="N226" s="102"/>
      <c r="O226" s="102"/>
      <c r="P226" s="102"/>
      <c r="Q226" s="102"/>
      <c r="R226" s="102"/>
      <c r="S226" s="102"/>
      <c r="T226" s="102"/>
      <c r="U226" s="103"/>
      <c r="V226" s="103"/>
      <c r="W226" s="104"/>
      <c r="X226"/>
    </row>
    <row r="227" spans="1:24">
      <c r="A227" s="104"/>
      <c r="B227" s="104"/>
      <c r="C227" s="104"/>
      <c r="D227" s="102"/>
      <c r="E227"/>
      <c r="F227" s="102"/>
      <c r="G227" s="102"/>
      <c r="H227" s="102"/>
      <c r="I227" s="102"/>
      <c r="J227" s="102"/>
      <c r="K227" s="102"/>
      <c r="L227" s="102"/>
      <c r="M227" s="102"/>
      <c r="N227" s="102"/>
      <c r="O227" s="102"/>
      <c r="P227" s="102"/>
      <c r="Q227" s="102"/>
      <c r="R227" s="102"/>
      <c r="S227" s="102"/>
      <c r="T227" s="102"/>
      <c r="U227" s="103"/>
      <c r="V227" s="103"/>
      <c r="W227" s="104"/>
      <c r="X227"/>
    </row>
    <row r="228" spans="1:24">
      <c r="A228" s="104"/>
      <c r="B228" s="104"/>
      <c r="C228" s="104"/>
      <c r="D228" s="102"/>
      <c r="E228"/>
      <c r="F228" s="102"/>
      <c r="G228" s="102"/>
      <c r="H228" s="102"/>
      <c r="I228" s="102"/>
      <c r="J228" s="102"/>
      <c r="K228" s="102"/>
      <c r="L228" s="102"/>
      <c r="M228" s="102"/>
      <c r="N228" s="102"/>
      <c r="O228" s="102"/>
      <c r="P228" s="102"/>
      <c r="Q228" s="102"/>
      <c r="R228" s="102"/>
      <c r="S228" s="102"/>
      <c r="T228" s="102"/>
      <c r="U228" s="103"/>
      <c r="V228" s="103"/>
      <c r="W228" s="104"/>
      <c r="X228"/>
    </row>
    <row r="229" spans="1:24">
      <c r="A229" s="104"/>
      <c r="B229" s="104"/>
      <c r="C229" s="104"/>
      <c r="D229" s="102"/>
      <c r="E229"/>
      <c r="F229" s="102"/>
      <c r="G229" s="102"/>
      <c r="H229" s="102"/>
      <c r="I229" s="102"/>
      <c r="J229" s="102"/>
      <c r="K229" s="102"/>
      <c r="L229" s="102"/>
      <c r="M229" s="102"/>
      <c r="N229" s="102"/>
      <c r="O229" s="102"/>
      <c r="P229" s="102"/>
      <c r="Q229" s="102"/>
      <c r="R229" s="102"/>
      <c r="S229" s="102"/>
      <c r="T229" s="102"/>
      <c r="U229" s="103"/>
      <c r="V229" s="103"/>
      <c r="W229" s="104"/>
      <c r="X229"/>
    </row>
    <row r="230" spans="1:24">
      <c r="A230" s="104"/>
      <c r="B230" s="104"/>
      <c r="C230" s="104"/>
      <c r="D230" s="102"/>
      <c r="E230"/>
      <c r="F230" s="102"/>
      <c r="G230" s="102"/>
      <c r="H230" s="102"/>
      <c r="I230" s="102"/>
      <c r="J230" s="102"/>
      <c r="K230" s="102"/>
      <c r="L230" s="102"/>
      <c r="M230" s="102"/>
      <c r="N230" s="102"/>
      <c r="O230" s="102"/>
      <c r="P230" s="102"/>
      <c r="Q230" s="102"/>
      <c r="R230" s="102"/>
      <c r="S230" s="102"/>
      <c r="T230" s="102"/>
      <c r="U230" s="103"/>
      <c r="V230" s="103"/>
      <c r="W230" s="104"/>
      <c r="X230"/>
    </row>
    <row r="231" spans="1:24">
      <c r="A231" s="104"/>
      <c r="B231" s="104"/>
      <c r="C231" s="104"/>
      <c r="D231" s="102"/>
      <c r="E231"/>
      <c r="F231" s="102"/>
      <c r="G231" s="102"/>
      <c r="H231" s="102"/>
      <c r="I231" s="102"/>
      <c r="J231" s="102"/>
      <c r="K231" s="102"/>
      <c r="L231" s="102"/>
      <c r="M231" s="102"/>
      <c r="N231" s="102"/>
      <c r="O231" s="102"/>
      <c r="P231" s="102"/>
      <c r="Q231" s="102"/>
      <c r="R231" s="102"/>
      <c r="S231" s="102"/>
      <c r="T231" s="102"/>
      <c r="U231" s="103"/>
      <c r="V231" s="103"/>
      <c r="W231" s="104"/>
      <c r="X231"/>
    </row>
    <row r="232" spans="1:24">
      <c r="A232" s="104"/>
      <c r="B232" s="104"/>
      <c r="C232" s="104"/>
      <c r="D232" s="102"/>
      <c r="E232"/>
      <c r="F232" s="102"/>
      <c r="G232" s="102"/>
      <c r="H232" s="102"/>
      <c r="I232" s="102"/>
      <c r="J232" s="102"/>
      <c r="K232" s="102"/>
      <c r="L232" s="102"/>
      <c r="M232" s="102"/>
      <c r="N232" s="102"/>
      <c r="O232" s="102"/>
      <c r="P232" s="102"/>
      <c r="Q232" s="102"/>
      <c r="R232" s="102"/>
      <c r="S232" s="102"/>
      <c r="T232" s="102"/>
      <c r="U232" s="103"/>
      <c r="V232" s="103"/>
      <c r="W232" s="104"/>
      <c r="X232"/>
    </row>
    <row r="233" spans="1:24">
      <c r="A233" s="104"/>
      <c r="B233" s="104"/>
      <c r="C233" s="104"/>
      <c r="D233" s="102"/>
      <c r="E233"/>
      <c r="F233" s="102"/>
      <c r="G233" s="102"/>
      <c r="H233" s="102"/>
      <c r="I233" s="102"/>
      <c r="J233" s="102"/>
      <c r="K233" s="102"/>
      <c r="L233" s="102"/>
      <c r="M233" s="102"/>
      <c r="N233" s="102"/>
      <c r="O233" s="102"/>
      <c r="P233" s="102"/>
      <c r="Q233" s="102"/>
      <c r="R233" s="102"/>
      <c r="S233" s="102"/>
      <c r="T233" s="102"/>
      <c r="U233" s="103"/>
      <c r="V233" s="103"/>
      <c r="W233" s="104"/>
      <c r="X233"/>
    </row>
    <row r="234" spans="1:24">
      <c r="A234" s="104"/>
      <c r="B234" s="104"/>
      <c r="C234" s="104"/>
      <c r="D234" s="102"/>
      <c r="E234"/>
      <c r="F234" s="102"/>
      <c r="G234" s="102"/>
      <c r="H234" s="102"/>
      <c r="I234" s="102"/>
      <c r="J234" s="102"/>
      <c r="K234" s="102"/>
      <c r="L234" s="102"/>
      <c r="M234" s="102"/>
      <c r="N234" s="102"/>
      <c r="O234" s="102"/>
      <c r="P234" s="102"/>
      <c r="Q234" s="102"/>
      <c r="R234" s="102"/>
      <c r="S234" s="102"/>
      <c r="T234" s="102"/>
      <c r="U234" s="103"/>
      <c r="V234" s="103"/>
      <c r="W234" s="104"/>
      <c r="X234"/>
    </row>
    <row r="235" spans="1:24">
      <c r="A235" s="104"/>
      <c r="B235" s="104"/>
      <c r="C235" s="104"/>
      <c r="D235" s="102"/>
      <c r="E235"/>
      <c r="F235" s="102"/>
      <c r="G235" s="102"/>
      <c r="H235" s="102"/>
      <c r="I235" s="102"/>
      <c r="J235" s="102"/>
      <c r="K235" s="102"/>
      <c r="L235" s="102"/>
      <c r="M235" s="102"/>
      <c r="N235" s="102"/>
      <c r="O235" s="102"/>
      <c r="P235" s="102"/>
      <c r="Q235" s="102"/>
      <c r="R235" s="102"/>
      <c r="S235" s="102"/>
      <c r="T235" s="102"/>
      <c r="U235" s="103"/>
      <c r="V235" s="103"/>
      <c r="W235" s="104"/>
      <c r="X235"/>
    </row>
    <row r="236" spans="1:24">
      <c r="A236" s="104"/>
      <c r="B236" s="104"/>
      <c r="C236" s="104"/>
      <c r="D236" s="102"/>
      <c r="E236"/>
      <c r="F236" s="102"/>
      <c r="G236" s="102"/>
      <c r="H236" s="102"/>
      <c r="I236" s="102"/>
      <c r="J236" s="102"/>
      <c r="K236" s="102"/>
      <c r="L236" s="102"/>
      <c r="M236" s="102"/>
      <c r="N236" s="102"/>
      <c r="O236" s="102"/>
      <c r="P236" s="102"/>
      <c r="Q236" s="102"/>
      <c r="R236" s="102"/>
      <c r="S236" s="102"/>
      <c r="T236" s="102"/>
      <c r="U236" s="103"/>
      <c r="V236" s="103"/>
      <c r="W236" s="104"/>
      <c r="X236"/>
    </row>
    <row r="237" spans="1:24">
      <c r="A237" s="104"/>
      <c r="B237" s="104"/>
      <c r="C237" s="104"/>
      <c r="D237" s="102"/>
      <c r="E237"/>
      <c r="F237" s="102"/>
      <c r="G237" s="102"/>
      <c r="H237" s="102"/>
      <c r="I237" s="102"/>
      <c r="J237" s="102"/>
      <c r="K237" s="102"/>
      <c r="L237" s="102"/>
      <c r="M237" s="102"/>
      <c r="N237" s="102"/>
      <c r="O237" s="102"/>
      <c r="P237" s="102"/>
      <c r="Q237" s="102"/>
      <c r="R237" s="102"/>
      <c r="S237" s="102"/>
      <c r="T237" s="102"/>
      <c r="U237" s="103"/>
      <c r="V237" s="103"/>
      <c r="W237" s="104"/>
      <c r="X237"/>
    </row>
    <row r="238" spans="1:24">
      <c r="A238" s="104"/>
      <c r="B238" s="104"/>
      <c r="C238" s="104"/>
      <c r="D238" s="102"/>
      <c r="E238"/>
      <c r="F238" s="102"/>
      <c r="G238" s="102"/>
      <c r="H238" s="102"/>
      <c r="I238" s="102"/>
      <c r="J238" s="102"/>
      <c r="K238" s="102"/>
      <c r="L238" s="102"/>
      <c r="M238" s="102"/>
      <c r="N238" s="102"/>
      <c r="O238" s="102"/>
      <c r="P238" s="102"/>
      <c r="Q238" s="102"/>
      <c r="R238" s="102"/>
      <c r="S238" s="102"/>
      <c r="T238" s="102"/>
      <c r="U238" s="103"/>
      <c r="V238" s="103"/>
      <c r="W238" s="104"/>
      <c r="X238"/>
    </row>
    <row r="239" spans="1:24">
      <c r="A239" s="104"/>
      <c r="B239" s="104"/>
      <c r="C239" s="104"/>
      <c r="D239" s="102"/>
      <c r="E239"/>
      <c r="F239" s="102"/>
      <c r="G239" s="102"/>
      <c r="H239" s="102"/>
      <c r="I239" s="102"/>
      <c r="J239" s="102"/>
      <c r="K239" s="102"/>
      <c r="L239" s="102"/>
      <c r="M239" s="102"/>
      <c r="N239" s="102"/>
      <c r="O239" s="102"/>
      <c r="P239" s="102"/>
      <c r="Q239" s="102"/>
      <c r="R239" s="102"/>
      <c r="S239" s="102"/>
      <c r="T239" s="102"/>
      <c r="U239" s="103"/>
      <c r="V239" s="103"/>
      <c r="W239" s="104"/>
      <c r="X239"/>
    </row>
    <row r="240" spans="1:24">
      <c r="A240" s="104"/>
      <c r="B240" s="104"/>
      <c r="C240" s="104"/>
      <c r="D240" s="102"/>
      <c r="E240"/>
      <c r="F240" s="102"/>
      <c r="G240" s="102"/>
      <c r="H240" s="102"/>
      <c r="I240" s="102"/>
      <c r="J240" s="102"/>
      <c r="K240" s="102"/>
      <c r="L240" s="102"/>
      <c r="M240" s="102"/>
      <c r="N240" s="102"/>
      <c r="O240" s="102"/>
      <c r="P240" s="102"/>
      <c r="Q240" s="102"/>
      <c r="R240" s="102"/>
      <c r="S240" s="102"/>
      <c r="T240" s="102"/>
      <c r="U240" s="103"/>
      <c r="V240" s="103"/>
      <c r="W240" s="104"/>
      <c r="X240"/>
    </row>
    <row r="241" spans="1:24">
      <c r="A241" s="104"/>
      <c r="B241" s="104"/>
      <c r="C241" s="104"/>
      <c r="D241" s="102"/>
      <c r="E241"/>
      <c r="F241" s="102"/>
      <c r="G241" s="102"/>
      <c r="H241" s="102"/>
      <c r="I241" s="102"/>
      <c r="J241" s="102"/>
      <c r="K241" s="102"/>
      <c r="L241" s="102"/>
      <c r="M241" s="102"/>
      <c r="N241" s="102"/>
      <c r="O241" s="102"/>
      <c r="P241" s="102"/>
      <c r="Q241" s="102"/>
      <c r="R241" s="102"/>
      <c r="S241" s="102"/>
      <c r="T241" s="102"/>
      <c r="U241" s="103"/>
      <c r="V241" s="103"/>
      <c r="W241" s="104"/>
      <c r="X241"/>
    </row>
    <row r="242" spans="1:24">
      <c r="A242" s="104"/>
      <c r="B242" s="104"/>
      <c r="C242" s="104"/>
      <c r="D242" s="102"/>
      <c r="E242"/>
      <c r="F242" s="102"/>
      <c r="G242" s="102"/>
      <c r="H242" s="102"/>
      <c r="I242" s="102"/>
      <c r="J242" s="102"/>
      <c r="K242" s="102"/>
      <c r="L242" s="102"/>
      <c r="M242" s="102"/>
      <c r="N242" s="102"/>
      <c r="O242" s="102"/>
      <c r="P242" s="102"/>
      <c r="Q242" s="102"/>
      <c r="R242" s="102"/>
      <c r="S242" s="102"/>
      <c r="T242" s="102"/>
      <c r="U242" s="103"/>
      <c r="V242" s="103"/>
      <c r="W242" s="104"/>
      <c r="X242"/>
    </row>
    <row r="243" spans="1:24">
      <c r="A243" s="104"/>
      <c r="B243" s="104"/>
      <c r="C243" s="104"/>
      <c r="D243" s="102"/>
      <c r="E243"/>
      <c r="F243" s="102"/>
      <c r="G243" s="102"/>
      <c r="H243" s="102"/>
      <c r="I243" s="102"/>
      <c r="J243" s="102"/>
      <c r="K243" s="102"/>
      <c r="L243" s="102"/>
      <c r="M243" s="102"/>
      <c r="N243" s="102"/>
      <c r="O243" s="102"/>
      <c r="P243" s="102"/>
      <c r="Q243" s="102"/>
      <c r="R243" s="102"/>
      <c r="S243" s="102"/>
      <c r="T243" s="102"/>
      <c r="U243" s="103"/>
      <c r="V243" s="103"/>
      <c r="W243" s="104"/>
      <c r="X243"/>
    </row>
    <row r="244" spans="1:24">
      <c r="A244" s="104"/>
      <c r="B244" s="104"/>
      <c r="C244" s="104"/>
      <c r="D244" s="102"/>
      <c r="E244"/>
      <c r="F244" s="102"/>
      <c r="G244" s="102"/>
      <c r="H244" s="102"/>
      <c r="I244" s="102"/>
      <c r="J244" s="102"/>
      <c r="K244" s="102"/>
      <c r="L244" s="102"/>
      <c r="M244" s="102"/>
      <c r="N244" s="102"/>
      <c r="O244" s="102"/>
      <c r="P244" s="102"/>
      <c r="Q244" s="102"/>
      <c r="R244" s="102"/>
      <c r="S244" s="102"/>
      <c r="T244" s="102"/>
      <c r="U244" s="103"/>
      <c r="V244" s="103"/>
      <c r="W244" s="104"/>
      <c r="X244"/>
    </row>
    <row r="245" spans="1:24">
      <c r="A245" s="104"/>
      <c r="B245" s="104"/>
      <c r="C245" s="104"/>
      <c r="D245" s="102"/>
      <c r="E245"/>
      <c r="F245" s="102"/>
      <c r="G245" s="102"/>
      <c r="H245" s="102"/>
      <c r="I245" s="102"/>
      <c r="J245" s="102"/>
      <c r="K245" s="102"/>
      <c r="L245" s="102"/>
      <c r="M245" s="102"/>
      <c r="N245" s="102"/>
      <c r="O245" s="102"/>
      <c r="P245" s="102"/>
      <c r="Q245" s="102"/>
      <c r="R245" s="102"/>
      <c r="S245" s="102"/>
      <c r="T245" s="102"/>
      <c r="U245" s="103"/>
      <c r="V245" s="103"/>
      <c r="W245" s="104"/>
      <c r="X245"/>
    </row>
    <row r="246" spans="1:24">
      <c r="A246" s="104"/>
      <c r="B246" s="104"/>
      <c r="C246" s="104"/>
      <c r="D246" s="102"/>
      <c r="E246"/>
      <c r="F246" s="102"/>
      <c r="G246" s="102"/>
      <c r="H246" s="102"/>
      <c r="I246" s="102"/>
      <c r="J246" s="102"/>
      <c r="K246" s="102"/>
      <c r="L246" s="102"/>
      <c r="M246" s="102"/>
      <c r="N246" s="102"/>
      <c r="O246" s="102"/>
      <c r="P246" s="102"/>
      <c r="Q246" s="102"/>
      <c r="R246" s="102"/>
      <c r="S246" s="102"/>
      <c r="T246" s="102"/>
      <c r="U246" s="103"/>
      <c r="V246" s="103"/>
      <c r="W246" s="104"/>
      <c r="X246"/>
    </row>
    <row r="247" spans="1:24">
      <c r="A247" s="104"/>
      <c r="B247" s="104"/>
      <c r="C247" s="104"/>
      <c r="D247" s="102"/>
      <c r="E247"/>
      <c r="F247" s="102"/>
      <c r="G247" s="102"/>
      <c r="H247" s="102"/>
      <c r="I247" s="102"/>
      <c r="J247" s="102"/>
      <c r="K247" s="102"/>
      <c r="L247" s="102"/>
      <c r="M247" s="102"/>
      <c r="N247" s="102"/>
      <c r="O247" s="102"/>
      <c r="P247" s="102"/>
      <c r="Q247" s="102"/>
      <c r="R247" s="102"/>
      <c r="S247" s="102"/>
      <c r="T247" s="102"/>
      <c r="U247" s="103"/>
      <c r="V247" s="103"/>
      <c r="W247" s="104"/>
      <c r="X247"/>
    </row>
    <row r="248" spans="1:24">
      <c r="A248" s="104"/>
      <c r="B248" s="104"/>
      <c r="C248" s="104"/>
      <c r="D248" s="102"/>
      <c r="E248"/>
      <c r="F248" s="102"/>
      <c r="G248" s="102"/>
      <c r="H248" s="102"/>
      <c r="I248" s="102"/>
      <c r="J248" s="102"/>
      <c r="K248" s="102"/>
      <c r="L248" s="102"/>
      <c r="M248" s="102"/>
      <c r="N248" s="102"/>
      <c r="O248" s="102"/>
      <c r="P248" s="102"/>
      <c r="Q248" s="102"/>
      <c r="R248" s="102"/>
      <c r="S248" s="102"/>
      <c r="T248" s="102"/>
      <c r="U248" s="103"/>
      <c r="V248" s="103"/>
      <c r="W248" s="104"/>
      <c r="X248"/>
    </row>
    <row r="249" spans="1:24">
      <c r="A249" s="104"/>
      <c r="B249" s="104"/>
      <c r="C249" s="104"/>
      <c r="D249" s="102"/>
      <c r="E249"/>
      <c r="F249" s="102"/>
      <c r="G249" s="102"/>
      <c r="H249" s="102"/>
      <c r="I249" s="102"/>
      <c r="J249" s="102"/>
      <c r="K249" s="102"/>
      <c r="L249" s="102"/>
      <c r="M249" s="102"/>
      <c r="N249" s="102"/>
      <c r="O249" s="102"/>
      <c r="P249" s="102"/>
      <c r="Q249" s="102"/>
      <c r="R249" s="102"/>
      <c r="S249" s="102"/>
      <c r="T249" s="102"/>
      <c r="U249" s="103"/>
      <c r="V249" s="103"/>
      <c r="W249" s="104"/>
      <c r="X249"/>
    </row>
    <row r="250" spans="1:24">
      <c r="A250" s="104"/>
      <c r="B250" s="104"/>
      <c r="C250" s="104"/>
      <c r="D250" s="102"/>
      <c r="E250"/>
      <c r="F250" s="102"/>
      <c r="G250" s="102"/>
      <c r="H250" s="102"/>
      <c r="I250" s="102"/>
      <c r="J250" s="102"/>
      <c r="K250" s="102"/>
      <c r="L250" s="102"/>
      <c r="M250" s="102"/>
      <c r="N250" s="102"/>
      <c r="O250" s="102"/>
      <c r="P250" s="102"/>
      <c r="Q250" s="102"/>
      <c r="R250" s="102"/>
      <c r="S250" s="102"/>
      <c r="T250" s="102"/>
      <c r="U250" s="103"/>
      <c r="V250" s="103"/>
      <c r="W250" s="104"/>
      <c r="X250"/>
    </row>
    <row r="251" spans="1:24">
      <c r="A251" s="104"/>
      <c r="B251" s="104"/>
      <c r="C251" s="104"/>
      <c r="D251" s="102"/>
      <c r="E251"/>
      <c r="F251" s="102"/>
      <c r="G251" s="102"/>
      <c r="H251" s="102"/>
      <c r="I251" s="102"/>
      <c r="J251" s="102"/>
      <c r="K251" s="102"/>
      <c r="L251" s="102"/>
      <c r="M251" s="102"/>
      <c r="N251" s="102"/>
      <c r="O251" s="102"/>
      <c r="P251" s="102"/>
      <c r="Q251" s="102"/>
      <c r="R251" s="102"/>
      <c r="S251" s="102"/>
      <c r="T251" s="102"/>
      <c r="U251" s="103"/>
      <c r="V251" s="103"/>
      <c r="W251" s="104"/>
      <c r="X251"/>
    </row>
    <row r="252" spans="1:24">
      <c r="A252" s="104"/>
      <c r="B252" s="104"/>
      <c r="C252" s="104"/>
      <c r="D252" s="102"/>
      <c r="E252"/>
      <c r="F252" s="102"/>
      <c r="G252" s="102"/>
      <c r="H252" s="102"/>
      <c r="I252" s="102"/>
      <c r="J252" s="102"/>
      <c r="K252" s="102"/>
      <c r="L252" s="102"/>
      <c r="M252" s="102"/>
      <c r="N252" s="102"/>
      <c r="O252" s="102"/>
      <c r="P252" s="102"/>
      <c r="Q252" s="102"/>
      <c r="R252" s="102"/>
      <c r="S252" s="102"/>
      <c r="T252" s="102"/>
      <c r="U252" s="103"/>
      <c r="V252" s="103"/>
      <c r="W252" s="104"/>
      <c r="X252"/>
    </row>
    <row r="253" spans="1:24">
      <c r="A253" s="104"/>
      <c r="B253" s="104"/>
      <c r="C253" s="104"/>
      <c r="D253" s="102"/>
      <c r="E253"/>
      <c r="F253" s="102"/>
      <c r="G253" s="102"/>
      <c r="H253" s="102"/>
      <c r="I253" s="102"/>
      <c r="J253" s="102"/>
      <c r="K253" s="102"/>
      <c r="L253" s="102"/>
      <c r="M253" s="102"/>
      <c r="N253" s="102"/>
      <c r="O253" s="102"/>
      <c r="P253" s="102"/>
      <c r="Q253" s="102"/>
      <c r="R253" s="102"/>
      <c r="S253" s="102"/>
      <c r="T253" s="102"/>
      <c r="U253" s="103"/>
      <c r="V253" s="103"/>
      <c r="W253" s="104"/>
      <c r="X253"/>
    </row>
    <row r="254" spans="1:24">
      <c r="A254" s="104"/>
      <c r="B254" s="104"/>
      <c r="C254" s="104"/>
      <c r="D254" s="102"/>
      <c r="E254"/>
      <c r="F254" s="102"/>
      <c r="G254" s="102"/>
      <c r="H254" s="102"/>
      <c r="I254" s="102"/>
      <c r="J254" s="102"/>
      <c r="K254" s="102"/>
      <c r="L254" s="102"/>
      <c r="M254" s="102"/>
      <c r="N254" s="102"/>
      <c r="O254" s="102"/>
      <c r="P254" s="102"/>
      <c r="Q254" s="102"/>
      <c r="R254" s="102"/>
      <c r="S254" s="102"/>
      <c r="T254" s="102"/>
      <c r="U254" s="103"/>
      <c r="V254" s="103"/>
      <c r="W254" s="104"/>
      <c r="X254"/>
    </row>
    <row r="255" spans="1:24">
      <c r="A255" s="104"/>
      <c r="B255" s="104"/>
      <c r="C255" s="104"/>
      <c r="D255" s="102"/>
      <c r="E255"/>
      <c r="F255" s="102"/>
      <c r="G255" s="102"/>
      <c r="H255" s="102"/>
      <c r="I255" s="102"/>
      <c r="J255" s="102"/>
      <c r="K255" s="102"/>
      <c r="L255" s="102"/>
      <c r="M255" s="102"/>
      <c r="N255" s="102"/>
      <c r="O255" s="102"/>
      <c r="P255" s="102"/>
      <c r="Q255" s="102"/>
      <c r="R255" s="102"/>
      <c r="S255" s="102"/>
      <c r="T255" s="102"/>
      <c r="U255" s="103"/>
      <c r="V255" s="103"/>
      <c r="W255" s="104"/>
      <c r="X255"/>
    </row>
    <row r="256" spans="1:24">
      <c r="A256" s="104"/>
      <c r="B256" s="104"/>
      <c r="C256" s="104"/>
      <c r="D256" s="102"/>
      <c r="E256"/>
      <c r="F256" s="102"/>
      <c r="G256" s="102"/>
      <c r="H256" s="102"/>
      <c r="I256" s="102"/>
      <c r="J256" s="102"/>
      <c r="K256" s="102"/>
      <c r="L256" s="102"/>
      <c r="M256" s="102"/>
      <c r="N256" s="102"/>
      <c r="O256" s="102"/>
      <c r="P256" s="102"/>
      <c r="Q256" s="102"/>
      <c r="R256" s="102"/>
      <c r="S256" s="102"/>
      <c r="T256" s="102"/>
      <c r="U256" s="103"/>
      <c r="V256" s="103"/>
      <c r="W256" s="104"/>
      <c r="X256"/>
    </row>
    <row r="257" spans="1:24">
      <c r="A257" s="104"/>
      <c r="B257" s="104"/>
      <c r="C257" s="104"/>
      <c r="D257" s="102"/>
      <c r="E257"/>
      <c r="F257" s="102"/>
      <c r="G257" s="102"/>
      <c r="H257" s="102"/>
      <c r="I257" s="102"/>
      <c r="J257" s="102"/>
      <c r="K257" s="102"/>
      <c r="L257" s="102"/>
      <c r="M257" s="102"/>
      <c r="N257" s="102"/>
      <c r="O257" s="102"/>
      <c r="P257" s="102"/>
      <c r="Q257" s="102"/>
      <c r="R257" s="102"/>
      <c r="S257" s="102"/>
      <c r="T257" s="102"/>
      <c r="U257" s="103"/>
      <c r="V257" s="103"/>
      <c r="W257" s="104"/>
      <c r="X257"/>
    </row>
    <row r="258" spans="1:24">
      <c r="A258" s="104"/>
      <c r="B258" s="104"/>
      <c r="C258" s="104"/>
      <c r="D258" s="102"/>
      <c r="E258"/>
      <c r="F258" s="102"/>
      <c r="G258" s="102"/>
      <c r="H258" s="102"/>
      <c r="I258" s="102"/>
      <c r="J258" s="102"/>
      <c r="K258" s="102"/>
      <c r="L258" s="102"/>
      <c r="M258" s="102"/>
      <c r="N258" s="102"/>
      <c r="O258" s="102"/>
      <c r="P258" s="102"/>
      <c r="Q258" s="102"/>
      <c r="R258" s="102"/>
      <c r="S258" s="102"/>
      <c r="T258" s="102"/>
      <c r="U258" s="103"/>
      <c r="V258" s="103"/>
      <c r="W258" s="104"/>
      <c r="X258"/>
    </row>
    <row r="259" spans="1:24">
      <c r="A259" s="104"/>
      <c r="B259" s="104"/>
      <c r="C259" s="104"/>
      <c r="D259" s="102"/>
      <c r="E259"/>
      <c r="F259" s="102"/>
      <c r="G259" s="102"/>
      <c r="H259" s="102"/>
      <c r="I259" s="102"/>
      <c r="J259" s="102"/>
      <c r="K259" s="102"/>
      <c r="L259" s="102"/>
      <c r="M259" s="102"/>
      <c r="N259" s="102"/>
      <c r="O259" s="102"/>
      <c r="P259" s="102"/>
      <c r="Q259" s="102"/>
      <c r="R259" s="102"/>
      <c r="S259" s="102"/>
      <c r="T259" s="102"/>
      <c r="U259" s="103"/>
      <c r="V259" s="103"/>
      <c r="W259" s="104"/>
      <c r="X259"/>
    </row>
    <row r="260" spans="1:24">
      <c r="A260" s="104"/>
      <c r="B260" s="104"/>
      <c r="C260" s="104"/>
      <c r="D260" s="102"/>
      <c r="E260"/>
      <c r="F260" s="102"/>
      <c r="G260" s="102"/>
      <c r="H260" s="102"/>
      <c r="I260" s="102"/>
      <c r="J260" s="102"/>
      <c r="K260" s="102"/>
      <c r="L260" s="102"/>
      <c r="M260" s="102"/>
      <c r="N260" s="102"/>
      <c r="O260" s="102"/>
      <c r="P260" s="102"/>
      <c r="Q260" s="102"/>
      <c r="R260" s="102"/>
      <c r="S260" s="102"/>
      <c r="T260" s="102"/>
      <c r="U260" s="103"/>
      <c r="V260" s="103"/>
      <c r="W260" s="104"/>
      <c r="X260"/>
    </row>
    <row r="261" spans="1:24">
      <c r="A261" s="104"/>
      <c r="B261" s="104"/>
      <c r="C261" s="104"/>
      <c r="D261" s="102"/>
      <c r="E261"/>
      <c r="F261" s="102"/>
      <c r="G261" s="102"/>
      <c r="H261" s="102"/>
      <c r="I261" s="102"/>
      <c r="J261" s="102"/>
      <c r="K261" s="102"/>
      <c r="L261" s="102"/>
      <c r="M261" s="102"/>
      <c r="N261" s="102"/>
      <c r="O261" s="102"/>
      <c r="P261" s="102"/>
      <c r="Q261" s="102"/>
      <c r="R261" s="102"/>
      <c r="S261" s="102"/>
      <c r="T261" s="102"/>
      <c r="U261" s="103"/>
      <c r="V261" s="103"/>
      <c r="W261" s="104"/>
      <c r="X261"/>
    </row>
    <row r="262" spans="1:24">
      <c r="A262" s="104"/>
      <c r="B262" s="104"/>
      <c r="C262" s="104"/>
      <c r="D262" s="102"/>
      <c r="E262"/>
      <c r="F262" s="102"/>
      <c r="G262" s="102"/>
      <c r="H262" s="102"/>
      <c r="I262" s="102"/>
      <c r="J262" s="102"/>
      <c r="K262" s="102"/>
      <c r="L262" s="102"/>
      <c r="M262" s="102"/>
      <c r="N262" s="102"/>
      <c r="O262" s="102"/>
      <c r="P262" s="102"/>
      <c r="Q262" s="102"/>
      <c r="R262" s="102"/>
      <c r="S262" s="102"/>
      <c r="T262" s="102"/>
      <c r="U262" s="103"/>
      <c r="V262" s="103"/>
      <c r="W262" s="104"/>
      <c r="X262"/>
    </row>
    <row r="263" spans="1:24">
      <c r="A263" s="104"/>
      <c r="B263" s="104"/>
      <c r="C263" s="104"/>
      <c r="D263" s="102"/>
      <c r="E263"/>
      <c r="F263" s="102"/>
      <c r="G263" s="102"/>
      <c r="H263" s="102"/>
      <c r="I263" s="102"/>
      <c r="J263" s="102"/>
      <c r="K263" s="102"/>
      <c r="L263" s="102"/>
      <c r="M263" s="102"/>
      <c r="N263" s="102"/>
      <c r="O263" s="102"/>
      <c r="P263" s="102"/>
      <c r="Q263" s="102"/>
      <c r="R263" s="102"/>
      <c r="S263" s="102"/>
      <c r="T263" s="102"/>
      <c r="U263" s="103"/>
      <c r="V263" s="103"/>
      <c r="W263" s="104"/>
      <c r="X263"/>
    </row>
    <row r="264" spans="1:24">
      <c r="A264" s="104"/>
      <c r="B264" s="104"/>
      <c r="C264" s="104"/>
      <c r="D264" s="102"/>
      <c r="E264"/>
      <c r="F264" s="102"/>
      <c r="G264" s="102"/>
      <c r="H264" s="102"/>
      <c r="I264" s="102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3"/>
      <c r="V264" s="103"/>
      <c r="W264" s="104"/>
      <c r="X264"/>
    </row>
    <row r="265" spans="1:24">
      <c r="A265" s="104"/>
      <c r="B265" s="104"/>
      <c r="C265" s="104"/>
      <c r="D265" s="102"/>
      <c r="E265"/>
      <c r="F265" s="102"/>
      <c r="G265" s="102"/>
      <c r="H265" s="102"/>
      <c r="I265" s="102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3"/>
      <c r="V265" s="103"/>
      <c r="W265" s="104"/>
      <c r="X265"/>
    </row>
    <row r="266" spans="1:24">
      <c r="A266" s="104"/>
      <c r="B266" s="104"/>
      <c r="C266" s="104"/>
      <c r="D266" s="102"/>
      <c r="E266"/>
      <c r="F266" s="102"/>
      <c r="G266" s="102"/>
      <c r="H266" s="102"/>
      <c r="I266" s="102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3"/>
      <c r="V266" s="103"/>
      <c r="W266" s="104"/>
      <c r="X266"/>
    </row>
    <row r="267" spans="1:24">
      <c r="A267" s="104"/>
      <c r="B267" s="104"/>
      <c r="C267" s="104"/>
      <c r="D267" s="102"/>
      <c r="E267"/>
      <c r="F267" s="102"/>
      <c r="G267" s="102"/>
      <c r="H267" s="102"/>
      <c r="I267" s="102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3"/>
      <c r="V267" s="103"/>
      <c r="W267" s="104"/>
      <c r="X267"/>
    </row>
    <row r="268" spans="1:24">
      <c r="A268" s="104"/>
      <c r="B268" s="104"/>
      <c r="C268" s="104"/>
      <c r="D268" s="102"/>
      <c r="E268"/>
      <c r="F268" s="102"/>
      <c r="G268" s="102"/>
      <c r="H268" s="102"/>
      <c r="I268" s="102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3"/>
      <c r="V268" s="103"/>
      <c r="W268" s="104"/>
      <c r="X268"/>
    </row>
    <row r="269" spans="1:24">
      <c r="A269" s="104"/>
      <c r="B269" s="104"/>
      <c r="C269" s="104"/>
      <c r="D269" s="102"/>
      <c r="E269"/>
      <c r="F269" s="102"/>
      <c r="G269" s="102"/>
      <c r="H269" s="102"/>
      <c r="I269" s="102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3"/>
      <c r="V269" s="103"/>
      <c r="W269" s="104"/>
      <c r="X269"/>
    </row>
    <row r="270" spans="1:24">
      <c r="A270" s="104"/>
      <c r="B270" s="104"/>
      <c r="C270" s="104"/>
      <c r="D270" s="102"/>
      <c r="E270"/>
      <c r="F270" s="102"/>
      <c r="G270" s="102"/>
      <c r="H270" s="102"/>
      <c r="I270" s="102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3"/>
      <c r="V270" s="103"/>
      <c r="W270" s="104"/>
      <c r="X270"/>
    </row>
    <row r="271" spans="1:24">
      <c r="A271" s="104"/>
      <c r="B271" s="104"/>
      <c r="C271" s="104"/>
      <c r="D271" s="102"/>
      <c r="E271"/>
      <c r="F271" s="102"/>
      <c r="G271" s="102"/>
      <c r="H271" s="102"/>
      <c r="I271" s="102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3"/>
      <c r="V271" s="103"/>
      <c r="W271" s="104"/>
      <c r="X271"/>
    </row>
    <row r="272" spans="1:24">
      <c r="A272" s="104"/>
      <c r="B272" s="104"/>
      <c r="C272" s="104"/>
      <c r="D272" s="102"/>
      <c r="E272"/>
      <c r="F272" s="102"/>
      <c r="G272" s="102"/>
      <c r="H272" s="102"/>
      <c r="I272" s="102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3"/>
      <c r="V272" s="103"/>
      <c r="W272" s="104"/>
      <c r="X272"/>
    </row>
    <row r="273" spans="1:24">
      <c r="A273" s="104"/>
      <c r="B273" s="104"/>
      <c r="C273" s="104"/>
      <c r="D273" s="102"/>
      <c r="E273"/>
      <c r="F273" s="102"/>
      <c r="G273" s="102"/>
      <c r="H273" s="102"/>
      <c r="I273" s="102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3"/>
      <c r="V273" s="103"/>
      <c r="W273" s="104"/>
      <c r="X273"/>
    </row>
    <row r="274" spans="1:24">
      <c r="A274" s="104"/>
      <c r="B274" s="104"/>
      <c r="C274" s="104"/>
      <c r="D274" s="102"/>
      <c r="E274"/>
      <c r="F274" s="102"/>
      <c r="G274" s="102"/>
      <c r="H274" s="102"/>
      <c r="I274" s="102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3"/>
      <c r="V274" s="103"/>
      <c r="W274" s="104"/>
      <c r="X274"/>
    </row>
    <row r="275" spans="1:24">
      <c r="A275" s="104"/>
      <c r="B275" s="104"/>
      <c r="C275" s="104"/>
      <c r="D275" s="102"/>
      <c r="E275"/>
      <c r="F275" s="102"/>
      <c r="G275" s="102"/>
      <c r="H275" s="102"/>
      <c r="I275" s="102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3"/>
      <c r="V275" s="103"/>
      <c r="W275" s="104"/>
      <c r="X275"/>
    </row>
    <row r="276" spans="1:24">
      <c r="A276" s="104"/>
      <c r="B276" s="104"/>
      <c r="C276" s="104"/>
      <c r="D276" s="102"/>
      <c r="E276"/>
      <c r="F276" s="102"/>
      <c r="G276" s="102"/>
      <c r="H276" s="102"/>
      <c r="I276" s="102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3"/>
      <c r="V276" s="103"/>
      <c r="W276" s="104"/>
      <c r="X276"/>
    </row>
    <row r="277" spans="1:24">
      <c r="A277" s="104"/>
      <c r="B277" s="104"/>
      <c r="C277" s="104"/>
      <c r="D277" s="102"/>
      <c r="E277"/>
      <c r="F277" s="102"/>
      <c r="G277" s="102"/>
      <c r="H277" s="102"/>
      <c r="I277" s="102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3"/>
      <c r="V277" s="103"/>
      <c r="W277" s="104"/>
      <c r="X277"/>
    </row>
    <row r="278" spans="1:24">
      <c r="A278" s="104"/>
      <c r="B278" s="104"/>
      <c r="C278" s="104"/>
      <c r="D278" s="102"/>
      <c r="E278"/>
      <c r="F278" s="102"/>
      <c r="G278" s="102"/>
      <c r="H278" s="102"/>
      <c r="I278" s="102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3"/>
      <c r="V278" s="103"/>
      <c r="W278" s="104"/>
      <c r="X278"/>
    </row>
    <row r="279" spans="1:24">
      <c r="A279" s="104"/>
      <c r="B279" s="104"/>
      <c r="C279" s="104"/>
      <c r="D279" s="102"/>
      <c r="E279"/>
      <c r="F279" s="102"/>
      <c r="G279" s="102"/>
      <c r="H279" s="102"/>
      <c r="I279" s="102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3"/>
      <c r="V279" s="103"/>
      <c r="W279" s="104"/>
      <c r="X279"/>
    </row>
    <row r="280" spans="1:24">
      <c r="A280" s="104"/>
      <c r="B280" s="104"/>
      <c r="C280" s="104"/>
      <c r="D280" s="102"/>
      <c r="E280"/>
      <c r="F280" s="102"/>
      <c r="G280" s="102"/>
      <c r="H280" s="102"/>
      <c r="I280" s="102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3"/>
      <c r="V280" s="103"/>
      <c r="W280" s="104"/>
      <c r="X280"/>
    </row>
    <row r="281" spans="1:24">
      <c r="A281" s="104"/>
      <c r="B281" s="104"/>
      <c r="C281" s="104"/>
      <c r="D281" s="102"/>
      <c r="E281"/>
      <c r="F281" s="102"/>
      <c r="G281" s="102"/>
      <c r="H281" s="102"/>
      <c r="I281" s="102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3"/>
      <c r="V281" s="103"/>
      <c r="W281" s="104"/>
      <c r="X281"/>
    </row>
    <row r="282" spans="1:24">
      <c r="A282" s="104"/>
      <c r="B282" s="104"/>
      <c r="C282" s="104"/>
      <c r="D282" s="102"/>
      <c r="E282"/>
      <c r="F282" s="102"/>
      <c r="G282" s="102"/>
      <c r="H282" s="102"/>
      <c r="I282" s="102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3"/>
      <c r="V282" s="103"/>
      <c r="W282" s="104"/>
      <c r="X282"/>
    </row>
    <row r="283" spans="1:24">
      <c r="A283" s="104"/>
      <c r="B283" s="104"/>
      <c r="C283" s="104"/>
      <c r="D283" s="102"/>
      <c r="E283"/>
      <c r="F283" s="102"/>
      <c r="G283" s="102"/>
      <c r="H283" s="102"/>
      <c r="I283" s="102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3"/>
      <c r="V283" s="103"/>
      <c r="W283" s="104"/>
      <c r="X283"/>
    </row>
    <row r="284" spans="1:24">
      <c r="A284" s="104"/>
      <c r="B284" s="104"/>
      <c r="C284" s="104"/>
      <c r="D284" s="102"/>
      <c r="E284"/>
      <c r="F284" s="102"/>
      <c r="G284" s="102"/>
      <c r="H284" s="102"/>
      <c r="I284" s="102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3"/>
      <c r="V284" s="103"/>
      <c r="W284" s="104"/>
      <c r="X284"/>
    </row>
    <row r="285" spans="1:24">
      <c r="A285" s="104"/>
      <c r="B285" s="104"/>
      <c r="C285" s="104"/>
      <c r="D285" s="102"/>
      <c r="E285"/>
      <c r="F285" s="102"/>
      <c r="G285" s="102"/>
      <c r="H285" s="102"/>
      <c r="I285" s="102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3"/>
      <c r="V285" s="103"/>
      <c r="W285" s="104"/>
      <c r="X285"/>
    </row>
    <row r="286" spans="1:24">
      <c r="A286" s="104"/>
      <c r="B286" s="104"/>
      <c r="C286" s="104"/>
      <c r="D286" s="102"/>
      <c r="E286"/>
      <c r="F286" s="102"/>
      <c r="G286" s="102"/>
      <c r="H286" s="102"/>
      <c r="I286" s="102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3"/>
      <c r="V286" s="103"/>
      <c r="W286" s="104"/>
      <c r="X286"/>
    </row>
    <row r="287" spans="1:24">
      <c r="A287" s="104"/>
      <c r="B287" s="104"/>
      <c r="C287" s="104"/>
      <c r="D287" s="102"/>
      <c r="E287"/>
      <c r="F287" s="102"/>
      <c r="G287" s="102"/>
      <c r="H287" s="102"/>
      <c r="I287" s="102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3"/>
      <c r="V287" s="103"/>
      <c r="W287" s="104"/>
      <c r="X287"/>
    </row>
    <row r="288" spans="1:24">
      <c r="A288" s="104"/>
      <c r="B288" s="104"/>
      <c r="C288" s="104"/>
      <c r="D288" s="102"/>
      <c r="E288"/>
      <c r="F288" s="102"/>
      <c r="G288" s="102"/>
      <c r="H288" s="102"/>
      <c r="I288" s="102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3"/>
      <c r="V288" s="103"/>
      <c r="W288" s="104"/>
      <c r="X288"/>
    </row>
    <row r="289" spans="1:24">
      <c r="A289" s="104"/>
      <c r="B289" s="104"/>
      <c r="C289" s="104"/>
      <c r="D289" s="102"/>
      <c r="E289"/>
      <c r="F289" s="102"/>
      <c r="G289" s="102"/>
      <c r="H289" s="102"/>
      <c r="I289" s="102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3"/>
      <c r="V289" s="103"/>
      <c r="W289" s="104"/>
      <c r="X289"/>
    </row>
    <row r="290" spans="1:24">
      <c r="A290" s="104"/>
      <c r="B290" s="104"/>
      <c r="C290" s="104"/>
      <c r="D290" s="102"/>
      <c r="E290"/>
      <c r="F290" s="102"/>
      <c r="G290" s="102"/>
      <c r="H290" s="102"/>
      <c r="I290" s="102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3"/>
      <c r="V290" s="103"/>
      <c r="W290" s="104"/>
      <c r="X290"/>
    </row>
    <row r="291" spans="1:24">
      <c r="A291" s="104"/>
      <c r="B291" s="104"/>
      <c r="C291" s="104"/>
      <c r="D291" s="102"/>
      <c r="E291"/>
      <c r="F291" s="102"/>
      <c r="G291" s="102"/>
      <c r="H291" s="102"/>
      <c r="I291" s="102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3"/>
      <c r="V291" s="103"/>
      <c r="W291" s="104"/>
      <c r="X291"/>
    </row>
    <row r="292" spans="1:24">
      <c r="A292" s="104"/>
      <c r="B292" s="104"/>
      <c r="C292" s="104"/>
      <c r="D292" s="102"/>
      <c r="E292"/>
      <c r="F292" s="102"/>
      <c r="G292" s="102"/>
      <c r="H292" s="102"/>
      <c r="I292" s="102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3"/>
      <c r="V292" s="103"/>
      <c r="W292" s="104"/>
      <c r="X292"/>
    </row>
    <row r="293" spans="1:24">
      <c r="A293" s="104"/>
      <c r="B293" s="104"/>
      <c r="C293" s="104"/>
      <c r="D293" s="102"/>
      <c r="E293"/>
      <c r="F293" s="102"/>
      <c r="G293" s="102"/>
      <c r="H293" s="102"/>
      <c r="I293" s="102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3"/>
      <c r="V293" s="103"/>
      <c r="W293" s="104"/>
      <c r="X293"/>
    </row>
    <row r="294" spans="1:24">
      <c r="A294" s="104"/>
      <c r="B294" s="104"/>
      <c r="C294" s="104"/>
      <c r="D294" s="102"/>
      <c r="E294"/>
      <c r="F294" s="102"/>
      <c r="G294" s="102"/>
      <c r="H294" s="102"/>
      <c r="I294" s="102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3"/>
      <c r="V294" s="103"/>
      <c r="W294" s="104"/>
      <c r="X294"/>
    </row>
    <row r="295" spans="1:24">
      <c r="A295" s="104"/>
      <c r="B295" s="104"/>
      <c r="C295" s="104"/>
      <c r="D295" s="102"/>
      <c r="E295"/>
      <c r="F295" s="102"/>
      <c r="G295" s="102"/>
      <c r="H295" s="102"/>
      <c r="I295" s="102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3"/>
      <c r="V295" s="103"/>
      <c r="W295" s="104"/>
      <c r="X295"/>
    </row>
    <row r="296" spans="1:24">
      <c r="A296" s="104"/>
      <c r="B296" s="104"/>
      <c r="C296" s="104"/>
      <c r="D296" s="102"/>
      <c r="E296"/>
      <c r="F296" s="102"/>
      <c r="G296" s="102"/>
      <c r="H296" s="102"/>
      <c r="I296" s="102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3"/>
      <c r="V296" s="103"/>
      <c r="W296" s="104"/>
      <c r="X296"/>
    </row>
    <row r="297" spans="1:24">
      <c r="A297" s="104"/>
      <c r="B297" s="104"/>
      <c r="C297" s="104"/>
      <c r="D297" s="102"/>
      <c r="E297"/>
      <c r="F297" s="102"/>
      <c r="G297" s="102"/>
      <c r="H297" s="102"/>
      <c r="I297" s="102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3"/>
      <c r="V297" s="103"/>
      <c r="W297" s="104"/>
      <c r="X297"/>
    </row>
    <row r="298" spans="1:24">
      <c r="A298" s="104"/>
      <c r="B298" s="104"/>
      <c r="C298" s="104"/>
      <c r="D298" s="102"/>
      <c r="E298"/>
      <c r="F298" s="102"/>
      <c r="G298" s="102"/>
      <c r="H298" s="102"/>
      <c r="I298" s="102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3"/>
      <c r="V298" s="103"/>
      <c r="W298" s="104"/>
      <c r="X298"/>
    </row>
    <row r="299" spans="1:24">
      <c r="A299" s="104"/>
      <c r="B299" s="104"/>
      <c r="C299" s="104"/>
      <c r="D299" s="102"/>
      <c r="E299"/>
      <c r="F299" s="102"/>
      <c r="G299" s="102"/>
      <c r="H299" s="102"/>
      <c r="I299" s="102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3"/>
      <c r="V299" s="103"/>
      <c r="W299" s="104"/>
      <c r="X299"/>
    </row>
    <row r="300" spans="1:24">
      <c r="A300" s="104"/>
      <c r="B300" s="104"/>
      <c r="C300" s="104"/>
      <c r="D300" s="102"/>
      <c r="E300"/>
      <c r="F300" s="102"/>
      <c r="G300" s="102"/>
      <c r="H300" s="102"/>
      <c r="I300" s="102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3"/>
      <c r="V300" s="103"/>
      <c r="W300" s="104"/>
      <c r="X300"/>
    </row>
    <row r="301" spans="1:24">
      <c r="A301" s="104"/>
      <c r="B301" s="104"/>
      <c r="C301" s="104"/>
      <c r="D301" s="102"/>
      <c r="E301"/>
      <c r="F301" s="102"/>
      <c r="G301" s="102"/>
      <c r="H301" s="102"/>
      <c r="I301" s="102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3"/>
      <c r="V301" s="103"/>
      <c r="W301" s="104"/>
      <c r="X301"/>
    </row>
    <row r="302" spans="1:24">
      <c r="A302" s="104"/>
      <c r="B302" s="104"/>
      <c r="C302" s="104"/>
      <c r="D302" s="102"/>
      <c r="E302"/>
      <c r="F302" s="102"/>
      <c r="G302" s="102"/>
      <c r="H302" s="102"/>
      <c r="I302" s="102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3"/>
      <c r="V302" s="103"/>
      <c r="W302" s="104"/>
      <c r="X302"/>
    </row>
    <row r="303" spans="1:24">
      <c r="A303" s="104"/>
      <c r="B303" s="104"/>
      <c r="C303" s="104"/>
      <c r="D303" s="102"/>
      <c r="E303"/>
      <c r="F303" s="102"/>
      <c r="G303" s="102"/>
      <c r="H303" s="102"/>
      <c r="I303" s="102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3"/>
      <c r="V303" s="103"/>
      <c r="W303" s="104"/>
      <c r="X303"/>
    </row>
    <row r="304" spans="1:24">
      <c r="A304" s="104"/>
      <c r="B304" s="104"/>
      <c r="C304" s="104"/>
      <c r="D304" s="102"/>
      <c r="E304"/>
      <c r="F304" s="102"/>
      <c r="G304" s="102"/>
      <c r="H304" s="102"/>
      <c r="I304" s="102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3"/>
      <c r="V304" s="103"/>
      <c r="W304" s="104"/>
      <c r="X304"/>
    </row>
    <row r="305" spans="1:24">
      <c r="A305" s="104"/>
      <c r="B305" s="104"/>
      <c r="C305" s="104"/>
      <c r="D305" s="102"/>
      <c r="E305"/>
      <c r="F305" s="102"/>
      <c r="G305" s="102"/>
      <c r="H305" s="102"/>
      <c r="I305" s="102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3"/>
      <c r="V305" s="103"/>
      <c r="W305" s="104"/>
      <c r="X305"/>
    </row>
    <row r="306" spans="1:24">
      <c r="A306" s="104"/>
      <c r="B306" s="104"/>
      <c r="C306" s="104"/>
      <c r="D306" s="102"/>
      <c r="E306"/>
      <c r="F306" s="102"/>
      <c r="G306" s="102"/>
      <c r="H306" s="102"/>
      <c r="I306" s="102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3"/>
      <c r="V306" s="103"/>
      <c r="W306" s="104"/>
      <c r="X306"/>
    </row>
    <row r="307" spans="1:24">
      <c r="A307" s="104"/>
      <c r="B307" s="104"/>
      <c r="C307" s="104"/>
      <c r="D307" s="102"/>
      <c r="E307"/>
      <c r="F307" s="102"/>
      <c r="G307" s="102"/>
      <c r="H307" s="102"/>
      <c r="I307" s="102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3"/>
      <c r="V307" s="103"/>
      <c r="W307" s="104"/>
      <c r="X307"/>
    </row>
    <row r="308" spans="1:24">
      <c r="A308" s="104"/>
      <c r="B308" s="104"/>
      <c r="C308" s="104"/>
      <c r="D308" s="102"/>
      <c r="E308"/>
      <c r="F308" s="102"/>
      <c r="G308" s="102"/>
      <c r="H308" s="102"/>
      <c r="I308" s="102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3"/>
      <c r="V308" s="103"/>
      <c r="W308" s="104"/>
      <c r="X308"/>
    </row>
    <row r="309" spans="1:24">
      <c r="A309" s="104"/>
      <c r="B309" s="104"/>
      <c r="C309" s="104"/>
      <c r="D309" s="102"/>
      <c r="E309"/>
      <c r="F309" s="102"/>
      <c r="G309" s="102"/>
      <c r="H309" s="102"/>
      <c r="I309" s="102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3"/>
      <c r="V309" s="103"/>
      <c r="W309" s="104"/>
      <c r="X309"/>
    </row>
    <row r="310" spans="1:24">
      <c r="A310" s="104"/>
      <c r="B310" s="104"/>
      <c r="C310" s="104"/>
      <c r="D310" s="102"/>
      <c r="E310"/>
      <c r="F310" s="102"/>
      <c r="G310" s="102"/>
      <c r="H310" s="102"/>
      <c r="I310" s="102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3"/>
      <c r="V310" s="103"/>
      <c r="W310" s="104"/>
      <c r="X310"/>
    </row>
    <row r="311" spans="1:24">
      <c r="A311" s="104"/>
      <c r="B311" s="104"/>
      <c r="C311" s="104"/>
      <c r="D311" s="102"/>
      <c r="E311"/>
      <c r="F311" s="102"/>
      <c r="G311" s="102"/>
      <c r="H311" s="102"/>
      <c r="I311" s="102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3"/>
      <c r="V311" s="103"/>
      <c r="W311" s="104"/>
      <c r="X311"/>
    </row>
    <row r="312" spans="1:24">
      <c r="A312" s="104"/>
      <c r="B312" s="104"/>
      <c r="C312" s="104"/>
      <c r="D312" s="102"/>
      <c r="E312"/>
      <c r="F312" s="102"/>
      <c r="G312" s="102"/>
      <c r="H312" s="102"/>
      <c r="I312" s="102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3"/>
      <c r="V312" s="103"/>
      <c r="W312" s="104"/>
      <c r="X312"/>
    </row>
    <row r="313" spans="1:24">
      <c r="A313" s="104"/>
      <c r="B313" s="104"/>
      <c r="C313" s="104"/>
      <c r="D313" s="102"/>
      <c r="E313"/>
      <c r="F313" s="102"/>
      <c r="G313" s="102"/>
      <c r="H313" s="102"/>
      <c r="I313" s="102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3"/>
      <c r="V313" s="103"/>
      <c r="W313" s="104"/>
      <c r="X313"/>
    </row>
    <row r="314" spans="1:24">
      <c r="A314" s="104"/>
      <c r="B314" s="104"/>
      <c r="C314" s="104"/>
      <c r="D314" s="102"/>
      <c r="E314"/>
      <c r="F314" s="102"/>
      <c r="G314" s="102"/>
      <c r="H314" s="102"/>
      <c r="I314" s="102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3"/>
      <c r="V314" s="103"/>
      <c r="W314" s="104"/>
      <c r="X314"/>
    </row>
    <row r="315" spans="1:24">
      <c r="A315" s="104"/>
      <c r="B315" s="104"/>
      <c r="C315" s="104"/>
      <c r="D315" s="102"/>
      <c r="E315"/>
      <c r="F315" s="102"/>
      <c r="G315" s="102"/>
      <c r="H315" s="102"/>
      <c r="I315" s="102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3"/>
      <c r="V315" s="103"/>
      <c r="W315" s="104"/>
      <c r="X315"/>
    </row>
    <row r="316" spans="1:24">
      <c r="A316" s="104"/>
      <c r="B316" s="104"/>
      <c r="C316" s="104"/>
      <c r="D316" s="102"/>
      <c r="E316"/>
      <c r="F316" s="102"/>
      <c r="G316" s="102"/>
      <c r="H316" s="102"/>
      <c r="I316" s="102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3"/>
      <c r="V316" s="103"/>
      <c r="W316" s="104"/>
      <c r="X316"/>
    </row>
    <row r="317" spans="1:24">
      <c r="A317" s="104"/>
      <c r="B317" s="104"/>
      <c r="C317" s="104"/>
      <c r="D317" s="102"/>
      <c r="E317"/>
      <c r="F317" s="102"/>
      <c r="G317" s="102"/>
      <c r="H317" s="102"/>
      <c r="I317" s="102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3"/>
      <c r="V317" s="103"/>
      <c r="W317" s="104"/>
      <c r="X317"/>
    </row>
    <row r="318" spans="1:24">
      <c r="A318" s="104"/>
      <c r="B318" s="104"/>
      <c r="C318" s="104"/>
      <c r="D318" s="102"/>
      <c r="E318"/>
      <c r="F318" s="102"/>
      <c r="G318" s="102"/>
      <c r="H318" s="102"/>
      <c r="I318" s="102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3"/>
      <c r="V318" s="103"/>
      <c r="W318" s="104"/>
      <c r="X318"/>
    </row>
    <row r="319" spans="1:24">
      <c r="A319" s="104"/>
      <c r="B319" s="104"/>
      <c r="C319" s="104"/>
      <c r="D319" s="102"/>
      <c r="E319"/>
      <c r="F319" s="102"/>
      <c r="G319" s="102"/>
      <c r="H319" s="102"/>
      <c r="I319" s="102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3"/>
      <c r="V319" s="103"/>
      <c r="W319" s="104"/>
      <c r="X319"/>
    </row>
    <row r="320" spans="1:24">
      <c r="A320" s="104"/>
      <c r="B320" s="104"/>
      <c r="C320" s="104"/>
      <c r="D320" s="102"/>
      <c r="E320"/>
      <c r="F320" s="102"/>
      <c r="G320" s="102"/>
      <c r="H320" s="102"/>
      <c r="I320" s="102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3"/>
      <c r="V320" s="103"/>
      <c r="W320" s="104"/>
      <c r="X320"/>
    </row>
    <row r="321" spans="1:24">
      <c r="A321" s="104"/>
      <c r="B321" s="104"/>
      <c r="C321" s="104"/>
      <c r="D321" s="102"/>
      <c r="E321"/>
      <c r="F321" s="102"/>
      <c r="G321" s="102"/>
      <c r="H321" s="102"/>
      <c r="I321" s="102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3"/>
      <c r="V321" s="103"/>
      <c r="W321" s="104"/>
      <c r="X321"/>
    </row>
    <row r="322" spans="1:24">
      <c r="A322" s="104"/>
      <c r="B322" s="104"/>
      <c r="C322" s="104"/>
      <c r="D322" s="102"/>
      <c r="E322"/>
      <c r="F322" s="102"/>
      <c r="G322" s="102"/>
      <c r="H322" s="102"/>
      <c r="I322" s="102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3"/>
      <c r="V322" s="103"/>
      <c r="W322" s="104"/>
      <c r="X322"/>
    </row>
    <row r="323" spans="1:24">
      <c r="A323" s="104"/>
      <c r="B323" s="104"/>
      <c r="C323" s="104"/>
      <c r="D323" s="102"/>
      <c r="E323"/>
      <c r="F323" s="102"/>
      <c r="G323" s="102"/>
      <c r="H323" s="102"/>
      <c r="I323" s="102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3"/>
      <c r="V323" s="103"/>
      <c r="W323" s="104"/>
      <c r="X323"/>
    </row>
    <row r="324" spans="1:24">
      <c r="A324" s="104"/>
      <c r="B324" s="104"/>
      <c r="C324" s="104"/>
      <c r="D324" s="102"/>
      <c r="E324"/>
      <c r="F324" s="102"/>
      <c r="G324" s="102"/>
      <c r="H324" s="102"/>
      <c r="I324" s="102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3"/>
      <c r="V324" s="103"/>
      <c r="W324" s="104"/>
      <c r="X324"/>
    </row>
    <row r="325" spans="1:24">
      <c r="A325" s="104"/>
      <c r="B325" s="104"/>
      <c r="C325" s="104"/>
      <c r="D325" s="102"/>
      <c r="E325"/>
      <c r="F325" s="102"/>
      <c r="G325" s="102"/>
      <c r="H325" s="102"/>
      <c r="I325" s="102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3"/>
      <c r="V325" s="103"/>
      <c r="W325" s="104"/>
      <c r="X325"/>
    </row>
    <row r="326" spans="1:24">
      <c r="A326" s="104"/>
      <c r="B326" s="104"/>
      <c r="C326" s="104"/>
      <c r="D326" s="102"/>
      <c r="E326"/>
      <c r="F326" s="102"/>
      <c r="G326" s="102"/>
      <c r="H326" s="102"/>
      <c r="I326" s="102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3"/>
      <c r="V326" s="103"/>
      <c r="W326" s="104"/>
      <c r="X326"/>
    </row>
    <row r="327" spans="1:24">
      <c r="A327" s="104"/>
      <c r="B327" s="104"/>
      <c r="C327" s="104"/>
      <c r="D327" s="102"/>
      <c r="E327"/>
      <c r="F327" s="102"/>
      <c r="G327" s="102"/>
      <c r="H327" s="102"/>
      <c r="I327" s="102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3"/>
      <c r="V327" s="103"/>
      <c r="W327" s="104"/>
      <c r="X327"/>
    </row>
    <row r="328" spans="1:24">
      <c r="A328" s="104"/>
      <c r="B328" s="104"/>
      <c r="C328" s="104"/>
      <c r="D328" s="102"/>
      <c r="E328"/>
      <c r="F328" s="102"/>
      <c r="G328" s="102"/>
      <c r="H328" s="102"/>
      <c r="I328" s="102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3"/>
      <c r="V328" s="103"/>
      <c r="W328" s="104"/>
      <c r="X328"/>
    </row>
    <row r="329" spans="1:24">
      <c r="A329" s="104"/>
      <c r="B329" s="104"/>
      <c r="C329" s="104"/>
      <c r="D329" s="102"/>
      <c r="E329"/>
      <c r="F329" s="102"/>
      <c r="G329" s="102"/>
      <c r="H329" s="102"/>
      <c r="I329" s="102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3"/>
      <c r="V329" s="103"/>
      <c r="W329" s="104"/>
      <c r="X329"/>
    </row>
    <row r="330" spans="1:24">
      <c r="A330" s="104"/>
      <c r="B330" s="104"/>
      <c r="C330" s="104"/>
      <c r="D330" s="102"/>
      <c r="E330"/>
      <c r="F330" s="102"/>
      <c r="G330" s="102"/>
      <c r="H330" s="102"/>
      <c r="I330" s="102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3"/>
      <c r="V330" s="103"/>
      <c r="W330" s="104"/>
      <c r="X330"/>
    </row>
    <row r="331" spans="1:24">
      <c r="A331" s="104"/>
      <c r="B331" s="104"/>
      <c r="C331" s="104"/>
      <c r="D331" s="102"/>
      <c r="E331"/>
      <c r="F331" s="102"/>
      <c r="G331" s="102"/>
      <c r="H331" s="102"/>
      <c r="I331" s="102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3"/>
      <c r="V331" s="103"/>
      <c r="W331" s="104"/>
      <c r="X331"/>
    </row>
    <row r="332" spans="1:24">
      <c r="A332" s="104"/>
      <c r="B332" s="104"/>
      <c r="C332" s="104"/>
      <c r="D332" s="102"/>
      <c r="E332"/>
      <c r="F332" s="102"/>
      <c r="G332" s="102"/>
      <c r="H332" s="102"/>
      <c r="I332" s="102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3"/>
      <c r="V332" s="103"/>
      <c r="W332" s="104"/>
      <c r="X332"/>
    </row>
    <row r="333" spans="1:24">
      <c r="A333" s="104"/>
      <c r="B333" s="104"/>
      <c r="C333" s="104"/>
      <c r="D333" s="102"/>
      <c r="E333"/>
      <c r="F333" s="102"/>
      <c r="G333" s="102"/>
      <c r="H333" s="102"/>
      <c r="I333" s="102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3"/>
      <c r="V333" s="103"/>
      <c r="W333" s="104"/>
      <c r="X333"/>
    </row>
    <row r="334" spans="1:24">
      <c r="A334" s="104"/>
      <c r="B334" s="104"/>
      <c r="C334" s="104"/>
      <c r="D334" s="102"/>
      <c r="E334"/>
      <c r="F334" s="102"/>
      <c r="G334" s="102"/>
      <c r="H334" s="102"/>
      <c r="I334" s="102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3"/>
      <c r="V334" s="103"/>
      <c r="W334" s="104"/>
      <c r="X334"/>
    </row>
    <row r="335" spans="1:24">
      <c r="A335" s="104"/>
      <c r="B335" s="104"/>
      <c r="C335" s="104"/>
      <c r="D335" s="102"/>
      <c r="E335"/>
      <c r="F335" s="102"/>
      <c r="G335" s="102"/>
      <c r="H335" s="102"/>
      <c r="I335" s="102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3"/>
      <c r="V335" s="103"/>
      <c r="W335" s="104"/>
      <c r="X335"/>
    </row>
    <row r="336" spans="1:24">
      <c r="A336" s="104"/>
      <c r="B336" s="104"/>
      <c r="C336" s="104"/>
      <c r="D336" s="102"/>
      <c r="E336"/>
      <c r="F336" s="102"/>
      <c r="G336" s="102"/>
      <c r="H336" s="102"/>
      <c r="I336" s="102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3"/>
      <c r="V336" s="103"/>
      <c r="W336" s="104"/>
      <c r="X336"/>
    </row>
    <row r="337" spans="1:24">
      <c r="A337" s="104"/>
      <c r="B337" s="104"/>
      <c r="C337" s="104"/>
      <c r="D337" s="102"/>
      <c r="E337"/>
      <c r="F337" s="102"/>
      <c r="G337" s="102"/>
      <c r="H337" s="102"/>
      <c r="I337" s="102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3"/>
      <c r="V337" s="103"/>
      <c r="W337" s="104"/>
      <c r="X337"/>
    </row>
    <row r="338" spans="1:24">
      <c r="A338" s="104"/>
      <c r="B338" s="104"/>
      <c r="C338" s="104"/>
      <c r="D338" s="102"/>
      <c r="E338"/>
      <c r="F338" s="102"/>
      <c r="G338" s="102"/>
      <c r="H338" s="102"/>
      <c r="I338" s="102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3"/>
      <c r="V338" s="103"/>
      <c r="W338" s="104"/>
      <c r="X338"/>
    </row>
    <row r="339" spans="1:24">
      <c r="A339" s="104"/>
      <c r="B339" s="104"/>
      <c r="C339" s="104"/>
      <c r="D339" s="102"/>
      <c r="E339"/>
      <c r="F339" s="102"/>
      <c r="G339" s="102"/>
      <c r="H339" s="102"/>
      <c r="I339" s="102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3"/>
      <c r="V339" s="103"/>
      <c r="W339" s="104"/>
      <c r="X339"/>
    </row>
    <row r="340" spans="1:24">
      <c r="A340" s="104"/>
      <c r="B340" s="104"/>
      <c r="C340" s="104"/>
      <c r="D340" s="102"/>
      <c r="E340"/>
      <c r="F340" s="102"/>
      <c r="G340" s="102"/>
      <c r="H340" s="102"/>
      <c r="I340" s="102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3"/>
      <c r="V340" s="103"/>
      <c r="W340" s="104"/>
      <c r="X340"/>
    </row>
    <row r="341" spans="1:24">
      <c r="A341" s="104"/>
      <c r="B341" s="104"/>
      <c r="C341" s="104"/>
      <c r="D341" s="102"/>
      <c r="E341"/>
      <c r="F341" s="102"/>
      <c r="G341" s="102"/>
      <c r="H341" s="102"/>
      <c r="I341" s="102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3"/>
      <c r="V341" s="103"/>
      <c r="W341" s="104"/>
      <c r="X341"/>
    </row>
    <row r="342" spans="1:24">
      <c r="A342" s="104"/>
      <c r="B342" s="104"/>
      <c r="C342" s="104"/>
      <c r="D342" s="102"/>
      <c r="E342"/>
      <c r="F342" s="102"/>
      <c r="G342" s="102"/>
      <c r="H342" s="102"/>
      <c r="I342" s="102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3"/>
      <c r="V342" s="103"/>
      <c r="W342" s="104"/>
      <c r="X342"/>
    </row>
    <row r="343" spans="1:24">
      <c r="A343" s="104"/>
      <c r="B343" s="104"/>
      <c r="C343" s="104"/>
      <c r="D343" s="102"/>
      <c r="E343"/>
      <c r="F343" s="102"/>
      <c r="G343" s="102"/>
      <c r="H343" s="102"/>
      <c r="I343" s="102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3"/>
      <c r="V343" s="103"/>
      <c r="W343" s="104"/>
      <c r="X343"/>
    </row>
    <row r="344" spans="1:24">
      <c r="A344" s="104"/>
      <c r="B344" s="104"/>
      <c r="C344" s="104"/>
      <c r="D344" s="102"/>
      <c r="E344"/>
      <c r="F344" s="102"/>
      <c r="G344" s="102"/>
      <c r="H344" s="102"/>
      <c r="I344" s="102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3"/>
      <c r="V344" s="103"/>
      <c r="W344" s="104"/>
      <c r="X344"/>
    </row>
    <row r="345" spans="1:24">
      <c r="A345" s="104"/>
      <c r="B345" s="104"/>
      <c r="C345" s="104"/>
      <c r="D345" s="102"/>
      <c r="E345"/>
      <c r="F345" s="102"/>
      <c r="G345" s="102"/>
      <c r="H345" s="102"/>
      <c r="I345" s="102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3"/>
      <c r="V345" s="103"/>
      <c r="W345" s="104"/>
      <c r="X345"/>
    </row>
    <row r="346" spans="1:24">
      <c r="A346" s="104"/>
      <c r="B346" s="104"/>
      <c r="C346" s="104"/>
      <c r="D346" s="102"/>
      <c r="E346"/>
      <c r="F346" s="102"/>
      <c r="G346" s="102"/>
      <c r="H346" s="102"/>
      <c r="I346" s="102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3"/>
      <c r="V346" s="103"/>
      <c r="W346" s="104"/>
      <c r="X346"/>
    </row>
    <row r="347" spans="1:24">
      <c r="A347" s="104"/>
      <c r="B347" s="104"/>
      <c r="C347" s="104"/>
      <c r="D347" s="102"/>
      <c r="E347"/>
      <c r="F347" s="102"/>
      <c r="G347" s="102"/>
      <c r="H347" s="102"/>
      <c r="I347" s="102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3"/>
      <c r="V347" s="103"/>
      <c r="W347" s="104"/>
      <c r="X347"/>
    </row>
    <row r="348" spans="1:24">
      <c r="A348" s="104"/>
      <c r="B348" s="104"/>
      <c r="C348" s="104"/>
      <c r="D348" s="102"/>
      <c r="E348"/>
      <c r="F348" s="102"/>
      <c r="G348" s="102"/>
      <c r="H348" s="102"/>
      <c r="I348" s="102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3"/>
      <c r="V348" s="103"/>
      <c r="W348" s="104"/>
      <c r="X348"/>
    </row>
    <row r="349" spans="1:24">
      <c r="A349" s="104"/>
      <c r="B349" s="104"/>
      <c r="C349" s="104"/>
      <c r="D349" s="102"/>
      <c r="E349"/>
      <c r="F349" s="102"/>
      <c r="G349" s="102"/>
      <c r="H349" s="102"/>
      <c r="I349" s="102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3"/>
      <c r="V349" s="103"/>
      <c r="W349" s="104"/>
      <c r="X349"/>
    </row>
    <row r="350" spans="1:24">
      <c r="A350" s="104"/>
      <c r="B350" s="104"/>
      <c r="C350" s="104"/>
      <c r="D350" s="102"/>
      <c r="E350"/>
      <c r="F350" s="102"/>
      <c r="G350" s="102"/>
      <c r="H350" s="102"/>
      <c r="I350" s="102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3"/>
      <c r="V350" s="103"/>
      <c r="W350" s="104"/>
      <c r="X350"/>
    </row>
    <row r="351" spans="1:24">
      <c r="A351" s="104"/>
      <c r="B351" s="104"/>
      <c r="C351" s="104"/>
      <c r="D351" s="102"/>
      <c r="E351"/>
      <c r="F351" s="102"/>
      <c r="G351" s="102"/>
      <c r="H351" s="102"/>
      <c r="I351" s="102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3"/>
      <c r="V351" s="103"/>
      <c r="W351" s="104"/>
      <c r="X351"/>
    </row>
    <row r="352" spans="1:24">
      <c r="A352" s="104"/>
      <c r="B352" s="104"/>
      <c r="C352" s="104"/>
      <c r="D352" s="102"/>
      <c r="E352"/>
      <c r="F352" s="102"/>
      <c r="G352" s="102"/>
      <c r="H352" s="102"/>
      <c r="I352" s="102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3"/>
      <c r="V352" s="103"/>
      <c r="W352" s="104"/>
      <c r="X352"/>
    </row>
    <row r="353" spans="1:24">
      <c r="A353" s="104"/>
      <c r="B353" s="104"/>
      <c r="C353" s="104"/>
      <c r="D353" s="102"/>
      <c r="E353"/>
      <c r="F353" s="102"/>
      <c r="G353" s="102"/>
      <c r="H353" s="102"/>
      <c r="I353" s="102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3"/>
      <c r="V353" s="103"/>
      <c r="W353" s="104"/>
      <c r="X353"/>
    </row>
    <row r="354" spans="1:24">
      <c r="A354" s="104"/>
      <c r="B354" s="104"/>
      <c r="C354" s="104"/>
      <c r="D354" s="102"/>
      <c r="E354"/>
      <c r="F354" s="102"/>
      <c r="G354" s="102"/>
      <c r="H354" s="102"/>
      <c r="I354" s="102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3"/>
      <c r="V354" s="103"/>
      <c r="W354" s="104"/>
      <c r="X354"/>
    </row>
    <row r="355" spans="1:24">
      <c r="A355" s="104"/>
      <c r="B355" s="104"/>
      <c r="C355" s="104"/>
      <c r="D355" s="102"/>
      <c r="E355"/>
      <c r="F355" s="102"/>
      <c r="G355" s="102"/>
      <c r="H355" s="102"/>
      <c r="I355" s="102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3"/>
      <c r="V355" s="103"/>
      <c r="W355" s="104"/>
      <c r="X355"/>
    </row>
    <row r="356" spans="1:24">
      <c r="A356" s="104"/>
      <c r="B356" s="104"/>
      <c r="C356" s="104"/>
      <c r="D356" s="102"/>
      <c r="E356"/>
      <c r="F356" s="102"/>
      <c r="G356" s="102"/>
      <c r="H356" s="102"/>
      <c r="I356" s="102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3"/>
      <c r="V356" s="103"/>
      <c r="W356" s="104"/>
      <c r="X356"/>
    </row>
    <row r="357" spans="1:24">
      <c r="A357" s="104"/>
      <c r="B357" s="104"/>
      <c r="C357" s="104"/>
      <c r="D357" s="102"/>
      <c r="E357"/>
      <c r="F357" s="102"/>
      <c r="G357" s="102"/>
      <c r="H357" s="102"/>
      <c r="I357" s="102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3"/>
      <c r="V357" s="103"/>
      <c r="W357" s="104"/>
      <c r="X357"/>
    </row>
    <row r="358" spans="1:24">
      <c r="A358" s="104"/>
      <c r="B358" s="104"/>
      <c r="C358" s="104"/>
      <c r="D358" s="102"/>
      <c r="E358"/>
      <c r="F358" s="102"/>
      <c r="G358" s="102"/>
      <c r="H358" s="102"/>
      <c r="I358" s="102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3"/>
      <c r="V358" s="103"/>
      <c r="W358" s="104"/>
      <c r="X358"/>
    </row>
    <row r="359" spans="1:24">
      <c r="A359" s="104"/>
      <c r="B359" s="104"/>
      <c r="C359" s="104"/>
      <c r="D359" s="102"/>
      <c r="E359"/>
      <c r="F359" s="102"/>
      <c r="G359" s="102"/>
      <c r="H359" s="102"/>
      <c r="I359" s="102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3"/>
      <c r="V359" s="103"/>
      <c r="W359" s="104"/>
      <c r="X359"/>
    </row>
    <row r="360" spans="1:24">
      <c r="A360" s="104"/>
      <c r="B360" s="104"/>
      <c r="C360" s="104"/>
      <c r="D360" s="102"/>
      <c r="E360"/>
      <c r="F360" s="102"/>
      <c r="G360" s="102"/>
      <c r="H360" s="102"/>
      <c r="I360" s="102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3"/>
      <c r="V360" s="103"/>
      <c r="W360" s="104"/>
      <c r="X360"/>
    </row>
    <row r="361" spans="1:24">
      <c r="A361" s="104"/>
      <c r="B361" s="104"/>
      <c r="C361" s="104"/>
      <c r="D361" s="102"/>
      <c r="E361"/>
      <c r="F361" s="102"/>
      <c r="G361" s="102"/>
      <c r="H361" s="102"/>
      <c r="I361" s="102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3"/>
      <c r="V361" s="103"/>
      <c r="W361" s="104"/>
      <c r="X361"/>
    </row>
    <row r="362" spans="1:24">
      <c r="A362" s="104"/>
      <c r="B362" s="104"/>
      <c r="C362" s="104"/>
      <c r="D362" s="102"/>
      <c r="E362"/>
      <c r="F362" s="102"/>
      <c r="G362" s="102"/>
      <c r="H362" s="102"/>
      <c r="I362" s="102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3"/>
      <c r="V362" s="103"/>
      <c r="W362" s="104"/>
      <c r="X362"/>
    </row>
    <row r="363" spans="1:24">
      <c r="A363" s="104"/>
      <c r="B363" s="104"/>
      <c r="C363" s="104"/>
      <c r="D363" s="102"/>
      <c r="E363"/>
      <c r="F363" s="102"/>
      <c r="G363" s="102"/>
      <c r="H363" s="102"/>
      <c r="I363" s="102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3"/>
      <c r="V363" s="103"/>
      <c r="W363" s="104"/>
      <c r="X363"/>
    </row>
    <row r="364" spans="1:24">
      <c r="A364" s="104"/>
      <c r="B364" s="104"/>
      <c r="C364" s="104"/>
      <c r="D364" s="102"/>
      <c r="E364"/>
      <c r="F364" s="102"/>
      <c r="G364" s="102"/>
      <c r="H364" s="102"/>
      <c r="I364" s="102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3"/>
      <c r="V364" s="103"/>
      <c r="W364" s="104"/>
      <c r="X364"/>
    </row>
    <row r="365" spans="1:24">
      <c r="A365" s="104"/>
      <c r="B365" s="104"/>
      <c r="C365" s="104"/>
      <c r="D365" s="102"/>
      <c r="E365"/>
      <c r="F365" s="102"/>
      <c r="G365" s="102"/>
      <c r="H365" s="102"/>
      <c r="I365" s="102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3"/>
      <c r="V365" s="103"/>
      <c r="W365" s="104"/>
      <c r="X365"/>
    </row>
    <row r="366" spans="1:24">
      <c r="A366" s="104"/>
      <c r="B366" s="104"/>
      <c r="C366" s="104"/>
      <c r="D366" s="102"/>
      <c r="E366"/>
      <c r="F366" s="102"/>
      <c r="G366" s="102"/>
      <c r="H366" s="102"/>
      <c r="I366" s="102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3"/>
      <c r="V366" s="103"/>
      <c r="W366" s="104"/>
      <c r="X366"/>
    </row>
    <row r="367" spans="1:24">
      <c r="A367" s="104"/>
      <c r="B367" s="104"/>
      <c r="C367" s="104"/>
      <c r="D367" s="102"/>
      <c r="E367"/>
      <c r="F367" s="102"/>
      <c r="G367" s="102"/>
      <c r="H367" s="102"/>
      <c r="I367" s="102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3"/>
      <c r="V367" s="103"/>
      <c r="W367" s="104"/>
      <c r="X367"/>
    </row>
    <row r="368" spans="1:24">
      <c r="A368" s="104"/>
      <c r="B368" s="104"/>
      <c r="C368" s="104"/>
      <c r="D368" s="102"/>
      <c r="E368"/>
      <c r="F368" s="102"/>
      <c r="G368" s="102"/>
      <c r="H368" s="102"/>
      <c r="I368" s="102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3"/>
      <c r="V368" s="103"/>
      <c r="W368" s="104"/>
      <c r="X368"/>
    </row>
    <row r="369" spans="1:24">
      <c r="A369" s="104"/>
      <c r="B369" s="104"/>
      <c r="C369" s="104"/>
      <c r="D369" s="102"/>
      <c r="E369"/>
      <c r="F369" s="102"/>
      <c r="G369" s="102"/>
      <c r="H369" s="102"/>
      <c r="I369" s="102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3"/>
      <c r="V369" s="103"/>
      <c r="W369" s="104"/>
      <c r="X369"/>
    </row>
    <row r="370" spans="1:24">
      <c r="A370" s="104"/>
      <c r="B370" s="104"/>
      <c r="C370" s="104"/>
      <c r="D370" s="102"/>
      <c r="E370"/>
      <c r="F370" s="102"/>
      <c r="G370" s="102"/>
      <c r="H370" s="102"/>
      <c r="I370" s="102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3"/>
      <c r="V370" s="103"/>
      <c r="W370" s="104"/>
      <c r="X370"/>
    </row>
    <row r="371" spans="1:24">
      <c r="A371" s="104"/>
      <c r="B371" s="104"/>
      <c r="C371" s="104"/>
      <c r="D371" s="102"/>
      <c r="E371"/>
      <c r="F371" s="102"/>
      <c r="G371" s="102"/>
      <c r="H371" s="102"/>
      <c r="I371" s="102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3"/>
      <c r="V371" s="103"/>
      <c r="W371" s="104"/>
      <c r="X371"/>
    </row>
    <row r="372" spans="1:24">
      <c r="A372" s="104"/>
      <c r="B372" s="104"/>
      <c r="C372" s="104"/>
      <c r="D372" s="102"/>
      <c r="E372"/>
      <c r="F372" s="102"/>
      <c r="G372" s="102"/>
      <c r="H372" s="102"/>
      <c r="I372" s="102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3"/>
      <c r="V372" s="103"/>
      <c r="W372" s="104"/>
      <c r="X372"/>
    </row>
    <row r="373" spans="1:24">
      <c r="A373" s="104"/>
      <c r="B373" s="104"/>
      <c r="C373" s="104"/>
      <c r="D373" s="102"/>
      <c r="E373"/>
      <c r="F373" s="102"/>
      <c r="G373" s="102"/>
      <c r="H373" s="102"/>
      <c r="I373" s="102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3"/>
      <c r="V373" s="103"/>
      <c r="W373" s="104"/>
      <c r="X373"/>
    </row>
    <row r="374" spans="1:24">
      <c r="A374" s="104"/>
      <c r="B374" s="104"/>
      <c r="C374" s="104"/>
      <c r="D374" s="102"/>
      <c r="E374"/>
      <c r="F374" s="102"/>
      <c r="G374" s="102"/>
      <c r="H374" s="102"/>
      <c r="I374" s="102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3"/>
      <c r="V374" s="103"/>
      <c r="W374" s="104"/>
      <c r="X374"/>
    </row>
    <row r="375" spans="1:24">
      <c r="A375" s="104"/>
      <c r="B375" s="104"/>
      <c r="C375" s="104"/>
      <c r="D375" s="102"/>
      <c r="E375"/>
      <c r="F375" s="102"/>
      <c r="G375" s="102"/>
      <c r="H375" s="102"/>
      <c r="I375" s="102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3"/>
      <c r="V375" s="103"/>
      <c r="W375" s="104"/>
      <c r="X375"/>
    </row>
    <row r="376" spans="1:24">
      <c r="A376" s="104"/>
      <c r="B376" s="104"/>
      <c r="C376" s="104"/>
      <c r="D376" s="102"/>
      <c r="E376"/>
      <c r="F376" s="102"/>
      <c r="G376" s="102"/>
      <c r="H376" s="102"/>
      <c r="I376" s="102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3"/>
      <c r="V376" s="103"/>
      <c r="W376" s="104"/>
      <c r="X376"/>
    </row>
    <row r="377" spans="1:24">
      <c r="A377" s="104"/>
      <c r="B377" s="104"/>
      <c r="C377" s="104"/>
      <c r="D377" s="102"/>
      <c r="E377"/>
      <c r="F377" s="102"/>
      <c r="G377" s="102"/>
      <c r="H377" s="102"/>
      <c r="I377" s="102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3"/>
      <c r="V377" s="103"/>
      <c r="W377" s="104"/>
      <c r="X377"/>
    </row>
    <row r="378" spans="1:24">
      <c r="A378" s="104"/>
      <c r="B378" s="104"/>
      <c r="C378" s="104"/>
      <c r="D378" s="102"/>
      <c r="E378"/>
      <c r="F378" s="102"/>
      <c r="G378" s="102"/>
      <c r="H378" s="102"/>
      <c r="I378" s="102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3"/>
      <c r="V378" s="103"/>
      <c r="W378" s="104"/>
      <c r="X378"/>
    </row>
    <row r="379" spans="1:24">
      <c r="A379" s="104"/>
      <c r="B379" s="104"/>
      <c r="C379" s="104"/>
      <c r="D379" s="102"/>
      <c r="E379"/>
      <c r="F379" s="102"/>
      <c r="G379" s="102"/>
      <c r="H379" s="102"/>
      <c r="I379" s="102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3"/>
      <c r="V379" s="103"/>
      <c r="W379" s="104"/>
      <c r="X379"/>
    </row>
    <row r="380" spans="1:24">
      <c r="A380" s="104"/>
      <c r="B380" s="104"/>
      <c r="C380" s="104"/>
      <c r="D380" s="102"/>
      <c r="E380"/>
      <c r="F380" s="102"/>
      <c r="G380" s="102"/>
      <c r="H380" s="102"/>
      <c r="I380" s="102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3"/>
      <c r="V380" s="103"/>
      <c r="W380" s="104"/>
      <c r="X380"/>
    </row>
    <row r="381" spans="1:24">
      <c r="A381" s="104"/>
      <c r="B381" s="104"/>
      <c r="C381" s="104"/>
      <c r="D381" s="102"/>
      <c r="E381"/>
      <c r="F381" s="102"/>
      <c r="G381" s="102"/>
      <c r="H381" s="102"/>
      <c r="I381" s="102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3"/>
      <c r="V381" s="103"/>
      <c r="W381" s="104"/>
      <c r="X381"/>
    </row>
    <row r="382" spans="1:24">
      <c r="A382" s="104"/>
      <c r="B382" s="104"/>
      <c r="C382" s="104"/>
      <c r="D382" s="102"/>
      <c r="E382"/>
      <c r="F382" s="102"/>
      <c r="G382" s="102"/>
      <c r="H382" s="102"/>
      <c r="I382" s="102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3"/>
      <c r="V382" s="103"/>
      <c r="W382" s="104"/>
      <c r="X382"/>
    </row>
    <row r="383" spans="1:24">
      <c r="A383" s="104"/>
      <c r="B383" s="104"/>
      <c r="C383" s="104"/>
      <c r="D383" s="102"/>
      <c r="E383"/>
      <c r="F383" s="102"/>
      <c r="G383" s="102"/>
      <c r="H383" s="102"/>
      <c r="I383" s="102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3"/>
      <c r="V383" s="103"/>
      <c r="W383" s="104"/>
      <c r="X383"/>
    </row>
    <row r="384" spans="1:24">
      <c r="A384" s="104"/>
      <c r="B384" s="104"/>
      <c r="C384" s="104"/>
      <c r="D384" s="102"/>
      <c r="E384"/>
      <c r="F384" s="102"/>
      <c r="G384" s="102"/>
      <c r="H384" s="102"/>
      <c r="I384" s="102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3"/>
      <c r="V384" s="103"/>
      <c r="W384" s="104"/>
      <c r="X384"/>
    </row>
    <row r="385" spans="1:24">
      <c r="A385" s="104"/>
      <c r="B385" s="104"/>
      <c r="C385" s="104"/>
      <c r="D385" s="102"/>
      <c r="E385"/>
      <c r="F385" s="102"/>
      <c r="G385" s="102"/>
      <c r="H385" s="102"/>
      <c r="I385" s="102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3"/>
      <c r="V385" s="103"/>
      <c r="W385" s="104"/>
      <c r="X385"/>
    </row>
    <row r="386" spans="1:24">
      <c r="A386" s="104"/>
      <c r="B386" s="104"/>
      <c r="C386" s="104"/>
      <c r="D386" s="102"/>
      <c r="E386"/>
      <c r="F386" s="102"/>
      <c r="G386" s="102"/>
      <c r="H386" s="102"/>
      <c r="I386" s="102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3"/>
      <c r="V386" s="103"/>
      <c r="W386" s="104"/>
      <c r="X386"/>
    </row>
    <row r="387" spans="1:24">
      <c r="A387" s="104"/>
      <c r="B387" s="104"/>
      <c r="C387" s="104"/>
      <c r="D387" s="102"/>
      <c r="E387"/>
      <c r="F387" s="102"/>
      <c r="G387" s="102"/>
      <c r="H387" s="102"/>
      <c r="I387" s="102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3"/>
      <c r="V387" s="103"/>
      <c r="W387" s="104"/>
      <c r="X387"/>
    </row>
    <row r="388" spans="1:24">
      <c r="A388" s="104"/>
      <c r="B388" s="104"/>
      <c r="C388" s="104"/>
      <c r="D388" s="102"/>
      <c r="E388"/>
      <c r="F388" s="102"/>
      <c r="G388" s="102"/>
      <c r="H388" s="102"/>
      <c r="I388" s="102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3"/>
      <c r="V388" s="103"/>
      <c r="W388" s="104"/>
      <c r="X388"/>
    </row>
    <row r="389" spans="1:24">
      <c r="A389" s="104"/>
      <c r="B389" s="104"/>
      <c r="C389" s="104"/>
      <c r="D389" s="102"/>
      <c r="E389"/>
      <c r="F389" s="102"/>
      <c r="G389" s="102"/>
      <c r="H389" s="102"/>
      <c r="I389" s="102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3"/>
      <c r="V389" s="103"/>
      <c r="W389" s="104"/>
      <c r="X389"/>
    </row>
    <row r="390" spans="1:24">
      <c r="A390" s="104"/>
      <c r="B390" s="104"/>
      <c r="C390" s="104"/>
      <c r="D390" s="102"/>
      <c r="E390"/>
      <c r="F390" s="102"/>
      <c r="G390" s="102"/>
      <c r="H390" s="102"/>
      <c r="I390" s="102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3"/>
      <c r="V390" s="103"/>
      <c r="W390" s="104"/>
      <c r="X390"/>
    </row>
    <row r="391" spans="1:24">
      <c r="A391" s="104"/>
      <c r="B391" s="104"/>
      <c r="C391" s="104"/>
      <c r="D391" s="102"/>
      <c r="E391"/>
      <c r="F391" s="102"/>
      <c r="G391" s="102"/>
      <c r="H391" s="102"/>
      <c r="I391" s="102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3"/>
      <c r="V391" s="103"/>
      <c r="W391" s="104"/>
      <c r="X391"/>
    </row>
    <row r="392" spans="1:24">
      <c r="A392" s="104"/>
      <c r="B392" s="104"/>
      <c r="C392" s="104"/>
      <c r="D392" s="102"/>
      <c r="E392"/>
      <c r="F392" s="102"/>
      <c r="G392" s="102"/>
      <c r="H392" s="102"/>
      <c r="I392" s="102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3"/>
      <c r="V392" s="103"/>
      <c r="W392" s="104"/>
      <c r="X392"/>
    </row>
    <row r="393" spans="1:24">
      <c r="A393" s="104"/>
      <c r="B393" s="104"/>
      <c r="C393" s="104"/>
      <c r="D393" s="102"/>
      <c r="E393"/>
      <c r="F393" s="102"/>
      <c r="G393" s="102"/>
      <c r="H393" s="102"/>
      <c r="I393" s="102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3"/>
      <c r="V393" s="103"/>
      <c r="W393" s="104"/>
      <c r="X393"/>
    </row>
    <row r="394" spans="1:24">
      <c r="A394" s="104"/>
      <c r="B394" s="104"/>
      <c r="C394" s="104"/>
      <c r="D394" s="102"/>
      <c r="E394"/>
      <c r="F394" s="102"/>
      <c r="G394" s="102"/>
      <c r="H394" s="102"/>
      <c r="I394" s="102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3"/>
      <c r="V394" s="103"/>
      <c r="W394" s="104"/>
      <c r="X394"/>
    </row>
    <row r="395" spans="1:24">
      <c r="A395" s="104"/>
      <c r="B395" s="104"/>
      <c r="C395" s="104"/>
      <c r="D395" s="102"/>
      <c r="E395"/>
      <c r="F395" s="102"/>
      <c r="G395" s="102"/>
      <c r="H395" s="102"/>
      <c r="I395" s="102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3"/>
      <c r="V395" s="103"/>
      <c r="W395" s="104"/>
      <c r="X395"/>
    </row>
    <row r="396" spans="1:24">
      <c r="A396" s="104"/>
      <c r="B396" s="104"/>
      <c r="C396" s="104"/>
      <c r="D396" s="102"/>
      <c r="E396"/>
      <c r="F396" s="102"/>
      <c r="G396" s="102"/>
      <c r="H396" s="102"/>
      <c r="I396" s="102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3"/>
      <c r="V396" s="103"/>
      <c r="W396" s="104"/>
      <c r="X396"/>
    </row>
    <row r="397" spans="1:24">
      <c r="A397" s="104"/>
      <c r="B397" s="104"/>
      <c r="C397" s="104"/>
      <c r="D397" s="102"/>
      <c r="E397"/>
      <c r="F397" s="102"/>
      <c r="G397" s="102"/>
      <c r="H397" s="102"/>
      <c r="I397" s="102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3"/>
      <c r="V397" s="103"/>
      <c r="W397" s="104"/>
      <c r="X397"/>
    </row>
    <row r="398" spans="1:24">
      <c r="A398" s="104"/>
      <c r="B398" s="104"/>
      <c r="C398" s="104"/>
      <c r="D398" s="102"/>
      <c r="E398"/>
      <c r="F398" s="102"/>
      <c r="G398" s="102"/>
      <c r="H398" s="102"/>
      <c r="I398" s="102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3"/>
      <c r="V398" s="103"/>
      <c r="W398" s="104"/>
      <c r="X398"/>
    </row>
    <row r="399" spans="1:24">
      <c r="A399" s="104"/>
      <c r="B399" s="104"/>
      <c r="C399" s="104"/>
      <c r="D399" s="102"/>
      <c r="E399"/>
      <c r="F399" s="102"/>
      <c r="G399" s="102"/>
      <c r="H399" s="102"/>
      <c r="I399" s="102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3"/>
      <c r="V399" s="103"/>
      <c r="W399" s="104"/>
      <c r="X399"/>
    </row>
    <row r="400" spans="1:24">
      <c r="A400" s="104"/>
      <c r="B400" s="104"/>
      <c r="C400" s="104"/>
      <c r="D400" s="102"/>
      <c r="E400"/>
      <c r="F400" s="102"/>
      <c r="G400" s="102"/>
      <c r="H400" s="102"/>
      <c r="I400" s="102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3"/>
      <c r="V400" s="103"/>
      <c r="W400" s="104"/>
      <c r="X400"/>
    </row>
    <row r="401" spans="1:24">
      <c r="A401" s="104"/>
      <c r="B401" s="104"/>
      <c r="C401" s="104"/>
      <c r="D401" s="102"/>
      <c r="E401"/>
      <c r="F401" s="102"/>
      <c r="G401" s="102"/>
      <c r="H401" s="102"/>
      <c r="I401" s="102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3"/>
      <c r="V401" s="103"/>
      <c r="W401" s="104"/>
      <c r="X401"/>
    </row>
    <row r="402" spans="1:24">
      <c r="A402" s="104"/>
      <c r="B402" s="104"/>
      <c r="C402" s="104"/>
      <c r="D402" s="102"/>
      <c r="E402"/>
      <c r="F402" s="102"/>
      <c r="G402" s="102"/>
      <c r="H402" s="102"/>
      <c r="I402" s="102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3"/>
      <c r="V402" s="103"/>
      <c r="W402" s="104"/>
      <c r="X402"/>
    </row>
    <row r="403" spans="1:24">
      <c r="A403" s="104"/>
      <c r="B403" s="104"/>
      <c r="C403" s="104"/>
      <c r="D403" s="102"/>
      <c r="E403"/>
      <c r="F403" s="102"/>
      <c r="G403" s="102"/>
      <c r="H403" s="102"/>
      <c r="I403" s="102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3"/>
      <c r="V403" s="103"/>
      <c r="W403" s="104"/>
      <c r="X403"/>
    </row>
    <row r="404" spans="1:24">
      <c r="A404" s="104"/>
      <c r="B404" s="104"/>
      <c r="C404" s="104"/>
      <c r="D404" s="102"/>
      <c r="E404"/>
      <c r="F404" s="102"/>
      <c r="G404" s="102"/>
      <c r="H404" s="102"/>
      <c r="I404" s="102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3"/>
      <c r="V404" s="103"/>
      <c r="W404" s="104"/>
      <c r="X404"/>
    </row>
    <row r="405" spans="1:24">
      <c r="A405" s="104"/>
      <c r="B405" s="104"/>
      <c r="C405" s="104"/>
      <c r="D405" s="102"/>
      <c r="E405"/>
      <c r="F405" s="102"/>
      <c r="G405" s="102"/>
      <c r="H405" s="102"/>
      <c r="I405" s="102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3"/>
      <c r="V405" s="103"/>
      <c r="W405" s="104"/>
      <c r="X405"/>
    </row>
    <row r="406" spans="1:24">
      <c r="A406" s="104"/>
      <c r="B406" s="104"/>
      <c r="C406" s="104"/>
      <c r="D406" s="102"/>
      <c r="E406"/>
      <c r="F406" s="102"/>
      <c r="G406" s="102"/>
      <c r="H406" s="102"/>
      <c r="I406" s="102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3"/>
      <c r="V406" s="103"/>
      <c r="W406" s="104"/>
      <c r="X406"/>
    </row>
    <row r="407" spans="1:24">
      <c r="A407" s="104"/>
      <c r="B407" s="104"/>
      <c r="C407" s="104"/>
      <c r="D407" s="102"/>
      <c r="E407"/>
      <c r="F407" s="102"/>
      <c r="G407" s="102"/>
      <c r="H407" s="102"/>
      <c r="I407" s="102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3"/>
      <c r="V407" s="103"/>
      <c r="W407" s="104"/>
      <c r="X407"/>
    </row>
    <row r="408" spans="1:24">
      <c r="A408" s="104"/>
      <c r="B408" s="104"/>
      <c r="C408" s="104"/>
      <c r="D408" s="102"/>
      <c r="E408"/>
      <c r="F408" s="102"/>
      <c r="G408" s="102"/>
      <c r="H408" s="102"/>
      <c r="I408" s="102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3"/>
      <c r="V408" s="103"/>
      <c r="W408" s="104"/>
      <c r="X408"/>
    </row>
    <row r="409" spans="1:24">
      <c r="A409" s="104"/>
      <c r="B409" s="104"/>
      <c r="C409" s="104"/>
      <c r="D409" s="102"/>
      <c r="E409"/>
      <c r="F409" s="102"/>
      <c r="G409" s="102"/>
      <c r="H409" s="102"/>
      <c r="I409" s="102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3"/>
      <c r="V409" s="103"/>
      <c r="W409" s="104"/>
      <c r="X409"/>
    </row>
    <row r="410" spans="1:24">
      <c r="A410" s="104"/>
      <c r="B410" s="104"/>
      <c r="C410" s="104"/>
      <c r="D410" s="102"/>
      <c r="E410"/>
      <c r="F410" s="102"/>
      <c r="G410" s="102"/>
      <c r="H410" s="102"/>
      <c r="I410" s="102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3"/>
      <c r="V410" s="103"/>
      <c r="W410" s="104"/>
      <c r="X410"/>
    </row>
    <row r="411" spans="1:24">
      <c r="A411" s="104"/>
      <c r="B411" s="104"/>
      <c r="C411" s="104"/>
      <c r="D411" s="102"/>
      <c r="E411"/>
      <c r="F411" s="102"/>
      <c r="G411" s="102"/>
      <c r="H411" s="102"/>
      <c r="I411" s="102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3"/>
      <c r="V411" s="103"/>
      <c r="W411" s="104"/>
      <c r="X411"/>
    </row>
    <row r="412" spans="1:24">
      <c r="A412" s="104"/>
      <c r="B412" s="104"/>
      <c r="C412" s="104"/>
      <c r="D412" s="102"/>
      <c r="E412"/>
      <c r="F412" s="102"/>
      <c r="G412" s="102"/>
      <c r="H412" s="102"/>
      <c r="I412" s="102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3"/>
      <c r="V412" s="103"/>
      <c r="W412" s="104"/>
      <c r="X412"/>
    </row>
    <row r="413" spans="1:24">
      <c r="A413" s="104"/>
      <c r="B413" s="104"/>
      <c r="C413" s="104"/>
      <c r="D413" s="102"/>
      <c r="E413"/>
      <c r="F413" s="102"/>
      <c r="G413" s="102"/>
      <c r="H413" s="102"/>
      <c r="I413" s="102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3"/>
      <c r="V413" s="103"/>
      <c r="W413" s="104"/>
      <c r="X413"/>
    </row>
    <row r="414" spans="1:24">
      <c r="A414" s="104"/>
      <c r="B414" s="104"/>
      <c r="C414" s="104"/>
      <c r="D414" s="102"/>
      <c r="E414"/>
      <c r="F414" s="102"/>
      <c r="G414" s="102"/>
      <c r="H414" s="102"/>
      <c r="I414" s="102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3"/>
      <c r="V414" s="103"/>
      <c r="W414" s="104"/>
      <c r="X414"/>
    </row>
    <row r="415" spans="1:24">
      <c r="A415" s="104"/>
      <c r="B415" s="104"/>
      <c r="C415" s="104"/>
      <c r="D415" s="102"/>
      <c r="E415"/>
      <c r="F415" s="102"/>
      <c r="G415" s="102"/>
      <c r="H415" s="102"/>
      <c r="I415" s="102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3"/>
      <c r="V415" s="103"/>
      <c r="W415" s="104"/>
      <c r="X415"/>
    </row>
    <row r="416" spans="1:24">
      <c r="A416" s="104"/>
      <c r="B416" s="104"/>
      <c r="C416" s="104"/>
      <c r="D416" s="102"/>
      <c r="E416"/>
      <c r="F416" s="102"/>
      <c r="G416" s="102"/>
      <c r="H416" s="102"/>
      <c r="I416" s="102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3"/>
      <c r="V416" s="103"/>
      <c r="W416" s="104"/>
      <c r="X416"/>
    </row>
    <row r="417" spans="1:24">
      <c r="A417" s="104"/>
      <c r="B417" s="104"/>
      <c r="C417" s="104"/>
      <c r="D417" s="102"/>
      <c r="E417"/>
      <c r="F417" s="102"/>
      <c r="G417" s="102"/>
      <c r="H417" s="102"/>
      <c r="I417" s="102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3"/>
      <c r="V417" s="103"/>
      <c r="W417" s="104"/>
      <c r="X417"/>
    </row>
    <row r="418" spans="1:24">
      <c r="A418" s="104"/>
      <c r="B418" s="104"/>
      <c r="C418" s="104"/>
      <c r="D418" s="102"/>
      <c r="E418"/>
      <c r="F418" s="102"/>
      <c r="G418" s="102"/>
      <c r="H418" s="102"/>
      <c r="I418" s="102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3"/>
      <c r="V418" s="103"/>
      <c r="W418" s="104"/>
      <c r="X418"/>
    </row>
    <row r="419" spans="1:24">
      <c r="A419" s="104"/>
      <c r="B419" s="104"/>
      <c r="C419" s="104"/>
      <c r="D419" s="102"/>
      <c r="E419"/>
      <c r="F419" s="102"/>
      <c r="G419" s="102"/>
      <c r="H419" s="102"/>
      <c r="I419" s="102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3"/>
      <c r="V419" s="103"/>
      <c r="W419" s="104"/>
      <c r="X419"/>
    </row>
    <row r="420" spans="1:24">
      <c r="A420" s="104"/>
      <c r="B420" s="104"/>
      <c r="C420" s="104"/>
      <c r="D420" s="102"/>
      <c r="E420"/>
      <c r="F420" s="102"/>
      <c r="G420" s="102"/>
      <c r="H420" s="102"/>
      <c r="I420" s="102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3"/>
      <c r="V420" s="103"/>
      <c r="W420" s="104"/>
      <c r="X420"/>
    </row>
    <row r="421" spans="1:24">
      <c r="A421" s="104"/>
      <c r="B421" s="104"/>
      <c r="C421" s="104"/>
      <c r="D421" s="102"/>
      <c r="E421"/>
      <c r="F421" s="102"/>
      <c r="G421" s="102"/>
      <c r="H421" s="102"/>
      <c r="I421" s="102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3"/>
      <c r="V421" s="103"/>
      <c r="W421" s="104"/>
      <c r="X421"/>
    </row>
    <row r="422" spans="1:24">
      <c r="A422" s="104"/>
      <c r="B422" s="104"/>
      <c r="C422" s="104"/>
      <c r="D422" s="102"/>
      <c r="E422"/>
      <c r="F422" s="102"/>
      <c r="G422" s="102"/>
      <c r="H422" s="102"/>
      <c r="I422" s="102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3"/>
      <c r="V422" s="103"/>
      <c r="W422" s="104"/>
      <c r="X422"/>
    </row>
    <row r="423" spans="1:24">
      <c r="A423" s="104"/>
      <c r="B423" s="104"/>
      <c r="C423" s="104"/>
      <c r="D423" s="102"/>
      <c r="E423"/>
      <c r="F423" s="102"/>
      <c r="G423" s="102"/>
      <c r="H423" s="102"/>
      <c r="I423" s="102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3"/>
      <c r="V423" s="103"/>
      <c r="W423" s="104"/>
      <c r="X423"/>
    </row>
    <row r="424" spans="1:24">
      <c r="A424" s="104"/>
      <c r="B424" s="104"/>
      <c r="C424" s="104"/>
      <c r="D424" s="102"/>
      <c r="E424"/>
      <c r="F424" s="102"/>
      <c r="G424" s="102"/>
      <c r="H424" s="102"/>
      <c r="I424" s="102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3"/>
      <c r="V424" s="103"/>
      <c r="W424" s="104"/>
      <c r="X424"/>
    </row>
    <row r="425" spans="1:24">
      <c r="A425" s="104"/>
      <c r="B425" s="104"/>
      <c r="C425" s="104"/>
      <c r="D425" s="102"/>
      <c r="E425"/>
      <c r="F425" s="102"/>
      <c r="G425" s="102"/>
      <c r="H425" s="102"/>
      <c r="I425" s="102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3"/>
      <c r="V425" s="103"/>
      <c r="W425" s="104"/>
      <c r="X425"/>
    </row>
    <row r="426" spans="1:24">
      <c r="A426" s="104"/>
      <c r="B426" s="104"/>
      <c r="C426" s="104"/>
      <c r="D426" s="102"/>
      <c r="E426"/>
      <c r="F426" s="102"/>
      <c r="G426" s="102"/>
      <c r="H426" s="102"/>
      <c r="I426" s="102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3"/>
      <c r="V426" s="103"/>
      <c r="W426" s="104"/>
      <c r="X426"/>
    </row>
    <row r="427" spans="1:24">
      <c r="A427" s="104"/>
      <c r="B427" s="104"/>
      <c r="C427" s="104"/>
      <c r="D427" s="102"/>
      <c r="E427"/>
      <c r="F427" s="102"/>
      <c r="G427" s="102"/>
      <c r="H427" s="102"/>
      <c r="I427" s="102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3"/>
      <c r="V427" s="103"/>
      <c r="W427" s="104"/>
      <c r="X427"/>
    </row>
    <row r="428" spans="1:24">
      <c r="A428" s="104"/>
      <c r="B428" s="104"/>
      <c r="C428" s="104"/>
      <c r="D428" s="102"/>
      <c r="E428"/>
      <c r="F428" s="102"/>
      <c r="G428" s="102"/>
      <c r="H428" s="102"/>
      <c r="I428" s="102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3"/>
      <c r="V428" s="103"/>
      <c r="W428" s="104"/>
      <c r="X428"/>
    </row>
    <row r="429" spans="1:24">
      <c r="A429" s="104"/>
      <c r="B429" s="104"/>
      <c r="C429" s="104"/>
      <c r="D429" s="102"/>
      <c r="E429"/>
      <c r="F429" s="102"/>
      <c r="G429" s="102"/>
      <c r="H429" s="102"/>
      <c r="I429" s="102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3"/>
      <c r="V429" s="103"/>
      <c r="W429" s="104"/>
      <c r="X429"/>
    </row>
    <row r="430" spans="1:24">
      <c r="A430" s="104"/>
      <c r="B430" s="104"/>
      <c r="C430" s="104"/>
      <c r="D430" s="102"/>
      <c r="E430"/>
      <c r="F430" s="102"/>
      <c r="G430" s="102"/>
      <c r="H430" s="102"/>
      <c r="I430" s="102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3"/>
      <c r="V430" s="103"/>
      <c r="W430" s="104"/>
      <c r="X430"/>
    </row>
    <row r="431" spans="1:24">
      <c r="A431" s="104"/>
      <c r="B431" s="104"/>
      <c r="C431" s="104"/>
      <c r="D431" s="102"/>
      <c r="E431"/>
      <c r="F431" s="102"/>
      <c r="G431" s="102"/>
      <c r="H431" s="102"/>
      <c r="I431" s="102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3"/>
      <c r="V431" s="103"/>
      <c r="W431" s="104"/>
      <c r="X431"/>
    </row>
    <row r="432" spans="1:24">
      <c r="A432" s="104"/>
      <c r="B432" s="104"/>
      <c r="C432" s="104"/>
      <c r="D432" s="102"/>
      <c r="E432"/>
      <c r="F432" s="102"/>
      <c r="G432" s="102"/>
      <c r="H432" s="102"/>
      <c r="I432" s="102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3"/>
      <c r="V432" s="103"/>
      <c r="W432" s="104"/>
      <c r="X432"/>
    </row>
    <row r="433" spans="1:24">
      <c r="A433" s="104"/>
      <c r="B433" s="104"/>
      <c r="C433" s="104"/>
      <c r="D433" s="102"/>
      <c r="E433"/>
      <c r="F433" s="102"/>
      <c r="G433" s="102"/>
      <c r="H433" s="102"/>
      <c r="I433" s="102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3"/>
      <c r="V433" s="103"/>
      <c r="W433" s="104"/>
      <c r="X433"/>
    </row>
    <row r="434" spans="1:24">
      <c r="A434" s="104"/>
      <c r="B434" s="104"/>
      <c r="C434" s="104"/>
      <c r="D434" s="102"/>
      <c r="E434"/>
      <c r="F434" s="102"/>
      <c r="G434" s="102"/>
      <c r="H434" s="102"/>
      <c r="I434" s="102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3"/>
      <c r="V434" s="103"/>
      <c r="W434" s="104"/>
      <c r="X434"/>
    </row>
    <row r="435" spans="1:24">
      <c r="A435" s="104"/>
      <c r="B435" s="104"/>
      <c r="C435" s="104"/>
      <c r="D435" s="102"/>
      <c r="E435"/>
      <c r="F435" s="102"/>
      <c r="G435" s="102"/>
      <c r="H435" s="102"/>
      <c r="I435" s="102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3"/>
      <c r="V435" s="103"/>
      <c r="W435" s="104"/>
      <c r="X435"/>
    </row>
    <row r="436" spans="1:24">
      <c r="A436" s="104"/>
      <c r="B436" s="104"/>
      <c r="C436" s="104"/>
      <c r="D436" s="102"/>
      <c r="E436"/>
      <c r="F436" s="102"/>
      <c r="G436" s="102"/>
      <c r="H436" s="102"/>
      <c r="I436" s="102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3"/>
      <c r="V436" s="103"/>
      <c r="W436" s="104"/>
      <c r="X436"/>
    </row>
    <row r="437" spans="1:24">
      <c r="A437" s="104"/>
      <c r="B437" s="104"/>
      <c r="C437" s="104"/>
      <c r="D437" s="102"/>
      <c r="E437"/>
      <c r="F437" s="102"/>
      <c r="G437" s="102"/>
      <c r="H437" s="102"/>
      <c r="I437" s="102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3"/>
      <c r="V437" s="103"/>
      <c r="W437" s="104"/>
      <c r="X437"/>
    </row>
    <row r="438" spans="1:24">
      <c r="A438" s="104"/>
      <c r="B438" s="104"/>
      <c r="C438" s="104"/>
      <c r="D438" s="102"/>
      <c r="E438"/>
      <c r="F438" s="102"/>
      <c r="G438" s="102"/>
      <c r="H438" s="102"/>
      <c r="I438" s="102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3"/>
      <c r="V438" s="103"/>
      <c r="W438" s="104"/>
      <c r="X438"/>
    </row>
    <row r="439" spans="1:24">
      <c r="A439" s="104"/>
      <c r="B439" s="104"/>
      <c r="C439" s="104"/>
      <c r="D439" s="102"/>
      <c r="E439"/>
      <c r="F439" s="102"/>
      <c r="G439" s="102"/>
      <c r="H439" s="102"/>
      <c r="I439" s="102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3"/>
      <c r="V439" s="103"/>
      <c r="W439" s="104"/>
      <c r="X439"/>
    </row>
    <row r="440" spans="1:24">
      <c r="A440" s="104"/>
      <c r="B440" s="104"/>
      <c r="C440" s="104"/>
      <c r="D440" s="102"/>
      <c r="E440"/>
      <c r="F440" s="102"/>
      <c r="G440" s="102"/>
      <c r="H440" s="102"/>
      <c r="I440" s="102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3"/>
      <c r="V440" s="103"/>
      <c r="W440" s="104"/>
      <c r="X440"/>
    </row>
    <row r="441" spans="1:24">
      <c r="A441" s="104"/>
      <c r="B441" s="104"/>
      <c r="C441" s="104"/>
      <c r="D441" s="102"/>
      <c r="E441"/>
      <c r="F441" s="102"/>
      <c r="G441" s="102"/>
      <c r="H441" s="102"/>
      <c r="I441" s="102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3"/>
      <c r="V441" s="103"/>
      <c r="W441" s="104"/>
      <c r="X441"/>
    </row>
    <row r="442" spans="1:24">
      <c r="A442" s="104"/>
      <c r="B442" s="104"/>
      <c r="C442" s="104"/>
      <c r="D442" s="102"/>
      <c r="E442"/>
      <c r="F442" s="102"/>
      <c r="G442" s="102"/>
      <c r="H442" s="102"/>
      <c r="I442" s="102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3"/>
      <c r="V442" s="103"/>
      <c r="W442" s="104"/>
      <c r="X442"/>
    </row>
    <row r="443" spans="1:24">
      <c r="A443" s="104"/>
      <c r="B443" s="104"/>
      <c r="C443" s="104"/>
      <c r="D443" s="102"/>
      <c r="E443"/>
      <c r="F443" s="102"/>
      <c r="G443" s="102"/>
      <c r="H443" s="102"/>
      <c r="I443" s="102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3"/>
      <c r="V443" s="103"/>
      <c r="W443" s="104"/>
      <c r="X443"/>
    </row>
    <row r="444" spans="1:24">
      <c r="A444" s="104"/>
      <c r="B444" s="104"/>
      <c r="C444" s="104"/>
      <c r="D444" s="102"/>
      <c r="E444"/>
      <c r="F444" s="102"/>
      <c r="G444" s="102"/>
      <c r="H444" s="102"/>
      <c r="I444" s="102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3"/>
      <c r="V444" s="103"/>
      <c r="W444" s="104"/>
      <c r="X444"/>
    </row>
    <row r="445" spans="1:24">
      <c r="A445" s="104"/>
      <c r="B445" s="104"/>
      <c r="C445" s="104"/>
      <c r="D445" s="102"/>
      <c r="E445"/>
      <c r="F445" s="102"/>
      <c r="G445" s="102"/>
      <c r="H445" s="102"/>
      <c r="I445" s="102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3"/>
      <c r="V445" s="103"/>
      <c r="W445" s="104"/>
      <c r="X445"/>
    </row>
    <row r="446" spans="1:24">
      <c r="A446" s="104"/>
      <c r="B446" s="104"/>
      <c r="C446" s="104"/>
      <c r="D446" s="102"/>
      <c r="E446"/>
      <c r="F446" s="102"/>
      <c r="G446" s="102"/>
      <c r="H446" s="102"/>
      <c r="I446" s="102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3"/>
      <c r="V446" s="103"/>
      <c r="W446" s="104"/>
      <c r="X446"/>
    </row>
    <row r="447" spans="1:24">
      <c r="A447" s="104"/>
      <c r="B447" s="104"/>
      <c r="C447" s="104"/>
      <c r="D447" s="102"/>
      <c r="E447"/>
      <c r="F447" s="102"/>
      <c r="G447" s="102"/>
      <c r="H447" s="102"/>
      <c r="I447" s="102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3"/>
      <c r="V447" s="103"/>
      <c r="W447" s="104"/>
      <c r="X447"/>
    </row>
    <row r="448" spans="1:24">
      <c r="A448" s="104"/>
      <c r="B448" s="104"/>
      <c r="C448" s="104"/>
      <c r="D448" s="102"/>
      <c r="E448"/>
      <c r="F448" s="102"/>
      <c r="G448" s="102"/>
      <c r="H448" s="102"/>
      <c r="I448" s="102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3"/>
      <c r="V448" s="103"/>
      <c r="W448" s="104"/>
      <c r="X448"/>
    </row>
    <row r="449" spans="1:24">
      <c r="A449" s="104"/>
      <c r="B449" s="104"/>
      <c r="C449" s="104"/>
      <c r="D449" s="102"/>
      <c r="E449"/>
      <c r="F449" s="102"/>
      <c r="G449" s="102"/>
      <c r="H449" s="102"/>
      <c r="I449" s="102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3"/>
      <c r="V449" s="103"/>
      <c r="W449" s="104"/>
      <c r="X449"/>
    </row>
    <row r="450" spans="1:24">
      <c r="A450" s="104"/>
      <c r="B450" s="104"/>
      <c r="C450" s="104"/>
      <c r="D450" s="102"/>
      <c r="E450"/>
      <c r="F450" s="102"/>
      <c r="G450" s="102"/>
      <c r="H450" s="102"/>
      <c r="I450" s="102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3"/>
      <c r="V450" s="103"/>
      <c r="W450" s="104"/>
      <c r="X450"/>
    </row>
    <row r="451" spans="1:24">
      <c r="A451" s="104"/>
      <c r="B451" s="104"/>
      <c r="C451" s="104"/>
      <c r="D451" s="102"/>
      <c r="E451"/>
      <c r="F451" s="102"/>
      <c r="G451" s="102"/>
      <c r="H451" s="102"/>
      <c r="I451" s="102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3"/>
      <c r="V451" s="103"/>
      <c r="W451" s="104"/>
      <c r="X451"/>
    </row>
    <row r="452" spans="1:24">
      <c r="A452" s="104"/>
      <c r="B452" s="104"/>
      <c r="C452" s="104"/>
      <c r="D452" s="102"/>
      <c r="E452"/>
      <c r="F452" s="102"/>
      <c r="G452" s="102"/>
      <c r="H452" s="102"/>
      <c r="I452" s="102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3"/>
      <c r="V452" s="103"/>
      <c r="W452" s="104"/>
      <c r="X452"/>
    </row>
    <row r="453" spans="1:24">
      <c r="A453" s="104"/>
      <c r="B453" s="104"/>
      <c r="C453" s="104"/>
      <c r="D453" s="102"/>
      <c r="E453"/>
      <c r="F453" s="102"/>
      <c r="G453" s="102"/>
      <c r="H453" s="102"/>
      <c r="I453" s="102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3"/>
      <c r="V453" s="103"/>
      <c r="W453" s="104"/>
      <c r="X453"/>
    </row>
    <row r="454" spans="1:24">
      <c r="A454" s="104"/>
      <c r="B454" s="104"/>
      <c r="C454" s="104"/>
      <c r="D454" s="102"/>
      <c r="E454"/>
      <c r="F454" s="102"/>
      <c r="G454" s="102"/>
      <c r="H454" s="102"/>
      <c r="I454" s="102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3"/>
      <c r="V454" s="103"/>
      <c r="W454" s="104"/>
      <c r="X454"/>
    </row>
    <row r="455" spans="1:24">
      <c r="A455" s="104"/>
      <c r="B455" s="104"/>
      <c r="C455" s="104"/>
      <c r="D455" s="102"/>
      <c r="E455"/>
      <c r="F455" s="102"/>
      <c r="G455" s="102"/>
      <c r="H455" s="102"/>
      <c r="I455" s="102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3"/>
      <c r="V455" s="103"/>
      <c r="W455" s="104"/>
      <c r="X455"/>
    </row>
    <row r="456" spans="1:24">
      <c r="A456" s="104"/>
      <c r="B456" s="104"/>
      <c r="C456" s="104"/>
      <c r="D456" s="102"/>
      <c r="E456"/>
      <c r="F456" s="102"/>
      <c r="G456" s="102"/>
      <c r="H456" s="102"/>
      <c r="I456" s="102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3"/>
      <c r="V456" s="103"/>
      <c r="W456" s="104"/>
      <c r="X456"/>
    </row>
    <row r="457" spans="1:24">
      <c r="A457" s="104"/>
      <c r="B457" s="104"/>
      <c r="C457" s="104"/>
      <c r="D457" s="102"/>
      <c r="E457"/>
      <c r="F457" s="102"/>
      <c r="G457" s="102"/>
      <c r="H457" s="102"/>
      <c r="I457" s="102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3"/>
      <c r="V457" s="103"/>
      <c r="W457" s="104"/>
      <c r="X457"/>
    </row>
    <row r="458" spans="1:24">
      <c r="A458" s="104"/>
      <c r="B458" s="104"/>
      <c r="C458" s="104"/>
      <c r="D458" s="102"/>
      <c r="E458"/>
      <c r="F458" s="102"/>
      <c r="G458" s="102"/>
      <c r="H458" s="102"/>
      <c r="I458" s="102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3"/>
      <c r="V458" s="103"/>
      <c r="W458" s="104"/>
      <c r="X458"/>
    </row>
    <row r="459" spans="1:24">
      <c r="A459" s="104"/>
      <c r="B459" s="104"/>
      <c r="C459" s="104"/>
      <c r="D459" s="102"/>
      <c r="E459"/>
      <c r="F459" s="102"/>
      <c r="G459" s="102"/>
      <c r="H459" s="102"/>
      <c r="I459" s="102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3"/>
      <c r="V459" s="103"/>
      <c r="W459" s="104"/>
      <c r="X459"/>
    </row>
    <row r="460" spans="1:24">
      <c r="A460" s="104"/>
      <c r="B460" s="104"/>
      <c r="C460" s="104"/>
      <c r="D460" s="102"/>
      <c r="E460"/>
      <c r="F460" s="102"/>
      <c r="G460" s="102"/>
      <c r="H460" s="102"/>
      <c r="I460" s="102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3"/>
      <c r="V460" s="103"/>
      <c r="W460" s="104"/>
      <c r="X460"/>
    </row>
    <row r="461" spans="1:24">
      <c r="A461" s="104"/>
      <c r="B461" s="104"/>
      <c r="C461" s="104"/>
      <c r="D461" s="102"/>
      <c r="E461"/>
      <c r="F461" s="102"/>
      <c r="G461" s="102"/>
      <c r="H461" s="102"/>
      <c r="I461" s="102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3"/>
      <c r="V461" s="103"/>
      <c r="W461" s="104"/>
      <c r="X461"/>
    </row>
    <row r="462" spans="1:24">
      <c r="A462" s="104"/>
      <c r="B462" s="104"/>
      <c r="C462" s="104"/>
      <c r="D462" s="102"/>
      <c r="E462"/>
      <c r="F462" s="102"/>
      <c r="G462" s="102"/>
      <c r="H462" s="102"/>
      <c r="I462" s="102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3"/>
      <c r="V462" s="103"/>
      <c r="W462" s="104"/>
      <c r="X462"/>
    </row>
    <row r="463" spans="1:24">
      <c r="A463" s="104"/>
      <c r="B463" s="104"/>
      <c r="C463" s="104"/>
      <c r="D463" s="102"/>
      <c r="E463"/>
      <c r="F463" s="102"/>
      <c r="G463" s="102"/>
      <c r="H463" s="102"/>
      <c r="I463" s="102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3"/>
      <c r="V463" s="103"/>
      <c r="W463" s="104"/>
      <c r="X463"/>
    </row>
    <row r="464" spans="1:24">
      <c r="A464" s="104"/>
      <c r="B464" s="104"/>
      <c r="C464" s="104"/>
      <c r="D464" s="102"/>
      <c r="E464"/>
      <c r="F464" s="102"/>
      <c r="G464" s="102"/>
      <c r="H464" s="102"/>
      <c r="I464" s="102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3"/>
      <c r="V464" s="103"/>
      <c r="W464" s="104"/>
      <c r="X464"/>
    </row>
    <row r="465" spans="1:24">
      <c r="A465" s="104"/>
      <c r="B465" s="104"/>
      <c r="C465" s="104"/>
      <c r="D465" s="102"/>
      <c r="E465"/>
      <c r="F465" s="102"/>
      <c r="G465" s="102"/>
      <c r="H465" s="102"/>
      <c r="I465" s="102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3"/>
      <c r="V465" s="103"/>
      <c r="W465" s="104"/>
      <c r="X465"/>
    </row>
    <row r="466" spans="1:24">
      <c r="A466" s="104"/>
      <c r="B466" s="104"/>
      <c r="C466" s="104"/>
      <c r="D466" s="102"/>
      <c r="E466"/>
      <c r="F466" s="102"/>
      <c r="G466" s="102"/>
      <c r="H466" s="102"/>
      <c r="I466" s="102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3"/>
      <c r="V466" s="103"/>
      <c r="W466" s="104"/>
      <c r="X466"/>
    </row>
    <row r="467" spans="1:24">
      <c r="A467" s="104"/>
      <c r="B467" s="104"/>
      <c r="C467" s="104"/>
      <c r="D467" s="102"/>
      <c r="E467"/>
      <c r="F467" s="102"/>
      <c r="G467" s="102"/>
      <c r="H467" s="102"/>
      <c r="I467" s="102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3"/>
      <c r="V467" s="103"/>
      <c r="W467" s="104"/>
      <c r="X467"/>
    </row>
    <row r="468" spans="1:24">
      <c r="A468" s="104"/>
      <c r="B468" s="104"/>
      <c r="C468" s="104"/>
      <c r="D468" s="102"/>
      <c r="E468"/>
      <c r="F468" s="102"/>
      <c r="G468" s="102"/>
      <c r="H468" s="102"/>
      <c r="I468" s="102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3"/>
      <c r="V468" s="103"/>
      <c r="W468" s="104"/>
      <c r="X468"/>
    </row>
    <row r="469" spans="1:24">
      <c r="A469" s="104"/>
      <c r="B469" s="104"/>
      <c r="C469" s="104"/>
      <c r="D469" s="102"/>
      <c r="E469"/>
      <c r="F469" s="102"/>
      <c r="G469" s="102"/>
      <c r="H469" s="102"/>
      <c r="I469" s="102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3"/>
      <c r="V469" s="103"/>
      <c r="W469" s="104"/>
      <c r="X469"/>
    </row>
    <row r="470" spans="1:24">
      <c r="A470" s="104"/>
      <c r="B470" s="104"/>
      <c r="C470" s="104"/>
      <c r="D470" s="102"/>
      <c r="E470"/>
      <c r="F470" s="102"/>
      <c r="G470" s="102"/>
      <c r="H470" s="102"/>
      <c r="I470" s="102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3"/>
      <c r="V470" s="103"/>
      <c r="W470" s="104"/>
      <c r="X470"/>
    </row>
    <row r="471" spans="1:24">
      <c r="A471" s="104"/>
      <c r="B471" s="104"/>
      <c r="C471" s="104"/>
      <c r="D471" s="102"/>
      <c r="E471"/>
      <c r="F471" s="102"/>
      <c r="G471" s="102"/>
      <c r="H471" s="102"/>
      <c r="I471" s="102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3"/>
      <c r="V471" s="103"/>
      <c r="W471" s="104"/>
      <c r="X471"/>
    </row>
    <row r="472" spans="1:24">
      <c r="A472" s="104"/>
      <c r="B472" s="104"/>
      <c r="C472" s="104"/>
      <c r="D472" s="102"/>
      <c r="E472"/>
      <c r="F472" s="102"/>
      <c r="G472" s="102"/>
      <c r="H472" s="102"/>
      <c r="I472" s="102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3"/>
      <c r="V472" s="103"/>
      <c r="W472" s="104"/>
      <c r="X472"/>
    </row>
    <row r="473" spans="1:24">
      <c r="A473" s="104"/>
      <c r="B473" s="104"/>
      <c r="C473" s="104"/>
      <c r="D473" s="102"/>
      <c r="E473"/>
      <c r="F473" s="102"/>
      <c r="G473" s="102"/>
      <c r="H473" s="102"/>
      <c r="I473" s="102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3"/>
      <c r="V473" s="103"/>
      <c r="W473" s="104"/>
      <c r="X473"/>
    </row>
    <row r="474" spans="1:24">
      <c r="A474" s="104"/>
      <c r="B474" s="104"/>
      <c r="C474" s="104"/>
      <c r="D474" s="102"/>
      <c r="E474"/>
      <c r="F474" s="102"/>
      <c r="G474" s="102"/>
      <c r="H474" s="102"/>
      <c r="I474" s="102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3"/>
      <c r="V474" s="103"/>
      <c r="W474" s="104"/>
      <c r="X474"/>
    </row>
    <row r="475" spans="1:24">
      <c r="A475" s="104"/>
      <c r="B475" s="104"/>
      <c r="C475" s="104"/>
      <c r="D475" s="102"/>
      <c r="E475"/>
      <c r="F475" s="102"/>
      <c r="G475" s="102"/>
      <c r="H475" s="102"/>
      <c r="I475" s="102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3"/>
      <c r="V475" s="103"/>
      <c r="W475" s="104"/>
      <c r="X475"/>
    </row>
    <row r="476" spans="1:24">
      <c r="A476" s="104"/>
      <c r="B476" s="104"/>
      <c r="C476" s="104"/>
      <c r="D476" s="102"/>
      <c r="E476"/>
      <c r="F476" s="102"/>
      <c r="G476" s="102"/>
      <c r="H476" s="102"/>
      <c r="I476" s="102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3"/>
      <c r="V476" s="103"/>
      <c r="W476" s="104"/>
      <c r="X476"/>
    </row>
    <row r="477" spans="1:24">
      <c r="A477" s="104"/>
      <c r="B477" s="104"/>
      <c r="C477" s="104"/>
      <c r="D477" s="102"/>
      <c r="E477"/>
      <c r="F477" s="102"/>
      <c r="G477" s="102"/>
      <c r="H477" s="102"/>
      <c r="I477" s="102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3"/>
      <c r="V477" s="103"/>
      <c r="W477" s="104"/>
      <c r="X477"/>
    </row>
    <row r="478" spans="1:24">
      <c r="A478" s="104"/>
      <c r="B478" s="104"/>
      <c r="C478" s="104"/>
      <c r="D478" s="102"/>
      <c r="E478"/>
      <c r="F478" s="102"/>
      <c r="G478" s="102"/>
      <c r="H478" s="102"/>
      <c r="I478" s="102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3"/>
      <c r="V478" s="103"/>
      <c r="W478" s="104"/>
      <c r="X478"/>
    </row>
    <row r="479" spans="1:24">
      <c r="A479" s="104"/>
      <c r="B479" s="104"/>
      <c r="C479" s="104"/>
      <c r="D479" s="102"/>
      <c r="E479"/>
      <c r="F479" s="102"/>
      <c r="G479" s="102"/>
      <c r="H479" s="102"/>
      <c r="I479" s="102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3"/>
      <c r="V479" s="103"/>
      <c r="W479" s="104"/>
      <c r="X479"/>
    </row>
    <row r="480" spans="1:24">
      <c r="A480" s="104"/>
      <c r="B480" s="104"/>
      <c r="C480" s="104"/>
      <c r="D480" s="102"/>
      <c r="E480"/>
      <c r="F480" s="102"/>
      <c r="G480" s="102"/>
      <c r="H480" s="102"/>
      <c r="I480" s="102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3"/>
      <c r="V480" s="103"/>
      <c r="W480" s="104"/>
      <c r="X480"/>
    </row>
    <row r="481" spans="1:24">
      <c r="A481" s="104"/>
      <c r="B481" s="104"/>
      <c r="C481" s="104"/>
      <c r="D481" s="102"/>
      <c r="E481"/>
      <c r="F481" s="102"/>
      <c r="G481" s="102"/>
      <c r="H481" s="102"/>
      <c r="I481" s="102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3"/>
      <c r="V481" s="103"/>
      <c r="W481" s="104"/>
      <c r="X481"/>
    </row>
    <row r="482" spans="1:24">
      <c r="A482" s="104"/>
      <c r="B482" s="104"/>
      <c r="C482" s="104"/>
      <c r="D482" s="102"/>
      <c r="E482"/>
      <c r="F482" s="102"/>
      <c r="G482" s="102"/>
      <c r="H482" s="102"/>
      <c r="I482" s="102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3"/>
      <c r="V482" s="103"/>
      <c r="W482" s="104"/>
      <c r="X482"/>
    </row>
    <row r="483" spans="1:24">
      <c r="A483" s="104"/>
      <c r="B483" s="104"/>
      <c r="C483" s="104"/>
      <c r="D483" s="102"/>
      <c r="E483"/>
      <c r="F483" s="102"/>
      <c r="G483" s="102"/>
      <c r="H483" s="102"/>
      <c r="I483" s="102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3"/>
      <c r="V483" s="103"/>
      <c r="W483" s="104"/>
      <c r="X483"/>
    </row>
    <row r="484" spans="1:24">
      <c r="A484" s="104"/>
      <c r="B484" s="104"/>
      <c r="C484" s="104"/>
      <c r="D484" s="102"/>
      <c r="E484"/>
      <c r="F484" s="102"/>
      <c r="G484" s="102"/>
      <c r="H484" s="102"/>
      <c r="I484" s="102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3"/>
      <c r="V484" s="103"/>
      <c r="W484" s="104"/>
      <c r="X484"/>
    </row>
    <row r="485" spans="1:24">
      <c r="A485" s="104"/>
      <c r="B485" s="104"/>
      <c r="C485" s="104"/>
      <c r="D485" s="102"/>
      <c r="E485"/>
      <c r="F485" s="102"/>
      <c r="G485" s="102"/>
      <c r="H485" s="102"/>
      <c r="I485" s="102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3"/>
      <c r="V485" s="103"/>
      <c r="W485" s="104"/>
      <c r="X485"/>
    </row>
    <row r="486" spans="1:24">
      <c r="A486" s="104"/>
      <c r="B486" s="104"/>
      <c r="C486" s="104"/>
      <c r="D486" s="102"/>
      <c r="E486"/>
      <c r="F486" s="102"/>
      <c r="G486" s="102"/>
      <c r="H486" s="102"/>
      <c r="I486" s="102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3"/>
      <c r="V486" s="103"/>
      <c r="W486" s="104"/>
      <c r="X486"/>
    </row>
    <row r="487" spans="1:24">
      <c r="A487" s="104"/>
      <c r="B487" s="104"/>
      <c r="C487" s="104"/>
      <c r="D487" s="102"/>
      <c r="E487"/>
      <c r="F487" s="102"/>
      <c r="G487" s="102"/>
      <c r="H487" s="102"/>
      <c r="I487" s="102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3"/>
      <c r="V487" s="103"/>
      <c r="W487" s="104"/>
      <c r="X487"/>
    </row>
    <row r="488" spans="1:24">
      <c r="A488" s="104"/>
      <c r="B488" s="104"/>
      <c r="C488" s="104"/>
      <c r="D488" s="102"/>
      <c r="E488"/>
      <c r="F488" s="102"/>
      <c r="G488" s="102"/>
      <c r="H488" s="102"/>
      <c r="I488" s="102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3"/>
      <c r="V488" s="103"/>
      <c r="W488" s="104"/>
      <c r="X488"/>
    </row>
    <row r="489" spans="1:24">
      <c r="A489" s="104"/>
      <c r="B489" s="104"/>
      <c r="C489" s="104"/>
      <c r="D489" s="102"/>
      <c r="E489"/>
      <c r="F489" s="102"/>
      <c r="G489" s="102"/>
      <c r="H489" s="102"/>
      <c r="I489" s="102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3"/>
      <c r="V489" s="103"/>
      <c r="W489" s="104"/>
      <c r="X489"/>
    </row>
    <row r="490" spans="1:24">
      <c r="A490" s="104"/>
      <c r="B490" s="104"/>
      <c r="C490" s="104"/>
      <c r="D490" s="102"/>
      <c r="E490"/>
      <c r="F490" s="102"/>
      <c r="G490" s="102"/>
      <c r="H490" s="102"/>
      <c r="I490" s="102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3"/>
      <c r="V490" s="103"/>
      <c r="W490" s="104"/>
      <c r="X490"/>
    </row>
    <row r="491" spans="1:24">
      <c r="A491" s="104"/>
      <c r="B491" s="104"/>
      <c r="C491" s="104"/>
      <c r="D491" s="102"/>
      <c r="E491"/>
      <c r="F491" s="102"/>
      <c r="G491" s="102"/>
      <c r="H491" s="102"/>
      <c r="I491" s="102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3"/>
      <c r="V491" s="103"/>
      <c r="W491" s="104"/>
      <c r="X491"/>
    </row>
    <row r="492" spans="1:24">
      <c r="A492" s="104"/>
      <c r="B492" s="104"/>
      <c r="C492" s="104"/>
      <c r="D492" s="102"/>
      <c r="E492"/>
      <c r="F492" s="102"/>
      <c r="G492" s="102"/>
      <c r="H492" s="102"/>
      <c r="I492" s="102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3"/>
      <c r="V492" s="103"/>
      <c r="W492" s="104"/>
      <c r="X492"/>
    </row>
    <row r="493" spans="1:24">
      <c r="A493" s="104"/>
      <c r="B493" s="104"/>
      <c r="C493" s="104"/>
      <c r="D493" s="102"/>
      <c r="E493"/>
      <c r="F493" s="102"/>
      <c r="G493" s="102"/>
      <c r="H493" s="102"/>
      <c r="I493" s="102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3"/>
      <c r="V493" s="103"/>
      <c r="W493" s="104"/>
      <c r="X493"/>
    </row>
    <row r="494" spans="1:24">
      <c r="A494" s="104"/>
      <c r="B494" s="104"/>
      <c r="C494" s="104"/>
      <c r="D494" s="102"/>
      <c r="E494"/>
      <c r="F494" s="102"/>
      <c r="G494" s="102"/>
      <c r="H494" s="102"/>
      <c r="I494" s="102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3"/>
      <c r="V494" s="103"/>
      <c r="W494" s="104"/>
      <c r="X494"/>
    </row>
    <row r="495" spans="1:24">
      <c r="A495" s="104"/>
      <c r="B495" s="104"/>
      <c r="C495" s="104"/>
      <c r="D495" s="102"/>
      <c r="E495"/>
      <c r="F495" s="102"/>
      <c r="G495" s="102"/>
      <c r="H495" s="102"/>
      <c r="I495" s="102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3"/>
      <c r="V495" s="103"/>
      <c r="W495" s="104"/>
      <c r="X495"/>
    </row>
    <row r="496" spans="1:24">
      <c r="A496" s="104"/>
      <c r="B496" s="104"/>
      <c r="C496" s="104"/>
      <c r="D496" s="102"/>
      <c r="E496"/>
      <c r="F496" s="102"/>
      <c r="G496" s="102"/>
      <c r="H496" s="102"/>
      <c r="I496" s="102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3"/>
      <c r="V496" s="103"/>
      <c r="W496" s="104"/>
      <c r="X496"/>
    </row>
    <row r="497" spans="1:24">
      <c r="A497" s="104"/>
      <c r="B497" s="104"/>
      <c r="C497" s="104"/>
      <c r="D497" s="102"/>
      <c r="E497"/>
      <c r="F497" s="102"/>
      <c r="G497" s="102"/>
      <c r="H497" s="102"/>
      <c r="I497" s="102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3"/>
      <c r="V497" s="103"/>
      <c r="W497" s="104"/>
      <c r="X497"/>
    </row>
    <row r="498" spans="1:24">
      <c r="A498" s="104"/>
      <c r="B498" s="104"/>
      <c r="C498" s="104"/>
      <c r="D498" s="102"/>
      <c r="E498"/>
      <c r="F498" s="102"/>
      <c r="G498" s="102"/>
      <c r="H498" s="102"/>
      <c r="I498" s="102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3"/>
      <c r="V498" s="103"/>
      <c r="W498" s="104"/>
      <c r="X498"/>
    </row>
    <row r="499" spans="1:24">
      <c r="A499" s="104"/>
      <c r="B499" s="104"/>
      <c r="C499" s="104"/>
      <c r="D499" s="102"/>
      <c r="E499"/>
      <c r="F499" s="102"/>
      <c r="G499" s="102"/>
      <c r="H499" s="102"/>
      <c r="I499" s="102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3"/>
      <c r="V499" s="103"/>
      <c r="W499" s="104"/>
      <c r="X499"/>
    </row>
    <row r="500" spans="1:24">
      <c r="A500" s="104"/>
      <c r="B500" s="104"/>
      <c r="C500" s="104"/>
      <c r="D500" s="102"/>
      <c r="E500"/>
      <c r="F500" s="102"/>
      <c r="G500" s="102"/>
      <c r="H500" s="102"/>
      <c r="I500" s="102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3"/>
      <c r="V500" s="103"/>
      <c r="W500" s="104"/>
      <c r="X500"/>
    </row>
    <row r="501" spans="1:24">
      <c r="A501" s="104"/>
      <c r="B501" s="104"/>
      <c r="C501" s="104"/>
      <c r="D501" s="102"/>
      <c r="E501"/>
      <c r="F501" s="102"/>
      <c r="G501" s="102"/>
      <c r="H501" s="102"/>
      <c r="I501" s="102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3"/>
      <c r="V501" s="103"/>
      <c r="W501" s="104"/>
      <c r="X501"/>
    </row>
    <row r="502" spans="1:24">
      <c r="A502" s="104"/>
      <c r="B502" s="104"/>
      <c r="C502" s="104"/>
      <c r="D502" s="102"/>
      <c r="E502"/>
      <c r="F502" s="102"/>
      <c r="G502" s="102"/>
      <c r="H502" s="102"/>
      <c r="I502" s="102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3"/>
      <c r="V502" s="103"/>
      <c r="W502" s="104"/>
      <c r="X502"/>
    </row>
    <row r="503" spans="1:24">
      <c r="A503" s="104"/>
      <c r="B503" s="104"/>
      <c r="C503" s="104"/>
      <c r="D503" s="102"/>
      <c r="E503"/>
      <c r="F503" s="102"/>
      <c r="G503" s="102"/>
      <c r="H503" s="102"/>
      <c r="I503" s="102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3"/>
      <c r="V503" s="103"/>
      <c r="W503" s="104"/>
      <c r="X503"/>
    </row>
    <row r="504" spans="1:24">
      <c r="A504" s="104"/>
      <c r="B504" s="104"/>
      <c r="C504" s="104"/>
      <c r="D504" s="102"/>
      <c r="E504"/>
      <c r="F504" s="102"/>
      <c r="G504" s="102"/>
      <c r="H504" s="102"/>
      <c r="I504" s="102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3"/>
      <c r="V504" s="103"/>
      <c r="W504" s="104"/>
      <c r="X504"/>
    </row>
    <row r="505" spans="1:24">
      <c r="A505" s="104"/>
      <c r="B505" s="104"/>
      <c r="C505" s="104"/>
      <c r="D505" s="102"/>
      <c r="E505"/>
      <c r="F505" s="102"/>
      <c r="G505" s="102"/>
      <c r="H505" s="102"/>
      <c r="I505" s="102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3"/>
      <c r="V505" s="103"/>
      <c r="W505" s="104"/>
      <c r="X505"/>
    </row>
    <row r="506" spans="1:24">
      <c r="A506" s="104"/>
      <c r="B506" s="104"/>
      <c r="C506" s="104"/>
      <c r="D506" s="102"/>
      <c r="E506"/>
      <c r="F506" s="102"/>
      <c r="G506" s="102"/>
      <c r="H506" s="102"/>
      <c r="I506" s="102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3"/>
      <c r="V506" s="103"/>
      <c r="W506" s="104"/>
      <c r="X506"/>
    </row>
    <row r="507" spans="1:24">
      <c r="A507" s="104"/>
      <c r="B507" s="104"/>
      <c r="C507" s="104"/>
      <c r="D507" s="102"/>
      <c r="E507"/>
      <c r="F507" s="102"/>
      <c r="G507" s="102"/>
      <c r="H507" s="102"/>
      <c r="I507" s="102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3"/>
      <c r="V507" s="103"/>
      <c r="W507" s="104"/>
      <c r="X507"/>
    </row>
    <row r="508" spans="1:24">
      <c r="A508" s="104"/>
      <c r="B508" s="104"/>
      <c r="C508" s="104"/>
      <c r="D508" s="102"/>
      <c r="E508"/>
      <c r="F508" s="102"/>
      <c r="G508" s="102"/>
      <c r="H508" s="102"/>
      <c r="I508" s="102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3"/>
      <c r="V508" s="103"/>
      <c r="W508" s="104"/>
      <c r="X508"/>
    </row>
    <row r="509" spans="1:24">
      <c r="A509" s="104"/>
      <c r="B509" s="104"/>
      <c r="C509" s="104"/>
      <c r="D509" s="102"/>
      <c r="E509"/>
      <c r="F509" s="102"/>
      <c r="G509" s="102"/>
      <c r="H509" s="102"/>
      <c r="I509" s="102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3"/>
      <c r="V509" s="103"/>
      <c r="W509" s="104"/>
      <c r="X509"/>
    </row>
    <row r="510" spans="1:24">
      <c r="A510" s="104"/>
      <c r="B510" s="104"/>
      <c r="C510" s="104"/>
      <c r="D510" s="102"/>
      <c r="E510"/>
      <c r="F510" s="102"/>
      <c r="G510" s="102"/>
      <c r="H510" s="102"/>
      <c r="I510" s="102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3"/>
      <c r="V510" s="103"/>
      <c r="W510" s="104"/>
      <c r="X510"/>
    </row>
    <row r="511" spans="1:24">
      <c r="A511" s="104"/>
      <c r="B511" s="104"/>
      <c r="C511" s="104"/>
      <c r="D511" s="102"/>
      <c r="E511"/>
      <c r="F511" s="102"/>
      <c r="G511" s="102"/>
      <c r="H511" s="102"/>
      <c r="I511" s="102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3"/>
      <c r="V511" s="103"/>
      <c r="W511" s="104"/>
      <c r="X511"/>
    </row>
    <row r="512" spans="1:24">
      <c r="A512" s="104"/>
      <c r="B512" s="104"/>
      <c r="C512" s="104"/>
      <c r="D512" s="102"/>
      <c r="E512"/>
      <c r="F512" s="102"/>
      <c r="G512" s="102"/>
      <c r="H512" s="102"/>
      <c r="I512" s="102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3"/>
      <c r="V512" s="103"/>
      <c r="W512" s="104"/>
      <c r="X512"/>
    </row>
    <row r="513" spans="1:24">
      <c r="A513" s="104"/>
      <c r="B513" s="104"/>
      <c r="C513" s="104"/>
      <c r="D513" s="102"/>
      <c r="E513"/>
      <c r="F513" s="102"/>
      <c r="G513" s="102"/>
      <c r="H513" s="102"/>
      <c r="I513" s="102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3"/>
      <c r="V513" s="103"/>
      <c r="W513" s="104"/>
      <c r="X513"/>
    </row>
    <row r="514" spans="1:24">
      <c r="A514" s="104"/>
      <c r="B514" s="104"/>
      <c r="C514" s="104"/>
      <c r="D514" s="102"/>
      <c r="E514"/>
      <c r="F514" s="102"/>
      <c r="G514" s="102"/>
      <c r="H514" s="102"/>
      <c r="I514" s="102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3"/>
      <c r="V514" s="103"/>
      <c r="W514" s="104"/>
      <c r="X514"/>
    </row>
    <row r="515" spans="1:24">
      <c r="A515" s="104"/>
      <c r="B515" s="104"/>
      <c r="C515" s="104"/>
      <c r="D515" s="102"/>
      <c r="E515"/>
      <c r="F515" s="102"/>
      <c r="G515" s="102"/>
      <c r="H515" s="102"/>
      <c r="I515" s="102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3"/>
      <c r="V515" s="103"/>
      <c r="W515" s="104"/>
      <c r="X515"/>
    </row>
    <row r="516" spans="1:24">
      <c r="A516" s="104"/>
      <c r="B516" s="104"/>
      <c r="C516" s="104"/>
      <c r="D516" s="102"/>
      <c r="E516"/>
      <c r="F516" s="102"/>
      <c r="G516" s="102"/>
      <c r="H516" s="102"/>
      <c r="I516" s="102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3"/>
      <c r="V516" s="103"/>
      <c r="W516" s="104"/>
      <c r="X516"/>
    </row>
    <row r="517" spans="1:24">
      <c r="A517" s="104"/>
      <c r="B517" s="104"/>
      <c r="C517" s="104"/>
      <c r="D517" s="102"/>
      <c r="E517"/>
      <c r="F517" s="102"/>
      <c r="G517" s="102"/>
      <c r="H517" s="102"/>
      <c r="I517" s="102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3"/>
      <c r="V517" s="103"/>
      <c r="W517" s="104"/>
      <c r="X517"/>
    </row>
    <row r="518" spans="1:24">
      <c r="A518" s="104"/>
      <c r="B518" s="104"/>
      <c r="C518" s="104"/>
      <c r="D518" s="102"/>
      <c r="E518"/>
      <c r="F518" s="102"/>
      <c r="G518" s="102"/>
      <c r="H518" s="102"/>
      <c r="I518" s="102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3"/>
      <c r="V518" s="103"/>
      <c r="W518" s="104"/>
      <c r="X518"/>
    </row>
    <row r="519" spans="1:24">
      <c r="A519" s="104"/>
      <c r="B519" s="104"/>
      <c r="C519" s="104"/>
      <c r="D519" s="102"/>
      <c r="E519"/>
      <c r="F519" s="102"/>
      <c r="G519" s="102"/>
      <c r="H519" s="102"/>
      <c r="I519" s="102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3"/>
      <c r="V519" s="103"/>
      <c r="W519" s="104"/>
      <c r="X519"/>
    </row>
    <row r="520" spans="1:24">
      <c r="A520" s="104"/>
      <c r="B520" s="104"/>
      <c r="C520" s="104"/>
      <c r="D520" s="102"/>
      <c r="E520"/>
      <c r="F520" s="102"/>
      <c r="G520" s="102"/>
      <c r="H520" s="102"/>
      <c r="I520" s="102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3"/>
      <c r="V520" s="103"/>
      <c r="W520" s="104"/>
      <c r="X520"/>
    </row>
    <row r="521" spans="1:24">
      <c r="A521" s="104"/>
      <c r="B521" s="104"/>
      <c r="C521" s="104"/>
      <c r="D521" s="102"/>
      <c r="E521"/>
      <c r="F521" s="102"/>
      <c r="G521" s="102"/>
      <c r="H521" s="102"/>
      <c r="I521" s="102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3"/>
      <c r="V521" s="103"/>
      <c r="W521" s="104"/>
      <c r="X521"/>
    </row>
    <row r="522" spans="1:24">
      <c r="A522" s="104"/>
      <c r="B522" s="104"/>
      <c r="C522" s="104"/>
      <c r="D522" s="102"/>
      <c r="E522"/>
      <c r="F522" s="102"/>
      <c r="G522" s="102"/>
      <c r="H522" s="102"/>
      <c r="I522" s="102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3"/>
      <c r="V522" s="103"/>
      <c r="W522" s="104"/>
      <c r="X522"/>
    </row>
    <row r="523" spans="1:24">
      <c r="A523" s="104"/>
      <c r="B523" s="104"/>
      <c r="C523" s="104"/>
      <c r="D523" s="102"/>
      <c r="E523"/>
      <c r="F523" s="102"/>
      <c r="G523" s="102"/>
      <c r="H523" s="102"/>
      <c r="I523" s="102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3"/>
      <c r="V523" s="103"/>
      <c r="W523" s="104"/>
      <c r="X523"/>
    </row>
    <row r="524" spans="1:24">
      <c r="A524" s="104"/>
      <c r="B524" s="104"/>
      <c r="C524" s="104"/>
      <c r="D524" s="102"/>
      <c r="E524"/>
      <c r="F524" s="102"/>
      <c r="G524" s="102"/>
      <c r="H524" s="102"/>
      <c r="I524" s="102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3"/>
      <c r="V524" s="103"/>
      <c r="W524" s="104"/>
      <c r="X524"/>
    </row>
    <row r="525" spans="1:24">
      <c r="A525" s="104"/>
      <c r="B525" s="104"/>
      <c r="C525" s="104"/>
      <c r="D525" s="102"/>
      <c r="E525"/>
      <c r="F525" s="102"/>
      <c r="G525" s="102"/>
      <c r="H525" s="102"/>
      <c r="I525" s="102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3"/>
      <c r="V525" s="103"/>
      <c r="W525" s="104"/>
      <c r="X525"/>
    </row>
    <row r="526" spans="1:24">
      <c r="A526" s="104"/>
      <c r="B526" s="104"/>
      <c r="C526" s="104"/>
      <c r="D526" s="102"/>
      <c r="E526"/>
      <c r="F526" s="102"/>
      <c r="G526" s="102"/>
      <c r="H526" s="102"/>
      <c r="I526" s="102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3"/>
      <c r="V526" s="103"/>
      <c r="W526" s="104"/>
      <c r="X526"/>
    </row>
    <row r="527" spans="1:24">
      <c r="A527" s="104"/>
      <c r="B527" s="104"/>
      <c r="C527" s="104"/>
      <c r="D527" s="102"/>
      <c r="E527"/>
      <c r="F527" s="102"/>
      <c r="G527" s="102"/>
      <c r="H527" s="102"/>
      <c r="I527" s="102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3"/>
      <c r="V527" s="103"/>
      <c r="W527" s="104"/>
      <c r="X527"/>
    </row>
    <row r="528" spans="1:24">
      <c r="A528" s="104"/>
      <c r="B528" s="104"/>
      <c r="C528" s="104"/>
      <c r="D528" s="102"/>
      <c r="E528"/>
      <c r="F528" s="102"/>
      <c r="G528" s="102"/>
      <c r="H528" s="102"/>
      <c r="I528" s="102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3"/>
      <c r="V528" s="103"/>
      <c r="W528" s="104"/>
      <c r="X528"/>
    </row>
    <row r="529" spans="1:24">
      <c r="A529" s="104"/>
      <c r="B529" s="104"/>
      <c r="C529" s="104"/>
      <c r="D529" s="102"/>
      <c r="E529"/>
      <c r="F529" s="102"/>
      <c r="G529" s="102"/>
      <c r="H529" s="102"/>
      <c r="I529" s="102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3"/>
      <c r="V529" s="103"/>
      <c r="W529" s="104"/>
      <c r="X529"/>
    </row>
    <row r="530" spans="1:24">
      <c r="A530" s="104"/>
      <c r="B530" s="104"/>
      <c r="C530" s="104"/>
      <c r="D530" s="102"/>
      <c r="E530"/>
      <c r="F530" s="102"/>
      <c r="G530" s="102"/>
      <c r="H530" s="102"/>
      <c r="I530" s="102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3"/>
      <c r="V530" s="103"/>
      <c r="W530" s="104"/>
      <c r="X530"/>
    </row>
    <row r="531" spans="1:24">
      <c r="A531" s="104"/>
      <c r="B531" s="104"/>
      <c r="C531" s="104"/>
      <c r="D531" s="102"/>
      <c r="E531"/>
      <c r="F531" s="102"/>
      <c r="G531" s="102"/>
      <c r="H531" s="102"/>
      <c r="I531" s="102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3"/>
      <c r="V531" s="103"/>
      <c r="W531" s="104"/>
      <c r="X531"/>
    </row>
    <row r="532" spans="1:24">
      <c r="A532" s="104"/>
      <c r="B532" s="104"/>
      <c r="C532" s="104"/>
      <c r="D532" s="102"/>
      <c r="E532"/>
      <c r="F532" s="102"/>
      <c r="G532" s="102"/>
      <c r="H532" s="102"/>
      <c r="I532" s="102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3"/>
      <c r="V532" s="103"/>
      <c r="W532" s="104"/>
      <c r="X532"/>
    </row>
    <row r="533" spans="1:24">
      <c r="A533" s="104"/>
      <c r="B533" s="104"/>
      <c r="C533" s="104"/>
      <c r="D533" s="102"/>
      <c r="E533"/>
      <c r="F533" s="102"/>
      <c r="G533" s="102"/>
      <c r="H533" s="102"/>
      <c r="I533" s="102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3"/>
      <c r="V533" s="103"/>
      <c r="W533" s="104"/>
      <c r="X533"/>
    </row>
    <row r="534" spans="1:24">
      <c r="A534" s="104"/>
      <c r="B534" s="104"/>
      <c r="C534" s="104"/>
      <c r="D534" s="102"/>
      <c r="E534"/>
      <c r="F534" s="102"/>
      <c r="G534" s="102"/>
      <c r="H534" s="102"/>
      <c r="I534" s="102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3"/>
      <c r="V534" s="103"/>
      <c r="W534" s="104"/>
      <c r="X534"/>
    </row>
    <row r="535" spans="1:24">
      <c r="A535" s="104"/>
      <c r="B535" s="104"/>
      <c r="C535" s="104"/>
      <c r="D535" s="102"/>
      <c r="E535"/>
      <c r="F535" s="102"/>
      <c r="G535" s="102"/>
      <c r="H535" s="102"/>
      <c r="I535" s="102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3"/>
      <c r="V535" s="103"/>
      <c r="W535" s="104"/>
      <c r="X535"/>
    </row>
    <row r="536" spans="1:24">
      <c r="A536" s="104"/>
      <c r="B536" s="104"/>
      <c r="C536" s="104"/>
      <c r="D536" s="102"/>
      <c r="E536"/>
      <c r="F536" s="102"/>
      <c r="G536" s="102"/>
      <c r="H536" s="102"/>
      <c r="I536" s="102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3"/>
      <c r="V536" s="103"/>
      <c r="W536" s="104"/>
      <c r="X536"/>
    </row>
    <row r="537" spans="1:24">
      <c r="A537" s="104"/>
      <c r="B537" s="104"/>
      <c r="C537" s="104"/>
      <c r="D537" s="102"/>
      <c r="E537"/>
      <c r="F537" s="102"/>
      <c r="G537" s="102"/>
      <c r="H537" s="102"/>
      <c r="I537" s="102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3"/>
      <c r="V537" s="103"/>
      <c r="W537" s="104"/>
      <c r="X537"/>
    </row>
    <row r="538" spans="1:24">
      <c r="A538" s="104"/>
      <c r="B538" s="104"/>
      <c r="C538" s="104"/>
      <c r="D538" s="102"/>
      <c r="E538"/>
      <c r="F538" s="102"/>
      <c r="G538" s="102"/>
      <c r="H538" s="102"/>
      <c r="I538" s="102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3"/>
      <c r="V538" s="103"/>
      <c r="W538" s="104"/>
      <c r="X538"/>
    </row>
    <row r="539" spans="1:24">
      <c r="A539" s="104"/>
      <c r="B539" s="104"/>
      <c r="C539" s="104"/>
      <c r="D539" s="102"/>
      <c r="E539"/>
      <c r="F539" s="102"/>
      <c r="G539" s="102"/>
      <c r="H539" s="102"/>
      <c r="I539" s="102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3"/>
      <c r="V539" s="103"/>
      <c r="W539" s="104"/>
      <c r="X539"/>
    </row>
    <row r="540" spans="1:24">
      <c r="A540" s="104"/>
      <c r="B540" s="104"/>
      <c r="C540" s="104"/>
      <c r="D540" s="102"/>
      <c r="E540"/>
      <c r="F540" s="102"/>
      <c r="G540" s="102"/>
      <c r="H540" s="102"/>
      <c r="I540" s="102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3"/>
      <c r="V540" s="103"/>
      <c r="W540" s="104"/>
      <c r="X540"/>
    </row>
    <row r="541" spans="1:24">
      <c r="A541" s="104"/>
      <c r="B541" s="104"/>
      <c r="C541" s="104"/>
      <c r="D541" s="102"/>
      <c r="E541"/>
      <c r="F541" s="102"/>
      <c r="G541" s="102"/>
      <c r="H541" s="102"/>
      <c r="I541" s="102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3"/>
      <c r="V541" s="103"/>
      <c r="W541" s="104"/>
      <c r="X541"/>
    </row>
    <row r="542" spans="1:24">
      <c r="A542" s="104"/>
      <c r="B542" s="104"/>
      <c r="C542" s="104"/>
      <c r="D542" s="102"/>
      <c r="E542"/>
      <c r="F542" s="102"/>
      <c r="G542" s="102"/>
      <c r="H542" s="102"/>
      <c r="I542" s="102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3"/>
      <c r="V542" s="103"/>
      <c r="W542" s="104"/>
      <c r="X542"/>
    </row>
    <row r="543" spans="1:24">
      <c r="A543" s="104"/>
      <c r="B543" s="104"/>
      <c r="C543" s="104"/>
      <c r="D543" s="102"/>
      <c r="E543"/>
      <c r="F543" s="102"/>
      <c r="G543" s="102"/>
      <c r="H543" s="102"/>
      <c r="I543" s="102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3"/>
      <c r="V543" s="103"/>
      <c r="W543" s="104"/>
      <c r="X543"/>
    </row>
    <row r="544" spans="1:24">
      <c r="A544" s="104"/>
      <c r="B544" s="104"/>
      <c r="C544" s="104"/>
      <c r="D544" s="102"/>
      <c r="E544"/>
      <c r="F544" s="102"/>
      <c r="G544" s="102"/>
      <c r="H544" s="102"/>
      <c r="I544" s="102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3"/>
      <c r="V544" s="103"/>
      <c r="W544" s="104"/>
      <c r="X544"/>
    </row>
    <row r="545" spans="1:24">
      <c r="A545" s="104"/>
      <c r="B545" s="104"/>
      <c r="C545" s="104"/>
      <c r="D545" s="102"/>
      <c r="E545"/>
      <c r="F545" s="102"/>
      <c r="G545" s="102"/>
      <c r="H545" s="102"/>
      <c r="I545" s="102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3"/>
      <c r="V545" s="103"/>
      <c r="W545" s="104"/>
      <c r="X545"/>
    </row>
    <row r="546" spans="1:24">
      <c r="A546" s="104"/>
      <c r="B546" s="104"/>
      <c r="C546" s="104"/>
      <c r="D546" s="102"/>
      <c r="E546"/>
      <c r="F546" s="102"/>
      <c r="G546" s="102"/>
      <c r="H546" s="102"/>
      <c r="I546" s="102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3"/>
      <c r="V546" s="103"/>
      <c r="W546" s="104"/>
      <c r="X546"/>
    </row>
    <row r="547" spans="1:24">
      <c r="A547" s="104"/>
      <c r="B547" s="104"/>
      <c r="C547" s="104"/>
      <c r="D547" s="102"/>
      <c r="E547"/>
      <c r="F547" s="102"/>
      <c r="G547" s="102"/>
      <c r="H547" s="102"/>
      <c r="I547" s="102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3"/>
      <c r="V547" s="103"/>
      <c r="W547" s="104"/>
      <c r="X547"/>
    </row>
    <row r="548" spans="1:24">
      <c r="A548" s="104"/>
      <c r="B548" s="104"/>
      <c r="C548" s="104"/>
      <c r="D548" s="102"/>
      <c r="E548"/>
      <c r="F548" s="102"/>
      <c r="G548" s="102"/>
      <c r="H548" s="102"/>
      <c r="I548" s="102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3"/>
      <c r="V548" s="103"/>
      <c r="W548" s="104"/>
      <c r="X548"/>
    </row>
    <row r="549" spans="1:24">
      <c r="A549" s="104"/>
      <c r="B549" s="104"/>
      <c r="C549" s="104"/>
      <c r="D549" s="102"/>
      <c r="E549"/>
      <c r="F549" s="102"/>
      <c r="G549" s="102"/>
      <c r="H549" s="102"/>
      <c r="I549" s="102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3"/>
      <c r="V549" s="103"/>
      <c r="W549" s="104"/>
      <c r="X549"/>
    </row>
    <row r="550" spans="1:24">
      <c r="A550" s="104"/>
      <c r="B550" s="104"/>
      <c r="C550" s="104"/>
      <c r="D550" s="102"/>
      <c r="E550"/>
      <c r="F550" s="102"/>
      <c r="G550" s="102"/>
      <c r="H550" s="102"/>
      <c r="I550" s="102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3"/>
      <c r="V550" s="103"/>
      <c r="W550" s="104"/>
      <c r="X550"/>
    </row>
    <row r="551" spans="1:24">
      <c r="A551" s="104"/>
      <c r="B551" s="104"/>
      <c r="C551" s="104"/>
      <c r="D551" s="102"/>
      <c r="E551"/>
      <c r="F551" s="102"/>
      <c r="G551" s="102"/>
      <c r="H551" s="102"/>
      <c r="I551" s="102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3"/>
      <c r="V551" s="103"/>
      <c r="W551" s="104"/>
      <c r="X551"/>
    </row>
    <row r="552" spans="1:24">
      <c r="A552" s="104"/>
      <c r="B552" s="104"/>
      <c r="C552" s="104"/>
      <c r="D552" s="102"/>
      <c r="E552"/>
      <c r="F552" s="102"/>
      <c r="G552" s="102"/>
      <c r="H552" s="102"/>
      <c r="I552" s="102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3"/>
      <c r="V552" s="103"/>
      <c r="W552" s="104"/>
      <c r="X552"/>
    </row>
    <row r="553" spans="1:24">
      <c r="A553" s="104"/>
      <c r="B553" s="104"/>
      <c r="C553" s="104"/>
      <c r="D553" s="102"/>
      <c r="E553"/>
      <c r="F553" s="102"/>
      <c r="G553" s="102"/>
      <c r="H553" s="102"/>
      <c r="I553" s="102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3"/>
      <c r="V553" s="103"/>
      <c r="W553" s="104"/>
      <c r="X553"/>
    </row>
    <row r="554" spans="1:24">
      <c r="A554" s="104"/>
      <c r="B554" s="104"/>
      <c r="C554" s="104"/>
      <c r="D554" s="102"/>
      <c r="E554"/>
      <c r="F554" s="102"/>
      <c r="G554" s="102"/>
      <c r="H554" s="102"/>
      <c r="I554" s="102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3"/>
      <c r="V554" s="103"/>
      <c r="W554" s="104"/>
      <c r="X554"/>
    </row>
    <row r="555" spans="1:24">
      <c r="A555" s="104"/>
      <c r="B555" s="104"/>
      <c r="C555" s="104"/>
      <c r="D555" s="102"/>
      <c r="E555"/>
      <c r="F555" s="102"/>
      <c r="G555" s="102"/>
      <c r="H555" s="102"/>
      <c r="I555" s="102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3"/>
      <c r="V555" s="103"/>
      <c r="W555" s="104"/>
      <c r="X555"/>
    </row>
    <row r="556" spans="1:24">
      <c r="A556" s="104"/>
      <c r="B556" s="104"/>
      <c r="C556" s="104"/>
      <c r="D556" s="102"/>
      <c r="E556"/>
      <c r="F556" s="102"/>
      <c r="G556" s="102"/>
      <c r="H556" s="102"/>
      <c r="I556" s="102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3"/>
      <c r="V556" s="103"/>
      <c r="W556" s="104"/>
      <c r="X556"/>
    </row>
    <row r="557" spans="1:24">
      <c r="A557" s="104"/>
      <c r="B557" s="104"/>
      <c r="C557" s="104"/>
      <c r="D557" s="102"/>
      <c r="E557"/>
      <c r="F557" s="102"/>
      <c r="G557" s="102"/>
      <c r="H557" s="102"/>
      <c r="I557" s="102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3"/>
      <c r="V557" s="103"/>
      <c r="W557" s="104"/>
      <c r="X557"/>
    </row>
    <row r="558" spans="1:24">
      <c r="A558" s="104"/>
      <c r="B558" s="104"/>
      <c r="C558" s="104"/>
      <c r="D558" s="102"/>
      <c r="E558"/>
      <c r="F558" s="102"/>
      <c r="G558" s="102"/>
      <c r="H558" s="102"/>
      <c r="I558" s="102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3"/>
      <c r="V558" s="103"/>
      <c r="W558" s="104"/>
      <c r="X558"/>
    </row>
    <row r="559" spans="1:24">
      <c r="A559" s="104"/>
      <c r="B559" s="104"/>
      <c r="C559" s="104"/>
      <c r="D559" s="102"/>
      <c r="E559"/>
      <c r="F559" s="102"/>
      <c r="G559" s="102"/>
      <c r="H559" s="102"/>
      <c r="I559" s="102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3"/>
      <c r="V559" s="103"/>
      <c r="W559" s="104"/>
      <c r="X559"/>
    </row>
    <row r="560" spans="1:24">
      <c r="A560" s="104"/>
      <c r="B560" s="104"/>
      <c r="C560" s="104"/>
      <c r="D560" s="102"/>
      <c r="E560"/>
      <c r="F560" s="102"/>
      <c r="G560" s="102"/>
      <c r="H560" s="102"/>
      <c r="I560" s="102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3"/>
      <c r="V560" s="103"/>
      <c r="W560" s="104"/>
      <c r="X560"/>
    </row>
    <row r="561" spans="1:24">
      <c r="A561" s="104"/>
      <c r="B561" s="104"/>
      <c r="C561" s="104"/>
      <c r="D561" s="102"/>
      <c r="E561"/>
      <c r="F561" s="102"/>
      <c r="G561" s="102"/>
      <c r="H561" s="102"/>
      <c r="I561" s="102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3"/>
      <c r="V561" s="103"/>
      <c r="W561" s="104"/>
      <c r="X561"/>
    </row>
    <row r="562" spans="1:24">
      <c r="A562" s="104"/>
      <c r="B562" s="104"/>
      <c r="C562" s="104"/>
      <c r="D562" s="102"/>
      <c r="E562"/>
      <c r="F562" s="102"/>
      <c r="G562" s="102"/>
      <c r="H562" s="102"/>
      <c r="I562" s="102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3"/>
      <c r="V562" s="103"/>
      <c r="W562" s="104"/>
      <c r="X562"/>
    </row>
    <row r="563" spans="1:24">
      <c r="A563" s="104"/>
      <c r="B563" s="104"/>
      <c r="C563" s="104"/>
      <c r="D563" s="102"/>
      <c r="E563"/>
      <c r="F563" s="102"/>
      <c r="G563" s="102"/>
      <c r="H563" s="102"/>
      <c r="I563" s="102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3"/>
      <c r="V563" s="103"/>
      <c r="W563" s="104"/>
      <c r="X563"/>
    </row>
    <row r="564" spans="1:24">
      <c r="A564" s="104"/>
      <c r="B564" s="104"/>
      <c r="C564" s="104"/>
      <c r="D564" s="102"/>
      <c r="E564"/>
      <c r="F564" s="102"/>
      <c r="G564" s="102"/>
      <c r="H564" s="102"/>
      <c r="I564" s="102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3"/>
      <c r="V564" s="103"/>
      <c r="W564" s="104"/>
      <c r="X564"/>
    </row>
    <row r="565" spans="1:24">
      <c r="A565" s="104"/>
      <c r="B565" s="104"/>
      <c r="C565" s="104"/>
      <c r="D565" s="102"/>
      <c r="E565"/>
      <c r="F565" s="102"/>
      <c r="G565" s="102"/>
      <c r="H565" s="102"/>
      <c r="I565" s="102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3"/>
      <c r="V565" s="103"/>
      <c r="W565" s="104"/>
      <c r="X565"/>
    </row>
    <row r="566" spans="1:24">
      <c r="A566" s="104"/>
      <c r="B566" s="104"/>
      <c r="C566" s="104"/>
      <c r="D566" s="102"/>
      <c r="E566"/>
      <c r="F566" s="102"/>
      <c r="G566" s="102"/>
      <c r="H566" s="102"/>
      <c r="I566" s="102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3"/>
      <c r="V566" s="103"/>
      <c r="W566" s="104"/>
      <c r="X566"/>
    </row>
    <row r="567" spans="1:24">
      <c r="A567" s="104"/>
      <c r="B567" s="104"/>
      <c r="C567" s="104"/>
      <c r="D567" s="102"/>
      <c r="E567"/>
      <c r="F567" s="102"/>
      <c r="G567" s="102"/>
      <c r="H567" s="102"/>
      <c r="I567" s="102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3"/>
      <c r="V567" s="103"/>
      <c r="W567" s="104"/>
      <c r="X567"/>
    </row>
    <row r="568" spans="1:24">
      <c r="A568" s="104"/>
      <c r="B568" s="104"/>
      <c r="C568" s="104"/>
      <c r="D568" s="102"/>
      <c r="E568"/>
      <c r="F568" s="102"/>
      <c r="G568" s="102"/>
      <c r="H568" s="102"/>
      <c r="I568" s="102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3"/>
      <c r="V568" s="103"/>
      <c r="W568" s="104"/>
      <c r="X568"/>
    </row>
    <row r="569" spans="1:24">
      <c r="A569" s="104"/>
      <c r="B569" s="104"/>
      <c r="C569" s="104"/>
      <c r="D569" s="102"/>
      <c r="E569"/>
      <c r="F569" s="102"/>
      <c r="G569" s="102"/>
      <c r="H569" s="102"/>
      <c r="I569" s="102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3"/>
      <c r="V569" s="103"/>
      <c r="W569" s="104"/>
      <c r="X569"/>
    </row>
    <row r="570" spans="1:24">
      <c r="A570" s="104"/>
      <c r="B570" s="104"/>
      <c r="C570" s="104"/>
      <c r="D570" s="102"/>
      <c r="E570"/>
      <c r="F570" s="102"/>
      <c r="G570" s="102"/>
      <c r="H570" s="102"/>
      <c r="I570" s="102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3"/>
      <c r="V570" s="103"/>
      <c r="W570" s="104"/>
      <c r="X570"/>
    </row>
    <row r="571" spans="1:24">
      <c r="A571" s="104"/>
      <c r="B571" s="104"/>
      <c r="C571" s="104"/>
      <c r="D571" s="102"/>
      <c r="E571"/>
      <c r="F571" s="102"/>
      <c r="G571" s="102"/>
      <c r="H571" s="102"/>
      <c r="I571" s="102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3"/>
      <c r="V571" s="103"/>
      <c r="W571" s="104"/>
      <c r="X571"/>
    </row>
    <row r="572" spans="1:24">
      <c r="A572" s="104"/>
      <c r="B572" s="104"/>
      <c r="C572" s="104"/>
      <c r="D572" s="102"/>
      <c r="E572"/>
      <c r="F572" s="102"/>
      <c r="G572" s="102"/>
      <c r="H572" s="102"/>
      <c r="I572" s="102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3"/>
      <c r="V572" s="103"/>
      <c r="W572" s="104"/>
      <c r="X572"/>
    </row>
    <row r="573" spans="1:24">
      <c r="A573" s="104"/>
      <c r="B573" s="104"/>
      <c r="C573" s="104"/>
      <c r="D573" s="102"/>
      <c r="E573"/>
      <c r="F573" s="102"/>
      <c r="G573" s="102"/>
      <c r="H573" s="102"/>
      <c r="I573" s="102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3"/>
      <c r="V573" s="103"/>
      <c r="W573" s="104"/>
      <c r="X573"/>
    </row>
    <row r="574" spans="1:24">
      <c r="A574" s="104"/>
      <c r="B574" s="104"/>
      <c r="C574" s="104"/>
      <c r="D574" s="102"/>
      <c r="E574"/>
      <c r="F574" s="102"/>
      <c r="G574" s="102"/>
      <c r="H574" s="102"/>
      <c r="I574" s="102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3"/>
      <c r="V574" s="103"/>
      <c r="W574" s="104"/>
      <c r="X574"/>
    </row>
    <row r="575" spans="1:24">
      <c r="A575" s="104"/>
      <c r="B575" s="104"/>
      <c r="C575" s="104"/>
      <c r="D575" s="102"/>
      <c r="E575"/>
      <c r="F575" s="102"/>
      <c r="G575" s="102"/>
      <c r="H575" s="102"/>
      <c r="I575" s="102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3"/>
      <c r="V575" s="103"/>
      <c r="W575" s="104"/>
      <c r="X575"/>
    </row>
    <row r="576" spans="1:24">
      <c r="A576" s="104"/>
      <c r="B576" s="104"/>
      <c r="C576" s="104"/>
      <c r="D576" s="102"/>
      <c r="E576"/>
      <c r="F576" s="102"/>
      <c r="G576" s="102"/>
      <c r="H576" s="102"/>
      <c r="I576" s="102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3"/>
      <c r="V576" s="103"/>
      <c r="W576" s="104"/>
      <c r="X576"/>
    </row>
    <row r="577" spans="1:24">
      <c r="A577" s="104"/>
      <c r="B577" s="104"/>
      <c r="C577" s="104"/>
      <c r="D577" s="102"/>
      <c r="E577"/>
      <c r="F577" s="102"/>
      <c r="G577" s="102"/>
      <c r="H577" s="102"/>
      <c r="I577" s="102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3"/>
      <c r="V577" s="103"/>
      <c r="W577" s="104"/>
      <c r="X577"/>
    </row>
    <row r="578" spans="1:24">
      <c r="A578" s="104"/>
      <c r="B578" s="104"/>
      <c r="C578" s="104"/>
      <c r="D578" s="102"/>
      <c r="E578"/>
      <c r="F578" s="102"/>
      <c r="G578" s="102"/>
      <c r="H578" s="102"/>
      <c r="I578" s="102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3"/>
      <c r="V578" s="103"/>
      <c r="W578" s="104"/>
      <c r="X578"/>
    </row>
    <row r="579" spans="1:24">
      <c r="A579" s="104"/>
      <c r="B579" s="104"/>
      <c r="C579" s="104"/>
      <c r="D579" s="102"/>
      <c r="E579"/>
      <c r="F579" s="102"/>
      <c r="G579" s="102"/>
      <c r="H579" s="102"/>
      <c r="I579" s="102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3"/>
      <c r="V579" s="103"/>
      <c r="W579" s="104"/>
      <c r="X579"/>
    </row>
    <row r="580" spans="1:24">
      <c r="A580" s="104"/>
      <c r="B580" s="104"/>
      <c r="C580" s="104"/>
      <c r="D580" s="102"/>
      <c r="E580"/>
      <c r="F580" s="102"/>
      <c r="G580" s="102"/>
      <c r="H580" s="102"/>
      <c r="I580" s="102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3"/>
      <c r="V580" s="103"/>
      <c r="W580" s="104"/>
      <c r="X580"/>
    </row>
    <row r="581" spans="1:24">
      <c r="A581" s="104"/>
      <c r="B581" s="104"/>
      <c r="C581" s="104"/>
      <c r="D581" s="102"/>
      <c r="E581"/>
      <c r="F581" s="102"/>
      <c r="G581" s="102"/>
      <c r="H581" s="102"/>
      <c r="I581" s="102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3"/>
      <c r="V581" s="103"/>
      <c r="W581" s="104"/>
      <c r="X581"/>
    </row>
    <row r="582" spans="1:24">
      <c r="A582" s="104"/>
      <c r="B582" s="104"/>
      <c r="C582" s="104"/>
      <c r="D582" s="102"/>
      <c r="E582"/>
      <c r="F582" s="102"/>
      <c r="G582" s="102"/>
      <c r="H582" s="102"/>
      <c r="I582" s="102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3"/>
      <c r="V582" s="103"/>
      <c r="W582" s="104"/>
      <c r="X582"/>
    </row>
    <row r="583" spans="1:24">
      <c r="A583" s="104"/>
      <c r="B583" s="104"/>
      <c r="C583" s="104"/>
      <c r="D583" s="102"/>
      <c r="E583"/>
      <c r="F583" s="102"/>
      <c r="G583" s="102"/>
      <c r="H583" s="102"/>
      <c r="I583" s="102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3"/>
      <c r="V583" s="103"/>
      <c r="W583" s="104"/>
      <c r="X583"/>
    </row>
    <row r="584" spans="1:24">
      <c r="A584" s="104"/>
      <c r="B584" s="104"/>
      <c r="C584" s="104"/>
      <c r="D584" s="102"/>
      <c r="E584"/>
      <c r="F584" s="102"/>
      <c r="G584" s="102"/>
      <c r="H584" s="102"/>
      <c r="I584" s="102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3"/>
      <c r="V584" s="103"/>
      <c r="W584" s="104"/>
      <c r="X584"/>
    </row>
    <row r="585" spans="1:24">
      <c r="A585" s="104"/>
      <c r="B585" s="104"/>
      <c r="C585" s="104"/>
      <c r="D585" s="102"/>
      <c r="E585"/>
      <c r="F585" s="102"/>
      <c r="G585" s="102"/>
      <c r="H585" s="102"/>
      <c r="I585" s="102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3"/>
      <c r="V585" s="103"/>
      <c r="W585" s="104"/>
      <c r="X585"/>
    </row>
    <row r="586" spans="1:24">
      <c r="A586" s="104"/>
      <c r="B586" s="104"/>
      <c r="C586" s="104"/>
      <c r="D586" s="102"/>
      <c r="E586"/>
      <c r="F586" s="102"/>
      <c r="G586" s="102"/>
      <c r="H586" s="102"/>
      <c r="I586" s="102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3"/>
      <c r="V586" s="103"/>
      <c r="W586" s="104"/>
      <c r="X586"/>
    </row>
    <row r="587" spans="1:24">
      <c r="A587" s="104"/>
      <c r="B587" s="104"/>
      <c r="C587" s="104"/>
      <c r="D587" s="102"/>
      <c r="E587"/>
      <c r="F587" s="102"/>
      <c r="G587" s="102"/>
      <c r="H587" s="102"/>
      <c r="I587" s="102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3"/>
      <c r="V587" s="103"/>
      <c r="W587" s="104"/>
      <c r="X587"/>
    </row>
    <row r="588" spans="1:24">
      <c r="A588" s="104"/>
      <c r="B588" s="104"/>
      <c r="C588" s="104"/>
      <c r="D588" s="102"/>
      <c r="E588"/>
      <c r="F588" s="102"/>
      <c r="G588" s="102"/>
      <c r="H588" s="102"/>
      <c r="I588" s="102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3"/>
      <c r="V588" s="103"/>
      <c r="W588" s="104"/>
      <c r="X588"/>
    </row>
    <row r="589" spans="1:24">
      <c r="A589" s="104"/>
      <c r="B589" s="104"/>
      <c r="C589" s="104"/>
      <c r="D589" s="102"/>
      <c r="E589"/>
      <c r="F589" s="102"/>
      <c r="G589" s="102"/>
      <c r="H589" s="102"/>
      <c r="I589" s="102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3"/>
      <c r="V589" s="103"/>
      <c r="W589" s="104"/>
      <c r="X589"/>
    </row>
    <row r="590" spans="1:24">
      <c r="A590" s="104"/>
      <c r="B590" s="104"/>
      <c r="C590" s="104"/>
      <c r="D590" s="102"/>
      <c r="E590"/>
      <c r="F590" s="102"/>
      <c r="G590" s="102"/>
      <c r="H590" s="102"/>
      <c r="I590" s="102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3"/>
      <c r="V590" s="103"/>
      <c r="W590" s="104"/>
      <c r="X590"/>
    </row>
    <row r="591" spans="1:24">
      <c r="A591" s="104"/>
      <c r="B591" s="104"/>
      <c r="C591" s="104"/>
      <c r="D591" s="102"/>
      <c r="E591"/>
      <c r="F591" s="102"/>
      <c r="G591" s="102"/>
      <c r="H591" s="102"/>
      <c r="I591" s="102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3"/>
      <c r="V591" s="103"/>
      <c r="W591" s="104"/>
      <c r="X591"/>
    </row>
    <row r="592" spans="1:24">
      <c r="A592" s="104"/>
      <c r="B592" s="104"/>
      <c r="C592" s="104"/>
      <c r="D592" s="102"/>
      <c r="E592"/>
      <c r="F592" s="102"/>
      <c r="G592" s="102"/>
      <c r="H592" s="102"/>
      <c r="I592" s="102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3"/>
      <c r="V592" s="103"/>
      <c r="W592" s="104"/>
      <c r="X592"/>
    </row>
    <row r="593" spans="1:24">
      <c r="A593" s="104"/>
      <c r="B593" s="104"/>
      <c r="C593" s="104"/>
      <c r="D593" s="102"/>
      <c r="E593"/>
      <c r="F593" s="102"/>
      <c r="G593" s="102"/>
      <c r="H593" s="102"/>
      <c r="I593" s="102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3"/>
      <c r="V593" s="103"/>
      <c r="W593" s="104"/>
      <c r="X593"/>
    </row>
    <row r="594" spans="1:24">
      <c r="A594" s="104"/>
      <c r="B594" s="104"/>
      <c r="C594" s="104"/>
      <c r="D594" s="102"/>
      <c r="E594"/>
      <c r="F594" s="102"/>
      <c r="G594" s="102"/>
      <c r="H594" s="102"/>
      <c r="I594" s="102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3"/>
      <c r="V594" s="103"/>
      <c r="W594" s="104"/>
      <c r="X594"/>
    </row>
    <row r="595" spans="1:24">
      <c r="A595" s="104"/>
      <c r="B595" s="104"/>
      <c r="C595" s="104"/>
      <c r="D595" s="102"/>
      <c r="E595"/>
      <c r="F595" s="102"/>
      <c r="G595" s="102"/>
      <c r="H595" s="102"/>
      <c r="I595" s="102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3"/>
      <c r="V595" s="103"/>
      <c r="W595" s="104"/>
      <c r="X595"/>
    </row>
    <row r="596" spans="1:24">
      <c r="A596" s="104"/>
      <c r="B596" s="104"/>
      <c r="C596" s="104"/>
      <c r="D596" s="102"/>
      <c r="E596"/>
      <c r="F596" s="102"/>
      <c r="G596" s="102"/>
      <c r="H596" s="102"/>
      <c r="I596" s="102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3"/>
      <c r="V596" s="103"/>
      <c r="W596" s="104"/>
      <c r="X596"/>
    </row>
    <row r="597" spans="1:24">
      <c r="A597" s="104"/>
      <c r="B597" s="104"/>
      <c r="C597" s="104"/>
      <c r="D597" s="102"/>
      <c r="E597"/>
      <c r="F597" s="102"/>
      <c r="G597" s="102"/>
      <c r="H597" s="102"/>
      <c r="I597" s="102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3"/>
      <c r="V597" s="103"/>
      <c r="W597" s="104"/>
      <c r="X597"/>
    </row>
    <row r="598" spans="1:24">
      <c r="A598" s="104"/>
      <c r="B598" s="104"/>
      <c r="C598" s="104"/>
      <c r="D598" s="102"/>
      <c r="E598"/>
      <c r="F598" s="102"/>
      <c r="G598" s="102"/>
      <c r="H598" s="102"/>
      <c r="I598" s="102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3"/>
      <c r="V598" s="103"/>
      <c r="W598" s="104"/>
      <c r="X598"/>
    </row>
    <row r="599" spans="1:24">
      <c r="A599" s="104"/>
      <c r="B599" s="104"/>
      <c r="C599" s="104"/>
      <c r="D599" s="102"/>
      <c r="E599"/>
      <c r="F599" s="102"/>
      <c r="G599" s="102"/>
      <c r="H599" s="102"/>
      <c r="I599" s="102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3"/>
      <c r="V599" s="103"/>
      <c r="W599" s="104"/>
      <c r="X599"/>
    </row>
    <row r="600" spans="1:24">
      <c r="A600" s="104"/>
      <c r="B600" s="104"/>
      <c r="C600" s="104"/>
      <c r="D600" s="102"/>
      <c r="E600"/>
      <c r="F600" s="102"/>
      <c r="G600" s="102"/>
      <c r="H600" s="102"/>
      <c r="I600" s="102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3"/>
      <c r="V600" s="103"/>
      <c r="W600" s="104"/>
      <c r="X600"/>
    </row>
    <row r="601" spans="1:24">
      <c r="A601" s="104"/>
      <c r="B601" s="104"/>
      <c r="C601" s="104"/>
      <c r="D601" s="102"/>
      <c r="E601"/>
      <c r="F601" s="102"/>
      <c r="G601" s="102"/>
      <c r="H601" s="102"/>
      <c r="I601" s="102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3"/>
      <c r="V601" s="103"/>
      <c r="W601" s="104"/>
      <c r="X601"/>
    </row>
    <row r="602" spans="1:24">
      <c r="A602" s="104"/>
      <c r="B602" s="104"/>
      <c r="C602" s="104"/>
      <c r="D602" s="102"/>
      <c r="E602"/>
      <c r="F602" s="102"/>
      <c r="G602" s="102"/>
      <c r="H602" s="102"/>
      <c r="I602" s="102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3"/>
      <c r="V602" s="103"/>
      <c r="W602" s="104"/>
      <c r="X602"/>
    </row>
    <row r="603" spans="1:24">
      <c r="A603" s="104"/>
      <c r="B603" s="104"/>
      <c r="C603" s="104"/>
      <c r="D603" s="102"/>
      <c r="E603"/>
      <c r="F603" s="102"/>
      <c r="G603" s="102"/>
      <c r="H603" s="102"/>
      <c r="I603" s="102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3"/>
      <c r="V603" s="103"/>
      <c r="W603" s="104"/>
      <c r="X603"/>
    </row>
    <row r="604" spans="1:24">
      <c r="A604" s="104"/>
      <c r="B604" s="104"/>
      <c r="C604" s="104"/>
      <c r="D604" s="102"/>
      <c r="E604"/>
      <c r="F604" s="102"/>
      <c r="G604" s="102"/>
      <c r="H604" s="102"/>
      <c r="I604" s="102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3"/>
      <c r="V604" s="103"/>
      <c r="W604" s="104"/>
      <c r="X604"/>
    </row>
    <row r="605" spans="1:24">
      <c r="A605" s="104"/>
      <c r="B605" s="104"/>
      <c r="C605" s="104"/>
      <c r="D605" s="102"/>
      <c r="E605"/>
      <c r="F605" s="102"/>
      <c r="G605" s="102"/>
      <c r="H605" s="102"/>
      <c r="I605" s="102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3"/>
      <c r="V605" s="103"/>
      <c r="W605" s="104"/>
      <c r="X605"/>
    </row>
    <row r="606" spans="1:24">
      <c r="A606" s="104"/>
      <c r="B606" s="104"/>
      <c r="C606" s="104"/>
      <c r="D606" s="102"/>
      <c r="E606"/>
      <c r="F606" s="102"/>
      <c r="G606" s="102"/>
      <c r="H606" s="102"/>
      <c r="I606" s="102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3"/>
      <c r="V606" s="103"/>
      <c r="W606" s="104"/>
      <c r="X606"/>
    </row>
    <row r="607" spans="1:24">
      <c r="A607" s="104"/>
      <c r="B607" s="104"/>
      <c r="C607" s="104"/>
      <c r="D607" s="102"/>
      <c r="E607"/>
      <c r="F607" s="102"/>
      <c r="G607" s="102"/>
      <c r="H607" s="102"/>
      <c r="I607" s="102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3"/>
      <c r="V607" s="103"/>
      <c r="W607" s="104"/>
      <c r="X607"/>
    </row>
    <row r="608" spans="1:24">
      <c r="A608" s="104"/>
      <c r="B608" s="104"/>
      <c r="C608" s="104"/>
      <c r="D608" s="102"/>
      <c r="E608"/>
      <c r="F608" s="102"/>
      <c r="G608" s="102"/>
      <c r="H608" s="102"/>
      <c r="I608" s="102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3"/>
      <c r="V608" s="103"/>
      <c r="W608" s="104"/>
      <c r="X608"/>
    </row>
    <row r="609" spans="1:24">
      <c r="A609" s="104"/>
      <c r="B609" s="104"/>
      <c r="C609" s="104"/>
      <c r="D609" s="102"/>
      <c r="E609"/>
      <c r="F609" s="102"/>
      <c r="G609" s="102"/>
      <c r="H609" s="102"/>
      <c r="I609" s="102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3"/>
      <c r="V609" s="103"/>
      <c r="W609" s="104"/>
      <c r="X609"/>
    </row>
    <row r="610" spans="1:24">
      <c r="A610" s="104"/>
      <c r="B610" s="104"/>
      <c r="C610" s="104"/>
      <c r="D610" s="102"/>
      <c r="E610"/>
      <c r="F610" s="102"/>
      <c r="G610" s="102"/>
      <c r="H610" s="102"/>
      <c r="I610" s="102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3"/>
      <c r="V610" s="103"/>
      <c r="W610" s="104"/>
      <c r="X610"/>
    </row>
    <row r="611" spans="1:24">
      <c r="A611" s="104"/>
      <c r="B611" s="104"/>
      <c r="C611" s="104"/>
      <c r="D611" s="102"/>
      <c r="E611"/>
      <c r="F611" s="102"/>
      <c r="G611" s="102"/>
      <c r="H611" s="102"/>
      <c r="I611" s="102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3"/>
      <c r="V611" s="103"/>
      <c r="W611" s="104"/>
      <c r="X611"/>
    </row>
    <row r="612" spans="1:24">
      <c r="A612" s="104"/>
      <c r="B612" s="104"/>
      <c r="C612" s="104"/>
      <c r="D612" s="102"/>
      <c r="E612"/>
      <c r="F612" s="102"/>
      <c r="G612" s="102"/>
      <c r="H612" s="102"/>
      <c r="I612" s="102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3"/>
      <c r="V612" s="103"/>
      <c r="W612" s="104"/>
      <c r="X612"/>
    </row>
    <row r="613" spans="1:24">
      <c r="A613" s="104"/>
      <c r="B613" s="104"/>
      <c r="C613" s="104"/>
      <c r="D613" s="102"/>
      <c r="E613"/>
      <c r="F613" s="102"/>
      <c r="G613" s="102"/>
      <c r="H613" s="102"/>
      <c r="I613" s="102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3"/>
      <c r="V613" s="103"/>
      <c r="W613" s="104"/>
      <c r="X613"/>
    </row>
    <row r="614" spans="1:24">
      <c r="A614" s="104"/>
      <c r="B614" s="104"/>
      <c r="C614" s="104"/>
      <c r="D614" s="102"/>
      <c r="E614"/>
      <c r="F614" s="102"/>
      <c r="G614" s="102"/>
      <c r="H614" s="102"/>
      <c r="I614" s="102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3"/>
      <c r="V614" s="103"/>
      <c r="W614" s="104"/>
      <c r="X614"/>
    </row>
    <row r="615" spans="1:24">
      <c r="A615" s="104"/>
      <c r="B615" s="104"/>
      <c r="C615" s="104"/>
      <c r="D615" s="102"/>
      <c r="E615"/>
      <c r="F615" s="102"/>
      <c r="G615" s="102"/>
      <c r="H615" s="102"/>
      <c r="I615" s="102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3"/>
      <c r="V615" s="103"/>
      <c r="W615" s="104"/>
      <c r="X615"/>
    </row>
    <row r="616" spans="1:24">
      <c r="A616" s="104"/>
      <c r="B616" s="104"/>
      <c r="C616" s="104"/>
      <c r="D616" s="102"/>
      <c r="E616"/>
      <c r="F616" s="102"/>
      <c r="G616" s="102"/>
      <c r="H616" s="102"/>
      <c r="I616" s="102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3"/>
      <c r="V616" s="103"/>
      <c r="W616" s="104"/>
      <c r="X616"/>
    </row>
    <row r="617" spans="1:24">
      <c r="A617" s="104"/>
      <c r="B617" s="104"/>
      <c r="C617" s="104"/>
      <c r="D617" s="102"/>
      <c r="E617"/>
      <c r="F617" s="102"/>
      <c r="G617" s="102"/>
      <c r="H617" s="102"/>
      <c r="I617" s="102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3"/>
      <c r="V617" s="103"/>
      <c r="W617" s="104"/>
      <c r="X617"/>
    </row>
    <row r="618" spans="1:24">
      <c r="A618" s="104"/>
      <c r="B618" s="104"/>
      <c r="C618" s="104"/>
      <c r="D618" s="102"/>
      <c r="E618"/>
      <c r="F618" s="102"/>
      <c r="G618" s="102"/>
      <c r="H618" s="102"/>
      <c r="I618" s="102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3"/>
      <c r="V618" s="103"/>
      <c r="W618" s="104"/>
      <c r="X618"/>
    </row>
    <row r="619" spans="1:24">
      <c r="A619" s="104"/>
      <c r="B619" s="104"/>
      <c r="C619" s="104"/>
      <c r="D619" s="102"/>
      <c r="E619"/>
      <c r="F619" s="102"/>
      <c r="G619" s="102"/>
      <c r="H619" s="102"/>
      <c r="I619" s="102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3"/>
      <c r="V619" s="103"/>
      <c r="W619" s="104"/>
      <c r="X619"/>
    </row>
    <row r="620" spans="1:24">
      <c r="A620" s="104"/>
      <c r="B620" s="104"/>
      <c r="C620" s="104"/>
      <c r="D620" s="102"/>
      <c r="E620"/>
      <c r="F620" s="102"/>
      <c r="G620" s="102"/>
      <c r="H620" s="102"/>
      <c r="I620" s="102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3"/>
      <c r="V620" s="103"/>
      <c r="W620" s="104"/>
      <c r="X620"/>
    </row>
    <row r="621" spans="1:24">
      <c r="A621" s="104"/>
      <c r="B621" s="104"/>
      <c r="C621" s="104"/>
      <c r="D621" s="102"/>
      <c r="E621"/>
      <c r="F621" s="102"/>
      <c r="G621" s="102"/>
      <c r="H621" s="102"/>
      <c r="I621" s="102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3"/>
      <c r="V621" s="103"/>
      <c r="W621" s="104"/>
      <c r="X621"/>
    </row>
    <row r="622" spans="1:24">
      <c r="A622" s="104"/>
      <c r="B622" s="104"/>
      <c r="C622" s="104"/>
      <c r="D622" s="102"/>
      <c r="E622"/>
      <c r="F622" s="102"/>
      <c r="G622" s="102"/>
      <c r="H622" s="102"/>
      <c r="I622" s="102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3"/>
      <c r="V622" s="103"/>
      <c r="W622" s="104"/>
      <c r="X622"/>
    </row>
    <row r="623" spans="1:24">
      <c r="A623" s="104"/>
      <c r="B623" s="104"/>
      <c r="C623" s="104"/>
      <c r="D623" s="102"/>
      <c r="E623"/>
      <c r="F623" s="102"/>
      <c r="G623" s="102"/>
      <c r="H623" s="102"/>
      <c r="I623" s="102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3"/>
      <c r="V623" s="103"/>
      <c r="W623" s="104"/>
      <c r="X623"/>
    </row>
    <row r="624" spans="1:24">
      <c r="A624" s="104"/>
      <c r="B624" s="104"/>
      <c r="C624" s="104"/>
      <c r="D624" s="102"/>
      <c r="E624"/>
      <c r="F624" s="102"/>
      <c r="G624" s="102"/>
      <c r="H624" s="102"/>
      <c r="I624" s="102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3"/>
      <c r="V624" s="103"/>
      <c r="W624" s="104"/>
      <c r="X624"/>
    </row>
    <row r="625" spans="1:24">
      <c r="A625" s="104"/>
      <c r="B625" s="104"/>
      <c r="C625" s="104"/>
      <c r="D625" s="102"/>
      <c r="E625"/>
      <c r="F625" s="102"/>
      <c r="G625" s="102"/>
      <c r="H625" s="102"/>
      <c r="I625" s="102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3"/>
      <c r="V625" s="103"/>
      <c r="W625" s="104"/>
      <c r="X625"/>
    </row>
    <row r="626" spans="1:24">
      <c r="A626" s="104"/>
      <c r="B626" s="104"/>
      <c r="C626" s="104"/>
      <c r="D626" s="102"/>
      <c r="E626"/>
      <c r="F626" s="102"/>
      <c r="G626" s="102"/>
      <c r="H626" s="102"/>
      <c r="I626" s="102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3"/>
      <c r="V626" s="103"/>
      <c r="W626" s="104"/>
      <c r="X626"/>
    </row>
    <row r="627" spans="1:24">
      <c r="A627" s="104"/>
      <c r="B627" s="104"/>
      <c r="C627" s="104"/>
      <c r="D627" s="102"/>
      <c r="E627"/>
      <c r="F627" s="102"/>
      <c r="G627" s="102"/>
      <c r="H627" s="102"/>
      <c r="I627" s="102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3"/>
      <c r="V627" s="103"/>
      <c r="W627" s="104"/>
      <c r="X627"/>
    </row>
    <row r="628" spans="1:24">
      <c r="A628" s="104"/>
      <c r="B628" s="104"/>
      <c r="C628" s="104"/>
      <c r="D628" s="102"/>
      <c r="E628"/>
      <c r="F628" s="102"/>
      <c r="G628" s="102"/>
      <c r="H628" s="102"/>
      <c r="I628" s="102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3"/>
      <c r="V628" s="103"/>
      <c r="W628" s="104"/>
      <c r="X628"/>
    </row>
    <row r="629" spans="1:24">
      <c r="A629" s="104"/>
      <c r="B629" s="104"/>
      <c r="C629" s="104"/>
      <c r="D629" s="102"/>
      <c r="E629"/>
      <c r="F629" s="102"/>
      <c r="G629" s="102"/>
      <c r="H629" s="102"/>
      <c r="I629" s="102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3"/>
      <c r="V629" s="103"/>
      <c r="W629" s="104"/>
      <c r="X629"/>
    </row>
    <row r="630" spans="1:24">
      <c r="A630" s="104"/>
      <c r="B630" s="104"/>
      <c r="C630" s="104"/>
      <c r="D630" s="102"/>
      <c r="E630"/>
      <c r="F630" s="102"/>
      <c r="G630" s="102"/>
      <c r="H630" s="102"/>
      <c r="I630" s="102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3"/>
      <c r="V630" s="103"/>
      <c r="W630" s="104"/>
      <c r="X630"/>
    </row>
    <row r="631" spans="1:24">
      <c r="A631" s="104"/>
      <c r="B631" s="104"/>
      <c r="C631" s="104"/>
      <c r="D631" s="102"/>
      <c r="E631"/>
      <c r="F631" s="102"/>
      <c r="G631" s="102"/>
      <c r="H631" s="102"/>
      <c r="I631" s="102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3"/>
      <c r="V631" s="103"/>
      <c r="W631" s="104"/>
      <c r="X631"/>
    </row>
    <row r="632" spans="1:24">
      <c r="A632" s="104"/>
      <c r="B632" s="104"/>
      <c r="C632" s="104"/>
      <c r="D632" s="102"/>
      <c r="E632"/>
      <c r="F632" s="102"/>
      <c r="G632" s="102"/>
      <c r="H632" s="102"/>
      <c r="I632" s="102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3"/>
      <c r="V632" s="103"/>
      <c r="W632" s="104"/>
      <c r="X632"/>
    </row>
    <row r="633" spans="1:24">
      <c r="A633" s="104"/>
      <c r="B633" s="104"/>
      <c r="C633" s="104"/>
      <c r="D633" s="102"/>
      <c r="E633"/>
      <c r="F633" s="102"/>
      <c r="G633" s="102"/>
      <c r="H633" s="102"/>
      <c r="I633" s="102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3"/>
      <c r="V633" s="103"/>
      <c r="W633" s="104"/>
      <c r="X633"/>
    </row>
    <row r="634" spans="1:24">
      <c r="A634" s="104"/>
      <c r="B634" s="104"/>
      <c r="C634" s="104"/>
      <c r="D634" s="102"/>
      <c r="E634"/>
      <c r="F634" s="102"/>
      <c r="G634" s="102"/>
      <c r="H634" s="102"/>
      <c r="I634" s="102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3"/>
      <c r="V634" s="103"/>
      <c r="W634" s="104"/>
      <c r="X634"/>
    </row>
    <row r="635" spans="1:24">
      <c r="A635" s="104"/>
      <c r="B635" s="104"/>
      <c r="C635" s="104"/>
      <c r="D635" s="102"/>
      <c r="E635"/>
      <c r="F635" s="102"/>
      <c r="G635" s="102"/>
      <c r="H635" s="102"/>
      <c r="I635" s="102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3"/>
      <c r="V635" s="103"/>
      <c r="W635" s="104"/>
      <c r="X635"/>
    </row>
    <row r="636" spans="1:24">
      <c r="A636" s="104"/>
      <c r="B636" s="104"/>
      <c r="C636" s="104"/>
      <c r="D636" s="102"/>
      <c r="E636"/>
      <c r="F636" s="102"/>
      <c r="G636" s="102"/>
      <c r="H636" s="102"/>
      <c r="I636" s="102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3"/>
      <c r="V636" s="103"/>
      <c r="W636" s="104"/>
      <c r="X636"/>
    </row>
    <row r="637" spans="1:24">
      <c r="A637" s="104"/>
      <c r="B637" s="104"/>
      <c r="C637" s="104"/>
      <c r="D637" s="102"/>
      <c r="E637"/>
      <c r="F637" s="102"/>
      <c r="G637" s="102"/>
      <c r="H637" s="102"/>
      <c r="I637" s="102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3"/>
      <c r="V637" s="103"/>
      <c r="W637" s="104"/>
      <c r="X637"/>
    </row>
    <row r="638" spans="1:24">
      <c r="A638" s="104"/>
      <c r="B638" s="104"/>
      <c r="C638" s="104"/>
      <c r="D638" s="102"/>
      <c r="E638"/>
      <c r="F638" s="102"/>
      <c r="G638" s="102"/>
      <c r="H638" s="102"/>
      <c r="I638" s="102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3"/>
      <c r="V638" s="103"/>
      <c r="W638" s="104"/>
      <c r="X638"/>
    </row>
    <row r="639" spans="1:24">
      <c r="A639" s="104"/>
      <c r="B639" s="104"/>
      <c r="C639" s="104"/>
      <c r="D639" s="102"/>
      <c r="E639"/>
      <c r="F639" s="102"/>
      <c r="G639" s="102"/>
      <c r="H639" s="102"/>
      <c r="I639" s="102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3"/>
      <c r="V639" s="103"/>
      <c r="W639" s="104"/>
      <c r="X639"/>
    </row>
    <row r="640" spans="1:24">
      <c r="A640" s="104"/>
      <c r="B640" s="104"/>
      <c r="C640" s="104"/>
      <c r="D640" s="102"/>
      <c r="E640"/>
      <c r="F640" s="102"/>
      <c r="G640" s="102"/>
      <c r="H640" s="102"/>
      <c r="I640" s="102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3"/>
      <c r="V640" s="103"/>
      <c r="W640" s="104"/>
      <c r="X640"/>
    </row>
    <row r="641" spans="1:24">
      <c r="A641" s="104"/>
      <c r="B641" s="104"/>
      <c r="C641" s="104"/>
      <c r="D641" s="102"/>
      <c r="E641"/>
      <c r="F641" s="102"/>
      <c r="G641" s="102"/>
      <c r="H641" s="102"/>
      <c r="I641" s="102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3"/>
      <c r="V641" s="103"/>
      <c r="W641" s="104"/>
      <c r="X641"/>
    </row>
    <row r="642" spans="1:24">
      <c r="A642" s="104"/>
      <c r="B642" s="104"/>
      <c r="C642" s="104"/>
      <c r="D642" s="102"/>
      <c r="E642"/>
      <c r="F642" s="102"/>
      <c r="G642" s="102"/>
      <c r="H642" s="102"/>
      <c r="I642" s="102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3"/>
      <c r="V642" s="103"/>
      <c r="W642" s="104"/>
      <c r="X642"/>
    </row>
    <row r="643" spans="1:24">
      <c r="A643" s="104"/>
      <c r="B643" s="104"/>
      <c r="C643" s="104"/>
      <c r="D643" s="102"/>
      <c r="E643"/>
      <c r="F643" s="102"/>
      <c r="G643" s="102"/>
      <c r="H643" s="102"/>
      <c r="I643" s="102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3"/>
      <c r="V643" s="103"/>
      <c r="W643" s="104"/>
      <c r="X643"/>
    </row>
    <row r="644" spans="1:24">
      <c r="A644" s="104"/>
      <c r="B644" s="104"/>
      <c r="C644" s="104"/>
      <c r="D644" s="102"/>
      <c r="E644"/>
      <c r="F644" s="102"/>
      <c r="G644" s="102"/>
      <c r="H644" s="102"/>
      <c r="I644" s="102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3"/>
      <c r="V644" s="103"/>
      <c r="W644" s="104"/>
      <c r="X644"/>
    </row>
    <row r="645" spans="1:24">
      <c r="A645" s="104"/>
      <c r="B645" s="104"/>
      <c r="C645" s="104"/>
      <c r="D645" s="102"/>
      <c r="E645"/>
      <c r="F645" s="102"/>
      <c r="G645" s="102"/>
      <c r="H645" s="102"/>
      <c r="I645" s="102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3"/>
      <c r="V645" s="103"/>
      <c r="W645" s="104"/>
      <c r="X645"/>
    </row>
    <row r="646" spans="1:24">
      <c r="A646" s="104"/>
      <c r="B646" s="104"/>
      <c r="C646" s="104"/>
      <c r="D646" s="102"/>
      <c r="E646"/>
      <c r="F646" s="102"/>
      <c r="G646" s="102"/>
      <c r="H646" s="102"/>
      <c r="I646" s="102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3"/>
      <c r="V646" s="103"/>
      <c r="W646" s="104"/>
      <c r="X646"/>
    </row>
    <row r="647" spans="1:24">
      <c r="A647" s="104"/>
      <c r="B647" s="104"/>
      <c r="C647" s="104"/>
      <c r="D647" s="102"/>
      <c r="E647"/>
      <c r="F647" s="102"/>
      <c r="G647" s="102"/>
      <c r="H647" s="102"/>
      <c r="I647" s="102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3"/>
      <c r="V647" s="103"/>
      <c r="W647" s="104"/>
      <c r="X647"/>
    </row>
    <row r="648" spans="1:24">
      <c r="A648" s="104"/>
      <c r="B648" s="104"/>
      <c r="C648" s="104"/>
      <c r="D648" s="102"/>
      <c r="E648"/>
      <c r="F648" s="102"/>
      <c r="G648" s="102"/>
      <c r="H648" s="102"/>
      <c r="I648" s="102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3"/>
      <c r="V648" s="103"/>
      <c r="W648" s="104"/>
      <c r="X648"/>
    </row>
    <row r="649" spans="1:24">
      <c r="A649" s="104"/>
      <c r="B649" s="104"/>
      <c r="C649" s="104"/>
      <c r="D649" s="102"/>
      <c r="E649"/>
      <c r="F649" s="102"/>
      <c r="G649" s="102"/>
      <c r="H649" s="102"/>
      <c r="I649" s="102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3"/>
      <c r="V649" s="103"/>
      <c r="W649" s="104"/>
      <c r="X649"/>
    </row>
    <row r="650" spans="1:24">
      <c r="A650" s="104"/>
      <c r="B650" s="104"/>
      <c r="C650" s="104"/>
      <c r="D650" s="102"/>
      <c r="E650"/>
      <c r="F650" s="102"/>
      <c r="G650" s="102"/>
      <c r="H650" s="102"/>
      <c r="I650" s="102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3"/>
      <c r="V650" s="103"/>
      <c r="W650" s="104"/>
      <c r="X650"/>
    </row>
    <row r="651" spans="1:24">
      <c r="A651" s="104"/>
      <c r="B651" s="104"/>
      <c r="C651" s="104"/>
      <c r="D651" s="102"/>
      <c r="E651"/>
      <c r="F651" s="102"/>
      <c r="G651" s="102"/>
      <c r="H651" s="102"/>
      <c r="I651" s="102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3"/>
      <c r="V651" s="103"/>
      <c r="W651" s="104"/>
      <c r="X651"/>
    </row>
    <row r="652" spans="1:24">
      <c r="A652" s="104"/>
      <c r="B652" s="104"/>
      <c r="C652" s="104"/>
      <c r="D652" s="102"/>
      <c r="E652"/>
      <c r="F652" s="102"/>
      <c r="G652" s="102"/>
      <c r="H652" s="102"/>
      <c r="I652" s="102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3"/>
      <c r="V652" s="103"/>
      <c r="W652" s="104"/>
      <c r="X652"/>
    </row>
    <row r="653" spans="1:24">
      <c r="A653" s="104"/>
      <c r="B653" s="104"/>
      <c r="C653" s="104"/>
      <c r="D653" s="102"/>
      <c r="E653"/>
      <c r="F653" s="102"/>
      <c r="G653" s="102"/>
      <c r="H653" s="102"/>
      <c r="I653" s="102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3"/>
      <c r="V653" s="103"/>
      <c r="W653" s="104"/>
      <c r="X653"/>
    </row>
    <row r="654" spans="1:24">
      <c r="A654" s="104"/>
      <c r="B654" s="104"/>
      <c r="C654" s="104"/>
      <c r="D654" s="102"/>
      <c r="E654"/>
      <c r="F654" s="102"/>
      <c r="G654" s="102"/>
      <c r="H654" s="102"/>
      <c r="I654" s="102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3"/>
      <c r="V654" s="103"/>
      <c r="W654" s="104"/>
      <c r="X654"/>
    </row>
    <row r="655" spans="1:24">
      <c r="A655" s="104"/>
      <c r="B655" s="104"/>
      <c r="C655" s="104"/>
      <c r="D655" s="102"/>
      <c r="E655"/>
      <c r="F655" s="102"/>
      <c r="G655" s="102"/>
      <c r="H655" s="102"/>
      <c r="I655" s="102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3"/>
      <c r="V655" s="103"/>
      <c r="W655" s="104"/>
      <c r="X655"/>
    </row>
    <row r="656" spans="1:24">
      <c r="A656" s="104"/>
      <c r="B656" s="104"/>
      <c r="C656" s="104"/>
      <c r="D656" s="102"/>
      <c r="E656"/>
      <c r="F656" s="102"/>
      <c r="G656" s="102"/>
      <c r="H656" s="102"/>
      <c r="I656" s="102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3"/>
      <c r="V656" s="103"/>
      <c r="W656" s="104"/>
      <c r="X656"/>
    </row>
    <row r="657" spans="1:24">
      <c r="A657" s="104"/>
      <c r="B657" s="104"/>
      <c r="C657" s="104"/>
      <c r="D657" s="102"/>
      <c r="E657"/>
      <c r="F657" s="102"/>
      <c r="G657" s="102"/>
      <c r="H657" s="102"/>
      <c r="I657" s="102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3"/>
      <c r="V657" s="103"/>
      <c r="W657" s="104"/>
      <c r="X657"/>
    </row>
    <row r="658" spans="1:24">
      <c r="A658" s="104"/>
      <c r="B658" s="104"/>
      <c r="C658" s="104"/>
      <c r="D658" s="102"/>
      <c r="E658"/>
      <c r="F658" s="102"/>
      <c r="G658" s="102"/>
      <c r="H658" s="102"/>
      <c r="I658" s="102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3"/>
      <c r="V658" s="103"/>
      <c r="W658" s="104"/>
      <c r="X658"/>
    </row>
    <row r="659" spans="1:24">
      <c r="A659" s="104"/>
      <c r="B659" s="104"/>
      <c r="C659" s="104"/>
      <c r="D659" s="102"/>
      <c r="E659"/>
      <c r="F659" s="102"/>
      <c r="G659" s="102"/>
      <c r="H659" s="102"/>
      <c r="I659" s="102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3"/>
      <c r="V659" s="103"/>
      <c r="W659" s="104"/>
      <c r="X659"/>
    </row>
    <row r="660" spans="1:24">
      <c r="A660" s="104"/>
      <c r="B660" s="104"/>
      <c r="C660" s="104"/>
      <c r="D660" s="102"/>
      <c r="E660"/>
      <c r="F660" s="102"/>
      <c r="G660" s="102"/>
      <c r="H660" s="102"/>
      <c r="I660" s="102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3"/>
      <c r="V660" s="103"/>
      <c r="W660" s="104"/>
      <c r="X660"/>
    </row>
    <row r="661" spans="1:24">
      <c r="A661" s="104"/>
      <c r="B661" s="104"/>
      <c r="C661" s="104"/>
      <c r="D661" s="102"/>
      <c r="E661"/>
      <c r="F661" s="102"/>
      <c r="G661" s="102"/>
      <c r="H661" s="102"/>
      <c r="I661" s="102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3"/>
      <c r="V661" s="103"/>
      <c r="W661" s="104"/>
      <c r="X661"/>
    </row>
    <row r="662" spans="1:24">
      <c r="A662" s="104"/>
      <c r="B662" s="104"/>
      <c r="C662" s="104"/>
      <c r="D662" s="102"/>
      <c r="E662"/>
      <c r="F662" s="102"/>
      <c r="G662" s="102"/>
      <c r="H662" s="102"/>
      <c r="I662" s="102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3"/>
      <c r="V662" s="103"/>
      <c r="W662" s="104"/>
      <c r="X662"/>
    </row>
    <row r="663" spans="1:24">
      <c r="A663" s="104"/>
      <c r="B663" s="104"/>
      <c r="C663" s="104"/>
      <c r="D663" s="102"/>
      <c r="E663"/>
      <c r="F663" s="102"/>
      <c r="G663" s="102"/>
      <c r="H663" s="102"/>
      <c r="I663" s="102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3"/>
      <c r="V663" s="103"/>
      <c r="W663" s="104"/>
      <c r="X663"/>
    </row>
    <row r="664" spans="1:24">
      <c r="A664" s="104"/>
      <c r="B664" s="104"/>
      <c r="C664" s="104"/>
      <c r="D664" s="102"/>
      <c r="E664"/>
      <c r="F664" s="102"/>
      <c r="G664" s="102"/>
      <c r="H664" s="102"/>
      <c r="I664" s="102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3"/>
      <c r="V664" s="103"/>
      <c r="W664" s="104"/>
      <c r="X664"/>
    </row>
    <row r="665" spans="1:24">
      <c r="A665" s="104"/>
      <c r="B665" s="104"/>
      <c r="C665" s="104"/>
      <c r="D665" s="102"/>
      <c r="E665"/>
      <c r="F665" s="102"/>
      <c r="G665" s="102"/>
      <c r="H665" s="102"/>
      <c r="I665" s="102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3"/>
      <c r="V665" s="103"/>
      <c r="W665" s="104"/>
      <c r="X665"/>
    </row>
    <row r="666" spans="1:24">
      <c r="A666" s="104"/>
      <c r="B666" s="104"/>
      <c r="C666" s="104"/>
      <c r="D666" s="102"/>
      <c r="E666"/>
      <c r="F666" s="102"/>
      <c r="G666" s="102"/>
      <c r="H666" s="102"/>
      <c r="I666" s="102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3"/>
      <c r="V666" s="103"/>
      <c r="W666" s="104"/>
      <c r="X666"/>
    </row>
    <row r="667" spans="1:24">
      <c r="A667" s="104"/>
      <c r="B667" s="104"/>
      <c r="C667" s="104"/>
      <c r="D667" s="102"/>
      <c r="E667"/>
      <c r="F667" s="102"/>
      <c r="G667" s="102"/>
      <c r="H667" s="102"/>
      <c r="I667" s="102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3"/>
      <c r="V667" s="103"/>
      <c r="W667" s="104"/>
      <c r="X667"/>
    </row>
    <row r="668" spans="1:24">
      <c r="A668" s="104"/>
      <c r="B668" s="104"/>
      <c r="C668" s="104"/>
      <c r="D668" s="102"/>
      <c r="E668"/>
      <c r="F668" s="102"/>
      <c r="G668" s="102"/>
      <c r="H668" s="102"/>
      <c r="I668" s="102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3"/>
      <c r="V668" s="103"/>
      <c r="W668" s="104"/>
      <c r="X668"/>
    </row>
    <row r="669" spans="1:24">
      <c r="A669" s="104"/>
      <c r="B669" s="104"/>
      <c r="C669" s="104"/>
      <c r="D669" s="102"/>
      <c r="E669"/>
      <c r="F669" s="102"/>
      <c r="G669" s="102"/>
      <c r="H669" s="102"/>
      <c r="I669" s="102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3"/>
      <c r="V669" s="103"/>
      <c r="W669" s="104"/>
      <c r="X669"/>
    </row>
    <row r="670" spans="1:24">
      <c r="A670" s="104"/>
      <c r="B670" s="104"/>
      <c r="C670" s="104"/>
      <c r="D670" s="102"/>
      <c r="E670"/>
      <c r="F670" s="102"/>
      <c r="G670" s="102"/>
      <c r="H670" s="102"/>
      <c r="I670" s="102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3"/>
      <c r="V670" s="103"/>
      <c r="W670" s="104"/>
      <c r="X670"/>
    </row>
    <row r="671" spans="1:24">
      <c r="A671" s="104"/>
      <c r="B671" s="104"/>
      <c r="C671" s="104"/>
      <c r="D671" s="102"/>
      <c r="E671"/>
      <c r="F671" s="102"/>
      <c r="G671" s="102"/>
      <c r="H671" s="102"/>
      <c r="I671" s="102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3"/>
      <c r="V671" s="103"/>
      <c r="W671" s="104"/>
      <c r="X671"/>
    </row>
    <row r="672" spans="1:24">
      <c r="A672" s="104"/>
      <c r="B672" s="104"/>
      <c r="C672" s="104"/>
      <c r="D672" s="102"/>
      <c r="E672"/>
      <c r="F672" s="102"/>
      <c r="G672" s="102"/>
      <c r="H672" s="102"/>
      <c r="I672" s="102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3"/>
      <c r="V672" s="103"/>
      <c r="W672" s="104"/>
      <c r="X672"/>
    </row>
    <row r="673" spans="1:24">
      <c r="A673" s="104"/>
      <c r="B673" s="104"/>
      <c r="C673" s="104"/>
      <c r="D673" s="102"/>
      <c r="E673"/>
      <c r="F673" s="102"/>
      <c r="G673" s="102"/>
      <c r="H673" s="102"/>
      <c r="I673" s="102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3"/>
      <c r="V673" s="103"/>
      <c r="W673" s="104"/>
      <c r="X673"/>
    </row>
    <row r="674" spans="1:24">
      <c r="A674" s="104"/>
      <c r="B674" s="104"/>
      <c r="C674" s="104"/>
      <c r="D674" s="102"/>
      <c r="E674"/>
      <c r="F674" s="102"/>
      <c r="G674" s="102"/>
      <c r="H674" s="102"/>
      <c r="I674" s="102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3"/>
      <c r="V674" s="103"/>
      <c r="W674" s="104"/>
      <c r="X674"/>
    </row>
    <row r="675" spans="1:24">
      <c r="A675" s="104"/>
      <c r="B675" s="104"/>
      <c r="C675" s="104"/>
      <c r="D675" s="102"/>
      <c r="E675"/>
      <c r="F675" s="102"/>
      <c r="G675" s="102"/>
      <c r="H675" s="102"/>
      <c r="I675" s="102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3"/>
      <c r="V675" s="103"/>
      <c r="W675" s="104"/>
      <c r="X675"/>
    </row>
    <row r="676" spans="1:24">
      <c r="A676" s="104"/>
      <c r="B676" s="104"/>
      <c r="C676" s="104"/>
      <c r="D676" s="102"/>
      <c r="E676"/>
      <c r="F676" s="102"/>
      <c r="G676" s="102"/>
      <c r="H676" s="102"/>
      <c r="I676" s="102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3"/>
      <c r="V676" s="103"/>
      <c r="W676" s="104"/>
      <c r="X676"/>
    </row>
    <row r="677" spans="1:24">
      <c r="A677" s="104"/>
      <c r="B677" s="104"/>
      <c r="C677" s="104"/>
      <c r="D677" s="102"/>
      <c r="E677"/>
      <c r="F677" s="102"/>
      <c r="G677" s="102"/>
      <c r="H677" s="102"/>
      <c r="I677" s="102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3"/>
      <c r="V677" s="103"/>
      <c r="W677" s="104"/>
      <c r="X677"/>
    </row>
    <row r="678" spans="1:24">
      <c r="A678" s="104"/>
      <c r="B678" s="104"/>
      <c r="C678" s="104"/>
      <c r="D678" s="102"/>
      <c r="E678"/>
      <c r="F678" s="102"/>
      <c r="G678" s="102"/>
      <c r="H678" s="102"/>
      <c r="I678" s="102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3"/>
      <c r="V678" s="103"/>
      <c r="W678" s="104"/>
      <c r="X678"/>
    </row>
    <row r="679" spans="1:24">
      <c r="A679" s="104"/>
      <c r="B679" s="104"/>
      <c r="C679" s="104"/>
      <c r="D679" s="102"/>
      <c r="E679"/>
      <c r="F679" s="102"/>
      <c r="G679" s="102"/>
      <c r="H679" s="102"/>
      <c r="I679" s="102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3"/>
      <c r="V679" s="103"/>
      <c r="W679" s="104"/>
      <c r="X679"/>
    </row>
    <row r="680" spans="1:24">
      <c r="A680" s="104"/>
      <c r="B680" s="104"/>
      <c r="C680" s="104"/>
      <c r="D680" s="102"/>
      <c r="E680"/>
      <c r="F680" s="102"/>
      <c r="G680" s="102"/>
      <c r="H680" s="102"/>
      <c r="I680" s="102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3"/>
      <c r="V680" s="103"/>
      <c r="W680" s="104"/>
      <c r="X680"/>
    </row>
    <row r="681" spans="1:24">
      <c r="A681" s="104"/>
      <c r="B681" s="104"/>
      <c r="C681" s="104"/>
      <c r="D681" s="102"/>
      <c r="E681"/>
      <c r="F681" s="102"/>
      <c r="G681" s="102"/>
      <c r="H681" s="102"/>
      <c r="I681" s="102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3"/>
      <c r="V681" s="103"/>
      <c r="W681" s="104"/>
      <c r="X681"/>
    </row>
    <row r="682" spans="1:24">
      <c r="A682" s="104"/>
      <c r="B682" s="104"/>
      <c r="C682" s="104"/>
      <c r="D682" s="102"/>
      <c r="E682"/>
      <c r="F682" s="102"/>
      <c r="G682" s="102"/>
      <c r="H682" s="102"/>
      <c r="I682" s="102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3"/>
      <c r="V682" s="103"/>
      <c r="W682" s="104"/>
      <c r="X682"/>
    </row>
    <row r="683" spans="1:24">
      <c r="A683" s="104"/>
      <c r="B683" s="104"/>
      <c r="C683" s="104"/>
      <c r="D683" s="102"/>
      <c r="E683"/>
      <c r="F683" s="102"/>
      <c r="G683" s="102"/>
      <c r="H683" s="102"/>
      <c r="I683" s="102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3"/>
      <c r="V683" s="103"/>
      <c r="W683" s="104"/>
      <c r="X683"/>
    </row>
    <row r="684" spans="1:24">
      <c r="A684" s="104"/>
      <c r="B684" s="104"/>
      <c r="C684" s="104"/>
      <c r="D684" s="102"/>
      <c r="E684"/>
      <c r="F684" s="102"/>
      <c r="G684" s="102"/>
      <c r="H684" s="102"/>
      <c r="I684" s="102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3"/>
      <c r="V684" s="103"/>
      <c r="W684" s="104"/>
      <c r="X684"/>
    </row>
    <row r="685" spans="1:24">
      <c r="A685" s="104"/>
      <c r="B685" s="104"/>
      <c r="C685" s="104"/>
      <c r="D685" s="102"/>
      <c r="E685"/>
      <c r="F685" s="102"/>
      <c r="G685" s="102"/>
      <c r="H685" s="102"/>
      <c r="I685" s="102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3"/>
      <c r="V685" s="103"/>
      <c r="W685" s="104"/>
      <c r="X685"/>
    </row>
    <row r="686" spans="1:24">
      <c r="A686" s="104"/>
      <c r="B686" s="104"/>
      <c r="C686" s="104"/>
      <c r="D686" s="102"/>
      <c r="E686"/>
      <c r="F686" s="102"/>
      <c r="G686" s="102"/>
      <c r="H686" s="102"/>
      <c r="I686" s="102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3"/>
      <c r="V686" s="103"/>
      <c r="W686" s="104"/>
      <c r="X686"/>
    </row>
    <row r="687" spans="1:24">
      <c r="A687" s="104"/>
      <c r="B687" s="104"/>
      <c r="C687" s="104"/>
      <c r="D687" s="102"/>
      <c r="E687"/>
      <c r="F687" s="102"/>
      <c r="G687" s="102"/>
      <c r="H687" s="102"/>
      <c r="I687" s="102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3"/>
      <c r="V687" s="103"/>
      <c r="W687" s="104"/>
      <c r="X687"/>
    </row>
    <row r="688" spans="1:24">
      <c r="A688" s="104"/>
      <c r="B688" s="104"/>
      <c r="C688" s="104"/>
      <c r="D688" s="102"/>
      <c r="E688"/>
      <c r="F688" s="102"/>
      <c r="G688" s="102"/>
      <c r="H688" s="102"/>
      <c r="I688" s="102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3"/>
      <c r="V688" s="103"/>
      <c r="W688" s="104"/>
      <c r="X688"/>
    </row>
    <row r="689" spans="1:24">
      <c r="A689" s="104"/>
      <c r="B689" s="104"/>
      <c r="C689" s="104"/>
      <c r="D689" s="102"/>
      <c r="E689"/>
      <c r="F689" s="102"/>
      <c r="G689" s="102"/>
      <c r="H689" s="102"/>
      <c r="I689" s="102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3"/>
      <c r="V689" s="103"/>
      <c r="W689" s="104"/>
      <c r="X689"/>
    </row>
    <row r="690" spans="1:24">
      <c r="A690" s="104"/>
      <c r="B690" s="104"/>
      <c r="C690" s="104"/>
      <c r="D690" s="102"/>
      <c r="E690"/>
      <c r="F690" s="102"/>
      <c r="G690" s="102"/>
      <c r="H690" s="102"/>
      <c r="I690" s="102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3"/>
      <c r="V690" s="103"/>
      <c r="W690" s="104"/>
      <c r="X690"/>
    </row>
    <row r="691" spans="1:24">
      <c r="A691" s="104"/>
      <c r="B691" s="104"/>
      <c r="C691" s="104"/>
      <c r="D691" s="102"/>
      <c r="E691"/>
      <c r="F691" s="102"/>
      <c r="G691" s="102"/>
      <c r="H691" s="102"/>
      <c r="I691" s="102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3"/>
      <c r="V691" s="103"/>
      <c r="W691" s="104"/>
      <c r="X691"/>
    </row>
    <row r="692" spans="1:24">
      <c r="A692" s="104"/>
      <c r="B692" s="104"/>
      <c r="C692" s="104"/>
      <c r="D692" s="102"/>
      <c r="E692"/>
      <c r="F692" s="102"/>
      <c r="G692" s="102"/>
      <c r="H692" s="102"/>
      <c r="I692" s="102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3"/>
      <c r="V692" s="103"/>
      <c r="W692" s="104"/>
      <c r="X692"/>
    </row>
    <row r="693" spans="1:24">
      <c r="A693" s="104"/>
      <c r="B693" s="104"/>
      <c r="C693" s="104"/>
      <c r="D693" s="102"/>
      <c r="E693"/>
      <c r="F693" s="102"/>
      <c r="G693" s="102"/>
      <c r="H693" s="102"/>
      <c r="I693" s="102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3"/>
      <c r="V693" s="103"/>
      <c r="W693" s="104"/>
      <c r="X693"/>
    </row>
    <row r="694" spans="1:24">
      <c r="A694" s="104"/>
      <c r="B694" s="104"/>
      <c r="C694" s="104"/>
      <c r="D694" s="102"/>
      <c r="E694"/>
      <c r="F694" s="102"/>
      <c r="G694" s="102"/>
      <c r="H694" s="102"/>
      <c r="I694" s="102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3"/>
      <c r="V694" s="103"/>
      <c r="W694" s="104"/>
      <c r="X694"/>
    </row>
    <row r="695" spans="1:24">
      <c r="A695" s="104"/>
      <c r="B695" s="104"/>
      <c r="C695" s="104"/>
      <c r="D695" s="102"/>
      <c r="E695"/>
      <c r="F695" s="102"/>
      <c r="G695" s="102"/>
      <c r="H695" s="102"/>
      <c r="I695" s="102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3"/>
      <c r="V695" s="103"/>
      <c r="W695" s="104"/>
      <c r="X695"/>
    </row>
    <row r="696" spans="1:24">
      <c r="A696" s="104"/>
      <c r="B696" s="104"/>
      <c r="C696" s="104"/>
      <c r="D696" s="102"/>
      <c r="E696"/>
      <c r="F696" s="102"/>
      <c r="G696" s="102"/>
      <c r="H696" s="102"/>
      <c r="I696" s="102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3"/>
      <c r="V696" s="103"/>
      <c r="W696" s="104"/>
      <c r="X696"/>
    </row>
    <row r="697" spans="1:24">
      <c r="A697" s="104"/>
      <c r="B697" s="104"/>
      <c r="C697" s="104"/>
      <c r="D697" s="102"/>
      <c r="E697"/>
      <c r="F697" s="102"/>
      <c r="G697" s="102"/>
      <c r="H697" s="102"/>
      <c r="I697" s="102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3"/>
      <c r="V697" s="103"/>
      <c r="W697" s="104"/>
      <c r="X697"/>
    </row>
    <row r="698" spans="1:24">
      <c r="A698" s="104"/>
      <c r="B698" s="104"/>
      <c r="C698" s="104"/>
      <c r="D698" s="102"/>
      <c r="E698"/>
      <c r="F698" s="102"/>
      <c r="G698" s="102"/>
      <c r="H698" s="102"/>
      <c r="I698" s="102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3"/>
      <c r="V698" s="103"/>
      <c r="W698" s="104"/>
      <c r="X698"/>
    </row>
    <row r="699" spans="1:24">
      <c r="A699" s="104"/>
      <c r="B699" s="104"/>
      <c r="C699" s="104"/>
      <c r="D699" s="102"/>
      <c r="E699"/>
      <c r="F699" s="102"/>
      <c r="G699" s="102"/>
      <c r="H699" s="102"/>
      <c r="I699" s="102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3"/>
      <c r="V699" s="103"/>
      <c r="W699" s="104"/>
      <c r="X699"/>
    </row>
    <row r="700" spans="1:24">
      <c r="A700" s="104"/>
      <c r="B700" s="104"/>
      <c r="C700" s="104"/>
      <c r="D700" s="102"/>
      <c r="E700"/>
      <c r="F700" s="102"/>
      <c r="G700" s="102"/>
      <c r="H700" s="102"/>
      <c r="I700" s="102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3"/>
      <c r="V700" s="103"/>
      <c r="W700" s="104"/>
      <c r="X700"/>
    </row>
    <row r="701" spans="1:24">
      <c r="A701" s="104"/>
      <c r="B701" s="104"/>
      <c r="C701" s="104"/>
      <c r="D701" s="102"/>
      <c r="E701"/>
      <c r="F701" s="102"/>
      <c r="G701" s="102"/>
      <c r="H701" s="102"/>
      <c r="I701" s="102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3"/>
      <c r="V701" s="103"/>
      <c r="W701" s="104"/>
      <c r="X701"/>
    </row>
    <row r="702" spans="1:24">
      <c r="A702" s="104"/>
      <c r="B702" s="104"/>
      <c r="C702" s="104"/>
      <c r="D702" s="102"/>
      <c r="E702"/>
      <c r="F702" s="102"/>
      <c r="G702" s="102"/>
      <c r="H702" s="102"/>
      <c r="I702" s="102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3"/>
      <c r="V702" s="103"/>
      <c r="W702" s="104"/>
      <c r="X702"/>
    </row>
    <row r="703" spans="1:24">
      <c r="A703" s="104"/>
      <c r="B703" s="104"/>
      <c r="C703" s="104"/>
      <c r="D703" s="102"/>
      <c r="E703"/>
      <c r="F703" s="102"/>
      <c r="G703" s="102"/>
      <c r="H703" s="102"/>
      <c r="I703" s="102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3"/>
      <c r="V703" s="103"/>
      <c r="W703" s="104"/>
      <c r="X703"/>
    </row>
    <row r="704" spans="1:24">
      <c r="A704" s="104"/>
      <c r="B704" s="104"/>
      <c r="C704" s="104"/>
      <c r="D704" s="102"/>
      <c r="E704"/>
      <c r="F704" s="102"/>
      <c r="G704" s="102"/>
      <c r="H704" s="102"/>
      <c r="I704" s="102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3"/>
      <c r="V704" s="103"/>
      <c r="W704" s="104"/>
      <c r="X704"/>
    </row>
    <row r="705" spans="1:24">
      <c r="A705" s="104"/>
      <c r="B705" s="104"/>
      <c r="C705" s="104"/>
      <c r="D705" s="102"/>
      <c r="E705"/>
      <c r="F705" s="102"/>
      <c r="G705" s="102"/>
      <c r="H705" s="102"/>
      <c r="I705" s="102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3"/>
      <c r="V705" s="103"/>
      <c r="W705" s="104"/>
      <c r="X705"/>
    </row>
    <row r="706" spans="1:24">
      <c r="A706" s="104"/>
      <c r="B706" s="104"/>
      <c r="C706" s="104"/>
      <c r="D706" s="102"/>
      <c r="E706"/>
      <c r="F706" s="102"/>
      <c r="G706" s="102"/>
      <c r="H706" s="102"/>
      <c r="I706" s="102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3"/>
      <c r="V706" s="103"/>
      <c r="W706" s="104"/>
      <c r="X706"/>
    </row>
    <row r="707" spans="1:24">
      <c r="A707" s="104"/>
      <c r="B707" s="104"/>
      <c r="C707" s="104"/>
      <c r="D707" s="102"/>
      <c r="E707"/>
      <c r="F707" s="102"/>
      <c r="G707" s="102"/>
      <c r="H707" s="102"/>
      <c r="I707" s="102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3"/>
      <c r="V707" s="103"/>
      <c r="W707" s="104"/>
      <c r="X707"/>
    </row>
    <row r="708" spans="1:24">
      <c r="A708" s="104"/>
      <c r="B708" s="104"/>
      <c r="C708" s="104"/>
      <c r="D708" s="102"/>
      <c r="E708"/>
      <c r="F708" s="102"/>
      <c r="G708" s="102"/>
      <c r="H708" s="102"/>
      <c r="I708" s="102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3"/>
      <c r="V708" s="103"/>
      <c r="W708" s="104"/>
      <c r="X708"/>
    </row>
    <row r="709" spans="1:24">
      <c r="A709" s="104"/>
      <c r="B709" s="104"/>
      <c r="C709" s="104"/>
      <c r="D709" s="102"/>
      <c r="E709"/>
      <c r="F709" s="102"/>
      <c r="G709" s="102"/>
      <c r="H709" s="102"/>
      <c r="I709" s="102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3"/>
      <c r="V709" s="103"/>
      <c r="W709" s="104"/>
      <c r="X709"/>
    </row>
    <row r="710" spans="1:24">
      <c r="A710" s="104"/>
      <c r="B710" s="104"/>
      <c r="C710" s="104"/>
      <c r="D710" s="102"/>
      <c r="E710"/>
      <c r="F710" s="102"/>
      <c r="G710" s="102"/>
      <c r="H710" s="102"/>
      <c r="I710" s="102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3"/>
      <c r="V710" s="103"/>
      <c r="W710" s="104"/>
      <c r="X710"/>
    </row>
    <row r="711" spans="1:24">
      <c r="A711" s="104"/>
      <c r="B711" s="104"/>
      <c r="C711" s="104"/>
      <c r="D711" s="102"/>
      <c r="E711"/>
      <c r="F711" s="102"/>
      <c r="G711" s="102"/>
      <c r="H711" s="102"/>
      <c r="I711" s="102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3"/>
      <c r="V711" s="103"/>
      <c r="W711" s="104"/>
      <c r="X711"/>
    </row>
    <row r="712" spans="1:24">
      <c r="A712" s="104"/>
      <c r="B712" s="104"/>
      <c r="C712" s="104"/>
      <c r="D712" s="102"/>
      <c r="E712"/>
      <c r="F712" s="102"/>
      <c r="G712" s="102"/>
      <c r="H712" s="102"/>
      <c r="I712" s="102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3"/>
      <c r="V712" s="103"/>
      <c r="W712" s="104"/>
      <c r="X712"/>
    </row>
    <row r="713" spans="1:24">
      <c r="A713" s="104"/>
      <c r="B713" s="104"/>
      <c r="C713" s="104"/>
      <c r="D713" s="102"/>
      <c r="E713"/>
      <c r="F713" s="102"/>
      <c r="G713" s="102"/>
      <c r="H713" s="102"/>
      <c r="I713" s="102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3"/>
      <c r="V713" s="103"/>
      <c r="W713" s="104"/>
      <c r="X713"/>
    </row>
    <row r="714" spans="1:24">
      <c r="A714" s="104"/>
      <c r="B714" s="104"/>
      <c r="C714" s="104"/>
      <c r="D714" s="102"/>
      <c r="E714"/>
      <c r="F714" s="102"/>
      <c r="G714" s="102"/>
      <c r="H714" s="102"/>
      <c r="I714" s="102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3"/>
      <c r="V714" s="103"/>
      <c r="W714" s="104"/>
      <c r="X714"/>
    </row>
    <row r="715" spans="1:24">
      <c r="A715" s="104"/>
      <c r="B715" s="104"/>
      <c r="C715" s="104"/>
      <c r="D715" s="102"/>
      <c r="E715"/>
      <c r="F715" s="102"/>
      <c r="G715" s="102"/>
      <c r="H715" s="102"/>
      <c r="I715" s="102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3"/>
      <c r="V715" s="103"/>
      <c r="W715" s="104"/>
      <c r="X715"/>
    </row>
    <row r="716" spans="1:24">
      <c r="A716" s="104"/>
      <c r="B716" s="104"/>
      <c r="C716" s="104"/>
      <c r="D716" s="102"/>
      <c r="E716"/>
      <c r="F716" s="102"/>
      <c r="G716" s="102"/>
      <c r="H716" s="102"/>
      <c r="I716" s="102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3"/>
      <c r="V716" s="103"/>
      <c r="W716" s="104"/>
      <c r="X716"/>
    </row>
    <row r="717" spans="1:24">
      <c r="A717" s="104"/>
      <c r="B717" s="104"/>
      <c r="C717" s="104"/>
      <c r="D717" s="102"/>
      <c r="E717"/>
      <c r="F717" s="102"/>
      <c r="G717" s="102"/>
      <c r="H717" s="102"/>
      <c r="I717" s="102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3"/>
      <c r="V717" s="103"/>
      <c r="W717" s="104"/>
      <c r="X717"/>
    </row>
    <row r="718" spans="1:24">
      <c r="A718" s="104"/>
      <c r="B718" s="104"/>
      <c r="C718" s="104"/>
      <c r="D718" s="102"/>
      <c r="E718"/>
      <c r="F718" s="102"/>
      <c r="G718" s="102"/>
      <c r="H718" s="102"/>
      <c r="I718" s="102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3"/>
      <c r="V718" s="103"/>
      <c r="W718" s="104"/>
      <c r="X718"/>
    </row>
    <row r="719" spans="1:24">
      <c r="A719" s="104"/>
      <c r="B719" s="104"/>
      <c r="C719" s="104"/>
      <c r="D719" s="102"/>
      <c r="E719"/>
      <c r="F719" s="102"/>
      <c r="G719" s="102"/>
      <c r="H719" s="102"/>
      <c r="I719" s="102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3"/>
      <c r="V719" s="103"/>
      <c r="W719" s="104"/>
      <c r="X719"/>
    </row>
    <row r="720" spans="1:24">
      <c r="A720" s="104"/>
      <c r="B720" s="104"/>
      <c r="C720" s="104"/>
      <c r="D720" s="102"/>
      <c r="E720"/>
      <c r="F720" s="102"/>
      <c r="G720" s="102"/>
      <c r="H720" s="102"/>
      <c r="I720" s="102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3"/>
      <c r="V720" s="103"/>
      <c r="W720" s="104"/>
      <c r="X720"/>
    </row>
    <row r="721" spans="1:24">
      <c r="A721" s="104"/>
      <c r="B721" s="104"/>
      <c r="C721" s="104"/>
      <c r="D721" s="102"/>
      <c r="E721"/>
      <c r="F721" s="102"/>
      <c r="G721" s="102"/>
      <c r="H721" s="102"/>
      <c r="I721" s="102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3"/>
      <c r="V721" s="103"/>
      <c r="W721" s="104"/>
      <c r="X721"/>
    </row>
    <row r="722" spans="1:24">
      <c r="A722" s="104"/>
      <c r="B722" s="104"/>
      <c r="C722" s="104"/>
      <c r="D722" s="102"/>
      <c r="E722"/>
      <c r="F722" s="102"/>
      <c r="G722" s="102"/>
      <c r="H722" s="102"/>
      <c r="I722" s="102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3"/>
      <c r="V722" s="103"/>
      <c r="W722" s="104"/>
      <c r="X722"/>
    </row>
    <row r="723" spans="1:24">
      <c r="A723" s="104"/>
      <c r="B723" s="104"/>
      <c r="C723" s="104"/>
      <c r="D723" s="102"/>
      <c r="E723"/>
      <c r="F723" s="102"/>
      <c r="G723" s="102"/>
      <c r="H723" s="102"/>
      <c r="I723" s="102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3"/>
      <c r="V723" s="103"/>
      <c r="W723" s="104"/>
      <c r="X723"/>
    </row>
    <row r="724" spans="1:24">
      <c r="A724" s="104"/>
      <c r="B724" s="104"/>
      <c r="C724" s="104"/>
      <c r="D724" s="102"/>
      <c r="E724"/>
      <c r="F724" s="102"/>
      <c r="G724" s="102"/>
      <c r="H724" s="102"/>
      <c r="I724" s="102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3"/>
      <c r="V724" s="103"/>
      <c r="W724" s="104"/>
      <c r="X724"/>
    </row>
    <row r="725" spans="1:24">
      <c r="A725" s="104"/>
      <c r="B725" s="104"/>
      <c r="C725" s="104"/>
      <c r="D725" s="102"/>
      <c r="E725"/>
      <c r="F725" s="102"/>
      <c r="G725" s="102"/>
      <c r="H725" s="102"/>
      <c r="I725" s="102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3"/>
      <c r="V725" s="103"/>
      <c r="W725" s="104"/>
      <c r="X725"/>
    </row>
    <row r="726" spans="1:24">
      <c r="A726" s="104"/>
      <c r="B726" s="104"/>
      <c r="C726" s="104"/>
      <c r="D726" s="102"/>
      <c r="E726"/>
      <c r="F726" s="102"/>
      <c r="G726" s="102"/>
      <c r="H726" s="102"/>
      <c r="I726" s="102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3"/>
      <c r="V726" s="103"/>
      <c r="W726" s="104"/>
      <c r="X726"/>
    </row>
    <row r="727" spans="1:24">
      <c r="A727" s="104"/>
      <c r="B727" s="104"/>
      <c r="C727" s="104"/>
      <c r="D727" s="102"/>
      <c r="E727"/>
      <c r="F727" s="102"/>
      <c r="G727" s="102"/>
      <c r="H727" s="102"/>
      <c r="I727" s="102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3"/>
      <c r="V727" s="103"/>
      <c r="W727" s="104"/>
      <c r="X727"/>
    </row>
    <row r="728" spans="1:24">
      <c r="A728" s="104"/>
      <c r="B728" s="104"/>
      <c r="C728" s="104"/>
      <c r="D728" s="102"/>
      <c r="E728"/>
      <c r="F728" s="102"/>
      <c r="G728" s="102"/>
      <c r="H728" s="102"/>
      <c r="I728" s="102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3"/>
      <c r="V728" s="103"/>
      <c r="W728" s="104"/>
      <c r="X728"/>
    </row>
    <row r="729" spans="1:24">
      <c r="A729" s="104"/>
      <c r="B729" s="104"/>
      <c r="C729" s="104"/>
      <c r="D729" s="102"/>
      <c r="E729"/>
      <c r="F729" s="102"/>
      <c r="G729" s="102"/>
      <c r="H729" s="102"/>
      <c r="I729" s="102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3"/>
      <c r="V729" s="103"/>
      <c r="W729" s="104"/>
      <c r="X729"/>
    </row>
    <row r="730" spans="1:24">
      <c r="A730" s="104"/>
      <c r="B730" s="104"/>
      <c r="C730" s="104"/>
      <c r="D730" s="102"/>
      <c r="E730"/>
      <c r="F730" s="102"/>
      <c r="G730" s="102"/>
      <c r="H730" s="102"/>
      <c r="I730" s="102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3"/>
      <c r="V730" s="103"/>
      <c r="W730" s="104"/>
      <c r="X730"/>
    </row>
    <row r="731" spans="1:24">
      <c r="A731" s="104"/>
      <c r="B731" s="104"/>
      <c r="C731" s="104"/>
      <c r="D731" s="102"/>
      <c r="E731"/>
      <c r="F731" s="102"/>
      <c r="G731" s="102"/>
      <c r="H731" s="102"/>
      <c r="I731" s="102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3"/>
      <c r="V731" s="103"/>
      <c r="W731" s="104"/>
      <c r="X731"/>
    </row>
    <row r="732" spans="1:24">
      <c r="A732" s="104"/>
      <c r="B732" s="104"/>
      <c r="C732" s="104"/>
      <c r="D732" s="102"/>
      <c r="E732"/>
      <c r="F732" s="102"/>
      <c r="G732" s="102"/>
      <c r="H732" s="102"/>
      <c r="I732" s="102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3"/>
      <c r="V732" s="103"/>
      <c r="W732" s="104"/>
      <c r="X732"/>
    </row>
    <row r="733" spans="1:24">
      <c r="A733" s="104"/>
      <c r="B733" s="104"/>
      <c r="C733" s="104"/>
      <c r="D733" s="102"/>
      <c r="E733"/>
      <c r="F733" s="102"/>
      <c r="G733" s="102"/>
      <c r="H733" s="102"/>
      <c r="I733" s="102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3"/>
      <c r="V733" s="103"/>
      <c r="W733" s="104"/>
      <c r="X733"/>
    </row>
    <row r="734" spans="1:24">
      <c r="A734" s="104"/>
      <c r="B734" s="104"/>
      <c r="C734" s="104"/>
      <c r="D734" s="102"/>
      <c r="E734"/>
      <c r="F734" s="102"/>
      <c r="G734" s="102"/>
      <c r="H734" s="102"/>
      <c r="I734" s="102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3"/>
      <c r="V734" s="103"/>
      <c r="W734" s="104"/>
      <c r="X734"/>
    </row>
    <row r="735" spans="1:24">
      <c r="A735" s="104"/>
      <c r="B735" s="104"/>
      <c r="C735" s="104"/>
      <c r="D735" s="102"/>
      <c r="E735"/>
      <c r="F735" s="102"/>
      <c r="G735" s="102"/>
      <c r="H735" s="102"/>
      <c r="I735" s="102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3"/>
      <c r="V735" s="103"/>
      <c r="W735" s="104"/>
      <c r="X735"/>
    </row>
    <row r="736" spans="1:24">
      <c r="A736" s="104"/>
      <c r="B736" s="104"/>
      <c r="C736" s="104"/>
      <c r="D736" s="102"/>
      <c r="E736"/>
      <c r="F736" s="102"/>
      <c r="G736" s="102"/>
      <c r="H736" s="102"/>
      <c r="I736" s="102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3"/>
      <c r="V736" s="103"/>
      <c r="W736" s="104"/>
      <c r="X736"/>
    </row>
    <row r="737" spans="1:24">
      <c r="A737" s="104"/>
      <c r="B737" s="104"/>
      <c r="C737" s="104"/>
      <c r="D737" s="102"/>
      <c r="E737"/>
      <c r="F737" s="102"/>
      <c r="G737" s="102"/>
      <c r="H737" s="102"/>
      <c r="I737" s="102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3"/>
      <c r="V737" s="103"/>
      <c r="W737" s="104"/>
      <c r="X737"/>
    </row>
    <row r="738" spans="1:24">
      <c r="A738" s="104"/>
      <c r="B738" s="104"/>
      <c r="C738" s="104"/>
      <c r="D738" s="102"/>
      <c r="E738"/>
      <c r="F738" s="102"/>
      <c r="G738" s="102"/>
      <c r="H738" s="102"/>
      <c r="I738" s="102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3"/>
      <c r="V738" s="103"/>
      <c r="W738" s="104"/>
      <c r="X738"/>
    </row>
    <row r="739" spans="1:24">
      <c r="A739" s="104"/>
      <c r="B739" s="104"/>
      <c r="C739" s="104"/>
      <c r="D739" s="102"/>
      <c r="E739"/>
      <c r="F739" s="102"/>
      <c r="G739" s="102"/>
      <c r="H739" s="102"/>
      <c r="I739" s="102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3"/>
      <c r="V739" s="103"/>
      <c r="W739" s="104"/>
      <c r="X739"/>
    </row>
    <row r="740" spans="1:24">
      <c r="A740" s="104"/>
      <c r="B740" s="104"/>
      <c r="C740" s="104"/>
      <c r="D740" s="102"/>
      <c r="E740"/>
      <c r="F740" s="102"/>
      <c r="G740" s="102"/>
      <c r="H740" s="102"/>
      <c r="I740" s="102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3"/>
      <c r="V740" s="103"/>
      <c r="W740" s="104"/>
      <c r="X740"/>
    </row>
    <row r="741" spans="1:24">
      <c r="A741" s="104"/>
      <c r="B741" s="104"/>
      <c r="C741" s="104"/>
      <c r="D741" s="102"/>
      <c r="E741"/>
      <c r="F741" s="102"/>
      <c r="G741" s="102"/>
      <c r="H741" s="102"/>
      <c r="I741" s="102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3"/>
      <c r="V741" s="103"/>
      <c r="W741" s="104"/>
      <c r="X741"/>
    </row>
    <row r="742" spans="1:24">
      <c r="A742" s="104"/>
      <c r="B742" s="104"/>
      <c r="C742" s="104"/>
      <c r="D742" s="102"/>
      <c r="E742"/>
      <c r="F742" s="102"/>
      <c r="G742" s="102"/>
      <c r="H742" s="102"/>
      <c r="I742" s="102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3"/>
      <c r="V742" s="103"/>
      <c r="W742" s="104"/>
      <c r="X742"/>
    </row>
    <row r="743" spans="1:24">
      <c r="A743" s="104"/>
      <c r="B743" s="104"/>
      <c r="C743" s="104"/>
      <c r="D743" s="102"/>
      <c r="E743"/>
      <c r="F743" s="102"/>
      <c r="G743" s="102"/>
      <c r="H743" s="102"/>
      <c r="I743" s="102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3"/>
      <c r="V743" s="103"/>
      <c r="W743" s="104"/>
      <c r="X743"/>
    </row>
    <row r="744" spans="1:24">
      <c r="A744" s="104"/>
      <c r="B744" s="104"/>
      <c r="C744" s="104"/>
      <c r="D744" s="102"/>
      <c r="E744"/>
      <c r="F744" s="102"/>
      <c r="G744" s="102"/>
      <c r="H744" s="102"/>
      <c r="I744" s="102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3"/>
      <c r="V744" s="103"/>
      <c r="W744" s="104"/>
      <c r="X744"/>
    </row>
    <row r="745" spans="1:24">
      <c r="A745" s="104"/>
      <c r="B745" s="104"/>
      <c r="C745" s="104"/>
      <c r="D745" s="102"/>
      <c r="E745"/>
      <c r="F745" s="102"/>
      <c r="G745" s="102"/>
      <c r="H745" s="102"/>
      <c r="I745" s="102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3"/>
      <c r="V745" s="103"/>
      <c r="W745" s="104"/>
      <c r="X745"/>
    </row>
    <row r="746" spans="1:24">
      <c r="A746" s="104"/>
      <c r="B746" s="104"/>
      <c r="C746" s="104"/>
      <c r="D746" s="102"/>
      <c r="E746"/>
      <c r="F746" s="102"/>
      <c r="G746" s="102"/>
      <c r="H746" s="102"/>
      <c r="I746" s="102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3"/>
      <c r="V746" s="103"/>
      <c r="W746" s="104"/>
      <c r="X746"/>
    </row>
    <row r="747" spans="1:24">
      <c r="A747" s="104"/>
      <c r="B747" s="104"/>
      <c r="C747" s="104"/>
      <c r="D747" s="102"/>
      <c r="E747"/>
      <c r="F747" s="102"/>
      <c r="G747" s="102"/>
      <c r="H747" s="102"/>
      <c r="I747" s="102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3"/>
      <c r="V747" s="103"/>
      <c r="W747" s="104"/>
      <c r="X747"/>
    </row>
    <row r="748" spans="1:24">
      <c r="A748" s="104"/>
      <c r="B748" s="104"/>
      <c r="C748" s="104"/>
      <c r="D748" s="102"/>
      <c r="E748"/>
      <c r="F748" s="102"/>
      <c r="G748" s="102"/>
      <c r="H748" s="102"/>
      <c r="I748" s="102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3"/>
      <c r="V748" s="103"/>
      <c r="W748" s="104"/>
      <c r="X748"/>
    </row>
    <row r="749" spans="1:24">
      <c r="A749" s="104"/>
      <c r="B749" s="104"/>
      <c r="C749" s="104"/>
      <c r="D749" s="102"/>
      <c r="E749"/>
      <c r="F749" s="102"/>
      <c r="G749" s="102"/>
      <c r="H749" s="102"/>
      <c r="I749" s="102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3"/>
      <c r="V749" s="103"/>
      <c r="W749" s="104"/>
      <c r="X749"/>
    </row>
    <row r="750" spans="1:24">
      <c r="A750" s="104"/>
      <c r="B750" s="104"/>
      <c r="C750" s="104"/>
      <c r="D750" s="102"/>
      <c r="E750"/>
      <c r="F750" s="102"/>
      <c r="G750" s="102"/>
      <c r="H750" s="102"/>
      <c r="I750" s="102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3"/>
      <c r="V750" s="103"/>
      <c r="W750" s="104"/>
      <c r="X750"/>
    </row>
    <row r="751" spans="1:24">
      <c r="A751" s="104"/>
      <c r="B751" s="104"/>
      <c r="C751" s="104"/>
      <c r="D751" s="102"/>
      <c r="E751"/>
      <c r="F751" s="102"/>
      <c r="G751" s="102"/>
      <c r="H751" s="102"/>
      <c r="I751" s="102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3"/>
      <c r="V751" s="103"/>
      <c r="W751" s="104"/>
      <c r="X751"/>
    </row>
    <row r="752" spans="1:24">
      <c r="A752" s="104"/>
      <c r="B752" s="104"/>
      <c r="C752" s="104"/>
      <c r="D752" s="102"/>
      <c r="E752"/>
      <c r="F752" s="102"/>
      <c r="G752" s="102"/>
      <c r="H752" s="102"/>
      <c r="I752" s="102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3"/>
      <c r="V752" s="103"/>
      <c r="W752" s="104"/>
      <c r="X752"/>
    </row>
    <row r="753" spans="1:24">
      <c r="A753" s="104"/>
      <c r="B753" s="104"/>
      <c r="C753" s="104"/>
      <c r="D753" s="102"/>
      <c r="E753"/>
      <c r="F753" s="102"/>
      <c r="G753" s="102"/>
      <c r="H753" s="102"/>
      <c r="I753" s="102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3"/>
      <c r="V753" s="103"/>
      <c r="W753" s="104"/>
      <c r="X753"/>
    </row>
    <row r="754" spans="1:24">
      <c r="A754" s="104"/>
      <c r="B754" s="104"/>
      <c r="C754" s="104"/>
      <c r="D754" s="102"/>
      <c r="E754"/>
      <c r="F754" s="102"/>
      <c r="G754" s="102"/>
      <c r="H754" s="102"/>
      <c r="I754" s="102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3"/>
      <c r="V754" s="103"/>
      <c r="W754" s="104"/>
      <c r="X754"/>
    </row>
    <row r="755" spans="1:24">
      <c r="A755" s="104"/>
      <c r="B755" s="104"/>
      <c r="C755" s="104"/>
      <c r="D755" s="102"/>
      <c r="E755"/>
      <c r="F755" s="102"/>
      <c r="G755" s="102"/>
      <c r="H755" s="102"/>
      <c r="I755" s="102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3"/>
      <c r="V755" s="103"/>
      <c r="W755" s="104"/>
      <c r="X755"/>
    </row>
    <row r="756" spans="1:24">
      <c r="A756" s="104"/>
      <c r="B756" s="104"/>
      <c r="C756" s="104"/>
      <c r="D756" s="102"/>
      <c r="E756"/>
      <c r="F756" s="102"/>
      <c r="G756" s="102"/>
      <c r="H756" s="102"/>
      <c r="I756" s="102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3"/>
      <c r="V756" s="103"/>
      <c r="W756" s="104"/>
      <c r="X756"/>
    </row>
    <row r="757" spans="1:24">
      <c r="A757" s="104"/>
      <c r="B757" s="104"/>
      <c r="C757" s="104"/>
      <c r="D757" s="102"/>
      <c r="E757"/>
      <c r="F757" s="102"/>
      <c r="G757" s="102"/>
      <c r="H757" s="102"/>
      <c r="I757" s="102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3"/>
      <c r="V757" s="103"/>
      <c r="W757" s="104"/>
      <c r="X757"/>
    </row>
    <row r="758" spans="1:24">
      <c r="A758" s="104"/>
      <c r="B758" s="104"/>
      <c r="C758" s="104"/>
      <c r="D758" s="102"/>
      <c r="E758"/>
      <c r="F758" s="102"/>
      <c r="G758" s="102"/>
      <c r="H758" s="102"/>
      <c r="I758" s="102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3"/>
      <c r="V758" s="103"/>
      <c r="W758" s="104"/>
      <c r="X758"/>
    </row>
    <row r="759" spans="1:24">
      <c r="A759" s="104"/>
      <c r="B759" s="104"/>
      <c r="C759" s="104"/>
      <c r="D759" s="102"/>
      <c r="E759"/>
      <c r="F759" s="102"/>
      <c r="G759" s="102"/>
      <c r="H759" s="102"/>
      <c r="I759" s="102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3"/>
      <c r="V759" s="103"/>
      <c r="W759" s="104"/>
      <c r="X759"/>
    </row>
    <row r="760" spans="1:24">
      <c r="A760" s="104"/>
      <c r="B760" s="104"/>
      <c r="C760" s="104"/>
      <c r="D760" s="102"/>
      <c r="E760"/>
      <c r="F760" s="102"/>
      <c r="G760" s="102"/>
      <c r="H760" s="102"/>
      <c r="I760" s="102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3"/>
      <c r="V760" s="103"/>
      <c r="W760" s="104"/>
      <c r="X760"/>
    </row>
    <row r="761" spans="1:24">
      <c r="A761" s="104"/>
      <c r="B761" s="104"/>
      <c r="C761" s="104"/>
      <c r="D761" s="102"/>
      <c r="E761"/>
      <c r="F761" s="102"/>
      <c r="G761" s="102"/>
      <c r="H761" s="102"/>
      <c r="I761" s="102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3"/>
      <c r="V761" s="103"/>
      <c r="W761" s="104"/>
      <c r="X761"/>
    </row>
    <row r="762" spans="1:24">
      <c r="A762" s="104"/>
      <c r="B762" s="104"/>
      <c r="C762" s="104"/>
      <c r="D762" s="102"/>
      <c r="E762"/>
      <c r="F762" s="102"/>
      <c r="G762" s="102"/>
      <c r="H762" s="102"/>
      <c r="I762" s="102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3"/>
      <c r="V762" s="103"/>
      <c r="W762" s="104"/>
      <c r="X762"/>
    </row>
    <row r="763" spans="1:24">
      <c r="A763" s="104"/>
      <c r="B763" s="104"/>
      <c r="C763" s="104"/>
      <c r="D763" s="102"/>
      <c r="E763"/>
      <c r="F763" s="102"/>
      <c r="G763" s="102"/>
      <c r="H763" s="102"/>
      <c r="I763" s="102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3"/>
      <c r="V763" s="103"/>
      <c r="W763" s="104"/>
      <c r="X763"/>
    </row>
    <row r="764" spans="1:24">
      <c r="A764" s="104"/>
      <c r="B764" s="104"/>
      <c r="C764" s="104"/>
      <c r="D764" s="102"/>
      <c r="E764"/>
      <c r="F764" s="102"/>
      <c r="G764" s="102"/>
      <c r="H764" s="102"/>
      <c r="I764" s="102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3"/>
      <c r="V764" s="103"/>
      <c r="W764" s="104"/>
      <c r="X764"/>
    </row>
    <row r="765" spans="1:24">
      <c r="A765" s="104"/>
      <c r="B765" s="104"/>
      <c r="C765" s="104"/>
      <c r="D765" s="102"/>
      <c r="E765"/>
      <c r="F765" s="102"/>
      <c r="G765" s="102"/>
      <c r="H765" s="102"/>
      <c r="I765" s="102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3"/>
      <c r="V765" s="103"/>
      <c r="W765" s="104"/>
      <c r="X765"/>
    </row>
    <row r="766" spans="1:24">
      <c r="A766" s="104"/>
      <c r="B766" s="104"/>
      <c r="C766" s="104"/>
      <c r="D766" s="102"/>
      <c r="E766"/>
      <c r="F766" s="102"/>
      <c r="G766" s="102"/>
      <c r="H766" s="102"/>
      <c r="I766" s="102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3"/>
      <c r="V766" s="103"/>
      <c r="W766" s="104"/>
      <c r="X766"/>
    </row>
    <row r="767" spans="1:24">
      <c r="A767" s="104"/>
      <c r="B767" s="104"/>
      <c r="C767" s="104"/>
      <c r="D767" s="102"/>
      <c r="E767"/>
      <c r="F767" s="102"/>
      <c r="G767" s="102"/>
      <c r="H767" s="102"/>
      <c r="I767" s="102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3"/>
      <c r="V767" s="103"/>
      <c r="W767" s="104"/>
      <c r="X767"/>
    </row>
    <row r="768" spans="1:24">
      <c r="A768" s="104"/>
      <c r="B768" s="104"/>
      <c r="C768" s="104"/>
      <c r="D768" s="102"/>
      <c r="E768"/>
      <c r="F768" s="102"/>
      <c r="G768" s="102"/>
      <c r="H768" s="102"/>
      <c r="I768" s="102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3"/>
      <c r="V768" s="103"/>
      <c r="W768" s="104"/>
      <c r="X768"/>
    </row>
    <row r="769" spans="1:24">
      <c r="A769" s="104"/>
      <c r="B769" s="104"/>
      <c r="C769" s="104"/>
      <c r="D769" s="102"/>
      <c r="E769"/>
      <c r="F769" s="102"/>
      <c r="G769" s="102"/>
      <c r="H769" s="102"/>
      <c r="I769" s="102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3"/>
      <c r="V769" s="103"/>
      <c r="W769" s="104"/>
      <c r="X769"/>
    </row>
    <row r="770" spans="1:24">
      <c r="A770" s="104"/>
      <c r="B770" s="104"/>
      <c r="C770" s="104"/>
      <c r="D770" s="102"/>
      <c r="E770"/>
      <c r="F770" s="102"/>
      <c r="G770" s="102"/>
      <c r="H770" s="102"/>
      <c r="I770" s="102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3"/>
      <c r="V770" s="103"/>
      <c r="W770" s="104"/>
      <c r="X770"/>
    </row>
    <row r="771" spans="1:24">
      <c r="A771" s="104"/>
      <c r="B771" s="104"/>
      <c r="C771" s="104"/>
      <c r="D771" s="102"/>
      <c r="E771"/>
      <c r="F771" s="102"/>
      <c r="G771" s="102"/>
      <c r="H771" s="102"/>
      <c r="I771" s="102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3"/>
      <c r="V771" s="103"/>
      <c r="W771" s="104"/>
      <c r="X771"/>
    </row>
    <row r="772" spans="1:24">
      <c r="A772" s="104"/>
      <c r="B772" s="104"/>
      <c r="C772" s="104"/>
      <c r="D772" s="102"/>
      <c r="E772"/>
      <c r="F772" s="102"/>
      <c r="G772" s="102"/>
      <c r="H772" s="102"/>
      <c r="I772" s="102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3"/>
      <c r="V772" s="103"/>
      <c r="W772" s="104"/>
      <c r="X772"/>
    </row>
    <row r="773" spans="1:24">
      <c r="A773" s="104"/>
      <c r="B773" s="104"/>
      <c r="C773" s="104"/>
      <c r="D773" s="102"/>
      <c r="E773"/>
      <c r="F773" s="102"/>
      <c r="G773" s="102"/>
      <c r="H773" s="102"/>
      <c r="I773" s="102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3"/>
      <c r="V773" s="103"/>
      <c r="W773" s="104"/>
      <c r="X773"/>
    </row>
    <row r="774" spans="1:24">
      <c r="A774" s="104"/>
      <c r="B774" s="104"/>
      <c r="C774" s="104"/>
      <c r="D774" s="102"/>
      <c r="E774"/>
      <c r="F774" s="102"/>
      <c r="G774" s="102"/>
      <c r="H774" s="102"/>
      <c r="I774" s="102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3"/>
      <c r="V774" s="103"/>
      <c r="W774" s="104"/>
      <c r="X774"/>
    </row>
    <row r="775" spans="1:24">
      <c r="A775" s="104"/>
      <c r="B775" s="104"/>
      <c r="C775" s="104"/>
      <c r="D775" s="102"/>
      <c r="E775"/>
      <c r="F775" s="102"/>
      <c r="G775" s="102"/>
      <c r="H775" s="102"/>
      <c r="I775" s="102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3"/>
      <c r="V775" s="103"/>
      <c r="W775" s="104"/>
      <c r="X775"/>
    </row>
    <row r="776" spans="1:24">
      <c r="A776" s="104"/>
      <c r="B776" s="104"/>
      <c r="C776" s="104"/>
      <c r="D776" s="102"/>
      <c r="E776"/>
      <c r="F776" s="102"/>
      <c r="G776" s="102"/>
      <c r="H776" s="102"/>
      <c r="I776" s="102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3"/>
      <c r="V776" s="103"/>
      <c r="W776" s="104"/>
      <c r="X776"/>
    </row>
    <row r="777" spans="1:24">
      <c r="A777" s="104"/>
      <c r="B777" s="104"/>
      <c r="C777" s="104"/>
      <c r="D777" s="102"/>
      <c r="E777"/>
      <c r="F777" s="102"/>
      <c r="G777" s="102"/>
      <c r="H777" s="102"/>
      <c r="I777" s="102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3"/>
      <c r="V777" s="103"/>
      <c r="W777" s="104"/>
      <c r="X777"/>
    </row>
    <row r="778" spans="1:24">
      <c r="A778" s="104"/>
      <c r="B778" s="104"/>
      <c r="C778" s="104"/>
      <c r="D778" s="102"/>
      <c r="E778"/>
      <c r="F778" s="102"/>
      <c r="G778" s="102"/>
      <c r="H778" s="102"/>
      <c r="I778" s="102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3"/>
      <c r="V778" s="103"/>
      <c r="W778" s="104"/>
      <c r="X778"/>
    </row>
    <row r="779" spans="1:24">
      <c r="A779" s="104"/>
      <c r="B779" s="104"/>
      <c r="C779" s="104"/>
      <c r="D779" s="102"/>
      <c r="E779"/>
      <c r="F779" s="102"/>
      <c r="G779" s="102"/>
      <c r="H779" s="102"/>
      <c r="I779" s="102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3"/>
      <c r="V779" s="103"/>
      <c r="W779" s="104"/>
      <c r="X779"/>
    </row>
    <row r="780" spans="1:24">
      <c r="A780" s="104"/>
      <c r="B780" s="104"/>
      <c r="C780" s="104"/>
      <c r="D780" s="102"/>
      <c r="E780"/>
      <c r="F780" s="102"/>
      <c r="G780" s="102"/>
      <c r="H780" s="102"/>
      <c r="I780" s="102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3"/>
      <c r="V780" s="103"/>
      <c r="W780" s="104"/>
      <c r="X780"/>
    </row>
    <row r="781" spans="1:24">
      <c r="A781" s="104"/>
      <c r="B781" s="104"/>
      <c r="C781" s="104"/>
      <c r="D781" s="102"/>
      <c r="E781"/>
      <c r="F781" s="102"/>
      <c r="G781" s="102"/>
      <c r="H781" s="102"/>
      <c r="I781" s="102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3"/>
      <c r="V781" s="103"/>
      <c r="W781" s="104"/>
      <c r="X781"/>
    </row>
    <row r="782" spans="1:24">
      <c r="A782" s="104"/>
      <c r="B782" s="104"/>
      <c r="C782" s="104"/>
      <c r="D782" s="102"/>
      <c r="E782"/>
      <c r="F782" s="102"/>
      <c r="G782" s="102"/>
      <c r="H782" s="102"/>
      <c r="I782" s="102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3"/>
      <c r="V782" s="103"/>
      <c r="W782" s="104"/>
      <c r="X782"/>
    </row>
    <row r="783" spans="1:24">
      <c r="A783" s="104"/>
      <c r="B783" s="104"/>
      <c r="C783" s="104"/>
      <c r="D783" s="102"/>
      <c r="E783"/>
      <c r="F783" s="102"/>
      <c r="G783" s="102"/>
      <c r="H783" s="102"/>
      <c r="I783" s="102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3"/>
      <c r="V783" s="103"/>
      <c r="W783" s="104"/>
      <c r="X783"/>
    </row>
    <row r="784" spans="1:24">
      <c r="A784" s="104"/>
      <c r="B784" s="104"/>
      <c r="C784" s="104"/>
      <c r="D784" s="102"/>
      <c r="E784"/>
      <c r="F784" s="102"/>
      <c r="G784" s="102"/>
      <c r="H784" s="102"/>
      <c r="I784" s="102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3"/>
      <c r="V784" s="103"/>
      <c r="W784" s="104"/>
      <c r="X784"/>
    </row>
    <row r="785" spans="1:24">
      <c r="A785" s="104"/>
      <c r="B785" s="104"/>
      <c r="C785" s="104"/>
      <c r="D785" s="102"/>
      <c r="E785"/>
      <c r="F785" s="102"/>
      <c r="G785" s="102"/>
      <c r="H785" s="102"/>
      <c r="I785" s="102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3"/>
      <c r="V785" s="103"/>
      <c r="W785" s="104"/>
      <c r="X785"/>
    </row>
    <row r="786" spans="1:24">
      <c r="A786" s="104"/>
      <c r="B786" s="104"/>
      <c r="C786" s="104"/>
      <c r="D786" s="102"/>
      <c r="E786"/>
      <c r="F786" s="102"/>
      <c r="G786" s="102"/>
      <c r="H786" s="102"/>
      <c r="I786" s="102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3"/>
      <c r="V786" s="103"/>
      <c r="W786" s="104"/>
      <c r="X786"/>
    </row>
    <row r="787" spans="1:24">
      <c r="A787" s="104"/>
      <c r="B787" s="104"/>
      <c r="C787" s="104"/>
      <c r="D787" s="102"/>
      <c r="E787"/>
      <c r="F787" s="102"/>
      <c r="G787" s="102"/>
      <c r="H787" s="102"/>
      <c r="I787" s="102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3"/>
      <c r="V787" s="103"/>
      <c r="W787" s="104"/>
      <c r="X787"/>
    </row>
    <row r="788" spans="1:24">
      <c r="A788" s="104"/>
      <c r="B788" s="104"/>
      <c r="C788" s="104"/>
      <c r="D788" s="102"/>
      <c r="E788"/>
      <c r="F788" s="102"/>
      <c r="G788" s="102"/>
      <c r="H788" s="102"/>
      <c r="I788" s="102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3"/>
      <c r="V788" s="103"/>
      <c r="W788" s="104"/>
      <c r="X788"/>
    </row>
    <row r="789" spans="1:24">
      <c r="A789" s="104"/>
      <c r="B789" s="104"/>
      <c r="C789" s="104"/>
      <c r="D789" s="102"/>
      <c r="E789"/>
      <c r="F789" s="102"/>
      <c r="G789" s="102"/>
      <c r="H789" s="102"/>
      <c r="I789" s="102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3"/>
      <c r="V789" s="103"/>
      <c r="W789" s="104"/>
      <c r="X789"/>
    </row>
    <row r="790" spans="1:24">
      <c r="A790" s="104"/>
      <c r="B790" s="104"/>
      <c r="C790" s="104"/>
      <c r="D790" s="102"/>
      <c r="E790"/>
      <c r="F790" s="102"/>
      <c r="G790" s="102"/>
      <c r="H790" s="102"/>
      <c r="I790" s="102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3"/>
      <c r="V790" s="103"/>
      <c r="W790" s="104"/>
      <c r="X790"/>
    </row>
    <row r="791" spans="1:24">
      <c r="A791" s="104"/>
      <c r="B791" s="104"/>
      <c r="C791" s="104"/>
      <c r="D791" s="102"/>
      <c r="E791"/>
      <c r="F791" s="102"/>
      <c r="G791" s="102"/>
      <c r="H791" s="102"/>
      <c r="I791" s="102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3"/>
      <c r="V791" s="103"/>
      <c r="W791" s="104"/>
      <c r="X791"/>
    </row>
    <row r="792" spans="1:24">
      <c r="A792" s="104"/>
      <c r="B792" s="104"/>
      <c r="C792" s="104"/>
      <c r="D792" s="102"/>
      <c r="E792"/>
      <c r="F792" s="102"/>
      <c r="G792" s="102"/>
      <c r="H792" s="102"/>
      <c r="I792" s="102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3"/>
      <c r="V792" s="103"/>
      <c r="W792" s="104"/>
      <c r="X792"/>
    </row>
    <row r="793" spans="1:24">
      <c r="A793" s="104"/>
      <c r="B793" s="104"/>
      <c r="C793" s="104"/>
      <c r="D793" s="102"/>
      <c r="E793"/>
      <c r="F793" s="102"/>
      <c r="G793" s="102"/>
      <c r="H793" s="102"/>
      <c r="I793" s="102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3"/>
      <c r="V793" s="103"/>
      <c r="W793" s="104"/>
      <c r="X793"/>
    </row>
    <row r="794" spans="1:24">
      <c r="A794" s="104"/>
      <c r="B794" s="104"/>
      <c r="C794" s="104"/>
      <c r="D794" s="102"/>
      <c r="E794"/>
      <c r="F794" s="102"/>
      <c r="G794" s="102"/>
      <c r="H794" s="102"/>
      <c r="I794" s="102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3"/>
      <c r="V794" s="103"/>
      <c r="W794" s="104"/>
      <c r="X794"/>
    </row>
    <row r="795" spans="1:24">
      <c r="A795" s="104"/>
      <c r="B795" s="104"/>
      <c r="C795" s="104"/>
      <c r="D795" s="102"/>
      <c r="E795"/>
      <c r="F795" s="102"/>
      <c r="G795" s="102"/>
      <c r="H795" s="102"/>
      <c r="I795" s="102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3"/>
      <c r="V795" s="103"/>
      <c r="W795" s="104"/>
      <c r="X795"/>
    </row>
    <row r="796" spans="1:24">
      <c r="A796" s="104"/>
      <c r="B796" s="104"/>
      <c r="C796" s="104"/>
      <c r="D796" s="102"/>
      <c r="E796"/>
      <c r="F796" s="102"/>
      <c r="G796" s="102"/>
      <c r="H796" s="102"/>
      <c r="I796" s="102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3"/>
      <c r="V796" s="103"/>
      <c r="W796" s="104"/>
      <c r="X796"/>
    </row>
    <row r="797" spans="1:24">
      <c r="A797" s="104"/>
      <c r="B797" s="104"/>
      <c r="C797" s="104"/>
      <c r="D797" s="102"/>
      <c r="E797"/>
      <c r="F797" s="102"/>
      <c r="G797" s="102"/>
      <c r="H797" s="102"/>
      <c r="I797" s="102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3"/>
      <c r="V797" s="103"/>
      <c r="W797" s="104"/>
      <c r="X797"/>
    </row>
    <row r="798" spans="1:24">
      <c r="A798" s="104"/>
      <c r="B798" s="104"/>
      <c r="C798" s="104"/>
      <c r="D798" s="102"/>
      <c r="E798"/>
      <c r="F798" s="102"/>
      <c r="G798" s="102"/>
      <c r="H798" s="102"/>
      <c r="I798" s="102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3"/>
      <c r="V798" s="103"/>
      <c r="W798" s="104"/>
    </row>
  </sheetData>
  <conditionalFormatting sqref="E2:E3">
    <cfRule type="containsText" dxfId="56" priority="74" stopIfTrue="1" operator="containsText" text="Checked:">
      <formula>NOT(ISERROR(SEARCH("Checked:",E2)))</formula>
    </cfRule>
    <cfRule type="cellIs" dxfId="55" priority="75" stopIfTrue="1" operator="equal">
      <formula>"No checklist items checked"</formula>
    </cfRule>
    <cfRule type="cellIs" dxfId="54" priority="76" stopIfTrue="1" operator="equal">
      <formula>"Sent"</formula>
    </cfRule>
    <cfRule type="cellIs" dxfId="53" priority="77" stopIfTrue="1" operator="equal">
      <formula>"Scheduled"</formula>
    </cfRule>
    <cfRule type="cellIs" dxfId="52" priority="78" stopIfTrue="1" operator="equal">
      <formula>"Ready to Schedule"</formula>
    </cfRule>
  </conditionalFormatting>
  <conditionalFormatting sqref="A2:W3">
    <cfRule type="expression" dxfId="51" priority="79">
      <formula>OR(LOWER(TRIM($W2))="cancelled",LOWER(TRIM($W2))="canceled")</formula>
    </cfRule>
    <cfRule type="expression" dxfId="50" priority="80">
      <formula>OR(LOWER(TRIM($W2))="cancelled",LOWER(TRIM($W2))="canceled")</formula>
    </cfRule>
  </conditionalFormatting>
  <conditionalFormatting sqref="A2:W208">
    <cfRule type="expression" dxfId="49" priority="1">
      <formula>AND($C2&lt;&gt;"",$O2&lt;&gt;TRUE,IFERROR(INT($A2),0)&gt;=TODAY()+1,IFERROR(INT($A2),0)&lt;=TODAY()+IF(WEEKDAY(TODAY(),1)=6,3,1),NOT(OR(LOWER(TRIM($W2))="cancelled",LOWER(TRIM($W2))="canceled")))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200-000000000000}">
          <x14:formula1>
            <xm:f>Dropdowns!$A$2:$A$8</xm:f>
          </x14:formula1>
          <xm:sqref>D799:D1001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Dropdowns!$A$2:$A$8</xm:f>
          </x14:formula1>
          <xm:sqref>D799:D1001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To use a type that is not listed, choose Others and enter the custom value when prompted. Custom values apply to that row only and are not added to the list." xr:uid="{5F6BC4B6-4FEA-42FE-897D-B93DAFD193AA}">
          <x14:formula1>
            <xm:f>Dropdowns!$A$2:$A$10</xm:f>
          </x14:formula1>
          <xm:sqref>D2:D3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S802"/>
  <sheetViews>
    <sheetView showGridLines="0" zoomScale="85" zoomScaleNormal="85" workbookViewId="0">
      <selection activeCell="C15" sqref="C15"/>
    </sheetView>
  </sheetViews>
  <sheetFormatPr defaultRowHeight="15"/>
  <cols>
    <col min="1" max="1" width="28.625" style="106" customWidth="1"/>
    <col min="2" max="2" width="20.625" style="106" customWidth="1"/>
    <col min="3" max="3" width="34.625" style="106" customWidth="1"/>
    <col min="4" max="4" width="16.625" style="105" customWidth="1"/>
    <col min="5" max="5" width="42.625" style="105" hidden="1" customWidth="1"/>
    <col min="6" max="6" width="16.625" style="105" customWidth="1"/>
    <col min="7" max="7" width="13.625" style="105" customWidth="1"/>
    <col min="8" max="8" width="12.625" style="105" customWidth="1"/>
    <col min="9" max="9" width="13.625" style="105" customWidth="1"/>
    <col min="10" max="10" width="13.75" style="105" bestFit="1" customWidth="1"/>
    <col min="11" max="11" width="13.75" style="105" customWidth="1"/>
    <col min="12" max="12" width="13.5" style="105" bestFit="1" customWidth="1"/>
    <col min="13" max="13" width="19.25" style="105" bestFit="1" customWidth="1"/>
    <col min="14" max="15" width="14.625" style="105" customWidth="1"/>
    <col min="16" max="16" width="18.25" style="105" hidden="1" customWidth="1"/>
    <col min="17" max="17" width="18.625" style="105" hidden="1" customWidth="1"/>
    <col min="18" max="18" width="50.625" style="106" customWidth="1"/>
    <col min="19" max="19" width="36.625" style="3" customWidth="1"/>
    <col min="20" max="16384" width="9" style="1"/>
  </cols>
  <sheetData>
    <row r="1" spans="1:18" s="2" customFormat="1" ht="30">
      <c r="A1" s="110" t="s">
        <v>21</v>
      </c>
      <c r="B1" s="110" t="s">
        <v>42</v>
      </c>
      <c r="C1" s="110" t="s">
        <v>43</v>
      </c>
      <c r="D1" s="111" t="s">
        <v>44</v>
      </c>
      <c r="E1" s="111" t="s">
        <v>45</v>
      </c>
      <c r="F1" s="111" t="s">
        <v>27</v>
      </c>
      <c r="G1" s="111" t="s">
        <v>65</v>
      </c>
      <c r="H1" s="111" t="s">
        <v>66</v>
      </c>
      <c r="I1" s="111" t="s">
        <v>28</v>
      </c>
      <c r="J1" s="111" t="s">
        <v>29</v>
      </c>
      <c r="K1" s="111" t="s">
        <v>107</v>
      </c>
      <c r="L1" s="111" t="s">
        <v>67</v>
      </c>
      <c r="M1" s="111" t="s">
        <v>54</v>
      </c>
      <c r="N1" s="111" t="s">
        <v>55</v>
      </c>
      <c r="O1" s="111" t="s">
        <v>56</v>
      </c>
      <c r="P1" s="111" t="s">
        <v>57</v>
      </c>
      <c r="Q1" s="111" t="s">
        <v>58</v>
      </c>
      <c r="R1" s="111" t="s">
        <v>59</v>
      </c>
    </row>
    <row r="2" spans="1:18" s="5" customFormat="1">
      <c r="A2" s="108">
        <v>46174</v>
      </c>
      <c r="B2" s="109">
        <v>0.45833333333333331</v>
      </c>
      <c r="C2" s="110" t="s">
        <v>223</v>
      </c>
      <c r="D2" s="111" t="s">
        <v>221</v>
      </c>
      <c r="E2" s="111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No checklist items checked</v>
      </c>
      <c r="F2" s="94" t="s">
        <v>222</v>
      </c>
      <c r="G2" s="112" t="b">
        <v>0</v>
      </c>
      <c r="H2" s="112" t="b">
        <v>0</v>
      </c>
      <c r="I2" s="112" t="b">
        <v>0</v>
      </c>
      <c r="J2" s="112" t="b">
        <v>0</v>
      </c>
      <c r="K2" s="112" t="b">
        <v>0</v>
      </c>
      <c r="L2" s="96"/>
      <c r="M2" s="113"/>
      <c r="N2" s="97"/>
      <c r="O2" s="97"/>
      <c r="P2" s="114">
        <v>46188.992511574077</v>
      </c>
      <c r="Q2" s="94" t="s">
        <v>114</v>
      </c>
      <c r="R2" s="99" t="s">
        <v>62</v>
      </c>
    </row>
    <row r="3" spans="1:18" s="5" customFormat="1" ht="30">
      <c r="A3" s="108">
        <v>46175</v>
      </c>
      <c r="B3" s="109" t="s">
        <v>225</v>
      </c>
      <c r="C3" s="110" t="s">
        <v>223</v>
      </c>
      <c r="D3" s="111" t="s">
        <v>207</v>
      </c>
      <c r="E3" s="115" t="str">
        <f>IF(SMSCampaignsTable[[#This Row],[Campaign Name]]="","",_xlfn.LET(_xlpm.checked,_xlfn.TEXTJOIN(",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Row],[Segments]],"Segments","")),IF(_xlpm.checked="","No checklist items checked","Checked: "&amp;_xlpm.checked)))</f>
        <v>No checklist items checked</v>
      </c>
      <c r="F3" s="94" t="s">
        <v>222</v>
      </c>
      <c r="G3" s="116" t="b">
        <v>0</v>
      </c>
      <c r="H3" s="116" t="b">
        <v>0</v>
      </c>
      <c r="I3" s="116" t="b">
        <v>0</v>
      </c>
      <c r="J3" s="116" t="b">
        <v>0</v>
      </c>
      <c r="K3" s="112" t="b">
        <v>0</v>
      </c>
      <c r="L3" s="117"/>
      <c r="M3" s="118"/>
      <c r="N3" s="97"/>
      <c r="O3" s="97"/>
      <c r="P3" s="114">
        <v>46188.992708333331</v>
      </c>
      <c r="Q3" s="94" t="s">
        <v>114</v>
      </c>
      <c r="R3" s="99"/>
    </row>
    <row r="4" spans="1:18" s="5" customFormat="1">
      <c r="A4" s="119"/>
      <c r="B4" s="106"/>
      <c r="C4" s="106"/>
      <c r="D4" s="105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06"/>
    </row>
    <row r="5" spans="1:18" s="5" customFormat="1">
      <c r="A5" s="119"/>
      <c r="B5" s="106"/>
      <c r="C5" s="106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105"/>
      <c r="P5" s="105"/>
      <c r="Q5" s="105"/>
      <c r="R5" s="106"/>
    </row>
    <row r="6" spans="1:18" s="5" customFormat="1">
      <c r="A6" s="119"/>
      <c r="B6" s="106"/>
      <c r="C6" s="106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105"/>
      <c r="P6" s="105"/>
      <c r="Q6" s="105"/>
      <c r="R6" s="106"/>
    </row>
    <row r="7" spans="1:18" s="5" customFormat="1">
      <c r="A7" s="119"/>
      <c r="B7" s="106"/>
      <c r="C7" s="106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05"/>
      <c r="P7" s="105"/>
      <c r="Q7" s="105"/>
      <c r="R7" s="106"/>
    </row>
    <row r="8" spans="1:18" s="5" customFormat="1">
      <c r="A8" s="119"/>
      <c r="B8" s="106"/>
      <c r="C8" s="106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05"/>
      <c r="P8" s="105"/>
      <c r="Q8" s="105"/>
      <c r="R8" s="106"/>
    </row>
    <row r="9" spans="1:18" s="5" customFormat="1">
      <c r="A9" s="119"/>
      <c r="B9" s="106"/>
      <c r="C9" s="106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6"/>
    </row>
    <row r="10" spans="1:18" s="5" customFormat="1">
      <c r="A10" s="119"/>
      <c r="B10" s="106"/>
      <c r="C10" s="106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6"/>
    </row>
    <row r="11" spans="1:18" s="5" customFormat="1">
      <c r="A11" s="119"/>
      <c r="B11" s="106"/>
      <c r="C11" s="106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6"/>
    </row>
    <row r="12" spans="1:18" s="5" customFormat="1">
      <c r="A12" s="119"/>
      <c r="B12" s="106"/>
      <c r="C12" s="106"/>
      <c r="D12" s="105"/>
      <c r="E12" s="105"/>
      <c r="F12" s="105"/>
      <c r="G12" s="105"/>
      <c r="H12" s="105"/>
      <c r="I12" s="105"/>
      <c r="J12" s="105"/>
      <c r="K12" s="105"/>
      <c r="L12" s="105"/>
      <c r="M12" s="105"/>
      <c r="N12" s="105"/>
      <c r="O12" s="105"/>
      <c r="P12" s="105"/>
      <c r="Q12" s="105"/>
      <c r="R12" s="106"/>
    </row>
    <row r="13" spans="1:18" s="5" customFormat="1">
      <c r="A13" s="119"/>
      <c r="B13" s="106"/>
      <c r="C13" s="106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5"/>
      <c r="P13" s="105"/>
      <c r="Q13" s="105"/>
      <c r="R13" s="106"/>
    </row>
    <row r="14" spans="1:18" s="5" customFormat="1">
      <c r="A14" s="119"/>
      <c r="B14" s="106"/>
      <c r="C14" s="106"/>
      <c r="D14" s="105"/>
      <c r="E14" s="105"/>
      <c r="F14" s="105"/>
      <c r="G14" s="105"/>
      <c r="H14" s="105"/>
      <c r="I14" s="105"/>
      <c r="J14" s="105"/>
      <c r="K14" s="105"/>
      <c r="L14" s="105"/>
      <c r="M14" s="105"/>
      <c r="N14" s="105"/>
      <c r="O14" s="105"/>
      <c r="P14" s="105"/>
      <c r="Q14" s="105"/>
      <c r="R14" s="106"/>
    </row>
    <row r="15" spans="1:18" s="5" customFormat="1">
      <c r="A15" s="119"/>
      <c r="B15" s="106"/>
      <c r="C15" s="106"/>
      <c r="D15" s="105"/>
      <c r="E15" s="105"/>
      <c r="F15" s="105"/>
      <c r="G15" s="105"/>
      <c r="H15" s="105"/>
      <c r="I15" s="105"/>
      <c r="J15" s="105"/>
      <c r="K15" s="105"/>
      <c r="L15" s="105"/>
      <c r="M15" s="105"/>
      <c r="N15" s="105"/>
      <c r="O15" s="105"/>
      <c r="P15" s="105"/>
      <c r="Q15" s="105"/>
      <c r="R15" s="106"/>
    </row>
    <row r="16" spans="1:18" s="5" customFormat="1">
      <c r="A16" s="119"/>
      <c r="B16" s="106"/>
      <c r="C16" s="106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6"/>
    </row>
    <row r="17" spans="1:18" s="5" customFormat="1">
      <c r="A17" s="119"/>
      <c r="B17" s="106"/>
      <c r="C17" s="106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6"/>
    </row>
    <row r="18" spans="1:18" s="5" customFormat="1">
      <c r="A18" s="119"/>
      <c r="B18" s="106"/>
      <c r="C18" s="106"/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6"/>
    </row>
    <row r="19" spans="1:18" s="5" customFormat="1">
      <c r="A19" s="119"/>
      <c r="B19" s="106"/>
      <c r="C19" s="106"/>
      <c r="D19" s="105"/>
      <c r="E19" s="105"/>
      <c r="F19" s="105"/>
      <c r="G19" s="105"/>
      <c r="H19" s="105"/>
      <c r="I19" s="105"/>
      <c r="J19" s="105"/>
      <c r="K19" s="105"/>
      <c r="L19" s="105"/>
      <c r="M19" s="105"/>
      <c r="N19" s="105"/>
      <c r="O19" s="105"/>
      <c r="P19" s="105"/>
      <c r="Q19" s="105"/>
      <c r="R19" s="106"/>
    </row>
    <row r="20" spans="1:18" s="5" customFormat="1">
      <c r="A20" s="119"/>
      <c r="B20" s="106"/>
      <c r="C20" s="106"/>
      <c r="D20" s="105"/>
      <c r="E20" s="105"/>
      <c r="F20" s="105"/>
      <c r="G20" s="105"/>
      <c r="H20" s="105"/>
      <c r="I20" s="105"/>
      <c r="J20" s="105"/>
      <c r="K20" s="105"/>
      <c r="L20" s="105"/>
      <c r="M20" s="105"/>
      <c r="N20" s="105"/>
      <c r="O20" s="105"/>
      <c r="P20" s="105"/>
      <c r="Q20" s="105"/>
      <c r="R20" s="106"/>
    </row>
    <row r="21" spans="1:18" s="5" customFormat="1">
      <c r="A21" s="119"/>
      <c r="B21" s="106"/>
      <c r="C21" s="106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05"/>
      <c r="P21" s="105"/>
      <c r="Q21" s="105"/>
      <c r="R21" s="106"/>
    </row>
    <row r="22" spans="1:18" s="5" customFormat="1">
      <c r="A22" s="119"/>
      <c r="B22" s="106"/>
      <c r="C22" s="106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6"/>
    </row>
    <row r="23" spans="1:18" s="5" customFormat="1">
      <c r="A23" s="119"/>
      <c r="B23" s="106"/>
      <c r="C23" s="106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6"/>
    </row>
    <row r="24" spans="1:18" s="5" customFormat="1">
      <c r="A24" s="119"/>
      <c r="B24" s="106"/>
      <c r="C24" s="106"/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6"/>
    </row>
    <row r="25" spans="1:18" s="5" customFormat="1">
      <c r="A25" s="119"/>
      <c r="B25" s="106"/>
      <c r="C25" s="106"/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6"/>
    </row>
    <row r="26" spans="1:18" s="5" customFormat="1">
      <c r="A26" s="119"/>
      <c r="B26" s="106"/>
      <c r="C26" s="106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6"/>
    </row>
    <row r="27" spans="1:18" s="5" customFormat="1">
      <c r="A27" s="119"/>
      <c r="B27" s="106"/>
      <c r="C27" s="106"/>
      <c r="D27" s="105"/>
      <c r="E27" s="105"/>
      <c r="F27" s="105"/>
      <c r="G27" s="105"/>
      <c r="H27" s="105"/>
      <c r="I27" s="105"/>
      <c r="J27" s="105"/>
      <c r="K27" s="105"/>
      <c r="L27" s="105"/>
      <c r="M27" s="105"/>
      <c r="N27" s="105"/>
      <c r="O27" s="105"/>
      <c r="P27" s="105"/>
      <c r="Q27" s="105"/>
      <c r="R27" s="106"/>
    </row>
    <row r="28" spans="1:18" s="5" customFormat="1">
      <c r="A28" s="119"/>
      <c r="B28" s="106"/>
      <c r="C28" s="106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  <c r="O28" s="105"/>
      <c r="P28" s="105"/>
      <c r="Q28" s="105"/>
      <c r="R28" s="106"/>
    </row>
    <row r="29" spans="1:18" s="5" customFormat="1">
      <c r="A29" s="119"/>
      <c r="B29" s="106"/>
      <c r="C29" s="106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6"/>
    </row>
    <row r="30" spans="1:18" s="5" customFormat="1">
      <c r="A30" s="119"/>
      <c r="B30" s="106"/>
      <c r="C30" s="106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6"/>
    </row>
    <row r="31" spans="1:18" s="5" customFormat="1">
      <c r="A31" s="119"/>
      <c r="B31" s="106"/>
      <c r="C31" s="106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6"/>
    </row>
    <row r="32" spans="1:18" s="5" customFormat="1">
      <c r="A32" s="119"/>
      <c r="B32" s="106"/>
      <c r="C32" s="106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6"/>
    </row>
    <row r="33" spans="1:18" s="5" customFormat="1">
      <c r="A33" s="119"/>
      <c r="B33" s="106"/>
      <c r="C33" s="106"/>
      <c r="D33" s="105"/>
      <c r="E33" s="105"/>
      <c r="F33" s="105"/>
      <c r="G33" s="105"/>
      <c r="H33" s="105"/>
      <c r="I33" s="105"/>
      <c r="J33" s="105"/>
      <c r="K33" s="105"/>
      <c r="L33" s="105"/>
      <c r="M33" s="105"/>
      <c r="N33" s="105"/>
      <c r="O33" s="105"/>
      <c r="P33" s="105"/>
      <c r="Q33" s="105"/>
      <c r="R33" s="106"/>
    </row>
    <row r="34" spans="1:18" s="5" customFormat="1">
      <c r="A34" s="119"/>
      <c r="B34" s="106"/>
      <c r="C34" s="106"/>
      <c r="D34" s="105"/>
      <c r="E34" s="105"/>
      <c r="F34" s="105"/>
      <c r="G34" s="105"/>
      <c r="H34" s="105"/>
      <c r="I34" s="105"/>
      <c r="J34" s="105"/>
      <c r="K34" s="105"/>
      <c r="L34" s="105"/>
      <c r="M34" s="105"/>
      <c r="N34" s="105"/>
      <c r="O34" s="105"/>
      <c r="P34" s="105"/>
      <c r="Q34" s="105"/>
      <c r="R34" s="106"/>
    </row>
    <row r="35" spans="1:18" s="5" customFormat="1">
      <c r="A35" s="119"/>
      <c r="B35" s="106"/>
      <c r="C35" s="106"/>
      <c r="D35" s="105"/>
      <c r="E35" s="105"/>
      <c r="F35" s="105"/>
      <c r="G35" s="105"/>
      <c r="H35" s="105"/>
      <c r="I35" s="105"/>
      <c r="J35" s="105"/>
      <c r="K35" s="105"/>
      <c r="L35" s="105"/>
      <c r="M35" s="105"/>
      <c r="N35" s="105"/>
      <c r="O35" s="105"/>
      <c r="P35" s="105"/>
      <c r="Q35" s="105"/>
      <c r="R35" s="106"/>
    </row>
    <row r="36" spans="1:18" s="5" customFormat="1">
      <c r="A36" s="119"/>
      <c r="B36" s="106"/>
      <c r="C36" s="106"/>
      <c r="D36" s="105"/>
      <c r="E36" s="105"/>
      <c r="F36" s="105"/>
      <c r="G36" s="105"/>
      <c r="H36" s="105"/>
      <c r="I36" s="105"/>
      <c r="J36" s="105"/>
      <c r="K36" s="105"/>
      <c r="L36" s="105"/>
      <c r="M36" s="105"/>
      <c r="N36" s="105"/>
      <c r="O36" s="105"/>
      <c r="P36" s="105"/>
      <c r="Q36" s="105"/>
      <c r="R36" s="106"/>
    </row>
    <row r="37" spans="1:18" s="5" customFormat="1">
      <c r="A37" s="119"/>
      <c r="B37" s="106"/>
      <c r="C37" s="106"/>
      <c r="D37" s="105"/>
      <c r="E37" s="105"/>
      <c r="F37" s="105"/>
      <c r="G37" s="105"/>
      <c r="H37" s="105"/>
      <c r="I37" s="105"/>
      <c r="J37" s="105"/>
      <c r="K37" s="105"/>
      <c r="L37" s="105"/>
      <c r="M37" s="105"/>
      <c r="N37" s="105"/>
      <c r="O37" s="105"/>
      <c r="P37" s="105"/>
      <c r="Q37" s="105"/>
      <c r="R37" s="106"/>
    </row>
    <row r="38" spans="1:18" s="5" customFormat="1">
      <c r="A38" s="119"/>
      <c r="B38" s="106"/>
      <c r="C38" s="106"/>
      <c r="D38" s="105"/>
      <c r="E38" s="105"/>
      <c r="F38" s="105"/>
      <c r="G38" s="105"/>
      <c r="H38" s="105"/>
      <c r="I38" s="105"/>
      <c r="J38" s="105"/>
      <c r="K38" s="105"/>
      <c r="L38" s="105"/>
      <c r="M38" s="105"/>
      <c r="N38" s="105"/>
      <c r="O38" s="105"/>
      <c r="P38" s="105"/>
      <c r="Q38" s="105"/>
      <c r="R38" s="106"/>
    </row>
    <row r="39" spans="1:18" s="5" customFormat="1">
      <c r="A39" s="119"/>
      <c r="B39" s="106"/>
      <c r="C39" s="106"/>
      <c r="D39" s="105"/>
      <c r="E39" s="105"/>
      <c r="F39" s="105"/>
      <c r="G39" s="105"/>
      <c r="H39" s="105"/>
      <c r="I39" s="105"/>
      <c r="J39" s="105"/>
      <c r="K39" s="105"/>
      <c r="L39" s="105"/>
      <c r="M39" s="105"/>
      <c r="N39" s="105"/>
      <c r="O39" s="105"/>
      <c r="P39" s="105"/>
      <c r="Q39" s="105"/>
      <c r="R39" s="106"/>
    </row>
    <row r="40" spans="1:18" s="5" customFormat="1">
      <c r="A40" s="119"/>
      <c r="B40" s="106"/>
      <c r="C40" s="106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5"/>
      <c r="P40" s="105"/>
      <c r="Q40" s="105"/>
      <c r="R40" s="106"/>
    </row>
    <row r="41" spans="1:18" s="5" customFormat="1">
      <c r="A41" s="119"/>
      <c r="B41" s="106"/>
      <c r="C41" s="106"/>
      <c r="D41" s="105"/>
      <c r="E41" s="105"/>
      <c r="F41" s="105"/>
      <c r="G41" s="105"/>
      <c r="H41" s="105"/>
      <c r="I41" s="105"/>
      <c r="J41" s="105"/>
      <c r="K41" s="105"/>
      <c r="L41" s="105"/>
      <c r="M41" s="105"/>
      <c r="N41" s="105"/>
      <c r="O41" s="105"/>
      <c r="P41" s="105"/>
      <c r="Q41" s="105"/>
      <c r="R41" s="106"/>
    </row>
    <row r="42" spans="1:18" s="5" customFormat="1">
      <c r="A42" s="119"/>
      <c r="B42" s="106"/>
      <c r="C42" s="106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05"/>
      <c r="P42" s="105"/>
      <c r="Q42" s="105"/>
      <c r="R42" s="106"/>
    </row>
    <row r="43" spans="1:18" s="5" customFormat="1">
      <c r="A43" s="119"/>
      <c r="B43" s="106"/>
      <c r="C43" s="106"/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105"/>
      <c r="Q43" s="105"/>
      <c r="R43" s="106"/>
    </row>
    <row r="44" spans="1:18" s="5" customFormat="1">
      <c r="A44" s="119"/>
      <c r="B44" s="106"/>
      <c r="C44" s="106"/>
      <c r="D44" s="105"/>
      <c r="E44" s="105"/>
      <c r="F44" s="105"/>
      <c r="G44" s="105"/>
      <c r="H44" s="105"/>
      <c r="I44" s="105"/>
      <c r="J44" s="105"/>
      <c r="K44" s="105"/>
      <c r="L44" s="105"/>
      <c r="M44" s="105"/>
      <c r="N44" s="105"/>
      <c r="O44" s="105"/>
      <c r="P44" s="105"/>
      <c r="Q44" s="105"/>
      <c r="R44" s="106"/>
    </row>
    <row r="45" spans="1:18" s="5" customFormat="1">
      <c r="A45" s="119"/>
      <c r="B45" s="106"/>
      <c r="C45" s="106"/>
      <c r="D45" s="105"/>
      <c r="E45" s="105"/>
      <c r="F45" s="105"/>
      <c r="G45" s="105"/>
      <c r="H45" s="105"/>
      <c r="I45" s="105"/>
      <c r="J45" s="105"/>
      <c r="K45" s="105"/>
      <c r="L45" s="105"/>
      <c r="M45" s="105"/>
      <c r="N45" s="105"/>
      <c r="O45" s="105"/>
      <c r="P45" s="105"/>
      <c r="Q45" s="105"/>
      <c r="R45" s="106"/>
    </row>
    <row r="46" spans="1:18" s="5" customFormat="1">
      <c r="A46" s="119"/>
      <c r="B46" s="106"/>
      <c r="C46" s="106"/>
      <c r="D46" s="105"/>
      <c r="E46" s="105"/>
      <c r="F46" s="105"/>
      <c r="G46" s="105"/>
      <c r="H46" s="105"/>
      <c r="I46" s="105"/>
      <c r="J46" s="105"/>
      <c r="K46" s="105"/>
      <c r="L46" s="105"/>
      <c r="M46" s="105"/>
      <c r="N46" s="105"/>
      <c r="O46" s="105"/>
      <c r="P46" s="105"/>
      <c r="Q46" s="105"/>
      <c r="R46" s="106"/>
    </row>
    <row r="47" spans="1:18" s="5" customFormat="1">
      <c r="A47" s="119"/>
      <c r="B47" s="106"/>
      <c r="C47" s="106"/>
      <c r="D47" s="105"/>
      <c r="E47" s="105"/>
      <c r="F47" s="105"/>
      <c r="G47" s="105"/>
      <c r="H47" s="105"/>
      <c r="I47" s="105"/>
      <c r="J47" s="105"/>
      <c r="K47" s="105"/>
      <c r="L47" s="105"/>
      <c r="M47" s="105"/>
      <c r="N47" s="105"/>
      <c r="O47" s="105"/>
      <c r="P47" s="105"/>
      <c r="Q47" s="105"/>
      <c r="R47" s="106"/>
    </row>
    <row r="48" spans="1:18" s="5" customFormat="1">
      <c r="A48" s="119"/>
      <c r="B48" s="106"/>
      <c r="C48" s="106"/>
      <c r="D48" s="105"/>
      <c r="E48" s="105"/>
      <c r="F48" s="105"/>
      <c r="G48" s="105"/>
      <c r="H48" s="105"/>
      <c r="I48" s="105"/>
      <c r="J48" s="105"/>
      <c r="K48" s="105"/>
      <c r="L48" s="105"/>
      <c r="M48" s="105"/>
      <c r="N48" s="105"/>
      <c r="O48" s="105"/>
      <c r="P48" s="105"/>
      <c r="Q48" s="105"/>
      <c r="R48" s="106"/>
    </row>
    <row r="49" spans="1:18" s="5" customFormat="1">
      <c r="A49" s="119"/>
      <c r="B49" s="106"/>
      <c r="C49" s="106"/>
      <c r="D49" s="105"/>
      <c r="E49" s="105"/>
      <c r="F49" s="105"/>
      <c r="G49" s="105"/>
      <c r="H49" s="105"/>
      <c r="I49" s="105"/>
      <c r="J49" s="105"/>
      <c r="K49" s="105"/>
      <c r="L49" s="105"/>
      <c r="M49" s="105"/>
      <c r="N49" s="105"/>
      <c r="O49" s="105"/>
      <c r="P49" s="105"/>
      <c r="Q49" s="105"/>
      <c r="R49" s="106"/>
    </row>
    <row r="50" spans="1:18" s="5" customFormat="1">
      <c r="A50" s="119"/>
      <c r="B50" s="106"/>
      <c r="C50" s="106"/>
      <c r="D50" s="105"/>
      <c r="E50" s="105"/>
      <c r="F50" s="105"/>
      <c r="G50" s="105"/>
      <c r="H50" s="105"/>
      <c r="I50" s="105"/>
      <c r="J50" s="105"/>
      <c r="K50" s="105"/>
      <c r="L50" s="105"/>
      <c r="M50" s="105"/>
      <c r="N50" s="105"/>
      <c r="O50" s="105"/>
      <c r="P50" s="105"/>
      <c r="Q50" s="105"/>
      <c r="R50" s="106"/>
    </row>
    <row r="51" spans="1:18" s="5" customFormat="1">
      <c r="A51" s="119"/>
      <c r="B51" s="106"/>
      <c r="C51" s="106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  <c r="O51" s="105"/>
      <c r="P51" s="105"/>
      <c r="Q51" s="105"/>
      <c r="R51" s="106"/>
    </row>
    <row r="52" spans="1:18" s="5" customFormat="1">
      <c r="A52" s="119"/>
      <c r="B52" s="106"/>
      <c r="C52" s="106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106"/>
    </row>
    <row r="53" spans="1:18" s="5" customFormat="1">
      <c r="A53" s="119"/>
      <c r="B53" s="106"/>
      <c r="C53" s="106"/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105"/>
      <c r="O53" s="105"/>
      <c r="P53" s="105"/>
      <c r="Q53" s="105"/>
      <c r="R53" s="106"/>
    </row>
    <row r="54" spans="1:18" s="5" customFormat="1">
      <c r="A54" s="119"/>
      <c r="B54" s="106"/>
      <c r="C54" s="106"/>
      <c r="D54" s="105"/>
      <c r="E54" s="105"/>
      <c r="F54" s="105"/>
      <c r="G54" s="105"/>
      <c r="H54" s="105"/>
      <c r="I54" s="105"/>
      <c r="J54" s="105"/>
      <c r="K54" s="105"/>
      <c r="L54" s="105"/>
      <c r="M54" s="105"/>
      <c r="N54" s="105"/>
      <c r="O54" s="105"/>
      <c r="P54" s="105"/>
      <c r="Q54" s="105"/>
      <c r="R54" s="106"/>
    </row>
    <row r="55" spans="1:18" s="5" customFormat="1">
      <c r="A55" s="119"/>
      <c r="B55" s="106"/>
      <c r="C55" s="106"/>
      <c r="D55" s="105"/>
      <c r="E55" s="105"/>
      <c r="F55" s="105"/>
      <c r="G55" s="105"/>
      <c r="H55" s="105"/>
      <c r="I55" s="105"/>
      <c r="J55" s="105"/>
      <c r="K55" s="105"/>
      <c r="L55" s="105"/>
      <c r="M55" s="105"/>
      <c r="N55" s="105"/>
      <c r="O55" s="105"/>
      <c r="P55" s="105"/>
      <c r="Q55" s="105"/>
      <c r="R55" s="106"/>
    </row>
    <row r="56" spans="1:18" s="5" customFormat="1">
      <c r="A56" s="119"/>
      <c r="B56" s="106"/>
      <c r="C56" s="106"/>
      <c r="D56" s="105"/>
      <c r="E56" s="105"/>
      <c r="F56" s="105"/>
      <c r="G56" s="105"/>
      <c r="H56" s="105"/>
      <c r="I56" s="105"/>
      <c r="J56" s="105"/>
      <c r="K56" s="105"/>
      <c r="L56" s="105"/>
      <c r="M56" s="105"/>
      <c r="N56" s="105"/>
      <c r="O56" s="105"/>
      <c r="P56" s="105"/>
      <c r="Q56" s="105"/>
      <c r="R56" s="106"/>
    </row>
    <row r="57" spans="1:18" s="5" customFormat="1">
      <c r="A57" s="119"/>
      <c r="B57" s="106"/>
      <c r="C57" s="106"/>
      <c r="D57" s="105"/>
      <c r="E57" s="105"/>
      <c r="F57" s="105"/>
      <c r="G57" s="105"/>
      <c r="H57" s="105"/>
      <c r="I57" s="105"/>
      <c r="J57" s="105"/>
      <c r="K57" s="105"/>
      <c r="L57" s="105"/>
      <c r="M57" s="105"/>
      <c r="N57" s="105"/>
      <c r="O57" s="105"/>
      <c r="P57" s="105"/>
      <c r="Q57" s="105"/>
      <c r="R57" s="106"/>
    </row>
    <row r="58" spans="1:18" s="5" customFormat="1">
      <c r="A58" s="119"/>
      <c r="B58" s="106"/>
      <c r="C58" s="106"/>
      <c r="D58" s="105"/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6"/>
    </row>
    <row r="59" spans="1:18" s="5" customFormat="1">
      <c r="A59" s="119"/>
      <c r="B59" s="106"/>
      <c r="C59" s="106"/>
      <c r="D59" s="105"/>
      <c r="E59" s="105"/>
      <c r="F59" s="105"/>
      <c r="G59" s="105"/>
      <c r="H59" s="105"/>
      <c r="I59" s="105"/>
      <c r="J59" s="105"/>
      <c r="K59" s="105"/>
      <c r="L59" s="105"/>
      <c r="M59" s="105"/>
      <c r="N59" s="105"/>
      <c r="O59" s="105"/>
      <c r="P59" s="105"/>
      <c r="Q59" s="105"/>
      <c r="R59" s="106"/>
    </row>
    <row r="60" spans="1:18" s="5" customFormat="1">
      <c r="A60" s="119"/>
      <c r="B60" s="106"/>
      <c r="C60" s="106"/>
      <c r="D60" s="105"/>
      <c r="E60" s="105"/>
      <c r="F60" s="105"/>
      <c r="G60" s="105"/>
      <c r="H60" s="105"/>
      <c r="I60" s="105"/>
      <c r="J60" s="105"/>
      <c r="K60" s="105"/>
      <c r="L60" s="105"/>
      <c r="M60" s="105"/>
      <c r="N60" s="105"/>
      <c r="O60" s="105"/>
      <c r="P60" s="105"/>
      <c r="Q60" s="105"/>
      <c r="R60" s="106"/>
    </row>
    <row r="61" spans="1:18" s="5" customFormat="1">
      <c r="A61" s="119"/>
      <c r="B61" s="106"/>
      <c r="C61" s="106"/>
      <c r="D61" s="105"/>
      <c r="E61" s="105"/>
      <c r="F61" s="105"/>
      <c r="G61" s="105"/>
      <c r="H61" s="105"/>
      <c r="I61" s="105"/>
      <c r="J61" s="105"/>
      <c r="K61" s="105"/>
      <c r="L61" s="105"/>
      <c r="M61" s="105"/>
      <c r="N61" s="105"/>
      <c r="O61" s="105"/>
      <c r="P61" s="105"/>
      <c r="Q61" s="105"/>
      <c r="R61" s="106"/>
    </row>
    <row r="62" spans="1:18" s="5" customFormat="1">
      <c r="A62" s="119"/>
      <c r="B62" s="106"/>
      <c r="C62" s="106"/>
      <c r="D62" s="105"/>
      <c r="E62" s="105"/>
      <c r="F62" s="105"/>
      <c r="G62" s="105"/>
      <c r="H62" s="105"/>
      <c r="I62" s="105"/>
      <c r="J62" s="105"/>
      <c r="K62" s="105"/>
      <c r="L62" s="105"/>
      <c r="M62" s="105"/>
      <c r="N62" s="105"/>
      <c r="O62" s="105"/>
      <c r="P62" s="105"/>
      <c r="Q62" s="105"/>
      <c r="R62" s="106"/>
    </row>
    <row r="63" spans="1:18" s="5" customFormat="1">
      <c r="A63" s="119"/>
      <c r="B63" s="106"/>
      <c r="C63" s="106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05"/>
      <c r="P63" s="105"/>
      <c r="Q63" s="105"/>
      <c r="R63" s="106"/>
    </row>
    <row r="64" spans="1:18" s="5" customFormat="1">
      <c r="A64" s="119"/>
      <c r="B64" s="106"/>
      <c r="C64" s="106"/>
      <c r="D64" s="105"/>
      <c r="E64" s="105"/>
      <c r="F64" s="105"/>
      <c r="G64" s="105"/>
      <c r="H64" s="105"/>
      <c r="I64" s="105"/>
      <c r="J64" s="105"/>
      <c r="K64" s="105"/>
      <c r="L64" s="105"/>
      <c r="M64" s="105"/>
      <c r="N64" s="105"/>
      <c r="O64" s="105"/>
      <c r="P64" s="105"/>
      <c r="Q64" s="105"/>
      <c r="R64" s="106"/>
    </row>
    <row r="65" spans="1:18" s="5" customFormat="1">
      <c r="A65" s="119"/>
      <c r="B65" s="106"/>
      <c r="C65" s="106"/>
      <c r="D65" s="105"/>
      <c r="E65" s="105"/>
      <c r="F65" s="105"/>
      <c r="G65" s="105"/>
      <c r="H65" s="105"/>
      <c r="I65" s="105"/>
      <c r="J65" s="105"/>
      <c r="K65" s="105"/>
      <c r="L65" s="105"/>
      <c r="M65" s="105"/>
      <c r="N65" s="105"/>
      <c r="O65" s="105"/>
      <c r="P65" s="105"/>
      <c r="Q65" s="105"/>
      <c r="R65" s="106"/>
    </row>
    <row r="66" spans="1:18" s="5" customFormat="1">
      <c r="A66" s="119"/>
      <c r="B66" s="106"/>
      <c r="C66" s="106"/>
      <c r="D66" s="105"/>
      <c r="E66" s="105"/>
      <c r="F66" s="105"/>
      <c r="G66" s="105"/>
      <c r="H66" s="105"/>
      <c r="I66" s="105"/>
      <c r="J66" s="105"/>
      <c r="K66" s="105"/>
      <c r="L66" s="105"/>
      <c r="M66" s="105"/>
      <c r="N66" s="105"/>
      <c r="O66" s="105"/>
      <c r="P66" s="105"/>
      <c r="Q66" s="105"/>
      <c r="R66" s="106"/>
    </row>
    <row r="67" spans="1:18" s="5" customFormat="1">
      <c r="A67" s="119"/>
      <c r="B67" s="106"/>
      <c r="C67" s="106"/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O67" s="105"/>
      <c r="P67" s="105"/>
      <c r="Q67" s="105"/>
      <c r="R67" s="106"/>
    </row>
    <row r="68" spans="1:18" s="5" customFormat="1">
      <c r="A68" s="119"/>
      <c r="B68" s="106"/>
      <c r="C68" s="106"/>
      <c r="D68" s="105"/>
      <c r="E68" s="105"/>
      <c r="F68" s="105"/>
      <c r="G68" s="105"/>
      <c r="H68" s="105"/>
      <c r="I68" s="105"/>
      <c r="J68" s="105"/>
      <c r="K68" s="105"/>
      <c r="L68" s="105"/>
      <c r="M68" s="105"/>
      <c r="N68" s="105"/>
      <c r="O68" s="105"/>
      <c r="P68" s="105"/>
      <c r="Q68" s="105"/>
      <c r="R68" s="106"/>
    </row>
    <row r="69" spans="1:18" s="5" customFormat="1">
      <c r="A69" s="119"/>
      <c r="B69" s="106"/>
      <c r="C69" s="106"/>
      <c r="D69" s="105"/>
      <c r="E69" s="105"/>
      <c r="F69" s="105"/>
      <c r="G69" s="105"/>
      <c r="H69" s="105"/>
      <c r="I69" s="105"/>
      <c r="J69" s="105"/>
      <c r="K69" s="105"/>
      <c r="L69" s="105"/>
      <c r="M69" s="105"/>
      <c r="N69" s="105"/>
      <c r="O69" s="105"/>
      <c r="P69" s="105"/>
      <c r="Q69" s="105"/>
      <c r="R69" s="106"/>
    </row>
    <row r="70" spans="1:18" s="5" customFormat="1">
      <c r="A70" s="119"/>
      <c r="B70" s="106"/>
      <c r="C70" s="106"/>
      <c r="D70" s="105"/>
      <c r="E70" s="105"/>
      <c r="F70" s="105"/>
      <c r="G70" s="105"/>
      <c r="H70" s="105"/>
      <c r="I70" s="105"/>
      <c r="J70" s="105"/>
      <c r="K70" s="105"/>
      <c r="L70" s="105"/>
      <c r="M70" s="105"/>
      <c r="N70" s="105"/>
      <c r="O70" s="105"/>
      <c r="P70" s="105"/>
      <c r="Q70" s="105"/>
      <c r="R70" s="106"/>
    </row>
    <row r="71" spans="1:18" s="5" customFormat="1">
      <c r="A71" s="119"/>
      <c r="B71" s="106"/>
      <c r="C71" s="106"/>
      <c r="D71" s="105"/>
      <c r="E71" s="105"/>
      <c r="F71" s="105"/>
      <c r="G71" s="105"/>
      <c r="H71" s="105"/>
      <c r="I71" s="105"/>
      <c r="J71" s="105"/>
      <c r="K71" s="105"/>
      <c r="L71" s="105"/>
      <c r="M71" s="105"/>
      <c r="N71" s="105"/>
      <c r="O71" s="105"/>
      <c r="P71" s="105"/>
      <c r="Q71" s="105"/>
      <c r="R71" s="106"/>
    </row>
    <row r="72" spans="1:18" s="5" customFormat="1">
      <c r="A72" s="119"/>
      <c r="B72" s="106"/>
      <c r="C72" s="106"/>
      <c r="D72" s="105"/>
      <c r="E72" s="105"/>
      <c r="F72" s="105"/>
      <c r="G72" s="105"/>
      <c r="H72" s="105"/>
      <c r="I72" s="105"/>
      <c r="J72" s="105"/>
      <c r="K72" s="105"/>
      <c r="L72" s="105"/>
      <c r="M72" s="105"/>
      <c r="N72" s="105"/>
      <c r="O72" s="105"/>
      <c r="P72" s="105"/>
      <c r="Q72" s="105"/>
      <c r="R72" s="106"/>
    </row>
    <row r="73" spans="1:18" s="5" customFormat="1">
      <c r="A73" s="119"/>
      <c r="B73" s="106"/>
      <c r="C73" s="106"/>
      <c r="D73" s="105"/>
      <c r="E73" s="105"/>
      <c r="F73" s="105"/>
      <c r="G73" s="105"/>
      <c r="H73" s="105"/>
      <c r="I73" s="105"/>
      <c r="J73" s="105"/>
      <c r="K73" s="105"/>
      <c r="L73" s="105"/>
      <c r="M73" s="105"/>
      <c r="N73" s="105"/>
      <c r="O73" s="105"/>
      <c r="P73" s="105"/>
      <c r="Q73" s="105"/>
      <c r="R73" s="106"/>
    </row>
    <row r="74" spans="1:18" s="5" customFormat="1">
      <c r="A74" s="119"/>
      <c r="B74" s="106"/>
      <c r="C74" s="106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  <c r="O74" s="105"/>
      <c r="P74" s="105"/>
      <c r="Q74" s="105"/>
      <c r="R74" s="106"/>
    </row>
    <row r="75" spans="1:18" s="5" customFormat="1">
      <c r="A75" s="119"/>
      <c r="B75" s="106"/>
      <c r="C75" s="106"/>
      <c r="D75" s="105"/>
      <c r="E75" s="105"/>
      <c r="F75" s="105"/>
      <c r="G75" s="105"/>
      <c r="H75" s="105"/>
      <c r="I75" s="105"/>
      <c r="J75" s="105"/>
      <c r="K75" s="105"/>
      <c r="L75" s="105"/>
      <c r="M75" s="105"/>
      <c r="N75" s="105"/>
      <c r="O75" s="105"/>
      <c r="P75" s="105"/>
      <c r="Q75" s="105"/>
      <c r="R75" s="106"/>
    </row>
    <row r="76" spans="1:18" s="5" customFormat="1">
      <c r="A76" s="119"/>
      <c r="B76" s="106"/>
      <c r="C76" s="106"/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  <c r="P76" s="105"/>
      <c r="Q76" s="105"/>
      <c r="R76" s="106"/>
    </row>
    <row r="77" spans="1:18" s="5" customFormat="1">
      <c r="A77" s="119"/>
      <c r="B77" s="106"/>
      <c r="C77" s="106"/>
      <c r="D77" s="105"/>
      <c r="E77" s="105"/>
      <c r="F77" s="105"/>
      <c r="G77" s="105"/>
      <c r="H77" s="105"/>
      <c r="I77" s="105"/>
      <c r="J77" s="105"/>
      <c r="K77" s="105"/>
      <c r="L77" s="105"/>
      <c r="M77" s="105"/>
      <c r="N77" s="105"/>
      <c r="O77" s="105"/>
      <c r="P77" s="105"/>
      <c r="Q77" s="105"/>
      <c r="R77" s="106"/>
    </row>
    <row r="78" spans="1:18" s="5" customFormat="1">
      <c r="A78" s="119"/>
      <c r="B78" s="106"/>
      <c r="C78" s="106"/>
      <c r="D78" s="105"/>
      <c r="E78" s="105"/>
      <c r="F78" s="105"/>
      <c r="G78" s="105"/>
      <c r="H78" s="105"/>
      <c r="I78" s="105"/>
      <c r="J78" s="105"/>
      <c r="K78" s="105"/>
      <c r="L78" s="105"/>
      <c r="M78" s="105"/>
      <c r="N78" s="105"/>
      <c r="O78" s="105"/>
      <c r="P78" s="105"/>
      <c r="Q78" s="105"/>
      <c r="R78" s="106"/>
    </row>
    <row r="79" spans="1:18" s="5" customFormat="1">
      <c r="A79" s="119"/>
      <c r="B79" s="106"/>
      <c r="C79" s="106"/>
      <c r="D79" s="105"/>
      <c r="E79" s="105"/>
      <c r="F79" s="105"/>
      <c r="G79" s="105"/>
      <c r="H79" s="105"/>
      <c r="I79" s="105"/>
      <c r="J79" s="105"/>
      <c r="K79" s="105"/>
      <c r="L79" s="105"/>
      <c r="M79" s="105"/>
      <c r="N79" s="105"/>
      <c r="O79" s="105"/>
      <c r="P79" s="105"/>
      <c r="Q79" s="105"/>
      <c r="R79" s="106"/>
    </row>
    <row r="80" spans="1:18" s="5" customFormat="1">
      <c r="A80" s="119"/>
      <c r="B80" s="106"/>
      <c r="C80" s="106"/>
      <c r="D80" s="105"/>
      <c r="E80" s="105"/>
      <c r="F80" s="105"/>
      <c r="G80" s="105"/>
      <c r="H80" s="105"/>
      <c r="I80" s="105"/>
      <c r="J80" s="105"/>
      <c r="K80" s="105"/>
      <c r="L80" s="105"/>
      <c r="M80" s="105"/>
      <c r="N80" s="105"/>
      <c r="O80" s="105"/>
      <c r="P80" s="105"/>
      <c r="Q80" s="105"/>
      <c r="R80" s="106"/>
    </row>
    <row r="81" spans="1:18" s="5" customFormat="1">
      <c r="A81" s="119"/>
      <c r="B81" s="106"/>
      <c r="C81" s="106"/>
      <c r="D81" s="105"/>
      <c r="E81" s="105"/>
      <c r="F81" s="105"/>
      <c r="G81" s="105"/>
      <c r="H81" s="105"/>
      <c r="I81" s="105"/>
      <c r="J81" s="105"/>
      <c r="K81" s="105"/>
      <c r="L81" s="105"/>
      <c r="M81" s="105"/>
      <c r="N81" s="105"/>
      <c r="O81" s="105"/>
      <c r="P81" s="105"/>
      <c r="Q81" s="105"/>
      <c r="R81" s="106"/>
    </row>
    <row r="82" spans="1:18" s="5" customFormat="1">
      <c r="A82" s="119"/>
      <c r="B82" s="106"/>
      <c r="C82" s="106"/>
      <c r="D82" s="105"/>
      <c r="E82" s="105"/>
      <c r="F82" s="105"/>
      <c r="G82" s="105"/>
      <c r="H82" s="105"/>
      <c r="I82" s="105"/>
      <c r="J82" s="105"/>
      <c r="K82" s="105"/>
      <c r="L82" s="105"/>
      <c r="M82" s="105"/>
      <c r="N82" s="105"/>
      <c r="O82" s="105"/>
      <c r="P82" s="105"/>
      <c r="Q82" s="105"/>
      <c r="R82" s="106"/>
    </row>
    <row r="83" spans="1:18" s="5" customFormat="1">
      <c r="A83" s="119"/>
      <c r="B83" s="106"/>
      <c r="C83" s="106"/>
      <c r="D83" s="105"/>
      <c r="E83" s="105"/>
      <c r="F83" s="105"/>
      <c r="G83" s="105"/>
      <c r="H83" s="105"/>
      <c r="I83" s="105"/>
      <c r="J83" s="105"/>
      <c r="K83" s="105"/>
      <c r="L83" s="105"/>
      <c r="M83" s="105"/>
      <c r="N83" s="105"/>
      <c r="O83" s="105"/>
      <c r="P83" s="105"/>
      <c r="Q83" s="105"/>
      <c r="R83" s="106"/>
    </row>
    <row r="84" spans="1:18" s="5" customFormat="1">
      <c r="A84" s="119"/>
      <c r="B84" s="106"/>
      <c r="C84" s="106"/>
      <c r="D84" s="105"/>
      <c r="E84" s="105"/>
      <c r="F84" s="105"/>
      <c r="G84" s="105"/>
      <c r="H84" s="105"/>
      <c r="I84" s="105"/>
      <c r="J84" s="105"/>
      <c r="K84" s="105"/>
      <c r="L84" s="105"/>
      <c r="M84" s="105"/>
      <c r="N84" s="105"/>
      <c r="O84" s="105"/>
      <c r="P84" s="105"/>
      <c r="Q84" s="105"/>
      <c r="R84" s="106"/>
    </row>
    <row r="85" spans="1:18" s="5" customFormat="1">
      <c r="A85" s="119"/>
      <c r="B85" s="106"/>
      <c r="C85" s="106"/>
      <c r="D85" s="105"/>
      <c r="E85" s="105"/>
      <c r="F85" s="105"/>
      <c r="G85" s="105"/>
      <c r="H85" s="105"/>
      <c r="I85" s="105"/>
      <c r="J85" s="105"/>
      <c r="K85" s="105"/>
      <c r="L85" s="105"/>
      <c r="M85" s="105"/>
      <c r="N85" s="105"/>
      <c r="O85" s="105"/>
      <c r="P85" s="105"/>
      <c r="Q85" s="105"/>
      <c r="R85" s="106"/>
    </row>
    <row r="86" spans="1:18" s="5" customFormat="1">
      <c r="A86" s="119"/>
      <c r="B86" s="106"/>
      <c r="C86" s="106"/>
      <c r="D86" s="105"/>
      <c r="E86" s="105"/>
      <c r="F86" s="105"/>
      <c r="G86" s="105"/>
      <c r="H86" s="105"/>
      <c r="I86" s="105"/>
      <c r="J86" s="105"/>
      <c r="K86" s="105"/>
      <c r="L86" s="105"/>
      <c r="M86" s="105"/>
      <c r="N86" s="105"/>
      <c r="O86" s="105"/>
      <c r="P86" s="105"/>
      <c r="Q86" s="105"/>
      <c r="R86" s="106"/>
    </row>
    <row r="87" spans="1:18" s="5" customFormat="1">
      <c r="A87" s="119"/>
      <c r="B87" s="106"/>
      <c r="C87" s="106"/>
      <c r="D87" s="105"/>
      <c r="E87" s="105"/>
      <c r="F87" s="105"/>
      <c r="G87" s="105"/>
      <c r="H87" s="105"/>
      <c r="I87" s="105"/>
      <c r="J87" s="105"/>
      <c r="K87" s="105"/>
      <c r="L87" s="105"/>
      <c r="M87" s="105"/>
      <c r="N87" s="105"/>
      <c r="O87" s="105"/>
      <c r="P87" s="105"/>
      <c r="Q87" s="105"/>
      <c r="R87" s="106"/>
    </row>
    <row r="88" spans="1:18" s="5" customFormat="1">
      <c r="A88" s="119"/>
      <c r="B88" s="106"/>
      <c r="C88" s="106"/>
      <c r="D88" s="105"/>
      <c r="E88" s="105"/>
      <c r="F88" s="105"/>
      <c r="G88" s="105"/>
      <c r="H88" s="105"/>
      <c r="I88" s="105"/>
      <c r="J88" s="105"/>
      <c r="K88" s="105"/>
      <c r="L88" s="105"/>
      <c r="M88" s="105"/>
      <c r="N88" s="105"/>
      <c r="O88" s="105"/>
      <c r="P88" s="105"/>
      <c r="Q88" s="105"/>
      <c r="R88" s="106"/>
    </row>
    <row r="89" spans="1:18" s="5" customFormat="1">
      <c r="A89" s="119"/>
      <c r="B89" s="106"/>
      <c r="C89" s="106"/>
      <c r="D89" s="105"/>
      <c r="E89" s="105"/>
      <c r="F89" s="105"/>
      <c r="G89" s="105"/>
      <c r="H89" s="105"/>
      <c r="I89" s="105"/>
      <c r="J89" s="105"/>
      <c r="K89" s="105"/>
      <c r="L89" s="105"/>
      <c r="M89" s="105"/>
      <c r="N89" s="105"/>
      <c r="O89" s="105"/>
      <c r="P89" s="105"/>
      <c r="Q89" s="105"/>
      <c r="R89" s="106"/>
    </row>
    <row r="90" spans="1:18" s="5" customFormat="1">
      <c r="A90" s="119"/>
      <c r="B90" s="106"/>
      <c r="C90" s="106"/>
      <c r="D90" s="105"/>
      <c r="E90" s="105"/>
      <c r="F90" s="105"/>
      <c r="G90" s="105"/>
      <c r="H90" s="105"/>
      <c r="I90" s="105"/>
      <c r="J90" s="105"/>
      <c r="K90" s="105"/>
      <c r="L90" s="105"/>
      <c r="M90" s="105"/>
      <c r="N90" s="105"/>
      <c r="O90" s="105"/>
      <c r="P90" s="105"/>
      <c r="Q90" s="105"/>
      <c r="R90" s="106"/>
    </row>
    <row r="91" spans="1:18" s="5" customFormat="1">
      <c r="A91" s="119"/>
      <c r="B91" s="106"/>
      <c r="C91" s="106"/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O91" s="105"/>
      <c r="P91" s="105"/>
      <c r="Q91" s="105"/>
      <c r="R91" s="106"/>
    </row>
    <row r="92" spans="1:18" s="5" customFormat="1">
      <c r="A92" s="119"/>
      <c r="B92" s="106"/>
      <c r="C92" s="106"/>
      <c r="D92" s="105"/>
      <c r="E92" s="105"/>
      <c r="F92" s="105"/>
      <c r="G92" s="105"/>
      <c r="H92" s="105"/>
      <c r="I92" s="105"/>
      <c r="J92" s="105"/>
      <c r="K92" s="105"/>
      <c r="L92" s="105"/>
      <c r="M92" s="105"/>
      <c r="N92" s="105"/>
      <c r="O92" s="105"/>
      <c r="P92" s="105"/>
      <c r="Q92" s="105"/>
      <c r="R92" s="106"/>
    </row>
    <row r="93" spans="1:18" s="5" customFormat="1">
      <c r="A93" s="119"/>
      <c r="B93" s="106"/>
      <c r="C93" s="106"/>
      <c r="D93" s="105"/>
      <c r="E93" s="105"/>
      <c r="F93" s="105"/>
      <c r="G93" s="105"/>
      <c r="H93" s="105"/>
      <c r="I93" s="105"/>
      <c r="J93" s="105"/>
      <c r="K93" s="105"/>
      <c r="L93" s="105"/>
      <c r="M93" s="105"/>
      <c r="N93" s="105"/>
      <c r="O93" s="105"/>
      <c r="P93" s="105"/>
      <c r="Q93" s="105"/>
      <c r="R93" s="106"/>
    </row>
    <row r="94" spans="1:18" s="5" customFormat="1">
      <c r="A94" s="119"/>
      <c r="B94" s="106"/>
      <c r="C94" s="106"/>
      <c r="D94" s="105"/>
      <c r="E94" s="105"/>
      <c r="F94" s="105"/>
      <c r="G94" s="105"/>
      <c r="H94" s="105"/>
      <c r="I94" s="105"/>
      <c r="J94" s="105"/>
      <c r="K94" s="105"/>
      <c r="L94" s="105"/>
      <c r="M94" s="105"/>
      <c r="N94" s="105"/>
      <c r="O94" s="105"/>
      <c r="P94" s="105"/>
      <c r="Q94" s="105"/>
      <c r="R94" s="106"/>
    </row>
    <row r="95" spans="1:18" s="5" customFormat="1">
      <c r="A95" s="119"/>
      <c r="B95" s="106"/>
      <c r="C95" s="106"/>
      <c r="D95" s="105"/>
      <c r="E95" s="105"/>
      <c r="F95" s="105"/>
      <c r="G95" s="105"/>
      <c r="H95" s="105"/>
      <c r="I95" s="105"/>
      <c r="J95" s="105"/>
      <c r="K95" s="105"/>
      <c r="L95" s="105"/>
      <c r="M95" s="105"/>
      <c r="N95" s="105"/>
      <c r="O95" s="105"/>
      <c r="P95" s="105"/>
      <c r="Q95" s="105"/>
      <c r="R95" s="106"/>
    </row>
    <row r="96" spans="1:18" s="5" customFormat="1">
      <c r="A96" s="119"/>
      <c r="B96" s="106"/>
      <c r="C96" s="106"/>
      <c r="D96" s="105"/>
      <c r="E96" s="105"/>
      <c r="F96" s="105"/>
      <c r="G96" s="105"/>
      <c r="H96" s="105"/>
      <c r="I96" s="105"/>
      <c r="J96" s="105"/>
      <c r="K96" s="105"/>
      <c r="L96" s="105"/>
      <c r="M96" s="105"/>
      <c r="N96" s="105"/>
      <c r="O96" s="105"/>
      <c r="P96" s="105"/>
      <c r="Q96" s="105"/>
      <c r="R96" s="106"/>
    </row>
    <row r="97" spans="1:18" s="5" customFormat="1">
      <c r="A97" s="119"/>
      <c r="B97" s="106"/>
      <c r="C97" s="106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  <c r="O97" s="105"/>
      <c r="P97" s="105"/>
      <c r="Q97" s="105"/>
      <c r="R97" s="106"/>
    </row>
    <row r="98" spans="1:18" s="5" customFormat="1">
      <c r="A98" s="119"/>
      <c r="B98" s="106"/>
      <c r="C98" s="106"/>
      <c r="D98" s="105"/>
      <c r="E98" s="105"/>
      <c r="F98" s="105"/>
      <c r="G98" s="105"/>
      <c r="H98" s="105"/>
      <c r="I98" s="105"/>
      <c r="J98" s="105"/>
      <c r="K98" s="105"/>
      <c r="L98" s="105"/>
      <c r="M98" s="105"/>
      <c r="N98" s="105"/>
      <c r="O98" s="105"/>
      <c r="P98" s="105"/>
      <c r="Q98" s="105"/>
      <c r="R98" s="106"/>
    </row>
    <row r="99" spans="1:18" s="5" customFormat="1">
      <c r="A99" s="119"/>
      <c r="B99" s="106"/>
      <c r="C99" s="106"/>
      <c r="D99" s="105"/>
      <c r="E99" s="105"/>
      <c r="F99" s="105"/>
      <c r="G99" s="105"/>
      <c r="H99" s="105"/>
      <c r="I99" s="105"/>
      <c r="J99" s="105"/>
      <c r="K99" s="105"/>
      <c r="L99" s="105"/>
      <c r="M99" s="105"/>
      <c r="N99" s="105"/>
      <c r="O99" s="105"/>
      <c r="P99" s="105"/>
      <c r="Q99" s="105"/>
      <c r="R99" s="106"/>
    </row>
    <row r="100" spans="1:18" s="5" customFormat="1">
      <c r="A100" s="119"/>
      <c r="B100" s="106"/>
      <c r="C100" s="106"/>
      <c r="D100" s="105"/>
      <c r="E100" s="105"/>
      <c r="F100" s="105"/>
      <c r="G100" s="105"/>
      <c r="H100" s="105"/>
      <c r="I100" s="105"/>
      <c r="J100" s="105"/>
      <c r="K100" s="105"/>
      <c r="L100" s="105"/>
      <c r="M100" s="105"/>
      <c r="N100" s="105"/>
      <c r="O100" s="105"/>
      <c r="P100" s="105"/>
      <c r="Q100" s="105"/>
      <c r="R100" s="106"/>
    </row>
    <row r="101" spans="1:18" s="5" customFormat="1">
      <c r="A101" s="119"/>
      <c r="B101" s="106"/>
      <c r="C101" s="106"/>
      <c r="D101" s="105"/>
      <c r="E101" s="105"/>
      <c r="F101" s="105"/>
      <c r="G101" s="105"/>
      <c r="H101" s="105"/>
      <c r="I101" s="105"/>
      <c r="J101" s="105"/>
      <c r="K101" s="105"/>
      <c r="L101" s="105"/>
      <c r="M101" s="105"/>
      <c r="N101" s="105"/>
      <c r="O101" s="105"/>
      <c r="P101" s="105"/>
      <c r="Q101" s="105"/>
      <c r="R101" s="106"/>
    </row>
    <row r="102" spans="1:18" s="5" customFormat="1">
      <c r="A102" s="119"/>
      <c r="B102" s="106"/>
      <c r="C102" s="106"/>
      <c r="D102" s="105"/>
      <c r="E102" s="105"/>
      <c r="F102" s="105"/>
      <c r="G102" s="105"/>
      <c r="H102" s="105"/>
      <c r="I102" s="105"/>
      <c r="J102" s="105"/>
      <c r="K102" s="105"/>
      <c r="L102" s="105"/>
      <c r="M102" s="105"/>
      <c r="N102" s="105"/>
      <c r="O102" s="105"/>
      <c r="P102" s="105"/>
      <c r="Q102" s="105"/>
      <c r="R102" s="106"/>
    </row>
    <row r="103" spans="1:18" s="5" customFormat="1">
      <c r="A103" s="119"/>
      <c r="B103" s="106"/>
      <c r="C103" s="106"/>
      <c r="D103" s="105"/>
      <c r="E103" s="105"/>
      <c r="F103" s="105"/>
      <c r="G103" s="105"/>
      <c r="H103" s="105"/>
      <c r="I103" s="105"/>
      <c r="J103" s="105"/>
      <c r="K103" s="105"/>
      <c r="L103" s="105"/>
      <c r="M103" s="105"/>
      <c r="N103" s="105"/>
      <c r="O103" s="105"/>
      <c r="P103" s="105"/>
      <c r="Q103" s="105"/>
      <c r="R103" s="106"/>
    </row>
    <row r="104" spans="1:18" s="5" customFormat="1">
      <c r="A104" s="119"/>
      <c r="B104" s="106"/>
      <c r="C104" s="106"/>
      <c r="D104" s="105"/>
      <c r="E104" s="105"/>
      <c r="F104" s="105"/>
      <c r="G104" s="105"/>
      <c r="H104" s="105"/>
      <c r="I104" s="105"/>
      <c r="J104" s="105"/>
      <c r="K104" s="105"/>
      <c r="L104" s="105"/>
      <c r="M104" s="105"/>
      <c r="N104" s="105"/>
      <c r="O104" s="105"/>
      <c r="P104" s="105"/>
      <c r="Q104" s="105"/>
      <c r="R104" s="106"/>
    </row>
    <row r="105" spans="1:18" s="5" customFormat="1">
      <c r="A105" s="119"/>
      <c r="B105" s="106"/>
      <c r="C105" s="106"/>
      <c r="D105" s="105"/>
      <c r="E105" s="105"/>
      <c r="F105" s="105"/>
      <c r="G105" s="105"/>
      <c r="H105" s="105"/>
      <c r="I105" s="105"/>
      <c r="J105" s="105"/>
      <c r="K105" s="105"/>
      <c r="L105" s="105"/>
      <c r="M105" s="105"/>
      <c r="N105" s="105"/>
      <c r="O105" s="105"/>
      <c r="P105" s="105"/>
      <c r="Q105" s="105"/>
      <c r="R105" s="106"/>
    </row>
    <row r="106" spans="1:18" s="5" customFormat="1">
      <c r="A106" s="119"/>
      <c r="B106" s="106"/>
      <c r="C106" s="106"/>
      <c r="D106" s="105"/>
      <c r="E106" s="105"/>
      <c r="F106" s="105"/>
      <c r="G106" s="105"/>
      <c r="H106" s="105"/>
      <c r="I106" s="105"/>
      <c r="J106" s="105"/>
      <c r="K106" s="105"/>
      <c r="L106" s="105"/>
      <c r="M106" s="105"/>
      <c r="N106" s="105"/>
      <c r="O106" s="105"/>
      <c r="P106" s="105"/>
      <c r="Q106" s="105"/>
      <c r="R106" s="106"/>
    </row>
    <row r="107" spans="1:18" s="5" customFormat="1">
      <c r="A107" s="119"/>
      <c r="B107" s="106"/>
      <c r="C107" s="106"/>
      <c r="D107" s="105"/>
      <c r="E107" s="105"/>
      <c r="F107" s="105"/>
      <c r="G107" s="105"/>
      <c r="H107" s="105"/>
      <c r="I107" s="105"/>
      <c r="J107" s="105"/>
      <c r="K107" s="105"/>
      <c r="L107" s="105"/>
      <c r="M107" s="105"/>
      <c r="N107" s="105"/>
      <c r="O107" s="105"/>
      <c r="P107" s="105"/>
      <c r="Q107" s="105"/>
      <c r="R107" s="106"/>
    </row>
    <row r="108" spans="1:18" s="5" customFormat="1">
      <c r="A108" s="119"/>
      <c r="B108" s="106"/>
      <c r="C108" s="106"/>
      <c r="D108" s="105"/>
      <c r="E108" s="105"/>
      <c r="F108" s="105"/>
      <c r="G108" s="105"/>
      <c r="H108" s="105"/>
      <c r="I108" s="105"/>
      <c r="J108" s="105"/>
      <c r="K108" s="105"/>
      <c r="L108" s="105"/>
      <c r="M108" s="105"/>
      <c r="N108" s="105"/>
      <c r="O108" s="105"/>
      <c r="P108" s="105"/>
      <c r="Q108" s="105"/>
      <c r="R108" s="106"/>
    </row>
    <row r="109" spans="1:18" s="5" customFormat="1">
      <c r="A109" s="119"/>
      <c r="B109" s="106"/>
      <c r="C109" s="106"/>
      <c r="D109" s="105"/>
      <c r="E109" s="105"/>
      <c r="F109" s="105"/>
      <c r="G109" s="105"/>
      <c r="H109" s="105"/>
      <c r="I109" s="105"/>
      <c r="J109" s="105"/>
      <c r="K109" s="105"/>
      <c r="L109" s="105"/>
      <c r="M109" s="105"/>
      <c r="N109" s="105"/>
      <c r="O109" s="105"/>
      <c r="P109" s="105"/>
      <c r="Q109" s="105"/>
      <c r="R109" s="106"/>
    </row>
    <row r="110" spans="1:18" s="5" customFormat="1">
      <c r="A110" s="119"/>
      <c r="B110" s="106"/>
      <c r="C110" s="106"/>
      <c r="D110" s="105"/>
      <c r="E110" s="105"/>
      <c r="F110" s="105"/>
      <c r="G110" s="105"/>
      <c r="H110" s="105"/>
      <c r="I110" s="105"/>
      <c r="J110" s="105"/>
      <c r="K110" s="105"/>
      <c r="L110" s="105"/>
      <c r="M110" s="105"/>
      <c r="N110" s="105"/>
      <c r="O110" s="105"/>
      <c r="P110" s="105"/>
      <c r="Q110" s="105"/>
      <c r="R110" s="106"/>
    </row>
    <row r="111" spans="1:18" s="5" customFormat="1">
      <c r="A111" s="119"/>
      <c r="B111" s="106"/>
      <c r="C111" s="106"/>
      <c r="D111" s="105"/>
      <c r="E111" s="105"/>
      <c r="F111" s="105"/>
      <c r="G111" s="105"/>
      <c r="H111" s="105"/>
      <c r="I111" s="105"/>
      <c r="J111" s="105"/>
      <c r="K111" s="105"/>
      <c r="L111" s="105"/>
      <c r="M111" s="105"/>
      <c r="N111" s="105"/>
      <c r="O111" s="105"/>
      <c r="P111" s="105"/>
      <c r="Q111" s="105"/>
      <c r="R111" s="106"/>
    </row>
    <row r="112" spans="1:18" s="5" customFormat="1">
      <c r="A112" s="119"/>
      <c r="B112" s="106"/>
      <c r="C112" s="106"/>
      <c r="D112" s="105"/>
      <c r="E112" s="105"/>
      <c r="F112" s="105"/>
      <c r="G112" s="105"/>
      <c r="H112" s="105"/>
      <c r="I112" s="105"/>
      <c r="J112" s="105"/>
      <c r="K112" s="105"/>
      <c r="L112" s="105"/>
      <c r="M112" s="105"/>
      <c r="N112" s="105"/>
      <c r="O112" s="105"/>
      <c r="P112" s="105"/>
      <c r="Q112" s="105"/>
      <c r="R112" s="106"/>
    </row>
    <row r="113" spans="1:18" s="5" customFormat="1">
      <c r="A113" s="119"/>
      <c r="B113" s="106"/>
      <c r="C113" s="106"/>
      <c r="D113" s="105"/>
      <c r="E113" s="105"/>
      <c r="F113" s="105"/>
      <c r="G113" s="105"/>
      <c r="H113" s="105"/>
      <c r="I113" s="105"/>
      <c r="J113" s="105"/>
      <c r="K113" s="105"/>
      <c r="L113" s="105"/>
      <c r="M113" s="105"/>
      <c r="N113" s="105"/>
      <c r="O113" s="105"/>
      <c r="P113" s="105"/>
      <c r="Q113" s="105"/>
      <c r="R113" s="106"/>
    </row>
    <row r="114" spans="1:18" s="5" customFormat="1">
      <c r="A114" s="119"/>
      <c r="B114" s="106"/>
      <c r="C114" s="106"/>
      <c r="D114" s="105"/>
      <c r="E114" s="105"/>
      <c r="F114" s="105"/>
      <c r="G114" s="105"/>
      <c r="H114" s="105"/>
      <c r="I114" s="105"/>
      <c r="J114" s="105"/>
      <c r="K114" s="105"/>
      <c r="L114" s="105"/>
      <c r="M114" s="105"/>
      <c r="N114" s="105"/>
      <c r="O114" s="105"/>
      <c r="P114" s="105"/>
      <c r="Q114" s="105"/>
      <c r="R114" s="106"/>
    </row>
    <row r="115" spans="1:18" s="5" customFormat="1">
      <c r="A115" s="119"/>
      <c r="B115" s="106"/>
      <c r="C115" s="106"/>
      <c r="D115" s="105"/>
      <c r="E115" s="105"/>
      <c r="F115" s="105"/>
      <c r="G115" s="105"/>
      <c r="H115" s="105"/>
      <c r="I115" s="105"/>
      <c r="J115" s="105"/>
      <c r="K115" s="105"/>
      <c r="L115" s="105"/>
      <c r="M115" s="105"/>
      <c r="N115" s="105"/>
      <c r="O115" s="105"/>
      <c r="P115" s="105"/>
      <c r="Q115" s="105"/>
      <c r="R115" s="106"/>
    </row>
    <row r="116" spans="1:18" s="5" customFormat="1">
      <c r="A116" s="119"/>
      <c r="B116" s="106"/>
      <c r="C116" s="106"/>
      <c r="D116" s="105"/>
      <c r="E116" s="105"/>
      <c r="F116" s="105"/>
      <c r="G116" s="105"/>
      <c r="H116" s="105"/>
      <c r="I116" s="105"/>
      <c r="J116" s="105"/>
      <c r="K116" s="105"/>
      <c r="L116" s="105"/>
      <c r="M116" s="105"/>
      <c r="N116" s="105"/>
      <c r="O116" s="105"/>
      <c r="P116" s="105"/>
      <c r="Q116" s="105"/>
      <c r="R116" s="106"/>
    </row>
    <row r="117" spans="1:18" s="5" customFormat="1">
      <c r="A117" s="119"/>
      <c r="B117" s="106"/>
      <c r="C117" s="106"/>
      <c r="D117" s="105"/>
      <c r="E117" s="105"/>
      <c r="F117" s="105"/>
      <c r="G117" s="105"/>
      <c r="H117" s="105"/>
      <c r="I117" s="105"/>
      <c r="J117" s="105"/>
      <c r="K117" s="105"/>
      <c r="L117" s="105"/>
      <c r="M117" s="105"/>
      <c r="N117" s="105"/>
      <c r="O117" s="105"/>
      <c r="P117" s="105"/>
      <c r="Q117" s="105"/>
      <c r="R117" s="106"/>
    </row>
    <row r="118" spans="1:18" s="5" customFormat="1">
      <c r="A118" s="119"/>
      <c r="B118" s="106"/>
      <c r="C118" s="106"/>
      <c r="D118" s="105"/>
      <c r="E118" s="105"/>
      <c r="F118" s="105"/>
      <c r="G118" s="105"/>
      <c r="H118" s="105"/>
      <c r="I118" s="105"/>
      <c r="J118" s="105"/>
      <c r="K118" s="105"/>
      <c r="L118" s="105"/>
      <c r="M118" s="105"/>
      <c r="N118" s="105"/>
      <c r="O118" s="105"/>
      <c r="P118" s="105"/>
      <c r="Q118" s="105"/>
      <c r="R118" s="106"/>
    </row>
    <row r="119" spans="1:18" s="5" customFormat="1">
      <c r="A119" s="119"/>
      <c r="B119" s="106"/>
      <c r="C119" s="106"/>
      <c r="D119" s="105"/>
      <c r="E119" s="105"/>
      <c r="F119" s="105"/>
      <c r="G119" s="105"/>
      <c r="H119" s="105"/>
      <c r="I119" s="105"/>
      <c r="J119" s="105"/>
      <c r="K119" s="105"/>
      <c r="L119" s="105"/>
      <c r="M119" s="105"/>
      <c r="N119" s="105"/>
      <c r="O119" s="105"/>
      <c r="P119" s="105"/>
      <c r="Q119" s="105"/>
      <c r="R119" s="106"/>
    </row>
    <row r="120" spans="1:18" s="5" customFormat="1">
      <c r="A120" s="119"/>
      <c r="B120" s="106"/>
      <c r="C120" s="106"/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  <c r="O120" s="105"/>
      <c r="P120" s="105"/>
      <c r="Q120" s="105"/>
      <c r="R120" s="106"/>
    </row>
    <row r="121" spans="1:18" s="5" customFormat="1">
      <c r="A121" s="119"/>
      <c r="B121" s="106"/>
      <c r="C121" s="106"/>
      <c r="D121" s="105"/>
      <c r="E121" s="105"/>
      <c r="F121" s="105"/>
      <c r="G121" s="105"/>
      <c r="H121" s="105"/>
      <c r="I121" s="105"/>
      <c r="J121" s="105"/>
      <c r="K121" s="105"/>
      <c r="L121" s="105"/>
      <c r="M121" s="105"/>
      <c r="N121" s="105"/>
      <c r="O121" s="105"/>
      <c r="P121" s="105"/>
      <c r="Q121" s="105"/>
      <c r="R121" s="106"/>
    </row>
    <row r="122" spans="1:18" s="5" customFormat="1">
      <c r="A122" s="119"/>
      <c r="B122" s="106"/>
      <c r="C122" s="106"/>
      <c r="D122" s="105"/>
      <c r="E122" s="105"/>
      <c r="F122" s="105"/>
      <c r="G122" s="105"/>
      <c r="H122" s="105"/>
      <c r="I122" s="105"/>
      <c r="J122" s="105"/>
      <c r="K122" s="105"/>
      <c r="L122" s="105"/>
      <c r="M122" s="105"/>
      <c r="N122" s="105"/>
      <c r="O122" s="105"/>
      <c r="P122" s="105"/>
      <c r="Q122" s="105"/>
      <c r="R122" s="106"/>
    </row>
    <row r="123" spans="1:18" s="5" customFormat="1">
      <c r="A123" s="119"/>
      <c r="B123" s="106"/>
      <c r="C123" s="106"/>
      <c r="D123" s="105"/>
      <c r="E123" s="105"/>
      <c r="F123" s="105"/>
      <c r="G123" s="105"/>
      <c r="H123" s="105"/>
      <c r="I123" s="105"/>
      <c r="J123" s="105"/>
      <c r="K123" s="105"/>
      <c r="L123" s="105"/>
      <c r="M123" s="105"/>
      <c r="N123" s="105"/>
      <c r="O123" s="105"/>
      <c r="P123" s="105"/>
      <c r="Q123" s="105"/>
      <c r="R123" s="106"/>
    </row>
    <row r="124" spans="1:18" s="5" customFormat="1">
      <c r="A124" s="119"/>
      <c r="B124" s="106"/>
      <c r="C124" s="106"/>
      <c r="D124" s="105"/>
      <c r="E124" s="105"/>
      <c r="F124" s="105"/>
      <c r="G124" s="105"/>
      <c r="H124" s="105"/>
      <c r="I124" s="105"/>
      <c r="J124" s="105"/>
      <c r="K124" s="105"/>
      <c r="L124" s="105"/>
      <c r="M124" s="105"/>
      <c r="N124" s="105"/>
      <c r="O124" s="105"/>
      <c r="P124" s="105"/>
      <c r="Q124" s="105"/>
      <c r="R124" s="106"/>
    </row>
    <row r="125" spans="1:18" s="5" customFormat="1">
      <c r="A125" s="119"/>
      <c r="B125" s="106"/>
      <c r="C125" s="106"/>
      <c r="D125" s="105"/>
      <c r="E125" s="105"/>
      <c r="F125" s="105"/>
      <c r="G125" s="105"/>
      <c r="H125" s="105"/>
      <c r="I125" s="105"/>
      <c r="J125" s="105"/>
      <c r="K125" s="105"/>
      <c r="L125" s="105"/>
      <c r="M125" s="105"/>
      <c r="N125" s="105"/>
      <c r="O125" s="105"/>
      <c r="P125" s="105"/>
      <c r="Q125" s="105"/>
      <c r="R125" s="106"/>
    </row>
    <row r="126" spans="1:18" s="5" customFormat="1">
      <c r="A126" s="119"/>
      <c r="B126" s="106"/>
      <c r="C126" s="106"/>
      <c r="D126" s="105"/>
      <c r="E126" s="105"/>
      <c r="F126" s="105"/>
      <c r="G126" s="105"/>
      <c r="H126" s="105"/>
      <c r="I126" s="105"/>
      <c r="J126" s="105"/>
      <c r="K126" s="105"/>
      <c r="L126" s="105"/>
      <c r="M126" s="105"/>
      <c r="N126" s="105"/>
      <c r="O126" s="105"/>
      <c r="P126" s="105"/>
      <c r="Q126" s="105"/>
      <c r="R126" s="106"/>
    </row>
    <row r="127" spans="1:18" s="5" customFormat="1">
      <c r="A127" s="119"/>
      <c r="B127" s="106"/>
      <c r="C127" s="106"/>
      <c r="D127" s="105"/>
      <c r="E127" s="105"/>
      <c r="F127" s="105"/>
      <c r="G127" s="105"/>
      <c r="H127" s="105"/>
      <c r="I127" s="105"/>
      <c r="J127" s="105"/>
      <c r="K127" s="105"/>
      <c r="L127" s="105"/>
      <c r="M127" s="105"/>
      <c r="N127" s="105"/>
      <c r="O127" s="105"/>
      <c r="P127" s="105"/>
      <c r="Q127" s="105"/>
      <c r="R127" s="106"/>
    </row>
    <row r="128" spans="1:18" s="5" customFormat="1">
      <c r="A128" s="119"/>
      <c r="B128" s="106"/>
      <c r="C128" s="106"/>
      <c r="D128" s="105"/>
      <c r="E128" s="105"/>
      <c r="F128" s="105"/>
      <c r="G128" s="105"/>
      <c r="H128" s="105"/>
      <c r="I128" s="105"/>
      <c r="J128" s="105"/>
      <c r="K128" s="105"/>
      <c r="L128" s="105"/>
      <c r="M128" s="105"/>
      <c r="N128" s="105"/>
      <c r="O128" s="105"/>
      <c r="P128" s="105"/>
      <c r="Q128" s="105"/>
      <c r="R128" s="106"/>
    </row>
    <row r="129" spans="1:18" s="5" customFormat="1">
      <c r="A129" s="119"/>
      <c r="B129" s="106"/>
      <c r="C129" s="106"/>
      <c r="D129" s="105"/>
      <c r="E129" s="105"/>
      <c r="F129" s="105"/>
      <c r="G129" s="105"/>
      <c r="H129" s="105"/>
      <c r="I129" s="105"/>
      <c r="J129" s="105"/>
      <c r="K129" s="105"/>
      <c r="L129" s="105"/>
      <c r="M129" s="105"/>
      <c r="N129" s="105"/>
      <c r="O129" s="105"/>
      <c r="P129" s="105"/>
      <c r="Q129" s="105"/>
      <c r="R129" s="106"/>
    </row>
    <row r="130" spans="1:18" s="5" customFormat="1">
      <c r="A130" s="119"/>
      <c r="B130" s="106"/>
      <c r="C130" s="106"/>
      <c r="D130" s="105"/>
      <c r="E130" s="105"/>
      <c r="F130" s="105"/>
      <c r="G130" s="105"/>
      <c r="H130" s="105"/>
      <c r="I130" s="105"/>
      <c r="J130" s="105"/>
      <c r="K130" s="105"/>
      <c r="L130" s="105"/>
      <c r="M130" s="105"/>
      <c r="N130" s="105"/>
      <c r="O130" s="105"/>
      <c r="P130" s="105"/>
      <c r="Q130" s="105"/>
      <c r="R130" s="106"/>
    </row>
    <row r="131" spans="1:18" s="5" customFormat="1">
      <c r="A131" s="119"/>
      <c r="B131" s="106"/>
      <c r="C131" s="106"/>
      <c r="D131" s="105"/>
      <c r="E131" s="105"/>
      <c r="F131" s="105"/>
      <c r="G131" s="105"/>
      <c r="H131" s="105"/>
      <c r="I131" s="105"/>
      <c r="J131" s="105"/>
      <c r="K131" s="105"/>
      <c r="L131" s="105"/>
      <c r="M131" s="105"/>
      <c r="N131" s="105"/>
      <c r="O131" s="105"/>
      <c r="P131" s="105"/>
      <c r="Q131" s="105"/>
      <c r="R131" s="106"/>
    </row>
    <row r="132" spans="1:18" s="5" customFormat="1">
      <c r="A132" s="119"/>
      <c r="B132" s="106"/>
      <c r="C132" s="106"/>
      <c r="D132" s="105"/>
      <c r="E132" s="105"/>
      <c r="F132" s="105"/>
      <c r="G132" s="105"/>
      <c r="H132" s="105"/>
      <c r="I132" s="105"/>
      <c r="J132" s="105"/>
      <c r="K132" s="105"/>
      <c r="L132" s="105"/>
      <c r="M132" s="105"/>
      <c r="N132" s="105"/>
      <c r="O132" s="105"/>
      <c r="P132" s="105"/>
      <c r="Q132" s="105"/>
      <c r="R132" s="106"/>
    </row>
    <row r="133" spans="1:18" s="5" customFormat="1">
      <c r="A133" s="119"/>
      <c r="B133" s="106"/>
      <c r="C133" s="106"/>
      <c r="D133" s="105"/>
      <c r="E133" s="105"/>
      <c r="F133" s="105"/>
      <c r="G133" s="105"/>
      <c r="H133" s="105"/>
      <c r="I133" s="105"/>
      <c r="J133" s="105"/>
      <c r="K133" s="105"/>
      <c r="L133" s="105"/>
      <c r="M133" s="105"/>
      <c r="N133" s="105"/>
      <c r="O133" s="105"/>
      <c r="P133" s="105"/>
      <c r="Q133" s="105"/>
      <c r="R133" s="106"/>
    </row>
    <row r="134" spans="1:18" s="5" customFormat="1">
      <c r="A134" s="119"/>
      <c r="B134" s="106"/>
      <c r="C134" s="106"/>
      <c r="D134" s="105"/>
      <c r="E134" s="105"/>
      <c r="F134" s="105"/>
      <c r="G134" s="105"/>
      <c r="H134" s="105"/>
      <c r="I134" s="105"/>
      <c r="J134" s="105"/>
      <c r="K134" s="105"/>
      <c r="L134" s="105"/>
      <c r="M134" s="105"/>
      <c r="N134" s="105"/>
      <c r="O134" s="105"/>
      <c r="P134" s="105"/>
      <c r="Q134" s="105"/>
      <c r="R134" s="106"/>
    </row>
    <row r="135" spans="1:18" s="5" customFormat="1">
      <c r="A135" s="119"/>
      <c r="B135" s="106"/>
      <c r="C135" s="106"/>
      <c r="D135" s="105"/>
      <c r="E135" s="105"/>
      <c r="F135" s="105"/>
      <c r="G135" s="105"/>
      <c r="H135" s="105"/>
      <c r="I135" s="105"/>
      <c r="J135" s="105"/>
      <c r="K135" s="105"/>
      <c r="L135" s="105"/>
      <c r="M135" s="105"/>
      <c r="N135" s="105"/>
      <c r="O135" s="105"/>
      <c r="P135" s="105"/>
      <c r="Q135" s="105"/>
      <c r="R135" s="106"/>
    </row>
    <row r="136" spans="1:18" s="5" customFormat="1">
      <c r="A136" s="119"/>
      <c r="B136" s="106"/>
      <c r="C136" s="106"/>
      <c r="D136" s="105"/>
      <c r="E136" s="105"/>
      <c r="F136" s="105"/>
      <c r="G136" s="105"/>
      <c r="H136" s="105"/>
      <c r="I136" s="105"/>
      <c r="J136" s="105"/>
      <c r="K136" s="105"/>
      <c r="L136" s="105"/>
      <c r="M136" s="105"/>
      <c r="N136" s="105"/>
      <c r="O136" s="105"/>
      <c r="P136" s="105"/>
      <c r="Q136" s="105"/>
      <c r="R136" s="106"/>
    </row>
    <row r="137" spans="1:18" s="5" customFormat="1">
      <c r="A137" s="119"/>
      <c r="B137" s="106"/>
      <c r="C137" s="106"/>
      <c r="D137" s="105"/>
      <c r="E137" s="105"/>
      <c r="F137" s="105"/>
      <c r="G137" s="105"/>
      <c r="H137" s="105"/>
      <c r="I137" s="105"/>
      <c r="J137" s="105"/>
      <c r="K137" s="105"/>
      <c r="L137" s="105"/>
      <c r="M137" s="105"/>
      <c r="N137" s="105"/>
      <c r="O137" s="105"/>
      <c r="P137" s="105"/>
      <c r="Q137" s="105"/>
      <c r="R137" s="106"/>
    </row>
    <row r="138" spans="1:18" s="5" customFormat="1">
      <c r="A138" s="119"/>
      <c r="B138" s="106"/>
      <c r="C138" s="106"/>
      <c r="D138" s="105"/>
      <c r="E138" s="105"/>
      <c r="F138" s="105"/>
      <c r="G138" s="105"/>
      <c r="H138" s="105"/>
      <c r="I138" s="105"/>
      <c r="J138" s="105"/>
      <c r="K138" s="105"/>
      <c r="L138" s="105"/>
      <c r="M138" s="105"/>
      <c r="N138" s="105"/>
      <c r="O138" s="105"/>
      <c r="P138" s="105"/>
      <c r="Q138" s="105"/>
      <c r="R138" s="106"/>
    </row>
    <row r="139" spans="1:18" s="5" customFormat="1">
      <c r="A139" s="119"/>
      <c r="B139" s="106"/>
      <c r="C139" s="106"/>
      <c r="D139" s="105"/>
      <c r="E139" s="105"/>
      <c r="F139" s="105"/>
      <c r="G139" s="105"/>
      <c r="H139" s="105"/>
      <c r="I139" s="105"/>
      <c r="J139" s="105"/>
      <c r="K139" s="105"/>
      <c r="L139" s="105"/>
      <c r="M139" s="105"/>
      <c r="N139" s="105"/>
      <c r="O139" s="105"/>
      <c r="P139" s="105"/>
      <c r="Q139" s="105"/>
      <c r="R139" s="106"/>
    </row>
    <row r="140" spans="1:18" s="5" customFormat="1">
      <c r="A140" s="119"/>
      <c r="B140" s="106"/>
      <c r="C140" s="106"/>
      <c r="D140" s="105"/>
      <c r="E140" s="105"/>
      <c r="F140" s="105"/>
      <c r="G140" s="105"/>
      <c r="H140" s="105"/>
      <c r="I140" s="105"/>
      <c r="J140" s="105"/>
      <c r="K140" s="105"/>
      <c r="L140" s="105"/>
      <c r="M140" s="105"/>
      <c r="N140" s="105"/>
      <c r="O140" s="105"/>
      <c r="P140" s="105"/>
      <c r="Q140" s="105"/>
      <c r="R140" s="106"/>
    </row>
    <row r="141" spans="1:18" s="5" customFormat="1">
      <c r="A141" s="119"/>
      <c r="B141" s="106"/>
      <c r="C141" s="106"/>
      <c r="D141" s="105"/>
      <c r="E141" s="105"/>
      <c r="F141" s="105"/>
      <c r="G141" s="105"/>
      <c r="H141" s="105"/>
      <c r="I141" s="105"/>
      <c r="J141" s="105"/>
      <c r="K141" s="105"/>
      <c r="L141" s="105"/>
      <c r="M141" s="105"/>
      <c r="N141" s="105"/>
      <c r="O141" s="105"/>
      <c r="P141" s="105"/>
      <c r="Q141" s="105"/>
      <c r="R141" s="106"/>
    </row>
    <row r="142" spans="1:18" s="5" customFormat="1">
      <c r="A142" s="119"/>
      <c r="B142" s="106"/>
      <c r="C142" s="106"/>
      <c r="D142" s="105"/>
      <c r="E142" s="105"/>
      <c r="F142" s="105"/>
      <c r="G142" s="105"/>
      <c r="H142" s="105"/>
      <c r="I142" s="105"/>
      <c r="J142" s="105"/>
      <c r="K142" s="105"/>
      <c r="L142" s="105"/>
      <c r="M142" s="105"/>
      <c r="N142" s="105"/>
      <c r="O142" s="105"/>
      <c r="P142" s="105"/>
      <c r="Q142" s="105"/>
      <c r="R142" s="106"/>
    </row>
    <row r="143" spans="1:18" s="5" customFormat="1">
      <c r="A143" s="119"/>
      <c r="B143" s="106"/>
      <c r="C143" s="106"/>
      <c r="D143" s="105"/>
      <c r="E143" s="105"/>
      <c r="F143" s="105"/>
      <c r="G143" s="105"/>
      <c r="H143" s="105"/>
      <c r="I143" s="105"/>
      <c r="J143" s="105"/>
      <c r="K143" s="105"/>
      <c r="L143" s="105"/>
      <c r="M143" s="105"/>
      <c r="N143" s="105"/>
      <c r="O143" s="105"/>
      <c r="P143" s="105"/>
      <c r="Q143" s="105"/>
      <c r="R143" s="106"/>
    </row>
    <row r="144" spans="1:18" s="5" customFormat="1">
      <c r="A144" s="119"/>
      <c r="B144" s="106"/>
      <c r="C144" s="106"/>
      <c r="D144" s="105"/>
      <c r="E144" s="105"/>
      <c r="F144" s="105"/>
      <c r="G144" s="105"/>
      <c r="H144" s="105"/>
      <c r="I144" s="105"/>
      <c r="J144" s="105"/>
      <c r="K144" s="105"/>
      <c r="L144" s="105"/>
      <c r="M144" s="105"/>
      <c r="N144" s="105"/>
      <c r="O144" s="105"/>
      <c r="P144" s="105"/>
      <c r="Q144" s="105"/>
      <c r="R144" s="106"/>
    </row>
    <row r="145" spans="1:18" s="5" customFormat="1">
      <c r="A145" s="119"/>
      <c r="B145" s="106"/>
      <c r="C145" s="106"/>
      <c r="D145" s="105"/>
      <c r="E145" s="105"/>
      <c r="F145" s="105"/>
      <c r="G145" s="105"/>
      <c r="H145" s="105"/>
      <c r="I145" s="105"/>
      <c r="J145" s="105"/>
      <c r="K145" s="105"/>
      <c r="L145" s="105"/>
      <c r="M145" s="105"/>
      <c r="N145" s="105"/>
      <c r="O145" s="105"/>
      <c r="P145" s="105"/>
      <c r="Q145" s="105"/>
      <c r="R145" s="106"/>
    </row>
    <row r="146" spans="1:18" s="5" customFormat="1">
      <c r="A146" s="119"/>
      <c r="B146" s="106"/>
      <c r="C146" s="106"/>
      <c r="D146" s="105"/>
      <c r="E146" s="105"/>
      <c r="F146" s="105"/>
      <c r="G146" s="105"/>
      <c r="H146" s="105"/>
      <c r="I146" s="105"/>
      <c r="J146" s="105"/>
      <c r="K146" s="105"/>
      <c r="L146" s="105"/>
      <c r="M146" s="105"/>
      <c r="N146" s="105"/>
      <c r="O146" s="105"/>
      <c r="P146" s="105"/>
      <c r="Q146" s="105"/>
      <c r="R146" s="106"/>
    </row>
    <row r="147" spans="1:18" s="5" customFormat="1">
      <c r="A147" s="119"/>
      <c r="B147" s="106"/>
      <c r="C147" s="106"/>
      <c r="D147" s="105"/>
      <c r="E147" s="105"/>
      <c r="F147" s="105"/>
      <c r="G147" s="105"/>
      <c r="H147" s="105"/>
      <c r="I147" s="105"/>
      <c r="J147" s="105"/>
      <c r="K147" s="105"/>
      <c r="L147" s="105"/>
      <c r="M147" s="105"/>
      <c r="N147" s="105"/>
      <c r="O147" s="105"/>
      <c r="P147" s="105"/>
      <c r="Q147" s="105"/>
      <c r="R147" s="106"/>
    </row>
    <row r="148" spans="1:18" s="5" customFormat="1">
      <c r="A148" s="119"/>
      <c r="B148" s="106"/>
      <c r="C148" s="106"/>
      <c r="D148" s="105"/>
      <c r="E148" s="105"/>
      <c r="F148" s="105"/>
      <c r="G148" s="105"/>
      <c r="H148" s="105"/>
      <c r="I148" s="105"/>
      <c r="J148" s="105"/>
      <c r="K148" s="105"/>
      <c r="L148" s="105"/>
      <c r="M148" s="105"/>
      <c r="N148" s="105"/>
      <c r="O148" s="105"/>
      <c r="P148" s="105"/>
      <c r="Q148" s="105"/>
      <c r="R148" s="106"/>
    </row>
    <row r="149" spans="1:18" s="5" customFormat="1">
      <c r="A149" s="119"/>
      <c r="B149" s="106"/>
      <c r="C149" s="106"/>
      <c r="D149" s="105"/>
      <c r="E149" s="105"/>
      <c r="F149" s="105"/>
      <c r="G149" s="105"/>
      <c r="H149" s="105"/>
      <c r="I149" s="105"/>
      <c r="J149" s="105"/>
      <c r="K149" s="105"/>
      <c r="L149" s="105"/>
      <c r="M149" s="105"/>
      <c r="N149" s="105"/>
      <c r="O149" s="105"/>
      <c r="P149" s="105"/>
      <c r="Q149" s="105"/>
      <c r="R149" s="106"/>
    </row>
    <row r="150" spans="1:18" s="5" customFormat="1">
      <c r="A150" s="119"/>
      <c r="B150" s="106"/>
      <c r="C150" s="106"/>
      <c r="D150" s="105"/>
      <c r="E150" s="105"/>
      <c r="F150" s="105"/>
      <c r="G150" s="105"/>
      <c r="H150" s="105"/>
      <c r="I150" s="105"/>
      <c r="J150" s="105"/>
      <c r="K150" s="105"/>
      <c r="L150" s="105"/>
      <c r="M150" s="105"/>
      <c r="N150" s="105"/>
      <c r="O150" s="105"/>
      <c r="P150" s="105"/>
      <c r="Q150" s="105"/>
      <c r="R150" s="106"/>
    </row>
    <row r="151" spans="1:18" s="5" customFormat="1">
      <c r="A151" s="119"/>
      <c r="B151" s="106"/>
      <c r="C151" s="106"/>
      <c r="D151" s="105"/>
      <c r="E151" s="105"/>
      <c r="F151" s="105"/>
      <c r="G151" s="105"/>
      <c r="H151" s="105"/>
      <c r="I151" s="105"/>
      <c r="J151" s="105"/>
      <c r="K151" s="105"/>
      <c r="L151" s="105"/>
      <c r="M151" s="105"/>
      <c r="N151" s="105"/>
      <c r="O151" s="105"/>
      <c r="P151" s="105"/>
      <c r="Q151" s="105"/>
      <c r="R151" s="106"/>
    </row>
    <row r="152" spans="1:18" s="5" customFormat="1">
      <c r="A152" s="119"/>
      <c r="B152" s="106"/>
      <c r="C152" s="106"/>
      <c r="D152" s="105"/>
      <c r="E152" s="105"/>
      <c r="F152" s="105"/>
      <c r="G152" s="105"/>
      <c r="H152" s="105"/>
      <c r="I152" s="105"/>
      <c r="J152" s="105"/>
      <c r="K152" s="105"/>
      <c r="L152" s="105"/>
      <c r="M152" s="105"/>
      <c r="N152" s="105"/>
      <c r="O152" s="105"/>
      <c r="P152" s="105"/>
      <c r="Q152" s="105"/>
      <c r="R152" s="106"/>
    </row>
    <row r="153" spans="1:18" s="5" customFormat="1">
      <c r="A153" s="119"/>
      <c r="B153" s="106"/>
      <c r="C153" s="106"/>
      <c r="D153" s="105"/>
      <c r="E153" s="105"/>
      <c r="F153" s="105"/>
      <c r="G153" s="105"/>
      <c r="H153" s="105"/>
      <c r="I153" s="105"/>
      <c r="J153" s="105"/>
      <c r="K153" s="105"/>
      <c r="L153" s="105"/>
      <c r="M153" s="105"/>
      <c r="N153" s="105"/>
      <c r="O153" s="105"/>
      <c r="P153" s="105"/>
      <c r="Q153" s="105"/>
      <c r="R153" s="106"/>
    </row>
    <row r="154" spans="1:18" s="5" customFormat="1">
      <c r="A154" s="119"/>
      <c r="B154" s="106"/>
      <c r="C154" s="106"/>
      <c r="D154" s="105"/>
      <c r="E154" s="105"/>
      <c r="F154" s="105"/>
      <c r="G154" s="105"/>
      <c r="H154" s="105"/>
      <c r="I154" s="105"/>
      <c r="J154" s="105"/>
      <c r="K154" s="105"/>
      <c r="L154" s="105"/>
      <c r="M154" s="105"/>
      <c r="N154" s="105"/>
      <c r="O154" s="105"/>
      <c r="P154" s="105"/>
      <c r="Q154" s="105"/>
      <c r="R154" s="106"/>
    </row>
    <row r="155" spans="1:18" s="5" customFormat="1">
      <c r="A155" s="119"/>
      <c r="B155" s="106"/>
      <c r="C155" s="106"/>
      <c r="D155" s="105"/>
      <c r="E155" s="105"/>
      <c r="F155" s="105"/>
      <c r="G155" s="105"/>
      <c r="H155" s="105"/>
      <c r="I155" s="105"/>
      <c r="J155" s="105"/>
      <c r="K155" s="105"/>
      <c r="L155" s="105"/>
      <c r="M155" s="105"/>
      <c r="N155" s="105"/>
      <c r="O155" s="105"/>
      <c r="P155" s="105"/>
      <c r="Q155" s="105"/>
      <c r="R155" s="106"/>
    </row>
    <row r="156" spans="1:18" s="5" customFormat="1">
      <c r="A156" s="119"/>
      <c r="B156" s="106"/>
      <c r="C156" s="106"/>
      <c r="D156" s="105"/>
      <c r="E156" s="105"/>
      <c r="F156" s="105"/>
      <c r="G156" s="105"/>
      <c r="H156" s="105"/>
      <c r="I156" s="105"/>
      <c r="J156" s="105"/>
      <c r="K156" s="105"/>
      <c r="L156" s="105"/>
      <c r="M156" s="105"/>
      <c r="N156" s="105"/>
      <c r="O156" s="105"/>
      <c r="P156" s="105"/>
      <c r="Q156" s="105"/>
      <c r="R156" s="106"/>
    </row>
    <row r="157" spans="1:18" s="5" customFormat="1">
      <c r="A157" s="119"/>
      <c r="B157" s="106"/>
      <c r="C157" s="106"/>
      <c r="D157" s="105"/>
      <c r="E157" s="105"/>
      <c r="F157" s="105"/>
      <c r="G157" s="105"/>
      <c r="H157" s="105"/>
      <c r="I157" s="105"/>
      <c r="J157" s="105"/>
      <c r="K157" s="105"/>
      <c r="L157" s="105"/>
      <c r="M157" s="105"/>
      <c r="N157" s="105"/>
      <c r="O157" s="105"/>
      <c r="P157" s="105"/>
      <c r="Q157" s="105"/>
      <c r="R157" s="106"/>
    </row>
    <row r="158" spans="1:18" s="5" customFormat="1">
      <c r="A158" s="119"/>
      <c r="B158" s="106"/>
      <c r="C158" s="106"/>
      <c r="D158" s="105"/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6"/>
    </row>
    <row r="159" spans="1:18" s="5" customFormat="1">
      <c r="A159" s="119"/>
      <c r="B159" s="106"/>
      <c r="C159" s="106"/>
      <c r="D159" s="105"/>
      <c r="E159" s="105"/>
      <c r="F159" s="105"/>
      <c r="G159" s="105"/>
      <c r="H159" s="105"/>
      <c r="I159" s="105"/>
      <c r="J159" s="105"/>
      <c r="K159" s="105"/>
      <c r="L159" s="105"/>
      <c r="M159" s="105"/>
      <c r="N159" s="105"/>
      <c r="O159" s="105"/>
      <c r="P159" s="105"/>
      <c r="Q159" s="105"/>
      <c r="R159" s="106"/>
    </row>
    <row r="160" spans="1:18" s="5" customFormat="1">
      <c r="A160" s="119"/>
      <c r="B160" s="106"/>
      <c r="C160" s="106"/>
      <c r="D160" s="105"/>
      <c r="E160" s="105"/>
      <c r="F160" s="105"/>
      <c r="G160" s="105"/>
      <c r="H160" s="105"/>
      <c r="I160" s="105"/>
      <c r="J160" s="105"/>
      <c r="K160" s="105"/>
      <c r="L160" s="105"/>
      <c r="M160" s="105"/>
      <c r="N160" s="105"/>
      <c r="O160" s="105"/>
      <c r="P160" s="105"/>
      <c r="Q160" s="105"/>
      <c r="R160" s="106"/>
    </row>
    <row r="161" spans="1:18" s="5" customFormat="1">
      <c r="A161" s="119"/>
      <c r="B161" s="106"/>
      <c r="C161" s="106"/>
      <c r="D161" s="105"/>
      <c r="E161" s="105"/>
      <c r="F161" s="105"/>
      <c r="G161" s="105"/>
      <c r="H161" s="105"/>
      <c r="I161" s="105"/>
      <c r="J161" s="105"/>
      <c r="K161" s="105"/>
      <c r="L161" s="105"/>
      <c r="M161" s="105"/>
      <c r="N161" s="105"/>
      <c r="O161" s="105"/>
      <c r="P161" s="105"/>
      <c r="Q161" s="105"/>
      <c r="R161" s="106"/>
    </row>
    <row r="162" spans="1:18" s="5" customFormat="1">
      <c r="A162" s="119"/>
      <c r="B162" s="106"/>
      <c r="C162" s="106"/>
      <c r="D162" s="105"/>
      <c r="E162" s="105"/>
      <c r="F162" s="105"/>
      <c r="G162" s="105"/>
      <c r="H162" s="105"/>
      <c r="I162" s="105"/>
      <c r="J162" s="105"/>
      <c r="K162" s="105"/>
      <c r="L162" s="105"/>
      <c r="M162" s="105"/>
      <c r="N162" s="105"/>
      <c r="O162" s="105"/>
      <c r="P162" s="105"/>
      <c r="Q162" s="105"/>
      <c r="R162" s="106"/>
    </row>
    <row r="163" spans="1:18" s="5" customFormat="1">
      <c r="A163" s="119"/>
      <c r="B163" s="106"/>
      <c r="C163" s="106"/>
      <c r="D163" s="105"/>
      <c r="E163" s="105"/>
      <c r="F163" s="105"/>
      <c r="G163" s="105"/>
      <c r="H163" s="105"/>
      <c r="I163" s="105"/>
      <c r="J163" s="105"/>
      <c r="K163" s="105"/>
      <c r="L163" s="105"/>
      <c r="M163" s="105"/>
      <c r="N163" s="105"/>
      <c r="O163" s="105"/>
      <c r="P163" s="105"/>
      <c r="Q163" s="105"/>
      <c r="R163" s="106"/>
    </row>
    <row r="164" spans="1:18" s="5" customFormat="1">
      <c r="A164" s="119"/>
      <c r="B164" s="106"/>
      <c r="C164" s="106"/>
      <c r="D164" s="105"/>
      <c r="E164" s="105"/>
      <c r="F164" s="105"/>
      <c r="G164" s="105"/>
      <c r="H164" s="105"/>
      <c r="I164" s="105"/>
      <c r="J164" s="105"/>
      <c r="K164" s="105"/>
      <c r="L164" s="105"/>
      <c r="M164" s="105"/>
      <c r="N164" s="105"/>
      <c r="O164" s="105"/>
      <c r="P164" s="105"/>
      <c r="Q164" s="105"/>
      <c r="R164" s="106"/>
    </row>
    <row r="165" spans="1:18" s="5" customFormat="1">
      <c r="A165" s="119"/>
      <c r="B165" s="106"/>
      <c r="C165" s="106"/>
      <c r="D165" s="105"/>
      <c r="E165" s="105"/>
      <c r="F165" s="105"/>
      <c r="G165" s="105"/>
      <c r="H165" s="105"/>
      <c r="I165" s="105"/>
      <c r="J165" s="105"/>
      <c r="K165" s="105"/>
      <c r="L165" s="105"/>
      <c r="M165" s="105"/>
      <c r="N165" s="105"/>
      <c r="O165" s="105"/>
      <c r="P165" s="105"/>
      <c r="Q165" s="105"/>
      <c r="R165" s="106"/>
    </row>
    <row r="166" spans="1:18" s="5" customFormat="1">
      <c r="A166" s="119"/>
      <c r="B166" s="106"/>
      <c r="C166" s="106"/>
      <c r="D166" s="105"/>
      <c r="E166" s="105"/>
      <c r="F166" s="105"/>
      <c r="G166" s="105"/>
      <c r="H166" s="105"/>
      <c r="I166" s="105"/>
      <c r="J166" s="105"/>
      <c r="K166" s="105"/>
      <c r="L166" s="105"/>
      <c r="M166" s="105"/>
      <c r="N166" s="105"/>
      <c r="O166" s="105"/>
      <c r="P166" s="105"/>
      <c r="Q166" s="105"/>
      <c r="R166" s="106"/>
    </row>
    <row r="167" spans="1:18" s="5" customFormat="1">
      <c r="A167" s="119"/>
      <c r="B167" s="106"/>
      <c r="C167" s="106"/>
      <c r="D167" s="105"/>
      <c r="E167" s="105"/>
      <c r="F167" s="105"/>
      <c r="G167" s="105"/>
      <c r="H167" s="105"/>
      <c r="I167" s="105"/>
      <c r="J167" s="105"/>
      <c r="K167" s="105"/>
      <c r="L167" s="105"/>
      <c r="M167" s="105"/>
      <c r="N167" s="105"/>
      <c r="O167" s="105"/>
      <c r="P167" s="105"/>
      <c r="Q167" s="105"/>
      <c r="R167" s="106"/>
    </row>
    <row r="168" spans="1:18" s="5" customFormat="1">
      <c r="A168" s="119"/>
      <c r="B168" s="106"/>
      <c r="C168" s="106"/>
      <c r="D168" s="105"/>
      <c r="E168" s="105"/>
      <c r="F168" s="105"/>
      <c r="G168" s="105"/>
      <c r="H168" s="105"/>
      <c r="I168" s="105"/>
      <c r="J168" s="105"/>
      <c r="K168" s="105"/>
      <c r="L168" s="105"/>
      <c r="M168" s="105"/>
      <c r="N168" s="105"/>
      <c r="O168" s="105"/>
      <c r="P168" s="105"/>
      <c r="Q168" s="105"/>
      <c r="R168" s="106"/>
    </row>
    <row r="169" spans="1:18" s="5" customFormat="1">
      <c r="A169" s="119"/>
      <c r="B169" s="106"/>
      <c r="C169" s="106"/>
      <c r="D169" s="105"/>
      <c r="E169" s="105"/>
      <c r="F169" s="105"/>
      <c r="G169" s="105"/>
      <c r="H169" s="105"/>
      <c r="I169" s="105"/>
      <c r="J169" s="105"/>
      <c r="K169" s="105"/>
      <c r="L169" s="105"/>
      <c r="M169" s="105"/>
      <c r="N169" s="105"/>
      <c r="O169" s="105"/>
      <c r="P169" s="105"/>
      <c r="Q169" s="105"/>
      <c r="R169" s="106"/>
    </row>
    <row r="170" spans="1:18" s="5" customFormat="1">
      <c r="A170" s="119"/>
      <c r="B170" s="106"/>
      <c r="C170" s="106"/>
      <c r="D170" s="105"/>
      <c r="E170" s="105"/>
      <c r="F170" s="105"/>
      <c r="G170" s="105"/>
      <c r="H170" s="105"/>
      <c r="I170" s="105"/>
      <c r="J170" s="105"/>
      <c r="K170" s="105"/>
      <c r="L170" s="105"/>
      <c r="M170" s="105"/>
      <c r="N170" s="105"/>
      <c r="O170" s="105"/>
      <c r="P170" s="105"/>
      <c r="Q170" s="105"/>
      <c r="R170" s="106"/>
    </row>
    <row r="171" spans="1:18" s="5" customFormat="1">
      <c r="A171" s="119"/>
      <c r="B171" s="106"/>
      <c r="C171" s="106"/>
      <c r="D171" s="105"/>
      <c r="E171" s="105"/>
      <c r="F171" s="105"/>
      <c r="G171" s="105"/>
      <c r="H171" s="105"/>
      <c r="I171" s="105"/>
      <c r="J171" s="105"/>
      <c r="K171" s="105"/>
      <c r="L171" s="105"/>
      <c r="M171" s="105"/>
      <c r="N171" s="105"/>
      <c r="O171" s="105"/>
      <c r="P171" s="105"/>
      <c r="Q171" s="105"/>
      <c r="R171" s="106"/>
    </row>
    <row r="172" spans="1:18" s="5" customFormat="1">
      <c r="A172" s="119"/>
      <c r="B172" s="106"/>
      <c r="C172" s="106"/>
      <c r="D172" s="105"/>
      <c r="E172" s="105"/>
      <c r="F172" s="105"/>
      <c r="G172" s="105"/>
      <c r="H172" s="105"/>
      <c r="I172" s="105"/>
      <c r="J172" s="105"/>
      <c r="K172" s="105"/>
      <c r="L172" s="105"/>
      <c r="M172" s="105"/>
      <c r="N172" s="105"/>
      <c r="O172" s="105"/>
      <c r="P172" s="105"/>
      <c r="Q172" s="105"/>
      <c r="R172" s="106"/>
    </row>
    <row r="173" spans="1:18" s="5" customFormat="1">
      <c r="A173" s="119"/>
      <c r="B173" s="106"/>
      <c r="C173" s="106"/>
      <c r="D173" s="105"/>
      <c r="E173" s="105"/>
      <c r="F173" s="105"/>
      <c r="G173" s="105"/>
      <c r="H173" s="105"/>
      <c r="I173" s="105"/>
      <c r="J173" s="105"/>
      <c r="K173" s="105"/>
      <c r="L173" s="105"/>
      <c r="M173" s="105"/>
      <c r="N173" s="105"/>
      <c r="O173" s="105"/>
      <c r="P173" s="105"/>
      <c r="Q173" s="105"/>
      <c r="R173" s="106"/>
    </row>
    <row r="174" spans="1:18" s="5" customFormat="1">
      <c r="A174" s="119"/>
      <c r="B174" s="106"/>
      <c r="C174" s="106"/>
      <c r="D174" s="105"/>
      <c r="E174" s="105"/>
      <c r="F174" s="105"/>
      <c r="G174" s="105"/>
      <c r="H174" s="105"/>
      <c r="I174" s="105"/>
      <c r="J174" s="105"/>
      <c r="K174" s="105"/>
      <c r="L174" s="105"/>
      <c r="M174" s="105"/>
      <c r="N174" s="105"/>
      <c r="O174" s="105"/>
      <c r="P174" s="105"/>
      <c r="Q174" s="105"/>
      <c r="R174" s="106"/>
    </row>
    <row r="175" spans="1:18" s="5" customFormat="1">
      <c r="A175" s="119"/>
      <c r="B175" s="106"/>
      <c r="C175" s="106"/>
      <c r="D175" s="105"/>
      <c r="E175" s="105"/>
      <c r="F175" s="105"/>
      <c r="G175" s="105"/>
      <c r="H175" s="105"/>
      <c r="I175" s="105"/>
      <c r="J175" s="105"/>
      <c r="K175" s="105"/>
      <c r="L175" s="105"/>
      <c r="M175" s="105"/>
      <c r="N175" s="105"/>
      <c r="O175" s="105"/>
      <c r="P175" s="105"/>
      <c r="Q175" s="105"/>
      <c r="R175" s="106"/>
    </row>
    <row r="176" spans="1:18" s="5" customFormat="1">
      <c r="A176" s="119"/>
      <c r="B176" s="106"/>
      <c r="C176" s="106"/>
      <c r="D176" s="105"/>
      <c r="E176" s="105"/>
      <c r="F176" s="105"/>
      <c r="G176" s="105"/>
      <c r="H176" s="105"/>
      <c r="I176" s="105"/>
      <c r="J176" s="105"/>
      <c r="K176" s="105"/>
      <c r="L176" s="105"/>
      <c r="M176" s="105"/>
      <c r="N176" s="105"/>
      <c r="O176" s="105"/>
      <c r="P176" s="105"/>
      <c r="Q176" s="105"/>
      <c r="R176" s="106"/>
    </row>
    <row r="177" spans="1:18" s="5" customFormat="1">
      <c r="A177" s="119"/>
      <c r="B177" s="106"/>
      <c r="C177" s="106"/>
      <c r="D177" s="105"/>
      <c r="E177" s="105"/>
      <c r="F177" s="105"/>
      <c r="G177" s="105"/>
      <c r="H177" s="105"/>
      <c r="I177" s="105"/>
      <c r="J177" s="105"/>
      <c r="K177" s="105"/>
      <c r="L177" s="105"/>
      <c r="M177" s="105"/>
      <c r="N177" s="105"/>
      <c r="O177" s="105"/>
      <c r="P177" s="105"/>
      <c r="Q177" s="105"/>
      <c r="R177" s="106"/>
    </row>
    <row r="178" spans="1:18" s="5" customFormat="1">
      <c r="A178" s="119"/>
      <c r="B178" s="106"/>
      <c r="C178" s="106"/>
      <c r="D178" s="105"/>
      <c r="E178" s="105"/>
      <c r="F178" s="105"/>
      <c r="G178" s="105"/>
      <c r="H178" s="105"/>
      <c r="I178" s="105"/>
      <c r="J178" s="105"/>
      <c r="K178" s="105"/>
      <c r="L178" s="105"/>
      <c r="M178" s="105"/>
      <c r="N178" s="105"/>
      <c r="O178" s="105"/>
      <c r="P178" s="105"/>
      <c r="Q178" s="105"/>
      <c r="R178" s="106"/>
    </row>
    <row r="179" spans="1:18" s="5" customFormat="1">
      <c r="A179" s="119"/>
      <c r="B179" s="106"/>
      <c r="C179" s="106"/>
      <c r="D179" s="105"/>
      <c r="E179" s="105"/>
      <c r="F179" s="105"/>
      <c r="G179" s="105"/>
      <c r="H179" s="105"/>
      <c r="I179" s="105"/>
      <c r="J179" s="105"/>
      <c r="K179" s="105"/>
      <c r="L179" s="105"/>
      <c r="M179" s="105"/>
      <c r="N179" s="105"/>
      <c r="O179" s="105"/>
      <c r="P179" s="105"/>
      <c r="Q179" s="105"/>
      <c r="R179" s="106"/>
    </row>
    <row r="180" spans="1:18" s="5" customFormat="1">
      <c r="A180" s="119"/>
      <c r="B180" s="106"/>
      <c r="C180" s="106"/>
      <c r="D180" s="105"/>
      <c r="E180" s="105"/>
      <c r="F180" s="105"/>
      <c r="G180" s="105"/>
      <c r="H180" s="105"/>
      <c r="I180" s="105"/>
      <c r="J180" s="105"/>
      <c r="K180" s="105"/>
      <c r="L180" s="105"/>
      <c r="M180" s="105"/>
      <c r="N180" s="105"/>
      <c r="O180" s="105"/>
      <c r="P180" s="105"/>
      <c r="Q180" s="105"/>
      <c r="R180" s="106"/>
    </row>
    <row r="181" spans="1:18" s="5" customFormat="1">
      <c r="A181" s="119"/>
      <c r="B181" s="106"/>
      <c r="C181" s="106"/>
      <c r="D181" s="105"/>
      <c r="E181" s="105"/>
      <c r="F181" s="105"/>
      <c r="G181" s="105"/>
      <c r="H181" s="105"/>
      <c r="I181" s="105"/>
      <c r="J181" s="105"/>
      <c r="K181" s="105"/>
      <c r="L181" s="105"/>
      <c r="M181" s="105"/>
      <c r="N181" s="105"/>
      <c r="O181" s="105"/>
      <c r="P181" s="105"/>
      <c r="Q181" s="105"/>
      <c r="R181" s="106"/>
    </row>
    <row r="182" spans="1:18" s="5" customFormat="1">
      <c r="A182" s="119"/>
      <c r="B182" s="106"/>
      <c r="C182" s="106"/>
      <c r="D182" s="105"/>
      <c r="E182" s="105"/>
      <c r="F182" s="105"/>
      <c r="G182" s="105"/>
      <c r="H182" s="105"/>
      <c r="I182" s="105"/>
      <c r="J182" s="105"/>
      <c r="K182" s="105"/>
      <c r="L182" s="105"/>
      <c r="M182" s="105"/>
      <c r="N182" s="105"/>
      <c r="O182" s="105"/>
      <c r="P182" s="105"/>
      <c r="Q182" s="105"/>
      <c r="R182" s="106"/>
    </row>
    <row r="183" spans="1:18" s="5" customFormat="1">
      <c r="A183" s="119"/>
      <c r="B183" s="106"/>
      <c r="C183" s="106"/>
      <c r="D183" s="105"/>
      <c r="E183" s="105"/>
      <c r="F183" s="105"/>
      <c r="G183" s="105"/>
      <c r="H183" s="105"/>
      <c r="I183" s="105"/>
      <c r="J183" s="105"/>
      <c r="K183" s="105"/>
      <c r="L183" s="105"/>
      <c r="M183" s="105"/>
      <c r="N183" s="105"/>
      <c r="O183" s="105"/>
      <c r="P183" s="105"/>
      <c r="Q183" s="105"/>
      <c r="R183" s="106"/>
    </row>
    <row r="184" spans="1:18" s="5" customFormat="1">
      <c r="A184" s="119"/>
      <c r="B184" s="106"/>
      <c r="C184" s="106"/>
      <c r="D184" s="105"/>
      <c r="E184" s="105"/>
      <c r="F184" s="105"/>
      <c r="G184" s="105"/>
      <c r="H184" s="105"/>
      <c r="I184" s="105"/>
      <c r="J184" s="105"/>
      <c r="K184" s="105"/>
      <c r="L184" s="105"/>
      <c r="M184" s="105"/>
      <c r="N184" s="105"/>
      <c r="O184" s="105"/>
      <c r="P184" s="105"/>
      <c r="Q184" s="105"/>
      <c r="R184" s="106"/>
    </row>
    <row r="185" spans="1:18" s="5" customFormat="1">
      <c r="A185" s="119"/>
      <c r="B185" s="106"/>
      <c r="C185" s="106"/>
      <c r="D185" s="105"/>
      <c r="E185" s="105"/>
      <c r="F185" s="105"/>
      <c r="G185" s="105"/>
      <c r="H185" s="105"/>
      <c r="I185" s="105"/>
      <c r="J185" s="105"/>
      <c r="K185" s="105"/>
      <c r="L185" s="105"/>
      <c r="M185" s="105"/>
      <c r="N185" s="105"/>
      <c r="O185" s="105"/>
      <c r="P185" s="105"/>
      <c r="Q185" s="105"/>
      <c r="R185" s="106"/>
    </row>
    <row r="186" spans="1:18" s="5" customFormat="1">
      <c r="A186" s="119"/>
      <c r="B186" s="106"/>
      <c r="C186" s="106"/>
      <c r="D186" s="105"/>
      <c r="E186" s="105"/>
      <c r="F186" s="105"/>
      <c r="G186" s="105"/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6"/>
    </row>
    <row r="187" spans="1:18" s="5" customFormat="1">
      <c r="A187" s="119"/>
      <c r="B187" s="106"/>
      <c r="C187" s="106"/>
      <c r="D187" s="105"/>
      <c r="E187" s="105"/>
      <c r="F187" s="105"/>
      <c r="G187" s="105"/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6"/>
    </row>
    <row r="188" spans="1:18" s="5" customFormat="1">
      <c r="A188" s="119"/>
      <c r="B188" s="106"/>
      <c r="C188" s="106"/>
      <c r="D188" s="105"/>
      <c r="E188" s="105"/>
      <c r="F188" s="105"/>
      <c r="G188" s="105"/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6"/>
    </row>
    <row r="189" spans="1:18" s="5" customFormat="1">
      <c r="A189" s="119"/>
      <c r="B189" s="106"/>
      <c r="C189" s="106"/>
      <c r="D189" s="105"/>
      <c r="E189" s="105"/>
      <c r="F189" s="105"/>
      <c r="G189" s="105"/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6"/>
    </row>
    <row r="190" spans="1:18" s="5" customFormat="1">
      <c r="A190" s="119"/>
      <c r="B190" s="106"/>
      <c r="C190" s="106"/>
      <c r="D190" s="105"/>
      <c r="E190" s="105"/>
      <c r="F190" s="105"/>
      <c r="G190" s="105"/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6"/>
    </row>
    <row r="191" spans="1:18" s="5" customFormat="1">
      <c r="A191" s="119"/>
      <c r="B191" s="106"/>
      <c r="C191" s="106"/>
      <c r="D191" s="105"/>
      <c r="E191" s="105"/>
      <c r="F191" s="105"/>
      <c r="G191" s="105"/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6"/>
    </row>
    <row r="192" spans="1:18" s="5" customFormat="1">
      <c r="A192" s="119"/>
      <c r="B192" s="106"/>
      <c r="C192" s="106"/>
      <c r="D192" s="105"/>
      <c r="E192" s="105"/>
      <c r="F192" s="105"/>
      <c r="G192" s="105"/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6"/>
    </row>
    <row r="193" spans="1:18" s="5" customFormat="1">
      <c r="A193" s="119"/>
      <c r="B193" s="106"/>
      <c r="C193" s="106"/>
      <c r="D193" s="105"/>
      <c r="E193" s="105"/>
      <c r="F193" s="105"/>
      <c r="G193" s="105"/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6"/>
    </row>
    <row r="194" spans="1:18" s="5" customFormat="1">
      <c r="A194" s="119"/>
      <c r="B194" s="106"/>
      <c r="C194" s="106"/>
      <c r="D194" s="105"/>
      <c r="E194" s="105"/>
      <c r="F194" s="105"/>
      <c r="G194" s="105"/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6"/>
    </row>
    <row r="195" spans="1:18" s="5" customFormat="1">
      <c r="A195" s="119"/>
      <c r="B195" s="106"/>
      <c r="C195" s="106"/>
      <c r="D195" s="105"/>
      <c r="E195" s="105"/>
      <c r="F195" s="105"/>
      <c r="G195" s="105"/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6"/>
    </row>
    <row r="196" spans="1:18" s="5" customFormat="1">
      <c r="A196" s="119"/>
      <c r="B196" s="106"/>
      <c r="C196" s="106"/>
      <c r="D196" s="105"/>
      <c r="E196" s="105"/>
      <c r="F196" s="105"/>
      <c r="G196" s="105"/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6"/>
    </row>
    <row r="197" spans="1:18" s="5" customFormat="1">
      <c r="A197" s="119"/>
      <c r="B197" s="106"/>
      <c r="C197" s="106"/>
      <c r="D197" s="105"/>
      <c r="E197" s="105"/>
      <c r="F197" s="105"/>
      <c r="G197" s="105"/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6"/>
    </row>
    <row r="198" spans="1:18" s="5" customFormat="1">
      <c r="A198" s="119"/>
      <c r="B198" s="106"/>
      <c r="C198" s="106"/>
      <c r="D198" s="105"/>
      <c r="E198" s="105"/>
      <c r="F198" s="105"/>
      <c r="G198" s="105"/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6"/>
    </row>
    <row r="199" spans="1:18" s="5" customFormat="1">
      <c r="A199" s="119"/>
      <c r="B199" s="106"/>
      <c r="C199" s="106"/>
      <c r="D199" s="105"/>
      <c r="E199" s="105"/>
      <c r="F199" s="105"/>
      <c r="G199" s="105"/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6"/>
    </row>
    <row r="200" spans="1:18" s="5" customFormat="1">
      <c r="A200" s="119"/>
      <c r="B200" s="106"/>
      <c r="C200" s="106"/>
      <c r="D200" s="105"/>
      <c r="E200" s="105"/>
      <c r="F200" s="105"/>
      <c r="G200" s="105"/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6"/>
    </row>
    <row r="201" spans="1:18" s="5" customFormat="1">
      <c r="A201" s="119"/>
      <c r="B201" s="106"/>
      <c r="C201" s="106"/>
      <c r="D201" s="105"/>
      <c r="E201" s="105"/>
      <c r="F201" s="105"/>
      <c r="G201" s="105"/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6"/>
    </row>
    <row r="202" spans="1:18">
      <c r="A202" s="119"/>
    </row>
    <row r="203" spans="1:18">
      <c r="A203" s="119"/>
    </row>
    <row r="204" spans="1:18">
      <c r="A204" s="119"/>
    </row>
    <row r="205" spans="1:18">
      <c r="A205" s="119"/>
    </row>
    <row r="206" spans="1:18">
      <c r="A206" s="119"/>
    </row>
    <row r="207" spans="1:18">
      <c r="A207" s="119"/>
    </row>
    <row r="208" spans="1:18">
      <c r="A208" s="119"/>
    </row>
    <row r="209" spans="1:1">
      <c r="A209" s="119"/>
    </row>
    <row r="210" spans="1:1">
      <c r="A210" s="119"/>
    </row>
    <row r="211" spans="1:1">
      <c r="A211" s="119"/>
    </row>
    <row r="212" spans="1:1">
      <c r="A212" s="119"/>
    </row>
    <row r="213" spans="1:1">
      <c r="A213" s="119"/>
    </row>
    <row r="214" spans="1:1">
      <c r="A214" s="119"/>
    </row>
    <row r="215" spans="1:1">
      <c r="A215" s="119"/>
    </row>
    <row r="216" spans="1:1">
      <c r="A216" s="119"/>
    </row>
    <row r="217" spans="1:1">
      <c r="A217" s="119"/>
    </row>
    <row r="218" spans="1:1">
      <c r="A218" s="119"/>
    </row>
    <row r="219" spans="1:1">
      <c r="A219" s="119"/>
    </row>
    <row r="220" spans="1:1">
      <c r="A220" s="119"/>
    </row>
    <row r="221" spans="1:1">
      <c r="A221" s="119"/>
    </row>
    <row r="222" spans="1:1">
      <c r="A222" s="119"/>
    </row>
    <row r="223" spans="1:1">
      <c r="A223" s="119"/>
    </row>
    <row r="224" spans="1:1">
      <c r="A224" s="119"/>
    </row>
    <row r="225" spans="1:1">
      <c r="A225" s="119"/>
    </row>
    <row r="226" spans="1:1">
      <c r="A226" s="119"/>
    </row>
    <row r="227" spans="1:1">
      <c r="A227" s="119"/>
    </row>
    <row r="228" spans="1:1">
      <c r="A228" s="119"/>
    </row>
    <row r="229" spans="1:1">
      <c r="A229" s="119"/>
    </row>
    <row r="230" spans="1:1">
      <c r="A230" s="119"/>
    </row>
    <row r="231" spans="1:1">
      <c r="A231" s="119"/>
    </row>
    <row r="232" spans="1:1">
      <c r="A232" s="119"/>
    </row>
    <row r="233" spans="1:1">
      <c r="A233" s="119"/>
    </row>
    <row r="234" spans="1:1">
      <c r="A234" s="119"/>
    </row>
    <row r="235" spans="1:1">
      <c r="A235" s="119"/>
    </row>
    <row r="236" spans="1:1">
      <c r="A236" s="119"/>
    </row>
    <row r="237" spans="1:1">
      <c r="A237" s="119"/>
    </row>
    <row r="238" spans="1:1">
      <c r="A238" s="119"/>
    </row>
    <row r="239" spans="1:1">
      <c r="A239" s="119"/>
    </row>
    <row r="240" spans="1:1">
      <c r="A240" s="119"/>
    </row>
    <row r="241" spans="1:1">
      <c r="A241" s="119"/>
    </row>
    <row r="242" spans="1:1">
      <c r="A242" s="119"/>
    </row>
    <row r="243" spans="1:1">
      <c r="A243" s="119"/>
    </row>
    <row r="244" spans="1:1">
      <c r="A244" s="119"/>
    </row>
    <row r="245" spans="1:1">
      <c r="A245" s="119"/>
    </row>
    <row r="246" spans="1:1">
      <c r="A246" s="119"/>
    </row>
    <row r="247" spans="1:1">
      <c r="A247" s="119"/>
    </row>
    <row r="248" spans="1:1">
      <c r="A248" s="119"/>
    </row>
    <row r="249" spans="1:1">
      <c r="A249" s="119"/>
    </row>
    <row r="250" spans="1:1">
      <c r="A250" s="119"/>
    </row>
    <row r="251" spans="1:1">
      <c r="A251" s="119"/>
    </row>
    <row r="252" spans="1:1">
      <c r="A252" s="119"/>
    </row>
    <row r="253" spans="1:1">
      <c r="A253" s="119"/>
    </row>
    <row r="254" spans="1:1">
      <c r="A254" s="119"/>
    </row>
    <row r="255" spans="1:1">
      <c r="A255" s="119"/>
    </row>
    <row r="256" spans="1:1">
      <c r="A256" s="119"/>
    </row>
    <row r="257" spans="1:1">
      <c r="A257" s="119"/>
    </row>
    <row r="258" spans="1:1">
      <c r="A258" s="119"/>
    </row>
    <row r="259" spans="1:1">
      <c r="A259" s="119"/>
    </row>
    <row r="260" spans="1:1">
      <c r="A260" s="119"/>
    </row>
    <row r="261" spans="1:1">
      <c r="A261" s="119"/>
    </row>
    <row r="262" spans="1:1">
      <c r="A262" s="119"/>
    </row>
    <row r="263" spans="1:1">
      <c r="A263" s="119"/>
    </row>
    <row r="264" spans="1:1">
      <c r="A264" s="119"/>
    </row>
    <row r="265" spans="1:1">
      <c r="A265" s="119"/>
    </row>
    <row r="266" spans="1:1">
      <c r="A266" s="119"/>
    </row>
    <row r="267" spans="1:1">
      <c r="A267" s="119"/>
    </row>
    <row r="268" spans="1:1">
      <c r="A268" s="119"/>
    </row>
    <row r="269" spans="1:1">
      <c r="A269" s="119"/>
    </row>
    <row r="270" spans="1:1">
      <c r="A270" s="119"/>
    </row>
    <row r="271" spans="1:1">
      <c r="A271" s="119"/>
    </row>
    <row r="272" spans="1:1">
      <c r="A272" s="119"/>
    </row>
    <row r="273" spans="1:1">
      <c r="A273" s="119"/>
    </row>
    <row r="274" spans="1:1">
      <c r="A274" s="119"/>
    </row>
    <row r="275" spans="1:1">
      <c r="A275" s="119"/>
    </row>
    <row r="276" spans="1:1">
      <c r="A276" s="119"/>
    </row>
    <row r="277" spans="1:1">
      <c r="A277" s="119"/>
    </row>
    <row r="278" spans="1:1">
      <c r="A278" s="119"/>
    </row>
    <row r="279" spans="1:1">
      <c r="A279" s="119"/>
    </row>
    <row r="280" spans="1:1">
      <c r="A280" s="119"/>
    </row>
    <row r="281" spans="1:1">
      <c r="A281" s="119"/>
    </row>
    <row r="282" spans="1:1">
      <c r="A282" s="119"/>
    </row>
    <row r="283" spans="1:1">
      <c r="A283" s="119"/>
    </row>
    <row r="284" spans="1:1">
      <c r="A284" s="119"/>
    </row>
    <row r="285" spans="1:1">
      <c r="A285" s="119"/>
    </row>
    <row r="286" spans="1:1">
      <c r="A286" s="119"/>
    </row>
    <row r="287" spans="1:1">
      <c r="A287" s="119"/>
    </row>
    <row r="288" spans="1:1">
      <c r="A288" s="119"/>
    </row>
    <row r="289" spans="1:1">
      <c r="A289" s="119"/>
    </row>
    <row r="290" spans="1:1">
      <c r="A290" s="119"/>
    </row>
    <row r="291" spans="1:1">
      <c r="A291" s="119"/>
    </row>
    <row r="292" spans="1:1">
      <c r="A292" s="119"/>
    </row>
    <row r="293" spans="1:1">
      <c r="A293" s="119"/>
    </row>
    <row r="294" spans="1:1">
      <c r="A294" s="119"/>
    </row>
    <row r="295" spans="1:1">
      <c r="A295" s="119"/>
    </row>
    <row r="296" spans="1:1">
      <c r="A296" s="119"/>
    </row>
    <row r="297" spans="1:1">
      <c r="A297" s="119"/>
    </row>
    <row r="298" spans="1:1">
      <c r="A298" s="119"/>
    </row>
    <row r="299" spans="1:1">
      <c r="A299" s="119"/>
    </row>
    <row r="300" spans="1:1">
      <c r="A300" s="119"/>
    </row>
    <row r="301" spans="1:1">
      <c r="A301" s="119"/>
    </row>
    <row r="302" spans="1:1">
      <c r="A302" s="119"/>
    </row>
    <row r="303" spans="1:1">
      <c r="A303" s="119"/>
    </row>
    <row r="304" spans="1:1">
      <c r="A304" s="119"/>
    </row>
    <row r="305" spans="1:1">
      <c r="A305" s="119"/>
    </row>
    <row r="306" spans="1:1">
      <c r="A306" s="119"/>
    </row>
    <row r="307" spans="1:1">
      <c r="A307" s="119"/>
    </row>
    <row r="308" spans="1:1">
      <c r="A308" s="119"/>
    </row>
    <row r="309" spans="1:1">
      <c r="A309" s="119"/>
    </row>
    <row r="310" spans="1:1">
      <c r="A310" s="119"/>
    </row>
    <row r="311" spans="1:1">
      <c r="A311" s="119"/>
    </row>
    <row r="312" spans="1:1">
      <c r="A312" s="119"/>
    </row>
    <row r="313" spans="1:1">
      <c r="A313" s="119"/>
    </row>
    <row r="314" spans="1:1">
      <c r="A314" s="119"/>
    </row>
    <row r="315" spans="1:1">
      <c r="A315" s="119"/>
    </row>
    <row r="316" spans="1:1">
      <c r="A316" s="119"/>
    </row>
    <row r="317" spans="1:1">
      <c r="A317" s="119"/>
    </row>
    <row r="318" spans="1:1">
      <c r="A318" s="119"/>
    </row>
    <row r="319" spans="1:1">
      <c r="A319" s="119"/>
    </row>
    <row r="320" spans="1:1">
      <c r="A320" s="119"/>
    </row>
    <row r="321" spans="1:1">
      <c r="A321" s="119"/>
    </row>
    <row r="322" spans="1:1">
      <c r="A322" s="119"/>
    </row>
    <row r="323" spans="1:1">
      <c r="A323" s="119"/>
    </row>
    <row r="324" spans="1:1">
      <c r="A324" s="119"/>
    </row>
    <row r="325" spans="1:1">
      <c r="A325" s="119"/>
    </row>
    <row r="326" spans="1:1">
      <c r="A326" s="119"/>
    </row>
    <row r="327" spans="1:1">
      <c r="A327" s="119"/>
    </row>
    <row r="328" spans="1:1">
      <c r="A328" s="119"/>
    </row>
    <row r="329" spans="1:1">
      <c r="A329" s="119"/>
    </row>
    <row r="330" spans="1:1">
      <c r="A330" s="119"/>
    </row>
    <row r="331" spans="1:1">
      <c r="A331" s="119"/>
    </row>
    <row r="332" spans="1:1">
      <c r="A332" s="119"/>
    </row>
    <row r="333" spans="1:1">
      <c r="A333" s="119"/>
    </row>
    <row r="334" spans="1:1">
      <c r="A334" s="119"/>
    </row>
    <row r="335" spans="1:1">
      <c r="A335" s="119"/>
    </row>
    <row r="336" spans="1:1">
      <c r="A336" s="119"/>
    </row>
    <row r="337" spans="1:1">
      <c r="A337" s="119"/>
    </row>
    <row r="338" spans="1:1">
      <c r="A338" s="119"/>
    </row>
    <row r="339" spans="1:1">
      <c r="A339" s="119"/>
    </row>
    <row r="340" spans="1:1">
      <c r="A340" s="119"/>
    </row>
    <row r="341" spans="1:1">
      <c r="A341" s="119"/>
    </row>
    <row r="342" spans="1:1">
      <c r="A342" s="119"/>
    </row>
    <row r="343" spans="1:1">
      <c r="A343" s="119"/>
    </row>
    <row r="344" spans="1:1">
      <c r="A344" s="119"/>
    </row>
    <row r="345" spans="1:1">
      <c r="A345" s="119"/>
    </row>
    <row r="346" spans="1:1">
      <c r="A346" s="119"/>
    </row>
    <row r="347" spans="1:1">
      <c r="A347" s="119"/>
    </row>
    <row r="348" spans="1:1">
      <c r="A348" s="119"/>
    </row>
    <row r="349" spans="1:1">
      <c r="A349" s="119"/>
    </row>
    <row r="350" spans="1:1">
      <c r="A350" s="119"/>
    </row>
    <row r="351" spans="1:1">
      <c r="A351" s="119"/>
    </row>
    <row r="352" spans="1:1">
      <c r="A352" s="119"/>
    </row>
    <row r="353" spans="1:1">
      <c r="A353" s="119"/>
    </row>
    <row r="354" spans="1:1">
      <c r="A354" s="119"/>
    </row>
    <row r="355" spans="1:1">
      <c r="A355" s="119"/>
    </row>
    <row r="356" spans="1:1">
      <c r="A356" s="119"/>
    </row>
    <row r="357" spans="1:1">
      <c r="A357" s="119"/>
    </row>
    <row r="358" spans="1:1">
      <c r="A358" s="119"/>
    </row>
    <row r="359" spans="1:1">
      <c r="A359" s="119"/>
    </row>
    <row r="360" spans="1:1">
      <c r="A360" s="119"/>
    </row>
    <row r="361" spans="1:1">
      <c r="A361" s="119"/>
    </row>
    <row r="362" spans="1:1">
      <c r="A362" s="119"/>
    </row>
    <row r="363" spans="1:1">
      <c r="A363" s="119"/>
    </row>
    <row r="364" spans="1:1">
      <c r="A364" s="119"/>
    </row>
    <row r="365" spans="1:1">
      <c r="A365" s="119"/>
    </row>
    <row r="366" spans="1:1">
      <c r="A366" s="119"/>
    </row>
    <row r="367" spans="1:1">
      <c r="A367" s="119"/>
    </row>
    <row r="368" spans="1:1">
      <c r="A368" s="119"/>
    </row>
    <row r="369" spans="1:1">
      <c r="A369" s="119"/>
    </row>
    <row r="370" spans="1:1">
      <c r="A370" s="119"/>
    </row>
    <row r="371" spans="1:1">
      <c r="A371" s="119"/>
    </row>
    <row r="372" spans="1:1">
      <c r="A372" s="119"/>
    </row>
    <row r="373" spans="1:1">
      <c r="A373" s="119"/>
    </row>
    <row r="374" spans="1:1">
      <c r="A374" s="119"/>
    </row>
    <row r="375" spans="1:1">
      <c r="A375" s="119"/>
    </row>
    <row r="376" spans="1:1">
      <c r="A376" s="119"/>
    </row>
    <row r="377" spans="1:1">
      <c r="A377" s="119"/>
    </row>
    <row r="378" spans="1:1">
      <c r="A378" s="119"/>
    </row>
    <row r="379" spans="1:1">
      <c r="A379" s="119"/>
    </row>
    <row r="380" spans="1:1">
      <c r="A380" s="119"/>
    </row>
    <row r="381" spans="1:1">
      <c r="A381" s="119"/>
    </row>
    <row r="382" spans="1:1">
      <c r="A382" s="119"/>
    </row>
    <row r="383" spans="1:1">
      <c r="A383" s="119"/>
    </row>
    <row r="384" spans="1:1">
      <c r="A384" s="119"/>
    </row>
    <row r="385" spans="1:1">
      <c r="A385" s="119"/>
    </row>
    <row r="386" spans="1:1">
      <c r="A386" s="119"/>
    </row>
    <row r="387" spans="1:1">
      <c r="A387" s="119"/>
    </row>
    <row r="388" spans="1:1">
      <c r="A388" s="119"/>
    </row>
    <row r="389" spans="1:1">
      <c r="A389" s="119"/>
    </row>
    <row r="390" spans="1:1">
      <c r="A390" s="119"/>
    </row>
    <row r="391" spans="1:1">
      <c r="A391" s="119"/>
    </row>
    <row r="392" spans="1:1">
      <c r="A392" s="119"/>
    </row>
    <row r="393" spans="1:1">
      <c r="A393" s="119"/>
    </row>
    <row r="394" spans="1:1">
      <c r="A394" s="119"/>
    </row>
    <row r="395" spans="1:1">
      <c r="A395" s="119"/>
    </row>
    <row r="396" spans="1:1">
      <c r="A396" s="119"/>
    </row>
    <row r="397" spans="1:1">
      <c r="A397" s="119"/>
    </row>
    <row r="398" spans="1:1">
      <c r="A398" s="119"/>
    </row>
    <row r="399" spans="1:1">
      <c r="A399" s="119"/>
    </row>
    <row r="400" spans="1:1">
      <c r="A400" s="119"/>
    </row>
    <row r="401" spans="1:1">
      <c r="A401" s="119"/>
    </row>
    <row r="402" spans="1:1">
      <c r="A402" s="119"/>
    </row>
    <row r="403" spans="1:1">
      <c r="A403" s="119"/>
    </row>
    <row r="404" spans="1:1">
      <c r="A404" s="119"/>
    </row>
    <row r="405" spans="1:1">
      <c r="A405" s="119"/>
    </row>
    <row r="406" spans="1:1">
      <c r="A406" s="119"/>
    </row>
    <row r="407" spans="1:1">
      <c r="A407" s="119"/>
    </row>
    <row r="408" spans="1:1">
      <c r="A408" s="119"/>
    </row>
    <row r="409" spans="1:1">
      <c r="A409" s="119"/>
    </row>
    <row r="410" spans="1:1">
      <c r="A410" s="119"/>
    </row>
    <row r="411" spans="1:1">
      <c r="A411" s="119"/>
    </row>
    <row r="412" spans="1:1">
      <c r="A412" s="119"/>
    </row>
    <row r="413" spans="1:1">
      <c r="A413" s="119"/>
    </row>
    <row r="414" spans="1:1">
      <c r="A414" s="119"/>
    </row>
    <row r="415" spans="1:1">
      <c r="A415" s="119"/>
    </row>
    <row r="416" spans="1:1">
      <c r="A416" s="119"/>
    </row>
    <row r="417" spans="1:1">
      <c r="A417" s="119"/>
    </row>
    <row r="418" spans="1:1">
      <c r="A418" s="119"/>
    </row>
    <row r="419" spans="1:1">
      <c r="A419" s="119"/>
    </row>
    <row r="420" spans="1:1">
      <c r="A420" s="119"/>
    </row>
    <row r="421" spans="1:1">
      <c r="A421" s="119"/>
    </row>
    <row r="422" spans="1:1">
      <c r="A422" s="119"/>
    </row>
    <row r="423" spans="1:1">
      <c r="A423" s="119"/>
    </row>
    <row r="424" spans="1:1">
      <c r="A424" s="119"/>
    </row>
    <row r="425" spans="1:1">
      <c r="A425" s="119"/>
    </row>
    <row r="426" spans="1:1">
      <c r="A426" s="119"/>
    </row>
    <row r="427" spans="1:1">
      <c r="A427" s="119"/>
    </row>
    <row r="428" spans="1:1">
      <c r="A428" s="119"/>
    </row>
    <row r="429" spans="1:1">
      <c r="A429" s="119"/>
    </row>
    <row r="430" spans="1:1">
      <c r="A430" s="119"/>
    </row>
    <row r="431" spans="1:1">
      <c r="A431" s="119"/>
    </row>
    <row r="432" spans="1:1">
      <c r="A432" s="119"/>
    </row>
    <row r="433" spans="1:1">
      <c r="A433" s="119"/>
    </row>
    <row r="434" spans="1:1">
      <c r="A434" s="119"/>
    </row>
    <row r="435" spans="1:1">
      <c r="A435" s="119"/>
    </row>
    <row r="436" spans="1:1">
      <c r="A436" s="119"/>
    </row>
    <row r="437" spans="1:1">
      <c r="A437" s="119"/>
    </row>
    <row r="438" spans="1:1">
      <c r="A438" s="119"/>
    </row>
    <row r="439" spans="1:1">
      <c r="A439" s="119"/>
    </row>
    <row r="440" spans="1:1">
      <c r="A440" s="119"/>
    </row>
    <row r="441" spans="1:1">
      <c r="A441" s="119"/>
    </row>
    <row r="442" spans="1:1">
      <c r="A442" s="119"/>
    </row>
    <row r="443" spans="1:1">
      <c r="A443" s="119"/>
    </row>
    <row r="444" spans="1:1">
      <c r="A444" s="119"/>
    </row>
    <row r="445" spans="1:1">
      <c r="A445" s="119"/>
    </row>
    <row r="446" spans="1:1">
      <c r="A446" s="119"/>
    </row>
    <row r="447" spans="1:1">
      <c r="A447" s="119"/>
    </row>
    <row r="448" spans="1:1">
      <c r="A448" s="119"/>
    </row>
    <row r="449" spans="1:1">
      <c r="A449" s="119"/>
    </row>
    <row r="450" spans="1:1">
      <c r="A450" s="119"/>
    </row>
    <row r="451" spans="1:1">
      <c r="A451" s="119"/>
    </row>
    <row r="452" spans="1:1">
      <c r="A452" s="119"/>
    </row>
    <row r="453" spans="1:1">
      <c r="A453" s="119"/>
    </row>
    <row r="454" spans="1:1">
      <c r="A454" s="119"/>
    </row>
    <row r="455" spans="1:1">
      <c r="A455" s="119"/>
    </row>
    <row r="456" spans="1:1">
      <c r="A456" s="119"/>
    </row>
    <row r="457" spans="1:1">
      <c r="A457" s="119"/>
    </row>
    <row r="458" spans="1:1">
      <c r="A458" s="119"/>
    </row>
    <row r="459" spans="1:1">
      <c r="A459" s="119"/>
    </row>
    <row r="460" spans="1:1">
      <c r="A460" s="119"/>
    </row>
    <row r="461" spans="1:1">
      <c r="A461" s="119"/>
    </row>
    <row r="462" spans="1:1">
      <c r="A462" s="119"/>
    </row>
    <row r="463" spans="1:1">
      <c r="A463" s="119"/>
    </row>
    <row r="464" spans="1:1">
      <c r="A464" s="119"/>
    </row>
    <row r="465" spans="1:1">
      <c r="A465" s="119"/>
    </row>
    <row r="466" spans="1:1">
      <c r="A466" s="119"/>
    </row>
    <row r="467" spans="1:1">
      <c r="A467" s="119"/>
    </row>
    <row r="468" spans="1:1">
      <c r="A468" s="119"/>
    </row>
    <row r="469" spans="1:1">
      <c r="A469" s="119"/>
    </row>
    <row r="470" spans="1:1">
      <c r="A470" s="119"/>
    </row>
    <row r="471" spans="1:1">
      <c r="A471" s="119"/>
    </row>
    <row r="472" spans="1:1">
      <c r="A472" s="119"/>
    </row>
    <row r="473" spans="1:1">
      <c r="A473" s="119"/>
    </row>
    <row r="474" spans="1:1">
      <c r="A474" s="119"/>
    </row>
    <row r="475" spans="1:1">
      <c r="A475" s="119"/>
    </row>
    <row r="476" spans="1:1">
      <c r="A476" s="119"/>
    </row>
    <row r="477" spans="1:1">
      <c r="A477" s="119"/>
    </row>
    <row r="478" spans="1:1">
      <c r="A478" s="119"/>
    </row>
    <row r="479" spans="1:1">
      <c r="A479" s="119"/>
    </row>
    <row r="480" spans="1:1">
      <c r="A480" s="119"/>
    </row>
    <row r="481" spans="1:1">
      <c r="A481" s="119"/>
    </row>
    <row r="482" spans="1:1">
      <c r="A482" s="119"/>
    </row>
    <row r="483" spans="1:1">
      <c r="A483" s="119"/>
    </row>
    <row r="484" spans="1:1">
      <c r="A484" s="119"/>
    </row>
    <row r="485" spans="1:1">
      <c r="A485" s="119"/>
    </row>
    <row r="486" spans="1:1">
      <c r="A486" s="119"/>
    </row>
    <row r="487" spans="1:1">
      <c r="A487" s="119"/>
    </row>
    <row r="488" spans="1:1">
      <c r="A488" s="119"/>
    </row>
    <row r="489" spans="1:1">
      <c r="A489" s="119"/>
    </row>
    <row r="490" spans="1:1">
      <c r="A490" s="119"/>
    </row>
    <row r="491" spans="1:1">
      <c r="A491" s="119"/>
    </row>
    <row r="492" spans="1:1">
      <c r="A492" s="119"/>
    </row>
    <row r="493" spans="1:1">
      <c r="A493" s="119"/>
    </row>
    <row r="494" spans="1:1">
      <c r="A494" s="119"/>
    </row>
    <row r="495" spans="1:1">
      <c r="A495" s="119"/>
    </row>
    <row r="496" spans="1:1">
      <c r="A496" s="119"/>
    </row>
    <row r="497" spans="1:1">
      <c r="A497" s="119"/>
    </row>
    <row r="498" spans="1:1">
      <c r="A498" s="119"/>
    </row>
    <row r="499" spans="1:1">
      <c r="A499" s="119"/>
    </row>
    <row r="500" spans="1:1">
      <c r="A500" s="119"/>
    </row>
    <row r="501" spans="1:1">
      <c r="A501" s="119"/>
    </row>
    <row r="502" spans="1:1">
      <c r="A502" s="119"/>
    </row>
    <row r="503" spans="1:1">
      <c r="A503" s="119"/>
    </row>
    <row r="504" spans="1:1">
      <c r="A504" s="119"/>
    </row>
    <row r="505" spans="1:1">
      <c r="A505" s="119"/>
    </row>
    <row r="506" spans="1:1">
      <c r="A506" s="119"/>
    </row>
    <row r="507" spans="1:1">
      <c r="A507" s="119"/>
    </row>
    <row r="508" spans="1:1">
      <c r="A508" s="119"/>
    </row>
    <row r="509" spans="1:1">
      <c r="A509" s="119"/>
    </row>
    <row r="510" spans="1:1">
      <c r="A510" s="119"/>
    </row>
    <row r="511" spans="1:1">
      <c r="A511" s="119"/>
    </row>
    <row r="512" spans="1:1">
      <c r="A512" s="119"/>
    </row>
    <row r="513" spans="1:1">
      <c r="A513" s="119"/>
    </row>
    <row r="514" spans="1:1">
      <c r="A514" s="119"/>
    </row>
    <row r="515" spans="1:1">
      <c r="A515" s="119"/>
    </row>
    <row r="516" spans="1:1">
      <c r="A516" s="119"/>
    </row>
    <row r="517" spans="1:1">
      <c r="A517" s="119"/>
    </row>
    <row r="518" spans="1:1">
      <c r="A518" s="119"/>
    </row>
    <row r="519" spans="1:1">
      <c r="A519" s="119"/>
    </row>
    <row r="520" spans="1:1">
      <c r="A520" s="119"/>
    </row>
    <row r="521" spans="1:1">
      <c r="A521" s="119"/>
    </row>
    <row r="522" spans="1:1">
      <c r="A522" s="119"/>
    </row>
    <row r="523" spans="1:1">
      <c r="A523" s="119"/>
    </row>
    <row r="524" spans="1:1">
      <c r="A524" s="119"/>
    </row>
    <row r="525" spans="1:1">
      <c r="A525" s="119"/>
    </row>
    <row r="526" spans="1:1">
      <c r="A526" s="119"/>
    </row>
    <row r="527" spans="1:1">
      <c r="A527" s="119"/>
    </row>
    <row r="528" spans="1:1">
      <c r="A528" s="119"/>
    </row>
    <row r="529" spans="1:1">
      <c r="A529" s="119"/>
    </row>
    <row r="530" spans="1:1">
      <c r="A530" s="119"/>
    </row>
    <row r="531" spans="1:1">
      <c r="A531" s="119"/>
    </row>
    <row r="532" spans="1:1">
      <c r="A532" s="119"/>
    </row>
    <row r="533" spans="1:1">
      <c r="A533" s="119"/>
    </row>
    <row r="534" spans="1:1">
      <c r="A534" s="119"/>
    </row>
    <row r="535" spans="1:1">
      <c r="A535" s="119"/>
    </row>
    <row r="536" spans="1:1">
      <c r="A536" s="119"/>
    </row>
    <row r="537" spans="1:1">
      <c r="A537" s="119"/>
    </row>
    <row r="538" spans="1:1">
      <c r="A538" s="119"/>
    </row>
    <row r="539" spans="1:1">
      <c r="A539" s="119"/>
    </row>
    <row r="540" spans="1:1">
      <c r="A540" s="119"/>
    </row>
    <row r="541" spans="1:1">
      <c r="A541" s="119"/>
    </row>
    <row r="542" spans="1:1">
      <c r="A542" s="119"/>
    </row>
    <row r="543" spans="1:1">
      <c r="A543" s="119"/>
    </row>
    <row r="544" spans="1:1">
      <c r="A544" s="119"/>
    </row>
    <row r="545" spans="1:1">
      <c r="A545" s="119"/>
    </row>
    <row r="546" spans="1:1">
      <c r="A546" s="119"/>
    </row>
    <row r="547" spans="1:1">
      <c r="A547" s="119"/>
    </row>
    <row r="548" spans="1:1">
      <c r="A548" s="119"/>
    </row>
    <row r="549" spans="1:1">
      <c r="A549" s="119"/>
    </row>
    <row r="550" spans="1:1">
      <c r="A550" s="119"/>
    </row>
    <row r="551" spans="1:1">
      <c r="A551" s="119"/>
    </row>
    <row r="552" spans="1:1">
      <c r="A552" s="119"/>
    </row>
    <row r="553" spans="1:1">
      <c r="A553" s="119"/>
    </row>
    <row r="554" spans="1:1">
      <c r="A554" s="119"/>
    </row>
    <row r="555" spans="1:1">
      <c r="A555" s="119"/>
    </row>
    <row r="556" spans="1:1">
      <c r="A556" s="119"/>
    </row>
    <row r="557" spans="1:1">
      <c r="A557" s="119"/>
    </row>
    <row r="558" spans="1:1">
      <c r="A558" s="119"/>
    </row>
    <row r="559" spans="1:1">
      <c r="A559" s="119"/>
    </row>
    <row r="560" spans="1:1">
      <c r="A560" s="119"/>
    </row>
    <row r="561" spans="1:1">
      <c r="A561" s="119"/>
    </row>
    <row r="562" spans="1:1">
      <c r="A562" s="119"/>
    </row>
    <row r="563" spans="1:1">
      <c r="A563" s="119"/>
    </row>
    <row r="564" spans="1:1">
      <c r="A564" s="119"/>
    </row>
    <row r="565" spans="1:1">
      <c r="A565" s="119"/>
    </row>
    <row r="566" spans="1:1">
      <c r="A566" s="119"/>
    </row>
    <row r="567" spans="1:1">
      <c r="A567" s="119"/>
    </row>
    <row r="568" spans="1:1">
      <c r="A568" s="119"/>
    </row>
    <row r="569" spans="1:1">
      <c r="A569" s="119"/>
    </row>
    <row r="570" spans="1:1">
      <c r="A570" s="119"/>
    </row>
    <row r="571" spans="1:1">
      <c r="A571" s="119"/>
    </row>
    <row r="572" spans="1:1">
      <c r="A572" s="119"/>
    </row>
    <row r="573" spans="1:1">
      <c r="A573" s="119"/>
    </row>
    <row r="574" spans="1:1">
      <c r="A574" s="119"/>
    </row>
    <row r="575" spans="1:1">
      <c r="A575" s="119"/>
    </row>
    <row r="576" spans="1:1">
      <c r="A576" s="119"/>
    </row>
    <row r="577" spans="1:1">
      <c r="A577" s="119"/>
    </row>
    <row r="578" spans="1:1">
      <c r="A578" s="119"/>
    </row>
    <row r="579" spans="1:1">
      <c r="A579" s="119"/>
    </row>
    <row r="580" spans="1:1">
      <c r="A580" s="119"/>
    </row>
    <row r="581" spans="1:1">
      <c r="A581" s="119"/>
    </row>
    <row r="582" spans="1:1">
      <c r="A582" s="119"/>
    </row>
    <row r="583" spans="1:1">
      <c r="A583" s="119"/>
    </row>
    <row r="584" spans="1:1">
      <c r="A584" s="119"/>
    </row>
    <row r="585" spans="1:1">
      <c r="A585" s="119"/>
    </row>
    <row r="586" spans="1:1">
      <c r="A586" s="119"/>
    </row>
    <row r="587" spans="1:1">
      <c r="A587" s="119"/>
    </row>
    <row r="588" spans="1:1">
      <c r="A588" s="119"/>
    </row>
    <row r="589" spans="1:1">
      <c r="A589" s="119"/>
    </row>
    <row r="590" spans="1:1">
      <c r="A590" s="119"/>
    </row>
    <row r="591" spans="1:1">
      <c r="A591" s="119"/>
    </row>
    <row r="592" spans="1:1">
      <c r="A592" s="119"/>
    </row>
    <row r="593" spans="1:1">
      <c r="A593" s="119"/>
    </row>
    <row r="594" spans="1:1">
      <c r="A594" s="119"/>
    </row>
    <row r="595" spans="1:1">
      <c r="A595" s="119"/>
    </row>
    <row r="596" spans="1:1">
      <c r="A596" s="119"/>
    </row>
    <row r="597" spans="1:1">
      <c r="A597" s="119"/>
    </row>
    <row r="598" spans="1:1">
      <c r="A598" s="119"/>
    </row>
    <row r="599" spans="1:1">
      <c r="A599" s="119"/>
    </row>
    <row r="600" spans="1:1">
      <c r="A600" s="119"/>
    </row>
    <row r="601" spans="1:1">
      <c r="A601" s="119"/>
    </row>
    <row r="602" spans="1:1">
      <c r="A602" s="119"/>
    </row>
    <row r="603" spans="1:1">
      <c r="A603" s="119"/>
    </row>
    <row r="604" spans="1:1">
      <c r="A604" s="119"/>
    </row>
    <row r="605" spans="1:1">
      <c r="A605" s="119"/>
    </row>
    <row r="606" spans="1:1">
      <c r="A606" s="119"/>
    </row>
    <row r="607" spans="1:1">
      <c r="A607" s="119"/>
    </row>
    <row r="608" spans="1:1">
      <c r="A608" s="119"/>
    </row>
    <row r="609" spans="1:1">
      <c r="A609" s="119"/>
    </row>
    <row r="610" spans="1:1">
      <c r="A610" s="119"/>
    </row>
    <row r="611" spans="1:1">
      <c r="A611" s="119"/>
    </row>
    <row r="612" spans="1:1">
      <c r="A612" s="119"/>
    </row>
    <row r="613" spans="1:1">
      <c r="A613" s="119"/>
    </row>
    <row r="614" spans="1:1">
      <c r="A614" s="119"/>
    </row>
    <row r="615" spans="1:1">
      <c r="A615" s="119"/>
    </row>
    <row r="616" spans="1:1">
      <c r="A616" s="119"/>
    </row>
    <row r="617" spans="1:1">
      <c r="A617" s="119"/>
    </row>
    <row r="618" spans="1:1">
      <c r="A618" s="119"/>
    </row>
    <row r="619" spans="1:1">
      <c r="A619" s="119"/>
    </row>
    <row r="620" spans="1:1">
      <c r="A620" s="119"/>
    </row>
    <row r="621" spans="1:1">
      <c r="A621" s="119"/>
    </row>
    <row r="622" spans="1:1">
      <c r="A622" s="119"/>
    </row>
    <row r="623" spans="1:1">
      <c r="A623" s="119"/>
    </row>
    <row r="624" spans="1:1">
      <c r="A624" s="119"/>
    </row>
    <row r="625" spans="1:1">
      <c r="A625" s="119"/>
    </row>
    <row r="626" spans="1:1">
      <c r="A626" s="119"/>
    </row>
    <row r="627" spans="1:1">
      <c r="A627" s="119"/>
    </row>
    <row r="628" spans="1:1">
      <c r="A628" s="119"/>
    </row>
    <row r="629" spans="1:1">
      <c r="A629" s="119"/>
    </row>
    <row r="630" spans="1:1">
      <c r="A630" s="119"/>
    </row>
    <row r="631" spans="1:1">
      <c r="A631" s="119"/>
    </row>
    <row r="632" spans="1:1">
      <c r="A632" s="119"/>
    </row>
    <row r="633" spans="1:1">
      <c r="A633" s="119"/>
    </row>
    <row r="634" spans="1:1">
      <c r="A634" s="119"/>
    </row>
    <row r="635" spans="1:1">
      <c r="A635" s="119"/>
    </row>
    <row r="636" spans="1:1">
      <c r="A636" s="119"/>
    </row>
    <row r="637" spans="1:1">
      <c r="A637" s="119"/>
    </row>
    <row r="638" spans="1:1">
      <c r="A638" s="119"/>
    </row>
    <row r="639" spans="1:1">
      <c r="A639" s="119"/>
    </row>
    <row r="640" spans="1:1">
      <c r="A640" s="119"/>
    </row>
    <row r="641" spans="1:1">
      <c r="A641" s="119"/>
    </row>
    <row r="642" spans="1:1">
      <c r="A642" s="119"/>
    </row>
    <row r="643" spans="1:1">
      <c r="A643" s="119"/>
    </row>
    <row r="644" spans="1:1">
      <c r="A644" s="119"/>
    </row>
    <row r="645" spans="1:1">
      <c r="A645" s="119"/>
    </row>
    <row r="646" spans="1:1">
      <c r="A646" s="119"/>
    </row>
    <row r="647" spans="1:1">
      <c r="A647" s="119"/>
    </row>
    <row r="648" spans="1:1">
      <c r="A648" s="119"/>
    </row>
    <row r="649" spans="1:1">
      <c r="A649" s="119"/>
    </row>
    <row r="650" spans="1:1">
      <c r="A650" s="119"/>
    </row>
    <row r="651" spans="1:1">
      <c r="A651" s="119"/>
    </row>
    <row r="652" spans="1:1">
      <c r="A652" s="119"/>
    </row>
    <row r="653" spans="1:1">
      <c r="A653" s="119"/>
    </row>
    <row r="654" spans="1:1">
      <c r="A654" s="119"/>
    </row>
    <row r="655" spans="1:1">
      <c r="A655" s="119"/>
    </row>
    <row r="656" spans="1:1">
      <c r="A656" s="119"/>
    </row>
    <row r="657" spans="1:1">
      <c r="A657" s="119"/>
    </row>
    <row r="658" spans="1:1">
      <c r="A658" s="119"/>
    </row>
    <row r="659" spans="1:1">
      <c r="A659" s="119"/>
    </row>
    <row r="660" spans="1:1">
      <c r="A660" s="119"/>
    </row>
    <row r="661" spans="1:1">
      <c r="A661" s="119"/>
    </row>
    <row r="662" spans="1:1">
      <c r="A662" s="119"/>
    </row>
    <row r="663" spans="1:1">
      <c r="A663" s="119"/>
    </row>
    <row r="664" spans="1:1">
      <c r="A664" s="119"/>
    </row>
    <row r="665" spans="1:1">
      <c r="A665" s="119"/>
    </row>
    <row r="666" spans="1:1">
      <c r="A666" s="119"/>
    </row>
    <row r="667" spans="1:1">
      <c r="A667" s="119"/>
    </row>
    <row r="668" spans="1:1">
      <c r="A668" s="119"/>
    </row>
    <row r="669" spans="1:1">
      <c r="A669" s="119"/>
    </row>
    <row r="670" spans="1:1">
      <c r="A670" s="119"/>
    </row>
    <row r="671" spans="1:1">
      <c r="A671" s="119"/>
    </row>
    <row r="672" spans="1:1">
      <c r="A672" s="119"/>
    </row>
    <row r="673" spans="1:1">
      <c r="A673" s="119"/>
    </row>
    <row r="674" spans="1:1">
      <c r="A674" s="119"/>
    </row>
    <row r="675" spans="1:1">
      <c r="A675" s="119"/>
    </row>
    <row r="676" spans="1:1">
      <c r="A676" s="119"/>
    </row>
    <row r="677" spans="1:1">
      <c r="A677" s="119"/>
    </row>
    <row r="678" spans="1:1">
      <c r="A678" s="119"/>
    </row>
    <row r="679" spans="1:1">
      <c r="A679" s="119"/>
    </row>
    <row r="680" spans="1:1">
      <c r="A680" s="119"/>
    </row>
    <row r="681" spans="1:1">
      <c r="A681" s="119"/>
    </row>
    <row r="682" spans="1:1">
      <c r="A682" s="119"/>
    </row>
    <row r="683" spans="1:1">
      <c r="A683" s="119"/>
    </row>
    <row r="684" spans="1:1">
      <c r="A684" s="119"/>
    </row>
    <row r="685" spans="1:1">
      <c r="A685" s="119"/>
    </row>
    <row r="686" spans="1:1">
      <c r="A686" s="119"/>
    </row>
    <row r="687" spans="1:1">
      <c r="A687" s="119"/>
    </row>
    <row r="688" spans="1:1">
      <c r="A688" s="119"/>
    </row>
    <row r="689" spans="1:1">
      <c r="A689" s="119"/>
    </row>
    <row r="690" spans="1:1">
      <c r="A690" s="119"/>
    </row>
    <row r="691" spans="1:1">
      <c r="A691" s="119"/>
    </row>
    <row r="692" spans="1:1">
      <c r="A692" s="119"/>
    </row>
    <row r="693" spans="1:1">
      <c r="A693" s="119"/>
    </row>
    <row r="694" spans="1:1">
      <c r="A694" s="119"/>
    </row>
    <row r="695" spans="1:1">
      <c r="A695" s="119"/>
    </row>
    <row r="696" spans="1:1">
      <c r="A696" s="119"/>
    </row>
    <row r="697" spans="1:1">
      <c r="A697" s="119"/>
    </row>
    <row r="698" spans="1:1">
      <c r="A698" s="119"/>
    </row>
    <row r="699" spans="1:1">
      <c r="A699" s="119"/>
    </row>
    <row r="700" spans="1:1">
      <c r="A700" s="119"/>
    </row>
    <row r="701" spans="1:1">
      <c r="A701" s="119"/>
    </row>
    <row r="702" spans="1:1">
      <c r="A702" s="119"/>
    </row>
    <row r="703" spans="1:1">
      <c r="A703" s="119"/>
    </row>
    <row r="704" spans="1:1">
      <c r="A704" s="119"/>
    </row>
    <row r="705" spans="1:1">
      <c r="A705" s="119"/>
    </row>
    <row r="706" spans="1:1">
      <c r="A706" s="119"/>
    </row>
    <row r="707" spans="1:1">
      <c r="A707" s="119"/>
    </row>
    <row r="708" spans="1:1">
      <c r="A708" s="119"/>
    </row>
    <row r="709" spans="1:1">
      <c r="A709" s="119"/>
    </row>
    <row r="710" spans="1:1">
      <c r="A710" s="119"/>
    </row>
    <row r="711" spans="1:1">
      <c r="A711" s="119"/>
    </row>
    <row r="712" spans="1:1">
      <c r="A712" s="119"/>
    </row>
    <row r="713" spans="1:1">
      <c r="A713" s="119"/>
    </row>
    <row r="714" spans="1:1">
      <c r="A714" s="119"/>
    </row>
    <row r="715" spans="1:1">
      <c r="A715" s="119"/>
    </row>
    <row r="716" spans="1:1">
      <c r="A716" s="119"/>
    </row>
    <row r="717" spans="1:1">
      <c r="A717" s="119"/>
    </row>
    <row r="718" spans="1:1">
      <c r="A718" s="119"/>
    </row>
    <row r="719" spans="1:1">
      <c r="A719" s="119"/>
    </row>
    <row r="720" spans="1:1">
      <c r="A720" s="119"/>
    </row>
    <row r="721" spans="1:1">
      <c r="A721" s="119"/>
    </row>
    <row r="722" spans="1:1">
      <c r="A722" s="119"/>
    </row>
    <row r="723" spans="1:1">
      <c r="A723" s="119"/>
    </row>
    <row r="724" spans="1:1">
      <c r="A724" s="119"/>
    </row>
    <row r="725" spans="1:1">
      <c r="A725" s="119"/>
    </row>
    <row r="726" spans="1:1">
      <c r="A726" s="119"/>
    </row>
    <row r="727" spans="1:1">
      <c r="A727" s="119"/>
    </row>
    <row r="728" spans="1:1">
      <c r="A728" s="119"/>
    </row>
    <row r="729" spans="1:1">
      <c r="A729" s="119"/>
    </row>
    <row r="730" spans="1:1">
      <c r="A730" s="119"/>
    </row>
    <row r="731" spans="1:1">
      <c r="A731" s="119"/>
    </row>
    <row r="732" spans="1:1">
      <c r="A732" s="119"/>
    </row>
    <row r="733" spans="1:1">
      <c r="A733" s="119"/>
    </row>
    <row r="734" spans="1:1">
      <c r="A734" s="119"/>
    </row>
    <row r="735" spans="1:1">
      <c r="A735" s="119"/>
    </row>
    <row r="736" spans="1:1">
      <c r="A736" s="119"/>
    </row>
    <row r="737" spans="1:1">
      <c r="A737" s="119"/>
    </row>
    <row r="738" spans="1:1">
      <c r="A738" s="119"/>
    </row>
    <row r="739" spans="1:1">
      <c r="A739" s="119"/>
    </row>
    <row r="740" spans="1:1">
      <c r="A740" s="119"/>
    </row>
    <row r="741" spans="1:1">
      <c r="A741" s="119"/>
    </row>
    <row r="742" spans="1:1">
      <c r="A742" s="119"/>
    </row>
    <row r="743" spans="1:1">
      <c r="A743" s="119"/>
    </row>
    <row r="744" spans="1:1">
      <c r="A744" s="119"/>
    </row>
    <row r="745" spans="1:1">
      <c r="A745" s="119"/>
    </row>
    <row r="746" spans="1:1">
      <c r="A746" s="119"/>
    </row>
    <row r="747" spans="1:1">
      <c r="A747" s="119"/>
    </row>
    <row r="748" spans="1:1">
      <c r="A748" s="119"/>
    </row>
    <row r="749" spans="1:1">
      <c r="A749" s="119"/>
    </row>
    <row r="750" spans="1:1">
      <c r="A750" s="119"/>
    </row>
    <row r="751" spans="1:1">
      <c r="A751" s="119"/>
    </row>
    <row r="752" spans="1:1">
      <c r="A752" s="119"/>
    </row>
    <row r="753" spans="1:1">
      <c r="A753" s="119"/>
    </row>
    <row r="754" spans="1:1">
      <c r="A754" s="119"/>
    </row>
    <row r="755" spans="1:1">
      <c r="A755" s="119"/>
    </row>
    <row r="756" spans="1:1">
      <c r="A756" s="119"/>
    </row>
    <row r="757" spans="1:1">
      <c r="A757" s="119"/>
    </row>
    <row r="758" spans="1:1">
      <c r="A758" s="119"/>
    </row>
    <row r="759" spans="1:1">
      <c r="A759" s="119"/>
    </row>
    <row r="760" spans="1:1">
      <c r="A760" s="119"/>
    </row>
    <row r="761" spans="1:1">
      <c r="A761" s="119"/>
    </row>
    <row r="762" spans="1:1">
      <c r="A762" s="119"/>
    </row>
    <row r="763" spans="1:1">
      <c r="A763" s="119"/>
    </row>
    <row r="764" spans="1:1">
      <c r="A764" s="119"/>
    </row>
    <row r="765" spans="1:1">
      <c r="A765" s="119"/>
    </row>
    <row r="766" spans="1:1">
      <c r="A766" s="119"/>
    </row>
    <row r="767" spans="1:1">
      <c r="A767" s="119"/>
    </row>
    <row r="768" spans="1:1">
      <c r="A768" s="119"/>
    </row>
    <row r="769" spans="1:1">
      <c r="A769" s="119"/>
    </row>
    <row r="770" spans="1:1">
      <c r="A770" s="119"/>
    </row>
    <row r="771" spans="1:1">
      <c r="A771" s="119"/>
    </row>
    <row r="772" spans="1:1">
      <c r="A772" s="119"/>
    </row>
    <row r="773" spans="1:1">
      <c r="A773" s="119"/>
    </row>
    <row r="774" spans="1:1">
      <c r="A774" s="119"/>
    </row>
    <row r="775" spans="1:1">
      <c r="A775" s="119"/>
    </row>
    <row r="776" spans="1:1">
      <c r="A776" s="119"/>
    </row>
    <row r="777" spans="1:1">
      <c r="A777" s="119"/>
    </row>
    <row r="778" spans="1:1">
      <c r="A778" s="119"/>
    </row>
    <row r="779" spans="1:1">
      <c r="A779" s="119"/>
    </row>
    <row r="780" spans="1:1">
      <c r="A780" s="119"/>
    </row>
    <row r="781" spans="1:1">
      <c r="A781" s="119"/>
    </row>
    <row r="782" spans="1:1">
      <c r="A782" s="119"/>
    </row>
    <row r="783" spans="1:1">
      <c r="A783" s="119"/>
    </row>
    <row r="784" spans="1:1">
      <c r="A784" s="119"/>
    </row>
    <row r="785" spans="1:1">
      <c r="A785" s="119"/>
    </row>
    <row r="786" spans="1:1">
      <c r="A786" s="119"/>
    </row>
    <row r="787" spans="1:1">
      <c r="A787" s="119"/>
    </row>
    <row r="788" spans="1:1">
      <c r="A788" s="119"/>
    </row>
    <row r="789" spans="1:1">
      <c r="A789" s="119"/>
    </row>
    <row r="790" spans="1:1">
      <c r="A790" s="119"/>
    </row>
    <row r="791" spans="1:1">
      <c r="A791" s="119"/>
    </row>
    <row r="792" spans="1:1">
      <c r="A792" s="119"/>
    </row>
    <row r="793" spans="1:1">
      <c r="A793" s="119"/>
    </row>
    <row r="794" spans="1:1">
      <c r="A794" s="119"/>
    </row>
    <row r="795" spans="1:1">
      <c r="A795" s="119"/>
    </row>
    <row r="796" spans="1:1">
      <c r="A796" s="119"/>
    </row>
    <row r="797" spans="1:1">
      <c r="A797" s="119"/>
    </row>
    <row r="798" spans="1:1">
      <c r="A798" s="119"/>
    </row>
    <row r="799" spans="1:1">
      <c r="A799" s="119"/>
    </row>
    <row r="800" spans="1:1">
      <c r="A800" s="119"/>
    </row>
    <row r="801" spans="1:1">
      <c r="A801" s="119"/>
    </row>
    <row r="802" spans="1:1">
      <c r="A802" s="119"/>
    </row>
  </sheetData>
  <conditionalFormatting sqref="E2:E3">
    <cfRule type="containsText" dxfId="48" priority="20" stopIfTrue="1" operator="containsText" text="Checked:">
      <formula>NOT(ISERROR(SEARCH("Checked:",E2)))</formula>
    </cfRule>
    <cfRule type="cellIs" dxfId="47" priority="21" stopIfTrue="1" operator="equal">
      <formula>"No checklist items checked"</formula>
    </cfRule>
    <cfRule type="cellIs" dxfId="46" priority="22" stopIfTrue="1" operator="equal">
      <formula>"Sent"</formula>
    </cfRule>
    <cfRule type="cellIs" dxfId="45" priority="23" stopIfTrue="1" operator="equal">
      <formula>"Scheduled"</formula>
    </cfRule>
    <cfRule type="cellIs" dxfId="44" priority="24" stopIfTrue="1" operator="equal">
      <formula>"Ready to Schedule"</formula>
    </cfRule>
  </conditionalFormatting>
  <conditionalFormatting sqref="A2:R3">
    <cfRule type="expression" dxfId="43" priority="25">
      <formula>OR(LOWER(TRIM($R2))="cancelled",LOWER(TRIM($R2))="canceled")</formula>
    </cfRule>
    <cfRule type="expression" dxfId="42" priority="26">
      <formula>OR(LOWER(TRIM($R2))="cancelled",LOWER(TRIM($R2))="canceled")</formula>
    </cfRule>
  </conditionalFormatting>
  <conditionalFormatting sqref="A2:R202">
    <cfRule type="expression" dxfId="41" priority="1">
      <formula>AND($C2&lt;&gt;"",$K2&lt;&gt;TRUE,IFERROR(INT($A2),0)&gt;=TODAY()+1,IFERROR(INT($A2),0)&lt;=TODAY()+IF(WEEKDAY(TODAY(),1)=6,3,1),NOT(OR(LOWER(TRIM($R2))="cancelled",LOWER(TRIM($R2))="canceled")))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300-000000000000}">
          <x14:formula1>
            <xm:f>Dropdowns!$A$2:$A$8</xm:f>
          </x14:formula1>
          <xm:sqref>D4:D1001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Dropdowns!$A$2:$A$8</xm:f>
          </x14:formula1>
          <xm:sqref>D4:D1001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To use a type that is not listed, choose Others and enter the custom value when prompted. Custom values apply to that row only and are not added to the list." xr:uid="{2581E21B-1F2E-40E4-8388-E422049DF608}">
          <x14:formula1>
            <xm:f>Dropdowns!$A$2:$A$10</xm:f>
          </x14:formula1>
          <xm:sqref>D2:D3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67EB3-DD8D-4F47-A356-37A4EB6DFCD8}">
  <sheetPr codeName="Sheet3">
    <tabColor rgb="FF002060"/>
  </sheetPr>
  <dimension ref="A1:E23"/>
  <sheetViews>
    <sheetView topLeftCell="A18" workbookViewId="0">
      <selection activeCell="D23" sqref="D23"/>
    </sheetView>
  </sheetViews>
  <sheetFormatPr defaultRowHeight="15"/>
  <cols>
    <col min="1" max="1" width="22.625" style="6" customWidth="1"/>
    <col min="2" max="2" width="25.625" style="6" customWidth="1"/>
    <col min="3" max="3" width="48.625" style="6" customWidth="1"/>
    <col min="4" max="4" width="45.625" style="6" customWidth="1"/>
    <col min="5" max="5" width="42.625" style="6" customWidth="1"/>
  </cols>
  <sheetData>
    <row r="1" spans="1:5" ht="14.25">
      <c r="A1" s="82" t="s">
        <v>0</v>
      </c>
      <c r="B1" s="82"/>
      <c r="C1" s="82"/>
      <c r="D1" s="82"/>
      <c r="E1" s="82"/>
    </row>
    <row r="2" spans="1:5" ht="14.25">
      <c r="A2" s="82"/>
      <c r="B2" s="82"/>
      <c r="C2" s="82"/>
      <c r="D2" s="82"/>
      <c r="E2" s="82"/>
    </row>
    <row r="3" spans="1:5">
      <c r="A3" s="6" t="s">
        <v>1</v>
      </c>
      <c r="B3" s="6" t="s">
        <v>111</v>
      </c>
      <c r="C3" s="6" t="s">
        <v>115</v>
      </c>
      <c r="D3" s="6" t="s">
        <v>116</v>
      </c>
      <c r="E3" s="6" t="s">
        <v>117</v>
      </c>
    </row>
    <row r="4" spans="1:5" ht="45">
      <c r="A4" s="6" t="s">
        <v>118</v>
      </c>
      <c r="B4" s="6" t="s">
        <v>119</v>
      </c>
      <c r="C4" s="6" t="s">
        <v>120</v>
      </c>
      <c r="D4" s="6" t="s">
        <v>121</v>
      </c>
      <c r="E4" s="6" t="s">
        <v>122</v>
      </c>
    </row>
    <row r="5" spans="1:5" ht="45">
      <c r="A5" s="6" t="s">
        <v>118</v>
      </c>
      <c r="B5" s="6" t="s">
        <v>123</v>
      </c>
      <c r="C5" s="6" t="s">
        <v>124</v>
      </c>
      <c r="D5" s="6" t="s">
        <v>125</v>
      </c>
      <c r="E5" s="6" t="s">
        <v>126</v>
      </c>
    </row>
    <row r="6" spans="1:5" ht="45">
      <c r="A6" s="6" t="s">
        <v>127</v>
      </c>
      <c r="B6" s="6" t="s">
        <v>119</v>
      </c>
      <c r="C6" s="6" t="s">
        <v>128</v>
      </c>
      <c r="D6" s="6" t="s">
        <v>129</v>
      </c>
      <c r="E6" s="6" t="s">
        <v>130</v>
      </c>
    </row>
    <row r="7" spans="1:5" ht="60">
      <c r="A7" s="6" t="s">
        <v>44</v>
      </c>
      <c r="B7" s="6" t="s">
        <v>131</v>
      </c>
      <c r="C7" s="6" t="s">
        <v>209</v>
      </c>
      <c r="D7" s="6" t="s">
        <v>132</v>
      </c>
      <c r="E7" s="6" t="s">
        <v>210</v>
      </c>
    </row>
    <row r="8" spans="1:5" ht="30">
      <c r="A8" s="6" t="s">
        <v>133</v>
      </c>
      <c r="B8" s="6" t="s">
        <v>134</v>
      </c>
      <c r="C8" s="6" t="s">
        <v>135</v>
      </c>
      <c r="D8" s="6" t="s">
        <v>136</v>
      </c>
      <c r="E8" s="6" t="s">
        <v>137</v>
      </c>
    </row>
    <row r="9" spans="1:5" ht="45">
      <c r="A9" s="6" t="s">
        <v>68</v>
      </c>
      <c r="B9" s="6" t="s">
        <v>138</v>
      </c>
      <c r="C9" s="6" t="s">
        <v>139</v>
      </c>
      <c r="D9" s="6" t="s">
        <v>140</v>
      </c>
      <c r="E9" s="6" t="s">
        <v>141</v>
      </c>
    </row>
    <row r="10" spans="1:5" ht="30">
      <c r="A10" s="6" t="s">
        <v>68</v>
      </c>
      <c r="B10" s="6" t="s">
        <v>142</v>
      </c>
      <c r="C10" s="6" t="s">
        <v>143</v>
      </c>
      <c r="D10" s="6" t="s">
        <v>144</v>
      </c>
      <c r="E10" s="6" t="s">
        <v>145</v>
      </c>
    </row>
    <row r="11" spans="1:5" ht="90">
      <c r="A11" s="6" t="s">
        <v>215</v>
      </c>
      <c r="B11" s="6" t="s">
        <v>216</v>
      </c>
      <c r="C11" s="6" t="s">
        <v>217</v>
      </c>
      <c r="D11" s="6" t="s">
        <v>218</v>
      </c>
      <c r="E11" s="6" t="s">
        <v>219</v>
      </c>
    </row>
    <row r="12" spans="1:5" ht="45">
      <c r="A12" s="6" t="s">
        <v>146</v>
      </c>
      <c r="B12" s="6" t="s">
        <v>147</v>
      </c>
      <c r="C12" s="6" t="s">
        <v>148</v>
      </c>
      <c r="D12" s="6" t="s">
        <v>149</v>
      </c>
      <c r="E12" s="6" t="s">
        <v>150</v>
      </c>
    </row>
    <row r="13" spans="1:5" ht="45">
      <c r="A13" s="6" t="s">
        <v>151</v>
      </c>
      <c r="B13" s="6" t="s">
        <v>152</v>
      </c>
      <c r="C13" s="6" t="s">
        <v>153</v>
      </c>
      <c r="D13" s="6" t="s">
        <v>154</v>
      </c>
      <c r="E13" s="6" t="s">
        <v>155</v>
      </c>
    </row>
    <row r="14" spans="1:5" ht="45">
      <c r="A14" s="6" t="s">
        <v>156</v>
      </c>
      <c r="B14" s="6" t="s">
        <v>157</v>
      </c>
      <c r="C14" s="6" t="s">
        <v>158</v>
      </c>
      <c r="D14" s="6" t="s">
        <v>159</v>
      </c>
      <c r="E14" s="6" t="s">
        <v>220</v>
      </c>
    </row>
    <row r="15" spans="1:5" ht="45">
      <c r="A15" s="6" t="s">
        <v>21</v>
      </c>
      <c r="B15" s="6" t="s">
        <v>160</v>
      </c>
      <c r="C15" s="6" t="s">
        <v>161</v>
      </c>
      <c r="D15" s="6" t="s">
        <v>162</v>
      </c>
      <c r="E15" s="6" t="s">
        <v>163</v>
      </c>
    </row>
    <row r="16" spans="1:5" ht="45">
      <c r="A16" s="6" t="s">
        <v>42</v>
      </c>
      <c r="B16" s="6" t="s">
        <v>164</v>
      </c>
      <c r="C16" s="6" t="s">
        <v>165</v>
      </c>
      <c r="D16" s="6" t="s">
        <v>166</v>
      </c>
      <c r="E16" s="6" t="s">
        <v>167</v>
      </c>
    </row>
    <row r="17" spans="1:5" ht="45">
      <c r="A17" s="6" t="s">
        <v>182</v>
      </c>
      <c r="B17" s="6" t="s">
        <v>183</v>
      </c>
      <c r="C17" s="6" t="s">
        <v>184</v>
      </c>
      <c r="D17" s="6" t="s">
        <v>185</v>
      </c>
      <c r="E17" s="6" t="s">
        <v>186</v>
      </c>
    </row>
    <row r="18" spans="1:5" ht="60">
      <c r="A18" s="6" t="s">
        <v>187</v>
      </c>
      <c r="B18" s="6" t="s">
        <v>188</v>
      </c>
      <c r="C18" s="6" t="s">
        <v>189</v>
      </c>
      <c r="D18" s="6" t="s">
        <v>190</v>
      </c>
      <c r="E18" s="6" t="s">
        <v>191</v>
      </c>
    </row>
    <row r="19" spans="1:5" ht="45">
      <c r="A19" s="6" t="s">
        <v>168</v>
      </c>
      <c r="B19" s="6" t="s">
        <v>169</v>
      </c>
      <c r="C19" s="6" t="s">
        <v>170</v>
      </c>
      <c r="D19" s="6" t="s">
        <v>171</v>
      </c>
      <c r="E19" s="6" t="s">
        <v>172</v>
      </c>
    </row>
    <row r="20" spans="1:5" ht="45">
      <c r="A20" s="6" t="s">
        <v>173</v>
      </c>
      <c r="B20" s="6" t="s">
        <v>174</v>
      </c>
      <c r="C20" s="6" t="s">
        <v>175</v>
      </c>
      <c r="D20" s="6" t="s">
        <v>176</v>
      </c>
      <c r="E20" s="6" t="s">
        <v>177</v>
      </c>
    </row>
    <row r="21" spans="1:5" ht="30">
      <c r="A21" s="6" t="s">
        <v>178</v>
      </c>
      <c r="B21" s="6" t="s">
        <v>179</v>
      </c>
      <c r="C21" s="6" t="s">
        <v>180</v>
      </c>
      <c r="D21" s="6" t="s">
        <v>192</v>
      </c>
      <c r="E21" s="6" t="s">
        <v>181</v>
      </c>
    </row>
    <row r="22" spans="1:5" ht="75">
      <c r="A22" s="6" t="s">
        <v>195</v>
      </c>
      <c r="B22" s="6" t="s">
        <v>196</v>
      </c>
      <c r="C22" s="6" t="s">
        <v>197</v>
      </c>
      <c r="D22" s="6" t="s">
        <v>198</v>
      </c>
      <c r="E22" s="6" t="s">
        <v>199</v>
      </c>
    </row>
    <row r="23" spans="1:5" ht="120">
      <c r="A23" s="6" t="s">
        <v>200</v>
      </c>
      <c r="B23" s="6" t="s">
        <v>201</v>
      </c>
      <c r="C23" s="6" t="s">
        <v>203</v>
      </c>
      <c r="D23" s="6" t="s">
        <v>204</v>
      </c>
      <c r="E23" s="6" t="s">
        <v>202</v>
      </c>
    </row>
  </sheetData>
  <sheetProtection algorithmName="SHA-512" hashValue="ZhbCiG8PkrvRE511RNmQV0efzdqOYtCeE0+IH8o8wTP1FDusmwdYmRcUdxswG5Q6o1bXfcr49ZRiDxU/Gi/NgQ==" saltValue="cBLWI/c9Tr2QTzJF7Pi16Q==" spinCount="100000" sheet="1" objects="1" scenarios="1"/>
  <mergeCells count="1">
    <mergeCell ref="A1:E2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03FE8D-359A-4099-B19A-34ADD107F9AF}">
  <sheetPr codeName="Sheet7">
    <tabColor rgb="FF92D050"/>
  </sheetPr>
  <dimension ref="A1:N29"/>
  <sheetViews>
    <sheetView workbookViewId="0">
      <selection activeCell="G5" sqref="G5"/>
    </sheetView>
  </sheetViews>
  <sheetFormatPr defaultRowHeight="15"/>
  <cols>
    <col min="1" max="8" width="26.875" style="46" customWidth="1"/>
    <col min="9" max="16384" width="9" style="38"/>
  </cols>
  <sheetData>
    <row r="1" spans="1:14" ht="26.25">
      <c r="A1" s="53" t="s">
        <v>211</v>
      </c>
      <c r="B1" s="53"/>
      <c r="C1" s="53"/>
      <c r="D1" s="53"/>
      <c r="E1" s="53"/>
      <c r="F1" s="53"/>
      <c r="G1" s="53"/>
      <c r="H1" s="53"/>
      <c r="I1" s="83" t="s">
        <v>212</v>
      </c>
      <c r="J1" s="83"/>
      <c r="K1" s="83"/>
      <c r="L1" s="83" t="s">
        <v>213</v>
      </c>
      <c r="M1" s="83"/>
      <c r="N1" s="83"/>
    </row>
    <row r="2" spans="1:14" ht="21">
      <c r="A2" s="39"/>
      <c r="B2" s="39" t="str">
        <f>'[3]2026 June Email Calendar'!$B$15 &amp; ""</f>
        <v>Events</v>
      </c>
      <c r="C2" s="39" t="str">
        <f>'[3]2026 June Email Calendar'!$C$15 &amp; ""</f>
        <v>Promo</v>
      </c>
      <c r="D2" s="39" t="str">
        <f>'[3]2026 June Email Calendar'!$D$15 &amp; ""</f>
        <v/>
      </c>
      <c r="E2" s="39" t="str">
        <f>'[3]2026 June Email Calendar'!$E$15 &amp; ""</f>
        <v>Services</v>
      </c>
      <c r="F2" s="39" t="str">
        <f>'[3]2026 June Email Calendar'!$F$15 &amp; ""</f>
        <v>PLCC &amp; Loyalty</v>
      </c>
      <c r="G2" s="39" t="str">
        <f>'[3]2026 June Email Calendar'!$G$15 &amp; ""</f>
        <v>Promo</v>
      </c>
      <c r="H2" s="39" t="str">
        <f>'[3]2026 June Email Calendar'!$H$15 &amp; ""</f>
        <v>Newsletters</v>
      </c>
    </row>
    <row r="3" spans="1:14" ht="21">
      <c r="A3" s="40"/>
      <c r="B3" s="40" t="str">
        <f>'[3]2026 June Email Calendar'!$B$2 &amp; ""</f>
        <v>Sunday</v>
      </c>
      <c r="C3" s="40" t="str">
        <f>'[3]2026 June Email Calendar'!$C$2 &amp; ""</f>
        <v>Monday</v>
      </c>
      <c r="D3" s="40" t="str">
        <f>'[3]2026 June Email Calendar'!$D$2 &amp; ""</f>
        <v>Tuesday</v>
      </c>
      <c r="E3" s="40" t="str">
        <f>'[3]2026 June Email Calendar'!$E$2 &amp; ""</f>
        <v>Wednesday</v>
      </c>
      <c r="F3" s="40" t="str">
        <f>'[3]2026 June Email Calendar'!$F$2 &amp; ""</f>
        <v>Thursday</v>
      </c>
      <c r="G3" s="40" t="str">
        <f>'[3]2026 June Email Calendar'!$G$2 &amp; ""</f>
        <v>Friday</v>
      </c>
      <c r="H3" s="40" t="str">
        <f>'[3]2026 June Email Calendar'!$H$2 &amp; ""</f>
        <v>Saturday</v>
      </c>
    </row>
    <row r="4" spans="1:14">
      <c r="A4" s="41" t="str">
        <f>'[3]2026 June Email Calendar'!$A$3</f>
        <v>Wk. 23: May 31 – June 06</v>
      </c>
      <c r="B4" s="41">
        <f>'[3]2026 June Email Calendar'!$B$3</f>
        <v>46173</v>
      </c>
      <c r="C4" s="41">
        <f>'[3]2026 June Email Calendar'!$C$3</f>
        <v>46174</v>
      </c>
      <c r="D4" s="41">
        <f>'[3]2026 June Email Calendar'!$D$3</f>
        <v>46175</v>
      </c>
      <c r="E4" s="41">
        <f>'[3]2026 June Email Calendar'!$E$3</f>
        <v>46176</v>
      </c>
      <c r="F4" s="41">
        <f>'[3]2026 June Email Calendar'!$F$3</f>
        <v>46177</v>
      </c>
      <c r="G4" s="42">
        <f>'[3]2026 June Email Calendar'!$G$3</f>
        <v>46178</v>
      </c>
      <c r="H4" s="42">
        <f>'[3]2026 June Email Calendar'!$H$3</f>
        <v>46179</v>
      </c>
    </row>
    <row r="5" spans="1:14" ht="210">
      <c r="A5" s="41"/>
      <c r="B5" s="43"/>
      <c r="C5" s="44" t="str">
        <f>'[3]2026 June Email Calendar'!$C$4 &amp; ""</f>
        <v>Promo: 
Bundle &amp; Save
STO</v>
      </c>
      <c r="D5" s="44" t="str">
        <f>'[3]2026 June Email Calendar'!$D$4 &amp; ""</f>
        <v>Loyalty: 
VIP Summary (Adorama - existing VIPs)
V1: VIP Rewards
V2: VIP Perks
V3: VIP PRO
STO</v>
      </c>
      <c r="E5" s="44" t="str">
        <f>'[3]2026 June Email Calendar'!$E$4 &amp; ""</f>
        <v xml:space="preserve">Services: 
Open Box
STO
</v>
      </c>
      <c r="F5" s="44" t="str">
        <f>'[3]2026 June Email Calendar'!$F$4 &amp; ""</f>
        <v>PLCC:
Open To Buy (targeted)
STO</v>
      </c>
      <c r="G5" s="45" t="str">
        <f>'[3]2026 June Email Calendar'!$G$4 &amp; ""</f>
        <v>Promo: 
EM1: Gaming with Products
8AM
EM2: Weekend Deals with Products (video)
9AM
EM3: Weekend Deals with Products (photo + other categories)
10AM
NO EMAILS AFTER 8:00PM</v>
      </c>
      <c r="H5" s="41" t="str">
        <f>'[3]2026 June Email Calendar'!$H$4 &amp; ""</f>
        <v>Newsletters:
Creators Huddle 
10PM
NO EMAILS BEFORE 9:40PM</v>
      </c>
    </row>
    <row r="6" spans="1:14">
      <c r="A6" s="41" t="str">
        <f>'[3]2026 June Email Calendar'!$A$5</f>
        <v>Wk. 24: June 07 - June 13</v>
      </c>
      <c r="B6" s="42">
        <f>'[3]2026 June Email Calendar'!$B$5</f>
        <v>45815</v>
      </c>
      <c r="C6" s="42">
        <f>'[3]2026 June Email Calendar'!$C$5</f>
        <v>45816</v>
      </c>
      <c r="D6" s="42">
        <f>'[3]2026 June Email Calendar'!$D$5</f>
        <v>45817</v>
      </c>
      <c r="E6" s="42">
        <f>'[3]2026 June Email Calendar'!$E$5</f>
        <v>45818</v>
      </c>
      <c r="F6" s="42">
        <f>'[3]2026 June Email Calendar'!$F$5</f>
        <v>45819</v>
      </c>
      <c r="G6" s="42">
        <f>'[3]2026 June Email Calendar'!$G$5</f>
        <v>45820</v>
      </c>
      <c r="H6" s="42">
        <f>'[3]2026 June Email Calendar'!$H$5</f>
        <v>45821</v>
      </c>
    </row>
    <row r="7" spans="1:14" ht="180">
      <c r="A7" s="41"/>
      <c r="B7" s="41" t="str">
        <f>'[3]2026 June Email Calendar'!$B$6 &amp; ""</f>
        <v>Event: 
JK x ADORAMA NYC WORKSHOP
Targeted to New York metropolitan area (tri-state area)
STO
In-Stock:
Sony ISOA7R6
STO</v>
      </c>
      <c r="C7" s="41" t="str">
        <f>'[3]2026 June Email Calendar'!$C$6 &amp; ""</f>
        <v>Promo: 
Photo Rebates with Products
STO</v>
      </c>
      <c r="D7" s="46" t="str">
        <f>'[3]2026 June Email Calendar'!$D$6 &amp; ""</f>
        <v>Newsletter:
Store (include Sunday's event)
STO
NPA:
Insta360 Luna Ultra Gimbal Camera</v>
      </c>
      <c r="E7" s="41" t="str">
        <f>'[3]2026 June Email Calendar'!$E$6 &amp; ""</f>
        <v xml:space="preserve">Services:
Private Brands (include Sunday's event)
STO
</v>
      </c>
      <c r="F7" s="41" t="str">
        <f>'[3]2026 June Email Calendar'!$F$6 &amp; ""</f>
        <v>Loyalty: 
EM1: Non Member Acquisition
STO
EM2: 1,000 Points Card Member Reminder
STO</v>
      </c>
      <c r="G7" s="41" t="str">
        <f>'[3]2026 June Email Calendar'!$G$6 &amp; ""</f>
        <v>Promo: 
EM1: Father's Day
8AM
EM2: Photo Rebates Resend
(targeting: people who received 6/8/26 Photo Rebates, opened them, but did not buy)
3PM
NO EMAILS AFTER 8:05PM</v>
      </c>
      <c r="H7" s="41" t="str">
        <f>'[3]2026 June Email Calendar'!$H$6 &amp; ""</f>
        <v>Newsletter: 
Photo (supporting FIFA World Cup 2026)
10PM
NO EMAILS BEFORE 9:45PM</v>
      </c>
    </row>
    <row r="8" spans="1:14">
      <c r="A8" s="46" t="str">
        <f>'[3]2026 June Email Calendar'!$A$7</f>
        <v>Wk. 25: June 14 - June 20</v>
      </c>
      <c r="B8" s="42">
        <f>'[3]2026 June Email Calendar'!$B$7</f>
        <v>45822</v>
      </c>
      <c r="C8" s="42">
        <f>'[3]2026 June Email Calendar'!$C$7</f>
        <v>45823</v>
      </c>
      <c r="D8" s="42">
        <f>'[3]2026 June Email Calendar'!$D$7</f>
        <v>45824</v>
      </c>
      <c r="E8" s="42">
        <f>'[3]2026 June Email Calendar'!$E$7</f>
        <v>45825</v>
      </c>
      <c r="F8" s="42">
        <f>'[3]2026 June Email Calendar'!$F$7</f>
        <v>45826</v>
      </c>
      <c r="G8" s="42">
        <f>'[3]2026 June Email Calendar'!$G$7</f>
        <v>45827</v>
      </c>
      <c r="H8" s="42">
        <f>'[3]2026 June Email Calendar'!$H$7</f>
        <v>45828</v>
      </c>
    </row>
    <row r="9" spans="1:14" ht="90">
      <c r="A9" s="38"/>
      <c r="B9" s="41" t="str">
        <f>'[3]2026 June Email Calendar'!$B$8 &amp; ""</f>
        <v>Event:
EM1: FIFA World Cup 2026
9AM
EM2: ABS Giveaway
10AM</v>
      </c>
      <c r="C9" s="41" t="str">
        <f>'[3]2026 June Email Calendar'!$C$8 &amp; ""</f>
        <v>EM1: NPA:
Leica 
9AM
EM1: 24-Hour Sale
7AM</v>
      </c>
      <c r="D9" s="47" t="str">
        <f>'[3]2026 June Email Calendar'!$D$8 &amp; ""</f>
        <v/>
      </c>
      <c r="E9" s="41" t="str">
        <f>'[3]2026 June Email Calendar'!$E$8 &amp; ""</f>
        <v>Services:
Trade
STO</v>
      </c>
      <c r="F9" s="41" t="str">
        <f>'[3]2026 June Email Calendar'!$F$8 &amp; ""</f>
        <v>PLCC: 
Adorama Brands (Coupon email for cardmembers - targeted)
STO</v>
      </c>
      <c r="G9" s="41" t="str">
        <f>'[3]2026 June Email Calendar'!$G$8 &amp; ""</f>
        <v>Promo: 
Warehouse Sale
8AM
NO EMAILS AFTER 8:07PM</v>
      </c>
      <c r="H9" s="41" t="str">
        <f>'[3]2026 June Email Calendar'!$H$8 &amp; ""</f>
        <v>Newsletter:
Video
10PM
NO EMAILS BEFORE 9:50PM</v>
      </c>
    </row>
    <row r="10" spans="1:14">
      <c r="A10" s="46" t="str">
        <f>'[3]2026 June Email Calendar'!$A$9</f>
        <v>Wk. 26: June 21 - June 27</v>
      </c>
      <c r="B10" s="48">
        <f>'[3]2026 June Email Calendar'!$B$9</f>
        <v>45829</v>
      </c>
      <c r="C10" s="48">
        <f>'[3]2026 June Email Calendar'!$C$9</f>
        <v>45830</v>
      </c>
      <c r="D10" s="48">
        <f>'[3]2026 June Email Calendar'!$D$9</f>
        <v>45831</v>
      </c>
      <c r="E10" s="48">
        <f>'[3]2026 June Email Calendar'!$E$9</f>
        <v>45832</v>
      </c>
      <c r="F10" s="48">
        <f>'[3]2026 June Email Calendar'!$F$9</f>
        <v>45833</v>
      </c>
      <c r="G10" s="48">
        <f>'[3]2026 June Email Calendar'!$G$9</f>
        <v>45834</v>
      </c>
      <c r="H10" s="48">
        <f>'[3]2026 June Email Calendar'!$H$9</f>
        <v>45835</v>
      </c>
    </row>
    <row r="11" spans="1:14" ht="150">
      <c r="A11" s="38"/>
      <c r="B11" s="41" t="str">
        <f>'[3]2026 June Email Calendar'!$B$10 &amp; ""</f>
        <v>Events: 
Lighting for Narrative Cinematography
Date: Wednesday, June 24th · 5pm - 6pm ET
OnSet with Daniel Norton: Portraits with a Point and Shoot
Date: Thursday, June 25th · 5 - 6pm ET</v>
      </c>
      <c r="C11" s="46" t="str">
        <f>'[3]2026 June Email Calendar'!$C$10 &amp; ""</f>
        <v>Promo: 
EM1. Top Deals (Photo) with Products
EM2. Top Deals (cross category) with Products
EM3: Top Deals (Lighting &amp; Studio) with Products</v>
      </c>
      <c r="D11" s="46" t="str">
        <f>'[3]2026 June Email Calendar'!$D$10 &amp; ""</f>
        <v>Promo: 
Summer Cyber Sale
STO</v>
      </c>
      <c r="E11" s="46" t="str">
        <f>'[3]2026 June Email Calendar'!$E$10 &amp; ""</f>
        <v xml:space="preserve">Services: 
EM1: EDU with products (8AM)
EM2: Used with products (9AM)
</v>
      </c>
      <c r="F11" s="46" t="str">
        <f>'[3]2026 June Email Calendar'!$F$10 &amp; ""</f>
        <v>EM1: PLCC: 
1,000 points new cardmember reminder - 30 15 days out (targeted)
STO
EM2: Summer Save w/ Products (Lighting &amp; Studio)</v>
      </c>
      <c r="G11" s="46" t="str">
        <f>'[3]2026 June Email Calendar'!$G$10 &amp; ""</f>
        <v>Promo: 
Weekend Deals (cross category)
Summer Cyber Sale LC
9AM
NO EMAILS AFTER 8:10PM</v>
      </c>
      <c r="H11" s="46" t="str">
        <f>'[3]2026 June Email Calendar'!$H$10 &amp; ""</f>
        <v>Newsletter: 
Creators Huddle
10PM
NO EMAILS BEFORE 9:50PM</v>
      </c>
    </row>
    <row r="12" spans="1:14">
      <c r="A12" s="41" t="str">
        <f>'[3]2026 June Email Calendar'!$A$11</f>
        <v>Wk. 27: June 28 - July 04</v>
      </c>
      <c r="B12" s="42">
        <f>'[3]2026 June Email Calendar'!$B$11</f>
        <v>45836</v>
      </c>
      <c r="C12" s="42">
        <f>'[3]2026 June Email Calendar'!$C$11</f>
        <v>45837</v>
      </c>
      <c r="D12" s="42">
        <f>'[3]2026 June Email Calendar'!$D$11</f>
        <v>45838</v>
      </c>
      <c r="E12" s="42">
        <f>'[3]2026 June Email Calendar'!$E$11</f>
        <v>45839</v>
      </c>
      <c r="F12" s="42">
        <f>'[3]2026 June Email Calendar'!$F$11</f>
        <v>45840</v>
      </c>
      <c r="G12" s="42">
        <f>'[3]2026 June Email Calendar'!$G$11</f>
        <v>45841</v>
      </c>
      <c r="H12" s="42">
        <f>'[3]2026 June Email Calendar'!$H$11</f>
        <v>45842</v>
      </c>
    </row>
    <row r="13" spans="1:14" ht="195">
      <c r="A13" s="41"/>
      <c r="B13" s="41" t="str">
        <f>'[3]2026 June Email Calendar'!$B$12 &amp; ""</f>
        <v xml:space="preserve">Events:
Agreeable Strangers: From Passion Project to Published Book with Charles Chessler
Date: Wednesday, July 1st · 5pm - 6pm ET
Agreeable Strangers: From Passion Project to Published Book with Charles Chessler
Date: Wednesday, July 1st · 5pm - 6pm ET
</v>
      </c>
      <c r="C13" s="41" t="str">
        <f>'[3]2026 June Email Calendar'!$C$12 &amp; ""</f>
        <v>July 4th Sale Launch (products + Categories)
STO</v>
      </c>
      <c r="D13" s="41" t="str">
        <f>'[3]2026 June Email Calendar'!$D$12 &amp; ""</f>
        <v/>
      </c>
      <c r="E13" s="49" t="str">
        <f>'[3]2026 June Email Calendar'!$E$12 &amp; ""</f>
        <v>EM1: July 4th Sale Going on Now (Brands and categories)
STO
EM2: 4th of July w/ Products - lightning &amp; studio</v>
      </c>
      <c r="F13" s="49" t="str">
        <f>'[3]2026 June Email Calendar'!$F$12 &amp; ""</f>
        <v/>
      </c>
      <c r="G13" s="49" t="str">
        <f>'[3]2026 June Email Calendar'!$G$12 &amp; ""</f>
        <v>July 4th Sale Ends Tomorrow (with Products and categories + countdown timer)
8AM
NO EMAILS AFTER 8:10PM</v>
      </c>
      <c r="H13" s="49" t="str">
        <f>'[3]2026 June Email Calendar'!$H$12 &amp; ""</f>
        <v>July 4th Sale (Products and Brands)
10PM
NO EMAILS BEFORE 9:50PM</v>
      </c>
    </row>
    <row r="14" spans="1:14">
      <c r="A14" s="41"/>
      <c r="B14" s="42"/>
      <c r="C14" s="41"/>
      <c r="D14" s="41"/>
      <c r="E14" s="41"/>
      <c r="F14" s="41"/>
      <c r="G14" s="41"/>
      <c r="H14" s="41"/>
    </row>
    <row r="15" spans="1:14">
      <c r="A15" s="41"/>
      <c r="B15" s="41"/>
      <c r="C15" s="49"/>
      <c r="D15" s="49"/>
      <c r="E15" s="49"/>
      <c r="F15" s="49"/>
      <c r="G15" s="49"/>
      <c r="H15" s="49"/>
    </row>
    <row r="16" spans="1:14">
      <c r="A16" s="41"/>
      <c r="B16" s="41"/>
      <c r="C16" s="41"/>
      <c r="D16" s="41"/>
      <c r="E16" s="41"/>
      <c r="F16" s="41"/>
      <c r="G16" s="41"/>
      <c r="H16" s="41"/>
    </row>
    <row r="17" spans="1:8" ht="26.25">
      <c r="A17" s="56" t="s">
        <v>214</v>
      </c>
      <c r="B17" s="56"/>
      <c r="C17" s="56"/>
      <c r="D17" s="56"/>
      <c r="E17" s="56"/>
      <c r="F17" s="56"/>
      <c r="G17" s="56"/>
      <c r="H17" s="56"/>
    </row>
    <row r="18" spans="1:8" ht="21">
      <c r="A18" s="39"/>
      <c r="B18" s="39" t="str">
        <f>'[4]2026 June SMS Calendar'!$B$15 &amp; ""</f>
        <v>Events</v>
      </c>
      <c r="C18" s="39" t="str">
        <f>'[4]2026 June SMS Calendar'!$C$15 &amp; ""</f>
        <v>Promo</v>
      </c>
      <c r="D18" s="39" t="str">
        <f>'[4]2026 June SMS Calendar'!$D$15 &amp; ""</f>
        <v/>
      </c>
      <c r="E18" s="39" t="str">
        <f>'[4]2026 June SMS Calendar'!$E$15 &amp; ""</f>
        <v>Services</v>
      </c>
      <c r="F18" s="39" t="str">
        <f>'[4]2026 June SMS Calendar'!$F$15 &amp; ""</f>
        <v>PLCC &amp; Loyalty</v>
      </c>
      <c r="G18" s="39" t="str">
        <f>'[4]2026 June SMS Calendar'!$G$15 &amp; ""</f>
        <v>Promo</v>
      </c>
      <c r="H18" s="39" t="str">
        <f>'[4]2026 June SMS Calendar'!$H$15 &amp; ""</f>
        <v>Newsletters</v>
      </c>
    </row>
    <row r="19" spans="1:8" ht="21">
      <c r="A19" s="40"/>
      <c r="B19" s="40" t="str">
        <f>'[4]2026 June SMS Calendar'!$B$2 &amp; ""</f>
        <v>Sunday</v>
      </c>
      <c r="C19" s="40" t="str">
        <f>'[4]2026 June SMS Calendar'!$C$2 &amp; ""</f>
        <v>Monday</v>
      </c>
      <c r="D19" s="40" t="str">
        <f>'[4]2026 June SMS Calendar'!$D$2 &amp; ""</f>
        <v>Tuesday</v>
      </c>
      <c r="E19" s="40" t="str">
        <f>'[4]2026 June SMS Calendar'!$E$2 &amp; ""</f>
        <v>Wednesday</v>
      </c>
      <c r="F19" s="40" t="str">
        <f>'[4]2026 June SMS Calendar'!$F$2 &amp; ""</f>
        <v>Thursday</v>
      </c>
      <c r="G19" s="40" t="str">
        <f>'[4]2026 June SMS Calendar'!$G$2 &amp; ""</f>
        <v>Friday</v>
      </c>
      <c r="H19" s="40" t="str">
        <f>'[4]2026 June SMS Calendar'!$H$2 &amp; ""</f>
        <v>Saturday</v>
      </c>
    </row>
    <row r="20" spans="1:8">
      <c r="A20" s="46" t="str">
        <f>'[4]2026 June SMS Calendar'!$A$3</f>
        <v>Wk. 23: May 31 – June 06</v>
      </c>
      <c r="B20" s="41">
        <f>'[4]2026 June SMS Calendar'!$B$3</f>
        <v>46173</v>
      </c>
      <c r="C20" s="42">
        <f>'[4]2026 June SMS Calendar'!$C$3</f>
        <v>46174</v>
      </c>
      <c r="D20" s="42">
        <f>'[4]2026 June SMS Calendar'!$D$3</f>
        <v>46175</v>
      </c>
      <c r="E20" s="42">
        <f>'[4]2026 June SMS Calendar'!$E$3</f>
        <v>46176</v>
      </c>
      <c r="F20" s="42">
        <f>'[4]2026 June SMS Calendar'!$F$3</f>
        <v>46177</v>
      </c>
      <c r="G20" s="42">
        <f>'[4]2026 June SMS Calendar'!$G$3</f>
        <v>46178</v>
      </c>
      <c r="H20" s="42">
        <f>'[4]2026 June SMS Calendar'!$H$3</f>
        <v>46179</v>
      </c>
    </row>
    <row r="21" spans="1:8" ht="120">
      <c r="A21" s="38"/>
      <c r="B21" s="50" t="str">
        <f>'[4]2026 June SMS Calendar'!$B$4 &amp; ""</f>
        <v xml:space="preserve">Event: 
JK x ADORAMA NYC WORKSHOP
Targeted to New York metropolitan area (tri-state area)
11AM Local
</v>
      </c>
      <c r="C21" s="46" t="str">
        <f>'[4]2026 June SMS Calendar'!$C$4 &amp; ""</f>
        <v>Services: 
Open Box
11AM Local</v>
      </c>
      <c r="D21" s="47" t="str">
        <f>'[4]2026 June SMS Calendar'!$D$4 &amp; ""</f>
        <v/>
      </c>
      <c r="E21" s="46" t="str">
        <f>'[4]2026 June SMS Calendar'!$E$4 &amp; ""</f>
        <v/>
      </c>
      <c r="F21" s="47" t="str">
        <f>'[4]2026 June SMS Calendar'!$F$4 &amp; ""</f>
        <v/>
      </c>
      <c r="G21" s="41" t="str">
        <f>'[4]2026 June SMS Calendar'!$G$4 &amp; ""</f>
        <v>SMS1: Top Deals
11AM Local
SMS : In-Stock: Sony ISOA746
3:45PM Local
NO EMAILS AFTER 8:00PM</v>
      </c>
      <c r="H21" s="47" t="str">
        <f>'[4]2026 June SMS Calendar'!$H$4 &amp; ""</f>
        <v xml:space="preserve">
NO EMAILS BEFORE 9:40PM</v>
      </c>
    </row>
    <row r="22" spans="1:8">
      <c r="A22" s="46" t="str">
        <f>'[4]2026 June SMS Calendar'!$A$5</f>
        <v>Wk. 24: June 07 - June 13</v>
      </c>
      <c r="B22" s="42">
        <f>'[4]2026 June SMS Calendar'!$B$5</f>
        <v>45815</v>
      </c>
      <c r="C22" s="42">
        <f>'[4]2026 June SMS Calendar'!$C$5</f>
        <v>45816</v>
      </c>
      <c r="D22" s="42">
        <f>'[4]2026 June SMS Calendar'!$D$5</f>
        <v>45817</v>
      </c>
      <c r="E22" s="42">
        <f>'[4]2026 June SMS Calendar'!$E$5</f>
        <v>45818</v>
      </c>
      <c r="F22" s="42">
        <f>'[4]2026 June SMS Calendar'!$F$5</f>
        <v>45819</v>
      </c>
      <c r="G22" s="42">
        <f>'[4]2026 June SMS Calendar'!$G$5</f>
        <v>45820</v>
      </c>
      <c r="H22" s="42">
        <f>'[4]2026 June SMS Calendar'!$H$5</f>
        <v>45821</v>
      </c>
    </row>
    <row r="23" spans="1:8" ht="150">
      <c r="A23" s="38"/>
      <c r="B23" s="41" t="str">
        <f>'[4]2026 June SMS Calendar'!$B$6 &amp; ""</f>
        <v>Event: 
JK x ADORAMA NYC WORKSHOP
Targeted to New York metropolitan area (tri-state area)
11AM Local
In-Stock:
Sony ISOA746
11:30AM Local</v>
      </c>
      <c r="C23" s="46" t="str">
        <f>'[4]2026 June SMS Calendar'!$C$6 &amp; ""</f>
        <v>Promo: 
Photo Rebates with Products
11AM Local</v>
      </c>
      <c r="D23" s="47" t="str">
        <f>'[4]2026 June SMS Calendar'!$D$6 &amp; ""</f>
        <v/>
      </c>
      <c r="E23" s="46" t="str">
        <f>'[4]2026 June SMS Calendar'!$E$6 &amp; ""</f>
        <v>NPA:
Skyrover Drone with smart remotes
In Stock
11AM</v>
      </c>
      <c r="F23" s="46" t="str">
        <f>'[4]2026 June SMS Calendar'!$F$6 &amp; ""</f>
        <v/>
      </c>
      <c r="G23" s="46" t="str">
        <f>'[4]2026 June SMS Calendar'!$G$6 &amp; ""</f>
        <v>Promo: 
Father's Day
11AM Local
NO EMAILS AFTER 8:05PM</v>
      </c>
      <c r="H23" s="47" t="str">
        <f>'[4]2026 June SMS Calendar'!$H$6 &amp; ""</f>
        <v>NO EMAILS BEFORE 9:45PM</v>
      </c>
    </row>
    <row r="24" spans="1:8">
      <c r="A24" s="46" t="str">
        <f>'[4]2026 June SMS Calendar'!$A$7</f>
        <v>Wk. 25: June 14 - June 20</v>
      </c>
      <c r="B24" s="42">
        <f>'[4]2026 June SMS Calendar'!$B$7</f>
        <v>45822</v>
      </c>
      <c r="C24" s="42">
        <f>'[4]2026 June SMS Calendar'!$C$7</f>
        <v>45823</v>
      </c>
      <c r="D24" s="42">
        <f>'[4]2026 June SMS Calendar'!$D$7</f>
        <v>45824</v>
      </c>
      <c r="E24" s="42">
        <f>'[4]2026 June SMS Calendar'!$E$7</f>
        <v>45825</v>
      </c>
      <c r="F24" s="42">
        <f>'[4]2026 June SMS Calendar'!$F$7</f>
        <v>45826</v>
      </c>
      <c r="G24" s="42">
        <f>'[4]2026 June SMS Calendar'!$G$7</f>
        <v>45827</v>
      </c>
      <c r="H24" s="42">
        <f>'[4]2026 June SMS Calendar'!$H$7</f>
        <v>45828</v>
      </c>
    </row>
    <row r="25" spans="1:8" ht="75">
      <c r="A25" s="38"/>
      <c r="B25" s="51" t="str">
        <f>'[4]2026 June SMS Calendar'!$B$8 &amp; ""</f>
        <v/>
      </c>
      <c r="C25" s="46" t="str">
        <f>'[4]2026 June SMS Calendar'!$C$8 &amp; ""</f>
        <v xml:space="preserve">EM1: NPA:
Leica 
9AM
</v>
      </c>
      <c r="D25" s="47" t="str">
        <f>'[4]2026 June SMS Calendar'!$D$8 &amp; ""</f>
        <v/>
      </c>
      <c r="E25" s="46" t="str">
        <f>'[4]2026 June SMS Calendar'!$E$8 &amp; ""</f>
        <v>Services:
Trade
STO</v>
      </c>
      <c r="F25" s="47" t="str">
        <f>'[4]2026 June SMS Calendar'!$F$8 &amp; ""</f>
        <v/>
      </c>
      <c r="G25" s="46" t="str">
        <f>'[4]2026 June SMS Calendar'!$G$8 &amp; ""</f>
        <v>Promo: 
Warehouse Sale
11AM Local
NO EMAILS AFTER 8:07PM</v>
      </c>
      <c r="H25" s="47" t="str">
        <f>'[4]2026 June SMS Calendar'!$H$8 &amp; ""</f>
        <v xml:space="preserve">
NO EMAILS BEFORE 9:50PM</v>
      </c>
    </row>
    <row r="26" spans="1:8">
      <c r="A26" s="46" t="str">
        <f>'[4]2026 June SMS Calendar'!$A$9</f>
        <v>Wk. 26: June 21 - June 27</v>
      </c>
      <c r="B26" s="42">
        <f>'[4]2026 June SMS Calendar'!$B$9</f>
        <v>45829</v>
      </c>
      <c r="C26" s="42">
        <f>'[4]2026 June SMS Calendar'!$C$9</f>
        <v>45830</v>
      </c>
      <c r="D26" s="42">
        <f>'[4]2026 June SMS Calendar'!$D$9</f>
        <v>45831</v>
      </c>
      <c r="E26" s="42">
        <f>'[4]2026 June SMS Calendar'!$E$9</f>
        <v>45832</v>
      </c>
      <c r="F26" s="42">
        <f>'[4]2026 June SMS Calendar'!$F$9</f>
        <v>45833</v>
      </c>
      <c r="G26" s="42">
        <f>'[4]2026 June SMS Calendar'!$G$9</f>
        <v>45834</v>
      </c>
      <c r="H26" s="42">
        <f>'[4]2026 June SMS Calendar'!$H$9</f>
        <v>45835</v>
      </c>
    </row>
    <row r="27" spans="1:8" ht="180">
      <c r="A27" s="38"/>
      <c r="B27" s="41" t="str">
        <f>'[4]2026 June SMS Calendar'!$B$10 &amp; ""</f>
        <v>Events: 
Lighting for Narrative Cinematography
Date: Wednesday, June 24th · 5pm - 6pm ET
OnSet with Daniel Norton: Portraits with a Point and Shoot
Date: Thursday, June 25th · 5 - 6pm ET
11AM Local</v>
      </c>
      <c r="C27" s="46" t="str">
        <f>'[4]2026 June SMS Calendar'!$C$10 &amp; ""</f>
        <v xml:space="preserve">Promo: 
Photo Top Deals with Products
11AM Local
</v>
      </c>
      <c r="D27" s="47" t="str">
        <f>'[4]2026 June SMS Calendar'!$D$10 &amp; ""</f>
        <v/>
      </c>
      <c r="E27" s="46" t="str">
        <f>'[4]2026 June SMS Calendar'!$E$10 &amp; ""</f>
        <v xml:space="preserve">Services: 
Used with products
11AM Local
</v>
      </c>
      <c r="F27" s="47" t="str">
        <f>'[4]2026 June SMS Calendar'!$F$10 &amp; ""</f>
        <v/>
      </c>
      <c r="G27" s="46" t="str">
        <f>'[4]2026 June SMS Calendar'!$G$10 &amp; ""</f>
        <v>Promo: 
Weekend Deals (cross category)
11AM Local
NO EMAILS AFTER 8:10PM</v>
      </c>
      <c r="H27" s="47" t="str">
        <f>'[4]2026 June SMS Calendar'!$H$10 &amp; ""</f>
        <v>NO EMAILS BEFORE 9:50PM</v>
      </c>
    </row>
    <row r="28" spans="1:8">
      <c r="A28" s="46" t="str">
        <f>'[4]2026 June SMS Calendar'!$A$11</f>
        <v>Wk. 27: June 28 - July 04</v>
      </c>
      <c r="B28" s="42">
        <f>'[4]2026 June SMS Calendar'!$B$11</f>
        <v>11</v>
      </c>
      <c r="C28" s="42">
        <f>'[4]2026 June SMS Calendar'!$C$11</f>
        <v>45837</v>
      </c>
      <c r="D28" s="42">
        <f>'[4]2026 June SMS Calendar'!$D$11</f>
        <v>45838</v>
      </c>
      <c r="E28" s="42">
        <f>'[4]2026 June SMS Calendar'!$E$11</f>
        <v>45839</v>
      </c>
      <c r="F28" s="42">
        <f>'[4]2026 June SMS Calendar'!$F$11</f>
        <v>45840</v>
      </c>
      <c r="G28" s="42">
        <f>'[4]2026 June SMS Calendar'!$G$11</f>
        <v>45841</v>
      </c>
      <c r="H28" s="42">
        <f>'[4]2026 June SMS Calendar'!$H$11</f>
        <v>45842</v>
      </c>
    </row>
    <row r="29" spans="1:8" ht="210">
      <c r="A29" s="38"/>
      <c r="B29" s="41" t="str">
        <f>'[4]2026 June SMS Calendar'!$B$12 &amp; ""</f>
        <v>Events:
Agreeable Strangers: From Passion Project to Published Book with Charles Chessler
Date: Wednesday, July 1st · 5pm - 6pm ET
Agreeable Strangers: From Passion Project to Published Book with Charles Chessler
Date: Wednesday, July 1st · 5pm - 6pm ET
11AM Local</v>
      </c>
      <c r="C29" s="46" t="str">
        <f>'[4]2026 June SMS Calendar'!$C$12 &amp; ""</f>
        <v>July 4th Sale Launch (products + Categories)
11AM Local</v>
      </c>
      <c r="D29" s="47" t="str">
        <f>'[4]2026 June SMS Calendar'!$D$12 &amp; ""</f>
        <v/>
      </c>
      <c r="E29" s="50" t="str">
        <f>'[4]2026 June SMS Calendar'!$E$12 &amp; ""</f>
        <v/>
      </c>
      <c r="F29" s="50" t="str">
        <f>'[4]2026 June SMS Calendar'!$F$12 &amp; ""</f>
        <v/>
      </c>
      <c r="G29" s="50" t="str">
        <f>'[4]2026 June SMS Calendar'!$G$12 &amp; ""</f>
        <v>July 4th Sale 
11AM Local
NO EMAILS AFTER 8:10PM</v>
      </c>
      <c r="H29" s="50" t="str">
        <f>'[4]2026 June SMS Calendar'!$H$12 &amp; ""</f>
        <v>NO EMAILS BEFORE 9:50PM</v>
      </c>
    </row>
  </sheetData>
  <sheetProtection sheet="1" objects="1" scenarios="1"/>
  <mergeCells count="4">
    <mergeCell ref="A1:H1"/>
    <mergeCell ref="I1:K1"/>
    <mergeCell ref="L1:N1"/>
    <mergeCell ref="A17:H17"/>
  </mergeCells>
  <hyperlinks>
    <hyperlink ref="I1:K1" r:id="rId1" display="June Email Framework" xr:uid="{7CD8C448-A48C-4EE7-B80D-06455DA15D6E}"/>
    <hyperlink ref="L1:N1" r:id="rId2" display="June SMS Framework" xr:uid="{AE3B436F-4D51-4BC5-887F-336D32B70D8C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6E37C-6C16-4C39-9F81-3AA76F332BE8}">
  <sheetPr codeName="Sheet8">
    <tabColor rgb="FF92D050"/>
  </sheetPr>
  <dimension ref="A1:N32"/>
  <sheetViews>
    <sheetView tabSelected="1" workbookViewId="0">
      <selection activeCell="B30" sqref="B30"/>
    </sheetView>
  </sheetViews>
  <sheetFormatPr defaultRowHeight="15"/>
  <cols>
    <col min="1" max="8" width="26.875" style="46" customWidth="1"/>
    <col min="9" max="16384" width="9" style="38"/>
  </cols>
  <sheetData>
    <row r="1" spans="1:14" ht="26.25">
      <c r="A1" s="53" t="s">
        <v>211</v>
      </c>
      <c r="B1" s="53"/>
      <c r="C1" s="53"/>
      <c r="D1" s="53"/>
      <c r="E1" s="53"/>
      <c r="F1" s="53"/>
      <c r="G1" s="53"/>
      <c r="H1" s="53"/>
      <c r="I1" s="54"/>
      <c r="J1" s="54"/>
      <c r="K1" s="54"/>
      <c r="L1" s="55"/>
      <c r="M1" s="55"/>
      <c r="N1" s="55"/>
    </row>
    <row r="2" spans="1:14" ht="21">
      <c r="A2" s="39"/>
      <c r="B2" s="39" t="str" cm="1">
        <f t="array" ref="B2:H2">'[1]2026 May Email Calendar'!$B$16:$H$16 &amp; ""</f>
        <v>Events</v>
      </c>
      <c r="C2" s="39" t="str">
        <v>Promo</v>
      </c>
      <c r="D2" s="39" t="str">
        <v/>
      </c>
      <c r="E2" s="39" t="str">
        <v>Services</v>
      </c>
      <c r="F2" s="39" t="str">
        <v>PLCC &amp; Loyalty</v>
      </c>
      <c r="G2" s="39" t="str">
        <v>Promo</v>
      </c>
      <c r="H2" s="39" t="str">
        <v>Newsletters</v>
      </c>
    </row>
    <row r="3" spans="1:14" ht="21">
      <c r="A3" s="40"/>
      <c r="B3" s="40" t="str">
        <f>'[1]2026 May Email Calendar'!$B$2 &amp; ""</f>
        <v>Sunday</v>
      </c>
      <c r="C3" s="40" t="str">
        <f>'[1]2026 May Email Calendar'!$C$2 &amp; ""</f>
        <v>Monday</v>
      </c>
      <c r="D3" s="40" t="str">
        <f>'[1]2026 May Email Calendar'!$D$2 &amp; ""</f>
        <v>Tuesday</v>
      </c>
      <c r="E3" s="40" t="str">
        <f>'[1]2026 May Email Calendar'!$E$2 &amp; ""</f>
        <v>Wednesday</v>
      </c>
      <c r="F3" s="40" t="str">
        <f>'[1]2026 May Email Calendar'!$F$2 &amp; ""</f>
        <v>Thursday</v>
      </c>
      <c r="G3" s="40" t="str">
        <f>'[1]2026 May Email Calendar'!$G$2 &amp; ""</f>
        <v>Friday</v>
      </c>
      <c r="H3" s="40" t="str">
        <f>'[1]2026 May Email Calendar'!$H$2 &amp; ""</f>
        <v>Saturday</v>
      </c>
    </row>
    <row r="4" spans="1:14">
      <c r="A4" s="41" t="str">
        <f>'[1]2026 May Email Calendar'!$A$3</f>
        <v>Wk. 18: April 26 – May 02</v>
      </c>
      <c r="G4" s="42" cm="1">
        <f t="array" ref="G4:H4">'[1]2026 May Email Calendar'!$G$3:$H$3</f>
        <v>46143</v>
      </c>
      <c r="H4" s="42">
        <v>46144</v>
      </c>
    </row>
    <row r="5" spans="1:14">
      <c r="A5" s="41"/>
      <c r="B5" s="44"/>
      <c r="C5" s="44"/>
      <c r="D5" s="44"/>
      <c r="E5" s="44"/>
      <c r="F5" s="44"/>
      <c r="G5" s="52"/>
      <c r="H5" s="41"/>
    </row>
    <row r="6" spans="1:14">
      <c r="A6" s="41" t="str" cm="1">
        <f t="array" ref="A6:H6">'[1]2026 May Email Calendar'!$A$5:$H$5</f>
        <v>Wk. 19: May 03 – May 09</v>
      </c>
      <c r="B6" s="42">
        <v>46145</v>
      </c>
      <c r="C6" s="42">
        <v>46146</v>
      </c>
      <c r="D6" s="42">
        <v>46147</v>
      </c>
      <c r="E6" s="42">
        <v>46148</v>
      </c>
      <c r="F6" s="42">
        <v>46149</v>
      </c>
      <c r="G6" s="42">
        <v>46150</v>
      </c>
      <c r="H6" s="42">
        <v>46151</v>
      </c>
    </row>
    <row r="7" spans="1:14">
      <c r="A7" s="41"/>
      <c r="B7" s="41"/>
      <c r="C7" s="41"/>
      <c r="E7" s="41"/>
      <c r="F7" s="41"/>
      <c r="G7" s="41"/>
      <c r="H7" s="41"/>
    </row>
    <row r="8" spans="1:14">
      <c r="A8" s="46" t="str" cm="1">
        <f t="array" ref="A8:H8">'[1]2026 May Email Calendar'!$A$7:$H$7</f>
        <v>Wk. 20: May 10 – May 16</v>
      </c>
      <c r="B8" s="42">
        <v>46152</v>
      </c>
      <c r="C8" s="42">
        <v>46153</v>
      </c>
      <c r="D8" s="42">
        <v>46154</v>
      </c>
      <c r="E8" s="42">
        <v>46155</v>
      </c>
      <c r="F8" s="42">
        <v>46156</v>
      </c>
      <c r="G8" s="42">
        <v>46157</v>
      </c>
      <c r="H8" s="42">
        <v>46158</v>
      </c>
    </row>
    <row r="9" spans="1:14">
      <c r="B9" s="41"/>
      <c r="C9" s="41"/>
      <c r="E9" s="41"/>
      <c r="F9" s="41"/>
      <c r="G9" s="41"/>
      <c r="H9" s="41"/>
    </row>
    <row r="10" spans="1:14">
      <c r="A10" s="46" t="str" cm="1">
        <f t="array" ref="A10:H10">'[1]2026 May Email Calendar'!$A$9:$H$9</f>
        <v>Wk. 21: May 17 – May 23</v>
      </c>
      <c r="B10" s="48">
        <v>46159</v>
      </c>
      <c r="C10" s="48">
        <v>46160</v>
      </c>
      <c r="D10" s="48">
        <v>46161</v>
      </c>
      <c r="E10" s="48">
        <v>46162</v>
      </c>
      <c r="F10" s="48">
        <v>46163</v>
      </c>
      <c r="G10" s="48">
        <v>46164</v>
      </c>
      <c r="H10" s="48">
        <v>46165</v>
      </c>
    </row>
    <row r="11" spans="1:14">
      <c r="B11" s="41"/>
    </row>
    <row r="12" spans="1:14">
      <c r="A12" s="41" t="str" cm="1">
        <f t="array" ref="A12:H12">'[1]2026 May Email Calendar'!$A$11:$H$11</f>
        <v>Wk. 22: May 24 – May 30</v>
      </c>
      <c r="B12" s="42">
        <v>46166</v>
      </c>
      <c r="C12" s="42">
        <v>46167</v>
      </c>
      <c r="D12" s="42">
        <v>46168</v>
      </c>
      <c r="E12" s="42">
        <v>46169</v>
      </c>
      <c r="F12" s="42">
        <v>46170</v>
      </c>
      <c r="G12" s="42">
        <v>46171</v>
      </c>
      <c r="H12" s="42">
        <v>46172</v>
      </c>
    </row>
    <row r="13" spans="1:14">
      <c r="A13" s="41"/>
      <c r="B13" s="41"/>
      <c r="C13" s="41"/>
      <c r="D13" s="41"/>
      <c r="E13" s="41"/>
      <c r="F13" s="41"/>
      <c r="G13" s="41"/>
      <c r="H13" s="41"/>
    </row>
    <row r="14" spans="1:14">
      <c r="A14" s="41" t="str" cm="1">
        <f t="array" ref="A14:B14">'[1]2026 May Email Calendar'!$A$13:$B$13</f>
        <v>Wk. 23: May 31 – June 06</v>
      </c>
      <c r="B14" s="42">
        <v>46173</v>
      </c>
      <c r="C14" s="41"/>
      <c r="D14" s="41"/>
      <c r="E14" s="41"/>
      <c r="F14" s="41"/>
      <c r="G14" s="41"/>
      <c r="H14" s="41"/>
    </row>
    <row r="15" spans="1:14">
      <c r="A15" s="41"/>
      <c r="B15" s="41"/>
      <c r="C15" s="41"/>
      <c r="D15" s="41"/>
      <c r="E15" s="41"/>
      <c r="F15" s="41"/>
      <c r="G15" s="41"/>
      <c r="H15" s="41"/>
    </row>
    <row r="16" spans="1:14">
      <c r="A16" s="41"/>
      <c r="B16" s="41"/>
      <c r="C16" s="41"/>
      <c r="D16" s="41"/>
      <c r="E16" s="41"/>
      <c r="F16" s="41"/>
      <c r="G16" s="41"/>
      <c r="H16" s="41"/>
    </row>
    <row r="17" spans="1:8" ht="26.25">
      <c r="A17" s="56" t="s">
        <v>214</v>
      </c>
      <c r="B17" s="56"/>
      <c r="C17" s="56"/>
      <c r="D17" s="56"/>
      <c r="E17" s="56"/>
      <c r="F17" s="56"/>
      <c r="G17" s="56"/>
      <c r="H17" s="56"/>
    </row>
    <row r="18" spans="1:8" ht="21">
      <c r="A18" s="39"/>
      <c r="B18" s="39" t="str" cm="1">
        <f t="array" ref="B18:H18">'[1]2026 May Email Calendar'!$B$16:$H$16 &amp; ""</f>
        <v>Events</v>
      </c>
      <c r="C18" s="39" t="str">
        <v>Promo</v>
      </c>
      <c r="D18" s="39" t="str">
        <v/>
      </c>
      <c r="E18" s="39" t="str">
        <v>Services</v>
      </c>
      <c r="F18" s="39" t="str">
        <v>PLCC &amp; Loyalty</v>
      </c>
      <c r="G18" s="39" t="str">
        <v>Promo</v>
      </c>
      <c r="H18" s="39" t="str">
        <v>Newsletters</v>
      </c>
    </row>
    <row r="19" spans="1:8" ht="21">
      <c r="A19" s="40"/>
      <c r="B19" s="40" t="str" cm="1">
        <f t="array" ref="B19:H19">'[2]2026 May SMS Calendar'!$B$2:$H$2 &amp; ""</f>
        <v>Sunday</v>
      </c>
      <c r="C19" s="40" t="str">
        <v>Monday</v>
      </c>
      <c r="D19" s="40" t="str">
        <v>Tuesday</v>
      </c>
      <c r="E19" s="40" t="str">
        <v>Wednesday</v>
      </c>
      <c r="F19" s="40" t="str">
        <v>Thursday</v>
      </c>
      <c r="G19" s="40" t="str">
        <v>Friday</v>
      </c>
      <c r="H19" s="40" t="str">
        <v>Saturday</v>
      </c>
    </row>
    <row r="20" spans="1:8">
      <c r="A20" s="46" t="str">
        <f>'[2]2026 May SMS Calendar'!$A$3</f>
        <v>Wk. 18: April 26 – May 02</v>
      </c>
      <c r="B20" s="41"/>
      <c r="C20" s="41"/>
      <c r="D20" s="41"/>
      <c r="E20" s="41"/>
      <c r="F20" s="41"/>
      <c r="G20" s="42" cm="1">
        <f t="array" ref="G20:H20">'[2]2026 May SMS Calendar'!$G$3:$H$3</f>
        <v>46143</v>
      </c>
      <c r="H20" s="42">
        <v>46144</v>
      </c>
    </row>
    <row r="21" spans="1:8">
      <c r="G21" s="41"/>
    </row>
    <row r="22" spans="1:8">
      <c r="A22" s="46" t="str" cm="1">
        <f t="array" ref="A22:H22">'[2]2026 May SMS Calendar'!$A$5:$H$5</f>
        <v>Wk. 19: May 03 – May 09</v>
      </c>
      <c r="B22" s="42">
        <v>46145</v>
      </c>
      <c r="C22" s="42">
        <v>46146</v>
      </c>
      <c r="D22" s="42">
        <v>46147</v>
      </c>
      <c r="E22" s="42">
        <v>46148</v>
      </c>
      <c r="F22" s="42">
        <v>46149</v>
      </c>
      <c r="G22" s="42">
        <v>46150</v>
      </c>
      <c r="H22" s="42">
        <v>46151</v>
      </c>
    </row>
    <row r="23" spans="1:8">
      <c r="B23" s="41"/>
    </row>
    <row r="24" spans="1:8">
      <c r="A24" s="46" t="str" cm="1">
        <f t="array" ref="A24:H24">'[2]2026 May SMS Calendar'!$A$7:$H$7</f>
        <v>Wk. 20: May 10 – May 16</v>
      </c>
      <c r="B24" s="42">
        <v>46152</v>
      </c>
      <c r="C24" s="42">
        <v>46153</v>
      </c>
      <c r="D24" s="42">
        <v>46154</v>
      </c>
      <c r="E24" s="42">
        <v>46155</v>
      </c>
      <c r="F24" s="42">
        <v>46156</v>
      </c>
      <c r="G24" s="42">
        <v>46157</v>
      </c>
      <c r="H24" s="42">
        <v>46158</v>
      </c>
    </row>
    <row r="25" spans="1:8">
      <c r="B25" s="41"/>
    </row>
    <row r="26" spans="1:8">
      <c r="A26" s="46" t="str" cm="1">
        <f t="array" ref="A26:H26">'[2]2026 May SMS Calendar'!$A$9:$H$9</f>
        <v>Wk. 21: May 17 – May 23</v>
      </c>
      <c r="B26" s="42">
        <v>46159</v>
      </c>
      <c r="C26" s="42">
        <v>46160</v>
      </c>
      <c r="D26" s="42">
        <v>46161</v>
      </c>
      <c r="E26" s="42">
        <v>46162</v>
      </c>
      <c r="F26" s="42">
        <v>46163</v>
      </c>
      <c r="G26" s="42">
        <v>46164</v>
      </c>
      <c r="H26" s="42">
        <v>46165</v>
      </c>
    </row>
    <row r="27" spans="1:8">
      <c r="B27" s="41"/>
    </row>
    <row r="28" spans="1:8">
      <c r="A28" s="46" t="str" cm="1">
        <f t="array" ref="A28:H28">'[2]2026 May SMS Calendar'!$A$11:$H$11</f>
        <v>Wk. 22: May 24 – May 30</v>
      </c>
      <c r="B28" s="42">
        <v>46166</v>
      </c>
      <c r="C28" s="42">
        <v>46167</v>
      </c>
      <c r="D28" s="42">
        <v>46168</v>
      </c>
      <c r="E28" s="42">
        <v>46169</v>
      </c>
      <c r="F28" s="42">
        <v>46170</v>
      </c>
      <c r="G28" s="42">
        <v>46171</v>
      </c>
      <c r="H28" s="42">
        <v>46172</v>
      </c>
    </row>
    <row r="29" spans="1:8">
      <c r="B29" s="41"/>
    </row>
    <row r="30" spans="1:8">
      <c r="A30" s="46" t="str" cm="1">
        <f t="array" ref="A30:B30">'[2]2026 May SMS Calendar'!$A$13:$B$13</f>
        <v>Wk. 23: May 31 – June 06</v>
      </c>
      <c r="B30" s="42">
        <v>46173</v>
      </c>
    </row>
    <row r="31" spans="1:8">
      <c r="B31" s="41" t="str">
        <f>'[2]2026 May SMS Calendar'!$B$14 &amp; ""</f>
        <v/>
      </c>
    </row>
    <row r="32" spans="1:8">
      <c r="B32" s="41"/>
    </row>
  </sheetData>
  <sheetProtection sheet="1" objects="1" scenarios="1"/>
  <mergeCells count="4">
    <mergeCell ref="A1:H1"/>
    <mergeCell ref="I1:K1"/>
    <mergeCell ref="L1:N1"/>
    <mergeCell ref="A17:H17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0" t="s">
        <v>44</v>
      </c>
      <c r="B1" s="10" t="s">
        <v>45</v>
      </c>
      <c r="C1" s="10" t="s">
        <v>69</v>
      </c>
      <c r="D1" s="10" t="s">
        <v>70</v>
      </c>
      <c r="E1" s="10" t="s">
        <v>71</v>
      </c>
    </row>
    <row r="2" spans="1:5">
      <c r="A2" s="8" t="s">
        <v>60</v>
      </c>
      <c r="B2" s="8" t="s">
        <v>72</v>
      </c>
      <c r="C2" s="8" t="s">
        <v>2</v>
      </c>
      <c r="D2" s="8" t="s">
        <v>73</v>
      </c>
      <c r="E2" s="8" t="s">
        <v>74</v>
      </c>
    </row>
    <row r="3" spans="1:5">
      <c r="A3" s="8" t="s">
        <v>61</v>
      </c>
      <c r="B3" s="8" t="s">
        <v>75</v>
      </c>
      <c r="C3" s="8" t="s">
        <v>72</v>
      </c>
      <c r="D3" s="8" t="s">
        <v>76</v>
      </c>
      <c r="E3" s="8" t="s">
        <v>77</v>
      </c>
    </row>
    <row r="4" spans="1:5">
      <c r="A4" s="8" t="s">
        <v>207</v>
      </c>
      <c r="B4" s="8" t="s">
        <v>78</v>
      </c>
      <c r="C4" s="8" t="s">
        <v>79</v>
      </c>
      <c r="D4" s="8" t="s">
        <v>80</v>
      </c>
      <c r="E4" s="8" t="s">
        <v>81</v>
      </c>
    </row>
    <row r="5" spans="1:5">
      <c r="A5" s="8" t="s">
        <v>208</v>
      </c>
      <c r="B5" s="8" t="s">
        <v>82</v>
      </c>
      <c r="C5" s="8" t="s">
        <v>83</v>
      </c>
      <c r="D5" s="8" t="s">
        <v>84</v>
      </c>
      <c r="E5" s="8" t="s">
        <v>85</v>
      </c>
    </row>
    <row r="6" spans="1:5">
      <c r="A6" s="8" t="s">
        <v>63</v>
      </c>
      <c r="B6" s="8" t="s">
        <v>86</v>
      </c>
      <c r="C6" s="8" t="s">
        <v>87</v>
      </c>
      <c r="D6" s="8" t="s">
        <v>88</v>
      </c>
      <c r="E6" s="8" t="s">
        <v>89</v>
      </c>
    </row>
    <row r="7" spans="1:5">
      <c r="A7" s="8" t="s">
        <v>64</v>
      </c>
      <c r="B7" s="8" t="s">
        <v>91</v>
      </c>
      <c r="C7" s="8" t="s">
        <v>92</v>
      </c>
      <c r="D7" s="8" t="s">
        <v>93</v>
      </c>
      <c r="E7" s="8" t="s">
        <v>94</v>
      </c>
    </row>
    <row r="8" spans="1:5">
      <c r="A8" s="8" t="s">
        <v>90</v>
      </c>
      <c r="B8" s="8" t="s">
        <v>96</v>
      </c>
      <c r="C8" s="8" t="s">
        <v>97</v>
      </c>
      <c r="D8" s="8" t="s">
        <v>98</v>
      </c>
      <c r="E8" s="8" t="s">
        <v>99</v>
      </c>
    </row>
    <row r="9" spans="1:5">
      <c r="A9" s="8" t="s">
        <v>95</v>
      </c>
      <c r="B9" s="8" t="s">
        <v>100</v>
      </c>
      <c r="C9" s="8" t="s">
        <v>93</v>
      </c>
      <c r="D9" s="8"/>
      <c r="E9" s="8"/>
    </row>
    <row r="10" spans="1:5">
      <c r="A10" s="8"/>
      <c r="B10" s="8" t="s">
        <v>101</v>
      </c>
      <c r="C10" s="8" t="s">
        <v>102</v>
      </c>
      <c r="D10" s="8"/>
      <c r="E10" s="8"/>
    </row>
    <row r="11" spans="1:5">
      <c r="A11" s="8"/>
      <c r="B11" s="8" t="s">
        <v>103</v>
      </c>
      <c r="C11" s="8" t="s">
        <v>104</v>
      </c>
      <c r="D11" s="8"/>
      <c r="E11" s="8"/>
    </row>
    <row r="12" spans="1:5">
      <c r="A12" s="8"/>
      <c r="B12" s="8" t="s">
        <v>105</v>
      </c>
      <c r="C12" s="8" t="s">
        <v>106</v>
      </c>
      <c r="D12" s="8"/>
      <c r="E12" s="8"/>
    </row>
    <row r="13" spans="1:5">
      <c r="A13" s="8"/>
      <c r="B13" s="8" t="s">
        <v>107</v>
      </c>
      <c r="C13" s="8" t="s">
        <v>108</v>
      </c>
      <c r="D13" s="8"/>
      <c r="E13" s="8"/>
    </row>
    <row r="14" spans="1:5">
      <c r="A14" s="8"/>
      <c r="B14" s="8" t="s">
        <v>12</v>
      </c>
      <c r="C14" s="8" t="s">
        <v>12</v>
      </c>
      <c r="D14" s="8"/>
      <c r="E14" s="8"/>
    </row>
    <row r="15" spans="1:5">
      <c r="A15" s="8"/>
      <c r="B15" s="8" t="s">
        <v>88</v>
      </c>
      <c r="C15" s="8" t="s">
        <v>107</v>
      </c>
      <c r="D15" s="8"/>
      <c r="E15" s="8"/>
    </row>
    <row r="16" spans="1:5">
      <c r="A16" s="8"/>
      <c r="B16" s="8" t="s">
        <v>62</v>
      </c>
      <c r="C16" s="8" t="s">
        <v>88</v>
      </c>
      <c r="D16" s="8"/>
      <c r="E16" s="8"/>
    </row>
    <row r="17" spans="1:5">
      <c r="A17" s="8"/>
      <c r="B17" s="8"/>
      <c r="C17" s="8" t="s">
        <v>62</v>
      </c>
      <c r="D17" s="8"/>
      <c r="E17" s="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6"/>
  <sheetViews>
    <sheetView workbookViewId="0"/>
  </sheetViews>
  <sheetFormatPr defaultRowHeight="14.25"/>
  <cols>
    <col min="1" max="4" width="28" customWidth="1"/>
  </cols>
  <sheetData>
    <row r="1" spans="1:4" ht="15">
      <c r="A1" s="10" t="s">
        <v>109</v>
      </c>
      <c r="B1" s="10" t="s">
        <v>110</v>
      </c>
      <c r="C1" s="10" t="s">
        <v>111</v>
      </c>
      <c r="D1" s="10" t="s">
        <v>112</v>
      </c>
    </row>
    <row r="2" spans="1:4">
      <c r="A2" s="9"/>
      <c r="B2" s="8"/>
      <c r="C2" s="8"/>
      <c r="D2" s="8"/>
    </row>
    <row r="3" spans="1:4" ht="42.75">
      <c r="A3" s="9">
        <v>46187.980231481481</v>
      </c>
      <c r="B3" s="8" t="s">
        <v>114</v>
      </c>
      <c r="C3" s="8" t="s">
        <v>205</v>
      </c>
      <c r="D3" s="8" t="s">
        <v>206</v>
      </c>
    </row>
    <row r="4" spans="1:4" ht="42.75">
      <c r="A4" s="9">
        <v>46188.613449074073</v>
      </c>
      <c r="B4" s="8" t="s">
        <v>114</v>
      </c>
      <c r="C4" s="8" t="s">
        <v>205</v>
      </c>
      <c r="D4" s="8" t="s">
        <v>206</v>
      </c>
    </row>
    <row r="5" spans="1:4" ht="42.75">
      <c r="A5" s="9">
        <v>46188.97855324074</v>
      </c>
      <c r="B5" s="8" t="s">
        <v>114</v>
      </c>
      <c r="C5" s="8" t="s">
        <v>205</v>
      </c>
      <c r="D5" s="8" t="s">
        <v>206</v>
      </c>
    </row>
    <row r="6" spans="1:4" ht="42.75">
      <c r="A6" s="9">
        <v>46188.981585648151</v>
      </c>
      <c r="B6" s="8" t="s">
        <v>114</v>
      </c>
      <c r="C6" s="8" t="s">
        <v>205</v>
      </c>
      <c r="D6" s="8" t="s">
        <v>206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customXml/itemProps3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Email Campaigns</vt:lpstr>
      <vt:lpstr>SMS Campaigns</vt:lpstr>
      <vt:lpstr>Notes - Instructions</vt:lpstr>
      <vt:lpstr>June 2026 Calendar</vt:lpstr>
      <vt:lpstr>Template for Duplicate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2026-06-16T04:03:51Z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