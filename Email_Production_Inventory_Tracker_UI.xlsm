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ul\Downloads\Email_Production_Inventory_Tracker_UI_Package\"/>
    </mc:Choice>
  </mc:AlternateContent>
  <xr:revisionPtr revIDLastSave="0" documentId="13_ncr:1_{7244460B-4AA4-4190-83BF-18E728EA9CA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duction Inventory" sheetId="1" r:id="rId1"/>
    <sheet name="Dashboard" sheetId="2" r:id="rId2"/>
    <sheet name="Calendar Import" sheetId="3" r:id="rId3"/>
    <sheet name="Dropdowns" sheetId="4" r:id="rId4"/>
    <sheet name="Automation Log" sheetId="5" r:id="rId5"/>
    <sheet name="README" sheetId="6" r:id="rId6"/>
    <sheet name="VBA Code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" l="1"/>
  <c r="W7" i="1"/>
  <c r="F7" i="1"/>
  <c r="V7" i="1" s="1"/>
  <c r="G16" i="2" s="1"/>
  <c r="A7" i="1"/>
  <c r="A11" i="2"/>
  <c r="C5" i="2"/>
  <c r="B3" i="2"/>
  <c r="D119" i="2"/>
  <c r="D118" i="2"/>
  <c r="D117" i="2"/>
  <c r="D115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L99" i="2"/>
  <c r="K99" i="2"/>
  <c r="J99" i="2"/>
  <c r="I99" i="2"/>
  <c r="H99" i="2"/>
  <c r="G99" i="2"/>
  <c r="F99" i="2"/>
  <c r="E99" i="2"/>
  <c r="D99" i="2"/>
  <c r="C99" i="2"/>
  <c r="B99" i="2"/>
  <c r="A99" i="2"/>
  <c r="L98" i="2"/>
  <c r="K98" i="2"/>
  <c r="J98" i="2"/>
  <c r="I98" i="2"/>
  <c r="H98" i="2"/>
  <c r="G98" i="2"/>
  <c r="F98" i="2"/>
  <c r="E98" i="2"/>
  <c r="D98" i="2"/>
  <c r="C98" i="2"/>
  <c r="B98" i="2"/>
  <c r="A98" i="2"/>
  <c r="L97" i="2"/>
  <c r="K97" i="2"/>
  <c r="J97" i="2"/>
  <c r="I97" i="2"/>
  <c r="H97" i="2"/>
  <c r="G97" i="2"/>
  <c r="F97" i="2"/>
  <c r="E97" i="2"/>
  <c r="D97" i="2"/>
  <c r="C97" i="2"/>
  <c r="B97" i="2"/>
  <c r="A97" i="2"/>
  <c r="L96" i="2"/>
  <c r="K96" i="2"/>
  <c r="J96" i="2"/>
  <c r="I96" i="2"/>
  <c r="H96" i="2"/>
  <c r="G96" i="2"/>
  <c r="F96" i="2"/>
  <c r="E96" i="2"/>
  <c r="D96" i="2"/>
  <c r="C96" i="2"/>
  <c r="B96" i="2"/>
  <c r="A96" i="2"/>
  <c r="L95" i="2"/>
  <c r="K95" i="2"/>
  <c r="J95" i="2"/>
  <c r="I95" i="2"/>
  <c r="H95" i="2"/>
  <c r="G95" i="2"/>
  <c r="F95" i="2"/>
  <c r="E95" i="2"/>
  <c r="D95" i="2"/>
  <c r="C95" i="2"/>
  <c r="B95" i="2"/>
  <c r="A95" i="2"/>
  <c r="L94" i="2"/>
  <c r="K94" i="2"/>
  <c r="J94" i="2"/>
  <c r="I94" i="2"/>
  <c r="H94" i="2"/>
  <c r="G94" i="2"/>
  <c r="F94" i="2"/>
  <c r="E94" i="2"/>
  <c r="D94" i="2"/>
  <c r="C94" i="2"/>
  <c r="B94" i="2"/>
  <c r="A94" i="2"/>
  <c r="L93" i="2"/>
  <c r="K93" i="2"/>
  <c r="J93" i="2"/>
  <c r="I93" i="2"/>
  <c r="H93" i="2"/>
  <c r="G93" i="2"/>
  <c r="F93" i="2"/>
  <c r="E93" i="2"/>
  <c r="D93" i="2"/>
  <c r="C93" i="2"/>
  <c r="B93" i="2"/>
  <c r="A93" i="2"/>
  <c r="L92" i="2"/>
  <c r="K92" i="2"/>
  <c r="J92" i="2"/>
  <c r="I92" i="2"/>
  <c r="H92" i="2"/>
  <c r="G92" i="2"/>
  <c r="F92" i="2"/>
  <c r="E92" i="2"/>
  <c r="D92" i="2"/>
  <c r="C92" i="2"/>
  <c r="B92" i="2"/>
  <c r="A92" i="2"/>
  <c r="L91" i="2"/>
  <c r="K91" i="2"/>
  <c r="J91" i="2"/>
  <c r="I91" i="2"/>
  <c r="H91" i="2"/>
  <c r="G91" i="2"/>
  <c r="F91" i="2"/>
  <c r="E91" i="2"/>
  <c r="D91" i="2"/>
  <c r="C91" i="2"/>
  <c r="B91" i="2"/>
  <c r="A91" i="2"/>
  <c r="L90" i="2"/>
  <c r="K90" i="2"/>
  <c r="J90" i="2"/>
  <c r="I90" i="2"/>
  <c r="H90" i="2"/>
  <c r="G90" i="2"/>
  <c r="F90" i="2"/>
  <c r="E90" i="2"/>
  <c r="D90" i="2"/>
  <c r="C90" i="2"/>
  <c r="B90" i="2"/>
  <c r="A90" i="2"/>
  <c r="L89" i="2"/>
  <c r="K89" i="2"/>
  <c r="J89" i="2"/>
  <c r="I89" i="2"/>
  <c r="H89" i="2"/>
  <c r="G89" i="2"/>
  <c r="F89" i="2"/>
  <c r="E89" i="2"/>
  <c r="D89" i="2"/>
  <c r="C89" i="2"/>
  <c r="B89" i="2"/>
  <c r="A89" i="2"/>
  <c r="L88" i="2"/>
  <c r="K88" i="2"/>
  <c r="J88" i="2"/>
  <c r="I88" i="2"/>
  <c r="H88" i="2"/>
  <c r="G88" i="2"/>
  <c r="F88" i="2"/>
  <c r="E88" i="2"/>
  <c r="D88" i="2"/>
  <c r="C88" i="2"/>
  <c r="B88" i="2"/>
  <c r="A88" i="2"/>
  <c r="L87" i="2"/>
  <c r="K87" i="2"/>
  <c r="J87" i="2"/>
  <c r="I87" i="2"/>
  <c r="H87" i="2"/>
  <c r="G87" i="2"/>
  <c r="F87" i="2"/>
  <c r="E87" i="2"/>
  <c r="D87" i="2"/>
  <c r="C87" i="2"/>
  <c r="B87" i="2"/>
  <c r="A87" i="2"/>
  <c r="L86" i="2"/>
  <c r="K86" i="2"/>
  <c r="J86" i="2"/>
  <c r="I86" i="2"/>
  <c r="H86" i="2"/>
  <c r="G86" i="2"/>
  <c r="F86" i="2"/>
  <c r="E86" i="2"/>
  <c r="D86" i="2"/>
  <c r="C86" i="2"/>
  <c r="B86" i="2"/>
  <c r="A86" i="2"/>
  <c r="L85" i="2"/>
  <c r="K85" i="2"/>
  <c r="J85" i="2"/>
  <c r="I85" i="2"/>
  <c r="H85" i="2"/>
  <c r="G85" i="2"/>
  <c r="F85" i="2"/>
  <c r="E85" i="2"/>
  <c r="D85" i="2"/>
  <c r="C85" i="2"/>
  <c r="B85" i="2"/>
  <c r="A85" i="2"/>
  <c r="L84" i="2"/>
  <c r="K84" i="2"/>
  <c r="J84" i="2"/>
  <c r="I84" i="2"/>
  <c r="H84" i="2"/>
  <c r="G84" i="2"/>
  <c r="F84" i="2"/>
  <c r="E84" i="2"/>
  <c r="D84" i="2"/>
  <c r="C84" i="2"/>
  <c r="B84" i="2"/>
  <c r="A84" i="2"/>
  <c r="L83" i="2"/>
  <c r="K83" i="2"/>
  <c r="J83" i="2"/>
  <c r="I83" i="2"/>
  <c r="H83" i="2"/>
  <c r="G83" i="2"/>
  <c r="F83" i="2"/>
  <c r="E83" i="2"/>
  <c r="D83" i="2"/>
  <c r="C83" i="2"/>
  <c r="B83" i="2"/>
  <c r="A83" i="2"/>
  <c r="L82" i="2"/>
  <c r="K82" i="2"/>
  <c r="J82" i="2"/>
  <c r="I82" i="2"/>
  <c r="H82" i="2"/>
  <c r="G82" i="2"/>
  <c r="F82" i="2"/>
  <c r="E82" i="2"/>
  <c r="D82" i="2"/>
  <c r="C82" i="2"/>
  <c r="B82" i="2"/>
  <c r="A82" i="2"/>
  <c r="L81" i="2"/>
  <c r="K81" i="2"/>
  <c r="J81" i="2"/>
  <c r="I81" i="2"/>
  <c r="H81" i="2"/>
  <c r="G81" i="2"/>
  <c r="F81" i="2"/>
  <c r="E81" i="2"/>
  <c r="D81" i="2"/>
  <c r="C81" i="2"/>
  <c r="B81" i="2"/>
  <c r="A81" i="2"/>
  <c r="L80" i="2"/>
  <c r="K80" i="2"/>
  <c r="J80" i="2"/>
  <c r="I80" i="2"/>
  <c r="H80" i="2"/>
  <c r="G80" i="2"/>
  <c r="F80" i="2"/>
  <c r="E80" i="2"/>
  <c r="D80" i="2"/>
  <c r="C80" i="2"/>
  <c r="B80" i="2"/>
  <c r="A80" i="2"/>
  <c r="L79" i="2"/>
  <c r="K79" i="2"/>
  <c r="J79" i="2"/>
  <c r="I79" i="2"/>
  <c r="H79" i="2"/>
  <c r="G79" i="2"/>
  <c r="F79" i="2"/>
  <c r="E79" i="2"/>
  <c r="D79" i="2"/>
  <c r="C79" i="2"/>
  <c r="B79" i="2"/>
  <c r="A79" i="2"/>
  <c r="L78" i="2"/>
  <c r="K78" i="2"/>
  <c r="J78" i="2"/>
  <c r="I78" i="2"/>
  <c r="H78" i="2"/>
  <c r="G78" i="2"/>
  <c r="F78" i="2"/>
  <c r="E78" i="2"/>
  <c r="D78" i="2"/>
  <c r="C78" i="2"/>
  <c r="B78" i="2"/>
  <c r="A78" i="2"/>
  <c r="L77" i="2"/>
  <c r="K77" i="2"/>
  <c r="J77" i="2"/>
  <c r="I77" i="2"/>
  <c r="H77" i="2"/>
  <c r="G77" i="2"/>
  <c r="F77" i="2"/>
  <c r="E77" i="2"/>
  <c r="D77" i="2"/>
  <c r="C77" i="2"/>
  <c r="B77" i="2"/>
  <c r="A77" i="2"/>
  <c r="L76" i="2"/>
  <c r="K76" i="2"/>
  <c r="J76" i="2"/>
  <c r="I76" i="2"/>
  <c r="H76" i="2"/>
  <c r="G76" i="2"/>
  <c r="F76" i="2"/>
  <c r="E76" i="2"/>
  <c r="D76" i="2"/>
  <c r="C76" i="2"/>
  <c r="B76" i="2"/>
  <c r="A76" i="2"/>
  <c r="L75" i="2"/>
  <c r="K75" i="2"/>
  <c r="J75" i="2"/>
  <c r="I75" i="2"/>
  <c r="H75" i="2"/>
  <c r="G75" i="2"/>
  <c r="F75" i="2"/>
  <c r="E75" i="2"/>
  <c r="D75" i="2"/>
  <c r="C75" i="2"/>
  <c r="B75" i="2"/>
  <c r="A75" i="2"/>
  <c r="L74" i="2"/>
  <c r="K74" i="2"/>
  <c r="J74" i="2"/>
  <c r="I74" i="2"/>
  <c r="H74" i="2"/>
  <c r="G74" i="2"/>
  <c r="F74" i="2"/>
  <c r="E74" i="2"/>
  <c r="D74" i="2"/>
  <c r="C74" i="2"/>
  <c r="B74" i="2"/>
  <c r="A74" i="2"/>
  <c r="L73" i="2"/>
  <c r="K73" i="2"/>
  <c r="J73" i="2"/>
  <c r="I73" i="2"/>
  <c r="H73" i="2"/>
  <c r="G73" i="2"/>
  <c r="F73" i="2"/>
  <c r="E73" i="2"/>
  <c r="D73" i="2"/>
  <c r="C73" i="2"/>
  <c r="B73" i="2"/>
  <c r="A73" i="2"/>
  <c r="L72" i="2"/>
  <c r="K72" i="2"/>
  <c r="J72" i="2"/>
  <c r="I72" i="2"/>
  <c r="H72" i="2"/>
  <c r="G72" i="2"/>
  <c r="F72" i="2"/>
  <c r="E72" i="2"/>
  <c r="D72" i="2"/>
  <c r="C72" i="2"/>
  <c r="B72" i="2"/>
  <c r="A72" i="2"/>
  <c r="L71" i="2"/>
  <c r="K71" i="2"/>
  <c r="J71" i="2"/>
  <c r="I71" i="2"/>
  <c r="H71" i="2"/>
  <c r="G71" i="2"/>
  <c r="F71" i="2"/>
  <c r="E71" i="2"/>
  <c r="D71" i="2"/>
  <c r="C71" i="2"/>
  <c r="B71" i="2"/>
  <c r="A71" i="2"/>
  <c r="L70" i="2"/>
  <c r="K70" i="2"/>
  <c r="J70" i="2"/>
  <c r="I70" i="2"/>
  <c r="H70" i="2"/>
  <c r="G70" i="2"/>
  <c r="F70" i="2"/>
  <c r="E70" i="2"/>
  <c r="D70" i="2"/>
  <c r="C70" i="2"/>
  <c r="B70" i="2"/>
  <c r="A70" i="2"/>
  <c r="L69" i="2"/>
  <c r="K69" i="2"/>
  <c r="J69" i="2"/>
  <c r="I69" i="2"/>
  <c r="H69" i="2"/>
  <c r="G69" i="2"/>
  <c r="F69" i="2"/>
  <c r="E69" i="2"/>
  <c r="D69" i="2"/>
  <c r="C69" i="2"/>
  <c r="B69" i="2"/>
  <c r="A69" i="2"/>
  <c r="L68" i="2"/>
  <c r="K68" i="2"/>
  <c r="J68" i="2"/>
  <c r="I68" i="2"/>
  <c r="H68" i="2"/>
  <c r="G68" i="2"/>
  <c r="F68" i="2"/>
  <c r="E68" i="2"/>
  <c r="D68" i="2"/>
  <c r="C68" i="2"/>
  <c r="B68" i="2"/>
  <c r="A68" i="2"/>
  <c r="L67" i="2"/>
  <c r="K67" i="2"/>
  <c r="J67" i="2"/>
  <c r="I67" i="2"/>
  <c r="H67" i="2"/>
  <c r="G67" i="2"/>
  <c r="F67" i="2"/>
  <c r="E67" i="2"/>
  <c r="D67" i="2"/>
  <c r="C67" i="2"/>
  <c r="B67" i="2"/>
  <c r="A67" i="2"/>
  <c r="L66" i="2"/>
  <c r="K66" i="2"/>
  <c r="J66" i="2"/>
  <c r="I66" i="2"/>
  <c r="H66" i="2"/>
  <c r="G66" i="2"/>
  <c r="F66" i="2"/>
  <c r="E66" i="2"/>
  <c r="D66" i="2"/>
  <c r="C66" i="2"/>
  <c r="B66" i="2"/>
  <c r="A66" i="2"/>
  <c r="L65" i="2"/>
  <c r="K65" i="2"/>
  <c r="J65" i="2"/>
  <c r="I65" i="2"/>
  <c r="H65" i="2"/>
  <c r="G65" i="2"/>
  <c r="F65" i="2"/>
  <c r="E65" i="2"/>
  <c r="D65" i="2"/>
  <c r="C65" i="2"/>
  <c r="B65" i="2"/>
  <c r="A65" i="2"/>
  <c r="L64" i="2"/>
  <c r="K64" i="2"/>
  <c r="J64" i="2"/>
  <c r="I64" i="2"/>
  <c r="H64" i="2"/>
  <c r="G64" i="2"/>
  <c r="F64" i="2"/>
  <c r="E64" i="2"/>
  <c r="D64" i="2"/>
  <c r="C64" i="2"/>
  <c r="B64" i="2"/>
  <c r="A64" i="2"/>
  <c r="L63" i="2"/>
  <c r="K63" i="2"/>
  <c r="J63" i="2"/>
  <c r="I63" i="2"/>
  <c r="H63" i="2"/>
  <c r="G63" i="2"/>
  <c r="F63" i="2"/>
  <c r="E63" i="2"/>
  <c r="D63" i="2"/>
  <c r="C63" i="2"/>
  <c r="B63" i="2"/>
  <c r="A63" i="2"/>
  <c r="L62" i="2"/>
  <c r="K62" i="2"/>
  <c r="J62" i="2"/>
  <c r="I62" i="2"/>
  <c r="H62" i="2"/>
  <c r="G62" i="2"/>
  <c r="F62" i="2"/>
  <c r="E62" i="2"/>
  <c r="D62" i="2"/>
  <c r="C62" i="2"/>
  <c r="B62" i="2"/>
  <c r="A62" i="2"/>
  <c r="L61" i="2"/>
  <c r="K61" i="2"/>
  <c r="J61" i="2"/>
  <c r="I61" i="2"/>
  <c r="H61" i="2"/>
  <c r="G61" i="2"/>
  <c r="F61" i="2"/>
  <c r="E61" i="2"/>
  <c r="D61" i="2"/>
  <c r="C61" i="2"/>
  <c r="B61" i="2"/>
  <c r="A61" i="2"/>
  <c r="L60" i="2"/>
  <c r="K60" i="2"/>
  <c r="J60" i="2"/>
  <c r="I60" i="2"/>
  <c r="H60" i="2"/>
  <c r="G60" i="2"/>
  <c r="F60" i="2"/>
  <c r="E60" i="2"/>
  <c r="D60" i="2"/>
  <c r="C60" i="2"/>
  <c r="B60" i="2"/>
  <c r="A60" i="2"/>
  <c r="L59" i="2"/>
  <c r="K59" i="2"/>
  <c r="J59" i="2"/>
  <c r="I59" i="2"/>
  <c r="H59" i="2"/>
  <c r="G59" i="2"/>
  <c r="F59" i="2"/>
  <c r="E59" i="2"/>
  <c r="D59" i="2"/>
  <c r="C59" i="2"/>
  <c r="B59" i="2"/>
  <c r="A59" i="2"/>
  <c r="L58" i="2"/>
  <c r="K58" i="2"/>
  <c r="J58" i="2"/>
  <c r="I58" i="2"/>
  <c r="H58" i="2"/>
  <c r="G58" i="2"/>
  <c r="F58" i="2"/>
  <c r="E58" i="2"/>
  <c r="D58" i="2"/>
  <c r="C58" i="2"/>
  <c r="B58" i="2"/>
  <c r="A58" i="2"/>
  <c r="L57" i="2"/>
  <c r="K57" i="2"/>
  <c r="J57" i="2"/>
  <c r="I57" i="2"/>
  <c r="H57" i="2"/>
  <c r="G57" i="2"/>
  <c r="F57" i="2"/>
  <c r="E57" i="2"/>
  <c r="D57" i="2"/>
  <c r="C57" i="2"/>
  <c r="B57" i="2"/>
  <c r="A57" i="2"/>
  <c r="L56" i="2"/>
  <c r="K56" i="2"/>
  <c r="J56" i="2"/>
  <c r="I56" i="2"/>
  <c r="H56" i="2"/>
  <c r="G56" i="2"/>
  <c r="F56" i="2"/>
  <c r="E56" i="2"/>
  <c r="D56" i="2"/>
  <c r="C56" i="2"/>
  <c r="B56" i="2"/>
  <c r="A56" i="2"/>
  <c r="L55" i="2"/>
  <c r="K55" i="2"/>
  <c r="J55" i="2"/>
  <c r="I55" i="2"/>
  <c r="H55" i="2"/>
  <c r="G55" i="2"/>
  <c r="F55" i="2"/>
  <c r="E55" i="2"/>
  <c r="D55" i="2"/>
  <c r="C55" i="2"/>
  <c r="B55" i="2"/>
  <c r="A55" i="2"/>
  <c r="L54" i="2"/>
  <c r="K54" i="2"/>
  <c r="J54" i="2"/>
  <c r="I54" i="2"/>
  <c r="H54" i="2"/>
  <c r="G54" i="2"/>
  <c r="F54" i="2"/>
  <c r="E54" i="2"/>
  <c r="D54" i="2"/>
  <c r="C54" i="2"/>
  <c r="B54" i="2"/>
  <c r="A54" i="2"/>
  <c r="L53" i="2"/>
  <c r="K53" i="2"/>
  <c r="J53" i="2"/>
  <c r="I53" i="2"/>
  <c r="H53" i="2"/>
  <c r="G53" i="2"/>
  <c r="F53" i="2"/>
  <c r="E53" i="2"/>
  <c r="D53" i="2"/>
  <c r="C53" i="2"/>
  <c r="B53" i="2"/>
  <c r="A53" i="2"/>
  <c r="L52" i="2"/>
  <c r="K52" i="2"/>
  <c r="J52" i="2"/>
  <c r="I52" i="2"/>
  <c r="H52" i="2"/>
  <c r="G52" i="2"/>
  <c r="F52" i="2"/>
  <c r="E52" i="2"/>
  <c r="D52" i="2"/>
  <c r="C52" i="2"/>
  <c r="B52" i="2"/>
  <c r="A52" i="2"/>
  <c r="L51" i="2"/>
  <c r="K51" i="2"/>
  <c r="J51" i="2"/>
  <c r="I51" i="2"/>
  <c r="H51" i="2"/>
  <c r="G51" i="2"/>
  <c r="F51" i="2"/>
  <c r="E51" i="2"/>
  <c r="D51" i="2"/>
  <c r="C51" i="2"/>
  <c r="B51" i="2"/>
  <c r="A51" i="2"/>
  <c r="L50" i="2"/>
  <c r="K50" i="2"/>
  <c r="J50" i="2"/>
  <c r="I50" i="2"/>
  <c r="H50" i="2"/>
  <c r="G50" i="2"/>
  <c r="F50" i="2"/>
  <c r="E50" i="2"/>
  <c r="D50" i="2"/>
  <c r="C50" i="2"/>
  <c r="B50" i="2"/>
  <c r="A50" i="2"/>
  <c r="L49" i="2"/>
  <c r="K49" i="2"/>
  <c r="J49" i="2"/>
  <c r="I49" i="2"/>
  <c r="H49" i="2"/>
  <c r="G49" i="2"/>
  <c r="F49" i="2"/>
  <c r="E49" i="2"/>
  <c r="D49" i="2"/>
  <c r="C49" i="2"/>
  <c r="B49" i="2"/>
  <c r="A49" i="2"/>
  <c r="L48" i="2"/>
  <c r="K48" i="2"/>
  <c r="J48" i="2"/>
  <c r="I48" i="2"/>
  <c r="H48" i="2"/>
  <c r="G48" i="2"/>
  <c r="F48" i="2"/>
  <c r="E48" i="2"/>
  <c r="D48" i="2"/>
  <c r="C48" i="2"/>
  <c r="B48" i="2"/>
  <c r="A48" i="2"/>
  <c r="L47" i="2"/>
  <c r="K47" i="2"/>
  <c r="J47" i="2"/>
  <c r="I47" i="2"/>
  <c r="H47" i="2"/>
  <c r="G47" i="2"/>
  <c r="F47" i="2"/>
  <c r="E47" i="2"/>
  <c r="D47" i="2"/>
  <c r="C47" i="2"/>
  <c r="B47" i="2"/>
  <c r="A47" i="2"/>
  <c r="L46" i="2"/>
  <c r="K46" i="2"/>
  <c r="J46" i="2"/>
  <c r="I46" i="2"/>
  <c r="H46" i="2"/>
  <c r="G46" i="2"/>
  <c r="F46" i="2"/>
  <c r="E46" i="2"/>
  <c r="D46" i="2"/>
  <c r="C46" i="2"/>
  <c r="B46" i="2"/>
  <c r="A46" i="2"/>
  <c r="L45" i="2"/>
  <c r="K45" i="2"/>
  <c r="J45" i="2"/>
  <c r="I45" i="2"/>
  <c r="H45" i="2"/>
  <c r="G45" i="2"/>
  <c r="F45" i="2"/>
  <c r="E45" i="2"/>
  <c r="D45" i="2"/>
  <c r="C45" i="2"/>
  <c r="B45" i="2"/>
  <c r="A45" i="2"/>
  <c r="L44" i="2"/>
  <c r="K44" i="2"/>
  <c r="J44" i="2"/>
  <c r="I44" i="2"/>
  <c r="H44" i="2"/>
  <c r="G44" i="2"/>
  <c r="F44" i="2"/>
  <c r="E44" i="2"/>
  <c r="D44" i="2"/>
  <c r="C44" i="2"/>
  <c r="B44" i="2"/>
  <c r="A44" i="2"/>
  <c r="L43" i="2"/>
  <c r="K43" i="2"/>
  <c r="J43" i="2"/>
  <c r="I43" i="2"/>
  <c r="H43" i="2"/>
  <c r="G43" i="2"/>
  <c r="F43" i="2"/>
  <c r="E43" i="2"/>
  <c r="D43" i="2"/>
  <c r="C43" i="2"/>
  <c r="B43" i="2"/>
  <c r="A43" i="2"/>
  <c r="L42" i="2"/>
  <c r="K42" i="2"/>
  <c r="J42" i="2"/>
  <c r="I42" i="2"/>
  <c r="H42" i="2"/>
  <c r="G42" i="2"/>
  <c r="F42" i="2"/>
  <c r="E42" i="2"/>
  <c r="D42" i="2"/>
  <c r="C42" i="2"/>
  <c r="B42" i="2"/>
  <c r="A42" i="2"/>
  <c r="L41" i="2"/>
  <c r="K41" i="2"/>
  <c r="J41" i="2"/>
  <c r="I41" i="2"/>
  <c r="H41" i="2"/>
  <c r="G41" i="2"/>
  <c r="F41" i="2"/>
  <c r="E41" i="2"/>
  <c r="D41" i="2"/>
  <c r="C41" i="2"/>
  <c r="B41" i="2"/>
  <c r="A41" i="2"/>
  <c r="L40" i="2"/>
  <c r="K40" i="2"/>
  <c r="J40" i="2"/>
  <c r="I40" i="2"/>
  <c r="H40" i="2"/>
  <c r="G40" i="2"/>
  <c r="F40" i="2"/>
  <c r="E40" i="2"/>
  <c r="D40" i="2"/>
  <c r="C40" i="2"/>
  <c r="B40" i="2"/>
  <c r="A40" i="2"/>
  <c r="L39" i="2"/>
  <c r="K39" i="2"/>
  <c r="J39" i="2"/>
  <c r="I39" i="2"/>
  <c r="H39" i="2"/>
  <c r="G39" i="2"/>
  <c r="F39" i="2"/>
  <c r="E39" i="2"/>
  <c r="D39" i="2"/>
  <c r="C39" i="2"/>
  <c r="B39" i="2"/>
  <c r="A39" i="2"/>
  <c r="L38" i="2"/>
  <c r="K38" i="2"/>
  <c r="J38" i="2"/>
  <c r="I38" i="2"/>
  <c r="H38" i="2"/>
  <c r="G38" i="2"/>
  <c r="F38" i="2"/>
  <c r="E38" i="2"/>
  <c r="D38" i="2"/>
  <c r="C38" i="2"/>
  <c r="B38" i="2"/>
  <c r="A38" i="2"/>
  <c r="L37" i="2"/>
  <c r="K37" i="2"/>
  <c r="J37" i="2"/>
  <c r="I37" i="2"/>
  <c r="H37" i="2"/>
  <c r="G37" i="2"/>
  <c r="F37" i="2"/>
  <c r="E37" i="2"/>
  <c r="D37" i="2"/>
  <c r="C37" i="2"/>
  <c r="B37" i="2"/>
  <c r="A37" i="2"/>
  <c r="L36" i="2"/>
  <c r="K36" i="2"/>
  <c r="J36" i="2"/>
  <c r="I36" i="2"/>
  <c r="H36" i="2"/>
  <c r="G36" i="2"/>
  <c r="F36" i="2"/>
  <c r="E36" i="2"/>
  <c r="D36" i="2"/>
  <c r="C36" i="2"/>
  <c r="B36" i="2"/>
  <c r="A36" i="2"/>
  <c r="L35" i="2"/>
  <c r="K35" i="2"/>
  <c r="J35" i="2"/>
  <c r="I35" i="2"/>
  <c r="H35" i="2"/>
  <c r="G35" i="2"/>
  <c r="F35" i="2"/>
  <c r="E35" i="2"/>
  <c r="D35" i="2"/>
  <c r="C35" i="2"/>
  <c r="B35" i="2"/>
  <c r="A35" i="2"/>
  <c r="L34" i="2"/>
  <c r="K34" i="2"/>
  <c r="J34" i="2"/>
  <c r="I34" i="2"/>
  <c r="H34" i="2"/>
  <c r="G34" i="2"/>
  <c r="F34" i="2"/>
  <c r="E34" i="2"/>
  <c r="D34" i="2"/>
  <c r="C34" i="2"/>
  <c r="B34" i="2"/>
  <c r="A34" i="2"/>
  <c r="L33" i="2"/>
  <c r="K33" i="2"/>
  <c r="J33" i="2"/>
  <c r="I33" i="2"/>
  <c r="H33" i="2"/>
  <c r="G33" i="2"/>
  <c r="F33" i="2"/>
  <c r="E33" i="2"/>
  <c r="D33" i="2"/>
  <c r="C33" i="2"/>
  <c r="B33" i="2"/>
  <c r="A33" i="2"/>
  <c r="L32" i="2"/>
  <c r="K32" i="2"/>
  <c r="J32" i="2"/>
  <c r="I32" i="2"/>
  <c r="H32" i="2"/>
  <c r="G32" i="2"/>
  <c r="F32" i="2"/>
  <c r="E32" i="2"/>
  <c r="D32" i="2"/>
  <c r="C32" i="2"/>
  <c r="B32" i="2"/>
  <c r="A32" i="2"/>
  <c r="L31" i="2"/>
  <c r="K31" i="2"/>
  <c r="J31" i="2"/>
  <c r="I31" i="2"/>
  <c r="H31" i="2"/>
  <c r="G31" i="2"/>
  <c r="F31" i="2"/>
  <c r="E31" i="2"/>
  <c r="D31" i="2"/>
  <c r="C31" i="2"/>
  <c r="B31" i="2"/>
  <c r="A31" i="2"/>
  <c r="L30" i="2"/>
  <c r="K30" i="2"/>
  <c r="J30" i="2"/>
  <c r="I30" i="2"/>
  <c r="H30" i="2"/>
  <c r="G30" i="2"/>
  <c r="F30" i="2"/>
  <c r="E30" i="2"/>
  <c r="D30" i="2"/>
  <c r="C30" i="2"/>
  <c r="B30" i="2"/>
  <c r="A30" i="2"/>
  <c r="L29" i="2"/>
  <c r="K29" i="2"/>
  <c r="J29" i="2"/>
  <c r="I29" i="2"/>
  <c r="H29" i="2"/>
  <c r="G29" i="2"/>
  <c r="F29" i="2"/>
  <c r="E29" i="2"/>
  <c r="D29" i="2"/>
  <c r="C29" i="2"/>
  <c r="B29" i="2"/>
  <c r="A29" i="2"/>
  <c r="L28" i="2"/>
  <c r="K28" i="2"/>
  <c r="J28" i="2"/>
  <c r="I28" i="2"/>
  <c r="H28" i="2"/>
  <c r="G28" i="2"/>
  <c r="F28" i="2"/>
  <c r="E28" i="2"/>
  <c r="D28" i="2"/>
  <c r="C28" i="2"/>
  <c r="B28" i="2"/>
  <c r="A28" i="2"/>
  <c r="L27" i="2"/>
  <c r="K27" i="2"/>
  <c r="J27" i="2"/>
  <c r="I27" i="2"/>
  <c r="H27" i="2"/>
  <c r="G27" i="2"/>
  <c r="F27" i="2"/>
  <c r="E27" i="2"/>
  <c r="D27" i="2"/>
  <c r="C27" i="2"/>
  <c r="B27" i="2"/>
  <c r="A27" i="2"/>
  <c r="L26" i="2"/>
  <c r="K26" i="2"/>
  <c r="J26" i="2"/>
  <c r="I26" i="2"/>
  <c r="H26" i="2"/>
  <c r="G26" i="2"/>
  <c r="F26" i="2"/>
  <c r="E26" i="2"/>
  <c r="D26" i="2"/>
  <c r="C26" i="2"/>
  <c r="B26" i="2"/>
  <c r="A26" i="2"/>
  <c r="L25" i="2"/>
  <c r="K25" i="2"/>
  <c r="J25" i="2"/>
  <c r="I25" i="2"/>
  <c r="H25" i="2"/>
  <c r="G25" i="2"/>
  <c r="F25" i="2"/>
  <c r="E25" i="2"/>
  <c r="D25" i="2"/>
  <c r="C25" i="2"/>
  <c r="B25" i="2"/>
  <c r="A25" i="2"/>
  <c r="L24" i="2"/>
  <c r="K24" i="2"/>
  <c r="J24" i="2"/>
  <c r="I24" i="2"/>
  <c r="H24" i="2"/>
  <c r="G24" i="2"/>
  <c r="F24" i="2"/>
  <c r="E24" i="2"/>
  <c r="D24" i="2"/>
  <c r="C24" i="2"/>
  <c r="B24" i="2"/>
  <c r="A24" i="2"/>
  <c r="L23" i="2"/>
  <c r="K23" i="2"/>
  <c r="J23" i="2"/>
  <c r="I23" i="2"/>
  <c r="H23" i="2"/>
  <c r="G23" i="2"/>
  <c r="F23" i="2"/>
  <c r="E23" i="2"/>
  <c r="D23" i="2"/>
  <c r="C23" i="2"/>
  <c r="B23" i="2"/>
  <c r="A23" i="2"/>
  <c r="L22" i="2"/>
  <c r="K22" i="2"/>
  <c r="J22" i="2"/>
  <c r="I22" i="2"/>
  <c r="H22" i="2"/>
  <c r="G22" i="2"/>
  <c r="F22" i="2"/>
  <c r="E22" i="2"/>
  <c r="D22" i="2"/>
  <c r="C22" i="2"/>
  <c r="B22" i="2"/>
  <c r="A22" i="2"/>
  <c r="L21" i="2"/>
  <c r="K21" i="2"/>
  <c r="J21" i="2"/>
  <c r="I21" i="2"/>
  <c r="H21" i="2"/>
  <c r="G21" i="2"/>
  <c r="F21" i="2"/>
  <c r="E21" i="2"/>
  <c r="D21" i="2"/>
  <c r="C21" i="2"/>
  <c r="B21" i="2"/>
  <c r="A21" i="2"/>
  <c r="L20" i="2"/>
  <c r="K20" i="2"/>
  <c r="J20" i="2"/>
  <c r="I20" i="2"/>
  <c r="H20" i="2"/>
  <c r="G20" i="2"/>
  <c r="F20" i="2"/>
  <c r="E20" i="2"/>
  <c r="D20" i="2"/>
  <c r="C20" i="2"/>
  <c r="B20" i="2"/>
  <c r="A20" i="2"/>
  <c r="L19" i="2"/>
  <c r="K19" i="2"/>
  <c r="J19" i="2"/>
  <c r="I19" i="2"/>
  <c r="H19" i="2"/>
  <c r="G19" i="2"/>
  <c r="F19" i="2"/>
  <c r="E19" i="2"/>
  <c r="D19" i="2"/>
  <c r="C19" i="2"/>
  <c r="B19" i="2"/>
  <c r="A19" i="2"/>
  <c r="L18" i="2"/>
  <c r="K18" i="2"/>
  <c r="J18" i="2"/>
  <c r="I18" i="2"/>
  <c r="H18" i="2"/>
  <c r="G18" i="2"/>
  <c r="F18" i="2"/>
  <c r="E18" i="2"/>
  <c r="D18" i="2"/>
  <c r="C18" i="2"/>
  <c r="B18" i="2"/>
  <c r="A18" i="2"/>
  <c r="L17" i="2"/>
  <c r="K17" i="2"/>
  <c r="J17" i="2"/>
  <c r="I17" i="2"/>
  <c r="H17" i="2"/>
  <c r="F17" i="2"/>
  <c r="D17" i="2"/>
  <c r="C17" i="2"/>
  <c r="B17" i="2"/>
  <c r="A17" i="2"/>
  <c r="L16" i="2"/>
  <c r="K16" i="2"/>
  <c r="J16" i="2"/>
  <c r="I16" i="2"/>
  <c r="H16" i="2"/>
  <c r="F16" i="2"/>
  <c r="E16" i="2"/>
  <c r="D16" i="2"/>
  <c r="C16" i="2"/>
  <c r="B16" i="2"/>
  <c r="A16" i="2"/>
  <c r="L15" i="2"/>
  <c r="K15" i="2"/>
  <c r="J15" i="2"/>
  <c r="I15" i="2"/>
  <c r="H15" i="2"/>
  <c r="F15" i="2"/>
  <c r="D15" i="2"/>
  <c r="C15" i="2"/>
  <c r="B15" i="2"/>
  <c r="A15" i="2"/>
  <c r="L14" i="2"/>
  <c r="K14" i="2"/>
  <c r="J14" i="2"/>
  <c r="I14" i="2"/>
  <c r="H14" i="2"/>
  <c r="F14" i="2"/>
  <c r="D14" i="2"/>
  <c r="C14" i="2"/>
  <c r="B14" i="2"/>
  <c r="A14" i="2"/>
  <c r="L13" i="2"/>
  <c r="K13" i="2"/>
  <c r="J13" i="2"/>
  <c r="I13" i="2"/>
  <c r="H13" i="2"/>
  <c r="F13" i="2"/>
  <c r="D13" i="2"/>
  <c r="C13" i="2"/>
  <c r="B13" i="2"/>
  <c r="A13" i="2"/>
  <c r="L12" i="2"/>
  <c r="K12" i="2"/>
  <c r="J12" i="2"/>
  <c r="I12" i="2"/>
  <c r="H12" i="2"/>
  <c r="F12" i="2"/>
  <c r="D12" i="2"/>
  <c r="C12" i="2"/>
  <c r="B12" i="2"/>
  <c r="A12" i="2"/>
  <c r="L11" i="2"/>
  <c r="K11" i="2"/>
  <c r="J11" i="2"/>
  <c r="I11" i="2"/>
  <c r="H11" i="2"/>
  <c r="F11" i="2"/>
  <c r="D11" i="2"/>
  <c r="C11" i="2"/>
  <c r="B11" i="2"/>
  <c r="W201" i="1"/>
  <c r="V201" i="1"/>
  <c r="F201" i="1"/>
  <c r="A201" i="1"/>
  <c r="W200" i="1"/>
  <c r="V200" i="1"/>
  <c r="F200" i="1"/>
  <c r="A200" i="1"/>
  <c r="W199" i="1"/>
  <c r="V199" i="1"/>
  <c r="F199" i="1"/>
  <c r="A199" i="1"/>
  <c r="W198" i="1"/>
  <c r="V198" i="1"/>
  <c r="F198" i="1"/>
  <c r="A198" i="1"/>
  <c r="W197" i="1"/>
  <c r="V197" i="1"/>
  <c r="F197" i="1"/>
  <c r="A197" i="1"/>
  <c r="W196" i="1"/>
  <c r="V196" i="1"/>
  <c r="F196" i="1"/>
  <c r="A196" i="1"/>
  <c r="W195" i="1"/>
  <c r="V195" i="1"/>
  <c r="F195" i="1"/>
  <c r="A195" i="1"/>
  <c r="W194" i="1"/>
  <c r="V194" i="1"/>
  <c r="F194" i="1"/>
  <c r="A194" i="1"/>
  <c r="W193" i="1"/>
  <c r="V193" i="1"/>
  <c r="F193" i="1"/>
  <c r="A193" i="1"/>
  <c r="W192" i="1"/>
  <c r="V192" i="1"/>
  <c r="F192" i="1"/>
  <c r="A192" i="1"/>
  <c r="W191" i="1"/>
  <c r="V191" i="1"/>
  <c r="F191" i="1"/>
  <c r="A191" i="1"/>
  <c r="W190" i="1"/>
  <c r="V190" i="1"/>
  <c r="F190" i="1"/>
  <c r="A190" i="1"/>
  <c r="W189" i="1"/>
  <c r="V189" i="1"/>
  <c r="F189" i="1"/>
  <c r="A189" i="1"/>
  <c r="W188" i="1"/>
  <c r="V188" i="1"/>
  <c r="F188" i="1"/>
  <c r="A188" i="1"/>
  <c r="W187" i="1"/>
  <c r="V187" i="1"/>
  <c r="F187" i="1"/>
  <c r="A187" i="1"/>
  <c r="W186" i="1"/>
  <c r="V186" i="1"/>
  <c r="F186" i="1"/>
  <c r="A186" i="1"/>
  <c r="W185" i="1"/>
  <c r="V185" i="1"/>
  <c r="F185" i="1"/>
  <c r="A185" i="1"/>
  <c r="W184" i="1"/>
  <c r="V184" i="1"/>
  <c r="F184" i="1"/>
  <c r="A184" i="1"/>
  <c r="W183" i="1"/>
  <c r="V183" i="1"/>
  <c r="F183" i="1"/>
  <c r="A183" i="1"/>
  <c r="W182" i="1"/>
  <c r="V182" i="1"/>
  <c r="F182" i="1"/>
  <c r="A182" i="1"/>
  <c r="W181" i="1"/>
  <c r="V181" i="1"/>
  <c r="F181" i="1"/>
  <c r="A181" i="1"/>
  <c r="W180" i="1"/>
  <c r="V180" i="1"/>
  <c r="F180" i="1"/>
  <c r="A180" i="1"/>
  <c r="W179" i="1"/>
  <c r="V179" i="1"/>
  <c r="F179" i="1"/>
  <c r="A179" i="1"/>
  <c r="W178" i="1"/>
  <c r="V178" i="1"/>
  <c r="F178" i="1"/>
  <c r="A178" i="1"/>
  <c r="W177" i="1"/>
  <c r="V177" i="1"/>
  <c r="F177" i="1"/>
  <c r="A177" i="1"/>
  <c r="W176" i="1"/>
  <c r="V176" i="1"/>
  <c r="F176" i="1"/>
  <c r="A176" i="1"/>
  <c r="W175" i="1"/>
  <c r="V175" i="1"/>
  <c r="F175" i="1"/>
  <c r="A175" i="1"/>
  <c r="W174" i="1"/>
  <c r="V174" i="1"/>
  <c r="F174" i="1"/>
  <c r="A174" i="1"/>
  <c r="W173" i="1"/>
  <c r="V173" i="1"/>
  <c r="F173" i="1"/>
  <c r="A173" i="1"/>
  <c r="W172" i="1"/>
  <c r="V172" i="1"/>
  <c r="F172" i="1"/>
  <c r="A172" i="1"/>
  <c r="W171" i="1"/>
  <c r="V171" i="1"/>
  <c r="F171" i="1"/>
  <c r="A171" i="1"/>
  <c r="W170" i="1"/>
  <c r="V170" i="1"/>
  <c r="F170" i="1"/>
  <c r="A170" i="1"/>
  <c r="W169" i="1"/>
  <c r="V169" i="1"/>
  <c r="F169" i="1"/>
  <c r="A169" i="1"/>
  <c r="W168" i="1"/>
  <c r="V168" i="1"/>
  <c r="F168" i="1"/>
  <c r="A168" i="1"/>
  <c r="W167" i="1"/>
  <c r="V167" i="1"/>
  <c r="F167" i="1"/>
  <c r="A167" i="1"/>
  <c r="W166" i="1"/>
  <c r="V166" i="1"/>
  <c r="F166" i="1"/>
  <c r="A166" i="1"/>
  <c r="W165" i="1"/>
  <c r="V165" i="1"/>
  <c r="F165" i="1"/>
  <c r="A165" i="1"/>
  <c r="W164" i="1"/>
  <c r="V164" i="1"/>
  <c r="F164" i="1"/>
  <c r="A164" i="1"/>
  <c r="W163" i="1"/>
  <c r="V163" i="1"/>
  <c r="F163" i="1"/>
  <c r="A163" i="1"/>
  <c r="W162" i="1"/>
  <c r="V162" i="1"/>
  <c r="F162" i="1"/>
  <c r="A162" i="1"/>
  <c r="W161" i="1"/>
  <c r="V161" i="1"/>
  <c r="F161" i="1"/>
  <c r="A161" i="1"/>
  <c r="W160" i="1"/>
  <c r="V160" i="1"/>
  <c r="F160" i="1"/>
  <c r="A160" i="1"/>
  <c r="W159" i="1"/>
  <c r="V159" i="1"/>
  <c r="F159" i="1"/>
  <c r="A159" i="1"/>
  <c r="W158" i="1"/>
  <c r="V158" i="1"/>
  <c r="F158" i="1"/>
  <c r="A158" i="1"/>
  <c r="W157" i="1"/>
  <c r="V157" i="1"/>
  <c r="F157" i="1"/>
  <c r="A157" i="1"/>
  <c r="W156" i="1"/>
  <c r="V156" i="1"/>
  <c r="F156" i="1"/>
  <c r="A156" i="1"/>
  <c r="W155" i="1"/>
  <c r="V155" i="1"/>
  <c r="F155" i="1"/>
  <c r="A155" i="1"/>
  <c r="W154" i="1"/>
  <c r="V154" i="1"/>
  <c r="F154" i="1"/>
  <c r="A154" i="1"/>
  <c r="W153" i="1"/>
  <c r="V153" i="1"/>
  <c r="F153" i="1"/>
  <c r="A153" i="1"/>
  <c r="W152" i="1"/>
  <c r="V152" i="1"/>
  <c r="F152" i="1"/>
  <c r="A152" i="1"/>
  <c r="W151" i="1"/>
  <c r="V151" i="1"/>
  <c r="F151" i="1"/>
  <c r="A151" i="1"/>
  <c r="W150" i="1"/>
  <c r="V150" i="1"/>
  <c r="F150" i="1"/>
  <c r="A150" i="1"/>
  <c r="W149" i="1"/>
  <c r="V149" i="1"/>
  <c r="F149" i="1"/>
  <c r="A149" i="1"/>
  <c r="W148" i="1"/>
  <c r="V148" i="1"/>
  <c r="F148" i="1"/>
  <c r="A148" i="1"/>
  <c r="W147" i="1"/>
  <c r="V147" i="1"/>
  <c r="F147" i="1"/>
  <c r="A147" i="1"/>
  <c r="W146" i="1"/>
  <c r="V146" i="1"/>
  <c r="F146" i="1"/>
  <c r="A146" i="1"/>
  <c r="W145" i="1"/>
  <c r="V145" i="1"/>
  <c r="F145" i="1"/>
  <c r="A145" i="1"/>
  <c r="W144" i="1"/>
  <c r="V144" i="1"/>
  <c r="F144" i="1"/>
  <c r="A144" i="1"/>
  <c r="W143" i="1"/>
  <c r="V143" i="1"/>
  <c r="F143" i="1"/>
  <c r="A143" i="1"/>
  <c r="W142" i="1"/>
  <c r="V142" i="1"/>
  <c r="F142" i="1"/>
  <c r="A142" i="1"/>
  <c r="W141" i="1"/>
  <c r="V141" i="1"/>
  <c r="F141" i="1"/>
  <c r="A141" i="1"/>
  <c r="W140" i="1"/>
  <c r="V140" i="1"/>
  <c r="F140" i="1"/>
  <c r="A140" i="1"/>
  <c r="W139" i="1"/>
  <c r="V139" i="1"/>
  <c r="F139" i="1"/>
  <c r="A139" i="1"/>
  <c r="W138" i="1"/>
  <c r="V138" i="1"/>
  <c r="F138" i="1"/>
  <c r="A138" i="1"/>
  <c r="W137" i="1"/>
  <c r="V137" i="1"/>
  <c r="F137" i="1"/>
  <c r="A137" i="1"/>
  <c r="W136" i="1"/>
  <c r="V136" i="1"/>
  <c r="F136" i="1"/>
  <c r="A136" i="1"/>
  <c r="W135" i="1"/>
  <c r="V135" i="1"/>
  <c r="F135" i="1"/>
  <c r="A135" i="1"/>
  <c r="W134" i="1"/>
  <c r="V134" i="1"/>
  <c r="F134" i="1"/>
  <c r="A134" i="1"/>
  <c r="W133" i="1"/>
  <c r="V133" i="1"/>
  <c r="F133" i="1"/>
  <c r="A133" i="1"/>
  <c r="W132" i="1"/>
  <c r="V132" i="1"/>
  <c r="F132" i="1"/>
  <c r="A132" i="1"/>
  <c r="W131" i="1"/>
  <c r="V131" i="1"/>
  <c r="F131" i="1"/>
  <c r="A131" i="1"/>
  <c r="W130" i="1"/>
  <c r="V130" i="1"/>
  <c r="F130" i="1"/>
  <c r="A130" i="1"/>
  <c r="W129" i="1"/>
  <c r="V129" i="1"/>
  <c r="F129" i="1"/>
  <c r="A129" i="1"/>
  <c r="W128" i="1"/>
  <c r="V128" i="1"/>
  <c r="F128" i="1"/>
  <c r="A128" i="1"/>
  <c r="W127" i="1"/>
  <c r="V127" i="1"/>
  <c r="F127" i="1"/>
  <c r="A127" i="1"/>
  <c r="W126" i="1"/>
  <c r="V126" i="1"/>
  <c r="F126" i="1"/>
  <c r="A126" i="1"/>
  <c r="W125" i="1"/>
  <c r="V125" i="1"/>
  <c r="F125" i="1"/>
  <c r="A125" i="1"/>
  <c r="W124" i="1"/>
  <c r="V124" i="1"/>
  <c r="F124" i="1"/>
  <c r="A124" i="1"/>
  <c r="W123" i="1"/>
  <c r="V123" i="1"/>
  <c r="F123" i="1"/>
  <c r="A123" i="1"/>
  <c r="W122" i="1"/>
  <c r="V122" i="1"/>
  <c r="F122" i="1"/>
  <c r="A122" i="1"/>
  <c r="W121" i="1"/>
  <c r="V121" i="1"/>
  <c r="F121" i="1"/>
  <c r="A121" i="1"/>
  <c r="W120" i="1"/>
  <c r="V120" i="1"/>
  <c r="F120" i="1"/>
  <c r="A120" i="1"/>
  <c r="W119" i="1"/>
  <c r="V119" i="1"/>
  <c r="F119" i="1"/>
  <c r="A119" i="1"/>
  <c r="W118" i="1"/>
  <c r="V118" i="1"/>
  <c r="F118" i="1"/>
  <c r="A118" i="1"/>
  <c r="W117" i="1"/>
  <c r="V117" i="1"/>
  <c r="F117" i="1"/>
  <c r="A117" i="1"/>
  <c r="W116" i="1"/>
  <c r="V116" i="1"/>
  <c r="F116" i="1"/>
  <c r="A116" i="1"/>
  <c r="W115" i="1"/>
  <c r="V115" i="1"/>
  <c r="F115" i="1"/>
  <c r="A115" i="1"/>
  <c r="W114" i="1"/>
  <c r="V114" i="1"/>
  <c r="F114" i="1"/>
  <c r="A114" i="1"/>
  <c r="W113" i="1"/>
  <c r="V113" i="1"/>
  <c r="F113" i="1"/>
  <c r="A113" i="1"/>
  <c r="W112" i="1"/>
  <c r="V112" i="1"/>
  <c r="F112" i="1"/>
  <c r="A112" i="1"/>
  <c r="W111" i="1"/>
  <c r="V111" i="1"/>
  <c r="F111" i="1"/>
  <c r="A111" i="1"/>
  <c r="W110" i="1"/>
  <c r="V110" i="1"/>
  <c r="F110" i="1"/>
  <c r="A110" i="1"/>
  <c r="W109" i="1"/>
  <c r="V109" i="1"/>
  <c r="F109" i="1"/>
  <c r="A109" i="1"/>
  <c r="W108" i="1"/>
  <c r="V108" i="1"/>
  <c r="F108" i="1"/>
  <c r="A108" i="1"/>
  <c r="W107" i="1"/>
  <c r="V107" i="1"/>
  <c r="F107" i="1"/>
  <c r="A107" i="1"/>
  <c r="W106" i="1"/>
  <c r="V106" i="1"/>
  <c r="F106" i="1"/>
  <c r="A106" i="1"/>
  <c r="W105" i="1"/>
  <c r="V105" i="1"/>
  <c r="F105" i="1"/>
  <c r="A105" i="1"/>
  <c r="W104" i="1"/>
  <c r="V104" i="1"/>
  <c r="F104" i="1"/>
  <c r="A104" i="1"/>
  <c r="W103" i="1"/>
  <c r="V103" i="1"/>
  <c r="F103" i="1"/>
  <c r="A103" i="1"/>
  <c r="W102" i="1"/>
  <c r="V102" i="1"/>
  <c r="F102" i="1"/>
  <c r="A102" i="1"/>
  <c r="W101" i="1"/>
  <c r="V101" i="1"/>
  <c r="F101" i="1"/>
  <c r="A101" i="1"/>
  <c r="W100" i="1"/>
  <c r="V100" i="1"/>
  <c r="F100" i="1"/>
  <c r="A100" i="1"/>
  <c r="W99" i="1"/>
  <c r="V99" i="1"/>
  <c r="F99" i="1"/>
  <c r="A99" i="1"/>
  <c r="W98" i="1"/>
  <c r="V98" i="1"/>
  <c r="F98" i="1"/>
  <c r="A98" i="1"/>
  <c r="W97" i="1"/>
  <c r="V97" i="1"/>
  <c r="F97" i="1"/>
  <c r="A97" i="1"/>
  <c r="W96" i="1"/>
  <c r="V96" i="1"/>
  <c r="F96" i="1"/>
  <c r="A96" i="1"/>
  <c r="W95" i="1"/>
  <c r="V95" i="1"/>
  <c r="F95" i="1"/>
  <c r="A95" i="1"/>
  <c r="W94" i="1"/>
  <c r="V94" i="1"/>
  <c r="F94" i="1"/>
  <c r="A94" i="1"/>
  <c r="W93" i="1"/>
  <c r="V93" i="1"/>
  <c r="F93" i="1"/>
  <c r="A93" i="1"/>
  <c r="W92" i="1"/>
  <c r="V92" i="1"/>
  <c r="F92" i="1"/>
  <c r="A92" i="1"/>
  <c r="W91" i="1"/>
  <c r="V91" i="1"/>
  <c r="F91" i="1"/>
  <c r="A91" i="1"/>
  <c r="W90" i="1"/>
  <c r="V90" i="1"/>
  <c r="F90" i="1"/>
  <c r="A90" i="1"/>
  <c r="W89" i="1"/>
  <c r="V89" i="1"/>
  <c r="F89" i="1"/>
  <c r="A89" i="1"/>
  <c r="W88" i="1"/>
  <c r="V88" i="1"/>
  <c r="F88" i="1"/>
  <c r="A88" i="1"/>
  <c r="W87" i="1"/>
  <c r="V87" i="1"/>
  <c r="F87" i="1"/>
  <c r="A87" i="1"/>
  <c r="W86" i="1"/>
  <c r="V86" i="1"/>
  <c r="F86" i="1"/>
  <c r="A86" i="1"/>
  <c r="W85" i="1"/>
  <c r="V85" i="1"/>
  <c r="F85" i="1"/>
  <c r="A85" i="1"/>
  <c r="W84" i="1"/>
  <c r="V84" i="1"/>
  <c r="F84" i="1"/>
  <c r="A84" i="1"/>
  <c r="W83" i="1"/>
  <c r="V83" i="1"/>
  <c r="F83" i="1"/>
  <c r="A83" i="1"/>
  <c r="W82" i="1"/>
  <c r="V82" i="1"/>
  <c r="F82" i="1"/>
  <c r="A82" i="1"/>
  <c r="W81" i="1"/>
  <c r="V81" i="1"/>
  <c r="F81" i="1"/>
  <c r="A81" i="1"/>
  <c r="W80" i="1"/>
  <c r="V80" i="1"/>
  <c r="F80" i="1"/>
  <c r="A80" i="1"/>
  <c r="W79" i="1"/>
  <c r="V79" i="1"/>
  <c r="F79" i="1"/>
  <c r="A79" i="1"/>
  <c r="W78" i="1"/>
  <c r="V78" i="1"/>
  <c r="F78" i="1"/>
  <c r="A78" i="1"/>
  <c r="W77" i="1"/>
  <c r="V77" i="1"/>
  <c r="F77" i="1"/>
  <c r="A77" i="1"/>
  <c r="W76" i="1"/>
  <c r="V76" i="1"/>
  <c r="F76" i="1"/>
  <c r="A76" i="1"/>
  <c r="W75" i="1"/>
  <c r="V75" i="1"/>
  <c r="F75" i="1"/>
  <c r="A75" i="1"/>
  <c r="W74" i="1"/>
  <c r="V74" i="1"/>
  <c r="F74" i="1"/>
  <c r="A74" i="1"/>
  <c r="W73" i="1"/>
  <c r="V73" i="1"/>
  <c r="F73" i="1"/>
  <c r="A73" i="1"/>
  <c r="W72" i="1"/>
  <c r="V72" i="1"/>
  <c r="F72" i="1"/>
  <c r="A72" i="1"/>
  <c r="W71" i="1"/>
  <c r="V71" i="1"/>
  <c r="F71" i="1"/>
  <c r="A71" i="1"/>
  <c r="W70" i="1"/>
  <c r="V70" i="1"/>
  <c r="F70" i="1"/>
  <c r="A70" i="1"/>
  <c r="W69" i="1"/>
  <c r="V69" i="1"/>
  <c r="F69" i="1"/>
  <c r="A69" i="1"/>
  <c r="W68" i="1"/>
  <c r="V68" i="1"/>
  <c r="F68" i="1"/>
  <c r="A68" i="1"/>
  <c r="W67" i="1"/>
  <c r="V67" i="1"/>
  <c r="F67" i="1"/>
  <c r="A67" i="1"/>
  <c r="W66" i="1"/>
  <c r="V66" i="1"/>
  <c r="F66" i="1"/>
  <c r="A66" i="1"/>
  <c r="W65" i="1"/>
  <c r="V65" i="1"/>
  <c r="F65" i="1"/>
  <c r="A65" i="1"/>
  <c r="W64" i="1"/>
  <c r="V64" i="1"/>
  <c r="F64" i="1"/>
  <c r="A64" i="1"/>
  <c r="W63" i="1"/>
  <c r="V63" i="1"/>
  <c r="F63" i="1"/>
  <c r="A63" i="1"/>
  <c r="W62" i="1"/>
  <c r="V62" i="1"/>
  <c r="F62" i="1"/>
  <c r="A62" i="1"/>
  <c r="W61" i="1"/>
  <c r="V61" i="1"/>
  <c r="F61" i="1"/>
  <c r="A61" i="1"/>
  <c r="W60" i="1"/>
  <c r="V60" i="1"/>
  <c r="F60" i="1"/>
  <c r="A60" i="1"/>
  <c r="W59" i="1"/>
  <c r="V59" i="1"/>
  <c r="F59" i="1"/>
  <c r="A59" i="1"/>
  <c r="W58" i="1"/>
  <c r="V58" i="1"/>
  <c r="F58" i="1"/>
  <c r="A58" i="1"/>
  <c r="W57" i="1"/>
  <c r="V57" i="1"/>
  <c r="F57" i="1"/>
  <c r="A57" i="1"/>
  <c r="W56" i="1"/>
  <c r="V56" i="1"/>
  <c r="F56" i="1"/>
  <c r="A56" i="1"/>
  <c r="W55" i="1"/>
  <c r="V55" i="1"/>
  <c r="F55" i="1"/>
  <c r="A55" i="1"/>
  <c r="W54" i="1"/>
  <c r="V54" i="1"/>
  <c r="F54" i="1"/>
  <c r="A54" i="1"/>
  <c r="W53" i="1"/>
  <c r="V53" i="1"/>
  <c r="F53" i="1"/>
  <c r="A53" i="1"/>
  <c r="W52" i="1"/>
  <c r="V52" i="1"/>
  <c r="F52" i="1"/>
  <c r="A52" i="1"/>
  <c r="W51" i="1"/>
  <c r="V51" i="1"/>
  <c r="F51" i="1"/>
  <c r="A51" i="1"/>
  <c r="W50" i="1"/>
  <c r="V50" i="1"/>
  <c r="F50" i="1"/>
  <c r="A50" i="1"/>
  <c r="W49" i="1"/>
  <c r="V49" i="1"/>
  <c r="F49" i="1"/>
  <c r="A49" i="1"/>
  <c r="W48" i="1"/>
  <c r="V48" i="1"/>
  <c r="F48" i="1"/>
  <c r="A48" i="1"/>
  <c r="W47" i="1"/>
  <c r="V47" i="1"/>
  <c r="F47" i="1"/>
  <c r="A47" i="1"/>
  <c r="W46" i="1"/>
  <c r="V46" i="1"/>
  <c r="F46" i="1"/>
  <c r="A46" i="1"/>
  <c r="W45" i="1"/>
  <c r="V45" i="1"/>
  <c r="F45" i="1"/>
  <c r="A45" i="1"/>
  <c r="W44" i="1"/>
  <c r="V44" i="1"/>
  <c r="F44" i="1"/>
  <c r="A44" i="1"/>
  <c r="W43" i="1"/>
  <c r="V43" i="1"/>
  <c r="F43" i="1"/>
  <c r="A43" i="1"/>
  <c r="W42" i="1"/>
  <c r="V42" i="1"/>
  <c r="F42" i="1"/>
  <c r="A42" i="1"/>
  <c r="W41" i="1"/>
  <c r="V41" i="1"/>
  <c r="F41" i="1"/>
  <c r="A41" i="1"/>
  <c r="W40" i="1"/>
  <c r="V40" i="1"/>
  <c r="F40" i="1"/>
  <c r="A40" i="1"/>
  <c r="W39" i="1"/>
  <c r="V39" i="1"/>
  <c r="F39" i="1"/>
  <c r="A39" i="1"/>
  <c r="W38" i="1"/>
  <c r="V38" i="1"/>
  <c r="F38" i="1"/>
  <c r="A38" i="1"/>
  <c r="W37" i="1"/>
  <c r="V37" i="1"/>
  <c r="F37" i="1"/>
  <c r="A37" i="1"/>
  <c r="W36" i="1"/>
  <c r="V36" i="1"/>
  <c r="F36" i="1"/>
  <c r="A36" i="1"/>
  <c r="W35" i="1"/>
  <c r="V35" i="1"/>
  <c r="F35" i="1"/>
  <c r="A35" i="1"/>
  <c r="W34" i="1"/>
  <c r="V34" i="1"/>
  <c r="F34" i="1"/>
  <c r="A34" i="1"/>
  <c r="W33" i="1"/>
  <c r="V33" i="1"/>
  <c r="F33" i="1"/>
  <c r="A33" i="1"/>
  <c r="W32" i="1"/>
  <c r="V32" i="1"/>
  <c r="F32" i="1"/>
  <c r="A32" i="1"/>
  <c r="W31" i="1"/>
  <c r="V31" i="1"/>
  <c r="F31" i="1"/>
  <c r="A31" i="1"/>
  <c r="W30" i="1"/>
  <c r="V30" i="1"/>
  <c r="F30" i="1"/>
  <c r="A30" i="1"/>
  <c r="W29" i="1"/>
  <c r="V29" i="1"/>
  <c r="F29" i="1"/>
  <c r="A29" i="1"/>
  <c r="W28" i="1"/>
  <c r="V28" i="1"/>
  <c r="F28" i="1"/>
  <c r="A28" i="1"/>
  <c r="W27" i="1"/>
  <c r="V27" i="1"/>
  <c r="F27" i="1"/>
  <c r="A27" i="1"/>
  <c r="W26" i="1"/>
  <c r="V26" i="1"/>
  <c r="F26" i="1"/>
  <c r="A26" i="1"/>
  <c r="W25" i="1"/>
  <c r="V25" i="1"/>
  <c r="F25" i="1"/>
  <c r="A25" i="1"/>
  <c r="W24" i="1"/>
  <c r="V24" i="1"/>
  <c r="F24" i="1"/>
  <c r="A24" i="1"/>
  <c r="W23" i="1"/>
  <c r="V23" i="1"/>
  <c r="F23" i="1"/>
  <c r="A23" i="1"/>
  <c r="W22" i="1"/>
  <c r="V22" i="1"/>
  <c r="F22" i="1"/>
  <c r="A22" i="1"/>
  <c r="W21" i="1"/>
  <c r="V21" i="1"/>
  <c r="F21" i="1"/>
  <c r="A21" i="1"/>
  <c r="W20" i="1"/>
  <c r="V20" i="1"/>
  <c r="F20" i="1"/>
  <c r="A20" i="1"/>
  <c r="W19" i="1"/>
  <c r="V19" i="1"/>
  <c r="F19" i="1"/>
  <c r="A19" i="1"/>
  <c r="W18" i="1"/>
  <c r="V18" i="1"/>
  <c r="F18" i="1"/>
  <c r="A18" i="1"/>
  <c r="W17" i="1"/>
  <c r="V17" i="1"/>
  <c r="F17" i="1"/>
  <c r="A17" i="1"/>
  <c r="W16" i="1"/>
  <c r="V16" i="1"/>
  <c r="F16" i="1"/>
  <c r="A16" i="1"/>
  <c r="W15" i="1"/>
  <c r="V15" i="1"/>
  <c r="F15" i="1"/>
  <c r="A15" i="1"/>
  <c r="W14" i="1"/>
  <c r="V14" i="1"/>
  <c r="F14" i="1"/>
  <c r="A14" i="1"/>
  <c r="W13" i="1"/>
  <c r="V13" i="1"/>
  <c r="F13" i="1"/>
  <c r="A13" i="1"/>
  <c r="W12" i="1"/>
  <c r="V12" i="1"/>
  <c r="F12" i="1"/>
  <c r="A12" i="1"/>
  <c r="W11" i="1"/>
  <c r="V11" i="1"/>
  <c r="F11" i="1"/>
  <c r="A11" i="1"/>
  <c r="W10" i="1"/>
  <c r="V10" i="1"/>
  <c r="F10" i="1"/>
  <c r="A10" i="1"/>
  <c r="W9" i="1"/>
  <c r="V9" i="1"/>
  <c r="F9" i="1"/>
  <c r="A9" i="1"/>
  <c r="W8" i="1"/>
  <c r="F8" i="1"/>
  <c r="I5" i="2" s="1"/>
  <c r="W6" i="1"/>
  <c r="F6" i="1"/>
  <c r="E15" i="2" s="1"/>
  <c r="A6" i="1"/>
  <c r="W5" i="1"/>
  <c r="F5" i="1"/>
  <c r="V5" i="1" s="1"/>
  <c r="G14" i="2" s="1"/>
  <c r="A5" i="1"/>
  <c r="W4" i="1"/>
  <c r="F4" i="1"/>
  <c r="V4" i="1" s="1"/>
  <c r="G13" i="2" s="1"/>
  <c r="A4" i="1"/>
  <c r="W3" i="1"/>
  <c r="F3" i="1"/>
  <c r="E12" i="2" s="1"/>
  <c r="A3" i="1"/>
  <c r="W2" i="1"/>
  <c r="F2" i="1"/>
  <c r="A2" i="1"/>
  <c r="V8" i="1" l="1"/>
  <c r="G17" i="2" s="1"/>
  <c r="E17" i="2"/>
  <c r="A5" i="2"/>
  <c r="K5" i="2"/>
  <c r="V3" i="1"/>
  <c r="G12" i="2" s="1"/>
  <c r="V6" i="1"/>
  <c r="G15" i="2" s="1"/>
  <c r="E11" i="2"/>
  <c r="E13" i="2"/>
  <c r="E14" i="2"/>
  <c r="V2" i="1"/>
  <c r="E5" i="2" l="1"/>
  <c r="G5" i="2"/>
  <c r="D116" i="2"/>
  <c r="G11" i="2"/>
</calcChain>
</file>

<file path=xl/sharedStrings.xml><?xml version="1.0" encoding="utf-8"?>
<sst xmlns="http://schemas.openxmlformats.org/spreadsheetml/2006/main" count="269" uniqueCount="173">
  <si>
    <t>Campaign ID</t>
  </si>
  <si>
    <t>Send Date</t>
  </si>
  <si>
    <t>Send Time</t>
  </si>
  <si>
    <t>Campaign Name</t>
  </si>
  <si>
    <t>Campaign Type</t>
  </si>
  <si>
    <t>Current Stage</t>
  </si>
  <si>
    <t>Owner</t>
  </si>
  <si>
    <t>Missing / Blocker</t>
  </si>
  <si>
    <t>Next Action</t>
  </si>
  <si>
    <t>SKU Status</t>
  </si>
  <si>
    <t>Brief Status</t>
  </si>
  <si>
    <t>Design Status</t>
  </si>
  <si>
    <t>Builder Status</t>
  </si>
  <si>
    <t>Segment Status</t>
  </si>
  <si>
    <t>QA Status</t>
  </si>
  <si>
    <t>Schedule Status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</si>
  <si>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</si>
  <si>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</si>
  <si>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</si>
  <si>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</si>
  <si>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</si>
  <si>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</si>
  <si>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</si>
  <si>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</si>
  <si>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Sample | Eco Gear Promo</t>
  </si>
  <si>
    <t>Promo</t>
  </si>
  <si>
    <t>Email Manager</t>
  </si>
  <si>
    <t>Confirm send after schedule check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</si>
  <si>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</si>
  <si>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</si>
  <si>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</si>
  <si>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</si>
  <si>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</si>
  <si>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</si>
  <si>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</si>
  <si>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</si>
  <si>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</si>
  <si>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</si>
  <si>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Sample | Weekly Newsletter</t>
  </si>
  <si>
    <t>Newsletter</t>
  </si>
  <si>
    <t>Associate</t>
  </si>
  <si>
    <t>Finish QA and approval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</si>
  <si>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</si>
  <si>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</si>
  <si>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</si>
  <si>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</si>
  <si>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</si>
  <si>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</si>
  <si>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</si>
  <si>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</si>
  <si>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Sample | Brand Spotlight</t>
  </si>
  <si>
    <t>Brand</t>
  </si>
  <si>
    <t>Waiting for client SKU list</t>
  </si>
  <si>
    <t>Follow up with client owner</t>
  </si>
  <si>
    <t>Requested</t>
  </si>
  <si>
    <t>Draft</t>
  </si>
  <si>
    <t>https://jira.example.com/EMAIL-003</t>
  </si>
  <si>
    <t>09:00 AM</t>
  </si>
  <si>
    <t>Sample | VIP Offer</t>
  </si>
  <si>
    <t>VIP</t>
  </si>
  <si>
    <t>Manager</t>
  </si>
  <si>
    <t>Send to builder once creative is ready</t>
  </si>
  <si>
    <t>https://jira.example.com/EMAIL-004</t>
  </si>
  <si>
    <t>11:00 AM</t>
  </si>
  <si>
    <t>Sample | Sent Campaign</t>
  </si>
  <si>
    <t>Add final report notes</t>
  </si>
  <si>
    <t>https://jira.example.com/EMAIL-005</t>
  </si>
  <si>
    <t>https://clickup.example.com/task/005</t>
  </si>
  <si>
    <t>https://bluecore.example.com/campaign/005</t>
  </si>
  <si>
    <t>Email Production Command Center</t>
  </si>
  <si>
    <t>Simple dashboard view of every email campaign in production — status, owner, risk, blocker, and next action.</t>
  </si>
  <si>
    <t>Last Refresh</t>
  </si>
  <si>
    <t>Active Work</t>
  </si>
  <si>
    <t>Sending Today</t>
  </si>
  <si>
    <t>Blocked</t>
  </si>
  <si>
    <t>At Risk</t>
  </si>
  <si>
    <t>Not sent/cancelled</t>
  </si>
  <si>
    <t>Scheduled for today</t>
  </si>
  <si>
    <t>Needs escalation</t>
  </si>
  <si>
    <t>At risk or worse</t>
  </si>
  <si>
    <t>Ready to send</t>
  </si>
  <si>
    <t>Delivered/sent</t>
  </si>
  <si>
    <t>All Work in Production</t>
  </si>
  <si>
    <t>Use this view for the daily standup: check Risk, Missing / Blocker, and Next Action. The rows below mirror the Production Inventory sheet.</t>
  </si>
  <si>
    <t>Time</t>
  </si>
  <si>
    <t>Campaign</t>
  </si>
  <si>
    <t>Type</t>
  </si>
  <si>
    <t>Stage</t>
  </si>
  <si>
    <t>Risk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</si>
  <si>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</si>
  <si>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</si>
  <si>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</si>
  <si>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</si>
  <si>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</si>
  <si>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</si>
  <si>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</si>
  <si>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</si>
  <si>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Today’s Sends</t>
  </si>
  <si>
    <t>Send Date = today</t>
  </si>
  <si>
    <t>Confirm scheduled/send status</t>
  </si>
  <si>
    <t>Risk = Blocked</t>
  </si>
  <si>
    <t>Escalate owner/client blocker</t>
  </si>
  <si>
    <t>Builder Handoff Needed</t>
  </si>
  <si>
    <t>Design Ready + no ClickUp link</t>
  </si>
  <si>
    <t>Assign final details to builder</t>
  </si>
  <si>
    <t>Bluecore Missing</t>
  </si>
  <si>
    <t>Builder Sent + no Bluecore link</t>
  </si>
  <si>
    <t>Follow up with builder</t>
  </si>
  <si>
    <t>Needs Scheduling</t>
  </si>
  <si>
    <t>QA Passed + not Scheduled</t>
  </si>
  <si>
    <t>Schedule in Bluecore</t>
  </si>
  <si>
    <t>Main Jira Link</t>
  </si>
  <si>
    <t>Notes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</si>
  <si>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</si>
  <si>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</si>
  <si>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</si>
  <si>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</si>
  <si>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</si>
  <si>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</si>
  <si>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</si>
  <si>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</si>
  <si>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</si>
  <si>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</si>
  <si>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</si>
  <si>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</si>
  <si>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</si>
  <si>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</si>
  <si>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</si>
  <si>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</si>
  <si>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</si>
  <si>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</si>
  <si>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</si>
  <si>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</si>
  <si>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</si>
  <si>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</si>
  <si>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</si>
  <si>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</si>
  <si>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</si>
  <si>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</si>
  <si>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</si>
  <si>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</si>
  <si>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</si>
  <si>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</si>
  <si>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</si>
  <si>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</si>
  <si>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</si>
  <si>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Email Production Inventory Tracker</t>
  </si>
  <si>
    <t>Purpose</t>
  </si>
  <si>
    <t>Simple inventory/task tracker for email campaigns: one row per campaign, one owner, one current stage, one blocker, one next action.</t>
  </si>
  <si>
    <t>How to use</t>
  </si>
  <si>
    <t>1. Add every campaign as one row in Production Inventory.</t>
  </si>
  <si>
    <t>2. Fill Send Date, Send Time, Campaign Name, Campaign Type, Owner, and status columns.</t>
  </si>
  <si>
    <t>3. Do not type inside Campaign ID, Current Stage, Risk Level, or Last Updated. Those are automated/formula fields.</t>
  </si>
  <si>
    <t>4. Use Missing / Blocker for what is stopping the campaign.</t>
  </si>
  <si>
    <t>5. Use Next Action for the exact next move needed.</t>
  </si>
  <si>
    <t>6. Use Dashboard every morning to check Today’s Sends, Risk, Blocked, and handoff gaps.</t>
  </si>
  <si>
    <t>Important</t>
  </si>
  <si>
    <t>This file is delivered as .xlsx. The VBA code is included in a separate .bas file and also referenced in the VBA Code sheet. To use macros, import the .bas file in Excel desktop and save the workbook as .xlsm.</t>
  </si>
  <si>
    <t>Core rule</t>
  </si>
  <si>
    <t>If the tracker cannot show what stage a campaign is in, who owns it, what is missing, and whether it is at risk, the row is incomplete.</t>
  </si>
  <si>
    <t>Dashboard UI Added</t>
  </si>
  <si>
    <t>The Dashboard sheet now includes KPI cards, an All Work in Production table, and Daily Action Lanes.</t>
  </si>
  <si>
    <t>Use Production Inventory as the data input sheet; the Dashboard automatically mirrors the current work.</t>
  </si>
  <si>
    <t>VBA Setup</t>
  </si>
  <si>
    <t>The downloadable package includes a file named Email_Production_Tracker_VBA_Code.bas.</t>
  </si>
  <si>
    <t>In Excel desktop: press ALT + F11 → File → Import File → select the .bas file → save workbook as .xlsm.</t>
  </si>
  <si>
    <t>Macros included: RefreshProductionStatus, RefreshDashboard, CreateDailyDigest, LogAction.</t>
  </si>
  <si>
    <t>Do not paste the VBA into this sheet. This sheet is only an instruction note.</t>
  </si>
  <si>
    <t>Dashboard UI Note</t>
  </si>
  <si>
    <t>The dashboard is formula-based and works even without macros. Import the .bas file only if you want the refresh/status automation.</t>
  </si>
  <si>
    <t>Dive Wear Best Sellers Resend</t>
  </si>
  <si>
    <t>https://jira.adorama.com/browse/MKT-103183</t>
  </si>
  <si>
    <t>060926-08AM-Dive Wear Best Sellers Resend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</si>
</sst>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yyyy\-mm\-dd\ h:mm"/>
    <numFmt numFmtId="166" formatCode="yyyy\-mm\-dd\ hh:mm\ AM/PM"/>
  </numFmts>
  <fonts count="13">
    <font>
      <sz val="11"/>
      <name val="Carlito"/>
    </font>
    <font>
      <b/>
      <sz val="11"/>
      <color rgb="FFFFFFFF"/>
      <name val="Carlito"/>
    </font>
    <font>
      <b/>
      <sz val="18"/>
      <color rgb="FF1F4E79"/>
      <name val="Carlito"/>
    </font>
    <font>
      <b/>
      <sz val="11"/>
      <color rgb="FF1F4E79"/>
      <name val="Carlito"/>
    </font>
    <font>
      <b/>
      <sz val="18"/>
      <color rgb="FFFFFFFF"/>
      <name val="Carlito"/>
    </font>
    <font>
      <b/>
      <sz val="10"/>
      <color rgb="FFFFFFFF"/>
      <name val="Carlito"/>
    </font>
    <font>
      <b/>
      <sz val="11"/>
      <color rgb="FF17365D"/>
      <name val="Carlito"/>
    </font>
    <font>
      <b/>
      <sz val="18"/>
      <color rgb="FF17365D"/>
      <name val="Carlito"/>
    </font>
    <font>
      <b/>
      <sz val="9"/>
      <color rgb="FF17365D"/>
      <name val="Carlito"/>
    </font>
    <font>
      <b/>
      <sz val="13"/>
      <color rgb="FFFFFFFF"/>
      <name val="Carlito"/>
    </font>
    <font>
      <i/>
      <sz val="11"/>
      <color rgb="FF17365D"/>
      <name val="Carlito"/>
    </font>
    <font>
      <sz val="11"/>
      <color rgb="FF0563C1"/>
      <name val="Carlito"/>
    </font>
    <font>
      <u/>
      <sz val="11"/>
      <color theme="10"/>
      <name val="Carlito"/>
    </font>
  </fonts>
  <fills count="1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18" fontId="0" fillId="0" borderId="0" xfId="0" applyNumberFormat="1" applyAlignment="1">
      <alignment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18" fontId="0" fillId="0" borderId="0" xfId="0" applyNumberFormat="1" applyAlignment="1">
      <alignment vertical="top" wrapText="1"/>
    </xf>
    <xf numFmtId="3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 wrapText="1"/>
    </xf>
    <xf numFmtId="0" fontId="0" fillId="0" borderId="2" xfId="0" applyBorder="1"/>
    <xf numFmtId="1" fontId="0" fillId="0" borderId="2" xfId="0" applyNumberFormat="1" applyBorder="1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3" borderId="0" xfId="0" applyFont="1" applyFill="1" applyAlignment="1">
      <alignment horizontal="center"/>
    </xf>
    <xf numFmtId="0" fontId="6" fillId="4" borderId="0" xfId="0" applyFont="1" applyFill="1" applyAlignment="1">
      <alignment horizontal="left" vertical="center"/>
    </xf>
    <xf numFmtId="166" fontId="6" fillId="4" borderId="0" xfId="0" applyNumberFormat="1" applyFont="1" applyFill="1" applyAlignment="1">
      <alignment horizontal="left" vertical="center"/>
    </xf>
    <xf numFmtId="0" fontId="1" fillId="3" borderId="2" xfId="0" applyFont="1" applyFill="1" applyBorder="1" applyAlignment="1">
      <alignment horizontal="center" vertical="center" wrapText="1"/>
    </xf>
    <xf numFmtId="1" fontId="1" fillId="3" borderId="2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164" fontId="0" fillId="0" borderId="2" xfId="0" applyNumberFormat="1" applyBorder="1" applyAlignment="1">
      <alignment vertical="top" wrapText="1"/>
    </xf>
    <xf numFmtId="164" fontId="0" fillId="0" borderId="3" xfId="0" applyNumberFormat="1" applyBorder="1" applyAlignment="1">
      <alignment vertical="top" wrapText="1"/>
    </xf>
    <xf numFmtId="164" fontId="0" fillId="0" borderId="1" xfId="0" applyNumberFormat="1" applyBorder="1" applyAlignment="1">
      <alignment vertical="top" wrapText="1"/>
    </xf>
    <xf numFmtId="18" fontId="0" fillId="0" borderId="2" xfId="0" applyNumberFormat="1" applyBorder="1" applyAlignment="1">
      <alignment vertical="top" wrapText="1"/>
    </xf>
    <xf numFmtId="18" fontId="0" fillId="0" borderId="3" xfId="0" applyNumberFormat="1" applyBorder="1" applyAlignment="1">
      <alignment vertical="top" wrapText="1"/>
    </xf>
    <xf numFmtId="18" fontId="0" fillId="0" borderId="1" xfId="0" applyNumberFormat="1" applyBorder="1" applyAlignment="1">
      <alignment vertical="top" wrapText="1"/>
    </xf>
    <xf numFmtId="0" fontId="11" fillId="0" borderId="3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11" fillId="0" borderId="1" xfId="0" applyFont="1" applyBorder="1" applyAlignment="1">
      <alignment vertical="top" wrapText="1"/>
    </xf>
    <xf numFmtId="0" fontId="0" fillId="12" borderId="0" xfId="0" applyFill="1" applyAlignment="1">
      <alignment wrapText="1"/>
    </xf>
    <xf numFmtId="1" fontId="0" fillId="12" borderId="0" xfId="0" applyNumberFormat="1" applyFill="1" applyAlignment="1">
      <alignment wrapText="1"/>
    </xf>
    <xf numFmtId="0" fontId="1" fillId="3" borderId="0" xfId="0" applyFont="1" applyFill="1" applyAlignment="1">
      <alignment wrapText="1"/>
    </xf>
    <xf numFmtId="0" fontId="4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1" fontId="7" fillId="5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1" fontId="7" fillId="6" borderId="0" xfId="0" applyNumberFormat="1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/>
    </xf>
    <xf numFmtId="1" fontId="7" fillId="7" borderId="0" xfId="0" applyNumberFormat="1" applyFont="1" applyFill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1" fontId="7" fillId="8" borderId="0" xfId="0" applyNumberFormat="1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" fontId="7" fillId="5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1" fontId="7" fillId="9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9" fillId="10" borderId="2" xfId="0" applyFont="1" applyFill="1" applyBorder="1" applyAlignment="1">
      <alignment horizontal="left" vertical="center"/>
    </xf>
    <xf numFmtId="1" fontId="9" fillId="10" borderId="2" xfId="0" applyNumberFormat="1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 wrapText="1"/>
    </xf>
    <xf numFmtId="0" fontId="10" fillId="11" borderId="2" xfId="0" applyFont="1" applyFill="1" applyBorder="1" applyAlignment="1">
      <alignment horizontal="left" vertical="center"/>
    </xf>
    <xf numFmtId="1" fontId="10" fillId="11" borderId="2" xfId="0" applyNumberFormat="1" applyFont="1" applyFill="1" applyBorder="1" applyAlignment="1">
      <alignment horizontal="left" vertical="center"/>
    </xf>
    <xf numFmtId="0" fontId="10" fillId="11" borderId="0" xfId="0" applyFont="1" applyFill="1" applyAlignment="1">
      <alignment horizontal="left" vertical="center"/>
    </xf>
    <xf numFmtId="0" fontId="10" fillId="11" borderId="0" xfId="0" applyFont="1" applyFill="1" applyAlignment="1">
      <alignment horizontal="left" vertical="center" wrapText="1"/>
    </xf>
    <xf numFmtId="0" fontId="1" fillId="10" borderId="0" xfId="0" applyFont="1" applyFill="1" applyAlignment="1">
      <alignment horizontal="left"/>
    </xf>
    <xf numFmtId="0" fontId="12" fillId="0" borderId="0" xfId="1" applyAlignment="1">
      <alignment wrapText="1"/>
    </xf>
    <xf numFmtId="0" fontId="12" fillId="0" borderId="0" xfId="1" applyAlignment="1">
      <alignment vertical="top" wrapText="1"/>
    </xf>
  </cellXfs>
  <cellStyles count="2">
    <cellStyle name="Hyperlink" xfId="1" builtinId="8"/>
    <cellStyle name="Normal" xfId="0" builtinId="0"/>
  </cellStyles>
  <dxfs count="18"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ctionInventoryTable" displayName="ProductionInventoryTable" ref="A1:W201">
  <tableColumns count="23">
    <tableColumn id="1" xr3:uid="{00000000-0010-0000-0000-000001000000}" name="Campaign ID"/>
    <tableColumn id="2" xr3:uid="{00000000-0010-0000-0000-000002000000}" name="Send Date"/>
    <tableColumn id="3" xr3:uid="{00000000-0010-0000-0000-000003000000}" name="Send Time"/>
    <tableColumn id="4" xr3:uid="{00000000-0010-0000-0000-000004000000}" name="Campaign Name"/>
    <tableColumn id="5" xr3:uid="{00000000-0010-0000-0000-000005000000}" name="Campaign Type"/>
    <tableColumn id="6" xr3:uid="{00000000-0010-0000-0000-000006000000}" name="Current Stage"/>
    <tableColumn id="7" xr3:uid="{00000000-0010-0000-0000-000007000000}" name="Owner"/>
    <tableColumn id="8" xr3:uid="{00000000-0010-0000-0000-000008000000}" name="Missing / Blocker"/>
    <tableColumn id="9" xr3:uid="{00000000-0010-0000-0000-000009000000}" name="Next Action"/>
    <tableColumn id="10" xr3:uid="{00000000-0010-0000-0000-00000A000000}" name="SKU Status"/>
    <tableColumn id="11" xr3:uid="{00000000-0010-0000-0000-00000B000000}" name="Brief Status"/>
    <tableColumn id="12" xr3:uid="{00000000-0010-0000-0000-00000C000000}" name="Design Status"/>
    <tableColumn id="13" xr3:uid="{00000000-0010-0000-0000-00000D000000}" name="Builder Status"/>
    <tableColumn id="14" xr3:uid="{00000000-0010-0000-0000-00000E000000}" name="Segment Status"/>
    <tableColumn id="15" xr3:uid="{00000000-0010-0000-0000-00000F000000}" name="QA Status"/>
    <tableColumn id="16" xr3:uid="{00000000-0010-0000-0000-000010000000}" name="Schedule Status"/>
    <tableColumn id="17" xr3:uid="{00000000-0010-0000-0000-000011000000}" name="Jira Link"/>
    <tableColumn id="18" xr3:uid="{00000000-0010-0000-0000-000012000000}" name="ClickUp Link"/>
    <tableColumn id="19" xr3:uid="{00000000-0010-0000-0000-000013000000}" name="Bluecore Link"/>
    <tableColumn id="20" xr3:uid="{00000000-0010-0000-0000-000014000000}" name="Est. Audience"/>
    <tableColumn id="21" xr3:uid="{00000000-0010-0000-0000-000015000000}" name="Delivered"/>
    <tableColumn id="22" xr3:uid="{00000000-0010-0000-0000-000016000000}" name="Risk Level"/>
    <tableColumn id="23" xr3:uid="{00000000-0010-0000-0000-000017000000}" name="Last Updat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10">
  <tableColumns count="12">
    <tableColumn id="1" xr3:uid="{00000000-0010-0000-0100-000001000000}" name="Send Date"/>
    <tableColumn id="2" xr3:uid="{00000000-0010-0000-0100-000002000000}" name="Time"/>
    <tableColumn id="3" xr3:uid="{00000000-0010-0000-0100-000003000000}" name="Campaign"/>
    <tableColumn id="4" xr3:uid="{00000000-0010-0000-0100-000004000000}" name="Type"/>
    <tableColumn id="5" xr3:uid="{00000000-0010-0000-0100-000005000000}" name="Stage"/>
    <tableColumn id="6" xr3:uid="{00000000-0010-0000-0100-000006000000}" name="Owner"/>
    <tableColumn id="7" xr3:uid="{00000000-0010-0000-0100-000007000000}" name="Risk"/>
    <tableColumn id="8" xr3:uid="{00000000-0010-0000-0100-000008000000}" name="Missing / Blocker"/>
    <tableColumn id="9" xr3:uid="{00000000-0010-0000-0100-000009000000}" name="Next Action"/>
    <tableColumn id="10" xr3:uid="{00000000-0010-0000-0100-00000A000000}" name="Jira"/>
    <tableColumn id="11" xr3:uid="{00000000-0010-0000-0100-00000B000000}" name="ClickUp"/>
    <tableColumn id="12" xr3:uid="{00000000-0010-0000-0100-00000C000000}" name="Blue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endarImportTable" displayName="CalendarImportTable" ref="A1:G200">
  <tableColumns count="7">
    <tableColumn id="1" xr3:uid="{00000000-0010-0000-0200-000001000000}" name="Send Date"/>
    <tableColumn id="2" xr3:uid="{00000000-0010-0000-0200-000002000000}" name="Send Time"/>
    <tableColumn id="3" xr3:uid="{00000000-0010-0000-0200-000003000000}" name="Campaign Name"/>
    <tableColumn id="4" xr3:uid="{00000000-0010-0000-0200-000004000000}" name="Campaign Type"/>
    <tableColumn id="5" xr3:uid="{00000000-0010-0000-0200-000005000000}" name="Owner"/>
    <tableColumn id="6" xr3:uid="{00000000-0010-0000-0200-000006000000}" name="Main Jira Link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00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01"/>
  <sheetViews>
    <sheetView tabSelected="1" topLeftCell="K1" workbookViewId="0">
      <selection activeCell="R19" sqref="R19"/>
    </sheetView>
  </sheetViews>
  <sheetFormatPr defaultRowHeight="14.25"/>
  <cols>
    <col min="1" max="1" width="25" customWidth="1"/>
    <col min="2" max="2" width="12" customWidth="1"/>
    <col min="3" max="3" width="11" customWidth="1"/>
    <col min="4" max="4" width="32" customWidth="1"/>
    <col min="5" max="5" width="14" customWidth="1"/>
    <col min="6" max="6" width="18" customWidth="1"/>
    <col min="7" max="7" width="16" customWidth="1"/>
    <col min="8" max="8" width="32" customWidth="1"/>
    <col min="9" max="9" width="34" customWidth="1"/>
    <col min="10" max="12" width="14" customWidth="1"/>
    <col min="13" max="13" width="15" customWidth="1"/>
    <col min="14" max="15" width="14" customWidth="1"/>
    <col min="16" max="16" width="15" customWidth="1"/>
    <col min="17" max="19" width="28" customWidth="1"/>
    <col min="20" max="20" width="14" customWidth="1"/>
    <col min="21" max="21" width="12" customWidth="1"/>
    <col min="22" max="22" width="13" customWidth="1"/>
    <col min="23" max="23" width="19" customWidth="1"/>
  </cols>
  <sheetData>
    <row r="1" spans="1:23" ht="38.1" customHeigh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</row>
    <row r="2" spans="1:23" ht="28.5">
      <c r="A2" s="8" t="str">
        <f t="shared" ref="A2:A33" si="0">IF(D2="","", "EMAIL-" &amp; TEXT(B2,"yyyy-mm-dd") &amp; "-" &amp; LEFT(UPPER(SUBSTITUTE(SUBSTITUTE(SUBSTITUTE(SUBSTITUTE(D2,"Sample | ","")," ","-"),"/","-"),"&amp;","AND")),25))</f>
        <v>EMAIL-2026-06-06-ECO-GEAR-PROMO</v>
      </c>
      <c r="B2" s="9">
        <v>46179</v>
      </c>
      <c r="C2" s="10" t="s">
        <v>23</v>
      </c>
      <c r="D2" s="8" t="s">
        <v>24</v>
      </c>
      <c r="E2" s="8" t="s">
        <v>25</v>
      </c>
      <c r="F2" s="8" t="str">
        <f t="shared" ref="F2:F33" si="1">IF(D2="","",IF(P2="Cancelled","Cancelled",IF(AND(ISNUMBER(U2),U2&gt;0),"Sent",IF(P2="Scheduled","Scheduled",IF(O2="Passed","QA Passed",IF(O2="In Progress","QA in Progress",IF(OR(N2="Ready",N2="Created"),"Segment Ready",IF(S2&lt;&gt;"","Built in Bluecore",IF(M2="Sent","Sent to Builder",IF(L2="Ready","Design Ready",IF(L2="In Progress","With Design",IF(OR(K2="Ready",K2="Approved"),"Brief Ready",IF(OR(K2="In Progress",K2="Draft"),"Brief in Progress",IF(OR(J2="Needed",J2="Requested"),"Waiting for SKUs",IF(H2&lt;&gt;"","Blocked","Not Started")))))))))))))))</f>
        <v>Scheduled</v>
      </c>
      <c r="G2" s="8" t="s">
        <v>26</v>
      </c>
      <c r="H2" s="8"/>
      <c r="I2" s="8" t="s">
        <v>27</v>
      </c>
      <c r="J2" s="8" t="s">
        <v>28</v>
      </c>
      <c r="K2" s="8" t="s">
        <v>29</v>
      </c>
      <c r="L2" s="8" t="s">
        <v>30</v>
      </c>
      <c r="M2" s="8" t="s">
        <v>31</v>
      </c>
      <c r="N2" s="8" t="s">
        <v>30</v>
      </c>
      <c r="O2" s="8" t="s">
        <v>32</v>
      </c>
      <c r="P2" s="8" t="s">
        <v>33</v>
      </c>
      <c r="Q2" s="8" t="s">
        <v>34</v>
      </c>
      <c r="R2" s="8" t="s">
        <v>35</v>
      </c>
      <c r="S2" s="8" t="s">
        <v>36</v>
      </c>
      <c r="T2" s="11">
        <v>125000</v>
      </c>
      <c r="U2" s="11"/>
      <c r="V2" s="8" t="str">
        <f t="shared" ref="V2:V33" ca="1" si="2">IF(D2="","",IF(F2="Sent","Complete",IF(F2="Scheduled","Ready",IF(F2="Cancelled","Complete",IF(OR(F2="Blocked",H2&lt;&gt;""),"Blocked",IF(NOT(ISNUMBER(B2)),"At Risk",IF(B2&lt;TODAY(),"Critical",IF(AND(B2=TODAY(),F2&lt;&gt;"Scheduled"),"Critical",IF(AND(B2=TODAY()+1,NOT(OR(F2="QA Passed",F2="Scheduled"))),"High Risk",IF(AND(B2&lt;=TODAY()+2,F2&lt;&gt;"Scheduled"),"At Risk","On Track"))))))))))</f>
        <v>Ready</v>
      </c>
      <c r="W2" s="12">
        <f t="shared" ref="W2:W33" ca="1" si="3">IF(D2="","",NOW())</f>
        <v>46178.95075196759</v>
      </c>
    </row>
    <row r="3" spans="1:23" ht="28.5">
      <c r="A3" s="8" t="str">
        <f t="shared" si="0"/>
        <v>EMAIL-2026-06-07-WEEKLY-NEWSLETTER</v>
      </c>
      <c r="B3" s="9">
        <v>46180</v>
      </c>
      <c r="C3" s="10" t="s">
        <v>37</v>
      </c>
      <c r="D3" s="8" t="s">
        <v>38</v>
      </c>
      <c r="E3" s="8" t="s">
        <v>39</v>
      </c>
      <c r="F3" s="8" t="str">
        <f t="shared" si="1"/>
        <v>QA in Progress</v>
      </c>
      <c r="G3" s="8" t="s">
        <v>40</v>
      </c>
      <c r="H3" s="8"/>
      <c r="I3" s="8" t="s">
        <v>41</v>
      </c>
      <c r="J3" s="8" t="s">
        <v>42</v>
      </c>
      <c r="K3" s="8" t="s">
        <v>30</v>
      </c>
      <c r="L3" s="8" t="s">
        <v>30</v>
      </c>
      <c r="M3" s="8" t="s">
        <v>31</v>
      </c>
      <c r="N3" s="8" t="s">
        <v>43</v>
      </c>
      <c r="O3" s="8" t="s">
        <v>44</v>
      </c>
      <c r="P3" s="8" t="s">
        <v>45</v>
      </c>
      <c r="Q3" s="8" t="s">
        <v>46</v>
      </c>
      <c r="R3" s="8" t="s">
        <v>47</v>
      </c>
      <c r="S3" s="8" t="s">
        <v>48</v>
      </c>
      <c r="T3" s="11">
        <v>98000</v>
      </c>
      <c r="U3" s="11"/>
      <c r="V3" s="8" t="str">
        <f t="shared" ca="1" si="2"/>
        <v>At Risk</v>
      </c>
      <c r="W3" s="12">
        <f t="shared" ca="1" si="3"/>
        <v>46178.95075196759</v>
      </c>
    </row>
    <row r="4" spans="1:23" ht="28.5">
      <c r="A4" s="8" t="str">
        <f t="shared" si="0"/>
        <v>EMAIL-2026-06-08-BRAND-SPOTLIGHT</v>
      </c>
      <c r="B4" s="9">
        <v>46181</v>
      </c>
      <c r="C4" s="10" t="s">
        <v>49</v>
      </c>
      <c r="D4" s="8" t="s">
        <v>50</v>
      </c>
      <c r="E4" s="8" t="s">
        <v>51</v>
      </c>
      <c r="F4" s="8" t="str">
        <f t="shared" si="1"/>
        <v>Brief in Progress</v>
      </c>
      <c r="G4" s="8" t="s">
        <v>26</v>
      </c>
      <c r="H4" s="8" t="s">
        <v>52</v>
      </c>
      <c r="I4" s="8" t="s">
        <v>53</v>
      </c>
      <c r="J4" s="8" t="s">
        <v>54</v>
      </c>
      <c r="K4" s="8" t="s">
        <v>55</v>
      </c>
      <c r="L4" s="8" t="s">
        <v>45</v>
      </c>
      <c r="M4" s="8" t="s">
        <v>45</v>
      </c>
      <c r="N4" s="8" t="s">
        <v>45</v>
      </c>
      <c r="O4" s="8" t="s">
        <v>45</v>
      </c>
      <c r="P4" s="8" t="s">
        <v>45</v>
      </c>
      <c r="Q4" s="8" t="s">
        <v>56</v>
      </c>
      <c r="R4" s="8"/>
      <c r="S4" s="8"/>
      <c r="T4" s="11">
        <v>65000</v>
      </c>
      <c r="U4" s="11"/>
      <c r="V4" s="8" t="str">
        <f t="shared" ca="1" si="2"/>
        <v>Blocked</v>
      </c>
      <c r="W4" s="12">
        <f t="shared" ca="1" si="3"/>
        <v>46178.95075196759</v>
      </c>
    </row>
    <row r="5" spans="1:23" ht="28.5">
      <c r="A5" s="8" t="str">
        <f t="shared" si="0"/>
        <v>EMAIL-2026-06-11-VIP-OFFER</v>
      </c>
      <c r="B5" s="9">
        <v>46184</v>
      </c>
      <c r="C5" s="10" t="s">
        <v>57</v>
      </c>
      <c r="D5" s="8" t="s">
        <v>58</v>
      </c>
      <c r="E5" s="8" t="s">
        <v>59</v>
      </c>
      <c r="F5" s="8" t="str">
        <f t="shared" si="1"/>
        <v>With Design</v>
      </c>
      <c r="G5" s="8" t="s">
        <v>60</v>
      </c>
      <c r="H5" s="8"/>
      <c r="I5" s="8" t="s">
        <v>61</v>
      </c>
      <c r="J5" s="8" t="s">
        <v>28</v>
      </c>
      <c r="K5" s="8" t="s">
        <v>29</v>
      </c>
      <c r="L5" s="8" t="s">
        <v>44</v>
      </c>
      <c r="M5" s="8" t="s">
        <v>45</v>
      </c>
      <c r="N5" s="8" t="s">
        <v>45</v>
      </c>
      <c r="O5" s="8" t="s">
        <v>45</v>
      </c>
      <c r="P5" s="8" t="s">
        <v>45</v>
      </c>
      <c r="Q5" s="8" t="s">
        <v>62</v>
      </c>
      <c r="R5" s="8"/>
      <c r="S5" s="8"/>
      <c r="T5" s="11">
        <v>25000</v>
      </c>
      <c r="U5" s="11"/>
      <c r="V5" s="8" t="str">
        <f t="shared" ca="1" si="2"/>
        <v>On Track</v>
      </c>
      <c r="W5" s="12">
        <f t="shared" ca="1" si="3"/>
        <v>46178.95075196759</v>
      </c>
    </row>
    <row r="6" spans="1:23" ht="28.5">
      <c r="A6" s="8" t="str">
        <f t="shared" si="0"/>
        <v>EMAIL-2026-06-05-SENT-CAMPAIGN</v>
      </c>
      <c r="B6" s="9">
        <v>46178</v>
      </c>
      <c r="C6" s="10" t="s">
        <v>63</v>
      </c>
      <c r="D6" s="8" t="s">
        <v>64</v>
      </c>
      <c r="E6" s="8" t="s">
        <v>25</v>
      </c>
      <c r="F6" s="8" t="str">
        <f t="shared" si="1"/>
        <v>Sent</v>
      </c>
      <c r="G6" s="8" t="s">
        <v>26</v>
      </c>
      <c r="H6" s="8"/>
      <c r="I6" s="8" t="s">
        <v>65</v>
      </c>
      <c r="J6" s="8" t="s">
        <v>28</v>
      </c>
      <c r="K6" s="8" t="s">
        <v>29</v>
      </c>
      <c r="L6" s="8" t="s">
        <v>30</v>
      </c>
      <c r="M6" s="8" t="s">
        <v>31</v>
      </c>
      <c r="N6" s="8" t="s">
        <v>30</v>
      </c>
      <c r="O6" s="8" t="s">
        <v>32</v>
      </c>
      <c r="P6" s="8" t="s">
        <v>33</v>
      </c>
      <c r="Q6" s="8" t="s">
        <v>66</v>
      </c>
      <c r="R6" s="8" t="s">
        <v>67</v>
      </c>
      <c r="S6" s="8" t="s">
        <v>68</v>
      </c>
      <c r="T6" s="11">
        <v>80000</v>
      </c>
      <c r="U6" s="11">
        <v>78234</v>
      </c>
      <c r="V6" s="8" t="str">
        <f t="shared" ca="1" si="2"/>
        <v>Complete</v>
      </c>
      <c r="W6" s="12">
        <f t="shared" ca="1" si="3"/>
        <v>46178.95075196759</v>
      </c>
    </row>
    <row r="7" spans="1:23" ht="28.5">
      <c r="A7" s="8" t="str">
        <f t="shared" ref="A7" si="4">IF(D7="","", "EMAIL-" &amp; TEXT(B7,"yyyy-mm-dd") &amp; "-" &amp; LEFT(UPPER(SUBSTITUTE(SUBSTITUTE(SUBSTITUTE(SUBSTITUTE(D7,"Sample | ","")," ","-"),"/","-"),"&amp;","AND")),25))</f>
        <v>EMAIL-2026-06-11-VIP-OFFER</v>
      </c>
      <c r="B7" s="9">
        <v>46184</v>
      </c>
      <c r="C7" s="10" t="s">
        <v>57</v>
      </c>
      <c r="D7" s="8" t="s">
        <v>58</v>
      </c>
      <c r="E7" s="8" t="s">
        <v>59</v>
      </c>
      <c r="F7" s="8" t="str">
        <f t="shared" ref="F7" si="5">IF(D7="","",IF(P7="Cancelled","Cancelled",IF(AND(ISNUMBER(U7),U7&gt;0),"Sent",IF(P7="Scheduled","Scheduled",IF(O7="Passed","QA Passed",IF(O7="In Progress","QA in Progress",IF(OR(N7="Ready",N7="Created"),"Segment Ready",IF(S7&lt;&gt;"","Built in Bluecore",IF(M7="Sent","Sent to Builder",IF(L7="Ready","Design Ready",IF(L7="In Progress","With Design",IF(OR(K7="Ready",K7="Approved"),"Brief Ready",IF(OR(K7="In Progress",K7="Draft"),"Brief in Progress",IF(OR(J7="Needed",J7="Requested"),"Waiting for SKUs",IF(H7&lt;&gt;"","Blocked","Not Started")))))))))))))))</f>
        <v>With Design</v>
      </c>
      <c r="G7" s="8" t="s">
        <v>60</v>
      </c>
      <c r="H7" s="8"/>
      <c r="I7" s="8" t="s">
        <v>61</v>
      </c>
      <c r="J7" s="8" t="s">
        <v>28</v>
      </c>
      <c r="K7" s="8" t="s">
        <v>29</v>
      </c>
      <c r="L7" s="8" t="s">
        <v>44</v>
      </c>
      <c r="M7" s="8" t="s">
        <v>45</v>
      </c>
      <c r="N7" s="8" t="s">
        <v>45</v>
      </c>
      <c r="O7" s="8" t="s">
        <v>45</v>
      </c>
      <c r="P7" s="8" t="s">
        <v>45</v>
      </c>
      <c r="Q7" s="8" t="s">
        <v>62</v>
      </c>
      <c r="R7" s="8"/>
      <c r="S7" s="8"/>
      <c r="T7" s="11">
        <v>25000</v>
      </c>
      <c r="U7" s="11"/>
      <c r="V7" s="8" t="str">
        <f t="shared" ref="V7" ca="1" si="6">IF(D7="","",IF(F7="Sent","Complete",IF(F7="Scheduled","Ready",IF(F7="Cancelled","Complete",IF(OR(F7="Blocked",H7&lt;&gt;""),"Blocked",IF(NOT(ISNUMBER(B7)),"At Risk",IF(B7&lt;TODAY(),"Critical",IF(AND(B7=TODAY(),F7&lt;&gt;"Scheduled"),"Critical",IF(AND(B7=TODAY()+1,NOT(OR(F7="QA Passed",F7="Scheduled"))),"High Risk",IF(AND(B7&lt;=TODAY()+2,F7&lt;&gt;"Scheduled"),"At Risk","On Track"))))))))))</f>
        <v>On Track</v>
      </c>
      <c r="W7" s="12">
        <f t="shared" ref="W7" ca="1" si="7">IF(D7="","",NOW())</f>
        <v>46178.95075196759</v>
      </c>
    </row>
    <row r="8" spans="1:23" ht="28.5">
      <c r="A8" s="8" t="str">
        <f>IF(D8="","", "EMAIL-" &amp; TEXT(B8,"yyyy-mm-dd") &amp; "-" &amp; LEFT(UPPER(SUBSTITUTE(SUBSTITUTE(SUBSTITUTE(SUBSTITUTE(D8,"Sample | ","")," ","-"),"/","-"),"&amp;","AND")),25))</f>
        <v>EMAIL-2026-06-12-060926-08AM-DIVE-WEAR-BES</v>
      </c>
      <c r="B8" s="9">
        <v>46185</v>
      </c>
      <c r="C8" s="10" t="s">
        <v>57</v>
      </c>
      <c r="D8" s="8" t="s">
        <v>172</v>
      </c>
      <c r="E8" s="8" t="s">
        <v>51</v>
      </c>
      <c r="F8" s="8" t="str">
        <f t="shared" si="1"/>
        <v>Sent to Builder</v>
      </c>
      <c r="G8" s="8" t="s">
        <v>40</v>
      </c>
      <c r="H8" s="8"/>
      <c r="I8" s="8"/>
      <c r="J8" s="8" t="s">
        <v>28</v>
      </c>
      <c r="K8" s="8" t="s">
        <v>29</v>
      </c>
      <c r="L8" s="8" t="s">
        <v>28</v>
      </c>
      <c r="M8" s="8" t="s">
        <v>31</v>
      </c>
      <c r="N8" s="8" t="s">
        <v>44</v>
      </c>
      <c r="O8" s="8" t="s">
        <v>45</v>
      </c>
      <c r="P8" s="8" t="s">
        <v>45</v>
      </c>
      <c r="Q8" s="71" t="s">
        <v>171</v>
      </c>
      <c r="R8" s="8"/>
      <c r="S8" s="8"/>
      <c r="T8" s="11"/>
      <c r="U8" s="11"/>
      <c r="V8" s="8" t="str">
        <f t="shared" ca="1" si="2"/>
        <v>On Track</v>
      </c>
      <c r="W8" s="12">
        <f t="shared" ca="1" si="3"/>
        <v>46178.95075196759</v>
      </c>
    </row>
    <row r="9" spans="1:23">
      <c r="A9" s="8" t="str">
        <f t="shared" si="0"/>
        <v/>
      </c>
      <c r="B9" s="9"/>
      <c r="C9" s="10"/>
      <c r="D9" s="8"/>
      <c r="E9" s="8"/>
      <c r="F9" s="8" t="str">
        <f t="shared" si="1"/>
        <v/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11"/>
      <c r="U9" s="11"/>
      <c r="V9" s="8" t="str">
        <f t="shared" ca="1" si="2"/>
        <v/>
      </c>
      <c r="W9" s="12" t="str">
        <f t="shared" ca="1" si="3"/>
        <v/>
      </c>
    </row>
    <row r="10" spans="1:23">
      <c r="A10" s="8" t="str">
        <f t="shared" si="0"/>
        <v/>
      </c>
      <c r="B10" s="9"/>
      <c r="C10" s="10"/>
      <c r="D10" s="8"/>
      <c r="E10" s="8"/>
      <c r="F10" s="8" t="str">
        <f t="shared" si="1"/>
        <v/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11"/>
      <c r="U10" s="11"/>
      <c r="V10" s="8" t="str">
        <f t="shared" ca="1" si="2"/>
        <v/>
      </c>
      <c r="W10" s="12" t="str">
        <f t="shared" ca="1" si="3"/>
        <v/>
      </c>
    </row>
    <row r="11" spans="1:23">
      <c r="A11" s="8" t="str">
        <f t="shared" si="0"/>
        <v/>
      </c>
      <c r="B11" s="9"/>
      <c r="C11" s="10"/>
      <c r="D11" s="8"/>
      <c r="E11" s="8"/>
      <c r="F11" s="8" t="str">
        <f t="shared" si="1"/>
        <v/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11"/>
      <c r="U11" s="11"/>
      <c r="V11" s="8" t="str">
        <f t="shared" ca="1" si="2"/>
        <v/>
      </c>
      <c r="W11" s="12" t="str">
        <f t="shared" ca="1" si="3"/>
        <v/>
      </c>
    </row>
    <row r="12" spans="1:23">
      <c r="A12" s="8" t="str">
        <f t="shared" si="0"/>
        <v/>
      </c>
      <c r="B12" s="9"/>
      <c r="C12" s="10"/>
      <c r="D12" s="8"/>
      <c r="E12" s="8"/>
      <c r="F12" s="8" t="str">
        <f t="shared" si="1"/>
        <v/>
      </c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11"/>
      <c r="U12" s="11"/>
      <c r="V12" s="8" t="str">
        <f t="shared" ca="1" si="2"/>
        <v/>
      </c>
      <c r="W12" s="12" t="str">
        <f t="shared" ca="1" si="3"/>
        <v/>
      </c>
    </row>
    <row r="13" spans="1:23">
      <c r="A13" s="8" t="str">
        <f t="shared" si="0"/>
        <v/>
      </c>
      <c r="B13" s="9"/>
      <c r="C13" s="10"/>
      <c r="D13" s="8"/>
      <c r="E13" s="8"/>
      <c r="F13" s="8" t="str">
        <f t="shared" si="1"/>
        <v/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11"/>
      <c r="U13" s="11"/>
      <c r="V13" s="8" t="str">
        <f t="shared" ca="1" si="2"/>
        <v/>
      </c>
      <c r="W13" s="12" t="str">
        <f t="shared" ca="1" si="3"/>
        <v/>
      </c>
    </row>
    <row r="14" spans="1:23">
      <c r="A14" s="8" t="str">
        <f t="shared" si="0"/>
        <v/>
      </c>
      <c r="B14" s="9"/>
      <c r="C14" s="10"/>
      <c r="D14" s="8"/>
      <c r="E14" s="8"/>
      <c r="F14" s="8" t="str">
        <f t="shared" si="1"/>
        <v/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11"/>
      <c r="U14" s="11"/>
      <c r="V14" s="8" t="str">
        <f t="shared" ca="1" si="2"/>
        <v/>
      </c>
      <c r="W14" s="12" t="str">
        <f t="shared" ca="1" si="3"/>
        <v/>
      </c>
    </row>
    <row r="15" spans="1:23">
      <c r="A15" s="8" t="str">
        <f t="shared" si="0"/>
        <v/>
      </c>
      <c r="B15" s="9"/>
      <c r="C15" s="10"/>
      <c r="D15" s="8"/>
      <c r="E15" s="8"/>
      <c r="F15" s="8" t="str">
        <f t="shared" si="1"/>
        <v/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11"/>
      <c r="U15" s="11"/>
      <c r="V15" s="8" t="str">
        <f t="shared" ca="1" si="2"/>
        <v/>
      </c>
      <c r="W15" s="12" t="str">
        <f t="shared" ca="1" si="3"/>
        <v/>
      </c>
    </row>
    <row r="16" spans="1:23">
      <c r="A16" s="8" t="str">
        <f t="shared" si="0"/>
        <v/>
      </c>
      <c r="B16" s="9"/>
      <c r="C16" s="10"/>
      <c r="D16" s="8"/>
      <c r="E16" s="8"/>
      <c r="F16" s="8" t="str">
        <f t="shared" si="1"/>
        <v/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11"/>
      <c r="U16" s="11"/>
      <c r="V16" s="8" t="str">
        <f t="shared" ca="1" si="2"/>
        <v/>
      </c>
      <c r="W16" s="12" t="str">
        <f t="shared" ca="1" si="3"/>
        <v/>
      </c>
    </row>
    <row r="17" spans="1:23">
      <c r="A17" s="8" t="str">
        <f t="shared" si="0"/>
        <v/>
      </c>
      <c r="B17" s="9"/>
      <c r="C17" s="10"/>
      <c r="D17" s="8"/>
      <c r="E17" s="8"/>
      <c r="F17" s="8" t="str">
        <f t="shared" si="1"/>
        <v/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11"/>
      <c r="U17" s="11"/>
      <c r="V17" s="8" t="str">
        <f t="shared" ca="1" si="2"/>
        <v/>
      </c>
      <c r="W17" s="12" t="str">
        <f t="shared" ca="1" si="3"/>
        <v/>
      </c>
    </row>
    <row r="18" spans="1:23">
      <c r="A18" s="8" t="str">
        <f t="shared" si="0"/>
        <v/>
      </c>
      <c r="B18" s="9"/>
      <c r="C18" s="10"/>
      <c r="D18" s="8"/>
      <c r="E18" s="8"/>
      <c r="F18" s="8" t="str">
        <f t="shared" si="1"/>
        <v/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11"/>
      <c r="U18" s="11"/>
      <c r="V18" s="8" t="str">
        <f t="shared" ca="1" si="2"/>
        <v/>
      </c>
      <c r="W18" s="12" t="str">
        <f t="shared" ca="1" si="3"/>
        <v/>
      </c>
    </row>
    <row r="19" spans="1:23">
      <c r="A19" s="8" t="str">
        <f t="shared" si="0"/>
        <v/>
      </c>
      <c r="B19" s="9"/>
      <c r="C19" s="10"/>
      <c r="D19" s="8"/>
      <c r="E19" s="8"/>
      <c r="F19" s="8" t="str">
        <f t="shared" si="1"/>
        <v/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11"/>
      <c r="U19" s="11"/>
      <c r="V19" s="8" t="str">
        <f t="shared" ca="1" si="2"/>
        <v/>
      </c>
      <c r="W19" s="12" t="str">
        <f t="shared" ca="1" si="3"/>
        <v/>
      </c>
    </row>
    <row r="20" spans="1:23">
      <c r="A20" s="8" t="str">
        <f t="shared" si="0"/>
        <v/>
      </c>
      <c r="B20" s="9"/>
      <c r="C20" s="10"/>
      <c r="D20" s="8"/>
      <c r="E20" s="8"/>
      <c r="F20" s="8" t="str">
        <f t="shared" si="1"/>
        <v/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11"/>
      <c r="U20" s="11"/>
      <c r="V20" s="8" t="str">
        <f t="shared" ca="1" si="2"/>
        <v/>
      </c>
      <c r="W20" s="12" t="str">
        <f t="shared" ca="1" si="3"/>
        <v/>
      </c>
    </row>
    <row r="21" spans="1:23">
      <c r="A21" s="8" t="str">
        <f t="shared" si="0"/>
        <v/>
      </c>
      <c r="B21" s="9"/>
      <c r="C21" s="10"/>
      <c r="D21" s="8"/>
      <c r="E21" s="8"/>
      <c r="F21" s="8" t="str">
        <f t="shared" si="1"/>
        <v/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11"/>
      <c r="U21" s="11"/>
      <c r="V21" s="8" t="str">
        <f t="shared" ca="1" si="2"/>
        <v/>
      </c>
      <c r="W21" s="12" t="str">
        <f t="shared" ca="1" si="3"/>
        <v/>
      </c>
    </row>
    <row r="22" spans="1:23">
      <c r="A22" s="8" t="str">
        <f t="shared" si="0"/>
        <v/>
      </c>
      <c r="B22" s="9"/>
      <c r="C22" s="10"/>
      <c r="D22" s="8"/>
      <c r="E22" s="8"/>
      <c r="F22" s="8" t="str">
        <f t="shared" si="1"/>
        <v/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11"/>
      <c r="U22" s="11"/>
      <c r="V22" s="8" t="str">
        <f t="shared" ca="1" si="2"/>
        <v/>
      </c>
      <c r="W22" s="12" t="str">
        <f t="shared" ca="1" si="3"/>
        <v/>
      </c>
    </row>
    <row r="23" spans="1:23">
      <c r="A23" s="8" t="str">
        <f t="shared" si="0"/>
        <v/>
      </c>
      <c r="B23" s="9"/>
      <c r="C23" s="10"/>
      <c r="D23" s="8"/>
      <c r="E23" s="8"/>
      <c r="F23" s="8" t="str">
        <f t="shared" si="1"/>
        <v/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11"/>
      <c r="U23" s="11"/>
      <c r="V23" s="8" t="str">
        <f t="shared" ca="1" si="2"/>
        <v/>
      </c>
      <c r="W23" s="12" t="str">
        <f t="shared" ca="1" si="3"/>
        <v/>
      </c>
    </row>
    <row r="24" spans="1:23">
      <c r="A24" s="8" t="str">
        <f t="shared" si="0"/>
        <v/>
      </c>
      <c r="B24" s="9"/>
      <c r="C24" s="10"/>
      <c r="D24" s="8"/>
      <c r="E24" s="8"/>
      <c r="F24" s="8" t="str">
        <f t="shared" si="1"/>
        <v/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11"/>
      <c r="U24" s="11"/>
      <c r="V24" s="8" t="str">
        <f t="shared" ca="1" si="2"/>
        <v/>
      </c>
      <c r="W24" s="12" t="str">
        <f t="shared" ca="1" si="3"/>
        <v/>
      </c>
    </row>
    <row r="25" spans="1:23">
      <c r="A25" s="8" t="str">
        <f t="shared" si="0"/>
        <v/>
      </c>
      <c r="B25" s="9"/>
      <c r="C25" s="10"/>
      <c r="D25" s="8"/>
      <c r="E25" s="8"/>
      <c r="F25" s="8" t="str">
        <f t="shared" si="1"/>
        <v/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11"/>
      <c r="U25" s="11"/>
      <c r="V25" s="8" t="str">
        <f t="shared" ca="1" si="2"/>
        <v/>
      </c>
      <c r="W25" s="12" t="str">
        <f t="shared" ca="1" si="3"/>
        <v/>
      </c>
    </row>
    <row r="26" spans="1:23">
      <c r="A26" s="8" t="str">
        <f t="shared" si="0"/>
        <v/>
      </c>
      <c r="B26" s="9"/>
      <c r="C26" s="10"/>
      <c r="D26" s="8"/>
      <c r="E26" s="8"/>
      <c r="F26" s="8" t="str">
        <f t="shared" si="1"/>
        <v/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11"/>
      <c r="U26" s="11"/>
      <c r="V26" s="8" t="str">
        <f t="shared" ca="1" si="2"/>
        <v/>
      </c>
      <c r="W26" s="12" t="str">
        <f t="shared" ca="1" si="3"/>
        <v/>
      </c>
    </row>
    <row r="27" spans="1:23">
      <c r="A27" s="8" t="str">
        <f t="shared" si="0"/>
        <v/>
      </c>
      <c r="B27" s="9"/>
      <c r="C27" s="10"/>
      <c r="D27" s="8"/>
      <c r="E27" s="8"/>
      <c r="F27" s="8" t="str">
        <f t="shared" si="1"/>
        <v/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11"/>
      <c r="U27" s="11"/>
      <c r="V27" s="8" t="str">
        <f t="shared" ca="1" si="2"/>
        <v/>
      </c>
      <c r="W27" s="12" t="str">
        <f t="shared" ca="1" si="3"/>
        <v/>
      </c>
    </row>
    <row r="28" spans="1:23">
      <c r="A28" s="8" t="str">
        <f t="shared" si="0"/>
        <v/>
      </c>
      <c r="B28" s="9"/>
      <c r="C28" s="10"/>
      <c r="D28" s="8"/>
      <c r="E28" s="8"/>
      <c r="F28" s="8" t="str">
        <f t="shared" si="1"/>
        <v/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11"/>
      <c r="U28" s="11"/>
      <c r="V28" s="8" t="str">
        <f t="shared" ca="1" si="2"/>
        <v/>
      </c>
      <c r="W28" s="12" t="str">
        <f t="shared" ca="1" si="3"/>
        <v/>
      </c>
    </row>
    <row r="29" spans="1:23">
      <c r="A29" s="8" t="str">
        <f t="shared" si="0"/>
        <v/>
      </c>
      <c r="B29" s="9"/>
      <c r="C29" s="10"/>
      <c r="D29" s="8"/>
      <c r="E29" s="8"/>
      <c r="F29" s="8" t="str">
        <f t="shared" si="1"/>
        <v/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11"/>
      <c r="U29" s="11"/>
      <c r="V29" s="8" t="str">
        <f t="shared" ca="1" si="2"/>
        <v/>
      </c>
      <c r="W29" s="12" t="str">
        <f t="shared" ca="1" si="3"/>
        <v/>
      </c>
    </row>
    <row r="30" spans="1:23">
      <c r="A30" s="8" t="str">
        <f t="shared" si="0"/>
        <v/>
      </c>
      <c r="B30" s="9"/>
      <c r="C30" s="10"/>
      <c r="D30" s="8"/>
      <c r="E30" s="8"/>
      <c r="F30" s="8" t="str">
        <f t="shared" si="1"/>
        <v/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11"/>
      <c r="U30" s="11"/>
      <c r="V30" s="8" t="str">
        <f t="shared" ca="1" si="2"/>
        <v/>
      </c>
      <c r="W30" s="12" t="str">
        <f t="shared" ca="1" si="3"/>
        <v/>
      </c>
    </row>
    <row r="31" spans="1:23">
      <c r="A31" s="8" t="str">
        <f t="shared" si="0"/>
        <v/>
      </c>
      <c r="B31" s="9"/>
      <c r="C31" s="10"/>
      <c r="D31" s="8"/>
      <c r="E31" s="8"/>
      <c r="F31" s="8" t="str">
        <f t="shared" si="1"/>
        <v/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11"/>
      <c r="U31" s="11"/>
      <c r="V31" s="8" t="str">
        <f t="shared" ca="1" si="2"/>
        <v/>
      </c>
      <c r="W31" s="12" t="str">
        <f t="shared" ca="1" si="3"/>
        <v/>
      </c>
    </row>
    <row r="32" spans="1:23">
      <c r="A32" s="8" t="str">
        <f t="shared" si="0"/>
        <v/>
      </c>
      <c r="B32" s="9"/>
      <c r="C32" s="10"/>
      <c r="D32" s="8"/>
      <c r="E32" s="8"/>
      <c r="F32" s="8" t="str">
        <f t="shared" si="1"/>
        <v/>
      </c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11"/>
      <c r="U32" s="11"/>
      <c r="V32" s="8" t="str">
        <f t="shared" ca="1" si="2"/>
        <v/>
      </c>
      <c r="W32" s="12" t="str">
        <f t="shared" ca="1" si="3"/>
        <v/>
      </c>
    </row>
    <row r="33" spans="1:23">
      <c r="A33" s="8" t="str">
        <f t="shared" si="0"/>
        <v/>
      </c>
      <c r="B33" s="9"/>
      <c r="C33" s="10"/>
      <c r="D33" s="8"/>
      <c r="E33" s="8"/>
      <c r="F33" s="8" t="str">
        <f t="shared" si="1"/>
        <v/>
      </c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11"/>
      <c r="U33" s="11"/>
      <c r="V33" s="8" t="str">
        <f t="shared" ca="1" si="2"/>
        <v/>
      </c>
      <c r="W33" s="12" t="str">
        <f t="shared" ca="1" si="3"/>
        <v/>
      </c>
    </row>
    <row r="34" spans="1:23">
      <c r="A34" s="8" t="str">
        <f t="shared" ref="A34:A65" si="8">IF(D34="","", "EMAIL-" &amp; TEXT(B34,"yyyy-mm-dd") &amp; "-" &amp; LEFT(UPPER(SUBSTITUTE(SUBSTITUTE(SUBSTITUTE(SUBSTITUTE(D34,"Sample | ","")," ","-"),"/","-"),"&amp;","AND")),25))</f>
        <v/>
      </c>
      <c r="B34" s="9"/>
      <c r="C34" s="10"/>
      <c r="D34" s="8"/>
      <c r="E34" s="8"/>
      <c r="F34" s="8" t="str">
        <f t="shared" ref="F34:F65" si="9">IF(D34="","",IF(P34="Cancelled","Cancelled",IF(AND(ISNUMBER(U34),U34&gt;0),"Sent",IF(P34="Scheduled","Scheduled",IF(O34="Passed","QA Passed",IF(O34="In Progress","QA in Progress",IF(OR(N34="Ready",N34="Created"),"Segment Ready",IF(S34&lt;&gt;"","Built in Bluecore",IF(M34="Sent","Sent to Builder",IF(L34="Ready","Design Ready",IF(L34="In Progress","With Design",IF(OR(K34="Ready",K34="Approved"),"Brief Ready",IF(OR(K34="In Progress",K34="Draft"),"Brief in Progress",IF(OR(J34="Needed",J34="Requested"),"Waiting for SKUs",IF(H34&lt;&gt;"","Blocked","Not Started")))))))))))))))</f>
        <v/>
      </c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11"/>
      <c r="U34" s="11"/>
      <c r="V34" s="8" t="str">
        <f t="shared" ref="V34:V65" ca="1" si="10">IF(D34="","",IF(F34="Sent","Complete",IF(F34="Scheduled","Ready",IF(F34="Cancelled","Complete",IF(OR(F34="Blocked",H34&lt;&gt;""),"Blocked",IF(NOT(ISNUMBER(B34)),"At Risk",IF(B34&lt;TODAY(),"Critical",IF(AND(B34=TODAY(),F34&lt;&gt;"Scheduled"),"Critical",IF(AND(B34=TODAY()+1,NOT(OR(F34="QA Passed",F34="Scheduled"))),"High Risk",IF(AND(B34&lt;=TODAY()+2,F34&lt;&gt;"Scheduled"),"At Risk","On Track"))))))))))</f>
        <v/>
      </c>
      <c r="W34" s="12" t="str">
        <f t="shared" ref="W34:W65" ca="1" si="11">IF(D34="","",NOW())</f>
        <v/>
      </c>
    </row>
    <row r="35" spans="1:23">
      <c r="A35" s="8" t="str">
        <f t="shared" si="8"/>
        <v/>
      </c>
      <c r="B35" s="9"/>
      <c r="C35" s="10"/>
      <c r="D35" s="8"/>
      <c r="E35" s="8"/>
      <c r="F35" s="8" t="str">
        <f t="shared" si="9"/>
        <v/>
      </c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11"/>
      <c r="U35" s="11"/>
      <c r="V35" s="8" t="str">
        <f t="shared" ca="1" si="10"/>
        <v/>
      </c>
      <c r="W35" s="12" t="str">
        <f t="shared" ca="1" si="11"/>
        <v/>
      </c>
    </row>
    <row r="36" spans="1:23">
      <c r="A36" s="8" t="str">
        <f t="shared" si="8"/>
        <v/>
      </c>
      <c r="B36" s="9"/>
      <c r="C36" s="10"/>
      <c r="D36" s="8"/>
      <c r="E36" s="8"/>
      <c r="F36" s="8" t="str">
        <f t="shared" si="9"/>
        <v/>
      </c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11"/>
      <c r="U36" s="11"/>
      <c r="V36" s="8" t="str">
        <f t="shared" ca="1" si="10"/>
        <v/>
      </c>
      <c r="W36" s="12" t="str">
        <f t="shared" ca="1" si="11"/>
        <v/>
      </c>
    </row>
    <row r="37" spans="1:23">
      <c r="A37" s="8" t="str">
        <f t="shared" si="8"/>
        <v/>
      </c>
      <c r="B37" s="9"/>
      <c r="C37" s="10"/>
      <c r="D37" s="8"/>
      <c r="E37" s="8"/>
      <c r="F37" s="8" t="str">
        <f t="shared" si="9"/>
        <v/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11"/>
      <c r="U37" s="11"/>
      <c r="V37" s="8" t="str">
        <f t="shared" ca="1" si="10"/>
        <v/>
      </c>
      <c r="W37" s="12" t="str">
        <f t="shared" ca="1" si="11"/>
        <v/>
      </c>
    </row>
    <row r="38" spans="1:23">
      <c r="A38" s="8" t="str">
        <f t="shared" si="8"/>
        <v/>
      </c>
      <c r="B38" s="9"/>
      <c r="C38" s="10"/>
      <c r="D38" s="8"/>
      <c r="E38" s="8"/>
      <c r="F38" s="8" t="str">
        <f t="shared" si="9"/>
        <v/>
      </c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11"/>
      <c r="U38" s="11"/>
      <c r="V38" s="8" t="str">
        <f t="shared" ca="1" si="10"/>
        <v/>
      </c>
      <c r="W38" s="12" t="str">
        <f t="shared" ca="1" si="11"/>
        <v/>
      </c>
    </row>
    <row r="39" spans="1:23">
      <c r="A39" s="8" t="str">
        <f t="shared" si="8"/>
        <v/>
      </c>
      <c r="B39" s="9"/>
      <c r="C39" s="10"/>
      <c r="D39" s="8"/>
      <c r="E39" s="8"/>
      <c r="F39" s="8" t="str">
        <f t="shared" si="9"/>
        <v/>
      </c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11"/>
      <c r="U39" s="11"/>
      <c r="V39" s="8" t="str">
        <f t="shared" ca="1" si="10"/>
        <v/>
      </c>
      <c r="W39" s="12" t="str">
        <f t="shared" ca="1" si="11"/>
        <v/>
      </c>
    </row>
    <row r="40" spans="1:23">
      <c r="A40" s="8" t="str">
        <f t="shared" si="8"/>
        <v/>
      </c>
      <c r="B40" s="9"/>
      <c r="C40" s="10"/>
      <c r="D40" s="8"/>
      <c r="E40" s="8"/>
      <c r="F40" s="8" t="str">
        <f t="shared" si="9"/>
        <v/>
      </c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11"/>
      <c r="U40" s="11"/>
      <c r="V40" s="8" t="str">
        <f t="shared" ca="1" si="10"/>
        <v/>
      </c>
      <c r="W40" s="12" t="str">
        <f t="shared" ca="1" si="11"/>
        <v/>
      </c>
    </row>
    <row r="41" spans="1:23">
      <c r="A41" s="8" t="str">
        <f t="shared" si="8"/>
        <v/>
      </c>
      <c r="B41" s="9"/>
      <c r="C41" s="10"/>
      <c r="D41" s="8"/>
      <c r="E41" s="8"/>
      <c r="F41" s="8" t="str">
        <f t="shared" si="9"/>
        <v/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11"/>
      <c r="U41" s="11"/>
      <c r="V41" s="8" t="str">
        <f t="shared" ca="1" si="10"/>
        <v/>
      </c>
      <c r="W41" s="12" t="str">
        <f t="shared" ca="1" si="11"/>
        <v/>
      </c>
    </row>
    <row r="42" spans="1:23">
      <c r="A42" s="8" t="str">
        <f t="shared" si="8"/>
        <v/>
      </c>
      <c r="B42" s="9"/>
      <c r="C42" s="10"/>
      <c r="D42" s="8"/>
      <c r="E42" s="8"/>
      <c r="F42" s="8" t="str">
        <f t="shared" si="9"/>
        <v/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11"/>
      <c r="U42" s="11"/>
      <c r="V42" s="8" t="str">
        <f t="shared" ca="1" si="10"/>
        <v/>
      </c>
      <c r="W42" s="12" t="str">
        <f t="shared" ca="1" si="11"/>
        <v/>
      </c>
    </row>
    <row r="43" spans="1:23">
      <c r="A43" s="8" t="str">
        <f t="shared" si="8"/>
        <v/>
      </c>
      <c r="B43" s="9"/>
      <c r="C43" s="10"/>
      <c r="D43" s="8"/>
      <c r="E43" s="8"/>
      <c r="F43" s="8" t="str">
        <f t="shared" si="9"/>
        <v/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11"/>
      <c r="U43" s="11"/>
      <c r="V43" s="8" t="str">
        <f t="shared" ca="1" si="10"/>
        <v/>
      </c>
      <c r="W43" s="12" t="str">
        <f t="shared" ca="1" si="11"/>
        <v/>
      </c>
    </row>
    <row r="44" spans="1:23">
      <c r="A44" s="8" t="str">
        <f t="shared" si="8"/>
        <v/>
      </c>
      <c r="B44" s="9"/>
      <c r="C44" s="10"/>
      <c r="D44" s="8"/>
      <c r="E44" s="8"/>
      <c r="F44" s="8" t="str">
        <f t="shared" si="9"/>
        <v/>
      </c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11"/>
      <c r="U44" s="11"/>
      <c r="V44" s="8" t="str">
        <f t="shared" ca="1" si="10"/>
        <v/>
      </c>
      <c r="W44" s="12" t="str">
        <f t="shared" ca="1" si="11"/>
        <v/>
      </c>
    </row>
    <row r="45" spans="1:23">
      <c r="A45" s="8" t="str">
        <f t="shared" si="8"/>
        <v/>
      </c>
      <c r="B45" s="9"/>
      <c r="C45" s="10"/>
      <c r="D45" s="8"/>
      <c r="E45" s="8"/>
      <c r="F45" s="8" t="str">
        <f t="shared" si="9"/>
        <v/>
      </c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11"/>
      <c r="U45" s="11"/>
      <c r="V45" s="8" t="str">
        <f t="shared" ca="1" si="10"/>
        <v/>
      </c>
      <c r="W45" s="12" t="str">
        <f t="shared" ca="1" si="11"/>
        <v/>
      </c>
    </row>
    <row r="46" spans="1:23">
      <c r="A46" s="8" t="str">
        <f t="shared" si="8"/>
        <v/>
      </c>
      <c r="B46" s="9"/>
      <c r="C46" s="10"/>
      <c r="D46" s="8"/>
      <c r="E46" s="8"/>
      <c r="F46" s="8" t="str">
        <f t="shared" si="9"/>
        <v/>
      </c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11"/>
      <c r="U46" s="11"/>
      <c r="V46" s="8" t="str">
        <f t="shared" ca="1" si="10"/>
        <v/>
      </c>
      <c r="W46" s="12" t="str">
        <f t="shared" ca="1" si="11"/>
        <v/>
      </c>
    </row>
    <row r="47" spans="1:23">
      <c r="A47" s="8" t="str">
        <f t="shared" si="8"/>
        <v/>
      </c>
      <c r="B47" s="9"/>
      <c r="C47" s="10"/>
      <c r="D47" s="8"/>
      <c r="E47" s="8"/>
      <c r="F47" s="8" t="str">
        <f t="shared" si="9"/>
        <v/>
      </c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11"/>
      <c r="U47" s="11"/>
      <c r="V47" s="8" t="str">
        <f t="shared" ca="1" si="10"/>
        <v/>
      </c>
      <c r="W47" s="12" t="str">
        <f t="shared" ca="1" si="11"/>
        <v/>
      </c>
    </row>
    <row r="48" spans="1:23">
      <c r="A48" s="8" t="str">
        <f t="shared" si="8"/>
        <v/>
      </c>
      <c r="B48" s="9"/>
      <c r="C48" s="10"/>
      <c r="D48" s="8"/>
      <c r="E48" s="8"/>
      <c r="F48" s="8" t="str">
        <f t="shared" si="9"/>
        <v/>
      </c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11"/>
      <c r="U48" s="11"/>
      <c r="V48" s="8" t="str">
        <f t="shared" ca="1" si="10"/>
        <v/>
      </c>
      <c r="W48" s="12" t="str">
        <f t="shared" ca="1" si="11"/>
        <v/>
      </c>
    </row>
    <row r="49" spans="1:23">
      <c r="A49" s="8" t="str">
        <f t="shared" si="8"/>
        <v/>
      </c>
      <c r="B49" s="9"/>
      <c r="C49" s="10"/>
      <c r="D49" s="8"/>
      <c r="E49" s="8"/>
      <c r="F49" s="8" t="str">
        <f t="shared" si="9"/>
        <v/>
      </c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11"/>
      <c r="U49" s="11"/>
      <c r="V49" s="8" t="str">
        <f t="shared" ca="1" si="10"/>
        <v/>
      </c>
      <c r="W49" s="12" t="str">
        <f t="shared" ca="1" si="11"/>
        <v/>
      </c>
    </row>
    <row r="50" spans="1:23">
      <c r="A50" s="8" t="str">
        <f t="shared" si="8"/>
        <v/>
      </c>
      <c r="B50" s="9"/>
      <c r="C50" s="10"/>
      <c r="D50" s="8"/>
      <c r="E50" s="8"/>
      <c r="F50" s="8" t="str">
        <f t="shared" si="9"/>
        <v/>
      </c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11"/>
      <c r="U50" s="11"/>
      <c r="V50" s="8" t="str">
        <f t="shared" ca="1" si="10"/>
        <v/>
      </c>
      <c r="W50" s="12" t="str">
        <f t="shared" ca="1" si="11"/>
        <v/>
      </c>
    </row>
    <row r="51" spans="1:23">
      <c r="A51" s="8" t="str">
        <f t="shared" si="8"/>
        <v/>
      </c>
      <c r="B51" s="9"/>
      <c r="C51" s="10"/>
      <c r="D51" s="8"/>
      <c r="E51" s="8"/>
      <c r="F51" s="8" t="str">
        <f t="shared" si="9"/>
        <v/>
      </c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11"/>
      <c r="U51" s="11"/>
      <c r="V51" s="8" t="str">
        <f t="shared" ca="1" si="10"/>
        <v/>
      </c>
      <c r="W51" s="12" t="str">
        <f t="shared" ca="1" si="11"/>
        <v/>
      </c>
    </row>
    <row r="52" spans="1:23">
      <c r="A52" s="8" t="str">
        <f t="shared" si="8"/>
        <v/>
      </c>
      <c r="B52" s="9"/>
      <c r="C52" s="10"/>
      <c r="D52" s="8"/>
      <c r="E52" s="8"/>
      <c r="F52" s="8" t="str">
        <f t="shared" si="9"/>
        <v/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11"/>
      <c r="U52" s="11"/>
      <c r="V52" s="8" t="str">
        <f t="shared" ca="1" si="10"/>
        <v/>
      </c>
      <c r="W52" s="12" t="str">
        <f t="shared" ca="1" si="11"/>
        <v/>
      </c>
    </row>
    <row r="53" spans="1:23">
      <c r="A53" s="8" t="str">
        <f t="shared" si="8"/>
        <v/>
      </c>
      <c r="B53" s="9"/>
      <c r="C53" s="10"/>
      <c r="D53" s="8"/>
      <c r="E53" s="8"/>
      <c r="F53" s="8" t="str">
        <f t="shared" si="9"/>
        <v/>
      </c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11"/>
      <c r="U53" s="11"/>
      <c r="V53" s="8" t="str">
        <f t="shared" ca="1" si="10"/>
        <v/>
      </c>
      <c r="W53" s="12" t="str">
        <f t="shared" ca="1" si="11"/>
        <v/>
      </c>
    </row>
    <row r="54" spans="1:23">
      <c r="A54" s="8" t="str">
        <f t="shared" si="8"/>
        <v/>
      </c>
      <c r="B54" s="9"/>
      <c r="C54" s="10"/>
      <c r="D54" s="8"/>
      <c r="E54" s="8"/>
      <c r="F54" s="8" t="str">
        <f t="shared" si="9"/>
        <v/>
      </c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11"/>
      <c r="U54" s="11"/>
      <c r="V54" s="8" t="str">
        <f t="shared" ca="1" si="10"/>
        <v/>
      </c>
      <c r="W54" s="12" t="str">
        <f t="shared" ca="1" si="11"/>
        <v/>
      </c>
    </row>
    <row r="55" spans="1:23">
      <c r="A55" s="8" t="str">
        <f t="shared" si="8"/>
        <v/>
      </c>
      <c r="B55" s="9"/>
      <c r="C55" s="10"/>
      <c r="D55" s="8"/>
      <c r="E55" s="8"/>
      <c r="F55" s="8" t="str">
        <f t="shared" si="9"/>
        <v/>
      </c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11"/>
      <c r="U55" s="11"/>
      <c r="V55" s="8" t="str">
        <f t="shared" ca="1" si="10"/>
        <v/>
      </c>
      <c r="W55" s="12" t="str">
        <f t="shared" ca="1" si="11"/>
        <v/>
      </c>
    </row>
    <row r="56" spans="1:23">
      <c r="A56" s="8" t="str">
        <f t="shared" si="8"/>
        <v/>
      </c>
      <c r="B56" s="9"/>
      <c r="C56" s="10"/>
      <c r="D56" s="8"/>
      <c r="E56" s="8"/>
      <c r="F56" s="8" t="str">
        <f t="shared" si="9"/>
        <v/>
      </c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11"/>
      <c r="U56" s="11"/>
      <c r="V56" s="8" t="str">
        <f t="shared" ca="1" si="10"/>
        <v/>
      </c>
      <c r="W56" s="12" t="str">
        <f t="shared" ca="1" si="11"/>
        <v/>
      </c>
    </row>
    <row r="57" spans="1:23">
      <c r="A57" s="8" t="str">
        <f t="shared" si="8"/>
        <v/>
      </c>
      <c r="B57" s="9"/>
      <c r="C57" s="10"/>
      <c r="D57" s="8"/>
      <c r="E57" s="8"/>
      <c r="F57" s="8" t="str">
        <f t="shared" si="9"/>
        <v/>
      </c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11"/>
      <c r="U57" s="11"/>
      <c r="V57" s="8" t="str">
        <f t="shared" ca="1" si="10"/>
        <v/>
      </c>
      <c r="W57" s="12" t="str">
        <f t="shared" ca="1" si="11"/>
        <v/>
      </c>
    </row>
    <row r="58" spans="1:23">
      <c r="A58" s="8" t="str">
        <f t="shared" si="8"/>
        <v/>
      </c>
      <c r="B58" s="9"/>
      <c r="C58" s="10"/>
      <c r="D58" s="8"/>
      <c r="E58" s="8"/>
      <c r="F58" s="8" t="str">
        <f t="shared" si="9"/>
        <v/>
      </c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11"/>
      <c r="U58" s="11"/>
      <c r="V58" s="8" t="str">
        <f t="shared" ca="1" si="10"/>
        <v/>
      </c>
      <c r="W58" s="12" t="str">
        <f t="shared" ca="1" si="11"/>
        <v/>
      </c>
    </row>
    <row r="59" spans="1:23">
      <c r="A59" s="8" t="str">
        <f t="shared" si="8"/>
        <v/>
      </c>
      <c r="B59" s="9"/>
      <c r="C59" s="10"/>
      <c r="D59" s="8"/>
      <c r="E59" s="8"/>
      <c r="F59" s="8" t="str">
        <f t="shared" si="9"/>
        <v/>
      </c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11"/>
      <c r="U59" s="11"/>
      <c r="V59" s="8" t="str">
        <f t="shared" ca="1" si="10"/>
        <v/>
      </c>
      <c r="W59" s="12" t="str">
        <f t="shared" ca="1" si="11"/>
        <v/>
      </c>
    </row>
    <row r="60" spans="1:23">
      <c r="A60" s="8" t="str">
        <f t="shared" si="8"/>
        <v/>
      </c>
      <c r="B60" s="9"/>
      <c r="C60" s="10"/>
      <c r="D60" s="8"/>
      <c r="E60" s="8"/>
      <c r="F60" s="8" t="str">
        <f t="shared" si="9"/>
        <v/>
      </c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11"/>
      <c r="U60" s="11"/>
      <c r="V60" s="8" t="str">
        <f t="shared" ca="1" si="10"/>
        <v/>
      </c>
      <c r="W60" s="12" t="str">
        <f t="shared" ca="1" si="11"/>
        <v/>
      </c>
    </row>
    <row r="61" spans="1:23">
      <c r="A61" s="8" t="str">
        <f t="shared" si="8"/>
        <v/>
      </c>
      <c r="B61" s="9"/>
      <c r="C61" s="10"/>
      <c r="D61" s="8"/>
      <c r="E61" s="8"/>
      <c r="F61" s="8" t="str">
        <f t="shared" si="9"/>
        <v/>
      </c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11"/>
      <c r="U61" s="11"/>
      <c r="V61" s="8" t="str">
        <f t="shared" ca="1" si="10"/>
        <v/>
      </c>
      <c r="W61" s="12" t="str">
        <f t="shared" ca="1" si="11"/>
        <v/>
      </c>
    </row>
    <row r="62" spans="1:23">
      <c r="A62" s="8" t="str">
        <f t="shared" si="8"/>
        <v/>
      </c>
      <c r="B62" s="9"/>
      <c r="C62" s="10"/>
      <c r="D62" s="8"/>
      <c r="E62" s="8"/>
      <c r="F62" s="8" t="str">
        <f t="shared" si="9"/>
        <v/>
      </c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11"/>
      <c r="U62" s="11"/>
      <c r="V62" s="8" t="str">
        <f t="shared" ca="1" si="10"/>
        <v/>
      </c>
      <c r="W62" s="12" t="str">
        <f t="shared" ca="1" si="11"/>
        <v/>
      </c>
    </row>
    <row r="63" spans="1:23">
      <c r="A63" s="8" t="str">
        <f t="shared" si="8"/>
        <v/>
      </c>
      <c r="B63" s="9"/>
      <c r="C63" s="10"/>
      <c r="D63" s="8"/>
      <c r="E63" s="8"/>
      <c r="F63" s="8" t="str">
        <f t="shared" si="9"/>
        <v/>
      </c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11"/>
      <c r="U63" s="11"/>
      <c r="V63" s="8" t="str">
        <f t="shared" ca="1" si="10"/>
        <v/>
      </c>
      <c r="W63" s="12" t="str">
        <f t="shared" ca="1" si="11"/>
        <v/>
      </c>
    </row>
    <row r="64" spans="1:23">
      <c r="A64" s="8" t="str">
        <f t="shared" si="8"/>
        <v/>
      </c>
      <c r="B64" s="9"/>
      <c r="C64" s="10"/>
      <c r="D64" s="8"/>
      <c r="E64" s="8"/>
      <c r="F64" s="8" t="str">
        <f t="shared" si="9"/>
        <v/>
      </c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11"/>
      <c r="U64" s="11"/>
      <c r="V64" s="8" t="str">
        <f t="shared" ca="1" si="10"/>
        <v/>
      </c>
      <c r="W64" s="12" t="str">
        <f t="shared" ca="1" si="11"/>
        <v/>
      </c>
    </row>
    <row r="65" spans="1:23">
      <c r="A65" s="8" t="str">
        <f t="shared" si="8"/>
        <v/>
      </c>
      <c r="B65" s="9"/>
      <c r="C65" s="10"/>
      <c r="D65" s="8"/>
      <c r="E65" s="8"/>
      <c r="F65" s="8" t="str">
        <f t="shared" si="9"/>
        <v/>
      </c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11"/>
      <c r="U65" s="11"/>
      <c r="V65" s="8" t="str">
        <f t="shared" ca="1" si="10"/>
        <v/>
      </c>
      <c r="W65" s="12" t="str">
        <f t="shared" ca="1" si="11"/>
        <v/>
      </c>
    </row>
    <row r="66" spans="1:23">
      <c r="A66" s="8" t="str">
        <f t="shared" ref="A66:A97" si="12">IF(D66="","", "EMAIL-" &amp; TEXT(B66,"yyyy-mm-dd") &amp; "-" &amp; LEFT(UPPER(SUBSTITUTE(SUBSTITUTE(SUBSTITUTE(SUBSTITUTE(D66,"Sample | ","")," ","-"),"/","-"),"&amp;","AND")),25))</f>
        <v/>
      </c>
      <c r="B66" s="9"/>
      <c r="C66" s="10"/>
      <c r="D66" s="8"/>
      <c r="E66" s="8"/>
      <c r="F66" s="8" t="str">
        <f t="shared" ref="F66:F97" si="13">IF(D66="","",IF(P66="Cancelled","Cancelled",IF(AND(ISNUMBER(U66),U66&gt;0),"Sent",IF(P66="Scheduled","Scheduled",IF(O66="Passed","QA Passed",IF(O66="In Progress","QA in Progress",IF(OR(N66="Ready",N66="Created"),"Segment Ready",IF(S66&lt;&gt;"","Built in Bluecore",IF(M66="Sent","Sent to Builder",IF(L66="Ready","Design Ready",IF(L66="In Progress","With Design",IF(OR(K66="Ready",K66="Approved"),"Brief Ready",IF(OR(K66="In Progress",K66="Draft"),"Brief in Progress",IF(OR(J66="Needed",J66="Requested"),"Waiting for SKUs",IF(H66&lt;&gt;"","Blocked","Not Started")))))))))))))))</f>
        <v/>
      </c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11"/>
      <c r="U66" s="11"/>
      <c r="V66" s="8" t="str">
        <f t="shared" ref="V66:V97" ca="1" si="14">IF(D66="","",IF(F66="Sent","Complete",IF(F66="Scheduled","Ready",IF(F66="Cancelled","Complete",IF(OR(F66="Blocked",H66&lt;&gt;""),"Blocked",IF(NOT(ISNUMBER(B66)),"At Risk",IF(B66&lt;TODAY(),"Critical",IF(AND(B66=TODAY(),F66&lt;&gt;"Scheduled"),"Critical",IF(AND(B66=TODAY()+1,NOT(OR(F66="QA Passed",F66="Scheduled"))),"High Risk",IF(AND(B66&lt;=TODAY()+2,F66&lt;&gt;"Scheduled"),"At Risk","On Track"))))))))))</f>
        <v/>
      </c>
      <c r="W66" s="12" t="str">
        <f t="shared" ref="W66:W97" ca="1" si="15">IF(D66="","",NOW())</f>
        <v/>
      </c>
    </row>
    <row r="67" spans="1:23">
      <c r="A67" s="8" t="str">
        <f t="shared" si="12"/>
        <v/>
      </c>
      <c r="B67" s="9"/>
      <c r="C67" s="10"/>
      <c r="D67" s="8"/>
      <c r="E67" s="8"/>
      <c r="F67" s="8" t="str">
        <f t="shared" si="13"/>
        <v/>
      </c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11"/>
      <c r="U67" s="11"/>
      <c r="V67" s="8" t="str">
        <f t="shared" ca="1" si="14"/>
        <v/>
      </c>
      <c r="W67" s="12" t="str">
        <f t="shared" ca="1" si="15"/>
        <v/>
      </c>
    </row>
    <row r="68" spans="1:23">
      <c r="A68" s="8" t="str">
        <f t="shared" si="12"/>
        <v/>
      </c>
      <c r="B68" s="9"/>
      <c r="C68" s="10"/>
      <c r="D68" s="8"/>
      <c r="E68" s="8"/>
      <c r="F68" s="8" t="str">
        <f t="shared" si="13"/>
        <v/>
      </c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11"/>
      <c r="U68" s="11"/>
      <c r="V68" s="8" t="str">
        <f t="shared" ca="1" si="14"/>
        <v/>
      </c>
      <c r="W68" s="12" t="str">
        <f t="shared" ca="1" si="15"/>
        <v/>
      </c>
    </row>
    <row r="69" spans="1:23">
      <c r="A69" s="8" t="str">
        <f t="shared" si="12"/>
        <v/>
      </c>
      <c r="B69" s="9"/>
      <c r="C69" s="10"/>
      <c r="D69" s="8"/>
      <c r="E69" s="8"/>
      <c r="F69" s="8" t="str">
        <f t="shared" si="13"/>
        <v/>
      </c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11"/>
      <c r="U69" s="11"/>
      <c r="V69" s="8" t="str">
        <f t="shared" ca="1" si="14"/>
        <v/>
      </c>
      <c r="W69" s="12" t="str">
        <f t="shared" ca="1" si="15"/>
        <v/>
      </c>
    </row>
    <row r="70" spans="1:23">
      <c r="A70" s="8" t="str">
        <f t="shared" si="12"/>
        <v/>
      </c>
      <c r="B70" s="9"/>
      <c r="C70" s="10"/>
      <c r="D70" s="8"/>
      <c r="E70" s="8"/>
      <c r="F70" s="8" t="str">
        <f t="shared" si="13"/>
        <v/>
      </c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11"/>
      <c r="U70" s="11"/>
      <c r="V70" s="8" t="str">
        <f t="shared" ca="1" si="14"/>
        <v/>
      </c>
      <c r="W70" s="12" t="str">
        <f t="shared" ca="1" si="15"/>
        <v/>
      </c>
    </row>
    <row r="71" spans="1:23">
      <c r="A71" s="8" t="str">
        <f t="shared" si="12"/>
        <v/>
      </c>
      <c r="B71" s="9"/>
      <c r="C71" s="10"/>
      <c r="D71" s="8"/>
      <c r="E71" s="8"/>
      <c r="F71" s="8" t="str">
        <f t="shared" si="13"/>
        <v/>
      </c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11"/>
      <c r="U71" s="11"/>
      <c r="V71" s="8" t="str">
        <f t="shared" ca="1" si="14"/>
        <v/>
      </c>
      <c r="W71" s="12" t="str">
        <f t="shared" ca="1" si="15"/>
        <v/>
      </c>
    </row>
    <row r="72" spans="1:23">
      <c r="A72" s="8" t="str">
        <f t="shared" si="12"/>
        <v/>
      </c>
      <c r="B72" s="9"/>
      <c r="C72" s="10"/>
      <c r="D72" s="8"/>
      <c r="E72" s="8"/>
      <c r="F72" s="8" t="str">
        <f t="shared" si="13"/>
        <v/>
      </c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11"/>
      <c r="U72" s="11"/>
      <c r="V72" s="8" t="str">
        <f t="shared" ca="1" si="14"/>
        <v/>
      </c>
      <c r="W72" s="12" t="str">
        <f t="shared" ca="1" si="15"/>
        <v/>
      </c>
    </row>
    <row r="73" spans="1:23">
      <c r="A73" s="8" t="str">
        <f t="shared" si="12"/>
        <v/>
      </c>
      <c r="B73" s="9"/>
      <c r="C73" s="10"/>
      <c r="D73" s="8"/>
      <c r="E73" s="8"/>
      <c r="F73" s="8" t="str">
        <f t="shared" si="13"/>
        <v/>
      </c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11"/>
      <c r="U73" s="11"/>
      <c r="V73" s="8" t="str">
        <f t="shared" ca="1" si="14"/>
        <v/>
      </c>
      <c r="W73" s="12" t="str">
        <f t="shared" ca="1" si="15"/>
        <v/>
      </c>
    </row>
    <row r="74" spans="1:23">
      <c r="A74" s="8" t="str">
        <f t="shared" si="12"/>
        <v/>
      </c>
      <c r="B74" s="9"/>
      <c r="C74" s="10"/>
      <c r="D74" s="8"/>
      <c r="E74" s="8"/>
      <c r="F74" s="8" t="str">
        <f t="shared" si="13"/>
        <v/>
      </c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11"/>
      <c r="U74" s="11"/>
      <c r="V74" s="8" t="str">
        <f t="shared" ca="1" si="14"/>
        <v/>
      </c>
      <c r="W74" s="12" t="str">
        <f t="shared" ca="1" si="15"/>
        <v/>
      </c>
    </row>
    <row r="75" spans="1:23">
      <c r="A75" s="8" t="str">
        <f t="shared" si="12"/>
        <v/>
      </c>
      <c r="B75" s="9"/>
      <c r="C75" s="10"/>
      <c r="D75" s="8"/>
      <c r="E75" s="8"/>
      <c r="F75" s="8" t="str">
        <f t="shared" si="13"/>
        <v/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11"/>
      <c r="U75" s="11"/>
      <c r="V75" s="8" t="str">
        <f t="shared" ca="1" si="14"/>
        <v/>
      </c>
      <c r="W75" s="12" t="str">
        <f t="shared" ca="1" si="15"/>
        <v/>
      </c>
    </row>
    <row r="76" spans="1:23">
      <c r="A76" s="8" t="str">
        <f t="shared" si="12"/>
        <v/>
      </c>
      <c r="B76" s="9"/>
      <c r="C76" s="10"/>
      <c r="D76" s="8"/>
      <c r="E76" s="8"/>
      <c r="F76" s="8" t="str">
        <f t="shared" si="13"/>
        <v/>
      </c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11"/>
      <c r="U76" s="11"/>
      <c r="V76" s="8" t="str">
        <f t="shared" ca="1" si="14"/>
        <v/>
      </c>
      <c r="W76" s="12" t="str">
        <f t="shared" ca="1" si="15"/>
        <v/>
      </c>
    </row>
    <row r="77" spans="1:23">
      <c r="A77" s="8" t="str">
        <f t="shared" si="12"/>
        <v/>
      </c>
      <c r="B77" s="9"/>
      <c r="C77" s="10"/>
      <c r="D77" s="8"/>
      <c r="E77" s="8"/>
      <c r="F77" s="8" t="str">
        <f t="shared" si="13"/>
        <v/>
      </c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11"/>
      <c r="U77" s="11"/>
      <c r="V77" s="8" t="str">
        <f t="shared" ca="1" si="14"/>
        <v/>
      </c>
      <c r="W77" s="12" t="str">
        <f t="shared" ca="1" si="15"/>
        <v/>
      </c>
    </row>
    <row r="78" spans="1:23">
      <c r="A78" s="8" t="str">
        <f t="shared" si="12"/>
        <v/>
      </c>
      <c r="B78" s="9"/>
      <c r="C78" s="10"/>
      <c r="D78" s="8"/>
      <c r="E78" s="8"/>
      <c r="F78" s="8" t="str">
        <f t="shared" si="13"/>
        <v/>
      </c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11"/>
      <c r="U78" s="11"/>
      <c r="V78" s="8" t="str">
        <f t="shared" ca="1" si="14"/>
        <v/>
      </c>
      <c r="W78" s="12" t="str">
        <f t="shared" ca="1" si="15"/>
        <v/>
      </c>
    </row>
    <row r="79" spans="1:23">
      <c r="A79" s="8" t="str">
        <f t="shared" si="12"/>
        <v/>
      </c>
      <c r="B79" s="9"/>
      <c r="C79" s="10"/>
      <c r="D79" s="8"/>
      <c r="E79" s="8"/>
      <c r="F79" s="8" t="str">
        <f t="shared" si="13"/>
        <v/>
      </c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11"/>
      <c r="U79" s="11"/>
      <c r="V79" s="8" t="str">
        <f t="shared" ca="1" si="14"/>
        <v/>
      </c>
      <c r="W79" s="12" t="str">
        <f t="shared" ca="1" si="15"/>
        <v/>
      </c>
    </row>
    <row r="80" spans="1:23">
      <c r="A80" s="8" t="str">
        <f t="shared" si="12"/>
        <v/>
      </c>
      <c r="B80" s="9"/>
      <c r="C80" s="10"/>
      <c r="D80" s="8"/>
      <c r="E80" s="8"/>
      <c r="F80" s="8" t="str">
        <f t="shared" si="13"/>
        <v/>
      </c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11"/>
      <c r="U80" s="11"/>
      <c r="V80" s="8" t="str">
        <f t="shared" ca="1" si="14"/>
        <v/>
      </c>
      <c r="W80" s="12" t="str">
        <f t="shared" ca="1" si="15"/>
        <v/>
      </c>
    </row>
    <row r="81" spans="1:23">
      <c r="A81" s="8" t="str">
        <f t="shared" si="12"/>
        <v/>
      </c>
      <c r="B81" s="9"/>
      <c r="C81" s="10"/>
      <c r="D81" s="8"/>
      <c r="E81" s="8"/>
      <c r="F81" s="8" t="str">
        <f t="shared" si="13"/>
        <v/>
      </c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11"/>
      <c r="U81" s="11"/>
      <c r="V81" s="8" t="str">
        <f t="shared" ca="1" si="14"/>
        <v/>
      </c>
      <c r="W81" s="12" t="str">
        <f t="shared" ca="1" si="15"/>
        <v/>
      </c>
    </row>
    <row r="82" spans="1:23">
      <c r="A82" s="8" t="str">
        <f t="shared" si="12"/>
        <v/>
      </c>
      <c r="B82" s="9"/>
      <c r="C82" s="10"/>
      <c r="D82" s="8"/>
      <c r="E82" s="8"/>
      <c r="F82" s="8" t="str">
        <f t="shared" si="13"/>
        <v/>
      </c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11"/>
      <c r="U82" s="11"/>
      <c r="V82" s="8" t="str">
        <f t="shared" ca="1" si="14"/>
        <v/>
      </c>
      <c r="W82" s="12" t="str">
        <f t="shared" ca="1" si="15"/>
        <v/>
      </c>
    </row>
    <row r="83" spans="1:23">
      <c r="A83" s="8" t="str">
        <f t="shared" si="12"/>
        <v/>
      </c>
      <c r="B83" s="9"/>
      <c r="C83" s="10"/>
      <c r="D83" s="8"/>
      <c r="E83" s="8"/>
      <c r="F83" s="8" t="str">
        <f t="shared" si="13"/>
        <v/>
      </c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11"/>
      <c r="U83" s="11"/>
      <c r="V83" s="8" t="str">
        <f t="shared" ca="1" si="14"/>
        <v/>
      </c>
      <c r="W83" s="12" t="str">
        <f t="shared" ca="1" si="15"/>
        <v/>
      </c>
    </row>
    <row r="84" spans="1:23">
      <c r="A84" s="8" t="str">
        <f t="shared" si="12"/>
        <v/>
      </c>
      <c r="B84" s="9"/>
      <c r="C84" s="10"/>
      <c r="D84" s="8"/>
      <c r="E84" s="8"/>
      <c r="F84" s="8" t="str">
        <f t="shared" si="13"/>
        <v/>
      </c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11"/>
      <c r="U84" s="11"/>
      <c r="V84" s="8" t="str">
        <f t="shared" ca="1" si="14"/>
        <v/>
      </c>
      <c r="W84" s="12" t="str">
        <f t="shared" ca="1" si="15"/>
        <v/>
      </c>
    </row>
    <row r="85" spans="1:23">
      <c r="A85" s="8" t="str">
        <f t="shared" si="12"/>
        <v/>
      </c>
      <c r="B85" s="9"/>
      <c r="C85" s="10"/>
      <c r="D85" s="8"/>
      <c r="E85" s="8"/>
      <c r="F85" s="8" t="str">
        <f t="shared" si="13"/>
        <v/>
      </c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11"/>
      <c r="U85" s="11"/>
      <c r="V85" s="8" t="str">
        <f t="shared" ca="1" si="14"/>
        <v/>
      </c>
      <c r="W85" s="12" t="str">
        <f t="shared" ca="1" si="15"/>
        <v/>
      </c>
    </row>
    <row r="86" spans="1:23">
      <c r="A86" s="8" t="str">
        <f t="shared" si="12"/>
        <v/>
      </c>
      <c r="B86" s="9"/>
      <c r="C86" s="10"/>
      <c r="D86" s="8"/>
      <c r="E86" s="8"/>
      <c r="F86" s="8" t="str">
        <f t="shared" si="13"/>
        <v/>
      </c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11"/>
      <c r="U86" s="11"/>
      <c r="V86" s="8" t="str">
        <f t="shared" ca="1" si="14"/>
        <v/>
      </c>
      <c r="W86" s="12" t="str">
        <f t="shared" ca="1" si="15"/>
        <v/>
      </c>
    </row>
    <row r="87" spans="1:23">
      <c r="A87" s="8" t="str">
        <f t="shared" si="12"/>
        <v/>
      </c>
      <c r="B87" s="9"/>
      <c r="C87" s="10"/>
      <c r="D87" s="8"/>
      <c r="E87" s="8"/>
      <c r="F87" s="8" t="str">
        <f t="shared" si="13"/>
        <v/>
      </c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11"/>
      <c r="U87" s="11"/>
      <c r="V87" s="8" t="str">
        <f t="shared" ca="1" si="14"/>
        <v/>
      </c>
      <c r="W87" s="12" t="str">
        <f t="shared" ca="1" si="15"/>
        <v/>
      </c>
    </row>
    <row r="88" spans="1:23">
      <c r="A88" s="8" t="str">
        <f t="shared" si="12"/>
        <v/>
      </c>
      <c r="B88" s="9"/>
      <c r="C88" s="10"/>
      <c r="D88" s="8"/>
      <c r="E88" s="8"/>
      <c r="F88" s="8" t="str">
        <f t="shared" si="13"/>
        <v/>
      </c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11"/>
      <c r="U88" s="11"/>
      <c r="V88" s="8" t="str">
        <f t="shared" ca="1" si="14"/>
        <v/>
      </c>
      <c r="W88" s="12" t="str">
        <f t="shared" ca="1" si="15"/>
        <v/>
      </c>
    </row>
    <row r="89" spans="1:23">
      <c r="A89" s="8" t="str">
        <f t="shared" si="12"/>
        <v/>
      </c>
      <c r="B89" s="9"/>
      <c r="C89" s="10"/>
      <c r="D89" s="8"/>
      <c r="E89" s="8"/>
      <c r="F89" s="8" t="str">
        <f t="shared" si="13"/>
        <v/>
      </c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11"/>
      <c r="U89" s="11"/>
      <c r="V89" s="8" t="str">
        <f t="shared" ca="1" si="14"/>
        <v/>
      </c>
      <c r="W89" s="12" t="str">
        <f t="shared" ca="1" si="15"/>
        <v/>
      </c>
    </row>
    <row r="90" spans="1:23">
      <c r="A90" s="8" t="str">
        <f t="shared" si="12"/>
        <v/>
      </c>
      <c r="B90" s="9"/>
      <c r="C90" s="10"/>
      <c r="D90" s="8"/>
      <c r="E90" s="8"/>
      <c r="F90" s="8" t="str">
        <f t="shared" si="13"/>
        <v/>
      </c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11"/>
      <c r="U90" s="11"/>
      <c r="V90" s="8" t="str">
        <f t="shared" ca="1" si="14"/>
        <v/>
      </c>
      <c r="W90" s="12" t="str">
        <f t="shared" ca="1" si="15"/>
        <v/>
      </c>
    </row>
    <row r="91" spans="1:23">
      <c r="A91" s="8" t="str">
        <f t="shared" si="12"/>
        <v/>
      </c>
      <c r="B91" s="9"/>
      <c r="C91" s="10"/>
      <c r="D91" s="8"/>
      <c r="E91" s="8"/>
      <c r="F91" s="8" t="str">
        <f t="shared" si="13"/>
        <v/>
      </c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11"/>
      <c r="U91" s="11"/>
      <c r="V91" s="8" t="str">
        <f t="shared" ca="1" si="14"/>
        <v/>
      </c>
      <c r="W91" s="12" t="str">
        <f t="shared" ca="1" si="15"/>
        <v/>
      </c>
    </row>
    <row r="92" spans="1:23">
      <c r="A92" s="8" t="str">
        <f t="shared" si="12"/>
        <v/>
      </c>
      <c r="B92" s="9"/>
      <c r="C92" s="10"/>
      <c r="D92" s="8"/>
      <c r="E92" s="8"/>
      <c r="F92" s="8" t="str">
        <f t="shared" si="13"/>
        <v/>
      </c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11"/>
      <c r="U92" s="11"/>
      <c r="V92" s="8" t="str">
        <f t="shared" ca="1" si="14"/>
        <v/>
      </c>
      <c r="W92" s="12" t="str">
        <f t="shared" ca="1" si="15"/>
        <v/>
      </c>
    </row>
    <row r="93" spans="1:23">
      <c r="A93" s="8" t="str">
        <f t="shared" si="12"/>
        <v/>
      </c>
      <c r="B93" s="9"/>
      <c r="C93" s="10"/>
      <c r="D93" s="8"/>
      <c r="E93" s="8"/>
      <c r="F93" s="8" t="str">
        <f t="shared" si="13"/>
        <v/>
      </c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11"/>
      <c r="U93" s="11"/>
      <c r="V93" s="8" t="str">
        <f t="shared" ca="1" si="14"/>
        <v/>
      </c>
      <c r="W93" s="12" t="str">
        <f t="shared" ca="1" si="15"/>
        <v/>
      </c>
    </row>
    <row r="94" spans="1:23">
      <c r="A94" s="8" t="str">
        <f t="shared" si="12"/>
        <v/>
      </c>
      <c r="B94" s="9"/>
      <c r="C94" s="10"/>
      <c r="D94" s="8"/>
      <c r="E94" s="8"/>
      <c r="F94" s="8" t="str">
        <f t="shared" si="13"/>
        <v/>
      </c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11"/>
      <c r="U94" s="11"/>
      <c r="V94" s="8" t="str">
        <f t="shared" ca="1" si="14"/>
        <v/>
      </c>
      <c r="W94" s="12" t="str">
        <f t="shared" ca="1" si="15"/>
        <v/>
      </c>
    </row>
    <row r="95" spans="1:23">
      <c r="A95" s="8" t="str">
        <f t="shared" si="12"/>
        <v/>
      </c>
      <c r="B95" s="9"/>
      <c r="C95" s="10"/>
      <c r="D95" s="8"/>
      <c r="E95" s="8"/>
      <c r="F95" s="8" t="str">
        <f t="shared" si="13"/>
        <v/>
      </c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11"/>
      <c r="U95" s="11"/>
      <c r="V95" s="8" t="str">
        <f t="shared" ca="1" si="14"/>
        <v/>
      </c>
      <c r="W95" s="12" t="str">
        <f t="shared" ca="1" si="15"/>
        <v/>
      </c>
    </row>
    <row r="96" spans="1:23">
      <c r="A96" s="8" t="str">
        <f t="shared" si="12"/>
        <v/>
      </c>
      <c r="B96" s="9"/>
      <c r="C96" s="10"/>
      <c r="D96" s="8"/>
      <c r="E96" s="8"/>
      <c r="F96" s="8" t="str">
        <f t="shared" si="13"/>
        <v/>
      </c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11"/>
      <c r="U96" s="11"/>
      <c r="V96" s="8" t="str">
        <f t="shared" ca="1" si="14"/>
        <v/>
      </c>
      <c r="W96" s="12" t="str">
        <f t="shared" ca="1" si="15"/>
        <v/>
      </c>
    </row>
    <row r="97" spans="1:23">
      <c r="A97" s="8" t="str">
        <f t="shared" si="12"/>
        <v/>
      </c>
      <c r="B97" s="9"/>
      <c r="C97" s="10"/>
      <c r="D97" s="8"/>
      <c r="E97" s="8"/>
      <c r="F97" s="8" t="str">
        <f t="shared" si="13"/>
        <v/>
      </c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11"/>
      <c r="U97" s="11"/>
      <c r="V97" s="8" t="str">
        <f t="shared" ca="1" si="14"/>
        <v/>
      </c>
      <c r="W97" s="12" t="str">
        <f t="shared" ca="1" si="15"/>
        <v/>
      </c>
    </row>
    <row r="98" spans="1:23">
      <c r="A98" s="8" t="str">
        <f t="shared" ref="A98:A129" si="16">IF(D98="","", "EMAIL-" &amp; TEXT(B98,"yyyy-mm-dd") &amp; "-" &amp; LEFT(UPPER(SUBSTITUTE(SUBSTITUTE(SUBSTITUTE(SUBSTITUTE(D98,"Sample | ","")," ","-"),"/","-"),"&amp;","AND")),25))</f>
        <v/>
      </c>
      <c r="B98" s="9"/>
      <c r="C98" s="10"/>
      <c r="D98" s="8"/>
      <c r="E98" s="8"/>
      <c r="F98" s="8" t="str">
        <f t="shared" ref="F98:F129" si="17">IF(D98="","",IF(P98="Cancelled","Cancelled",IF(AND(ISNUMBER(U98),U98&gt;0),"Sent",IF(P98="Scheduled","Scheduled",IF(O98="Passed","QA Passed",IF(O98="In Progress","QA in Progress",IF(OR(N98="Ready",N98="Created"),"Segment Ready",IF(S98&lt;&gt;"","Built in Bluecore",IF(M98="Sent","Sent to Builder",IF(L98="Ready","Design Ready",IF(L98="In Progress","With Design",IF(OR(K98="Ready",K98="Approved"),"Brief Ready",IF(OR(K98="In Progress",K98="Draft"),"Brief in Progress",IF(OR(J98="Needed",J98="Requested"),"Waiting for SKUs",IF(H98&lt;&gt;"","Blocked","Not Started")))))))))))))))</f>
        <v/>
      </c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11"/>
      <c r="U98" s="11"/>
      <c r="V98" s="8" t="str">
        <f t="shared" ref="V98:V129" ca="1" si="18">IF(D98="","",IF(F98="Sent","Complete",IF(F98="Scheduled","Ready",IF(F98="Cancelled","Complete",IF(OR(F98="Blocked",H98&lt;&gt;""),"Blocked",IF(NOT(ISNUMBER(B98)),"At Risk",IF(B98&lt;TODAY(),"Critical",IF(AND(B98=TODAY(),F98&lt;&gt;"Scheduled"),"Critical",IF(AND(B98=TODAY()+1,NOT(OR(F98="QA Passed",F98="Scheduled"))),"High Risk",IF(AND(B98&lt;=TODAY()+2,F98&lt;&gt;"Scheduled"),"At Risk","On Track"))))))))))</f>
        <v/>
      </c>
      <c r="W98" s="12" t="str">
        <f t="shared" ref="W98:W129" ca="1" si="19">IF(D98="","",NOW())</f>
        <v/>
      </c>
    </row>
    <row r="99" spans="1:23">
      <c r="A99" s="8" t="str">
        <f t="shared" si="16"/>
        <v/>
      </c>
      <c r="B99" s="9"/>
      <c r="C99" s="10"/>
      <c r="D99" s="8"/>
      <c r="E99" s="8"/>
      <c r="F99" s="8" t="str">
        <f t="shared" si="17"/>
        <v/>
      </c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11"/>
      <c r="U99" s="11"/>
      <c r="V99" s="8" t="str">
        <f t="shared" ca="1" si="18"/>
        <v/>
      </c>
      <c r="W99" s="12" t="str">
        <f t="shared" ca="1" si="19"/>
        <v/>
      </c>
    </row>
    <row r="100" spans="1:23">
      <c r="A100" s="8" t="str">
        <f t="shared" si="16"/>
        <v/>
      </c>
      <c r="B100" s="9"/>
      <c r="C100" s="10"/>
      <c r="D100" s="8"/>
      <c r="E100" s="8"/>
      <c r="F100" s="8" t="str">
        <f t="shared" si="17"/>
        <v/>
      </c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11"/>
      <c r="U100" s="11"/>
      <c r="V100" s="8" t="str">
        <f t="shared" ca="1" si="18"/>
        <v/>
      </c>
      <c r="W100" s="12" t="str">
        <f t="shared" ca="1" si="19"/>
        <v/>
      </c>
    </row>
    <row r="101" spans="1:23">
      <c r="A101" s="8" t="str">
        <f t="shared" si="16"/>
        <v/>
      </c>
      <c r="B101" s="9"/>
      <c r="C101" s="10"/>
      <c r="D101" s="8"/>
      <c r="E101" s="8"/>
      <c r="F101" s="8" t="str">
        <f t="shared" si="17"/>
        <v/>
      </c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11"/>
      <c r="U101" s="11"/>
      <c r="V101" s="8" t="str">
        <f t="shared" ca="1" si="18"/>
        <v/>
      </c>
      <c r="W101" s="12" t="str">
        <f t="shared" ca="1" si="19"/>
        <v/>
      </c>
    </row>
    <row r="102" spans="1:23">
      <c r="A102" s="8" t="str">
        <f t="shared" si="16"/>
        <v/>
      </c>
      <c r="B102" s="9"/>
      <c r="C102" s="10"/>
      <c r="D102" s="8"/>
      <c r="E102" s="8"/>
      <c r="F102" s="8" t="str">
        <f t="shared" si="17"/>
        <v/>
      </c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11"/>
      <c r="U102" s="11"/>
      <c r="V102" s="8" t="str">
        <f t="shared" ca="1" si="18"/>
        <v/>
      </c>
      <c r="W102" s="12" t="str">
        <f t="shared" ca="1" si="19"/>
        <v/>
      </c>
    </row>
    <row r="103" spans="1:23">
      <c r="A103" s="8" t="str">
        <f t="shared" si="16"/>
        <v/>
      </c>
      <c r="B103" s="9"/>
      <c r="C103" s="10"/>
      <c r="D103" s="8"/>
      <c r="E103" s="8"/>
      <c r="F103" s="8" t="str">
        <f t="shared" si="17"/>
        <v/>
      </c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11"/>
      <c r="U103" s="11"/>
      <c r="V103" s="8" t="str">
        <f t="shared" ca="1" si="18"/>
        <v/>
      </c>
      <c r="W103" s="12" t="str">
        <f t="shared" ca="1" si="19"/>
        <v/>
      </c>
    </row>
    <row r="104" spans="1:23">
      <c r="A104" s="8" t="str">
        <f t="shared" si="16"/>
        <v/>
      </c>
      <c r="B104" s="9"/>
      <c r="C104" s="10"/>
      <c r="D104" s="8"/>
      <c r="E104" s="8"/>
      <c r="F104" s="8" t="str">
        <f t="shared" si="17"/>
        <v/>
      </c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11"/>
      <c r="U104" s="11"/>
      <c r="V104" s="8" t="str">
        <f t="shared" ca="1" si="18"/>
        <v/>
      </c>
      <c r="W104" s="12" t="str">
        <f t="shared" ca="1" si="19"/>
        <v/>
      </c>
    </row>
    <row r="105" spans="1:23">
      <c r="A105" s="8" t="str">
        <f t="shared" si="16"/>
        <v/>
      </c>
      <c r="B105" s="9"/>
      <c r="C105" s="10"/>
      <c r="D105" s="8"/>
      <c r="E105" s="8"/>
      <c r="F105" s="8" t="str">
        <f t="shared" si="17"/>
        <v/>
      </c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11"/>
      <c r="U105" s="11"/>
      <c r="V105" s="8" t="str">
        <f t="shared" ca="1" si="18"/>
        <v/>
      </c>
      <c r="W105" s="12" t="str">
        <f t="shared" ca="1" si="19"/>
        <v/>
      </c>
    </row>
    <row r="106" spans="1:23">
      <c r="A106" s="8" t="str">
        <f t="shared" si="16"/>
        <v/>
      </c>
      <c r="B106" s="9"/>
      <c r="C106" s="10"/>
      <c r="D106" s="8"/>
      <c r="E106" s="8"/>
      <c r="F106" s="8" t="str">
        <f t="shared" si="17"/>
        <v/>
      </c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11"/>
      <c r="U106" s="11"/>
      <c r="V106" s="8" t="str">
        <f t="shared" ca="1" si="18"/>
        <v/>
      </c>
      <c r="W106" s="12" t="str">
        <f t="shared" ca="1" si="19"/>
        <v/>
      </c>
    </row>
    <row r="107" spans="1:23">
      <c r="A107" s="8" t="str">
        <f t="shared" si="16"/>
        <v/>
      </c>
      <c r="B107" s="9"/>
      <c r="C107" s="10"/>
      <c r="D107" s="8"/>
      <c r="E107" s="8"/>
      <c r="F107" s="8" t="str">
        <f t="shared" si="17"/>
        <v/>
      </c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11"/>
      <c r="U107" s="11"/>
      <c r="V107" s="8" t="str">
        <f t="shared" ca="1" si="18"/>
        <v/>
      </c>
      <c r="W107" s="12" t="str">
        <f t="shared" ca="1" si="19"/>
        <v/>
      </c>
    </row>
    <row r="108" spans="1:23">
      <c r="A108" s="8" t="str">
        <f t="shared" si="16"/>
        <v/>
      </c>
      <c r="B108" s="9"/>
      <c r="C108" s="10"/>
      <c r="D108" s="8"/>
      <c r="E108" s="8"/>
      <c r="F108" s="8" t="str">
        <f t="shared" si="17"/>
        <v/>
      </c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11"/>
      <c r="U108" s="11"/>
      <c r="V108" s="8" t="str">
        <f t="shared" ca="1" si="18"/>
        <v/>
      </c>
      <c r="W108" s="12" t="str">
        <f t="shared" ca="1" si="19"/>
        <v/>
      </c>
    </row>
    <row r="109" spans="1:23">
      <c r="A109" s="8" t="str">
        <f t="shared" si="16"/>
        <v/>
      </c>
      <c r="B109" s="9"/>
      <c r="C109" s="10"/>
      <c r="D109" s="8"/>
      <c r="E109" s="8"/>
      <c r="F109" s="8" t="str">
        <f t="shared" si="17"/>
        <v/>
      </c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11"/>
      <c r="U109" s="11"/>
      <c r="V109" s="8" t="str">
        <f t="shared" ca="1" si="18"/>
        <v/>
      </c>
      <c r="W109" s="12" t="str">
        <f t="shared" ca="1" si="19"/>
        <v/>
      </c>
    </row>
    <row r="110" spans="1:23">
      <c r="A110" s="8" t="str">
        <f t="shared" si="16"/>
        <v/>
      </c>
      <c r="B110" s="9"/>
      <c r="C110" s="10"/>
      <c r="D110" s="8"/>
      <c r="E110" s="8"/>
      <c r="F110" s="8" t="str">
        <f t="shared" si="17"/>
        <v/>
      </c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11"/>
      <c r="U110" s="11"/>
      <c r="V110" s="8" t="str">
        <f t="shared" ca="1" si="18"/>
        <v/>
      </c>
      <c r="W110" s="12" t="str">
        <f t="shared" ca="1" si="19"/>
        <v/>
      </c>
    </row>
    <row r="111" spans="1:23">
      <c r="A111" s="8" t="str">
        <f t="shared" si="16"/>
        <v/>
      </c>
      <c r="B111" s="9"/>
      <c r="C111" s="10"/>
      <c r="D111" s="8"/>
      <c r="E111" s="8"/>
      <c r="F111" s="8" t="str">
        <f t="shared" si="17"/>
        <v/>
      </c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11"/>
      <c r="U111" s="11"/>
      <c r="V111" s="8" t="str">
        <f t="shared" ca="1" si="18"/>
        <v/>
      </c>
      <c r="W111" s="12" t="str">
        <f t="shared" ca="1" si="19"/>
        <v/>
      </c>
    </row>
    <row r="112" spans="1:23">
      <c r="A112" s="8" t="str">
        <f t="shared" si="16"/>
        <v/>
      </c>
      <c r="B112" s="9"/>
      <c r="C112" s="10"/>
      <c r="D112" s="8"/>
      <c r="E112" s="8"/>
      <c r="F112" s="8" t="str">
        <f t="shared" si="17"/>
        <v/>
      </c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11"/>
      <c r="U112" s="11"/>
      <c r="V112" s="8" t="str">
        <f t="shared" ca="1" si="18"/>
        <v/>
      </c>
      <c r="W112" s="12" t="str">
        <f t="shared" ca="1" si="19"/>
        <v/>
      </c>
    </row>
    <row r="113" spans="1:23">
      <c r="A113" s="8" t="str">
        <f t="shared" si="16"/>
        <v/>
      </c>
      <c r="B113" s="9"/>
      <c r="C113" s="10"/>
      <c r="D113" s="8"/>
      <c r="E113" s="8"/>
      <c r="F113" s="8" t="str">
        <f t="shared" si="17"/>
        <v/>
      </c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11"/>
      <c r="U113" s="11"/>
      <c r="V113" s="8" t="str">
        <f t="shared" ca="1" si="18"/>
        <v/>
      </c>
      <c r="W113" s="12" t="str">
        <f t="shared" ca="1" si="19"/>
        <v/>
      </c>
    </row>
    <row r="114" spans="1:23">
      <c r="A114" s="8" t="str">
        <f t="shared" si="16"/>
        <v/>
      </c>
      <c r="B114" s="9"/>
      <c r="C114" s="10"/>
      <c r="D114" s="8"/>
      <c r="E114" s="8"/>
      <c r="F114" s="8" t="str">
        <f t="shared" si="17"/>
        <v/>
      </c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11"/>
      <c r="U114" s="11"/>
      <c r="V114" s="8" t="str">
        <f t="shared" ca="1" si="18"/>
        <v/>
      </c>
      <c r="W114" s="12" t="str">
        <f t="shared" ca="1" si="19"/>
        <v/>
      </c>
    </row>
    <row r="115" spans="1:23">
      <c r="A115" s="8" t="str">
        <f t="shared" si="16"/>
        <v/>
      </c>
      <c r="B115" s="9"/>
      <c r="C115" s="10"/>
      <c r="D115" s="8"/>
      <c r="E115" s="8"/>
      <c r="F115" s="8" t="str">
        <f t="shared" si="17"/>
        <v/>
      </c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11"/>
      <c r="U115" s="11"/>
      <c r="V115" s="8" t="str">
        <f t="shared" ca="1" si="18"/>
        <v/>
      </c>
      <c r="W115" s="12" t="str">
        <f t="shared" ca="1" si="19"/>
        <v/>
      </c>
    </row>
    <row r="116" spans="1:23">
      <c r="A116" s="8" t="str">
        <f t="shared" si="16"/>
        <v/>
      </c>
      <c r="B116" s="9"/>
      <c r="C116" s="10"/>
      <c r="D116" s="8"/>
      <c r="E116" s="8"/>
      <c r="F116" s="8" t="str">
        <f t="shared" si="17"/>
        <v/>
      </c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11"/>
      <c r="U116" s="11"/>
      <c r="V116" s="8" t="str">
        <f t="shared" ca="1" si="18"/>
        <v/>
      </c>
      <c r="W116" s="12" t="str">
        <f t="shared" ca="1" si="19"/>
        <v/>
      </c>
    </row>
    <row r="117" spans="1:23">
      <c r="A117" s="8" t="str">
        <f t="shared" si="16"/>
        <v/>
      </c>
      <c r="B117" s="9"/>
      <c r="C117" s="10"/>
      <c r="D117" s="8"/>
      <c r="E117" s="8"/>
      <c r="F117" s="8" t="str">
        <f t="shared" si="17"/>
        <v/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11"/>
      <c r="U117" s="11"/>
      <c r="V117" s="8" t="str">
        <f t="shared" ca="1" si="18"/>
        <v/>
      </c>
      <c r="W117" s="12" t="str">
        <f t="shared" ca="1" si="19"/>
        <v/>
      </c>
    </row>
    <row r="118" spans="1:23">
      <c r="A118" s="8" t="str">
        <f t="shared" si="16"/>
        <v/>
      </c>
      <c r="B118" s="9"/>
      <c r="C118" s="10"/>
      <c r="D118" s="8"/>
      <c r="E118" s="8"/>
      <c r="F118" s="8" t="str">
        <f t="shared" si="17"/>
        <v/>
      </c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11"/>
      <c r="U118" s="11"/>
      <c r="V118" s="8" t="str">
        <f t="shared" ca="1" si="18"/>
        <v/>
      </c>
      <c r="W118" s="12" t="str">
        <f t="shared" ca="1" si="19"/>
        <v/>
      </c>
    </row>
    <row r="119" spans="1:23">
      <c r="A119" s="8" t="str">
        <f t="shared" si="16"/>
        <v/>
      </c>
      <c r="B119" s="9"/>
      <c r="C119" s="10"/>
      <c r="D119" s="8"/>
      <c r="E119" s="8"/>
      <c r="F119" s="8" t="str">
        <f t="shared" si="17"/>
        <v/>
      </c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11"/>
      <c r="U119" s="11"/>
      <c r="V119" s="8" t="str">
        <f t="shared" ca="1" si="18"/>
        <v/>
      </c>
      <c r="W119" s="12" t="str">
        <f t="shared" ca="1" si="19"/>
        <v/>
      </c>
    </row>
    <row r="120" spans="1:23">
      <c r="A120" s="8" t="str">
        <f t="shared" si="16"/>
        <v/>
      </c>
      <c r="B120" s="9"/>
      <c r="C120" s="10"/>
      <c r="D120" s="8"/>
      <c r="E120" s="8"/>
      <c r="F120" s="8" t="str">
        <f t="shared" si="17"/>
        <v/>
      </c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11"/>
      <c r="U120" s="11"/>
      <c r="V120" s="8" t="str">
        <f t="shared" ca="1" si="18"/>
        <v/>
      </c>
      <c r="W120" s="12" t="str">
        <f t="shared" ca="1" si="19"/>
        <v/>
      </c>
    </row>
    <row r="121" spans="1:23">
      <c r="A121" s="8" t="str">
        <f t="shared" si="16"/>
        <v/>
      </c>
      <c r="B121" s="9"/>
      <c r="C121" s="10"/>
      <c r="D121" s="8"/>
      <c r="E121" s="8"/>
      <c r="F121" s="8" t="str">
        <f t="shared" si="17"/>
        <v/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11"/>
      <c r="U121" s="11"/>
      <c r="V121" s="8" t="str">
        <f t="shared" ca="1" si="18"/>
        <v/>
      </c>
      <c r="W121" s="12" t="str">
        <f t="shared" ca="1" si="19"/>
        <v/>
      </c>
    </row>
    <row r="122" spans="1:23">
      <c r="A122" s="8" t="str">
        <f t="shared" si="16"/>
        <v/>
      </c>
      <c r="B122" s="9"/>
      <c r="C122" s="10"/>
      <c r="D122" s="8"/>
      <c r="E122" s="8"/>
      <c r="F122" s="8" t="str">
        <f t="shared" si="17"/>
        <v/>
      </c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11"/>
      <c r="U122" s="11"/>
      <c r="V122" s="8" t="str">
        <f t="shared" ca="1" si="18"/>
        <v/>
      </c>
      <c r="W122" s="12" t="str">
        <f t="shared" ca="1" si="19"/>
        <v/>
      </c>
    </row>
    <row r="123" spans="1:23">
      <c r="A123" s="8" t="str">
        <f t="shared" si="16"/>
        <v/>
      </c>
      <c r="B123" s="9"/>
      <c r="C123" s="10"/>
      <c r="D123" s="8"/>
      <c r="E123" s="8"/>
      <c r="F123" s="8" t="str">
        <f t="shared" si="17"/>
        <v/>
      </c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11"/>
      <c r="U123" s="11"/>
      <c r="V123" s="8" t="str">
        <f t="shared" ca="1" si="18"/>
        <v/>
      </c>
      <c r="W123" s="12" t="str">
        <f t="shared" ca="1" si="19"/>
        <v/>
      </c>
    </row>
    <row r="124" spans="1:23">
      <c r="A124" s="8" t="str">
        <f t="shared" si="16"/>
        <v/>
      </c>
      <c r="B124" s="9"/>
      <c r="C124" s="10"/>
      <c r="D124" s="8"/>
      <c r="E124" s="8"/>
      <c r="F124" s="8" t="str">
        <f t="shared" si="17"/>
        <v/>
      </c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11"/>
      <c r="U124" s="11"/>
      <c r="V124" s="8" t="str">
        <f t="shared" ca="1" si="18"/>
        <v/>
      </c>
      <c r="W124" s="12" t="str">
        <f t="shared" ca="1" si="19"/>
        <v/>
      </c>
    </row>
    <row r="125" spans="1:23">
      <c r="A125" s="8" t="str">
        <f t="shared" si="16"/>
        <v/>
      </c>
      <c r="B125" s="9"/>
      <c r="C125" s="10"/>
      <c r="D125" s="8"/>
      <c r="E125" s="8"/>
      <c r="F125" s="8" t="str">
        <f t="shared" si="17"/>
        <v/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11"/>
      <c r="U125" s="11"/>
      <c r="V125" s="8" t="str">
        <f t="shared" ca="1" si="18"/>
        <v/>
      </c>
      <c r="W125" s="12" t="str">
        <f t="shared" ca="1" si="19"/>
        <v/>
      </c>
    </row>
    <row r="126" spans="1:23">
      <c r="A126" s="8" t="str">
        <f t="shared" si="16"/>
        <v/>
      </c>
      <c r="B126" s="9"/>
      <c r="C126" s="10"/>
      <c r="D126" s="8"/>
      <c r="E126" s="8"/>
      <c r="F126" s="8" t="str">
        <f t="shared" si="17"/>
        <v/>
      </c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11"/>
      <c r="U126" s="11"/>
      <c r="V126" s="8" t="str">
        <f t="shared" ca="1" si="18"/>
        <v/>
      </c>
      <c r="W126" s="12" t="str">
        <f t="shared" ca="1" si="19"/>
        <v/>
      </c>
    </row>
    <row r="127" spans="1:23">
      <c r="A127" s="8" t="str">
        <f t="shared" si="16"/>
        <v/>
      </c>
      <c r="B127" s="9"/>
      <c r="C127" s="10"/>
      <c r="D127" s="8"/>
      <c r="E127" s="8"/>
      <c r="F127" s="8" t="str">
        <f t="shared" si="17"/>
        <v/>
      </c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11"/>
      <c r="U127" s="11"/>
      <c r="V127" s="8" t="str">
        <f t="shared" ca="1" si="18"/>
        <v/>
      </c>
      <c r="W127" s="12" t="str">
        <f t="shared" ca="1" si="19"/>
        <v/>
      </c>
    </row>
    <row r="128" spans="1:23">
      <c r="A128" s="8" t="str">
        <f t="shared" si="16"/>
        <v/>
      </c>
      <c r="B128" s="9"/>
      <c r="C128" s="10"/>
      <c r="D128" s="8"/>
      <c r="E128" s="8"/>
      <c r="F128" s="8" t="str">
        <f t="shared" si="17"/>
        <v/>
      </c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11"/>
      <c r="U128" s="11"/>
      <c r="V128" s="8" t="str">
        <f t="shared" ca="1" si="18"/>
        <v/>
      </c>
      <c r="W128" s="12" t="str">
        <f t="shared" ca="1" si="19"/>
        <v/>
      </c>
    </row>
    <row r="129" spans="1:23">
      <c r="A129" s="8" t="str">
        <f t="shared" si="16"/>
        <v/>
      </c>
      <c r="B129" s="9"/>
      <c r="C129" s="10"/>
      <c r="D129" s="8"/>
      <c r="E129" s="8"/>
      <c r="F129" s="8" t="str">
        <f t="shared" si="17"/>
        <v/>
      </c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11"/>
      <c r="U129" s="11"/>
      <c r="V129" s="8" t="str">
        <f t="shared" ca="1" si="18"/>
        <v/>
      </c>
      <c r="W129" s="12" t="str">
        <f t="shared" ca="1" si="19"/>
        <v/>
      </c>
    </row>
    <row r="130" spans="1:23">
      <c r="A130" s="8" t="str">
        <f t="shared" ref="A130:A161" si="20">IF(D130="","", "EMAIL-" &amp; TEXT(B130,"yyyy-mm-dd") &amp; "-" &amp; LEFT(UPPER(SUBSTITUTE(SUBSTITUTE(SUBSTITUTE(SUBSTITUTE(D130,"Sample | ","")," ","-"),"/","-"),"&amp;","AND")),25))</f>
        <v/>
      </c>
      <c r="B130" s="9"/>
      <c r="C130" s="10"/>
      <c r="D130" s="8"/>
      <c r="E130" s="8"/>
      <c r="F130" s="8" t="str">
        <f t="shared" ref="F130:F161" si="21">IF(D130="","",IF(P130="Cancelled","Cancelled",IF(AND(ISNUMBER(U130),U130&gt;0),"Sent",IF(P130="Scheduled","Scheduled",IF(O130="Passed","QA Passed",IF(O130="In Progress","QA in Progress",IF(OR(N130="Ready",N130="Created"),"Segment Ready",IF(S130&lt;&gt;"","Built in Bluecore",IF(M130="Sent","Sent to Builder",IF(L130="Ready","Design Ready",IF(L130="In Progress","With Design",IF(OR(K130="Ready",K130="Approved"),"Brief Ready",IF(OR(K130="In Progress",K130="Draft"),"Brief in Progress",IF(OR(J130="Needed",J130="Requested"),"Waiting for SKUs",IF(H130&lt;&gt;"","Blocked","Not Started")))))))))))))))</f>
        <v/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11"/>
      <c r="U130" s="11"/>
      <c r="V130" s="8" t="str">
        <f t="shared" ref="V130:V161" ca="1" si="22">IF(D130="","",IF(F130="Sent","Complete",IF(F130="Scheduled","Ready",IF(F130="Cancelled","Complete",IF(OR(F130="Blocked",H130&lt;&gt;""),"Blocked",IF(NOT(ISNUMBER(B130)),"At Risk",IF(B130&lt;TODAY(),"Critical",IF(AND(B130=TODAY(),F130&lt;&gt;"Scheduled"),"Critical",IF(AND(B130=TODAY()+1,NOT(OR(F130="QA Passed",F130="Scheduled"))),"High Risk",IF(AND(B130&lt;=TODAY()+2,F130&lt;&gt;"Scheduled"),"At Risk","On Track"))))))))))</f>
        <v/>
      </c>
      <c r="W130" s="12" t="str">
        <f t="shared" ref="W130:W161" ca="1" si="23">IF(D130="","",NOW())</f>
        <v/>
      </c>
    </row>
    <row r="131" spans="1:23">
      <c r="A131" s="8" t="str">
        <f t="shared" si="20"/>
        <v/>
      </c>
      <c r="B131" s="9"/>
      <c r="C131" s="10"/>
      <c r="D131" s="8"/>
      <c r="E131" s="8"/>
      <c r="F131" s="8" t="str">
        <f t="shared" si="21"/>
        <v/>
      </c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11"/>
      <c r="U131" s="11"/>
      <c r="V131" s="8" t="str">
        <f t="shared" ca="1" si="22"/>
        <v/>
      </c>
      <c r="W131" s="12" t="str">
        <f t="shared" ca="1" si="23"/>
        <v/>
      </c>
    </row>
    <row r="132" spans="1:23">
      <c r="A132" s="8" t="str">
        <f t="shared" si="20"/>
        <v/>
      </c>
      <c r="B132" s="9"/>
      <c r="C132" s="10"/>
      <c r="D132" s="8"/>
      <c r="E132" s="8"/>
      <c r="F132" s="8" t="str">
        <f t="shared" si="21"/>
        <v/>
      </c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11"/>
      <c r="U132" s="11"/>
      <c r="V132" s="8" t="str">
        <f t="shared" ca="1" si="22"/>
        <v/>
      </c>
      <c r="W132" s="12" t="str">
        <f t="shared" ca="1" si="23"/>
        <v/>
      </c>
    </row>
    <row r="133" spans="1:23">
      <c r="A133" s="8" t="str">
        <f t="shared" si="20"/>
        <v/>
      </c>
      <c r="B133" s="9"/>
      <c r="C133" s="10"/>
      <c r="D133" s="8"/>
      <c r="E133" s="8"/>
      <c r="F133" s="8" t="str">
        <f t="shared" si="21"/>
        <v/>
      </c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11"/>
      <c r="U133" s="11"/>
      <c r="V133" s="8" t="str">
        <f t="shared" ca="1" si="22"/>
        <v/>
      </c>
      <c r="W133" s="12" t="str">
        <f t="shared" ca="1" si="23"/>
        <v/>
      </c>
    </row>
    <row r="134" spans="1:23">
      <c r="A134" s="8" t="str">
        <f t="shared" si="20"/>
        <v/>
      </c>
      <c r="B134" s="9"/>
      <c r="C134" s="10"/>
      <c r="D134" s="8"/>
      <c r="E134" s="8"/>
      <c r="F134" s="8" t="str">
        <f t="shared" si="21"/>
        <v/>
      </c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11"/>
      <c r="U134" s="11"/>
      <c r="V134" s="8" t="str">
        <f t="shared" ca="1" si="22"/>
        <v/>
      </c>
      <c r="W134" s="12" t="str">
        <f t="shared" ca="1" si="23"/>
        <v/>
      </c>
    </row>
    <row r="135" spans="1:23">
      <c r="A135" s="8" t="str">
        <f t="shared" si="20"/>
        <v/>
      </c>
      <c r="B135" s="9"/>
      <c r="C135" s="10"/>
      <c r="D135" s="8"/>
      <c r="E135" s="8"/>
      <c r="F135" s="8" t="str">
        <f t="shared" si="21"/>
        <v/>
      </c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11"/>
      <c r="U135" s="11"/>
      <c r="V135" s="8" t="str">
        <f t="shared" ca="1" si="22"/>
        <v/>
      </c>
      <c r="W135" s="12" t="str">
        <f t="shared" ca="1" si="23"/>
        <v/>
      </c>
    </row>
    <row r="136" spans="1:23">
      <c r="A136" s="8" t="str">
        <f t="shared" si="20"/>
        <v/>
      </c>
      <c r="B136" s="9"/>
      <c r="C136" s="10"/>
      <c r="D136" s="8"/>
      <c r="E136" s="8"/>
      <c r="F136" s="8" t="str">
        <f t="shared" si="21"/>
        <v/>
      </c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11"/>
      <c r="U136" s="11"/>
      <c r="V136" s="8" t="str">
        <f t="shared" ca="1" si="22"/>
        <v/>
      </c>
      <c r="W136" s="12" t="str">
        <f t="shared" ca="1" si="23"/>
        <v/>
      </c>
    </row>
    <row r="137" spans="1:23">
      <c r="A137" s="8" t="str">
        <f t="shared" si="20"/>
        <v/>
      </c>
      <c r="B137" s="9"/>
      <c r="C137" s="10"/>
      <c r="D137" s="8"/>
      <c r="E137" s="8"/>
      <c r="F137" s="8" t="str">
        <f t="shared" si="21"/>
        <v/>
      </c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11"/>
      <c r="U137" s="11"/>
      <c r="V137" s="8" t="str">
        <f t="shared" ca="1" si="22"/>
        <v/>
      </c>
      <c r="W137" s="12" t="str">
        <f t="shared" ca="1" si="23"/>
        <v/>
      </c>
    </row>
    <row r="138" spans="1:23">
      <c r="A138" s="8" t="str">
        <f t="shared" si="20"/>
        <v/>
      </c>
      <c r="B138" s="9"/>
      <c r="C138" s="10"/>
      <c r="D138" s="8"/>
      <c r="E138" s="8"/>
      <c r="F138" s="8" t="str">
        <f t="shared" si="21"/>
        <v/>
      </c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11"/>
      <c r="U138" s="11"/>
      <c r="V138" s="8" t="str">
        <f t="shared" ca="1" si="22"/>
        <v/>
      </c>
      <c r="W138" s="12" t="str">
        <f t="shared" ca="1" si="23"/>
        <v/>
      </c>
    </row>
    <row r="139" spans="1:23">
      <c r="A139" s="8" t="str">
        <f t="shared" si="20"/>
        <v/>
      </c>
      <c r="B139" s="9"/>
      <c r="C139" s="10"/>
      <c r="D139" s="8"/>
      <c r="E139" s="8"/>
      <c r="F139" s="8" t="str">
        <f t="shared" si="21"/>
        <v/>
      </c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11"/>
      <c r="U139" s="11"/>
      <c r="V139" s="8" t="str">
        <f t="shared" ca="1" si="22"/>
        <v/>
      </c>
      <c r="W139" s="12" t="str">
        <f t="shared" ca="1" si="23"/>
        <v/>
      </c>
    </row>
    <row r="140" spans="1:23">
      <c r="A140" s="8" t="str">
        <f t="shared" si="20"/>
        <v/>
      </c>
      <c r="B140" s="9"/>
      <c r="C140" s="10"/>
      <c r="D140" s="8"/>
      <c r="E140" s="8"/>
      <c r="F140" s="8" t="str">
        <f t="shared" si="21"/>
        <v/>
      </c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11"/>
      <c r="U140" s="11"/>
      <c r="V140" s="8" t="str">
        <f t="shared" ca="1" si="22"/>
        <v/>
      </c>
      <c r="W140" s="12" t="str">
        <f t="shared" ca="1" si="23"/>
        <v/>
      </c>
    </row>
    <row r="141" spans="1:23">
      <c r="A141" s="8" t="str">
        <f t="shared" si="20"/>
        <v/>
      </c>
      <c r="B141" s="9"/>
      <c r="C141" s="10"/>
      <c r="D141" s="8"/>
      <c r="E141" s="8"/>
      <c r="F141" s="8" t="str">
        <f t="shared" si="21"/>
        <v/>
      </c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11"/>
      <c r="U141" s="11"/>
      <c r="V141" s="8" t="str">
        <f t="shared" ca="1" si="22"/>
        <v/>
      </c>
      <c r="W141" s="12" t="str">
        <f t="shared" ca="1" si="23"/>
        <v/>
      </c>
    </row>
    <row r="142" spans="1:23">
      <c r="A142" s="8" t="str">
        <f t="shared" si="20"/>
        <v/>
      </c>
      <c r="B142" s="9"/>
      <c r="C142" s="10"/>
      <c r="D142" s="8"/>
      <c r="E142" s="8"/>
      <c r="F142" s="8" t="str">
        <f t="shared" si="21"/>
        <v/>
      </c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11"/>
      <c r="U142" s="11"/>
      <c r="V142" s="8" t="str">
        <f t="shared" ca="1" si="22"/>
        <v/>
      </c>
      <c r="W142" s="12" t="str">
        <f t="shared" ca="1" si="23"/>
        <v/>
      </c>
    </row>
    <row r="143" spans="1:23">
      <c r="A143" s="8" t="str">
        <f t="shared" si="20"/>
        <v/>
      </c>
      <c r="B143" s="9"/>
      <c r="C143" s="10"/>
      <c r="D143" s="8"/>
      <c r="E143" s="8"/>
      <c r="F143" s="8" t="str">
        <f t="shared" si="21"/>
        <v/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11"/>
      <c r="U143" s="11"/>
      <c r="V143" s="8" t="str">
        <f t="shared" ca="1" si="22"/>
        <v/>
      </c>
      <c r="W143" s="12" t="str">
        <f t="shared" ca="1" si="23"/>
        <v/>
      </c>
    </row>
    <row r="144" spans="1:23">
      <c r="A144" s="8" t="str">
        <f t="shared" si="20"/>
        <v/>
      </c>
      <c r="B144" s="9"/>
      <c r="C144" s="10"/>
      <c r="D144" s="8"/>
      <c r="E144" s="8"/>
      <c r="F144" s="8" t="str">
        <f t="shared" si="21"/>
        <v/>
      </c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11"/>
      <c r="U144" s="11"/>
      <c r="V144" s="8" t="str">
        <f t="shared" ca="1" si="22"/>
        <v/>
      </c>
      <c r="W144" s="12" t="str">
        <f t="shared" ca="1" si="23"/>
        <v/>
      </c>
    </row>
    <row r="145" spans="1:23">
      <c r="A145" s="8" t="str">
        <f t="shared" si="20"/>
        <v/>
      </c>
      <c r="B145" s="9"/>
      <c r="C145" s="10"/>
      <c r="D145" s="8"/>
      <c r="E145" s="8"/>
      <c r="F145" s="8" t="str">
        <f t="shared" si="21"/>
        <v/>
      </c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11"/>
      <c r="U145" s="11"/>
      <c r="V145" s="8" t="str">
        <f t="shared" ca="1" si="22"/>
        <v/>
      </c>
      <c r="W145" s="12" t="str">
        <f t="shared" ca="1" si="23"/>
        <v/>
      </c>
    </row>
    <row r="146" spans="1:23">
      <c r="A146" s="8" t="str">
        <f t="shared" si="20"/>
        <v/>
      </c>
      <c r="B146" s="9"/>
      <c r="C146" s="10"/>
      <c r="D146" s="8"/>
      <c r="E146" s="8"/>
      <c r="F146" s="8" t="str">
        <f t="shared" si="21"/>
        <v/>
      </c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11"/>
      <c r="U146" s="11"/>
      <c r="V146" s="8" t="str">
        <f t="shared" ca="1" si="22"/>
        <v/>
      </c>
      <c r="W146" s="12" t="str">
        <f t="shared" ca="1" si="23"/>
        <v/>
      </c>
    </row>
    <row r="147" spans="1:23">
      <c r="A147" s="8" t="str">
        <f t="shared" si="20"/>
        <v/>
      </c>
      <c r="B147" s="9"/>
      <c r="C147" s="10"/>
      <c r="D147" s="8"/>
      <c r="E147" s="8"/>
      <c r="F147" s="8" t="str">
        <f t="shared" si="21"/>
        <v/>
      </c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11"/>
      <c r="U147" s="11"/>
      <c r="V147" s="8" t="str">
        <f t="shared" ca="1" si="22"/>
        <v/>
      </c>
      <c r="W147" s="12" t="str">
        <f t="shared" ca="1" si="23"/>
        <v/>
      </c>
    </row>
    <row r="148" spans="1:23">
      <c r="A148" s="8" t="str">
        <f t="shared" si="20"/>
        <v/>
      </c>
      <c r="B148" s="9"/>
      <c r="C148" s="10"/>
      <c r="D148" s="8"/>
      <c r="E148" s="8"/>
      <c r="F148" s="8" t="str">
        <f t="shared" si="21"/>
        <v/>
      </c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11"/>
      <c r="U148" s="11"/>
      <c r="V148" s="8" t="str">
        <f t="shared" ca="1" si="22"/>
        <v/>
      </c>
      <c r="W148" s="12" t="str">
        <f t="shared" ca="1" si="23"/>
        <v/>
      </c>
    </row>
    <row r="149" spans="1:23">
      <c r="A149" s="8" t="str">
        <f t="shared" si="20"/>
        <v/>
      </c>
      <c r="B149" s="9"/>
      <c r="C149" s="10"/>
      <c r="D149" s="8"/>
      <c r="E149" s="8"/>
      <c r="F149" s="8" t="str">
        <f t="shared" si="21"/>
        <v/>
      </c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11"/>
      <c r="U149" s="11"/>
      <c r="V149" s="8" t="str">
        <f t="shared" ca="1" si="22"/>
        <v/>
      </c>
      <c r="W149" s="12" t="str">
        <f t="shared" ca="1" si="23"/>
        <v/>
      </c>
    </row>
    <row r="150" spans="1:23">
      <c r="A150" s="8" t="str">
        <f t="shared" si="20"/>
        <v/>
      </c>
      <c r="B150" s="9"/>
      <c r="C150" s="10"/>
      <c r="D150" s="8"/>
      <c r="E150" s="8"/>
      <c r="F150" s="8" t="str">
        <f t="shared" si="21"/>
        <v/>
      </c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11"/>
      <c r="U150" s="11"/>
      <c r="V150" s="8" t="str">
        <f t="shared" ca="1" si="22"/>
        <v/>
      </c>
      <c r="W150" s="12" t="str">
        <f t="shared" ca="1" si="23"/>
        <v/>
      </c>
    </row>
    <row r="151" spans="1:23">
      <c r="A151" s="8" t="str">
        <f t="shared" si="20"/>
        <v/>
      </c>
      <c r="B151" s="9"/>
      <c r="C151" s="10"/>
      <c r="D151" s="8"/>
      <c r="E151" s="8"/>
      <c r="F151" s="8" t="str">
        <f t="shared" si="21"/>
        <v/>
      </c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11"/>
      <c r="U151" s="11"/>
      <c r="V151" s="8" t="str">
        <f t="shared" ca="1" si="22"/>
        <v/>
      </c>
      <c r="W151" s="12" t="str">
        <f t="shared" ca="1" si="23"/>
        <v/>
      </c>
    </row>
    <row r="152" spans="1:23">
      <c r="A152" s="8" t="str">
        <f t="shared" si="20"/>
        <v/>
      </c>
      <c r="B152" s="9"/>
      <c r="C152" s="10"/>
      <c r="D152" s="8"/>
      <c r="E152" s="8"/>
      <c r="F152" s="8" t="str">
        <f t="shared" si="21"/>
        <v/>
      </c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11"/>
      <c r="U152" s="11"/>
      <c r="V152" s="8" t="str">
        <f t="shared" ca="1" si="22"/>
        <v/>
      </c>
      <c r="W152" s="12" t="str">
        <f t="shared" ca="1" si="23"/>
        <v/>
      </c>
    </row>
    <row r="153" spans="1:23">
      <c r="A153" s="8" t="str">
        <f t="shared" si="20"/>
        <v/>
      </c>
      <c r="B153" s="9"/>
      <c r="C153" s="10"/>
      <c r="D153" s="8"/>
      <c r="E153" s="8"/>
      <c r="F153" s="8" t="str">
        <f t="shared" si="21"/>
        <v/>
      </c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11"/>
      <c r="U153" s="11"/>
      <c r="V153" s="8" t="str">
        <f t="shared" ca="1" si="22"/>
        <v/>
      </c>
      <c r="W153" s="12" t="str">
        <f t="shared" ca="1" si="23"/>
        <v/>
      </c>
    </row>
    <row r="154" spans="1:23">
      <c r="A154" s="8" t="str">
        <f t="shared" si="20"/>
        <v/>
      </c>
      <c r="B154" s="9"/>
      <c r="C154" s="10"/>
      <c r="D154" s="8"/>
      <c r="E154" s="8"/>
      <c r="F154" s="8" t="str">
        <f t="shared" si="21"/>
        <v/>
      </c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11"/>
      <c r="U154" s="11"/>
      <c r="V154" s="8" t="str">
        <f t="shared" ca="1" si="22"/>
        <v/>
      </c>
      <c r="W154" s="12" t="str">
        <f t="shared" ca="1" si="23"/>
        <v/>
      </c>
    </row>
    <row r="155" spans="1:23">
      <c r="A155" s="8" t="str">
        <f t="shared" si="20"/>
        <v/>
      </c>
      <c r="B155" s="9"/>
      <c r="C155" s="10"/>
      <c r="D155" s="8"/>
      <c r="E155" s="8"/>
      <c r="F155" s="8" t="str">
        <f t="shared" si="21"/>
        <v/>
      </c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11"/>
      <c r="U155" s="11"/>
      <c r="V155" s="8" t="str">
        <f t="shared" ca="1" si="22"/>
        <v/>
      </c>
      <c r="W155" s="12" t="str">
        <f t="shared" ca="1" si="23"/>
        <v/>
      </c>
    </row>
    <row r="156" spans="1:23">
      <c r="A156" s="8" t="str">
        <f t="shared" si="20"/>
        <v/>
      </c>
      <c r="B156" s="9"/>
      <c r="C156" s="10"/>
      <c r="D156" s="8"/>
      <c r="E156" s="8"/>
      <c r="F156" s="8" t="str">
        <f t="shared" si="21"/>
        <v/>
      </c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11"/>
      <c r="U156" s="11"/>
      <c r="V156" s="8" t="str">
        <f t="shared" ca="1" si="22"/>
        <v/>
      </c>
      <c r="W156" s="12" t="str">
        <f t="shared" ca="1" si="23"/>
        <v/>
      </c>
    </row>
    <row r="157" spans="1:23">
      <c r="A157" s="8" t="str">
        <f t="shared" si="20"/>
        <v/>
      </c>
      <c r="B157" s="9"/>
      <c r="C157" s="10"/>
      <c r="D157" s="8"/>
      <c r="E157" s="8"/>
      <c r="F157" s="8" t="str">
        <f t="shared" si="21"/>
        <v/>
      </c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11"/>
      <c r="U157" s="11"/>
      <c r="V157" s="8" t="str">
        <f t="shared" ca="1" si="22"/>
        <v/>
      </c>
      <c r="W157" s="12" t="str">
        <f t="shared" ca="1" si="23"/>
        <v/>
      </c>
    </row>
    <row r="158" spans="1:23">
      <c r="A158" s="8" t="str">
        <f t="shared" si="20"/>
        <v/>
      </c>
      <c r="B158" s="9"/>
      <c r="C158" s="10"/>
      <c r="D158" s="8"/>
      <c r="E158" s="8"/>
      <c r="F158" s="8" t="str">
        <f t="shared" si="21"/>
        <v/>
      </c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11"/>
      <c r="U158" s="11"/>
      <c r="V158" s="8" t="str">
        <f t="shared" ca="1" si="22"/>
        <v/>
      </c>
      <c r="W158" s="12" t="str">
        <f t="shared" ca="1" si="23"/>
        <v/>
      </c>
    </row>
    <row r="159" spans="1:23">
      <c r="A159" s="8" t="str">
        <f t="shared" si="20"/>
        <v/>
      </c>
      <c r="B159" s="9"/>
      <c r="C159" s="10"/>
      <c r="D159" s="8"/>
      <c r="E159" s="8"/>
      <c r="F159" s="8" t="str">
        <f t="shared" si="21"/>
        <v/>
      </c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11"/>
      <c r="U159" s="11"/>
      <c r="V159" s="8" t="str">
        <f t="shared" ca="1" si="22"/>
        <v/>
      </c>
      <c r="W159" s="12" t="str">
        <f t="shared" ca="1" si="23"/>
        <v/>
      </c>
    </row>
    <row r="160" spans="1:23">
      <c r="A160" s="8" t="str">
        <f t="shared" si="20"/>
        <v/>
      </c>
      <c r="B160" s="9"/>
      <c r="C160" s="10"/>
      <c r="D160" s="8"/>
      <c r="E160" s="8"/>
      <c r="F160" s="8" t="str">
        <f t="shared" si="21"/>
        <v/>
      </c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11"/>
      <c r="U160" s="11"/>
      <c r="V160" s="8" t="str">
        <f t="shared" ca="1" si="22"/>
        <v/>
      </c>
      <c r="W160" s="12" t="str">
        <f t="shared" ca="1" si="23"/>
        <v/>
      </c>
    </row>
    <row r="161" spans="1:23">
      <c r="A161" s="8" t="str">
        <f t="shared" si="20"/>
        <v/>
      </c>
      <c r="B161" s="9"/>
      <c r="C161" s="10"/>
      <c r="D161" s="8"/>
      <c r="E161" s="8"/>
      <c r="F161" s="8" t="str">
        <f t="shared" si="21"/>
        <v/>
      </c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11"/>
      <c r="U161" s="11"/>
      <c r="V161" s="8" t="str">
        <f t="shared" ca="1" si="22"/>
        <v/>
      </c>
      <c r="W161" s="12" t="str">
        <f t="shared" ca="1" si="23"/>
        <v/>
      </c>
    </row>
    <row r="162" spans="1:23">
      <c r="A162" s="8" t="str">
        <f t="shared" ref="A162:A193" si="24">IF(D162="","", "EMAIL-" &amp; TEXT(B162,"yyyy-mm-dd") &amp; "-" &amp; LEFT(UPPER(SUBSTITUTE(SUBSTITUTE(SUBSTITUTE(SUBSTITUTE(D162,"Sample | ","")," ","-"),"/","-"),"&amp;","AND")),25))</f>
        <v/>
      </c>
      <c r="B162" s="9"/>
      <c r="C162" s="10"/>
      <c r="D162" s="8"/>
      <c r="E162" s="8"/>
      <c r="F162" s="8" t="str">
        <f t="shared" ref="F162:F193" si="25">IF(D162="","",IF(P162="Cancelled","Cancelled",IF(AND(ISNUMBER(U162),U162&gt;0),"Sent",IF(P162="Scheduled","Scheduled",IF(O162="Passed","QA Passed",IF(O162="In Progress","QA in Progress",IF(OR(N162="Ready",N162="Created"),"Segment Ready",IF(S162&lt;&gt;"","Built in Bluecore",IF(M162="Sent","Sent to Builder",IF(L162="Ready","Design Ready",IF(L162="In Progress","With Design",IF(OR(K162="Ready",K162="Approved"),"Brief Ready",IF(OR(K162="In Progress",K162="Draft"),"Brief in Progress",IF(OR(J162="Needed",J162="Requested"),"Waiting for SKUs",IF(H162&lt;&gt;"","Blocked","Not Started")))))))))))))))</f>
        <v/>
      </c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11"/>
      <c r="U162" s="11"/>
      <c r="V162" s="8" t="str">
        <f t="shared" ref="V162:V193" ca="1" si="26">IF(D162="","",IF(F162="Sent","Complete",IF(F162="Scheduled","Ready",IF(F162="Cancelled","Complete",IF(OR(F162="Blocked",H162&lt;&gt;""),"Blocked",IF(NOT(ISNUMBER(B162)),"At Risk",IF(B162&lt;TODAY(),"Critical",IF(AND(B162=TODAY(),F162&lt;&gt;"Scheduled"),"Critical",IF(AND(B162=TODAY()+1,NOT(OR(F162="QA Passed",F162="Scheduled"))),"High Risk",IF(AND(B162&lt;=TODAY()+2,F162&lt;&gt;"Scheduled"),"At Risk","On Track"))))))))))</f>
        <v/>
      </c>
      <c r="W162" s="12" t="str">
        <f t="shared" ref="W162:W193" ca="1" si="27">IF(D162="","",NOW())</f>
        <v/>
      </c>
    </row>
    <row r="163" spans="1:23">
      <c r="A163" s="8" t="str">
        <f t="shared" si="24"/>
        <v/>
      </c>
      <c r="B163" s="9"/>
      <c r="C163" s="10"/>
      <c r="D163" s="8"/>
      <c r="E163" s="8"/>
      <c r="F163" s="8" t="str">
        <f t="shared" si="25"/>
        <v/>
      </c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11"/>
      <c r="U163" s="11"/>
      <c r="V163" s="8" t="str">
        <f t="shared" ca="1" si="26"/>
        <v/>
      </c>
      <c r="W163" s="12" t="str">
        <f t="shared" ca="1" si="27"/>
        <v/>
      </c>
    </row>
    <row r="164" spans="1:23">
      <c r="A164" s="8" t="str">
        <f t="shared" si="24"/>
        <v/>
      </c>
      <c r="B164" s="9"/>
      <c r="C164" s="10"/>
      <c r="D164" s="8"/>
      <c r="E164" s="8"/>
      <c r="F164" s="8" t="str">
        <f t="shared" si="25"/>
        <v/>
      </c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11"/>
      <c r="U164" s="11"/>
      <c r="V164" s="8" t="str">
        <f t="shared" ca="1" si="26"/>
        <v/>
      </c>
      <c r="W164" s="12" t="str">
        <f t="shared" ca="1" si="27"/>
        <v/>
      </c>
    </row>
    <row r="165" spans="1:23">
      <c r="A165" s="8" t="str">
        <f t="shared" si="24"/>
        <v/>
      </c>
      <c r="B165" s="9"/>
      <c r="C165" s="10"/>
      <c r="D165" s="8"/>
      <c r="E165" s="8"/>
      <c r="F165" s="8" t="str">
        <f t="shared" si="25"/>
        <v/>
      </c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11"/>
      <c r="U165" s="11"/>
      <c r="V165" s="8" t="str">
        <f t="shared" ca="1" si="26"/>
        <v/>
      </c>
      <c r="W165" s="12" t="str">
        <f t="shared" ca="1" si="27"/>
        <v/>
      </c>
    </row>
    <row r="166" spans="1:23">
      <c r="A166" s="8" t="str">
        <f t="shared" si="24"/>
        <v/>
      </c>
      <c r="B166" s="9"/>
      <c r="C166" s="10"/>
      <c r="D166" s="8"/>
      <c r="E166" s="8"/>
      <c r="F166" s="8" t="str">
        <f t="shared" si="25"/>
        <v/>
      </c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11"/>
      <c r="U166" s="11"/>
      <c r="V166" s="8" t="str">
        <f t="shared" ca="1" si="26"/>
        <v/>
      </c>
      <c r="W166" s="12" t="str">
        <f t="shared" ca="1" si="27"/>
        <v/>
      </c>
    </row>
    <row r="167" spans="1:23">
      <c r="A167" s="8" t="str">
        <f t="shared" si="24"/>
        <v/>
      </c>
      <c r="B167" s="9"/>
      <c r="C167" s="10"/>
      <c r="D167" s="8"/>
      <c r="E167" s="8"/>
      <c r="F167" s="8" t="str">
        <f t="shared" si="25"/>
        <v/>
      </c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11"/>
      <c r="U167" s="11"/>
      <c r="V167" s="8" t="str">
        <f t="shared" ca="1" si="26"/>
        <v/>
      </c>
      <c r="W167" s="12" t="str">
        <f t="shared" ca="1" si="27"/>
        <v/>
      </c>
    </row>
    <row r="168" spans="1:23">
      <c r="A168" s="8" t="str">
        <f t="shared" si="24"/>
        <v/>
      </c>
      <c r="B168" s="9"/>
      <c r="C168" s="10"/>
      <c r="D168" s="8"/>
      <c r="E168" s="8"/>
      <c r="F168" s="8" t="str">
        <f t="shared" si="25"/>
        <v/>
      </c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11"/>
      <c r="U168" s="11"/>
      <c r="V168" s="8" t="str">
        <f t="shared" ca="1" si="26"/>
        <v/>
      </c>
      <c r="W168" s="12" t="str">
        <f t="shared" ca="1" si="27"/>
        <v/>
      </c>
    </row>
    <row r="169" spans="1:23">
      <c r="A169" s="8" t="str">
        <f t="shared" si="24"/>
        <v/>
      </c>
      <c r="B169" s="9"/>
      <c r="C169" s="10"/>
      <c r="D169" s="8"/>
      <c r="E169" s="8"/>
      <c r="F169" s="8" t="str">
        <f t="shared" si="25"/>
        <v/>
      </c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11"/>
      <c r="U169" s="11"/>
      <c r="V169" s="8" t="str">
        <f t="shared" ca="1" si="26"/>
        <v/>
      </c>
      <c r="W169" s="12" t="str">
        <f t="shared" ca="1" si="27"/>
        <v/>
      </c>
    </row>
    <row r="170" spans="1:23">
      <c r="A170" s="8" t="str">
        <f t="shared" si="24"/>
        <v/>
      </c>
      <c r="B170" s="9"/>
      <c r="C170" s="10"/>
      <c r="D170" s="8"/>
      <c r="E170" s="8"/>
      <c r="F170" s="8" t="str">
        <f t="shared" si="25"/>
        <v/>
      </c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11"/>
      <c r="U170" s="11"/>
      <c r="V170" s="8" t="str">
        <f t="shared" ca="1" si="26"/>
        <v/>
      </c>
      <c r="W170" s="12" t="str">
        <f t="shared" ca="1" si="27"/>
        <v/>
      </c>
    </row>
    <row r="171" spans="1:23">
      <c r="A171" s="8" t="str">
        <f t="shared" si="24"/>
        <v/>
      </c>
      <c r="B171" s="9"/>
      <c r="C171" s="10"/>
      <c r="D171" s="8"/>
      <c r="E171" s="8"/>
      <c r="F171" s="8" t="str">
        <f t="shared" si="25"/>
        <v/>
      </c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11"/>
      <c r="U171" s="11"/>
      <c r="V171" s="8" t="str">
        <f t="shared" ca="1" si="26"/>
        <v/>
      </c>
      <c r="W171" s="12" t="str">
        <f t="shared" ca="1" si="27"/>
        <v/>
      </c>
    </row>
    <row r="172" spans="1:23">
      <c r="A172" s="8" t="str">
        <f t="shared" si="24"/>
        <v/>
      </c>
      <c r="B172" s="9"/>
      <c r="C172" s="10"/>
      <c r="D172" s="8"/>
      <c r="E172" s="8"/>
      <c r="F172" s="8" t="str">
        <f t="shared" si="25"/>
        <v/>
      </c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11"/>
      <c r="U172" s="11"/>
      <c r="V172" s="8" t="str">
        <f t="shared" ca="1" si="26"/>
        <v/>
      </c>
      <c r="W172" s="12" t="str">
        <f t="shared" ca="1" si="27"/>
        <v/>
      </c>
    </row>
    <row r="173" spans="1:23">
      <c r="A173" s="8" t="str">
        <f t="shared" si="24"/>
        <v/>
      </c>
      <c r="B173" s="9"/>
      <c r="C173" s="10"/>
      <c r="D173" s="8"/>
      <c r="E173" s="8"/>
      <c r="F173" s="8" t="str">
        <f t="shared" si="25"/>
        <v/>
      </c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11"/>
      <c r="U173" s="11"/>
      <c r="V173" s="8" t="str">
        <f t="shared" ca="1" si="26"/>
        <v/>
      </c>
      <c r="W173" s="12" t="str">
        <f t="shared" ca="1" si="27"/>
        <v/>
      </c>
    </row>
    <row r="174" spans="1:23">
      <c r="A174" s="8" t="str">
        <f t="shared" si="24"/>
        <v/>
      </c>
      <c r="B174" s="9"/>
      <c r="C174" s="10"/>
      <c r="D174" s="8"/>
      <c r="E174" s="8"/>
      <c r="F174" s="8" t="str">
        <f t="shared" si="25"/>
        <v/>
      </c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11"/>
      <c r="U174" s="11"/>
      <c r="V174" s="8" t="str">
        <f t="shared" ca="1" si="26"/>
        <v/>
      </c>
      <c r="W174" s="12" t="str">
        <f t="shared" ca="1" si="27"/>
        <v/>
      </c>
    </row>
    <row r="175" spans="1:23">
      <c r="A175" s="8" t="str">
        <f t="shared" si="24"/>
        <v/>
      </c>
      <c r="B175" s="9"/>
      <c r="C175" s="10"/>
      <c r="D175" s="8"/>
      <c r="E175" s="8"/>
      <c r="F175" s="8" t="str">
        <f t="shared" si="25"/>
        <v/>
      </c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11"/>
      <c r="U175" s="11"/>
      <c r="V175" s="8" t="str">
        <f t="shared" ca="1" si="26"/>
        <v/>
      </c>
      <c r="W175" s="12" t="str">
        <f t="shared" ca="1" si="27"/>
        <v/>
      </c>
    </row>
    <row r="176" spans="1:23">
      <c r="A176" s="8" t="str">
        <f t="shared" si="24"/>
        <v/>
      </c>
      <c r="B176" s="9"/>
      <c r="C176" s="10"/>
      <c r="D176" s="8"/>
      <c r="E176" s="8"/>
      <c r="F176" s="8" t="str">
        <f t="shared" si="25"/>
        <v/>
      </c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11"/>
      <c r="U176" s="11"/>
      <c r="V176" s="8" t="str">
        <f t="shared" ca="1" si="26"/>
        <v/>
      </c>
      <c r="W176" s="12" t="str">
        <f t="shared" ca="1" si="27"/>
        <v/>
      </c>
    </row>
    <row r="177" spans="1:23">
      <c r="A177" s="8" t="str">
        <f t="shared" si="24"/>
        <v/>
      </c>
      <c r="B177" s="9"/>
      <c r="C177" s="10"/>
      <c r="D177" s="8"/>
      <c r="E177" s="8"/>
      <c r="F177" s="8" t="str">
        <f t="shared" si="25"/>
        <v/>
      </c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11"/>
      <c r="U177" s="11"/>
      <c r="V177" s="8" t="str">
        <f t="shared" ca="1" si="26"/>
        <v/>
      </c>
      <c r="W177" s="12" t="str">
        <f t="shared" ca="1" si="27"/>
        <v/>
      </c>
    </row>
    <row r="178" spans="1:23">
      <c r="A178" s="8" t="str">
        <f t="shared" si="24"/>
        <v/>
      </c>
      <c r="B178" s="9"/>
      <c r="C178" s="10"/>
      <c r="D178" s="8"/>
      <c r="E178" s="8"/>
      <c r="F178" s="8" t="str">
        <f t="shared" si="25"/>
        <v/>
      </c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11"/>
      <c r="U178" s="11"/>
      <c r="V178" s="8" t="str">
        <f t="shared" ca="1" si="26"/>
        <v/>
      </c>
      <c r="W178" s="12" t="str">
        <f t="shared" ca="1" si="27"/>
        <v/>
      </c>
    </row>
    <row r="179" spans="1:23">
      <c r="A179" s="8" t="str">
        <f t="shared" si="24"/>
        <v/>
      </c>
      <c r="B179" s="9"/>
      <c r="C179" s="10"/>
      <c r="D179" s="8"/>
      <c r="E179" s="8"/>
      <c r="F179" s="8" t="str">
        <f t="shared" si="25"/>
        <v/>
      </c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11"/>
      <c r="U179" s="11"/>
      <c r="V179" s="8" t="str">
        <f t="shared" ca="1" si="26"/>
        <v/>
      </c>
      <c r="W179" s="12" t="str">
        <f t="shared" ca="1" si="27"/>
        <v/>
      </c>
    </row>
    <row r="180" spans="1:23">
      <c r="A180" s="8" t="str">
        <f t="shared" si="24"/>
        <v/>
      </c>
      <c r="B180" s="9"/>
      <c r="C180" s="10"/>
      <c r="D180" s="8"/>
      <c r="E180" s="8"/>
      <c r="F180" s="8" t="str">
        <f t="shared" si="25"/>
        <v/>
      </c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11"/>
      <c r="U180" s="11"/>
      <c r="V180" s="8" t="str">
        <f t="shared" ca="1" si="26"/>
        <v/>
      </c>
      <c r="W180" s="12" t="str">
        <f t="shared" ca="1" si="27"/>
        <v/>
      </c>
    </row>
    <row r="181" spans="1:23">
      <c r="A181" s="8" t="str">
        <f t="shared" si="24"/>
        <v/>
      </c>
      <c r="B181" s="9"/>
      <c r="C181" s="10"/>
      <c r="D181" s="8"/>
      <c r="E181" s="8"/>
      <c r="F181" s="8" t="str">
        <f t="shared" si="25"/>
        <v/>
      </c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11"/>
      <c r="U181" s="11"/>
      <c r="V181" s="8" t="str">
        <f t="shared" ca="1" si="26"/>
        <v/>
      </c>
      <c r="W181" s="12" t="str">
        <f t="shared" ca="1" si="27"/>
        <v/>
      </c>
    </row>
    <row r="182" spans="1:23">
      <c r="A182" s="8" t="str">
        <f t="shared" si="24"/>
        <v/>
      </c>
      <c r="B182" s="9"/>
      <c r="C182" s="10"/>
      <c r="D182" s="8"/>
      <c r="E182" s="8"/>
      <c r="F182" s="8" t="str">
        <f t="shared" si="25"/>
        <v/>
      </c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11"/>
      <c r="U182" s="11"/>
      <c r="V182" s="8" t="str">
        <f t="shared" ca="1" si="26"/>
        <v/>
      </c>
      <c r="W182" s="12" t="str">
        <f t="shared" ca="1" si="27"/>
        <v/>
      </c>
    </row>
    <row r="183" spans="1:23">
      <c r="A183" s="8" t="str">
        <f t="shared" si="24"/>
        <v/>
      </c>
      <c r="B183" s="9"/>
      <c r="C183" s="10"/>
      <c r="D183" s="8"/>
      <c r="E183" s="8"/>
      <c r="F183" s="8" t="str">
        <f t="shared" si="25"/>
        <v/>
      </c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11"/>
      <c r="U183" s="11"/>
      <c r="V183" s="8" t="str">
        <f t="shared" ca="1" si="26"/>
        <v/>
      </c>
      <c r="W183" s="12" t="str">
        <f t="shared" ca="1" si="27"/>
        <v/>
      </c>
    </row>
    <row r="184" spans="1:23">
      <c r="A184" s="8" t="str">
        <f t="shared" si="24"/>
        <v/>
      </c>
      <c r="B184" s="9"/>
      <c r="C184" s="10"/>
      <c r="D184" s="8"/>
      <c r="E184" s="8"/>
      <c r="F184" s="8" t="str">
        <f t="shared" si="25"/>
        <v/>
      </c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11"/>
      <c r="U184" s="11"/>
      <c r="V184" s="8" t="str">
        <f t="shared" ca="1" si="26"/>
        <v/>
      </c>
      <c r="W184" s="12" t="str">
        <f t="shared" ca="1" si="27"/>
        <v/>
      </c>
    </row>
    <row r="185" spans="1:23">
      <c r="A185" s="8" t="str">
        <f t="shared" si="24"/>
        <v/>
      </c>
      <c r="B185" s="9"/>
      <c r="C185" s="10"/>
      <c r="D185" s="8"/>
      <c r="E185" s="8"/>
      <c r="F185" s="8" t="str">
        <f t="shared" si="25"/>
        <v/>
      </c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11"/>
      <c r="U185" s="11"/>
      <c r="V185" s="8" t="str">
        <f t="shared" ca="1" si="26"/>
        <v/>
      </c>
      <c r="W185" s="12" t="str">
        <f t="shared" ca="1" si="27"/>
        <v/>
      </c>
    </row>
    <row r="186" spans="1:23">
      <c r="A186" s="8" t="str">
        <f t="shared" si="24"/>
        <v/>
      </c>
      <c r="B186" s="9"/>
      <c r="C186" s="10"/>
      <c r="D186" s="8"/>
      <c r="E186" s="8"/>
      <c r="F186" s="8" t="str">
        <f t="shared" si="25"/>
        <v/>
      </c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11"/>
      <c r="U186" s="11"/>
      <c r="V186" s="8" t="str">
        <f t="shared" ca="1" si="26"/>
        <v/>
      </c>
      <c r="W186" s="12" t="str">
        <f t="shared" ca="1" si="27"/>
        <v/>
      </c>
    </row>
    <row r="187" spans="1:23">
      <c r="A187" s="8" t="str">
        <f t="shared" si="24"/>
        <v/>
      </c>
      <c r="B187" s="9"/>
      <c r="C187" s="10"/>
      <c r="D187" s="8"/>
      <c r="E187" s="8"/>
      <c r="F187" s="8" t="str">
        <f t="shared" si="25"/>
        <v/>
      </c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11"/>
      <c r="U187" s="11"/>
      <c r="V187" s="8" t="str">
        <f t="shared" ca="1" si="26"/>
        <v/>
      </c>
      <c r="W187" s="12" t="str">
        <f t="shared" ca="1" si="27"/>
        <v/>
      </c>
    </row>
    <row r="188" spans="1:23">
      <c r="A188" s="8" t="str">
        <f t="shared" si="24"/>
        <v/>
      </c>
      <c r="B188" s="9"/>
      <c r="C188" s="10"/>
      <c r="D188" s="8"/>
      <c r="E188" s="8"/>
      <c r="F188" s="8" t="str">
        <f t="shared" si="25"/>
        <v/>
      </c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11"/>
      <c r="U188" s="11"/>
      <c r="V188" s="8" t="str">
        <f t="shared" ca="1" si="26"/>
        <v/>
      </c>
      <c r="W188" s="12" t="str">
        <f t="shared" ca="1" si="27"/>
        <v/>
      </c>
    </row>
    <row r="189" spans="1:23">
      <c r="A189" s="8" t="str">
        <f t="shared" si="24"/>
        <v/>
      </c>
      <c r="B189" s="9"/>
      <c r="C189" s="10"/>
      <c r="D189" s="8"/>
      <c r="E189" s="8"/>
      <c r="F189" s="8" t="str">
        <f t="shared" si="25"/>
        <v/>
      </c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11"/>
      <c r="U189" s="11"/>
      <c r="V189" s="8" t="str">
        <f t="shared" ca="1" si="26"/>
        <v/>
      </c>
      <c r="W189" s="12" t="str">
        <f t="shared" ca="1" si="27"/>
        <v/>
      </c>
    </row>
    <row r="190" spans="1:23">
      <c r="A190" s="8" t="str">
        <f t="shared" si="24"/>
        <v/>
      </c>
      <c r="B190" s="9"/>
      <c r="C190" s="10"/>
      <c r="D190" s="8"/>
      <c r="E190" s="8"/>
      <c r="F190" s="8" t="str">
        <f t="shared" si="25"/>
        <v/>
      </c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11"/>
      <c r="U190" s="11"/>
      <c r="V190" s="8" t="str">
        <f t="shared" ca="1" si="26"/>
        <v/>
      </c>
      <c r="W190" s="12" t="str">
        <f t="shared" ca="1" si="27"/>
        <v/>
      </c>
    </row>
    <row r="191" spans="1:23">
      <c r="A191" s="8" t="str">
        <f t="shared" si="24"/>
        <v/>
      </c>
      <c r="B191" s="9"/>
      <c r="C191" s="10"/>
      <c r="D191" s="8"/>
      <c r="E191" s="8"/>
      <c r="F191" s="8" t="str">
        <f t="shared" si="25"/>
        <v/>
      </c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11"/>
      <c r="U191" s="11"/>
      <c r="V191" s="8" t="str">
        <f t="shared" ca="1" si="26"/>
        <v/>
      </c>
      <c r="W191" s="12" t="str">
        <f t="shared" ca="1" si="27"/>
        <v/>
      </c>
    </row>
    <row r="192" spans="1:23">
      <c r="A192" s="8" t="str">
        <f t="shared" si="24"/>
        <v/>
      </c>
      <c r="B192" s="9"/>
      <c r="C192" s="10"/>
      <c r="D192" s="8"/>
      <c r="E192" s="8"/>
      <c r="F192" s="8" t="str">
        <f t="shared" si="25"/>
        <v/>
      </c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11"/>
      <c r="U192" s="11"/>
      <c r="V192" s="8" t="str">
        <f t="shared" ca="1" si="26"/>
        <v/>
      </c>
      <c r="W192" s="12" t="str">
        <f t="shared" ca="1" si="27"/>
        <v/>
      </c>
    </row>
    <row r="193" spans="1:23">
      <c r="A193" s="8" t="str">
        <f t="shared" si="24"/>
        <v/>
      </c>
      <c r="B193" s="9"/>
      <c r="C193" s="10"/>
      <c r="D193" s="8"/>
      <c r="E193" s="8"/>
      <c r="F193" s="8" t="str">
        <f t="shared" si="25"/>
        <v/>
      </c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11"/>
      <c r="U193" s="11"/>
      <c r="V193" s="8" t="str">
        <f t="shared" ca="1" si="26"/>
        <v/>
      </c>
      <c r="W193" s="12" t="str">
        <f t="shared" ca="1" si="27"/>
        <v/>
      </c>
    </row>
    <row r="194" spans="1:23">
      <c r="A194" s="8" t="str">
        <f t="shared" ref="A194:A225" si="28">IF(D194="","", "EMAIL-" &amp; TEXT(B194,"yyyy-mm-dd") &amp; "-" &amp; LEFT(UPPER(SUBSTITUTE(SUBSTITUTE(SUBSTITUTE(SUBSTITUTE(D194,"Sample | ","")," ","-"),"/","-"),"&amp;","AND")),25))</f>
        <v/>
      </c>
      <c r="B194" s="9"/>
      <c r="C194" s="10"/>
      <c r="D194" s="8"/>
      <c r="E194" s="8"/>
      <c r="F194" s="8" t="str">
        <f t="shared" ref="F194:F201" si="29">IF(D194="","",IF(P194="Cancelled","Cancelled",IF(AND(ISNUMBER(U194),U194&gt;0),"Sent",IF(P194="Scheduled","Scheduled",IF(O194="Passed","QA Passed",IF(O194="In Progress","QA in Progress",IF(OR(N194="Ready",N194="Created"),"Segment Ready",IF(S194&lt;&gt;"","Built in Bluecore",IF(M194="Sent","Sent to Builder",IF(L194="Ready","Design Ready",IF(L194="In Progress","With Design",IF(OR(K194="Ready",K194="Approved"),"Brief Ready",IF(OR(K194="In Progress",K194="Draft"),"Brief in Progress",IF(OR(J194="Needed",J194="Requested"),"Waiting for SKUs",IF(H194&lt;&gt;"","Blocked","Not Started")))))))))))))))</f>
        <v/>
      </c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11"/>
      <c r="U194" s="11"/>
      <c r="V194" s="8" t="str">
        <f t="shared" ref="V194:V201" ca="1" si="30">IF(D194="","",IF(F194="Sent","Complete",IF(F194="Scheduled","Ready",IF(F194="Cancelled","Complete",IF(OR(F194="Blocked",H194&lt;&gt;""),"Blocked",IF(NOT(ISNUMBER(B194)),"At Risk",IF(B194&lt;TODAY(),"Critical",IF(AND(B194=TODAY(),F194&lt;&gt;"Scheduled"),"Critical",IF(AND(B194=TODAY()+1,NOT(OR(F194="QA Passed",F194="Scheduled"))),"High Risk",IF(AND(B194&lt;=TODAY()+2,F194&lt;&gt;"Scheduled"),"At Risk","On Track"))))))))))</f>
        <v/>
      </c>
      <c r="W194" s="12" t="str">
        <f t="shared" ref="W194:W201" ca="1" si="31">IF(D194="","",NOW())</f>
        <v/>
      </c>
    </row>
    <row r="195" spans="1:23">
      <c r="A195" s="8" t="str">
        <f t="shared" si="28"/>
        <v/>
      </c>
      <c r="B195" s="9"/>
      <c r="C195" s="10"/>
      <c r="D195" s="8"/>
      <c r="E195" s="8"/>
      <c r="F195" s="8" t="str">
        <f t="shared" si="29"/>
        <v/>
      </c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11"/>
      <c r="U195" s="11"/>
      <c r="V195" s="8" t="str">
        <f t="shared" ca="1" si="30"/>
        <v/>
      </c>
      <c r="W195" s="12" t="str">
        <f t="shared" ca="1" si="31"/>
        <v/>
      </c>
    </row>
    <row r="196" spans="1:23">
      <c r="A196" s="8" t="str">
        <f t="shared" si="28"/>
        <v/>
      </c>
      <c r="B196" s="9"/>
      <c r="C196" s="10"/>
      <c r="D196" s="8"/>
      <c r="E196" s="8"/>
      <c r="F196" s="8" t="str">
        <f t="shared" si="29"/>
        <v/>
      </c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11"/>
      <c r="U196" s="11"/>
      <c r="V196" s="8" t="str">
        <f t="shared" ca="1" si="30"/>
        <v/>
      </c>
      <c r="W196" s="12" t="str">
        <f t="shared" ca="1" si="31"/>
        <v/>
      </c>
    </row>
    <row r="197" spans="1:23">
      <c r="A197" s="8" t="str">
        <f t="shared" si="28"/>
        <v/>
      </c>
      <c r="B197" s="9"/>
      <c r="C197" s="10"/>
      <c r="D197" s="8"/>
      <c r="E197" s="8"/>
      <c r="F197" s="8" t="str">
        <f t="shared" si="29"/>
        <v/>
      </c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11"/>
      <c r="U197" s="11"/>
      <c r="V197" s="8" t="str">
        <f t="shared" ca="1" si="30"/>
        <v/>
      </c>
      <c r="W197" s="12" t="str">
        <f t="shared" ca="1" si="31"/>
        <v/>
      </c>
    </row>
    <row r="198" spans="1:23">
      <c r="A198" s="8" t="str">
        <f t="shared" si="28"/>
        <v/>
      </c>
      <c r="B198" s="9"/>
      <c r="C198" s="10"/>
      <c r="D198" s="8"/>
      <c r="E198" s="8"/>
      <c r="F198" s="8" t="str">
        <f t="shared" si="29"/>
        <v/>
      </c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11"/>
      <c r="U198" s="11"/>
      <c r="V198" s="8" t="str">
        <f t="shared" ca="1" si="30"/>
        <v/>
      </c>
      <c r="W198" s="12" t="str">
        <f t="shared" ca="1" si="31"/>
        <v/>
      </c>
    </row>
    <row r="199" spans="1:23">
      <c r="A199" s="8" t="str">
        <f t="shared" si="28"/>
        <v/>
      </c>
      <c r="B199" s="9"/>
      <c r="C199" s="10"/>
      <c r="D199" s="8"/>
      <c r="E199" s="8"/>
      <c r="F199" s="8" t="str">
        <f t="shared" si="29"/>
        <v/>
      </c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11"/>
      <c r="U199" s="11"/>
      <c r="V199" s="8" t="str">
        <f t="shared" ca="1" si="30"/>
        <v/>
      </c>
      <c r="W199" s="12" t="str">
        <f t="shared" ca="1" si="31"/>
        <v/>
      </c>
    </row>
    <row r="200" spans="1:23">
      <c r="A200" s="8" t="str">
        <f t="shared" si="28"/>
        <v/>
      </c>
      <c r="B200" s="9"/>
      <c r="C200" s="10"/>
      <c r="D200" s="8"/>
      <c r="E200" s="8"/>
      <c r="F200" s="8" t="str">
        <f t="shared" si="29"/>
        <v/>
      </c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11"/>
      <c r="U200" s="11"/>
      <c r="V200" s="8" t="str">
        <f t="shared" ca="1" si="30"/>
        <v/>
      </c>
      <c r="W200" s="12" t="str">
        <f t="shared" ca="1" si="31"/>
        <v/>
      </c>
    </row>
    <row r="201" spans="1:23">
      <c r="A201" s="8" t="str">
        <f t="shared" si="28"/>
        <v/>
      </c>
      <c r="B201" s="9"/>
      <c r="C201" s="10"/>
      <c r="D201" s="8"/>
      <c r="E201" s="8"/>
      <c r="F201" s="8" t="str">
        <f t="shared" si="29"/>
        <v/>
      </c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11"/>
      <c r="U201" s="11"/>
      <c r="V201" s="8" t="str">
        <f t="shared" ca="1" si="30"/>
        <v/>
      </c>
      <c r="W201" s="12" t="str">
        <f t="shared" ca="1" si="31"/>
        <v/>
      </c>
    </row>
  </sheetData>
  <conditionalFormatting sqref="A2:W201">
    <cfRule type="expression" dxfId="17" priority="1">
      <formula>$V2="Critical"</formula>
    </cfRule>
    <cfRule type="expression" dxfId="16" priority="2">
      <formula>$V2="High Risk"</formula>
    </cfRule>
    <cfRule type="expression" dxfId="15" priority="3">
      <formula>$V2="At Risk"</formula>
    </cfRule>
    <cfRule type="expression" dxfId="14" priority="4">
      <formula>$V2="Blocked"</formula>
    </cfRule>
    <cfRule type="expression" dxfId="13" priority="5">
      <formula>$V2="Ready"</formula>
    </cfRule>
    <cfRule type="expression" dxfId="12" priority="6">
      <formula>$V2="Complete"</formula>
    </cfRule>
  </conditionalFormatting>
  <hyperlinks>
    <hyperlink ref="Q8" r:id="rId1" xr:uid="{8F1C11BE-305B-4E5A-BF3C-40D61DEE894A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xr:uid="{00000000-0002-0000-0000-000000000000}">
          <x14:formula1>
            <xm:f>Dropdowns!$A$2:$A$30</xm:f>
          </x14:formula1>
          <xm:sqref>E2:E201</xm:sqref>
        </x14:dataValidation>
        <x14:dataValidation type="list" xr:uid="{00000000-0002-0000-0000-000001000000}">
          <x14:formula1>
            <xm:f>Dropdowns!$C$2:$C$40</xm:f>
          </x14:formula1>
          <xm:sqref>J2:P201</xm:sqref>
        </x14:dataValidation>
        <x14:dataValidation type="list" xr:uid="{00000000-0002-0000-0000-000002000000}">
          <x14:formula1>
            <xm:f>Dropdowns!$E$2:$E$30</xm:f>
          </x14:formula1>
          <xm:sqref>G2:G201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9"/>
  <sheetViews>
    <sheetView workbookViewId="0">
      <selection activeCell="E12" sqref="E12"/>
    </sheetView>
  </sheetViews>
  <sheetFormatPr defaultRowHeight="14.25"/>
  <cols>
    <col min="1" max="1" width="12" customWidth="1"/>
    <col min="2" max="2" width="11" customWidth="1"/>
    <col min="3" max="3" width="32" customWidth="1"/>
    <col min="4" max="4" width="12" customWidth="1"/>
    <col min="5" max="5" width="18" customWidth="1"/>
    <col min="6" max="6" width="15" customWidth="1"/>
    <col min="7" max="7" width="13" customWidth="1"/>
    <col min="8" max="8" width="28" customWidth="1"/>
    <col min="9" max="9" width="32" customWidth="1"/>
    <col min="10" max="10" width="11" customWidth="1"/>
    <col min="11" max="11" width="12" customWidth="1"/>
    <col min="12" max="12" width="13" customWidth="1"/>
  </cols>
  <sheetData>
    <row r="1" spans="1:12" ht="27.95" customHeight="1">
      <c r="A1" s="36" t="s">
        <v>69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2" ht="21.95" customHeight="1">
      <c r="A2" s="38" t="s">
        <v>70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1:12" ht="15">
      <c r="A3" s="18" t="s">
        <v>71</v>
      </c>
      <c r="B3" s="19">
        <f ca="1">NOW()</f>
        <v>46178.95075196759</v>
      </c>
      <c r="D3" s="1"/>
    </row>
    <row r="4" spans="1:12" ht="20.100000000000001" customHeight="1">
      <c r="A4" s="39" t="s">
        <v>72</v>
      </c>
      <c r="B4" s="40"/>
      <c r="C4" s="44" t="s">
        <v>73</v>
      </c>
      <c r="D4" s="45"/>
      <c r="E4" s="48" t="s">
        <v>74</v>
      </c>
      <c r="F4" s="49"/>
      <c r="G4" s="52" t="s">
        <v>75</v>
      </c>
      <c r="H4" s="52"/>
      <c r="I4" s="55" t="s">
        <v>33</v>
      </c>
      <c r="J4" s="55"/>
      <c r="K4" s="58" t="s">
        <v>31</v>
      </c>
      <c r="L4" s="58"/>
    </row>
    <row r="5" spans="1:12" ht="30" customHeight="1">
      <c r="A5" s="41">
        <f>COUNTIFS('Production Inventory'!D:D,"&lt;&gt;",'Production Inventory'!F:F,"&lt;&gt;Sent",'Production Inventory'!F:F,"&lt;&gt;Cancelled")</f>
        <v>7</v>
      </c>
      <c r="B5" s="42"/>
      <c r="C5" s="46">
        <f ca="1">COUNTIFS('Production Inventory'!B:B,TODAY(),'Production Inventory'!D:D,"&lt;&gt;")</f>
        <v>1</v>
      </c>
      <c r="D5" s="45"/>
      <c r="E5" s="50">
        <f ca="1">COUNTIFS('Production Inventory'!V:V,"Blocked")</f>
        <v>1</v>
      </c>
      <c r="F5" s="49"/>
      <c r="G5" s="53">
        <f ca="1">COUNTIFS('Production Inventory'!V:V,"At Risk")+COUNTIFS('Production Inventory'!V:V,"High Risk")+COUNTIFS('Production Inventory'!V:V,"Critical")</f>
        <v>1</v>
      </c>
      <c r="H5" s="52"/>
      <c r="I5" s="56">
        <f>COUNTIFS('Production Inventory'!F:F,"Scheduled")</f>
        <v>1</v>
      </c>
      <c r="J5" s="55"/>
      <c r="K5" s="59">
        <f>COUNTIFS('Production Inventory'!F:F,"Sent")</f>
        <v>1</v>
      </c>
      <c r="L5" s="58"/>
    </row>
    <row r="6" spans="1:12" ht="18" customHeight="1">
      <c r="A6" s="43" t="s">
        <v>76</v>
      </c>
      <c r="B6" s="42"/>
      <c r="C6" s="47" t="s">
        <v>77</v>
      </c>
      <c r="D6" s="45"/>
      <c r="E6" s="51" t="s">
        <v>78</v>
      </c>
      <c r="F6" s="49"/>
      <c r="G6" s="54" t="s">
        <v>79</v>
      </c>
      <c r="H6" s="52"/>
      <c r="I6" s="57" t="s">
        <v>80</v>
      </c>
      <c r="J6" s="55"/>
      <c r="K6" s="60" t="s">
        <v>81</v>
      </c>
      <c r="L6" s="58"/>
    </row>
    <row r="7" spans="1:12">
      <c r="A7" s="13"/>
      <c r="B7" s="14"/>
      <c r="D7" s="5"/>
      <c r="E7" s="5"/>
    </row>
    <row r="8" spans="1:12" ht="24" customHeight="1">
      <c r="A8" s="61" t="s">
        <v>82</v>
      </c>
      <c r="B8" s="62"/>
      <c r="C8" s="63"/>
      <c r="D8" s="64"/>
      <c r="E8" s="64"/>
      <c r="F8" s="63"/>
      <c r="G8" s="63"/>
      <c r="H8" s="63"/>
      <c r="I8" s="63"/>
      <c r="J8" s="63"/>
      <c r="K8" s="63"/>
      <c r="L8" s="63"/>
    </row>
    <row r="9" spans="1:12">
      <c r="A9" s="65" t="s">
        <v>83</v>
      </c>
      <c r="B9" s="66"/>
      <c r="C9" s="67"/>
      <c r="D9" s="68"/>
      <c r="E9" s="68"/>
      <c r="F9" s="67"/>
      <c r="G9" s="67"/>
      <c r="H9" s="67"/>
      <c r="I9" s="67"/>
      <c r="J9" s="67"/>
      <c r="K9" s="67"/>
      <c r="L9" s="67"/>
    </row>
    <row r="10" spans="1:12" ht="24" customHeight="1">
      <c r="A10" s="20" t="s">
        <v>1</v>
      </c>
      <c r="B10" s="21" t="s">
        <v>84</v>
      </c>
      <c r="C10" s="20" t="s">
        <v>85</v>
      </c>
      <c r="D10" s="20" t="s">
        <v>86</v>
      </c>
      <c r="E10" s="20" t="s">
        <v>87</v>
      </c>
      <c r="F10" s="20" t="s">
        <v>6</v>
      </c>
      <c r="G10" s="20" t="s">
        <v>88</v>
      </c>
      <c r="H10" s="20" t="s">
        <v>7</v>
      </c>
      <c r="I10" s="20" t="s">
        <v>8</v>
      </c>
      <c r="J10" s="20" t="s">
        <v>89</v>
      </c>
      <c r="K10" s="20" t="s">
        <v>90</v>
      </c>
      <c r="L10" s="20" t="s">
        <v>91</v>
      </c>
    </row>
    <row r="11" spans="1:12" ht="24" customHeight="1">
      <c r="A11" s="24">
        <f>IF('Production Inventory'!$D2="","",'Production Inventory'!$B2)</f>
        <v>46179</v>
      </c>
      <c r="B11" s="27" t="str">
        <f>IF('Production Inventory'!$D2="","",'Production Inventory'!$C2&amp;"")</f>
        <v>08:00 AM</v>
      </c>
      <c r="C11" s="22" t="str">
        <f>IF('Production Inventory'!$D2="","",'Production Inventory'!$D2&amp;"")</f>
        <v>Sample | Eco Gear Promo</v>
      </c>
      <c r="D11" s="22" t="str">
        <f>IF('Production Inventory'!$D2="","",'Production Inventory'!$E2&amp;"")</f>
        <v>Promo</v>
      </c>
      <c r="E11" s="22" t="str">
        <f>IF('Production Inventory'!$D2="","",'Production Inventory'!$F2&amp;"")</f>
        <v>Scheduled</v>
      </c>
      <c r="F11" s="22" t="str">
        <f>IF('Production Inventory'!$D2="","",'Production Inventory'!$G2&amp;"")</f>
        <v>Email Manager</v>
      </c>
      <c r="G11" s="22" t="str">
        <f ca="1">IF('Production Inventory'!$D2="","",'Production Inventory'!$V2&amp;"")</f>
        <v>Ready</v>
      </c>
      <c r="H11" s="22" t="str">
        <f>IF('Production Inventory'!$D2="","",'Production Inventory'!$H2&amp;"")</f>
        <v/>
      </c>
      <c r="I11" s="22" t="str">
        <f>IF('Production Inventory'!$D2="","",'Production Inventory'!$I2&amp;"")</f>
        <v>Confirm send after schedule check</v>
      </c>
      <c r="J11" s="30" t="str">
        <f>IF('Production Inventory'!$Q2="","",HYPERLINK('Production Inventory'!$Q2,"Jira"))</f>
        <v>Jira</v>
      </c>
      <c r="K11" s="30" t="str">
        <f>IF('Production Inventory'!$R2="","",HYPERLINK('Production Inventory'!$R2,"ClickUp"))</f>
        <v>ClickUp</v>
      </c>
      <c r="L11" s="30" t="str">
        <f>IF('Production Inventory'!$S2="","",HYPERLINK('Production Inventory'!$S2,"Bluecore"))</f>
        <v>Bluecore</v>
      </c>
    </row>
    <row r="12" spans="1:12" ht="24" customHeight="1">
      <c r="A12" s="24">
        <f>IF('Production Inventory'!$D3="","",'Production Inventory'!$B3)</f>
        <v>46180</v>
      </c>
      <c r="B12" s="27" t="str">
        <f>IF('Production Inventory'!$D3="","",'Production Inventory'!$C3&amp;"")</f>
        <v>10:00 AM</v>
      </c>
      <c r="C12" s="8" t="str">
        <f>IF('Production Inventory'!$D3="","",'Production Inventory'!$D3&amp;"")</f>
        <v>Sample | Weekly Newsletter</v>
      </c>
      <c r="D12" s="8" t="str">
        <f>IF('Production Inventory'!$D3="","",'Production Inventory'!$E3&amp;"")</f>
        <v>Newsletter</v>
      </c>
      <c r="E12" s="8" t="str">
        <f>IF('Production Inventory'!$D3="","",'Production Inventory'!$F3&amp;"")</f>
        <v>QA in Progress</v>
      </c>
      <c r="F12" s="8" t="str">
        <f>IF('Production Inventory'!$D3="","",'Production Inventory'!$G3&amp;"")</f>
        <v>Associate</v>
      </c>
      <c r="G12" s="8" t="str">
        <f ca="1">IF('Production Inventory'!$D3="","",'Production Inventory'!$V3&amp;"")</f>
        <v>At Risk</v>
      </c>
      <c r="H12" s="8" t="str">
        <f>IF('Production Inventory'!$D3="","",'Production Inventory'!$H3&amp;"")</f>
        <v/>
      </c>
      <c r="I12" s="8" t="str">
        <f>IF('Production Inventory'!$D3="","",'Production Inventory'!$I3&amp;"")</f>
        <v>Finish QA and approval</v>
      </c>
      <c r="J12" s="31" t="str">
        <f>IF('Production Inventory'!$Q3="","",HYPERLINK('Production Inventory'!$Q3,"Jira"))</f>
        <v>Jira</v>
      </c>
      <c r="K12" s="31" t="str">
        <f>IF('Production Inventory'!$R3="","",HYPERLINK('Production Inventory'!$R3,"ClickUp"))</f>
        <v>ClickUp</v>
      </c>
      <c r="L12" s="31" t="str">
        <f>IF('Production Inventory'!$S3="","",HYPERLINK('Production Inventory'!$S3,"Bluecore"))</f>
        <v>Bluecore</v>
      </c>
    </row>
    <row r="13" spans="1:12" ht="24" customHeight="1">
      <c r="A13" s="24">
        <f>IF('Production Inventory'!$D4="","",'Production Inventory'!$B4)</f>
        <v>46181</v>
      </c>
      <c r="B13" s="27" t="str">
        <f>IF('Production Inventory'!$D4="","",'Production Inventory'!$C4&amp;"")</f>
        <v>02:00 PM</v>
      </c>
      <c r="C13" s="8" t="str">
        <f>IF('Production Inventory'!$D4="","",'Production Inventory'!$D4&amp;"")</f>
        <v>Sample | Brand Spotlight</v>
      </c>
      <c r="D13" s="8" t="str">
        <f>IF('Production Inventory'!$D4="","",'Production Inventory'!$E4&amp;"")</f>
        <v>Brand</v>
      </c>
      <c r="E13" s="8" t="str">
        <f>IF('Production Inventory'!$D4="","",'Production Inventory'!$F4&amp;"")</f>
        <v>Brief in Progress</v>
      </c>
      <c r="F13" s="8" t="str">
        <f>IF('Production Inventory'!$D4="","",'Production Inventory'!$G4&amp;"")</f>
        <v>Email Manager</v>
      </c>
      <c r="G13" s="8" t="str">
        <f ca="1">IF('Production Inventory'!$D4="","",'Production Inventory'!$V4&amp;"")</f>
        <v>Blocked</v>
      </c>
      <c r="H13" s="8" t="str">
        <f>IF('Production Inventory'!$D4="","",'Production Inventory'!$H4&amp;"")</f>
        <v>Waiting for client SKU list</v>
      </c>
      <c r="I13" s="8" t="str">
        <f>IF('Production Inventory'!$D4="","",'Production Inventory'!$I4&amp;"")</f>
        <v>Follow up with client owner</v>
      </c>
      <c r="J13" s="31" t="str">
        <f>IF('Production Inventory'!$Q4="","",HYPERLINK('Production Inventory'!$Q4,"Jira"))</f>
        <v>Jira</v>
      </c>
      <c r="K13" s="31" t="str">
        <f>IF('Production Inventory'!$R4="","",HYPERLINK('Production Inventory'!$R4,"ClickUp"))</f>
        <v/>
      </c>
      <c r="L13" s="31" t="str">
        <f>IF('Production Inventory'!$S4="","",HYPERLINK('Production Inventory'!$S4,"Bluecore"))</f>
        <v/>
      </c>
    </row>
    <row r="14" spans="1:12" ht="24" customHeight="1">
      <c r="A14" s="24">
        <f>IF('Production Inventory'!$D5="","",'Production Inventory'!$B5)</f>
        <v>46184</v>
      </c>
      <c r="B14" s="27" t="str">
        <f>IF('Production Inventory'!$D5="","",'Production Inventory'!$C5&amp;"")</f>
        <v>09:00 AM</v>
      </c>
      <c r="C14" s="8" t="str">
        <f>IF('Production Inventory'!$D5="","",'Production Inventory'!$D5&amp;"")</f>
        <v>Sample | VIP Offer</v>
      </c>
      <c r="D14" s="8" t="str">
        <f>IF('Production Inventory'!$D5="","",'Production Inventory'!$E5&amp;"")</f>
        <v>VIP</v>
      </c>
      <c r="E14" s="8" t="str">
        <f>IF('Production Inventory'!$D5="","",'Production Inventory'!$F5&amp;"")</f>
        <v>With Design</v>
      </c>
      <c r="F14" s="8" t="str">
        <f>IF('Production Inventory'!$D5="","",'Production Inventory'!$G5&amp;"")</f>
        <v>Manager</v>
      </c>
      <c r="G14" s="8" t="str">
        <f ca="1">IF('Production Inventory'!$D5="","",'Production Inventory'!$V5&amp;"")</f>
        <v>On Track</v>
      </c>
      <c r="H14" s="8" t="str">
        <f>IF('Production Inventory'!$D5="","",'Production Inventory'!$H5&amp;"")</f>
        <v/>
      </c>
      <c r="I14" s="8" t="str">
        <f>IF('Production Inventory'!$D5="","",'Production Inventory'!$I5&amp;"")</f>
        <v>Send to builder once creative is ready</v>
      </c>
      <c r="J14" s="31" t="str">
        <f>IF('Production Inventory'!$Q5="","",HYPERLINK('Production Inventory'!$Q5,"Jira"))</f>
        <v>Jira</v>
      </c>
      <c r="K14" s="31" t="str">
        <f>IF('Production Inventory'!$R5="","",HYPERLINK('Production Inventory'!$R5,"ClickUp"))</f>
        <v/>
      </c>
      <c r="L14" s="31" t="str">
        <f>IF('Production Inventory'!$S5="","",HYPERLINK('Production Inventory'!$S5,"Bluecore"))</f>
        <v/>
      </c>
    </row>
    <row r="15" spans="1:12" ht="24" customHeight="1">
      <c r="A15" s="25">
        <f>IF('Production Inventory'!$D6="","",'Production Inventory'!$B6)</f>
        <v>46178</v>
      </c>
      <c r="B15" s="28" t="str">
        <f>IF('Production Inventory'!$D6="","",'Production Inventory'!$C6&amp;"")</f>
        <v>11:00 AM</v>
      </c>
      <c r="C15" s="8" t="str">
        <f>IF('Production Inventory'!$D6="","",'Production Inventory'!$D6&amp;"")</f>
        <v>Sample | Sent Campaign</v>
      </c>
      <c r="D15" s="8" t="str">
        <f>IF('Production Inventory'!$D6="","",'Production Inventory'!$E6&amp;"")</f>
        <v>Promo</v>
      </c>
      <c r="E15" s="8" t="str">
        <f>IF('Production Inventory'!$D6="","",'Production Inventory'!$F6&amp;"")</f>
        <v>Sent</v>
      </c>
      <c r="F15" s="8" t="str">
        <f>IF('Production Inventory'!$D6="","",'Production Inventory'!$G6&amp;"")</f>
        <v>Email Manager</v>
      </c>
      <c r="G15" s="8" t="str">
        <f ca="1">IF('Production Inventory'!$D6="","",'Production Inventory'!$V6&amp;"")</f>
        <v>Complete</v>
      </c>
      <c r="H15" s="8" t="str">
        <f>IF('Production Inventory'!$D6="","",'Production Inventory'!$H6&amp;"")</f>
        <v/>
      </c>
      <c r="I15" s="8" t="str">
        <f>IF('Production Inventory'!$D6="","",'Production Inventory'!$I6&amp;"")</f>
        <v>Add final report notes</v>
      </c>
      <c r="J15" s="31" t="str">
        <f>IF('Production Inventory'!$Q6="","",HYPERLINK('Production Inventory'!$Q6,"Jira"))</f>
        <v>Jira</v>
      </c>
      <c r="K15" s="31" t="str">
        <f>IF('Production Inventory'!$R6="","",HYPERLINK('Production Inventory'!$R6,"ClickUp"))</f>
        <v>ClickUp</v>
      </c>
      <c r="L15" s="31" t="str">
        <f>IF('Production Inventory'!$S6="","",HYPERLINK('Production Inventory'!$S6,"Bluecore"))</f>
        <v>Bluecore</v>
      </c>
    </row>
    <row r="16" spans="1:12" ht="24" customHeight="1">
      <c r="A16" s="9">
        <f>IF('Production Inventory'!$D7="","",'Production Inventory'!$B7)</f>
        <v>46184</v>
      </c>
      <c r="B16" s="10" t="str">
        <f>IF('Production Inventory'!$D7="","",'Production Inventory'!$C7&amp;"")</f>
        <v>09:00 AM</v>
      </c>
      <c r="C16" s="8" t="str">
        <f>IF('Production Inventory'!$D7="","",'Production Inventory'!$D7&amp;"")</f>
        <v>Sample | VIP Offer</v>
      </c>
      <c r="D16" s="8" t="str">
        <f>IF('Production Inventory'!$D7="","",'Production Inventory'!$E7&amp;"")</f>
        <v>VIP</v>
      </c>
      <c r="E16" s="8" t="str">
        <f>IF('Production Inventory'!$D7="","",'Production Inventory'!$F7&amp;"")</f>
        <v>With Design</v>
      </c>
      <c r="F16" s="8" t="str">
        <f>IF('Production Inventory'!$D7="","",'Production Inventory'!$G7&amp;"")</f>
        <v>Manager</v>
      </c>
      <c r="G16" s="8" t="str">
        <f ca="1">IF('Production Inventory'!$D7="","",'Production Inventory'!$V7&amp;"")</f>
        <v>On Track</v>
      </c>
      <c r="H16" s="8" t="str">
        <f>IF('Production Inventory'!$D7="","",'Production Inventory'!$H7&amp;"")</f>
        <v/>
      </c>
      <c r="I16" s="8" t="str">
        <f>IF('Production Inventory'!$D7="","",'Production Inventory'!$I7&amp;"")</f>
        <v>Send to builder once creative is ready</v>
      </c>
      <c r="J16" s="31" t="str">
        <f>IF('Production Inventory'!$Q7="","",HYPERLINK('Production Inventory'!$Q7,"Jira"))</f>
        <v>Jira</v>
      </c>
      <c r="K16" s="31" t="str">
        <f>IF('Production Inventory'!$R7="","",HYPERLINK('Production Inventory'!$R7,"ClickUp"))</f>
        <v/>
      </c>
      <c r="L16" s="31" t="str">
        <f>IF('Production Inventory'!$S7="","",HYPERLINK('Production Inventory'!$S7,"Bluecore"))</f>
        <v/>
      </c>
    </row>
    <row r="17" spans="1:12" ht="45.75" customHeight="1">
      <c r="A17" s="9">
        <f>IF('Production Inventory'!$D8="","",'Production Inventory'!$B8)</f>
        <v>46185</v>
      </c>
      <c r="B17" s="10" t="str">
        <f>IF('Production Inventory'!$D8="","",'Production Inventory'!$C8&amp;"")</f>
        <v>09:00 AM</v>
      </c>
      <c r="C17" s="8" t="str">
        <f>IF('Production Inventory'!$D8="","",'Production Inventory'!$D8&amp;"")</f>
        <v>060926-08AM-Dive Wear Best Sellers Resend</v>
      </c>
      <c r="D17" s="8" t="str">
        <f>IF('Production Inventory'!$D8="","",'Production Inventory'!$E8&amp;"")</f>
        <v>Brand</v>
      </c>
      <c r="E17" s="8" t="str">
        <f>IF('Production Inventory'!$D8="","",'Production Inventory'!$F8&amp;"")</f>
        <v>Sent to Builder</v>
      </c>
      <c r="F17" s="8" t="str">
        <f>IF('Production Inventory'!$D8="","",'Production Inventory'!$G8&amp;"")</f>
        <v>Associate</v>
      </c>
      <c r="G17" s="8" t="str">
        <f ca="1">IF('Production Inventory'!$D8="","",'Production Inventory'!$V8&amp;"")</f>
        <v>On Track</v>
      </c>
      <c r="H17" s="8" t="str">
        <f>IF('Production Inventory'!$D8="","",'Production Inventory'!$H8&amp;"")</f>
        <v/>
      </c>
      <c r="I17" s="8" t="str">
        <f>IF('Production Inventory'!$D8="","",'Production Inventory'!$I8&amp;"")</f>
        <v/>
      </c>
      <c r="J17" s="31" t="str">
        <f>IF('Production Inventory'!$Q8="","",HYPERLINK('Production Inventory'!$Q8,"Jira"))</f>
        <v>Jira</v>
      </c>
      <c r="K17" s="31" t="str">
        <f>IF('Production Inventory'!$R8="","",HYPERLINK('Production Inventory'!$R8,"ClickUp"))</f>
        <v/>
      </c>
      <c r="L17" s="31" t="str">
        <f>IF('Production Inventory'!$S8="","",HYPERLINK('Production Inventory'!$S8,"Bluecore"))</f>
        <v/>
      </c>
    </row>
    <row r="18" spans="1:12" ht="24" customHeight="1">
      <c r="A18" s="9" t="str">
        <f>IF('Production Inventory'!$D9="","",'Production Inventory'!$B9)</f>
        <v/>
      </c>
      <c r="B18" s="10" t="str">
        <f>IF('Production Inventory'!$D9="","",'Production Inventory'!$C9&amp;"")</f>
        <v/>
      </c>
      <c r="C18" s="8" t="str">
        <f>IF('Production Inventory'!$D9="","",'Production Inventory'!$D9&amp;"")</f>
        <v/>
      </c>
      <c r="D18" s="8" t="str">
        <f>IF('Production Inventory'!$D9="","",'Production Inventory'!$E9&amp;"")</f>
        <v/>
      </c>
      <c r="E18" s="8" t="str">
        <f>IF('Production Inventory'!$D9="","",'Production Inventory'!$F9&amp;"")</f>
        <v/>
      </c>
      <c r="F18" s="8" t="str">
        <f>IF('Production Inventory'!$D9="","",'Production Inventory'!$G9&amp;"")</f>
        <v/>
      </c>
      <c r="G18" s="8" t="str">
        <f>IF('Production Inventory'!$D9="","",'Production Inventory'!$V9&amp;"")</f>
        <v/>
      </c>
      <c r="H18" s="8" t="str">
        <f>IF('Production Inventory'!$D9="","",'Production Inventory'!$H9&amp;"")</f>
        <v/>
      </c>
      <c r="I18" s="8" t="str">
        <f>IF('Production Inventory'!$D9="","",'Production Inventory'!$I9&amp;"")</f>
        <v/>
      </c>
      <c r="J18" s="31" t="str">
        <f>IF('Production Inventory'!$Q9="","",HYPERLINK('Production Inventory'!$Q9,"Jira"))</f>
        <v/>
      </c>
      <c r="K18" s="31" t="str">
        <f>IF('Production Inventory'!$R9="","",HYPERLINK('Production Inventory'!$R9,"ClickUp"))</f>
        <v/>
      </c>
      <c r="L18" s="31" t="str">
        <f>IF('Production Inventory'!$S9="","",HYPERLINK('Production Inventory'!$S9,"Bluecore"))</f>
        <v/>
      </c>
    </row>
    <row r="19" spans="1:12" ht="24" customHeight="1">
      <c r="A19" s="9" t="str">
        <f>IF('Production Inventory'!$D10="","",'Production Inventory'!$B10)</f>
        <v/>
      </c>
      <c r="B19" s="10" t="str">
        <f>IF('Production Inventory'!$D10="","",'Production Inventory'!$C10&amp;"")</f>
        <v/>
      </c>
      <c r="C19" s="8" t="str">
        <f>IF('Production Inventory'!$D10="","",'Production Inventory'!$D10&amp;"")</f>
        <v/>
      </c>
      <c r="D19" s="8" t="str">
        <f>IF('Production Inventory'!$D10="","",'Production Inventory'!$E10&amp;"")</f>
        <v/>
      </c>
      <c r="E19" s="8" t="str">
        <f>IF('Production Inventory'!$D10="","",'Production Inventory'!$F10&amp;"")</f>
        <v/>
      </c>
      <c r="F19" s="8" t="str">
        <f>IF('Production Inventory'!$D10="","",'Production Inventory'!$G10&amp;"")</f>
        <v/>
      </c>
      <c r="G19" s="8" t="str">
        <f>IF('Production Inventory'!$D10="","",'Production Inventory'!$V10&amp;"")</f>
        <v/>
      </c>
      <c r="H19" s="8" t="str">
        <f>IF('Production Inventory'!$D10="","",'Production Inventory'!$H10&amp;"")</f>
        <v/>
      </c>
      <c r="I19" s="8" t="str">
        <f>IF('Production Inventory'!$D10="","",'Production Inventory'!$I10&amp;"")</f>
        <v/>
      </c>
      <c r="J19" s="31" t="str">
        <f>IF('Production Inventory'!$Q10="","",HYPERLINK('Production Inventory'!$Q10,"Jira"))</f>
        <v/>
      </c>
      <c r="K19" s="31" t="str">
        <f>IF('Production Inventory'!$R10="","",HYPERLINK('Production Inventory'!$R10,"ClickUp"))</f>
        <v/>
      </c>
      <c r="L19" s="31" t="str">
        <f>IF('Production Inventory'!$S10="","",HYPERLINK('Production Inventory'!$S10,"Bluecore"))</f>
        <v/>
      </c>
    </row>
    <row r="20" spans="1:12" ht="24" customHeight="1">
      <c r="A20" s="9" t="str">
        <f>IF('Production Inventory'!$D11="","",'Production Inventory'!$B11)</f>
        <v/>
      </c>
      <c r="B20" s="10" t="str">
        <f>IF('Production Inventory'!$D11="","",'Production Inventory'!$C11&amp;"")</f>
        <v/>
      </c>
      <c r="C20" s="8" t="str">
        <f>IF('Production Inventory'!$D11="","",'Production Inventory'!$D11&amp;"")</f>
        <v/>
      </c>
      <c r="D20" s="8" t="str">
        <f>IF('Production Inventory'!$D11="","",'Production Inventory'!$E11&amp;"")</f>
        <v/>
      </c>
      <c r="E20" s="8" t="str">
        <f>IF('Production Inventory'!$D11="","",'Production Inventory'!$F11&amp;"")</f>
        <v/>
      </c>
      <c r="F20" s="8" t="str">
        <f>IF('Production Inventory'!$D11="","",'Production Inventory'!$G11&amp;"")</f>
        <v/>
      </c>
      <c r="G20" s="8" t="str">
        <f>IF('Production Inventory'!$D11="","",'Production Inventory'!$V11&amp;"")</f>
        <v/>
      </c>
      <c r="H20" s="8" t="str">
        <f>IF('Production Inventory'!$D11="","",'Production Inventory'!$H11&amp;"")</f>
        <v/>
      </c>
      <c r="I20" s="8" t="str">
        <f>IF('Production Inventory'!$D11="","",'Production Inventory'!$I11&amp;"")</f>
        <v/>
      </c>
      <c r="J20" s="31" t="str">
        <f>IF('Production Inventory'!$Q11="","",HYPERLINK('Production Inventory'!$Q11,"Jira"))</f>
        <v/>
      </c>
      <c r="K20" s="31" t="str">
        <f>IF('Production Inventory'!$R11="","",HYPERLINK('Production Inventory'!$R11,"ClickUp"))</f>
        <v/>
      </c>
      <c r="L20" s="31" t="str">
        <f>IF('Production Inventory'!$S11="","",HYPERLINK('Production Inventory'!$S11,"Bluecore"))</f>
        <v/>
      </c>
    </row>
    <row r="21" spans="1:12" ht="24" customHeight="1">
      <c r="A21" s="9" t="str">
        <f>IF('Production Inventory'!$D12="","",'Production Inventory'!$B12)</f>
        <v/>
      </c>
      <c r="B21" s="10" t="str">
        <f>IF('Production Inventory'!$D12="","",'Production Inventory'!$C12&amp;"")</f>
        <v/>
      </c>
      <c r="C21" s="8" t="str">
        <f>IF('Production Inventory'!$D12="","",'Production Inventory'!$D12&amp;"")</f>
        <v/>
      </c>
      <c r="D21" s="8" t="str">
        <f>IF('Production Inventory'!$D12="","",'Production Inventory'!$E12&amp;"")</f>
        <v/>
      </c>
      <c r="E21" s="8" t="str">
        <f>IF('Production Inventory'!$D12="","",'Production Inventory'!$F12&amp;"")</f>
        <v/>
      </c>
      <c r="F21" s="8" t="str">
        <f>IF('Production Inventory'!$D12="","",'Production Inventory'!$G12&amp;"")</f>
        <v/>
      </c>
      <c r="G21" s="8" t="str">
        <f>IF('Production Inventory'!$D12="","",'Production Inventory'!$V12&amp;"")</f>
        <v/>
      </c>
      <c r="H21" s="8" t="str">
        <f>IF('Production Inventory'!$D12="","",'Production Inventory'!$H12&amp;"")</f>
        <v/>
      </c>
      <c r="I21" s="8" t="str">
        <f>IF('Production Inventory'!$D12="","",'Production Inventory'!$I12&amp;"")</f>
        <v/>
      </c>
      <c r="J21" s="31" t="str">
        <f>IF('Production Inventory'!$Q12="","",HYPERLINK('Production Inventory'!$Q12,"Jira"))</f>
        <v/>
      </c>
      <c r="K21" s="31" t="str">
        <f>IF('Production Inventory'!$R12="","",HYPERLINK('Production Inventory'!$R12,"ClickUp"))</f>
        <v/>
      </c>
      <c r="L21" s="31" t="str">
        <f>IF('Production Inventory'!$S12="","",HYPERLINK('Production Inventory'!$S12,"Bluecore"))</f>
        <v/>
      </c>
    </row>
    <row r="22" spans="1:12" ht="24" customHeight="1">
      <c r="A22" s="9" t="str">
        <f>IF('Production Inventory'!$D13="","",'Production Inventory'!$B13)</f>
        <v/>
      </c>
      <c r="B22" s="10" t="str">
        <f>IF('Production Inventory'!$D13="","",'Production Inventory'!$C13&amp;"")</f>
        <v/>
      </c>
      <c r="C22" s="8" t="str">
        <f>IF('Production Inventory'!$D13="","",'Production Inventory'!$D13&amp;"")</f>
        <v/>
      </c>
      <c r="D22" s="8" t="str">
        <f>IF('Production Inventory'!$D13="","",'Production Inventory'!$E13&amp;"")</f>
        <v/>
      </c>
      <c r="E22" s="8" t="str">
        <f>IF('Production Inventory'!$D13="","",'Production Inventory'!$F13&amp;"")</f>
        <v/>
      </c>
      <c r="F22" s="8" t="str">
        <f>IF('Production Inventory'!$D13="","",'Production Inventory'!$G13&amp;"")</f>
        <v/>
      </c>
      <c r="G22" s="8" t="str">
        <f>IF('Production Inventory'!$D13="","",'Production Inventory'!$V13&amp;"")</f>
        <v/>
      </c>
      <c r="H22" s="8" t="str">
        <f>IF('Production Inventory'!$D13="","",'Production Inventory'!$H13&amp;"")</f>
        <v/>
      </c>
      <c r="I22" s="8" t="str">
        <f>IF('Production Inventory'!$D13="","",'Production Inventory'!$I13&amp;"")</f>
        <v/>
      </c>
      <c r="J22" s="31" t="str">
        <f>IF('Production Inventory'!$Q13="","",HYPERLINK('Production Inventory'!$Q13,"Jira"))</f>
        <v/>
      </c>
      <c r="K22" s="31" t="str">
        <f>IF('Production Inventory'!$R13="","",HYPERLINK('Production Inventory'!$R13,"ClickUp"))</f>
        <v/>
      </c>
      <c r="L22" s="31" t="str">
        <f>IF('Production Inventory'!$S13="","",HYPERLINK('Production Inventory'!$S13,"Bluecore"))</f>
        <v/>
      </c>
    </row>
    <row r="23" spans="1:12" ht="24" customHeight="1">
      <c r="A23" s="9" t="str">
        <f>IF('Production Inventory'!$D14="","",'Production Inventory'!$B14)</f>
        <v/>
      </c>
      <c r="B23" s="10" t="str">
        <f>IF('Production Inventory'!$D14="","",'Production Inventory'!$C14&amp;"")</f>
        <v/>
      </c>
      <c r="C23" s="8" t="str">
        <f>IF('Production Inventory'!$D14="","",'Production Inventory'!$D14&amp;"")</f>
        <v/>
      </c>
      <c r="D23" s="8" t="str">
        <f>IF('Production Inventory'!$D14="","",'Production Inventory'!$E14&amp;"")</f>
        <v/>
      </c>
      <c r="E23" s="8" t="str">
        <f>IF('Production Inventory'!$D14="","",'Production Inventory'!$F14&amp;"")</f>
        <v/>
      </c>
      <c r="F23" s="8" t="str">
        <f>IF('Production Inventory'!$D14="","",'Production Inventory'!$G14&amp;"")</f>
        <v/>
      </c>
      <c r="G23" s="8" t="str">
        <f>IF('Production Inventory'!$D14="","",'Production Inventory'!$V14&amp;"")</f>
        <v/>
      </c>
      <c r="H23" s="8" t="str">
        <f>IF('Production Inventory'!$D14="","",'Production Inventory'!$H14&amp;"")</f>
        <v/>
      </c>
      <c r="I23" s="8" t="str">
        <f>IF('Production Inventory'!$D14="","",'Production Inventory'!$I14&amp;"")</f>
        <v/>
      </c>
      <c r="J23" s="31" t="str">
        <f>IF('Production Inventory'!$Q14="","",HYPERLINK('Production Inventory'!$Q14,"Jira"))</f>
        <v/>
      </c>
      <c r="K23" s="31" t="str">
        <f>IF('Production Inventory'!$R14="","",HYPERLINK('Production Inventory'!$R14,"ClickUp"))</f>
        <v/>
      </c>
      <c r="L23" s="31" t="str">
        <f>IF('Production Inventory'!$S14="","",HYPERLINK('Production Inventory'!$S14,"Bluecore"))</f>
        <v/>
      </c>
    </row>
    <row r="24" spans="1:12" ht="24" customHeight="1">
      <c r="A24" s="9" t="str">
        <f>IF('Production Inventory'!$D15="","",'Production Inventory'!$B15)</f>
        <v/>
      </c>
      <c r="B24" s="10" t="str">
        <f>IF('Production Inventory'!$D15="","",'Production Inventory'!$C15&amp;"")</f>
        <v/>
      </c>
      <c r="C24" s="8" t="str">
        <f>IF('Production Inventory'!$D15="","",'Production Inventory'!$D15&amp;"")</f>
        <v/>
      </c>
      <c r="D24" s="8" t="str">
        <f>IF('Production Inventory'!$D15="","",'Production Inventory'!$E15&amp;"")</f>
        <v/>
      </c>
      <c r="E24" s="8" t="str">
        <f>IF('Production Inventory'!$D15="","",'Production Inventory'!$F15&amp;"")</f>
        <v/>
      </c>
      <c r="F24" s="8" t="str">
        <f>IF('Production Inventory'!$D15="","",'Production Inventory'!$G15&amp;"")</f>
        <v/>
      </c>
      <c r="G24" s="8" t="str">
        <f>IF('Production Inventory'!$D15="","",'Production Inventory'!$V15&amp;"")</f>
        <v/>
      </c>
      <c r="H24" s="8" t="str">
        <f>IF('Production Inventory'!$D15="","",'Production Inventory'!$H15&amp;"")</f>
        <v/>
      </c>
      <c r="I24" s="8" t="str">
        <f>IF('Production Inventory'!$D15="","",'Production Inventory'!$I15&amp;"")</f>
        <v/>
      </c>
      <c r="J24" s="31" t="str">
        <f>IF('Production Inventory'!$Q15="","",HYPERLINK('Production Inventory'!$Q15,"Jira"))</f>
        <v/>
      </c>
      <c r="K24" s="31" t="str">
        <f>IF('Production Inventory'!$R15="","",HYPERLINK('Production Inventory'!$R15,"ClickUp"))</f>
        <v/>
      </c>
      <c r="L24" s="31" t="str">
        <f>IF('Production Inventory'!$S15="","",HYPERLINK('Production Inventory'!$S15,"Bluecore"))</f>
        <v/>
      </c>
    </row>
    <row r="25" spans="1:12" ht="24" customHeight="1">
      <c r="A25" s="9" t="str">
        <f>IF('Production Inventory'!$D16="","",'Production Inventory'!$B16)</f>
        <v/>
      </c>
      <c r="B25" s="10" t="str">
        <f>IF('Production Inventory'!$D16="","",'Production Inventory'!$C16&amp;"")</f>
        <v/>
      </c>
      <c r="C25" s="8" t="str">
        <f>IF('Production Inventory'!$D16="","",'Production Inventory'!$D16&amp;"")</f>
        <v/>
      </c>
      <c r="D25" s="8" t="str">
        <f>IF('Production Inventory'!$D16="","",'Production Inventory'!$E16&amp;"")</f>
        <v/>
      </c>
      <c r="E25" s="8" t="str">
        <f>IF('Production Inventory'!$D16="","",'Production Inventory'!$F16&amp;"")</f>
        <v/>
      </c>
      <c r="F25" s="8" t="str">
        <f>IF('Production Inventory'!$D16="","",'Production Inventory'!$G16&amp;"")</f>
        <v/>
      </c>
      <c r="G25" s="8" t="str">
        <f>IF('Production Inventory'!$D16="","",'Production Inventory'!$V16&amp;"")</f>
        <v/>
      </c>
      <c r="H25" s="8" t="str">
        <f>IF('Production Inventory'!$D16="","",'Production Inventory'!$H16&amp;"")</f>
        <v/>
      </c>
      <c r="I25" s="8" t="str">
        <f>IF('Production Inventory'!$D16="","",'Production Inventory'!$I16&amp;"")</f>
        <v/>
      </c>
      <c r="J25" s="31" t="str">
        <f>IF('Production Inventory'!$Q16="","",HYPERLINK('Production Inventory'!$Q16,"Jira"))</f>
        <v/>
      </c>
      <c r="K25" s="31" t="str">
        <f>IF('Production Inventory'!$R16="","",HYPERLINK('Production Inventory'!$R16,"ClickUp"))</f>
        <v/>
      </c>
      <c r="L25" s="31" t="str">
        <f>IF('Production Inventory'!$S16="","",HYPERLINK('Production Inventory'!$S16,"Bluecore"))</f>
        <v/>
      </c>
    </row>
    <row r="26" spans="1:12" ht="24" customHeight="1">
      <c r="A26" s="9" t="str">
        <f>IF('Production Inventory'!$D17="","",'Production Inventory'!$B17)</f>
        <v/>
      </c>
      <c r="B26" s="10" t="str">
        <f>IF('Production Inventory'!$D17="","",'Production Inventory'!$C17&amp;"")</f>
        <v/>
      </c>
      <c r="C26" s="8" t="str">
        <f>IF('Production Inventory'!$D17="","",'Production Inventory'!$D17&amp;"")</f>
        <v/>
      </c>
      <c r="D26" s="8" t="str">
        <f>IF('Production Inventory'!$D17="","",'Production Inventory'!$E17&amp;"")</f>
        <v/>
      </c>
      <c r="E26" s="8" t="str">
        <f>IF('Production Inventory'!$D17="","",'Production Inventory'!$F17&amp;"")</f>
        <v/>
      </c>
      <c r="F26" s="8" t="str">
        <f>IF('Production Inventory'!$D17="","",'Production Inventory'!$G17&amp;"")</f>
        <v/>
      </c>
      <c r="G26" s="8" t="str">
        <f>IF('Production Inventory'!$D17="","",'Production Inventory'!$V17&amp;"")</f>
        <v/>
      </c>
      <c r="H26" s="8" t="str">
        <f>IF('Production Inventory'!$D17="","",'Production Inventory'!$H17&amp;"")</f>
        <v/>
      </c>
      <c r="I26" s="8" t="str">
        <f>IF('Production Inventory'!$D17="","",'Production Inventory'!$I17&amp;"")</f>
        <v/>
      </c>
      <c r="J26" s="31" t="str">
        <f>IF('Production Inventory'!$Q17="","",HYPERLINK('Production Inventory'!$Q17,"Jira"))</f>
        <v/>
      </c>
      <c r="K26" s="31" t="str">
        <f>IF('Production Inventory'!$R17="","",HYPERLINK('Production Inventory'!$R17,"ClickUp"))</f>
        <v/>
      </c>
      <c r="L26" s="31" t="str">
        <f>IF('Production Inventory'!$S17="","",HYPERLINK('Production Inventory'!$S17,"Bluecore"))</f>
        <v/>
      </c>
    </row>
    <row r="27" spans="1:12" ht="24" customHeight="1">
      <c r="A27" s="9" t="str">
        <f>IF('Production Inventory'!$D18="","",'Production Inventory'!$B18)</f>
        <v/>
      </c>
      <c r="B27" s="10" t="str">
        <f>IF('Production Inventory'!$D18="","",'Production Inventory'!$C18&amp;"")</f>
        <v/>
      </c>
      <c r="C27" s="8" t="str">
        <f>IF('Production Inventory'!$D18="","",'Production Inventory'!$D18&amp;"")</f>
        <v/>
      </c>
      <c r="D27" s="8" t="str">
        <f>IF('Production Inventory'!$D18="","",'Production Inventory'!$E18&amp;"")</f>
        <v/>
      </c>
      <c r="E27" s="8" t="str">
        <f>IF('Production Inventory'!$D18="","",'Production Inventory'!$F18&amp;"")</f>
        <v/>
      </c>
      <c r="F27" s="8" t="str">
        <f>IF('Production Inventory'!$D18="","",'Production Inventory'!$G18&amp;"")</f>
        <v/>
      </c>
      <c r="G27" s="8" t="str">
        <f>IF('Production Inventory'!$D18="","",'Production Inventory'!$V18&amp;"")</f>
        <v/>
      </c>
      <c r="H27" s="8" t="str">
        <f>IF('Production Inventory'!$D18="","",'Production Inventory'!$H18&amp;"")</f>
        <v/>
      </c>
      <c r="I27" s="8" t="str">
        <f>IF('Production Inventory'!$D18="","",'Production Inventory'!$I18&amp;"")</f>
        <v/>
      </c>
      <c r="J27" s="31" t="str">
        <f>IF('Production Inventory'!$Q18="","",HYPERLINK('Production Inventory'!$Q18,"Jira"))</f>
        <v/>
      </c>
      <c r="K27" s="31" t="str">
        <f>IF('Production Inventory'!$R18="","",HYPERLINK('Production Inventory'!$R18,"ClickUp"))</f>
        <v/>
      </c>
      <c r="L27" s="31" t="str">
        <f>IF('Production Inventory'!$S18="","",HYPERLINK('Production Inventory'!$S18,"Bluecore"))</f>
        <v/>
      </c>
    </row>
    <row r="28" spans="1:12" ht="24" customHeight="1">
      <c r="A28" s="9" t="str">
        <f>IF('Production Inventory'!$D19="","",'Production Inventory'!$B19)</f>
        <v/>
      </c>
      <c r="B28" s="10" t="str">
        <f>IF('Production Inventory'!$D19="","",'Production Inventory'!$C19&amp;"")</f>
        <v/>
      </c>
      <c r="C28" s="8" t="str">
        <f>IF('Production Inventory'!$D19="","",'Production Inventory'!$D19&amp;"")</f>
        <v/>
      </c>
      <c r="D28" s="8" t="str">
        <f>IF('Production Inventory'!$D19="","",'Production Inventory'!$E19&amp;"")</f>
        <v/>
      </c>
      <c r="E28" s="8" t="str">
        <f>IF('Production Inventory'!$D19="","",'Production Inventory'!$F19&amp;"")</f>
        <v/>
      </c>
      <c r="F28" s="8" t="str">
        <f>IF('Production Inventory'!$D19="","",'Production Inventory'!$G19&amp;"")</f>
        <v/>
      </c>
      <c r="G28" s="8" t="str">
        <f>IF('Production Inventory'!$D19="","",'Production Inventory'!$V19&amp;"")</f>
        <v/>
      </c>
      <c r="H28" s="8" t="str">
        <f>IF('Production Inventory'!$D19="","",'Production Inventory'!$H19&amp;"")</f>
        <v/>
      </c>
      <c r="I28" s="8" t="str">
        <f>IF('Production Inventory'!$D19="","",'Production Inventory'!$I19&amp;"")</f>
        <v/>
      </c>
      <c r="J28" s="31" t="str">
        <f>IF('Production Inventory'!$Q19="","",HYPERLINK('Production Inventory'!$Q19,"Jira"))</f>
        <v/>
      </c>
      <c r="K28" s="31" t="str">
        <f>IF('Production Inventory'!$R19="","",HYPERLINK('Production Inventory'!$R19,"ClickUp"))</f>
        <v/>
      </c>
      <c r="L28" s="31" t="str">
        <f>IF('Production Inventory'!$S19="","",HYPERLINK('Production Inventory'!$S19,"Bluecore"))</f>
        <v/>
      </c>
    </row>
    <row r="29" spans="1:12" ht="24" customHeight="1">
      <c r="A29" s="9" t="str">
        <f>IF('Production Inventory'!$D20="","",'Production Inventory'!$B20)</f>
        <v/>
      </c>
      <c r="B29" s="10" t="str">
        <f>IF('Production Inventory'!$D20="","",'Production Inventory'!$C20&amp;"")</f>
        <v/>
      </c>
      <c r="C29" s="8" t="str">
        <f>IF('Production Inventory'!$D20="","",'Production Inventory'!$D20&amp;"")</f>
        <v/>
      </c>
      <c r="D29" s="8" t="str">
        <f>IF('Production Inventory'!$D20="","",'Production Inventory'!$E20&amp;"")</f>
        <v/>
      </c>
      <c r="E29" s="8" t="str">
        <f>IF('Production Inventory'!$D20="","",'Production Inventory'!$F20&amp;"")</f>
        <v/>
      </c>
      <c r="F29" s="8" t="str">
        <f>IF('Production Inventory'!$D20="","",'Production Inventory'!$G20&amp;"")</f>
        <v/>
      </c>
      <c r="G29" s="8" t="str">
        <f>IF('Production Inventory'!$D20="","",'Production Inventory'!$V20&amp;"")</f>
        <v/>
      </c>
      <c r="H29" s="8" t="str">
        <f>IF('Production Inventory'!$D20="","",'Production Inventory'!$H20&amp;"")</f>
        <v/>
      </c>
      <c r="I29" s="8" t="str">
        <f>IF('Production Inventory'!$D20="","",'Production Inventory'!$I20&amp;"")</f>
        <v/>
      </c>
      <c r="J29" s="31" t="str">
        <f>IF('Production Inventory'!$Q20="","",HYPERLINK('Production Inventory'!$Q20,"Jira"))</f>
        <v/>
      </c>
      <c r="K29" s="31" t="str">
        <f>IF('Production Inventory'!$R20="","",HYPERLINK('Production Inventory'!$R20,"ClickUp"))</f>
        <v/>
      </c>
      <c r="L29" s="31" t="str">
        <f>IF('Production Inventory'!$S20="","",HYPERLINK('Production Inventory'!$S20,"Bluecore"))</f>
        <v/>
      </c>
    </row>
    <row r="30" spans="1:12" ht="24" customHeight="1">
      <c r="A30" s="9" t="str">
        <f>IF('Production Inventory'!$D21="","",'Production Inventory'!$B21)</f>
        <v/>
      </c>
      <c r="B30" s="10" t="str">
        <f>IF('Production Inventory'!$D21="","",'Production Inventory'!$C21&amp;"")</f>
        <v/>
      </c>
      <c r="C30" s="8" t="str">
        <f>IF('Production Inventory'!$D21="","",'Production Inventory'!$D21&amp;"")</f>
        <v/>
      </c>
      <c r="D30" s="8" t="str">
        <f>IF('Production Inventory'!$D21="","",'Production Inventory'!$E21&amp;"")</f>
        <v/>
      </c>
      <c r="E30" s="8" t="str">
        <f>IF('Production Inventory'!$D21="","",'Production Inventory'!$F21&amp;"")</f>
        <v/>
      </c>
      <c r="F30" s="8" t="str">
        <f>IF('Production Inventory'!$D21="","",'Production Inventory'!$G21&amp;"")</f>
        <v/>
      </c>
      <c r="G30" s="8" t="str">
        <f>IF('Production Inventory'!$D21="","",'Production Inventory'!$V21&amp;"")</f>
        <v/>
      </c>
      <c r="H30" s="8" t="str">
        <f>IF('Production Inventory'!$D21="","",'Production Inventory'!$H21&amp;"")</f>
        <v/>
      </c>
      <c r="I30" s="8" t="str">
        <f>IF('Production Inventory'!$D21="","",'Production Inventory'!$I21&amp;"")</f>
        <v/>
      </c>
      <c r="J30" s="31" t="str">
        <f>IF('Production Inventory'!$Q21="","",HYPERLINK('Production Inventory'!$Q21,"Jira"))</f>
        <v/>
      </c>
      <c r="K30" s="31" t="str">
        <f>IF('Production Inventory'!$R21="","",HYPERLINK('Production Inventory'!$R21,"ClickUp"))</f>
        <v/>
      </c>
      <c r="L30" s="31" t="str">
        <f>IF('Production Inventory'!$S21="","",HYPERLINK('Production Inventory'!$S21,"Bluecore"))</f>
        <v/>
      </c>
    </row>
    <row r="31" spans="1:12" ht="24" customHeight="1">
      <c r="A31" s="9" t="str">
        <f>IF('Production Inventory'!$D22="","",'Production Inventory'!$B22)</f>
        <v/>
      </c>
      <c r="B31" s="10" t="str">
        <f>IF('Production Inventory'!$D22="","",'Production Inventory'!$C22&amp;"")</f>
        <v/>
      </c>
      <c r="C31" s="8" t="str">
        <f>IF('Production Inventory'!$D22="","",'Production Inventory'!$D22&amp;"")</f>
        <v/>
      </c>
      <c r="D31" s="8" t="str">
        <f>IF('Production Inventory'!$D22="","",'Production Inventory'!$E22&amp;"")</f>
        <v/>
      </c>
      <c r="E31" s="8" t="str">
        <f>IF('Production Inventory'!$D22="","",'Production Inventory'!$F22&amp;"")</f>
        <v/>
      </c>
      <c r="F31" s="8" t="str">
        <f>IF('Production Inventory'!$D22="","",'Production Inventory'!$G22&amp;"")</f>
        <v/>
      </c>
      <c r="G31" s="8" t="str">
        <f>IF('Production Inventory'!$D22="","",'Production Inventory'!$V22&amp;"")</f>
        <v/>
      </c>
      <c r="H31" s="8" t="str">
        <f>IF('Production Inventory'!$D22="","",'Production Inventory'!$H22&amp;"")</f>
        <v/>
      </c>
      <c r="I31" s="8" t="str">
        <f>IF('Production Inventory'!$D22="","",'Production Inventory'!$I22&amp;"")</f>
        <v/>
      </c>
      <c r="J31" s="31" t="str">
        <f>IF('Production Inventory'!$Q22="","",HYPERLINK('Production Inventory'!$Q22,"Jira"))</f>
        <v/>
      </c>
      <c r="K31" s="31" t="str">
        <f>IF('Production Inventory'!$R22="","",HYPERLINK('Production Inventory'!$R22,"ClickUp"))</f>
        <v/>
      </c>
      <c r="L31" s="31" t="str">
        <f>IF('Production Inventory'!$S22="","",HYPERLINK('Production Inventory'!$S22,"Bluecore"))</f>
        <v/>
      </c>
    </row>
    <row r="32" spans="1:12" ht="24" customHeight="1">
      <c r="A32" s="9" t="str">
        <f>IF('Production Inventory'!$D23="","",'Production Inventory'!$B23)</f>
        <v/>
      </c>
      <c r="B32" s="10" t="str">
        <f>IF('Production Inventory'!$D23="","",'Production Inventory'!$C23&amp;"")</f>
        <v/>
      </c>
      <c r="C32" s="8" t="str">
        <f>IF('Production Inventory'!$D23="","",'Production Inventory'!$D23&amp;"")</f>
        <v/>
      </c>
      <c r="D32" s="8" t="str">
        <f>IF('Production Inventory'!$D23="","",'Production Inventory'!$E23&amp;"")</f>
        <v/>
      </c>
      <c r="E32" s="8" t="str">
        <f>IF('Production Inventory'!$D23="","",'Production Inventory'!$F23&amp;"")</f>
        <v/>
      </c>
      <c r="F32" s="8" t="str">
        <f>IF('Production Inventory'!$D23="","",'Production Inventory'!$G23&amp;"")</f>
        <v/>
      </c>
      <c r="G32" s="8" t="str">
        <f>IF('Production Inventory'!$D23="","",'Production Inventory'!$V23&amp;"")</f>
        <v/>
      </c>
      <c r="H32" s="8" t="str">
        <f>IF('Production Inventory'!$D23="","",'Production Inventory'!$H23&amp;"")</f>
        <v/>
      </c>
      <c r="I32" s="8" t="str">
        <f>IF('Production Inventory'!$D23="","",'Production Inventory'!$I23&amp;"")</f>
        <v/>
      </c>
      <c r="J32" s="31" t="str">
        <f>IF('Production Inventory'!$Q23="","",HYPERLINK('Production Inventory'!$Q23,"Jira"))</f>
        <v/>
      </c>
      <c r="K32" s="31" t="str">
        <f>IF('Production Inventory'!$R23="","",HYPERLINK('Production Inventory'!$R23,"ClickUp"))</f>
        <v/>
      </c>
      <c r="L32" s="31" t="str">
        <f>IF('Production Inventory'!$S23="","",HYPERLINK('Production Inventory'!$S23,"Bluecore"))</f>
        <v/>
      </c>
    </row>
    <row r="33" spans="1:12" ht="24" customHeight="1">
      <c r="A33" s="9" t="str">
        <f>IF('Production Inventory'!$D24="","",'Production Inventory'!$B24)</f>
        <v/>
      </c>
      <c r="B33" s="10" t="str">
        <f>IF('Production Inventory'!$D24="","",'Production Inventory'!$C24&amp;"")</f>
        <v/>
      </c>
      <c r="C33" s="8" t="str">
        <f>IF('Production Inventory'!$D24="","",'Production Inventory'!$D24&amp;"")</f>
        <v/>
      </c>
      <c r="D33" s="8" t="str">
        <f>IF('Production Inventory'!$D24="","",'Production Inventory'!$E24&amp;"")</f>
        <v/>
      </c>
      <c r="E33" s="8" t="str">
        <f>IF('Production Inventory'!$D24="","",'Production Inventory'!$F24&amp;"")</f>
        <v/>
      </c>
      <c r="F33" s="8" t="str">
        <f>IF('Production Inventory'!$D24="","",'Production Inventory'!$G24&amp;"")</f>
        <v/>
      </c>
      <c r="G33" s="8" t="str">
        <f>IF('Production Inventory'!$D24="","",'Production Inventory'!$V24&amp;"")</f>
        <v/>
      </c>
      <c r="H33" s="8" t="str">
        <f>IF('Production Inventory'!$D24="","",'Production Inventory'!$H24&amp;"")</f>
        <v/>
      </c>
      <c r="I33" s="8" t="str">
        <f>IF('Production Inventory'!$D24="","",'Production Inventory'!$I24&amp;"")</f>
        <v/>
      </c>
      <c r="J33" s="31" t="str">
        <f>IF('Production Inventory'!$Q24="","",HYPERLINK('Production Inventory'!$Q24,"Jira"))</f>
        <v/>
      </c>
      <c r="K33" s="31" t="str">
        <f>IF('Production Inventory'!$R24="","",HYPERLINK('Production Inventory'!$R24,"ClickUp"))</f>
        <v/>
      </c>
      <c r="L33" s="31" t="str">
        <f>IF('Production Inventory'!$S24="","",HYPERLINK('Production Inventory'!$S24,"Bluecore"))</f>
        <v/>
      </c>
    </row>
    <row r="34" spans="1:12" ht="24" customHeight="1">
      <c r="A34" s="9" t="str">
        <f>IF('Production Inventory'!$D25="","",'Production Inventory'!$B25)</f>
        <v/>
      </c>
      <c r="B34" s="10" t="str">
        <f>IF('Production Inventory'!$D25="","",'Production Inventory'!$C25&amp;"")</f>
        <v/>
      </c>
      <c r="C34" s="8" t="str">
        <f>IF('Production Inventory'!$D25="","",'Production Inventory'!$D25&amp;"")</f>
        <v/>
      </c>
      <c r="D34" s="8" t="str">
        <f>IF('Production Inventory'!$D25="","",'Production Inventory'!$E25&amp;"")</f>
        <v/>
      </c>
      <c r="E34" s="8" t="str">
        <f>IF('Production Inventory'!$D25="","",'Production Inventory'!$F25&amp;"")</f>
        <v/>
      </c>
      <c r="F34" s="8" t="str">
        <f>IF('Production Inventory'!$D25="","",'Production Inventory'!$G25&amp;"")</f>
        <v/>
      </c>
      <c r="G34" s="8" t="str">
        <f>IF('Production Inventory'!$D25="","",'Production Inventory'!$V25&amp;"")</f>
        <v/>
      </c>
      <c r="H34" s="8" t="str">
        <f>IF('Production Inventory'!$D25="","",'Production Inventory'!$H25&amp;"")</f>
        <v/>
      </c>
      <c r="I34" s="8" t="str">
        <f>IF('Production Inventory'!$D25="","",'Production Inventory'!$I25&amp;"")</f>
        <v/>
      </c>
      <c r="J34" s="31" t="str">
        <f>IF('Production Inventory'!$Q25="","",HYPERLINK('Production Inventory'!$Q25,"Jira"))</f>
        <v/>
      </c>
      <c r="K34" s="31" t="str">
        <f>IF('Production Inventory'!$R25="","",HYPERLINK('Production Inventory'!$R25,"ClickUp"))</f>
        <v/>
      </c>
      <c r="L34" s="31" t="str">
        <f>IF('Production Inventory'!$S25="","",HYPERLINK('Production Inventory'!$S25,"Bluecore"))</f>
        <v/>
      </c>
    </row>
    <row r="35" spans="1:12" ht="24" customHeight="1">
      <c r="A35" s="9" t="str">
        <f>IF('Production Inventory'!$D26="","",'Production Inventory'!$B26)</f>
        <v/>
      </c>
      <c r="B35" s="10" t="str">
        <f>IF('Production Inventory'!$D26="","",'Production Inventory'!$C26&amp;"")</f>
        <v/>
      </c>
      <c r="C35" s="8" t="str">
        <f>IF('Production Inventory'!$D26="","",'Production Inventory'!$D26&amp;"")</f>
        <v/>
      </c>
      <c r="D35" s="8" t="str">
        <f>IF('Production Inventory'!$D26="","",'Production Inventory'!$E26&amp;"")</f>
        <v/>
      </c>
      <c r="E35" s="8" t="str">
        <f>IF('Production Inventory'!$D26="","",'Production Inventory'!$F26&amp;"")</f>
        <v/>
      </c>
      <c r="F35" s="8" t="str">
        <f>IF('Production Inventory'!$D26="","",'Production Inventory'!$G26&amp;"")</f>
        <v/>
      </c>
      <c r="G35" s="8" t="str">
        <f>IF('Production Inventory'!$D26="","",'Production Inventory'!$V26&amp;"")</f>
        <v/>
      </c>
      <c r="H35" s="8" t="str">
        <f>IF('Production Inventory'!$D26="","",'Production Inventory'!$H26&amp;"")</f>
        <v/>
      </c>
      <c r="I35" s="8" t="str">
        <f>IF('Production Inventory'!$D26="","",'Production Inventory'!$I26&amp;"")</f>
        <v/>
      </c>
      <c r="J35" s="31" t="str">
        <f>IF('Production Inventory'!$Q26="","",HYPERLINK('Production Inventory'!$Q26,"Jira"))</f>
        <v/>
      </c>
      <c r="K35" s="31" t="str">
        <f>IF('Production Inventory'!$R26="","",HYPERLINK('Production Inventory'!$R26,"ClickUp"))</f>
        <v/>
      </c>
      <c r="L35" s="31" t="str">
        <f>IF('Production Inventory'!$S26="","",HYPERLINK('Production Inventory'!$S26,"Bluecore"))</f>
        <v/>
      </c>
    </row>
    <row r="36" spans="1:12" ht="24" customHeight="1">
      <c r="A36" s="9" t="str">
        <f>IF('Production Inventory'!$D27="","",'Production Inventory'!$B27)</f>
        <v/>
      </c>
      <c r="B36" s="10" t="str">
        <f>IF('Production Inventory'!$D27="","",'Production Inventory'!$C27&amp;"")</f>
        <v/>
      </c>
      <c r="C36" s="8" t="str">
        <f>IF('Production Inventory'!$D27="","",'Production Inventory'!$D27&amp;"")</f>
        <v/>
      </c>
      <c r="D36" s="8" t="str">
        <f>IF('Production Inventory'!$D27="","",'Production Inventory'!$E27&amp;"")</f>
        <v/>
      </c>
      <c r="E36" s="8" t="str">
        <f>IF('Production Inventory'!$D27="","",'Production Inventory'!$F27&amp;"")</f>
        <v/>
      </c>
      <c r="F36" s="8" t="str">
        <f>IF('Production Inventory'!$D27="","",'Production Inventory'!$G27&amp;"")</f>
        <v/>
      </c>
      <c r="G36" s="8" t="str">
        <f>IF('Production Inventory'!$D27="","",'Production Inventory'!$V27&amp;"")</f>
        <v/>
      </c>
      <c r="H36" s="8" t="str">
        <f>IF('Production Inventory'!$D27="","",'Production Inventory'!$H27&amp;"")</f>
        <v/>
      </c>
      <c r="I36" s="8" t="str">
        <f>IF('Production Inventory'!$D27="","",'Production Inventory'!$I27&amp;"")</f>
        <v/>
      </c>
      <c r="J36" s="31" t="str">
        <f>IF('Production Inventory'!$Q27="","",HYPERLINK('Production Inventory'!$Q27,"Jira"))</f>
        <v/>
      </c>
      <c r="K36" s="31" t="str">
        <f>IF('Production Inventory'!$R27="","",HYPERLINK('Production Inventory'!$R27,"ClickUp"))</f>
        <v/>
      </c>
      <c r="L36" s="31" t="str">
        <f>IF('Production Inventory'!$S27="","",HYPERLINK('Production Inventory'!$S27,"Bluecore"))</f>
        <v/>
      </c>
    </row>
    <row r="37" spans="1:12" ht="24" customHeight="1">
      <c r="A37" s="9" t="str">
        <f>IF('Production Inventory'!$D28="","",'Production Inventory'!$B28)</f>
        <v/>
      </c>
      <c r="B37" s="10" t="str">
        <f>IF('Production Inventory'!$D28="","",'Production Inventory'!$C28&amp;"")</f>
        <v/>
      </c>
      <c r="C37" s="8" t="str">
        <f>IF('Production Inventory'!$D28="","",'Production Inventory'!$D28&amp;"")</f>
        <v/>
      </c>
      <c r="D37" s="8" t="str">
        <f>IF('Production Inventory'!$D28="","",'Production Inventory'!$E28&amp;"")</f>
        <v/>
      </c>
      <c r="E37" s="8" t="str">
        <f>IF('Production Inventory'!$D28="","",'Production Inventory'!$F28&amp;"")</f>
        <v/>
      </c>
      <c r="F37" s="8" t="str">
        <f>IF('Production Inventory'!$D28="","",'Production Inventory'!$G28&amp;"")</f>
        <v/>
      </c>
      <c r="G37" s="8" t="str">
        <f>IF('Production Inventory'!$D28="","",'Production Inventory'!$V28&amp;"")</f>
        <v/>
      </c>
      <c r="H37" s="8" t="str">
        <f>IF('Production Inventory'!$D28="","",'Production Inventory'!$H28&amp;"")</f>
        <v/>
      </c>
      <c r="I37" s="8" t="str">
        <f>IF('Production Inventory'!$D28="","",'Production Inventory'!$I28&amp;"")</f>
        <v/>
      </c>
      <c r="J37" s="31" t="str">
        <f>IF('Production Inventory'!$Q28="","",HYPERLINK('Production Inventory'!$Q28,"Jira"))</f>
        <v/>
      </c>
      <c r="K37" s="31" t="str">
        <f>IF('Production Inventory'!$R28="","",HYPERLINK('Production Inventory'!$R28,"ClickUp"))</f>
        <v/>
      </c>
      <c r="L37" s="31" t="str">
        <f>IF('Production Inventory'!$S28="","",HYPERLINK('Production Inventory'!$S28,"Bluecore"))</f>
        <v/>
      </c>
    </row>
    <row r="38" spans="1:12" ht="24" customHeight="1">
      <c r="A38" s="9" t="str">
        <f>IF('Production Inventory'!$D29="","",'Production Inventory'!$B29)</f>
        <v/>
      </c>
      <c r="B38" s="10" t="str">
        <f>IF('Production Inventory'!$D29="","",'Production Inventory'!$C29&amp;"")</f>
        <v/>
      </c>
      <c r="C38" s="8" t="str">
        <f>IF('Production Inventory'!$D29="","",'Production Inventory'!$D29&amp;"")</f>
        <v/>
      </c>
      <c r="D38" s="8" t="str">
        <f>IF('Production Inventory'!$D29="","",'Production Inventory'!$E29&amp;"")</f>
        <v/>
      </c>
      <c r="E38" s="8" t="str">
        <f>IF('Production Inventory'!$D29="","",'Production Inventory'!$F29&amp;"")</f>
        <v/>
      </c>
      <c r="F38" s="8" t="str">
        <f>IF('Production Inventory'!$D29="","",'Production Inventory'!$G29&amp;"")</f>
        <v/>
      </c>
      <c r="G38" s="8" t="str">
        <f>IF('Production Inventory'!$D29="","",'Production Inventory'!$V29&amp;"")</f>
        <v/>
      </c>
      <c r="H38" s="8" t="str">
        <f>IF('Production Inventory'!$D29="","",'Production Inventory'!$H29&amp;"")</f>
        <v/>
      </c>
      <c r="I38" s="8" t="str">
        <f>IF('Production Inventory'!$D29="","",'Production Inventory'!$I29&amp;"")</f>
        <v/>
      </c>
      <c r="J38" s="31" t="str">
        <f>IF('Production Inventory'!$Q29="","",HYPERLINK('Production Inventory'!$Q29,"Jira"))</f>
        <v/>
      </c>
      <c r="K38" s="31" t="str">
        <f>IF('Production Inventory'!$R29="","",HYPERLINK('Production Inventory'!$R29,"ClickUp"))</f>
        <v/>
      </c>
      <c r="L38" s="31" t="str">
        <f>IF('Production Inventory'!$S29="","",HYPERLINK('Production Inventory'!$S29,"Bluecore"))</f>
        <v/>
      </c>
    </row>
    <row r="39" spans="1:12" ht="24" customHeight="1">
      <c r="A39" s="9" t="str">
        <f>IF('Production Inventory'!$D30="","",'Production Inventory'!$B30)</f>
        <v/>
      </c>
      <c r="B39" s="10" t="str">
        <f>IF('Production Inventory'!$D30="","",'Production Inventory'!$C30&amp;"")</f>
        <v/>
      </c>
      <c r="C39" s="8" t="str">
        <f>IF('Production Inventory'!$D30="","",'Production Inventory'!$D30&amp;"")</f>
        <v/>
      </c>
      <c r="D39" s="8" t="str">
        <f>IF('Production Inventory'!$D30="","",'Production Inventory'!$E30&amp;"")</f>
        <v/>
      </c>
      <c r="E39" s="8" t="str">
        <f>IF('Production Inventory'!$D30="","",'Production Inventory'!$F30&amp;"")</f>
        <v/>
      </c>
      <c r="F39" s="8" t="str">
        <f>IF('Production Inventory'!$D30="","",'Production Inventory'!$G30&amp;"")</f>
        <v/>
      </c>
      <c r="G39" s="8" t="str">
        <f>IF('Production Inventory'!$D30="","",'Production Inventory'!$V30&amp;"")</f>
        <v/>
      </c>
      <c r="H39" s="8" t="str">
        <f>IF('Production Inventory'!$D30="","",'Production Inventory'!$H30&amp;"")</f>
        <v/>
      </c>
      <c r="I39" s="8" t="str">
        <f>IF('Production Inventory'!$D30="","",'Production Inventory'!$I30&amp;"")</f>
        <v/>
      </c>
      <c r="J39" s="31" t="str">
        <f>IF('Production Inventory'!$Q30="","",HYPERLINK('Production Inventory'!$Q30,"Jira"))</f>
        <v/>
      </c>
      <c r="K39" s="31" t="str">
        <f>IF('Production Inventory'!$R30="","",HYPERLINK('Production Inventory'!$R30,"ClickUp"))</f>
        <v/>
      </c>
      <c r="L39" s="31" t="str">
        <f>IF('Production Inventory'!$S30="","",HYPERLINK('Production Inventory'!$S30,"Bluecore"))</f>
        <v/>
      </c>
    </row>
    <row r="40" spans="1:12" ht="24" customHeight="1">
      <c r="A40" s="9" t="str">
        <f>IF('Production Inventory'!$D31="","",'Production Inventory'!$B31)</f>
        <v/>
      </c>
      <c r="B40" s="10" t="str">
        <f>IF('Production Inventory'!$D31="","",'Production Inventory'!$C31&amp;"")</f>
        <v/>
      </c>
      <c r="C40" s="8" t="str">
        <f>IF('Production Inventory'!$D31="","",'Production Inventory'!$D31&amp;"")</f>
        <v/>
      </c>
      <c r="D40" s="8" t="str">
        <f>IF('Production Inventory'!$D31="","",'Production Inventory'!$E31&amp;"")</f>
        <v/>
      </c>
      <c r="E40" s="8" t="str">
        <f>IF('Production Inventory'!$D31="","",'Production Inventory'!$F31&amp;"")</f>
        <v/>
      </c>
      <c r="F40" s="8" t="str">
        <f>IF('Production Inventory'!$D31="","",'Production Inventory'!$G31&amp;"")</f>
        <v/>
      </c>
      <c r="G40" s="8" t="str">
        <f>IF('Production Inventory'!$D31="","",'Production Inventory'!$V31&amp;"")</f>
        <v/>
      </c>
      <c r="H40" s="8" t="str">
        <f>IF('Production Inventory'!$D31="","",'Production Inventory'!$H31&amp;"")</f>
        <v/>
      </c>
      <c r="I40" s="8" t="str">
        <f>IF('Production Inventory'!$D31="","",'Production Inventory'!$I31&amp;"")</f>
        <v/>
      </c>
      <c r="J40" s="31" t="str">
        <f>IF('Production Inventory'!$Q31="","",HYPERLINK('Production Inventory'!$Q31,"Jira"))</f>
        <v/>
      </c>
      <c r="K40" s="31" t="str">
        <f>IF('Production Inventory'!$R31="","",HYPERLINK('Production Inventory'!$R31,"ClickUp"))</f>
        <v/>
      </c>
      <c r="L40" s="31" t="str">
        <f>IF('Production Inventory'!$S31="","",HYPERLINK('Production Inventory'!$S31,"Bluecore"))</f>
        <v/>
      </c>
    </row>
    <row r="41" spans="1:12" ht="24" customHeight="1">
      <c r="A41" s="9" t="str">
        <f>IF('Production Inventory'!$D32="","",'Production Inventory'!$B32)</f>
        <v/>
      </c>
      <c r="B41" s="10" t="str">
        <f>IF('Production Inventory'!$D32="","",'Production Inventory'!$C32&amp;"")</f>
        <v/>
      </c>
      <c r="C41" s="8" t="str">
        <f>IF('Production Inventory'!$D32="","",'Production Inventory'!$D32&amp;"")</f>
        <v/>
      </c>
      <c r="D41" s="8" t="str">
        <f>IF('Production Inventory'!$D32="","",'Production Inventory'!$E32&amp;"")</f>
        <v/>
      </c>
      <c r="E41" s="8" t="str">
        <f>IF('Production Inventory'!$D32="","",'Production Inventory'!$F32&amp;"")</f>
        <v/>
      </c>
      <c r="F41" s="8" t="str">
        <f>IF('Production Inventory'!$D32="","",'Production Inventory'!$G32&amp;"")</f>
        <v/>
      </c>
      <c r="G41" s="8" t="str">
        <f>IF('Production Inventory'!$D32="","",'Production Inventory'!$V32&amp;"")</f>
        <v/>
      </c>
      <c r="H41" s="8" t="str">
        <f>IF('Production Inventory'!$D32="","",'Production Inventory'!$H32&amp;"")</f>
        <v/>
      </c>
      <c r="I41" s="8" t="str">
        <f>IF('Production Inventory'!$D32="","",'Production Inventory'!$I32&amp;"")</f>
        <v/>
      </c>
      <c r="J41" s="31" t="str">
        <f>IF('Production Inventory'!$Q32="","",HYPERLINK('Production Inventory'!$Q32,"Jira"))</f>
        <v/>
      </c>
      <c r="K41" s="31" t="str">
        <f>IF('Production Inventory'!$R32="","",HYPERLINK('Production Inventory'!$R32,"ClickUp"))</f>
        <v/>
      </c>
      <c r="L41" s="31" t="str">
        <f>IF('Production Inventory'!$S32="","",HYPERLINK('Production Inventory'!$S32,"Bluecore"))</f>
        <v/>
      </c>
    </row>
    <row r="42" spans="1:12" ht="24" customHeight="1">
      <c r="A42" s="9" t="str">
        <f>IF('Production Inventory'!$D33="","",'Production Inventory'!$B33)</f>
        <v/>
      </c>
      <c r="B42" s="10" t="str">
        <f>IF('Production Inventory'!$D33="","",'Production Inventory'!$C33&amp;"")</f>
        <v/>
      </c>
      <c r="C42" s="8" t="str">
        <f>IF('Production Inventory'!$D33="","",'Production Inventory'!$D33&amp;"")</f>
        <v/>
      </c>
      <c r="D42" s="8" t="str">
        <f>IF('Production Inventory'!$D33="","",'Production Inventory'!$E33&amp;"")</f>
        <v/>
      </c>
      <c r="E42" s="8" t="str">
        <f>IF('Production Inventory'!$D33="","",'Production Inventory'!$F33&amp;"")</f>
        <v/>
      </c>
      <c r="F42" s="8" t="str">
        <f>IF('Production Inventory'!$D33="","",'Production Inventory'!$G33&amp;"")</f>
        <v/>
      </c>
      <c r="G42" s="8" t="str">
        <f>IF('Production Inventory'!$D33="","",'Production Inventory'!$V33&amp;"")</f>
        <v/>
      </c>
      <c r="H42" s="8" t="str">
        <f>IF('Production Inventory'!$D33="","",'Production Inventory'!$H33&amp;"")</f>
        <v/>
      </c>
      <c r="I42" s="8" t="str">
        <f>IF('Production Inventory'!$D33="","",'Production Inventory'!$I33&amp;"")</f>
        <v/>
      </c>
      <c r="J42" s="31" t="str">
        <f>IF('Production Inventory'!$Q33="","",HYPERLINK('Production Inventory'!$Q33,"Jira"))</f>
        <v/>
      </c>
      <c r="K42" s="31" t="str">
        <f>IF('Production Inventory'!$R33="","",HYPERLINK('Production Inventory'!$R33,"ClickUp"))</f>
        <v/>
      </c>
      <c r="L42" s="31" t="str">
        <f>IF('Production Inventory'!$S33="","",HYPERLINK('Production Inventory'!$S33,"Bluecore"))</f>
        <v/>
      </c>
    </row>
    <row r="43" spans="1:12" ht="24" customHeight="1">
      <c r="A43" s="9" t="str">
        <f>IF('Production Inventory'!$D34="","",'Production Inventory'!$B34)</f>
        <v/>
      </c>
      <c r="B43" s="10" t="str">
        <f>IF('Production Inventory'!$D34="","",'Production Inventory'!$C34&amp;"")</f>
        <v/>
      </c>
      <c r="C43" s="8" t="str">
        <f>IF('Production Inventory'!$D34="","",'Production Inventory'!$D34&amp;"")</f>
        <v/>
      </c>
      <c r="D43" s="8" t="str">
        <f>IF('Production Inventory'!$D34="","",'Production Inventory'!$E34&amp;"")</f>
        <v/>
      </c>
      <c r="E43" s="8" t="str">
        <f>IF('Production Inventory'!$D34="","",'Production Inventory'!$F34&amp;"")</f>
        <v/>
      </c>
      <c r="F43" s="8" t="str">
        <f>IF('Production Inventory'!$D34="","",'Production Inventory'!$G34&amp;"")</f>
        <v/>
      </c>
      <c r="G43" s="8" t="str">
        <f>IF('Production Inventory'!$D34="","",'Production Inventory'!$V34&amp;"")</f>
        <v/>
      </c>
      <c r="H43" s="8" t="str">
        <f>IF('Production Inventory'!$D34="","",'Production Inventory'!$H34&amp;"")</f>
        <v/>
      </c>
      <c r="I43" s="8" t="str">
        <f>IF('Production Inventory'!$D34="","",'Production Inventory'!$I34&amp;"")</f>
        <v/>
      </c>
      <c r="J43" s="31" t="str">
        <f>IF('Production Inventory'!$Q34="","",HYPERLINK('Production Inventory'!$Q34,"Jira"))</f>
        <v/>
      </c>
      <c r="K43" s="31" t="str">
        <f>IF('Production Inventory'!$R34="","",HYPERLINK('Production Inventory'!$R34,"ClickUp"))</f>
        <v/>
      </c>
      <c r="L43" s="31" t="str">
        <f>IF('Production Inventory'!$S34="","",HYPERLINK('Production Inventory'!$S34,"Bluecore"))</f>
        <v/>
      </c>
    </row>
    <row r="44" spans="1:12" ht="24" customHeight="1">
      <c r="A44" s="9" t="str">
        <f>IF('Production Inventory'!$D35="","",'Production Inventory'!$B35)</f>
        <v/>
      </c>
      <c r="B44" s="10" t="str">
        <f>IF('Production Inventory'!$D35="","",'Production Inventory'!$C35&amp;"")</f>
        <v/>
      </c>
      <c r="C44" s="8" t="str">
        <f>IF('Production Inventory'!$D35="","",'Production Inventory'!$D35&amp;"")</f>
        <v/>
      </c>
      <c r="D44" s="8" t="str">
        <f>IF('Production Inventory'!$D35="","",'Production Inventory'!$E35&amp;"")</f>
        <v/>
      </c>
      <c r="E44" s="8" t="str">
        <f>IF('Production Inventory'!$D35="","",'Production Inventory'!$F35&amp;"")</f>
        <v/>
      </c>
      <c r="F44" s="8" t="str">
        <f>IF('Production Inventory'!$D35="","",'Production Inventory'!$G35&amp;"")</f>
        <v/>
      </c>
      <c r="G44" s="8" t="str">
        <f>IF('Production Inventory'!$D35="","",'Production Inventory'!$V35&amp;"")</f>
        <v/>
      </c>
      <c r="H44" s="8" t="str">
        <f>IF('Production Inventory'!$D35="","",'Production Inventory'!$H35&amp;"")</f>
        <v/>
      </c>
      <c r="I44" s="8" t="str">
        <f>IF('Production Inventory'!$D35="","",'Production Inventory'!$I35&amp;"")</f>
        <v/>
      </c>
      <c r="J44" s="31" t="str">
        <f>IF('Production Inventory'!$Q35="","",HYPERLINK('Production Inventory'!$Q35,"Jira"))</f>
        <v/>
      </c>
      <c r="K44" s="31" t="str">
        <f>IF('Production Inventory'!$R35="","",HYPERLINK('Production Inventory'!$R35,"ClickUp"))</f>
        <v/>
      </c>
      <c r="L44" s="31" t="str">
        <f>IF('Production Inventory'!$S35="","",HYPERLINK('Production Inventory'!$S35,"Bluecore"))</f>
        <v/>
      </c>
    </row>
    <row r="45" spans="1:12" ht="24" customHeight="1">
      <c r="A45" s="9" t="str">
        <f>IF('Production Inventory'!$D36="","",'Production Inventory'!$B36)</f>
        <v/>
      </c>
      <c r="B45" s="10" t="str">
        <f>IF('Production Inventory'!$D36="","",'Production Inventory'!$C36&amp;"")</f>
        <v/>
      </c>
      <c r="C45" s="8" t="str">
        <f>IF('Production Inventory'!$D36="","",'Production Inventory'!$D36&amp;"")</f>
        <v/>
      </c>
      <c r="D45" s="8" t="str">
        <f>IF('Production Inventory'!$D36="","",'Production Inventory'!$E36&amp;"")</f>
        <v/>
      </c>
      <c r="E45" s="8" t="str">
        <f>IF('Production Inventory'!$D36="","",'Production Inventory'!$F36&amp;"")</f>
        <v/>
      </c>
      <c r="F45" s="8" t="str">
        <f>IF('Production Inventory'!$D36="","",'Production Inventory'!$G36&amp;"")</f>
        <v/>
      </c>
      <c r="G45" s="8" t="str">
        <f>IF('Production Inventory'!$D36="","",'Production Inventory'!$V36&amp;"")</f>
        <v/>
      </c>
      <c r="H45" s="8" t="str">
        <f>IF('Production Inventory'!$D36="","",'Production Inventory'!$H36&amp;"")</f>
        <v/>
      </c>
      <c r="I45" s="8" t="str">
        <f>IF('Production Inventory'!$D36="","",'Production Inventory'!$I36&amp;"")</f>
        <v/>
      </c>
      <c r="J45" s="31" t="str">
        <f>IF('Production Inventory'!$Q36="","",HYPERLINK('Production Inventory'!$Q36,"Jira"))</f>
        <v/>
      </c>
      <c r="K45" s="31" t="str">
        <f>IF('Production Inventory'!$R36="","",HYPERLINK('Production Inventory'!$R36,"ClickUp"))</f>
        <v/>
      </c>
      <c r="L45" s="31" t="str">
        <f>IF('Production Inventory'!$S36="","",HYPERLINK('Production Inventory'!$S36,"Bluecore"))</f>
        <v/>
      </c>
    </row>
    <row r="46" spans="1:12" ht="24" customHeight="1">
      <c r="A46" s="9" t="str">
        <f>IF('Production Inventory'!$D37="","",'Production Inventory'!$B37)</f>
        <v/>
      </c>
      <c r="B46" s="10" t="str">
        <f>IF('Production Inventory'!$D37="","",'Production Inventory'!$C37&amp;"")</f>
        <v/>
      </c>
      <c r="C46" s="8" t="str">
        <f>IF('Production Inventory'!$D37="","",'Production Inventory'!$D37&amp;"")</f>
        <v/>
      </c>
      <c r="D46" s="8" t="str">
        <f>IF('Production Inventory'!$D37="","",'Production Inventory'!$E37&amp;"")</f>
        <v/>
      </c>
      <c r="E46" s="8" t="str">
        <f>IF('Production Inventory'!$D37="","",'Production Inventory'!$F37&amp;"")</f>
        <v/>
      </c>
      <c r="F46" s="8" t="str">
        <f>IF('Production Inventory'!$D37="","",'Production Inventory'!$G37&amp;"")</f>
        <v/>
      </c>
      <c r="G46" s="8" t="str">
        <f>IF('Production Inventory'!$D37="","",'Production Inventory'!$V37&amp;"")</f>
        <v/>
      </c>
      <c r="H46" s="8" t="str">
        <f>IF('Production Inventory'!$D37="","",'Production Inventory'!$H37&amp;"")</f>
        <v/>
      </c>
      <c r="I46" s="8" t="str">
        <f>IF('Production Inventory'!$D37="","",'Production Inventory'!$I37&amp;"")</f>
        <v/>
      </c>
      <c r="J46" s="31" t="str">
        <f>IF('Production Inventory'!$Q37="","",HYPERLINK('Production Inventory'!$Q37,"Jira"))</f>
        <v/>
      </c>
      <c r="K46" s="31" t="str">
        <f>IF('Production Inventory'!$R37="","",HYPERLINK('Production Inventory'!$R37,"ClickUp"))</f>
        <v/>
      </c>
      <c r="L46" s="31" t="str">
        <f>IF('Production Inventory'!$S37="","",HYPERLINK('Production Inventory'!$S37,"Bluecore"))</f>
        <v/>
      </c>
    </row>
    <row r="47" spans="1:12" ht="24" customHeight="1">
      <c r="A47" s="9" t="str">
        <f>IF('Production Inventory'!$D38="","",'Production Inventory'!$B38)</f>
        <v/>
      </c>
      <c r="B47" s="10" t="str">
        <f>IF('Production Inventory'!$D38="","",'Production Inventory'!$C38&amp;"")</f>
        <v/>
      </c>
      <c r="C47" s="8" t="str">
        <f>IF('Production Inventory'!$D38="","",'Production Inventory'!$D38&amp;"")</f>
        <v/>
      </c>
      <c r="D47" s="8" t="str">
        <f>IF('Production Inventory'!$D38="","",'Production Inventory'!$E38&amp;"")</f>
        <v/>
      </c>
      <c r="E47" s="8" t="str">
        <f>IF('Production Inventory'!$D38="","",'Production Inventory'!$F38&amp;"")</f>
        <v/>
      </c>
      <c r="F47" s="8" t="str">
        <f>IF('Production Inventory'!$D38="","",'Production Inventory'!$G38&amp;"")</f>
        <v/>
      </c>
      <c r="G47" s="8" t="str">
        <f>IF('Production Inventory'!$D38="","",'Production Inventory'!$V38&amp;"")</f>
        <v/>
      </c>
      <c r="H47" s="8" t="str">
        <f>IF('Production Inventory'!$D38="","",'Production Inventory'!$H38&amp;"")</f>
        <v/>
      </c>
      <c r="I47" s="8" t="str">
        <f>IF('Production Inventory'!$D38="","",'Production Inventory'!$I38&amp;"")</f>
        <v/>
      </c>
      <c r="J47" s="31" t="str">
        <f>IF('Production Inventory'!$Q38="","",HYPERLINK('Production Inventory'!$Q38,"Jira"))</f>
        <v/>
      </c>
      <c r="K47" s="31" t="str">
        <f>IF('Production Inventory'!$R38="","",HYPERLINK('Production Inventory'!$R38,"ClickUp"))</f>
        <v/>
      </c>
      <c r="L47" s="31" t="str">
        <f>IF('Production Inventory'!$S38="","",HYPERLINK('Production Inventory'!$S38,"Bluecore"))</f>
        <v/>
      </c>
    </row>
    <row r="48" spans="1:12" ht="24" customHeight="1">
      <c r="A48" s="9" t="str">
        <f>IF('Production Inventory'!$D39="","",'Production Inventory'!$B39)</f>
        <v/>
      </c>
      <c r="B48" s="10" t="str">
        <f>IF('Production Inventory'!$D39="","",'Production Inventory'!$C39&amp;"")</f>
        <v/>
      </c>
      <c r="C48" s="8" t="str">
        <f>IF('Production Inventory'!$D39="","",'Production Inventory'!$D39&amp;"")</f>
        <v/>
      </c>
      <c r="D48" s="8" t="str">
        <f>IF('Production Inventory'!$D39="","",'Production Inventory'!$E39&amp;"")</f>
        <v/>
      </c>
      <c r="E48" s="8" t="str">
        <f>IF('Production Inventory'!$D39="","",'Production Inventory'!$F39&amp;"")</f>
        <v/>
      </c>
      <c r="F48" s="8" t="str">
        <f>IF('Production Inventory'!$D39="","",'Production Inventory'!$G39&amp;"")</f>
        <v/>
      </c>
      <c r="G48" s="8" t="str">
        <f>IF('Production Inventory'!$D39="","",'Production Inventory'!$V39&amp;"")</f>
        <v/>
      </c>
      <c r="H48" s="8" t="str">
        <f>IF('Production Inventory'!$D39="","",'Production Inventory'!$H39&amp;"")</f>
        <v/>
      </c>
      <c r="I48" s="8" t="str">
        <f>IF('Production Inventory'!$D39="","",'Production Inventory'!$I39&amp;"")</f>
        <v/>
      </c>
      <c r="J48" s="31" t="str">
        <f>IF('Production Inventory'!$Q39="","",HYPERLINK('Production Inventory'!$Q39,"Jira"))</f>
        <v/>
      </c>
      <c r="K48" s="31" t="str">
        <f>IF('Production Inventory'!$R39="","",HYPERLINK('Production Inventory'!$R39,"ClickUp"))</f>
        <v/>
      </c>
      <c r="L48" s="31" t="str">
        <f>IF('Production Inventory'!$S39="","",HYPERLINK('Production Inventory'!$S39,"Bluecore"))</f>
        <v/>
      </c>
    </row>
    <row r="49" spans="1:12" ht="24" customHeight="1">
      <c r="A49" s="9" t="str">
        <f>IF('Production Inventory'!$D40="","",'Production Inventory'!$B40)</f>
        <v/>
      </c>
      <c r="B49" s="10" t="str">
        <f>IF('Production Inventory'!$D40="","",'Production Inventory'!$C40&amp;"")</f>
        <v/>
      </c>
      <c r="C49" s="8" t="str">
        <f>IF('Production Inventory'!$D40="","",'Production Inventory'!$D40&amp;"")</f>
        <v/>
      </c>
      <c r="D49" s="8" t="str">
        <f>IF('Production Inventory'!$D40="","",'Production Inventory'!$E40&amp;"")</f>
        <v/>
      </c>
      <c r="E49" s="8" t="str">
        <f>IF('Production Inventory'!$D40="","",'Production Inventory'!$F40&amp;"")</f>
        <v/>
      </c>
      <c r="F49" s="8" t="str">
        <f>IF('Production Inventory'!$D40="","",'Production Inventory'!$G40&amp;"")</f>
        <v/>
      </c>
      <c r="G49" s="8" t="str">
        <f>IF('Production Inventory'!$D40="","",'Production Inventory'!$V40&amp;"")</f>
        <v/>
      </c>
      <c r="H49" s="8" t="str">
        <f>IF('Production Inventory'!$D40="","",'Production Inventory'!$H40&amp;"")</f>
        <v/>
      </c>
      <c r="I49" s="8" t="str">
        <f>IF('Production Inventory'!$D40="","",'Production Inventory'!$I40&amp;"")</f>
        <v/>
      </c>
      <c r="J49" s="31" t="str">
        <f>IF('Production Inventory'!$Q40="","",HYPERLINK('Production Inventory'!$Q40,"Jira"))</f>
        <v/>
      </c>
      <c r="K49" s="31" t="str">
        <f>IF('Production Inventory'!$R40="","",HYPERLINK('Production Inventory'!$R40,"ClickUp"))</f>
        <v/>
      </c>
      <c r="L49" s="31" t="str">
        <f>IF('Production Inventory'!$S40="","",HYPERLINK('Production Inventory'!$S40,"Bluecore"))</f>
        <v/>
      </c>
    </row>
    <row r="50" spans="1:12" ht="24" customHeight="1">
      <c r="A50" s="9" t="str">
        <f>IF('Production Inventory'!$D41="","",'Production Inventory'!$B41)</f>
        <v/>
      </c>
      <c r="B50" s="10" t="str">
        <f>IF('Production Inventory'!$D41="","",'Production Inventory'!$C41&amp;"")</f>
        <v/>
      </c>
      <c r="C50" s="8" t="str">
        <f>IF('Production Inventory'!$D41="","",'Production Inventory'!$D41&amp;"")</f>
        <v/>
      </c>
      <c r="D50" s="8" t="str">
        <f>IF('Production Inventory'!$D41="","",'Production Inventory'!$E41&amp;"")</f>
        <v/>
      </c>
      <c r="E50" s="8" t="str">
        <f>IF('Production Inventory'!$D41="","",'Production Inventory'!$F41&amp;"")</f>
        <v/>
      </c>
      <c r="F50" s="8" t="str">
        <f>IF('Production Inventory'!$D41="","",'Production Inventory'!$G41&amp;"")</f>
        <v/>
      </c>
      <c r="G50" s="8" t="str">
        <f>IF('Production Inventory'!$D41="","",'Production Inventory'!$V41&amp;"")</f>
        <v/>
      </c>
      <c r="H50" s="8" t="str">
        <f>IF('Production Inventory'!$D41="","",'Production Inventory'!$H41&amp;"")</f>
        <v/>
      </c>
      <c r="I50" s="8" t="str">
        <f>IF('Production Inventory'!$D41="","",'Production Inventory'!$I41&amp;"")</f>
        <v/>
      </c>
      <c r="J50" s="31" t="str">
        <f>IF('Production Inventory'!$Q41="","",HYPERLINK('Production Inventory'!$Q41,"Jira"))</f>
        <v/>
      </c>
      <c r="K50" s="31" t="str">
        <f>IF('Production Inventory'!$R41="","",HYPERLINK('Production Inventory'!$R41,"ClickUp"))</f>
        <v/>
      </c>
      <c r="L50" s="31" t="str">
        <f>IF('Production Inventory'!$S41="","",HYPERLINK('Production Inventory'!$S41,"Bluecore"))</f>
        <v/>
      </c>
    </row>
    <row r="51" spans="1:12" ht="24" customHeight="1">
      <c r="A51" s="9" t="str">
        <f>IF('Production Inventory'!$D42="","",'Production Inventory'!$B42)</f>
        <v/>
      </c>
      <c r="B51" s="10" t="str">
        <f>IF('Production Inventory'!$D42="","",'Production Inventory'!$C42&amp;"")</f>
        <v/>
      </c>
      <c r="C51" s="8" t="str">
        <f>IF('Production Inventory'!$D42="","",'Production Inventory'!$D42&amp;"")</f>
        <v/>
      </c>
      <c r="D51" s="8" t="str">
        <f>IF('Production Inventory'!$D42="","",'Production Inventory'!$E42&amp;"")</f>
        <v/>
      </c>
      <c r="E51" s="8" t="str">
        <f>IF('Production Inventory'!$D42="","",'Production Inventory'!$F42&amp;"")</f>
        <v/>
      </c>
      <c r="F51" s="8" t="str">
        <f>IF('Production Inventory'!$D42="","",'Production Inventory'!$G42&amp;"")</f>
        <v/>
      </c>
      <c r="G51" s="8" t="str">
        <f>IF('Production Inventory'!$D42="","",'Production Inventory'!$V42&amp;"")</f>
        <v/>
      </c>
      <c r="H51" s="8" t="str">
        <f>IF('Production Inventory'!$D42="","",'Production Inventory'!$H42&amp;"")</f>
        <v/>
      </c>
      <c r="I51" s="8" t="str">
        <f>IF('Production Inventory'!$D42="","",'Production Inventory'!$I42&amp;"")</f>
        <v/>
      </c>
      <c r="J51" s="31" t="str">
        <f>IF('Production Inventory'!$Q42="","",HYPERLINK('Production Inventory'!$Q42,"Jira"))</f>
        <v/>
      </c>
      <c r="K51" s="31" t="str">
        <f>IF('Production Inventory'!$R42="","",HYPERLINK('Production Inventory'!$R42,"ClickUp"))</f>
        <v/>
      </c>
      <c r="L51" s="31" t="str">
        <f>IF('Production Inventory'!$S42="","",HYPERLINK('Production Inventory'!$S42,"Bluecore"))</f>
        <v/>
      </c>
    </row>
    <row r="52" spans="1:12" ht="24" customHeight="1">
      <c r="A52" s="9" t="str">
        <f>IF('Production Inventory'!$D43="","",'Production Inventory'!$B43)</f>
        <v/>
      </c>
      <c r="B52" s="10" t="str">
        <f>IF('Production Inventory'!$D43="","",'Production Inventory'!$C43&amp;"")</f>
        <v/>
      </c>
      <c r="C52" s="8" t="str">
        <f>IF('Production Inventory'!$D43="","",'Production Inventory'!$D43&amp;"")</f>
        <v/>
      </c>
      <c r="D52" s="8" t="str">
        <f>IF('Production Inventory'!$D43="","",'Production Inventory'!$E43&amp;"")</f>
        <v/>
      </c>
      <c r="E52" s="8" t="str">
        <f>IF('Production Inventory'!$D43="","",'Production Inventory'!$F43&amp;"")</f>
        <v/>
      </c>
      <c r="F52" s="8" t="str">
        <f>IF('Production Inventory'!$D43="","",'Production Inventory'!$G43&amp;"")</f>
        <v/>
      </c>
      <c r="G52" s="8" t="str">
        <f>IF('Production Inventory'!$D43="","",'Production Inventory'!$V43&amp;"")</f>
        <v/>
      </c>
      <c r="H52" s="8" t="str">
        <f>IF('Production Inventory'!$D43="","",'Production Inventory'!$H43&amp;"")</f>
        <v/>
      </c>
      <c r="I52" s="8" t="str">
        <f>IF('Production Inventory'!$D43="","",'Production Inventory'!$I43&amp;"")</f>
        <v/>
      </c>
      <c r="J52" s="31" t="str">
        <f>IF('Production Inventory'!$Q43="","",HYPERLINK('Production Inventory'!$Q43,"Jira"))</f>
        <v/>
      </c>
      <c r="K52" s="31" t="str">
        <f>IF('Production Inventory'!$R43="","",HYPERLINK('Production Inventory'!$R43,"ClickUp"))</f>
        <v/>
      </c>
      <c r="L52" s="31" t="str">
        <f>IF('Production Inventory'!$S43="","",HYPERLINK('Production Inventory'!$S43,"Bluecore"))</f>
        <v/>
      </c>
    </row>
    <row r="53" spans="1:12" ht="24" customHeight="1">
      <c r="A53" s="9" t="str">
        <f>IF('Production Inventory'!$D44="","",'Production Inventory'!$B44)</f>
        <v/>
      </c>
      <c r="B53" s="10" t="str">
        <f>IF('Production Inventory'!$D44="","",'Production Inventory'!$C44&amp;"")</f>
        <v/>
      </c>
      <c r="C53" s="8" t="str">
        <f>IF('Production Inventory'!$D44="","",'Production Inventory'!$D44&amp;"")</f>
        <v/>
      </c>
      <c r="D53" s="8" t="str">
        <f>IF('Production Inventory'!$D44="","",'Production Inventory'!$E44&amp;"")</f>
        <v/>
      </c>
      <c r="E53" s="8" t="str">
        <f>IF('Production Inventory'!$D44="","",'Production Inventory'!$F44&amp;"")</f>
        <v/>
      </c>
      <c r="F53" s="8" t="str">
        <f>IF('Production Inventory'!$D44="","",'Production Inventory'!$G44&amp;"")</f>
        <v/>
      </c>
      <c r="G53" s="8" t="str">
        <f>IF('Production Inventory'!$D44="","",'Production Inventory'!$V44&amp;"")</f>
        <v/>
      </c>
      <c r="H53" s="8" t="str">
        <f>IF('Production Inventory'!$D44="","",'Production Inventory'!$H44&amp;"")</f>
        <v/>
      </c>
      <c r="I53" s="8" t="str">
        <f>IF('Production Inventory'!$D44="","",'Production Inventory'!$I44&amp;"")</f>
        <v/>
      </c>
      <c r="J53" s="31" t="str">
        <f>IF('Production Inventory'!$Q44="","",HYPERLINK('Production Inventory'!$Q44,"Jira"))</f>
        <v/>
      </c>
      <c r="K53" s="31" t="str">
        <f>IF('Production Inventory'!$R44="","",HYPERLINK('Production Inventory'!$R44,"ClickUp"))</f>
        <v/>
      </c>
      <c r="L53" s="31" t="str">
        <f>IF('Production Inventory'!$S44="","",HYPERLINK('Production Inventory'!$S44,"Bluecore"))</f>
        <v/>
      </c>
    </row>
    <row r="54" spans="1:12" ht="24" customHeight="1">
      <c r="A54" s="9" t="str">
        <f>IF('Production Inventory'!$D45="","",'Production Inventory'!$B45)</f>
        <v/>
      </c>
      <c r="B54" s="10" t="str">
        <f>IF('Production Inventory'!$D45="","",'Production Inventory'!$C45&amp;"")</f>
        <v/>
      </c>
      <c r="C54" s="8" t="str">
        <f>IF('Production Inventory'!$D45="","",'Production Inventory'!$D45&amp;"")</f>
        <v/>
      </c>
      <c r="D54" s="8" t="str">
        <f>IF('Production Inventory'!$D45="","",'Production Inventory'!$E45&amp;"")</f>
        <v/>
      </c>
      <c r="E54" s="8" t="str">
        <f>IF('Production Inventory'!$D45="","",'Production Inventory'!$F45&amp;"")</f>
        <v/>
      </c>
      <c r="F54" s="8" t="str">
        <f>IF('Production Inventory'!$D45="","",'Production Inventory'!$G45&amp;"")</f>
        <v/>
      </c>
      <c r="G54" s="8" t="str">
        <f>IF('Production Inventory'!$D45="","",'Production Inventory'!$V45&amp;"")</f>
        <v/>
      </c>
      <c r="H54" s="8" t="str">
        <f>IF('Production Inventory'!$D45="","",'Production Inventory'!$H45&amp;"")</f>
        <v/>
      </c>
      <c r="I54" s="8" t="str">
        <f>IF('Production Inventory'!$D45="","",'Production Inventory'!$I45&amp;"")</f>
        <v/>
      </c>
      <c r="J54" s="31" t="str">
        <f>IF('Production Inventory'!$Q45="","",HYPERLINK('Production Inventory'!$Q45,"Jira"))</f>
        <v/>
      </c>
      <c r="K54" s="31" t="str">
        <f>IF('Production Inventory'!$R45="","",HYPERLINK('Production Inventory'!$R45,"ClickUp"))</f>
        <v/>
      </c>
      <c r="L54" s="31" t="str">
        <f>IF('Production Inventory'!$S45="","",HYPERLINK('Production Inventory'!$S45,"Bluecore"))</f>
        <v/>
      </c>
    </row>
    <row r="55" spans="1:12" ht="24" customHeight="1">
      <c r="A55" s="9" t="str">
        <f>IF('Production Inventory'!$D46="","",'Production Inventory'!$B46)</f>
        <v/>
      </c>
      <c r="B55" s="10" t="str">
        <f>IF('Production Inventory'!$D46="","",'Production Inventory'!$C46&amp;"")</f>
        <v/>
      </c>
      <c r="C55" s="8" t="str">
        <f>IF('Production Inventory'!$D46="","",'Production Inventory'!$D46&amp;"")</f>
        <v/>
      </c>
      <c r="D55" s="8" t="str">
        <f>IF('Production Inventory'!$D46="","",'Production Inventory'!$E46&amp;"")</f>
        <v/>
      </c>
      <c r="E55" s="8" t="str">
        <f>IF('Production Inventory'!$D46="","",'Production Inventory'!$F46&amp;"")</f>
        <v/>
      </c>
      <c r="F55" s="8" t="str">
        <f>IF('Production Inventory'!$D46="","",'Production Inventory'!$G46&amp;"")</f>
        <v/>
      </c>
      <c r="G55" s="8" t="str">
        <f>IF('Production Inventory'!$D46="","",'Production Inventory'!$V46&amp;"")</f>
        <v/>
      </c>
      <c r="H55" s="8" t="str">
        <f>IF('Production Inventory'!$D46="","",'Production Inventory'!$H46&amp;"")</f>
        <v/>
      </c>
      <c r="I55" s="8" t="str">
        <f>IF('Production Inventory'!$D46="","",'Production Inventory'!$I46&amp;"")</f>
        <v/>
      </c>
      <c r="J55" s="31" t="str">
        <f>IF('Production Inventory'!$Q46="","",HYPERLINK('Production Inventory'!$Q46,"Jira"))</f>
        <v/>
      </c>
      <c r="K55" s="31" t="str">
        <f>IF('Production Inventory'!$R46="","",HYPERLINK('Production Inventory'!$R46,"ClickUp"))</f>
        <v/>
      </c>
      <c r="L55" s="31" t="str">
        <f>IF('Production Inventory'!$S46="","",HYPERLINK('Production Inventory'!$S46,"Bluecore"))</f>
        <v/>
      </c>
    </row>
    <row r="56" spans="1:12" ht="24" customHeight="1">
      <c r="A56" s="9" t="str">
        <f>IF('Production Inventory'!$D47="","",'Production Inventory'!$B47)</f>
        <v/>
      </c>
      <c r="B56" s="10" t="str">
        <f>IF('Production Inventory'!$D47="","",'Production Inventory'!$C47&amp;"")</f>
        <v/>
      </c>
      <c r="C56" s="8" t="str">
        <f>IF('Production Inventory'!$D47="","",'Production Inventory'!$D47&amp;"")</f>
        <v/>
      </c>
      <c r="D56" s="8" t="str">
        <f>IF('Production Inventory'!$D47="","",'Production Inventory'!$E47&amp;"")</f>
        <v/>
      </c>
      <c r="E56" s="8" t="str">
        <f>IF('Production Inventory'!$D47="","",'Production Inventory'!$F47&amp;"")</f>
        <v/>
      </c>
      <c r="F56" s="8" t="str">
        <f>IF('Production Inventory'!$D47="","",'Production Inventory'!$G47&amp;"")</f>
        <v/>
      </c>
      <c r="G56" s="8" t="str">
        <f>IF('Production Inventory'!$D47="","",'Production Inventory'!$V47&amp;"")</f>
        <v/>
      </c>
      <c r="H56" s="8" t="str">
        <f>IF('Production Inventory'!$D47="","",'Production Inventory'!$H47&amp;"")</f>
        <v/>
      </c>
      <c r="I56" s="8" t="str">
        <f>IF('Production Inventory'!$D47="","",'Production Inventory'!$I47&amp;"")</f>
        <v/>
      </c>
      <c r="J56" s="31" t="str">
        <f>IF('Production Inventory'!$Q47="","",HYPERLINK('Production Inventory'!$Q47,"Jira"))</f>
        <v/>
      </c>
      <c r="K56" s="31" t="str">
        <f>IF('Production Inventory'!$R47="","",HYPERLINK('Production Inventory'!$R47,"ClickUp"))</f>
        <v/>
      </c>
      <c r="L56" s="31" t="str">
        <f>IF('Production Inventory'!$S47="","",HYPERLINK('Production Inventory'!$S47,"Bluecore"))</f>
        <v/>
      </c>
    </row>
    <row r="57" spans="1:12" ht="24" customHeight="1">
      <c r="A57" s="9" t="str">
        <f>IF('Production Inventory'!$D48="","",'Production Inventory'!$B48)</f>
        <v/>
      </c>
      <c r="B57" s="10" t="str">
        <f>IF('Production Inventory'!$D48="","",'Production Inventory'!$C48&amp;"")</f>
        <v/>
      </c>
      <c r="C57" s="8" t="str">
        <f>IF('Production Inventory'!$D48="","",'Production Inventory'!$D48&amp;"")</f>
        <v/>
      </c>
      <c r="D57" s="8" t="str">
        <f>IF('Production Inventory'!$D48="","",'Production Inventory'!$E48&amp;"")</f>
        <v/>
      </c>
      <c r="E57" s="8" t="str">
        <f>IF('Production Inventory'!$D48="","",'Production Inventory'!$F48&amp;"")</f>
        <v/>
      </c>
      <c r="F57" s="8" t="str">
        <f>IF('Production Inventory'!$D48="","",'Production Inventory'!$G48&amp;"")</f>
        <v/>
      </c>
      <c r="G57" s="8" t="str">
        <f>IF('Production Inventory'!$D48="","",'Production Inventory'!$V48&amp;"")</f>
        <v/>
      </c>
      <c r="H57" s="8" t="str">
        <f>IF('Production Inventory'!$D48="","",'Production Inventory'!$H48&amp;"")</f>
        <v/>
      </c>
      <c r="I57" s="8" t="str">
        <f>IF('Production Inventory'!$D48="","",'Production Inventory'!$I48&amp;"")</f>
        <v/>
      </c>
      <c r="J57" s="31" t="str">
        <f>IF('Production Inventory'!$Q48="","",HYPERLINK('Production Inventory'!$Q48,"Jira"))</f>
        <v/>
      </c>
      <c r="K57" s="31" t="str">
        <f>IF('Production Inventory'!$R48="","",HYPERLINK('Production Inventory'!$R48,"ClickUp"))</f>
        <v/>
      </c>
      <c r="L57" s="31" t="str">
        <f>IF('Production Inventory'!$S48="","",HYPERLINK('Production Inventory'!$S48,"Bluecore"))</f>
        <v/>
      </c>
    </row>
    <row r="58" spans="1:12" ht="24" customHeight="1">
      <c r="A58" s="9" t="str">
        <f>IF('Production Inventory'!$D49="","",'Production Inventory'!$B49)</f>
        <v/>
      </c>
      <c r="B58" s="10" t="str">
        <f>IF('Production Inventory'!$D49="","",'Production Inventory'!$C49&amp;"")</f>
        <v/>
      </c>
      <c r="C58" s="8" t="str">
        <f>IF('Production Inventory'!$D49="","",'Production Inventory'!$D49&amp;"")</f>
        <v/>
      </c>
      <c r="D58" s="8" t="str">
        <f>IF('Production Inventory'!$D49="","",'Production Inventory'!$E49&amp;"")</f>
        <v/>
      </c>
      <c r="E58" s="8" t="str">
        <f>IF('Production Inventory'!$D49="","",'Production Inventory'!$F49&amp;"")</f>
        <v/>
      </c>
      <c r="F58" s="8" t="str">
        <f>IF('Production Inventory'!$D49="","",'Production Inventory'!$G49&amp;"")</f>
        <v/>
      </c>
      <c r="G58" s="8" t="str">
        <f>IF('Production Inventory'!$D49="","",'Production Inventory'!$V49&amp;"")</f>
        <v/>
      </c>
      <c r="H58" s="8" t="str">
        <f>IF('Production Inventory'!$D49="","",'Production Inventory'!$H49&amp;"")</f>
        <v/>
      </c>
      <c r="I58" s="8" t="str">
        <f>IF('Production Inventory'!$D49="","",'Production Inventory'!$I49&amp;"")</f>
        <v/>
      </c>
      <c r="J58" s="31" t="str">
        <f>IF('Production Inventory'!$Q49="","",HYPERLINK('Production Inventory'!$Q49,"Jira"))</f>
        <v/>
      </c>
      <c r="K58" s="31" t="str">
        <f>IF('Production Inventory'!$R49="","",HYPERLINK('Production Inventory'!$R49,"ClickUp"))</f>
        <v/>
      </c>
      <c r="L58" s="31" t="str">
        <f>IF('Production Inventory'!$S49="","",HYPERLINK('Production Inventory'!$S49,"Bluecore"))</f>
        <v/>
      </c>
    </row>
    <row r="59" spans="1:12" ht="24" customHeight="1">
      <c r="A59" s="9" t="str">
        <f>IF('Production Inventory'!$D50="","",'Production Inventory'!$B50)</f>
        <v/>
      </c>
      <c r="B59" s="10" t="str">
        <f>IF('Production Inventory'!$D50="","",'Production Inventory'!$C50&amp;"")</f>
        <v/>
      </c>
      <c r="C59" s="8" t="str">
        <f>IF('Production Inventory'!$D50="","",'Production Inventory'!$D50&amp;"")</f>
        <v/>
      </c>
      <c r="D59" s="8" t="str">
        <f>IF('Production Inventory'!$D50="","",'Production Inventory'!$E50&amp;"")</f>
        <v/>
      </c>
      <c r="E59" s="8" t="str">
        <f>IF('Production Inventory'!$D50="","",'Production Inventory'!$F50&amp;"")</f>
        <v/>
      </c>
      <c r="F59" s="8" t="str">
        <f>IF('Production Inventory'!$D50="","",'Production Inventory'!$G50&amp;"")</f>
        <v/>
      </c>
      <c r="G59" s="8" t="str">
        <f>IF('Production Inventory'!$D50="","",'Production Inventory'!$V50&amp;"")</f>
        <v/>
      </c>
      <c r="H59" s="8" t="str">
        <f>IF('Production Inventory'!$D50="","",'Production Inventory'!$H50&amp;"")</f>
        <v/>
      </c>
      <c r="I59" s="8" t="str">
        <f>IF('Production Inventory'!$D50="","",'Production Inventory'!$I50&amp;"")</f>
        <v/>
      </c>
      <c r="J59" s="31" t="str">
        <f>IF('Production Inventory'!$Q50="","",HYPERLINK('Production Inventory'!$Q50,"Jira"))</f>
        <v/>
      </c>
      <c r="K59" s="31" t="str">
        <f>IF('Production Inventory'!$R50="","",HYPERLINK('Production Inventory'!$R50,"ClickUp"))</f>
        <v/>
      </c>
      <c r="L59" s="31" t="str">
        <f>IF('Production Inventory'!$S50="","",HYPERLINK('Production Inventory'!$S50,"Bluecore"))</f>
        <v/>
      </c>
    </row>
    <row r="60" spans="1:12" ht="24" customHeight="1">
      <c r="A60" s="9" t="str">
        <f>IF('Production Inventory'!$D51="","",'Production Inventory'!$B51)</f>
        <v/>
      </c>
      <c r="B60" s="10" t="str">
        <f>IF('Production Inventory'!$D51="","",'Production Inventory'!$C51&amp;"")</f>
        <v/>
      </c>
      <c r="C60" s="8" t="str">
        <f>IF('Production Inventory'!$D51="","",'Production Inventory'!$D51&amp;"")</f>
        <v/>
      </c>
      <c r="D60" s="8" t="str">
        <f>IF('Production Inventory'!$D51="","",'Production Inventory'!$E51&amp;"")</f>
        <v/>
      </c>
      <c r="E60" s="8" t="str">
        <f>IF('Production Inventory'!$D51="","",'Production Inventory'!$F51&amp;"")</f>
        <v/>
      </c>
      <c r="F60" s="8" t="str">
        <f>IF('Production Inventory'!$D51="","",'Production Inventory'!$G51&amp;"")</f>
        <v/>
      </c>
      <c r="G60" s="8" t="str">
        <f>IF('Production Inventory'!$D51="","",'Production Inventory'!$V51&amp;"")</f>
        <v/>
      </c>
      <c r="H60" s="8" t="str">
        <f>IF('Production Inventory'!$D51="","",'Production Inventory'!$H51&amp;"")</f>
        <v/>
      </c>
      <c r="I60" s="8" t="str">
        <f>IF('Production Inventory'!$D51="","",'Production Inventory'!$I51&amp;"")</f>
        <v/>
      </c>
      <c r="J60" s="31" t="str">
        <f>IF('Production Inventory'!$Q51="","",HYPERLINK('Production Inventory'!$Q51,"Jira"))</f>
        <v/>
      </c>
      <c r="K60" s="31" t="str">
        <f>IF('Production Inventory'!$R51="","",HYPERLINK('Production Inventory'!$R51,"ClickUp"))</f>
        <v/>
      </c>
      <c r="L60" s="31" t="str">
        <f>IF('Production Inventory'!$S51="","",HYPERLINK('Production Inventory'!$S51,"Bluecore"))</f>
        <v/>
      </c>
    </row>
    <row r="61" spans="1:12" ht="24" customHeight="1">
      <c r="A61" s="9" t="str">
        <f>IF('Production Inventory'!$D52="","",'Production Inventory'!$B52)</f>
        <v/>
      </c>
      <c r="B61" s="10" t="str">
        <f>IF('Production Inventory'!$D52="","",'Production Inventory'!$C52&amp;"")</f>
        <v/>
      </c>
      <c r="C61" s="8" t="str">
        <f>IF('Production Inventory'!$D52="","",'Production Inventory'!$D52&amp;"")</f>
        <v/>
      </c>
      <c r="D61" s="8" t="str">
        <f>IF('Production Inventory'!$D52="","",'Production Inventory'!$E52&amp;"")</f>
        <v/>
      </c>
      <c r="E61" s="8" t="str">
        <f>IF('Production Inventory'!$D52="","",'Production Inventory'!$F52&amp;"")</f>
        <v/>
      </c>
      <c r="F61" s="8" t="str">
        <f>IF('Production Inventory'!$D52="","",'Production Inventory'!$G52&amp;"")</f>
        <v/>
      </c>
      <c r="G61" s="8" t="str">
        <f>IF('Production Inventory'!$D52="","",'Production Inventory'!$V52&amp;"")</f>
        <v/>
      </c>
      <c r="H61" s="8" t="str">
        <f>IF('Production Inventory'!$D52="","",'Production Inventory'!$H52&amp;"")</f>
        <v/>
      </c>
      <c r="I61" s="8" t="str">
        <f>IF('Production Inventory'!$D52="","",'Production Inventory'!$I52&amp;"")</f>
        <v/>
      </c>
      <c r="J61" s="31" t="str">
        <f>IF('Production Inventory'!$Q52="","",HYPERLINK('Production Inventory'!$Q52,"Jira"))</f>
        <v/>
      </c>
      <c r="K61" s="31" t="str">
        <f>IF('Production Inventory'!$R52="","",HYPERLINK('Production Inventory'!$R52,"ClickUp"))</f>
        <v/>
      </c>
      <c r="L61" s="31" t="str">
        <f>IF('Production Inventory'!$S52="","",HYPERLINK('Production Inventory'!$S52,"Bluecore"))</f>
        <v/>
      </c>
    </row>
    <row r="62" spans="1:12" ht="24" customHeight="1">
      <c r="A62" s="9" t="str">
        <f>IF('Production Inventory'!$D53="","",'Production Inventory'!$B53)</f>
        <v/>
      </c>
      <c r="B62" s="10" t="str">
        <f>IF('Production Inventory'!$D53="","",'Production Inventory'!$C53&amp;"")</f>
        <v/>
      </c>
      <c r="C62" s="8" t="str">
        <f>IF('Production Inventory'!$D53="","",'Production Inventory'!$D53&amp;"")</f>
        <v/>
      </c>
      <c r="D62" s="8" t="str">
        <f>IF('Production Inventory'!$D53="","",'Production Inventory'!$E53&amp;"")</f>
        <v/>
      </c>
      <c r="E62" s="8" t="str">
        <f>IF('Production Inventory'!$D53="","",'Production Inventory'!$F53&amp;"")</f>
        <v/>
      </c>
      <c r="F62" s="8" t="str">
        <f>IF('Production Inventory'!$D53="","",'Production Inventory'!$G53&amp;"")</f>
        <v/>
      </c>
      <c r="G62" s="8" t="str">
        <f>IF('Production Inventory'!$D53="","",'Production Inventory'!$V53&amp;"")</f>
        <v/>
      </c>
      <c r="H62" s="8" t="str">
        <f>IF('Production Inventory'!$D53="","",'Production Inventory'!$H53&amp;"")</f>
        <v/>
      </c>
      <c r="I62" s="8" t="str">
        <f>IF('Production Inventory'!$D53="","",'Production Inventory'!$I53&amp;"")</f>
        <v/>
      </c>
      <c r="J62" s="31" t="str">
        <f>IF('Production Inventory'!$Q53="","",HYPERLINK('Production Inventory'!$Q53,"Jira"))</f>
        <v/>
      </c>
      <c r="K62" s="31" t="str">
        <f>IF('Production Inventory'!$R53="","",HYPERLINK('Production Inventory'!$R53,"ClickUp"))</f>
        <v/>
      </c>
      <c r="L62" s="31" t="str">
        <f>IF('Production Inventory'!$S53="","",HYPERLINK('Production Inventory'!$S53,"Bluecore"))</f>
        <v/>
      </c>
    </row>
    <row r="63" spans="1:12" ht="24" customHeight="1">
      <c r="A63" s="9" t="str">
        <f>IF('Production Inventory'!$D54="","",'Production Inventory'!$B54)</f>
        <v/>
      </c>
      <c r="B63" s="10" t="str">
        <f>IF('Production Inventory'!$D54="","",'Production Inventory'!$C54&amp;"")</f>
        <v/>
      </c>
      <c r="C63" s="8" t="str">
        <f>IF('Production Inventory'!$D54="","",'Production Inventory'!$D54&amp;"")</f>
        <v/>
      </c>
      <c r="D63" s="8" t="str">
        <f>IF('Production Inventory'!$D54="","",'Production Inventory'!$E54&amp;"")</f>
        <v/>
      </c>
      <c r="E63" s="8" t="str">
        <f>IF('Production Inventory'!$D54="","",'Production Inventory'!$F54&amp;"")</f>
        <v/>
      </c>
      <c r="F63" s="8" t="str">
        <f>IF('Production Inventory'!$D54="","",'Production Inventory'!$G54&amp;"")</f>
        <v/>
      </c>
      <c r="G63" s="8" t="str">
        <f>IF('Production Inventory'!$D54="","",'Production Inventory'!$V54&amp;"")</f>
        <v/>
      </c>
      <c r="H63" s="8" t="str">
        <f>IF('Production Inventory'!$D54="","",'Production Inventory'!$H54&amp;"")</f>
        <v/>
      </c>
      <c r="I63" s="8" t="str">
        <f>IF('Production Inventory'!$D54="","",'Production Inventory'!$I54&amp;"")</f>
        <v/>
      </c>
      <c r="J63" s="31" t="str">
        <f>IF('Production Inventory'!$Q54="","",HYPERLINK('Production Inventory'!$Q54,"Jira"))</f>
        <v/>
      </c>
      <c r="K63" s="31" t="str">
        <f>IF('Production Inventory'!$R54="","",HYPERLINK('Production Inventory'!$R54,"ClickUp"))</f>
        <v/>
      </c>
      <c r="L63" s="31" t="str">
        <f>IF('Production Inventory'!$S54="","",HYPERLINK('Production Inventory'!$S54,"Bluecore"))</f>
        <v/>
      </c>
    </row>
    <row r="64" spans="1:12" ht="24" customHeight="1">
      <c r="A64" s="9" t="str">
        <f>IF('Production Inventory'!$D55="","",'Production Inventory'!$B55)</f>
        <v/>
      </c>
      <c r="B64" s="10" t="str">
        <f>IF('Production Inventory'!$D55="","",'Production Inventory'!$C55&amp;"")</f>
        <v/>
      </c>
      <c r="C64" s="8" t="str">
        <f>IF('Production Inventory'!$D55="","",'Production Inventory'!$D55&amp;"")</f>
        <v/>
      </c>
      <c r="D64" s="8" t="str">
        <f>IF('Production Inventory'!$D55="","",'Production Inventory'!$E55&amp;"")</f>
        <v/>
      </c>
      <c r="E64" s="8" t="str">
        <f>IF('Production Inventory'!$D55="","",'Production Inventory'!$F55&amp;"")</f>
        <v/>
      </c>
      <c r="F64" s="8" t="str">
        <f>IF('Production Inventory'!$D55="","",'Production Inventory'!$G55&amp;"")</f>
        <v/>
      </c>
      <c r="G64" s="8" t="str">
        <f>IF('Production Inventory'!$D55="","",'Production Inventory'!$V55&amp;"")</f>
        <v/>
      </c>
      <c r="H64" s="8" t="str">
        <f>IF('Production Inventory'!$D55="","",'Production Inventory'!$H55&amp;"")</f>
        <v/>
      </c>
      <c r="I64" s="8" t="str">
        <f>IF('Production Inventory'!$D55="","",'Production Inventory'!$I55&amp;"")</f>
        <v/>
      </c>
      <c r="J64" s="31" t="str">
        <f>IF('Production Inventory'!$Q55="","",HYPERLINK('Production Inventory'!$Q55,"Jira"))</f>
        <v/>
      </c>
      <c r="K64" s="31" t="str">
        <f>IF('Production Inventory'!$R55="","",HYPERLINK('Production Inventory'!$R55,"ClickUp"))</f>
        <v/>
      </c>
      <c r="L64" s="31" t="str">
        <f>IF('Production Inventory'!$S55="","",HYPERLINK('Production Inventory'!$S55,"Bluecore"))</f>
        <v/>
      </c>
    </row>
    <row r="65" spans="1:12" ht="24" customHeight="1">
      <c r="A65" s="9" t="str">
        <f>IF('Production Inventory'!$D56="","",'Production Inventory'!$B56)</f>
        <v/>
      </c>
      <c r="B65" s="10" t="str">
        <f>IF('Production Inventory'!$D56="","",'Production Inventory'!$C56&amp;"")</f>
        <v/>
      </c>
      <c r="C65" s="8" t="str">
        <f>IF('Production Inventory'!$D56="","",'Production Inventory'!$D56&amp;"")</f>
        <v/>
      </c>
      <c r="D65" s="8" t="str">
        <f>IF('Production Inventory'!$D56="","",'Production Inventory'!$E56&amp;"")</f>
        <v/>
      </c>
      <c r="E65" s="8" t="str">
        <f>IF('Production Inventory'!$D56="","",'Production Inventory'!$F56&amp;"")</f>
        <v/>
      </c>
      <c r="F65" s="8" t="str">
        <f>IF('Production Inventory'!$D56="","",'Production Inventory'!$G56&amp;"")</f>
        <v/>
      </c>
      <c r="G65" s="8" t="str">
        <f>IF('Production Inventory'!$D56="","",'Production Inventory'!$V56&amp;"")</f>
        <v/>
      </c>
      <c r="H65" s="8" t="str">
        <f>IF('Production Inventory'!$D56="","",'Production Inventory'!$H56&amp;"")</f>
        <v/>
      </c>
      <c r="I65" s="8" t="str">
        <f>IF('Production Inventory'!$D56="","",'Production Inventory'!$I56&amp;"")</f>
        <v/>
      </c>
      <c r="J65" s="31" t="str">
        <f>IF('Production Inventory'!$Q56="","",HYPERLINK('Production Inventory'!$Q56,"Jira"))</f>
        <v/>
      </c>
      <c r="K65" s="31" t="str">
        <f>IF('Production Inventory'!$R56="","",HYPERLINK('Production Inventory'!$R56,"ClickUp"))</f>
        <v/>
      </c>
      <c r="L65" s="31" t="str">
        <f>IF('Production Inventory'!$S56="","",HYPERLINK('Production Inventory'!$S56,"Bluecore"))</f>
        <v/>
      </c>
    </row>
    <row r="66" spans="1:12" ht="24" customHeight="1">
      <c r="A66" s="9" t="str">
        <f>IF('Production Inventory'!$D57="","",'Production Inventory'!$B57)</f>
        <v/>
      </c>
      <c r="B66" s="10" t="str">
        <f>IF('Production Inventory'!$D57="","",'Production Inventory'!$C57&amp;"")</f>
        <v/>
      </c>
      <c r="C66" s="8" t="str">
        <f>IF('Production Inventory'!$D57="","",'Production Inventory'!$D57&amp;"")</f>
        <v/>
      </c>
      <c r="D66" s="8" t="str">
        <f>IF('Production Inventory'!$D57="","",'Production Inventory'!$E57&amp;"")</f>
        <v/>
      </c>
      <c r="E66" s="8" t="str">
        <f>IF('Production Inventory'!$D57="","",'Production Inventory'!$F57&amp;"")</f>
        <v/>
      </c>
      <c r="F66" s="8" t="str">
        <f>IF('Production Inventory'!$D57="","",'Production Inventory'!$G57&amp;"")</f>
        <v/>
      </c>
      <c r="G66" s="8" t="str">
        <f>IF('Production Inventory'!$D57="","",'Production Inventory'!$V57&amp;"")</f>
        <v/>
      </c>
      <c r="H66" s="8" t="str">
        <f>IF('Production Inventory'!$D57="","",'Production Inventory'!$H57&amp;"")</f>
        <v/>
      </c>
      <c r="I66" s="8" t="str">
        <f>IF('Production Inventory'!$D57="","",'Production Inventory'!$I57&amp;"")</f>
        <v/>
      </c>
      <c r="J66" s="31" t="str">
        <f>IF('Production Inventory'!$Q57="","",HYPERLINK('Production Inventory'!$Q57,"Jira"))</f>
        <v/>
      </c>
      <c r="K66" s="31" t="str">
        <f>IF('Production Inventory'!$R57="","",HYPERLINK('Production Inventory'!$R57,"ClickUp"))</f>
        <v/>
      </c>
      <c r="L66" s="31" t="str">
        <f>IF('Production Inventory'!$S57="","",HYPERLINK('Production Inventory'!$S57,"Bluecore"))</f>
        <v/>
      </c>
    </row>
    <row r="67" spans="1:12" ht="24" customHeight="1">
      <c r="A67" s="9" t="str">
        <f>IF('Production Inventory'!$D58="","",'Production Inventory'!$B58)</f>
        <v/>
      </c>
      <c r="B67" s="10" t="str">
        <f>IF('Production Inventory'!$D58="","",'Production Inventory'!$C58&amp;"")</f>
        <v/>
      </c>
      <c r="C67" s="8" t="str">
        <f>IF('Production Inventory'!$D58="","",'Production Inventory'!$D58&amp;"")</f>
        <v/>
      </c>
      <c r="D67" s="8" t="str">
        <f>IF('Production Inventory'!$D58="","",'Production Inventory'!$E58&amp;"")</f>
        <v/>
      </c>
      <c r="E67" s="8" t="str">
        <f>IF('Production Inventory'!$D58="","",'Production Inventory'!$F58&amp;"")</f>
        <v/>
      </c>
      <c r="F67" s="8" t="str">
        <f>IF('Production Inventory'!$D58="","",'Production Inventory'!$G58&amp;"")</f>
        <v/>
      </c>
      <c r="G67" s="8" t="str">
        <f>IF('Production Inventory'!$D58="","",'Production Inventory'!$V58&amp;"")</f>
        <v/>
      </c>
      <c r="H67" s="8" t="str">
        <f>IF('Production Inventory'!$D58="","",'Production Inventory'!$H58&amp;"")</f>
        <v/>
      </c>
      <c r="I67" s="8" t="str">
        <f>IF('Production Inventory'!$D58="","",'Production Inventory'!$I58&amp;"")</f>
        <v/>
      </c>
      <c r="J67" s="31" t="str">
        <f>IF('Production Inventory'!$Q58="","",HYPERLINK('Production Inventory'!$Q58,"Jira"))</f>
        <v/>
      </c>
      <c r="K67" s="31" t="str">
        <f>IF('Production Inventory'!$R58="","",HYPERLINK('Production Inventory'!$R58,"ClickUp"))</f>
        <v/>
      </c>
      <c r="L67" s="31" t="str">
        <f>IF('Production Inventory'!$S58="","",HYPERLINK('Production Inventory'!$S58,"Bluecore"))</f>
        <v/>
      </c>
    </row>
    <row r="68" spans="1:12" ht="24" customHeight="1">
      <c r="A68" s="9" t="str">
        <f>IF('Production Inventory'!$D59="","",'Production Inventory'!$B59)</f>
        <v/>
      </c>
      <c r="B68" s="10" t="str">
        <f>IF('Production Inventory'!$D59="","",'Production Inventory'!$C59&amp;"")</f>
        <v/>
      </c>
      <c r="C68" s="8" t="str">
        <f>IF('Production Inventory'!$D59="","",'Production Inventory'!$D59&amp;"")</f>
        <v/>
      </c>
      <c r="D68" s="8" t="str">
        <f>IF('Production Inventory'!$D59="","",'Production Inventory'!$E59&amp;"")</f>
        <v/>
      </c>
      <c r="E68" s="8" t="str">
        <f>IF('Production Inventory'!$D59="","",'Production Inventory'!$F59&amp;"")</f>
        <v/>
      </c>
      <c r="F68" s="8" t="str">
        <f>IF('Production Inventory'!$D59="","",'Production Inventory'!$G59&amp;"")</f>
        <v/>
      </c>
      <c r="G68" s="8" t="str">
        <f>IF('Production Inventory'!$D59="","",'Production Inventory'!$V59&amp;"")</f>
        <v/>
      </c>
      <c r="H68" s="8" t="str">
        <f>IF('Production Inventory'!$D59="","",'Production Inventory'!$H59&amp;"")</f>
        <v/>
      </c>
      <c r="I68" s="8" t="str">
        <f>IF('Production Inventory'!$D59="","",'Production Inventory'!$I59&amp;"")</f>
        <v/>
      </c>
      <c r="J68" s="31" t="str">
        <f>IF('Production Inventory'!$Q59="","",HYPERLINK('Production Inventory'!$Q59,"Jira"))</f>
        <v/>
      </c>
      <c r="K68" s="31" t="str">
        <f>IF('Production Inventory'!$R59="","",HYPERLINK('Production Inventory'!$R59,"ClickUp"))</f>
        <v/>
      </c>
      <c r="L68" s="31" t="str">
        <f>IF('Production Inventory'!$S59="","",HYPERLINK('Production Inventory'!$S59,"Bluecore"))</f>
        <v/>
      </c>
    </row>
    <row r="69" spans="1:12" ht="24" customHeight="1">
      <c r="A69" s="9" t="str">
        <f>IF('Production Inventory'!$D60="","",'Production Inventory'!$B60)</f>
        <v/>
      </c>
      <c r="B69" s="10" t="str">
        <f>IF('Production Inventory'!$D60="","",'Production Inventory'!$C60&amp;"")</f>
        <v/>
      </c>
      <c r="C69" s="8" t="str">
        <f>IF('Production Inventory'!$D60="","",'Production Inventory'!$D60&amp;"")</f>
        <v/>
      </c>
      <c r="D69" s="8" t="str">
        <f>IF('Production Inventory'!$D60="","",'Production Inventory'!$E60&amp;"")</f>
        <v/>
      </c>
      <c r="E69" s="8" t="str">
        <f>IF('Production Inventory'!$D60="","",'Production Inventory'!$F60&amp;"")</f>
        <v/>
      </c>
      <c r="F69" s="8" t="str">
        <f>IF('Production Inventory'!$D60="","",'Production Inventory'!$G60&amp;"")</f>
        <v/>
      </c>
      <c r="G69" s="8" t="str">
        <f>IF('Production Inventory'!$D60="","",'Production Inventory'!$V60&amp;"")</f>
        <v/>
      </c>
      <c r="H69" s="8" t="str">
        <f>IF('Production Inventory'!$D60="","",'Production Inventory'!$H60&amp;"")</f>
        <v/>
      </c>
      <c r="I69" s="8" t="str">
        <f>IF('Production Inventory'!$D60="","",'Production Inventory'!$I60&amp;"")</f>
        <v/>
      </c>
      <c r="J69" s="31" t="str">
        <f>IF('Production Inventory'!$Q60="","",HYPERLINK('Production Inventory'!$Q60,"Jira"))</f>
        <v/>
      </c>
      <c r="K69" s="31" t="str">
        <f>IF('Production Inventory'!$R60="","",HYPERLINK('Production Inventory'!$R60,"ClickUp"))</f>
        <v/>
      </c>
      <c r="L69" s="31" t="str">
        <f>IF('Production Inventory'!$S60="","",HYPERLINK('Production Inventory'!$S60,"Bluecore"))</f>
        <v/>
      </c>
    </row>
    <row r="70" spans="1:12" ht="24" customHeight="1">
      <c r="A70" s="9" t="str">
        <f>IF('Production Inventory'!$D61="","",'Production Inventory'!$B61)</f>
        <v/>
      </c>
      <c r="B70" s="10" t="str">
        <f>IF('Production Inventory'!$D61="","",'Production Inventory'!$C61&amp;"")</f>
        <v/>
      </c>
      <c r="C70" s="8" t="str">
        <f>IF('Production Inventory'!$D61="","",'Production Inventory'!$D61&amp;"")</f>
        <v/>
      </c>
      <c r="D70" s="8" t="str">
        <f>IF('Production Inventory'!$D61="","",'Production Inventory'!$E61&amp;"")</f>
        <v/>
      </c>
      <c r="E70" s="8" t="str">
        <f>IF('Production Inventory'!$D61="","",'Production Inventory'!$F61&amp;"")</f>
        <v/>
      </c>
      <c r="F70" s="8" t="str">
        <f>IF('Production Inventory'!$D61="","",'Production Inventory'!$G61&amp;"")</f>
        <v/>
      </c>
      <c r="G70" s="8" t="str">
        <f>IF('Production Inventory'!$D61="","",'Production Inventory'!$V61&amp;"")</f>
        <v/>
      </c>
      <c r="H70" s="8" t="str">
        <f>IF('Production Inventory'!$D61="","",'Production Inventory'!$H61&amp;"")</f>
        <v/>
      </c>
      <c r="I70" s="8" t="str">
        <f>IF('Production Inventory'!$D61="","",'Production Inventory'!$I61&amp;"")</f>
        <v/>
      </c>
      <c r="J70" s="31" t="str">
        <f>IF('Production Inventory'!$Q61="","",HYPERLINK('Production Inventory'!$Q61,"Jira"))</f>
        <v/>
      </c>
      <c r="K70" s="31" t="str">
        <f>IF('Production Inventory'!$R61="","",HYPERLINK('Production Inventory'!$R61,"ClickUp"))</f>
        <v/>
      </c>
      <c r="L70" s="31" t="str">
        <f>IF('Production Inventory'!$S61="","",HYPERLINK('Production Inventory'!$S61,"Bluecore"))</f>
        <v/>
      </c>
    </row>
    <row r="71" spans="1:12" ht="24" customHeight="1">
      <c r="A71" s="9" t="str">
        <f>IF('Production Inventory'!$D62="","",'Production Inventory'!$B62)</f>
        <v/>
      </c>
      <c r="B71" s="10" t="str">
        <f>IF('Production Inventory'!$D62="","",'Production Inventory'!$C62&amp;"")</f>
        <v/>
      </c>
      <c r="C71" s="8" t="str">
        <f>IF('Production Inventory'!$D62="","",'Production Inventory'!$D62&amp;"")</f>
        <v/>
      </c>
      <c r="D71" s="8" t="str">
        <f>IF('Production Inventory'!$D62="","",'Production Inventory'!$E62&amp;"")</f>
        <v/>
      </c>
      <c r="E71" s="8" t="str">
        <f>IF('Production Inventory'!$D62="","",'Production Inventory'!$F62&amp;"")</f>
        <v/>
      </c>
      <c r="F71" s="8" t="str">
        <f>IF('Production Inventory'!$D62="","",'Production Inventory'!$G62&amp;"")</f>
        <v/>
      </c>
      <c r="G71" s="8" t="str">
        <f>IF('Production Inventory'!$D62="","",'Production Inventory'!$V62&amp;"")</f>
        <v/>
      </c>
      <c r="H71" s="8" t="str">
        <f>IF('Production Inventory'!$D62="","",'Production Inventory'!$H62&amp;"")</f>
        <v/>
      </c>
      <c r="I71" s="8" t="str">
        <f>IF('Production Inventory'!$D62="","",'Production Inventory'!$I62&amp;"")</f>
        <v/>
      </c>
      <c r="J71" s="31" t="str">
        <f>IF('Production Inventory'!$Q62="","",HYPERLINK('Production Inventory'!$Q62,"Jira"))</f>
        <v/>
      </c>
      <c r="K71" s="31" t="str">
        <f>IF('Production Inventory'!$R62="","",HYPERLINK('Production Inventory'!$R62,"ClickUp"))</f>
        <v/>
      </c>
      <c r="L71" s="31" t="str">
        <f>IF('Production Inventory'!$S62="","",HYPERLINK('Production Inventory'!$S62,"Bluecore"))</f>
        <v/>
      </c>
    </row>
    <row r="72" spans="1:12" ht="24" customHeight="1">
      <c r="A72" s="9" t="str">
        <f>IF('Production Inventory'!$D63="","",'Production Inventory'!$B63)</f>
        <v/>
      </c>
      <c r="B72" s="10" t="str">
        <f>IF('Production Inventory'!$D63="","",'Production Inventory'!$C63&amp;"")</f>
        <v/>
      </c>
      <c r="C72" s="8" t="str">
        <f>IF('Production Inventory'!$D63="","",'Production Inventory'!$D63&amp;"")</f>
        <v/>
      </c>
      <c r="D72" s="8" t="str">
        <f>IF('Production Inventory'!$D63="","",'Production Inventory'!$E63&amp;"")</f>
        <v/>
      </c>
      <c r="E72" s="8" t="str">
        <f>IF('Production Inventory'!$D63="","",'Production Inventory'!$F63&amp;"")</f>
        <v/>
      </c>
      <c r="F72" s="8" t="str">
        <f>IF('Production Inventory'!$D63="","",'Production Inventory'!$G63&amp;"")</f>
        <v/>
      </c>
      <c r="G72" s="8" t="str">
        <f>IF('Production Inventory'!$D63="","",'Production Inventory'!$V63&amp;"")</f>
        <v/>
      </c>
      <c r="H72" s="8" t="str">
        <f>IF('Production Inventory'!$D63="","",'Production Inventory'!$H63&amp;"")</f>
        <v/>
      </c>
      <c r="I72" s="8" t="str">
        <f>IF('Production Inventory'!$D63="","",'Production Inventory'!$I63&amp;"")</f>
        <v/>
      </c>
      <c r="J72" s="31" t="str">
        <f>IF('Production Inventory'!$Q63="","",HYPERLINK('Production Inventory'!$Q63,"Jira"))</f>
        <v/>
      </c>
      <c r="K72" s="31" t="str">
        <f>IF('Production Inventory'!$R63="","",HYPERLINK('Production Inventory'!$R63,"ClickUp"))</f>
        <v/>
      </c>
      <c r="L72" s="31" t="str">
        <f>IF('Production Inventory'!$S63="","",HYPERLINK('Production Inventory'!$S63,"Bluecore"))</f>
        <v/>
      </c>
    </row>
    <row r="73" spans="1:12" ht="24" customHeight="1">
      <c r="A73" s="9" t="str">
        <f>IF('Production Inventory'!$D64="","",'Production Inventory'!$B64)</f>
        <v/>
      </c>
      <c r="B73" s="10" t="str">
        <f>IF('Production Inventory'!$D64="","",'Production Inventory'!$C64&amp;"")</f>
        <v/>
      </c>
      <c r="C73" s="8" t="str">
        <f>IF('Production Inventory'!$D64="","",'Production Inventory'!$D64&amp;"")</f>
        <v/>
      </c>
      <c r="D73" s="8" t="str">
        <f>IF('Production Inventory'!$D64="","",'Production Inventory'!$E64&amp;"")</f>
        <v/>
      </c>
      <c r="E73" s="8" t="str">
        <f>IF('Production Inventory'!$D64="","",'Production Inventory'!$F64&amp;"")</f>
        <v/>
      </c>
      <c r="F73" s="8" t="str">
        <f>IF('Production Inventory'!$D64="","",'Production Inventory'!$G64&amp;"")</f>
        <v/>
      </c>
      <c r="G73" s="8" t="str">
        <f>IF('Production Inventory'!$D64="","",'Production Inventory'!$V64&amp;"")</f>
        <v/>
      </c>
      <c r="H73" s="8" t="str">
        <f>IF('Production Inventory'!$D64="","",'Production Inventory'!$H64&amp;"")</f>
        <v/>
      </c>
      <c r="I73" s="8" t="str">
        <f>IF('Production Inventory'!$D64="","",'Production Inventory'!$I64&amp;"")</f>
        <v/>
      </c>
      <c r="J73" s="31" t="str">
        <f>IF('Production Inventory'!$Q64="","",HYPERLINK('Production Inventory'!$Q64,"Jira"))</f>
        <v/>
      </c>
      <c r="K73" s="31" t="str">
        <f>IF('Production Inventory'!$R64="","",HYPERLINK('Production Inventory'!$R64,"ClickUp"))</f>
        <v/>
      </c>
      <c r="L73" s="31" t="str">
        <f>IF('Production Inventory'!$S64="","",HYPERLINK('Production Inventory'!$S64,"Bluecore"))</f>
        <v/>
      </c>
    </row>
    <row r="74" spans="1:12" ht="24" customHeight="1">
      <c r="A74" s="9" t="str">
        <f>IF('Production Inventory'!$D65="","",'Production Inventory'!$B65)</f>
        <v/>
      </c>
      <c r="B74" s="10" t="str">
        <f>IF('Production Inventory'!$D65="","",'Production Inventory'!$C65&amp;"")</f>
        <v/>
      </c>
      <c r="C74" s="8" t="str">
        <f>IF('Production Inventory'!$D65="","",'Production Inventory'!$D65&amp;"")</f>
        <v/>
      </c>
      <c r="D74" s="8" t="str">
        <f>IF('Production Inventory'!$D65="","",'Production Inventory'!$E65&amp;"")</f>
        <v/>
      </c>
      <c r="E74" s="8" t="str">
        <f>IF('Production Inventory'!$D65="","",'Production Inventory'!$F65&amp;"")</f>
        <v/>
      </c>
      <c r="F74" s="8" t="str">
        <f>IF('Production Inventory'!$D65="","",'Production Inventory'!$G65&amp;"")</f>
        <v/>
      </c>
      <c r="G74" s="8" t="str">
        <f>IF('Production Inventory'!$D65="","",'Production Inventory'!$V65&amp;"")</f>
        <v/>
      </c>
      <c r="H74" s="8" t="str">
        <f>IF('Production Inventory'!$D65="","",'Production Inventory'!$H65&amp;"")</f>
        <v/>
      </c>
      <c r="I74" s="8" t="str">
        <f>IF('Production Inventory'!$D65="","",'Production Inventory'!$I65&amp;"")</f>
        <v/>
      </c>
      <c r="J74" s="31" t="str">
        <f>IF('Production Inventory'!$Q65="","",HYPERLINK('Production Inventory'!$Q65,"Jira"))</f>
        <v/>
      </c>
      <c r="K74" s="31" t="str">
        <f>IF('Production Inventory'!$R65="","",HYPERLINK('Production Inventory'!$R65,"ClickUp"))</f>
        <v/>
      </c>
      <c r="L74" s="31" t="str">
        <f>IF('Production Inventory'!$S65="","",HYPERLINK('Production Inventory'!$S65,"Bluecore"))</f>
        <v/>
      </c>
    </row>
    <row r="75" spans="1:12" ht="24" customHeight="1">
      <c r="A75" s="9" t="str">
        <f>IF('Production Inventory'!$D66="","",'Production Inventory'!$B66)</f>
        <v/>
      </c>
      <c r="B75" s="10" t="str">
        <f>IF('Production Inventory'!$D66="","",'Production Inventory'!$C66&amp;"")</f>
        <v/>
      </c>
      <c r="C75" s="8" t="str">
        <f>IF('Production Inventory'!$D66="","",'Production Inventory'!$D66&amp;"")</f>
        <v/>
      </c>
      <c r="D75" s="8" t="str">
        <f>IF('Production Inventory'!$D66="","",'Production Inventory'!$E66&amp;"")</f>
        <v/>
      </c>
      <c r="E75" s="8" t="str">
        <f>IF('Production Inventory'!$D66="","",'Production Inventory'!$F66&amp;"")</f>
        <v/>
      </c>
      <c r="F75" s="8" t="str">
        <f>IF('Production Inventory'!$D66="","",'Production Inventory'!$G66&amp;"")</f>
        <v/>
      </c>
      <c r="G75" s="8" t="str">
        <f>IF('Production Inventory'!$D66="","",'Production Inventory'!$V66&amp;"")</f>
        <v/>
      </c>
      <c r="H75" s="8" t="str">
        <f>IF('Production Inventory'!$D66="","",'Production Inventory'!$H66&amp;"")</f>
        <v/>
      </c>
      <c r="I75" s="8" t="str">
        <f>IF('Production Inventory'!$D66="","",'Production Inventory'!$I66&amp;"")</f>
        <v/>
      </c>
      <c r="J75" s="31" t="str">
        <f>IF('Production Inventory'!$Q66="","",HYPERLINK('Production Inventory'!$Q66,"Jira"))</f>
        <v/>
      </c>
      <c r="K75" s="31" t="str">
        <f>IF('Production Inventory'!$R66="","",HYPERLINK('Production Inventory'!$R66,"ClickUp"))</f>
        <v/>
      </c>
      <c r="L75" s="31" t="str">
        <f>IF('Production Inventory'!$S66="","",HYPERLINK('Production Inventory'!$S66,"Bluecore"))</f>
        <v/>
      </c>
    </row>
    <row r="76" spans="1:12" ht="24" customHeight="1">
      <c r="A76" s="9" t="str">
        <f>IF('Production Inventory'!$D67="","",'Production Inventory'!$B67)</f>
        <v/>
      </c>
      <c r="B76" s="10" t="str">
        <f>IF('Production Inventory'!$D67="","",'Production Inventory'!$C67&amp;"")</f>
        <v/>
      </c>
      <c r="C76" s="8" t="str">
        <f>IF('Production Inventory'!$D67="","",'Production Inventory'!$D67&amp;"")</f>
        <v/>
      </c>
      <c r="D76" s="8" t="str">
        <f>IF('Production Inventory'!$D67="","",'Production Inventory'!$E67&amp;"")</f>
        <v/>
      </c>
      <c r="E76" s="8" t="str">
        <f>IF('Production Inventory'!$D67="","",'Production Inventory'!$F67&amp;"")</f>
        <v/>
      </c>
      <c r="F76" s="8" t="str">
        <f>IF('Production Inventory'!$D67="","",'Production Inventory'!$G67&amp;"")</f>
        <v/>
      </c>
      <c r="G76" s="8" t="str">
        <f>IF('Production Inventory'!$D67="","",'Production Inventory'!$V67&amp;"")</f>
        <v/>
      </c>
      <c r="H76" s="8" t="str">
        <f>IF('Production Inventory'!$D67="","",'Production Inventory'!$H67&amp;"")</f>
        <v/>
      </c>
      <c r="I76" s="8" t="str">
        <f>IF('Production Inventory'!$D67="","",'Production Inventory'!$I67&amp;"")</f>
        <v/>
      </c>
      <c r="J76" s="31" t="str">
        <f>IF('Production Inventory'!$Q67="","",HYPERLINK('Production Inventory'!$Q67,"Jira"))</f>
        <v/>
      </c>
      <c r="K76" s="31" t="str">
        <f>IF('Production Inventory'!$R67="","",HYPERLINK('Production Inventory'!$R67,"ClickUp"))</f>
        <v/>
      </c>
      <c r="L76" s="31" t="str">
        <f>IF('Production Inventory'!$S67="","",HYPERLINK('Production Inventory'!$S67,"Bluecore"))</f>
        <v/>
      </c>
    </row>
    <row r="77" spans="1:12" ht="24" customHeight="1">
      <c r="A77" s="9" t="str">
        <f>IF('Production Inventory'!$D68="","",'Production Inventory'!$B68)</f>
        <v/>
      </c>
      <c r="B77" s="10" t="str">
        <f>IF('Production Inventory'!$D68="","",'Production Inventory'!$C68&amp;"")</f>
        <v/>
      </c>
      <c r="C77" s="8" t="str">
        <f>IF('Production Inventory'!$D68="","",'Production Inventory'!$D68&amp;"")</f>
        <v/>
      </c>
      <c r="D77" s="8" t="str">
        <f>IF('Production Inventory'!$D68="","",'Production Inventory'!$E68&amp;"")</f>
        <v/>
      </c>
      <c r="E77" s="8" t="str">
        <f>IF('Production Inventory'!$D68="","",'Production Inventory'!$F68&amp;"")</f>
        <v/>
      </c>
      <c r="F77" s="8" t="str">
        <f>IF('Production Inventory'!$D68="","",'Production Inventory'!$G68&amp;"")</f>
        <v/>
      </c>
      <c r="G77" s="8" t="str">
        <f>IF('Production Inventory'!$D68="","",'Production Inventory'!$V68&amp;"")</f>
        <v/>
      </c>
      <c r="H77" s="8" t="str">
        <f>IF('Production Inventory'!$D68="","",'Production Inventory'!$H68&amp;"")</f>
        <v/>
      </c>
      <c r="I77" s="8" t="str">
        <f>IF('Production Inventory'!$D68="","",'Production Inventory'!$I68&amp;"")</f>
        <v/>
      </c>
      <c r="J77" s="31" t="str">
        <f>IF('Production Inventory'!$Q68="","",HYPERLINK('Production Inventory'!$Q68,"Jira"))</f>
        <v/>
      </c>
      <c r="K77" s="31" t="str">
        <f>IF('Production Inventory'!$R68="","",HYPERLINK('Production Inventory'!$R68,"ClickUp"))</f>
        <v/>
      </c>
      <c r="L77" s="31" t="str">
        <f>IF('Production Inventory'!$S68="","",HYPERLINK('Production Inventory'!$S68,"Bluecore"))</f>
        <v/>
      </c>
    </row>
    <row r="78" spans="1:12" ht="24" customHeight="1">
      <c r="A78" s="9" t="str">
        <f>IF('Production Inventory'!$D69="","",'Production Inventory'!$B69)</f>
        <v/>
      </c>
      <c r="B78" s="10" t="str">
        <f>IF('Production Inventory'!$D69="","",'Production Inventory'!$C69&amp;"")</f>
        <v/>
      </c>
      <c r="C78" s="8" t="str">
        <f>IF('Production Inventory'!$D69="","",'Production Inventory'!$D69&amp;"")</f>
        <v/>
      </c>
      <c r="D78" s="8" t="str">
        <f>IF('Production Inventory'!$D69="","",'Production Inventory'!$E69&amp;"")</f>
        <v/>
      </c>
      <c r="E78" s="8" t="str">
        <f>IF('Production Inventory'!$D69="","",'Production Inventory'!$F69&amp;"")</f>
        <v/>
      </c>
      <c r="F78" s="8" t="str">
        <f>IF('Production Inventory'!$D69="","",'Production Inventory'!$G69&amp;"")</f>
        <v/>
      </c>
      <c r="G78" s="8" t="str">
        <f>IF('Production Inventory'!$D69="","",'Production Inventory'!$V69&amp;"")</f>
        <v/>
      </c>
      <c r="H78" s="8" t="str">
        <f>IF('Production Inventory'!$D69="","",'Production Inventory'!$H69&amp;"")</f>
        <v/>
      </c>
      <c r="I78" s="8" t="str">
        <f>IF('Production Inventory'!$D69="","",'Production Inventory'!$I69&amp;"")</f>
        <v/>
      </c>
      <c r="J78" s="31" t="str">
        <f>IF('Production Inventory'!$Q69="","",HYPERLINK('Production Inventory'!$Q69,"Jira"))</f>
        <v/>
      </c>
      <c r="K78" s="31" t="str">
        <f>IF('Production Inventory'!$R69="","",HYPERLINK('Production Inventory'!$R69,"ClickUp"))</f>
        <v/>
      </c>
      <c r="L78" s="31" t="str">
        <f>IF('Production Inventory'!$S69="","",HYPERLINK('Production Inventory'!$S69,"Bluecore"))</f>
        <v/>
      </c>
    </row>
    <row r="79" spans="1:12" ht="24" customHeight="1">
      <c r="A79" s="9" t="str">
        <f>IF('Production Inventory'!$D70="","",'Production Inventory'!$B70)</f>
        <v/>
      </c>
      <c r="B79" s="10" t="str">
        <f>IF('Production Inventory'!$D70="","",'Production Inventory'!$C70&amp;"")</f>
        <v/>
      </c>
      <c r="C79" s="8" t="str">
        <f>IF('Production Inventory'!$D70="","",'Production Inventory'!$D70&amp;"")</f>
        <v/>
      </c>
      <c r="D79" s="8" t="str">
        <f>IF('Production Inventory'!$D70="","",'Production Inventory'!$E70&amp;"")</f>
        <v/>
      </c>
      <c r="E79" s="8" t="str">
        <f>IF('Production Inventory'!$D70="","",'Production Inventory'!$F70&amp;"")</f>
        <v/>
      </c>
      <c r="F79" s="8" t="str">
        <f>IF('Production Inventory'!$D70="","",'Production Inventory'!$G70&amp;"")</f>
        <v/>
      </c>
      <c r="G79" s="8" t="str">
        <f>IF('Production Inventory'!$D70="","",'Production Inventory'!$V70&amp;"")</f>
        <v/>
      </c>
      <c r="H79" s="8" t="str">
        <f>IF('Production Inventory'!$D70="","",'Production Inventory'!$H70&amp;"")</f>
        <v/>
      </c>
      <c r="I79" s="8" t="str">
        <f>IF('Production Inventory'!$D70="","",'Production Inventory'!$I70&amp;"")</f>
        <v/>
      </c>
      <c r="J79" s="31" t="str">
        <f>IF('Production Inventory'!$Q70="","",HYPERLINK('Production Inventory'!$Q70,"Jira"))</f>
        <v/>
      </c>
      <c r="K79" s="31" t="str">
        <f>IF('Production Inventory'!$R70="","",HYPERLINK('Production Inventory'!$R70,"ClickUp"))</f>
        <v/>
      </c>
      <c r="L79" s="31" t="str">
        <f>IF('Production Inventory'!$S70="","",HYPERLINK('Production Inventory'!$S70,"Bluecore"))</f>
        <v/>
      </c>
    </row>
    <row r="80" spans="1:12" ht="24" customHeight="1">
      <c r="A80" s="9" t="str">
        <f>IF('Production Inventory'!$D71="","",'Production Inventory'!$B71)</f>
        <v/>
      </c>
      <c r="B80" s="10" t="str">
        <f>IF('Production Inventory'!$D71="","",'Production Inventory'!$C71&amp;"")</f>
        <v/>
      </c>
      <c r="C80" s="8" t="str">
        <f>IF('Production Inventory'!$D71="","",'Production Inventory'!$D71&amp;"")</f>
        <v/>
      </c>
      <c r="D80" s="8" t="str">
        <f>IF('Production Inventory'!$D71="","",'Production Inventory'!$E71&amp;"")</f>
        <v/>
      </c>
      <c r="E80" s="8" t="str">
        <f>IF('Production Inventory'!$D71="","",'Production Inventory'!$F71&amp;"")</f>
        <v/>
      </c>
      <c r="F80" s="8" t="str">
        <f>IF('Production Inventory'!$D71="","",'Production Inventory'!$G71&amp;"")</f>
        <v/>
      </c>
      <c r="G80" s="8" t="str">
        <f>IF('Production Inventory'!$D71="","",'Production Inventory'!$V71&amp;"")</f>
        <v/>
      </c>
      <c r="H80" s="8" t="str">
        <f>IF('Production Inventory'!$D71="","",'Production Inventory'!$H71&amp;"")</f>
        <v/>
      </c>
      <c r="I80" s="8" t="str">
        <f>IF('Production Inventory'!$D71="","",'Production Inventory'!$I71&amp;"")</f>
        <v/>
      </c>
      <c r="J80" s="31" t="str">
        <f>IF('Production Inventory'!$Q71="","",HYPERLINK('Production Inventory'!$Q71,"Jira"))</f>
        <v/>
      </c>
      <c r="K80" s="31" t="str">
        <f>IF('Production Inventory'!$R71="","",HYPERLINK('Production Inventory'!$R71,"ClickUp"))</f>
        <v/>
      </c>
      <c r="L80" s="31" t="str">
        <f>IF('Production Inventory'!$S71="","",HYPERLINK('Production Inventory'!$S71,"Bluecore"))</f>
        <v/>
      </c>
    </row>
    <row r="81" spans="1:12" ht="24" customHeight="1">
      <c r="A81" s="9" t="str">
        <f>IF('Production Inventory'!$D72="","",'Production Inventory'!$B72)</f>
        <v/>
      </c>
      <c r="B81" s="10" t="str">
        <f>IF('Production Inventory'!$D72="","",'Production Inventory'!$C72&amp;"")</f>
        <v/>
      </c>
      <c r="C81" s="8" t="str">
        <f>IF('Production Inventory'!$D72="","",'Production Inventory'!$D72&amp;"")</f>
        <v/>
      </c>
      <c r="D81" s="8" t="str">
        <f>IF('Production Inventory'!$D72="","",'Production Inventory'!$E72&amp;"")</f>
        <v/>
      </c>
      <c r="E81" s="8" t="str">
        <f>IF('Production Inventory'!$D72="","",'Production Inventory'!$F72&amp;"")</f>
        <v/>
      </c>
      <c r="F81" s="8" t="str">
        <f>IF('Production Inventory'!$D72="","",'Production Inventory'!$G72&amp;"")</f>
        <v/>
      </c>
      <c r="G81" s="8" t="str">
        <f>IF('Production Inventory'!$D72="","",'Production Inventory'!$V72&amp;"")</f>
        <v/>
      </c>
      <c r="H81" s="8" t="str">
        <f>IF('Production Inventory'!$D72="","",'Production Inventory'!$H72&amp;"")</f>
        <v/>
      </c>
      <c r="I81" s="8" t="str">
        <f>IF('Production Inventory'!$D72="","",'Production Inventory'!$I72&amp;"")</f>
        <v/>
      </c>
      <c r="J81" s="31" t="str">
        <f>IF('Production Inventory'!$Q72="","",HYPERLINK('Production Inventory'!$Q72,"Jira"))</f>
        <v/>
      </c>
      <c r="K81" s="31" t="str">
        <f>IF('Production Inventory'!$R72="","",HYPERLINK('Production Inventory'!$R72,"ClickUp"))</f>
        <v/>
      </c>
      <c r="L81" s="31" t="str">
        <f>IF('Production Inventory'!$S72="","",HYPERLINK('Production Inventory'!$S72,"Bluecore"))</f>
        <v/>
      </c>
    </row>
    <row r="82" spans="1:12" ht="24" customHeight="1">
      <c r="A82" s="9" t="str">
        <f>IF('Production Inventory'!$D73="","",'Production Inventory'!$B73)</f>
        <v/>
      </c>
      <c r="B82" s="10" t="str">
        <f>IF('Production Inventory'!$D73="","",'Production Inventory'!$C73&amp;"")</f>
        <v/>
      </c>
      <c r="C82" s="8" t="str">
        <f>IF('Production Inventory'!$D73="","",'Production Inventory'!$D73&amp;"")</f>
        <v/>
      </c>
      <c r="D82" s="8" t="str">
        <f>IF('Production Inventory'!$D73="","",'Production Inventory'!$E73&amp;"")</f>
        <v/>
      </c>
      <c r="E82" s="8" t="str">
        <f>IF('Production Inventory'!$D73="","",'Production Inventory'!$F73&amp;"")</f>
        <v/>
      </c>
      <c r="F82" s="8" t="str">
        <f>IF('Production Inventory'!$D73="","",'Production Inventory'!$G73&amp;"")</f>
        <v/>
      </c>
      <c r="G82" s="8" t="str">
        <f>IF('Production Inventory'!$D73="","",'Production Inventory'!$V73&amp;"")</f>
        <v/>
      </c>
      <c r="H82" s="8" t="str">
        <f>IF('Production Inventory'!$D73="","",'Production Inventory'!$H73&amp;"")</f>
        <v/>
      </c>
      <c r="I82" s="8" t="str">
        <f>IF('Production Inventory'!$D73="","",'Production Inventory'!$I73&amp;"")</f>
        <v/>
      </c>
      <c r="J82" s="31" t="str">
        <f>IF('Production Inventory'!$Q73="","",HYPERLINK('Production Inventory'!$Q73,"Jira"))</f>
        <v/>
      </c>
      <c r="K82" s="31" t="str">
        <f>IF('Production Inventory'!$R73="","",HYPERLINK('Production Inventory'!$R73,"ClickUp"))</f>
        <v/>
      </c>
      <c r="L82" s="31" t="str">
        <f>IF('Production Inventory'!$S73="","",HYPERLINK('Production Inventory'!$S73,"Bluecore"))</f>
        <v/>
      </c>
    </row>
    <row r="83" spans="1:12" ht="24" customHeight="1">
      <c r="A83" s="9" t="str">
        <f>IF('Production Inventory'!$D74="","",'Production Inventory'!$B74)</f>
        <v/>
      </c>
      <c r="B83" s="10" t="str">
        <f>IF('Production Inventory'!$D74="","",'Production Inventory'!$C74&amp;"")</f>
        <v/>
      </c>
      <c r="C83" s="8" t="str">
        <f>IF('Production Inventory'!$D74="","",'Production Inventory'!$D74&amp;"")</f>
        <v/>
      </c>
      <c r="D83" s="8" t="str">
        <f>IF('Production Inventory'!$D74="","",'Production Inventory'!$E74&amp;"")</f>
        <v/>
      </c>
      <c r="E83" s="8" t="str">
        <f>IF('Production Inventory'!$D74="","",'Production Inventory'!$F74&amp;"")</f>
        <v/>
      </c>
      <c r="F83" s="8" t="str">
        <f>IF('Production Inventory'!$D74="","",'Production Inventory'!$G74&amp;"")</f>
        <v/>
      </c>
      <c r="G83" s="8" t="str">
        <f>IF('Production Inventory'!$D74="","",'Production Inventory'!$V74&amp;"")</f>
        <v/>
      </c>
      <c r="H83" s="8" t="str">
        <f>IF('Production Inventory'!$D74="","",'Production Inventory'!$H74&amp;"")</f>
        <v/>
      </c>
      <c r="I83" s="8" t="str">
        <f>IF('Production Inventory'!$D74="","",'Production Inventory'!$I74&amp;"")</f>
        <v/>
      </c>
      <c r="J83" s="31" t="str">
        <f>IF('Production Inventory'!$Q74="","",HYPERLINK('Production Inventory'!$Q74,"Jira"))</f>
        <v/>
      </c>
      <c r="K83" s="31" t="str">
        <f>IF('Production Inventory'!$R74="","",HYPERLINK('Production Inventory'!$R74,"ClickUp"))</f>
        <v/>
      </c>
      <c r="L83" s="31" t="str">
        <f>IF('Production Inventory'!$S74="","",HYPERLINK('Production Inventory'!$S74,"Bluecore"))</f>
        <v/>
      </c>
    </row>
    <row r="84" spans="1:12" ht="24" customHeight="1">
      <c r="A84" s="9" t="str">
        <f>IF('Production Inventory'!$D75="","",'Production Inventory'!$B75)</f>
        <v/>
      </c>
      <c r="B84" s="10" t="str">
        <f>IF('Production Inventory'!$D75="","",'Production Inventory'!$C75&amp;"")</f>
        <v/>
      </c>
      <c r="C84" s="8" t="str">
        <f>IF('Production Inventory'!$D75="","",'Production Inventory'!$D75&amp;"")</f>
        <v/>
      </c>
      <c r="D84" s="8" t="str">
        <f>IF('Production Inventory'!$D75="","",'Production Inventory'!$E75&amp;"")</f>
        <v/>
      </c>
      <c r="E84" s="8" t="str">
        <f>IF('Production Inventory'!$D75="","",'Production Inventory'!$F75&amp;"")</f>
        <v/>
      </c>
      <c r="F84" s="8" t="str">
        <f>IF('Production Inventory'!$D75="","",'Production Inventory'!$G75&amp;"")</f>
        <v/>
      </c>
      <c r="G84" s="8" t="str">
        <f>IF('Production Inventory'!$D75="","",'Production Inventory'!$V75&amp;"")</f>
        <v/>
      </c>
      <c r="H84" s="8" t="str">
        <f>IF('Production Inventory'!$D75="","",'Production Inventory'!$H75&amp;"")</f>
        <v/>
      </c>
      <c r="I84" s="8" t="str">
        <f>IF('Production Inventory'!$D75="","",'Production Inventory'!$I75&amp;"")</f>
        <v/>
      </c>
      <c r="J84" s="31" t="str">
        <f>IF('Production Inventory'!$Q75="","",HYPERLINK('Production Inventory'!$Q75,"Jira"))</f>
        <v/>
      </c>
      <c r="K84" s="31" t="str">
        <f>IF('Production Inventory'!$R75="","",HYPERLINK('Production Inventory'!$R75,"ClickUp"))</f>
        <v/>
      </c>
      <c r="L84" s="31" t="str">
        <f>IF('Production Inventory'!$S75="","",HYPERLINK('Production Inventory'!$S75,"Bluecore"))</f>
        <v/>
      </c>
    </row>
    <row r="85" spans="1:12" ht="24" customHeight="1">
      <c r="A85" s="9" t="str">
        <f>IF('Production Inventory'!$D76="","",'Production Inventory'!$B76)</f>
        <v/>
      </c>
      <c r="B85" s="10" t="str">
        <f>IF('Production Inventory'!$D76="","",'Production Inventory'!$C76&amp;"")</f>
        <v/>
      </c>
      <c r="C85" s="8" t="str">
        <f>IF('Production Inventory'!$D76="","",'Production Inventory'!$D76&amp;"")</f>
        <v/>
      </c>
      <c r="D85" s="8" t="str">
        <f>IF('Production Inventory'!$D76="","",'Production Inventory'!$E76&amp;"")</f>
        <v/>
      </c>
      <c r="E85" s="8" t="str">
        <f>IF('Production Inventory'!$D76="","",'Production Inventory'!$F76&amp;"")</f>
        <v/>
      </c>
      <c r="F85" s="8" t="str">
        <f>IF('Production Inventory'!$D76="","",'Production Inventory'!$G76&amp;"")</f>
        <v/>
      </c>
      <c r="G85" s="8" t="str">
        <f>IF('Production Inventory'!$D76="","",'Production Inventory'!$V76&amp;"")</f>
        <v/>
      </c>
      <c r="H85" s="8" t="str">
        <f>IF('Production Inventory'!$D76="","",'Production Inventory'!$H76&amp;"")</f>
        <v/>
      </c>
      <c r="I85" s="8" t="str">
        <f>IF('Production Inventory'!$D76="","",'Production Inventory'!$I76&amp;"")</f>
        <v/>
      </c>
      <c r="J85" s="31" t="str">
        <f>IF('Production Inventory'!$Q76="","",HYPERLINK('Production Inventory'!$Q76,"Jira"))</f>
        <v/>
      </c>
      <c r="K85" s="31" t="str">
        <f>IF('Production Inventory'!$R76="","",HYPERLINK('Production Inventory'!$R76,"ClickUp"))</f>
        <v/>
      </c>
      <c r="L85" s="31" t="str">
        <f>IF('Production Inventory'!$S76="","",HYPERLINK('Production Inventory'!$S76,"Bluecore"))</f>
        <v/>
      </c>
    </row>
    <row r="86" spans="1:12" ht="24" customHeight="1">
      <c r="A86" s="9" t="str">
        <f>IF('Production Inventory'!$D77="","",'Production Inventory'!$B77)</f>
        <v/>
      </c>
      <c r="B86" s="10" t="str">
        <f>IF('Production Inventory'!$D77="","",'Production Inventory'!$C77&amp;"")</f>
        <v/>
      </c>
      <c r="C86" s="8" t="str">
        <f>IF('Production Inventory'!$D77="","",'Production Inventory'!$D77&amp;"")</f>
        <v/>
      </c>
      <c r="D86" s="8" t="str">
        <f>IF('Production Inventory'!$D77="","",'Production Inventory'!$E77&amp;"")</f>
        <v/>
      </c>
      <c r="E86" s="8" t="str">
        <f>IF('Production Inventory'!$D77="","",'Production Inventory'!$F77&amp;"")</f>
        <v/>
      </c>
      <c r="F86" s="8" t="str">
        <f>IF('Production Inventory'!$D77="","",'Production Inventory'!$G77&amp;"")</f>
        <v/>
      </c>
      <c r="G86" s="8" t="str">
        <f>IF('Production Inventory'!$D77="","",'Production Inventory'!$V77&amp;"")</f>
        <v/>
      </c>
      <c r="H86" s="8" t="str">
        <f>IF('Production Inventory'!$D77="","",'Production Inventory'!$H77&amp;"")</f>
        <v/>
      </c>
      <c r="I86" s="8" t="str">
        <f>IF('Production Inventory'!$D77="","",'Production Inventory'!$I77&amp;"")</f>
        <v/>
      </c>
      <c r="J86" s="31" t="str">
        <f>IF('Production Inventory'!$Q77="","",HYPERLINK('Production Inventory'!$Q77,"Jira"))</f>
        <v/>
      </c>
      <c r="K86" s="31" t="str">
        <f>IF('Production Inventory'!$R77="","",HYPERLINK('Production Inventory'!$R77,"ClickUp"))</f>
        <v/>
      </c>
      <c r="L86" s="31" t="str">
        <f>IF('Production Inventory'!$S77="","",HYPERLINK('Production Inventory'!$S77,"Bluecore"))</f>
        <v/>
      </c>
    </row>
    <row r="87" spans="1:12" ht="24" customHeight="1">
      <c r="A87" s="9" t="str">
        <f>IF('Production Inventory'!$D78="","",'Production Inventory'!$B78)</f>
        <v/>
      </c>
      <c r="B87" s="10" t="str">
        <f>IF('Production Inventory'!$D78="","",'Production Inventory'!$C78&amp;"")</f>
        <v/>
      </c>
      <c r="C87" s="8" t="str">
        <f>IF('Production Inventory'!$D78="","",'Production Inventory'!$D78&amp;"")</f>
        <v/>
      </c>
      <c r="D87" s="8" t="str">
        <f>IF('Production Inventory'!$D78="","",'Production Inventory'!$E78&amp;"")</f>
        <v/>
      </c>
      <c r="E87" s="8" t="str">
        <f>IF('Production Inventory'!$D78="","",'Production Inventory'!$F78&amp;"")</f>
        <v/>
      </c>
      <c r="F87" s="8" t="str">
        <f>IF('Production Inventory'!$D78="","",'Production Inventory'!$G78&amp;"")</f>
        <v/>
      </c>
      <c r="G87" s="8" t="str">
        <f>IF('Production Inventory'!$D78="","",'Production Inventory'!$V78&amp;"")</f>
        <v/>
      </c>
      <c r="H87" s="8" t="str">
        <f>IF('Production Inventory'!$D78="","",'Production Inventory'!$H78&amp;"")</f>
        <v/>
      </c>
      <c r="I87" s="8" t="str">
        <f>IF('Production Inventory'!$D78="","",'Production Inventory'!$I78&amp;"")</f>
        <v/>
      </c>
      <c r="J87" s="31" t="str">
        <f>IF('Production Inventory'!$Q78="","",HYPERLINK('Production Inventory'!$Q78,"Jira"))</f>
        <v/>
      </c>
      <c r="K87" s="31" t="str">
        <f>IF('Production Inventory'!$R78="","",HYPERLINK('Production Inventory'!$R78,"ClickUp"))</f>
        <v/>
      </c>
      <c r="L87" s="31" t="str">
        <f>IF('Production Inventory'!$S78="","",HYPERLINK('Production Inventory'!$S78,"Bluecore"))</f>
        <v/>
      </c>
    </row>
    <row r="88" spans="1:12" ht="24" customHeight="1">
      <c r="A88" s="9" t="str">
        <f>IF('Production Inventory'!$D79="","",'Production Inventory'!$B79)</f>
        <v/>
      </c>
      <c r="B88" s="10" t="str">
        <f>IF('Production Inventory'!$D79="","",'Production Inventory'!$C79&amp;"")</f>
        <v/>
      </c>
      <c r="C88" s="8" t="str">
        <f>IF('Production Inventory'!$D79="","",'Production Inventory'!$D79&amp;"")</f>
        <v/>
      </c>
      <c r="D88" s="8" t="str">
        <f>IF('Production Inventory'!$D79="","",'Production Inventory'!$E79&amp;"")</f>
        <v/>
      </c>
      <c r="E88" s="8" t="str">
        <f>IF('Production Inventory'!$D79="","",'Production Inventory'!$F79&amp;"")</f>
        <v/>
      </c>
      <c r="F88" s="8" t="str">
        <f>IF('Production Inventory'!$D79="","",'Production Inventory'!$G79&amp;"")</f>
        <v/>
      </c>
      <c r="G88" s="8" t="str">
        <f>IF('Production Inventory'!$D79="","",'Production Inventory'!$V79&amp;"")</f>
        <v/>
      </c>
      <c r="H88" s="8" t="str">
        <f>IF('Production Inventory'!$D79="","",'Production Inventory'!$H79&amp;"")</f>
        <v/>
      </c>
      <c r="I88" s="8" t="str">
        <f>IF('Production Inventory'!$D79="","",'Production Inventory'!$I79&amp;"")</f>
        <v/>
      </c>
      <c r="J88" s="31" t="str">
        <f>IF('Production Inventory'!$Q79="","",HYPERLINK('Production Inventory'!$Q79,"Jira"))</f>
        <v/>
      </c>
      <c r="K88" s="31" t="str">
        <f>IF('Production Inventory'!$R79="","",HYPERLINK('Production Inventory'!$R79,"ClickUp"))</f>
        <v/>
      </c>
      <c r="L88" s="31" t="str">
        <f>IF('Production Inventory'!$S79="","",HYPERLINK('Production Inventory'!$S79,"Bluecore"))</f>
        <v/>
      </c>
    </row>
    <row r="89" spans="1:12" ht="24" customHeight="1">
      <c r="A89" s="9" t="str">
        <f>IF('Production Inventory'!$D80="","",'Production Inventory'!$B80)</f>
        <v/>
      </c>
      <c r="B89" s="10" t="str">
        <f>IF('Production Inventory'!$D80="","",'Production Inventory'!$C80&amp;"")</f>
        <v/>
      </c>
      <c r="C89" s="8" t="str">
        <f>IF('Production Inventory'!$D80="","",'Production Inventory'!$D80&amp;"")</f>
        <v/>
      </c>
      <c r="D89" s="8" t="str">
        <f>IF('Production Inventory'!$D80="","",'Production Inventory'!$E80&amp;"")</f>
        <v/>
      </c>
      <c r="E89" s="8" t="str">
        <f>IF('Production Inventory'!$D80="","",'Production Inventory'!$F80&amp;"")</f>
        <v/>
      </c>
      <c r="F89" s="8" t="str">
        <f>IF('Production Inventory'!$D80="","",'Production Inventory'!$G80&amp;"")</f>
        <v/>
      </c>
      <c r="G89" s="8" t="str">
        <f>IF('Production Inventory'!$D80="","",'Production Inventory'!$V80&amp;"")</f>
        <v/>
      </c>
      <c r="H89" s="8" t="str">
        <f>IF('Production Inventory'!$D80="","",'Production Inventory'!$H80&amp;"")</f>
        <v/>
      </c>
      <c r="I89" s="8" t="str">
        <f>IF('Production Inventory'!$D80="","",'Production Inventory'!$I80&amp;"")</f>
        <v/>
      </c>
      <c r="J89" s="31" t="str">
        <f>IF('Production Inventory'!$Q80="","",HYPERLINK('Production Inventory'!$Q80,"Jira"))</f>
        <v/>
      </c>
      <c r="K89" s="31" t="str">
        <f>IF('Production Inventory'!$R80="","",HYPERLINK('Production Inventory'!$R80,"ClickUp"))</f>
        <v/>
      </c>
      <c r="L89" s="31" t="str">
        <f>IF('Production Inventory'!$S80="","",HYPERLINK('Production Inventory'!$S80,"Bluecore"))</f>
        <v/>
      </c>
    </row>
    <row r="90" spans="1:12" ht="24" customHeight="1">
      <c r="A90" s="9" t="str">
        <f>IF('Production Inventory'!$D81="","",'Production Inventory'!$B81)</f>
        <v/>
      </c>
      <c r="B90" s="10" t="str">
        <f>IF('Production Inventory'!$D81="","",'Production Inventory'!$C81&amp;"")</f>
        <v/>
      </c>
      <c r="C90" s="8" t="str">
        <f>IF('Production Inventory'!$D81="","",'Production Inventory'!$D81&amp;"")</f>
        <v/>
      </c>
      <c r="D90" s="8" t="str">
        <f>IF('Production Inventory'!$D81="","",'Production Inventory'!$E81&amp;"")</f>
        <v/>
      </c>
      <c r="E90" s="8" t="str">
        <f>IF('Production Inventory'!$D81="","",'Production Inventory'!$F81&amp;"")</f>
        <v/>
      </c>
      <c r="F90" s="8" t="str">
        <f>IF('Production Inventory'!$D81="","",'Production Inventory'!$G81&amp;"")</f>
        <v/>
      </c>
      <c r="G90" s="8" t="str">
        <f>IF('Production Inventory'!$D81="","",'Production Inventory'!$V81&amp;"")</f>
        <v/>
      </c>
      <c r="H90" s="8" t="str">
        <f>IF('Production Inventory'!$D81="","",'Production Inventory'!$H81&amp;"")</f>
        <v/>
      </c>
      <c r="I90" s="8" t="str">
        <f>IF('Production Inventory'!$D81="","",'Production Inventory'!$I81&amp;"")</f>
        <v/>
      </c>
      <c r="J90" s="31" t="str">
        <f>IF('Production Inventory'!$Q81="","",HYPERLINK('Production Inventory'!$Q81,"Jira"))</f>
        <v/>
      </c>
      <c r="K90" s="31" t="str">
        <f>IF('Production Inventory'!$R81="","",HYPERLINK('Production Inventory'!$R81,"ClickUp"))</f>
        <v/>
      </c>
      <c r="L90" s="31" t="str">
        <f>IF('Production Inventory'!$S81="","",HYPERLINK('Production Inventory'!$S81,"Bluecore"))</f>
        <v/>
      </c>
    </row>
    <row r="91" spans="1:12" ht="24" customHeight="1">
      <c r="A91" s="9" t="str">
        <f>IF('Production Inventory'!$D82="","",'Production Inventory'!$B82)</f>
        <v/>
      </c>
      <c r="B91" s="10" t="str">
        <f>IF('Production Inventory'!$D82="","",'Production Inventory'!$C82&amp;"")</f>
        <v/>
      </c>
      <c r="C91" s="8" t="str">
        <f>IF('Production Inventory'!$D82="","",'Production Inventory'!$D82&amp;"")</f>
        <v/>
      </c>
      <c r="D91" s="8" t="str">
        <f>IF('Production Inventory'!$D82="","",'Production Inventory'!$E82&amp;"")</f>
        <v/>
      </c>
      <c r="E91" s="8" t="str">
        <f>IF('Production Inventory'!$D82="","",'Production Inventory'!$F82&amp;"")</f>
        <v/>
      </c>
      <c r="F91" s="8" t="str">
        <f>IF('Production Inventory'!$D82="","",'Production Inventory'!$G82&amp;"")</f>
        <v/>
      </c>
      <c r="G91" s="8" t="str">
        <f>IF('Production Inventory'!$D82="","",'Production Inventory'!$V82&amp;"")</f>
        <v/>
      </c>
      <c r="H91" s="8" t="str">
        <f>IF('Production Inventory'!$D82="","",'Production Inventory'!$H82&amp;"")</f>
        <v/>
      </c>
      <c r="I91" s="8" t="str">
        <f>IF('Production Inventory'!$D82="","",'Production Inventory'!$I82&amp;"")</f>
        <v/>
      </c>
      <c r="J91" s="31" t="str">
        <f>IF('Production Inventory'!$Q82="","",HYPERLINK('Production Inventory'!$Q82,"Jira"))</f>
        <v/>
      </c>
      <c r="K91" s="31" t="str">
        <f>IF('Production Inventory'!$R82="","",HYPERLINK('Production Inventory'!$R82,"ClickUp"))</f>
        <v/>
      </c>
      <c r="L91" s="31" t="str">
        <f>IF('Production Inventory'!$S82="","",HYPERLINK('Production Inventory'!$S82,"Bluecore"))</f>
        <v/>
      </c>
    </row>
    <row r="92" spans="1:12" ht="24" customHeight="1">
      <c r="A92" s="9" t="str">
        <f>IF('Production Inventory'!$D83="","",'Production Inventory'!$B83)</f>
        <v/>
      </c>
      <c r="B92" s="10" t="str">
        <f>IF('Production Inventory'!$D83="","",'Production Inventory'!$C83&amp;"")</f>
        <v/>
      </c>
      <c r="C92" s="8" t="str">
        <f>IF('Production Inventory'!$D83="","",'Production Inventory'!$D83&amp;"")</f>
        <v/>
      </c>
      <c r="D92" s="8" t="str">
        <f>IF('Production Inventory'!$D83="","",'Production Inventory'!$E83&amp;"")</f>
        <v/>
      </c>
      <c r="E92" s="8" t="str">
        <f>IF('Production Inventory'!$D83="","",'Production Inventory'!$F83&amp;"")</f>
        <v/>
      </c>
      <c r="F92" s="8" t="str">
        <f>IF('Production Inventory'!$D83="","",'Production Inventory'!$G83&amp;"")</f>
        <v/>
      </c>
      <c r="G92" s="8" t="str">
        <f>IF('Production Inventory'!$D83="","",'Production Inventory'!$V83&amp;"")</f>
        <v/>
      </c>
      <c r="H92" s="8" t="str">
        <f>IF('Production Inventory'!$D83="","",'Production Inventory'!$H83&amp;"")</f>
        <v/>
      </c>
      <c r="I92" s="8" t="str">
        <f>IF('Production Inventory'!$D83="","",'Production Inventory'!$I83&amp;"")</f>
        <v/>
      </c>
      <c r="J92" s="31" t="str">
        <f>IF('Production Inventory'!$Q83="","",HYPERLINK('Production Inventory'!$Q83,"Jira"))</f>
        <v/>
      </c>
      <c r="K92" s="31" t="str">
        <f>IF('Production Inventory'!$R83="","",HYPERLINK('Production Inventory'!$R83,"ClickUp"))</f>
        <v/>
      </c>
      <c r="L92" s="31" t="str">
        <f>IF('Production Inventory'!$S83="","",HYPERLINK('Production Inventory'!$S83,"Bluecore"))</f>
        <v/>
      </c>
    </row>
    <row r="93" spans="1:12" ht="24" customHeight="1">
      <c r="A93" s="9" t="str">
        <f>IF('Production Inventory'!$D84="","",'Production Inventory'!$B84)</f>
        <v/>
      </c>
      <c r="B93" s="10" t="str">
        <f>IF('Production Inventory'!$D84="","",'Production Inventory'!$C84&amp;"")</f>
        <v/>
      </c>
      <c r="C93" s="8" t="str">
        <f>IF('Production Inventory'!$D84="","",'Production Inventory'!$D84&amp;"")</f>
        <v/>
      </c>
      <c r="D93" s="8" t="str">
        <f>IF('Production Inventory'!$D84="","",'Production Inventory'!$E84&amp;"")</f>
        <v/>
      </c>
      <c r="E93" s="8" t="str">
        <f>IF('Production Inventory'!$D84="","",'Production Inventory'!$F84&amp;"")</f>
        <v/>
      </c>
      <c r="F93" s="8" t="str">
        <f>IF('Production Inventory'!$D84="","",'Production Inventory'!$G84&amp;"")</f>
        <v/>
      </c>
      <c r="G93" s="8" t="str">
        <f>IF('Production Inventory'!$D84="","",'Production Inventory'!$V84&amp;"")</f>
        <v/>
      </c>
      <c r="H93" s="8" t="str">
        <f>IF('Production Inventory'!$D84="","",'Production Inventory'!$H84&amp;"")</f>
        <v/>
      </c>
      <c r="I93" s="8" t="str">
        <f>IF('Production Inventory'!$D84="","",'Production Inventory'!$I84&amp;"")</f>
        <v/>
      </c>
      <c r="J93" s="31" t="str">
        <f>IF('Production Inventory'!$Q84="","",HYPERLINK('Production Inventory'!$Q84,"Jira"))</f>
        <v/>
      </c>
      <c r="K93" s="31" t="str">
        <f>IF('Production Inventory'!$R84="","",HYPERLINK('Production Inventory'!$R84,"ClickUp"))</f>
        <v/>
      </c>
      <c r="L93" s="31" t="str">
        <f>IF('Production Inventory'!$S84="","",HYPERLINK('Production Inventory'!$S84,"Bluecore"))</f>
        <v/>
      </c>
    </row>
    <row r="94" spans="1:12" ht="24" customHeight="1">
      <c r="A94" s="9" t="str">
        <f>IF('Production Inventory'!$D85="","",'Production Inventory'!$B85)</f>
        <v/>
      </c>
      <c r="B94" s="10" t="str">
        <f>IF('Production Inventory'!$D85="","",'Production Inventory'!$C85&amp;"")</f>
        <v/>
      </c>
      <c r="C94" s="8" t="str">
        <f>IF('Production Inventory'!$D85="","",'Production Inventory'!$D85&amp;"")</f>
        <v/>
      </c>
      <c r="D94" s="8" t="str">
        <f>IF('Production Inventory'!$D85="","",'Production Inventory'!$E85&amp;"")</f>
        <v/>
      </c>
      <c r="E94" s="8" t="str">
        <f>IF('Production Inventory'!$D85="","",'Production Inventory'!$F85&amp;"")</f>
        <v/>
      </c>
      <c r="F94" s="8" t="str">
        <f>IF('Production Inventory'!$D85="","",'Production Inventory'!$G85&amp;"")</f>
        <v/>
      </c>
      <c r="G94" s="8" t="str">
        <f>IF('Production Inventory'!$D85="","",'Production Inventory'!$V85&amp;"")</f>
        <v/>
      </c>
      <c r="H94" s="8" t="str">
        <f>IF('Production Inventory'!$D85="","",'Production Inventory'!$H85&amp;"")</f>
        <v/>
      </c>
      <c r="I94" s="8" t="str">
        <f>IF('Production Inventory'!$D85="","",'Production Inventory'!$I85&amp;"")</f>
        <v/>
      </c>
      <c r="J94" s="31" t="str">
        <f>IF('Production Inventory'!$Q85="","",HYPERLINK('Production Inventory'!$Q85,"Jira"))</f>
        <v/>
      </c>
      <c r="K94" s="31" t="str">
        <f>IF('Production Inventory'!$R85="","",HYPERLINK('Production Inventory'!$R85,"ClickUp"))</f>
        <v/>
      </c>
      <c r="L94" s="31" t="str">
        <f>IF('Production Inventory'!$S85="","",HYPERLINK('Production Inventory'!$S85,"Bluecore"))</f>
        <v/>
      </c>
    </row>
    <row r="95" spans="1:12" ht="24" customHeight="1">
      <c r="A95" s="9" t="str">
        <f>IF('Production Inventory'!$D86="","",'Production Inventory'!$B86)</f>
        <v/>
      </c>
      <c r="B95" s="10" t="str">
        <f>IF('Production Inventory'!$D86="","",'Production Inventory'!$C86&amp;"")</f>
        <v/>
      </c>
      <c r="C95" s="8" t="str">
        <f>IF('Production Inventory'!$D86="","",'Production Inventory'!$D86&amp;"")</f>
        <v/>
      </c>
      <c r="D95" s="8" t="str">
        <f>IF('Production Inventory'!$D86="","",'Production Inventory'!$E86&amp;"")</f>
        <v/>
      </c>
      <c r="E95" s="8" t="str">
        <f>IF('Production Inventory'!$D86="","",'Production Inventory'!$F86&amp;"")</f>
        <v/>
      </c>
      <c r="F95" s="8" t="str">
        <f>IF('Production Inventory'!$D86="","",'Production Inventory'!$G86&amp;"")</f>
        <v/>
      </c>
      <c r="G95" s="8" t="str">
        <f>IF('Production Inventory'!$D86="","",'Production Inventory'!$V86&amp;"")</f>
        <v/>
      </c>
      <c r="H95" s="8" t="str">
        <f>IF('Production Inventory'!$D86="","",'Production Inventory'!$H86&amp;"")</f>
        <v/>
      </c>
      <c r="I95" s="8" t="str">
        <f>IF('Production Inventory'!$D86="","",'Production Inventory'!$I86&amp;"")</f>
        <v/>
      </c>
      <c r="J95" s="31" t="str">
        <f>IF('Production Inventory'!$Q86="","",HYPERLINK('Production Inventory'!$Q86,"Jira"))</f>
        <v/>
      </c>
      <c r="K95" s="31" t="str">
        <f>IF('Production Inventory'!$R86="","",HYPERLINK('Production Inventory'!$R86,"ClickUp"))</f>
        <v/>
      </c>
      <c r="L95" s="31" t="str">
        <f>IF('Production Inventory'!$S86="","",HYPERLINK('Production Inventory'!$S86,"Bluecore"))</f>
        <v/>
      </c>
    </row>
    <row r="96" spans="1:12" ht="24" customHeight="1">
      <c r="A96" s="9" t="str">
        <f>IF('Production Inventory'!$D87="","",'Production Inventory'!$B87)</f>
        <v/>
      </c>
      <c r="B96" s="10" t="str">
        <f>IF('Production Inventory'!$D87="","",'Production Inventory'!$C87&amp;"")</f>
        <v/>
      </c>
      <c r="C96" s="8" t="str">
        <f>IF('Production Inventory'!$D87="","",'Production Inventory'!$D87&amp;"")</f>
        <v/>
      </c>
      <c r="D96" s="8" t="str">
        <f>IF('Production Inventory'!$D87="","",'Production Inventory'!$E87&amp;"")</f>
        <v/>
      </c>
      <c r="E96" s="8" t="str">
        <f>IF('Production Inventory'!$D87="","",'Production Inventory'!$F87&amp;"")</f>
        <v/>
      </c>
      <c r="F96" s="8" t="str">
        <f>IF('Production Inventory'!$D87="","",'Production Inventory'!$G87&amp;"")</f>
        <v/>
      </c>
      <c r="G96" s="8" t="str">
        <f>IF('Production Inventory'!$D87="","",'Production Inventory'!$V87&amp;"")</f>
        <v/>
      </c>
      <c r="H96" s="8" t="str">
        <f>IF('Production Inventory'!$D87="","",'Production Inventory'!$H87&amp;"")</f>
        <v/>
      </c>
      <c r="I96" s="8" t="str">
        <f>IF('Production Inventory'!$D87="","",'Production Inventory'!$I87&amp;"")</f>
        <v/>
      </c>
      <c r="J96" s="31" t="str">
        <f>IF('Production Inventory'!$Q87="","",HYPERLINK('Production Inventory'!$Q87,"Jira"))</f>
        <v/>
      </c>
      <c r="K96" s="31" t="str">
        <f>IF('Production Inventory'!$R87="","",HYPERLINK('Production Inventory'!$R87,"ClickUp"))</f>
        <v/>
      </c>
      <c r="L96" s="31" t="str">
        <f>IF('Production Inventory'!$S87="","",HYPERLINK('Production Inventory'!$S87,"Bluecore"))</f>
        <v/>
      </c>
    </row>
    <row r="97" spans="1:12" ht="24" customHeight="1">
      <c r="A97" s="9" t="str">
        <f>IF('Production Inventory'!$D88="","",'Production Inventory'!$B88)</f>
        <v/>
      </c>
      <c r="B97" s="10" t="str">
        <f>IF('Production Inventory'!$D88="","",'Production Inventory'!$C88&amp;"")</f>
        <v/>
      </c>
      <c r="C97" s="8" t="str">
        <f>IF('Production Inventory'!$D88="","",'Production Inventory'!$D88&amp;"")</f>
        <v/>
      </c>
      <c r="D97" s="8" t="str">
        <f>IF('Production Inventory'!$D88="","",'Production Inventory'!$E88&amp;"")</f>
        <v/>
      </c>
      <c r="E97" s="8" t="str">
        <f>IF('Production Inventory'!$D88="","",'Production Inventory'!$F88&amp;"")</f>
        <v/>
      </c>
      <c r="F97" s="8" t="str">
        <f>IF('Production Inventory'!$D88="","",'Production Inventory'!$G88&amp;"")</f>
        <v/>
      </c>
      <c r="G97" s="8" t="str">
        <f>IF('Production Inventory'!$D88="","",'Production Inventory'!$V88&amp;"")</f>
        <v/>
      </c>
      <c r="H97" s="8" t="str">
        <f>IF('Production Inventory'!$D88="","",'Production Inventory'!$H88&amp;"")</f>
        <v/>
      </c>
      <c r="I97" s="8" t="str">
        <f>IF('Production Inventory'!$D88="","",'Production Inventory'!$I88&amp;"")</f>
        <v/>
      </c>
      <c r="J97" s="31" t="str">
        <f>IF('Production Inventory'!$Q88="","",HYPERLINK('Production Inventory'!$Q88,"Jira"))</f>
        <v/>
      </c>
      <c r="K97" s="31" t="str">
        <f>IF('Production Inventory'!$R88="","",HYPERLINK('Production Inventory'!$R88,"ClickUp"))</f>
        <v/>
      </c>
      <c r="L97" s="31" t="str">
        <f>IF('Production Inventory'!$S88="","",HYPERLINK('Production Inventory'!$S88,"Bluecore"))</f>
        <v/>
      </c>
    </row>
    <row r="98" spans="1:12" ht="24" customHeight="1">
      <c r="A98" s="9" t="str">
        <f>IF('Production Inventory'!$D89="","",'Production Inventory'!$B89)</f>
        <v/>
      </c>
      <c r="B98" s="10" t="str">
        <f>IF('Production Inventory'!$D89="","",'Production Inventory'!$C89&amp;"")</f>
        <v/>
      </c>
      <c r="C98" s="8" t="str">
        <f>IF('Production Inventory'!$D89="","",'Production Inventory'!$D89&amp;"")</f>
        <v/>
      </c>
      <c r="D98" s="8" t="str">
        <f>IF('Production Inventory'!$D89="","",'Production Inventory'!$E89&amp;"")</f>
        <v/>
      </c>
      <c r="E98" s="8" t="str">
        <f>IF('Production Inventory'!$D89="","",'Production Inventory'!$F89&amp;"")</f>
        <v/>
      </c>
      <c r="F98" s="8" t="str">
        <f>IF('Production Inventory'!$D89="","",'Production Inventory'!$G89&amp;"")</f>
        <v/>
      </c>
      <c r="G98" s="8" t="str">
        <f>IF('Production Inventory'!$D89="","",'Production Inventory'!$V89&amp;"")</f>
        <v/>
      </c>
      <c r="H98" s="8" t="str">
        <f>IF('Production Inventory'!$D89="","",'Production Inventory'!$H89&amp;"")</f>
        <v/>
      </c>
      <c r="I98" s="8" t="str">
        <f>IF('Production Inventory'!$D89="","",'Production Inventory'!$I89&amp;"")</f>
        <v/>
      </c>
      <c r="J98" s="31" t="str">
        <f>IF('Production Inventory'!$Q89="","",HYPERLINK('Production Inventory'!$Q89,"Jira"))</f>
        <v/>
      </c>
      <c r="K98" s="31" t="str">
        <f>IF('Production Inventory'!$R89="","",HYPERLINK('Production Inventory'!$R89,"ClickUp"))</f>
        <v/>
      </c>
      <c r="L98" s="31" t="str">
        <f>IF('Production Inventory'!$S89="","",HYPERLINK('Production Inventory'!$S89,"Bluecore"))</f>
        <v/>
      </c>
    </row>
    <row r="99" spans="1:12" ht="24" customHeight="1">
      <c r="A99" s="9" t="str">
        <f>IF('Production Inventory'!$D90="","",'Production Inventory'!$B90)</f>
        <v/>
      </c>
      <c r="B99" s="10" t="str">
        <f>IF('Production Inventory'!$D90="","",'Production Inventory'!$C90&amp;"")</f>
        <v/>
      </c>
      <c r="C99" s="8" t="str">
        <f>IF('Production Inventory'!$D90="","",'Production Inventory'!$D90&amp;"")</f>
        <v/>
      </c>
      <c r="D99" s="8" t="str">
        <f>IF('Production Inventory'!$D90="","",'Production Inventory'!$E90&amp;"")</f>
        <v/>
      </c>
      <c r="E99" s="8" t="str">
        <f>IF('Production Inventory'!$D90="","",'Production Inventory'!$F90&amp;"")</f>
        <v/>
      </c>
      <c r="F99" s="8" t="str">
        <f>IF('Production Inventory'!$D90="","",'Production Inventory'!$G90&amp;"")</f>
        <v/>
      </c>
      <c r="G99" s="8" t="str">
        <f>IF('Production Inventory'!$D90="","",'Production Inventory'!$V90&amp;"")</f>
        <v/>
      </c>
      <c r="H99" s="8" t="str">
        <f>IF('Production Inventory'!$D90="","",'Production Inventory'!$H90&amp;"")</f>
        <v/>
      </c>
      <c r="I99" s="8" t="str">
        <f>IF('Production Inventory'!$D90="","",'Production Inventory'!$I90&amp;"")</f>
        <v/>
      </c>
      <c r="J99" s="31" t="str">
        <f>IF('Production Inventory'!$Q90="","",HYPERLINK('Production Inventory'!$Q90,"Jira"))</f>
        <v/>
      </c>
      <c r="K99" s="31" t="str">
        <f>IF('Production Inventory'!$R90="","",HYPERLINK('Production Inventory'!$R90,"ClickUp"))</f>
        <v/>
      </c>
      <c r="L99" s="31" t="str">
        <f>IF('Production Inventory'!$S90="","",HYPERLINK('Production Inventory'!$S90,"Bluecore"))</f>
        <v/>
      </c>
    </row>
    <row r="100" spans="1:12" ht="24" customHeight="1">
      <c r="A100" s="9" t="str">
        <f>IF('Production Inventory'!$D91="","",'Production Inventory'!$B91)</f>
        <v/>
      </c>
      <c r="B100" s="10" t="str">
        <f>IF('Production Inventory'!$D91="","",'Production Inventory'!$C91&amp;"")</f>
        <v/>
      </c>
      <c r="C100" s="8" t="str">
        <f>IF('Production Inventory'!$D91="","",'Production Inventory'!$D91&amp;"")</f>
        <v/>
      </c>
      <c r="D100" s="8" t="str">
        <f>IF('Production Inventory'!$D91="","",'Production Inventory'!$E91&amp;"")</f>
        <v/>
      </c>
      <c r="E100" s="8" t="str">
        <f>IF('Production Inventory'!$D91="","",'Production Inventory'!$F91&amp;"")</f>
        <v/>
      </c>
      <c r="F100" s="8" t="str">
        <f>IF('Production Inventory'!$D91="","",'Production Inventory'!$G91&amp;"")</f>
        <v/>
      </c>
      <c r="G100" s="8" t="str">
        <f>IF('Production Inventory'!$D91="","",'Production Inventory'!$V91&amp;"")</f>
        <v/>
      </c>
      <c r="H100" s="8" t="str">
        <f>IF('Production Inventory'!$D91="","",'Production Inventory'!$H91&amp;"")</f>
        <v/>
      </c>
      <c r="I100" s="8" t="str">
        <f>IF('Production Inventory'!$D91="","",'Production Inventory'!$I91&amp;"")</f>
        <v/>
      </c>
      <c r="J100" s="31" t="str">
        <f>IF('Production Inventory'!$Q91="","",HYPERLINK('Production Inventory'!$Q91,"Jira"))</f>
        <v/>
      </c>
      <c r="K100" s="31" t="str">
        <f>IF('Production Inventory'!$R91="","",HYPERLINK('Production Inventory'!$R91,"ClickUp"))</f>
        <v/>
      </c>
      <c r="L100" s="31" t="str">
        <f>IF('Production Inventory'!$S91="","",HYPERLINK('Production Inventory'!$S91,"Bluecore"))</f>
        <v/>
      </c>
    </row>
    <row r="101" spans="1:12" ht="24" customHeight="1">
      <c r="A101" s="9" t="str">
        <f>IF('Production Inventory'!$D92="","",'Production Inventory'!$B92)</f>
        <v/>
      </c>
      <c r="B101" s="10" t="str">
        <f>IF('Production Inventory'!$D92="","",'Production Inventory'!$C92&amp;"")</f>
        <v/>
      </c>
      <c r="C101" s="8" t="str">
        <f>IF('Production Inventory'!$D92="","",'Production Inventory'!$D92&amp;"")</f>
        <v/>
      </c>
      <c r="D101" s="8" t="str">
        <f>IF('Production Inventory'!$D92="","",'Production Inventory'!$E92&amp;"")</f>
        <v/>
      </c>
      <c r="E101" s="8" t="str">
        <f>IF('Production Inventory'!$D92="","",'Production Inventory'!$F92&amp;"")</f>
        <v/>
      </c>
      <c r="F101" s="8" t="str">
        <f>IF('Production Inventory'!$D92="","",'Production Inventory'!$G92&amp;"")</f>
        <v/>
      </c>
      <c r="G101" s="8" t="str">
        <f>IF('Production Inventory'!$D92="","",'Production Inventory'!$V92&amp;"")</f>
        <v/>
      </c>
      <c r="H101" s="8" t="str">
        <f>IF('Production Inventory'!$D92="","",'Production Inventory'!$H92&amp;"")</f>
        <v/>
      </c>
      <c r="I101" s="8" t="str">
        <f>IF('Production Inventory'!$D92="","",'Production Inventory'!$I92&amp;"")</f>
        <v/>
      </c>
      <c r="J101" s="31" t="str">
        <f>IF('Production Inventory'!$Q92="","",HYPERLINK('Production Inventory'!$Q92,"Jira"))</f>
        <v/>
      </c>
      <c r="K101" s="31" t="str">
        <f>IF('Production Inventory'!$R92="","",HYPERLINK('Production Inventory'!$R92,"ClickUp"))</f>
        <v/>
      </c>
      <c r="L101" s="31" t="str">
        <f>IF('Production Inventory'!$S92="","",HYPERLINK('Production Inventory'!$S92,"Bluecore"))</f>
        <v/>
      </c>
    </row>
    <row r="102" spans="1:12" ht="24" customHeight="1">
      <c r="A102" s="9" t="str">
        <f>IF('Production Inventory'!$D93="","",'Production Inventory'!$B93)</f>
        <v/>
      </c>
      <c r="B102" s="10" t="str">
        <f>IF('Production Inventory'!$D93="","",'Production Inventory'!$C93&amp;"")</f>
        <v/>
      </c>
      <c r="C102" s="8" t="str">
        <f>IF('Production Inventory'!$D93="","",'Production Inventory'!$D93&amp;"")</f>
        <v/>
      </c>
      <c r="D102" s="8" t="str">
        <f>IF('Production Inventory'!$D93="","",'Production Inventory'!$E93&amp;"")</f>
        <v/>
      </c>
      <c r="E102" s="8" t="str">
        <f>IF('Production Inventory'!$D93="","",'Production Inventory'!$F93&amp;"")</f>
        <v/>
      </c>
      <c r="F102" s="8" t="str">
        <f>IF('Production Inventory'!$D93="","",'Production Inventory'!$G93&amp;"")</f>
        <v/>
      </c>
      <c r="G102" s="8" t="str">
        <f>IF('Production Inventory'!$D93="","",'Production Inventory'!$V93&amp;"")</f>
        <v/>
      </c>
      <c r="H102" s="8" t="str">
        <f>IF('Production Inventory'!$D93="","",'Production Inventory'!$H93&amp;"")</f>
        <v/>
      </c>
      <c r="I102" s="8" t="str">
        <f>IF('Production Inventory'!$D93="","",'Production Inventory'!$I93&amp;"")</f>
        <v/>
      </c>
      <c r="J102" s="31" t="str">
        <f>IF('Production Inventory'!$Q93="","",HYPERLINK('Production Inventory'!$Q93,"Jira"))</f>
        <v/>
      </c>
      <c r="K102" s="31" t="str">
        <f>IF('Production Inventory'!$R93="","",HYPERLINK('Production Inventory'!$R93,"ClickUp"))</f>
        <v/>
      </c>
      <c r="L102" s="31" t="str">
        <f>IF('Production Inventory'!$S93="","",HYPERLINK('Production Inventory'!$S93,"Bluecore"))</f>
        <v/>
      </c>
    </row>
    <row r="103" spans="1:12" ht="24" customHeight="1">
      <c r="A103" s="9" t="str">
        <f>IF('Production Inventory'!$D94="","",'Production Inventory'!$B94)</f>
        <v/>
      </c>
      <c r="B103" s="10" t="str">
        <f>IF('Production Inventory'!$D94="","",'Production Inventory'!$C94&amp;"")</f>
        <v/>
      </c>
      <c r="C103" s="8" t="str">
        <f>IF('Production Inventory'!$D94="","",'Production Inventory'!$D94&amp;"")</f>
        <v/>
      </c>
      <c r="D103" s="8" t="str">
        <f>IF('Production Inventory'!$D94="","",'Production Inventory'!$E94&amp;"")</f>
        <v/>
      </c>
      <c r="E103" s="8" t="str">
        <f>IF('Production Inventory'!$D94="","",'Production Inventory'!$F94&amp;"")</f>
        <v/>
      </c>
      <c r="F103" s="8" t="str">
        <f>IF('Production Inventory'!$D94="","",'Production Inventory'!$G94&amp;"")</f>
        <v/>
      </c>
      <c r="G103" s="8" t="str">
        <f>IF('Production Inventory'!$D94="","",'Production Inventory'!$V94&amp;"")</f>
        <v/>
      </c>
      <c r="H103" s="8" t="str">
        <f>IF('Production Inventory'!$D94="","",'Production Inventory'!$H94&amp;"")</f>
        <v/>
      </c>
      <c r="I103" s="8" t="str">
        <f>IF('Production Inventory'!$D94="","",'Production Inventory'!$I94&amp;"")</f>
        <v/>
      </c>
      <c r="J103" s="31" t="str">
        <f>IF('Production Inventory'!$Q94="","",HYPERLINK('Production Inventory'!$Q94,"Jira"))</f>
        <v/>
      </c>
      <c r="K103" s="31" t="str">
        <f>IF('Production Inventory'!$R94="","",HYPERLINK('Production Inventory'!$R94,"ClickUp"))</f>
        <v/>
      </c>
      <c r="L103" s="31" t="str">
        <f>IF('Production Inventory'!$S94="","",HYPERLINK('Production Inventory'!$S94,"Bluecore"))</f>
        <v/>
      </c>
    </row>
    <row r="104" spans="1:12" ht="24" customHeight="1">
      <c r="A104" s="9" t="str">
        <f>IF('Production Inventory'!$D95="","",'Production Inventory'!$B95)</f>
        <v/>
      </c>
      <c r="B104" s="10" t="str">
        <f>IF('Production Inventory'!$D95="","",'Production Inventory'!$C95&amp;"")</f>
        <v/>
      </c>
      <c r="C104" s="8" t="str">
        <f>IF('Production Inventory'!$D95="","",'Production Inventory'!$D95&amp;"")</f>
        <v/>
      </c>
      <c r="D104" s="8" t="str">
        <f>IF('Production Inventory'!$D95="","",'Production Inventory'!$E95&amp;"")</f>
        <v/>
      </c>
      <c r="E104" s="8" t="str">
        <f>IF('Production Inventory'!$D95="","",'Production Inventory'!$F95&amp;"")</f>
        <v/>
      </c>
      <c r="F104" s="8" t="str">
        <f>IF('Production Inventory'!$D95="","",'Production Inventory'!$G95&amp;"")</f>
        <v/>
      </c>
      <c r="G104" s="8" t="str">
        <f>IF('Production Inventory'!$D95="","",'Production Inventory'!$V95&amp;"")</f>
        <v/>
      </c>
      <c r="H104" s="8" t="str">
        <f>IF('Production Inventory'!$D95="","",'Production Inventory'!$H95&amp;"")</f>
        <v/>
      </c>
      <c r="I104" s="8" t="str">
        <f>IF('Production Inventory'!$D95="","",'Production Inventory'!$I95&amp;"")</f>
        <v/>
      </c>
      <c r="J104" s="31" t="str">
        <f>IF('Production Inventory'!$Q95="","",HYPERLINK('Production Inventory'!$Q95,"Jira"))</f>
        <v/>
      </c>
      <c r="K104" s="31" t="str">
        <f>IF('Production Inventory'!$R95="","",HYPERLINK('Production Inventory'!$R95,"ClickUp"))</f>
        <v/>
      </c>
      <c r="L104" s="31" t="str">
        <f>IF('Production Inventory'!$S95="","",HYPERLINK('Production Inventory'!$S95,"Bluecore"))</f>
        <v/>
      </c>
    </row>
    <row r="105" spans="1:12" ht="24" customHeight="1">
      <c r="A105" s="9" t="str">
        <f>IF('Production Inventory'!$D96="","",'Production Inventory'!$B96)</f>
        <v/>
      </c>
      <c r="B105" s="10" t="str">
        <f>IF('Production Inventory'!$D96="","",'Production Inventory'!$C96&amp;"")</f>
        <v/>
      </c>
      <c r="C105" s="8" t="str">
        <f>IF('Production Inventory'!$D96="","",'Production Inventory'!$D96&amp;"")</f>
        <v/>
      </c>
      <c r="D105" s="8" t="str">
        <f>IF('Production Inventory'!$D96="","",'Production Inventory'!$E96&amp;"")</f>
        <v/>
      </c>
      <c r="E105" s="8" t="str">
        <f>IF('Production Inventory'!$D96="","",'Production Inventory'!$F96&amp;"")</f>
        <v/>
      </c>
      <c r="F105" s="8" t="str">
        <f>IF('Production Inventory'!$D96="","",'Production Inventory'!$G96&amp;"")</f>
        <v/>
      </c>
      <c r="G105" s="8" t="str">
        <f>IF('Production Inventory'!$D96="","",'Production Inventory'!$V96&amp;"")</f>
        <v/>
      </c>
      <c r="H105" s="8" t="str">
        <f>IF('Production Inventory'!$D96="","",'Production Inventory'!$H96&amp;"")</f>
        <v/>
      </c>
      <c r="I105" s="8" t="str">
        <f>IF('Production Inventory'!$D96="","",'Production Inventory'!$I96&amp;"")</f>
        <v/>
      </c>
      <c r="J105" s="31" t="str">
        <f>IF('Production Inventory'!$Q96="","",HYPERLINK('Production Inventory'!$Q96,"Jira"))</f>
        <v/>
      </c>
      <c r="K105" s="31" t="str">
        <f>IF('Production Inventory'!$R96="","",HYPERLINK('Production Inventory'!$R96,"ClickUp"))</f>
        <v/>
      </c>
      <c r="L105" s="31" t="str">
        <f>IF('Production Inventory'!$S96="","",HYPERLINK('Production Inventory'!$S96,"Bluecore"))</f>
        <v/>
      </c>
    </row>
    <row r="106" spans="1:12" ht="24" customHeight="1">
      <c r="A106" s="9" t="str">
        <f>IF('Production Inventory'!$D97="","",'Production Inventory'!$B97)</f>
        <v/>
      </c>
      <c r="B106" s="10" t="str">
        <f>IF('Production Inventory'!$D97="","",'Production Inventory'!$C97&amp;"")</f>
        <v/>
      </c>
      <c r="C106" s="8" t="str">
        <f>IF('Production Inventory'!$D97="","",'Production Inventory'!$D97&amp;"")</f>
        <v/>
      </c>
      <c r="D106" s="8" t="str">
        <f>IF('Production Inventory'!$D97="","",'Production Inventory'!$E97&amp;"")</f>
        <v/>
      </c>
      <c r="E106" s="8" t="str">
        <f>IF('Production Inventory'!$D97="","",'Production Inventory'!$F97&amp;"")</f>
        <v/>
      </c>
      <c r="F106" s="8" t="str">
        <f>IF('Production Inventory'!$D97="","",'Production Inventory'!$G97&amp;"")</f>
        <v/>
      </c>
      <c r="G106" s="8" t="str">
        <f>IF('Production Inventory'!$D97="","",'Production Inventory'!$V97&amp;"")</f>
        <v/>
      </c>
      <c r="H106" s="8" t="str">
        <f>IF('Production Inventory'!$D97="","",'Production Inventory'!$H97&amp;"")</f>
        <v/>
      </c>
      <c r="I106" s="8" t="str">
        <f>IF('Production Inventory'!$D97="","",'Production Inventory'!$I97&amp;"")</f>
        <v/>
      </c>
      <c r="J106" s="31" t="str">
        <f>IF('Production Inventory'!$Q97="","",HYPERLINK('Production Inventory'!$Q97,"Jira"))</f>
        <v/>
      </c>
      <c r="K106" s="31" t="str">
        <f>IF('Production Inventory'!$R97="","",HYPERLINK('Production Inventory'!$R97,"ClickUp"))</f>
        <v/>
      </c>
      <c r="L106" s="31" t="str">
        <f>IF('Production Inventory'!$S97="","",HYPERLINK('Production Inventory'!$S97,"Bluecore"))</f>
        <v/>
      </c>
    </row>
    <row r="107" spans="1:12" ht="24" customHeight="1">
      <c r="A107" s="9" t="str">
        <f>IF('Production Inventory'!$D98="","",'Production Inventory'!$B98)</f>
        <v/>
      </c>
      <c r="B107" s="10" t="str">
        <f>IF('Production Inventory'!$D98="","",'Production Inventory'!$C98&amp;"")</f>
        <v/>
      </c>
      <c r="C107" s="8" t="str">
        <f>IF('Production Inventory'!$D98="","",'Production Inventory'!$D98&amp;"")</f>
        <v/>
      </c>
      <c r="D107" s="8" t="str">
        <f>IF('Production Inventory'!$D98="","",'Production Inventory'!$E98&amp;"")</f>
        <v/>
      </c>
      <c r="E107" s="8" t="str">
        <f>IF('Production Inventory'!$D98="","",'Production Inventory'!$F98&amp;"")</f>
        <v/>
      </c>
      <c r="F107" s="8" t="str">
        <f>IF('Production Inventory'!$D98="","",'Production Inventory'!$G98&amp;"")</f>
        <v/>
      </c>
      <c r="G107" s="8" t="str">
        <f>IF('Production Inventory'!$D98="","",'Production Inventory'!$V98&amp;"")</f>
        <v/>
      </c>
      <c r="H107" s="8" t="str">
        <f>IF('Production Inventory'!$D98="","",'Production Inventory'!$H98&amp;"")</f>
        <v/>
      </c>
      <c r="I107" s="8" t="str">
        <f>IF('Production Inventory'!$D98="","",'Production Inventory'!$I98&amp;"")</f>
        <v/>
      </c>
      <c r="J107" s="31" t="str">
        <f>IF('Production Inventory'!$Q98="","",HYPERLINK('Production Inventory'!$Q98,"Jira"))</f>
        <v/>
      </c>
      <c r="K107" s="31" t="str">
        <f>IF('Production Inventory'!$R98="","",HYPERLINK('Production Inventory'!$R98,"ClickUp"))</f>
        <v/>
      </c>
      <c r="L107" s="31" t="str">
        <f>IF('Production Inventory'!$S98="","",HYPERLINK('Production Inventory'!$S98,"Bluecore"))</f>
        <v/>
      </c>
    </row>
    <row r="108" spans="1:12" ht="24" customHeight="1">
      <c r="A108" s="9" t="str">
        <f>IF('Production Inventory'!$D99="","",'Production Inventory'!$B99)</f>
        <v/>
      </c>
      <c r="B108" s="10" t="str">
        <f>IF('Production Inventory'!$D99="","",'Production Inventory'!$C99&amp;"")</f>
        <v/>
      </c>
      <c r="C108" s="8" t="str">
        <f>IF('Production Inventory'!$D99="","",'Production Inventory'!$D99&amp;"")</f>
        <v/>
      </c>
      <c r="D108" s="8" t="str">
        <f>IF('Production Inventory'!$D99="","",'Production Inventory'!$E99&amp;"")</f>
        <v/>
      </c>
      <c r="E108" s="8" t="str">
        <f>IF('Production Inventory'!$D99="","",'Production Inventory'!$F99&amp;"")</f>
        <v/>
      </c>
      <c r="F108" s="8" t="str">
        <f>IF('Production Inventory'!$D99="","",'Production Inventory'!$G99&amp;"")</f>
        <v/>
      </c>
      <c r="G108" s="8" t="str">
        <f>IF('Production Inventory'!$D99="","",'Production Inventory'!$V99&amp;"")</f>
        <v/>
      </c>
      <c r="H108" s="8" t="str">
        <f>IF('Production Inventory'!$D99="","",'Production Inventory'!$H99&amp;"")</f>
        <v/>
      </c>
      <c r="I108" s="8" t="str">
        <f>IF('Production Inventory'!$D99="","",'Production Inventory'!$I99&amp;"")</f>
        <v/>
      </c>
      <c r="J108" s="31" t="str">
        <f>IF('Production Inventory'!$Q99="","",HYPERLINK('Production Inventory'!$Q99,"Jira"))</f>
        <v/>
      </c>
      <c r="K108" s="31" t="str">
        <f>IF('Production Inventory'!$R99="","",HYPERLINK('Production Inventory'!$R99,"ClickUp"))</f>
        <v/>
      </c>
      <c r="L108" s="31" t="str">
        <f>IF('Production Inventory'!$S99="","",HYPERLINK('Production Inventory'!$S99,"Bluecore"))</f>
        <v/>
      </c>
    </row>
    <row r="109" spans="1:12" ht="24" customHeight="1">
      <c r="A109" s="9" t="str">
        <f>IF('Production Inventory'!$D100="","",'Production Inventory'!$B100)</f>
        <v/>
      </c>
      <c r="B109" s="10" t="str">
        <f>IF('Production Inventory'!$D100="","",'Production Inventory'!$C100&amp;"")</f>
        <v/>
      </c>
      <c r="C109" s="8" t="str">
        <f>IF('Production Inventory'!$D100="","",'Production Inventory'!$D100&amp;"")</f>
        <v/>
      </c>
      <c r="D109" s="8" t="str">
        <f>IF('Production Inventory'!$D100="","",'Production Inventory'!$E100&amp;"")</f>
        <v/>
      </c>
      <c r="E109" s="8" t="str">
        <f>IF('Production Inventory'!$D100="","",'Production Inventory'!$F100&amp;"")</f>
        <v/>
      </c>
      <c r="F109" s="8" t="str">
        <f>IF('Production Inventory'!$D100="","",'Production Inventory'!$G100&amp;"")</f>
        <v/>
      </c>
      <c r="G109" s="8" t="str">
        <f>IF('Production Inventory'!$D100="","",'Production Inventory'!$V100&amp;"")</f>
        <v/>
      </c>
      <c r="H109" s="8" t="str">
        <f>IF('Production Inventory'!$D100="","",'Production Inventory'!$H100&amp;"")</f>
        <v/>
      </c>
      <c r="I109" s="8" t="str">
        <f>IF('Production Inventory'!$D100="","",'Production Inventory'!$I100&amp;"")</f>
        <v/>
      </c>
      <c r="J109" s="31" t="str">
        <f>IF('Production Inventory'!$Q100="","",HYPERLINK('Production Inventory'!$Q100,"Jira"))</f>
        <v/>
      </c>
      <c r="K109" s="31" t="str">
        <f>IF('Production Inventory'!$R100="","",HYPERLINK('Production Inventory'!$R100,"ClickUp"))</f>
        <v/>
      </c>
      <c r="L109" s="31" t="str">
        <f>IF('Production Inventory'!$S100="","",HYPERLINK('Production Inventory'!$S100,"Bluecore"))</f>
        <v/>
      </c>
    </row>
    <row r="110" spans="1:12" ht="24" customHeight="1">
      <c r="A110" s="26" t="str">
        <f>IF('Production Inventory'!$D101="","",'Production Inventory'!$B101)</f>
        <v/>
      </c>
      <c r="B110" s="29" t="str">
        <f>IF('Production Inventory'!$D101="","",'Production Inventory'!$C101&amp;"")</f>
        <v/>
      </c>
      <c r="C110" s="23" t="str">
        <f>IF('Production Inventory'!$D101="","",'Production Inventory'!$D101&amp;"")</f>
        <v/>
      </c>
      <c r="D110" s="23" t="str">
        <f>IF('Production Inventory'!$D101="","",'Production Inventory'!$E101&amp;"")</f>
        <v/>
      </c>
      <c r="E110" s="23" t="str">
        <f>IF('Production Inventory'!$D101="","",'Production Inventory'!$F101&amp;"")</f>
        <v/>
      </c>
      <c r="F110" s="23" t="str">
        <f>IF('Production Inventory'!$D101="","",'Production Inventory'!$G101&amp;"")</f>
        <v/>
      </c>
      <c r="G110" s="23" t="str">
        <f>IF('Production Inventory'!$D101="","",'Production Inventory'!$V101&amp;"")</f>
        <v/>
      </c>
      <c r="H110" s="23" t="str">
        <f>IF('Production Inventory'!$D101="","",'Production Inventory'!$H101&amp;"")</f>
        <v/>
      </c>
      <c r="I110" s="23" t="str">
        <f>IF('Production Inventory'!$D101="","",'Production Inventory'!$I101&amp;"")</f>
        <v/>
      </c>
      <c r="J110" s="32" t="str">
        <f>IF('Production Inventory'!$Q101="","",HYPERLINK('Production Inventory'!$Q101,"Jira"))</f>
        <v/>
      </c>
      <c r="K110" s="32" t="str">
        <f>IF('Production Inventory'!$R101="","",HYPERLINK('Production Inventory'!$R101,"ClickUp"))</f>
        <v/>
      </c>
      <c r="L110" s="32" t="str">
        <f>IF('Production Inventory'!$S101="","",HYPERLINK('Production Inventory'!$S101,"Bluecore"))</f>
        <v/>
      </c>
    </row>
    <row r="113" spans="1:4" ht="15">
      <c r="A113" s="69" t="s">
        <v>92</v>
      </c>
      <c r="B113" s="69"/>
      <c r="C113" s="69"/>
      <c r="D113" s="69"/>
    </row>
    <row r="114" spans="1:4" ht="15">
      <c r="A114" s="17" t="s">
        <v>93</v>
      </c>
      <c r="B114" s="17" t="s">
        <v>94</v>
      </c>
      <c r="C114" s="17" t="s">
        <v>95</v>
      </c>
      <c r="D114" s="17" t="s">
        <v>96</v>
      </c>
    </row>
    <row r="115" spans="1:4" ht="28.5">
      <c r="A115" s="33" t="s">
        <v>97</v>
      </c>
      <c r="B115" s="33" t="s">
        <v>98</v>
      </c>
      <c r="C115" s="33" t="s">
        <v>99</v>
      </c>
      <c r="D115" s="34">
        <f ca="1">COUNTIFS('Production Inventory'!B:B,TODAY(),'Production Inventory'!D:D,"&lt;&gt;")</f>
        <v>1</v>
      </c>
    </row>
    <row r="116" spans="1:4" ht="28.5">
      <c r="A116" s="33" t="s">
        <v>74</v>
      </c>
      <c r="B116" s="33" t="s">
        <v>100</v>
      </c>
      <c r="C116" s="33" t="s">
        <v>101</v>
      </c>
      <c r="D116" s="34">
        <f ca="1">COUNTIFS('Production Inventory'!V:V,"Blocked")</f>
        <v>1</v>
      </c>
    </row>
    <row r="117" spans="1:4" ht="42.75">
      <c r="A117" s="33" t="s">
        <v>102</v>
      </c>
      <c r="B117" s="33" t="s">
        <v>103</v>
      </c>
      <c r="C117" s="33" t="s">
        <v>104</v>
      </c>
      <c r="D117" s="34">
        <f>COUNTIFS('Production Inventory'!L:L,"Ready",'Production Inventory'!R:R,"")</f>
        <v>0</v>
      </c>
    </row>
    <row r="118" spans="1:4" ht="57">
      <c r="A118" s="33" t="s">
        <v>105</v>
      </c>
      <c r="B118" s="33" t="s">
        <v>106</v>
      </c>
      <c r="C118" s="33" t="s">
        <v>107</v>
      </c>
      <c r="D118" s="34">
        <f>COUNTIFS('Production Inventory'!M:M,"Sent",'Production Inventory'!S:S,"")</f>
        <v>1</v>
      </c>
    </row>
    <row r="119" spans="1:4" ht="42.75">
      <c r="A119" s="33" t="s">
        <v>108</v>
      </c>
      <c r="B119" s="33" t="s">
        <v>109</v>
      </c>
      <c r="C119" s="33" t="s">
        <v>110</v>
      </c>
      <c r="D119" s="34">
        <f>COUNTIFS('Production Inventory'!O:O,"Passed",'Production Inventory'!P:P,"&lt;&gt;Scheduled")</f>
        <v>0</v>
      </c>
    </row>
  </sheetData>
  <mergeCells count="23">
    <mergeCell ref="A9:L9"/>
    <mergeCell ref="A113:D113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:B8">
    <cfRule type="cellIs" dxfId="11" priority="1" operator="greaterThan">
      <formula>0</formula>
    </cfRule>
  </conditionalFormatting>
  <conditionalFormatting sqref="B8">
    <cfRule type="cellIs" dxfId="10" priority="2" operator="greaterThan">
      <formula>0</formula>
    </cfRule>
  </conditionalFormatting>
  <conditionalFormatting sqref="B9">
    <cfRule type="cellIs" dxfId="9" priority="3" operator="greaterThan">
      <formula>0</formula>
    </cfRule>
  </conditionalFormatting>
  <conditionalFormatting sqref="E11:E110">
    <cfRule type="expression" dxfId="8" priority="10">
      <formula>E11="Scheduled"</formula>
    </cfRule>
    <cfRule type="expression" dxfId="7" priority="11">
      <formula>E11="Sent"</formula>
    </cfRule>
    <cfRule type="expression" dxfId="6" priority="12">
      <formula>E11="Blocked"</formula>
    </cfRule>
  </conditionalFormatting>
  <conditionalFormatting sqref="G11:G110">
    <cfRule type="expression" dxfId="5" priority="4">
      <formula>G11="Critical"</formula>
    </cfRule>
    <cfRule type="expression" dxfId="4" priority="5">
      <formula>G11="High Risk"</formula>
    </cfRule>
    <cfRule type="expression" dxfId="3" priority="6">
      <formula>G11="At Risk"</formula>
    </cfRule>
    <cfRule type="expression" dxfId="2" priority="7">
      <formula>G11="Blocked"</formula>
    </cfRule>
    <cfRule type="expression" dxfId="1" priority="8">
      <formula>G11="Ready"</formula>
    </cfRule>
    <cfRule type="expression" dxfId="0" priority="9">
      <formula>G11="Complete"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00"/>
  <sheetViews>
    <sheetView workbookViewId="0">
      <selection activeCell="A2" sqref="A2"/>
    </sheetView>
  </sheetViews>
  <sheetFormatPr defaultRowHeight="14.25"/>
  <cols>
    <col min="1" max="2" width="20" customWidth="1"/>
    <col min="3" max="3" width="35" customWidth="1"/>
    <col min="4" max="6" width="20" customWidth="1"/>
    <col min="7" max="7" width="45" customWidth="1"/>
  </cols>
  <sheetData>
    <row r="1" spans="1:7" ht="15">
      <c r="A1" s="3" t="s">
        <v>1</v>
      </c>
      <c r="B1" s="3" t="s">
        <v>2</v>
      </c>
      <c r="C1" s="3" t="s">
        <v>3</v>
      </c>
      <c r="D1" s="3" t="s">
        <v>4</v>
      </c>
      <c r="E1" s="3" t="s">
        <v>6</v>
      </c>
      <c r="F1" s="3" t="s">
        <v>111</v>
      </c>
      <c r="G1" s="3" t="s">
        <v>112</v>
      </c>
    </row>
    <row r="2" spans="1:7" ht="42.75">
      <c r="A2" s="6">
        <v>46182</v>
      </c>
      <c r="B2" s="7">
        <v>0.375</v>
      </c>
      <c r="C2" s="5" t="s">
        <v>170</v>
      </c>
      <c r="D2" s="5" t="s">
        <v>51</v>
      </c>
      <c r="E2" s="5" t="s">
        <v>40</v>
      </c>
      <c r="F2" s="70" t="s">
        <v>171</v>
      </c>
      <c r="G2" s="5"/>
    </row>
    <row r="3" spans="1:7">
      <c r="A3" s="6"/>
      <c r="B3" s="7"/>
      <c r="C3" s="5"/>
      <c r="D3" s="5"/>
      <c r="E3" s="5"/>
      <c r="F3" s="5"/>
      <c r="G3" s="5"/>
    </row>
    <row r="4" spans="1:7">
      <c r="A4" s="6"/>
      <c r="B4" s="7"/>
      <c r="C4" s="5"/>
      <c r="D4" s="5"/>
      <c r="E4" s="5"/>
      <c r="F4" s="5"/>
      <c r="G4" s="5"/>
    </row>
    <row r="5" spans="1:7">
      <c r="A5" s="6"/>
      <c r="B5" s="7"/>
      <c r="C5" s="5"/>
      <c r="D5" s="5"/>
      <c r="E5" s="5"/>
      <c r="F5" s="5"/>
      <c r="G5" s="5"/>
    </row>
    <row r="6" spans="1:7">
      <c r="A6" s="6"/>
      <c r="B6" s="7"/>
      <c r="C6" s="5"/>
      <c r="D6" s="5"/>
      <c r="E6" s="5"/>
      <c r="F6" s="5"/>
      <c r="G6" s="5"/>
    </row>
    <row r="7" spans="1:7">
      <c r="A7" s="6"/>
      <c r="B7" s="7"/>
      <c r="C7" s="5"/>
      <c r="D7" s="5"/>
      <c r="E7" s="5"/>
      <c r="F7" s="5"/>
      <c r="G7" s="5"/>
    </row>
    <row r="8" spans="1:7">
      <c r="A8" s="6"/>
      <c r="B8" s="7"/>
      <c r="C8" s="5"/>
      <c r="D8" s="5"/>
      <c r="E8" s="5"/>
      <c r="F8" s="5"/>
      <c r="G8" s="5"/>
    </row>
    <row r="9" spans="1:7">
      <c r="A9" s="6"/>
      <c r="B9" s="7"/>
      <c r="C9" s="5"/>
      <c r="D9" s="5"/>
      <c r="E9" s="5"/>
      <c r="F9" s="5"/>
      <c r="G9" s="5"/>
    </row>
    <row r="10" spans="1:7">
      <c r="A10" s="6"/>
      <c r="B10" s="7"/>
      <c r="C10" s="5"/>
      <c r="D10" s="5"/>
      <c r="E10" s="5"/>
      <c r="F10" s="5"/>
      <c r="G10" s="5"/>
    </row>
    <row r="11" spans="1:7">
      <c r="A11" s="6"/>
      <c r="B11" s="7"/>
      <c r="C11" s="5"/>
      <c r="D11" s="5"/>
      <c r="E11" s="5"/>
      <c r="F11" s="5"/>
      <c r="G11" s="5"/>
    </row>
    <row r="12" spans="1:7">
      <c r="A12" s="6"/>
      <c r="B12" s="7"/>
      <c r="C12" s="5"/>
      <c r="D12" s="5"/>
      <c r="E12" s="5"/>
      <c r="F12" s="5"/>
      <c r="G12" s="5"/>
    </row>
    <row r="13" spans="1:7">
      <c r="A13" s="6"/>
      <c r="B13" s="7"/>
      <c r="C13" s="5"/>
      <c r="D13" s="5"/>
      <c r="E13" s="5"/>
      <c r="F13" s="5"/>
      <c r="G13" s="5"/>
    </row>
    <row r="14" spans="1:7">
      <c r="A14" s="6"/>
      <c r="B14" s="7"/>
      <c r="C14" s="5"/>
      <c r="D14" s="5"/>
      <c r="E14" s="5"/>
      <c r="F14" s="5"/>
      <c r="G14" s="5"/>
    </row>
    <row r="15" spans="1:7">
      <c r="A15" s="6"/>
      <c r="B15" s="7"/>
      <c r="C15" s="5"/>
      <c r="D15" s="5"/>
      <c r="E15" s="5"/>
      <c r="F15" s="5"/>
      <c r="G15" s="5"/>
    </row>
    <row r="16" spans="1:7">
      <c r="A16" s="6"/>
      <c r="B16" s="7"/>
      <c r="C16" s="5"/>
      <c r="D16" s="5"/>
      <c r="E16" s="5"/>
      <c r="F16" s="5"/>
      <c r="G16" s="5"/>
    </row>
    <row r="17" spans="1:7">
      <c r="A17" s="6"/>
      <c r="B17" s="7"/>
      <c r="C17" s="5"/>
      <c r="D17" s="5"/>
      <c r="E17" s="5"/>
      <c r="F17" s="5"/>
      <c r="G17" s="5"/>
    </row>
    <row r="18" spans="1:7">
      <c r="A18" s="6"/>
      <c r="B18" s="7"/>
      <c r="C18" s="5"/>
      <c r="D18" s="5"/>
      <c r="E18" s="5"/>
      <c r="F18" s="5"/>
      <c r="G18" s="5"/>
    </row>
    <row r="19" spans="1:7">
      <c r="A19" s="6"/>
      <c r="B19" s="7"/>
      <c r="C19" s="5"/>
      <c r="D19" s="5"/>
      <c r="E19" s="5"/>
      <c r="F19" s="5"/>
      <c r="G19" s="5"/>
    </row>
    <row r="20" spans="1:7">
      <c r="A20" s="6"/>
      <c r="B20" s="7"/>
      <c r="C20" s="5"/>
      <c r="D20" s="5"/>
      <c r="E20" s="5"/>
      <c r="F20" s="5"/>
      <c r="G20" s="5"/>
    </row>
    <row r="21" spans="1:7">
      <c r="A21" s="6"/>
      <c r="B21" s="7"/>
      <c r="C21" s="5"/>
      <c r="D21" s="5"/>
      <c r="E21" s="5"/>
      <c r="F21" s="5"/>
      <c r="G21" s="5"/>
    </row>
    <row r="22" spans="1:7">
      <c r="A22" s="6"/>
      <c r="B22" s="7"/>
      <c r="C22" s="5"/>
      <c r="D22" s="5"/>
      <c r="E22" s="5"/>
      <c r="F22" s="5"/>
      <c r="G22" s="5"/>
    </row>
    <row r="23" spans="1:7">
      <c r="A23" s="6"/>
      <c r="B23" s="7"/>
      <c r="C23" s="5"/>
      <c r="D23" s="5"/>
      <c r="E23" s="5"/>
      <c r="F23" s="5"/>
      <c r="G23" s="5"/>
    </row>
    <row r="24" spans="1:7">
      <c r="A24" s="6"/>
      <c r="B24" s="7"/>
      <c r="C24" s="5"/>
      <c r="D24" s="5"/>
      <c r="E24" s="5"/>
      <c r="F24" s="5"/>
      <c r="G24" s="5"/>
    </row>
    <row r="25" spans="1:7">
      <c r="A25" s="6"/>
      <c r="B25" s="7"/>
      <c r="C25" s="5"/>
      <c r="D25" s="5"/>
      <c r="E25" s="5"/>
      <c r="F25" s="5"/>
      <c r="G25" s="5"/>
    </row>
    <row r="26" spans="1:7">
      <c r="A26" s="6"/>
      <c r="B26" s="7"/>
      <c r="C26" s="5"/>
      <c r="D26" s="5"/>
      <c r="E26" s="5"/>
      <c r="F26" s="5"/>
      <c r="G26" s="5"/>
    </row>
    <row r="27" spans="1:7">
      <c r="A27" s="6"/>
      <c r="B27" s="7"/>
      <c r="C27" s="5"/>
      <c r="D27" s="5"/>
      <c r="E27" s="5"/>
      <c r="F27" s="5"/>
      <c r="G27" s="5"/>
    </row>
    <row r="28" spans="1:7">
      <c r="A28" s="6"/>
      <c r="B28" s="7"/>
      <c r="C28" s="5"/>
      <c r="D28" s="5"/>
      <c r="E28" s="5"/>
      <c r="F28" s="5"/>
      <c r="G28" s="5"/>
    </row>
    <row r="29" spans="1:7">
      <c r="A29" s="6"/>
      <c r="B29" s="7"/>
      <c r="C29" s="5"/>
      <c r="D29" s="5"/>
      <c r="E29" s="5"/>
      <c r="F29" s="5"/>
      <c r="G29" s="5"/>
    </row>
    <row r="30" spans="1:7">
      <c r="A30" s="6"/>
      <c r="B30" s="7"/>
      <c r="C30" s="5"/>
      <c r="D30" s="5"/>
      <c r="E30" s="5"/>
      <c r="F30" s="5"/>
      <c r="G30" s="5"/>
    </row>
    <row r="31" spans="1:7">
      <c r="A31" s="6"/>
      <c r="B31" s="7"/>
      <c r="C31" s="5"/>
      <c r="D31" s="5"/>
      <c r="E31" s="5"/>
      <c r="F31" s="5"/>
      <c r="G31" s="5"/>
    </row>
    <row r="32" spans="1:7">
      <c r="A32" s="6"/>
      <c r="B32" s="7"/>
      <c r="C32" s="5"/>
      <c r="D32" s="5"/>
      <c r="E32" s="5"/>
      <c r="F32" s="5"/>
      <c r="G32" s="5"/>
    </row>
    <row r="33" spans="1:7">
      <c r="A33" s="6"/>
      <c r="B33" s="7"/>
      <c r="C33" s="5"/>
      <c r="D33" s="5"/>
      <c r="E33" s="5"/>
      <c r="F33" s="5"/>
      <c r="G33" s="5"/>
    </row>
    <row r="34" spans="1:7">
      <c r="A34" s="6"/>
      <c r="B34" s="7"/>
      <c r="C34" s="5"/>
      <c r="D34" s="5"/>
      <c r="E34" s="5"/>
      <c r="F34" s="5"/>
      <c r="G34" s="5"/>
    </row>
    <row r="35" spans="1:7">
      <c r="A35" s="6"/>
      <c r="B35" s="7"/>
      <c r="C35" s="5"/>
      <c r="D35" s="5"/>
      <c r="E35" s="5"/>
      <c r="F35" s="5"/>
      <c r="G35" s="5"/>
    </row>
    <row r="36" spans="1:7">
      <c r="A36" s="6"/>
      <c r="B36" s="7"/>
      <c r="C36" s="5"/>
      <c r="D36" s="5"/>
      <c r="E36" s="5"/>
      <c r="F36" s="5"/>
      <c r="G36" s="5"/>
    </row>
    <row r="37" spans="1:7">
      <c r="A37" s="6"/>
      <c r="B37" s="7"/>
      <c r="C37" s="5"/>
      <c r="D37" s="5"/>
      <c r="E37" s="5"/>
      <c r="F37" s="5"/>
      <c r="G37" s="5"/>
    </row>
    <row r="38" spans="1:7">
      <c r="A38" s="6"/>
      <c r="B38" s="7"/>
      <c r="C38" s="5"/>
      <c r="D38" s="5"/>
      <c r="E38" s="5"/>
      <c r="F38" s="5"/>
      <c r="G38" s="5"/>
    </row>
    <row r="39" spans="1:7">
      <c r="A39" s="6"/>
      <c r="B39" s="7"/>
      <c r="C39" s="5"/>
      <c r="D39" s="5"/>
      <c r="E39" s="5"/>
      <c r="F39" s="5"/>
      <c r="G39" s="5"/>
    </row>
    <row r="40" spans="1:7">
      <c r="A40" s="6"/>
      <c r="B40" s="7"/>
      <c r="C40" s="5"/>
      <c r="D40" s="5"/>
      <c r="E40" s="5"/>
      <c r="F40" s="5"/>
      <c r="G40" s="5"/>
    </row>
    <row r="41" spans="1:7">
      <c r="A41" s="6"/>
      <c r="B41" s="7"/>
      <c r="C41" s="5"/>
      <c r="D41" s="5"/>
      <c r="E41" s="5"/>
      <c r="F41" s="5"/>
      <c r="G41" s="5"/>
    </row>
    <row r="42" spans="1:7">
      <c r="A42" s="6"/>
      <c r="B42" s="7"/>
      <c r="C42" s="5"/>
      <c r="D42" s="5"/>
      <c r="E42" s="5"/>
      <c r="F42" s="5"/>
      <c r="G42" s="5"/>
    </row>
    <row r="43" spans="1:7">
      <c r="A43" s="6"/>
      <c r="B43" s="7"/>
      <c r="C43" s="5"/>
      <c r="D43" s="5"/>
      <c r="E43" s="5"/>
      <c r="F43" s="5"/>
      <c r="G43" s="5"/>
    </row>
    <row r="44" spans="1:7">
      <c r="A44" s="6"/>
      <c r="B44" s="7"/>
      <c r="C44" s="5"/>
      <c r="D44" s="5"/>
      <c r="E44" s="5"/>
      <c r="F44" s="5"/>
      <c r="G44" s="5"/>
    </row>
    <row r="45" spans="1:7">
      <c r="A45" s="6"/>
      <c r="B45" s="7"/>
      <c r="C45" s="5"/>
      <c r="D45" s="5"/>
      <c r="E45" s="5"/>
      <c r="F45" s="5"/>
      <c r="G45" s="5"/>
    </row>
    <row r="46" spans="1:7">
      <c r="A46" s="6"/>
      <c r="B46" s="7"/>
      <c r="C46" s="5"/>
      <c r="D46" s="5"/>
      <c r="E46" s="5"/>
      <c r="F46" s="5"/>
      <c r="G46" s="5"/>
    </row>
    <row r="47" spans="1:7">
      <c r="A47" s="6"/>
      <c r="B47" s="7"/>
      <c r="C47" s="5"/>
      <c r="D47" s="5"/>
      <c r="E47" s="5"/>
      <c r="F47" s="5"/>
      <c r="G47" s="5"/>
    </row>
    <row r="48" spans="1:7">
      <c r="A48" s="6"/>
      <c r="B48" s="7"/>
      <c r="C48" s="5"/>
      <c r="D48" s="5"/>
      <c r="E48" s="5"/>
      <c r="F48" s="5"/>
      <c r="G48" s="5"/>
    </row>
    <row r="49" spans="1:7">
      <c r="A49" s="6"/>
      <c r="B49" s="7"/>
      <c r="C49" s="5"/>
      <c r="D49" s="5"/>
      <c r="E49" s="5"/>
      <c r="F49" s="5"/>
      <c r="G49" s="5"/>
    </row>
    <row r="50" spans="1:7">
      <c r="A50" s="6"/>
      <c r="B50" s="7"/>
      <c r="C50" s="5"/>
      <c r="D50" s="5"/>
      <c r="E50" s="5"/>
      <c r="F50" s="5"/>
      <c r="G50" s="5"/>
    </row>
    <row r="51" spans="1:7">
      <c r="A51" s="6"/>
      <c r="B51" s="7"/>
      <c r="C51" s="5"/>
      <c r="D51" s="5"/>
      <c r="E51" s="5"/>
      <c r="F51" s="5"/>
      <c r="G51" s="5"/>
    </row>
    <row r="52" spans="1:7">
      <c r="A52" s="6"/>
      <c r="B52" s="7"/>
      <c r="C52" s="5"/>
      <c r="D52" s="5"/>
      <c r="E52" s="5"/>
      <c r="F52" s="5"/>
      <c r="G52" s="5"/>
    </row>
    <row r="53" spans="1:7">
      <c r="A53" s="6"/>
      <c r="B53" s="7"/>
      <c r="C53" s="5"/>
      <c r="D53" s="5"/>
      <c r="E53" s="5"/>
      <c r="F53" s="5"/>
      <c r="G53" s="5"/>
    </row>
    <row r="54" spans="1:7">
      <c r="A54" s="6"/>
      <c r="B54" s="7"/>
      <c r="C54" s="5"/>
      <c r="D54" s="5"/>
      <c r="E54" s="5"/>
      <c r="F54" s="5"/>
      <c r="G54" s="5"/>
    </row>
    <row r="55" spans="1:7">
      <c r="A55" s="6"/>
      <c r="B55" s="7"/>
      <c r="C55" s="5"/>
      <c r="D55" s="5"/>
      <c r="E55" s="5"/>
      <c r="F55" s="5"/>
      <c r="G55" s="5"/>
    </row>
    <row r="56" spans="1:7">
      <c r="A56" s="6"/>
      <c r="B56" s="7"/>
      <c r="C56" s="5"/>
      <c r="D56" s="5"/>
      <c r="E56" s="5"/>
      <c r="F56" s="5"/>
      <c r="G56" s="5"/>
    </row>
    <row r="57" spans="1:7">
      <c r="A57" s="6"/>
      <c r="B57" s="7"/>
      <c r="C57" s="5"/>
      <c r="D57" s="5"/>
      <c r="E57" s="5"/>
      <c r="F57" s="5"/>
      <c r="G57" s="5"/>
    </row>
    <row r="58" spans="1:7">
      <c r="A58" s="6"/>
      <c r="B58" s="7"/>
      <c r="C58" s="5"/>
      <c r="D58" s="5"/>
      <c r="E58" s="5"/>
      <c r="F58" s="5"/>
      <c r="G58" s="5"/>
    </row>
    <row r="59" spans="1:7">
      <c r="A59" s="6"/>
      <c r="B59" s="7"/>
      <c r="C59" s="5"/>
      <c r="D59" s="5"/>
      <c r="E59" s="5"/>
      <c r="F59" s="5"/>
      <c r="G59" s="5"/>
    </row>
    <row r="60" spans="1:7">
      <c r="A60" s="6"/>
      <c r="B60" s="7"/>
      <c r="C60" s="5"/>
      <c r="D60" s="5"/>
      <c r="E60" s="5"/>
      <c r="F60" s="5"/>
      <c r="G60" s="5"/>
    </row>
    <row r="61" spans="1:7">
      <c r="A61" s="6"/>
      <c r="B61" s="7"/>
      <c r="C61" s="5"/>
      <c r="D61" s="5"/>
      <c r="E61" s="5"/>
      <c r="F61" s="5"/>
      <c r="G61" s="5"/>
    </row>
    <row r="62" spans="1:7">
      <c r="A62" s="6"/>
      <c r="B62" s="7"/>
      <c r="C62" s="5"/>
      <c r="D62" s="5"/>
      <c r="E62" s="5"/>
      <c r="F62" s="5"/>
      <c r="G62" s="5"/>
    </row>
    <row r="63" spans="1:7">
      <c r="A63" s="6"/>
      <c r="B63" s="7"/>
      <c r="C63" s="5"/>
      <c r="D63" s="5"/>
      <c r="E63" s="5"/>
      <c r="F63" s="5"/>
      <c r="G63" s="5"/>
    </row>
    <row r="64" spans="1:7">
      <c r="A64" s="6"/>
      <c r="B64" s="7"/>
      <c r="C64" s="5"/>
      <c r="D64" s="5"/>
      <c r="E64" s="5"/>
      <c r="F64" s="5"/>
      <c r="G64" s="5"/>
    </row>
    <row r="65" spans="1:7">
      <c r="A65" s="6"/>
      <c r="B65" s="7"/>
      <c r="C65" s="5"/>
      <c r="D65" s="5"/>
      <c r="E65" s="5"/>
      <c r="F65" s="5"/>
      <c r="G65" s="5"/>
    </row>
    <row r="66" spans="1:7">
      <c r="A66" s="6"/>
      <c r="B66" s="7"/>
      <c r="C66" s="5"/>
      <c r="D66" s="5"/>
      <c r="E66" s="5"/>
      <c r="F66" s="5"/>
      <c r="G66" s="5"/>
    </row>
    <row r="67" spans="1:7">
      <c r="A67" s="6"/>
      <c r="B67" s="7"/>
      <c r="C67" s="5"/>
      <c r="D67" s="5"/>
      <c r="E67" s="5"/>
      <c r="F67" s="5"/>
      <c r="G67" s="5"/>
    </row>
    <row r="68" spans="1:7">
      <c r="A68" s="6"/>
      <c r="B68" s="7"/>
      <c r="C68" s="5"/>
      <c r="D68" s="5"/>
      <c r="E68" s="5"/>
      <c r="F68" s="5"/>
      <c r="G68" s="5"/>
    </row>
    <row r="69" spans="1:7">
      <c r="A69" s="6"/>
      <c r="B69" s="7"/>
      <c r="C69" s="5"/>
      <c r="D69" s="5"/>
      <c r="E69" s="5"/>
      <c r="F69" s="5"/>
      <c r="G69" s="5"/>
    </row>
    <row r="70" spans="1:7">
      <c r="A70" s="6"/>
      <c r="B70" s="7"/>
      <c r="C70" s="5"/>
      <c r="D70" s="5"/>
      <c r="E70" s="5"/>
      <c r="F70" s="5"/>
      <c r="G70" s="5"/>
    </row>
    <row r="71" spans="1:7">
      <c r="A71" s="6"/>
      <c r="B71" s="7"/>
      <c r="C71" s="5"/>
      <c r="D71" s="5"/>
      <c r="E71" s="5"/>
      <c r="F71" s="5"/>
      <c r="G71" s="5"/>
    </row>
    <row r="72" spans="1:7">
      <c r="A72" s="6"/>
      <c r="B72" s="7"/>
      <c r="C72" s="5"/>
      <c r="D72" s="5"/>
      <c r="E72" s="5"/>
      <c r="F72" s="5"/>
      <c r="G72" s="5"/>
    </row>
    <row r="73" spans="1:7">
      <c r="A73" s="6"/>
      <c r="B73" s="7"/>
      <c r="C73" s="5"/>
      <c r="D73" s="5"/>
      <c r="E73" s="5"/>
      <c r="F73" s="5"/>
      <c r="G73" s="5"/>
    </row>
    <row r="74" spans="1:7">
      <c r="A74" s="6"/>
      <c r="B74" s="7"/>
      <c r="C74" s="5"/>
      <c r="D74" s="5"/>
      <c r="E74" s="5"/>
      <c r="F74" s="5"/>
      <c r="G74" s="5"/>
    </row>
    <row r="75" spans="1:7">
      <c r="A75" s="6"/>
      <c r="B75" s="7"/>
      <c r="C75" s="5"/>
      <c r="D75" s="5"/>
      <c r="E75" s="5"/>
      <c r="F75" s="5"/>
      <c r="G75" s="5"/>
    </row>
    <row r="76" spans="1:7">
      <c r="A76" s="6"/>
      <c r="B76" s="7"/>
      <c r="C76" s="5"/>
      <c r="D76" s="5"/>
      <c r="E76" s="5"/>
      <c r="F76" s="5"/>
      <c r="G76" s="5"/>
    </row>
    <row r="77" spans="1:7">
      <c r="A77" s="6"/>
      <c r="B77" s="7"/>
      <c r="C77" s="5"/>
      <c r="D77" s="5"/>
      <c r="E77" s="5"/>
      <c r="F77" s="5"/>
      <c r="G77" s="5"/>
    </row>
    <row r="78" spans="1:7">
      <c r="A78" s="6"/>
      <c r="B78" s="7"/>
      <c r="C78" s="5"/>
      <c r="D78" s="5"/>
      <c r="E78" s="5"/>
      <c r="F78" s="5"/>
      <c r="G78" s="5"/>
    </row>
    <row r="79" spans="1:7">
      <c r="A79" s="6"/>
      <c r="B79" s="7"/>
      <c r="C79" s="5"/>
      <c r="D79" s="5"/>
      <c r="E79" s="5"/>
      <c r="F79" s="5"/>
      <c r="G79" s="5"/>
    </row>
    <row r="80" spans="1:7">
      <c r="A80" s="6"/>
      <c r="B80" s="7"/>
      <c r="C80" s="5"/>
      <c r="D80" s="5"/>
      <c r="E80" s="5"/>
      <c r="F80" s="5"/>
      <c r="G80" s="5"/>
    </row>
    <row r="81" spans="1:7">
      <c r="A81" s="6"/>
      <c r="B81" s="7"/>
      <c r="C81" s="5"/>
      <c r="D81" s="5"/>
      <c r="E81" s="5"/>
      <c r="F81" s="5"/>
      <c r="G81" s="5"/>
    </row>
    <row r="82" spans="1:7">
      <c r="A82" s="6"/>
      <c r="B82" s="7"/>
      <c r="C82" s="5"/>
      <c r="D82" s="5"/>
      <c r="E82" s="5"/>
      <c r="F82" s="5"/>
      <c r="G82" s="5"/>
    </row>
    <row r="83" spans="1:7">
      <c r="A83" s="6"/>
      <c r="B83" s="7"/>
      <c r="C83" s="5"/>
      <c r="D83" s="5"/>
      <c r="E83" s="5"/>
      <c r="F83" s="5"/>
      <c r="G83" s="5"/>
    </row>
    <row r="84" spans="1:7">
      <c r="A84" s="6"/>
      <c r="B84" s="7"/>
      <c r="C84" s="5"/>
      <c r="D84" s="5"/>
      <c r="E84" s="5"/>
      <c r="F84" s="5"/>
      <c r="G84" s="5"/>
    </row>
    <row r="85" spans="1:7">
      <c r="A85" s="6"/>
      <c r="B85" s="7"/>
      <c r="C85" s="5"/>
      <c r="D85" s="5"/>
      <c r="E85" s="5"/>
      <c r="F85" s="5"/>
      <c r="G85" s="5"/>
    </row>
    <row r="86" spans="1:7">
      <c r="A86" s="6"/>
      <c r="B86" s="7"/>
      <c r="C86" s="5"/>
      <c r="D86" s="5"/>
      <c r="E86" s="5"/>
      <c r="F86" s="5"/>
      <c r="G86" s="5"/>
    </row>
    <row r="87" spans="1:7">
      <c r="A87" s="6"/>
      <c r="B87" s="7"/>
      <c r="C87" s="5"/>
      <c r="D87" s="5"/>
      <c r="E87" s="5"/>
      <c r="F87" s="5"/>
      <c r="G87" s="5"/>
    </row>
    <row r="88" spans="1:7">
      <c r="A88" s="6"/>
      <c r="B88" s="7"/>
      <c r="C88" s="5"/>
      <c r="D88" s="5"/>
      <c r="E88" s="5"/>
      <c r="F88" s="5"/>
      <c r="G88" s="5"/>
    </row>
    <row r="89" spans="1:7">
      <c r="A89" s="6"/>
      <c r="B89" s="7"/>
      <c r="C89" s="5"/>
      <c r="D89" s="5"/>
      <c r="E89" s="5"/>
      <c r="F89" s="5"/>
      <c r="G89" s="5"/>
    </row>
    <row r="90" spans="1:7">
      <c r="A90" s="6"/>
      <c r="B90" s="7"/>
      <c r="C90" s="5"/>
      <c r="D90" s="5"/>
      <c r="E90" s="5"/>
      <c r="F90" s="5"/>
      <c r="G90" s="5"/>
    </row>
    <row r="91" spans="1:7">
      <c r="A91" s="6"/>
      <c r="B91" s="7"/>
      <c r="C91" s="5"/>
      <c r="D91" s="5"/>
      <c r="E91" s="5"/>
      <c r="F91" s="5"/>
      <c r="G91" s="5"/>
    </row>
    <row r="92" spans="1:7">
      <c r="A92" s="6"/>
      <c r="B92" s="7"/>
      <c r="C92" s="5"/>
      <c r="D92" s="5"/>
      <c r="E92" s="5"/>
      <c r="F92" s="5"/>
      <c r="G92" s="5"/>
    </row>
    <row r="93" spans="1:7">
      <c r="A93" s="6"/>
      <c r="B93" s="7"/>
      <c r="C93" s="5"/>
      <c r="D93" s="5"/>
      <c r="E93" s="5"/>
      <c r="F93" s="5"/>
      <c r="G93" s="5"/>
    </row>
    <row r="94" spans="1:7">
      <c r="A94" s="6"/>
      <c r="B94" s="7"/>
      <c r="C94" s="5"/>
      <c r="D94" s="5"/>
      <c r="E94" s="5"/>
      <c r="F94" s="5"/>
      <c r="G94" s="5"/>
    </row>
    <row r="95" spans="1:7">
      <c r="A95" s="6"/>
      <c r="B95" s="7"/>
      <c r="C95" s="5"/>
      <c r="D95" s="5"/>
      <c r="E95" s="5"/>
      <c r="F95" s="5"/>
      <c r="G95" s="5"/>
    </row>
    <row r="96" spans="1:7">
      <c r="A96" s="6"/>
      <c r="B96" s="7"/>
      <c r="C96" s="5"/>
      <c r="D96" s="5"/>
      <c r="E96" s="5"/>
      <c r="F96" s="5"/>
      <c r="G96" s="5"/>
    </row>
    <row r="97" spans="1:7">
      <c r="A97" s="6"/>
      <c r="B97" s="7"/>
      <c r="C97" s="5"/>
      <c r="D97" s="5"/>
      <c r="E97" s="5"/>
      <c r="F97" s="5"/>
      <c r="G97" s="5"/>
    </row>
    <row r="98" spans="1:7">
      <c r="A98" s="6"/>
      <c r="B98" s="7"/>
      <c r="C98" s="5"/>
      <c r="D98" s="5"/>
      <c r="E98" s="5"/>
      <c r="F98" s="5"/>
      <c r="G98" s="5"/>
    </row>
    <row r="99" spans="1:7">
      <c r="A99" s="6"/>
      <c r="B99" s="7"/>
      <c r="C99" s="5"/>
      <c r="D99" s="5"/>
      <c r="E99" s="5"/>
      <c r="F99" s="5"/>
      <c r="G99" s="5"/>
    </row>
    <row r="100" spans="1:7">
      <c r="A100" s="6"/>
      <c r="B100" s="7"/>
      <c r="C100" s="5"/>
      <c r="D100" s="5"/>
      <c r="E100" s="5"/>
      <c r="F100" s="5"/>
      <c r="G100" s="5"/>
    </row>
    <row r="101" spans="1:7">
      <c r="A101" s="6"/>
      <c r="B101" s="7"/>
      <c r="C101" s="5"/>
      <c r="D101" s="5"/>
      <c r="E101" s="5"/>
      <c r="F101" s="5"/>
      <c r="G101" s="5"/>
    </row>
    <row r="102" spans="1:7">
      <c r="A102" s="6"/>
      <c r="B102" s="7"/>
      <c r="C102" s="5"/>
      <c r="D102" s="5"/>
      <c r="E102" s="5"/>
      <c r="F102" s="5"/>
      <c r="G102" s="5"/>
    </row>
    <row r="103" spans="1:7">
      <c r="A103" s="6"/>
      <c r="B103" s="7"/>
      <c r="C103" s="5"/>
      <c r="D103" s="5"/>
      <c r="E103" s="5"/>
      <c r="F103" s="5"/>
      <c r="G103" s="5"/>
    </row>
    <row r="104" spans="1:7">
      <c r="A104" s="6"/>
      <c r="B104" s="7"/>
      <c r="C104" s="5"/>
      <c r="D104" s="5"/>
      <c r="E104" s="5"/>
      <c r="F104" s="5"/>
      <c r="G104" s="5"/>
    </row>
    <row r="105" spans="1:7">
      <c r="A105" s="6"/>
      <c r="B105" s="7"/>
      <c r="C105" s="5"/>
      <c r="D105" s="5"/>
      <c r="E105" s="5"/>
      <c r="F105" s="5"/>
      <c r="G105" s="5"/>
    </row>
    <row r="106" spans="1:7">
      <c r="A106" s="6"/>
      <c r="B106" s="7"/>
      <c r="C106" s="5"/>
      <c r="D106" s="5"/>
      <c r="E106" s="5"/>
      <c r="F106" s="5"/>
      <c r="G106" s="5"/>
    </row>
    <row r="107" spans="1:7">
      <c r="A107" s="6"/>
      <c r="B107" s="7"/>
      <c r="C107" s="5"/>
      <c r="D107" s="5"/>
      <c r="E107" s="5"/>
      <c r="F107" s="5"/>
      <c r="G107" s="5"/>
    </row>
    <row r="108" spans="1:7">
      <c r="A108" s="6"/>
      <c r="B108" s="7"/>
      <c r="C108" s="5"/>
      <c r="D108" s="5"/>
      <c r="E108" s="5"/>
      <c r="F108" s="5"/>
      <c r="G108" s="5"/>
    </row>
    <row r="109" spans="1:7">
      <c r="A109" s="6"/>
      <c r="B109" s="7"/>
      <c r="C109" s="5"/>
      <c r="D109" s="5"/>
      <c r="E109" s="5"/>
      <c r="F109" s="5"/>
      <c r="G109" s="5"/>
    </row>
    <row r="110" spans="1:7">
      <c r="A110" s="6"/>
      <c r="B110" s="7"/>
      <c r="C110" s="5"/>
      <c r="D110" s="5"/>
      <c r="E110" s="5"/>
      <c r="F110" s="5"/>
      <c r="G110" s="5"/>
    </row>
    <row r="111" spans="1:7">
      <c r="A111" s="6"/>
      <c r="B111" s="7"/>
      <c r="C111" s="5"/>
      <c r="D111" s="5"/>
      <c r="E111" s="5"/>
      <c r="F111" s="5"/>
      <c r="G111" s="5"/>
    </row>
    <row r="112" spans="1:7">
      <c r="A112" s="6"/>
      <c r="B112" s="7"/>
      <c r="C112" s="5"/>
      <c r="D112" s="5"/>
      <c r="E112" s="5"/>
      <c r="F112" s="5"/>
      <c r="G112" s="5"/>
    </row>
    <row r="113" spans="1:7">
      <c r="A113" s="6"/>
      <c r="B113" s="7"/>
      <c r="C113" s="5"/>
      <c r="D113" s="5"/>
      <c r="E113" s="5"/>
      <c r="F113" s="5"/>
      <c r="G113" s="5"/>
    </row>
    <row r="114" spans="1:7">
      <c r="A114" s="6"/>
      <c r="B114" s="7"/>
      <c r="C114" s="5"/>
      <c r="D114" s="5"/>
      <c r="E114" s="5"/>
      <c r="F114" s="5"/>
      <c r="G114" s="5"/>
    </row>
    <row r="115" spans="1:7">
      <c r="A115" s="6"/>
      <c r="B115" s="7"/>
      <c r="C115" s="5"/>
      <c r="D115" s="5"/>
      <c r="E115" s="5"/>
      <c r="F115" s="5"/>
      <c r="G115" s="5"/>
    </row>
    <row r="116" spans="1:7">
      <c r="A116" s="6"/>
      <c r="B116" s="7"/>
      <c r="C116" s="5"/>
      <c r="D116" s="5"/>
      <c r="E116" s="5"/>
      <c r="F116" s="5"/>
      <c r="G116" s="5"/>
    </row>
    <row r="117" spans="1:7">
      <c r="A117" s="6"/>
      <c r="B117" s="7"/>
      <c r="C117" s="5"/>
      <c r="D117" s="5"/>
      <c r="E117" s="5"/>
      <c r="F117" s="5"/>
      <c r="G117" s="5"/>
    </row>
    <row r="118" spans="1:7">
      <c r="A118" s="6"/>
      <c r="B118" s="7"/>
      <c r="C118" s="5"/>
      <c r="D118" s="5"/>
      <c r="E118" s="5"/>
      <c r="F118" s="5"/>
      <c r="G118" s="5"/>
    </row>
    <row r="119" spans="1:7">
      <c r="A119" s="6"/>
      <c r="B119" s="7"/>
      <c r="C119" s="5"/>
      <c r="D119" s="5"/>
      <c r="E119" s="5"/>
      <c r="F119" s="5"/>
      <c r="G119" s="5"/>
    </row>
    <row r="120" spans="1:7">
      <c r="A120" s="6"/>
      <c r="B120" s="7"/>
      <c r="C120" s="5"/>
      <c r="D120" s="5"/>
      <c r="E120" s="5"/>
      <c r="F120" s="5"/>
      <c r="G120" s="5"/>
    </row>
    <row r="121" spans="1:7">
      <c r="A121" s="6"/>
      <c r="B121" s="7"/>
      <c r="C121" s="5"/>
      <c r="D121" s="5"/>
      <c r="E121" s="5"/>
      <c r="F121" s="5"/>
      <c r="G121" s="5"/>
    </row>
    <row r="122" spans="1:7">
      <c r="A122" s="6"/>
      <c r="B122" s="7"/>
      <c r="C122" s="5"/>
      <c r="D122" s="5"/>
      <c r="E122" s="5"/>
      <c r="F122" s="5"/>
      <c r="G122" s="5"/>
    </row>
    <row r="123" spans="1:7">
      <c r="A123" s="6"/>
      <c r="B123" s="7"/>
      <c r="C123" s="5"/>
      <c r="D123" s="5"/>
      <c r="E123" s="5"/>
      <c r="F123" s="5"/>
      <c r="G123" s="5"/>
    </row>
    <row r="124" spans="1:7">
      <c r="A124" s="6"/>
      <c r="B124" s="7"/>
      <c r="C124" s="5"/>
      <c r="D124" s="5"/>
      <c r="E124" s="5"/>
      <c r="F124" s="5"/>
      <c r="G124" s="5"/>
    </row>
    <row r="125" spans="1:7">
      <c r="A125" s="6"/>
      <c r="B125" s="7"/>
      <c r="C125" s="5"/>
      <c r="D125" s="5"/>
      <c r="E125" s="5"/>
      <c r="F125" s="5"/>
      <c r="G125" s="5"/>
    </row>
    <row r="126" spans="1:7">
      <c r="A126" s="6"/>
      <c r="B126" s="7"/>
      <c r="C126" s="5"/>
      <c r="D126" s="5"/>
      <c r="E126" s="5"/>
      <c r="F126" s="5"/>
      <c r="G126" s="5"/>
    </row>
    <row r="127" spans="1:7">
      <c r="A127" s="6"/>
      <c r="B127" s="7"/>
      <c r="C127" s="5"/>
      <c r="D127" s="5"/>
      <c r="E127" s="5"/>
      <c r="F127" s="5"/>
      <c r="G127" s="5"/>
    </row>
    <row r="128" spans="1:7">
      <c r="A128" s="6"/>
      <c r="B128" s="7"/>
      <c r="C128" s="5"/>
      <c r="D128" s="5"/>
      <c r="E128" s="5"/>
      <c r="F128" s="5"/>
      <c r="G128" s="5"/>
    </row>
    <row r="129" spans="1:7">
      <c r="A129" s="6"/>
      <c r="B129" s="7"/>
      <c r="C129" s="5"/>
      <c r="D129" s="5"/>
      <c r="E129" s="5"/>
      <c r="F129" s="5"/>
      <c r="G129" s="5"/>
    </row>
    <row r="130" spans="1:7">
      <c r="A130" s="6"/>
      <c r="B130" s="7"/>
      <c r="C130" s="5"/>
      <c r="D130" s="5"/>
      <c r="E130" s="5"/>
      <c r="F130" s="5"/>
      <c r="G130" s="5"/>
    </row>
    <row r="131" spans="1:7">
      <c r="A131" s="6"/>
      <c r="B131" s="7"/>
      <c r="C131" s="5"/>
      <c r="D131" s="5"/>
      <c r="E131" s="5"/>
      <c r="F131" s="5"/>
      <c r="G131" s="5"/>
    </row>
    <row r="132" spans="1:7">
      <c r="A132" s="6"/>
      <c r="B132" s="7"/>
      <c r="C132" s="5"/>
      <c r="D132" s="5"/>
      <c r="E132" s="5"/>
      <c r="F132" s="5"/>
      <c r="G132" s="5"/>
    </row>
    <row r="133" spans="1:7">
      <c r="A133" s="6"/>
      <c r="B133" s="7"/>
      <c r="C133" s="5"/>
      <c r="D133" s="5"/>
      <c r="E133" s="5"/>
      <c r="F133" s="5"/>
      <c r="G133" s="5"/>
    </row>
    <row r="134" spans="1:7">
      <c r="A134" s="6"/>
      <c r="B134" s="7"/>
      <c r="C134" s="5"/>
      <c r="D134" s="5"/>
      <c r="E134" s="5"/>
      <c r="F134" s="5"/>
      <c r="G134" s="5"/>
    </row>
    <row r="135" spans="1:7">
      <c r="A135" s="6"/>
      <c r="B135" s="7"/>
      <c r="C135" s="5"/>
      <c r="D135" s="5"/>
      <c r="E135" s="5"/>
      <c r="F135" s="5"/>
      <c r="G135" s="5"/>
    </row>
    <row r="136" spans="1:7">
      <c r="A136" s="6"/>
      <c r="B136" s="7"/>
      <c r="C136" s="5"/>
      <c r="D136" s="5"/>
      <c r="E136" s="5"/>
      <c r="F136" s="5"/>
      <c r="G136" s="5"/>
    </row>
    <row r="137" spans="1:7">
      <c r="A137" s="6"/>
      <c r="B137" s="7"/>
      <c r="C137" s="5"/>
      <c r="D137" s="5"/>
      <c r="E137" s="5"/>
      <c r="F137" s="5"/>
      <c r="G137" s="5"/>
    </row>
    <row r="138" spans="1:7">
      <c r="A138" s="6"/>
      <c r="B138" s="7"/>
      <c r="C138" s="5"/>
      <c r="D138" s="5"/>
      <c r="E138" s="5"/>
      <c r="F138" s="5"/>
      <c r="G138" s="5"/>
    </row>
    <row r="139" spans="1:7">
      <c r="A139" s="6"/>
      <c r="B139" s="7"/>
      <c r="C139" s="5"/>
      <c r="D139" s="5"/>
      <c r="E139" s="5"/>
      <c r="F139" s="5"/>
      <c r="G139" s="5"/>
    </row>
    <row r="140" spans="1:7">
      <c r="A140" s="6"/>
      <c r="B140" s="7"/>
      <c r="C140" s="5"/>
      <c r="D140" s="5"/>
      <c r="E140" s="5"/>
      <c r="F140" s="5"/>
      <c r="G140" s="5"/>
    </row>
    <row r="141" spans="1:7">
      <c r="A141" s="6"/>
      <c r="B141" s="7"/>
      <c r="C141" s="5"/>
      <c r="D141" s="5"/>
      <c r="E141" s="5"/>
      <c r="F141" s="5"/>
      <c r="G141" s="5"/>
    </row>
    <row r="142" spans="1:7">
      <c r="A142" s="6"/>
      <c r="B142" s="7"/>
      <c r="C142" s="5"/>
      <c r="D142" s="5"/>
      <c r="E142" s="5"/>
      <c r="F142" s="5"/>
      <c r="G142" s="5"/>
    </row>
    <row r="143" spans="1:7">
      <c r="A143" s="6"/>
      <c r="B143" s="7"/>
      <c r="C143" s="5"/>
      <c r="D143" s="5"/>
      <c r="E143" s="5"/>
      <c r="F143" s="5"/>
      <c r="G143" s="5"/>
    </row>
    <row r="144" spans="1:7">
      <c r="A144" s="6"/>
      <c r="B144" s="7"/>
      <c r="C144" s="5"/>
      <c r="D144" s="5"/>
      <c r="E144" s="5"/>
      <c r="F144" s="5"/>
      <c r="G144" s="5"/>
    </row>
    <row r="145" spans="1:7">
      <c r="A145" s="6"/>
      <c r="B145" s="7"/>
      <c r="C145" s="5"/>
      <c r="D145" s="5"/>
      <c r="E145" s="5"/>
      <c r="F145" s="5"/>
      <c r="G145" s="5"/>
    </row>
    <row r="146" spans="1:7">
      <c r="A146" s="6"/>
      <c r="B146" s="7"/>
      <c r="C146" s="5"/>
      <c r="D146" s="5"/>
      <c r="E146" s="5"/>
      <c r="F146" s="5"/>
      <c r="G146" s="5"/>
    </row>
    <row r="147" spans="1:7">
      <c r="A147" s="6"/>
      <c r="B147" s="7"/>
      <c r="C147" s="5"/>
      <c r="D147" s="5"/>
      <c r="E147" s="5"/>
      <c r="F147" s="5"/>
      <c r="G147" s="5"/>
    </row>
    <row r="148" spans="1:7">
      <c r="A148" s="6"/>
      <c r="B148" s="7"/>
      <c r="C148" s="5"/>
      <c r="D148" s="5"/>
      <c r="E148" s="5"/>
      <c r="F148" s="5"/>
      <c r="G148" s="5"/>
    </row>
    <row r="149" spans="1:7">
      <c r="A149" s="6"/>
      <c r="B149" s="7"/>
      <c r="C149" s="5"/>
      <c r="D149" s="5"/>
      <c r="E149" s="5"/>
      <c r="F149" s="5"/>
      <c r="G149" s="5"/>
    </row>
    <row r="150" spans="1:7">
      <c r="A150" s="6"/>
      <c r="B150" s="7"/>
      <c r="C150" s="5"/>
      <c r="D150" s="5"/>
      <c r="E150" s="5"/>
      <c r="F150" s="5"/>
      <c r="G150" s="5"/>
    </row>
    <row r="151" spans="1:7">
      <c r="A151" s="6"/>
      <c r="B151" s="7"/>
      <c r="C151" s="5"/>
      <c r="D151" s="5"/>
      <c r="E151" s="5"/>
      <c r="F151" s="5"/>
      <c r="G151" s="5"/>
    </row>
    <row r="152" spans="1:7">
      <c r="A152" s="6"/>
      <c r="B152" s="7"/>
      <c r="C152" s="5"/>
      <c r="D152" s="5"/>
      <c r="E152" s="5"/>
      <c r="F152" s="5"/>
      <c r="G152" s="5"/>
    </row>
    <row r="153" spans="1:7">
      <c r="A153" s="6"/>
      <c r="B153" s="7"/>
      <c r="C153" s="5"/>
      <c r="D153" s="5"/>
      <c r="E153" s="5"/>
      <c r="F153" s="5"/>
      <c r="G153" s="5"/>
    </row>
    <row r="154" spans="1:7">
      <c r="A154" s="6"/>
      <c r="B154" s="7"/>
      <c r="C154" s="5"/>
      <c r="D154" s="5"/>
      <c r="E154" s="5"/>
      <c r="F154" s="5"/>
      <c r="G154" s="5"/>
    </row>
    <row r="155" spans="1:7">
      <c r="A155" s="6"/>
      <c r="B155" s="7"/>
      <c r="C155" s="5"/>
      <c r="D155" s="5"/>
      <c r="E155" s="5"/>
      <c r="F155" s="5"/>
      <c r="G155" s="5"/>
    </row>
    <row r="156" spans="1:7">
      <c r="A156" s="6"/>
      <c r="B156" s="7"/>
      <c r="C156" s="5"/>
      <c r="D156" s="5"/>
      <c r="E156" s="5"/>
      <c r="F156" s="5"/>
      <c r="G156" s="5"/>
    </row>
    <row r="157" spans="1:7">
      <c r="A157" s="6"/>
      <c r="B157" s="7"/>
      <c r="C157" s="5"/>
      <c r="D157" s="5"/>
      <c r="E157" s="5"/>
      <c r="F157" s="5"/>
      <c r="G157" s="5"/>
    </row>
    <row r="158" spans="1:7">
      <c r="A158" s="6"/>
      <c r="B158" s="7"/>
      <c r="C158" s="5"/>
      <c r="D158" s="5"/>
      <c r="E158" s="5"/>
      <c r="F158" s="5"/>
      <c r="G158" s="5"/>
    </row>
    <row r="159" spans="1:7">
      <c r="A159" s="6"/>
      <c r="B159" s="7"/>
      <c r="C159" s="5"/>
      <c r="D159" s="5"/>
      <c r="E159" s="5"/>
      <c r="F159" s="5"/>
      <c r="G159" s="5"/>
    </row>
    <row r="160" spans="1:7">
      <c r="A160" s="6"/>
      <c r="B160" s="7"/>
      <c r="C160" s="5"/>
      <c r="D160" s="5"/>
      <c r="E160" s="5"/>
      <c r="F160" s="5"/>
      <c r="G160" s="5"/>
    </row>
    <row r="161" spans="1:7">
      <c r="A161" s="6"/>
      <c r="B161" s="7"/>
      <c r="C161" s="5"/>
      <c r="D161" s="5"/>
      <c r="E161" s="5"/>
      <c r="F161" s="5"/>
      <c r="G161" s="5"/>
    </row>
    <row r="162" spans="1:7">
      <c r="A162" s="6"/>
      <c r="B162" s="7"/>
      <c r="C162" s="5"/>
      <c r="D162" s="5"/>
      <c r="E162" s="5"/>
      <c r="F162" s="5"/>
      <c r="G162" s="5"/>
    </row>
    <row r="163" spans="1:7">
      <c r="A163" s="6"/>
      <c r="B163" s="7"/>
      <c r="C163" s="5"/>
      <c r="D163" s="5"/>
      <c r="E163" s="5"/>
      <c r="F163" s="5"/>
      <c r="G163" s="5"/>
    </row>
    <row r="164" spans="1:7">
      <c r="A164" s="6"/>
      <c r="B164" s="7"/>
      <c r="C164" s="5"/>
      <c r="D164" s="5"/>
      <c r="E164" s="5"/>
      <c r="F164" s="5"/>
      <c r="G164" s="5"/>
    </row>
    <row r="165" spans="1:7">
      <c r="A165" s="6"/>
      <c r="B165" s="7"/>
      <c r="C165" s="5"/>
      <c r="D165" s="5"/>
      <c r="E165" s="5"/>
      <c r="F165" s="5"/>
      <c r="G165" s="5"/>
    </row>
    <row r="166" spans="1:7">
      <c r="A166" s="6"/>
      <c r="B166" s="7"/>
      <c r="C166" s="5"/>
      <c r="D166" s="5"/>
      <c r="E166" s="5"/>
      <c r="F166" s="5"/>
      <c r="G166" s="5"/>
    </row>
    <row r="167" spans="1:7">
      <c r="A167" s="6"/>
      <c r="B167" s="7"/>
      <c r="C167" s="5"/>
      <c r="D167" s="5"/>
      <c r="E167" s="5"/>
      <c r="F167" s="5"/>
      <c r="G167" s="5"/>
    </row>
    <row r="168" spans="1:7">
      <c r="A168" s="6"/>
      <c r="B168" s="7"/>
      <c r="C168" s="5"/>
      <c r="D168" s="5"/>
      <c r="E168" s="5"/>
      <c r="F168" s="5"/>
      <c r="G168" s="5"/>
    </row>
    <row r="169" spans="1:7">
      <c r="A169" s="6"/>
      <c r="B169" s="7"/>
      <c r="C169" s="5"/>
      <c r="D169" s="5"/>
      <c r="E169" s="5"/>
      <c r="F169" s="5"/>
      <c r="G169" s="5"/>
    </row>
    <row r="170" spans="1:7">
      <c r="A170" s="6"/>
      <c r="B170" s="7"/>
      <c r="C170" s="5"/>
      <c r="D170" s="5"/>
      <c r="E170" s="5"/>
      <c r="F170" s="5"/>
      <c r="G170" s="5"/>
    </row>
    <row r="171" spans="1:7">
      <c r="A171" s="6"/>
      <c r="B171" s="7"/>
      <c r="C171" s="5"/>
      <c r="D171" s="5"/>
      <c r="E171" s="5"/>
      <c r="F171" s="5"/>
      <c r="G171" s="5"/>
    </row>
    <row r="172" spans="1:7">
      <c r="A172" s="6"/>
      <c r="B172" s="7"/>
      <c r="C172" s="5"/>
      <c r="D172" s="5"/>
      <c r="E172" s="5"/>
      <c r="F172" s="5"/>
      <c r="G172" s="5"/>
    </row>
    <row r="173" spans="1:7">
      <c r="A173" s="6"/>
      <c r="B173" s="7"/>
      <c r="C173" s="5"/>
      <c r="D173" s="5"/>
      <c r="E173" s="5"/>
      <c r="F173" s="5"/>
      <c r="G173" s="5"/>
    </row>
    <row r="174" spans="1:7">
      <c r="A174" s="6"/>
      <c r="B174" s="7"/>
      <c r="C174" s="5"/>
      <c r="D174" s="5"/>
      <c r="E174" s="5"/>
      <c r="F174" s="5"/>
      <c r="G174" s="5"/>
    </row>
    <row r="175" spans="1:7">
      <c r="A175" s="6"/>
      <c r="B175" s="7"/>
      <c r="C175" s="5"/>
      <c r="D175" s="5"/>
      <c r="E175" s="5"/>
      <c r="F175" s="5"/>
      <c r="G175" s="5"/>
    </row>
    <row r="176" spans="1:7">
      <c r="A176" s="6"/>
      <c r="B176" s="7"/>
      <c r="C176" s="5"/>
      <c r="D176" s="5"/>
      <c r="E176" s="5"/>
      <c r="F176" s="5"/>
      <c r="G176" s="5"/>
    </row>
    <row r="177" spans="1:7">
      <c r="A177" s="6"/>
      <c r="B177" s="7"/>
      <c r="C177" s="5"/>
      <c r="D177" s="5"/>
      <c r="E177" s="5"/>
      <c r="F177" s="5"/>
      <c r="G177" s="5"/>
    </row>
    <row r="178" spans="1:7">
      <c r="A178" s="6"/>
      <c r="B178" s="7"/>
      <c r="C178" s="5"/>
      <c r="D178" s="5"/>
      <c r="E178" s="5"/>
      <c r="F178" s="5"/>
      <c r="G178" s="5"/>
    </row>
    <row r="179" spans="1:7">
      <c r="A179" s="6"/>
      <c r="B179" s="7"/>
      <c r="C179" s="5"/>
      <c r="D179" s="5"/>
      <c r="E179" s="5"/>
      <c r="F179" s="5"/>
      <c r="G179" s="5"/>
    </row>
    <row r="180" spans="1:7">
      <c r="A180" s="6"/>
      <c r="B180" s="7"/>
      <c r="C180" s="5"/>
      <c r="D180" s="5"/>
      <c r="E180" s="5"/>
      <c r="F180" s="5"/>
      <c r="G180" s="5"/>
    </row>
    <row r="181" spans="1:7">
      <c r="A181" s="6"/>
      <c r="B181" s="7"/>
      <c r="C181" s="5"/>
      <c r="D181" s="5"/>
      <c r="E181" s="5"/>
      <c r="F181" s="5"/>
      <c r="G181" s="5"/>
    </row>
    <row r="182" spans="1:7">
      <c r="A182" s="6"/>
      <c r="B182" s="7"/>
      <c r="C182" s="5"/>
      <c r="D182" s="5"/>
      <c r="E182" s="5"/>
      <c r="F182" s="5"/>
      <c r="G182" s="5"/>
    </row>
    <row r="183" spans="1:7">
      <c r="A183" s="6"/>
      <c r="B183" s="7"/>
      <c r="C183" s="5"/>
      <c r="D183" s="5"/>
      <c r="E183" s="5"/>
      <c r="F183" s="5"/>
      <c r="G183" s="5"/>
    </row>
    <row r="184" spans="1:7">
      <c r="A184" s="6"/>
      <c r="B184" s="7"/>
      <c r="C184" s="5"/>
      <c r="D184" s="5"/>
      <c r="E184" s="5"/>
      <c r="F184" s="5"/>
      <c r="G184" s="5"/>
    </row>
    <row r="185" spans="1:7">
      <c r="A185" s="6"/>
      <c r="B185" s="7"/>
      <c r="C185" s="5"/>
      <c r="D185" s="5"/>
      <c r="E185" s="5"/>
      <c r="F185" s="5"/>
      <c r="G185" s="5"/>
    </row>
    <row r="186" spans="1:7">
      <c r="A186" s="6"/>
      <c r="B186" s="7"/>
      <c r="C186" s="5"/>
      <c r="D186" s="5"/>
      <c r="E186" s="5"/>
      <c r="F186" s="5"/>
      <c r="G186" s="5"/>
    </row>
    <row r="187" spans="1:7">
      <c r="A187" s="6"/>
      <c r="B187" s="7"/>
      <c r="C187" s="5"/>
      <c r="D187" s="5"/>
      <c r="E187" s="5"/>
      <c r="F187" s="5"/>
      <c r="G187" s="5"/>
    </row>
    <row r="188" spans="1:7">
      <c r="A188" s="6"/>
      <c r="B188" s="7"/>
      <c r="C188" s="5"/>
      <c r="D188" s="5"/>
      <c r="E188" s="5"/>
      <c r="F188" s="5"/>
      <c r="G188" s="5"/>
    </row>
    <row r="189" spans="1:7">
      <c r="A189" s="6"/>
      <c r="B189" s="7"/>
      <c r="C189" s="5"/>
      <c r="D189" s="5"/>
      <c r="E189" s="5"/>
      <c r="F189" s="5"/>
      <c r="G189" s="5"/>
    </row>
    <row r="190" spans="1:7">
      <c r="A190" s="6"/>
      <c r="B190" s="7"/>
      <c r="C190" s="5"/>
      <c r="D190" s="5"/>
      <c r="E190" s="5"/>
      <c r="F190" s="5"/>
      <c r="G190" s="5"/>
    </row>
    <row r="191" spans="1:7">
      <c r="A191" s="6"/>
      <c r="B191" s="7"/>
      <c r="C191" s="5"/>
      <c r="D191" s="5"/>
      <c r="E191" s="5"/>
      <c r="F191" s="5"/>
      <c r="G191" s="5"/>
    </row>
    <row r="192" spans="1:7">
      <c r="A192" s="6"/>
      <c r="B192" s="7"/>
      <c r="C192" s="5"/>
      <c r="D192" s="5"/>
      <c r="E192" s="5"/>
      <c r="F192" s="5"/>
      <c r="G192" s="5"/>
    </row>
    <row r="193" spans="1:7">
      <c r="A193" s="6"/>
      <c r="B193" s="7"/>
      <c r="C193" s="5"/>
      <c r="D193" s="5"/>
      <c r="E193" s="5"/>
      <c r="F193" s="5"/>
      <c r="G193" s="5"/>
    </row>
    <row r="194" spans="1:7">
      <c r="A194" s="6"/>
      <c r="B194" s="7"/>
      <c r="C194" s="5"/>
      <c r="D194" s="5"/>
      <c r="E194" s="5"/>
      <c r="F194" s="5"/>
      <c r="G194" s="5"/>
    </row>
    <row r="195" spans="1:7">
      <c r="A195" s="6"/>
      <c r="B195" s="7"/>
      <c r="C195" s="5"/>
      <c r="D195" s="5"/>
      <c r="E195" s="5"/>
      <c r="F195" s="5"/>
      <c r="G195" s="5"/>
    </row>
    <row r="196" spans="1:7">
      <c r="A196" s="6"/>
      <c r="B196" s="7"/>
      <c r="C196" s="5"/>
      <c r="D196" s="5"/>
      <c r="E196" s="5"/>
      <c r="F196" s="5"/>
      <c r="G196" s="5"/>
    </row>
    <row r="197" spans="1:7">
      <c r="A197" s="6"/>
      <c r="B197" s="7"/>
      <c r="C197" s="5"/>
      <c r="D197" s="5"/>
      <c r="E197" s="5"/>
      <c r="F197" s="5"/>
      <c r="G197" s="5"/>
    </row>
    <row r="198" spans="1:7">
      <c r="A198" s="6"/>
      <c r="B198" s="7"/>
      <c r="C198" s="5"/>
      <c r="D198" s="5"/>
      <c r="E198" s="5"/>
      <c r="F198" s="5"/>
      <c r="G198" s="5"/>
    </row>
    <row r="199" spans="1:7">
      <c r="A199" s="6"/>
      <c r="B199" s="7"/>
      <c r="C199" s="5"/>
      <c r="D199" s="5"/>
      <c r="E199" s="5"/>
      <c r="F199" s="5"/>
      <c r="G199" s="5"/>
    </row>
    <row r="200" spans="1:7">
      <c r="A200" s="6"/>
      <c r="B200" s="7"/>
      <c r="C200" s="5"/>
      <c r="D200" s="5"/>
      <c r="E200" s="5"/>
      <c r="F200" s="5"/>
      <c r="G200" s="5"/>
    </row>
  </sheetData>
  <hyperlinks>
    <hyperlink ref="F2" r:id="rId1" xr:uid="{2BAD7CC0-A2B7-4D00-BF5A-F57ACEF5AE21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200-000000000000}">
          <x14:formula1>
            <xm:f>Dropdowns!$A$2:$A$30</xm:f>
          </x14:formula1>
          <xm:sqref>D2:D200</xm:sqref>
        </x14:dataValidation>
        <x14:dataValidation type="list" xr:uid="{00000000-0002-0000-0200-000001000000}">
          <x14:formula1>
            <xm:f>Dropdowns!$E$2:$E$30</xm:f>
          </x14:formula1>
          <xm:sqref>E2:E200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2" t="s">
        <v>4</v>
      </c>
      <c r="B1" s="2" t="s">
        <v>5</v>
      </c>
      <c r="C1" s="2" t="s">
        <v>113</v>
      </c>
      <c r="D1" s="2" t="s">
        <v>21</v>
      </c>
      <c r="E1" s="2" t="s">
        <v>114</v>
      </c>
    </row>
    <row r="2" spans="1:5">
      <c r="A2" t="s">
        <v>25</v>
      </c>
      <c r="B2" t="s">
        <v>45</v>
      </c>
      <c r="C2" t="s">
        <v>42</v>
      </c>
      <c r="D2" t="s">
        <v>115</v>
      </c>
      <c r="E2" t="s">
        <v>60</v>
      </c>
    </row>
    <row r="3" spans="1:5">
      <c r="A3" t="s">
        <v>39</v>
      </c>
      <c r="B3" t="s">
        <v>116</v>
      </c>
      <c r="C3" t="s">
        <v>45</v>
      </c>
      <c r="D3" t="s">
        <v>75</v>
      </c>
      <c r="E3" t="s">
        <v>26</v>
      </c>
    </row>
    <row r="4" spans="1:5">
      <c r="A4" t="s">
        <v>51</v>
      </c>
      <c r="B4" t="s">
        <v>117</v>
      </c>
      <c r="C4" t="s">
        <v>118</v>
      </c>
      <c r="D4" t="s">
        <v>119</v>
      </c>
      <c r="E4" t="s">
        <v>40</v>
      </c>
    </row>
    <row r="5" spans="1:5">
      <c r="A5" t="s">
        <v>59</v>
      </c>
      <c r="B5" t="s">
        <v>120</v>
      </c>
      <c r="C5" t="s">
        <v>54</v>
      </c>
      <c r="D5" t="s">
        <v>121</v>
      </c>
      <c r="E5" t="s">
        <v>122</v>
      </c>
    </row>
    <row r="6" spans="1:5">
      <c r="A6" t="s">
        <v>123</v>
      </c>
      <c r="B6" t="s">
        <v>124</v>
      </c>
      <c r="C6" t="s">
        <v>28</v>
      </c>
      <c r="D6" t="s">
        <v>74</v>
      </c>
      <c r="E6" t="s">
        <v>125</v>
      </c>
    </row>
    <row r="7" spans="1:5">
      <c r="A7" t="s">
        <v>126</v>
      </c>
      <c r="B7" t="s">
        <v>127</v>
      </c>
      <c r="C7" t="s">
        <v>55</v>
      </c>
      <c r="D7" t="s">
        <v>30</v>
      </c>
      <c r="E7" t="s">
        <v>128</v>
      </c>
    </row>
    <row r="8" spans="1:5">
      <c r="A8" t="s">
        <v>129</v>
      </c>
      <c r="B8" t="s">
        <v>130</v>
      </c>
      <c r="C8" t="s">
        <v>44</v>
      </c>
      <c r="D8" t="s">
        <v>131</v>
      </c>
      <c r="E8" t="s">
        <v>132</v>
      </c>
    </row>
    <row r="9" spans="1:5">
      <c r="A9" t="s">
        <v>133</v>
      </c>
      <c r="B9" t="s">
        <v>134</v>
      </c>
      <c r="C9" t="s">
        <v>30</v>
      </c>
    </row>
    <row r="10" spans="1:5">
      <c r="A10" t="s">
        <v>135</v>
      </c>
      <c r="B10" t="s">
        <v>136</v>
      </c>
      <c r="C10" t="s">
        <v>29</v>
      </c>
    </row>
    <row r="11" spans="1:5">
      <c r="A11" t="s">
        <v>137</v>
      </c>
      <c r="B11" t="s">
        <v>138</v>
      </c>
      <c r="C11" t="s">
        <v>43</v>
      </c>
    </row>
    <row r="12" spans="1:5">
      <c r="A12" t="s">
        <v>132</v>
      </c>
      <c r="B12" t="s">
        <v>139</v>
      </c>
      <c r="C12" t="s">
        <v>32</v>
      </c>
    </row>
    <row r="13" spans="1:5">
      <c r="B13" t="s">
        <v>33</v>
      </c>
      <c r="C13" t="s">
        <v>140</v>
      </c>
    </row>
    <row r="14" spans="1:5">
      <c r="B14" t="s">
        <v>31</v>
      </c>
      <c r="C14" t="s">
        <v>31</v>
      </c>
    </row>
    <row r="15" spans="1:5">
      <c r="B15" t="s">
        <v>74</v>
      </c>
      <c r="C15" t="s">
        <v>33</v>
      </c>
    </row>
    <row r="16" spans="1:5">
      <c r="B16" t="s">
        <v>141</v>
      </c>
      <c r="C16" t="s">
        <v>74</v>
      </c>
    </row>
    <row r="17" spans="3:3">
      <c r="C17" t="s">
        <v>141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"/>
  <sheetViews>
    <sheetView workbookViewId="0"/>
  </sheetViews>
  <sheetFormatPr defaultRowHeight="14.25"/>
  <cols>
    <col min="1" max="4" width="28" customWidth="1"/>
  </cols>
  <sheetData>
    <row r="1" spans="1:4" ht="15">
      <c r="A1" s="2" t="s">
        <v>142</v>
      </c>
      <c r="B1" s="2" t="s">
        <v>143</v>
      </c>
      <c r="C1" s="2" t="s">
        <v>144</v>
      </c>
      <c r="D1" s="2" t="s">
        <v>145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22"/>
  <sheetViews>
    <sheetView workbookViewId="0">
      <selection activeCell="A9" sqref="A9"/>
    </sheetView>
  </sheetViews>
  <sheetFormatPr defaultRowHeight="14.25"/>
  <cols>
    <col min="1" max="1" width="95" customWidth="1"/>
  </cols>
  <sheetData>
    <row r="1" spans="1:1" ht="23.25">
      <c r="A1" s="15" t="s">
        <v>146</v>
      </c>
    </row>
    <row r="2" spans="1:1">
      <c r="A2" s="5"/>
    </row>
    <row r="3" spans="1:1" ht="15">
      <c r="A3" s="16" t="s">
        <v>147</v>
      </c>
    </row>
    <row r="4" spans="1:1" ht="28.5">
      <c r="A4" s="5" t="s">
        <v>148</v>
      </c>
    </row>
    <row r="5" spans="1:1">
      <c r="A5" s="5"/>
    </row>
    <row r="6" spans="1:1" ht="15">
      <c r="A6" s="16" t="s">
        <v>149</v>
      </c>
    </row>
    <row r="7" spans="1:1">
      <c r="A7" s="5" t="s">
        <v>150</v>
      </c>
    </row>
    <row r="8" spans="1:1">
      <c r="A8" s="5" t="s">
        <v>151</v>
      </c>
    </row>
    <row r="9" spans="1:1" ht="28.5">
      <c r="A9" s="5" t="s">
        <v>152</v>
      </c>
    </row>
    <row r="10" spans="1:1">
      <c r="A10" s="5" t="s">
        <v>153</v>
      </c>
    </row>
    <row r="11" spans="1:1">
      <c r="A11" s="5" t="s">
        <v>154</v>
      </c>
    </row>
    <row r="12" spans="1:1">
      <c r="A12" s="5" t="s">
        <v>155</v>
      </c>
    </row>
    <row r="13" spans="1:1">
      <c r="A13" s="5"/>
    </row>
    <row r="14" spans="1:1" ht="15">
      <c r="A14" s="16" t="s">
        <v>156</v>
      </c>
    </row>
    <row r="15" spans="1:1" ht="28.5">
      <c r="A15" s="5" t="s">
        <v>157</v>
      </c>
    </row>
    <row r="16" spans="1:1">
      <c r="A16" s="5"/>
    </row>
    <row r="17" spans="1:1" ht="15">
      <c r="A17" s="16" t="s">
        <v>158</v>
      </c>
    </row>
    <row r="18" spans="1:1" ht="28.5">
      <c r="A18" s="5" t="s">
        <v>159</v>
      </c>
    </row>
    <row r="19" spans="1:1">
      <c r="A19" s="5"/>
    </row>
    <row r="20" spans="1:1" ht="15">
      <c r="A20" s="35" t="s">
        <v>160</v>
      </c>
    </row>
    <row r="21" spans="1:1">
      <c r="A21" s="5" t="s">
        <v>161</v>
      </c>
    </row>
    <row r="22" spans="1:1">
      <c r="A22" s="5" t="s">
        <v>162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9"/>
  <sheetViews>
    <sheetView workbookViewId="0"/>
  </sheetViews>
  <sheetFormatPr defaultRowHeight="14.25"/>
  <cols>
    <col min="1" max="1" width="95" customWidth="1"/>
  </cols>
  <sheetData>
    <row r="1" spans="1:1" ht="23.25">
      <c r="A1" s="15" t="s">
        <v>163</v>
      </c>
    </row>
    <row r="2" spans="1:1">
      <c r="A2" s="5" t="s">
        <v>164</v>
      </c>
    </row>
    <row r="3" spans="1:1">
      <c r="A3" s="5" t="s">
        <v>165</v>
      </c>
    </row>
    <row r="4" spans="1:1">
      <c r="A4" s="5" t="s">
        <v>166</v>
      </c>
    </row>
    <row r="5" spans="1:1">
      <c r="A5" s="5"/>
    </row>
    <row r="6" spans="1:1">
      <c r="A6" s="5" t="s">
        <v>167</v>
      </c>
    </row>
    <row r="8" spans="1:1" ht="15">
      <c r="A8" s="35" t="s">
        <v>168</v>
      </c>
    </row>
    <row r="9" spans="1:1" ht="28.5">
      <c r="A9" s="5" t="s">
        <v>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Production Inventory</vt:lpstr>
      <vt:lpstr>Dashboard</vt:lpstr>
      <vt:lpstr>Calendar Import</vt:lpstr>
      <vt:lpstr>Dropdowns</vt:lpstr>
      <vt:lpstr>Automation Log</vt:lpstr>
      <vt:lpstr>README</vt:lpstr>
      <vt:lpstr>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Andre Futol</cp:lastModifiedBy>
  <dcterms:created xsi:type="dcterms:W3CDTF">2026-06-06T02:42:19Z</dcterms:created>
  <dcterms:modified xsi:type="dcterms:W3CDTF">2026-06-06T02:57:53Z</dcterms:modified>
</cp:coreProperties>
</file>